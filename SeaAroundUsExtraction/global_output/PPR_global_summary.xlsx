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3c6c2b41d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a8288f46304db1"/>
    <x:sheet xmlns:r="http://schemas.openxmlformats.org/officeDocument/2006/relationships" name="Validation" sheetId="2" r:id="Rc670606df5714246"/>
    <x:sheet xmlns:r="http://schemas.openxmlformats.org/officeDocument/2006/relationships" name="TL Coverage" sheetId="3" r:id="R1ad2fa6c4a4849e5"/>
    <x:sheet xmlns:r="http://schemas.openxmlformats.org/officeDocument/2006/relationships" name="Jensen Comparison" sheetId="4" r:id="R8bbb323ee4ff45ae"/>
    <x:sheet xmlns:r="http://schemas.openxmlformats.org/officeDocument/2006/relationships" name="Ingestion Audit" sheetId="5" r:id="Rb0443ac5219842c3"/>
    <x:sheet xmlns:r="http://schemas.openxmlformats.org/officeDocument/2006/relationships" name="Configuration" sheetId="6" r:id="R3127937df2df4dbf"/>
    <x:sheet xmlns:r="http://schemas.openxmlformats.org/officeDocument/2006/relationships" name="Sources" sheetId="7" r:id="Rdcba0bfa5e79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0"/>
    <x:numFmt numFmtId="202" formatCode="0.0000"/>
    <x:numFmt numFmtId="203" formatCode="0.00%"/>
    <x:numFmt numFmtId="204" formatCode="#,##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0bbcde1d54af5" /><Relationship Type="http://schemas.openxmlformats.org/officeDocument/2006/relationships/theme" Target="/xl/theme/theme1.xml" Id="R9af338d218234d48" /><Relationship Type="http://schemas.openxmlformats.org/officeDocument/2006/relationships/sharedStrings" Target="/xl/sharedStrings.xml" Id="R06660aff6e9943a9" /><Relationship Type="http://schemas.openxmlformats.org/officeDocument/2006/relationships/worksheet" Target="/xl/worksheets/sheet1.xml" Id="R43a8288f46304db1" /><Relationship Type="http://schemas.openxmlformats.org/officeDocument/2006/relationships/worksheet" Target="/xl/worksheets/sheet2.xml" Id="Rc670606df5714246" /><Relationship Type="http://schemas.openxmlformats.org/officeDocument/2006/relationships/worksheet" Target="/xl/worksheets/sheet3.xml" Id="R1ad2fa6c4a4849e5" /><Relationship Type="http://schemas.openxmlformats.org/officeDocument/2006/relationships/worksheet" Target="/xl/worksheets/sheet4.xml" Id="R8bbb323ee4ff45ae" /><Relationship Type="http://schemas.openxmlformats.org/officeDocument/2006/relationships/worksheet" Target="/xl/worksheets/sheet5.xml" Id="Rb0443ac5219842c3" /><Relationship Type="http://schemas.openxmlformats.org/officeDocument/2006/relationships/worksheet" Target="/xl/worksheets/sheet6.xml" Id="R3127937df2df4dbf" /><Relationship Type="http://schemas.openxmlformats.org/officeDocument/2006/relationships/worksheet" Target="/xl/worksheets/sheet7.xml" Id="Rdcba0bfa5e7942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a3bcef307549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25 global PPR ranking (tonnes primary-production equivalent)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Species PPR</c:v>
          </c:tx>
          <c:cat>
            <c:strRef>
              <c:f>'Summary'!$S$25:$S$49</c:f>
              <c:strCache>
                <c:ptCount val="0"/>
              </c:strCache>
            </c:strRef>
          </c:cat>
          <c:val>
            <c:numRef>
              <c:f>'Summary'!$T$25:$T$49</c:f>
              <c:numCache>
                <c:formatCode>0.00E+00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a3bcef307549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ilotSummaryTable" displayName="PilotSummaryTable" ref="A1:Q85" headerRowCount="1" totalsRowCount="0" totalsRowShown="0">
  <x:autoFilter ref="A1:Q85"/>
  <x:tableColumns count="17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_correct"/>
    <x:tableColumn id="13" name="ppr_functional_correct"/>
    <x:tableColumn id="14" name="ppr_commercial_jensen"/>
    <x:tableColumn id="15" name="ppr_functional_jensen"/>
    <x:tableColumn id="16" name="fraction_global_ppr"/>
    <x:tableColumn id="17" name="rank_global_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ValidationTable" displayName="PilotValidationTable" ref="A1:D1513" headerRowCount="1" totalsRowCount="0" totalsRowShown="0">
  <x:autoFilter ref="A1:D1513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TLCoverageTable" displayName="PilotTLCoverageTable" ref="A1:J165" headerRowCount="1" totalsRowCount="0" totalsRowShown="0">
  <x:autoFilter ref="A1:J165"/>
  <x:tableColumns count="10">
    <x:tableColumn id="1" name="unit_id"/>
    <x:tableColumn id="2" name="match_method"/>
    <x:tableColumn id="3" name="tl_source"/>
    <x:tableColumn id="4" name="match_confidence"/>
    <x:tableColumn id="5" name="taxa_count"/>
    <x:tableColumn id="6" name="catch_tonnes"/>
    <x:tableColumn id="7" name="unit_catch_tonnes"/>
    <x:tableColumn id="8" name="unit_taxa"/>
    <x:tableColumn id="9" name="taxa_fraction"/>
    <x:tableColumn id="10" name="catch_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JensenTable" displayName="PilotJensenTable" ref="A1:R2269" headerRowCount="1" totalsRowCount="0" totalsRowShown="0">
  <x:autoFilter ref="A1:R2269"/>
  <x:tableColumns count="18">
    <x:tableColumn id="1" name="unit_id"/>
    <x:tableColumn id="2" name="region_name"/>
    <x:tableColumn id="3" name="classification"/>
    <x:tableColumn id="4" name="group_name"/>
    <x:tableColumn id="5" name="taxon_count_total"/>
    <x:tableColumn id="6" name="taxon_count_matched"/>
    <x:tableColumn id="7" name="catch_tonnes_total"/>
    <x:tableColumn id="8" name="catch_tonnes_matched"/>
    <x:tableColumn id="9" name="catch_tonnes_missing_tl"/>
    <x:tableColumn id="10" name="catch_coverage_fraction"/>
    <x:tableColumn id="11" name="sppr_correct"/>
    <x:tableColumn id="12" name="ppr_correct"/>
    <x:tableColumn id="13" name="tl_weighted_jensen"/>
    <x:tableColumn id="14" name="sppr_jensen"/>
    <x:tableColumn id="15" name="ppr_jensen"/>
    <x:tableColumn id="16" name="jensen_difference"/>
    <x:tableColumn id="17" name="jensen_ratio_correct_to_error"/>
    <x:tableColumn id="18" name="jensen_percent_dif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IngestionTable" displayName="PilotIngestionTable" ref="A1:K85" headerRowCount="1" totalsRowCount="0" totalsRowShown="0">
  <x:autoFilter ref="A1:K85"/>
  <x:tableColumns count="11">
    <x:tableColumn id="1" name="unit_id"/>
    <x:tableColumn id="2" name="area_name"/>
    <x:tableColumn id="3" name="area_type"/>
    <x:tableColumn id="4" name="year"/>
    <x:tableColumn id="5" name="raw_rows_selected"/>
    <x:tableColumn id="6" name="taxon_rows_standardized"/>
    <x:tableColumn id="7" name="raw_filtered_tonnes"/>
    <x:tableColumn id="8" name="standardized_tonnes"/>
    <x:tableColumn id="9" name="difference_tonnes"/>
    <x:tableColumn id="10" name="reconciled"/>
    <x:tableColumn id="11" name="source_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cfdaa74cb84157" /><Relationship Type="http://schemas.openxmlformats.org/officeDocument/2006/relationships/table" Target="/xl/tables/table1.xml" Id="R5a7112fe19f740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fec261f8964d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4c6349da134b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aebe702bc1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5d3fe6e4ec2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total_catch_tonnes</x:v>
      </x:c>
      <x:c r="F1" s="56" t="str">
        <x:v>matched_catch_tonnes</x:v>
      </x:c>
      <x:c r="G1" s="56" t="str">
        <x:v>missing_tl_catch_tonnes</x:v>
      </x:c>
      <x:c r="H1" s="56" t="str">
        <x:v>catch_tl_coverage_fraction</x:v>
      </x:c>
      <x:c r="I1" s="56" t="str">
        <x:v>taxa_count</x:v>
      </x:c>
      <x:c r="J1" s="56" t="str">
        <x:v>matched_taxa_count</x:v>
      </x:c>
      <x:c r="K1" s="56" t="str">
        <x:v>ppr_species</x:v>
      </x:c>
      <x:c r="L1" s="56" t="str">
        <x:v>ppr_commercial_correct</x:v>
      </x:c>
      <x:c r="M1" s="56" t="str">
        <x:v>ppr_functional_correct</x:v>
      </x:c>
      <x:c r="N1" s="56" t="str">
        <x:v>ppr_commercial_jensen</x:v>
      </x:c>
      <x:c r="O1" s="56" t="str">
        <x:v>ppr_functional_jensen</x:v>
      </x:c>
      <x:c r="P1" s="56" t="str">
        <x:v>fraction_global_ppr</x:v>
      </x:c>
      <x:c r="Q1" s="56" t="str">
        <x:v>rank_global_ppr</x:v>
      </x:c>
    </x:row>
    <x:row r="2" ht="18" customHeight="1">
      <x:c r="A2" s="46" t="str">
        <x:v>LME_036</x:v>
      </x:c>
      <x:c r="B2" s="46" t="str">
        <x:v>South China Sea</x:v>
      </x:c>
      <x:c r="C2" s="46" t="str">
        <x:v>LME</x:v>
      </x:c>
      <x:c r="D2" s="58" t="n">
        <x:v>2019</x:v>
      </x:c>
      <x:c r="E2" s="60" t="n">
        <x:v>11101666.087778974</x:v>
      </x:c>
      <x:c r="F2" s="60" t="n">
        <x:v>11101666.087778974</x:v>
      </x:c>
      <x:c r="G2" s="62" t="n">
        <x:v>0</x:v>
      </x:c>
      <x:c r="H2" s="64" t="n">
        <x:v>1</x:v>
      </x:c>
      <x:c r="I2" s="66" t="n">
        <x:v>340</x:v>
      </x:c>
      <x:c r="J2" s="66" t="n">
        <x:v>340</x:v>
      </x:c>
      <x:c r="K2" s="60" t="n">
        <x:v>8070990713.09262</x:v>
      </x:c>
      <x:c r="L2" s="60" t="n">
        <x:v>8070990713.092622</x:v>
      </x:c>
      <x:c r="M2" s="60" t="n">
        <x:v>8070990713.09262</x:v>
      </x:c>
      <x:c r="N2" s="60" t="n">
        <x:v>5121239748.801037</x:v>
      </x:c>
      <x:c r="O2" s="60" t="n">
        <x:v>6177614152.066727</x:v>
      </x:c>
      <x:c r="P2" s="64" t="n">
        <x:f>K2/SUM($K$2:$K$85)</x:f>
        <x:v>0.12368825646846707</x:v>
      </x:c>
      <x:c r="Q2" s="66" t="n">
        <x:f>RANK(K2,$K$2:$K$85,0)</x:f>
        <x:v>1</x:v>
      </x:c>
    </x:row>
    <x:row r="3" ht="18" customHeight="1">
      <x:c r="A3" s="46" t="str">
        <x:v>LME_032</x:v>
      </x:c>
      <x:c r="B3" s="46" t="str">
        <x:v>Arabian Sea</x:v>
      </x:c>
      <x:c r="C3" s="46" t="str">
        <x:v>LME</x:v>
      </x:c>
      <x:c r="D3" s="58" t="n">
        <x:v>2019</x:v>
      </x:c>
      <x:c r="E3" s="60" t="n">
        <x:v>5436428.793803818</x:v>
      </x:c>
      <x:c r="F3" s="60" t="n">
        <x:v>5436428.793803818</x:v>
      </x:c>
      <x:c r="G3" s="62" t="n">
        <x:v>0</x:v>
      </x:c>
      <x:c r="H3" s="64" t="n">
        <x:v>1</x:v>
      </x:c>
      <x:c r="I3" s="66" t="n">
        <x:v>393</x:v>
      </x:c>
      <x:c r="J3" s="66" t="n">
        <x:v>393</x:v>
      </x:c>
      <x:c r="K3" s="60" t="n">
        <x:v>4734727053.1209135</x:v>
      </x:c>
      <x:c r="L3" s="60" t="n">
        <x:v>4734727053.120914</x:v>
      </x:c>
      <x:c r="M3" s="60" t="n">
        <x:v>4734727053.1209135</x:v>
      </x:c>
      <x:c r="N3" s="60" t="n">
        <x:v>3513410168.9238224</x:v>
      </x:c>
      <x:c r="O3" s="60" t="n">
        <x:v>3986670658.279414</x:v>
      </x:c>
      <x:c r="P3" s="64" t="n">
        <x:f>K3/SUM($K$2:$K$85)</x:f>
        <x:v>0.07255988203587074</x:v>
      </x:c>
      <x:c r="Q3" s="66" t="n">
        <x:f>RANK(K3,$K$2:$K$85,0)</x:f>
        <x:v>2</x:v>
      </x:c>
    </x:row>
    <x:row r="4" ht="18" customHeight="1">
      <x:c r="A4" s="46" t="str">
        <x:v>LME_034</x:v>
      </x:c>
      <x:c r="B4" s="46" t="str">
        <x:v>Bay of Bengal</x:v>
      </x:c>
      <x:c r="C4" s="46" t="str">
        <x:v>LME</x:v>
      </x:c>
      <x:c r="D4" s="58" t="n">
        <x:v>2019</x:v>
      </x:c>
      <x:c r="E4" s="60" t="n">
        <x:v>6697725.785375867</x:v>
      </x:c>
      <x:c r="F4" s="60" t="n">
        <x:v>6697725.785375867</x:v>
      </x:c>
      <x:c r="G4" s="62" t="n">
        <x:v>0</x:v>
      </x:c>
      <x:c r="H4" s="64" t="n">
        <x:v>1</x:v>
      </x:c>
      <x:c r="I4" s="66" t="n">
        <x:v>288</x:v>
      </x:c>
      <x:c r="J4" s="66" t="n">
        <x:v>288</x:v>
      </x:c>
      <x:c r="K4" s="60" t="n">
        <x:v>3525461853.606897</x:v>
      </x:c>
      <x:c r="L4" s="60" t="n">
        <x:v>3525461853.606897</x:v>
      </x:c>
      <x:c r="M4" s="60" t="n">
        <x:v>3525461853.6068964</x:v>
      </x:c>
      <x:c r="N4" s="60" t="n">
        <x:v>2348434942.0634265</x:v>
      </x:c>
      <x:c r="O4" s="60" t="n">
        <x:v>2527044613.979731</x:v>
      </x:c>
      <x:c r="P4" s="64" t="n">
        <x:f>K4/SUM($K$2:$K$85)</x:f>
        <x:v>0.0540278443402693</x:v>
      </x:c>
      <x:c r="Q4" s="66" t="n">
        <x:f>RANK(K4,$K$2:$K$85,0)</x:f>
        <x:v>3</x:v>
      </x:c>
    </x:row>
    <x:row r="5" ht="18" customHeight="1">
      <x:c r="A5" s="46" t="str">
        <x:v>LME_047</x:v>
      </x:c>
      <x:c r="B5" s="46" t="str">
        <x:v>East China Sea</x:v>
      </x:c>
      <x:c r="C5" s="46" t="str">
        <x:v>LME</x:v>
      </x:c>
      <x:c r="D5" s="58" t="n">
        <x:v>2019</x:v>
      </x:c>
      <x:c r="E5" s="60" t="n">
        <x:v>5649829.984210193</x:v>
      </x:c>
      <x:c r="F5" s="60" t="n">
        <x:v>5649829.984210193</x:v>
      </x:c>
      <x:c r="G5" s="62" t="n">
        <x:v>0</x:v>
      </x:c>
      <x:c r="H5" s="64" t="n">
        <x:v>1</x:v>
      </x:c>
      <x:c r="I5" s="66" t="n">
        <x:v>254</x:v>
      </x:c>
      <x:c r="J5" s="66" t="n">
        <x:v>254</x:v>
      </x:c>
      <x:c r="K5" s="60" t="n">
        <x:v>3396644855.5552316</x:v>
      </x:c>
      <x:c r="L5" s="60" t="n">
        <x:v>3396644855.555232</x:v>
      </x:c>
      <x:c r="M5" s="60" t="n">
        <x:v>3396644855.555233</x:v>
      </x:c>
      <x:c r="N5" s="60" t="n">
        <x:v>2016011352.6502066</x:v>
      </x:c>
      <x:c r="O5" s="60" t="n">
        <x:v>2784351281.529257</x:v>
      </x:c>
      <x:c r="P5" s="64" t="n">
        <x:f>K5/SUM($K$2:$K$85)</x:f>
        <x:v>0.052053718677274055</x:v>
      </x:c>
      <x:c r="Q5" s="66" t="n">
        <x:f>RANK(K5,$K$2:$K$85,0)</x:f>
        <x:v>4</x:v>
      </x:c>
    </x:row>
    <x:row r="6" ht="18" customHeight="1">
      <x:c r="A6" s="46" t="str">
        <x:v>LME_052</x:v>
      </x:c>
      <x:c r="B6" s="46" t="str">
        <x:v>Sea of Okhotsk</x:v>
      </x:c>
      <x:c r="C6" s="46" t="str">
        <x:v>LME</x:v>
      </x:c>
      <x:c r="D6" s="58" t="n">
        <x:v>2019</x:v>
      </x:c>
      <x:c r="E6" s="60" t="n">
        <x:v>4800852.125625119</x:v>
      </x:c>
      <x:c r="F6" s="60" t="n">
        <x:v>4800852.125625119</x:v>
      </x:c>
      <x:c r="G6" s="62" t="n">
        <x:v>0</x:v>
      </x:c>
      <x:c r="H6" s="64" t="n">
        <x:v>1</x:v>
      </x:c>
      <x:c r="I6" s="66" t="n">
        <x:v>131</x:v>
      </x:c>
      <x:c r="J6" s="66" t="n">
        <x:v>131</x:v>
      </x:c>
      <x:c r="K6" s="60" t="n">
        <x:v>2799543440.9812036</x:v>
      </x:c>
      <x:c r="L6" s="60" t="n">
        <x:v>2799543440.9812036</x:v>
      </x:c>
      <x:c r="M6" s="60" t="n">
        <x:v>2799543440.9812036</x:v>
      </x:c>
      <x:c r="N6" s="60" t="n">
        <x:v>2242784197.569399</x:v>
      </x:c>
      <x:c r="O6" s="60" t="n">
        <x:v>2131158646.726793</x:v>
      </x:c>
      <x:c r="P6" s="64" t="n">
        <x:f>K6/SUM($K$2:$K$85)</x:f>
        <x:v>0.04290311554453702</x:v>
      </x:c>
      <x:c r="Q6" s="66" t="n">
        <x:f>RANK(K6,$K$2:$K$85,0)</x:f>
        <x:v>5</x:v>
      </x:c>
    </x:row>
    <x:row r="7" ht="18" customHeight="1">
      <x:c r="A7" s="46" t="str">
        <x:v>LME_013</x:v>
      </x:c>
      <x:c r="B7" s="46" t="str">
        <x:v>Humboldt Current</x:v>
      </x:c>
      <x:c r="C7" s="46" t="str">
        <x:v>LME</x:v>
      </x:c>
      <x:c r="D7" s="58" t="n">
        <x:v>2019</x:v>
      </x:c>
      <x:c r="E7" s="60" t="n">
        <x:v>7390380.680601614</x:v>
      </x:c>
      <x:c r="F7" s="60" t="n">
        <x:v>7390380.680601614</x:v>
      </x:c>
      <x:c r="G7" s="62" t="n">
        <x:v>0</x:v>
      </x:c>
      <x:c r="H7" s="64" t="n">
        <x:v>1</x:v>
      </x:c>
      <x:c r="I7" s="66" t="n">
        <x:v>184</x:v>
      </x:c>
      <x:c r="J7" s="66" t="n">
        <x:v>184</x:v>
      </x:c>
      <x:c r="K7" s="60" t="n">
        <x:v>2612052520.1434836</x:v>
      </x:c>
      <x:c r="L7" s="60" t="n">
        <x:v>2612052520.143483</x:v>
      </x:c>
      <x:c r="M7" s="60" t="n">
        <x:v>2612052520.143483</x:v>
      </x:c>
      <x:c r="N7" s="60" t="n">
        <x:v>2058671336.4057274</x:v>
      </x:c>
      <x:c r="O7" s="60" t="n">
        <x:v>2239918376.137161</x:v>
      </x:c>
      <x:c r="P7" s="64" t="n">
        <x:f>K7/SUM($K$2:$K$85)</x:f>
        <x:v>0.040029809660977286</x:v>
      </x:c>
      <x:c r="Q7" s="66" t="n">
        <x:f>RANK(K7,$K$2:$K$85,0)</x:f>
        <x:v>6</x:v>
      </x:c>
    </x:row>
    <x:row r="8" ht="18" customHeight="1">
      <x:c r="A8" s="46" t="str">
        <x:v>LME_027</x:v>
      </x:c>
      <x:c r="B8" s="46" t="str">
        <x:v>Canary Current</x:v>
      </x:c>
      <x:c r="C8" s="46" t="str">
        <x:v>LME</x:v>
      </x:c>
      <x:c r="D8" s="58" t="n">
        <x:v>2019</x:v>
      </x:c>
      <x:c r="E8" s="60" t="n">
        <x:v>5771015.257329415</x:v>
      </x:c>
      <x:c r="F8" s="60" t="n">
        <x:v>5771015.257329415</x:v>
      </x:c>
      <x:c r="G8" s="62" t="n">
        <x:v>0</x:v>
      </x:c>
      <x:c r="H8" s="64" t="n">
        <x:v>1</x:v>
      </x:c>
      <x:c r="I8" s="66" t="n">
        <x:v>412</x:v>
      </x:c>
      <x:c r="J8" s="66" t="n">
        <x:v>412</x:v>
      </x:c>
      <x:c r="K8" s="60" t="n">
        <x:v>2359485422.816173</x:v>
      </x:c>
      <x:c r="L8" s="60" t="n">
        <x:v>2359485422.8161726</x:v>
      </x:c>
      <x:c r="M8" s="60" t="n">
        <x:v>2359485422.8161726</x:v>
      </x:c>
      <x:c r="N8" s="60" t="n">
        <x:v>1988040059.996524</x:v>
      </x:c>
      <x:c r="O8" s="60" t="n">
        <x:v>1932746132.292241</x:v>
      </x:c>
      <x:c r="P8" s="64" t="n">
        <x:f>K8/SUM($K$2:$K$85)</x:f>
        <x:v>0.036159208762002105</x:v>
      </x:c>
      <x:c r="Q8" s="66" t="n">
        <x:f>RANK(K8,$K$2:$K$85,0)</x:f>
        <x:v>7</x:v>
      </x:c>
    </x:row>
    <x:row r="9" ht="18" customHeight="1">
      <x:c r="A9" s="46" t="str">
        <x:v>LME_028</x:v>
      </x:c>
      <x:c r="B9" s="46" t="str">
        <x:v>Guinea Current</x:v>
      </x:c>
      <x:c r="C9" s="46" t="str">
        <x:v>LME</x:v>
      </x:c>
      <x:c r="D9" s="58" t="n">
        <x:v>2019</x:v>
      </x:c>
      <x:c r="E9" s="60" t="n">
        <x:v>4469154.981144243</x:v>
      </x:c>
      <x:c r="F9" s="60" t="n">
        <x:v>4469154.981144243</x:v>
      </x:c>
      <x:c r="G9" s="62" t="n">
        <x:v>0</x:v>
      </x:c>
      <x:c r="H9" s="64" t="n">
        <x:v>1</x:v>
      </x:c>
      <x:c r="I9" s="66" t="n">
        <x:v>325</x:v>
      </x:c>
      <x:c r="J9" s="66" t="n">
        <x:v>325</x:v>
      </x:c>
      <x:c r="K9" s="60" t="n">
        <x:v>2256398879.66561</x:v>
      </x:c>
      <x:c r="L9" s="60" t="n">
        <x:v>2256398879.6656094</x:v>
      </x:c>
      <x:c r="M9" s="60" t="n">
        <x:v>2256398879.66561</x:v>
      </x:c>
      <x:c r="N9" s="60" t="n">
        <x:v>1724262907.9504876</x:v>
      </x:c>
      <x:c r="O9" s="60" t="n">
        <x:v>1769169841.9924123</x:v>
      </x:c>
      <x:c r="P9" s="64" t="n">
        <x:f>K9/SUM($K$2:$K$85)</x:f>
        <x:v>0.03457940335261528</x:v>
      </x:c>
      <x:c r="Q9" s="66" t="n">
        <x:f>RANK(K9,$K$2:$K$85,0)</x:f>
        <x:v>8</x:v>
      </x:c>
    </x:row>
    <x:row r="10" ht="18" customHeight="1">
      <x:c r="A10" s="46" t="str">
        <x:v>HS_077</x:v>
      </x:c>
      <x:c r="B10" s="46" t="str">
        <x:v>Pacific, Eastern Central</x:v>
      </x:c>
      <x:c r="C10" s="46" t="str">
        <x:v>High Seas</x:v>
      </x:c>
      <x:c r="D10" s="58" t="n">
        <x:v>2019</x:v>
      </x:c>
      <x:c r="E10" s="60" t="n">
        <x:v>860671.2076084926</x:v>
      </x:c>
      <x:c r="F10" s="60" t="n">
        <x:v>860671.2076084926</x:v>
      </x:c>
      <x:c r="G10" s="62" t="n">
        <x:v>0</x:v>
      </x:c>
      <x:c r="H10" s="64" t="n">
        <x:v>1</x:v>
      </x:c>
      <x:c r="I10" s="66" t="n">
        <x:v>26</x:v>
      </x:c>
      <x:c r="J10" s="66" t="n">
        <x:v>26</x:v>
      </x:c>
      <x:c r="K10" s="60" t="n">
        <x:v>2196179346.027695</x:v>
      </x:c>
      <x:c r="L10" s="60" t="n">
        <x:v>2196179346.0276957</x:v>
      </x:c>
      <x:c r="M10" s="60" t="n">
        <x:v>2196179346.027695</x:v>
      </x:c>
      <x:c r="N10" s="60" t="n">
        <x:v>2177549454.5469604</x:v>
      </x:c>
      <x:c r="O10" s="60" t="n">
        <x:v>2170818471.3741584</x:v>
      </x:c>
      <x:c r="P10" s="64" t="n">
        <x:f>K10/SUM($K$2:$K$85)</x:f>
        <x:v>0.03365653658373954</x:v>
      </x:c>
      <x:c r="Q10" s="66" t="n">
        <x:f>RANK(K10,$K$2:$K$85,0)</x:f>
        <x:v>9</x:v>
      </x:c>
    </x:row>
    <x:row r="11" ht="18" customHeight="1">
      <x:c r="A11" s="46" t="str">
        <x:v>LME_035</x:v>
      </x:c>
      <x:c r="B11" s="46" t="str">
        <x:v>Gulf of Thailand</x:v>
      </x:c>
      <x:c r="C11" s="46" t="str">
        <x:v>LME</x:v>
      </x:c>
      <x:c r="D11" s="58" t="n">
        <x:v>2019</x:v>
      </x:c>
      <x:c r="E11" s="60" t="n">
        <x:v>2615825.0568618225</x:v>
      </x:c>
      <x:c r="F11" s="60" t="n">
        <x:v>2615825.0568618225</x:v>
      </x:c>
      <x:c r="G11" s="62" t="n">
        <x:v>0</x:v>
      </x:c>
      <x:c r="H11" s="64" t="n">
        <x:v>1</x:v>
      </x:c>
      <x:c r="I11" s="66" t="n">
        <x:v>214</x:v>
      </x:c>
      <x:c r="J11" s="66" t="n">
        <x:v>214</x:v>
      </x:c>
      <x:c r="K11" s="60" t="n">
        <x:v>1868893899.8381805</x:v>
      </x:c>
      <x:c r="L11" s="60" t="n">
        <x:v>1868893899.83818</x:v>
      </x:c>
      <x:c r="M11" s="60" t="n">
        <x:v>1868893899.8381803</x:v>
      </x:c>
      <x:c r="N11" s="60" t="n">
        <x:v>1321291448.1609046</x:v>
      </x:c>
      <x:c r="O11" s="60" t="n">
        <x:v>1470605570.760545</x:v>
      </x:c>
      <x:c r="P11" s="64" t="n">
        <x:f>K11/SUM($K$2:$K$85)</x:f>
        <x:v>0.028640873990915933</x:v>
      </x:c>
      <x:c r="Q11" s="66" t="n">
        <x:f>RANK(K11,$K$2:$K$85,0)</x:f>
        <x:v>10</x:v>
      </x:c>
    </x:row>
    <x:row r="12" ht="18" customHeight="1">
      <x:c r="A12" s="46" t="str">
        <x:v>LME_022</x:v>
      </x:c>
      <x:c r="B12" s="46" t="str">
        <x:v>North Sea</x:v>
      </x:c>
      <x:c r="C12" s="46" t="str">
        <x:v>LME</x:v>
      </x:c>
      <x:c r="D12" s="58" t="n">
        <x:v>2019</x:v>
      </x:c>
      <x:c r="E12" s="60" t="n">
        <x:v>2717260.698205171</x:v>
      </x:c>
      <x:c r="F12" s="60" t="n">
        <x:v>2717260.698205171</x:v>
      </x:c>
      <x:c r="G12" s="62" t="n">
        <x:v>0</x:v>
      </x:c>
      <x:c r="H12" s="64" t="n">
        <x:v>1</x:v>
      </x:c>
      <x:c r="I12" s="66" t="n">
        <x:v>312</x:v>
      </x:c>
      <x:c r="J12" s="66" t="n">
        <x:v>312</x:v>
      </x:c>
      <x:c r="K12" s="60" t="n">
        <x:v>1700184787.4627526</x:v>
      </x:c>
      <x:c r="L12" s="60" t="n">
        <x:v>1700184787.462753</x:v>
      </x:c>
      <x:c r="M12" s="60" t="n">
        <x:v>1700184787.4627523</x:v>
      </x:c>
      <x:c r="N12" s="60" t="n">
        <x:v>1461271647.0493312</x:v>
      </x:c>
      <x:c r="O12" s="60" t="n">
        <x:v>1529129228.171731</x:v>
      </x:c>
      <x:c r="P12" s="64" t="n">
        <x:f>K12/SUM($K$2:$K$85)</x:f>
        <x:v>0.026055400075525505</x:v>
      </x:c>
      <x:c r="Q12" s="66" t="n">
        <x:f>RANK(K12,$K$2:$K$85,0)</x:f>
        <x:v>11</x:v>
      </x:c>
    </x:row>
    <x:row r="13" ht="18" customHeight="1">
      <x:c r="A13" s="46" t="str">
        <x:v>LME_049</x:v>
      </x:c>
      <x:c r="B13" s="46" t="str">
        <x:v>Kuroshio Current</x:v>
      </x:c>
      <x:c r="C13" s="46" t="str">
        <x:v>LME</x:v>
      </x:c>
      <x:c r="D13" s="58" t="n">
        <x:v>2019</x:v>
      </x:c>
      <x:c r="E13" s="60" t="n">
        <x:v>3090456.265124474</x:v>
      </x:c>
      <x:c r="F13" s="60" t="n">
        <x:v>3090456.265124474</x:v>
      </x:c>
      <x:c r="G13" s="62" t="n">
        <x:v>0</x:v>
      </x:c>
      <x:c r="H13" s="64" t="n">
        <x:v>1</x:v>
      </x:c>
      <x:c r="I13" s="66" t="n">
        <x:v>229</x:v>
      </x:c>
      <x:c r="J13" s="66" t="n">
        <x:v>229</x:v>
      </x:c>
      <x:c r="K13" s="60" t="n">
        <x:v>1682486180.5803435</x:v>
      </x:c>
      <x:c r="L13" s="60" t="n">
        <x:v>1682486180.5803437</x:v>
      </x:c>
      <x:c r="M13" s="60" t="n">
        <x:v>1682486180.5803432</x:v>
      </x:c>
      <x:c r="N13" s="60" t="n">
        <x:v>1229429462.9598556</x:v>
      </x:c>
      <x:c r="O13" s="60" t="n">
        <x:v>1479014398.4195945</x:v>
      </x:c>
      <x:c r="P13" s="64" t="n">
        <x:f>K13/SUM($K$2:$K$85)</x:f>
        <x:v>0.025784168215023565</x:v>
      </x:c>
      <x:c r="Q13" s="66" t="n">
        <x:f>RANK(K13,$K$2:$K$85,0)</x:f>
        <x:v>12</x:v>
      </x:c>
    </x:row>
    <x:row r="14" ht="18" customHeight="1">
      <x:c r="A14" s="46" t="str">
        <x:v>LME_038</x:v>
      </x:c>
      <x:c r="B14" s="46" t="str">
        <x:v>Indonesian Sea</x:v>
      </x:c>
      <x:c r="C14" s="46" t="str">
        <x:v>LME</x:v>
      </x:c>
      <x:c r="D14" s="58" t="n">
        <x:v>2019</x:v>
      </x:c>
      <x:c r="E14" s="60" t="n">
        <x:v>2883541.9537540916</x:v>
      </x:c>
      <x:c r="F14" s="60" t="n">
        <x:v>2883541.9537540916</x:v>
      </x:c>
      <x:c r="G14" s="62" t="n">
        <x:v>0</x:v>
      </x:c>
      <x:c r="H14" s="64" t="n">
        <x:v>1</x:v>
      </x:c>
      <x:c r="I14" s="66" t="n">
        <x:v>142</x:v>
      </x:c>
      <x:c r="J14" s="66" t="n">
        <x:v>142</x:v>
      </x:c>
      <x:c r="K14" s="60" t="n">
        <x:v>1678212214.8416104</x:v>
      </x:c>
      <x:c r="L14" s="60" t="n">
        <x:v>1678212214.8416104</x:v>
      </x:c>
      <x:c r="M14" s="60" t="n">
        <x:v>1678212214.8416104</x:v>
      </x:c>
      <x:c r="N14" s="60" t="n">
        <x:v>1110962513.3774147</x:v>
      </x:c>
      <x:c r="O14" s="60" t="n">
        <x:v>1252314766.816485</x:v>
      </x:c>
      <x:c r="P14" s="64" t="n">
        <x:f>K14/SUM($K$2:$K$85)</x:f>
        <x:v>0.025718669518615414</x:v>
      </x:c>
      <x:c r="Q14" s="66" t="n">
        <x:f>RANK(K14,$K$2:$K$85,0)</x:f>
        <x:v>13</x:v>
      </x:c>
    </x:row>
    <x:row r="15" ht="18" customHeight="1">
      <x:c r="A15" s="46" t="str">
        <x:v>LME_048</x:v>
      </x:c>
      <x:c r="B15" s="46" t="str">
        <x:v>Yellow Sea</x:v>
      </x:c>
      <x:c r="C15" s="46" t="str">
        <x:v>LME</x:v>
      </x:c>
      <x:c r="D15" s="58" t="n">
        <x:v>2019</x:v>
      </x:c>
      <x:c r="E15" s="60" t="n">
        <x:v>2658977.968899307</x:v>
      </x:c>
      <x:c r="F15" s="60" t="n">
        <x:v>2658977.968899307</x:v>
      </x:c>
      <x:c r="G15" s="62" t="n">
        <x:v>0</x:v>
      </x:c>
      <x:c r="H15" s="64" t="n">
        <x:v>1</x:v>
      </x:c>
      <x:c r="I15" s="66" t="n">
        <x:v>175</x:v>
      </x:c>
      <x:c r="J15" s="66" t="n">
        <x:v>175</x:v>
      </x:c>
      <x:c r="K15" s="60" t="n">
        <x:v>1554214509.6068287</x:v>
      </x:c>
      <x:c r="L15" s="60" t="n">
        <x:v>1554214509.6068282</x:v>
      </x:c>
      <x:c r="M15" s="60" t="n">
        <x:v>1554214509.6068285</x:v>
      </x:c>
      <x:c r="N15" s="60" t="n">
        <x:v>939968038.6418488</x:v>
      </x:c>
      <x:c r="O15" s="60" t="n">
        <x:v>1272167957.9722326</x:v>
      </x:c>
      <x:c r="P15" s="64" t="n">
        <x:f>K15/SUM($K$2:$K$85)</x:f>
        <x:v>0.0238183997113783</x:v>
      </x:c>
      <x:c r="Q15" s="66" t="n">
        <x:f>RANK(K15,$K$2:$K$85,0)</x:f>
        <x:v>14</x:v>
      </x:c>
    </x:row>
    <x:row r="16" ht="18" customHeight="1">
      <x:c r="A16" s="46" t="str">
        <x:v>HS_071</x:v>
      </x:c>
      <x:c r="B16" s="46" t="str">
        <x:v>Pacific, Western Central</x:v>
      </x:c>
      <x:c r="C16" s="46" t="str">
        <x:v>High Seas</x:v>
      </x:c>
      <x:c r="D16" s="58" t="n">
        <x:v>2019</x:v>
      </x:c>
      <x:c r="E16" s="60" t="n">
        <x:v>571817.786555246</x:v>
      </x:c>
      <x:c r="F16" s="60" t="n">
        <x:v>571817.786555246</x:v>
      </x:c>
      <x:c r="G16" s="62" t="n">
        <x:v>0</x:v>
      </x:c>
      <x:c r="H16" s="64" t="n">
        <x:v>1</x:v>
      </x:c>
      <x:c r="I16" s="66" t="n">
        <x:v>23</x:v>
      </x:c>
      <x:c r="J16" s="66" t="n">
        <x:v>23</x:v>
      </x:c>
      <x:c r="K16" s="60" t="n">
        <x:v>1482147259.8171525</x:v>
      </x:c>
      <x:c r="L16" s="60" t="n">
        <x:v>1482147259.8171525</x:v>
      </x:c>
      <x:c r="M16" s="60" t="n">
        <x:v>1482147259.8171527</x:v>
      </x:c>
      <x:c r="N16" s="60" t="n">
        <x:v>1476697755.8816364</x:v>
      </x:c>
      <x:c r="O16" s="60" t="n">
        <x:v>1474269044.8780706</x:v>
      </x:c>
      <x:c r="P16" s="64" t="n">
        <x:f>K16/SUM($K$2:$K$85)</x:f>
        <x:v>0.022713966217172612</x:v>
      </x:c>
      <x:c r="Q16" s="66" t="n">
        <x:f>RANK(K16,$K$2:$K$85,0)</x:f>
        <x:v>15</x:v>
      </x:c>
    </x:row>
    <x:row r="17" ht="18" customHeight="1">
      <x:c r="A17" s="46" t="str">
        <x:v>LME_050</x:v>
      </x:c>
      <x:c r="B17" s="46" t="str">
        <x:v>Sea of Japan / East Sea</x:v>
      </x:c>
      <x:c r="C17" s="46" t="str">
        <x:v>LME</x:v>
      </x:c>
      <x:c r="D17" s="58" t="n">
        <x:v>2019</x:v>
      </x:c>
      <x:c r="E17" s="60" t="n">
        <x:v>2586941.83669577</x:v>
      </x:c>
      <x:c r="F17" s="60" t="n">
        <x:v>2586941.83669577</x:v>
      </x:c>
      <x:c r="G17" s="62" t="n">
        <x:v>0</x:v>
      </x:c>
      <x:c r="H17" s="64" t="n">
        <x:v>1</x:v>
      </x:c>
      <x:c r="I17" s="66" t="n">
        <x:v>218</x:v>
      </x:c>
      <x:c r="J17" s="66" t="n">
        <x:v>218</x:v>
      </x:c>
      <x:c r="K17" s="60" t="n">
        <x:v>1439195574.0782979</x:v>
      </x:c>
      <x:c r="L17" s="60" t="n">
        <x:v>1439195574.078298</x:v>
      </x:c>
      <x:c r="M17" s="60" t="n">
        <x:v>1439195574.0782976</x:v>
      </x:c>
      <x:c r="N17" s="60" t="n">
        <x:v>1036169699.9564209</x:v>
      </x:c>
      <x:c r="O17" s="60" t="n">
        <x:v>1161227971.5261807</x:v>
      </x:c>
      <x:c r="P17" s="64" t="n">
        <x:f>K17/SUM($K$2:$K$85)</x:f>
        <x:v>0.02205572991009789</x:v>
      </x:c>
      <x:c r="Q17" s="66" t="n">
        <x:f>RANK(K17,$K$2:$K$85,0)</x:f>
        <x:v>16</x:v>
      </x:c>
    </x:row>
    <x:row r="18" ht="18" customHeight="1">
      <x:c r="A18" s="46" t="str">
        <x:v>LME_014</x:v>
      </x:c>
      <x:c r="B18" s="46" t="str">
        <x:v>Patagonian Shelf</x:v>
      </x:c>
      <x:c r="C18" s="46" t="str">
        <x:v>LME</x:v>
      </x:c>
      <x:c r="D18" s="58" t="n">
        <x:v>2019</x:v>
      </x:c>
      <x:c r="E18" s="60" t="n">
        <x:v>1589890.9385366847</x:v>
      </x:c>
      <x:c r="F18" s="60" t="n">
        <x:v>1589890.9385366847</x:v>
      </x:c>
      <x:c r="G18" s="62" t="n">
        <x:v>0</x:v>
      </x:c>
      <x:c r="H18" s="64" t="n">
        <x:v>1</x:v>
      </x:c>
      <x:c r="I18" s="66" t="n">
        <x:v>195</x:v>
      </x:c>
      <x:c r="J18" s="66" t="n">
        <x:v>195</x:v>
      </x:c>
      <x:c r="K18" s="60" t="n">
        <x:v>1391657718.08254</x:v>
      </x:c>
      <x:c r="L18" s="60" t="n">
        <x:v>1391657718.0825403</x:v>
      </x:c>
      <x:c r="M18" s="60" t="n">
        <x:v>1391657718.08254</x:v>
      </x:c>
      <x:c r="N18" s="60" t="n">
        <x:v>1272373321.7534766</x:v>
      </x:c>
      <x:c r="O18" s="60" t="n">
        <x:v>1310989991.8158207</x:v>
      </x:c>
      <x:c r="P18" s="64" t="n">
        <x:f>K18/SUM($K$2:$K$85)</x:f>
        <x:v>0.021327210359849105</x:v>
      </x:c>
      <x:c r="Q18" s="66" t="n">
        <x:f>RANK(K18,$K$2:$K$85,0)</x:f>
        <x:v>17</x:v>
      </x:c>
    </x:row>
    <x:row r="19" ht="18" customHeight="1">
      <x:c r="A19" s="46" t="str">
        <x:v>LME_003</x:v>
      </x:c>
      <x:c r="B19" s="46" t="str">
        <x:v>California Current</x:v>
      </x:c>
      <x:c r="C19" s="46" t="str">
        <x:v>LME</x:v>
      </x:c>
      <x:c r="D19" s="58" t="n">
        <x:v>2019</x:v>
      </x:c>
      <x:c r="E19" s="60" t="n">
        <x:v>1037537.6190575529</x:v>
      </x:c>
      <x:c r="F19" s="60" t="n">
        <x:v>1037537.6190575529</x:v>
      </x:c>
      <x:c r="G19" s="62" t="n">
        <x:v>0</x:v>
      </x:c>
      <x:c r="H19" s="64" t="n">
        <x:v>1</x:v>
      </x:c>
      <x:c r="I19" s="66" t="n">
        <x:v>277</x:v>
      </x:c>
      <x:c r="J19" s="66" t="n">
        <x:v>277</x:v>
      </x:c>
      <x:c r="K19" s="60" t="n">
        <x:v>1028923753.7644161</x:v>
      </x:c>
      <x:c r="L19" s="60" t="n">
        <x:v>1028923753.7644159</x:v>
      </x:c>
      <x:c r="M19" s="60" t="n">
        <x:v>1028923753.7644162</x:v>
      </x:c>
      <x:c r="N19" s="60" t="n">
        <x:v>948325445.2391397</x:v>
      </x:c>
      <x:c r="O19" s="60" t="n">
        <x:v>956158720.3224782</x:v>
      </x:c>
      <x:c r="P19" s="64" t="n">
        <x:f>K19/SUM($K$2:$K$85)</x:f>
        <x:v>0.015768297804588303</x:v>
      </x:c>
      <x:c r="Q19" s="66" t="n">
        <x:f>RANK(K19,$K$2:$K$85,0)</x:f>
        <x:v>18</x:v>
      </x:c>
    </x:row>
    <x:row r="20" ht="18" customHeight="1">
      <x:c r="A20" s="46" t="str">
        <x:v>LME_024</x:v>
      </x:c>
      <x:c r="B20" s="46" t="str">
        <x:v>Celtic-Biscay Shelf</x:v>
      </x:c>
      <x:c r="C20" s="46" t="str">
        <x:v>LME</x:v>
      </x:c>
      <x:c r="D20" s="58" t="n">
        <x:v>2019</x:v>
      </x:c>
      <x:c r="E20" s="60" t="n">
        <x:v>1139679.567089067</x:v>
      </x:c>
      <x:c r="F20" s="60" t="n">
        <x:v>1139679.567089067</x:v>
      </x:c>
      <x:c r="G20" s="62" t="n">
        <x:v>0</x:v>
      </x:c>
      <x:c r="H20" s="64" t="n">
        <x:v>1</x:v>
      </x:c>
      <x:c r="I20" s="66" t="n">
        <x:v>383</x:v>
      </x:c>
      <x:c r="J20" s="66" t="n">
        <x:v>383</x:v>
      </x:c>
      <x:c r="K20" s="60" t="n">
        <x:v>1010255322.1765621</x:v>
      </x:c>
      <x:c r="L20" s="60" t="n">
        <x:v>1010255322.1765624</x:v>
      </x:c>
      <x:c r="M20" s="60" t="n">
        <x:v>1010255322.1765624</x:v>
      </x:c>
      <x:c r="N20" s="60" t="n">
        <x:v>875614821.1777916</x:v>
      </x:c>
      <x:c r="O20" s="60" t="n">
        <x:v>905533467.1732023</x:v>
      </x:c>
      <x:c r="P20" s="64" t="n">
        <x:f>K20/SUM($K$2:$K$85)</x:f>
        <x:v>0.015482203341568196</x:v>
      </x:c>
      <x:c r="Q20" s="66" t="n">
        <x:f>RANK(K20,$K$2:$K$85,0)</x:f>
        <x:v>19</x:v>
      </x:c>
    </x:row>
    <x:row r="21" ht="18" customHeight="1">
      <x:c r="A21" s="46" t="str">
        <x:v>LME_026</x:v>
      </x:c>
      <x:c r="B21" s="46" t="str">
        <x:v>Mediterranean Sea</x:v>
      </x:c>
      <x:c r="C21" s="46" t="str">
        <x:v>LME</x:v>
      </x:c>
      <x:c r="D21" s="58" t="n">
        <x:v>2019</x:v>
      </x:c>
      <x:c r="E21" s="60" t="n">
        <x:v>1487741.6269238535</x:v>
      </x:c>
      <x:c r="F21" s="60" t="n">
        <x:v>1487741.6269238535</x:v>
      </x:c>
      <x:c r="G21" s="62" t="n">
        <x:v>0</x:v>
      </x:c>
      <x:c r="H21" s="64" t="n">
        <x:v>1</x:v>
      </x:c>
      <x:c r="I21" s="66" t="n">
        <x:v>482</x:v>
      </x:c>
      <x:c r="J21" s="66" t="n">
        <x:v>482</x:v>
      </x:c>
      <x:c r="K21" s="60" t="n">
        <x:v>1007915797.3835726</x:v>
      </x:c>
      <x:c r="L21" s="60" t="n">
        <x:v>1007915797.3835725</x:v>
      </x:c>
      <x:c r="M21" s="60" t="n">
        <x:v>1007915797.3835725</x:v>
      </x:c>
      <x:c r="N21" s="60" t="n">
        <x:v>777778177.4549513</x:v>
      </x:c>
      <x:c r="O21" s="60" t="n">
        <x:v>818089702.4134529</x:v>
      </x:c>
      <x:c r="P21" s="64" t="n">
        <x:f>K21/SUM($K$2:$K$85)</x:f>
        <x:v>0.015446350030259064</x:v>
      </x:c>
      <x:c r="Q21" s="66" t="n">
        <x:f>RANK(K21,$K$2:$K$85,0)</x:f>
        <x:v>20</x:v>
      </x:c>
    </x:row>
    <x:row r="22" ht="18" customHeight="1">
      <x:c r="A22" s="46" t="str">
        <x:v>LME_029</x:v>
      </x:c>
      <x:c r="B22" s="46" t="str">
        <x:v>Benguela Current</x:v>
      </x:c>
      <x:c r="C22" s="46" t="str">
        <x:v>LME</x:v>
      </x:c>
      <x:c r="D22" s="58" t="n">
        <x:v>2019</x:v>
      </x:c>
      <x:c r="E22" s="60" t="n">
        <x:v>1592518.0818040825</x:v>
      </x:c>
      <x:c r="F22" s="60" t="n">
        <x:v>1592518.0818040825</x:v>
      </x:c>
      <x:c r="G22" s="62" t="n">
        <x:v>0</x:v>
      </x:c>
      <x:c r="H22" s="64" t="n">
        <x:v>1</x:v>
      </x:c>
      <x:c r="I22" s="66" t="n">
        <x:v>147</x:v>
      </x:c>
      <x:c r="J22" s="66" t="n">
        <x:v>147</x:v>
      </x:c>
      <x:c r="K22" s="60" t="n">
        <x:v>997757338.2466873</x:v>
      </x:c>
      <x:c r="L22" s="60" t="n">
        <x:v>997757338.2466873</x:v>
      </x:c>
      <x:c r="M22" s="60" t="n">
        <x:v>997757338.2466874</x:v>
      </x:c>
      <x:c r="N22" s="60" t="n">
        <x:v>874219072.3241919</x:v>
      </x:c>
      <x:c r="O22" s="60" t="n">
        <x:v>905698527.5872977</x:v>
      </x:c>
      <x:c r="P22" s="64" t="n">
        <x:f>K22/SUM($K$2:$K$85)</x:f>
        <x:v>0.01529067123645135</x:v>
      </x:c>
      <x:c r="Q22" s="66" t="n">
        <x:f>RANK(K22,$K$2:$K$85,0)</x:f>
        <x:v>21</x:v>
      </x:c>
    </x:row>
    <x:row r="23" ht="18" customHeight="1">
      <x:c r="A23" s="46" t="str">
        <x:v>LME_037</x:v>
      </x:c>
      <x:c r="B23" s="46" t="str">
        <x:v>Sulu-Celebes Sea</x:v>
      </x:c>
      <x:c r="C23" s="46" t="str">
        <x:v>LME</x:v>
      </x:c>
      <x:c r="D23" s="58" t="n">
        <x:v>2019</x:v>
      </x:c>
      <x:c r="E23" s="60" t="n">
        <x:v>1731971.9673227614</x:v>
      </x:c>
      <x:c r="F23" s="60" t="n">
        <x:v>1731971.9673227614</x:v>
      </x:c>
      <x:c r="G23" s="62" t="n">
        <x:v>0</x:v>
      </x:c>
      <x:c r="H23" s="64" t="n">
        <x:v>1</x:v>
      </x:c>
      <x:c r="I23" s="66" t="n">
        <x:v>219</x:v>
      </x:c>
      <x:c r="J23" s="66" t="n">
        <x:v>219</x:v>
      </x:c>
      <x:c r="K23" s="60" t="n">
        <x:v>990198790.8703026</x:v>
      </x:c>
      <x:c r="L23" s="60" t="n">
        <x:v>990198790.8703024</x:v>
      </x:c>
      <x:c r="M23" s="60" t="n">
        <x:v>990198790.8703027</x:v>
      </x:c>
      <x:c r="N23" s="60" t="n">
        <x:v>668224367.6583638</x:v>
      </x:c>
      <x:c r="O23" s="60" t="n">
        <x:v>731176308.5367349</x:v>
      </x:c>
      <x:c r="P23" s="64" t="n">
        <x:f>K23/SUM($K$2:$K$85)</x:f>
        <x:v>0.015174836194676028</x:v>
      </x:c>
      <x:c r="Q23" s="66" t="n">
        <x:f>RANK(K23,$K$2:$K$85,0)</x:f>
        <x:v>22</x:v>
      </x:c>
    </x:row>
    <x:row r="24" ht="18" customHeight="1">
      <x:c r="A24" s="46" t="str">
        <x:v>LME_002</x:v>
      </x:c>
      <x:c r="B24" s="46" t="str">
        <x:v>Gulf of Alaska</x:v>
      </x:c>
      <x:c r="C24" s="46" t="str">
        <x:v>LME</x:v>
      </x:c>
      <x:c r="D24" s="58" t="n">
        <x:v>2019</x:v>
      </x:c>
      <x:c r="E24" s="60" t="n">
        <x:v>1102866.6258441233</x:v>
      </x:c>
      <x:c r="F24" s="60" t="n">
        <x:v>1102866.6258441233</x:v>
      </x:c>
      <x:c r="G24" s="62" t="n">
        <x:v>0</x:v>
      </x:c>
      <x:c r="H24" s="64" t="n">
        <x:v>1</x:v>
      </x:c>
      <x:c r="I24" s="66" t="n">
        <x:v>170</x:v>
      </x:c>
      <x:c r="J24" s="66" t="n">
        <x:v>170</x:v>
      </x:c>
      <x:c r="K24" s="60" t="n">
        <x:v>967218747.5530663</x:v>
      </x:c>
      <x:c r="L24" s="60" t="n">
        <x:v>967218747.5530663</x:v>
      </x:c>
      <x:c r="M24" s="60" t="n">
        <x:v>967218747.5530661</x:v>
      </x:c>
      <x:c r="N24" s="60" t="n">
        <x:v>688947934.142388</x:v>
      </x:c>
      <x:c r="O24" s="60" t="n">
        <x:v>696280979.0165482</x:v>
      </x:c>
      <x:c r="P24" s="64" t="n">
        <x:f>K24/SUM($K$2:$K$85)</x:f>
        <x:v>0.014822666108930793</x:v>
      </x:c>
      <x:c r="Q24" s="66" t="n">
        <x:f>RANK(K24,$K$2:$K$85,0)</x:f>
        <x:v>23</x:v>
      </x:c>
      <x:c r="S24" t="str">
        <x:v>Region</x:v>
      </x:c>
      <x:c r="T24" t="str">
        <x:v>Species PPR</x:v>
      </x:c>
    </x:row>
    <x:row r="25" ht="18" customHeight="1">
      <x:c r="A25" s="46" t="str">
        <x:v>HS_051</x:v>
      </x:c>
      <x:c r="B25" s="46" t="str">
        <x:v>Indian Ocean, Western</x:v>
      </x:c>
      <x:c r="C25" s="46" t="str">
        <x:v>High Seas</x:v>
      </x:c>
      <x:c r="D25" s="58" t="n">
        <x:v>2019</x:v>
      </x:c>
      <x:c r="E25" s="60" t="n">
        <x:v>377854.0083285441</x:v>
      </x:c>
      <x:c r="F25" s="60" t="n">
        <x:v>377854.0083285441</x:v>
      </x:c>
      <x:c r="G25" s="62" t="n">
        <x:v>0</x:v>
      </x:c>
      <x:c r="H25" s="64" t="n">
        <x:v>1</x:v>
      </x:c>
      <x:c r="I25" s="66" t="n">
        <x:v>36</x:v>
      </x:c>
      <x:c r="J25" s="66" t="n">
        <x:v>36</x:v>
      </x:c>
      <x:c r="K25" s="60" t="n">
        <x:v>907481876.8369483</x:v>
      </x:c>
      <x:c r="L25" s="60" t="n">
        <x:v>907481876.8369484</x:v>
      </x:c>
      <x:c r="M25" s="60" t="n">
        <x:v>907481876.8369482</x:v>
      </x:c>
      <x:c r="N25" s="60" t="n">
        <x:v>898130651.4662967</x:v>
      </x:c>
      <x:c r="O25" s="60" t="n">
        <x:v>892837267.8459628</x:v>
      </x:c>
      <x:c r="P25" s="64" t="n">
        <x:f>K25/SUM($K$2:$K$85)</x:f>
        <x:v>0.013907196168694961</x:v>
      </x:c>
      <x:c r="Q25" s="66" t="n">
        <x:f>RANK(K25,$K$2:$K$85,0)</x:f>
        <x:v>24</x:v>
      </x:c>
      <x:c r="S25" t="str">
        <x:f>B2</x:f>
        <x:v>South China Sea</x:v>
      </x:c>
      <x:c r="T25" t="n">
        <x:f>K2</x:f>
        <x:v>8070990713.09262</x:v>
      </x:c>
    </x:row>
    <x:row r="26" ht="18" customHeight="1">
      <x:c r="A26" s="46" t="str">
        <x:v>LME_001</x:v>
      </x:c>
      <x:c r="B26" s="46" t="str">
        <x:v>East Bering Sea</x:v>
      </x:c>
      <x:c r="C26" s="46" t="str">
        <x:v>LME</x:v>
      </x:c>
      <x:c r="D26" s="58" t="n">
        <x:v>2019</x:v>
      </x:c>
      <x:c r="E26" s="60" t="n">
        <x:v>1300999.7714510453</x:v>
      </x:c>
      <x:c r="F26" s="60" t="n">
        <x:v>1300999.7714510453</x:v>
      </x:c>
      <x:c r="G26" s="62" t="n">
        <x:v>0</x:v>
      </x:c>
      <x:c r="H26" s="64" t="n">
        <x:v>1</x:v>
      </x:c>
      <x:c r="I26" s="66" t="n">
        <x:v>73</x:v>
      </x:c>
      <x:c r="J26" s="66" t="n">
        <x:v>73</x:v>
      </x:c>
      <x:c r="K26" s="60" t="n">
        <x:v>816435933.9124104</x:v>
      </x:c>
      <x:c r="L26" s="60" t="n">
        <x:v>816435933.9124104</x:v>
      </x:c>
      <x:c r="M26" s="60" t="n">
        <x:v>816435933.9124105</x:v>
      </x:c>
      <x:c r="N26" s="60" t="n">
        <x:v>651544945.5261025</x:v>
      </x:c>
      <x:c r="O26" s="60" t="n">
        <x:v>689600284.1461229</x:v>
      </x:c>
      <x:c r="P26" s="64" t="n">
        <x:f>K26/SUM($K$2:$K$85)</x:f>
        <x:v>0.012511913440814263</x:v>
      </x:c>
      <x:c r="Q26" s="66" t="n">
        <x:f>RANK(K26,$K$2:$K$85,0)</x:f>
        <x:v>25</x:v>
      </x:c>
      <x:c r="S26" t="str">
        <x:f>B3</x:f>
        <x:v>Arabian Sea</x:v>
      </x:c>
      <x:c r="T26" t="n">
        <x:f>K3</x:f>
        <x:v>4734727053.1209135</x:v>
      </x:c>
    </x:row>
    <x:row r="27" ht="18" customHeight="1">
      <x:c r="A27" s="46" t="str">
        <x:v>LME_011</x:v>
      </x:c>
      <x:c r="B27" s="46" t="str">
        <x:v>Pacific Central-American Coastal</x:v>
      </x:c>
      <x:c r="C27" s="46" t="str">
        <x:v>LME</x:v>
      </x:c>
      <x:c r="D27" s="58" t="n">
        <x:v>2019</x:v>
      </x:c>
      <x:c r="E27" s="60" t="n">
        <x:v>1587670.713519913</x:v>
      </x:c>
      <x:c r="F27" s="60" t="n">
        <x:v>1587670.713519913</x:v>
      </x:c>
      <x:c r="G27" s="62" t="n">
        <x:v>0</x:v>
      </x:c>
      <x:c r="H27" s="64" t="n">
        <x:v>1</x:v>
      </x:c>
      <x:c r="I27" s="66" t="n">
        <x:v>270</x:v>
      </x:c>
      <x:c r="J27" s="66" t="n">
        <x:v>270</x:v>
      </x:c>
      <x:c r="K27" s="60" t="n">
        <x:v>748768977.2026196</x:v>
      </x:c>
      <x:c r="L27" s="60" t="n">
        <x:v>748768977.2026193</x:v>
      </x:c>
      <x:c r="M27" s="60" t="n">
        <x:v>748768977.2026194</x:v>
      </x:c>
      <x:c r="N27" s="60" t="n">
        <x:v>571582336.2211993</x:v>
      </x:c>
      <x:c r="O27" s="60" t="n">
        <x:v>616011177.0694925</x:v>
      </x:c>
      <x:c r="P27" s="64" t="n">
        <x:f>K27/SUM($K$2:$K$85)</x:f>
        <x:v>0.011474914614587857</x:v>
      </x:c>
      <x:c r="Q27" s="66" t="n">
        <x:f>RANK(K27,$K$2:$K$85,0)</x:f>
        <x:v>26</x:v>
      </x:c>
      <x:c r="S27" t="str">
        <x:f>B4</x:f>
        <x:v>Bay of Bengal</x:v>
      </x:c>
      <x:c r="T27" t="n">
        <x:f>K4</x:f>
        <x:v>3525461853.606897</x:v>
      </x:c>
    </x:row>
    <x:row r="28" ht="18" customHeight="1">
      <x:c r="A28" s="46" t="str">
        <x:v>LME_046</x:v>
      </x:c>
      <x:c r="B28" s="46" t="str">
        <x:v>New Zealand Shelf</x:v>
      </x:c>
      <x:c r="C28" s="46" t="str">
        <x:v>LME</x:v>
      </x:c>
      <x:c r="D28" s="58" t="n">
        <x:v>2019</x:v>
      </x:c>
      <x:c r="E28" s="60" t="n">
        <x:v>431127.77716673305</x:v>
      </x:c>
      <x:c r="F28" s="60" t="n">
        <x:v>431127.77716673305</x:v>
      </x:c>
      <x:c r="G28" s="62" t="n">
        <x:v>0</x:v>
      </x:c>
      <x:c r="H28" s="64" t="n">
        <x:v>1</x:v>
      </x:c>
      <x:c r="I28" s="66" t="n">
        <x:v>197</x:v>
      </x:c>
      <x:c r="J28" s="66" t="n">
        <x:v>197</x:v>
      </x:c>
      <x:c r="K28" s="60" t="n">
        <x:v>722610291.6356041</x:v>
      </x:c>
      <x:c r="L28" s="60" t="n">
        <x:v>722610291.6356039</x:v>
      </x:c>
      <x:c r="M28" s="60" t="n">
        <x:v>722610291.635604</x:v>
      </x:c>
      <x:c r="N28" s="60" t="n">
        <x:v>625979302.9233905</x:v>
      </x:c>
      <x:c r="O28" s="60" t="n">
        <x:v>640351591.0568204</x:v>
      </x:c>
      <x:c r="P28" s="64" t="n">
        <x:f>K28/SUM($K$2:$K$85)</x:f>
        <x:v>0.011074031708844653</x:v>
      </x:c>
      <x:c r="Q28" s="66" t="n">
        <x:f>RANK(K28,$K$2:$K$85,0)</x:f>
        <x:v>27</x:v>
      </x:c>
      <x:c r="S28" t="str">
        <x:f>B5</x:f>
        <x:v>East China Sea</x:v>
      </x:c>
      <x:c r="T28" t="n">
        <x:f>K5</x:f>
        <x:v>3396644855.5552316</x:v>
      </x:c>
    </x:row>
    <x:row r="29" ht="18" customHeight="1">
      <x:c r="A29" s="46" t="str">
        <x:v>LME_059</x:v>
      </x:c>
      <x:c r="B29" s="46" t="str">
        <x:v>Iceland Shelf and Sea</x:v>
      </x:c>
      <x:c r="C29" s="46" t="str">
        <x:v>LME</x:v>
      </x:c>
      <x:c r="D29" s="58" t="n">
        <x:v>2019</x:v>
      </x:c>
      <x:c r="E29" s="60" t="n">
        <x:v>697974.9116856114</x:v>
      </x:c>
      <x:c r="F29" s="60" t="n">
        <x:v>697974.9116856114</x:v>
      </x:c>
      <x:c r="G29" s="62" t="n">
        <x:v>0</x:v>
      </x:c>
      <x:c r="H29" s="64" t="n">
        <x:v>1</x:v>
      </x:c>
      <x:c r="I29" s="66" t="n">
        <x:v>74</x:v>
      </x:c>
      <x:c r="J29" s="66" t="n">
        <x:v>74</x:v>
      </x:c>
      <x:c r="K29" s="60" t="n">
        <x:v>707135211.9152755</x:v>
      </x:c>
      <x:c r="L29" s="60" t="n">
        <x:v>707135211.9152755</x:v>
      </x:c>
      <x:c r="M29" s="60" t="n">
        <x:v>707135211.9152753</x:v>
      </x:c>
      <x:c r="N29" s="60" t="n">
        <x:v>670516995.6658894</x:v>
      </x:c>
      <x:c r="O29" s="60" t="n">
        <x:v>648512955.9012274</x:v>
      </x:c>
      <x:c r="P29" s="64" t="n">
        <x:f>K29/SUM($K$2:$K$85)</x:f>
        <x:v>0.010836875491304594</x:v>
      </x:c>
      <x:c r="Q29" s="66" t="n">
        <x:f>RANK(K29,$K$2:$K$85,0)</x:f>
        <x:v>28</x:v>
      </x:c>
      <x:c r="S29" t="str">
        <x:f>B6</x:f>
        <x:v>Sea of Okhotsk</x:v>
      </x:c>
      <x:c r="T29" t="n">
        <x:f>K6</x:f>
        <x:v>2799543440.9812036</x:v>
      </x:c>
    </x:row>
    <x:row r="30" ht="18" customHeight="1">
      <x:c r="A30" s="46" t="str">
        <x:v>LME_020</x:v>
      </x:c>
      <x:c r="B30" s="46" t="str">
        <x:v>Barents Sea</x:v>
      </x:c>
      <x:c r="C30" s="46" t="str">
        <x:v>LME</x:v>
      </x:c>
      <x:c r="D30" s="58" t="n">
        <x:v>2019</x:v>
      </x:c>
      <x:c r="E30" s="60" t="n">
        <x:v>675569.0179631643</x:v>
      </x:c>
      <x:c r="F30" s="60" t="n">
        <x:v>675569.0179631643</x:v>
      </x:c>
      <x:c r="G30" s="62" t="n">
        <x:v>0</x:v>
      </x:c>
      <x:c r="H30" s="64" t="n">
        <x:v>1</x:v>
      </x:c>
      <x:c r="I30" s="66" t="n">
        <x:v>138</x:v>
      </x:c>
      <x:c r="J30" s="66" t="n">
        <x:v>138</x:v>
      </x:c>
      <x:c r="K30" s="60" t="n">
        <x:v>661277433.8131701</x:v>
      </x:c>
      <x:c r="L30" s="60" t="n">
        <x:v>661277433.8131701</x:v>
      </x:c>
      <x:c r="M30" s="60" t="n">
        <x:v>661277433.8131702</x:v>
      </x:c>
      <x:c r="N30" s="60" t="n">
        <x:v>631761250.3934948</x:v>
      </x:c>
      <x:c r="O30" s="60" t="n">
        <x:v>611750577.6098361</x:v>
      </x:c>
      <x:c r="P30" s="64" t="n">
        <x:f>K30/SUM($K$2:$K$85)</x:f>
        <x:v>0.010134103202177048</x:v>
      </x:c>
      <x:c r="Q30" s="66" t="n">
        <x:f>RANK(K30,$K$2:$K$85,0)</x:f>
        <x:v>29</x:v>
      </x:c>
      <x:c r="S30" t="str">
        <x:f>B7</x:f>
        <x:v>Humboldt Current</x:v>
      </x:c>
      <x:c r="T30" t="n">
        <x:f>K7</x:f>
        <x:v>2612052520.1434836</x:v>
      </x:c>
    </x:row>
    <x:row r="31" ht="18" customHeight="1">
      <x:c r="A31" s="46" t="str">
        <x:v>HS_087</x:v>
      </x:c>
      <x:c r="B31" s="46" t="str">
        <x:v>Pacific, Southeast</x:v>
      </x:c>
      <x:c r="C31" s="46" t="str">
        <x:v>High Seas</x:v>
      </x:c>
      <x:c r="D31" s="58" t="n">
        <x:v>2019</x:v>
      </x:c>
      <x:c r="E31" s="60" t="n">
        <x:v>245882.41767354257</x:v>
      </x:c>
      <x:c r="F31" s="60" t="n">
        <x:v>245882.41767354257</x:v>
      </x:c>
      <x:c r="G31" s="62" t="n">
        <x:v>0</x:v>
      </x:c>
      <x:c r="H31" s="64" t="n">
        <x:v>1</x:v>
      </x:c>
      <x:c r="I31" s="66" t="n">
        <x:v>25</x:v>
      </x:c>
      <x:c r="J31" s="66" t="n">
        <x:v>25</x:v>
      </x:c>
      <x:c r="K31" s="60" t="n">
        <x:v>657270846.1435144</x:v>
      </x:c>
      <x:c r="L31" s="60" t="n">
        <x:v>657270846.1435144</x:v>
      </x:c>
      <x:c r="M31" s="60" t="n">
        <x:v>657270846.1435145</x:v>
      </x:c>
      <x:c r="N31" s="60" t="n">
        <x:v>654505526.6641706</x:v>
      </x:c>
      <x:c r="O31" s="60" t="n">
        <x:v>653973496.1491203</x:v>
      </x:c>
      <x:c r="P31" s="64" t="n">
        <x:f>K31/SUM($K$2:$K$85)</x:f>
        <x:v>0.010072702085404126</x:v>
      </x:c>
      <x:c r="Q31" s="66" t="n">
        <x:f>RANK(K31,$K$2:$K$85,0)</x:f>
        <x:v>30</x:v>
      </x:c>
      <x:c r="S31" t="str">
        <x:f>B8</x:f>
        <x:v>Canary Current</x:v>
      </x:c>
      <x:c r="T31" t="n">
        <x:f>K8</x:f>
        <x:v>2359485422.816173</x:v>
      </x:c>
    </x:row>
    <x:row r="32" ht="18" customHeight="1">
      <x:c r="A32" s="46" t="str">
        <x:v>HS_034</x:v>
      </x:c>
      <x:c r="B32" s="46" t="str">
        <x:v>Atlantic, Eastern Central</x:v>
      </x:c>
      <x:c r="C32" s="46" t="str">
        <x:v>High Seas</x:v>
      </x:c>
      <x:c r="D32" s="58" t="n">
        <x:v>2019</x:v>
      </x:c>
      <x:c r="E32" s="60" t="n">
        <x:v>235319.45527268611</x:v>
      </x:c>
      <x:c r="F32" s="60" t="n">
        <x:v>235319.45527268611</x:v>
      </x:c>
      <x:c r="G32" s="62" t="n">
        <x:v>0</x:v>
      </x:c>
      <x:c r="H32" s="64" t="n">
        <x:v>1</x:v>
      </x:c>
      <x:c r="I32" s="66" t="n">
        <x:v>37</x:v>
      </x:c>
      <x:c r="J32" s="66" t="n">
        <x:v>37</x:v>
      </x:c>
      <x:c r="K32" s="60" t="n">
        <x:v>580150840.1289461</x:v>
      </x:c>
      <x:c r="L32" s="60" t="n">
        <x:v>580150840.128946</x:v>
      </x:c>
      <x:c r="M32" s="60" t="n">
        <x:v>580150840.1289461</x:v>
      </x:c>
      <x:c r="N32" s="60" t="n">
        <x:v>577913963.9606429</x:v>
      </x:c>
      <x:c r="O32" s="60" t="n">
        <x:v>573709660.5593073</x:v>
      </x:c>
      <x:c r="P32" s="64" t="n">
        <x:f>K32/SUM($K$2:$K$85)</x:f>
        <x:v>0.008890834899346544</x:v>
      </x:c>
      <x:c r="Q32" s="66" t="n">
        <x:f>RANK(K32,$K$2:$K$85,0)</x:f>
        <x:v>31</x:v>
      </x:c>
      <x:c r="S32" t="str">
        <x:f>B9</x:f>
        <x:v>Guinea Current</x:v>
      </x:c>
      <x:c r="T32" t="n">
        <x:f>K9</x:f>
        <x:v>2256398879.66561</x:v>
      </x:c>
    </x:row>
    <x:row r="33" ht="18" customHeight="1">
      <x:c r="A33" s="46" t="str">
        <x:v>HS_057</x:v>
      </x:c>
      <x:c r="B33" s="46" t="str">
        <x:v>Indian Ocean, Eastern</x:v>
      </x:c>
      <x:c r="C33" s="46" t="str">
        <x:v>High Seas</x:v>
      </x:c>
      <x:c r="D33" s="58" t="n">
        <x:v>2019</x:v>
      </x:c>
      <x:c r="E33" s="60" t="n">
        <x:v>249459.52394633277</x:v>
      </x:c>
      <x:c r="F33" s="60" t="n">
        <x:v>249459.52394633277</x:v>
      </x:c>
      <x:c r="G33" s="62" t="n">
        <x:v>0</x:v>
      </x:c>
      <x:c r="H33" s="64" t="n">
        <x:v>1</x:v>
      </x:c>
      <x:c r="I33" s="66" t="n">
        <x:v>34</x:v>
      </x:c>
      <x:c r="J33" s="66" t="n">
        <x:v>34</x:v>
      </x:c>
      <x:c r="K33" s="60" t="n">
        <x:v>577352176.9718388</x:v>
      </x:c>
      <x:c r="L33" s="60" t="n">
        <x:v>577352176.9718388</x:v>
      </x:c>
      <x:c r="M33" s="60" t="n">
        <x:v>577352176.9718387</x:v>
      </x:c>
      <x:c r="N33" s="60" t="n">
        <x:v>561837233.6617491</x:v>
      </x:c>
      <x:c r="O33" s="60" t="n">
        <x:v>561492847.4666706</x:v>
      </x:c>
      <x:c r="P33" s="64" t="n">
        <x:f>K33/SUM($K$2:$K$85)</x:f>
        <x:v>0.008847945274187691</x:v>
      </x:c>
      <x:c r="Q33" s="66" t="n">
        <x:f>RANK(K33,$K$2:$K$85,0)</x:f>
        <x:v>32</x:v>
      </x:c>
      <x:c r="S33" t="str">
        <x:f>B10</x:f>
        <x:v>Pacific, Eastern Central</x:v>
      </x:c>
      <x:c r="T33" t="n">
        <x:f>K10</x:f>
        <x:v>2196179346.027695</x:v>
      </x:c>
    </x:row>
    <x:row r="34" ht="18" customHeight="1">
      <x:c r="A34" s="46" t="str">
        <x:v>LME_005</x:v>
      </x:c>
      <x:c r="B34" s="46" t="str">
        <x:v>Gulf of Mexico</x:v>
      </x:c>
      <x:c r="C34" s="46" t="str">
        <x:v>LME</x:v>
      </x:c>
      <x:c r="D34" s="58" t="n">
        <x:v>2019</x:v>
      </x:c>
      <x:c r="E34" s="60" t="n">
        <x:v>1549275.8254257175</x:v>
      </x:c>
      <x:c r="F34" s="60" t="n">
        <x:v>1549275.8254257175</x:v>
      </x:c>
      <x:c r="G34" s="62" t="n">
        <x:v>0</x:v>
      </x:c>
      <x:c r="H34" s="64" t="n">
        <x:v>1</x:v>
      </x:c>
      <x:c r="I34" s="66" t="n">
        <x:v>418</x:v>
      </x:c>
      <x:c r="J34" s="66" t="n">
        <x:v>418</x:v>
      </x:c>
      <x:c r="K34" s="60" t="n">
        <x:v>558361747.8475869</x:v>
      </x:c>
      <x:c r="L34" s="60" t="n">
        <x:v>558361747.8475868</x:v>
      </x:c>
      <x:c r="M34" s="60" t="n">
        <x:v>558361747.8475869</x:v>
      </x:c>
      <x:c r="N34" s="60" t="n">
        <x:v>352850227.10518026</x:v>
      </x:c>
      <x:c r="O34" s="60" t="n">
        <x:v>421891503.66125906</x:v>
      </x:c>
      <x:c r="P34" s="64" t="n">
        <x:f>K34/SUM($K$2:$K$85)</x:f>
        <x:v>0.008556916186004453</x:v>
      </x:c>
      <x:c r="Q34" s="66" t="n">
        <x:f>RANK(K34,$K$2:$K$85,0)</x:f>
        <x:v>33</x:v>
      </x:c>
      <x:c r="S34" t="str">
        <x:f>B11</x:f>
        <x:v>Gulf of Thailand</x:v>
      </x:c>
      <x:c r="T34" t="n">
        <x:f>K11</x:f>
        <x:v>1868893899.8381805</x:v>
      </x:c>
    </x:row>
    <x:row r="35" ht="18" customHeight="1">
      <x:c r="A35" s="46" t="str">
        <x:v>LME_051</x:v>
      </x:c>
      <x:c r="B35" s="46" t="str">
        <x:v>Oyashio Current</x:v>
      </x:c>
      <x:c r="C35" s="46" t="str">
        <x:v>LME</x:v>
      </x:c>
      <x:c r="D35" s="58" t="n">
        <x:v>2019</x:v>
      </x:c>
      <x:c r="E35" s="60" t="n">
        <x:v>1092021.8374498228</x:v>
      </x:c>
      <x:c r="F35" s="60" t="n">
        <x:v>1092021.8374498228</x:v>
      </x:c>
      <x:c r="G35" s="62" t="n">
        <x:v>0</x:v>
      </x:c>
      <x:c r="H35" s="64" t="n">
        <x:v>1</x:v>
      </x:c>
      <x:c r="I35" s="66" t="n">
        <x:v>143</x:v>
      </x:c>
      <x:c r="J35" s="66" t="n">
        <x:v>143</x:v>
      </x:c>
      <x:c r="K35" s="60" t="n">
        <x:v>528421987.24496377</x:v>
      </x:c>
      <x:c r="L35" s="60" t="n">
        <x:v>528421987.2449637</x:v>
      </x:c>
      <x:c r="M35" s="60" t="n">
        <x:v>528421987.2449638</x:v>
      </x:c>
      <x:c r="N35" s="60" t="n">
        <x:v>405330451.30796736</x:v>
      </x:c>
      <x:c r="O35" s="60" t="n">
        <x:v>415171646.0100482</x:v>
      </x:c>
      <x:c r="P35" s="64" t="n">
        <x:f>K35/SUM($K$2:$K$85)</x:f>
        <x:v>0.008098088153652181</x:v>
      </x:c>
      <x:c r="Q35" s="66" t="n">
        <x:f>RANK(K35,$K$2:$K$85,0)</x:f>
        <x:v>34</x:v>
      </x:c>
      <x:c r="S35" t="str">
        <x:f>B12</x:f>
        <x:v>North Sea</x:v>
      </x:c>
      <x:c r="T35" t="n">
        <x:f>K12</x:f>
        <x:v>1700184787.4627526</x:v>
      </x:c>
    </x:row>
    <x:row r="36" ht="18" customHeight="1">
      <x:c r="A36" s="46" t="str">
        <x:v>LME_053</x:v>
      </x:c>
      <x:c r="B36" s="46" t="str">
        <x:v>West Bering Sea</x:v>
      </x:c>
      <x:c r="C36" s="46" t="str">
        <x:v>LME</x:v>
      </x:c>
      <x:c r="D36" s="58" t="n">
        <x:v>2019</x:v>
      </x:c>
      <x:c r="E36" s="60" t="n">
        <x:v>705687.5220776038</x:v>
      </x:c>
      <x:c r="F36" s="60" t="n">
        <x:v>705687.5220776038</x:v>
      </x:c>
      <x:c r="G36" s="62" t="n">
        <x:v>0</x:v>
      </x:c>
      <x:c r="H36" s="64" t="n">
        <x:v>1</x:v>
      </x:c>
      <x:c r="I36" s="66" t="n">
        <x:v>63</x:v>
      </x:c>
      <x:c r="J36" s="66" t="n">
        <x:v>63</x:v>
      </x:c>
      <x:c r="K36" s="60" t="n">
        <x:v>511445832.05498385</x:v>
      </x:c>
      <x:c r="L36" s="60" t="n">
        <x:v>511445832.05498385</x:v>
      </x:c>
      <x:c r="M36" s="60" t="n">
        <x:v>511445832.0549839</x:v>
      </x:c>
      <x:c r="N36" s="60" t="n">
        <x:v>392569072.97454214</x:v>
      </x:c>
      <x:c r="O36" s="60" t="n">
        <x:v>341774720.3779067</x:v>
      </x:c>
      <x:c r="P36" s="64" t="n">
        <x:f>K36/SUM($K$2:$K$85)</x:f>
        <x:v>0.007837927894319884</x:v>
      </x:c>
      <x:c r="Q36" s="66" t="n">
        <x:f>RANK(K36,$K$2:$K$85,0)</x:f>
        <x:v>35</x:v>
      </x:c>
      <x:c r="S36" t="str">
        <x:f>B13</x:f>
        <x:v>Kuroshio Current</x:v>
      </x:c>
      <x:c r="T36" t="n">
        <x:f>K13</x:f>
        <x:v>1682486180.5803435</x:v>
      </x:c>
    </x:row>
    <x:row r="37" ht="18" customHeight="1">
      <x:c r="A37" s="46" t="str">
        <x:v>LME_030</x:v>
      </x:c>
      <x:c r="B37" s="46" t="str">
        <x:v>Agulhas Current</x:v>
      </x:c>
      <x:c r="C37" s="46" t="str">
        <x:v>LME</x:v>
      </x:c>
      <x:c r="D37" s="58" t="n">
        <x:v>2019</x:v>
      </x:c>
      <x:c r="E37" s="60" t="n">
        <x:v>794215.4259763142</x:v>
      </x:c>
      <x:c r="F37" s="60" t="n">
        <x:v>794215.4259763142</x:v>
      </x:c>
      <x:c r="G37" s="62" t="n">
        <x:v>0</x:v>
      </x:c>
      <x:c r="H37" s="64" t="n">
        <x:v>1</x:v>
      </x:c>
      <x:c r="I37" s="66" t="n">
        <x:v>272</x:v>
      </x:c>
      <x:c r="J37" s="66" t="n">
        <x:v>272</x:v>
      </x:c>
      <x:c r="K37" s="60" t="n">
        <x:v>482169734.53988993</x:v>
      </x:c>
      <x:c r="L37" s="60" t="n">
        <x:v>482169734.5398899</x:v>
      </x:c>
      <x:c r="M37" s="60" t="n">
        <x:v>482169734.53988993</x:v>
      </x:c>
      <x:c r="N37" s="60" t="n">
        <x:v>371322087.27435106</x:v>
      </x:c>
      <x:c r="O37" s="60" t="n">
        <x:v>404858007.0563225</x:v>
      </x:c>
      <x:c r="P37" s="64" t="n">
        <x:f>K37/SUM($K$2:$K$85)</x:f>
        <x:v>0.007389270525408693</x:v>
      </x:c>
      <x:c r="Q37" s="66" t="n">
        <x:f>RANK(K37,$K$2:$K$85,0)</x:f>
        <x:v>36</x:v>
      </x:c>
      <x:c r="S37" t="str">
        <x:f>B14</x:f>
        <x:v>Indonesian Sea</x:v>
      </x:c>
      <x:c r="T37" t="n">
        <x:f>K14</x:f>
        <x:v>1678212214.8416104</x:v>
      </x:c>
    </x:row>
    <x:row r="38" ht="18" customHeight="1">
      <x:c r="A38" s="46" t="str">
        <x:v>LME_060</x:v>
      </x:c>
      <x:c r="B38" s="46" t="str">
        <x:v>Faroe Plateau</x:v>
      </x:c>
      <x:c r="C38" s="46" t="str">
        <x:v>LME</x:v>
      </x:c>
      <x:c r="D38" s="58" t="n">
        <x:v>2019</x:v>
      </x:c>
      <x:c r="E38" s="60" t="n">
        <x:v>420222.20101457404</x:v>
      </x:c>
      <x:c r="F38" s="60" t="n">
        <x:v>420222.20101457404</x:v>
      </x:c>
      <x:c r="G38" s="62" t="n">
        <x:v>0</x:v>
      </x:c>
      <x:c r="H38" s="64" t="n">
        <x:v>1</x:v>
      </x:c>
      <x:c r="I38" s="66" t="n">
        <x:v>114</x:v>
      </x:c>
      <x:c r="J38" s="66" t="n">
        <x:v>114</x:v>
      </x:c>
      <x:c r="K38" s="60" t="n">
        <x:v>476451437.8234684</x:v>
      </x:c>
      <x:c r="L38" s="60" t="n">
        <x:v>476451437.82346827</x:v>
      </x:c>
      <x:c r="M38" s="60" t="n">
        <x:v>476451437.82346827</x:v>
      </x:c>
      <x:c r="N38" s="60" t="n">
        <x:v>464921354.3871538</x:v>
      </x:c>
      <x:c r="O38" s="60" t="n">
        <x:v>468250278.9980398</x:v>
      </x:c>
      <x:c r="P38" s="64" t="n">
        <x:f>K38/SUM($K$2:$K$85)</x:f>
        <x:v>0.007301637398824098</x:v>
      </x:c>
      <x:c r="Q38" s="66" t="n">
        <x:f>RANK(K38,$K$2:$K$85,0)</x:f>
        <x:v>37</x:v>
      </x:c>
      <x:c r="S38" t="str">
        <x:f>B15</x:f>
        <x:v>Yellow Sea</x:v>
      </x:c>
      <x:c r="T38" t="n">
        <x:f>K15</x:f>
        <x:v>1554214509.6068287</x:v>
      </x:c>
    </x:row>
    <x:row r="39" ht="18" customHeight="1">
      <x:c r="A39" s="46" t="str">
        <x:v>LME_007</x:v>
      </x:c>
      <x:c r="B39" s="46" t="str">
        <x:v>Northeast U.S. Continental Shelf</x:v>
      </x:c>
      <x:c r="C39" s="46" t="str">
        <x:v>LME</x:v>
      </x:c>
      <x:c r="D39" s="58" t="n">
        <x:v>2019</x:v>
      </x:c>
      <x:c r="E39" s="60" t="n">
        <x:v>700878.7473042159</x:v>
      </x:c>
      <x:c r="F39" s="60" t="n">
        <x:v>700878.7473042159</x:v>
      </x:c>
      <x:c r="G39" s="62" t="n">
        <x:v>0</x:v>
      </x:c>
      <x:c r="H39" s="64" t="n">
        <x:v>1</x:v>
      </x:c>
      <x:c r="I39" s="66" t="n">
        <x:v>232</x:v>
      </x:c>
      <x:c r="J39" s="66" t="n">
        <x:v>232</x:v>
      </x:c>
      <x:c r="K39" s="60" t="n">
        <x:v>432863601.07882154</x:v>
      </x:c>
      <x:c r="L39" s="60" t="n">
        <x:v>432863601.0788215</x:v>
      </x:c>
      <x:c r="M39" s="60" t="n">
        <x:v>432863601.07882154</x:v>
      </x:c>
      <x:c r="N39" s="60" t="n">
        <x:v>318789633.10278773</x:v>
      </x:c>
      <x:c r="O39" s="60" t="n">
        <x:v>363980234.12803376</x:v>
      </x:c>
      <x:c r="P39" s="64" t="n">
        <x:f>K39/SUM($K$2:$K$85)</x:f>
        <x:v>0.006633652052064638</x:v>
      </x:c>
      <x:c r="Q39" s="66" t="n">
        <x:f>RANK(K39,$K$2:$K$85,0)</x:f>
        <x:v>38</x:v>
      </x:c>
      <x:c r="S39" t="str">
        <x:f>B16</x:f>
        <x:v>Pacific, Western Central</x:v>
      </x:c>
      <x:c r="T39" t="n">
        <x:f>K16</x:f>
        <x:v>1482147259.8171525</x:v>
      </x:c>
    </x:row>
    <x:row r="40" ht="18" customHeight="1">
      <x:c r="A40" s="46" t="str">
        <x:v>LME_012</x:v>
      </x:c>
      <x:c r="B40" s="46" t="str">
        <x:v>Caribbean Sea</x:v>
      </x:c>
      <x:c r="C40" s="46" t="str">
        <x:v>LME</x:v>
      </x:c>
      <x:c r="D40" s="58" t="n">
        <x:v>2019</x:v>
      </x:c>
      <x:c r="E40" s="60" t="n">
        <x:v>625707.9632201534</x:v>
      </x:c>
      <x:c r="F40" s="60" t="n">
        <x:v>625707.9632201534</x:v>
      </x:c>
      <x:c r="G40" s="62" t="n">
        <x:v>0</x:v>
      </x:c>
      <x:c r="H40" s="64" t="n">
        <x:v>1</x:v>
      </x:c>
      <x:c r="I40" s="66" t="n">
        <x:v>507</x:v>
      </x:c>
      <x:c r="J40" s="66" t="n">
        <x:v>507</x:v>
      </x:c>
      <x:c r="K40" s="60" t="n">
        <x:v>398459551.5651003</x:v>
      </x:c>
      <x:c r="L40" s="60" t="n">
        <x:v>398459551.56510025</x:v>
      </x:c>
      <x:c r="M40" s="60" t="n">
        <x:v>398459551.5651003</x:v>
      </x:c>
      <x:c r="N40" s="60" t="n">
        <x:v>269270898.9438963</x:v>
      </x:c>
      <x:c r="O40" s="60" t="n">
        <x:v>318302383.71405965</x:v>
      </x:c>
      <x:c r="P40" s="64" t="n">
        <x:f>K40/SUM($K$2:$K$85)</x:f>
        <x:v>0.006106408613052375</x:v>
      </x:c>
      <x:c r="Q40" s="66" t="n">
        <x:f>RANK(K40,$K$2:$K$85,0)</x:f>
        <x:v>39</x:v>
      </x:c>
      <x:c r="S40" t="str">
        <x:f>B17</x:f>
        <x:v>Sea of Japan / East Sea</x:v>
      </x:c>
      <x:c r="T40" t="n">
        <x:f>K17</x:f>
        <x:v>1439195574.0782979</x:v>
      </x:c>
    </x:row>
    <x:row r="41" ht="18" customHeight="1">
      <x:c r="A41" s="46" t="str">
        <x:v>LME_025</x:v>
      </x:c>
      <x:c r="B41" s="46" t="str">
        <x:v>Iberian Coastal</x:v>
      </x:c>
      <x:c r="C41" s="46" t="str">
        <x:v>LME</x:v>
      </x:c>
      <x:c r="D41" s="58" t="n">
        <x:v>2019</x:v>
      </x:c>
      <x:c r="E41" s="60" t="n">
        <x:v>429516.3330948258</x:v>
      </x:c>
      <x:c r="F41" s="60" t="n">
        <x:v>429516.3330948258</x:v>
      </x:c>
      <x:c r="G41" s="62" t="n">
        <x:v>0</x:v>
      </x:c>
      <x:c r="H41" s="64" t="n">
        <x:v>1</x:v>
      </x:c>
      <x:c r="I41" s="66" t="n">
        <x:v>432</x:v>
      </x:c>
      <x:c r="J41" s="66" t="n">
        <x:v>432</x:v>
      </x:c>
      <x:c r="K41" s="60" t="n">
        <x:v>350502389.2247894</x:v>
      </x:c>
      <x:c r="L41" s="60" t="n">
        <x:v>350502389.2247894</x:v>
      </x:c>
      <x:c r="M41" s="60" t="n">
        <x:v>350502389.22478944</x:v>
      </x:c>
      <x:c r="N41" s="60" t="n">
        <x:v>290052892.74702895</x:v>
      </x:c>
      <x:c r="O41" s="60" t="n">
        <x:v>317576506.32073075</x:v>
      </x:c>
      <x:c r="P41" s="64" t="n">
        <x:f>K41/SUM($K$2:$K$85)</x:f>
        <x:v>0.00537146317625167</x:v>
      </x:c>
      <x:c r="Q41" s="66" t="n">
        <x:f>RANK(K41,$K$2:$K$85,0)</x:f>
        <x:v>40</x:v>
      </x:c>
      <x:c r="S41" t="str">
        <x:f>B18</x:f>
        <x:v>Patagonian Shelf</x:v>
      </x:c>
      <x:c r="T41" t="n">
        <x:f>K18</x:f>
        <x:v>1391657718.08254</x:v>
      </x:c>
    </x:row>
    <x:row r="42" ht="18" customHeight="1">
      <x:c r="A42" s="46" t="str">
        <x:v>LME_021</x:v>
      </x:c>
      <x:c r="B42" s="46" t="str">
        <x:v>Norwegian Sea</x:v>
      </x:c>
      <x:c r="C42" s="46" t="str">
        <x:v>LME</x:v>
      </x:c>
      <x:c r="D42" s="58" t="n">
        <x:v>2019</x:v>
      </x:c>
      <x:c r="E42" s="60" t="n">
        <x:v>707251.5165434971</x:v>
      </x:c>
      <x:c r="F42" s="60" t="n">
        <x:v>707251.5165434971</x:v>
      </x:c>
      <x:c r="G42" s="62" t="n">
        <x:v>0</x:v>
      </x:c>
      <x:c r="H42" s="64" t="n">
        <x:v>1</x:v>
      </x:c>
      <x:c r="I42" s="66" t="n">
        <x:v>162</x:v>
      </x:c>
      <x:c r="J42" s="66" t="n">
        <x:v>162</x:v>
      </x:c>
      <x:c r="K42" s="60" t="n">
        <x:v>338234665.9022903</x:v>
      </x:c>
      <x:c r="L42" s="60" t="n">
        <x:v>338234665.9022903</x:v>
      </x:c>
      <x:c r="M42" s="60" t="n">
        <x:v>338234665.9022902</x:v>
      </x:c>
      <x:c r="N42" s="60" t="n">
        <x:v>335085397.39012265</x:v>
      </x:c>
      <x:c r="O42" s="60" t="n">
        <x:v>329594728.18682873</x:v>
      </x:c>
      <x:c r="P42" s="64" t="n">
        <x:f>K42/SUM($K$2:$K$85)</x:f>
        <x:v>0.005183459824180405</x:v>
      </x:c>
      <x:c r="Q42" s="66" t="n">
        <x:f>RANK(K42,$K$2:$K$85,0)</x:f>
        <x:v>41</x:v>
      </x:c>
      <x:c r="S42" t="str">
        <x:f>B19</x:f>
        <x:v>California Current</x:v>
      </x:c>
      <x:c r="T42" t="n">
        <x:f>K19</x:f>
        <x:v>1028923753.7644161</x:v>
      </x:c>
    </x:row>
    <x:row r="43" ht="18" customHeight="1">
      <x:c r="A43" s="46" t="str">
        <x:v>LME_017</x:v>
      </x:c>
      <x:c r="B43" s="46" t="str">
        <x:v>North Brazil Shelf</x:v>
      </x:c>
      <x:c r="C43" s="46" t="str">
        <x:v>LME</x:v>
      </x:c>
      <x:c r="D43" s="58" t="n">
        <x:v>2019</x:v>
      </x:c>
      <x:c r="E43" s="60" t="n">
        <x:v>453226.03085279715</x:v>
      </x:c>
      <x:c r="F43" s="60" t="n">
        <x:v>453226.03085279715</x:v>
      </x:c>
      <x:c r="G43" s="62" t="n">
        <x:v>0</x:v>
      </x:c>
      <x:c r="H43" s="64" t="n">
        <x:v>1</x:v>
      </x:c>
      <x:c r="I43" s="66" t="n">
        <x:v>311</x:v>
      </x:c>
      <x:c r="J43" s="66" t="n">
        <x:v>311</x:v>
      </x:c>
      <x:c r="K43" s="60" t="n">
        <x:v>292573328.34463125</x:v>
      </x:c>
      <x:c r="L43" s="60" t="n">
        <x:v>292573328.3446312</x:v>
      </x:c>
      <x:c r="M43" s="60" t="n">
        <x:v>292573328.3446312</x:v>
      </x:c>
      <x:c r="N43" s="60" t="n">
        <x:v>189166998.1074495</x:v>
      </x:c>
      <x:c r="O43" s="60" t="n">
        <x:v>222989340.40241998</x:v>
      </x:c>
      <x:c r="P43" s="64" t="n">
        <x:f>K43/SUM($K$2:$K$85)</x:f>
        <x:v>0.00448369799427726</x:v>
      </x:c>
      <x:c r="Q43" s="66" t="n">
        <x:f>RANK(K43,$K$2:$K$85,0)</x:f>
        <x:v>42</x:v>
      </x:c>
      <x:c r="S43" t="str">
        <x:f>B20</x:f>
        <x:v>Celtic-Biscay Shelf</x:v>
      </x:c>
      <x:c r="T43" t="n">
        <x:f>K20</x:f>
        <x:v>1010255322.1765621</x:v>
      </x:c>
    </x:row>
    <x:row r="44" ht="18" customHeight="1">
      <x:c r="A44" s="46" t="str">
        <x:v>LME_062</x:v>
      </x:c>
      <x:c r="B44" s="46" t="str">
        <x:v>Black Sea</x:v>
      </x:c>
      <x:c r="C44" s="46" t="str">
        <x:v>LME</x:v>
      </x:c>
      <x:c r="D44" s="58" t="n">
        <x:v>2019</x:v>
      </x:c>
      <x:c r="E44" s="60" t="n">
        <x:v>1145168.1859547237</x:v>
      </x:c>
      <x:c r="F44" s="60" t="n">
        <x:v>1145168.1859547237</x:v>
      </x:c>
      <x:c r="G44" s="62" t="n">
        <x:v>0</x:v>
      </x:c>
      <x:c r="H44" s="64" t="n">
        <x:v>1</x:v>
      </x:c>
      <x:c r="I44" s="66" t="n">
        <x:v>120</x:v>
      </x:c>
      <x:c r="J44" s="66" t="n">
        <x:v>120</x:v>
      </x:c>
      <x:c r="K44" s="60" t="n">
        <x:v>287609386.6659423</x:v>
      </x:c>
      <x:c r="L44" s="60" t="n">
        <x:v>287609386.6659423</x:v>
      </x:c>
      <x:c r="M44" s="60" t="n">
        <x:v>287609386.6659424</x:v>
      </x:c>
      <x:c r="N44" s="60" t="n">
        <x:v>257887285.09777054</x:v>
      </x:c>
      <x:c r="O44" s="60" t="n">
        <x:v>257454061.90611702</x:v>
      </x:c>
      <x:c r="P44" s="64" t="n">
        <x:f>K44/SUM($K$2:$K$85)</x:f>
        <x:v>0.0044076253889089746</x:v>
      </x:c>
      <x:c r="Q44" s="66" t="n">
        <x:f>RANK(K44,$K$2:$K$85,0)</x:f>
        <x:v>43</x:v>
      </x:c>
      <x:c r="S44" t="str">
        <x:f>B21</x:f>
        <x:v>Mediterranean Sea</x:v>
      </x:c>
      <x:c r="T44" t="n">
        <x:f>K21</x:f>
        <x:v>1007915797.3835726</x:v>
      </x:c>
    </x:row>
    <x:row r="45" ht="18" customHeight="1">
      <x:c r="A45" s="46" t="str">
        <x:v>HS_061</x:v>
      </x:c>
      <x:c r="B45" s="46" t="str">
        <x:v>Pacific, Northwest</x:v>
      </x:c>
      <x:c r="C45" s="46" t="str">
        <x:v>High Seas</x:v>
      </x:c>
      <x:c r="D45" s="58" t="n">
        <x:v>2019</x:v>
      </x:c>
      <x:c r="E45" s="60" t="n">
        <x:v>132995.67933726683</x:v>
      </x:c>
      <x:c r="F45" s="60" t="n">
        <x:v>132995.67933726683</x:v>
      </x:c>
      <x:c r="G45" s="62" t="n">
        <x:v>0</x:v>
      </x:c>
      <x:c r="H45" s="64" t="n">
        <x:v>1</x:v>
      </x:c>
      <x:c r="I45" s="66" t="n">
        <x:v>21</x:v>
      </x:c>
      <x:c r="J45" s="66" t="n">
        <x:v>21</x:v>
      </x:c>
      <x:c r="K45" s="60" t="n">
        <x:v>284384862.0630329</x:v>
      </x:c>
      <x:c r="L45" s="60" t="n">
        <x:v>284384862.06303287</x:v>
      </x:c>
      <x:c r="M45" s="60" t="n">
        <x:v>284384862.0630329</x:v>
      </x:c>
      <x:c r="N45" s="60" t="n">
        <x:v>282590083.8142501</x:v>
      </x:c>
      <x:c r="O45" s="60" t="n">
        <x:v>282258802.3773237</x:v>
      </x:c>
      <x:c r="P45" s="64" t="n">
        <x:f>K45/SUM($K$2:$K$85)</x:f>
        <x:v>0.004358209420008583</x:v>
      </x:c>
      <x:c r="Q45" s="66" t="n">
        <x:f>RANK(K45,$K$2:$K$85,0)</x:f>
        <x:v>44</x:v>
      </x:c>
      <x:c r="S45" t="str">
        <x:f>B22</x:f>
        <x:v>Benguela Current</x:v>
      </x:c>
      <x:c r="T45" t="n">
        <x:f>K22</x:f>
        <x:v>997757338.2466873</x:v>
      </x:c>
    </x:row>
    <x:row r="46" ht="18" customHeight="1">
      <x:c r="A46" s="46" t="str">
        <x:v>LME_009</x:v>
      </x:c>
      <x:c r="B46" s="46" t="str">
        <x:v>Newfoundland-Labrador Shelf</x:v>
      </x:c>
      <x:c r="C46" s="46" t="str">
        <x:v>LME</x:v>
      </x:c>
      <x:c r="D46" s="58" t="n">
        <x:v>2019</x:v>
      </x:c>
      <x:c r="E46" s="60" t="n">
        <x:v>506689.99406100786</x:v>
      </x:c>
      <x:c r="F46" s="60" t="n">
        <x:v>506689.99406100786</x:v>
      </x:c>
      <x:c r="G46" s="62" t="n">
        <x:v>0</x:v>
      </x:c>
      <x:c r="H46" s="64" t="n">
        <x:v>1</x:v>
      </x:c>
      <x:c r="I46" s="66" t="n">
        <x:v>111</x:v>
      </x:c>
      <x:c r="J46" s="66" t="n">
        <x:v>111</x:v>
      </x:c>
      <x:c r="K46" s="60" t="n">
        <x:v>272326949.81673676</x:v>
      </x:c>
      <x:c r="L46" s="60" t="n">
        <x:v>272326949.8167369</x:v>
      </x:c>
      <x:c r="M46" s="60" t="n">
        <x:v>272326949.81673676</x:v>
      </x:c>
      <x:c r="N46" s="60" t="n">
        <x:v>222909537.7389832</x:v>
      </x:c>
      <x:c r="O46" s="60" t="n">
        <x:v>248795200.32622927</x:v>
      </x:c>
      <x:c r="P46" s="64" t="n">
        <x:f>K46/SUM($K$2:$K$85)</x:f>
        <x:v>0.004173421431097285</x:v>
      </x:c>
      <x:c r="Q46" s="66" t="n">
        <x:f>RANK(K46,$K$2:$K$85,0)</x:f>
        <x:v>45</x:v>
      </x:c>
      <x:c r="S46" t="str">
        <x:f>B23</x:f>
        <x:v>Sulu-Celebes Sea</x:v>
      </x:c>
      <x:c r="T46" t="n">
        <x:f>K23</x:f>
        <x:v>990198790.8703026</x:v>
      </x:c>
    </x:row>
    <x:row r="47" ht="18" customHeight="1">
      <x:c r="A47" s="46" t="str">
        <x:v>LME_004</x:v>
      </x:c>
      <x:c r="B47" s="46" t="str">
        <x:v>Gulf of California</x:v>
      </x:c>
      <x:c r="C47" s="46" t="str">
        <x:v>LME</x:v>
      </x:c>
      <x:c r="D47" s="58" t="n">
        <x:v>2019</x:v>
      </x:c>
      <x:c r="E47" s="60" t="n">
        <x:v>664877.8552277525</x:v>
      </x:c>
      <x:c r="F47" s="60" t="n">
        <x:v>664877.8552277525</x:v>
      </x:c>
      <x:c r="G47" s="62" t="n">
        <x:v>0</x:v>
      </x:c>
      <x:c r="H47" s="64" t="n">
        <x:v>1</x:v>
      </x:c>
      <x:c r="I47" s="66" t="n">
        <x:v>129</x:v>
      </x:c>
      <x:c r="J47" s="66" t="n">
        <x:v>129</x:v>
      </x:c>
      <x:c r="K47" s="60" t="n">
        <x:v>254257319.8187799</x:v>
      </x:c>
      <x:c r="L47" s="60" t="n">
        <x:v>254257319.8187799</x:v>
      </x:c>
      <x:c r="M47" s="60" t="n">
        <x:v>254257319.81877995</x:v>
      </x:c>
      <x:c r="N47" s="60" t="n">
        <x:v>187669905.16739705</x:v>
      </x:c>
      <x:c r="O47" s="60" t="n">
        <x:v>193115605.2914297</x:v>
      </x:c>
      <x:c r="P47" s="64" t="n">
        <x:f>K47/SUM($K$2:$K$85)</x:f>
        <x:v>0.0038965036264649467</x:v>
      </x:c>
      <x:c r="Q47" s="66" t="n">
        <x:f>RANK(K47,$K$2:$K$85,0)</x:f>
        <x:v>46</x:v>
      </x:c>
      <x:c r="S47" t="str">
        <x:f>B24</x:f>
        <x:v>Gulf of Alaska</x:v>
      </x:c>
      <x:c r="T47" t="n">
        <x:f>K24</x:f>
        <x:v>967218747.5530663</x:v>
      </x:c>
    </x:row>
    <x:row r="48" ht="18" customHeight="1">
      <x:c r="A48" s="46" t="str">
        <x:v>LME_023</x:v>
      </x:c>
      <x:c r="B48" s="46" t="str">
        <x:v>Baltic Sea</x:v>
      </x:c>
      <x:c r="C48" s="46" t="str">
        <x:v>LME</x:v>
      </x:c>
      <x:c r="D48" s="58" t="n">
        <x:v>2019</x:v>
      </x:c>
      <x:c r="E48" s="60" t="n">
        <x:v>937172.6469930055</x:v>
      </x:c>
      <x:c r="F48" s="60" t="n">
        <x:v>937172.6469930055</x:v>
      </x:c>
      <x:c r="G48" s="62" t="n">
        <x:v>0</x:v>
      </x:c>
      <x:c r="H48" s="64" t="n">
        <x:v>1</x:v>
      </x:c>
      <x:c r="I48" s="66" t="n">
        <x:v>117</x:v>
      </x:c>
      <x:c r="J48" s="66" t="n">
        <x:v>117</x:v>
      </x:c>
      <x:c r="K48" s="60" t="n">
        <x:v>250346631.37596366</x:v>
      </x:c>
      <x:c r="L48" s="60" t="n">
        <x:v>250346631.3759636</x:v>
      </x:c>
      <x:c r="M48" s="60" t="n">
        <x:v>250346631.37596354</x:v>
      </x:c>
      <x:c r="N48" s="60" t="n">
        <x:v>225670148.64899933</x:v>
      </x:c>
      <x:c r="O48" s="60" t="n">
        <x:v>229959848.8100546</x:v>
      </x:c>
      <x:c r="P48" s="64" t="n">
        <x:f>K48/SUM($K$2:$K$85)</x:f>
        <x:v>0.0038365721691906046</x:v>
      </x:c>
      <x:c r="Q48" s="66" t="n">
        <x:f>RANK(K48,$K$2:$K$85,0)</x:f>
        <x:v>47</x:v>
      </x:c>
      <x:c r="S48" t="str">
        <x:f>B25</x:f>
        <x:v>Indian Ocean, Western</x:v>
      </x:c>
      <x:c r="T48" t="n">
        <x:f>K25</x:f>
        <x:v>907481876.8369483</x:v>
      </x:c>
    </x:row>
    <x:row r="49" ht="18" customHeight="1">
      <x:c r="A49" s="46" t="str">
        <x:v>LME_015</x:v>
      </x:c>
      <x:c r="B49" s="46" t="str">
        <x:v>South Brazil Shelf</x:v>
      </x:c>
      <x:c r="C49" s="46" t="str">
        <x:v>LME</x:v>
      </x:c>
      <x:c r="D49" s="58" t="n">
        <x:v>2019</x:v>
      </x:c>
      <x:c r="E49" s="60" t="n">
        <x:v>292432.0999772061</x:v>
      </x:c>
      <x:c r="F49" s="60" t="n">
        <x:v>292432.0999772061</x:v>
      </x:c>
      <x:c r="G49" s="62" t="n">
        <x:v>0</x:v>
      </x:c>
      <x:c r="H49" s="64" t="n">
        <x:v>1</x:v>
      </x:c>
      <x:c r="I49" s="66" t="n">
        <x:v>264</x:v>
      </x:c>
      <x:c r="J49" s="66" t="n">
        <x:v>264</x:v>
      </x:c>
      <x:c r="K49" s="60" t="n">
        <x:v>226590038.89243433</x:v>
      </x:c>
      <x:c r="L49" s="60" t="n">
        <x:v>226590038.8924343</x:v>
      </x:c>
      <x:c r="M49" s="60" t="n">
        <x:v>226590038.8924343</x:v>
      </x:c>
      <x:c r="N49" s="60" t="n">
        <x:v>177610722.1212687</x:v>
      </x:c>
      <x:c r="O49" s="60" t="n">
        <x:v>192161835.32496005</x:v>
      </x:c>
      <x:c r="P49" s="64" t="n">
        <x:f>K49/SUM($K$2:$K$85)</x:f>
        <x:v>0.0034725014363184933</x:v>
      </x:c>
      <x:c r="Q49" s="66" t="n">
        <x:f>RANK(K49,$K$2:$K$85,0)</x:f>
        <x:v>48</x:v>
      </x:c>
      <x:c r="S49" t="str">
        <x:f>B26</x:f>
        <x:v>East Bering Sea</x:v>
      </x:c>
      <x:c r="T49" t="n">
        <x:f>K26</x:f>
        <x:v>816435933.9124104</x:v>
      </x:c>
    </x:row>
    <x:row r="50" ht="18" customHeight="1">
      <x:c r="A50" s="46" t="str">
        <x:v>LME_031</x:v>
      </x:c>
      <x:c r="B50" s="46" t="str">
        <x:v>Somali Coastal Current</x:v>
      </x:c>
      <x:c r="C50" s="46" t="str">
        <x:v>LME</x:v>
      </x:c>
      <x:c r="D50" s="58" t="n">
        <x:v>2019</x:v>
      </x:c>
      <x:c r="E50" s="60" t="n">
        <x:v>237379.07863162042</x:v>
      </x:c>
      <x:c r="F50" s="60" t="n">
        <x:v>237379.07863162042</x:v>
      </x:c>
      <x:c r="G50" s="62" t="n">
        <x:v>0</x:v>
      </x:c>
      <x:c r="H50" s="64" t="n">
        <x:v>1</x:v>
      </x:c>
      <x:c r="I50" s="66" t="n">
        <x:v>205</x:v>
      </x:c>
      <x:c r="J50" s="66" t="n">
        <x:v>205</x:v>
      </x:c>
      <x:c r="K50" s="60" t="n">
        <x:v>220033882.6044375</x:v>
      </x:c>
      <x:c r="L50" s="60" t="n">
        <x:v>220033882.60443753</x:v>
      </x:c>
      <x:c r="M50" s="60" t="n">
        <x:v>220033882.6044375</x:v>
      </x:c>
      <x:c r="N50" s="60" t="n">
        <x:v>156501852.68740436</x:v>
      </x:c>
      <x:c r="O50" s="60" t="n">
        <x:v>180797899.8177598</x:v>
      </x:c>
      <x:c r="P50" s="64" t="n">
        <x:f>K50/SUM($K$2:$K$85)</x:f>
        <x:v>0.003372028078186431</x:v>
      </x:c>
      <x:c r="Q50" s="66" t="n">
        <x:f>RANK(K50,$K$2:$K$85,0)</x:f>
        <x:v>49</x:v>
      </x:c>
    </x:row>
    <x:row r="51" ht="18" customHeight="1">
      <x:c r="A51" s="46" t="str">
        <x:v>LME_018</x:v>
      </x:c>
      <x:c r="B51" s="46" t="str">
        <x:v>Canadian Eastern Arctic -West Greenland</x:v>
      </x:c>
      <x:c r="C51" s="46" t="str">
        <x:v>LME</x:v>
      </x:c>
      <x:c r="D51" s="58" t="n">
        <x:v>2019</x:v>
      </x:c>
      <x:c r="E51" s="60" t="n">
        <x:v>219045.62416918142</x:v>
      </x:c>
      <x:c r="F51" s="60" t="n">
        <x:v>219045.62416918142</x:v>
      </x:c>
      <x:c r="G51" s="62" t="n">
        <x:v>0</x:v>
      </x:c>
      <x:c r="H51" s="64" t="n">
        <x:v>1</x:v>
      </x:c>
      <x:c r="I51" s="66" t="n">
        <x:v>61</x:v>
      </x:c>
      <x:c r="J51" s="66" t="n">
        <x:v>61</x:v>
      </x:c>
      <x:c r="K51" s="60" t="n">
        <x:v>208696707.97660503</x:v>
      </x:c>
      <x:c r="L51" s="60" t="n">
        <x:v>208696707.97660506</x:v>
      </x:c>
      <x:c r="M51" s="60" t="n">
        <x:v>208696707.976605</x:v>
      </x:c>
      <x:c r="N51" s="60" t="n">
        <x:v>207626199.11109316</x:v>
      </x:c>
      <x:c r="O51" s="60" t="n">
        <x:v>208407100.77841595</x:v>
      </x:c>
      <x:c r="P51" s="64" t="n">
        <x:f>K51/SUM($K$2:$K$85)</x:f>
        <x:v>0.00319828542219249</x:v>
      </x:c>
      <x:c r="Q51" s="66" t="n">
        <x:f>RANK(K51,$K$2:$K$85,0)</x:f>
        <x:v>50</x:v>
      </x:c>
    </x:row>
    <x:row r="52" ht="18" customHeight="1">
      <x:c r="A52" s="46" t="str">
        <x:v>LME_016</x:v>
      </x:c>
      <x:c r="B52" s="46" t="str">
        <x:v>East Brazil Shelf</x:v>
      </x:c>
      <x:c r="C52" s="46" t="str">
        <x:v>LME</x:v>
      </x:c>
      <x:c r="D52" s="58" t="n">
        <x:v>2019</x:v>
      </x:c>
      <x:c r="E52" s="60" t="n">
        <x:v>306003.2887419415</x:v>
      </x:c>
      <x:c r="F52" s="60" t="n">
        <x:v>306003.2887419415</x:v>
      </x:c>
      <x:c r="G52" s="62" t="n">
        <x:v>0</x:v>
      </x:c>
      <x:c r="H52" s="64" t="n">
        <x:v>1</x:v>
      </x:c>
      <x:c r="I52" s="66" t="n">
        <x:v>254</x:v>
      </x:c>
      <x:c r="J52" s="66" t="n">
        <x:v>254</x:v>
      </x:c>
      <x:c r="K52" s="60" t="n">
        <x:v>201658143.7250421</x:v>
      </x:c>
      <x:c r="L52" s="60" t="n">
        <x:v>201658143.72504207</x:v>
      </x:c>
      <x:c r="M52" s="60" t="n">
        <x:v>201658143.72504207</x:v>
      </x:c>
      <x:c r="N52" s="60" t="n">
        <x:v>132379802.06755418</x:v>
      </x:c>
      <x:c r="O52" s="60" t="n">
        <x:v>154874390.16322204</x:v>
      </x:c>
      <x:c r="P52" s="64" t="n">
        <x:f>K52/SUM($K$2:$K$85)</x:f>
        <x:v>0.0030904191426656354</x:v>
      </x:c>
      <x:c r="Q52" s="66" t="n">
        <x:f>RANK(K52,$K$2:$K$85,0)</x:f>
        <x:v>51</x:v>
      </x:c>
    </x:row>
    <x:row r="53" ht="18" customHeight="1">
      <x:c r="A53" s="46" t="str">
        <x:v>HS_027</x:v>
      </x:c>
      <x:c r="B53" s="46" t="str">
        <x:v>Atlantic, Northeast</x:v>
      </x:c>
      <x:c r="C53" s="46" t="str">
        <x:v>High Seas</x:v>
      </x:c>
      <x:c r="D53" s="58" t="n">
        <x:v>2019</x:v>
      </x:c>
      <x:c r="E53" s="60" t="n">
        <x:v>734932.290461042</x:v>
      </x:c>
      <x:c r="F53" s="60" t="n">
        <x:v>734932.290461042</x:v>
      </x:c>
      <x:c r="G53" s="62" t="n">
        <x:v>0</x:v>
      </x:c>
      <x:c r="H53" s="64" t="n">
        <x:v>1</x:v>
      </x:c>
      <x:c r="I53" s="66" t="n">
        <x:v>131</x:v>
      </x:c>
      <x:c r="J53" s="66" t="n">
        <x:v>131</x:v>
      </x:c>
      <x:c r="K53" s="60" t="n">
        <x:v>192111009.49801588</x:v>
      </x:c>
      <x:c r="L53" s="60" t="n">
        <x:v>192111009.49801588</x:v>
      </x:c>
      <x:c r="M53" s="60" t="n">
        <x:v>192111009.49801588</x:v>
      </x:c>
      <x:c r="N53" s="60" t="n">
        <x:v>190119918.21647057</x:v>
      </x:c>
      <x:c r="O53" s="60" t="n">
        <x:v>191769855.84918004</x:v>
      </x:c>
      <x:c r="P53" s="64" t="n">
        <x:f>K53/SUM($K$2:$K$85)</x:f>
        <x:v>0.002944108927626518</x:v>
      </x:c>
      <x:c r="Q53" s="66" t="n">
        <x:f>RANK(K53,$K$2:$K$85,0)</x:f>
        <x:v>52</x:v>
      </x:c>
    </x:row>
    <x:row r="54" ht="18" customHeight="1">
      <x:c r="A54" s="46" t="str">
        <x:v>LME_054</x:v>
      </x:c>
      <x:c r="B54" s="46" t="str">
        <x:v>Northern Bering - Chukchi Seas</x:v>
      </x:c>
      <x:c r="C54" s="46" t="str">
        <x:v>LME</x:v>
      </x:c>
      <x:c r="D54" s="58" t="n">
        <x:v>2019</x:v>
      </x:c>
      <x:c r="E54" s="60" t="n">
        <x:v>348828.221273396</x:v>
      </x:c>
      <x:c r="F54" s="60" t="n">
        <x:v>348828.221273396</x:v>
      </x:c>
      <x:c r="G54" s="62" t="n">
        <x:v>0</x:v>
      </x:c>
      <x:c r="H54" s="64" t="n">
        <x:v>1</x:v>
      </x:c>
      <x:c r="I54" s="66" t="n">
        <x:v>93</x:v>
      </x:c>
      <x:c r="J54" s="66" t="n">
        <x:v>93</x:v>
      </x:c>
      <x:c r="K54" s="60" t="n">
        <x:v>188778895.78178987</x:v>
      </x:c>
      <x:c r="L54" s="60" t="n">
        <x:v>188778895.78178984</x:v>
      </x:c>
      <x:c r="M54" s="60" t="n">
        <x:v>188778895.78178978</x:v>
      </x:c>
      <x:c r="N54" s="60" t="n">
        <x:v>152040929.93117216</x:v>
      </x:c>
      <x:c r="O54" s="60" t="n">
        <x:v>138060768.34332538</x:v>
      </x:c>
      <x:c r="P54" s="64" t="n">
        <x:f>K54/SUM($K$2:$K$85)</x:f>
        <x:v>0.002893044151248311</x:v>
      </x:c>
      <x:c r="Q54" s="66" t="n">
        <x:f>RANK(K54,$K$2:$K$85,0)</x:f>
        <x:v>53</x:v>
      </x:c>
    </x:row>
    <x:row r="55" ht="18" customHeight="1">
      <x:c r="A55" s="46" t="str">
        <x:v>HS_041</x:v>
      </x:c>
      <x:c r="B55" s="46" t="str">
        <x:v>Atlantic, Southwest</x:v>
      </x:c>
      <x:c r="C55" s="46" t="str">
        <x:v>High Seas</x:v>
      </x:c>
      <x:c r="D55" s="58" t="n">
        <x:v>2019</x:v>
      </x:c>
      <x:c r="E55" s="60" t="n">
        <x:v>62238.365213295096</x:v>
      </x:c>
      <x:c r="F55" s="60" t="n">
        <x:v>62238.365213295096</x:v>
      </x:c>
      <x:c r="G55" s="62" t="n">
        <x:v>0</x:v>
      </x:c>
      <x:c r="H55" s="64" t="n">
        <x:v>1</x:v>
      </x:c>
      <x:c r="I55" s="66" t="n">
        <x:v>33</x:v>
      </x:c>
      <x:c r="J55" s="66" t="n">
        <x:v>33</x:v>
      </x:c>
      <x:c r="K55" s="60" t="n">
        <x:v>149349456.4630281</x:v>
      </x:c>
      <x:c r="L55" s="60" t="n">
        <x:v>149349456.46302813</x:v>
      </x:c>
      <x:c r="M55" s="60" t="n">
        <x:v>149349456.4630281</x:v>
      </x:c>
      <x:c r="N55" s="60" t="n">
        <x:v>147948022.15720508</x:v>
      </x:c>
      <x:c r="O55" s="60" t="n">
        <x:v>147484387.13170964</x:v>
      </x:c>
      <x:c r="P55" s="64" t="n">
        <x:f>K55/SUM($K$2:$K$85)</x:f>
        <x:v>0.0022887864118662613</x:v>
      </x:c>
      <x:c r="Q55" s="66" t="n">
        <x:f>RANK(K55,$K$2:$K$85,0)</x:f>
        <x:v>54</x:v>
      </x:c>
    </x:row>
    <x:row r="56" ht="18" customHeight="1">
      <x:c r="A56" s="46" t="str">
        <x:v>LME_033</x:v>
      </x:c>
      <x:c r="B56" s="46" t="str">
        <x:v>Red Sea</x:v>
      </x:c>
      <x:c r="C56" s="46" t="str">
        <x:v>LME</x:v>
      </x:c>
      <x:c r="D56" s="58" t="n">
        <x:v>2019</x:v>
      </x:c>
      <x:c r="E56" s="60" t="n">
        <x:v>147100.3417814472</x:v>
      </x:c>
      <x:c r="F56" s="60" t="n">
        <x:v>147100.3417814472</x:v>
      </x:c>
      <x:c r="G56" s="62" t="n">
        <x:v>0</x:v>
      </x:c>
      <x:c r="H56" s="64" t="n">
        <x:v>1</x:v>
      </x:c>
      <x:c r="I56" s="66" t="n">
        <x:v>193</x:v>
      </x:c>
      <x:c r="J56" s="66" t="n">
        <x:v>193</x:v>
      </x:c>
      <x:c r="K56" s="60" t="n">
        <x:v>114071139.38229904</x:v>
      </x:c>
      <x:c r="L56" s="60" t="n">
        <x:v>114071139.38229902</x:v>
      </x:c>
      <x:c r="M56" s="60" t="n">
        <x:v>114071139.38229904</x:v>
      </x:c>
      <x:c r="N56" s="60" t="n">
        <x:v>74674605.88945664</x:v>
      </x:c>
      <x:c r="O56" s="60" t="n">
        <x:v>87236027.58411431</x:v>
      </x:c>
      <x:c r="P56" s="64" t="n">
        <x:f>K56/SUM($K$2:$K$85)</x:f>
        <x:v>0.0017481447873159191</x:v>
      </x:c>
      <x:c r="Q56" s="66" t="n">
        <x:f>RANK(K56,$K$2:$K$85,0)</x:f>
        <x:v>55</x:v>
      </x:c>
    </x:row>
    <x:row r="57" ht="18" customHeight="1">
      <x:c r="A57" s="46" t="str">
        <x:v>LME_006</x:v>
      </x:c>
      <x:c r="B57" s="46" t="str">
        <x:v>Southeast U.S. Continental Shelf</x:v>
      </x:c>
      <x:c r="C57" s="46" t="str">
        <x:v>LME</x:v>
      </x:c>
      <x:c r="D57" s="58" t="n">
        <x:v>2019</x:v>
      </x:c>
      <x:c r="E57" s="60" t="n">
        <x:v>115599.570034811</x:v>
      </x:c>
      <x:c r="F57" s="60" t="n">
        <x:v>115599.570034811</x:v>
      </x:c>
      <x:c r="G57" s="62" t="n">
        <x:v>0</x:v>
      </x:c>
      <x:c r="H57" s="64" t="n">
        <x:v>1</x:v>
      </x:c>
      <x:c r="I57" s="66" t="n">
        <x:v>283</x:v>
      </x:c>
      <x:c r="J57" s="66" t="n">
        <x:v>283</x:v>
      </x:c>
      <x:c r="K57" s="60" t="n">
        <x:v>104438774.10426635</x:v>
      </x:c>
      <x:c r="L57" s="60" t="n">
        <x:v>104438774.10426632</x:v>
      </x:c>
      <x:c r="M57" s="60" t="n">
        <x:v>104438774.10426633</x:v>
      </x:c>
      <x:c r="N57" s="60" t="n">
        <x:v>65622920.65646398</x:v>
      </x:c>
      <x:c r="O57" s="60" t="n">
        <x:v>91125601.58560155</x:v>
      </x:c>
      <x:c r="P57" s="64" t="n">
        <x:f>K57/SUM($K$2:$K$85)</x:f>
        <x:v>0.0016005284030008462</x:v>
      </x:c>
      <x:c r="Q57" s="66" t="n">
        <x:f>RANK(K57,$K$2:$K$85,0)</x:f>
        <x:v>56</x:v>
      </x:c>
    </x:row>
    <x:row r="58" ht="18" customHeight="1">
      <x:c r="A58" s="46" t="str">
        <x:v>HS_021</x:v>
      </x:c>
      <x:c r="B58" s="46" t="str">
        <x:v>Atlantic, Northwest</x:v>
      </x:c>
      <x:c r="C58" s="46" t="str">
        <x:v>High Seas</x:v>
      </x:c>
      <x:c r="D58" s="58" t="n">
        <x:v>2019</x:v>
      </x:c>
      <x:c r="E58" s="60" t="n">
        <x:v>87745.0994728874</x:v>
      </x:c>
      <x:c r="F58" s="60" t="n">
        <x:v>87745.0994728874</x:v>
      </x:c>
      <x:c r="G58" s="62" t="n">
        <x:v>0</x:v>
      </x:c>
      <x:c r="H58" s="64" t="n">
        <x:v>1</x:v>
      </x:c>
      <x:c r="I58" s="66" t="n">
        <x:v>67</x:v>
      </x:c>
      <x:c r="J58" s="66" t="n">
        <x:v>67</x:v>
      </x:c>
      <x:c r="K58" s="60" t="n">
        <x:v>101551846.3748264</x:v>
      </x:c>
      <x:c r="L58" s="60" t="n">
        <x:v>101551846.37482642</x:v>
      </x:c>
      <x:c r="M58" s="60" t="n">
        <x:v>101551846.37482639</x:v>
      </x:c>
      <x:c r="N58" s="60" t="n">
        <x:v>94575783.00091098</x:v>
      </x:c>
      <x:c r="O58" s="60" t="n">
        <x:v>94079149.74054004</x:v>
      </x:c>
      <x:c r="P58" s="64" t="n">
        <x:f>K58/SUM($K$2:$K$85)</x:f>
        <x:v>0.0015562861197300144</x:v>
      </x:c>
      <x:c r="Q58" s="66" t="n">
        <x:f>RANK(K58,$K$2:$K$85,0)</x:f>
        <x:v>57</x:v>
      </x:c>
    </x:row>
    <x:row r="59" ht="18" customHeight="1">
      <x:c r="A59" s="46" t="str">
        <x:v>HS_081</x:v>
      </x:c>
      <x:c r="B59" s="46" t="str">
        <x:v>Pacific, Southwest</x:v>
      </x:c>
      <x:c r="C59" s="46" t="str">
        <x:v>High Seas</x:v>
      </x:c>
      <x:c r="D59" s="58" t="n">
        <x:v>2019</x:v>
      </x:c>
      <x:c r="E59" s="60" t="n">
        <x:v>45252.466822717106</x:v>
      </x:c>
      <x:c r="F59" s="60" t="n">
        <x:v>45252.466822717106</x:v>
      </x:c>
      <x:c r="G59" s="62" t="n">
        <x:v>0</x:v>
      </x:c>
      <x:c r="H59" s="64" t="n">
        <x:v>1</x:v>
      </x:c>
      <x:c r="I59" s="66" t="n">
        <x:v>27</x:v>
      </x:c>
      <x:c r="J59" s="66" t="n">
        <x:v>27</x:v>
      </x:c>
      <x:c r="K59" s="60" t="n">
        <x:v>91386286.47267893</x:v>
      </x:c>
      <x:c r="L59" s="60" t="n">
        <x:v>91386286.47267893</x:v>
      </x:c>
      <x:c r="M59" s="60" t="n">
        <x:v>91386286.47267893</x:v>
      </x:c>
      <x:c r="N59" s="60" t="n">
        <x:v>87435123.8002821</x:v>
      </x:c>
      <x:c r="O59" s="60" t="n">
        <x:v>86872298.1778867</x:v>
      </x:c>
      <x:c r="P59" s="64" t="n">
        <x:f>K59/SUM($K$2:$K$85)</x:f>
        <x:v>0.0014004985064097917</x:v>
      </x:c>
      <x:c r="Q59" s="66" t="n">
        <x:f>RANK(K59,$K$2:$K$85,0)</x:f>
        <x:v>58</x:v>
      </x:c>
    </x:row>
    <x:row r="60" ht="18" customHeight="1">
      <x:c r="A60" s="46" t="str">
        <x:v>HS_047</x:v>
      </x:c>
      <x:c r="B60" s="46" t="str">
        <x:v>Atlantic, Southeast</x:v>
      </x:c>
      <x:c r="C60" s="46" t="str">
        <x:v>High Seas</x:v>
      </x:c>
      <x:c r="D60" s="58" t="n">
        <x:v>2019</x:v>
      </x:c>
      <x:c r="E60" s="60" t="n">
        <x:v>41830.7267805337</x:v>
      </x:c>
      <x:c r="F60" s="60" t="n">
        <x:v>41830.7267805337</x:v>
      </x:c>
      <x:c r="G60" s="62" t="n">
        <x:v>0</x:v>
      </x:c>
      <x:c r="H60" s="64" t="n">
        <x:v>1</x:v>
      </x:c>
      <x:c r="I60" s="66" t="n">
        <x:v>35</x:v>
      </x:c>
      <x:c r="J60" s="66" t="n">
        <x:v>35</x:v>
      </x:c>
      <x:c r="K60" s="60" t="n">
        <x:v>87861469.42037457</x:v>
      </x:c>
      <x:c r="L60" s="60" t="n">
        <x:v>87861469.42037456</x:v>
      </x:c>
      <x:c r="M60" s="60" t="n">
        <x:v>87861469.42037456</x:v>
      </x:c>
      <x:c r="N60" s="60" t="n">
        <x:v>81599560.34715328</x:v>
      </x:c>
      <x:c r="O60" s="60" t="n">
        <x:v>81300520.57549798</x:v>
      </x:c>
      <x:c r="P60" s="64" t="n">
        <x:f>K60/SUM($K$2:$K$85)</x:f>
        <x:v>0.0013464805436753519</x:v>
      </x:c>
      <x:c r="Q60" s="66" t="n">
        <x:f>RANK(K60,$K$2:$K$85,0)</x:f>
        <x:v>59</x:v>
      </x:c>
    </x:row>
    <x:row r="61" ht="18" customHeight="1">
      <x:c r="A61" s="46" t="str">
        <x:v>LME_065</x:v>
      </x:c>
      <x:c r="B61" s="46" t="str">
        <x:v>Aleutian Islands</x:v>
      </x:c>
      <x:c r="C61" s="46" t="str">
        <x:v>LME</x:v>
      </x:c>
      <x:c r="D61" s="58" t="n">
        <x:v>2019</x:v>
      </x:c>
      <x:c r="E61" s="60" t="n">
        <x:v>151507.6717909796</x:v>
      </x:c>
      <x:c r="F61" s="60" t="n">
        <x:v>151507.6717909796</x:v>
      </x:c>
      <x:c r="G61" s="62" t="n">
        <x:v>0</x:v>
      </x:c>
      <x:c r="H61" s="64" t="n">
        <x:v>1</x:v>
      </x:c>
      <x:c r="I61" s="66" t="n">
        <x:v>68</x:v>
      </x:c>
      <x:c r="J61" s="66" t="n">
        <x:v>68</x:v>
      </x:c>
      <x:c r="K61" s="60" t="n">
        <x:v>85526381.4039745</x:v>
      </x:c>
      <x:c r="L61" s="60" t="n">
        <x:v>85526381.40397452</x:v>
      </x:c>
      <x:c r="M61" s="60" t="n">
        <x:v>85526381.4039745</x:v>
      </x:c>
      <x:c r="N61" s="60" t="n">
        <x:v>70379109.37733433</x:v>
      </x:c>
      <x:c r="O61" s="60" t="n">
        <x:v>75180854.1365574</x:v>
      </x:c>
      <x:c r="P61" s="64" t="n">
        <x:f>K61/SUM($K$2:$K$85)</x:f>
        <x:v>0.0013106952261454465</x:v>
      </x:c>
      <x:c r="Q61" s="66" t="n">
        <x:f>RANK(K61,$K$2:$K$85,0)</x:f>
        <x:v>60</x:v>
      </x:c>
    </x:row>
    <x:row r="62" ht="18" customHeight="1">
      <x:c r="A62" s="46" t="str">
        <x:v>LME_019</x:v>
      </x:c>
      <x:c r="B62" s="46" t="str">
        <x:v>Greenland Sea</x:v>
      </x:c>
      <x:c r="C62" s="46" t="str">
        <x:v>LME</x:v>
      </x:c>
      <x:c r="D62" s="58" t="n">
        <x:v>2019</x:v>
      </x:c>
      <x:c r="E62" s="60" t="n">
        <x:v>87093.8235737202</x:v>
      </x:c>
      <x:c r="F62" s="60" t="n">
        <x:v>87093.8235737202</x:v>
      </x:c>
      <x:c r="G62" s="62" t="n">
        <x:v>0</x:v>
      </x:c>
      <x:c r="H62" s="64" t="n">
        <x:v>1</x:v>
      </x:c>
      <x:c r="I62" s="66" t="n">
        <x:v>64</x:v>
      </x:c>
      <x:c r="J62" s="66" t="n">
        <x:v>64</x:v>
      </x:c>
      <x:c r="K62" s="60" t="n">
        <x:v>76279788.78654897</x:v>
      </x:c>
      <x:c r="L62" s="60" t="n">
        <x:v>76279788.78654899</x:v>
      </x:c>
      <x:c r="M62" s="60" t="n">
        <x:v>76279788.78654897</x:v>
      </x:c>
      <x:c r="N62" s="60" t="n">
        <x:v>74591467.5388397</x:v>
      </x:c>
      <x:c r="O62" s="60" t="n">
        <x:v>75872029.19055331</x:v>
      </x:c>
      <x:c r="P62" s="64" t="n">
        <x:f>K62/SUM($K$2:$K$85)</x:f>
        <x:v>0.0011689908233305255</x:v>
      </x:c>
      <x:c r="Q62" s="66" t="n">
        <x:f>RANK(K62,$K$2:$K$85,0)</x:f>
        <x:v>61</x:v>
      </x:c>
    </x:row>
    <x:row r="63" ht="18" customHeight="1">
      <x:c r="A63" s="46" t="str">
        <x:v>LME_008</x:v>
      </x:c>
      <x:c r="B63" s="46" t="str">
        <x:v>Scotian Shelf</x:v>
      </x:c>
      <x:c r="C63" s="46" t="str">
        <x:v>LME</x:v>
      </x:c>
      <x:c r="D63" s="58" t="n">
        <x:v>2019</x:v>
      </x:c>
      <x:c r="E63" s="60" t="n">
        <x:v>148680.26073080715</x:v>
      </x:c>
      <x:c r="F63" s="60" t="n">
        <x:v>148680.26073080715</x:v>
      </x:c>
      <x:c r="G63" s="62" t="n">
        <x:v>0</x:v>
      </x:c>
      <x:c r="H63" s="64" t="n">
        <x:v>1</x:v>
      </x:c>
      <x:c r="I63" s="66" t="n">
        <x:v>92</x:v>
      </x:c>
      <x:c r="J63" s="66" t="n">
        <x:v>92</x:v>
      </x:c>
      <x:c r="K63" s="60" t="n">
        <x:v>75212513.43069898</x:v>
      </x:c>
      <x:c r="L63" s="60" t="n">
        <x:v>75212513.43069899</x:v>
      </x:c>
      <x:c r="M63" s="60" t="n">
        <x:v>75212513.43069899</x:v>
      </x:c>
      <x:c r="N63" s="60" t="n">
        <x:v>64517927.31064559</x:v>
      </x:c>
      <x:c r="O63" s="60" t="n">
        <x:v>61782823.81142751</x:v>
      </x:c>
      <x:c r="P63" s="64" t="n">
        <x:f>K63/SUM($K$2:$K$85)</x:f>
        <x:v>0.0011526347856853942</x:v>
      </x:c>
      <x:c r="Q63" s="66" t="n">
        <x:f>RANK(K63,$K$2:$K$85,0)</x:f>
        <x:v>62</x:v>
      </x:c>
    </x:row>
    <x:row r="64" ht="18" customHeight="1">
      <x:c r="A64" s="46" t="str">
        <x:v>LME_010</x:v>
      </x:c>
      <x:c r="B64" s="46" t="str">
        <x:v>Insular Pacific-Hawaiian</x:v>
      </x:c>
      <x:c r="C64" s="46" t="str">
        <x:v>LME</x:v>
      </x:c>
      <x:c r="D64" s="58" t="n">
        <x:v>2019</x:v>
      </x:c>
      <x:c r="E64" s="60" t="n">
        <x:v>21171.9533963985</x:v>
      </x:c>
      <x:c r="F64" s="60" t="n">
        <x:v>21171.9533963985</x:v>
      </x:c>
      <x:c r="G64" s="62" t="n">
        <x:v>0</x:v>
      </x:c>
      <x:c r="H64" s="64" t="n">
        <x:v>1</x:v>
      </x:c>
      <x:c r="I64" s="66" t="n">
        <x:v>140</x:v>
      </x:c>
      <x:c r="J64" s="66" t="n">
        <x:v>140</x:v>
      </x:c>
      <x:c r="K64" s="60" t="n">
        <x:v>44813494.47199182</x:v>
      </x:c>
      <x:c r="L64" s="60" t="n">
        <x:v>44813494.47199182</x:v>
      </x:c>
      <x:c r="M64" s="60" t="n">
        <x:v>44813494.47199182</x:v>
      </x:c>
      <x:c r="N64" s="60" t="n">
        <x:v>40663775.27641271</x:v>
      </x:c>
      <x:c r="O64" s="60" t="n">
        <x:v>43231826.719544135</x:v>
      </x:c>
      <x:c r="P64" s="64" t="n">
        <x:f>K64/SUM($K$2:$K$85)</x:f>
        <x:v>0.0006867686006017025</x:v>
      </x:c>
      <x:c r="Q64" s="66" t="n">
        <x:f>RANK(K64,$K$2:$K$85,0)</x:f>
        <x:v>63</x:v>
      </x:c>
    </x:row>
    <x:row r="65" ht="18" customHeight="1">
      <x:c r="A65" s="46" t="str">
        <x:v>HS_031</x:v>
      </x:c>
      <x:c r="B65" s="46" t="str">
        <x:v>Atlantic, Western Central</x:v>
      </x:c>
      <x:c r="C65" s="46" t="str">
        <x:v>High Seas</x:v>
      </x:c>
      <x:c r="D65" s="58" t="n">
        <x:v>2019</x:v>
      </x:c>
      <x:c r="E65" s="60" t="n">
        <x:v>16859.0112032287</x:v>
      </x:c>
      <x:c r="F65" s="60" t="n">
        <x:v>16859.0112032287</x:v>
      </x:c>
      <x:c r="G65" s="62" t="n">
        <x:v>0</x:v>
      </x:c>
      <x:c r="H65" s="64" t="n">
        <x:v>1</x:v>
      </x:c>
      <x:c r="I65" s="66" t="n">
        <x:v>32</x:v>
      </x:c>
      <x:c r="J65" s="66" t="n">
        <x:v>32</x:v>
      </x:c>
      <x:c r="K65" s="60" t="n">
        <x:v>32845718.432304144</x:v>
      </x:c>
      <x:c r="L65" s="60" t="n">
        <x:v>32845718.432304144</x:v>
      </x:c>
      <x:c r="M65" s="60" t="n">
        <x:v>32845718.432304144</x:v>
      </x:c>
      <x:c r="N65" s="60" t="n">
        <x:v>32332686.35082694</x:v>
      </x:c>
      <x:c r="O65" s="60" t="n">
        <x:v>32085747.063295085</x:v>
      </x:c>
      <x:c r="P65" s="64" t="n">
        <x:f>K65/SUM($K$2:$K$85)</x:f>
        <x:v>0.0005033619526727449</x:v>
      </x:c>
      <x:c r="Q65" s="66" t="n">
        <x:f>RANK(K65,$K$2:$K$85,0)</x:f>
        <x:v>64</x:v>
      </x:c>
    </x:row>
    <x:row r="66" ht="18" customHeight="1">
      <x:c r="A66" s="46" t="str">
        <x:v>LME_039</x:v>
      </x:c>
      <x:c r="B66" s="46" t="str">
        <x:v>North Australian Shelf</x:v>
      </x:c>
      <x:c r="C66" s="46" t="str">
        <x:v>LME</x:v>
      </x:c>
      <x:c r="D66" s="58" t="n">
        <x:v>2019</x:v>
      </x:c>
      <x:c r="E66" s="60" t="n">
        <x:v>44872.4444403339</x:v>
      </x:c>
      <x:c r="F66" s="60" t="n">
        <x:v>44872.4444403339</x:v>
      </x:c>
      <x:c r="G66" s="62" t="n">
        <x:v>0</x:v>
      </x:c>
      <x:c r="H66" s="64" t="n">
        <x:v>1</x:v>
      </x:c>
      <x:c r="I66" s="66" t="n">
        <x:v>452</x:v>
      </x:c>
      <x:c r="J66" s="66" t="n">
        <x:v>452</x:v>
      </x:c>
      <x:c r="K66" s="60" t="n">
        <x:v>32609919.10129194</x:v>
      </x:c>
      <x:c r="L66" s="60" t="n">
        <x:v>32609919.101291947</x:v>
      </x:c>
      <x:c r="M66" s="60" t="n">
        <x:v>32609919.101291936</x:v>
      </x:c>
      <x:c r="N66" s="60" t="n">
        <x:v>21306232.562969234</x:v>
      </x:c>
      <x:c r="O66" s="60" t="n">
        <x:v>23668195.99001727</x:v>
      </x:c>
      <x:c r="P66" s="64" t="n">
        <x:f>K66/SUM($K$2:$K$85)</x:f>
        <x:v>0.0004997483184652345</x:v>
      </x:c>
      <x:c r="Q66" s="66" t="n">
        <x:f>RANK(K66,$K$2:$K$85,0)</x:f>
        <x:v>65</x:v>
      </x:c>
    </x:row>
    <x:row r="67" ht="18" customHeight="1">
      <x:c r="A67" s="46" t="str">
        <x:v>LME_041</x:v>
      </x:c>
      <x:c r="B67" s="46" t="str">
        <x:v>East-Central Australian Shelf</x:v>
      </x:c>
      <x:c r="C67" s="46" t="str">
        <x:v>LME</x:v>
      </x:c>
      <x:c r="D67" s="58" t="n">
        <x:v>2019</x:v>
      </x:c>
      <x:c r="E67" s="60" t="n">
        <x:v>39281.024733703096</x:v>
      </x:c>
      <x:c r="F67" s="60" t="n">
        <x:v>39281.024733703096</x:v>
      </x:c>
      <x:c r="G67" s="62" t="n">
        <x:v>0</x:v>
      </x:c>
      <x:c r="H67" s="64" t="n">
        <x:v>1</x:v>
      </x:c>
      <x:c r="I67" s="66" t="n">
        <x:v>382</x:v>
      </x:c>
      <x:c r="J67" s="66" t="n">
        <x:v>382</x:v>
      </x:c>
      <x:c r="K67" s="60" t="n">
        <x:v>32154354.584904723</x:v>
      </x:c>
      <x:c r="L67" s="60" t="n">
        <x:v>32154354.58490472</x:v>
      </x:c>
      <x:c r="M67" s="60" t="n">
        <x:v>32154354.58490472</x:v>
      </x:c>
      <x:c r="N67" s="60" t="n">
        <x:v>21227256.672829352</x:v>
      </x:c>
      <x:c r="O67" s="60" t="n">
        <x:v>27004717.00709983</x:v>
      </x:c>
      <x:c r="P67" s="64" t="n">
        <x:f>K67/SUM($K$2:$K$85)</x:f>
        <x:v>0.000492766773975358</x:v>
      </x:c>
      <x:c r="Q67" s="66" t="n">
        <x:f>RANK(K67,$K$2:$K$85,0)</x:f>
        <x:v>66</x:v>
      </x:c>
    </x:row>
    <x:row r="68" ht="18" customHeight="1">
      <x:c r="A68" s="46" t="str">
        <x:v>HS_048</x:v>
      </x:c>
      <x:c r="B68" s="46" t="str">
        <x:v>Atlantic, Antarctic</x:v>
      </x:c>
      <x:c r="C68" s="46" t="str">
        <x:v>High Seas</x:v>
      </x:c>
      <x:c r="D68" s="58" t="n">
        <x:v>2019</x:v>
      </x:c>
      <x:c r="E68" s="60" t="n">
        <x:v>154127.61540295082</x:v>
      </x:c>
      <x:c r="F68" s="60" t="n">
        <x:v>154127.61540295082</x:v>
      </x:c>
      <x:c r="G68" s="62" t="n">
        <x:v>0</x:v>
      </x:c>
      <x:c r="H68" s="64" t="n">
        <x:v>1</x:v>
      </x:c>
      <x:c r="I68" s="66" t="n">
        <x:v>6</x:v>
      </x:c>
      <x:c r="J68" s="66" t="n">
        <x:v>6</x:v>
      </x:c>
      <x:c r="K68" s="60" t="n">
        <x:v>29368420.191220015</x:v>
      </x:c>
      <x:c r="L68" s="60" t="n">
        <x:v>29368420.191220015</x:v>
      </x:c>
      <x:c r="M68" s="60" t="n">
        <x:v>29368420.191220015</x:v>
      </x:c>
      <x:c r="N68" s="60" t="n">
        <x:v>29368419.84106065</x:v>
      </x:c>
      <x:c r="O68" s="60" t="n">
        <x:v>29368420.191220015</x:v>
      </x:c>
      <x:c r="P68" s="64" t="n">
        <x:f>K68/SUM($K$2:$K$85)</x:f>
        <x:v>0.00045007221762660476</x:v>
      </x:c>
      <x:c r="Q68" s="66" t="n">
        <x:f>RANK(K68,$K$2:$K$85,0)</x:f>
        <x:v>67</x:v>
      </x:c>
    </x:row>
    <x:row r="69" ht="18" customHeight="1">
      <x:c r="A69" s="46" t="str">
        <x:v>LME_040</x:v>
      </x:c>
      <x:c r="B69" s="46" t="str">
        <x:v>Northeast Australian Shelf-Great Barrier Reef</x:v>
      </x:c>
      <x:c r="C69" s="46" t="str">
        <x:v>LME</x:v>
      </x:c>
      <x:c r="D69" s="58" t="n">
        <x:v>2019</x:v>
      </x:c>
      <x:c r="E69" s="60" t="n">
        <x:v>22842.531697643197</x:v>
      </x:c>
      <x:c r="F69" s="60" t="n">
        <x:v>22842.531697643197</x:v>
      </x:c>
      <x:c r="G69" s="62" t="n">
        <x:v>0</x:v>
      </x:c>
      <x:c r="H69" s="64" t="n">
        <x:v>1</x:v>
      </x:c>
      <x:c r="I69" s="66" t="n">
        <x:v>332</x:v>
      </x:c>
      <x:c r="J69" s="66" t="n">
        <x:v>332</x:v>
      </x:c>
      <x:c r="K69" s="60" t="n">
        <x:v>27661702.09258175</x:v>
      </x:c>
      <x:c r="L69" s="60" t="n">
        <x:v>27661702.092581745</x:v>
      </x:c>
      <x:c r="M69" s="60" t="n">
        <x:v>27661702.09258174</x:v>
      </x:c>
      <x:c r="N69" s="60" t="n">
        <x:v>20349298.750192918</x:v>
      </x:c>
      <x:c r="O69" s="60" t="n">
        <x:v>24055117.92563951</x:v>
      </x:c>
      <x:c r="P69" s="64" t="n">
        <x:f>K69/SUM($K$2:$K$85)</x:f>
        <x:v>0.0004239166942952125</x:v>
      </x:c>
      <x:c r="Q69" s="66" t="n">
        <x:f>RANK(K69,$K$2:$K$85,0)</x:f>
        <x:v>68</x:v>
      </x:c>
    </x:row>
    <x:row r="70" ht="18" customHeight="1">
      <x:c r="A70" s="46" t="str">
        <x:v>LME_042</x:v>
      </x:c>
      <x:c r="B70" s="46" t="str">
        <x:v>Southeast Australian Shelf</x:v>
      </x:c>
      <x:c r="C70" s="46" t="str">
        <x:v>LME</x:v>
      </x:c>
      <x:c r="D70" s="58" t="n">
        <x:v>2019</x:v>
      </x:c>
      <x:c r="E70" s="60" t="n">
        <x:v>32645.7543579061</x:v>
      </x:c>
      <x:c r="F70" s="60" t="n">
        <x:v>32645.7543579061</x:v>
      </x:c>
      <x:c r="G70" s="62" t="n">
        <x:v>0</x:v>
      </x:c>
      <x:c r="H70" s="64" t="n">
        <x:v>1</x:v>
      </x:c>
      <x:c r="I70" s="66" t="n">
        <x:v>246</x:v>
      </x:c>
      <x:c r="J70" s="66" t="n">
        <x:v>246</x:v>
      </x:c>
      <x:c r="K70" s="60" t="n">
        <x:v>22122834.477210246</x:v>
      </x:c>
      <x:c r="L70" s="60" t="n">
        <x:v>22122834.477210242</x:v>
      </x:c>
      <x:c r="M70" s="60" t="n">
        <x:v>22122834.47721024</x:v>
      </x:c>
      <x:c r="N70" s="60" t="n">
        <x:v>16994442.064237066</x:v>
      </x:c>
      <x:c r="O70" s="60" t="n">
        <x:v>17411902.077911425</x:v>
      </x:c>
      <x:c r="P70" s="64" t="n">
        <x:f>K70/SUM($K$2:$K$85)</x:f>
        <x:v>0.0003390333258825081</x:v>
      </x:c>
      <x:c r="Q70" s="66" t="n">
        <x:f>RANK(K70,$K$2:$K$85,0)</x:f>
        <x:v>69</x:v>
      </x:c>
    </x:row>
    <x:row r="71" ht="18" customHeight="1">
      <x:c r="A71" s="46" t="str">
        <x:v>LME_043</x:v>
      </x:c>
      <x:c r="B71" s="46" t="str">
        <x:v>Southwest Australian Shelf</x:v>
      </x:c>
      <x:c r="C71" s="46" t="str">
        <x:v>LME</x:v>
      </x:c>
      <x:c r="D71" s="58" t="n">
        <x:v>2019</x:v>
      </x:c>
      <x:c r="E71" s="60" t="n">
        <x:v>30450.9174249122</x:v>
      </x:c>
      <x:c r="F71" s="60" t="n">
        <x:v>30450.9174249122</x:v>
      </x:c>
      <x:c r="G71" s="62" t="n">
        <x:v>0</x:v>
      </x:c>
      <x:c r="H71" s="64" t="n">
        <x:v>1</x:v>
      </x:c>
      <x:c r="I71" s="66" t="n">
        <x:v>245</x:v>
      </x:c>
      <x:c r="J71" s="66" t="n">
        <x:v>245</x:v>
      </x:c>
      <x:c r="K71" s="60" t="n">
        <x:v>21615913.499733415</x:v>
      </x:c>
      <x:c r="L71" s="60" t="n">
        <x:v>21615913.49973341</x:v>
      </x:c>
      <x:c r="M71" s="60" t="n">
        <x:v>21615913.499733415</x:v>
      </x:c>
      <x:c r="N71" s="60" t="n">
        <x:v>17708395.819334067</x:v>
      </x:c>
      <x:c r="O71" s="60" t="n">
        <x:v>17052177.81094027</x:v>
      </x:c>
      <x:c r="P71" s="64" t="n">
        <x:f>K71/SUM($K$2:$K$85)</x:f>
        <x:v>0.0003312647415661255</x:v>
      </x:c>
      <x:c r="Q71" s="66" t="n">
        <x:f>RANK(K71,$K$2:$K$85,0)</x:f>
        <x:v>70</x:v>
      </x:c>
    </x:row>
    <x:row r="72" ht="18" customHeight="1">
      <x:c r="A72" s="46" t="str">
        <x:v>LME_045</x:v>
      </x:c>
      <x:c r="B72" s="46" t="str">
        <x:v>Northwest Australian Shelf</x:v>
      </x:c>
      <x:c r="C72" s="46" t="str">
        <x:v>LME</x:v>
      </x:c>
      <x:c r="D72" s="58" t="n">
        <x:v>2019</x:v>
      </x:c>
      <x:c r="E72" s="60" t="n">
        <x:v>44647.94498142931</x:v>
      </x:c>
      <x:c r="F72" s="60" t="n">
        <x:v>44647.94498142931</x:v>
      </x:c>
      <x:c r="G72" s="62" t="n">
        <x:v>0</x:v>
      </x:c>
      <x:c r="H72" s="64" t="n">
        <x:v>1</x:v>
      </x:c>
      <x:c r="I72" s="66" t="n">
        <x:v>410</x:v>
      </x:c>
      <x:c r="J72" s="66" t="n">
        <x:v>410</x:v>
      </x:c>
      <x:c r="K72" s="60" t="n">
        <x:v>19198827.203371964</x:v>
      </x:c>
      <x:c r="L72" s="60" t="n">
        <x:v>19198827.203371964</x:v>
      </x:c>
      <x:c r="M72" s="60" t="n">
        <x:v>19198827.203371964</x:v>
      </x:c>
      <x:c r="N72" s="60" t="n">
        <x:v>14488054.060753897</x:v>
      </x:c>
      <x:c r="O72" s="60" t="n">
        <x:v>15071326.5809076</x:v>
      </x:c>
      <x:c r="P72" s="64" t="n">
        <x:f>K72/SUM($K$2:$K$85)</x:f>
        <x:v>0.00029422279710622224</x:v>
      </x:c>
      <x:c r="Q72" s="66" t="n">
        <x:f>RANK(K72,$K$2:$K$85,0)</x:f>
        <x:v>71</x:v>
      </x:c>
    </x:row>
    <x:row r="73" ht="18" customHeight="1">
      <x:c r="A73" s="46" t="str">
        <x:v>LME_044</x:v>
      </x:c>
      <x:c r="B73" s="46" t="str">
        <x:v>West-Central Australian Shelf</x:v>
      </x:c>
      <x:c r="C73" s="46" t="str">
        <x:v>LME</x:v>
      </x:c>
      <x:c r="D73" s="58" t="n">
        <x:v>2019</x:v>
      </x:c>
      <x:c r="E73" s="60" t="n">
        <x:v>19839.072931287603</x:v>
      </x:c>
      <x:c r="F73" s="60" t="n">
        <x:v>19839.072931287603</x:v>
      </x:c>
      <x:c r="G73" s="62" t="n">
        <x:v>0</x:v>
      </x:c>
      <x:c r="H73" s="64" t="n">
        <x:v>1</x:v>
      </x:c>
      <x:c r="I73" s="66" t="n">
        <x:v>411</x:v>
      </x:c>
      <x:c r="J73" s="66" t="n">
        <x:v>411</x:v>
      </x:c>
      <x:c r="K73" s="60" t="n">
        <x:v>8269244.800308174</x:v>
      </x:c>
      <x:c r="L73" s="60" t="n">
        <x:v>8269244.800308174</x:v>
      </x:c>
      <x:c r="M73" s="60" t="n">
        <x:v>8269244.800308176</x:v>
      </x:c>
      <x:c r="N73" s="60" t="n">
        <x:v>6187071.010985136</x:v>
      </x:c>
      <x:c r="O73" s="60" t="n">
        <x:v>5984450.086611022</x:v>
      </x:c>
      <x:c r="P73" s="64" t="n">
        <x:f>K73/SUM($K$2:$K$85)</x:f>
        <x:v>0.00012672650830856158</x:v>
      </x:c>
      <x:c r="Q73" s="66" t="n">
        <x:f>RANK(K73,$K$2:$K$85,0)</x:f>
        <x:v>72</x:v>
      </x:c>
    </x:row>
    <x:row r="74" ht="18" customHeight="1">
      <x:c r="A74" s="46" t="str">
        <x:v>HS_088</x:v>
      </x:c>
      <x:c r="B74" s="46" t="str">
        <x:v>Pacific, Antarctic</x:v>
      </x:c>
      <x:c r="C74" s="46" t="str">
        <x:v>High Seas</x:v>
      </x:c>
      <x:c r="D74" s="58" t="n">
        <x:v>2019</x:v>
      </x:c>
      <x:c r="E74" s="60" t="n">
        <x:v>3559.327863</x:v>
      </x:c>
      <x:c r="F74" s="60" t="n">
        <x:v>3559.327863</x:v>
      </x:c>
      <x:c r="G74" s="62" t="n">
        <x:v>0</x:v>
      </x:c>
      <x:c r="H74" s="64" t="n">
        <x:v>1</x:v>
      </x:c>
      <x:c r="I74" s="66" t="n">
        <x:v>32</x:v>
      </x:c>
      <x:c r="J74" s="66" t="n">
        <x:v>32</x:v>
      </x:c>
      <x:c r="K74" s="60" t="n">
        <x:v>5471586.54715935</x:v>
      </x:c>
      <x:c r="L74" s="60" t="n">
        <x:v>5471586.54715935</x:v>
      </x:c>
      <x:c r="M74" s="60" t="n">
        <x:v>5471586.547159349</x:v>
      </x:c>
      <x:c r="N74" s="60" t="n">
        <x:v>5441171.091395552</x:v>
      </x:c>
      <x:c r="O74" s="60" t="n">
        <x:v>5471351.988849449</x:v>
      </x:c>
      <x:c r="P74" s="64" t="n">
        <x:f>K74/SUM($K$2:$K$85)</x:f>
        <x:v>0.00008385228334318532</x:v>
      </x:c>
      <x:c r="Q74" s="66" t="n">
        <x:f>RANK(K74,$K$2:$K$85,0)</x:f>
        <x:v>73</x:v>
      </x:c>
    </x:row>
    <x:row r="75" ht="18" customHeight="1">
      <x:c r="A75" s="46" t="str">
        <x:v>LME_063</x:v>
      </x:c>
      <x:c r="B75" s="46" t="str">
        <x:v>Hudson Bay Complex</x:v>
      </x:c>
      <x:c r="C75" s="46" t="str">
        <x:v>LME</x:v>
      </x:c>
      <x:c r="D75" s="58" t="n">
        <x:v>2019</x:v>
      </x:c>
      <x:c r="E75" s="60" t="n">
        <x:v>1269.735630608</x:v>
      </x:c>
      <x:c r="F75" s="60" t="n">
        <x:v>1269.735630608</x:v>
      </x:c>
      <x:c r="G75" s="62" t="n">
        <x:v>0</x:v>
      </x:c>
      <x:c r="H75" s="64" t="n">
        <x:v>1</x:v>
      </x:c>
      <x:c r="I75" s="66" t="n">
        <x:v>44</x:v>
      </x:c>
      <x:c r="J75" s="66" t="n">
        <x:v>44</x:v>
      </x:c>
      <x:c r="K75" s="60" t="n">
        <x:v>2919836.9461889495</x:v>
      </x:c>
      <x:c r="L75" s="60" t="n">
        <x:v>2919836.946188949</x:v>
      </x:c>
      <x:c r="M75" s="60" t="n">
        <x:v>2919836.946188949</x:v>
      </x:c>
      <x:c r="N75" s="60" t="n">
        <x:v>2767953.6523261997</x:v>
      </x:c>
      <x:c r="O75" s="60" t="n">
        <x:v>2896761.9589186287</x:v>
      </x:c>
      <x:c r="P75" s="64" t="n">
        <x:f>K75/SUM($K$2:$K$85)</x:f>
        <x:v>0.000044746618337755484</x:v>
      </x:c>
      <x:c r="Q75" s="66" t="n">
        <x:f>RANK(K75,$K$2:$K$85,0)</x:f>
        <x:v>74</x:v>
      </x:c>
    </x:row>
    <x:row r="76" ht="18" customHeight="1">
      <x:c r="A76" s="46" t="str">
        <x:v>HS_067</x:v>
      </x:c>
      <x:c r="B76" s="46" t="str">
        <x:v>Pacific, Northeast</x:v>
      </x:c>
      <x:c r="C76" s="46" t="str">
        <x:v>High Seas</x:v>
      </x:c>
      <x:c r="D76" s="58" t="n">
        <x:v>2019</x:v>
      </x:c>
      <x:c r="E76" s="60" t="n">
        <x:v>402.29139540870005</x:v>
      </x:c>
      <x:c r="F76" s="60" t="n">
        <x:v>402.29139540870005</x:v>
      </x:c>
      <x:c r="G76" s="62" t="n">
        <x:v>0</x:v>
      </x:c>
      <x:c r="H76" s="64" t="n">
        <x:v>1</x:v>
      </x:c>
      <x:c r="I76" s="66" t="n">
        <x:v>16</x:v>
      </x:c>
      <x:c r="J76" s="66" t="n">
        <x:v>16</x:v>
      </x:c>
      <x:c r="K76" s="60" t="n">
        <x:v>759816.5237174243</x:v>
      </x:c>
      <x:c r="L76" s="60" t="n">
        <x:v>759816.5237174241</x:v>
      </x:c>
      <x:c r="M76" s="60" t="n">
        <x:v>759816.523717424</x:v>
      </x:c>
      <x:c r="N76" s="60" t="n">
        <x:v>741062.6904888835</x:v>
      </x:c>
      <x:c r="O76" s="60" t="n">
        <x:v>736055.8992847266</x:v>
      </x:c>
      <x:c r="P76" s="64" t="n">
        <x:f>K76/SUM($K$2:$K$85)</x:f>
        <x:v>0.000011644218708130407</x:v>
      </x:c>
      <x:c r="Q76" s="66" t="n">
        <x:f>RANK(K76,$K$2:$K$85,0)</x:f>
        <x:v>75</x:v>
      </x:c>
    </x:row>
    <x:row r="77" ht="18" customHeight="1">
      <x:c r="A77" s="46" t="str">
        <x:v>LME_057</x:v>
      </x:c>
      <x:c r="B77" s="46" t="str">
        <x:v>Laptev Sea</x:v>
      </x:c>
      <x:c r="C77" s="46" t="str">
        <x:v>LME</x:v>
      </x:c>
      <x:c r="D77" s="58" t="n">
        <x:v>2019</x:v>
      </x:c>
      <x:c r="E77" s="60" t="n">
        <x:v>2616.1834162357</x:v>
      </x:c>
      <x:c r="F77" s="60" t="n">
        <x:v>2616.1834162357</x:v>
      </x:c>
      <x:c r="G77" s="62" t="n">
        <x:v>0</x:v>
      </x:c>
      <x:c r="H77" s="64" t="n">
        <x:v>1</x:v>
      </x:c>
      <x:c r="I77" s="66" t="n">
        <x:v>5</x:v>
      </x:c>
      <x:c r="J77" s="66" t="n">
        <x:v>5</x:v>
      </x:c>
      <x:c r="K77" s="60" t="n">
        <x:v>507104.9804889677</x:v>
      </x:c>
      <x:c r="L77" s="60" t="n">
        <x:v>507104.9804889677</x:v>
      </x:c>
      <x:c r="M77" s="60" t="n">
        <x:v>507104.9804889676</x:v>
      </x:c>
      <x:c r="N77" s="60" t="n">
        <x:v>494176.8628170198</x:v>
      </x:c>
      <x:c r="O77" s="60" t="n">
        <x:v>494181.0890332617</x:v>
      </x:c>
      <x:c r="P77" s="64" t="n">
        <x:f>K77/SUM($K$2:$K$85)</x:f>
        <x:v>0.000007771404169925308</x:v>
      </x:c>
      <x:c r="Q77" s="66" t="n">
        <x:f>RANK(K77,$K$2:$K$85,0)</x:f>
        <x:v>76</x:v>
      </x:c>
    </x:row>
    <x:row r="78" ht="18" customHeight="1">
      <x:c r="A78" s="46" t="str">
        <x:v>LME_055</x:v>
      </x:c>
      <x:c r="B78" s="46" t="str">
        <x:v>Beaufort Sea</x:v>
      </x:c>
      <x:c r="C78" s="46" t="str">
        <x:v>LME</x:v>
      </x:c>
      <x:c r="D78" s="58" t="n">
        <x:v>2019</x:v>
      </x:c>
      <x:c r="E78" s="60" t="n">
        <x:v>212.78852302800001</x:v>
      </x:c>
      <x:c r="F78" s="60" t="n">
        <x:v>212.78852302800001</x:v>
      </x:c>
      <x:c r="G78" s="62" t="n">
        <x:v>0</x:v>
      </x:c>
      <x:c r="H78" s="64" t="n">
        <x:v>1</x:v>
      </x:c>
      <x:c r="I78" s="66" t="n">
        <x:v>19</x:v>
      </x:c>
      <x:c r="J78" s="66" t="n">
        <x:v>19</x:v>
      </x:c>
      <x:c r="K78" s="60" t="n">
        <x:v>439874.51024657505</x:v>
      </x:c>
      <x:c r="L78" s="60" t="n">
        <x:v>439874.5102465751</x:v>
      </x:c>
      <x:c r="M78" s="60" t="n">
        <x:v>439874.51024657505</x:v>
      </x:c>
      <x:c r="N78" s="60" t="n">
        <x:v>381706.2485704526</x:v>
      </x:c>
      <x:c r="O78" s="60" t="n">
        <x:v>438573.7452643022</x:v>
      </x:c>
      <x:c r="P78" s="64" t="n">
        <x:f>K78/SUM($K$2:$K$85)</x:f>
        <x:v>0.000006741094516322653</x:v>
      </x:c>
      <x:c r="Q78" s="66" t="n">
        <x:f>RANK(K78,$K$2:$K$85,0)</x:f>
        <x:v>77</x:v>
      </x:c>
    </x:row>
    <x:row r="79" ht="18" customHeight="1">
      <x:c r="A79" s="46" t="str">
        <x:v>HS_058</x:v>
      </x:c>
      <x:c r="B79" s="46" t="str">
        <x:v>Indian Ocean, Antarctic</x:v>
      </x:c>
      <x:c r="C79" s="46" t="str">
        <x:v>High Seas</x:v>
      </x:c>
      <x:c r="D79" s="58" t="n">
        <x:v>2019</x:v>
      </x:c>
      <x:c r="E79" s="60" t="n">
        <x:v>1622.2799593135003</x:v>
      </x:c>
      <x:c r="F79" s="60" t="n">
        <x:v>1622.2799593135003</x:v>
      </x:c>
      <x:c r="G79" s="62" t="n">
        <x:v>0</x:v>
      </x:c>
      <x:c r="H79" s="64" t="n">
        <x:v>1</x:v>
      </x:c>
      <x:c r="I79" s="66" t="n">
        <x:v>6</x:v>
      </x:c>
      <x:c r="J79" s="66" t="n">
        <x:v>6</x:v>
      </x:c>
      <x:c r="K79" s="60" t="n">
        <x:v>316826.047060139</x:v>
      </x:c>
      <x:c r="L79" s="60" t="n">
        <x:v>316826.047060139</x:v>
      </x:c>
      <x:c r="M79" s="60" t="n">
        <x:v>316826.047060139</x:v>
      </x:c>
      <x:c r="N79" s="60" t="n">
        <x:v>316302.392591317</x:v>
      </x:c>
      <x:c r="O79" s="60" t="n">
        <x:v>316825.92653248494</x:v>
      </x:c>
      <x:c r="P79" s="64" t="n">
        <x:f>K79/SUM($K$2:$K$85)</x:f>
        <x:v>0.00000485537188155793</x:v>
      </x:c>
      <x:c r="Q79" s="66" t="n">
        <x:f>RANK(K79,$K$2:$K$85,0)</x:f>
        <x:v>78</x:v>
      </x:c>
    </x:row>
    <x:row r="80" ht="18" customHeight="1">
      <x:c r="A80" s="46" t="str">
        <x:v>LME_056</x:v>
      </x:c>
      <x:c r="B80" s="46" t="str">
        <x:v>East Siberian Sea</x:v>
      </x:c>
      <x:c r="C80" s="46" t="str">
        <x:v>LME</x:v>
      </x:c>
      <x:c r="D80" s="58" t="n">
        <x:v>2019</x:v>
      </x:c>
      <x:c r="E80" s="60" t="n">
        <x:v>1304.0687744917002</x:v>
      </x:c>
      <x:c r="F80" s="60" t="n">
        <x:v>1304.0687744917002</x:v>
      </x:c>
      <x:c r="G80" s="62" t="n">
        <x:v>0</x:v>
      </x:c>
      <x:c r="H80" s="64" t="n">
        <x:v>1</x:v>
      </x:c>
      <x:c r="I80" s="66" t="n">
        <x:v>4</x:v>
      </x:c>
      <x:c r="J80" s="66" t="n">
        <x:v>4</x:v>
      </x:c>
      <x:c r="K80" s="60" t="n">
        <x:v>275429.0625472164</x:v>
      </x:c>
      <x:c r="L80" s="60" t="n">
        <x:v>275429.0625472164</x:v>
      </x:c>
      <x:c r="M80" s="60" t="n">
        <x:v>275429.0625472164</x:v>
      </x:c>
      <x:c r="N80" s="60" t="n">
        <x:v>257076.62225567218</x:v>
      </x:c>
      <x:c r="O80" s="60" t="n">
        <x:v>257076.62225567218</x:v>
      </x:c>
      <x:c r="P80" s="64" t="n">
        <x:f>K80/SUM($K$2:$K$85)</x:f>
        <x:v>0.000004220961433141798</x:v>
      </x:c>
      <x:c r="Q80" s="66" t="n">
        <x:f>RANK(K80,$K$2:$K$85,0)</x:f>
        <x:v>79</x:v>
      </x:c>
    </x:row>
    <x:row r="81" ht="18" customHeight="1">
      <x:c r="A81" s="46" t="str">
        <x:v>LME_058</x:v>
      </x:c>
      <x:c r="B81" s="46" t="str">
        <x:v>Kara Sea</x:v>
      </x:c>
      <x:c r="C81" s="46" t="str">
        <x:v>LME</x:v>
      </x:c>
      <x:c r="D81" s="58" t="n">
        <x:v>2019</x:v>
      </x:c>
      <x:c r="E81" s="60" t="n">
        <x:v>719.2892019078</x:v>
      </x:c>
      <x:c r="F81" s="60" t="n">
        <x:v>719.2892019078</x:v>
      </x:c>
      <x:c r="G81" s="62" t="n">
        <x:v>0</x:v>
      </x:c>
      <x:c r="H81" s="64" t="n">
        <x:v>1</x:v>
      </x:c>
      <x:c r="I81" s="66" t="n">
        <x:v>5</x:v>
      </x:c>
      <x:c r="J81" s="66" t="n">
        <x:v>5</x:v>
      </x:c>
      <x:c r="K81" s="60" t="n">
        <x:v>137138.92556169763</x:v>
      </x:c>
      <x:c r="L81" s="60" t="n">
        <x:v>137138.92556169763</x:v>
      </x:c>
      <x:c r="M81" s="60" t="n">
        <x:v>137138.92556169763</x:v>
      </x:c>
      <x:c r="N81" s="60" t="n">
        <x:v>135651.10448002513</x:v>
      </x:c>
      <x:c r="O81" s="60" t="n">
        <x:v>135652.11223848525</x:v>
      </x:c>
      <x:c r="P81" s="64" t="n">
        <x:f>K81/SUM($K$2:$K$85)</x:f>
        <x:v>0.000002101659535943839</x:v>
      </x:c>
      <x:c r="Q81" s="66" t="n">
        <x:f>RANK(K81,$K$2:$K$85,0)</x:f>
        <x:v>80</x:v>
      </x:c>
    </x:row>
    <x:row r="82" ht="18" customHeight="1">
      <x:c r="A82" s="46" t="str">
        <x:v>LME_066</x:v>
      </x:c>
      <x:c r="B82" s="46" t="str">
        <x:v>Canadian High Arctic - North Greenland</x:v>
      </x:c>
      <x:c r="C82" s="46" t="str">
        <x:v>LME</x:v>
      </x:c>
      <x:c r="D82" s="58" t="n">
        <x:v>2019</x:v>
      </x:c>
      <x:c r="E82" s="60" t="n">
        <x:v>53.5919340839</x:v>
      </x:c>
      <x:c r="F82" s="60" t="n">
        <x:v>53.5919340839</x:v>
      </x:c>
      <x:c r="G82" s="62" t="n">
        <x:v>0</x:v>
      </x:c>
      <x:c r="H82" s="64" t="n">
        <x:v>1</x:v>
      </x:c>
      <x:c r="I82" s="66" t="n">
        <x:v>21</x:v>
      </x:c>
      <x:c r="J82" s="66" t="n">
        <x:v>21</x:v>
      </x:c>
      <x:c r="K82" s="60" t="n">
        <x:v>10566.207059943801</x:v>
      </x:c>
      <x:c r="L82" s="60" t="n">
        <x:v>10566.2070599438</x:v>
      </x:c>
      <x:c r="M82" s="60" t="n">
        <x:v>10566.207059943801</x:v>
      </x:c>
      <x:c r="N82" s="60" t="n">
        <x:v>10565.421006259996</x:v>
      </x:c>
      <x:c r="O82" s="60" t="n">
        <x:v>10565.545720551861</x:v>
      </x:c>
      <x:c r="P82" s="64" t="n">
        <x:f>K82/SUM($K$2:$K$85)</x:f>
        <x:v>1.6192754708653057e-7</x:v>
      </x:c>
      <x:c r="Q82" s="66" t="n">
        <x:f>RANK(K82,$K$2:$K$85,0)</x:f>
        <x:v>81</x:v>
      </x:c>
    </x:row>
    <x:row r="83" ht="18" customHeight="1">
      <x:c r="A83" s="46" t="str">
        <x:v>LME_061</x:v>
      </x:c>
      <x:c r="B83" s="46" t="str">
        <x:v>Antarctic</x:v>
      </x:c>
      <x:c r="C83" s="46" t="str">
        <x:v>LME</x:v>
      </x:c>
      <x:c r="D83" s="58" t="n">
        <x:v>2019</x:v>
      </x:c>
      <x:c r="E83" s="60" t="n">
        <x:v>0.2496140134</x:v>
      </x:c>
      <x:c r="F83" s="60" t="n">
        <x:v>0.2496140134</x:v>
      </x:c>
      <x:c r="G83" s="62" t="n">
        <x:v>0</x:v>
      </x:c>
      <x:c r="H83" s="64" t="n">
        <x:v>1</x:v>
      </x:c>
      <x:c r="I83" s="66" t="n">
        <x:v>10</x:v>
      </x:c>
      <x:c r="J83" s="66" t="n">
        <x:v>10</x:v>
      </x:c>
      <x:c r="K83" s="60" t="n">
        <x:v>57.73274163591119</x:v>
      </x:c>
      <x:c r="L83" s="60" t="n">
        <x:v>57.7327416359112</x:v>
      </x:c>
      <x:c r="M83" s="60" t="n">
        <x:v>57.7327416359112</x:v>
      </x:c>
      <x:c r="N83" s="60" t="n">
        <x:v>57.58283522606718</x:v>
      </x:c>
      <x:c r="O83" s="60" t="n">
        <x:v>57.732498833181225</x:v>
      </x:c>
      <x:c r="P83" s="64" t="n">
        <x:f>K83/SUM($K$2:$K$85)</x:f>
        <x:v>8.847565816804309e-10</x:v>
      </x:c>
      <x:c r="Q83" s="66" t="n">
        <x:f>RANK(K83,$K$2:$K$85,0)</x:f>
        <x:v>82</x:v>
      </x:c>
    </x:row>
    <x:row r="84" ht="18" customHeight="1">
      <x:c r="A84" s="46" t="str">
        <x:v>HS_018</x:v>
      </x:c>
      <x:c r="B84" s="46" t="str">
        <x:v>Arctic Sea</x:v>
      </x:c>
      <x:c r="C84" s="46" t="str">
        <x:v>High Seas</x:v>
      </x:c>
      <x:c r="D84" s="58" t="n">
        <x:v>2019</x:v>
      </x:c>
      <x:c r="E84" s="60" t="n">
        <x:v>0</x:v>
      </x:c>
      <x:c r="F84" s="60" t="n">
        <x:v>0</x:v>
      </x:c>
      <x:c r="G84" s="62" t="n">
        <x:v>0</x:v>
      </x:c>
      <x:c r="H84" s="64" t="str"/>
      <x:c r="I84" s="66" t="n">
        <x:v>0</x:v>
      </x:c>
      <x:c r="J84" s="66" t="n">
        <x:v>0</x:v>
      </x:c>
      <x:c r="K84" s="60" t="n">
        <x:v>0</x:v>
      </x:c>
      <x:c r="L84" s="60" t="n">
        <x:v>0</x:v>
      </x:c>
      <x:c r="M84" s="60" t="n">
        <x:v>0</x:v>
      </x:c>
      <x:c r="N84" s="60" t="n">
        <x:v>0</x:v>
      </x:c>
      <x:c r="O84" s="60" t="n">
        <x:v>0</x:v>
      </x:c>
      <x:c r="P84" s="64" t="n">
        <x:f>K84/SUM($K$2:$K$85)</x:f>
        <x:v>0</x:v>
      </x:c>
      <x:c r="Q84" s="66" t="n">
        <x:f>RANK(K84,$K$2:$K$85,0)</x:f>
        <x:v>83</x:v>
      </x:c>
    </x:row>
    <x:row r="85" ht="18" customHeight="1">
      <x:c r="A85" s="46" t="str">
        <x:v>LME_064</x:v>
      </x:c>
      <x:c r="B85" s="46" t="str">
        <x:v>Central Arctic Ocean</x:v>
      </x:c>
      <x:c r="C85" s="46" t="str">
        <x:v>LME</x:v>
      </x:c>
      <x:c r="D85" s="58" t="n">
        <x:v>2019</x:v>
      </x:c>
      <x:c r="E85" s="60" t="n">
        <x:v>0</x:v>
      </x:c>
      <x:c r="F85" s="60" t="n">
        <x:v>0</x:v>
      </x:c>
      <x:c r="G85" s="62" t="n">
        <x:v>0</x:v>
      </x:c>
      <x:c r="H85" s="64" t="str"/>
      <x:c r="I85" s="66" t="n">
        <x:v>0</x:v>
      </x:c>
      <x:c r="J85" s="66" t="n">
        <x:v>0</x:v>
      </x:c>
      <x:c r="K85" s="60" t="n">
        <x:v>0</x:v>
      </x:c>
      <x:c r="L85" s="60" t="n">
        <x:v>0</x:v>
      </x:c>
      <x:c r="M85" s="60" t="n">
        <x:v>0</x:v>
      </x:c>
      <x:c r="N85" s="60" t="n">
        <x:v>0</x:v>
      </x:c>
      <x:c r="O85" s="60" t="n">
        <x:v>0</x:v>
      </x:c>
      <x:c r="P85" s="64" t="n">
        <x:f>K85/SUM($K$2:$K$85)</x:f>
        <x:v>0</x:v>
      </x:c>
      <x:c r="Q85" s="66" t="n">
        <x:f>RANK(K85,$K$2:$K$85,0)</x:f>
        <x:v>83</x:v>
      </x:c>
    </x:row>
  </x:sheetData>
  <x:conditionalFormatting sqref="H2:H85">
    <x:cfRule type="cellIs" dxfId="0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3dcfdaa74cb84157"/>
  <x:tableParts count="1">
    <x:tablePart xmlns:r="http://schemas.openxmlformats.org/officeDocument/2006/relationships" r:id="R5a7112fe19f740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HS_018</x:v>
      </x:c>
      <x:c r="B2" s="46" t="str">
        <x:v>raw_filtered_tonnes</x:v>
      </x:c>
      <x:c r="C2" s="46" t="n">
        <x:v>0</x:v>
      </x:c>
      <x:c r="D2" s="46" t="str">
        <x:v>tonnes</x:v>
      </x:c>
    </x:row>
    <x:row r="3" ht="18" customHeight="1">
      <x:c r="A3" s="46" t="str">
        <x:v>HS_018</x:v>
      </x:c>
      <x:c r="B3" s="46" t="str">
        <x:v>species_catch_tonnes</x:v>
      </x:c>
      <x:c r="C3" s="46" t="n">
        <x:v>0</x:v>
      </x:c>
      <x:c r="D3" s="46" t="str">
        <x:v>tonnes</x:v>
      </x:c>
    </x:row>
    <x:row r="4" ht="18" customHeight="1">
      <x:c r="A4" s="46" t="str">
        <x:v>HS_018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HS_018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HS_018</x:v>
      </x:c>
      <x:c r="B6" s="46" t="str">
        <x:v>matched_catch_tonnes</x:v>
      </x:c>
      <x:c r="C6" s="46" t="n">
        <x:v>0</x:v>
      </x:c>
      <x:c r="D6" s="46" t="str">
        <x:v>tonnes</x:v>
      </x:c>
    </x:row>
    <x:row r="7" ht="18" customHeight="1">
      <x:c r="A7" s="46" t="str">
        <x:v>HS_018</x:v>
      </x:c>
      <x:c r="B7" s="46" t="str">
        <x:v>catch_coverage_fraction</x:v>
      </x:c>
      <x:c r="C7" s="46" t="str"/>
      <x:c r="D7" s="46" t="str">
        <x:v>fraction</x:v>
      </x:c>
    </x:row>
    <x:row r="8" ht="18" customHeight="1">
      <x:c r="A8" s="46" t="str">
        <x:v>HS_018</x:v>
      </x:c>
      <x:c r="B8" s="46" t="str">
        <x:v>taxa_count</x:v>
      </x:c>
      <x:c r="C8" s="46" t="n">
        <x:v>0</x:v>
      </x:c>
      <x:c r="D8" s="46" t="str">
        <x:v>count</x:v>
      </x:c>
    </x:row>
    <x:row r="9" ht="18" customHeight="1">
      <x:c r="A9" s="46" t="str">
        <x:v>HS_018</x:v>
      </x:c>
      <x:c r="B9" s="46" t="str">
        <x:v>matched_taxa_count</x:v>
      </x:c>
      <x:c r="C9" s="46" t="n">
        <x:v>0</x:v>
      </x:c>
      <x:c r="D9" s="46" t="str">
        <x:v>count</x:v>
      </x:c>
    </x:row>
    <x:row r="10" ht="18" customHeight="1">
      <x:c r="A10" s="46" t="str">
        <x:v>HS_018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HS_018</x:v>
      </x:c>
      <x:c r="B11" s="46" t="str">
        <x:v>species_ppr</x:v>
      </x:c>
      <x:c r="C11" s="46" t="n">
        <x:v>0</x:v>
      </x:c>
      <x:c r="D11" s="46" t="str">
        <x:v>tonnes_primary_production_equivalent</x:v>
      </x:c>
    </x:row>
    <x:row r="12" ht="18" customHeight="1">
      <x:c r="A12" s="46" t="str">
        <x:v>HS_018</x:v>
      </x:c>
      <x:c r="B12" s="46" t="str">
        <x:v>commercial_ppr</x:v>
      </x:c>
      <x:c r="C12" s="46" t="n">
        <x:v>0</x:v>
      </x:c>
      <x:c r="D12" s="46" t="str">
        <x:v>tonnes_primary_production_equivalent</x:v>
      </x:c>
    </x:row>
    <x:row r="13" ht="18" customHeight="1">
      <x:c r="A13" s="46" t="str">
        <x:v>HS_018</x:v>
      </x:c>
      <x:c r="B13" s="46" t="str">
        <x:v>functional_ppr</x:v>
      </x:c>
      <x:c r="C13" s="46" t="n">
        <x:v>0</x:v>
      </x:c>
      <x:c r="D13" s="46" t="str">
        <x:v>tonnes_primary_production_equivalent</x:v>
      </x:c>
    </x:row>
    <x:row r="14" ht="18" customHeight="1">
      <x:c r="A14" s="46" t="str">
        <x:v>HS_018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HS_018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HS_018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HS_018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HS_018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HS_018</x:v>
      </x:c>
      <x:c r="B19" s="46" t="str">
        <x:v>functional_jensen_violations</x:v>
      </x:c>
      <x:c r="C19" s="46" t="n">
        <x:v>0</x:v>
      </x:c>
      <x:c r="D19" s="46" t="str">
        <x:v>count</x:v>
      </x:c>
    </x:row>
    <x:row r="20" ht="18" customHeight="1">
      <x:c r="A20" s="46" t="str">
        <x:v>HS_021</x:v>
      </x:c>
      <x:c r="B20" s="46" t="str">
        <x:v>raw_filtered_tonnes</x:v>
      </x:c>
      <x:c r="C20" s="46" t="n">
        <x:v>87745.0994728874</x:v>
      </x:c>
      <x:c r="D20" s="46" t="str">
        <x:v>tonnes</x:v>
      </x:c>
    </x:row>
    <x:row r="21" ht="18" customHeight="1">
      <x:c r="A21" s="46" t="str">
        <x:v>HS_021</x:v>
      </x:c>
      <x:c r="B21" s="46" t="str">
        <x:v>species_catch_tonnes</x:v>
      </x:c>
      <x:c r="C21" s="46" t="n">
        <x:v>87745.0994728874</x:v>
      </x:c>
      <x:c r="D21" s="46" t="str">
        <x:v>tonnes</x:v>
      </x:c>
    </x:row>
    <x:row r="22" ht="18" customHeight="1">
      <x:c r="A22" s="46" t="str">
        <x:v>HS_021</x:v>
      </x:c>
      <x:c r="B22" s="46" t="str">
        <x:v>catch_difference_tonnes</x:v>
      </x:c>
      <x:c r="C22" s="46" t="n">
        <x:v>0</x:v>
      </x:c>
      <x:c r="D22" s="46" t="str">
        <x:v>tonnes</x:v>
      </x:c>
    </x:row>
    <x:row r="23" ht="18" customHeight="1">
      <x:c r="A23" s="46" t="str">
        <x:v>HS_021</x:v>
      </x:c>
      <x:c r="B23" s="46" t="str">
        <x:v>catch_reconciled</x:v>
      </x:c>
      <x:c r="C23" s="46" t="str">
        <x:v>True</x:v>
      </x:c>
      <x:c r="D23" s="46" t="str">
        <x:v>boolean</x:v>
      </x:c>
    </x:row>
    <x:row r="24" ht="18" customHeight="1">
      <x:c r="A24" s="46" t="str">
        <x:v>HS_021</x:v>
      </x:c>
      <x:c r="B24" s="46" t="str">
        <x:v>matched_catch_tonnes</x:v>
      </x:c>
      <x:c r="C24" s="46" t="n">
        <x:v>87745.0994728874</x:v>
      </x:c>
      <x:c r="D24" s="46" t="str">
        <x:v>tonnes</x:v>
      </x:c>
    </x:row>
    <x:row r="25" ht="18" customHeight="1">
      <x:c r="A25" s="46" t="str">
        <x:v>HS_021</x:v>
      </x:c>
      <x:c r="B25" s="46" t="str">
        <x:v>catch_coverage_fraction</x:v>
      </x:c>
      <x:c r="C25" s="46" t="n">
        <x:v>1</x:v>
      </x:c>
      <x:c r="D25" s="46" t="str">
        <x:v>fraction</x:v>
      </x:c>
    </x:row>
    <x:row r="26" ht="18" customHeight="1">
      <x:c r="A26" s="46" t="str">
        <x:v>HS_021</x:v>
      </x:c>
      <x:c r="B26" s="46" t="str">
        <x:v>taxa_count</x:v>
      </x:c>
      <x:c r="C26" s="46" t="n">
        <x:v>67</x:v>
      </x:c>
      <x:c r="D26" s="46" t="str">
        <x:v>count</x:v>
      </x:c>
    </x:row>
    <x:row r="27" ht="18" customHeight="1">
      <x:c r="A27" s="46" t="str">
        <x:v>HS_021</x:v>
      </x:c>
      <x:c r="B27" s="46" t="str">
        <x:v>matched_taxa_count</x:v>
      </x:c>
      <x:c r="C27" s="46" t="n">
        <x:v>67</x:v>
      </x:c>
      <x:c r="D27" s="46" t="str">
        <x:v>count</x:v>
      </x:c>
    </x:row>
    <x:row r="28" ht="18" customHeight="1">
      <x:c r="A28" s="46" t="str">
        <x:v>HS_021</x:v>
      </x:c>
      <x:c r="B28" s="46" t="str">
        <x:v>unmatched_taxa_count</x:v>
      </x:c>
      <x:c r="C28" s="46" t="n">
        <x:v>0</x:v>
      </x:c>
      <x:c r="D28" s="46" t="str">
        <x:v>count</x:v>
      </x:c>
    </x:row>
    <x:row r="29" ht="18" customHeight="1">
      <x:c r="A29" s="46" t="str">
        <x:v>HS_021</x:v>
      </x:c>
      <x:c r="B29" s="46" t="str">
        <x:v>species_ppr</x:v>
      </x:c>
      <x:c r="C29" s="46" t="n">
        <x:v>101551846.3748264</x:v>
      </x:c>
      <x:c r="D29" s="46" t="str">
        <x:v>tonnes_primary_production_equivalent</x:v>
      </x:c>
    </x:row>
    <x:row r="30" ht="18" customHeight="1">
      <x:c r="A30" s="46" t="str">
        <x:v>HS_021</x:v>
      </x:c>
      <x:c r="B30" s="46" t="str">
        <x:v>commercial_ppr</x:v>
      </x:c>
      <x:c r="C30" s="46" t="n">
        <x:v>101551846.37482642</x:v>
      </x:c>
      <x:c r="D30" s="46" t="str">
        <x:v>tonnes_primary_production_equivalent</x:v>
      </x:c>
    </x:row>
    <x:row r="31" ht="18" customHeight="1">
      <x:c r="A31" s="46" t="str">
        <x:v>HS_021</x:v>
      </x:c>
      <x:c r="B31" s="46" t="str">
        <x:v>functional_ppr</x:v>
      </x:c>
      <x:c r="C31" s="46" t="n">
        <x:v>101551846.37482639</x:v>
      </x:c>
      <x:c r="D31" s="46" t="str">
        <x:v>tonnes_primary_production_equivalent</x:v>
      </x:c>
    </x:row>
    <x:row r="32" ht="18" customHeight="1">
      <x:c r="A32" s="46" t="str">
        <x:v>HS_021</x:v>
      </x:c>
      <x:c r="B32" s="46" t="str">
        <x:v>commercial_ppr_difference</x:v>
      </x:c>
      <x:c r="C32" s="46" t="n">
        <x:v>1.4901161193847656e-8</x:v>
      </x:c>
      <x:c r="D32" s="46" t="str">
        <x:v>tonnes_primary_production_equivalent</x:v>
      </x:c>
    </x:row>
    <x:row r="33" ht="18" customHeight="1">
      <x:c r="A33" s="46" t="str">
        <x:v>HS_021</x:v>
      </x:c>
      <x:c r="B33" s="46" t="str">
        <x:v>functional_ppr_difference</x:v>
      </x:c>
      <x:c r="C33" s="46" t="n">
        <x:v>-1.4901161193847656e-8</x:v>
      </x:c>
      <x:c r="D33" s="46" t="str">
        <x:v>tonnes_primary_production_equivalent</x:v>
      </x:c>
    </x:row>
    <x:row r="34" ht="18" customHeight="1">
      <x:c r="A34" s="46" t="str">
        <x:v>HS_021</x:v>
      </x:c>
      <x:c r="B34" s="46" t="str">
        <x:v>commercial_ppr_reconciled</x:v>
      </x:c>
      <x:c r="C34" s="46" t="str">
        <x:v>True</x:v>
      </x:c>
      <x:c r="D34" s="46" t="str">
        <x:v>boolean</x:v>
      </x:c>
    </x:row>
    <x:row r="35" ht="18" customHeight="1">
      <x:c r="A35" s="46" t="str">
        <x:v>HS_021</x:v>
      </x:c>
      <x:c r="B35" s="46" t="str">
        <x:v>functional_ppr_reconciled</x:v>
      </x:c>
      <x:c r="C35" s="46" t="str">
        <x:v>True</x:v>
      </x:c>
      <x:c r="D35" s="46" t="str">
        <x:v>boolean</x:v>
      </x:c>
    </x:row>
    <x:row r="36" ht="18" customHeight="1">
      <x:c r="A36" s="46" t="str">
        <x:v>HS_021</x:v>
      </x:c>
      <x:c r="B36" s="46" t="str">
        <x:v>commercial_jensen_violations</x:v>
      </x:c>
      <x:c r="C36" s="46" t="n">
        <x:v>0</x:v>
      </x:c>
      <x:c r="D36" s="46" t="str">
        <x:v>count</x:v>
      </x:c>
    </x:row>
    <x:row r="37" ht="18" customHeight="1">
      <x:c r="A37" s="46" t="str">
        <x:v>HS_021</x:v>
      </x:c>
      <x:c r="B37" s="46" t="str">
        <x:v>functional_jensen_violations</x:v>
      </x:c>
      <x:c r="C37" s="46" t="n">
        <x:v>0</x:v>
      </x:c>
      <x:c r="D37" s="46" t="str">
        <x:v>count</x:v>
      </x:c>
    </x:row>
    <x:row r="38" ht="18" customHeight="1">
      <x:c r="A38" s="46" t="str">
        <x:v>HS_027</x:v>
      </x:c>
      <x:c r="B38" s="46" t="str">
        <x:v>raw_filtered_tonnes</x:v>
      </x:c>
      <x:c r="C38" s="46" t="n">
        <x:v>734932.2904610422</x:v>
      </x:c>
      <x:c r="D38" s="46" t="str">
        <x:v>tonnes</x:v>
      </x:c>
    </x:row>
    <x:row r="39" ht="18" customHeight="1">
      <x:c r="A39" s="46" t="str">
        <x:v>HS_027</x:v>
      </x:c>
      <x:c r="B39" s="46" t="str">
        <x:v>species_catch_tonnes</x:v>
      </x:c>
      <x:c r="C39" s="46" t="n">
        <x:v>734932.290461042</x:v>
      </x:c>
      <x:c r="D39" s="46" t="str">
        <x:v>tonnes</x:v>
      </x:c>
    </x:row>
    <x:row r="40" ht="18" customHeight="1">
      <x:c r="A40" s="46" t="str">
        <x:v>HS_027</x:v>
      </x:c>
      <x:c r="B40" s="46" t="str">
        <x:v>catch_difference_tonnes</x:v>
      </x:c>
      <x:c r="C40" s="46" t="n">
        <x:v>-2.3283064365386963e-10</x:v>
      </x:c>
      <x:c r="D40" s="46" t="str">
        <x:v>tonnes</x:v>
      </x:c>
    </x:row>
    <x:row r="41" ht="18" customHeight="1">
      <x:c r="A41" s="46" t="str">
        <x:v>HS_027</x:v>
      </x:c>
      <x:c r="B41" s="46" t="str">
        <x:v>catch_reconciled</x:v>
      </x:c>
      <x:c r="C41" s="46" t="str">
        <x:v>True</x:v>
      </x:c>
      <x:c r="D41" s="46" t="str">
        <x:v>boolean</x:v>
      </x:c>
    </x:row>
    <x:row r="42" ht="18" customHeight="1">
      <x:c r="A42" s="46" t="str">
        <x:v>HS_027</x:v>
      </x:c>
      <x:c r="B42" s="46" t="str">
        <x:v>matched_catch_tonnes</x:v>
      </x:c>
      <x:c r="C42" s="46" t="n">
        <x:v>734932.290461042</x:v>
      </x:c>
      <x:c r="D42" s="46" t="str">
        <x:v>tonnes</x:v>
      </x:c>
    </x:row>
    <x:row r="43" ht="18" customHeight="1">
      <x:c r="A43" s="46" t="str">
        <x:v>HS_027</x:v>
      </x:c>
      <x:c r="B43" s="46" t="str">
        <x:v>catch_coverage_fraction</x:v>
      </x:c>
      <x:c r="C43" s="46" t="n">
        <x:v>1</x:v>
      </x:c>
      <x:c r="D43" s="46" t="str">
        <x:v>fraction</x:v>
      </x:c>
    </x:row>
    <x:row r="44" ht="18" customHeight="1">
      <x:c r="A44" s="46" t="str">
        <x:v>HS_027</x:v>
      </x:c>
      <x:c r="B44" s="46" t="str">
        <x:v>taxa_count</x:v>
      </x:c>
      <x:c r="C44" s="46" t="n">
        <x:v>131</x:v>
      </x:c>
      <x:c r="D44" s="46" t="str">
        <x:v>count</x:v>
      </x:c>
    </x:row>
    <x:row r="45" ht="18" customHeight="1">
      <x:c r="A45" s="46" t="str">
        <x:v>HS_027</x:v>
      </x:c>
      <x:c r="B45" s="46" t="str">
        <x:v>matched_taxa_count</x:v>
      </x:c>
      <x:c r="C45" s="46" t="n">
        <x:v>131</x:v>
      </x:c>
      <x:c r="D45" s="46" t="str">
        <x:v>count</x:v>
      </x:c>
    </x:row>
    <x:row r="46" ht="18" customHeight="1">
      <x:c r="A46" s="46" t="str">
        <x:v>HS_027</x:v>
      </x:c>
      <x:c r="B46" s="46" t="str">
        <x:v>unmatched_taxa_count</x:v>
      </x:c>
      <x:c r="C46" s="46" t="n">
        <x:v>0</x:v>
      </x:c>
      <x:c r="D46" s="46" t="str">
        <x:v>count</x:v>
      </x:c>
    </x:row>
    <x:row r="47" ht="18" customHeight="1">
      <x:c r="A47" s="46" t="str">
        <x:v>HS_027</x:v>
      </x:c>
      <x:c r="B47" s="46" t="str">
        <x:v>species_ppr</x:v>
      </x:c>
      <x:c r="C47" s="46" t="n">
        <x:v>192111009.49801588</x:v>
      </x:c>
      <x:c r="D47" s="46" t="str">
        <x:v>tonnes_primary_production_equivalent</x:v>
      </x:c>
    </x:row>
    <x:row r="48" ht="18" customHeight="1">
      <x:c r="A48" s="46" t="str">
        <x:v>HS_027</x:v>
      </x:c>
      <x:c r="B48" s="46" t="str">
        <x:v>commercial_ppr</x:v>
      </x:c>
      <x:c r="C48" s="46" t="n">
        <x:v>192111009.49801588</x:v>
      </x:c>
      <x:c r="D48" s="46" t="str">
        <x:v>tonnes_primary_production_equivalent</x:v>
      </x:c>
    </x:row>
    <x:row r="49" ht="18" customHeight="1">
      <x:c r="A49" s="46" t="str">
        <x:v>HS_027</x:v>
      </x:c>
      <x:c r="B49" s="46" t="str">
        <x:v>functional_ppr</x:v>
      </x:c>
      <x:c r="C49" s="46" t="n">
        <x:v>192111009.49801588</x:v>
      </x:c>
      <x:c r="D49" s="46" t="str">
        <x:v>tonnes_primary_production_equivalent</x:v>
      </x:c>
    </x:row>
    <x:row r="50" ht="18" customHeight="1">
      <x:c r="A50" s="46" t="str">
        <x:v>HS_027</x:v>
      </x:c>
      <x:c r="B50" s="46" t="str">
        <x:v>commercial_ppr_difference</x:v>
      </x:c>
      <x:c r="C50" s="46" t="n">
        <x:v>0</x:v>
      </x:c>
      <x:c r="D50" s="46" t="str">
        <x:v>tonnes_primary_production_equivalent</x:v>
      </x:c>
    </x:row>
    <x:row r="51" ht="18" customHeight="1">
      <x:c r="A51" s="46" t="str">
        <x:v>HS_027</x:v>
      </x:c>
      <x:c r="B51" s="46" t="str">
        <x:v>functional_ppr_difference</x:v>
      </x:c>
      <x:c r="C51" s="46" t="n">
        <x:v>0</x:v>
      </x:c>
      <x:c r="D51" s="46" t="str">
        <x:v>tonnes_primary_production_equivalent</x:v>
      </x:c>
    </x:row>
    <x:row r="52" ht="18" customHeight="1">
      <x:c r="A52" s="46" t="str">
        <x:v>HS_027</x:v>
      </x:c>
      <x:c r="B52" s="46" t="str">
        <x:v>commercial_ppr_reconciled</x:v>
      </x:c>
      <x:c r="C52" s="46" t="str">
        <x:v>True</x:v>
      </x:c>
      <x:c r="D52" s="46" t="str">
        <x:v>boolean</x:v>
      </x:c>
    </x:row>
    <x:row r="53" ht="18" customHeight="1">
      <x:c r="A53" s="46" t="str">
        <x:v>HS_027</x:v>
      </x:c>
      <x:c r="B53" s="46" t="str">
        <x:v>functional_ppr_reconciled</x:v>
      </x:c>
      <x:c r="C53" s="46" t="str">
        <x:v>True</x:v>
      </x:c>
      <x:c r="D53" s="46" t="str">
        <x:v>boolean</x:v>
      </x:c>
    </x:row>
    <x:row r="54" ht="18" customHeight="1">
      <x:c r="A54" s="46" t="str">
        <x:v>HS_027</x:v>
      </x:c>
      <x:c r="B54" s="46" t="str">
        <x:v>commercial_jensen_violations</x:v>
      </x:c>
      <x:c r="C54" s="46" t="n">
        <x:v>0</x:v>
      </x:c>
      <x:c r="D54" s="46" t="str">
        <x:v>count</x:v>
      </x:c>
    </x:row>
    <x:row r="55" ht="18" customHeight="1">
      <x:c r="A55" s="46" t="str">
        <x:v>HS_027</x:v>
      </x:c>
      <x:c r="B55" s="46" t="str">
        <x:v>functional_jensen_violations</x:v>
      </x:c>
      <x:c r="C55" s="46" t="n">
        <x:v>0</x:v>
      </x:c>
      <x:c r="D55" s="46" t="str">
        <x:v>count</x:v>
      </x:c>
    </x:row>
    <x:row r="56" ht="18" customHeight="1">
      <x:c r="A56" s="46" t="str">
        <x:v>HS_031</x:v>
      </x:c>
      <x:c r="B56" s="46" t="str">
        <x:v>raw_filtered_tonnes</x:v>
      </x:c>
      <x:c r="C56" s="46" t="n">
        <x:v>16859.0112032287</x:v>
      </x:c>
      <x:c r="D56" s="46" t="str">
        <x:v>tonnes</x:v>
      </x:c>
    </x:row>
    <x:row r="57" ht="18" customHeight="1">
      <x:c r="A57" s="46" t="str">
        <x:v>HS_031</x:v>
      </x:c>
      <x:c r="B57" s="46" t="str">
        <x:v>species_catch_tonnes</x:v>
      </x:c>
      <x:c r="C57" s="46" t="n">
        <x:v>16859.0112032287</x:v>
      </x:c>
      <x:c r="D57" s="46" t="str">
        <x:v>tonnes</x:v>
      </x:c>
    </x:row>
    <x:row r="58" ht="18" customHeight="1">
      <x:c r="A58" s="46" t="str">
        <x:v>HS_031</x:v>
      </x:c>
      <x:c r="B58" s="46" t="str">
        <x:v>catch_difference_tonnes</x:v>
      </x:c>
      <x:c r="C58" s="46" t="n">
        <x:v>0</x:v>
      </x:c>
      <x:c r="D58" s="46" t="str">
        <x:v>tonnes</x:v>
      </x:c>
    </x:row>
    <x:row r="59" ht="18" customHeight="1">
      <x:c r="A59" s="46" t="str">
        <x:v>HS_031</x:v>
      </x:c>
      <x:c r="B59" s="46" t="str">
        <x:v>catch_reconciled</x:v>
      </x:c>
      <x:c r="C59" s="46" t="str">
        <x:v>True</x:v>
      </x:c>
      <x:c r="D59" s="46" t="str">
        <x:v>boolean</x:v>
      </x:c>
    </x:row>
    <x:row r="60" ht="18" customHeight="1">
      <x:c r="A60" s="46" t="str">
        <x:v>HS_031</x:v>
      </x:c>
      <x:c r="B60" s="46" t="str">
        <x:v>matched_catch_tonnes</x:v>
      </x:c>
      <x:c r="C60" s="46" t="n">
        <x:v>16859.0112032287</x:v>
      </x:c>
      <x:c r="D60" s="46" t="str">
        <x:v>tonnes</x:v>
      </x:c>
    </x:row>
    <x:row r="61" ht="18" customHeight="1">
      <x:c r="A61" s="46" t="str">
        <x:v>HS_031</x:v>
      </x:c>
      <x:c r="B61" s="46" t="str">
        <x:v>catch_coverage_fraction</x:v>
      </x:c>
      <x:c r="C61" s="46" t="n">
        <x:v>1</x:v>
      </x:c>
      <x:c r="D61" s="46" t="str">
        <x:v>fraction</x:v>
      </x:c>
    </x:row>
    <x:row r="62" ht="18" customHeight="1">
      <x:c r="A62" s="46" t="str">
        <x:v>HS_031</x:v>
      </x:c>
      <x:c r="B62" s="46" t="str">
        <x:v>taxa_count</x:v>
      </x:c>
      <x:c r="C62" s="46" t="n">
        <x:v>32</x:v>
      </x:c>
      <x:c r="D62" s="46" t="str">
        <x:v>count</x:v>
      </x:c>
    </x:row>
    <x:row r="63" ht="18" customHeight="1">
      <x:c r="A63" s="46" t="str">
        <x:v>HS_031</x:v>
      </x:c>
      <x:c r="B63" s="46" t="str">
        <x:v>matched_taxa_count</x:v>
      </x:c>
      <x:c r="C63" s="46" t="n">
        <x:v>32</x:v>
      </x:c>
      <x:c r="D63" s="46" t="str">
        <x:v>count</x:v>
      </x:c>
    </x:row>
    <x:row r="64" ht="18" customHeight="1">
      <x:c r="A64" s="46" t="str">
        <x:v>HS_031</x:v>
      </x:c>
      <x:c r="B64" s="46" t="str">
        <x:v>unmatched_taxa_count</x:v>
      </x:c>
      <x:c r="C64" s="46" t="n">
        <x:v>0</x:v>
      </x:c>
      <x:c r="D64" s="46" t="str">
        <x:v>count</x:v>
      </x:c>
    </x:row>
    <x:row r="65" ht="18" customHeight="1">
      <x:c r="A65" s="46" t="str">
        <x:v>HS_031</x:v>
      </x:c>
      <x:c r="B65" s="46" t="str">
        <x:v>species_ppr</x:v>
      </x:c>
      <x:c r="C65" s="46" t="n">
        <x:v>32845718.432304144</x:v>
      </x:c>
      <x:c r="D65" s="46" t="str">
        <x:v>tonnes_primary_production_equivalent</x:v>
      </x:c>
    </x:row>
    <x:row r="66" ht="18" customHeight="1">
      <x:c r="A66" s="46" t="str">
        <x:v>HS_031</x:v>
      </x:c>
      <x:c r="B66" s="46" t="str">
        <x:v>commercial_ppr</x:v>
      </x:c>
      <x:c r="C66" s="46" t="n">
        <x:v>32845718.432304144</x:v>
      </x:c>
      <x:c r="D66" s="46" t="str">
        <x:v>tonnes_primary_production_equivalent</x:v>
      </x:c>
    </x:row>
    <x:row r="67" ht="18" customHeight="1">
      <x:c r="A67" s="46" t="str">
        <x:v>HS_031</x:v>
      </x:c>
      <x:c r="B67" s="46" t="str">
        <x:v>functional_ppr</x:v>
      </x:c>
      <x:c r="C67" s="46" t="n">
        <x:v>32845718.432304144</x:v>
      </x:c>
      <x:c r="D67" s="46" t="str">
        <x:v>tonnes_primary_production_equivalent</x:v>
      </x:c>
    </x:row>
    <x:row r="68" ht="18" customHeight="1">
      <x:c r="A68" s="46" t="str">
        <x:v>HS_031</x:v>
      </x:c>
      <x:c r="B68" s="46" t="str">
        <x:v>commercial_ppr_difference</x:v>
      </x:c>
      <x:c r="C68" s="46" t="n">
        <x:v>0</x:v>
      </x:c>
      <x:c r="D68" s="46" t="str">
        <x:v>tonnes_primary_production_equivalent</x:v>
      </x:c>
    </x:row>
    <x:row r="69" ht="18" customHeight="1">
      <x:c r="A69" s="46" t="str">
        <x:v>HS_031</x:v>
      </x:c>
      <x:c r="B69" s="46" t="str">
        <x:v>functional_ppr_difference</x:v>
      </x:c>
      <x:c r="C69" s="46" t="n">
        <x:v>0</x:v>
      </x:c>
      <x:c r="D69" s="46" t="str">
        <x:v>tonnes_primary_production_equivalent</x:v>
      </x:c>
    </x:row>
    <x:row r="70" ht="18" customHeight="1">
      <x:c r="A70" s="46" t="str">
        <x:v>HS_031</x:v>
      </x:c>
      <x:c r="B70" s="46" t="str">
        <x:v>commercial_ppr_reconciled</x:v>
      </x:c>
      <x:c r="C70" s="46" t="str">
        <x:v>True</x:v>
      </x:c>
      <x:c r="D70" s="46" t="str">
        <x:v>boolean</x:v>
      </x:c>
    </x:row>
    <x:row r="71" ht="18" customHeight="1">
      <x:c r="A71" s="46" t="str">
        <x:v>HS_031</x:v>
      </x:c>
      <x:c r="B71" s="46" t="str">
        <x:v>functional_ppr_reconciled</x:v>
      </x:c>
      <x:c r="C71" s="46" t="str">
        <x:v>True</x:v>
      </x:c>
      <x:c r="D71" s="46" t="str">
        <x:v>boolean</x:v>
      </x:c>
    </x:row>
    <x:row r="72" ht="18" customHeight="1">
      <x:c r="A72" s="46" t="str">
        <x:v>HS_031</x:v>
      </x:c>
      <x:c r="B72" s="46" t="str">
        <x:v>commercial_jensen_violations</x:v>
      </x:c>
      <x:c r="C72" s="46" t="n">
        <x:v>0</x:v>
      </x:c>
      <x:c r="D72" s="46" t="str">
        <x:v>count</x:v>
      </x:c>
    </x:row>
    <x:row r="73" ht="18" customHeight="1">
      <x:c r="A73" s="46" t="str">
        <x:v>HS_031</x:v>
      </x:c>
      <x:c r="B73" s="46" t="str">
        <x:v>functional_jensen_violations</x:v>
      </x:c>
      <x:c r="C73" s="46" t="n">
        <x:v>0</x:v>
      </x:c>
      <x:c r="D73" s="46" t="str">
        <x:v>count</x:v>
      </x:c>
    </x:row>
    <x:row r="74" ht="18" customHeight="1">
      <x:c r="A74" s="46" t="str">
        <x:v>HS_034</x:v>
      </x:c>
      <x:c r="B74" s="46" t="str">
        <x:v>raw_filtered_tonnes</x:v>
      </x:c>
      <x:c r="C74" s="46" t="n">
        <x:v>235319.4552726861</x:v>
      </x:c>
      <x:c r="D74" s="46" t="str">
        <x:v>tonnes</x:v>
      </x:c>
    </x:row>
    <x:row r="75" ht="18" customHeight="1">
      <x:c r="A75" s="46" t="str">
        <x:v>HS_034</x:v>
      </x:c>
      <x:c r="B75" s="46" t="str">
        <x:v>species_catch_tonnes</x:v>
      </x:c>
      <x:c r="C75" s="46" t="n">
        <x:v>235319.45527268611</x:v>
      </x:c>
      <x:c r="D75" s="46" t="str">
        <x:v>tonnes</x:v>
      </x:c>
    </x:row>
    <x:row r="76" ht="18" customHeight="1">
      <x:c r="A76" s="46" t="str">
        <x:v>HS_034</x:v>
      </x:c>
      <x:c r="B76" s="46" t="str">
        <x:v>catch_difference_tonnes</x:v>
      </x:c>
      <x:c r="C76" s="46" t="n">
        <x:v>2.9103830456733704e-11</x:v>
      </x:c>
      <x:c r="D76" s="46" t="str">
        <x:v>tonnes</x:v>
      </x:c>
    </x:row>
    <x:row r="77" ht="18" customHeight="1">
      <x:c r="A77" s="46" t="str">
        <x:v>HS_034</x:v>
      </x:c>
      <x:c r="B77" s="46" t="str">
        <x:v>catch_reconciled</x:v>
      </x:c>
      <x:c r="C77" s="46" t="str">
        <x:v>True</x:v>
      </x:c>
      <x:c r="D77" s="46" t="str">
        <x:v>boolean</x:v>
      </x:c>
    </x:row>
    <x:row r="78" ht="18" customHeight="1">
      <x:c r="A78" s="46" t="str">
        <x:v>HS_034</x:v>
      </x:c>
      <x:c r="B78" s="46" t="str">
        <x:v>matched_catch_tonnes</x:v>
      </x:c>
      <x:c r="C78" s="46" t="n">
        <x:v>235319.45527268611</x:v>
      </x:c>
      <x:c r="D78" s="46" t="str">
        <x:v>tonnes</x:v>
      </x:c>
    </x:row>
    <x:row r="79" ht="18" customHeight="1">
      <x:c r="A79" s="46" t="str">
        <x:v>HS_034</x:v>
      </x:c>
      <x:c r="B79" s="46" t="str">
        <x:v>catch_coverage_fraction</x:v>
      </x:c>
      <x:c r="C79" s="46" t="n">
        <x:v>1</x:v>
      </x:c>
      <x:c r="D79" s="46" t="str">
        <x:v>fraction</x:v>
      </x:c>
    </x:row>
    <x:row r="80" ht="18" customHeight="1">
      <x:c r="A80" s="46" t="str">
        <x:v>HS_034</x:v>
      </x:c>
      <x:c r="B80" s="46" t="str">
        <x:v>taxa_count</x:v>
      </x:c>
      <x:c r="C80" s="46" t="n">
        <x:v>37</x:v>
      </x:c>
      <x:c r="D80" s="46" t="str">
        <x:v>count</x:v>
      </x:c>
    </x:row>
    <x:row r="81" ht="18" customHeight="1">
      <x:c r="A81" s="46" t="str">
        <x:v>HS_034</x:v>
      </x:c>
      <x:c r="B81" s="46" t="str">
        <x:v>matched_taxa_count</x:v>
      </x:c>
      <x:c r="C81" s="46" t="n">
        <x:v>37</x:v>
      </x:c>
      <x:c r="D81" s="46" t="str">
        <x:v>count</x:v>
      </x:c>
    </x:row>
    <x:row r="82" ht="18" customHeight="1">
      <x:c r="A82" s="46" t="str">
        <x:v>HS_034</x:v>
      </x:c>
      <x:c r="B82" s="46" t="str">
        <x:v>unmatched_taxa_count</x:v>
      </x:c>
      <x:c r="C82" s="46" t="n">
        <x:v>0</x:v>
      </x:c>
      <x:c r="D82" s="46" t="str">
        <x:v>count</x:v>
      </x:c>
    </x:row>
    <x:row r="83" ht="18" customHeight="1">
      <x:c r="A83" s="46" t="str">
        <x:v>HS_034</x:v>
      </x:c>
      <x:c r="B83" s="46" t="str">
        <x:v>species_ppr</x:v>
      </x:c>
      <x:c r="C83" s="46" t="n">
        <x:v>580150840.1289461</x:v>
      </x:c>
      <x:c r="D83" s="46" t="str">
        <x:v>tonnes_primary_production_equivalent</x:v>
      </x:c>
    </x:row>
    <x:row r="84" ht="18" customHeight="1">
      <x:c r="A84" s="46" t="str">
        <x:v>HS_034</x:v>
      </x:c>
      <x:c r="B84" s="46" t="str">
        <x:v>commercial_ppr</x:v>
      </x:c>
      <x:c r="C84" s="46" t="n">
        <x:v>580150840.128946</x:v>
      </x:c>
      <x:c r="D84" s="46" t="str">
        <x:v>tonnes_primary_production_equivalent</x:v>
      </x:c>
    </x:row>
    <x:row r="85" ht="18" customHeight="1">
      <x:c r="A85" s="46" t="str">
        <x:v>HS_034</x:v>
      </x:c>
      <x:c r="B85" s="46" t="str">
        <x:v>functional_ppr</x:v>
      </x:c>
      <x:c r="C85" s="46" t="n">
        <x:v>580150840.1289461</x:v>
      </x:c>
      <x:c r="D85" s="46" t="str">
        <x:v>tonnes_primary_production_equivalent</x:v>
      </x:c>
    </x:row>
    <x:row r="86" ht="18" customHeight="1">
      <x:c r="A86" s="46" t="str">
        <x:v>HS_034</x:v>
      </x:c>
      <x:c r="B86" s="46" t="str">
        <x:v>commercial_ppr_difference</x:v>
      </x:c>
      <x:c r="C86" s="46" t="n">
        <x:v>-1.1920928955078125e-7</x:v>
      </x:c>
      <x:c r="D86" s="46" t="str">
        <x:v>tonnes_primary_production_equivalent</x:v>
      </x:c>
    </x:row>
    <x:row r="87" ht="18" customHeight="1">
      <x:c r="A87" s="46" t="str">
        <x:v>HS_034</x:v>
      </x:c>
      <x:c r="B87" s="46" t="str">
        <x:v>functional_ppr_difference</x:v>
      </x:c>
      <x:c r="C87" s="46" t="n">
        <x:v>0</x:v>
      </x:c>
      <x:c r="D87" s="46" t="str">
        <x:v>tonnes_primary_production_equivalent</x:v>
      </x:c>
    </x:row>
    <x:row r="88" ht="18" customHeight="1">
      <x:c r="A88" s="46" t="str">
        <x:v>HS_034</x:v>
      </x:c>
      <x:c r="B88" s="46" t="str">
        <x:v>commercial_ppr_reconciled</x:v>
      </x:c>
      <x:c r="C88" s="46" t="str">
        <x:v>True</x:v>
      </x:c>
      <x:c r="D88" s="46" t="str">
        <x:v>boolean</x:v>
      </x:c>
    </x:row>
    <x:row r="89" ht="18" customHeight="1">
      <x:c r="A89" s="46" t="str">
        <x:v>HS_034</x:v>
      </x:c>
      <x:c r="B89" s="46" t="str">
        <x:v>functional_ppr_reconciled</x:v>
      </x:c>
      <x:c r="C89" s="46" t="str">
        <x:v>True</x:v>
      </x:c>
      <x:c r="D89" s="46" t="str">
        <x:v>boolean</x:v>
      </x:c>
    </x:row>
    <x:row r="90" ht="18" customHeight="1">
      <x:c r="A90" s="46" t="str">
        <x:v>HS_034</x:v>
      </x:c>
      <x:c r="B90" s="46" t="str">
        <x:v>commercial_jensen_violations</x:v>
      </x:c>
      <x:c r="C90" s="46" t="n">
        <x:v>0</x:v>
      </x:c>
      <x:c r="D90" s="46" t="str">
        <x:v>count</x:v>
      </x:c>
    </x:row>
    <x:row r="91" ht="18" customHeight="1">
      <x:c r="A91" s="46" t="str">
        <x:v>HS_034</x:v>
      </x:c>
      <x:c r="B91" s="46" t="str">
        <x:v>functional_jensen_violations</x:v>
      </x:c>
      <x:c r="C91" s="46" t="n">
        <x:v>0</x:v>
      </x:c>
      <x:c r="D91" s="46" t="str">
        <x:v>count</x:v>
      </x:c>
    </x:row>
    <x:row r="92" ht="18" customHeight="1">
      <x:c r="A92" s="46" t="str">
        <x:v>HS_041</x:v>
      </x:c>
      <x:c r="B92" s="46" t="str">
        <x:v>raw_filtered_tonnes</x:v>
      </x:c>
      <x:c r="C92" s="46" t="n">
        <x:v>62238.3652132951</x:v>
      </x:c>
      <x:c r="D92" s="46" t="str">
        <x:v>tonnes</x:v>
      </x:c>
    </x:row>
    <x:row r="93" ht="18" customHeight="1">
      <x:c r="A93" s="46" t="str">
        <x:v>HS_041</x:v>
      </x:c>
      <x:c r="B93" s="46" t="str">
        <x:v>species_catch_tonnes</x:v>
      </x:c>
      <x:c r="C93" s="46" t="n">
        <x:v>62238.365213295096</x:v>
      </x:c>
      <x:c r="D93" s="46" t="str">
        <x:v>tonnes</x:v>
      </x:c>
    </x:row>
    <x:row r="94" ht="18" customHeight="1">
      <x:c r="A94" s="46" t="str">
        <x:v>HS_041</x:v>
      </x:c>
      <x:c r="B94" s="46" t="str">
        <x:v>catch_difference_tonnes</x:v>
      </x:c>
      <x:c r="C94" s="46" t="n">
        <x:v>-7.275957614183426e-12</x:v>
      </x:c>
      <x:c r="D94" s="46" t="str">
        <x:v>tonnes</x:v>
      </x:c>
    </x:row>
    <x:row r="95" ht="18" customHeight="1">
      <x:c r="A95" s="46" t="str">
        <x:v>HS_041</x:v>
      </x:c>
      <x:c r="B95" s="46" t="str">
        <x:v>catch_reconciled</x:v>
      </x:c>
      <x:c r="C95" s="46" t="str">
        <x:v>True</x:v>
      </x:c>
      <x:c r="D95" s="46" t="str">
        <x:v>boolean</x:v>
      </x:c>
    </x:row>
    <x:row r="96" ht="18" customHeight="1">
      <x:c r="A96" s="46" t="str">
        <x:v>HS_041</x:v>
      </x:c>
      <x:c r="B96" s="46" t="str">
        <x:v>matched_catch_tonnes</x:v>
      </x:c>
      <x:c r="C96" s="46" t="n">
        <x:v>62238.365213295096</x:v>
      </x:c>
      <x:c r="D96" s="46" t="str">
        <x:v>tonnes</x:v>
      </x:c>
    </x:row>
    <x:row r="97" ht="18" customHeight="1">
      <x:c r="A97" s="46" t="str">
        <x:v>HS_041</x:v>
      </x:c>
      <x:c r="B97" s="46" t="str">
        <x:v>catch_coverage_fraction</x:v>
      </x:c>
      <x:c r="C97" s="46" t="n">
        <x:v>1</x:v>
      </x:c>
      <x:c r="D97" s="46" t="str">
        <x:v>fraction</x:v>
      </x:c>
    </x:row>
    <x:row r="98" ht="18" customHeight="1">
      <x:c r="A98" s="46" t="str">
        <x:v>HS_041</x:v>
      </x:c>
      <x:c r="B98" s="46" t="str">
        <x:v>taxa_count</x:v>
      </x:c>
      <x:c r="C98" s="46" t="n">
        <x:v>33</x:v>
      </x:c>
      <x:c r="D98" s="46" t="str">
        <x:v>count</x:v>
      </x:c>
    </x:row>
    <x:row r="99" ht="18" customHeight="1">
      <x:c r="A99" s="46" t="str">
        <x:v>HS_041</x:v>
      </x:c>
      <x:c r="B99" s="46" t="str">
        <x:v>matched_taxa_count</x:v>
      </x:c>
      <x:c r="C99" s="46" t="n">
        <x:v>33</x:v>
      </x:c>
      <x:c r="D99" s="46" t="str">
        <x:v>count</x:v>
      </x:c>
    </x:row>
    <x:row r="100" ht="18" customHeight="1">
      <x:c r="A100" s="46" t="str">
        <x:v>HS_041</x:v>
      </x:c>
      <x:c r="B100" s="46" t="str">
        <x:v>unmatched_taxa_count</x:v>
      </x:c>
      <x:c r="C100" s="46" t="n">
        <x:v>0</x:v>
      </x:c>
      <x:c r="D100" s="46" t="str">
        <x:v>count</x:v>
      </x:c>
    </x:row>
    <x:row r="101" ht="18" customHeight="1">
      <x:c r="A101" s="46" t="str">
        <x:v>HS_041</x:v>
      </x:c>
      <x:c r="B101" s="46" t="str">
        <x:v>species_ppr</x:v>
      </x:c>
      <x:c r="C101" s="46" t="n">
        <x:v>149349456.4630281</x:v>
      </x:c>
      <x:c r="D101" s="46" t="str">
        <x:v>tonnes_primary_production_equivalent</x:v>
      </x:c>
    </x:row>
    <x:row r="102" ht="18" customHeight="1">
      <x:c r="A102" s="46" t="str">
        <x:v>HS_041</x:v>
      </x:c>
      <x:c r="B102" s="46" t="str">
        <x:v>commercial_ppr</x:v>
      </x:c>
      <x:c r="C102" s="46" t="n">
        <x:v>149349456.46302813</x:v>
      </x:c>
      <x:c r="D102" s="46" t="str">
        <x:v>tonnes_primary_production_equivalent</x:v>
      </x:c>
    </x:row>
    <x:row r="103" ht="18" customHeight="1">
      <x:c r="A103" s="46" t="str">
        <x:v>HS_041</x:v>
      </x:c>
      <x:c r="B103" s="46" t="str">
        <x:v>functional_ppr</x:v>
      </x:c>
      <x:c r="C103" s="46" t="n">
        <x:v>149349456.4630281</x:v>
      </x:c>
      <x:c r="D103" s="46" t="str">
        <x:v>tonnes_primary_production_equivalent</x:v>
      </x:c>
    </x:row>
    <x:row r="104" ht="18" customHeight="1">
      <x:c r="A104" s="46" t="str">
        <x:v>HS_041</x:v>
      </x:c>
      <x:c r="B104" s="46" t="str">
        <x:v>commercial_ppr_difference</x:v>
      </x:c>
      <x:c r="C104" s="46" t="n">
        <x:v>2.9802322387695312e-8</x:v>
      </x:c>
      <x:c r="D104" s="46" t="str">
        <x:v>tonnes_primary_production_equivalent</x:v>
      </x:c>
    </x:row>
    <x:row r="105" ht="18" customHeight="1">
      <x:c r="A105" s="46" t="str">
        <x:v>HS_041</x:v>
      </x:c>
      <x:c r="B105" s="46" t="str">
        <x:v>functional_ppr_difference</x:v>
      </x:c>
      <x:c r="C105" s="46" t="n">
        <x:v>0</x:v>
      </x:c>
      <x:c r="D105" s="46" t="str">
        <x:v>tonnes_primary_production_equivalent</x:v>
      </x:c>
    </x:row>
    <x:row r="106" ht="18" customHeight="1">
      <x:c r="A106" s="46" t="str">
        <x:v>HS_041</x:v>
      </x:c>
      <x:c r="B106" s="46" t="str">
        <x:v>commercial_ppr_reconciled</x:v>
      </x:c>
      <x:c r="C106" s="46" t="str">
        <x:v>True</x:v>
      </x:c>
      <x:c r="D106" s="46" t="str">
        <x:v>boolean</x:v>
      </x:c>
    </x:row>
    <x:row r="107" ht="18" customHeight="1">
      <x:c r="A107" s="46" t="str">
        <x:v>HS_041</x:v>
      </x:c>
      <x:c r="B107" s="46" t="str">
        <x:v>functional_ppr_reconciled</x:v>
      </x:c>
      <x:c r="C107" s="46" t="str">
        <x:v>True</x:v>
      </x:c>
      <x:c r="D107" s="46" t="str">
        <x:v>boolean</x:v>
      </x:c>
    </x:row>
    <x:row r="108" ht="18" customHeight="1">
      <x:c r="A108" s="46" t="str">
        <x:v>HS_041</x:v>
      </x:c>
      <x:c r="B108" s="46" t="str">
        <x:v>commercial_jensen_violations</x:v>
      </x:c>
      <x:c r="C108" s="46" t="n">
        <x:v>0</x:v>
      </x:c>
      <x:c r="D108" s="46" t="str">
        <x:v>count</x:v>
      </x:c>
    </x:row>
    <x:row r="109" ht="18" customHeight="1">
      <x:c r="A109" s="46" t="str">
        <x:v>HS_041</x:v>
      </x:c>
      <x:c r="B109" s="46" t="str">
        <x:v>functional_jensen_violations</x:v>
      </x:c>
      <x:c r="C109" s="46" t="n">
        <x:v>0</x:v>
      </x:c>
      <x:c r="D109" s="46" t="str">
        <x:v>count</x:v>
      </x:c>
    </x:row>
    <x:row r="110" ht="18" customHeight="1">
      <x:c r="A110" s="46" t="str">
        <x:v>HS_047</x:v>
      </x:c>
      <x:c r="B110" s="46" t="str">
        <x:v>raw_filtered_tonnes</x:v>
      </x:c>
      <x:c r="C110" s="46" t="n">
        <x:v>41830.7267805337</x:v>
      </x:c>
      <x:c r="D110" s="46" t="str">
        <x:v>tonnes</x:v>
      </x:c>
    </x:row>
    <x:row r="111" ht="18" customHeight="1">
      <x:c r="A111" s="46" t="str">
        <x:v>HS_047</x:v>
      </x:c>
      <x:c r="B111" s="46" t="str">
        <x:v>species_catch_tonnes</x:v>
      </x:c>
      <x:c r="C111" s="46" t="n">
        <x:v>41830.7267805337</x:v>
      </x:c>
      <x:c r="D111" s="46" t="str">
        <x:v>tonnes</x:v>
      </x:c>
    </x:row>
    <x:row r="112" ht="18" customHeight="1">
      <x:c r="A112" s="46" t="str">
        <x:v>HS_047</x:v>
      </x:c>
      <x:c r="B112" s="46" t="str">
        <x:v>catch_difference_tonnes</x:v>
      </x:c>
      <x:c r="C112" s="46" t="n">
        <x:v>0</x:v>
      </x:c>
      <x:c r="D112" s="46" t="str">
        <x:v>tonnes</x:v>
      </x:c>
    </x:row>
    <x:row r="113" ht="18" customHeight="1">
      <x:c r="A113" s="46" t="str">
        <x:v>HS_047</x:v>
      </x:c>
      <x:c r="B113" s="46" t="str">
        <x:v>catch_reconciled</x:v>
      </x:c>
      <x:c r="C113" s="46" t="str">
        <x:v>True</x:v>
      </x:c>
      <x:c r="D113" s="46" t="str">
        <x:v>boolean</x:v>
      </x:c>
    </x:row>
    <x:row r="114" ht="18" customHeight="1">
      <x:c r="A114" s="46" t="str">
        <x:v>HS_047</x:v>
      </x:c>
      <x:c r="B114" s="46" t="str">
        <x:v>matched_catch_tonnes</x:v>
      </x:c>
      <x:c r="C114" s="46" t="n">
        <x:v>41830.7267805337</x:v>
      </x:c>
      <x:c r="D114" s="46" t="str">
        <x:v>tonnes</x:v>
      </x:c>
    </x:row>
    <x:row r="115" ht="18" customHeight="1">
      <x:c r="A115" s="46" t="str">
        <x:v>HS_047</x:v>
      </x:c>
      <x:c r="B115" s="46" t="str">
        <x:v>catch_coverage_fraction</x:v>
      </x:c>
      <x:c r="C115" s="46" t="n">
        <x:v>1</x:v>
      </x:c>
      <x:c r="D115" s="46" t="str">
        <x:v>fraction</x:v>
      </x:c>
    </x:row>
    <x:row r="116" ht="18" customHeight="1">
      <x:c r="A116" s="46" t="str">
        <x:v>HS_047</x:v>
      </x:c>
      <x:c r="B116" s="46" t="str">
        <x:v>taxa_count</x:v>
      </x:c>
      <x:c r="C116" s="46" t="n">
        <x:v>35</x:v>
      </x:c>
      <x:c r="D116" s="46" t="str">
        <x:v>count</x:v>
      </x:c>
    </x:row>
    <x:row r="117" ht="18" customHeight="1">
      <x:c r="A117" s="46" t="str">
        <x:v>HS_047</x:v>
      </x:c>
      <x:c r="B117" s="46" t="str">
        <x:v>matched_taxa_count</x:v>
      </x:c>
      <x:c r="C117" s="46" t="n">
        <x:v>35</x:v>
      </x:c>
      <x:c r="D117" s="46" t="str">
        <x:v>count</x:v>
      </x:c>
    </x:row>
    <x:row r="118" ht="18" customHeight="1">
      <x:c r="A118" s="46" t="str">
        <x:v>HS_047</x:v>
      </x:c>
      <x:c r="B118" s="46" t="str">
        <x:v>unmatched_taxa_count</x:v>
      </x:c>
      <x:c r="C118" s="46" t="n">
        <x:v>0</x:v>
      </x:c>
      <x:c r="D118" s="46" t="str">
        <x:v>count</x:v>
      </x:c>
    </x:row>
    <x:row r="119" ht="18" customHeight="1">
      <x:c r="A119" s="46" t="str">
        <x:v>HS_047</x:v>
      </x:c>
      <x:c r="B119" s="46" t="str">
        <x:v>species_ppr</x:v>
      </x:c>
      <x:c r="C119" s="46" t="n">
        <x:v>87861469.42037457</x:v>
      </x:c>
      <x:c r="D119" s="46" t="str">
        <x:v>tonnes_primary_production_equivalent</x:v>
      </x:c>
    </x:row>
    <x:row r="120" ht="18" customHeight="1">
      <x:c r="A120" s="46" t="str">
        <x:v>HS_047</x:v>
      </x:c>
      <x:c r="B120" s="46" t="str">
        <x:v>commercial_ppr</x:v>
      </x:c>
      <x:c r="C120" s="46" t="n">
        <x:v>87861469.42037456</x:v>
      </x:c>
      <x:c r="D120" s="46" t="str">
        <x:v>tonnes_primary_production_equivalent</x:v>
      </x:c>
    </x:row>
    <x:row r="121" ht="18" customHeight="1">
      <x:c r="A121" s="46" t="str">
        <x:v>HS_047</x:v>
      </x:c>
      <x:c r="B121" s="46" t="str">
        <x:v>functional_ppr</x:v>
      </x:c>
      <x:c r="C121" s="46" t="n">
        <x:v>87861469.42037456</x:v>
      </x:c>
      <x:c r="D121" s="46" t="str">
        <x:v>tonnes_primary_production_equivalent</x:v>
      </x:c>
    </x:row>
    <x:row r="122" ht="18" customHeight="1">
      <x:c r="A122" s="46" t="str">
        <x:v>HS_047</x:v>
      </x:c>
      <x:c r="B122" s="46" t="str">
        <x:v>commercial_ppr_difference</x:v>
      </x:c>
      <x:c r="C122" s="46" t="n">
        <x:v>-1.4901161193847656e-8</x:v>
      </x:c>
      <x:c r="D122" s="46" t="str">
        <x:v>tonnes_primary_production_equivalent</x:v>
      </x:c>
    </x:row>
    <x:row r="123" ht="18" customHeight="1">
      <x:c r="A123" s="46" t="str">
        <x:v>HS_047</x:v>
      </x:c>
      <x:c r="B123" s="46" t="str">
        <x:v>functional_ppr_difference</x:v>
      </x:c>
      <x:c r="C123" s="46" t="n">
        <x:v>-1.4901161193847656e-8</x:v>
      </x:c>
      <x:c r="D123" s="46" t="str">
        <x:v>tonnes_primary_production_equivalent</x:v>
      </x:c>
    </x:row>
    <x:row r="124" ht="18" customHeight="1">
      <x:c r="A124" s="46" t="str">
        <x:v>HS_047</x:v>
      </x:c>
      <x:c r="B124" s="46" t="str">
        <x:v>commercial_ppr_reconciled</x:v>
      </x:c>
      <x:c r="C124" s="46" t="str">
        <x:v>True</x:v>
      </x:c>
      <x:c r="D124" s="46" t="str">
        <x:v>boolean</x:v>
      </x:c>
    </x:row>
    <x:row r="125" ht="18" customHeight="1">
      <x:c r="A125" s="46" t="str">
        <x:v>HS_047</x:v>
      </x:c>
      <x:c r="B125" s="46" t="str">
        <x:v>functional_ppr_reconciled</x:v>
      </x:c>
      <x:c r="C125" s="46" t="str">
        <x:v>True</x:v>
      </x:c>
      <x:c r="D125" s="46" t="str">
        <x:v>boolean</x:v>
      </x:c>
    </x:row>
    <x:row r="126" ht="18" customHeight="1">
      <x:c r="A126" s="46" t="str">
        <x:v>HS_047</x:v>
      </x:c>
      <x:c r="B126" s="46" t="str">
        <x:v>commercial_jensen_violations</x:v>
      </x:c>
      <x:c r="C126" s="46" t="n">
        <x:v>0</x:v>
      </x:c>
      <x:c r="D126" s="46" t="str">
        <x:v>count</x:v>
      </x:c>
    </x:row>
    <x:row r="127" ht="18" customHeight="1">
      <x:c r="A127" s="46" t="str">
        <x:v>HS_047</x:v>
      </x:c>
      <x:c r="B127" s="46" t="str">
        <x:v>functional_jensen_violations</x:v>
      </x:c>
      <x:c r="C127" s="46" t="n">
        <x:v>0</x:v>
      </x:c>
      <x:c r="D127" s="46" t="str">
        <x:v>count</x:v>
      </x:c>
    </x:row>
    <x:row r="128" ht="18" customHeight="1">
      <x:c r="A128" s="46" t="str">
        <x:v>HS_048</x:v>
      </x:c>
      <x:c r="B128" s="46" t="str">
        <x:v>raw_filtered_tonnes</x:v>
      </x:c>
      <x:c r="C128" s="46" t="n">
        <x:v>154127.6154029508</x:v>
      </x:c>
      <x:c r="D128" s="46" t="str">
        <x:v>tonnes</x:v>
      </x:c>
    </x:row>
    <x:row r="129" ht="18" customHeight="1">
      <x:c r="A129" s="46" t="str">
        <x:v>HS_048</x:v>
      </x:c>
      <x:c r="B129" s="46" t="str">
        <x:v>species_catch_tonnes</x:v>
      </x:c>
      <x:c r="C129" s="46" t="n">
        <x:v>154127.61540295082</x:v>
      </x:c>
      <x:c r="D129" s="46" t="str">
        <x:v>tonnes</x:v>
      </x:c>
    </x:row>
    <x:row r="130" ht="18" customHeight="1">
      <x:c r="A130" s="46" t="str">
        <x:v>HS_048</x:v>
      </x:c>
      <x:c r="B130" s="46" t="str">
        <x:v>catch_difference_tonnes</x:v>
      </x:c>
      <x:c r="C130" s="46" t="n">
        <x:v>2.9103830456733704e-11</x:v>
      </x:c>
      <x:c r="D130" s="46" t="str">
        <x:v>tonnes</x:v>
      </x:c>
    </x:row>
    <x:row r="131" ht="18" customHeight="1">
      <x:c r="A131" s="46" t="str">
        <x:v>HS_048</x:v>
      </x:c>
      <x:c r="B131" s="46" t="str">
        <x:v>catch_reconciled</x:v>
      </x:c>
      <x:c r="C131" s="46" t="str">
        <x:v>True</x:v>
      </x:c>
      <x:c r="D131" s="46" t="str">
        <x:v>boolean</x:v>
      </x:c>
    </x:row>
    <x:row r="132" ht="18" customHeight="1">
      <x:c r="A132" s="46" t="str">
        <x:v>HS_048</x:v>
      </x:c>
      <x:c r="B132" s="46" t="str">
        <x:v>matched_catch_tonnes</x:v>
      </x:c>
      <x:c r="C132" s="46" t="n">
        <x:v>154127.61540295082</x:v>
      </x:c>
      <x:c r="D132" s="46" t="str">
        <x:v>tonnes</x:v>
      </x:c>
    </x:row>
    <x:row r="133" ht="18" customHeight="1">
      <x:c r="A133" s="46" t="str">
        <x:v>HS_048</x:v>
      </x:c>
      <x:c r="B133" s="46" t="str">
        <x:v>catch_coverage_fraction</x:v>
      </x:c>
      <x:c r="C133" s="46" t="n">
        <x:v>1</x:v>
      </x:c>
      <x:c r="D133" s="46" t="str">
        <x:v>fraction</x:v>
      </x:c>
    </x:row>
    <x:row r="134" ht="18" customHeight="1">
      <x:c r="A134" s="46" t="str">
        <x:v>HS_048</x:v>
      </x:c>
      <x:c r="B134" s="46" t="str">
        <x:v>taxa_count</x:v>
      </x:c>
      <x:c r="C134" s="46" t="n">
        <x:v>6</x:v>
      </x:c>
      <x:c r="D134" s="46" t="str">
        <x:v>count</x:v>
      </x:c>
    </x:row>
    <x:row r="135" ht="18" customHeight="1">
      <x:c r="A135" s="46" t="str">
        <x:v>HS_048</x:v>
      </x:c>
      <x:c r="B135" s="46" t="str">
        <x:v>matched_taxa_count</x:v>
      </x:c>
      <x:c r="C135" s="46" t="n">
        <x:v>6</x:v>
      </x:c>
      <x:c r="D135" s="46" t="str">
        <x:v>count</x:v>
      </x:c>
    </x:row>
    <x:row r="136" ht="18" customHeight="1">
      <x:c r="A136" s="46" t="str">
        <x:v>HS_048</x:v>
      </x:c>
      <x:c r="B136" s="46" t="str">
        <x:v>unmatched_taxa_count</x:v>
      </x:c>
      <x:c r="C136" s="46" t="n">
        <x:v>0</x:v>
      </x:c>
      <x:c r="D136" s="46" t="str">
        <x:v>count</x:v>
      </x:c>
    </x:row>
    <x:row r="137" ht="18" customHeight="1">
      <x:c r="A137" s="46" t="str">
        <x:v>HS_048</x:v>
      </x:c>
      <x:c r="B137" s="46" t="str">
        <x:v>species_ppr</x:v>
      </x:c>
      <x:c r="C137" s="46" t="n">
        <x:v>29368420.191220015</x:v>
      </x:c>
      <x:c r="D137" s="46" t="str">
        <x:v>tonnes_primary_production_equivalent</x:v>
      </x:c>
    </x:row>
    <x:row r="138" ht="18" customHeight="1">
      <x:c r="A138" s="46" t="str">
        <x:v>HS_048</x:v>
      </x:c>
      <x:c r="B138" s="46" t="str">
        <x:v>commercial_ppr</x:v>
      </x:c>
      <x:c r="C138" s="46" t="n">
        <x:v>29368420.191220015</x:v>
      </x:c>
      <x:c r="D138" s="46" t="str">
        <x:v>tonnes_primary_production_equivalent</x:v>
      </x:c>
    </x:row>
    <x:row r="139" ht="18" customHeight="1">
      <x:c r="A139" s="46" t="str">
        <x:v>HS_048</x:v>
      </x:c>
      <x:c r="B139" s="46" t="str">
        <x:v>functional_ppr</x:v>
      </x:c>
      <x:c r="C139" s="46" t="n">
        <x:v>29368420.191220015</x:v>
      </x:c>
      <x:c r="D139" s="46" t="str">
        <x:v>tonnes_primary_production_equivalent</x:v>
      </x:c>
    </x:row>
    <x:row r="140" ht="18" customHeight="1">
      <x:c r="A140" s="46" t="str">
        <x:v>HS_048</x:v>
      </x:c>
      <x:c r="B140" s="46" t="str">
        <x:v>commercial_ppr_difference</x:v>
      </x:c>
      <x:c r="C140" s="46" t="n">
        <x:v>0</x:v>
      </x:c>
      <x:c r="D140" s="46" t="str">
        <x:v>tonnes_primary_production_equivalent</x:v>
      </x:c>
    </x:row>
    <x:row r="141" ht="18" customHeight="1">
      <x:c r="A141" s="46" t="str">
        <x:v>HS_048</x:v>
      </x:c>
      <x:c r="B141" s="46" t="str">
        <x:v>functional_ppr_difference</x:v>
      </x:c>
      <x:c r="C141" s="46" t="n">
        <x:v>0</x:v>
      </x:c>
      <x:c r="D141" s="46" t="str">
        <x:v>tonnes_primary_production_equivalent</x:v>
      </x:c>
    </x:row>
    <x:row r="142" ht="18" customHeight="1">
      <x:c r="A142" s="46" t="str">
        <x:v>HS_048</x:v>
      </x:c>
      <x:c r="B142" s="46" t="str">
        <x:v>commercial_ppr_reconciled</x:v>
      </x:c>
      <x:c r="C142" s="46" t="str">
        <x:v>True</x:v>
      </x:c>
      <x:c r="D142" s="46" t="str">
        <x:v>boolean</x:v>
      </x:c>
    </x:row>
    <x:row r="143" ht="18" customHeight="1">
      <x:c r="A143" s="46" t="str">
        <x:v>HS_048</x:v>
      </x:c>
      <x:c r="B143" s="46" t="str">
        <x:v>functional_ppr_reconciled</x:v>
      </x:c>
      <x:c r="C143" s="46" t="str">
        <x:v>True</x:v>
      </x:c>
      <x:c r="D143" s="46" t="str">
        <x:v>boolean</x:v>
      </x:c>
    </x:row>
    <x:row r="144" ht="18" customHeight="1">
      <x:c r="A144" s="46" t="str">
        <x:v>HS_048</x:v>
      </x:c>
      <x:c r="B144" s="46" t="str">
        <x:v>commercial_jensen_violations</x:v>
      </x:c>
      <x:c r="C144" s="46" t="n">
        <x:v>0</x:v>
      </x:c>
      <x:c r="D144" s="46" t="str">
        <x:v>count</x:v>
      </x:c>
    </x:row>
    <x:row r="145" ht="18" customHeight="1">
      <x:c r="A145" s="46" t="str">
        <x:v>HS_048</x:v>
      </x:c>
      <x:c r="B145" s="46" t="str">
        <x:v>functional_jensen_violations</x:v>
      </x:c>
      <x:c r="C145" s="46" t="n">
        <x:v>0</x:v>
      </x:c>
      <x:c r="D145" s="46" t="str">
        <x:v>count</x:v>
      </x:c>
    </x:row>
    <x:row r="146" ht="18" customHeight="1">
      <x:c r="A146" s="46" t="str">
        <x:v>HS_051</x:v>
      </x:c>
      <x:c r="B146" s="46" t="str">
        <x:v>raw_filtered_tonnes</x:v>
      </x:c>
      <x:c r="C146" s="46" t="n">
        <x:v>377854.0083285441</x:v>
      </x:c>
      <x:c r="D146" s="46" t="str">
        <x:v>tonnes</x:v>
      </x:c>
    </x:row>
    <x:row r="147" ht="18" customHeight="1">
      <x:c r="A147" s="46" t="str">
        <x:v>HS_051</x:v>
      </x:c>
      <x:c r="B147" s="46" t="str">
        <x:v>species_catch_tonnes</x:v>
      </x:c>
      <x:c r="C147" s="46" t="n">
        <x:v>377854.0083285441</x:v>
      </x:c>
      <x:c r="D147" s="46" t="str">
        <x:v>tonnes</x:v>
      </x:c>
    </x:row>
    <x:row r="148" ht="18" customHeight="1">
      <x:c r="A148" s="46" t="str">
        <x:v>HS_051</x:v>
      </x:c>
      <x:c r="B148" s="46" t="str">
        <x:v>catch_difference_tonnes</x:v>
      </x:c>
      <x:c r="C148" s="46" t="n">
        <x:v>0</x:v>
      </x:c>
      <x:c r="D148" s="46" t="str">
        <x:v>tonnes</x:v>
      </x:c>
    </x:row>
    <x:row r="149" ht="18" customHeight="1">
      <x:c r="A149" s="46" t="str">
        <x:v>HS_051</x:v>
      </x:c>
      <x:c r="B149" s="46" t="str">
        <x:v>catch_reconciled</x:v>
      </x:c>
      <x:c r="C149" s="46" t="str">
        <x:v>True</x:v>
      </x:c>
      <x:c r="D149" s="46" t="str">
        <x:v>boolean</x:v>
      </x:c>
    </x:row>
    <x:row r="150" ht="18" customHeight="1">
      <x:c r="A150" s="46" t="str">
        <x:v>HS_051</x:v>
      </x:c>
      <x:c r="B150" s="46" t="str">
        <x:v>matched_catch_tonnes</x:v>
      </x:c>
      <x:c r="C150" s="46" t="n">
        <x:v>377854.0083285441</x:v>
      </x:c>
      <x:c r="D150" s="46" t="str">
        <x:v>tonnes</x:v>
      </x:c>
    </x:row>
    <x:row r="151" ht="18" customHeight="1">
      <x:c r="A151" s="46" t="str">
        <x:v>HS_051</x:v>
      </x:c>
      <x:c r="B151" s="46" t="str">
        <x:v>catch_coverage_fraction</x:v>
      </x:c>
      <x:c r="C151" s="46" t="n">
        <x:v>1</x:v>
      </x:c>
      <x:c r="D151" s="46" t="str">
        <x:v>fraction</x:v>
      </x:c>
    </x:row>
    <x:row r="152" ht="18" customHeight="1">
      <x:c r="A152" s="46" t="str">
        <x:v>HS_051</x:v>
      </x:c>
      <x:c r="B152" s="46" t="str">
        <x:v>taxa_count</x:v>
      </x:c>
      <x:c r="C152" s="46" t="n">
        <x:v>36</x:v>
      </x:c>
      <x:c r="D152" s="46" t="str">
        <x:v>count</x:v>
      </x:c>
    </x:row>
    <x:row r="153" ht="18" customHeight="1">
      <x:c r="A153" s="46" t="str">
        <x:v>HS_051</x:v>
      </x:c>
      <x:c r="B153" s="46" t="str">
        <x:v>matched_taxa_count</x:v>
      </x:c>
      <x:c r="C153" s="46" t="n">
        <x:v>36</x:v>
      </x:c>
      <x:c r="D153" s="46" t="str">
        <x:v>count</x:v>
      </x:c>
    </x:row>
    <x:row r="154" ht="18" customHeight="1">
      <x:c r="A154" s="46" t="str">
        <x:v>HS_051</x:v>
      </x:c>
      <x:c r="B154" s="46" t="str">
        <x:v>unmatched_taxa_count</x:v>
      </x:c>
      <x:c r="C154" s="46" t="n">
        <x:v>0</x:v>
      </x:c>
      <x:c r="D154" s="46" t="str">
        <x:v>count</x:v>
      </x:c>
    </x:row>
    <x:row r="155" ht="18" customHeight="1">
      <x:c r="A155" s="46" t="str">
        <x:v>HS_051</x:v>
      </x:c>
      <x:c r="B155" s="46" t="str">
        <x:v>species_ppr</x:v>
      </x:c>
      <x:c r="C155" s="46" t="n">
        <x:v>907481876.8369483</x:v>
      </x:c>
      <x:c r="D155" s="46" t="str">
        <x:v>tonnes_primary_production_equivalent</x:v>
      </x:c>
    </x:row>
    <x:row r="156" ht="18" customHeight="1">
      <x:c r="A156" s="46" t="str">
        <x:v>HS_051</x:v>
      </x:c>
      <x:c r="B156" s="46" t="str">
        <x:v>commercial_ppr</x:v>
      </x:c>
      <x:c r="C156" s="46" t="n">
        <x:v>907481876.8369484</x:v>
      </x:c>
      <x:c r="D156" s="46" t="str">
        <x:v>tonnes_primary_production_equivalent</x:v>
      </x:c>
    </x:row>
    <x:row r="157" ht="18" customHeight="1">
      <x:c r="A157" s="46" t="str">
        <x:v>HS_051</x:v>
      </x:c>
      <x:c r="B157" s="46" t="str">
        <x:v>functional_ppr</x:v>
      </x:c>
      <x:c r="C157" s="46" t="n">
        <x:v>907481876.8369482</x:v>
      </x:c>
      <x:c r="D157" s="46" t="str">
        <x:v>tonnes_primary_production_equivalent</x:v>
      </x:c>
    </x:row>
    <x:row r="158" ht="18" customHeight="1">
      <x:c r="A158" s="46" t="str">
        <x:v>HS_051</x:v>
      </x:c>
      <x:c r="B158" s="46" t="str">
        <x:v>commercial_ppr_difference</x:v>
      </x:c>
      <x:c r="C158" s="46" t="n">
        <x:v>1.1920928955078125e-7</x:v>
      </x:c>
      <x:c r="D158" s="46" t="str">
        <x:v>tonnes_primary_production_equivalent</x:v>
      </x:c>
    </x:row>
    <x:row r="159" ht="18" customHeight="1">
      <x:c r="A159" s="46" t="str">
        <x:v>HS_051</x:v>
      </x:c>
      <x:c r="B159" s="46" t="str">
        <x:v>functional_ppr_difference</x:v>
      </x:c>
      <x:c r="C159" s="46" t="n">
        <x:v>-1.1920928955078125e-7</x:v>
      </x:c>
      <x:c r="D159" s="46" t="str">
        <x:v>tonnes_primary_production_equivalent</x:v>
      </x:c>
    </x:row>
    <x:row r="160" ht="18" customHeight="1">
      <x:c r="A160" s="46" t="str">
        <x:v>HS_051</x:v>
      </x:c>
      <x:c r="B160" s="46" t="str">
        <x:v>commercial_ppr_reconciled</x:v>
      </x:c>
      <x:c r="C160" s="46" t="str">
        <x:v>True</x:v>
      </x:c>
      <x:c r="D160" s="46" t="str">
        <x:v>boolean</x:v>
      </x:c>
    </x:row>
    <x:row r="161" ht="18" customHeight="1">
      <x:c r="A161" s="46" t="str">
        <x:v>HS_051</x:v>
      </x:c>
      <x:c r="B161" s="46" t="str">
        <x:v>functional_ppr_reconciled</x:v>
      </x:c>
      <x:c r="C161" s="46" t="str">
        <x:v>True</x:v>
      </x:c>
      <x:c r="D161" s="46" t="str">
        <x:v>boolean</x:v>
      </x:c>
    </x:row>
    <x:row r="162" ht="18" customHeight="1">
      <x:c r="A162" s="46" t="str">
        <x:v>HS_051</x:v>
      </x:c>
      <x:c r="B162" s="46" t="str">
        <x:v>commercial_jensen_violations</x:v>
      </x:c>
      <x:c r="C162" s="46" t="n">
        <x:v>0</x:v>
      </x:c>
      <x:c r="D162" s="46" t="str">
        <x:v>count</x:v>
      </x:c>
    </x:row>
    <x:row r="163" ht="18" customHeight="1">
      <x:c r="A163" s="46" t="str">
        <x:v>HS_051</x:v>
      </x:c>
      <x:c r="B163" s="46" t="str">
        <x:v>functional_jensen_violations</x:v>
      </x:c>
      <x:c r="C163" s="46" t="n">
        <x:v>0</x:v>
      </x:c>
      <x:c r="D163" s="46" t="str">
        <x:v>count</x:v>
      </x:c>
    </x:row>
    <x:row r="164" ht="18" customHeight="1">
      <x:c r="A164" s="46" t="str">
        <x:v>HS_057</x:v>
      </x:c>
      <x:c r="B164" s="46" t="str">
        <x:v>raw_filtered_tonnes</x:v>
      </x:c>
      <x:c r="C164" s="46" t="n">
        <x:v>249459.5239463328</x:v>
      </x:c>
      <x:c r="D164" s="46" t="str">
        <x:v>tonnes</x:v>
      </x:c>
    </x:row>
    <x:row r="165" ht="18" customHeight="1">
      <x:c r="A165" s="46" t="str">
        <x:v>HS_057</x:v>
      </x:c>
      <x:c r="B165" s="46" t="str">
        <x:v>species_catch_tonnes</x:v>
      </x:c>
      <x:c r="C165" s="46" t="n">
        <x:v>249459.52394633277</x:v>
      </x:c>
      <x:c r="D165" s="46" t="str">
        <x:v>tonnes</x:v>
      </x:c>
    </x:row>
    <x:row r="166" ht="18" customHeight="1">
      <x:c r="A166" s="46" t="str">
        <x:v>HS_057</x:v>
      </x:c>
      <x:c r="B166" s="46" t="str">
        <x:v>catch_difference_tonnes</x:v>
      </x:c>
      <x:c r="C166" s="46" t="n">
        <x:v>-2.9103830456733704e-11</x:v>
      </x:c>
      <x:c r="D166" s="46" t="str">
        <x:v>tonnes</x:v>
      </x:c>
    </x:row>
    <x:row r="167" ht="18" customHeight="1">
      <x:c r="A167" s="46" t="str">
        <x:v>HS_057</x:v>
      </x:c>
      <x:c r="B167" s="46" t="str">
        <x:v>catch_reconciled</x:v>
      </x:c>
      <x:c r="C167" s="46" t="str">
        <x:v>True</x:v>
      </x:c>
      <x:c r="D167" s="46" t="str">
        <x:v>boolean</x:v>
      </x:c>
    </x:row>
    <x:row r="168" ht="18" customHeight="1">
      <x:c r="A168" s="46" t="str">
        <x:v>HS_057</x:v>
      </x:c>
      <x:c r="B168" s="46" t="str">
        <x:v>matched_catch_tonnes</x:v>
      </x:c>
      <x:c r="C168" s="46" t="n">
        <x:v>249459.52394633277</x:v>
      </x:c>
      <x:c r="D168" s="46" t="str">
        <x:v>tonnes</x:v>
      </x:c>
    </x:row>
    <x:row r="169" ht="18" customHeight="1">
      <x:c r="A169" s="46" t="str">
        <x:v>HS_057</x:v>
      </x:c>
      <x:c r="B169" s="46" t="str">
        <x:v>catch_coverage_fraction</x:v>
      </x:c>
      <x:c r="C169" s="46" t="n">
        <x:v>1</x:v>
      </x:c>
      <x:c r="D169" s="46" t="str">
        <x:v>fraction</x:v>
      </x:c>
    </x:row>
    <x:row r="170" ht="18" customHeight="1">
      <x:c r="A170" s="46" t="str">
        <x:v>HS_057</x:v>
      </x:c>
      <x:c r="B170" s="46" t="str">
        <x:v>taxa_count</x:v>
      </x:c>
      <x:c r="C170" s="46" t="n">
        <x:v>34</x:v>
      </x:c>
      <x:c r="D170" s="46" t="str">
        <x:v>count</x:v>
      </x:c>
    </x:row>
    <x:row r="171" ht="18" customHeight="1">
      <x:c r="A171" s="46" t="str">
        <x:v>HS_057</x:v>
      </x:c>
      <x:c r="B171" s="46" t="str">
        <x:v>matched_taxa_count</x:v>
      </x:c>
      <x:c r="C171" s="46" t="n">
        <x:v>34</x:v>
      </x:c>
      <x:c r="D171" s="46" t="str">
        <x:v>count</x:v>
      </x:c>
    </x:row>
    <x:row r="172" ht="18" customHeight="1">
      <x:c r="A172" s="46" t="str">
        <x:v>HS_057</x:v>
      </x:c>
      <x:c r="B172" s="46" t="str">
        <x:v>unmatched_taxa_count</x:v>
      </x:c>
      <x:c r="C172" s="46" t="n">
        <x:v>0</x:v>
      </x:c>
      <x:c r="D172" s="46" t="str">
        <x:v>count</x:v>
      </x:c>
    </x:row>
    <x:row r="173" ht="18" customHeight="1">
      <x:c r="A173" s="46" t="str">
        <x:v>HS_057</x:v>
      </x:c>
      <x:c r="B173" s="46" t="str">
        <x:v>species_ppr</x:v>
      </x:c>
      <x:c r="C173" s="46" t="n">
        <x:v>577352176.9718388</x:v>
      </x:c>
      <x:c r="D173" s="46" t="str">
        <x:v>tonnes_primary_production_equivalent</x:v>
      </x:c>
    </x:row>
    <x:row r="174" ht="18" customHeight="1">
      <x:c r="A174" s="46" t="str">
        <x:v>HS_057</x:v>
      </x:c>
      <x:c r="B174" s="46" t="str">
        <x:v>commercial_ppr</x:v>
      </x:c>
      <x:c r="C174" s="46" t="n">
        <x:v>577352176.9718388</x:v>
      </x:c>
      <x:c r="D174" s="46" t="str">
        <x:v>tonnes_primary_production_equivalent</x:v>
      </x:c>
    </x:row>
    <x:row r="175" ht="18" customHeight="1">
      <x:c r="A175" s="46" t="str">
        <x:v>HS_057</x:v>
      </x:c>
      <x:c r="B175" s="46" t="str">
        <x:v>functional_ppr</x:v>
      </x:c>
      <x:c r="C175" s="46" t="n">
        <x:v>577352176.9718387</x:v>
      </x:c>
      <x:c r="D175" s="46" t="str">
        <x:v>tonnes_primary_production_equivalent</x:v>
      </x:c>
    </x:row>
    <x:row r="176" ht="18" customHeight="1">
      <x:c r="A176" s="46" t="str">
        <x:v>HS_057</x:v>
      </x:c>
      <x:c r="B176" s="46" t="str">
        <x:v>commercial_ppr_difference</x:v>
      </x:c>
      <x:c r="C176" s="46" t="n">
        <x:v>0</x:v>
      </x:c>
      <x:c r="D176" s="46" t="str">
        <x:v>tonnes_primary_production_equivalent</x:v>
      </x:c>
    </x:row>
    <x:row r="177" ht="18" customHeight="1">
      <x:c r="A177" s="46" t="str">
        <x:v>HS_057</x:v>
      </x:c>
      <x:c r="B177" s="46" t="str">
        <x:v>functional_ppr_difference</x:v>
      </x:c>
      <x:c r="C177" s="46" t="n">
        <x:v>-1.1920928955078125e-7</x:v>
      </x:c>
      <x:c r="D177" s="46" t="str">
        <x:v>tonnes_primary_production_equivalent</x:v>
      </x:c>
    </x:row>
    <x:row r="178" ht="18" customHeight="1">
      <x:c r="A178" s="46" t="str">
        <x:v>HS_057</x:v>
      </x:c>
      <x:c r="B178" s="46" t="str">
        <x:v>commercial_ppr_reconciled</x:v>
      </x:c>
      <x:c r="C178" s="46" t="str">
        <x:v>True</x:v>
      </x:c>
      <x:c r="D178" s="46" t="str">
        <x:v>boolean</x:v>
      </x:c>
    </x:row>
    <x:row r="179" ht="18" customHeight="1">
      <x:c r="A179" s="46" t="str">
        <x:v>HS_057</x:v>
      </x:c>
      <x:c r="B179" s="46" t="str">
        <x:v>functional_ppr_reconciled</x:v>
      </x:c>
      <x:c r="C179" s="46" t="str">
        <x:v>True</x:v>
      </x:c>
      <x:c r="D179" s="46" t="str">
        <x:v>boolean</x:v>
      </x:c>
    </x:row>
    <x:row r="180" ht="18" customHeight="1">
      <x:c r="A180" s="46" t="str">
        <x:v>HS_057</x:v>
      </x:c>
      <x:c r="B180" s="46" t="str">
        <x:v>commercial_jensen_violations</x:v>
      </x:c>
      <x:c r="C180" s="46" t="n">
        <x:v>0</x:v>
      </x:c>
      <x:c r="D180" s="46" t="str">
        <x:v>count</x:v>
      </x:c>
    </x:row>
    <x:row r="181" ht="18" customHeight="1">
      <x:c r="A181" s="46" t="str">
        <x:v>HS_057</x:v>
      </x:c>
      <x:c r="B181" s="46" t="str">
        <x:v>functional_jensen_violations</x:v>
      </x:c>
      <x:c r="C181" s="46" t="n">
        <x:v>0</x:v>
      </x:c>
      <x:c r="D181" s="46" t="str">
        <x:v>count</x:v>
      </x:c>
    </x:row>
    <x:row r="182" ht="18" customHeight="1">
      <x:c r="A182" s="46" t="str">
        <x:v>HS_058</x:v>
      </x:c>
      <x:c r="B182" s="46" t="str">
        <x:v>raw_filtered_tonnes</x:v>
      </x:c>
      <x:c r="C182" s="46" t="n">
        <x:v>1622.2799593135</x:v>
      </x:c>
      <x:c r="D182" s="46" t="str">
        <x:v>tonnes</x:v>
      </x:c>
    </x:row>
    <x:row r="183" ht="18" customHeight="1">
      <x:c r="A183" s="46" t="str">
        <x:v>HS_058</x:v>
      </x:c>
      <x:c r="B183" s="46" t="str">
        <x:v>species_catch_tonnes</x:v>
      </x:c>
      <x:c r="C183" s="46" t="n">
        <x:v>1622.2799593135003</x:v>
      </x:c>
      <x:c r="D183" s="46" t="str">
        <x:v>tonnes</x:v>
      </x:c>
    </x:row>
    <x:row r="184" ht="18" customHeight="1">
      <x:c r="A184" s="46" t="str">
        <x:v>HS_058</x:v>
      </x:c>
      <x:c r="B184" s="46" t="str">
        <x:v>catch_difference_tonnes</x:v>
      </x:c>
      <x:c r="C184" s="46" t="n">
        <x:v>2.2737367544323206e-13</x:v>
      </x:c>
      <x:c r="D184" s="46" t="str">
        <x:v>tonnes</x:v>
      </x:c>
    </x:row>
    <x:row r="185" ht="18" customHeight="1">
      <x:c r="A185" s="46" t="str">
        <x:v>HS_058</x:v>
      </x:c>
      <x:c r="B185" s="46" t="str">
        <x:v>catch_reconciled</x:v>
      </x:c>
      <x:c r="C185" s="46" t="str">
        <x:v>True</x:v>
      </x:c>
      <x:c r="D185" s="46" t="str">
        <x:v>boolean</x:v>
      </x:c>
    </x:row>
    <x:row r="186" ht="18" customHeight="1">
      <x:c r="A186" s="46" t="str">
        <x:v>HS_058</x:v>
      </x:c>
      <x:c r="B186" s="46" t="str">
        <x:v>matched_catch_tonnes</x:v>
      </x:c>
      <x:c r="C186" s="46" t="n">
        <x:v>1622.2799593135003</x:v>
      </x:c>
      <x:c r="D186" s="46" t="str">
        <x:v>tonnes</x:v>
      </x:c>
    </x:row>
    <x:row r="187" ht="18" customHeight="1">
      <x:c r="A187" s="46" t="str">
        <x:v>HS_058</x:v>
      </x:c>
      <x:c r="B187" s="46" t="str">
        <x:v>catch_coverage_fraction</x:v>
      </x:c>
      <x:c r="C187" s="46" t="n">
        <x:v>1</x:v>
      </x:c>
      <x:c r="D187" s="46" t="str">
        <x:v>fraction</x:v>
      </x:c>
    </x:row>
    <x:row r="188" ht="18" customHeight="1">
      <x:c r="A188" s="46" t="str">
        <x:v>HS_058</x:v>
      </x:c>
      <x:c r="B188" s="46" t="str">
        <x:v>taxa_count</x:v>
      </x:c>
      <x:c r="C188" s="46" t="n">
        <x:v>6</x:v>
      </x:c>
      <x:c r="D188" s="46" t="str">
        <x:v>count</x:v>
      </x:c>
    </x:row>
    <x:row r="189" ht="18" customHeight="1">
      <x:c r="A189" s="46" t="str">
        <x:v>HS_058</x:v>
      </x:c>
      <x:c r="B189" s="46" t="str">
        <x:v>matched_taxa_count</x:v>
      </x:c>
      <x:c r="C189" s="46" t="n">
        <x:v>6</x:v>
      </x:c>
      <x:c r="D189" s="46" t="str">
        <x:v>count</x:v>
      </x:c>
    </x:row>
    <x:row r="190" ht="18" customHeight="1">
      <x:c r="A190" s="46" t="str">
        <x:v>HS_058</x:v>
      </x:c>
      <x:c r="B190" s="46" t="str">
        <x:v>unmatched_taxa_count</x:v>
      </x:c>
      <x:c r="C190" s="46" t="n">
        <x:v>0</x:v>
      </x:c>
      <x:c r="D190" s="46" t="str">
        <x:v>count</x:v>
      </x:c>
    </x:row>
    <x:row r="191" ht="18" customHeight="1">
      <x:c r="A191" s="46" t="str">
        <x:v>HS_058</x:v>
      </x:c>
      <x:c r="B191" s="46" t="str">
        <x:v>species_ppr</x:v>
      </x:c>
      <x:c r="C191" s="46" t="n">
        <x:v>316826.047060139</x:v>
      </x:c>
      <x:c r="D191" s="46" t="str">
        <x:v>tonnes_primary_production_equivalent</x:v>
      </x:c>
    </x:row>
    <x:row r="192" ht="18" customHeight="1">
      <x:c r="A192" s="46" t="str">
        <x:v>HS_058</x:v>
      </x:c>
      <x:c r="B192" s="46" t="str">
        <x:v>commercial_ppr</x:v>
      </x:c>
      <x:c r="C192" s="46" t="n">
        <x:v>316826.047060139</x:v>
      </x:c>
      <x:c r="D192" s="46" t="str">
        <x:v>tonnes_primary_production_equivalent</x:v>
      </x:c>
    </x:row>
    <x:row r="193" ht="18" customHeight="1">
      <x:c r="A193" s="46" t="str">
        <x:v>HS_058</x:v>
      </x:c>
      <x:c r="B193" s="46" t="str">
        <x:v>functional_ppr</x:v>
      </x:c>
      <x:c r="C193" s="46" t="n">
        <x:v>316826.047060139</x:v>
      </x:c>
      <x:c r="D193" s="46" t="str">
        <x:v>tonnes_primary_production_equivalent</x:v>
      </x:c>
    </x:row>
    <x:row r="194" ht="18" customHeight="1">
      <x:c r="A194" s="46" t="str">
        <x:v>HS_058</x:v>
      </x:c>
      <x:c r="B194" s="46" t="str">
        <x:v>commercial_ppr_difference</x:v>
      </x:c>
      <x:c r="C194" s="46" t="n">
        <x:v>0</x:v>
      </x:c>
      <x:c r="D194" s="46" t="str">
        <x:v>tonnes_primary_production_equivalent</x:v>
      </x:c>
    </x:row>
    <x:row r="195" ht="18" customHeight="1">
      <x:c r="A195" s="46" t="str">
        <x:v>HS_058</x:v>
      </x:c>
      <x:c r="B195" s="46" t="str">
        <x:v>functional_ppr_difference</x:v>
      </x:c>
      <x:c r="C195" s="46" t="n">
        <x:v>0</x:v>
      </x:c>
      <x:c r="D195" s="46" t="str">
        <x:v>tonnes_primary_production_equivalent</x:v>
      </x:c>
    </x:row>
    <x:row r="196" ht="18" customHeight="1">
      <x:c r="A196" s="46" t="str">
        <x:v>HS_058</x:v>
      </x:c>
      <x:c r="B196" s="46" t="str">
        <x:v>commercial_ppr_reconciled</x:v>
      </x:c>
      <x:c r="C196" s="46" t="str">
        <x:v>True</x:v>
      </x:c>
      <x:c r="D196" s="46" t="str">
        <x:v>boolean</x:v>
      </x:c>
    </x:row>
    <x:row r="197" ht="18" customHeight="1">
      <x:c r="A197" s="46" t="str">
        <x:v>HS_058</x:v>
      </x:c>
      <x:c r="B197" s="46" t="str">
        <x:v>functional_ppr_reconciled</x:v>
      </x:c>
      <x:c r="C197" s="46" t="str">
        <x:v>True</x:v>
      </x:c>
      <x:c r="D197" s="46" t="str">
        <x:v>boolean</x:v>
      </x:c>
    </x:row>
    <x:row r="198" ht="18" customHeight="1">
      <x:c r="A198" s="46" t="str">
        <x:v>HS_058</x:v>
      </x:c>
      <x:c r="B198" s="46" t="str">
        <x:v>commercial_jensen_violations</x:v>
      </x:c>
      <x:c r="C198" s="46" t="n">
        <x:v>0</x:v>
      </x:c>
      <x:c r="D198" s="46" t="str">
        <x:v>count</x:v>
      </x:c>
    </x:row>
    <x:row r="199" ht="18" customHeight="1">
      <x:c r="A199" s="46" t="str">
        <x:v>HS_058</x:v>
      </x:c>
      <x:c r="B199" s="46" t="str">
        <x:v>functional_jensen_violations</x:v>
      </x:c>
      <x:c r="C199" s="46" t="n">
        <x:v>0</x:v>
      </x:c>
      <x:c r="D199" s="46" t="str">
        <x:v>count</x:v>
      </x:c>
    </x:row>
    <x:row r="200" ht="18" customHeight="1">
      <x:c r="A200" s="46" t="str">
        <x:v>HS_061</x:v>
      </x:c>
      <x:c r="B200" s="46" t="str">
        <x:v>raw_filtered_tonnes</x:v>
      </x:c>
      <x:c r="C200" s="46" t="n">
        <x:v>132995.67933726677</x:v>
      </x:c>
      <x:c r="D200" s="46" t="str">
        <x:v>tonnes</x:v>
      </x:c>
    </x:row>
    <x:row r="201" ht="18" customHeight="1">
      <x:c r="A201" s="46" t="str">
        <x:v>HS_061</x:v>
      </x:c>
      <x:c r="B201" s="46" t="str">
        <x:v>species_catch_tonnes</x:v>
      </x:c>
      <x:c r="C201" s="46" t="n">
        <x:v>132995.67933726683</x:v>
      </x:c>
      <x:c r="D201" s="46" t="str">
        <x:v>tonnes</x:v>
      </x:c>
    </x:row>
    <x:row r="202" ht="18" customHeight="1">
      <x:c r="A202" s="46" t="str">
        <x:v>HS_061</x:v>
      </x:c>
      <x:c r="B202" s="46" t="str">
        <x:v>catch_difference_tonnes</x:v>
      </x:c>
      <x:c r="C202" s="46" t="n">
        <x:v>5.820766091346741e-11</x:v>
      </x:c>
      <x:c r="D202" s="46" t="str">
        <x:v>tonnes</x:v>
      </x:c>
    </x:row>
    <x:row r="203" ht="18" customHeight="1">
      <x:c r="A203" s="46" t="str">
        <x:v>HS_061</x:v>
      </x:c>
      <x:c r="B203" s="46" t="str">
        <x:v>catch_reconciled</x:v>
      </x:c>
      <x:c r="C203" s="46" t="str">
        <x:v>True</x:v>
      </x:c>
      <x:c r="D203" s="46" t="str">
        <x:v>boolean</x:v>
      </x:c>
    </x:row>
    <x:row r="204" ht="18" customHeight="1">
      <x:c r="A204" s="46" t="str">
        <x:v>HS_061</x:v>
      </x:c>
      <x:c r="B204" s="46" t="str">
        <x:v>matched_catch_tonnes</x:v>
      </x:c>
      <x:c r="C204" s="46" t="n">
        <x:v>132995.67933726683</x:v>
      </x:c>
      <x:c r="D204" s="46" t="str">
        <x:v>tonnes</x:v>
      </x:c>
    </x:row>
    <x:row r="205" ht="18" customHeight="1">
      <x:c r="A205" s="46" t="str">
        <x:v>HS_061</x:v>
      </x:c>
      <x:c r="B205" s="46" t="str">
        <x:v>catch_coverage_fraction</x:v>
      </x:c>
      <x:c r="C205" s="46" t="n">
        <x:v>1</x:v>
      </x:c>
      <x:c r="D205" s="46" t="str">
        <x:v>fraction</x:v>
      </x:c>
    </x:row>
    <x:row r="206" ht="18" customHeight="1">
      <x:c r="A206" s="46" t="str">
        <x:v>HS_061</x:v>
      </x:c>
      <x:c r="B206" s="46" t="str">
        <x:v>taxa_count</x:v>
      </x:c>
      <x:c r="C206" s="46" t="n">
        <x:v>21</x:v>
      </x:c>
      <x:c r="D206" s="46" t="str">
        <x:v>count</x:v>
      </x:c>
    </x:row>
    <x:row r="207" ht="18" customHeight="1">
      <x:c r="A207" s="46" t="str">
        <x:v>HS_061</x:v>
      </x:c>
      <x:c r="B207" s="46" t="str">
        <x:v>matched_taxa_count</x:v>
      </x:c>
      <x:c r="C207" s="46" t="n">
        <x:v>21</x:v>
      </x:c>
      <x:c r="D207" s="46" t="str">
        <x:v>count</x:v>
      </x:c>
    </x:row>
    <x:row r="208" ht="18" customHeight="1">
      <x:c r="A208" s="46" t="str">
        <x:v>HS_061</x:v>
      </x:c>
      <x:c r="B208" s="46" t="str">
        <x:v>unmatched_taxa_count</x:v>
      </x:c>
      <x:c r="C208" s="46" t="n">
        <x:v>0</x:v>
      </x:c>
      <x:c r="D208" s="46" t="str">
        <x:v>count</x:v>
      </x:c>
    </x:row>
    <x:row r="209" ht="18" customHeight="1">
      <x:c r="A209" s="46" t="str">
        <x:v>HS_061</x:v>
      </x:c>
      <x:c r="B209" s="46" t="str">
        <x:v>species_ppr</x:v>
      </x:c>
      <x:c r="C209" s="46" t="n">
        <x:v>284384862.0630329</x:v>
      </x:c>
      <x:c r="D209" s="46" t="str">
        <x:v>tonnes_primary_production_equivalent</x:v>
      </x:c>
    </x:row>
    <x:row r="210" ht="18" customHeight="1">
      <x:c r="A210" s="46" t="str">
        <x:v>HS_061</x:v>
      </x:c>
      <x:c r="B210" s="46" t="str">
        <x:v>commercial_ppr</x:v>
      </x:c>
      <x:c r="C210" s="46" t="n">
        <x:v>284384862.06303287</x:v>
      </x:c>
      <x:c r="D210" s="46" t="str">
        <x:v>tonnes_primary_production_equivalent</x:v>
      </x:c>
    </x:row>
    <x:row r="211" ht="18" customHeight="1">
      <x:c r="A211" s="46" t="str">
        <x:v>HS_061</x:v>
      </x:c>
      <x:c r="B211" s="46" t="str">
        <x:v>functional_ppr</x:v>
      </x:c>
      <x:c r="C211" s="46" t="n">
        <x:v>284384862.0630329</x:v>
      </x:c>
      <x:c r="D211" s="46" t="str">
        <x:v>tonnes_primary_production_equivalent</x:v>
      </x:c>
    </x:row>
    <x:row r="212" ht="18" customHeight="1">
      <x:c r="A212" s="46" t="str">
        <x:v>HS_061</x:v>
      </x:c>
      <x:c r="B212" s="46" t="str">
        <x:v>commercial_ppr_difference</x:v>
      </x:c>
      <x:c r="C212" s="46" t="n">
        <x:v>-5.960464477539063e-8</x:v>
      </x:c>
      <x:c r="D212" s="46" t="str">
        <x:v>tonnes_primary_production_equivalent</x:v>
      </x:c>
    </x:row>
    <x:row r="213" ht="18" customHeight="1">
      <x:c r="A213" s="46" t="str">
        <x:v>HS_061</x:v>
      </x:c>
      <x:c r="B213" s="46" t="str">
        <x:v>functional_ppr_difference</x:v>
      </x:c>
      <x:c r="C213" s="46" t="n">
        <x:v>0</x:v>
      </x:c>
      <x:c r="D213" s="46" t="str">
        <x:v>tonnes_primary_production_equivalent</x:v>
      </x:c>
    </x:row>
    <x:row r="214" ht="18" customHeight="1">
      <x:c r="A214" s="46" t="str">
        <x:v>HS_061</x:v>
      </x:c>
      <x:c r="B214" s="46" t="str">
        <x:v>commercial_ppr_reconciled</x:v>
      </x:c>
      <x:c r="C214" s="46" t="str">
        <x:v>True</x:v>
      </x:c>
      <x:c r="D214" s="46" t="str">
        <x:v>boolean</x:v>
      </x:c>
    </x:row>
    <x:row r="215" ht="18" customHeight="1">
      <x:c r="A215" s="46" t="str">
        <x:v>HS_061</x:v>
      </x:c>
      <x:c r="B215" s="46" t="str">
        <x:v>functional_ppr_reconciled</x:v>
      </x:c>
      <x:c r="C215" s="46" t="str">
        <x:v>True</x:v>
      </x:c>
      <x:c r="D215" s="46" t="str">
        <x:v>boolean</x:v>
      </x:c>
    </x:row>
    <x:row r="216" ht="18" customHeight="1">
      <x:c r="A216" s="46" t="str">
        <x:v>HS_061</x:v>
      </x:c>
      <x:c r="B216" s="46" t="str">
        <x:v>commercial_jensen_violations</x:v>
      </x:c>
      <x:c r="C216" s="46" t="n">
        <x:v>0</x:v>
      </x:c>
      <x:c r="D216" s="46" t="str">
        <x:v>count</x:v>
      </x:c>
    </x:row>
    <x:row r="217" ht="18" customHeight="1">
      <x:c r="A217" s="46" t="str">
        <x:v>HS_061</x:v>
      </x:c>
      <x:c r="B217" s="46" t="str">
        <x:v>functional_jensen_violations</x:v>
      </x:c>
      <x:c r="C217" s="46" t="n">
        <x:v>0</x:v>
      </x:c>
      <x:c r="D217" s="46" t="str">
        <x:v>count</x:v>
      </x:c>
    </x:row>
    <x:row r="218" ht="18" customHeight="1">
      <x:c r="A218" s="46" t="str">
        <x:v>HS_067</x:v>
      </x:c>
      <x:c r="B218" s="46" t="str">
        <x:v>raw_filtered_tonnes</x:v>
      </x:c>
      <x:c r="C218" s="46" t="n">
        <x:v>402.2913954087</x:v>
      </x:c>
      <x:c r="D218" s="46" t="str">
        <x:v>tonnes</x:v>
      </x:c>
    </x:row>
    <x:row r="219" ht="18" customHeight="1">
      <x:c r="A219" s="46" t="str">
        <x:v>HS_067</x:v>
      </x:c>
      <x:c r="B219" s="46" t="str">
        <x:v>species_catch_tonnes</x:v>
      </x:c>
      <x:c r="C219" s="46" t="n">
        <x:v>402.29139540870005</x:v>
      </x:c>
      <x:c r="D219" s="46" t="str">
        <x:v>tonnes</x:v>
      </x:c>
    </x:row>
    <x:row r="220" ht="18" customHeight="1">
      <x:c r="A220" s="46" t="str">
        <x:v>HS_067</x:v>
      </x:c>
      <x:c r="B220" s="46" t="str">
        <x:v>catch_difference_tonnes</x:v>
      </x:c>
      <x:c r="C220" s="46" t="n">
        <x:v>5.684341886080802e-14</x:v>
      </x:c>
      <x:c r="D220" s="46" t="str">
        <x:v>tonnes</x:v>
      </x:c>
    </x:row>
    <x:row r="221" ht="18" customHeight="1">
      <x:c r="A221" s="46" t="str">
        <x:v>HS_067</x:v>
      </x:c>
      <x:c r="B221" s="46" t="str">
        <x:v>catch_reconciled</x:v>
      </x:c>
      <x:c r="C221" s="46" t="str">
        <x:v>True</x:v>
      </x:c>
      <x:c r="D221" s="46" t="str">
        <x:v>boolean</x:v>
      </x:c>
    </x:row>
    <x:row r="222" ht="18" customHeight="1">
      <x:c r="A222" s="46" t="str">
        <x:v>HS_067</x:v>
      </x:c>
      <x:c r="B222" s="46" t="str">
        <x:v>matched_catch_tonnes</x:v>
      </x:c>
      <x:c r="C222" s="46" t="n">
        <x:v>402.29139540870005</x:v>
      </x:c>
      <x:c r="D222" s="46" t="str">
        <x:v>tonnes</x:v>
      </x:c>
    </x:row>
    <x:row r="223" ht="18" customHeight="1">
      <x:c r="A223" s="46" t="str">
        <x:v>HS_067</x:v>
      </x:c>
      <x:c r="B223" s="46" t="str">
        <x:v>catch_coverage_fraction</x:v>
      </x:c>
      <x:c r="C223" s="46" t="n">
        <x:v>1</x:v>
      </x:c>
      <x:c r="D223" s="46" t="str">
        <x:v>fraction</x:v>
      </x:c>
    </x:row>
    <x:row r="224" ht="18" customHeight="1">
      <x:c r="A224" s="46" t="str">
        <x:v>HS_067</x:v>
      </x:c>
      <x:c r="B224" s="46" t="str">
        <x:v>taxa_count</x:v>
      </x:c>
      <x:c r="C224" s="46" t="n">
        <x:v>16</x:v>
      </x:c>
      <x:c r="D224" s="46" t="str">
        <x:v>count</x:v>
      </x:c>
    </x:row>
    <x:row r="225" ht="18" customHeight="1">
      <x:c r="A225" s="46" t="str">
        <x:v>HS_067</x:v>
      </x:c>
      <x:c r="B225" s="46" t="str">
        <x:v>matched_taxa_count</x:v>
      </x:c>
      <x:c r="C225" s="46" t="n">
        <x:v>16</x:v>
      </x:c>
      <x:c r="D225" s="46" t="str">
        <x:v>count</x:v>
      </x:c>
    </x:row>
    <x:row r="226" ht="18" customHeight="1">
      <x:c r="A226" s="46" t="str">
        <x:v>HS_067</x:v>
      </x:c>
      <x:c r="B226" s="46" t="str">
        <x:v>unmatched_taxa_count</x:v>
      </x:c>
      <x:c r="C226" s="46" t="n">
        <x:v>0</x:v>
      </x:c>
      <x:c r="D226" s="46" t="str">
        <x:v>count</x:v>
      </x:c>
    </x:row>
    <x:row r="227" ht="18" customHeight="1">
      <x:c r="A227" s="46" t="str">
        <x:v>HS_067</x:v>
      </x:c>
      <x:c r="B227" s="46" t="str">
        <x:v>species_ppr</x:v>
      </x:c>
      <x:c r="C227" s="46" t="n">
        <x:v>759816.5237174243</x:v>
      </x:c>
      <x:c r="D227" s="46" t="str">
        <x:v>tonnes_primary_production_equivalent</x:v>
      </x:c>
    </x:row>
    <x:row r="228" ht="18" customHeight="1">
      <x:c r="A228" s="46" t="str">
        <x:v>HS_067</x:v>
      </x:c>
      <x:c r="B228" s="46" t="str">
        <x:v>commercial_ppr</x:v>
      </x:c>
      <x:c r="C228" s="46" t="n">
        <x:v>759816.5237174241</x:v>
      </x:c>
      <x:c r="D228" s="46" t="str">
        <x:v>tonnes_primary_production_equivalent</x:v>
      </x:c>
    </x:row>
    <x:row r="229" ht="18" customHeight="1">
      <x:c r="A229" s="46" t="str">
        <x:v>HS_067</x:v>
      </x:c>
      <x:c r="B229" s="46" t="str">
        <x:v>functional_ppr</x:v>
      </x:c>
      <x:c r="C229" s="46" t="n">
        <x:v>759816.523717424</x:v>
      </x:c>
      <x:c r="D229" s="46" t="str">
        <x:v>tonnes_primary_production_equivalent</x:v>
      </x:c>
    </x:row>
    <x:row r="230" ht="18" customHeight="1">
      <x:c r="A230" s="46" t="str">
        <x:v>HS_067</x:v>
      </x:c>
      <x:c r="B230" s="46" t="str">
        <x:v>commercial_ppr_difference</x:v>
      </x:c>
      <x:c r="C230" s="46" t="n">
        <x:v>-1.1641532182693481e-10</x:v>
      </x:c>
      <x:c r="D230" s="46" t="str">
        <x:v>tonnes_primary_production_equivalent</x:v>
      </x:c>
    </x:row>
    <x:row r="231" ht="18" customHeight="1">
      <x:c r="A231" s="46" t="str">
        <x:v>HS_067</x:v>
      </x:c>
      <x:c r="B231" s="46" t="str">
        <x:v>functional_ppr_difference</x:v>
      </x:c>
      <x:c r="C231" s="46" t="n">
        <x:v>-2.3283064365386963e-10</x:v>
      </x:c>
      <x:c r="D231" s="46" t="str">
        <x:v>tonnes_primary_production_equivalent</x:v>
      </x:c>
    </x:row>
    <x:row r="232" ht="18" customHeight="1">
      <x:c r="A232" s="46" t="str">
        <x:v>HS_067</x:v>
      </x:c>
      <x:c r="B232" s="46" t="str">
        <x:v>commercial_ppr_reconciled</x:v>
      </x:c>
      <x:c r="C232" s="46" t="str">
        <x:v>True</x:v>
      </x:c>
      <x:c r="D232" s="46" t="str">
        <x:v>boolean</x:v>
      </x:c>
    </x:row>
    <x:row r="233" ht="18" customHeight="1">
      <x:c r="A233" s="46" t="str">
        <x:v>HS_067</x:v>
      </x:c>
      <x:c r="B233" s="46" t="str">
        <x:v>functional_ppr_reconciled</x:v>
      </x:c>
      <x:c r="C233" s="46" t="str">
        <x:v>True</x:v>
      </x:c>
      <x:c r="D233" s="46" t="str">
        <x:v>boolean</x:v>
      </x:c>
    </x:row>
    <x:row r="234" ht="18" customHeight="1">
      <x:c r="A234" s="46" t="str">
        <x:v>HS_067</x:v>
      </x:c>
      <x:c r="B234" s="46" t="str">
        <x:v>commercial_jensen_violations</x:v>
      </x:c>
      <x:c r="C234" s="46" t="n">
        <x:v>0</x:v>
      </x:c>
      <x:c r="D234" s="46" t="str">
        <x:v>count</x:v>
      </x:c>
    </x:row>
    <x:row r="235" ht="18" customHeight="1">
      <x:c r="A235" s="46" t="str">
        <x:v>HS_067</x:v>
      </x:c>
      <x:c r="B235" s="46" t="str">
        <x:v>functional_jensen_violations</x:v>
      </x:c>
      <x:c r="C235" s="46" t="n">
        <x:v>0</x:v>
      </x:c>
      <x:c r="D235" s="46" t="str">
        <x:v>count</x:v>
      </x:c>
    </x:row>
    <x:row r="236" ht="18" customHeight="1">
      <x:c r="A236" s="46" t="str">
        <x:v>HS_071</x:v>
      </x:c>
      <x:c r="B236" s="46" t="str">
        <x:v>raw_filtered_tonnes</x:v>
      </x:c>
      <x:c r="C236" s="46" t="n">
        <x:v>571817.786555246</x:v>
      </x:c>
      <x:c r="D236" s="46" t="str">
        <x:v>tonnes</x:v>
      </x:c>
    </x:row>
    <x:row r="237" ht="18" customHeight="1">
      <x:c r="A237" s="46" t="str">
        <x:v>HS_071</x:v>
      </x:c>
      <x:c r="B237" s="46" t="str">
        <x:v>species_catch_tonnes</x:v>
      </x:c>
      <x:c r="C237" s="46" t="n">
        <x:v>571817.786555246</x:v>
      </x:c>
      <x:c r="D237" s="46" t="str">
        <x:v>tonnes</x:v>
      </x:c>
    </x:row>
    <x:row r="238" ht="18" customHeight="1">
      <x:c r="A238" s="46" t="str">
        <x:v>HS_071</x:v>
      </x:c>
      <x:c r="B238" s="46" t="str">
        <x:v>catch_difference_tonnes</x:v>
      </x:c>
      <x:c r="C238" s="46" t="n">
        <x:v>0</x:v>
      </x:c>
      <x:c r="D238" s="46" t="str">
        <x:v>tonnes</x:v>
      </x:c>
    </x:row>
    <x:row r="239" ht="18" customHeight="1">
      <x:c r="A239" s="46" t="str">
        <x:v>HS_071</x:v>
      </x:c>
      <x:c r="B239" s="46" t="str">
        <x:v>catch_reconciled</x:v>
      </x:c>
      <x:c r="C239" s="46" t="str">
        <x:v>True</x:v>
      </x:c>
      <x:c r="D239" s="46" t="str">
        <x:v>boolean</x:v>
      </x:c>
    </x:row>
    <x:row r="240" ht="18" customHeight="1">
      <x:c r="A240" s="46" t="str">
        <x:v>HS_071</x:v>
      </x:c>
      <x:c r="B240" s="46" t="str">
        <x:v>matched_catch_tonnes</x:v>
      </x:c>
      <x:c r="C240" s="46" t="n">
        <x:v>571817.786555246</x:v>
      </x:c>
      <x:c r="D240" s="46" t="str">
        <x:v>tonnes</x:v>
      </x:c>
    </x:row>
    <x:row r="241" ht="18" customHeight="1">
      <x:c r="A241" s="46" t="str">
        <x:v>HS_071</x:v>
      </x:c>
      <x:c r="B241" s="46" t="str">
        <x:v>catch_coverage_fraction</x:v>
      </x:c>
      <x:c r="C241" s="46" t="n">
        <x:v>1</x:v>
      </x:c>
      <x:c r="D241" s="46" t="str">
        <x:v>fraction</x:v>
      </x:c>
    </x:row>
    <x:row r="242" ht="18" customHeight="1">
      <x:c r="A242" s="46" t="str">
        <x:v>HS_071</x:v>
      </x:c>
      <x:c r="B242" s="46" t="str">
        <x:v>taxa_count</x:v>
      </x:c>
      <x:c r="C242" s="46" t="n">
        <x:v>23</x:v>
      </x:c>
      <x:c r="D242" s="46" t="str">
        <x:v>count</x:v>
      </x:c>
    </x:row>
    <x:row r="243" ht="18" customHeight="1">
      <x:c r="A243" s="46" t="str">
        <x:v>HS_071</x:v>
      </x:c>
      <x:c r="B243" s="46" t="str">
        <x:v>matched_taxa_count</x:v>
      </x:c>
      <x:c r="C243" s="46" t="n">
        <x:v>23</x:v>
      </x:c>
      <x:c r="D243" s="46" t="str">
        <x:v>count</x:v>
      </x:c>
    </x:row>
    <x:row r="244" ht="18" customHeight="1">
      <x:c r="A244" s="46" t="str">
        <x:v>HS_071</x:v>
      </x:c>
      <x:c r="B244" s="46" t="str">
        <x:v>unmatched_taxa_count</x:v>
      </x:c>
      <x:c r="C244" s="46" t="n">
        <x:v>0</x:v>
      </x:c>
      <x:c r="D244" s="46" t="str">
        <x:v>count</x:v>
      </x:c>
    </x:row>
    <x:row r="245" ht="18" customHeight="1">
      <x:c r="A245" s="46" t="str">
        <x:v>HS_071</x:v>
      </x:c>
      <x:c r="B245" s="46" t="str">
        <x:v>species_ppr</x:v>
      </x:c>
      <x:c r="C245" s="46" t="n">
        <x:v>1482147259.8171525</x:v>
      </x:c>
      <x:c r="D245" s="46" t="str">
        <x:v>tonnes_primary_production_equivalent</x:v>
      </x:c>
    </x:row>
    <x:row r="246" ht="18" customHeight="1">
      <x:c r="A246" s="46" t="str">
        <x:v>HS_071</x:v>
      </x:c>
      <x:c r="B246" s="46" t="str">
        <x:v>commercial_ppr</x:v>
      </x:c>
      <x:c r="C246" s="46" t="n">
        <x:v>1482147259.8171525</x:v>
      </x:c>
      <x:c r="D246" s="46" t="str">
        <x:v>tonnes_primary_production_equivalent</x:v>
      </x:c>
    </x:row>
    <x:row r="247" ht="18" customHeight="1">
      <x:c r="A247" s="46" t="str">
        <x:v>HS_071</x:v>
      </x:c>
      <x:c r="B247" s="46" t="str">
        <x:v>functional_ppr</x:v>
      </x:c>
      <x:c r="C247" s="46" t="n">
        <x:v>1482147259.8171527</x:v>
      </x:c>
      <x:c r="D247" s="46" t="str">
        <x:v>tonnes_primary_production_equivalent</x:v>
      </x:c>
    </x:row>
    <x:row r="248" ht="18" customHeight="1">
      <x:c r="A248" s="46" t="str">
        <x:v>HS_071</x:v>
      </x:c>
      <x:c r="B248" s="46" t="str">
        <x:v>commercial_ppr_difference</x:v>
      </x:c>
      <x:c r="C248" s="46" t="n">
        <x:v>0</x:v>
      </x:c>
      <x:c r="D248" s="46" t="str">
        <x:v>tonnes_primary_production_equivalent</x:v>
      </x:c>
    </x:row>
    <x:row r="249" ht="18" customHeight="1">
      <x:c r="A249" s="46" t="str">
        <x:v>HS_071</x:v>
      </x:c>
      <x:c r="B249" s="46" t="str">
        <x:v>functional_ppr_difference</x:v>
      </x:c>
      <x:c r="C249" s="46" t="n">
        <x:v>2.384185791015625e-7</x:v>
      </x:c>
      <x:c r="D249" s="46" t="str">
        <x:v>tonnes_primary_production_equivalent</x:v>
      </x:c>
    </x:row>
    <x:row r="250" ht="18" customHeight="1">
      <x:c r="A250" s="46" t="str">
        <x:v>HS_071</x:v>
      </x:c>
      <x:c r="B250" s="46" t="str">
        <x:v>commercial_ppr_reconciled</x:v>
      </x:c>
      <x:c r="C250" s="46" t="str">
        <x:v>True</x:v>
      </x:c>
      <x:c r="D250" s="46" t="str">
        <x:v>boolean</x:v>
      </x:c>
    </x:row>
    <x:row r="251" ht="18" customHeight="1">
      <x:c r="A251" s="46" t="str">
        <x:v>HS_071</x:v>
      </x:c>
      <x:c r="B251" s="46" t="str">
        <x:v>functional_ppr_reconciled</x:v>
      </x:c>
      <x:c r="C251" s="46" t="str">
        <x:v>True</x:v>
      </x:c>
      <x:c r="D251" s="46" t="str">
        <x:v>boolean</x:v>
      </x:c>
    </x:row>
    <x:row r="252" ht="18" customHeight="1">
      <x:c r="A252" s="46" t="str">
        <x:v>HS_071</x:v>
      </x:c>
      <x:c r="B252" s="46" t="str">
        <x:v>commercial_jensen_violations</x:v>
      </x:c>
      <x:c r="C252" s="46" t="n">
        <x:v>0</x:v>
      </x:c>
      <x:c r="D252" s="46" t="str">
        <x:v>count</x:v>
      </x:c>
    </x:row>
    <x:row r="253" ht="18" customHeight="1">
      <x:c r="A253" s="46" t="str">
        <x:v>HS_071</x:v>
      </x:c>
      <x:c r="B253" s="46" t="str">
        <x:v>functional_jensen_violations</x:v>
      </x:c>
      <x:c r="C253" s="46" t="n">
        <x:v>0</x:v>
      </x:c>
      <x:c r="D253" s="46" t="str">
        <x:v>count</x:v>
      </x:c>
    </x:row>
    <x:row r="254" ht="18" customHeight="1">
      <x:c r="A254" s="46" t="str">
        <x:v>HS_077</x:v>
      </x:c>
      <x:c r="B254" s="46" t="str">
        <x:v>raw_filtered_tonnes</x:v>
      </x:c>
      <x:c r="C254" s="46" t="n">
        <x:v>860671.2076084926</x:v>
      </x:c>
      <x:c r="D254" s="46" t="str">
        <x:v>tonnes</x:v>
      </x:c>
    </x:row>
    <x:row r="255" ht="18" customHeight="1">
      <x:c r="A255" s="46" t="str">
        <x:v>HS_077</x:v>
      </x:c>
      <x:c r="B255" s="46" t="str">
        <x:v>species_catch_tonnes</x:v>
      </x:c>
      <x:c r="C255" s="46" t="n">
        <x:v>860671.2076084926</x:v>
      </x:c>
      <x:c r="D255" s="46" t="str">
        <x:v>tonnes</x:v>
      </x:c>
    </x:row>
    <x:row r="256" ht="18" customHeight="1">
      <x:c r="A256" s="46" t="str">
        <x:v>HS_077</x:v>
      </x:c>
      <x:c r="B256" s="46" t="str">
        <x:v>catch_difference_tonnes</x:v>
      </x:c>
      <x:c r="C256" s="46" t="n">
        <x:v>0</x:v>
      </x:c>
      <x:c r="D256" s="46" t="str">
        <x:v>tonnes</x:v>
      </x:c>
    </x:row>
    <x:row r="257" ht="18" customHeight="1">
      <x:c r="A257" s="46" t="str">
        <x:v>HS_077</x:v>
      </x:c>
      <x:c r="B257" s="46" t="str">
        <x:v>catch_reconciled</x:v>
      </x:c>
      <x:c r="C257" s="46" t="str">
        <x:v>True</x:v>
      </x:c>
      <x:c r="D257" s="46" t="str">
        <x:v>boolean</x:v>
      </x:c>
    </x:row>
    <x:row r="258" ht="18" customHeight="1">
      <x:c r="A258" s="46" t="str">
        <x:v>HS_077</x:v>
      </x:c>
      <x:c r="B258" s="46" t="str">
        <x:v>matched_catch_tonnes</x:v>
      </x:c>
      <x:c r="C258" s="46" t="n">
        <x:v>860671.2076084926</x:v>
      </x:c>
      <x:c r="D258" s="46" t="str">
        <x:v>tonnes</x:v>
      </x:c>
    </x:row>
    <x:row r="259" ht="18" customHeight="1">
      <x:c r="A259" s="46" t="str">
        <x:v>HS_077</x:v>
      </x:c>
      <x:c r="B259" s="46" t="str">
        <x:v>catch_coverage_fraction</x:v>
      </x:c>
      <x:c r="C259" s="46" t="n">
        <x:v>1</x:v>
      </x:c>
      <x:c r="D259" s="46" t="str">
        <x:v>fraction</x:v>
      </x:c>
    </x:row>
    <x:row r="260" ht="18" customHeight="1">
      <x:c r="A260" s="46" t="str">
        <x:v>HS_077</x:v>
      </x:c>
      <x:c r="B260" s="46" t="str">
        <x:v>taxa_count</x:v>
      </x:c>
      <x:c r="C260" s="46" t="n">
        <x:v>26</x:v>
      </x:c>
      <x:c r="D260" s="46" t="str">
        <x:v>count</x:v>
      </x:c>
    </x:row>
    <x:row r="261" ht="18" customHeight="1">
      <x:c r="A261" s="46" t="str">
        <x:v>HS_077</x:v>
      </x:c>
      <x:c r="B261" s="46" t="str">
        <x:v>matched_taxa_count</x:v>
      </x:c>
      <x:c r="C261" s="46" t="n">
        <x:v>26</x:v>
      </x:c>
      <x:c r="D261" s="46" t="str">
        <x:v>count</x:v>
      </x:c>
    </x:row>
    <x:row r="262" ht="18" customHeight="1">
      <x:c r="A262" s="46" t="str">
        <x:v>HS_077</x:v>
      </x:c>
      <x:c r="B262" s="46" t="str">
        <x:v>unmatched_taxa_count</x:v>
      </x:c>
      <x:c r="C262" s="46" t="n">
        <x:v>0</x:v>
      </x:c>
      <x:c r="D262" s="46" t="str">
        <x:v>count</x:v>
      </x:c>
    </x:row>
    <x:row r="263" ht="18" customHeight="1">
      <x:c r="A263" s="46" t="str">
        <x:v>HS_077</x:v>
      </x:c>
      <x:c r="B263" s="46" t="str">
        <x:v>species_ppr</x:v>
      </x:c>
      <x:c r="C263" s="46" t="n">
        <x:v>2196179346.027695</x:v>
      </x:c>
      <x:c r="D263" s="46" t="str">
        <x:v>tonnes_primary_production_equivalent</x:v>
      </x:c>
    </x:row>
    <x:row r="264" ht="18" customHeight="1">
      <x:c r="A264" s="46" t="str">
        <x:v>HS_077</x:v>
      </x:c>
      <x:c r="B264" s="46" t="str">
        <x:v>commercial_ppr</x:v>
      </x:c>
      <x:c r="C264" s="46" t="n">
        <x:v>2196179346.0276957</x:v>
      </x:c>
      <x:c r="D264" s="46" t="str">
        <x:v>tonnes_primary_production_equivalent</x:v>
      </x:c>
    </x:row>
    <x:row r="265" ht="18" customHeight="1">
      <x:c r="A265" s="46" t="str">
        <x:v>HS_077</x:v>
      </x:c>
      <x:c r="B265" s="46" t="str">
        <x:v>functional_ppr</x:v>
      </x:c>
      <x:c r="C265" s="46" t="n">
        <x:v>2196179346.027695</x:v>
      </x:c>
      <x:c r="D265" s="46" t="str">
        <x:v>tonnes_primary_production_equivalent</x:v>
      </x:c>
    </x:row>
    <x:row r="266" ht="18" customHeight="1">
      <x:c r="A266" s="46" t="str">
        <x:v>HS_077</x:v>
      </x:c>
      <x:c r="B266" s="46" t="str">
        <x:v>commercial_ppr_difference</x:v>
      </x:c>
      <x:c r="C266" s="46" t="n">
        <x:v>4.76837158203125e-7</x:v>
      </x:c>
      <x:c r="D266" s="46" t="str">
        <x:v>tonnes_primary_production_equivalent</x:v>
      </x:c>
    </x:row>
    <x:row r="267" ht="18" customHeight="1">
      <x:c r="A267" s="46" t="str">
        <x:v>HS_077</x:v>
      </x:c>
      <x:c r="B267" s="46" t="str">
        <x:v>functional_ppr_difference</x:v>
      </x:c>
      <x:c r="C267" s="46" t="n">
        <x:v>0</x:v>
      </x:c>
      <x:c r="D267" s="46" t="str">
        <x:v>tonnes_primary_production_equivalent</x:v>
      </x:c>
    </x:row>
    <x:row r="268" ht="18" customHeight="1">
      <x:c r="A268" s="46" t="str">
        <x:v>HS_077</x:v>
      </x:c>
      <x:c r="B268" s="46" t="str">
        <x:v>commercial_ppr_reconciled</x:v>
      </x:c>
      <x:c r="C268" s="46" t="str">
        <x:v>True</x:v>
      </x:c>
      <x:c r="D268" s="46" t="str">
        <x:v>boolean</x:v>
      </x:c>
    </x:row>
    <x:row r="269" ht="18" customHeight="1">
      <x:c r="A269" s="46" t="str">
        <x:v>HS_077</x:v>
      </x:c>
      <x:c r="B269" s="46" t="str">
        <x:v>functional_ppr_reconciled</x:v>
      </x:c>
      <x:c r="C269" s="46" t="str">
        <x:v>True</x:v>
      </x:c>
      <x:c r="D269" s="46" t="str">
        <x:v>boolean</x:v>
      </x:c>
    </x:row>
    <x:row r="270" ht="18" customHeight="1">
      <x:c r="A270" s="46" t="str">
        <x:v>HS_077</x:v>
      </x:c>
      <x:c r="B270" s="46" t="str">
        <x:v>commercial_jensen_violations</x:v>
      </x:c>
      <x:c r="C270" s="46" t="n">
        <x:v>0</x:v>
      </x:c>
      <x:c r="D270" s="46" t="str">
        <x:v>count</x:v>
      </x:c>
    </x:row>
    <x:row r="271" ht="18" customHeight="1">
      <x:c r="A271" s="46" t="str">
        <x:v>HS_077</x:v>
      </x:c>
      <x:c r="B271" s="46" t="str">
        <x:v>functional_jensen_violations</x:v>
      </x:c>
      <x:c r="C271" s="46" t="n">
        <x:v>0</x:v>
      </x:c>
      <x:c r="D271" s="46" t="str">
        <x:v>count</x:v>
      </x:c>
    </x:row>
    <x:row r="272" ht="18" customHeight="1">
      <x:c r="A272" s="46" t="str">
        <x:v>HS_081</x:v>
      </x:c>
      <x:c r="B272" s="46" t="str">
        <x:v>raw_filtered_tonnes</x:v>
      </x:c>
      <x:c r="C272" s="46" t="n">
        <x:v>45252.4668227171</x:v>
      </x:c>
      <x:c r="D272" s="46" t="str">
        <x:v>tonnes</x:v>
      </x:c>
    </x:row>
    <x:row r="273" ht="18" customHeight="1">
      <x:c r="A273" s="46" t="str">
        <x:v>HS_081</x:v>
      </x:c>
      <x:c r="B273" s="46" t="str">
        <x:v>species_catch_tonnes</x:v>
      </x:c>
      <x:c r="C273" s="46" t="n">
        <x:v>45252.466822717106</x:v>
      </x:c>
      <x:c r="D273" s="46" t="str">
        <x:v>tonnes</x:v>
      </x:c>
    </x:row>
    <x:row r="274" ht="18" customHeight="1">
      <x:c r="A274" s="46" t="str">
        <x:v>HS_081</x:v>
      </x:c>
      <x:c r="B274" s="46" t="str">
        <x:v>catch_difference_tonnes</x:v>
      </x:c>
      <x:c r="C274" s="46" t="n">
        <x:v>7.275957614183426e-12</x:v>
      </x:c>
      <x:c r="D274" s="46" t="str">
        <x:v>tonnes</x:v>
      </x:c>
    </x:row>
    <x:row r="275" ht="18" customHeight="1">
      <x:c r="A275" s="46" t="str">
        <x:v>HS_081</x:v>
      </x:c>
      <x:c r="B275" s="46" t="str">
        <x:v>catch_reconciled</x:v>
      </x:c>
      <x:c r="C275" s="46" t="str">
        <x:v>True</x:v>
      </x:c>
      <x:c r="D275" s="46" t="str">
        <x:v>boolean</x:v>
      </x:c>
    </x:row>
    <x:row r="276" ht="18" customHeight="1">
      <x:c r="A276" s="46" t="str">
        <x:v>HS_081</x:v>
      </x:c>
      <x:c r="B276" s="46" t="str">
        <x:v>matched_catch_tonnes</x:v>
      </x:c>
      <x:c r="C276" s="46" t="n">
        <x:v>45252.466822717106</x:v>
      </x:c>
      <x:c r="D276" s="46" t="str">
        <x:v>tonnes</x:v>
      </x:c>
    </x:row>
    <x:row r="277" ht="18" customHeight="1">
      <x:c r="A277" s="46" t="str">
        <x:v>HS_081</x:v>
      </x:c>
      <x:c r="B277" s="46" t="str">
        <x:v>catch_coverage_fraction</x:v>
      </x:c>
      <x:c r="C277" s="46" t="n">
        <x:v>1</x:v>
      </x:c>
      <x:c r="D277" s="46" t="str">
        <x:v>fraction</x:v>
      </x:c>
    </x:row>
    <x:row r="278" ht="18" customHeight="1">
      <x:c r="A278" s="46" t="str">
        <x:v>HS_081</x:v>
      </x:c>
      <x:c r="B278" s="46" t="str">
        <x:v>taxa_count</x:v>
      </x:c>
      <x:c r="C278" s="46" t="n">
        <x:v>27</x:v>
      </x:c>
      <x:c r="D278" s="46" t="str">
        <x:v>count</x:v>
      </x:c>
    </x:row>
    <x:row r="279" ht="18" customHeight="1">
      <x:c r="A279" s="46" t="str">
        <x:v>HS_081</x:v>
      </x:c>
      <x:c r="B279" s="46" t="str">
        <x:v>matched_taxa_count</x:v>
      </x:c>
      <x:c r="C279" s="46" t="n">
        <x:v>27</x:v>
      </x:c>
      <x:c r="D279" s="46" t="str">
        <x:v>count</x:v>
      </x:c>
    </x:row>
    <x:row r="280" ht="18" customHeight="1">
      <x:c r="A280" s="46" t="str">
        <x:v>HS_081</x:v>
      </x:c>
      <x:c r="B280" s="46" t="str">
        <x:v>unmatched_taxa_count</x:v>
      </x:c>
      <x:c r="C280" s="46" t="n">
        <x:v>0</x:v>
      </x:c>
      <x:c r="D280" s="46" t="str">
        <x:v>count</x:v>
      </x:c>
    </x:row>
    <x:row r="281" ht="18" customHeight="1">
      <x:c r="A281" s="46" t="str">
        <x:v>HS_081</x:v>
      </x:c>
      <x:c r="B281" s="46" t="str">
        <x:v>species_ppr</x:v>
      </x:c>
      <x:c r="C281" s="46" t="n">
        <x:v>91386286.47267893</x:v>
      </x:c>
      <x:c r="D281" s="46" t="str">
        <x:v>tonnes_primary_production_equivalent</x:v>
      </x:c>
    </x:row>
    <x:row r="282" ht="18" customHeight="1">
      <x:c r="A282" s="46" t="str">
        <x:v>HS_081</x:v>
      </x:c>
      <x:c r="B282" s="46" t="str">
        <x:v>commercial_ppr</x:v>
      </x:c>
      <x:c r="C282" s="46" t="n">
        <x:v>91386286.47267893</x:v>
      </x:c>
      <x:c r="D282" s="46" t="str">
        <x:v>tonnes_primary_production_equivalent</x:v>
      </x:c>
    </x:row>
    <x:row r="283" ht="18" customHeight="1">
      <x:c r="A283" s="46" t="str">
        <x:v>HS_081</x:v>
      </x:c>
      <x:c r="B283" s="46" t="str">
        <x:v>functional_ppr</x:v>
      </x:c>
      <x:c r="C283" s="46" t="n">
        <x:v>91386286.47267893</x:v>
      </x:c>
      <x:c r="D283" s="46" t="str">
        <x:v>tonnes_primary_production_equivalent</x:v>
      </x:c>
    </x:row>
    <x:row r="284" ht="18" customHeight="1">
      <x:c r="A284" s="46" t="str">
        <x:v>HS_081</x:v>
      </x:c>
      <x:c r="B284" s="46" t="str">
        <x:v>commercial_ppr_difference</x:v>
      </x:c>
      <x:c r="C284" s="46" t="n">
        <x:v>0</x:v>
      </x:c>
      <x:c r="D284" s="46" t="str">
        <x:v>tonnes_primary_production_equivalent</x:v>
      </x:c>
    </x:row>
    <x:row r="285" ht="18" customHeight="1">
      <x:c r="A285" s="46" t="str">
        <x:v>HS_081</x:v>
      </x:c>
      <x:c r="B285" s="46" t="str">
        <x:v>functional_ppr_difference</x:v>
      </x:c>
      <x:c r="C285" s="46" t="n">
        <x:v>0</x:v>
      </x:c>
      <x:c r="D285" s="46" t="str">
        <x:v>tonnes_primary_production_equivalent</x:v>
      </x:c>
    </x:row>
    <x:row r="286" ht="18" customHeight="1">
      <x:c r="A286" s="46" t="str">
        <x:v>HS_081</x:v>
      </x:c>
      <x:c r="B286" s="46" t="str">
        <x:v>commercial_ppr_reconciled</x:v>
      </x:c>
      <x:c r="C286" s="46" t="str">
        <x:v>True</x:v>
      </x:c>
      <x:c r="D286" s="46" t="str">
        <x:v>boolean</x:v>
      </x:c>
    </x:row>
    <x:row r="287" ht="18" customHeight="1">
      <x:c r="A287" s="46" t="str">
        <x:v>HS_081</x:v>
      </x:c>
      <x:c r="B287" s="46" t="str">
        <x:v>functional_ppr_reconciled</x:v>
      </x:c>
      <x:c r="C287" s="46" t="str">
        <x:v>True</x:v>
      </x:c>
      <x:c r="D287" s="46" t="str">
        <x:v>boolean</x:v>
      </x:c>
    </x:row>
    <x:row r="288" ht="18" customHeight="1">
      <x:c r="A288" s="46" t="str">
        <x:v>HS_081</x:v>
      </x:c>
      <x:c r="B288" s="46" t="str">
        <x:v>commercial_jensen_violations</x:v>
      </x:c>
      <x:c r="C288" s="46" t="n">
        <x:v>0</x:v>
      </x:c>
      <x:c r="D288" s="46" t="str">
        <x:v>count</x:v>
      </x:c>
    </x:row>
    <x:row r="289" ht="18" customHeight="1">
      <x:c r="A289" s="46" t="str">
        <x:v>HS_081</x:v>
      </x:c>
      <x:c r="B289" s="46" t="str">
        <x:v>functional_jensen_violations</x:v>
      </x:c>
      <x:c r="C289" s="46" t="n">
        <x:v>0</x:v>
      </x:c>
      <x:c r="D289" s="46" t="str">
        <x:v>count</x:v>
      </x:c>
    </x:row>
    <x:row r="290" ht="18" customHeight="1">
      <x:c r="A290" s="46" t="str">
        <x:v>HS_087</x:v>
      </x:c>
      <x:c r="B290" s="46" t="str">
        <x:v>raw_filtered_tonnes</x:v>
      </x:c>
      <x:c r="C290" s="46" t="n">
        <x:v>245882.4176735426</x:v>
      </x:c>
      <x:c r="D290" s="46" t="str">
        <x:v>tonnes</x:v>
      </x:c>
    </x:row>
    <x:row r="291" ht="18" customHeight="1">
      <x:c r="A291" s="46" t="str">
        <x:v>HS_087</x:v>
      </x:c>
      <x:c r="B291" s="46" t="str">
        <x:v>species_catch_tonnes</x:v>
      </x:c>
      <x:c r="C291" s="46" t="n">
        <x:v>245882.41767354257</x:v>
      </x:c>
      <x:c r="D291" s="46" t="str">
        <x:v>tonnes</x:v>
      </x:c>
    </x:row>
    <x:row r="292" ht="18" customHeight="1">
      <x:c r="A292" s="46" t="str">
        <x:v>HS_087</x:v>
      </x:c>
      <x:c r="B292" s="46" t="str">
        <x:v>catch_difference_tonnes</x:v>
      </x:c>
      <x:c r="C292" s="46" t="n">
        <x:v>-2.9103830456733704e-11</x:v>
      </x:c>
      <x:c r="D292" s="46" t="str">
        <x:v>tonnes</x:v>
      </x:c>
    </x:row>
    <x:row r="293" ht="18" customHeight="1">
      <x:c r="A293" s="46" t="str">
        <x:v>HS_087</x:v>
      </x:c>
      <x:c r="B293" s="46" t="str">
        <x:v>catch_reconciled</x:v>
      </x:c>
      <x:c r="C293" s="46" t="str">
        <x:v>True</x:v>
      </x:c>
      <x:c r="D293" s="46" t="str">
        <x:v>boolean</x:v>
      </x:c>
    </x:row>
    <x:row r="294" ht="18" customHeight="1">
      <x:c r="A294" s="46" t="str">
        <x:v>HS_087</x:v>
      </x:c>
      <x:c r="B294" s="46" t="str">
        <x:v>matched_catch_tonnes</x:v>
      </x:c>
      <x:c r="C294" s="46" t="n">
        <x:v>245882.41767354257</x:v>
      </x:c>
      <x:c r="D294" s="46" t="str">
        <x:v>tonnes</x:v>
      </x:c>
    </x:row>
    <x:row r="295" ht="18" customHeight="1">
      <x:c r="A295" s="46" t="str">
        <x:v>HS_087</x:v>
      </x:c>
      <x:c r="B295" s="46" t="str">
        <x:v>catch_coverage_fraction</x:v>
      </x:c>
      <x:c r="C295" s="46" t="n">
        <x:v>1</x:v>
      </x:c>
      <x:c r="D295" s="46" t="str">
        <x:v>fraction</x:v>
      </x:c>
    </x:row>
    <x:row r="296" ht="18" customHeight="1">
      <x:c r="A296" s="46" t="str">
        <x:v>HS_087</x:v>
      </x:c>
      <x:c r="B296" s="46" t="str">
        <x:v>taxa_count</x:v>
      </x:c>
      <x:c r="C296" s="46" t="n">
        <x:v>25</x:v>
      </x:c>
      <x:c r="D296" s="46" t="str">
        <x:v>count</x:v>
      </x:c>
    </x:row>
    <x:row r="297" ht="18" customHeight="1">
      <x:c r="A297" s="46" t="str">
        <x:v>HS_087</x:v>
      </x:c>
      <x:c r="B297" s="46" t="str">
        <x:v>matched_taxa_count</x:v>
      </x:c>
      <x:c r="C297" s="46" t="n">
        <x:v>25</x:v>
      </x:c>
      <x:c r="D297" s="46" t="str">
        <x:v>count</x:v>
      </x:c>
    </x:row>
    <x:row r="298" ht="18" customHeight="1">
      <x:c r="A298" s="46" t="str">
        <x:v>HS_087</x:v>
      </x:c>
      <x:c r="B298" s="46" t="str">
        <x:v>unmatched_taxa_count</x:v>
      </x:c>
      <x:c r="C298" s="46" t="n">
        <x:v>0</x:v>
      </x:c>
      <x:c r="D298" s="46" t="str">
        <x:v>count</x:v>
      </x:c>
    </x:row>
    <x:row r="299" ht="18" customHeight="1">
      <x:c r="A299" s="46" t="str">
        <x:v>HS_087</x:v>
      </x:c>
      <x:c r="B299" s="46" t="str">
        <x:v>species_ppr</x:v>
      </x:c>
      <x:c r="C299" s="46" t="n">
        <x:v>657270846.1435144</x:v>
      </x:c>
      <x:c r="D299" s="46" t="str">
        <x:v>tonnes_primary_production_equivalent</x:v>
      </x:c>
    </x:row>
    <x:row r="300" ht="18" customHeight="1">
      <x:c r="A300" s="46" t="str">
        <x:v>HS_087</x:v>
      </x:c>
      <x:c r="B300" s="46" t="str">
        <x:v>commercial_ppr</x:v>
      </x:c>
      <x:c r="C300" s="46" t="n">
        <x:v>657270846.1435144</x:v>
      </x:c>
      <x:c r="D300" s="46" t="str">
        <x:v>tonnes_primary_production_equivalent</x:v>
      </x:c>
    </x:row>
    <x:row r="301" ht="18" customHeight="1">
      <x:c r="A301" s="46" t="str">
        <x:v>HS_087</x:v>
      </x:c>
      <x:c r="B301" s="46" t="str">
        <x:v>functional_ppr</x:v>
      </x:c>
      <x:c r="C301" s="46" t="n">
        <x:v>657270846.1435145</x:v>
      </x:c>
      <x:c r="D301" s="46" t="str">
        <x:v>tonnes_primary_production_equivalent</x:v>
      </x:c>
    </x:row>
    <x:row r="302" ht="18" customHeight="1">
      <x:c r="A302" s="46" t="str">
        <x:v>HS_087</x:v>
      </x:c>
      <x:c r="B302" s="46" t="str">
        <x:v>commercial_ppr_difference</x:v>
      </x:c>
      <x:c r="C302" s="46" t="n">
        <x:v>0</x:v>
      </x:c>
      <x:c r="D302" s="46" t="str">
        <x:v>tonnes_primary_production_equivalent</x:v>
      </x:c>
    </x:row>
    <x:row r="303" ht="18" customHeight="1">
      <x:c r="A303" s="46" t="str">
        <x:v>HS_087</x:v>
      </x:c>
      <x:c r="B303" s="46" t="str">
        <x:v>functional_ppr_difference</x:v>
      </x:c>
      <x:c r="C303" s="46" t="n">
        <x:v>1.1920928955078125e-7</x:v>
      </x:c>
      <x:c r="D303" s="46" t="str">
        <x:v>tonnes_primary_production_equivalent</x:v>
      </x:c>
    </x:row>
    <x:row r="304" ht="18" customHeight="1">
      <x:c r="A304" s="46" t="str">
        <x:v>HS_087</x:v>
      </x:c>
      <x:c r="B304" s="46" t="str">
        <x:v>commercial_ppr_reconciled</x:v>
      </x:c>
      <x:c r="C304" s="46" t="str">
        <x:v>True</x:v>
      </x:c>
      <x:c r="D304" s="46" t="str">
        <x:v>boolean</x:v>
      </x:c>
    </x:row>
    <x:row r="305" ht="18" customHeight="1">
      <x:c r="A305" s="46" t="str">
        <x:v>HS_087</x:v>
      </x:c>
      <x:c r="B305" s="46" t="str">
        <x:v>functional_ppr_reconciled</x:v>
      </x:c>
      <x:c r="C305" s="46" t="str">
        <x:v>True</x:v>
      </x:c>
      <x:c r="D305" s="46" t="str">
        <x:v>boolean</x:v>
      </x:c>
    </x:row>
    <x:row r="306" ht="18" customHeight="1">
      <x:c r="A306" s="46" t="str">
        <x:v>HS_087</x:v>
      </x:c>
      <x:c r="B306" s="46" t="str">
        <x:v>commercial_jensen_violations</x:v>
      </x:c>
      <x:c r="C306" s="46" t="n">
        <x:v>0</x:v>
      </x:c>
      <x:c r="D306" s="46" t="str">
        <x:v>count</x:v>
      </x:c>
    </x:row>
    <x:row r="307" ht="18" customHeight="1">
      <x:c r="A307" s="46" t="str">
        <x:v>HS_087</x:v>
      </x:c>
      <x:c r="B307" s="46" t="str">
        <x:v>functional_jensen_violations</x:v>
      </x:c>
      <x:c r="C307" s="46" t="n">
        <x:v>0</x:v>
      </x:c>
      <x:c r="D307" s="46" t="str">
        <x:v>count</x:v>
      </x:c>
    </x:row>
    <x:row r="308" ht="18" customHeight="1">
      <x:c r="A308" s="46" t="str">
        <x:v>HS_088</x:v>
      </x:c>
      <x:c r="B308" s="46" t="str">
        <x:v>raw_filtered_tonnes</x:v>
      </x:c>
      <x:c r="C308" s="46" t="n">
        <x:v>3559.327863</x:v>
      </x:c>
      <x:c r="D308" s="46" t="str">
        <x:v>tonnes</x:v>
      </x:c>
    </x:row>
    <x:row r="309" ht="18" customHeight="1">
      <x:c r="A309" s="46" t="str">
        <x:v>HS_088</x:v>
      </x:c>
      <x:c r="B309" s="46" t="str">
        <x:v>species_catch_tonnes</x:v>
      </x:c>
      <x:c r="C309" s="46" t="n">
        <x:v>3559.327863</x:v>
      </x:c>
      <x:c r="D309" s="46" t="str">
        <x:v>tonnes</x:v>
      </x:c>
    </x:row>
    <x:row r="310" ht="18" customHeight="1">
      <x:c r="A310" s="46" t="str">
        <x:v>HS_088</x:v>
      </x:c>
      <x:c r="B310" s="46" t="str">
        <x:v>catch_difference_tonnes</x:v>
      </x:c>
      <x:c r="C310" s="46" t="n">
        <x:v>0</x:v>
      </x:c>
      <x:c r="D310" s="46" t="str">
        <x:v>tonnes</x:v>
      </x:c>
    </x:row>
    <x:row r="311" ht="18" customHeight="1">
      <x:c r="A311" s="46" t="str">
        <x:v>HS_088</x:v>
      </x:c>
      <x:c r="B311" s="46" t="str">
        <x:v>catch_reconciled</x:v>
      </x:c>
      <x:c r="C311" s="46" t="str">
        <x:v>True</x:v>
      </x:c>
      <x:c r="D311" s="46" t="str">
        <x:v>boolean</x:v>
      </x:c>
    </x:row>
    <x:row r="312" ht="18" customHeight="1">
      <x:c r="A312" s="46" t="str">
        <x:v>HS_088</x:v>
      </x:c>
      <x:c r="B312" s="46" t="str">
        <x:v>matched_catch_tonnes</x:v>
      </x:c>
      <x:c r="C312" s="46" t="n">
        <x:v>3559.327863</x:v>
      </x:c>
      <x:c r="D312" s="46" t="str">
        <x:v>tonnes</x:v>
      </x:c>
    </x:row>
    <x:row r="313" ht="18" customHeight="1">
      <x:c r="A313" s="46" t="str">
        <x:v>HS_088</x:v>
      </x:c>
      <x:c r="B313" s="46" t="str">
        <x:v>catch_coverage_fraction</x:v>
      </x:c>
      <x:c r="C313" s="46" t="n">
        <x:v>1</x:v>
      </x:c>
      <x:c r="D313" s="46" t="str">
        <x:v>fraction</x:v>
      </x:c>
    </x:row>
    <x:row r="314" ht="18" customHeight="1">
      <x:c r="A314" s="46" t="str">
        <x:v>HS_088</x:v>
      </x:c>
      <x:c r="B314" s="46" t="str">
        <x:v>taxa_count</x:v>
      </x:c>
      <x:c r="C314" s="46" t="n">
        <x:v>32</x:v>
      </x:c>
      <x:c r="D314" s="46" t="str">
        <x:v>count</x:v>
      </x:c>
    </x:row>
    <x:row r="315" ht="18" customHeight="1">
      <x:c r="A315" s="46" t="str">
        <x:v>HS_088</x:v>
      </x:c>
      <x:c r="B315" s="46" t="str">
        <x:v>matched_taxa_count</x:v>
      </x:c>
      <x:c r="C315" s="46" t="n">
        <x:v>32</x:v>
      </x:c>
      <x:c r="D315" s="46" t="str">
        <x:v>count</x:v>
      </x:c>
    </x:row>
    <x:row r="316" ht="18" customHeight="1">
      <x:c r="A316" s="46" t="str">
        <x:v>HS_088</x:v>
      </x:c>
      <x:c r="B316" s="46" t="str">
        <x:v>unmatched_taxa_count</x:v>
      </x:c>
      <x:c r="C316" s="46" t="n">
        <x:v>0</x:v>
      </x:c>
      <x:c r="D316" s="46" t="str">
        <x:v>count</x:v>
      </x:c>
    </x:row>
    <x:row r="317" ht="18" customHeight="1">
      <x:c r="A317" s="46" t="str">
        <x:v>HS_088</x:v>
      </x:c>
      <x:c r="B317" s="46" t="str">
        <x:v>species_ppr</x:v>
      </x:c>
      <x:c r="C317" s="46" t="n">
        <x:v>5471586.54715935</x:v>
      </x:c>
      <x:c r="D317" s="46" t="str">
        <x:v>tonnes_primary_production_equivalent</x:v>
      </x:c>
    </x:row>
    <x:row r="318" ht="18" customHeight="1">
      <x:c r="A318" s="46" t="str">
        <x:v>HS_088</x:v>
      </x:c>
      <x:c r="B318" s="46" t="str">
        <x:v>commercial_ppr</x:v>
      </x:c>
      <x:c r="C318" s="46" t="n">
        <x:v>5471586.54715935</x:v>
      </x:c>
      <x:c r="D318" s="46" t="str">
        <x:v>tonnes_primary_production_equivalent</x:v>
      </x:c>
    </x:row>
    <x:row r="319" ht="18" customHeight="1">
      <x:c r="A319" s="46" t="str">
        <x:v>HS_088</x:v>
      </x:c>
      <x:c r="B319" s="46" t="str">
        <x:v>functional_ppr</x:v>
      </x:c>
      <x:c r="C319" s="46" t="n">
        <x:v>5471586.547159349</x:v>
      </x:c>
      <x:c r="D319" s="46" t="str">
        <x:v>tonnes_primary_production_equivalent</x:v>
      </x:c>
    </x:row>
    <x:row r="320" ht="18" customHeight="1">
      <x:c r="A320" s="46" t="str">
        <x:v>HS_088</x:v>
      </x:c>
      <x:c r="B320" s="46" t="str">
        <x:v>commercial_ppr_difference</x:v>
      </x:c>
      <x:c r="C320" s="46" t="n">
        <x:v>0</x:v>
      </x:c>
      <x:c r="D320" s="46" t="str">
        <x:v>tonnes_primary_production_equivalent</x:v>
      </x:c>
    </x:row>
    <x:row r="321" ht="18" customHeight="1">
      <x:c r="A321" s="46" t="str">
        <x:v>HS_088</x:v>
      </x:c>
      <x:c r="B321" s="46" t="str">
        <x:v>functional_ppr_difference</x:v>
      </x:c>
      <x:c r="C321" s="46" t="n">
        <x:v>-9.313225746154785e-10</x:v>
      </x:c>
      <x:c r="D321" s="46" t="str">
        <x:v>tonnes_primary_production_equivalent</x:v>
      </x:c>
    </x:row>
    <x:row r="322" ht="18" customHeight="1">
      <x:c r="A322" s="46" t="str">
        <x:v>HS_088</x:v>
      </x:c>
      <x:c r="B322" s="46" t="str">
        <x:v>commercial_ppr_reconciled</x:v>
      </x:c>
      <x:c r="C322" s="46" t="str">
        <x:v>True</x:v>
      </x:c>
      <x:c r="D322" s="46" t="str">
        <x:v>boolean</x:v>
      </x:c>
    </x:row>
    <x:row r="323" ht="18" customHeight="1">
      <x:c r="A323" s="46" t="str">
        <x:v>HS_088</x:v>
      </x:c>
      <x:c r="B323" s="46" t="str">
        <x:v>functional_ppr_reconciled</x:v>
      </x:c>
      <x:c r="C323" s="46" t="str">
        <x:v>True</x:v>
      </x:c>
      <x:c r="D323" s="46" t="str">
        <x:v>boolean</x:v>
      </x:c>
    </x:row>
    <x:row r="324" ht="18" customHeight="1">
      <x:c r="A324" s="46" t="str">
        <x:v>HS_088</x:v>
      </x:c>
      <x:c r="B324" s="46" t="str">
        <x:v>commercial_jensen_violations</x:v>
      </x:c>
      <x:c r="C324" s="46" t="n">
        <x:v>0</x:v>
      </x:c>
      <x:c r="D324" s="46" t="str">
        <x:v>count</x:v>
      </x:c>
    </x:row>
    <x:row r="325" ht="18" customHeight="1">
      <x:c r="A325" s="46" t="str">
        <x:v>HS_088</x:v>
      </x:c>
      <x:c r="B325" s="46" t="str">
        <x:v>functional_jensen_violations</x:v>
      </x:c>
      <x:c r="C325" s="46" t="n">
        <x:v>0</x:v>
      </x:c>
      <x:c r="D325" s="46" t="str">
        <x:v>count</x:v>
      </x:c>
    </x:row>
    <x:row r="326" ht="18" customHeight="1">
      <x:c r="A326" s="46" t="str">
        <x:v>LME_001</x:v>
      </x:c>
      <x:c r="B326" s="46" t="str">
        <x:v>raw_filtered_tonnes</x:v>
      </x:c>
      <x:c r="C326" s="46" t="n">
        <x:v>1300999.7714510455</x:v>
      </x:c>
      <x:c r="D326" s="46" t="str">
        <x:v>tonnes</x:v>
      </x:c>
    </x:row>
    <x:row r="327" ht="18" customHeight="1">
      <x:c r="A327" s="46" t="str">
        <x:v>LME_001</x:v>
      </x:c>
      <x:c r="B327" s="46" t="str">
        <x:v>species_catch_tonnes</x:v>
      </x:c>
      <x:c r="C327" s="46" t="n">
        <x:v>1300999.7714510453</x:v>
      </x:c>
      <x:c r="D327" s="46" t="str">
        <x:v>tonnes</x:v>
      </x:c>
    </x:row>
    <x:row r="328" ht="18" customHeight="1">
      <x:c r="A328" s="46" t="str">
        <x:v>LME_001</x:v>
      </x:c>
      <x:c r="B328" s="46" t="str">
        <x:v>catch_difference_tonnes</x:v>
      </x:c>
      <x:c r="C328" s="46" t="n">
        <x:v>-2.3283064365386963e-10</x:v>
      </x:c>
      <x:c r="D328" s="46" t="str">
        <x:v>tonnes</x:v>
      </x:c>
    </x:row>
    <x:row r="329" ht="18" customHeight="1">
      <x:c r="A329" s="46" t="str">
        <x:v>LME_001</x:v>
      </x:c>
      <x:c r="B329" s="46" t="str">
        <x:v>catch_reconciled</x:v>
      </x:c>
      <x:c r="C329" s="46" t="str">
        <x:v>True</x:v>
      </x:c>
      <x:c r="D329" s="46" t="str">
        <x:v>boolean</x:v>
      </x:c>
    </x:row>
    <x:row r="330" ht="18" customHeight="1">
      <x:c r="A330" s="46" t="str">
        <x:v>LME_001</x:v>
      </x:c>
      <x:c r="B330" s="46" t="str">
        <x:v>matched_catch_tonnes</x:v>
      </x:c>
      <x:c r="C330" s="46" t="n">
        <x:v>1300999.7714510453</x:v>
      </x:c>
      <x:c r="D330" s="46" t="str">
        <x:v>tonnes</x:v>
      </x:c>
    </x:row>
    <x:row r="331" ht="18" customHeight="1">
      <x:c r="A331" s="46" t="str">
        <x:v>LME_001</x:v>
      </x:c>
      <x:c r="B331" s="46" t="str">
        <x:v>catch_coverage_fraction</x:v>
      </x:c>
      <x:c r="C331" s="46" t="n">
        <x:v>1</x:v>
      </x:c>
      <x:c r="D331" s="46" t="str">
        <x:v>fraction</x:v>
      </x:c>
    </x:row>
    <x:row r="332" ht="18" customHeight="1">
      <x:c r="A332" s="46" t="str">
        <x:v>LME_001</x:v>
      </x:c>
      <x:c r="B332" s="46" t="str">
        <x:v>taxa_count</x:v>
      </x:c>
      <x:c r="C332" s="46" t="n">
        <x:v>73</x:v>
      </x:c>
      <x:c r="D332" s="46" t="str">
        <x:v>count</x:v>
      </x:c>
    </x:row>
    <x:row r="333" ht="18" customHeight="1">
      <x:c r="A333" s="46" t="str">
        <x:v>LME_001</x:v>
      </x:c>
      <x:c r="B333" s="46" t="str">
        <x:v>matched_taxa_count</x:v>
      </x:c>
      <x:c r="C333" s="46" t="n">
        <x:v>73</x:v>
      </x:c>
      <x:c r="D333" s="46" t="str">
        <x:v>count</x:v>
      </x:c>
    </x:row>
    <x:row r="334" ht="18" customHeight="1">
      <x:c r="A334" s="46" t="str">
        <x:v>LME_001</x:v>
      </x:c>
      <x:c r="B334" s="46" t="str">
        <x:v>unmatched_taxa_count</x:v>
      </x:c>
      <x:c r="C334" s="46" t="n">
        <x:v>0</x:v>
      </x:c>
      <x:c r="D334" s="46" t="str">
        <x:v>count</x:v>
      </x:c>
    </x:row>
    <x:row r="335" ht="18" customHeight="1">
      <x:c r="A335" s="46" t="str">
        <x:v>LME_001</x:v>
      </x:c>
      <x:c r="B335" s="46" t="str">
        <x:v>species_ppr</x:v>
      </x:c>
      <x:c r="C335" s="46" t="n">
        <x:v>816435933.9124104</x:v>
      </x:c>
      <x:c r="D335" s="46" t="str">
        <x:v>tonnes_primary_production_equivalent</x:v>
      </x:c>
    </x:row>
    <x:row r="336" ht="18" customHeight="1">
      <x:c r="A336" s="46" t="str">
        <x:v>LME_001</x:v>
      </x:c>
      <x:c r="B336" s="46" t="str">
        <x:v>commercial_ppr</x:v>
      </x:c>
      <x:c r="C336" s="46" t="n">
        <x:v>816435933.9124104</x:v>
      </x:c>
      <x:c r="D336" s="46" t="str">
        <x:v>tonnes_primary_production_equivalent</x:v>
      </x:c>
    </x:row>
    <x:row r="337" ht="18" customHeight="1">
      <x:c r="A337" s="46" t="str">
        <x:v>LME_001</x:v>
      </x:c>
      <x:c r="B337" s="46" t="str">
        <x:v>functional_ppr</x:v>
      </x:c>
      <x:c r="C337" s="46" t="n">
        <x:v>816435933.9124105</x:v>
      </x:c>
      <x:c r="D337" s="46" t="str">
        <x:v>tonnes_primary_production_equivalent</x:v>
      </x:c>
    </x:row>
    <x:row r="338" ht="18" customHeight="1">
      <x:c r="A338" s="46" t="str">
        <x:v>LME_001</x:v>
      </x:c>
      <x:c r="B338" s="46" t="str">
        <x:v>commercial_ppr_difference</x:v>
      </x:c>
      <x:c r="C338" s="46" t="n">
        <x:v>0</x:v>
      </x:c>
      <x:c r="D338" s="46" t="str">
        <x:v>tonnes_primary_production_equivalent</x:v>
      </x:c>
    </x:row>
    <x:row r="339" ht="18" customHeight="1">
      <x:c r="A339" s="46" t="str">
        <x:v>LME_001</x:v>
      </x:c>
      <x:c r="B339" s="46" t="str">
        <x:v>functional_ppr_difference</x:v>
      </x:c>
      <x:c r="C339" s="46" t="n">
        <x:v>1.1920928955078125e-7</x:v>
      </x:c>
      <x:c r="D339" s="46" t="str">
        <x:v>tonnes_primary_production_equivalent</x:v>
      </x:c>
    </x:row>
    <x:row r="340" ht="18" customHeight="1">
      <x:c r="A340" s="46" t="str">
        <x:v>LME_001</x:v>
      </x:c>
      <x:c r="B340" s="46" t="str">
        <x:v>commercial_ppr_reconciled</x:v>
      </x:c>
      <x:c r="C340" s="46" t="str">
        <x:v>True</x:v>
      </x:c>
      <x:c r="D340" s="46" t="str">
        <x:v>boolean</x:v>
      </x:c>
    </x:row>
    <x:row r="341" ht="18" customHeight="1">
      <x:c r="A341" s="46" t="str">
        <x:v>LME_001</x:v>
      </x:c>
      <x:c r="B341" s="46" t="str">
        <x:v>functional_ppr_reconciled</x:v>
      </x:c>
      <x:c r="C341" s="46" t="str">
        <x:v>True</x:v>
      </x:c>
      <x:c r="D341" s="46" t="str">
        <x:v>boolean</x:v>
      </x:c>
    </x:row>
    <x:row r="342" ht="18" customHeight="1">
      <x:c r="A342" s="46" t="str">
        <x:v>LME_001</x:v>
      </x:c>
      <x:c r="B342" s="46" t="str">
        <x:v>commercial_jensen_violations</x:v>
      </x:c>
      <x:c r="C342" s="46" t="n">
        <x:v>0</x:v>
      </x:c>
      <x:c r="D342" s="46" t="str">
        <x:v>count</x:v>
      </x:c>
    </x:row>
    <x:row r="343" ht="18" customHeight="1">
      <x:c r="A343" s="46" t="str">
        <x:v>LME_001</x:v>
      </x:c>
      <x:c r="B343" s="46" t="str">
        <x:v>functional_jensen_violations</x:v>
      </x:c>
      <x:c r="C343" s="46" t="n">
        <x:v>0</x:v>
      </x:c>
      <x:c r="D343" s="46" t="str">
        <x:v>count</x:v>
      </x:c>
    </x:row>
    <x:row r="344" ht="18" customHeight="1">
      <x:c r="A344" s="46" t="str">
        <x:v>LME_002</x:v>
      </x:c>
      <x:c r="B344" s="46" t="str">
        <x:v>raw_filtered_tonnes</x:v>
      </x:c>
      <x:c r="C344" s="46" t="n">
        <x:v>1102866.6258441233</x:v>
      </x:c>
      <x:c r="D344" s="46" t="str">
        <x:v>tonnes</x:v>
      </x:c>
    </x:row>
    <x:row r="345" ht="18" customHeight="1">
      <x:c r="A345" s="46" t="str">
        <x:v>LME_002</x:v>
      </x:c>
      <x:c r="B345" s="46" t="str">
        <x:v>species_catch_tonnes</x:v>
      </x:c>
      <x:c r="C345" s="46" t="n">
        <x:v>1102866.6258441233</x:v>
      </x:c>
      <x:c r="D345" s="46" t="str">
        <x:v>tonnes</x:v>
      </x:c>
    </x:row>
    <x:row r="346" ht="18" customHeight="1">
      <x:c r="A346" s="46" t="str">
        <x:v>LME_002</x:v>
      </x:c>
      <x:c r="B346" s="46" t="str">
        <x:v>catch_difference_tonnes</x:v>
      </x:c>
      <x:c r="C346" s="46" t="n">
        <x:v>0</x:v>
      </x:c>
      <x:c r="D346" s="46" t="str">
        <x:v>tonnes</x:v>
      </x:c>
    </x:row>
    <x:row r="347" ht="18" customHeight="1">
      <x:c r="A347" s="46" t="str">
        <x:v>LME_002</x:v>
      </x:c>
      <x:c r="B347" s="46" t="str">
        <x:v>catch_reconciled</x:v>
      </x:c>
      <x:c r="C347" s="46" t="str">
        <x:v>True</x:v>
      </x:c>
      <x:c r="D347" s="46" t="str">
        <x:v>boolean</x:v>
      </x:c>
    </x:row>
    <x:row r="348" ht="18" customHeight="1">
      <x:c r="A348" s="46" t="str">
        <x:v>LME_002</x:v>
      </x:c>
      <x:c r="B348" s="46" t="str">
        <x:v>matched_catch_tonnes</x:v>
      </x:c>
      <x:c r="C348" s="46" t="n">
        <x:v>1102866.6258441233</x:v>
      </x:c>
      <x:c r="D348" s="46" t="str">
        <x:v>tonnes</x:v>
      </x:c>
    </x:row>
    <x:row r="349" ht="18" customHeight="1">
      <x:c r="A349" s="46" t="str">
        <x:v>LME_002</x:v>
      </x:c>
      <x:c r="B349" s="46" t="str">
        <x:v>catch_coverage_fraction</x:v>
      </x:c>
      <x:c r="C349" s="46" t="n">
        <x:v>1</x:v>
      </x:c>
      <x:c r="D349" s="46" t="str">
        <x:v>fraction</x:v>
      </x:c>
    </x:row>
    <x:row r="350" ht="18" customHeight="1">
      <x:c r="A350" s="46" t="str">
        <x:v>LME_002</x:v>
      </x:c>
      <x:c r="B350" s="46" t="str">
        <x:v>taxa_count</x:v>
      </x:c>
      <x:c r="C350" s="46" t="n">
        <x:v>170</x:v>
      </x:c>
      <x:c r="D350" s="46" t="str">
        <x:v>count</x:v>
      </x:c>
    </x:row>
    <x:row r="351" ht="18" customHeight="1">
      <x:c r="A351" s="46" t="str">
        <x:v>LME_002</x:v>
      </x:c>
      <x:c r="B351" s="46" t="str">
        <x:v>matched_taxa_count</x:v>
      </x:c>
      <x:c r="C351" s="46" t="n">
        <x:v>170</x:v>
      </x:c>
      <x:c r="D351" s="46" t="str">
        <x:v>count</x:v>
      </x:c>
    </x:row>
    <x:row r="352" ht="18" customHeight="1">
      <x:c r="A352" s="46" t="str">
        <x:v>LME_002</x:v>
      </x:c>
      <x:c r="B352" s="46" t="str">
        <x:v>unmatched_taxa_count</x:v>
      </x:c>
      <x:c r="C352" s="46" t="n">
        <x:v>0</x:v>
      </x:c>
      <x:c r="D352" s="46" t="str">
        <x:v>count</x:v>
      </x:c>
    </x:row>
    <x:row r="353" ht="18" customHeight="1">
      <x:c r="A353" s="46" t="str">
        <x:v>LME_002</x:v>
      </x:c>
      <x:c r="B353" s="46" t="str">
        <x:v>species_ppr</x:v>
      </x:c>
      <x:c r="C353" s="46" t="n">
        <x:v>967218747.5530663</x:v>
      </x:c>
      <x:c r="D353" s="46" t="str">
        <x:v>tonnes_primary_production_equivalent</x:v>
      </x:c>
    </x:row>
    <x:row r="354" ht="18" customHeight="1">
      <x:c r="A354" s="46" t="str">
        <x:v>LME_002</x:v>
      </x:c>
      <x:c r="B354" s="46" t="str">
        <x:v>commercial_ppr</x:v>
      </x:c>
      <x:c r="C354" s="46" t="n">
        <x:v>967218747.5530663</x:v>
      </x:c>
      <x:c r="D354" s="46" t="str">
        <x:v>tonnes_primary_production_equivalent</x:v>
      </x:c>
    </x:row>
    <x:row r="355" ht="18" customHeight="1">
      <x:c r="A355" s="46" t="str">
        <x:v>LME_002</x:v>
      </x:c>
      <x:c r="B355" s="46" t="str">
        <x:v>functional_ppr</x:v>
      </x:c>
      <x:c r="C355" s="46" t="n">
        <x:v>967218747.5530661</x:v>
      </x:c>
      <x:c r="D355" s="46" t="str">
        <x:v>tonnes_primary_production_equivalent</x:v>
      </x:c>
    </x:row>
    <x:row r="356" ht="18" customHeight="1">
      <x:c r="A356" s="46" t="str">
        <x:v>LME_002</x:v>
      </x:c>
      <x:c r="B356" s="46" t="str">
        <x:v>commercial_ppr_difference</x:v>
      </x:c>
      <x:c r="C356" s="46" t="n">
        <x:v>0</x:v>
      </x:c>
      <x:c r="D356" s="46" t="str">
        <x:v>tonnes_primary_production_equivalent</x:v>
      </x:c>
    </x:row>
    <x:row r="357" ht="18" customHeight="1">
      <x:c r="A357" s="46" t="str">
        <x:v>LME_002</x:v>
      </x:c>
      <x:c r="B357" s="46" t="str">
        <x:v>functional_ppr_difference</x:v>
      </x:c>
      <x:c r="C357" s="46" t="n">
        <x:v>-1.1920928955078125e-7</x:v>
      </x:c>
      <x:c r="D357" s="46" t="str">
        <x:v>tonnes_primary_production_equivalent</x:v>
      </x:c>
    </x:row>
    <x:row r="358" ht="18" customHeight="1">
      <x:c r="A358" s="46" t="str">
        <x:v>LME_002</x:v>
      </x:c>
      <x:c r="B358" s="46" t="str">
        <x:v>commercial_ppr_reconciled</x:v>
      </x:c>
      <x:c r="C358" s="46" t="str">
        <x:v>True</x:v>
      </x:c>
      <x:c r="D358" s="46" t="str">
        <x:v>boolean</x:v>
      </x:c>
    </x:row>
    <x:row r="359" ht="18" customHeight="1">
      <x:c r="A359" s="46" t="str">
        <x:v>LME_002</x:v>
      </x:c>
      <x:c r="B359" s="46" t="str">
        <x:v>functional_ppr_reconciled</x:v>
      </x:c>
      <x:c r="C359" s="46" t="str">
        <x:v>True</x:v>
      </x:c>
      <x:c r="D359" s="46" t="str">
        <x:v>boolean</x:v>
      </x:c>
    </x:row>
    <x:row r="360" ht="18" customHeight="1">
      <x:c r="A360" s="46" t="str">
        <x:v>LME_002</x:v>
      </x:c>
      <x:c r="B360" s="46" t="str">
        <x:v>commercial_jensen_violations</x:v>
      </x:c>
      <x:c r="C360" s="46" t="n">
        <x:v>0</x:v>
      </x:c>
      <x:c r="D360" s="46" t="str">
        <x:v>count</x:v>
      </x:c>
    </x:row>
    <x:row r="361" ht="18" customHeight="1">
      <x:c r="A361" s="46" t="str">
        <x:v>LME_002</x:v>
      </x:c>
      <x:c r="B361" s="46" t="str">
        <x:v>functional_jensen_violations</x:v>
      </x:c>
      <x:c r="C361" s="46" t="n">
        <x:v>0</x:v>
      </x:c>
      <x:c r="D361" s="46" t="str">
        <x:v>count</x:v>
      </x:c>
    </x:row>
    <x:row r="362" ht="18" customHeight="1">
      <x:c r="A362" s="46" t="str">
        <x:v>LME_003</x:v>
      </x:c>
      <x:c r="B362" s="46" t="str">
        <x:v>raw_filtered_tonnes</x:v>
      </x:c>
      <x:c r="C362" s="46" t="n">
        <x:v>1037537.6190575529</x:v>
      </x:c>
      <x:c r="D362" s="46" t="str">
        <x:v>tonnes</x:v>
      </x:c>
    </x:row>
    <x:row r="363" ht="18" customHeight="1">
      <x:c r="A363" s="46" t="str">
        <x:v>LME_003</x:v>
      </x:c>
      <x:c r="B363" s="46" t="str">
        <x:v>species_catch_tonnes</x:v>
      </x:c>
      <x:c r="C363" s="46" t="n">
        <x:v>1037537.6190575529</x:v>
      </x:c>
      <x:c r="D363" s="46" t="str">
        <x:v>tonnes</x:v>
      </x:c>
    </x:row>
    <x:row r="364" ht="18" customHeight="1">
      <x:c r="A364" s="46" t="str">
        <x:v>LME_003</x:v>
      </x:c>
      <x:c r="B364" s="46" t="str">
        <x:v>catch_difference_tonnes</x:v>
      </x:c>
      <x:c r="C364" s="46" t="n">
        <x:v>0</x:v>
      </x:c>
      <x:c r="D364" s="46" t="str">
        <x:v>tonnes</x:v>
      </x:c>
    </x:row>
    <x:row r="365" ht="18" customHeight="1">
      <x:c r="A365" s="46" t="str">
        <x:v>LME_003</x:v>
      </x:c>
      <x:c r="B365" s="46" t="str">
        <x:v>catch_reconciled</x:v>
      </x:c>
      <x:c r="C365" s="46" t="str">
        <x:v>True</x:v>
      </x:c>
      <x:c r="D365" s="46" t="str">
        <x:v>boolean</x:v>
      </x:c>
    </x:row>
    <x:row r="366" ht="18" customHeight="1">
      <x:c r="A366" s="46" t="str">
        <x:v>LME_003</x:v>
      </x:c>
      <x:c r="B366" s="46" t="str">
        <x:v>matched_catch_tonnes</x:v>
      </x:c>
      <x:c r="C366" s="46" t="n">
        <x:v>1037537.6190575529</x:v>
      </x:c>
      <x:c r="D366" s="46" t="str">
        <x:v>tonnes</x:v>
      </x:c>
    </x:row>
    <x:row r="367" ht="18" customHeight="1">
      <x:c r="A367" s="46" t="str">
        <x:v>LME_003</x:v>
      </x:c>
      <x:c r="B367" s="46" t="str">
        <x:v>catch_coverage_fraction</x:v>
      </x:c>
      <x:c r="C367" s="46" t="n">
        <x:v>1</x:v>
      </x:c>
      <x:c r="D367" s="46" t="str">
        <x:v>fraction</x:v>
      </x:c>
    </x:row>
    <x:row r="368" ht="18" customHeight="1">
      <x:c r="A368" s="46" t="str">
        <x:v>LME_003</x:v>
      </x:c>
      <x:c r="B368" s="46" t="str">
        <x:v>taxa_count</x:v>
      </x:c>
      <x:c r="C368" s="46" t="n">
        <x:v>277</x:v>
      </x:c>
      <x:c r="D368" s="46" t="str">
        <x:v>count</x:v>
      </x:c>
    </x:row>
    <x:row r="369" ht="18" customHeight="1">
      <x:c r="A369" s="46" t="str">
        <x:v>LME_003</x:v>
      </x:c>
      <x:c r="B369" s="46" t="str">
        <x:v>matched_taxa_count</x:v>
      </x:c>
      <x:c r="C369" s="46" t="n">
        <x:v>277</x:v>
      </x:c>
      <x:c r="D369" s="46" t="str">
        <x:v>count</x:v>
      </x:c>
    </x:row>
    <x:row r="370" ht="18" customHeight="1">
      <x:c r="A370" s="46" t="str">
        <x:v>LME_003</x:v>
      </x:c>
      <x:c r="B370" s="46" t="str">
        <x:v>unmatched_taxa_count</x:v>
      </x:c>
      <x:c r="C370" s="46" t="n">
        <x:v>0</x:v>
      </x:c>
      <x:c r="D370" s="46" t="str">
        <x:v>count</x:v>
      </x:c>
    </x:row>
    <x:row r="371" ht="18" customHeight="1">
      <x:c r="A371" s="46" t="str">
        <x:v>LME_003</x:v>
      </x:c>
      <x:c r="B371" s="46" t="str">
        <x:v>species_ppr</x:v>
      </x:c>
      <x:c r="C371" s="46" t="n">
        <x:v>1028923753.7644161</x:v>
      </x:c>
      <x:c r="D371" s="46" t="str">
        <x:v>tonnes_primary_production_equivalent</x:v>
      </x:c>
    </x:row>
    <x:row r="372" ht="18" customHeight="1">
      <x:c r="A372" s="46" t="str">
        <x:v>LME_003</x:v>
      </x:c>
      <x:c r="B372" s="46" t="str">
        <x:v>commercial_ppr</x:v>
      </x:c>
      <x:c r="C372" s="46" t="n">
        <x:v>1028923753.7644159</x:v>
      </x:c>
      <x:c r="D372" s="46" t="str">
        <x:v>tonnes_primary_production_equivalent</x:v>
      </x:c>
    </x:row>
    <x:row r="373" ht="18" customHeight="1">
      <x:c r="A373" s="46" t="str">
        <x:v>LME_003</x:v>
      </x:c>
      <x:c r="B373" s="46" t="str">
        <x:v>functional_ppr</x:v>
      </x:c>
      <x:c r="C373" s="46" t="n">
        <x:v>1028923753.7644162</x:v>
      </x:c>
      <x:c r="D373" s="46" t="str">
        <x:v>tonnes_primary_production_equivalent</x:v>
      </x:c>
    </x:row>
    <x:row r="374" ht="18" customHeight="1">
      <x:c r="A374" s="46" t="str">
        <x:v>LME_003</x:v>
      </x:c>
      <x:c r="B374" s="46" t="str">
        <x:v>commercial_ppr_difference</x:v>
      </x:c>
      <x:c r="C374" s="46" t="n">
        <x:v>-2.384185791015625e-7</x:v>
      </x:c>
      <x:c r="D374" s="46" t="str">
        <x:v>tonnes_primary_production_equivalent</x:v>
      </x:c>
    </x:row>
    <x:row r="375" ht="18" customHeight="1">
      <x:c r="A375" s="46" t="str">
        <x:v>LME_003</x:v>
      </x:c>
      <x:c r="B375" s="46" t="str">
        <x:v>functional_ppr_difference</x:v>
      </x:c>
      <x:c r="C375" s="46" t="n">
        <x:v>1.1920928955078125e-7</x:v>
      </x:c>
      <x:c r="D375" s="46" t="str">
        <x:v>tonnes_primary_production_equivalent</x:v>
      </x:c>
    </x:row>
    <x:row r="376" ht="18" customHeight="1">
      <x:c r="A376" s="46" t="str">
        <x:v>LME_003</x:v>
      </x:c>
      <x:c r="B376" s="46" t="str">
        <x:v>commercial_ppr_reconciled</x:v>
      </x:c>
      <x:c r="C376" s="46" t="str">
        <x:v>True</x:v>
      </x:c>
      <x:c r="D376" s="46" t="str">
        <x:v>boolean</x:v>
      </x:c>
    </x:row>
    <x:row r="377" ht="18" customHeight="1">
      <x:c r="A377" s="46" t="str">
        <x:v>LME_003</x:v>
      </x:c>
      <x:c r="B377" s="46" t="str">
        <x:v>functional_ppr_reconciled</x:v>
      </x:c>
      <x:c r="C377" s="46" t="str">
        <x:v>True</x:v>
      </x:c>
      <x:c r="D377" s="46" t="str">
        <x:v>boolean</x:v>
      </x:c>
    </x:row>
    <x:row r="378" ht="18" customHeight="1">
      <x:c r="A378" s="46" t="str">
        <x:v>LME_003</x:v>
      </x:c>
      <x:c r="B378" s="46" t="str">
        <x:v>commercial_jensen_violations</x:v>
      </x:c>
      <x:c r="C378" s="46" t="n">
        <x:v>0</x:v>
      </x:c>
      <x:c r="D378" s="46" t="str">
        <x:v>count</x:v>
      </x:c>
    </x:row>
    <x:row r="379" ht="18" customHeight="1">
      <x:c r="A379" s="46" t="str">
        <x:v>LME_003</x:v>
      </x:c>
      <x:c r="B379" s="46" t="str">
        <x:v>functional_jensen_violations</x:v>
      </x:c>
      <x:c r="C379" s="46" t="n">
        <x:v>0</x:v>
      </x:c>
      <x:c r="D379" s="46" t="str">
        <x:v>count</x:v>
      </x:c>
    </x:row>
    <x:row r="380" ht="18" customHeight="1">
      <x:c r="A380" s="46" t="str">
        <x:v>LME_004</x:v>
      </x:c>
      <x:c r="B380" s="46" t="str">
        <x:v>raw_filtered_tonnes</x:v>
      </x:c>
      <x:c r="C380" s="46" t="n">
        <x:v>664877.8552277526</x:v>
      </x:c>
      <x:c r="D380" s="46" t="str">
        <x:v>tonnes</x:v>
      </x:c>
    </x:row>
    <x:row r="381" ht="18" customHeight="1">
      <x:c r="A381" s="46" t="str">
        <x:v>LME_004</x:v>
      </x:c>
      <x:c r="B381" s="46" t="str">
        <x:v>species_catch_tonnes</x:v>
      </x:c>
      <x:c r="C381" s="46" t="n">
        <x:v>664877.8552277525</x:v>
      </x:c>
      <x:c r="D381" s="46" t="str">
        <x:v>tonnes</x:v>
      </x:c>
    </x:row>
    <x:row r="382" ht="18" customHeight="1">
      <x:c r="A382" s="46" t="str">
        <x:v>LME_004</x:v>
      </x:c>
      <x:c r="B382" s="46" t="str">
        <x:v>catch_difference_tonnes</x:v>
      </x:c>
      <x:c r="C382" s="46" t="n">
        <x:v>-1.1641532182693481e-10</x:v>
      </x:c>
      <x:c r="D382" s="46" t="str">
        <x:v>tonnes</x:v>
      </x:c>
    </x:row>
    <x:row r="383" ht="18" customHeight="1">
      <x:c r="A383" s="46" t="str">
        <x:v>LME_004</x:v>
      </x:c>
      <x:c r="B383" s="46" t="str">
        <x:v>catch_reconciled</x:v>
      </x:c>
      <x:c r="C383" s="46" t="str">
        <x:v>True</x:v>
      </x:c>
      <x:c r="D383" s="46" t="str">
        <x:v>boolean</x:v>
      </x:c>
    </x:row>
    <x:row r="384" ht="18" customHeight="1">
      <x:c r="A384" s="46" t="str">
        <x:v>LME_004</x:v>
      </x:c>
      <x:c r="B384" s="46" t="str">
        <x:v>matched_catch_tonnes</x:v>
      </x:c>
      <x:c r="C384" s="46" t="n">
        <x:v>664877.8552277525</x:v>
      </x:c>
      <x:c r="D384" s="46" t="str">
        <x:v>tonnes</x:v>
      </x:c>
    </x:row>
    <x:row r="385" ht="18" customHeight="1">
      <x:c r="A385" s="46" t="str">
        <x:v>LME_004</x:v>
      </x:c>
      <x:c r="B385" s="46" t="str">
        <x:v>catch_coverage_fraction</x:v>
      </x:c>
      <x:c r="C385" s="46" t="n">
        <x:v>1</x:v>
      </x:c>
      <x:c r="D385" s="46" t="str">
        <x:v>fraction</x:v>
      </x:c>
    </x:row>
    <x:row r="386" ht="18" customHeight="1">
      <x:c r="A386" s="46" t="str">
        <x:v>LME_004</x:v>
      </x:c>
      <x:c r="B386" s="46" t="str">
        <x:v>taxa_count</x:v>
      </x:c>
      <x:c r="C386" s="46" t="n">
        <x:v>129</x:v>
      </x:c>
      <x:c r="D386" s="46" t="str">
        <x:v>count</x:v>
      </x:c>
    </x:row>
    <x:row r="387" ht="18" customHeight="1">
      <x:c r="A387" s="46" t="str">
        <x:v>LME_004</x:v>
      </x:c>
      <x:c r="B387" s="46" t="str">
        <x:v>matched_taxa_count</x:v>
      </x:c>
      <x:c r="C387" s="46" t="n">
        <x:v>129</x:v>
      </x:c>
      <x:c r="D387" s="46" t="str">
        <x:v>count</x:v>
      </x:c>
    </x:row>
    <x:row r="388" ht="18" customHeight="1">
      <x:c r="A388" s="46" t="str">
        <x:v>LME_004</x:v>
      </x:c>
      <x:c r="B388" s="46" t="str">
        <x:v>unmatched_taxa_count</x:v>
      </x:c>
      <x:c r="C388" s="46" t="n">
        <x:v>0</x:v>
      </x:c>
      <x:c r="D388" s="46" t="str">
        <x:v>count</x:v>
      </x:c>
    </x:row>
    <x:row r="389" ht="18" customHeight="1">
      <x:c r="A389" s="46" t="str">
        <x:v>LME_004</x:v>
      </x:c>
      <x:c r="B389" s="46" t="str">
        <x:v>species_ppr</x:v>
      </x:c>
      <x:c r="C389" s="46" t="n">
        <x:v>254257319.8187799</x:v>
      </x:c>
      <x:c r="D389" s="46" t="str">
        <x:v>tonnes_primary_production_equivalent</x:v>
      </x:c>
    </x:row>
    <x:row r="390" ht="18" customHeight="1">
      <x:c r="A390" s="46" t="str">
        <x:v>LME_004</x:v>
      </x:c>
      <x:c r="B390" s="46" t="str">
        <x:v>commercial_ppr</x:v>
      </x:c>
      <x:c r="C390" s="46" t="n">
        <x:v>254257319.8187799</x:v>
      </x:c>
      <x:c r="D390" s="46" t="str">
        <x:v>tonnes_primary_production_equivalent</x:v>
      </x:c>
    </x:row>
    <x:row r="391" ht="18" customHeight="1">
      <x:c r="A391" s="46" t="str">
        <x:v>LME_004</x:v>
      </x:c>
      <x:c r="B391" s="46" t="str">
        <x:v>functional_ppr</x:v>
      </x:c>
      <x:c r="C391" s="46" t="n">
        <x:v>254257319.81877995</x:v>
      </x:c>
      <x:c r="D391" s="46" t="str">
        <x:v>tonnes_primary_production_equivalent</x:v>
      </x:c>
    </x:row>
    <x:row r="392" ht="18" customHeight="1">
      <x:c r="A392" s="46" t="str">
        <x:v>LME_004</x:v>
      </x:c>
      <x:c r="B392" s="46" t="str">
        <x:v>commercial_ppr_difference</x:v>
      </x:c>
      <x:c r="C392" s="46" t="n">
        <x:v>0</x:v>
      </x:c>
      <x:c r="D392" s="46" t="str">
        <x:v>tonnes_primary_production_equivalent</x:v>
      </x:c>
    </x:row>
    <x:row r="393" ht="18" customHeight="1">
      <x:c r="A393" s="46" t="str">
        <x:v>LME_004</x:v>
      </x:c>
      <x:c r="B393" s="46" t="str">
        <x:v>functional_ppr_difference</x:v>
      </x:c>
      <x:c r="C393" s="46" t="n">
        <x:v>5.960464477539063e-8</x:v>
      </x:c>
      <x:c r="D393" s="46" t="str">
        <x:v>tonnes_primary_production_equivalent</x:v>
      </x:c>
    </x:row>
    <x:row r="394" ht="18" customHeight="1">
      <x:c r="A394" s="46" t="str">
        <x:v>LME_004</x:v>
      </x:c>
      <x:c r="B394" s="46" t="str">
        <x:v>commercial_ppr_reconciled</x:v>
      </x:c>
      <x:c r="C394" s="46" t="str">
        <x:v>True</x:v>
      </x:c>
      <x:c r="D394" s="46" t="str">
        <x:v>boolean</x:v>
      </x:c>
    </x:row>
    <x:row r="395" ht="18" customHeight="1">
      <x:c r="A395" s="46" t="str">
        <x:v>LME_004</x:v>
      </x:c>
      <x:c r="B395" s="46" t="str">
        <x:v>functional_ppr_reconciled</x:v>
      </x:c>
      <x:c r="C395" s="46" t="str">
        <x:v>True</x:v>
      </x:c>
      <x:c r="D395" s="46" t="str">
        <x:v>boolean</x:v>
      </x:c>
    </x:row>
    <x:row r="396" ht="18" customHeight="1">
      <x:c r="A396" s="46" t="str">
        <x:v>LME_004</x:v>
      </x:c>
      <x:c r="B396" s="46" t="str">
        <x:v>commercial_jensen_violations</x:v>
      </x:c>
      <x:c r="C396" s="46" t="n">
        <x:v>0</x:v>
      </x:c>
      <x:c r="D396" s="46" t="str">
        <x:v>count</x:v>
      </x:c>
    </x:row>
    <x:row r="397" ht="18" customHeight="1">
      <x:c r="A397" s="46" t="str">
        <x:v>LME_004</x:v>
      </x:c>
      <x:c r="B397" s="46" t="str">
        <x:v>functional_jensen_violations</x:v>
      </x:c>
      <x:c r="C397" s="46" t="n">
        <x:v>0</x:v>
      </x:c>
      <x:c r="D397" s="46" t="str">
        <x:v>count</x:v>
      </x:c>
    </x:row>
    <x:row r="398" ht="18" customHeight="1">
      <x:c r="A398" s="46" t="str">
        <x:v>LME_005</x:v>
      </x:c>
      <x:c r="B398" s="46" t="str">
        <x:v>raw_filtered_tonnes</x:v>
      </x:c>
      <x:c r="C398" s="46" t="n">
        <x:v>1549275.8254257175</x:v>
      </x:c>
      <x:c r="D398" s="46" t="str">
        <x:v>tonnes</x:v>
      </x:c>
    </x:row>
    <x:row r="399" ht="18" customHeight="1">
      <x:c r="A399" s="46" t="str">
        <x:v>LME_005</x:v>
      </x:c>
      <x:c r="B399" s="46" t="str">
        <x:v>species_catch_tonnes</x:v>
      </x:c>
      <x:c r="C399" s="46" t="n">
        <x:v>1549275.8254257175</x:v>
      </x:c>
      <x:c r="D399" s="46" t="str">
        <x:v>tonnes</x:v>
      </x:c>
    </x:row>
    <x:row r="400" ht="18" customHeight="1">
      <x:c r="A400" s="46" t="str">
        <x:v>LME_005</x:v>
      </x:c>
      <x:c r="B400" s="46" t="str">
        <x:v>catch_difference_tonnes</x:v>
      </x:c>
      <x:c r="C400" s="46" t="n">
        <x:v>0</x:v>
      </x:c>
      <x:c r="D400" s="46" t="str">
        <x:v>tonnes</x:v>
      </x:c>
    </x:row>
    <x:row r="401" ht="18" customHeight="1">
      <x:c r="A401" s="46" t="str">
        <x:v>LME_005</x:v>
      </x:c>
      <x:c r="B401" s="46" t="str">
        <x:v>catch_reconciled</x:v>
      </x:c>
      <x:c r="C401" s="46" t="str">
        <x:v>True</x:v>
      </x:c>
      <x:c r="D401" s="46" t="str">
        <x:v>boolean</x:v>
      </x:c>
    </x:row>
    <x:row r="402" ht="18" customHeight="1">
      <x:c r="A402" s="46" t="str">
        <x:v>LME_005</x:v>
      </x:c>
      <x:c r="B402" s="46" t="str">
        <x:v>matched_catch_tonnes</x:v>
      </x:c>
      <x:c r="C402" s="46" t="n">
        <x:v>1549275.8254257175</x:v>
      </x:c>
      <x:c r="D402" s="46" t="str">
        <x:v>tonnes</x:v>
      </x:c>
    </x:row>
    <x:row r="403" ht="18" customHeight="1">
      <x:c r="A403" s="46" t="str">
        <x:v>LME_005</x:v>
      </x:c>
      <x:c r="B403" s="46" t="str">
        <x:v>catch_coverage_fraction</x:v>
      </x:c>
      <x:c r="C403" s="46" t="n">
        <x:v>1</x:v>
      </x:c>
      <x:c r="D403" s="46" t="str">
        <x:v>fraction</x:v>
      </x:c>
    </x:row>
    <x:row r="404" ht="18" customHeight="1">
      <x:c r="A404" s="46" t="str">
        <x:v>LME_005</x:v>
      </x:c>
      <x:c r="B404" s="46" t="str">
        <x:v>taxa_count</x:v>
      </x:c>
      <x:c r="C404" s="46" t="n">
        <x:v>418</x:v>
      </x:c>
      <x:c r="D404" s="46" t="str">
        <x:v>count</x:v>
      </x:c>
    </x:row>
    <x:row r="405" ht="18" customHeight="1">
      <x:c r="A405" s="46" t="str">
        <x:v>LME_005</x:v>
      </x:c>
      <x:c r="B405" s="46" t="str">
        <x:v>matched_taxa_count</x:v>
      </x:c>
      <x:c r="C405" s="46" t="n">
        <x:v>418</x:v>
      </x:c>
      <x:c r="D405" s="46" t="str">
        <x:v>count</x:v>
      </x:c>
    </x:row>
    <x:row r="406" ht="18" customHeight="1">
      <x:c r="A406" s="46" t="str">
        <x:v>LME_005</x:v>
      </x:c>
      <x:c r="B406" s="46" t="str">
        <x:v>unmatched_taxa_count</x:v>
      </x:c>
      <x:c r="C406" s="46" t="n">
        <x:v>0</x:v>
      </x:c>
      <x:c r="D406" s="46" t="str">
        <x:v>count</x:v>
      </x:c>
    </x:row>
    <x:row r="407" ht="18" customHeight="1">
      <x:c r="A407" s="46" t="str">
        <x:v>LME_005</x:v>
      </x:c>
      <x:c r="B407" s="46" t="str">
        <x:v>species_ppr</x:v>
      </x:c>
      <x:c r="C407" s="46" t="n">
        <x:v>558361747.8475869</x:v>
      </x:c>
      <x:c r="D407" s="46" t="str">
        <x:v>tonnes_primary_production_equivalent</x:v>
      </x:c>
    </x:row>
    <x:row r="408" ht="18" customHeight="1">
      <x:c r="A408" s="46" t="str">
        <x:v>LME_005</x:v>
      </x:c>
      <x:c r="B408" s="46" t="str">
        <x:v>commercial_ppr</x:v>
      </x:c>
      <x:c r="C408" s="46" t="n">
        <x:v>558361747.8475868</x:v>
      </x:c>
      <x:c r="D408" s="46" t="str">
        <x:v>tonnes_primary_production_equivalent</x:v>
      </x:c>
    </x:row>
    <x:row r="409" ht="18" customHeight="1">
      <x:c r="A409" s="46" t="str">
        <x:v>LME_005</x:v>
      </x:c>
      <x:c r="B409" s="46" t="str">
        <x:v>functional_ppr</x:v>
      </x:c>
      <x:c r="C409" s="46" t="n">
        <x:v>558361747.8475869</x:v>
      </x:c>
      <x:c r="D409" s="46" t="str">
        <x:v>tonnes_primary_production_equivalent</x:v>
      </x:c>
    </x:row>
    <x:row r="410" ht="18" customHeight="1">
      <x:c r="A410" s="46" t="str">
        <x:v>LME_005</x:v>
      </x:c>
      <x:c r="B410" s="46" t="str">
        <x:v>commercial_ppr_difference</x:v>
      </x:c>
      <x:c r="C410" s="46" t="n">
        <x:v>-1.1920928955078125e-7</x:v>
      </x:c>
      <x:c r="D410" s="46" t="str">
        <x:v>tonnes_primary_production_equivalent</x:v>
      </x:c>
    </x:row>
    <x:row r="411" ht="18" customHeight="1">
      <x:c r="A411" s="46" t="str">
        <x:v>LME_005</x:v>
      </x:c>
      <x:c r="B411" s="46" t="str">
        <x:v>functional_ppr_difference</x:v>
      </x:c>
      <x:c r="C411" s="46" t="n">
        <x:v>0</x:v>
      </x:c>
      <x:c r="D411" s="46" t="str">
        <x:v>tonnes_primary_production_equivalent</x:v>
      </x:c>
    </x:row>
    <x:row r="412" ht="18" customHeight="1">
      <x:c r="A412" s="46" t="str">
        <x:v>LME_005</x:v>
      </x:c>
      <x:c r="B412" s="46" t="str">
        <x:v>commercial_ppr_reconciled</x:v>
      </x:c>
      <x:c r="C412" s="46" t="str">
        <x:v>True</x:v>
      </x:c>
      <x:c r="D412" s="46" t="str">
        <x:v>boolean</x:v>
      </x:c>
    </x:row>
    <x:row r="413" ht="18" customHeight="1">
      <x:c r="A413" s="46" t="str">
        <x:v>LME_005</x:v>
      </x:c>
      <x:c r="B413" s="46" t="str">
        <x:v>functional_ppr_reconciled</x:v>
      </x:c>
      <x:c r="C413" s="46" t="str">
        <x:v>True</x:v>
      </x:c>
      <x:c r="D413" s="46" t="str">
        <x:v>boolean</x:v>
      </x:c>
    </x:row>
    <x:row r="414" ht="18" customHeight="1">
      <x:c r="A414" s="46" t="str">
        <x:v>LME_005</x:v>
      </x:c>
      <x:c r="B414" s="46" t="str">
        <x:v>commercial_jensen_violations</x:v>
      </x:c>
      <x:c r="C414" s="46" t="n">
        <x:v>0</x:v>
      </x:c>
      <x:c r="D414" s="46" t="str">
        <x:v>count</x:v>
      </x:c>
    </x:row>
    <x:row r="415" ht="18" customHeight="1">
      <x:c r="A415" s="46" t="str">
        <x:v>LME_005</x:v>
      </x:c>
      <x:c r="B415" s="46" t="str">
        <x:v>functional_jensen_violations</x:v>
      </x:c>
      <x:c r="C415" s="46" t="n">
        <x:v>0</x:v>
      </x:c>
      <x:c r="D415" s="46" t="str">
        <x:v>count</x:v>
      </x:c>
    </x:row>
    <x:row r="416" ht="18" customHeight="1">
      <x:c r="A416" s="46" t="str">
        <x:v>LME_006</x:v>
      </x:c>
      <x:c r="B416" s="46" t="str">
        <x:v>raw_filtered_tonnes</x:v>
      </x:c>
      <x:c r="C416" s="46" t="n">
        <x:v>115599.57003481101</x:v>
      </x:c>
      <x:c r="D416" s="46" t="str">
        <x:v>tonnes</x:v>
      </x:c>
    </x:row>
    <x:row r="417" ht="18" customHeight="1">
      <x:c r="A417" s="46" t="str">
        <x:v>LME_006</x:v>
      </x:c>
      <x:c r="B417" s="46" t="str">
        <x:v>species_catch_tonnes</x:v>
      </x:c>
      <x:c r="C417" s="46" t="n">
        <x:v>115599.570034811</x:v>
      </x:c>
      <x:c r="D417" s="46" t="str">
        <x:v>tonnes</x:v>
      </x:c>
    </x:row>
    <x:row r="418" ht="18" customHeight="1">
      <x:c r="A418" s="46" t="str">
        <x:v>LME_006</x:v>
      </x:c>
      <x:c r="B418" s="46" t="str">
        <x:v>catch_difference_tonnes</x:v>
      </x:c>
      <x:c r="C418" s="46" t="n">
        <x:v>-1.4551915228366852e-11</x:v>
      </x:c>
      <x:c r="D418" s="46" t="str">
        <x:v>tonnes</x:v>
      </x:c>
    </x:row>
    <x:row r="419" ht="18" customHeight="1">
      <x:c r="A419" s="46" t="str">
        <x:v>LME_006</x:v>
      </x:c>
      <x:c r="B419" s="46" t="str">
        <x:v>catch_reconciled</x:v>
      </x:c>
      <x:c r="C419" s="46" t="str">
        <x:v>True</x:v>
      </x:c>
      <x:c r="D419" s="46" t="str">
        <x:v>boolean</x:v>
      </x:c>
    </x:row>
    <x:row r="420" ht="18" customHeight="1">
      <x:c r="A420" s="46" t="str">
        <x:v>LME_006</x:v>
      </x:c>
      <x:c r="B420" s="46" t="str">
        <x:v>matched_catch_tonnes</x:v>
      </x:c>
      <x:c r="C420" s="46" t="n">
        <x:v>115599.570034811</x:v>
      </x:c>
      <x:c r="D420" s="46" t="str">
        <x:v>tonnes</x:v>
      </x:c>
    </x:row>
    <x:row r="421" ht="18" customHeight="1">
      <x:c r="A421" s="46" t="str">
        <x:v>LME_006</x:v>
      </x:c>
      <x:c r="B421" s="46" t="str">
        <x:v>catch_coverage_fraction</x:v>
      </x:c>
      <x:c r="C421" s="46" t="n">
        <x:v>1</x:v>
      </x:c>
      <x:c r="D421" s="46" t="str">
        <x:v>fraction</x:v>
      </x:c>
    </x:row>
    <x:row r="422" ht="18" customHeight="1">
      <x:c r="A422" s="46" t="str">
        <x:v>LME_006</x:v>
      </x:c>
      <x:c r="B422" s="46" t="str">
        <x:v>taxa_count</x:v>
      </x:c>
      <x:c r="C422" s="46" t="n">
        <x:v>283</x:v>
      </x:c>
      <x:c r="D422" s="46" t="str">
        <x:v>count</x:v>
      </x:c>
    </x:row>
    <x:row r="423" ht="18" customHeight="1">
      <x:c r="A423" s="46" t="str">
        <x:v>LME_006</x:v>
      </x:c>
      <x:c r="B423" s="46" t="str">
        <x:v>matched_taxa_count</x:v>
      </x:c>
      <x:c r="C423" s="46" t="n">
        <x:v>283</x:v>
      </x:c>
      <x:c r="D423" s="46" t="str">
        <x:v>count</x:v>
      </x:c>
    </x:row>
    <x:row r="424" ht="18" customHeight="1">
      <x:c r="A424" s="46" t="str">
        <x:v>LME_006</x:v>
      </x:c>
      <x:c r="B424" s="46" t="str">
        <x:v>unmatched_taxa_count</x:v>
      </x:c>
      <x:c r="C424" s="46" t="n">
        <x:v>0</x:v>
      </x:c>
      <x:c r="D424" s="46" t="str">
        <x:v>count</x:v>
      </x:c>
    </x:row>
    <x:row r="425" ht="18" customHeight="1">
      <x:c r="A425" s="46" t="str">
        <x:v>LME_006</x:v>
      </x:c>
      <x:c r="B425" s="46" t="str">
        <x:v>species_ppr</x:v>
      </x:c>
      <x:c r="C425" s="46" t="n">
        <x:v>104438774.10426635</x:v>
      </x:c>
      <x:c r="D425" s="46" t="str">
        <x:v>tonnes_primary_production_equivalent</x:v>
      </x:c>
    </x:row>
    <x:row r="426" ht="18" customHeight="1">
      <x:c r="A426" s="46" t="str">
        <x:v>LME_006</x:v>
      </x:c>
      <x:c r="B426" s="46" t="str">
        <x:v>commercial_ppr</x:v>
      </x:c>
      <x:c r="C426" s="46" t="n">
        <x:v>104438774.10426632</x:v>
      </x:c>
      <x:c r="D426" s="46" t="str">
        <x:v>tonnes_primary_production_equivalent</x:v>
      </x:c>
    </x:row>
    <x:row r="427" ht="18" customHeight="1">
      <x:c r="A427" s="46" t="str">
        <x:v>LME_006</x:v>
      </x:c>
      <x:c r="B427" s="46" t="str">
        <x:v>functional_ppr</x:v>
      </x:c>
      <x:c r="C427" s="46" t="n">
        <x:v>104438774.10426633</x:v>
      </x:c>
      <x:c r="D427" s="46" t="str">
        <x:v>tonnes_primary_production_equivalent</x:v>
      </x:c>
    </x:row>
    <x:row r="428" ht="18" customHeight="1">
      <x:c r="A428" s="46" t="str">
        <x:v>LME_006</x:v>
      </x:c>
      <x:c r="B428" s="46" t="str">
        <x:v>commercial_ppr_difference</x:v>
      </x:c>
      <x:c r="C428" s="46" t="n">
        <x:v>-2.9802322387695312e-8</x:v>
      </x:c>
      <x:c r="D428" s="46" t="str">
        <x:v>tonnes_primary_production_equivalent</x:v>
      </x:c>
    </x:row>
    <x:row r="429" ht="18" customHeight="1">
      <x:c r="A429" s="46" t="str">
        <x:v>LME_006</x:v>
      </x:c>
      <x:c r="B429" s="46" t="str">
        <x:v>functional_ppr_difference</x:v>
      </x:c>
      <x:c r="C429" s="46" t="n">
        <x:v>-1.4901161193847656e-8</x:v>
      </x:c>
      <x:c r="D429" s="46" t="str">
        <x:v>tonnes_primary_production_equivalent</x:v>
      </x:c>
    </x:row>
    <x:row r="430" ht="18" customHeight="1">
      <x:c r="A430" s="46" t="str">
        <x:v>LME_006</x:v>
      </x:c>
      <x:c r="B430" s="46" t="str">
        <x:v>commercial_ppr_reconciled</x:v>
      </x:c>
      <x:c r="C430" s="46" t="str">
        <x:v>True</x:v>
      </x:c>
      <x:c r="D430" s="46" t="str">
        <x:v>boolean</x:v>
      </x:c>
    </x:row>
    <x:row r="431" ht="18" customHeight="1">
      <x:c r="A431" s="46" t="str">
        <x:v>LME_006</x:v>
      </x:c>
      <x:c r="B431" s="46" t="str">
        <x:v>functional_ppr_reconciled</x:v>
      </x:c>
      <x:c r="C431" s="46" t="str">
        <x:v>True</x:v>
      </x:c>
      <x:c r="D431" s="46" t="str">
        <x:v>boolean</x:v>
      </x:c>
    </x:row>
    <x:row r="432" ht="18" customHeight="1">
      <x:c r="A432" s="46" t="str">
        <x:v>LME_006</x:v>
      </x:c>
      <x:c r="B432" s="46" t="str">
        <x:v>commercial_jensen_violations</x:v>
      </x:c>
      <x:c r="C432" s="46" t="n">
        <x:v>0</x:v>
      </x:c>
      <x:c r="D432" s="46" t="str">
        <x:v>count</x:v>
      </x:c>
    </x:row>
    <x:row r="433" ht="18" customHeight="1">
      <x:c r="A433" s="46" t="str">
        <x:v>LME_006</x:v>
      </x:c>
      <x:c r="B433" s="46" t="str">
        <x:v>functional_jensen_violations</x:v>
      </x:c>
      <x:c r="C433" s="46" t="n">
        <x:v>0</x:v>
      </x:c>
      <x:c r="D433" s="46" t="str">
        <x:v>count</x:v>
      </x:c>
    </x:row>
    <x:row r="434" ht="18" customHeight="1">
      <x:c r="A434" s="46" t="str">
        <x:v>LME_007</x:v>
      </x:c>
      <x:c r="B434" s="46" t="str">
        <x:v>raw_filtered_tonnes</x:v>
      </x:c>
      <x:c r="C434" s="46" t="n">
        <x:v>700878.7473042158</x:v>
      </x:c>
      <x:c r="D434" s="46" t="str">
        <x:v>tonnes</x:v>
      </x:c>
    </x:row>
    <x:row r="435" ht="18" customHeight="1">
      <x:c r="A435" s="46" t="str">
        <x:v>LME_007</x:v>
      </x:c>
      <x:c r="B435" s="46" t="str">
        <x:v>species_catch_tonnes</x:v>
      </x:c>
      <x:c r="C435" s="46" t="n">
        <x:v>700878.7473042159</x:v>
      </x:c>
      <x:c r="D435" s="46" t="str">
        <x:v>tonnes</x:v>
      </x:c>
    </x:row>
    <x:row r="436" ht="18" customHeight="1">
      <x:c r="A436" s="46" t="str">
        <x:v>LME_007</x:v>
      </x:c>
      <x:c r="B436" s="46" t="str">
        <x:v>catch_difference_tonnes</x:v>
      </x:c>
      <x:c r="C436" s="46" t="n">
        <x:v>1.1641532182693481e-10</x:v>
      </x:c>
      <x:c r="D436" s="46" t="str">
        <x:v>tonnes</x:v>
      </x:c>
    </x:row>
    <x:row r="437" ht="18" customHeight="1">
      <x:c r="A437" s="46" t="str">
        <x:v>LME_007</x:v>
      </x:c>
      <x:c r="B437" s="46" t="str">
        <x:v>catch_reconciled</x:v>
      </x:c>
      <x:c r="C437" s="46" t="str">
        <x:v>True</x:v>
      </x:c>
      <x:c r="D437" s="46" t="str">
        <x:v>boolean</x:v>
      </x:c>
    </x:row>
    <x:row r="438" ht="18" customHeight="1">
      <x:c r="A438" s="46" t="str">
        <x:v>LME_007</x:v>
      </x:c>
      <x:c r="B438" s="46" t="str">
        <x:v>matched_catch_tonnes</x:v>
      </x:c>
      <x:c r="C438" s="46" t="n">
        <x:v>700878.7473042159</x:v>
      </x:c>
      <x:c r="D438" s="46" t="str">
        <x:v>tonnes</x:v>
      </x:c>
    </x:row>
    <x:row r="439" ht="18" customHeight="1">
      <x:c r="A439" s="46" t="str">
        <x:v>LME_007</x:v>
      </x:c>
      <x:c r="B439" s="46" t="str">
        <x:v>catch_coverage_fraction</x:v>
      </x:c>
      <x:c r="C439" s="46" t="n">
        <x:v>1</x:v>
      </x:c>
      <x:c r="D439" s="46" t="str">
        <x:v>fraction</x:v>
      </x:c>
    </x:row>
    <x:row r="440" ht="18" customHeight="1">
      <x:c r="A440" s="46" t="str">
        <x:v>LME_007</x:v>
      </x:c>
      <x:c r="B440" s="46" t="str">
        <x:v>taxa_count</x:v>
      </x:c>
      <x:c r="C440" s="46" t="n">
        <x:v>232</x:v>
      </x:c>
      <x:c r="D440" s="46" t="str">
        <x:v>count</x:v>
      </x:c>
    </x:row>
    <x:row r="441" ht="18" customHeight="1">
      <x:c r="A441" s="46" t="str">
        <x:v>LME_007</x:v>
      </x:c>
      <x:c r="B441" s="46" t="str">
        <x:v>matched_taxa_count</x:v>
      </x:c>
      <x:c r="C441" s="46" t="n">
        <x:v>232</x:v>
      </x:c>
      <x:c r="D441" s="46" t="str">
        <x:v>count</x:v>
      </x:c>
    </x:row>
    <x:row r="442" ht="18" customHeight="1">
      <x:c r="A442" s="46" t="str">
        <x:v>LME_007</x:v>
      </x:c>
      <x:c r="B442" s="46" t="str">
        <x:v>unmatched_taxa_count</x:v>
      </x:c>
      <x:c r="C442" s="46" t="n">
        <x:v>0</x:v>
      </x:c>
      <x:c r="D442" s="46" t="str">
        <x:v>count</x:v>
      </x:c>
    </x:row>
    <x:row r="443" ht="18" customHeight="1">
      <x:c r="A443" s="46" t="str">
        <x:v>LME_007</x:v>
      </x:c>
      <x:c r="B443" s="46" t="str">
        <x:v>species_ppr</x:v>
      </x:c>
      <x:c r="C443" s="46" t="n">
        <x:v>432863601.07882154</x:v>
      </x:c>
      <x:c r="D443" s="46" t="str">
        <x:v>tonnes_primary_production_equivalent</x:v>
      </x:c>
    </x:row>
    <x:row r="444" ht="18" customHeight="1">
      <x:c r="A444" s="46" t="str">
        <x:v>LME_007</x:v>
      </x:c>
      <x:c r="B444" s="46" t="str">
        <x:v>commercial_ppr</x:v>
      </x:c>
      <x:c r="C444" s="46" t="n">
        <x:v>432863601.0788215</x:v>
      </x:c>
      <x:c r="D444" s="46" t="str">
        <x:v>tonnes_primary_production_equivalent</x:v>
      </x:c>
    </x:row>
    <x:row r="445" ht="18" customHeight="1">
      <x:c r="A445" s="46" t="str">
        <x:v>LME_007</x:v>
      </x:c>
      <x:c r="B445" s="46" t="str">
        <x:v>functional_ppr</x:v>
      </x:c>
      <x:c r="C445" s="46" t="n">
        <x:v>432863601.07882154</x:v>
      </x:c>
      <x:c r="D445" s="46" t="str">
        <x:v>tonnes_primary_production_equivalent</x:v>
      </x:c>
    </x:row>
    <x:row r="446" ht="18" customHeight="1">
      <x:c r="A446" s="46" t="str">
        <x:v>LME_007</x:v>
      </x:c>
      <x:c r="B446" s="46" t="str">
        <x:v>commercial_ppr_difference</x:v>
      </x:c>
      <x:c r="C446" s="46" t="n">
        <x:v>-5.960464477539063e-8</x:v>
      </x:c>
      <x:c r="D446" s="46" t="str">
        <x:v>tonnes_primary_production_equivalent</x:v>
      </x:c>
    </x:row>
    <x:row r="447" ht="18" customHeight="1">
      <x:c r="A447" s="46" t="str">
        <x:v>LME_007</x:v>
      </x:c>
      <x:c r="B447" s="46" t="str">
        <x:v>functional_ppr_difference</x:v>
      </x:c>
      <x:c r="C447" s="46" t="n">
        <x:v>0</x:v>
      </x:c>
      <x:c r="D447" s="46" t="str">
        <x:v>tonnes_primary_production_equivalent</x:v>
      </x:c>
    </x:row>
    <x:row r="448" ht="18" customHeight="1">
      <x:c r="A448" s="46" t="str">
        <x:v>LME_007</x:v>
      </x:c>
      <x:c r="B448" s="46" t="str">
        <x:v>commercial_ppr_reconciled</x:v>
      </x:c>
      <x:c r="C448" s="46" t="str">
        <x:v>True</x:v>
      </x:c>
      <x:c r="D448" s="46" t="str">
        <x:v>boolean</x:v>
      </x:c>
    </x:row>
    <x:row r="449" ht="18" customHeight="1">
      <x:c r="A449" s="46" t="str">
        <x:v>LME_007</x:v>
      </x:c>
      <x:c r="B449" s="46" t="str">
        <x:v>functional_ppr_reconciled</x:v>
      </x:c>
      <x:c r="C449" s="46" t="str">
        <x:v>True</x:v>
      </x:c>
      <x:c r="D449" s="46" t="str">
        <x:v>boolean</x:v>
      </x:c>
    </x:row>
    <x:row r="450" ht="18" customHeight="1">
      <x:c r="A450" s="46" t="str">
        <x:v>LME_007</x:v>
      </x:c>
      <x:c r="B450" s="46" t="str">
        <x:v>commercial_jensen_violations</x:v>
      </x:c>
      <x:c r="C450" s="46" t="n">
        <x:v>0</x:v>
      </x:c>
      <x:c r="D450" s="46" t="str">
        <x:v>count</x:v>
      </x:c>
    </x:row>
    <x:row r="451" ht="18" customHeight="1">
      <x:c r="A451" s="46" t="str">
        <x:v>LME_007</x:v>
      </x:c>
      <x:c r="B451" s="46" t="str">
        <x:v>functional_jensen_violations</x:v>
      </x:c>
      <x:c r="C451" s="46" t="n">
        <x:v>0</x:v>
      </x:c>
      <x:c r="D451" s="46" t="str">
        <x:v>count</x:v>
      </x:c>
    </x:row>
    <x:row r="452" ht="18" customHeight="1">
      <x:c r="A452" s="46" t="str">
        <x:v>LME_008</x:v>
      </x:c>
      <x:c r="B452" s="46" t="str">
        <x:v>raw_filtered_tonnes</x:v>
      </x:c>
      <x:c r="C452" s="46" t="n">
        <x:v>148680.2607308072</x:v>
      </x:c>
      <x:c r="D452" s="46" t="str">
        <x:v>tonnes</x:v>
      </x:c>
    </x:row>
    <x:row r="453" ht="18" customHeight="1">
      <x:c r="A453" s="46" t="str">
        <x:v>LME_008</x:v>
      </x:c>
      <x:c r="B453" s="46" t="str">
        <x:v>species_catch_tonnes</x:v>
      </x:c>
      <x:c r="C453" s="46" t="n">
        <x:v>148680.26073080715</x:v>
      </x:c>
      <x:c r="D453" s="46" t="str">
        <x:v>tonnes</x:v>
      </x:c>
    </x:row>
    <x:row r="454" ht="18" customHeight="1">
      <x:c r="A454" s="46" t="str">
        <x:v>LME_008</x:v>
      </x:c>
      <x:c r="B454" s="46" t="str">
        <x:v>catch_difference_tonnes</x:v>
      </x:c>
      <x:c r="C454" s="46" t="n">
        <x:v>-5.820766091346741e-11</x:v>
      </x:c>
      <x:c r="D454" s="46" t="str">
        <x:v>tonnes</x:v>
      </x:c>
    </x:row>
    <x:row r="455" ht="18" customHeight="1">
      <x:c r="A455" s="46" t="str">
        <x:v>LME_008</x:v>
      </x:c>
      <x:c r="B455" s="46" t="str">
        <x:v>catch_reconciled</x:v>
      </x:c>
      <x:c r="C455" s="46" t="str">
        <x:v>True</x:v>
      </x:c>
      <x:c r="D455" s="46" t="str">
        <x:v>boolean</x:v>
      </x:c>
    </x:row>
    <x:row r="456" ht="18" customHeight="1">
      <x:c r="A456" s="46" t="str">
        <x:v>LME_008</x:v>
      </x:c>
      <x:c r="B456" s="46" t="str">
        <x:v>matched_catch_tonnes</x:v>
      </x:c>
      <x:c r="C456" s="46" t="n">
        <x:v>148680.26073080715</x:v>
      </x:c>
      <x:c r="D456" s="46" t="str">
        <x:v>tonnes</x:v>
      </x:c>
    </x:row>
    <x:row r="457" ht="18" customHeight="1">
      <x:c r="A457" s="46" t="str">
        <x:v>LME_008</x:v>
      </x:c>
      <x:c r="B457" s="46" t="str">
        <x:v>catch_coverage_fraction</x:v>
      </x:c>
      <x:c r="C457" s="46" t="n">
        <x:v>1</x:v>
      </x:c>
      <x:c r="D457" s="46" t="str">
        <x:v>fraction</x:v>
      </x:c>
    </x:row>
    <x:row r="458" ht="18" customHeight="1">
      <x:c r="A458" s="46" t="str">
        <x:v>LME_008</x:v>
      </x:c>
      <x:c r="B458" s="46" t="str">
        <x:v>taxa_count</x:v>
      </x:c>
      <x:c r="C458" s="46" t="n">
        <x:v>92</x:v>
      </x:c>
      <x:c r="D458" s="46" t="str">
        <x:v>count</x:v>
      </x:c>
    </x:row>
    <x:row r="459" ht="18" customHeight="1">
      <x:c r="A459" s="46" t="str">
        <x:v>LME_008</x:v>
      </x:c>
      <x:c r="B459" s="46" t="str">
        <x:v>matched_taxa_count</x:v>
      </x:c>
      <x:c r="C459" s="46" t="n">
        <x:v>92</x:v>
      </x:c>
      <x:c r="D459" s="46" t="str">
        <x:v>count</x:v>
      </x:c>
    </x:row>
    <x:row r="460" ht="18" customHeight="1">
      <x:c r="A460" s="46" t="str">
        <x:v>LME_008</x:v>
      </x:c>
      <x:c r="B460" s="46" t="str">
        <x:v>unmatched_taxa_count</x:v>
      </x:c>
      <x:c r="C460" s="46" t="n">
        <x:v>0</x:v>
      </x:c>
      <x:c r="D460" s="46" t="str">
        <x:v>count</x:v>
      </x:c>
    </x:row>
    <x:row r="461" ht="18" customHeight="1">
      <x:c r="A461" s="46" t="str">
        <x:v>LME_008</x:v>
      </x:c>
      <x:c r="B461" s="46" t="str">
        <x:v>species_ppr</x:v>
      </x:c>
      <x:c r="C461" s="46" t="n">
        <x:v>75212513.43069898</x:v>
      </x:c>
      <x:c r="D461" s="46" t="str">
        <x:v>tonnes_primary_production_equivalent</x:v>
      </x:c>
    </x:row>
    <x:row r="462" ht="18" customHeight="1">
      <x:c r="A462" s="46" t="str">
        <x:v>LME_008</x:v>
      </x:c>
      <x:c r="B462" s="46" t="str">
        <x:v>commercial_ppr</x:v>
      </x:c>
      <x:c r="C462" s="46" t="n">
        <x:v>75212513.43069899</x:v>
      </x:c>
      <x:c r="D462" s="46" t="str">
        <x:v>tonnes_primary_production_equivalent</x:v>
      </x:c>
    </x:row>
    <x:row r="463" ht="18" customHeight="1">
      <x:c r="A463" s="46" t="str">
        <x:v>LME_008</x:v>
      </x:c>
      <x:c r="B463" s="46" t="str">
        <x:v>functional_ppr</x:v>
      </x:c>
      <x:c r="C463" s="46" t="n">
        <x:v>75212513.43069899</x:v>
      </x:c>
      <x:c r="D463" s="46" t="str">
        <x:v>tonnes_primary_production_equivalent</x:v>
      </x:c>
    </x:row>
    <x:row r="464" ht="18" customHeight="1">
      <x:c r="A464" s="46" t="str">
        <x:v>LME_008</x:v>
      </x:c>
      <x:c r="B464" s="46" t="str">
        <x:v>commercial_ppr_difference</x:v>
      </x:c>
      <x:c r="C464" s="46" t="n">
        <x:v>1.4901161193847656e-8</x:v>
      </x:c>
      <x:c r="D464" s="46" t="str">
        <x:v>tonnes_primary_production_equivalent</x:v>
      </x:c>
    </x:row>
    <x:row r="465" ht="18" customHeight="1">
      <x:c r="A465" s="46" t="str">
        <x:v>LME_008</x:v>
      </x:c>
      <x:c r="B465" s="46" t="str">
        <x:v>functional_ppr_difference</x:v>
      </x:c>
      <x:c r="C465" s="46" t="n">
        <x:v>1.4901161193847656e-8</x:v>
      </x:c>
      <x:c r="D465" s="46" t="str">
        <x:v>tonnes_primary_production_equivalent</x:v>
      </x:c>
    </x:row>
    <x:row r="466" ht="18" customHeight="1">
      <x:c r="A466" s="46" t="str">
        <x:v>LME_008</x:v>
      </x:c>
      <x:c r="B466" s="46" t="str">
        <x:v>commercial_ppr_reconciled</x:v>
      </x:c>
      <x:c r="C466" s="46" t="str">
        <x:v>True</x:v>
      </x:c>
      <x:c r="D466" s="46" t="str">
        <x:v>boolean</x:v>
      </x:c>
    </x:row>
    <x:row r="467" ht="18" customHeight="1">
      <x:c r="A467" s="46" t="str">
        <x:v>LME_008</x:v>
      </x:c>
      <x:c r="B467" s="46" t="str">
        <x:v>functional_ppr_reconciled</x:v>
      </x:c>
      <x:c r="C467" s="46" t="str">
        <x:v>True</x:v>
      </x:c>
      <x:c r="D467" s="46" t="str">
        <x:v>boolean</x:v>
      </x:c>
    </x:row>
    <x:row r="468" ht="18" customHeight="1">
      <x:c r="A468" s="46" t="str">
        <x:v>LME_008</x:v>
      </x:c>
      <x:c r="B468" s="46" t="str">
        <x:v>commercial_jensen_violations</x:v>
      </x:c>
      <x:c r="C468" s="46" t="n">
        <x:v>0</x:v>
      </x:c>
      <x:c r="D468" s="46" t="str">
        <x:v>count</x:v>
      </x:c>
    </x:row>
    <x:row r="469" ht="18" customHeight="1">
      <x:c r="A469" s="46" t="str">
        <x:v>LME_008</x:v>
      </x:c>
      <x:c r="B469" s="46" t="str">
        <x:v>functional_jensen_violations</x:v>
      </x:c>
      <x:c r="C469" s="46" t="n">
        <x:v>0</x:v>
      </x:c>
      <x:c r="D469" s="46" t="str">
        <x:v>count</x:v>
      </x:c>
    </x:row>
    <x:row r="470" ht="18" customHeight="1">
      <x:c r="A470" s="46" t="str">
        <x:v>LME_009</x:v>
      </x:c>
      <x:c r="B470" s="46" t="str">
        <x:v>raw_filtered_tonnes</x:v>
      </x:c>
      <x:c r="C470" s="46" t="n">
        <x:v>506689.99406100804</x:v>
      </x:c>
      <x:c r="D470" s="46" t="str">
        <x:v>tonnes</x:v>
      </x:c>
    </x:row>
    <x:row r="471" ht="18" customHeight="1">
      <x:c r="A471" s="46" t="str">
        <x:v>LME_009</x:v>
      </x:c>
      <x:c r="B471" s="46" t="str">
        <x:v>species_catch_tonnes</x:v>
      </x:c>
      <x:c r="C471" s="46" t="n">
        <x:v>506689.99406100786</x:v>
      </x:c>
      <x:c r="D471" s="46" t="str">
        <x:v>tonnes</x:v>
      </x:c>
    </x:row>
    <x:row r="472" ht="18" customHeight="1">
      <x:c r="A472" s="46" t="str">
        <x:v>LME_009</x:v>
      </x:c>
      <x:c r="B472" s="46" t="str">
        <x:v>catch_difference_tonnes</x:v>
      </x:c>
      <x:c r="C472" s="46" t="n">
        <x:v>-1.7462298274040222e-10</x:v>
      </x:c>
      <x:c r="D472" s="46" t="str">
        <x:v>tonnes</x:v>
      </x:c>
    </x:row>
    <x:row r="473" ht="18" customHeight="1">
      <x:c r="A473" s="46" t="str">
        <x:v>LME_009</x:v>
      </x:c>
      <x:c r="B473" s="46" t="str">
        <x:v>catch_reconciled</x:v>
      </x:c>
      <x:c r="C473" s="46" t="str">
        <x:v>True</x:v>
      </x:c>
      <x:c r="D473" s="46" t="str">
        <x:v>boolean</x:v>
      </x:c>
    </x:row>
    <x:row r="474" ht="18" customHeight="1">
      <x:c r="A474" s="46" t="str">
        <x:v>LME_009</x:v>
      </x:c>
      <x:c r="B474" s="46" t="str">
        <x:v>matched_catch_tonnes</x:v>
      </x:c>
      <x:c r="C474" s="46" t="n">
        <x:v>506689.99406100786</x:v>
      </x:c>
      <x:c r="D474" s="46" t="str">
        <x:v>tonnes</x:v>
      </x:c>
    </x:row>
    <x:row r="475" ht="18" customHeight="1">
      <x:c r="A475" s="46" t="str">
        <x:v>LME_009</x:v>
      </x:c>
      <x:c r="B475" s="46" t="str">
        <x:v>catch_coverage_fraction</x:v>
      </x:c>
      <x:c r="C475" s="46" t="n">
        <x:v>1</x:v>
      </x:c>
      <x:c r="D475" s="46" t="str">
        <x:v>fraction</x:v>
      </x:c>
    </x:row>
    <x:row r="476" ht="18" customHeight="1">
      <x:c r="A476" s="46" t="str">
        <x:v>LME_009</x:v>
      </x:c>
      <x:c r="B476" s="46" t="str">
        <x:v>taxa_count</x:v>
      </x:c>
      <x:c r="C476" s="46" t="n">
        <x:v>111</x:v>
      </x:c>
      <x:c r="D476" s="46" t="str">
        <x:v>count</x:v>
      </x:c>
    </x:row>
    <x:row r="477" ht="18" customHeight="1">
      <x:c r="A477" s="46" t="str">
        <x:v>LME_009</x:v>
      </x:c>
      <x:c r="B477" s="46" t="str">
        <x:v>matched_taxa_count</x:v>
      </x:c>
      <x:c r="C477" s="46" t="n">
        <x:v>111</x:v>
      </x:c>
      <x:c r="D477" s="46" t="str">
        <x:v>count</x:v>
      </x:c>
    </x:row>
    <x:row r="478" ht="18" customHeight="1">
      <x:c r="A478" s="46" t="str">
        <x:v>LME_009</x:v>
      </x:c>
      <x:c r="B478" s="46" t="str">
        <x:v>unmatched_taxa_count</x:v>
      </x:c>
      <x:c r="C478" s="46" t="n">
        <x:v>0</x:v>
      </x:c>
      <x:c r="D478" s="46" t="str">
        <x:v>count</x:v>
      </x:c>
    </x:row>
    <x:row r="479" ht="18" customHeight="1">
      <x:c r="A479" s="46" t="str">
        <x:v>LME_009</x:v>
      </x:c>
      <x:c r="B479" s="46" t="str">
        <x:v>species_ppr</x:v>
      </x:c>
      <x:c r="C479" s="46" t="n">
        <x:v>272326949.81673676</x:v>
      </x:c>
      <x:c r="D479" s="46" t="str">
        <x:v>tonnes_primary_production_equivalent</x:v>
      </x:c>
    </x:row>
    <x:row r="480" ht="18" customHeight="1">
      <x:c r="A480" s="46" t="str">
        <x:v>LME_009</x:v>
      </x:c>
      <x:c r="B480" s="46" t="str">
        <x:v>commercial_ppr</x:v>
      </x:c>
      <x:c r="C480" s="46" t="n">
        <x:v>272326949.8167369</x:v>
      </x:c>
      <x:c r="D480" s="46" t="str">
        <x:v>tonnes_primary_production_equivalent</x:v>
      </x:c>
    </x:row>
    <x:row r="481" ht="18" customHeight="1">
      <x:c r="A481" s="46" t="str">
        <x:v>LME_009</x:v>
      </x:c>
      <x:c r="B481" s="46" t="str">
        <x:v>functional_ppr</x:v>
      </x:c>
      <x:c r="C481" s="46" t="n">
        <x:v>272326949.81673676</x:v>
      </x:c>
      <x:c r="D481" s="46" t="str">
        <x:v>tonnes_primary_production_equivalent</x:v>
      </x:c>
    </x:row>
    <x:row r="482" ht="18" customHeight="1">
      <x:c r="A482" s="46" t="str">
        <x:v>LME_009</x:v>
      </x:c>
      <x:c r="B482" s="46" t="str">
        <x:v>commercial_ppr_difference</x:v>
      </x:c>
      <x:c r="C482" s="46" t="n">
        <x:v>1.1920928955078125e-7</x:v>
      </x:c>
      <x:c r="D482" s="46" t="str">
        <x:v>tonnes_primary_production_equivalent</x:v>
      </x:c>
    </x:row>
    <x:row r="483" ht="18" customHeight="1">
      <x:c r="A483" s="46" t="str">
        <x:v>LME_009</x:v>
      </x:c>
      <x:c r="B483" s="46" t="str">
        <x:v>functional_ppr_difference</x:v>
      </x:c>
      <x:c r="C483" s="46" t="n">
        <x:v>0</x:v>
      </x:c>
      <x:c r="D483" s="46" t="str">
        <x:v>tonnes_primary_production_equivalent</x:v>
      </x:c>
    </x:row>
    <x:row r="484" ht="18" customHeight="1">
      <x:c r="A484" s="46" t="str">
        <x:v>LME_009</x:v>
      </x:c>
      <x:c r="B484" s="46" t="str">
        <x:v>commercial_ppr_reconciled</x:v>
      </x:c>
      <x:c r="C484" s="46" t="str">
        <x:v>True</x:v>
      </x:c>
      <x:c r="D484" s="46" t="str">
        <x:v>boolean</x:v>
      </x:c>
    </x:row>
    <x:row r="485" ht="18" customHeight="1">
      <x:c r="A485" s="46" t="str">
        <x:v>LME_009</x:v>
      </x:c>
      <x:c r="B485" s="46" t="str">
        <x:v>functional_ppr_reconciled</x:v>
      </x:c>
      <x:c r="C485" s="46" t="str">
        <x:v>True</x:v>
      </x:c>
      <x:c r="D485" s="46" t="str">
        <x:v>boolean</x:v>
      </x:c>
    </x:row>
    <x:row r="486" ht="18" customHeight="1">
      <x:c r="A486" s="46" t="str">
        <x:v>LME_009</x:v>
      </x:c>
      <x:c r="B486" s="46" t="str">
        <x:v>commercial_jensen_violations</x:v>
      </x:c>
      <x:c r="C486" s="46" t="n">
        <x:v>0</x:v>
      </x:c>
      <x:c r="D486" s="46" t="str">
        <x:v>count</x:v>
      </x:c>
    </x:row>
    <x:row r="487" ht="18" customHeight="1">
      <x:c r="A487" s="46" t="str">
        <x:v>LME_009</x:v>
      </x:c>
      <x:c r="B487" s="46" t="str">
        <x:v>functional_jensen_violations</x:v>
      </x:c>
      <x:c r="C487" s="46" t="n">
        <x:v>0</x:v>
      </x:c>
      <x:c r="D487" s="46" t="str">
        <x:v>count</x:v>
      </x:c>
    </x:row>
    <x:row r="488" ht="18" customHeight="1">
      <x:c r="A488" s="46" t="str">
        <x:v>LME_010</x:v>
      </x:c>
      <x:c r="B488" s="46" t="str">
        <x:v>raw_filtered_tonnes</x:v>
      </x:c>
      <x:c r="C488" s="46" t="n">
        <x:v>21171.953396398498</x:v>
      </x:c>
      <x:c r="D488" s="46" t="str">
        <x:v>tonnes</x:v>
      </x:c>
    </x:row>
    <x:row r="489" ht="18" customHeight="1">
      <x:c r="A489" s="46" t="str">
        <x:v>LME_010</x:v>
      </x:c>
      <x:c r="B489" s="46" t="str">
        <x:v>species_catch_tonnes</x:v>
      </x:c>
      <x:c r="C489" s="46" t="n">
        <x:v>21171.9533963985</x:v>
      </x:c>
      <x:c r="D489" s="46" t="str">
        <x:v>tonnes</x:v>
      </x:c>
    </x:row>
    <x:row r="490" ht="18" customHeight="1">
      <x:c r="A490" s="46" t="str">
        <x:v>LME_010</x:v>
      </x:c>
      <x:c r="B490" s="46" t="str">
        <x:v>catch_difference_tonnes</x:v>
      </x:c>
      <x:c r="C490" s="46" t="n">
        <x:v>3.637978807091713e-12</x:v>
      </x:c>
      <x:c r="D490" s="46" t="str">
        <x:v>tonnes</x:v>
      </x:c>
    </x:row>
    <x:row r="491" ht="18" customHeight="1">
      <x:c r="A491" s="46" t="str">
        <x:v>LME_010</x:v>
      </x:c>
      <x:c r="B491" s="46" t="str">
        <x:v>catch_reconciled</x:v>
      </x:c>
      <x:c r="C491" s="46" t="str">
        <x:v>True</x:v>
      </x:c>
      <x:c r="D491" s="46" t="str">
        <x:v>boolean</x:v>
      </x:c>
    </x:row>
    <x:row r="492" ht="18" customHeight="1">
      <x:c r="A492" s="46" t="str">
        <x:v>LME_010</x:v>
      </x:c>
      <x:c r="B492" s="46" t="str">
        <x:v>matched_catch_tonnes</x:v>
      </x:c>
      <x:c r="C492" s="46" t="n">
        <x:v>21171.9533963985</x:v>
      </x:c>
      <x:c r="D492" s="46" t="str">
        <x:v>tonnes</x:v>
      </x:c>
    </x:row>
    <x:row r="493" ht="18" customHeight="1">
      <x:c r="A493" s="46" t="str">
        <x:v>LME_010</x:v>
      </x:c>
      <x:c r="B493" s="46" t="str">
        <x:v>catch_coverage_fraction</x:v>
      </x:c>
      <x:c r="C493" s="46" t="n">
        <x:v>1</x:v>
      </x:c>
      <x:c r="D493" s="46" t="str">
        <x:v>fraction</x:v>
      </x:c>
    </x:row>
    <x:row r="494" ht="18" customHeight="1">
      <x:c r="A494" s="46" t="str">
        <x:v>LME_010</x:v>
      </x:c>
      <x:c r="B494" s="46" t="str">
        <x:v>taxa_count</x:v>
      </x:c>
      <x:c r="C494" s="46" t="n">
        <x:v>140</x:v>
      </x:c>
      <x:c r="D494" s="46" t="str">
        <x:v>count</x:v>
      </x:c>
    </x:row>
    <x:row r="495" ht="18" customHeight="1">
      <x:c r="A495" s="46" t="str">
        <x:v>LME_010</x:v>
      </x:c>
      <x:c r="B495" s="46" t="str">
        <x:v>matched_taxa_count</x:v>
      </x:c>
      <x:c r="C495" s="46" t="n">
        <x:v>140</x:v>
      </x:c>
      <x:c r="D495" s="46" t="str">
        <x:v>count</x:v>
      </x:c>
    </x:row>
    <x:row r="496" ht="18" customHeight="1">
      <x:c r="A496" s="46" t="str">
        <x:v>LME_010</x:v>
      </x:c>
      <x:c r="B496" s="46" t="str">
        <x:v>unmatched_taxa_count</x:v>
      </x:c>
      <x:c r="C496" s="46" t="n">
        <x:v>0</x:v>
      </x:c>
      <x:c r="D496" s="46" t="str">
        <x:v>count</x:v>
      </x:c>
    </x:row>
    <x:row r="497" ht="18" customHeight="1">
      <x:c r="A497" s="46" t="str">
        <x:v>LME_010</x:v>
      </x:c>
      <x:c r="B497" s="46" t="str">
        <x:v>species_ppr</x:v>
      </x:c>
      <x:c r="C497" s="46" t="n">
        <x:v>44813494.47199182</x:v>
      </x:c>
      <x:c r="D497" s="46" t="str">
        <x:v>tonnes_primary_production_equivalent</x:v>
      </x:c>
    </x:row>
    <x:row r="498" ht="18" customHeight="1">
      <x:c r="A498" s="46" t="str">
        <x:v>LME_010</x:v>
      </x:c>
      <x:c r="B498" s="46" t="str">
        <x:v>commercial_ppr</x:v>
      </x:c>
      <x:c r="C498" s="46" t="n">
        <x:v>44813494.47199182</x:v>
      </x:c>
      <x:c r="D498" s="46" t="str">
        <x:v>tonnes_primary_production_equivalent</x:v>
      </x:c>
    </x:row>
    <x:row r="499" ht="18" customHeight="1">
      <x:c r="A499" s="46" t="str">
        <x:v>LME_010</x:v>
      </x:c>
      <x:c r="B499" s="46" t="str">
        <x:v>functional_ppr</x:v>
      </x:c>
      <x:c r="C499" s="46" t="n">
        <x:v>44813494.47199182</x:v>
      </x:c>
      <x:c r="D499" s="46" t="str">
        <x:v>tonnes_primary_production_equivalent</x:v>
      </x:c>
    </x:row>
    <x:row r="500" ht="18" customHeight="1">
      <x:c r="A500" s="46" t="str">
        <x:v>LME_010</x:v>
      </x:c>
      <x:c r="B500" s="46" t="str">
        <x:v>commercial_ppr_difference</x:v>
      </x:c>
      <x:c r="C500" s="46" t="n">
        <x:v>0</x:v>
      </x:c>
      <x:c r="D500" s="46" t="str">
        <x:v>tonnes_primary_production_equivalent</x:v>
      </x:c>
    </x:row>
    <x:row r="501" ht="18" customHeight="1">
      <x:c r="A501" s="46" t="str">
        <x:v>LME_010</x:v>
      </x:c>
      <x:c r="B501" s="46" t="str">
        <x:v>functional_ppr_difference</x:v>
      </x:c>
      <x:c r="C501" s="46" t="n">
        <x:v>0</x:v>
      </x:c>
      <x:c r="D501" s="46" t="str">
        <x:v>tonnes_primary_production_equivalent</x:v>
      </x:c>
    </x:row>
    <x:row r="502" ht="18" customHeight="1">
      <x:c r="A502" s="46" t="str">
        <x:v>LME_010</x:v>
      </x:c>
      <x:c r="B502" s="46" t="str">
        <x:v>commercial_ppr_reconciled</x:v>
      </x:c>
      <x:c r="C502" s="46" t="str">
        <x:v>True</x:v>
      </x:c>
      <x:c r="D502" s="46" t="str">
        <x:v>boolean</x:v>
      </x:c>
    </x:row>
    <x:row r="503" ht="18" customHeight="1">
      <x:c r="A503" s="46" t="str">
        <x:v>LME_010</x:v>
      </x:c>
      <x:c r="B503" s="46" t="str">
        <x:v>functional_ppr_reconciled</x:v>
      </x:c>
      <x:c r="C503" s="46" t="str">
        <x:v>True</x:v>
      </x:c>
      <x:c r="D503" s="46" t="str">
        <x:v>boolean</x:v>
      </x:c>
    </x:row>
    <x:row r="504" ht="18" customHeight="1">
      <x:c r="A504" s="46" t="str">
        <x:v>LME_010</x:v>
      </x:c>
      <x:c r="B504" s="46" t="str">
        <x:v>commercial_jensen_violations</x:v>
      </x:c>
      <x:c r="C504" s="46" t="n">
        <x:v>0</x:v>
      </x:c>
      <x:c r="D504" s="46" t="str">
        <x:v>count</x:v>
      </x:c>
    </x:row>
    <x:row r="505" ht="18" customHeight="1">
      <x:c r="A505" s="46" t="str">
        <x:v>LME_010</x:v>
      </x:c>
      <x:c r="B505" s="46" t="str">
        <x:v>functional_jensen_violations</x:v>
      </x:c>
      <x:c r="C505" s="46" t="n">
        <x:v>0</x:v>
      </x:c>
      <x:c r="D505" s="46" t="str">
        <x:v>count</x:v>
      </x:c>
    </x:row>
    <x:row r="506" ht="18" customHeight="1">
      <x:c r="A506" s="46" t="str">
        <x:v>LME_011</x:v>
      </x:c>
      <x:c r="B506" s="46" t="str">
        <x:v>raw_filtered_tonnes</x:v>
      </x:c>
      <x:c r="C506" s="46" t="n">
        <x:v>1587670.7135199134</x:v>
      </x:c>
      <x:c r="D506" s="46" t="str">
        <x:v>tonnes</x:v>
      </x:c>
    </x:row>
    <x:row r="507" ht="18" customHeight="1">
      <x:c r="A507" s="46" t="str">
        <x:v>LME_011</x:v>
      </x:c>
      <x:c r="B507" s="46" t="str">
        <x:v>species_catch_tonnes</x:v>
      </x:c>
      <x:c r="C507" s="46" t="n">
        <x:v>1587670.713519913</x:v>
      </x:c>
      <x:c r="D507" s="46" t="str">
        <x:v>tonnes</x:v>
      </x:c>
    </x:row>
    <x:row r="508" ht="18" customHeight="1">
      <x:c r="A508" s="46" t="str">
        <x:v>LME_011</x:v>
      </x:c>
      <x:c r="B508" s="46" t="str">
        <x:v>catch_difference_tonnes</x:v>
      </x:c>
      <x:c r="C508" s="46" t="n">
        <x:v>-4.656612873077393e-10</x:v>
      </x:c>
      <x:c r="D508" s="46" t="str">
        <x:v>tonnes</x:v>
      </x:c>
    </x:row>
    <x:row r="509" ht="18" customHeight="1">
      <x:c r="A509" s="46" t="str">
        <x:v>LME_011</x:v>
      </x:c>
      <x:c r="B509" s="46" t="str">
        <x:v>catch_reconciled</x:v>
      </x:c>
      <x:c r="C509" s="46" t="str">
        <x:v>True</x:v>
      </x:c>
      <x:c r="D509" s="46" t="str">
        <x:v>boolean</x:v>
      </x:c>
    </x:row>
    <x:row r="510" ht="18" customHeight="1">
      <x:c r="A510" s="46" t="str">
        <x:v>LME_011</x:v>
      </x:c>
      <x:c r="B510" s="46" t="str">
        <x:v>matched_catch_tonnes</x:v>
      </x:c>
      <x:c r="C510" s="46" t="n">
        <x:v>1587670.713519913</x:v>
      </x:c>
      <x:c r="D510" s="46" t="str">
        <x:v>tonnes</x:v>
      </x:c>
    </x:row>
    <x:row r="511" ht="18" customHeight="1">
      <x:c r="A511" s="46" t="str">
        <x:v>LME_011</x:v>
      </x:c>
      <x:c r="B511" s="46" t="str">
        <x:v>catch_coverage_fraction</x:v>
      </x:c>
      <x:c r="C511" s="46" t="n">
        <x:v>1</x:v>
      </x:c>
      <x:c r="D511" s="46" t="str">
        <x:v>fraction</x:v>
      </x:c>
    </x:row>
    <x:row r="512" ht="18" customHeight="1">
      <x:c r="A512" s="46" t="str">
        <x:v>LME_011</x:v>
      </x:c>
      <x:c r="B512" s="46" t="str">
        <x:v>taxa_count</x:v>
      </x:c>
      <x:c r="C512" s="46" t="n">
        <x:v>270</x:v>
      </x:c>
      <x:c r="D512" s="46" t="str">
        <x:v>count</x:v>
      </x:c>
    </x:row>
    <x:row r="513" ht="18" customHeight="1">
      <x:c r="A513" s="46" t="str">
        <x:v>LME_011</x:v>
      </x:c>
      <x:c r="B513" s="46" t="str">
        <x:v>matched_taxa_count</x:v>
      </x:c>
      <x:c r="C513" s="46" t="n">
        <x:v>270</x:v>
      </x:c>
      <x:c r="D513" s="46" t="str">
        <x:v>count</x:v>
      </x:c>
    </x:row>
    <x:row r="514" ht="18" customHeight="1">
      <x:c r="A514" s="46" t="str">
        <x:v>LME_011</x:v>
      </x:c>
      <x:c r="B514" s="46" t="str">
        <x:v>unmatched_taxa_count</x:v>
      </x:c>
      <x:c r="C514" s="46" t="n">
        <x:v>0</x:v>
      </x:c>
      <x:c r="D514" s="46" t="str">
        <x:v>count</x:v>
      </x:c>
    </x:row>
    <x:row r="515" ht="18" customHeight="1">
      <x:c r="A515" s="46" t="str">
        <x:v>LME_011</x:v>
      </x:c>
      <x:c r="B515" s="46" t="str">
        <x:v>species_ppr</x:v>
      </x:c>
      <x:c r="C515" s="46" t="n">
        <x:v>748768977.2026196</x:v>
      </x:c>
      <x:c r="D515" s="46" t="str">
        <x:v>tonnes_primary_production_equivalent</x:v>
      </x:c>
    </x:row>
    <x:row r="516" ht="18" customHeight="1">
      <x:c r="A516" s="46" t="str">
        <x:v>LME_011</x:v>
      </x:c>
      <x:c r="B516" s="46" t="str">
        <x:v>commercial_ppr</x:v>
      </x:c>
      <x:c r="C516" s="46" t="n">
        <x:v>748768977.2026193</x:v>
      </x:c>
      <x:c r="D516" s="46" t="str">
        <x:v>tonnes_primary_production_equivalent</x:v>
      </x:c>
    </x:row>
    <x:row r="517" ht="18" customHeight="1">
      <x:c r="A517" s="46" t="str">
        <x:v>LME_011</x:v>
      </x:c>
      <x:c r="B517" s="46" t="str">
        <x:v>functional_ppr</x:v>
      </x:c>
      <x:c r="C517" s="46" t="n">
        <x:v>748768977.2026194</x:v>
      </x:c>
      <x:c r="D517" s="46" t="str">
        <x:v>tonnes_primary_production_equivalent</x:v>
      </x:c>
    </x:row>
    <x:row r="518" ht="18" customHeight="1">
      <x:c r="A518" s="46" t="str">
        <x:v>LME_011</x:v>
      </x:c>
      <x:c r="B518" s="46" t="str">
        <x:v>commercial_ppr_difference</x:v>
      </x:c>
      <x:c r="C518" s="46" t="n">
        <x:v>-2.384185791015625e-7</x:v>
      </x:c>
      <x:c r="D518" s="46" t="str">
        <x:v>tonnes_primary_production_equivalent</x:v>
      </x:c>
    </x:row>
    <x:row r="519" ht="18" customHeight="1">
      <x:c r="A519" s="46" t="str">
        <x:v>LME_011</x:v>
      </x:c>
      <x:c r="B519" s="46" t="str">
        <x:v>functional_ppr_difference</x:v>
      </x:c>
      <x:c r="C519" s="46" t="n">
        <x:v>-1.1920928955078125e-7</x:v>
      </x:c>
      <x:c r="D519" s="46" t="str">
        <x:v>tonnes_primary_production_equivalent</x:v>
      </x:c>
    </x:row>
    <x:row r="520" ht="18" customHeight="1">
      <x:c r="A520" s="46" t="str">
        <x:v>LME_011</x:v>
      </x:c>
      <x:c r="B520" s="46" t="str">
        <x:v>commercial_ppr_reconciled</x:v>
      </x:c>
      <x:c r="C520" s="46" t="str">
        <x:v>True</x:v>
      </x:c>
      <x:c r="D520" s="46" t="str">
        <x:v>boolean</x:v>
      </x:c>
    </x:row>
    <x:row r="521" ht="18" customHeight="1">
      <x:c r="A521" s="46" t="str">
        <x:v>LME_011</x:v>
      </x:c>
      <x:c r="B521" s="46" t="str">
        <x:v>functional_ppr_reconciled</x:v>
      </x:c>
      <x:c r="C521" s="46" t="str">
        <x:v>True</x:v>
      </x:c>
      <x:c r="D521" s="46" t="str">
        <x:v>boolean</x:v>
      </x:c>
    </x:row>
    <x:row r="522" ht="18" customHeight="1">
      <x:c r="A522" s="46" t="str">
        <x:v>LME_011</x:v>
      </x:c>
      <x:c r="B522" s="46" t="str">
        <x:v>commercial_jensen_violations</x:v>
      </x:c>
      <x:c r="C522" s="46" t="n">
        <x:v>0</x:v>
      </x:c>
      <x:c r="D522" s="46" t="str">
        <x:v>count</x:v>
      </x:c>
    </x:row>
    <x:row r="523" ht="18" customHeight="1">
      <x:c r="A523" s="46" t="str">
        <x:v>LME_011</x:v>
      </x:c>
      <x:c r="B523" s="46" t="str">
        <x:v>functional_jensen_violations</x:v>
      </x:c>
      <x:c r="C523" s="46" t="n">
        <x:v>0</x:v>
      </x:c>
      <x:c r="D523" s="46" t="str">
        <x:v>count</x:v>
      </x:c>
    </x:row>
    <x:row r="524" ht="18" customHeight="1">
      <x:c r="A524" s="46" t="str">
        <x:v>LME_012</x:v>
      </x:c>
      <x:c r="B524" s="46" t="str">
        <x:v>raw_filtered_tonnes</x:v>
      </x:c>
      <x:c r="C524" s="46" t="n">
        <x:v>625707.9632201534</x:v>
      </x:c>
      <x:c r="D524" s="46" t="str">
        <x:v>tonnes</x:v>
      </x:c>
    </x:row>
    <x:row r="525" ht="18" customHeight="1">
      <x:c r="A525" s="46" t="str">
        <x:v>LME_012</x:v>
      </x:c>
      <x:c r="B525" s="46" t="str">
        <x:v>species_catch_tonnes</x:v>
      </x:c>
      <x:c r="C525" s="46" t="n">
        <x:v>625707.9632201534</x:v>
      </x:c>
      <x:c r="D525" s="46" t="str">
        <x:v>tonnes</x:v>
      </x:c>
    </x:row>
    <x:row r="526" ht="18" customHeight="1">
      <x:c r="A526" s="46" t="str">
        <x:v>LME_012</x:v>
      </x:c>
      <x:c r="B526" s="46" t="str">
        <x:v>catch_difference_tonnes</x:v>
      </x:c>
      <x:c r="C526" s="46" t="n">
        <x:v>0</x:v>
      </x:c>
      <x:c r="D526" s="46" t="str">
        <x:v>tonnes</x:v>
      </x:c>
    </x:row>
    <x:row r="527" ht="18" customHeight="1">
      <x:c r="A527" s="46" t="str">
        <x:v>LME_012</x:v>
      </x:c>
      <x:c r="B527" s="46" t="str">
        <x:v>catch_reconciled</x:v>
      </x:c>
      <x:c r="C527" s="46" t="str">
        <x:v>True</x:v>
      </x:c>
      <x:c r="D527" s="46" t="str">
        <x:v>boolean</x:v>
      </x:c>
    </x:row>
    <x:row r="528" ht="18" customHeight="1">
      <x:c r="A528" s="46" t="str">
        <x:v>LME_012</x:v>
      </x:c>
      <x:c r="B528" s="46" t="str">
        <x:v>matched_catch_tonnes</x:v>
      </x:c>
      <x:c r="C528" s="46" t="n">
        <x:v>625707.9632201534</x:v>
      </x:c>
      <x:c r="D528" s="46" t="str">
        <x:v>tonnes</x:v>
      </x:c>
    </x:row>
    <x:row r="529" ht="18" customHeight="1">
      <x:c r="A529" s="46" t="str">
        <x:v>LME_012</x:v>
      </x:c>
      <x:c r="B529" s="46" t="str">
        <x:v>catch_coverage_fraction</x:v>
      </x:c>
      <x:c r="C529" s="46" t="n">
        <x:v>1</x:v>
      </x:c>
      <x:c r="D529" s="46" t="str">
        <x:v>fraction</x:v>
      </x:c>
    </x:row>
    <x:row r="530" ht="18" customHeight="1">
      <x:c r="A530" s="46" t="str">
        <x:v>LME_012</x:v>
      </x:c>
      <x:c r="B530" s="46" t="str">
        <x:v>taxa_count</x:v>
      </x:c>
      <x:c r="C530" s="46" t="n">
        <x:v>507</x:v>
      </x:c>
      <x:c r="D530" s="46" t="str">
        <x:v>count</x:v>
      </x:c>
    </x:row>
    <x:row r="531" ht="18" customHeight="1">
      <x:c r="A531" s="46" t="str">
        <x:v>LME_012</x:v>
      </x:c>
      <x:c r="B531" s="46" t="str">
        <x:v>matched_taxa_count</x:v>
      </x:c>
      <x:c r="C531" s="46" t="n">
        <x:v>507</x:v>
      </x:c>
      <x:c r="D531" s="46" t="str">
        <x:v>count</x:v>
      </x:c>
    </x:row>
    <x:row r="532" ht="18" customHeight="1">
      <x:c r="A532" s="46" t="str">
        <x:v>LME_012</x:v>
      </x:c>
      <x:c r="B532" s="46" t="str">
        <x:v>unmatched_taxa_count</x:v>
      </x:c>
      <x:c r="C532" s="46" t="n">
        <x:v>0</x:v>
      </x:c>
      <x:c r="D532" s="46" t="str">
        <x:v>count</x:v>
      </x:c>
    </x:row>
    <x:row r="533" ht="18" customHeight="1">
      <x:c r="A533" s="46" t="str">
        <x:v>LME_012</x:v>
      </x:c>
      <x:c r="B533" s="46" t="str">
        <x:v>species_ppr</x:v>
      </x:c>
      <x:c r="C533" s="46" t="n">
        <x:v>398459551.5651003</x:v>
      </x:c>
      <x:c r="D533" s="46" t="str">
        <x:v>tonnes_primary_production_equivalent</x:v>
      </x:c>
    </x:row>
    <x:row r="534" ht="18" customHeight="1">
      <x:c r="A534" s="46" t="str">
        <x:v>LME_012</x:v>
      </x:c>
      <x:c r="B534" s="46" t="str">
        <x:v>commercial_ppr</x:v>
      </x:c>
      <x:c r="C534" s="46" t="n">
        <x:v>398459551.56510025</x:v>
      </x:c>
      <x:c r="D534" s="46" t="str">
        <x:v>tonnes_primary_production_equivalent</x:v>
      </x:c>
    </x:row>
    <x:row r="535" ht="18" customHeight="1">
      <x:c r="A535" s="46" t="str">
        <x:v>LME_012</x:v>
      </x:c>
      <x:c r="B535" s="46" t="str">
        <x:v>functional_ppr</x:v>
      </x:c>
      <x:c r="C535" s="46" t="n">
        <x:v>398459551.5651003</x:v>
      </x:c>
      <x:c r="D535" s="46" t="str">
        <x:v>tonnes_primary_production_equivalent</x:v>
      </x:c>
    </x:row>
    <x:row r="536" ht="18" customHeight="1">
      <x:c r="A536" s="46" t="str">
        <x:v>LME_012</x:v>
      </x:c>
      <x:c r="B536" s="46" t="str">
        <x:v>commercial_ppr_difference</x:v>
      </x:c>
      <x:c r="C536" s="46" t="n">
        <x:v>-5.960464477539063e-8</x:v>
      </x:c>
      <x:c r="D536" s="46" t="str">
        <x:v>tonnes_primary_production_equivalent</x:v>
      </x:c>
    </x:row>
    <x:row r="537" ht="18" customHeight="1">
      <x:c r="A537" s="46" t="str">
        <x:v>LME_012</x:v>
      </x:c>
      <x:c r="B537" s="46" t="str">
        <x:v>functional_ppr_difference</x:v>
      </x:c>
      <x:c r="C537" s="46" t="n">
        <x:v>0</x:v>
      </x:c>
      <x:c r="D537" s="46" t="str">
        <x:v>tonnes_primary_production_equivalent</x:v>
      </x:c>
    </x:row>
    <x:row r="538" ht="18" customHeight="1">
      <x:c r="A538" s="46" t="str">
        <x:v>LME_012</x:v>
      </x:c>
      <x:c r="B538" s="46" t="str">
        <x:v>commercial_ppr_reconciled</x:v>
      </x:c>
      <x:c r="C538" s="46" t="str">
        <x:v>True</x:v>
      </x:c>
      <x:c r="D538" s="46" t="str">
        <x:v>boolean</x:v>
      </x:c>
    </x:row>
    <x:row r="539" ht="18" customHeight="1">
      <x:c r="A539" s="46" t="str">
        <x:v>LME_012</x:v>
      </x:c>
      <x:c r="B539" s="46" t="str">
        <x:v>functional_ppr_reconciled</x:v>
      </x:c>
      <x:c r="C539" s="46" t="str">
        <x:v>True</x:v>
      </x:c>
      <x:c r="D539" s="46" t="str">
        <x:v>boolean</x:v>
      </x:c>
    </x:row>
    <x:row r="540" ht="18" customHeight="1">
      <x:c r="A540" s="46" t="str">
        <x:v>LME_012</x:v>
      </x:c>
      <x:c r="B540" s="46" t="str">
        <x:v>commercial_jensen_violations</x:v>
      </x:c>
      <x:c r="C540" s="46" t="n">
        <x:v>0</x:v>
      </x:c>
      <x:c r="D540" s="46" t="str">
        <x:v>count</x:v>
      </x:c>
    </x:row>
    <x:row r="541" ht="18" customHeight="1">
      <x:c r="A541" s="46" t="str">
        <x:v>LME_012</x:v>
      </x:c>
      <x:c r="B541" s="46" t="str">
        <x:v>functional_jensen_violations</x:v>
      </x:c>
      <x:c r="C541" s="46" t="n">
        <x:v>0</x:v>
      </x:c>
      <x:c r="D541" s="46" t="str">
        <x:v>count</x:v>
      </x:c>
    </x:row>
    <x:row r="542" ht="18" customHeight="1">
      <x:c r="A542" s="46" t="str">
        <x:v>LME_013</x:v>
      </x:c>
      <x:c r="B542" s="46" t="str">
        <x:v>raw_filtered_tonnes</x:v>
      </x:c>
      <x:c r="C542" s="46" t="n">
        <x:v>7390380.680601614</x:v>
      </x:c>
      <x:c r="D542" s="46" t="str">
        <x:v>tonnes</x:v>
      </x:c>
    </x:row>
    <x:row r="543" ht="18" customHeight="1">
      <x:c r="A543" s="46" t="str">
        <x:v>LME_013</x:v>
      </x:c>
      <x:c r="B543" s="46" t="str">
        <x:v>species_catch_tonnes</x:v>
      </x:c>
      <x:c r="C543" s="46" t="n">
        <x:v>7390380.680601614</x:v>
      </x:c>
      <x:c r="D543" s="46" t="str">
        <x:v>tonnes</x:v>
      </x:c>
    </x:row>
    <x:row r="544" ht="18" customHeight="1">
      <x:c r="A544" s="46" t="str">
        <x:v>LME_013</x:v>
      </x:c>
      <x:c r="B544" s="46" t="str">
        <x:v>catch_difference_tonnes</x:v>
      </x:c>
      <x:c r="C544" s="46" t="n">
        <x:v>0</x:v>
      </x:c>
      <x:c r="D544" s="46" t="str">
        <x:v>tonnes</x:v>
      </x:c>
    </x:row>
    <x:row r="545" ht="18" customHeight="1">
      <x:c r="A545" s="46" t="str">
        <x:v>LME_013</x:v>
      </x:c>
      <x:c r="B545" s="46" t="str">
        <x:v>catch_reconciled</x:v>
      </x:c>
      <x:c r="C545" s="46" t="str">
        <x:v>True</x:v>
      </x:c>
      <x:c r="D545" s="46" t="str">
        <x:v>boolean</x:v>
      </x:c>
    </x:row>
    <x:row r="546" ht="18" customHeight="1">
      <x:c r="A546" s="46" t="str">
        <x:v>LME_013</x:v>
      </x:c>
      <x:c r="B546" s="46" t="str">
        <x:v>matched_catch_tonnes</x:v>
      </x:c>
      <x:c r="C546" s="46" t="n">
        <x:v>7390380.680601614</x:v>
      </x:c>
      <x:c r="D546" s="46" t="str">
        <x:v>tonnes</x:v>
      </x:c>
    </x:row>
    <x:row r="547" ht="18" customHeight="1">
      <x:c r="A547" s="46" t="str">
        <x:v>LME_013</x:v>
      </x:c>
      <x:c r="B547" s="46" t="str">
        <x:v>catch_coverage_fraction</x:v>
      </x:c>
      <x:c r="C547" s="46" t="n">
        <x:v>1</x:v>
      </x:c>
      <x:c r="D547" s="46" t="str">
        <x:v>fraction</x:v>
      </x:c>
    </x:row>
    <x:row r="548" ht="18" customHeight="1">
      <x:c r="A548" s="46" t="str">
        <x:v>LME_013</x:v>
      </x:c>
      <x:c r="B548" s="46" t="str">
        <x:v>taxa_count</x:v>
      </x:c>
      <x:c r="C548" s="46" t="n">
        <x:v>184</x:v>
      </x:c>
      <x:c r="D548" s="46" t="str">
        <x:v>count</x:v>
      </x:c>
    </x:row>
    <x:row r="549" ht="18" customHeight="1">
      <x:c r="A549" s="46" t="str">
        <x:v>LME_013</x:v>
      </x:c>
      <x:c r="B549" s="46" t="str">
        <x:v>matched_taxa_count</x:v>
      </x:c>
      <x:c r="C549" s="46" t="n">
        <x:v>184</x:v>
      </x:c>
      <x:c r="D549" s="46" t="str">
        <x:v>count</x:v>
      </x:c>
    </x:row>
    <x:row r="550" ht="18" customHeight="1">
      <x:c r="A550" s="46" t="str">
        <x:v>LME_013</x:v>
      </x:c>
      <x:c r="B550" s="46" t="str">
        <x:v>unmatched_taxa_count</x:v>
      </x:c>
      <x:c r="C550" s="46" t="n">
        <x:v>0</x:v>
      </x:c>
      <x:c r="D550" s="46" t="str">
        <x:v>count</x:v>
      </x:c>
    </x:row>
    <x:row r="551" ht="18" customHeight="1">
      <x:c r="A551" s="46" t="str">
        <x:v>LME_013</x:v>
      </x:c>
      <x:c r="B551" s="46" t="str">
        <x:v>species_ppr</x:v>
      </x:c>
      <x:c r="C551" s="46" t="n">
        <x:v>2612052520.1434836</x:v>
      </x:c>
      <x:c r="D551" s="46" t="str">
        <x:v>tonnes_primary_production_equivalent</x:v>
      </x:c>
    </x:row>
    <x:row r="552" ht="18" customHeight="1">
      <x:c r="A552" s="46" t="str">
        <x:v>LME_013</x:v>
      </x:c>
      <x:c r="B552" s="46" t="str">
        <x:v>commercial_ppr</x:v>
      </x:c>
      <x:c r="C552" s="46" t="n">
        <x:v>2612052520.143483</x:v>
      </x:c>
      <x:c r="D552" s="46" t="str">
        <x:v>tonnes_primary_production_equivalent</x:v>
      </x:c>
    </x:row>
    <x:row r="553" ht="18" customHeight="1">
      <x:c r="A553" s="46" t="str">
        <x:v>LME_013</x:v>
      </x:c>
      <x:c r="B553" s="46" t="str">
        <x:v>functional_ppr</x:v>
      </x:c>
      <x:c r="C553" s="46" t="n">
        <x:v>2612052520.143483</x:v>
      </x:c>
      <x:c r="D553" s="46" t="str">
        <x:v>tonnes_primary_production_equivalent</x:v>
      </x:c>
    </x:row>
    <x:row r="554" ht="18" customHeight="1">
      <x:c r="A554" s="46" t="str">
        <x:v>LME_013</x:v>
      </x:c>
      <x:c r="B554" s="46" t="str">
        <x:v>commercial_ppr_difference</x:v>
      </x:c>
      <x:c r="C554" s="46" t="n">
        <x:v>-4.76837158203125e-7</x:v>
      </x:c>
      <x:c r="D554" s="46" t="str">
        <x:v>tonnes_primary_production_equivalent</x:v>
      </x:c>
    </x:row>
    <x:row r="555" ht="18" customHeight="1">
      <x:c r="A555" s="46" t="str">
        <x:v>LME_013</x:v>
      </x:c>
      <x:c r="B555" s="46" t="str">
        <x:v>functional_ppr_difference</x:v>
      </x:c>
      <x:c r="C555" s="46" t="n">
        <x:v>-4.76837158203125e-7</x:v>
      </x:c>
      <x:c r="D555" s="46" t="str">
        <x:v>tonnes_primary_production_equivalent</x:v>
      </x:c>
    </x:row>
    <x:row r="556" ht="18" customHeight="1">
      <x:c r="A556" s="46" t="str">
        <x:v>LME_013</x:v>
      </x:c>
      <x:c r="B556" s="46" t="str">
        <x:v>commercial_ppr_reconciled</x:v>
      </x:c>
      <x:c r="C556" s="46" t="str">
        <x:v>True</x:v>
      </x:c>
      <x:c r="D556" s="46" t="str">
        <x:v>boolean</x:v>
      </x:c>
    </x:row>
    <x:row r="557" ht="18" customHeight="1">
      <x:c r="A557" s="46" t="str">
        <x:v>LME_013</x:v>
      </x:c>
      <x:c r="B557" s="46" t="str">
        <x:v>functional_ppr_reconciled</x:v>
      </x:c>
      <x:c r="C557" s="46" t="str">
        <x:v>True</x:v>
      </x:c>
      <x:c r="D557" s="46" t="str">
        <x:v>boolean</x:v>
      </x:c>
    </x:row>
    <x:row r="558" ht="18" customHeight="1">
      <x:c r="A558" s="46" t="str">
        <x:v>LME_013</x:v>
      </x:c>
      <x:c r="B558" s="46" t="str">
        <x:v>commercial_jensen_violations</x:v>
      </x:c>
      <x:c r="C558" s="46" t="n">
        <x:v>0</x:v>
      </x:c>
      <x:c r="D558" s="46" t="str">
        <x:v>count</x:v>
      </x:c>
    </x:row>
    <x:row r="559" ht="18" customHeight="1">
      <x:c r="A559" s="46" t="str">
        <x:v>LME_013</x:v>
      </x:c>
      <x:c r="B559" s="46" t="str">
        <x:v>functional_jensen_violations</x:v>
      </x:c>
      <x:c r="C559" s="46" t="n">
        <x:v>0</x:v>
      </x:c>
      <x:c r="D559" s="46" t="str">
        <x:v>count</x:v>
      </x:c>
    </x:row>
    <x:row r="560" ht="18" customHeight="1">
      <x:c r="A560" s="46" t="str">
        <x:v>LME_014</x:v>
      </x:c>
      <x:c r="B560" s="46" t="str">
        <x:v>raw_filtered_tonnes</x:v>
      </x:c>
      <x:c r="C560" s="46" t="n">
        <x:v>1589890.9385366845</x:v>
      </x:c>
      <x:c r="D560" s="46" t="str">
        <x:v>tonnes</x:v>
      </x:c>
    </x:row>
    <x:row r="561" ht="18" customHeight="1">
      <x:c r="A561" s="46" t="str">
        <x:v>LME_014</x:v>
      </x:c>
      <x:c r="B561" s="46" t="str">
        <x:v>species_catch_tonnes</x:v>
      </x:c>
      <x:c r="C561" s="46" t="n">
        <x:v>1589890.9385366847</x:v>
      </x:c>
      <x:c r="D561" s="46" t="str">
        <x:v>tonnes</x:v>
      </x:c>
    </x:row>
    <x:row r="562" ht="18" customHeight="1">
      <x:c r="A562" s="46" t="str">
        <x:v>LME_014</x:v>
      </x:c>
      <x:c r="B562" s="46" t="str">
        <x:v>catch_difference_tonnes</x:v>
      </x:c>
      <x:c r="C562" s="46" t="n">
        <x:v>2.3283064365386963e-10</x:v>
      </x:c>
      <x:c r="D562" s="46" t="str">
        <x:v>tonnes</x:v>
      </x:c>
    </x:row>
    <x:row r="563" ht="18" customHeight="1">
      <x:c r="A563" s="46" t="str">
        <x:v>LME_014</x:v>
      </x:c>
      <x:c r="B563" s="46" t="str">
        <x:v>catch_reconciled</x:v>
      </x:c>
      <x:c r="C563" s="46" t="str">
        <x:v>True</x:v>
      </x:c>
      <x:c r="D563" s="46" t="str">
        <x:v>boolean</x:v>
      </x:c>
    </x:row>
    <x:row r="564" ht="18" customHeight="1">
      <x:c r="A564" s="46" t="str">
        <x:v>LME_014</x:v>
      </x:c>
      <x:c r="B564" s="46" t="str">
        <x:v>matched_catch_tonnes</x:v>
      </x:c>
      <x:c r="C564" s="46" t="n">
        <x:v>1589890.9385366847</x:v>
      </x:c>
      <x:c r="D564" s="46" t="str">
        <x:v>tonnes</x:v>
      </x:c>
    </x:row>
    <x:row r="565" ht="18" customHeight="1">
      <x:c r="A565" s="46" t="str">
        <x:v>LME_014</x:v>
      </x:c>
      <x:c r="B565" s="46" t="str">
        <x:v>catch_coverage_fraction</x:v>
      </x:c>
      <x:c r="C565" s="46" t="n">
        <x:v>1</x:v>
      </x:c>
      <x:c r="D565" s="46" t="str">
        <x:v>fraction</x:v>
      </x:c>
    </x:row>
    <x:row r="566" ht="18" customHeight="1">
      <x:c r="A566" s="46" t="str">
        <x:v>LME_014</x:v>
      </x:c>
      <x:c r="B566" s="46" t="str">
        <x:v>taxa_count</x:v>
      </x:c>
      <x:c r="C566" s="46" t="n">
        <x:v>195</x:v>
      </x:c>
      <x:c r="D566" s="46" t="str">
        <x:v>count</x:v>
      </x:c>
    </x:row>
    <x:row r="567" ht="18" customHeight="1">
      <x:c r="A567" s="46" t="str">
        <x:v>LME_014</x:v>
      </x:c>
      <x:c r="B567" s="46" t="str">
        <x:v>matched_taxa_count</x:v>
      </x:c>
      <x:c r="C567" s="46" t="n">
        <x:v>195</x:v>
      </x:c>
      <x:c r="D567" s="46" t="str">
        <x:v>count</x:v>
      </x:c>
    </x:row>
    <x:row r="568" ht="18" customHeight="1">
      <x:c r="A568" s="46" t="str">
        <x:v>LME_014</x:v>
      </x:c>
      <x:c r="B568" s="46" t="str">
        <x:v>unmatched_taxa_count</x:v>
      </x:c>
      <x:c r="C568" s="46" t="n">
        <x:v>0</x:v>
      </x:c>
      <x:c r="D568" s="46" t="str">
        <x:v>count</x:v>
      </x:c>
    </x:row>
    <x:row r="569" ht="18" customHeight="1">
      <x:c r="A569" s="46" t="str">
        <x:v>LME_014</x:v>
      </x:c>
      <x:c r="B569" s="46" t="str">
        <x:v>species_ppr</x:v>
      </x:c>
      <x:c r="C569" s="46" t="n">
        <x:v>1391657718.08254</x:v>
      </x:c>
      <x:c r="D569" s="46" t="str">
        <x:v>tonnes_primary_production_equivalent</x:v>
      </x:c>
    </x:row>
    <x:row r="570" ht="18" customHeight="1">
      <x:c r="A570" s="46" t="str">
        <x:v>LME_014</x:v>
      </x:c>
      <x:c r="B570" s="46" t="str">
        <x:v>commercial_ppr</x:v>
      </x:c>
      <x:c r="C570" s="46" t="n">
        <x:v>1391657718.0825403</x:v>
      </x:c>
      <x:c r="D570" s="46" t="str">
        <x:v>tonnes_primary_production_equivalent</x:v>
      </x:c>
    </x:row>
    <x:row r="571" ht="18" customHeight="1">
      <x:c r="A571" s="46" t="str">
        <x:v>LME_014</x:v>
      </x:c>
      <x:c r="B571" s="46" t="str">
        <x:v>functional_ppr</x:v>
      </x:c>
      <x:c r="C571" s="46" t="n">
        <x:v>1391657718.08254</x:v>
      </x:c>
      <x:c r="D571" s="46" t="str">
        <x:v>tonnes_primary_production_equivalent</x:v>
      </x:c>
    </x:row>
    <x:row r="572" ht="18" customHeight="1">
      <x:c r="A572" s="46" t="str">
        <x:v>LME_014</x:v>
      </x:c>
      <x:c r="B572" s="46" t="str">
        <x:v>commercial_ppr_difference</x:v>
      </x:c>
      <x:c r="C572" s="46" t="n">
        <x:v>2.384185791015625e-7</x:v>
      </x:c>
      <x:c r="D572" s="46" t="str">
        <x:v>tonnes_primary_production_equivalent</x:v>
      </x:c>
    </x:row>
    <x:row r="573" ht="18" customHeight="1">
      <x:c r="A573" s="46" t="str">
        <x:v>LME_014</x:v>
      </x:c>
      <x:c r="B573" s="46" t="str">
        <x:v>functional_ppr_difference</x:v>
      </x:c>
      <x:c r="C573" s="46" t="n">
        <x:v>0</x:v>
      </x:c>
      <x:c r="D573" s="46" t="str">
        <x:v>tonnes_primary_production_equivalent</x:v>
      </x:c>
    </x:row>
    <x:row r="574" ht="18" customHeight="1">
      <x:c r="A574" s="46" t="str">
        <x:v>LME_014</x:v>
      </x:c>
      <x:c r="B574" s="46" t="str">
        <x:v>commercial_ppr_reconciled</x:v>
      </x:c>
      <x:c r="C574" s="46" t="str">
        <x:v>True</x:v>
      </x:c>
      <x:c r="D574" s="46" t="str">
        <x:v>boolean</x:v>
      </x:c>
    </x:row>
    <x:row r="575" ht="18" customHeight="1">
      <x:c r="A575" s="46" t="str">
        <x:v>LME_014</x:v>
      </x:c>
      <x:c r="B575" s="46" t="str">
        <x:v>functional_ppr_reconciled</x:v>
      </x:c>
      <x:c r="C575" s="46" t="str">
        <x:v>True</x:v>
      </x:c>
      <x:c r="D575" s="46" t="str">
        <x:v>boolean</x:v>
      </x:c>
    </x:row>
    <x:row r="576" ht="18" customHeight="1">
      <x:c r="A576" s="46" t="str">
        <x:v>LME_014</x:v>
      </x:c>
      <x:c r="B576" s="46" t="str">
        <x:v>commercial_jensen_violations</x:v>
      </x:c>
      <x:c r="C576" s="46" t="n">
        <x:v>0</x:v>
      </x:c>
      <x:c r="D576" s="46" t="str">
        <x:v>count</x:v>
      </x:c>
    </x:row>
    <x:row r="577" ht="18" customHeight="1">
      <x:c r="A577" s="46" t="str">
        <x:v>LME_014</x:v>
      </x:c>
      <x:c r="B577" s="46" t="str">
        <x:v>functional_jensen_violations</x:v>
      </x:c>
      <x:c r="C577" s="46" t="n">
        <x:v>0</x:v>
      </x:c>
      <x:c r="D577" s="46" t="str">
        <x:v>count</x:v>
      </x:c>
    </x:row>
    <x:row r="578" ht="18" customHeight="1">
      <x:c r="A578" s="46" t="str">
        <x:v>LME_015</x:v>
      </x:c>
      <x:c r="B578" s="46" t="str">
        <x:v>raw_filtered_tonnes</x:v>
      </x:c>
      <x:c r="C578" s="46" t="n">
        <x:v>292432.0999772061</x:v>
      </x:c>
      <x:c r="D578" s="46" t="str">
        <x:v>tonnes</x:v>
      </x:c>
    </x:row>
    <x:row r="579" ht="18" customHeight="1">
      <x:c r="A579" s="46" t="str">
        <x:v>LME_015</x:v>
      </x:c>
      <x:c r="B579" s="46" t="str">
        <x:v>species_catch_tonnes</x:v>
      </x:c>
      <x:c r="C579" s="46" t="n">
        <x:v>292432.0999772061</x:v>
      </x:c>
      <x:c r="D579" s="46" t="str">
        <x:v>tonnes</x:v>
      </x:c>
    </x:row>
    <x:row r="580" ht="18" customHeight="1">
      <x:c r="A580" s="46" t="str">
        <x:v>LME_015</x:v>
      </x:c>
      <x:c r="B580" s="46" t="str">
        <x:v>catch_difference_tonnes</x:v>
      </x:c>
      <x:c r="C580" s="46" t="n">
        <x:v>0</x:v>
      </x:c>
      <x:c r="D580" s="46" t="str">
        <x:v>tonnes</x:v>
      </x:c>
    </x:row>
    <x:row r="581" ht="18" customHeight="1">
      <x:c r="A581" s="46" t="str">
        <x:v>LME_015</x:v>
      </x:c>
      <x:c r="B581" s="46" t="str">
        <x:v>catch_reconciled</x:v>
      </x:c>
      <x:c r="C581" s="46" t="str">
        <x:v>True</x:v>
      </x:c>
      <x:c r="D581" s="46" t="str">
        <x:v>boolean</x:v>
      </x:c>
    </x:row>
    <x:row r="582" ht="18" customHeight="1">
      <x:c r="A582" s="46" t="str">
        <x:v>LME_015</x:v>
      </x:c>
      <x:c r="B582" s="46" t="str">
        <x:v>matched_catch_tonnes</x:v>
      </x:c>
      <x:c r="C582" s="46" t="n">
        <x:v>292432.0999772061</x:v>
      </x:c>
      <x:c r="D582" s="46" t="str">
        <x:v>tonnes</x:v>
      </x:c>
    </x:row>
    <x:row r="583" ht="18" customHeight="1">
      <x:c r="A583" s="46" t="str">
        <x:v>LME_015</x:v>
      </x:c>
      <x:c r="B583" s="46" t="str">
        <x:v>catch_coverage_fraction</x:v>
      </x:c>
      <x:c r="C583" s="46" t="n">
        <x:v>1</x:v>
      </x:c>
      <x:c r="D583" s="46" t="str">
        <x:v>fraction</x:v>
      </x:c>
    </x:row>
    <x:row r="584" ht="18" customHeight="1">
      <x:c r="A584" s="46" t="str">
        <x:v>LME_015</x:v>
      </x:c>
      <x:c r="B584" s="46" t="str">
        <x:v>taxa_count</x:v>
      </x:c>
      <x:c r="C584" s="46" t="n">
        <x:v>264</x:v>
      </x:c>
      <x:c r="D584" s="46" t="str">
        <x:v>count</x:v>
      </x:c>
    </x:row>
    <x:row r="585" ht="18" customHeight="1">
      <x:c r="A585" s="46" t="str">
        <x:v>LME_015</x:v>
      </x:c>
      <x:c r="B585" s="46" t="str">
        <x:v>matched_taxa_count</x:v>
      </x:c>
      <x:c r="C585" s="46" t="n">
        <x:v>264</x:v>
      </x:c>
      <x:c r="D585" s="46" t="str">
        <x:v>count</x:v>
      </x:c>
    </x:row>
    <x:row r="586" ht="18" customHeight="1">
      <x:c r="A586" s="46" t="str">
        <x:v>LME_015</x:v>
      </x:c>
      <x:c r="B586" s="46" t="str">
        <x:v>unmatched_taxa_count</x:v>
      </x:c>
      <x:c r="C586" s="46" t="n">
        <x:v>0</x:v>
      </x:c>
      <x:c r="D586" s="46" t="str">
        <x:v>count</x:v>
      </x:c>
    </x:row>
    <x:row r="587" ht="18" customHeight="1">
      <x:c r="A587" s="46" t="str">
        <x:v>LME_015</x:v>
      </x:c>
      <x:c r="B587" s="46" t="str">
        <x:v>species_ppr</x:v>
      </x:c>
      <x:c r="C587" s="46" t="n">
        <x:v>226590038.89243433</x:v>
      </x:c>
      <x:c r="D587" s="46" t="str">
        <x:v>tonnes_primary_production_equivalent</x:v>
      </x:c>
    </x:row>
    <x:row r="588" ht="18" customHeight="1">
      <x:c r="A588" s="46" t="str">
        <x:v>LME_015</x:v>
      </x:c>
      <x:c r="B588" s="46" t="str">
        <x:v>commercial_ppr</x:v>
      </x:c>
      <x:c r="C588" s="46" t="n">
        <x:v>226590038.8924343</x:v>
      </x:c>
      <x:c r="D588" s="46" t="str">
        <x:v>tonnes_primary_production_equivalent</x:v>
      </x:c>
    </x:row>
    <x:row r="589" ht="18" customHeight="1">
      <x:c r="A589" s="46" t="str">
        <x:v>LME_015</x:v>
      </x:c>
      <x:c r="B589" s="46" t="str">
        <x:v>functional_ppr</x:v>
      </x:c>
      <x:c r="C589" s="46" t="n">
        <x:v>226590038.8924343</x:v>
      </x:c>
      <x:c r="D589" s="46" t="str">
        <x:v>tonnes_primary_production_equivalent</x:v>
      </x:c>
    </x:row>
    <x:row r="590" ht="18" customHeight="1">
      <x:c r="A590" s="46" t="str">
        <x:v>LME_015</x:v>
      </x:c>
      <x:c r="B590" s="46" t="str">
        <x:v>commercial_ppr_difference</x:v>
      </x:c>
      <x:c r="C590" s="46" t="n">
        <x:v>-2.9802322387695312e-8</x:v>
      </x:c>
      <x:c r="D590" s="46" t="str">
        <x:v>tonnes_primary_production_equivalent</x:v>
      </x:c>
    </x:row>
    <x:row r="591" ht="18" customHeight="1">
      <x:c r="A591" s="46" t="str">
        <x:v>LME_015</x:v>
      </x:c>
      <x:c r="B591" s="46" t="str">
        <x:v>functional_ppr_difference</x:v>
      </x:c>
      <x:c r="C591" s="46" t="n">
        <x:v>-2.9802322387695312e-8</x:v>
      </x:c>
      <x:c r="D591" s="46" t="str">
        <x:v>tonnes_primary_production_equivalent</x:v>
      </x:c>
    </x:row>
    <x:row r="592" ht="18" customHeight="1">
      <x:c r="A592" s="46" t="str">
        <x:v>LME_015</x:v>
      </x:c>
      <x:c r="B592" s="46" t="str">
        <x:v>commercial_ppr_reconciled</x:v>
      </x:c>
      <x:c r="C592" s="46" t="str">
        <x:v>True</x:v>
      </x:c>
      <x:c r="D592" s="46" t="str">
        <x:v>boolean</x:v>
      </x:c>
    </x:row>
    <x:row r="593" ht="18" customHeight="1">
      <x:c r="A593" s="46" t="str">
        <x:v>LME_015</x:v>
      </x:c>
      <x:c r="B593" s="46" t="str">
        <x:v>functional_ppr_reconciled</x:v>
      </x:c>
      <x:c r="C593" s="46" t="str">
        <x:v>True</x:v>
      </x:c>
      <x:c r="D593" s="46" t="str">
        <x:v>boolean</x:v>
      </x:c>
    </x:row>
    <x:row r="594" ht="18" customHeight="1">
      <x:c r="A594" s="46" t="str">
        <x:v>LME_015</x:v>
      </x:c>
      <x:c r="B594" s="46" t="str">
        <x:v>commercial_jensen_violations</x:v>
      </x:c>
      <x:c r="C594" s="46" t="n">
        <x:v>0</x:v>
      </x:c>
      <x:c r="D594" s="46" t="str">
        <x:v>count</x:v>
      </x:c>
    </x:row>
    <x:row r="595" ht="18" customHeight="1">
      <x:c r="A595" s="46" t="str">
        <x:v>LME_015</x:v>
      </x:c>
      <x:c r="B595" s="46" t="str">
        <x:v>functional_jensen_violations</x:v>
      </x:c>
      <x:c r="C595" s="46" t="n">
        <x:v>0</x:v>
      </x:c>
      <x:c r="D595" s="46" t="str">
        <x:v>count</x:v>
      </x:c>
    </x:row>
    <x:row r="596" ht="18" customHeight="1">
      <x:c r="A596" s="46" t="str">
        <x:v>LME_016</x:v>
      </x:c>
      <x:c r="B596" s="46" t="str">
        <x:v>raw_filtered_tonnes</x:v>
      </x:c>
      <x:c r="C596" s="46" t="n">
        <x:v>306003.2887419415</x:v>
      </x:c>
      <x:c r="D596" s="46" t="str">
        <x:v>tonnes</x:v>
      </x:c>
    </x:row>
    <x:row r="597" ht="18" customHeight="1">
      <x:c r="A597" s="46" t="str">
        <x:v>LME_016</x:v>
      </x:c>
      <x:c r="B597" s="46" t="str">
        <x:v>species_catch_tonnes</x:v>
      </x:c>
      <x:c r="C597" s="46" t="n">
        <x:v>306003.2887419415</x:v>
      </x:c>
      <x:c r="D597" s="46" t="str">
        <x:v>tonnes</x:v>
      </x:c>
    </x:row>
    <x:row r="598" ht="18" customHeight="1">
      <x:c r="A598" s="46" t="str">
        <x:v>LME_016</x:v>
      </x:c>
      <x:c r="B598" s="46" t="str">
        <x:v>catch_difference_tonnes</x:v>
      </x:c>
      <x:c r="C598" s="46" t="n">
        <x:v>0</x:v>
      </x:c>
      <x:c r="D598" s="46" t="str">
        <x:v>tonnes</x:v>
      </x:c>
    </x:row>
    <x:row r="599" ht="18" customHeight="1">
      <x:c r="A599" s="46" t="str">
        <x:v>LME_016</x:v>
      </x:c>
      <x:c r="B599" s="46" t="str">
        <x:v>catch_reconciled</x:v>
      </x:c>
      <x:c r="C599" s="46" t="str">
        <x:v>True</x:v>
      </x:c>
      <x:c r="D599" s="46" t="str">
        <x:v>boolean</x:v>
      </x:c>
    </x:row>
    <x:row r="600" ht="18" customHeight="1">
      <x:c r="A600" s="46" t="str">
        <x:v>LME_016</x:v>
      </x:c>
      <x:c r="B600" s="46" t="str">
        <x:v>matched_catch_tonnes</x:v>
      </x:c>
      <x:c r="C600" s="46" t="n">
        <x:v>306003.2887419415</x:v>
      </x:c>
      <x:c r="D600" s="46" t="str">
        <x:v>tonnes</x:v>
      </x:c>
    </x:row>
    <x:row r="601" ht="18" customHeight="1">
      <x:c r="A601" s="46" t="str">
        <x:v>LME_016</x:v>
      </x:c>
      <x:c r="B601" s="46" t="str">
        <x:v>catch_coverage_fraction</x:v>
      </x:c>
      <x:c r="C601" s="46" t="n">
        <x:v>1</x:v>
      </x:c>
      <x:c r="D601" s="46" t="str">
        <x:v>fraction</x:v>
      </x:c>
    </x:row>
    <x:row r="602" ht="18" customHeight="1">
      <x:c r="A602" s="46" t="str">
        <x:v>LME_016</x:v>
      </x:c>
      <x:c r="B602" s="46" t="str">
        <x:v>taxa_count</x:v>
      </x:c>
      <x:c r="C602" s="46" t="n">
        <x:v>254</x:v>
      </x:c>
      <x:c r="D602" s="46" t="str">
        <x:v>count</x:v>
      </x:c>
    </x:row>
    <x:row r="603" ht="18" customHeight="1">
      <x:c r="A603" s="46" t="str">
        <x:v>LME_016</x:v>
      </x:c>
      <x:c r="B603" s="46" t="str">
        <x:v>matched_taxa_count</x:v>
      </x:c>
      <x:c r="C603" s="46" t="n">
        <x:v>254</x:v>
      </x:c>
      <x:c r="D603" s="46" t="str">
        <x:v>count</x:v>
      </x:c>
    </x:row>
    <x:row r="604" ht="18" customHeight="1">
      <x:c r="A604" s="46" t="str">
        <x:v>LME_016</x:v>
      </x:c>
      <x:c r="B604" s="46" t="str">
        <x:v>unmatched_taxa_count</x:v>
      </x:c>
      <x:c r="C604" s="46" t="n">
        <x:v>0</x:v>
      </x:c>
      <x:c r="D604" s="46" t="str">
        <x:v>count</x:v>
      </x:c>
    </x:row>
    <x:row r="605" ht="18" customHeight="1">
      <x:c r="A605" s="46" t="str">
        <x:v>LME_016</x:v>
      </x:c>
      <x:c r="B605" s="46" t="str">
        <x:v>species_ppr</x:v>
      </x:c>
      <x:c r="C605" s="46" t="n">
        <x:v>201658143.7250421</x:v>
      </x:c>
      <x:c r="D605" s="46" t="str">
        <x:v>tonnes_primary_production_equivalent</x:v>
      </x:c>
    </x:row>
    <x:row r="606" ht="18" customHeight="1">
      <x:c r="A606" s="46" t="str">
        <x:v>LME_016</x:v>
      </x:c>
      <x:c r="B606" s="46" t="str">
        <x:v>commercial_ppr</x:v>
      </x:c>
      <x:c r="C606" s="46" t="n">
        <x:v>201658143.72504207</x:v>
      </x:c>
      <x:c r="D606" s="46" t="str">
        <x:v>tonnes_primary_production_equivalent</x:v>
      </x:c>
    </x:row>
    <x:row r="607" ht="18" customHeight="1">
      <x:c r="A607" s="46" t="str">
        <x:v>LME_016</x:v>
      </x:c>
      <x:c r="B607" s="46" t="str">
        <x:v>functional_ppr</x:v>
      </x:c>
      <x:c r="C607" s="46" t="n">
        <x:v>201658143.72504207</x:v>
      </x:c>
      <x:c r="D607" s="46" t="str">
        <x:v>tonnes_primary_production_equivalent</x:v>
      </x:c>
    </x:row>
    <x:row r="608" ht="18" customHeight="1">
      <x:c r="A608" s="46" t="str">
        <x:v>LME_016</x:v>
      </x:c>
      <x:c r="B608" s="46" t="str">
        <x:v>commercial_ppr_difference</x:v>
      </x:c>
      <x:c r="C608" s="46" t="n">
        <x:v>-2.9802322387695312e-8</x:v>
      </x:c>
      <x:c r="D608" s="46" t="str">
        <x:v>tonnes_primary_production_equivalent</x:v>
      </x:c>
    </x:row>
    <x:row r="609" ht="18" customHeight="1">
      <x:c r="A609" s="46" t="str">
        <x:v>LME_016</x:v>
      </x:c>
      <x:c r="B609" s="46" t="str">
        <x:v>functional_ppr_difference</x:v>
      </x:c>
      <x:c r="C609" s="46" t="n">
        <x:v>-2.9802322387695312e-8</x:v>
      </x:c>
      <x:c r="D609" s="46" t="str">
        <x:v>tonnes_primary_production_equivalent</x:v>
      </x:c>
    </x:row>
    <x:row r="610" ht="18" customHeight="1">
      <x:c r="A610" s="46" t="str">
        <x:v>LME_016</x:v>
      </x:c>
      <x:c r="B610" s="46" t="str">
        <x:v>commercial_ppr_reconciled</x:v>
      </x:c>
      <x:c r="C610" s="46" t="str">
        <x:v>True</x:v>
      </x:c>
      <x:c r="D610" s="46" t="str">
        <x:v>boolean</x:v>
      </x:c>
    </x:row>
    <x:row r="611" ht="18" customHeight="1">
      <x:c r="A611" s="46" t="str">
        <x:v>LME_016</x:v>
      </x:c>
      <x:c r="B611" s="46" t="str">
        <x:v>functional_ppr_reconciled</x:v>
      </x:c>
      <x:c r="C611" s="46" t="str">
        <x:v>True</x:v>
      </x:c>
      <x:c r="D611" s="46" t="str">
        <x:v>boolean</x:v>
      </x:c>
    </x:row>
    <x:row r="612" ht="18" customHeight="1">
      <x:c r="A612" s="46" t="str">
        <x:v>LME_016</x:v>
      </x:c>
      <x:c r="B612" s="46" t="str">
        <x:v>commercial_jensen_violations</x:v>
      </x:c>
      <x:c r="C612" s="46" t="n">
        <x:v>0</x:v>
      </x:c>
      <x:c r="D612" s="46" t="str">
        <x:v>count</x:v>
      </x:c>
    </x:row>
    <x:row r="613" ht="18" customHeight="1">
      <x:c r="A613" s="46" t="str">
        <x:v>LME_016</x:v>
      </x:c>
      <x:c r="B613" s="46" t="str">
        <x:v>functional_jensen_violations</x:v>
      </x:c>
      <x:c r="C613" s="46" t="n">
        <x:v>0</x:v>
      </x:c>
      <x:c r="D613" s="46" t="str">
        <x:v>count</x:v>
      </x:c>
    </x:row>
    <x:row r="614" ht="18" customHeight="1">
      <x:c r="A614" s="46" t="str">
        <x:v>LME_017</x:v>
      </x:c>
      <x:c r="B614" s="46" t="str">
        <x:v>raw_filtered_tonnes</x:v>
      </x:c>
      <x:c r="C614" s="46" t="n">
        <x:v>453226.0308527972</x:v>
      </x:c>
      <x:c r="D614" s="46" t="str">
        <x:v>tonnes</x:v>
      </x:c>
    </x:row>
    <x:row r="615" ht="18" customHeight="1">
      <x:c r="A615" s="46" t="str">
        <x:v>LME_017</x:v>
      </x:c>
      <x:c r="B615" s="46" t="str">
        <x:v>species_catch_tonnes</x:v>
      </x:c>
      <x:c r="C615" s="46" t="n">
        <x:v>453226.03085279715</x:v>
      </x:c>
      <x:c r="D615" s="46" t="str">
        <x:v>tonnes</x:v>
      </x:c>
    </x:row>
    <x:row r="616" ht="18" customHeight="1">
      <x:c r="A616" s="46" t="str">
        <x:v>LME_017</x:v>
      </x:c>
      <x:c r="B616" s="46" t="str">
        <x:v>catch_difference_tonnes</x:v>
      </x:c>
      <x:c r="C616" s="46" t="n">
        <x:v>-5.820766091346741e-11</x:v>
      </x:c>
      <x:c r="D616" s="46" t="str">
        <x:v>tonnes</x:v>
      </x:c>
    </x:row>
    <x:row r="617" ht="18" customHeight="1">
      <x:c r="A617" s="46" t="str">
        <x:v>LME_017</x:v>
      </x:c>
      <x:c r="B617" s="46" t="str">
        <x:v>catch_reconciled</x:v>
      </x:c>
      <x:c r="C617" s="46" t="str">
        <x:v>True</x:v>
      </x:c>
      <x:c r="D617" s="46" t="str">
        <x:v>boolean</x:v>
      </x:c>
    </x:row>
    <x:row r="618" ht="18" customHeight="1">
      <x:c r="A618" s="46" t="str">
        <x:v>LME_017</x:v>
      </x:c>
      <x:c r="B618" s="46" t="str">
        <x:v>matched_catch_tonnes</x:v>
      </x:c>
      <x:c r="C618" s="46" t="n">
        <x:v>453226.03085279715</x:v>
      </x:c>
      <x:c r="D618" s="46" t="str">
        <x:v>tonnes</x:v>
      </x:c>
    </x:row>
    <x:row r="619" ht="18" customHeight="1">
      <x:c r="A619" s="46" t="str">
        <x:v>LME_017</x:v>
      </x:c>
      <x:c r="B619" s="46" t="str">
        <x:v>catch_coverage_fraction</x:v>
      </x:c>
      <x:c r="C619" s="46" t="n">
        <x:v>1</x:v>
      </x:c>
      <x:c r="D619" s="46" t="str">
        <x:v>fraction</x:v>
      </x:c>
    </x:row>
    <x:row r="620" ht="18" customHeight="1">
      <x:c r="A620" s="46" t="str">
        <x:v>LME_017</x:v>
      </x:c>
      <x:c r="B620" s="46" t="str">
        <x:v>taxa_count</x:v>
      </x:c>
      <x:c r="C620" s="46" t="n">
        <x:v>311</x:v>
      </x:c>
      <x:c r="D620" s="46" t="str">
        <x:v>count</x:v>
      </x:c>
    </x:row>
    <x:row r="621" ht="18" customHeight="1">
      <x:c r="A621" s="46" t="str">
        <x:v>LME_017</x:v>
      </x:c>
      <x:c r="B621" s="46" t="str">
        <x:v>matched_taxa_count</x:v>
      </x:c>
      <x:c r="C621" s="46" t="n">
        <x:v>311</x:v>
      </x:c>
      <x:c r="D621" s="46" t="str">
        <x:v>count</x:v>
      </x:c>
    </x:row>
    <x:row r="622" ht="18" customHeight="1">
      <x:c r="A622" s="46" t="str">
        <x:v>LME_017</x:v>
      </x:c>
      <x:c r="B622" s="46" t="str">
        <x:v>unmatched_taxa_count</x:v>
      </x:c>
      <x:c r="C622" s="46" t="n">
        <x:v>0</x:v>
      </x:c>
      <x:c r="D622" s="46" t="str">
        <x:v>count</x:v>
      </x:c>
    </x:row>
    <x:row r="623" ht="18" customHeight="1">
      <x:c r="A623" s="46" t="str">
        <x:v>LME_017</x:v>
      </x:c>
      <x:c r="B623" s="46" t="str">
        <x:v>species_ppr</x:v>
      </x:c>
      <x:c r="C623" s="46" t="n">
        <x:v>292573328.34463125</x:v>
      </x:c>
      <x:c r="D623" s="46" t="str">
        <x:v>tonnes_primary_production_equivalent</x:v>
      </x:c>
    </x:row>
    <x:row r="624" ht="18" customHeight="1">
      <x:c r="A624" s="46" t="str">
        <x:v>LME_017</x:v>
      </x:c>
      <x:c r="B624" s="46" t="str">
        <x:v>commercial_ppr</x:v>
      </x:c>
      <x:c r="C624" s="46" t="n">
        <x:v>292573328.3446312</x:v>
      </x:c>
      <x:c r="D624" s="46" t="str">
        <x:v>tonnes_primary_production_equivalent</x:v>
      </x:c>
    </x:row>
    <x:row r="625" ht="18" customHeight="1">
      <x:c r="A625" s="46" t="str">
        <x:v>LME_017</x:v>
      </x:c>
      <x:c r="B625" s="46" t="str">
        <x:v>functional_ppr</x:v>
      </x:c>
      <x:c r="C625" s="46" t="n">
        <x:v>292573328.3446312</x:v>
      </x:c>
      <x:c r="D625" s="46" t="str">
        <x:v>tonnes_primary_production_equivalent</x:v>
      </x:c>
    </x:row>
    <x:row r="626" ht="18" customHeight="1">
      <x:c r="A626" s="46" t="str">
        <x:v>LME_017</x:v>
      </x:c>
      <x:c r="B626" s="46" t="str">
        <x:v>commercial_ppr_difference</x:v>
      </x:c>
      <x:c r="C626" s="46" t="n">
        <x:v>-5.960464477539063e-8</x:v>
      </x:c>
      <x:c r="D626" s="46" t="str">
        <x:v>tonnes_primary_production_equivalent</x:v>
      </x:c>
    </x:row>
    <x:row r="627" ht="18" customHeight="1">
      <x:c r="A627" s="46" t="str">
        <x:v>LME_017</x:v>
      </x:c>
      <x:c r="B627" s="46" t="str">
        <x:v>functional_ppr_difference</x:v>
      </x:c>
      <x:c r="C627" s="46" t="n">
        <x:v>-5.960464477539063e-8</x:v>
      </x:c>
      <x:c r="D627" s="46" t="str">
        <x:v>tonnes_primary_production_equivalent</x:v>
      </x:c>
    </x:row>
    <x:row r="628" ht="18" customHeight="1">
      <x:c r="A628" s="46" t="str">
        <x:v>LME_017</x:v>
      </x:c>
      <x:c r="B628" s="46" t="str">
        <x:v>commercial_ppr_reconciled</x:v>
      </x:c>
      <x:c r="C628" s="46" t="str">
        <x:v>True</x:v>
      </x:c>
      <x:c r="D628" s="46" t="str">
        <x:v>boolean</x:v>
      </x:c>
    </x:row>
    <x:row r="629" ht="18" customHeight="1">
      <x:c r="A629" s="46" t="str">
        <x:v>LME_017</x:v>
      </x:c>
      <x:c r="B629" s="46" t="str">
        <x:v>functional_ppr_reconciled</x:v>
      </x:c>
      <x:c r="C629" s="46" t="str">
        <x:v>True</x:v>
      </x:c>
      <x:c r="D629" s="46" t="str">
        <x:v>boolean</x:v>
      </x:c>
    </x:row>
    <x:row r="630" ht="18" customHeight="1">
      <x:c r="A630" s="46" t="str">
        <x:v>LME_017</x:v>
      </x:c>
      <x:c r="B630" s="46" t="str">
        <x:v>commercial_jensen_violations</x:v>
      </x:c>
      <x:c r="C630" s="46" t="n">
        <x:v>0</x:v>
      </x:c>
      <x:c r="D630" s="46" t="str">
        <x:v>count</x:v>
      </x:c>
    </x:row>
    <x:row r="631" ht="18" customHeight="1">
      <x:c r="A631" s="46" t="str">
        <x:v>LME_017</x:v>
      </x:c>
      <x:c r="B631" s="46" t="str">
        <x:v>functional_jensen_violations</x:v>
      </x:c>
      <x:c r="C631" s="46" t="n">
        <x:v>0</x:v>
      </x:c>
      <x:c r="D631" s="46" t="str">
        <x:v>count</x:v>
      </x:c>
    </x:row>
    <x:row r="632" ht="18" customHeight="1">
      <x:c r="A632" s="46" t="str">
        <x:v>LME_018</x:v>
      </x:c>
      <x:c r="B632" s="46" t="str">
        <x:v>raw_filtered_tonnes</x:v>
      </x:c>
      <x:c r="C632" s="46" t="n">
        <x:v>219045.6241691814</x:v>
      </x:c>
      <x:c r="D632" s="46" t="str">
        <x:v>tonnes</x:v>
      </x:c>
    </x:row>
    <x:row r="633" ht="18" customHeight="1">
      <x:c r="A633" s="46" t="str">
        <x:v>LME_018</x:v>
      </x:c>
      <x:c r="B633" s="46" t="str">
        <x:v>species_catch_tonnes</x:v>
      </x:c>
      <x:c r="C633" s="46" t="n">
        <x:v>219045.62416918142</x:v>
      </x:c>
      <x:c r="D633" s="46" t="str">
        <x:v>tonnes</x:v>
      </x:c>
    </x:row>
    <x:row r="634" ht="18" customHeight="1">
      <x:c r="A634" s="46" t="str">
        <x:v>LME_018</x:v>
      </x:c>
      <x:c r="B634" s="46" t="str">
        <x:v>catch_difference_tonnes</x:v>
      </x:c>
      <x:c r="C634" s="46" t="n">
        <x:v>2.9103830456733704e-11</x:v>
      </x:c>
      <x:c r="D634" s="46" t="str">
        <x:v>tonnes</x:v>
      </x:c>
    </x:row>
    <x:row r="635" ht="18" customHeight="1">
      <x:c r="A635" s="46" t="str">
        <x:v>LME_018</x:v>
      </x:c>
      <x:c r="B635" s="46" t="str">
        <x:v>catch_reconciled</x:v>
      </x:c>
      <x:c r="C635" s="46" t="str">
        <x:v>True</x:v>
      </x:c>
      <x:c r="D635" s="46" t="str">
        <x:v>boolean</x:v>
      </x:c>
    </x:row>
    <x:row r="636" ht="18" customHeight="1">
      <x:c r="A636" s="46" t="str">
        <x:v>LME_018</x:v>
      </x:c>
      <x:c r="B636" s="46" t="str">
        <x:v>matched_catch_tonnes</x:v>
      </x:c>
      <x:c r="C636" s="46" t="n">
        <x:v>219045.62416918142</x:v>
      </x:c>
      <x:c r="D636" s="46" t="str">
        <x:v>tonnes</x:v>
      </x:c>
    </x:row>
    <x:row r="637" ht="18" customHeight="1">
      <x:c r="A637" s="46" t="str">
        <x:v>LME_018</x:v>
      </x:c>
      <x:c r="B637" s="46" t="str">
        <x:v>catch_coverage_fraction</x:v>
      </x:c>
      <x:c r="C637" s="46" t="n">
        <x:v>1</x:v>
      </x:c>
      <x:c r="D637" s="46" t="str">
        <x:v>fraction</x:v>
      </x:c>
    </x:row>
    <x:row r="638" ht="18" customHeight="1">
      <x:c r="A638" s="46" t="str">
        <x:v>LME_018</x:v>
      </x:c>
      <x:c r="B638" s="46" t="str">
        <x:v>taxa_count</x:v>
      </x:c>
      <x:c r="C638" s="46" t="n">
        <x:v>61</x:v>
      </x:c>
      <x:c r="D638" s="46" t="str">
        <x:v>count</x:v>
      </x:c>
    </x:row>
    <x:row r="639" ht="18" customHeight="1">
      <x:c r="A639" s="46" t="str">
        <x:v>LME_018</x:v>
      </x:c>
      <x:c r="B639" s="46" t="str">
        <x:v>matched_taxa_count</x:v>
      </x:c>
      <x:c r="C639" s="46" t="n">
        <x:v>61</x:v>
      </x:c>
      <x:c r="D639" s="46" t="str">
        <x:v>count</x:v>
      </x:c>
    </x:row>
    <x:row r="640" ht="18" customHeight="1">
      <x:c r="A640" s="46" t="str">
        <x:v>LME_018</x:v>
      </x:c>
      <x:c r="B640" s="46" t="str">
        <x:v>unmatched_taxa_count</x:v>
      </x:c>
      <x:c r="C640" s="46" t="n">
        <x:v>0</x:v>
      </x:c>
      <x:c r="D640" s="46" t="str">
        <x:v>count</x:v>
      </x:c>
    </x:row>
    <x:row r="641" ht="18" customHeight="1">
      <x:c r="A641" s="46" t="str">
        <x:v>LME_018</x:v>
      </x:c>
      <x:c r="B641" s="46" t="str">
        <x:v>species_ppr</x:v>
      </x:c>
      <x:c r="C641" s="46" t="n">
        <x:v>208696707.97660503</x:v>
      </x:c>
      <x:c r="D641" s="46" t="str">
        <x:v>tonnes_primary_production_equivalent</x:v>
      </x:c>
    </x:row>
    <x:row r="642" ht="18" customHeight="1">
      <x:c r="A642" s="46" t="str">
        <x:v>LME_018</x:v>
      </x:c>
      <x:c r="B642" s="46" t="str">
        <x:v>commercial_ppr</x:v>
      </x:c>
      <x:c r="C642" s="46" t="n">
        <x:v>208696707.97660506</x:v>
      </x:c>
      <x:c r="D642" s="46" t="str">
        <x:v>tonnes_primary_production_equivalent</x:v>
      </x:c>
    </x:row>
    <x:row r="643" ht="18" customHeight="1">
      <x:c r="A643" s="46" t="str">
        <x:v>LME_018</x:v>
      </x:c>
      <x:c r="B643" s="46" t="str">
        <x:v>functional_ppr</x:v>
      </x:c>
      <x:c r="C643" s="46" t="n">
        <x:v>208696707.976605</x:v>
      </x:c>
      <x:c r="D643" s="46" t="str">
        <x:v>tonnes_primary_production_equivalent</x:v>
      </x:c>
    </x:row>
    <x:row r="644" ht="18" customHeight="1">
      <x:c r="A644" s="46" t="str">
        <x:v>LME_018</x:v>
      </x:c>
      <x:c r="B644" s="46" t="str">
        <x:v>commercial_ppr_difference</x:v>
      </x:c>
      <x:c r="C644" s="46" t="n">
        <x:v>2.9802322387695312e-8</x:v>
      </x:c>
      <x:c r="D644" s="46" t="str">
        <x:v>tonnes_primary_production_equivalent</x:v>
      </x:c>
    </x:row>
    <x:row r="645" ht="18" customHeight="1">
      <x:c r="A645" s="46" t="str">
        <x:v>LME_018</x:v>
      </x:c>
      <x:c r="B645" s="46" t="str">
        <x:v>functional_ppr_difference</x:v>
      </x:c>
      <x:c r="C645" s="46" t="n">
        <x:v>-2.9802322387695312e-8</x:v>
      </x:c>
      <x:c r="D645" s="46" t="str">
        <x:v>tonnes_primary_production_equivalent</x:v>
      </x:c>
    </x:row>
    <x:row r="646" ht="18" customHeight="1">
      <x:c r="A646" s="46" t="str">
        <x:v>LME_018</x:v>
      </x:c>
      <x:c r="B646" s="46" t="str">
        <x:v>commercial_ppr_reconciled</x:v>
      </x:c>
      <x:c r="C646" s="46" t="str">
        <x:v>True</x:v>
      </x:c>
      <x:c r="D646" s="46" t="str">
        <x:v>boolean</x:v>
      </x:c>
    </x:row>
    <x:row r="647" ht="18" customHeight="1">
      <x:c r="A647" s="46" t="str">
        <x:v>LME_018</x:v>
      </x:c>
      <x:c r="B647" s="46" t="str">
        <x:v>functional_ppr_reconciled</x:v>
      </x:c>
      <x:c r="C647" s="46" t="str">
        <x:v>True</x:v>
      </x:c>
      <x:c r="D647" s="46" t="str">
        <x:v>boolean</x:v>
      </x:c>
    </x:row>
    <x:row r="648" ht="18" customHeight="1">
      <x:c r="A648" s="46" t="str">
        <x:v>LME_018</x:v>
      </x:c>
      <x:c r="B648" s="46" t="str">
        <x:v>commercial_jensen_violations</x:v>
      </x:c>
      <x:c r="C648" s="46" t="n">
        <x:v>0</x:v>
      </x:c>
      <x:c r="D648" s="46" t="str">
        <x:v>count</x:v>
      </x:c>
    </x:row>
    <x:row r="649" ht="18" customHeight="1">
      <x:c r="A649" s="46" t="str">
        <x:v>LME_018</x:v>
      </x:c>
      <x:c r="B649" s="46" t="str">
        <x:v>functional_jensen_violations</x:v>
      </x:c>
      <x:c r="C649" s="46" t="n">
        <x:v>0</x:v>
      </x:c>
      <x:c r="D649" s="46" t="str">
        <x:v>count</x:v>
      </x:c>
    </x:row>
    <x:row r="650" ht="18" customHeight="1">
      <x:c r="A650" s="46" t="str">
        <x:v>LME_019</x:v>
      </x:c>
      <x:c r="B650" s="46" t="str">
        <x:v>raw_filtered_tonnes</x:v>
      </x:c>
      <x:c r="C650" s="46" t="n">
        <x:v>87093.82357372019</x:v>
      </x:c>
      <x:c r="D650" s="46" t="str">
        <x:v>tonnes</x:v>
      </x:c>
    </x:row>
    <x:row r="651" ht="18" customHeight="1">
      <x:c r="A651" s="46" t="str">
        <x:v>LME_019</x:v>
      </x:c>
      <x:c r="B651" s="46" t="str">
        <x:v>species_catch_tonnes</x:v>
      </x:c>
      <x:c r="C651" s="46" t="n">
        <x:v>87093.8235737202</x:v>
      </x:c>
      <x:c r="D651" s="46" t="str">
        <x:v>tonnes</x:v>
      </x:c>
    </x:row>
    <x:row r="652" ht="18" customHeight="1">
      <x:c r="A652" s="46" t="str">
        <x:v>LME_019</x:v>
      </x:c>
      <x:c r="B652" s="46" t="str">
        <x:v>catch_difference_tonnes</x:v>
      </x:c>
      <x:c r="C652" s="46" t="n">
        <x:v>1.4551915228366852e-11</x:v>
      </x:c>
      <x:c r="D652" s="46" t="str">
        <x:v>tonnes</x:v>
      </x:c>
    </x:row>
    <x:row r="653" ht="18" customHeight="1">
      <x:c r="A653" s="46" t="str">
        <x:v>LME_019</x:v>
      </x:c>
      <x:c r="B653" s="46" t="str">
        <x:v>catch_reconciled</x:v>
      </x:c>
      <x:c r="C653" s="46" t="str">
        <x:v>True</x:v>
      </x:c>
      <x:c r="D653" s="46" t="str">
        <x:v>boolean</x:v>
      </x:c>
    </x:row>
    <x:row r="654" ht="18" customHeight="1">
      <x:c r="A654" s="46" t="str">
        <x:v>LME_019</x:v>
      </x:c>
      <x:c r="B654" s="46" t="str">
        <x:v>matched_catch_tonnes</x:v>
      </x:c>
      <x:c r="C654" s="46" t="n">
        <x:v>87093.8235737202</x:v>
      </x:c>
      <x:c r="D654" s="46" t="str">
        <x:v>tonnes</x:v>
      </x:c>
    </x:row>
    <x:row r="655" ht="18" customHeight="1">
      <x:c r="A655" s="46" t="str">
        <x:v>LME_019</x:v>
      </x:c>
      <x:c r="B655" s="46" t="str">
        <x:v>catch_coverage_fraction</x:v>
      </x:c>
      <x:c r="C655" s="46" t="n">
        <x:v>1</x:v>
      </x:c>
      <x:c r="D655" s="46" t="str">
        <x:v>fraction</x:v>
      </x:c>
    </x:row>
    <x:row r="656" ht="18" customHeight="1">
      <x:c r="A656" s="46" t="str">
        <x:v>LME_019</x:v>
      </x:c>
      <x:c r="B656" s="46" t="str">
        <x:v>taxa_count</x:v>
      </x:c>
      <x:c r="C656" s="46" t="n">
        <x:v>64</x:v>
      </x:c>
      <x:c r="D656" s="46" t="str">
        <x:v>count</x:v>
      </x:c>
    </x:row>
    <x:row r="657" ht="18" customHeight="1">
      <x:c r="A657" s="46" t="str">
        <x:v>LME_019</x:v>
      </x:c>
      <x:c r="B657" s="46" t="str">
        <x:v>matched_taxa_count</x:v>
      </x:c>
      <x:c r="C657" s="46" t="n">
        <x:v>64</x:v>
      </x:c>
      <x:c r="D657" s="46" t="str">
        <x:v>count</x:v>
      </x:c>
    </x:row>
    <x:row r="658" ht="18" customHeight="1">
      <x:c r="A658" s="46" t="str">
        <x:v>LME_019</x:v>
      </x:c>
      <x:c r="B658" s="46" t="str">
        <x:v>unmatched_taxa_count</x:v>
      </x:c>
      <x:c r="C658" s="46" t="n">
        <x:v>0</x:v>
      </x:c>
      <x:c r="D658" s="46" t="str">
        <x:v>count</x:v>
      </x:c>
    </x:row>
    <x:row r="659" ht="18" customHeight="1">
      <x:c r="A659" s="46" t="str">
        <x:v>LME_019</x:v>
      </x:c>
      <x:c r="B659" s="46" t="str">
        <x:v>species_ppr</x:v>
      </x:c>
      <x:c r="C659" s="46" t="n">
        <x:v>76279788.78654897</x:v>
      </x:c>
      <x:c r="D659" s="46" t="str">
        <x:v>tonnes_primary_production_equivalent</x:v>
      </x:c>
    </x:row>
    <x:row r="660" ht="18" customHeight="1">
      <x:c r="A660" s="46" t="str">
        <x:v>LME_019</x:v>
      </x:c>
      <x:c r="B660" s="46" t="str">
        <x:v>commercial_ppr</x:v>
      </x:c>
      <x:c r="C660" s="46" t="n">
        <x:v>76279788.78654899</x:v>
      </x:c>
      <x:c r="D660" s="46" t="str">
        <x:v>tonnes_primary_production_equivalent</x:v>
      </x:c>
    </x:row>
    <x:row r="661" ht="18" customHeight="1">
      <x:c r="A661" s="46" t="str">
        <x:v>LME_019</x:v>
      </x:c>
      <x:c r="B661" s="46" t="str">
        <x:v>functional_ppr</x:v>
      </x:c>
      <x:c r="C661" s="46" t="n">
        <x:v>76279788.78654897</x:v>
      </x:c>
      <x:c r="D661" s="46" t="str">
        <x:v>tonnes_primary_production_equivalent</x:v>
      </x:c>
    </x:row>
    <x:row r="662" ht="18" customHeight="1">
      <x:c r="A662" s="46" t="str">
        <x:v>LME_019</x:v>
      </x:c>
      <x:c r="B662" s="46" t="str">
        <x:v>commercial_ppr_difference</x:v>
      </x:c>
      <x:c r="C662" s="46" t="n">
        <x:v>1.4901161193847656e-8</x:v>
      </x:c>
      <x:c r="D662" s="46" t="str">
        <x:v>tonnes_primary_production_equivalent</x:v>
      </x:c>
    </x:row>
    <x:row r="663" ht="18" customHeight="1">
      <x:c r="A663" s="46" t="str">
        <x:v>LME_019</x:v>
      </x:c>
      <x:c r="B663" s="46" t="str">
        <x:v>functional_ppr_difference</x:v>
      </x:c>
      <x:c r="C663" s="46" t="n">
        <x:v>0</x:v>
      </x:c>
      <x:c r="D663" s="46" t="str">
        <x:v>tonnes_primary_production_equivalent</x:v>
      </x:c>
    </x:row>
    <x:row r="664" ht="18" customHeight="1">
      <x:c r="A664" s="46" t="str">
        <x:v>LME_019</x:v>
      </x:c>
      <x:c r="B664" s="46" t="str">
        <x:v>commercial_ppr_reconciled</x:v>
      </x:c>
      <x:c r="C664" s="46" t="str">
        <x:v>True</x:v>
      </x:c>
      <x:c r="D664" s="46" t="str">
        <x:v>boolean</x:v>
      </x:c>
    </x:row>
    <x:row r="665" ht="18" customHeight="1">
      <x:c r="A665" s="46" t="str">
        <x:v>LME_019</x:v>
      </x:c>
      <x:c r="B665" s="46" t="str">
        <x:v>functional_ppr_reconciled</x:v>
      </x:c>
      <x:c r="C665" s="46" t="str">
        <x:v>True</x:v>
      </x:c>
      <x:c r="D665" s="46" t="str">
        <x:v>boolean</x:v>
      </x:c>
    </x:row>
    <x:row r="666" ht="18" customHeight="1">
      <x:c r="A666" s="46" t="str">
        <x:v>LME_019</x:v>
      </x:c>
      <x:c r="B666" s="46" t="str">
        <x:v>commercial_jensen_violations</x:v>
      </x:c>
      <x:c r="C666" s="46" t="n">
        <x:v>0</x:v>
      </x:c>
      <x:c r="D666" s="46" t="str">
        <x:v>count</x:v>
      </x:c>
    </x:row>
    <x:row r="667" ht="18" customHeight="1">
      <x:c r="A667" s="46" t="str">
        <x:v>LME_019</x:v>
      </x:c>
      <x:c r="B667" s="46" t="str">
        <x:v>functional_jensen_violations</x:v>
      </x:c>
      <x:c r="C667" s="46" t="n">
        <x:v>0</x:v>
      </x:c>
      <x:c r="D667" s="46" t="str">
        <x:v>count</x:v>
      </x:c>
    </x:row>
    <x:row r="668" ht="18" customHeight="1">
      <x:c r="A668" s="46" t="str">
        <x:v>LME_020</x:v>
      </x:c>
      <x:c r="B668" s="46" t="str">
        <x:v>raw_filtered_tonnes</x:v>
      </x:c>
      <x:c r="C668" s="46" t="n">
        <x:v>675569.0179631643</x:v>
      </x:c>
      <x:c r="D668" s="46" t="str">
        <x:v>tonnes</x:v>
      </x:c>
    </x:row>
    <x:row r="669" ht="18" customHeight="1">
      <x:c r="A669" s="46" t="str">
        <x:v>LME_020</x:v>
      </x:c>
      <x:c r="B669" s="46" t="str">
        <x:v>species_catch_tonnes</x:v>
      </x:c>
      <x:c r="C669" s="46" t="n">
        <x:v>675569.0179631643</x:v>
      </x:c>
      <x:c r="D669" s="46" t="str">
        <x:v>tonnes</x:v>
      </x:c>
    </x:row>
    <x:row r="670" ht="18" customHeight="1">
      <x:c r="A670" s="46" t="str">
        <x:v>LME_020</x:v>
      </x:c>
      <x:c r="B670" s="46" t="str">
        <x:v>catch_difference_tonnes</x:v>
      </x:c>
      <x:c r="C670" s="46" t="n">
        <x:v>0</x:v>
      </x:c>
      <x:c r="D670" s="46" t="str">
        <x:v>tonnes</x:v>
      </x:c>
    </x:row>
    <x:row r="671" ht="18" customHeight="1">
      <x:c r="A671" s="46" t="str">
        <x:v>LME_020</x:v>
      </x:c>
      <x:c r="B671" s="46" t="str">
        <x:v>catch_reconciled</x:v>
      </x:c>
      <x:c r="C671" s="46" t="str">
        <x:v>True</x:v>
      </x:c>
      <x:c r="D671" s="46" t="str">
        <x:v>boolean</x:v>
      </x:c>
    </x:row>
    <x:row r="672" ht="18" customHeight="1">
      <x:c r="A672" s="46" t="str">
        <x:v>LME_020</x:v>
      </x:c>
      <x:c r="B672" s="46" t="str">
        <x:v>matched_catch_tonnes</x:v>
      </x:c>
      <x:c r="C672" s="46" t="n">
        <x:v>675569.0179631643</x:v>
      </x:c>
      <x:c r="D672" s="46" t="str">
        <x:v>tonnes</x:v>
      </x:c>
    </x:row>
    <x:row r="673" ht="18" customHeight="1">
      <x:c r="A673" s="46" t="str">
        <x:v>LME_020</x:v>
      </x:c>
      <x:c r="B673" s="46" t="str">
        <x:v>catch_coverage_fraction</x:v>
      </x:c>
      <x:c r="C673" s="46" t="n">
        <x:v>1</x:v>
      </x:c>
      <x:c r="D673" s="46" t="str">
        <x:v>fraction</x:v>
      </x:c>
    </x:row>
    <x:row r="674" ht="18" customHeight="1">
      <x:c r="A674" s="46" t="str">
        <x:v>LME_020</x:v>
      </x:c>
      <x:c r="B674" s="46" t="str">
        <x:v>taxa_count</x:v>
      </x:c>
      <x:c r="C674" s="46" t="n">
        <x:v>138</x:v>
      </x:c>
      <x:c r="D674" s="46" t="str">
        <x:v>count</x:v>
      </x:c>
    </x:row>
    <x:row r="675" ht="18" customHeight="1">
      <x:c r="A675" s="46" t="str">
        <x:v>LME_020</x:v>
      </x:c>
      <x:c r="B675" s="46" t="str">
        <x:v>matched_taxa_count</x:v>
      </x:c>
      <x:c r="C675" s="46" t="n">
        <x:v>138</x:v>
      </x:c>
      <x:c r="D675" s="46" t="str">
        <x:v>count</x:v>
      </x:c>
    </x:row>
    <x:row r="676" ht="18" customHeight="1">
      <x:c r="A676" s="46" t="str">
        <x:v>LME_020</x:v>
      </x:c>
      <x:c r="B676" s="46" t="str">
        <x:v>unmatched_taxa_count</x:v>
      </x:c>
      <x:c r="C676" s="46" t="n">
        <x:v>0</x:v>
      </x:c>
      <x:c r="D676" s="46" t="str">
        <x:v>count</x:v>
      </x:c>
    </x:row>
    <x:row r="677" ht="18" customHeight="1">
      <x:c r="A677" s="46" t="str">
        <x:v>LME_020</x:v>
      </x:c>
      <x:c r="B677" s="46" t="str">
        <x:v>species_ppr</x:v>
      </x:c>
      <x:c r="C677" s="46" t="n">
        <x:v>661277433.8131701</x:v>
      </x:c>
      <x:c r="D677" s="46" t="str">
        <x:v>tonnes_primary_production_equivalent</x:v>
      </x:c>
    </x:row>
    <x:row r="678" ht="18" customHeight="1">
      <x:c r="A678" s="46" t="str">
        <x:v>LME_020</x:v>
      </x:c>
      <x:c r="B678" s="46" t="str">
        <x:v>commercial_ppr</x:v>
      </x:c>
      <x:c r="C678" s="46" t="n">
        <x:v>661277433.8131701</x:v>
      </x:c>
      <x:c r="D678" s="46" t="str">
        <x:v>tonnes_primary_production_equivalent</x:v>
      </x:c>
    </x:row>
    <x:row r="679" ht="18" customHeight="1">
      <x:c r="A679" s="46" t="str">
        <x:v>LME_020</x:v>
      </x:c>
      <x:c r="B679" s="46" t="str">
        <x:v>functional_ppr</x:v>
      </x:c>
      <x:c r="C679" s="46" t="n">
        <x:v>661277433.8131702</x:v>
      </x:c>
      <x:c r="D679" s="46" t="str">
        <x:v>tonnes_primary_production_equivalent</x:v>
      </x:c>
    </x:row>
    <x:row r="680" ht="18" customHeight="1">
      <x:c r="A680" s="46" t="str">
        <x:v>LME_020</x:v>
      </x:c>
      <x:c r="B680" s="46" t="str">
        <x:v>commercial_ppr_difference</x:v>
      </x:c>
      <x:c r="C680" s="46" t="n">
        <x:v>0</x:v>
      </x:c>
      <x:c r="D680" s="46" t="str">
        <x:v>tonnes_primary_production_equivalent</x:v>
      </x:c>
    </x:row>
    <x:row r="681" ht="18" customHeight="1">
      <x:c r="A681" s="46" t="str">
        <x:v>LME_020</x:v>
      </x:c>
      <x:c r="B681" s="46" t="str">
        <x:v>functional_ppr_difference</x:v>
      </x:c>
      <x:c r="C681" s="46" t="n">
        <x:v>1.1920928955078125e-7</x:v>
      </x:c>
      <x:c r="D681" s="46" t="str">
        <x:v>tonnes_primary_production_equivalent</x:v>
      </x:c>
    </x:row>
    <x:row r="682" ht="18" customHeight="1">
      <x:c r="A682" s="46" t="str">
        <x:v>LME_020</x:v>
      </x:c>
      <x:c r="B682" s="46" t="str">
        <x:v>commercial_ppr_reconciled</x:v>
      </x:c>
      <x:c r="C682" s="46" t="str">
        <x:v>True</x:v>
      </x:c>
      <x:c r="D682" s="46" t="str">
        <x:v>boolean</x:v>
      </x:c>
    </x:row>
    <x:row r="683" ht="18" customHeight="1">
      <x:c r="A683" s="46" t="str">
        <x:v>LME_020</x:v>
      </x:c>
      <x:c r="B683" s="46" t="str">
        <x:v>functional_ppr_reconciled</x:v>
      </x:c>
      <x:c r="C683" s="46" t="str">
        <x:v>True</x:v>
      </x:c>
      <x:c r="D683" s="46" t="str">
        <x:v>boolean</x:v>
      </x:c>
    </x:row>
    <x:row r="684" ht="18" customHeight="1">
      <x:c r="A684" s="46" t="str">
        <x:v>LME_020</x:v>
      </x:c>
      <x:c r="B684" s="46" t="str">
        <x:v>commercial_jensen_violations</x:v>
      </x:c>
      <x:c r="C684" s="46" t="n">
        <x:v>0</x:v>
      </x:c>
      <x:c r="D684" s="46" t="str">
        <x:v>count</x:v>
      </x:c>
    </x:row>
    <x:row r="685" ht="18" customHeight="1">
      <x:c r="A685" s="46" t="str">
        <x:v>LME_020</x:v>
      </x:c>
      <x:c r="B685" s="46" t="str">
        <x:v>functional_jensen_violations</x:v>
      </x:c>
      <x:c r="C685" s="46" t="n">
        <x:v>0</x:v>
      </x:c>
      <x:c r="D685" s="46" t="str">
        <x:v>count</x:v>
      </x:c>
    </x:row>
    <x:row r="686" ht="18" customHeight="1">
      <x:c r="A686" s="46" t="str">
        <x:v>LME_021</x:v>
      </x:c>
      <x:c r="B686" s="46" t="str">
        <x:v>raw_filtered_tonnes</x:v>
      </x:c>
      <x:c r="C686" s="46" t="n">
        <x:v>707251.5165434973</x:v>
      </x:c>
      <x:c r="D686" s="46" t="str">
        <x:v>tonnes</x:v>
      </x:c>
    </x:row>
    <x:row r="687" ht="18" customHeight="1">
      <x:c r="A687" s="46" t="str">
        <x:v>LME_021</x:v>
      </x:c>
      <x:c r="B687" s="46" t="str">
        <x:v>species_catch_tonnes</x:v>
      </x:c>
      <x:c r="C687" s="46" t="n">
        <x:v>707251.5165434971</x:v>
      </x:c>
      <x:c r="D687" s="46" t="str">
        <x:v>tonnes</x:v>
      </x:c>
    </x:row>
    <x:row r="688" ht="18" customHeight="1">
      <x:c r="A688" s="46" t="str">
        <x:v>LME_021</x:v>
      </x:c>
      <x:c r="B688" s="46" t="str">
        <x:v>catch_difference_tonnes</x:v>
      </x:c>
      <x:c r="C688" s="46" t="n">
        <x:v>-2.3283064365386963e-10</x:v>
      </x:c>
      <x:c r="D688" s="46" t="str">
        <x:v>tonnes</x:v>
      </x:c>
    </x:row>
    <x:row r="689" ht="18" customHeight="1">
      <x:c r="A689" s="46" t="str">
        <x:v>LME_021</x:v>
      </x:c>
      <x:c r="B689" s="46" t="str">
        <x:v>catch_reconciled</x:v>
      </x:c>
      <x:c r="C689" s="46" t="str">
        <x:v>True</x:v>
      </x:c>
      <x:c r="D689" s="46" t="str">
        <x:v>boolean</x:v>
      </x:c>
    </x:row>
    <x:row r="690" ht="18" customHeight="1">
      <x:c r="A690" s="46" t="str">
        <x:v>LME_021</x:v>
      </x:c>
      <x:c r="B690" s="46" t="str">
        <x:v>matched_catch_tonnes</x:v>
      </x:c>
      <x:c r="C690" s="46" t="n">
        <x:v>707251.5165434971</x:v>
      </x:c>
      <x:c r="D690" s="46" t="str">
        <x:v>tonnes</x:v>
      </x:c>
    </x:row>
    <x:row r="691" ht="18" customHeight="1">
      <x:c r="A691" s="46" t="str">
        <x:v>LME_021</x:v>
      </x:c>
      <x:c r="B691" s="46" t="str">
        <x:v>catch_coverage_fraction</x:v>
      </x:c>
      <x:c r="C691" s="46" t="n">
        <x:v>1</x:v>
      </x:c>
      <x:c r="D691" s="46" t="str">
        <x:v>fraction</x:v>
      </x:c>
    </x:row>
    <x:row r="692" ht="18" customHeight="1">
      <x:c r="A692" s="46" t="str">
        <x:v>LME_021</x:v>
      </x:c>
      <x:c r="B692" s="46" t="str">
        <x:v>taxa_count</x:v>
      </x:c>
      <x:c r="C692" s="46" t="n">
        <x:v>162</x:v>
      </x:c>
      <x:c r="D692" s="46" t="str">
        <x:v>count</x:v>
      </x:c>
    </x:row>
    <x:row r="693" ht="18" customHeight="1">
      <x:c r="A693" s="46" t="str">
        <x:v>LME_021</x:v>
      </x:c>
      <x:c r="B693" s="46" t="str">
        <x:v>matched_taxa_count</x:v>
      </x:c>
      <x:c r="C693" s="46" t="n">
        <x:v>162</x:v>
      </x:c>
      <x:c r="D693" s="46" t="str">
        <x:v>count</x:v>
      </x:c>
    </x:row>
    <x:row r="694" ht="18" customHeight="1">
      <x:c r="A694" s="46" t="str">
        <x:v>LME_021</x:v>
      </x:c>
      <x:c r="B694" s="46" t="str">
        <x:v>unmatched_taxa_count</x:v>
      </x:c>
      <x:c r="C694" s="46" t="n">
        <x:v>0</x:v>
      </x:c>
      <x:c r="D694" s="46" t="str">
        <x:v>count</x:v>
      </x:c>
    </x:row>
    <x:row r="695" ht="18" customHeight="1">
      <x:c r="A695" s="46" t="str">
        <x:v>LME_021</x:v>
      </x:c>
      <x:c r="B695" s="46" t="str">
        <x:v>species_ppr</x:v>
      </x:c>
      <x:c r="C695" s="46" t="n">
        <x:v>338234665.9022903</x:v>
      </x:c>
      <x:c r="D695" s="46" t="str">
        <x:v>tonnes_primary_production_equivalent</x:v>
      </x:c>
    </x:row>
    <x:row r="696" ht="18" customHeight="1">
      <x:c r="A696" s="46" t="str">
        <x:v>LME_021</x:v>
      </x:c>
      <x:c r="B696" s="46" t="str">
        <x:v>commercial_ppr</x:v>
      </x:c>
      <x:c r="C696" s="46" t="n">
        <x:v>338234665.9022903</x:v>
      </x:c>
      <x:c r="D696" s="46" t="str">
        <x:v>tonnes_primary_production_equivalent</x:v>
      </x:c>
    </x:row>
    <x:row r="697" ht="18" customHeight="1">
      <x:c r="A697" s="46" t="str">
        <x:v>LME_021</x:v>
      </x:c>
      <x:c r="B697" s="46" t="str">
        <x:v>functional_ppr</x:v>
      </x:c>
      <x:c r="C697" s="46" t="n">
        <x:v>338234665.9022902</x:v>
      </x:c>
      <x:c r="D697" s="46" t="str">
        <x:v>tonnes_primary_production_equivalent</x:v>
      </x:c>
    </x:row>
    <x:row r="698" ht="18" customHeight="1">
      <x:c r="A698" s="46" t="str">
        <x:v>LME_021</x:v>
      </x:c>
      <x:c r="B698" s="46" t="str">
        <x:v>commercial_ppr_difference</x:v>
      </x:c>
      <x:c r="C698" s="46" t="n">
        <x:v>0</x:v>
      </x:c>
      <x:c r="D698" s="46" t="str">
        <x:v>tonnes_primary_production_equivalent</x:v>
      </x:c>
    </x:row>
    <x:row r="699" ht="18" customHeight="1">
      <x:c r="A699" s="46" t="str">
        <x:v>LME_021</x:v>
      </x:c>
      <x:c r="B699" s="46" t="str">
        <x:v>functional_ppr_difference</x:v>
      </x:c>
      <x:c r="C699" s="46" t="n">
        <x:v>-5.960464477539063e-8</x:v>
      </x:c>
      <x:c r="D699" s="46" t="str">
        <x:v>tonnes_primary_production_equivalent</x:v>
      </x:c>
    </x:row>
    <x:row r="700" ht="18" customHeight="1">
      <x:c r="A700" s="46" t="str">
        <x:v>LME_021</x:v>
      </x:c>
      <x:c r="B700" s="46" t="str">
        <x:v>commercial_ppr_reconciled</x:v>
      </x:c>
      <x:c r="C700" s="46" t="str">
        <x:v>True</x:v>
      </x:c>
      <x:c r="D700" s="46" t="str">
        <x:v>boolean</x:v>
      </x:c>
    </x:row>
    <x:row r="701" ht="18" customHeight="1">
      <x:c r="A701" s="46" t="str">
        <x:v>LME_021</x:v>
      </x:c>
      <x:c r="B701" s="46" t="str">
        <x:v>functional_ppr_reconciled</x:v>
      </x:c>
      <x:c r="C701" s="46" t="str">
        <x:v>True</x:v>
      </x:c>
      <x:c r="D701" s="46" t="str">
        <x:v>boolean</x:v>
      </x:c>
    </x:row>
    <x:row r="702" ht="18" customHeight="1">
      <x:c r="A702" s="46" t="str">
        <x:v>LME_021</x:v>
      </x:c>
      <x:c r="B702" s="46" t="str">
        <x:v>commercial_jensen_violations</x:v>
      </x:c>
      <x:c r="C702" s="46" t="n">
        <x:v>0</x:v>
      </x:c>
      <x:c r="D702" s="46" t="str">
        <x:v>count</x:v>
      </x:c>
    </x:row>
    <x:row r="703" ht="18" customHeight="1">
      <x:c r="A703" s="46" t="str">
        <x:v>LME_021</x:v>
      </x:c>
      <x:c r="B703" s="46" t="str">
        <x:v>functional_jensen_violations</x:v>
      </x:c>
      <x:c r="C703" s="46" t="n">
        <x:v>0</x:v>
      </x:c>
      <x:c r="D703" s="46" t="str">
        <x:v>count</x:v>
      </x:c>
    </x:row>
    <x:row r="704" ht="18" customHeight="1">
      <x:c r="A704" s="46" t="str">
        <x:v>LME_022</x:v>
      </x:c>
      <x:c r="B704" s="46" t="str">
        <x:v>raw_filtered_tonnes</x:v>
      </x:c>
      <x:c r="C704" s="46" t="n">
        <x:v>2717260.6982051707</x:v>
      </x:c>
      <x:c r="D704" s="46" t="str">
        <x:v>tonnes</x:v>
      </x:c>
    </x:row>
    <x:row r="705" ht="18" customHeight="1">
      <x:c r="A705" s="46" t="str">
        <x:v>LME_022</x:v>
      </x:c>
      <x:c r="B705" s="46" t="str">
        <x:v>species_catch_tonnes</x:v>
      </x:c>
      <x:c r="C705" s="46" t="n">
        <x:v>2717260.698205171</x:v>
      </x:c>
      <x:c r="D705" s="46" t="str">
        <x:v>tonnes</x:v>
      </x:c>
    </x:row>
    <x:row r="706" ht="18" customHeight="1">
      <x:c r="A706" s="46" t="str">
        <x:v>LME_022</x:v>
      </x:c>
      <x:c r="B706" s="46" t="str">
        <x:v>catch_difference_tonnes</x:v>
      </x:c>
      <x:c r="C706" s="46" t="n">
        <x:v>4.656612873077393e-10</x:v>
      </x:c>
      <x:c r="D706" s="46" t="str">
        <x:v>tonnes</x:v>
      </x:c>
    </x:row>
    <x:row r="707" ht="18" customHeight="1">
      <x:c r="A707" s="46" t="str">
        <x:v>LME_022</x:v>
      </x:c>
      <x:c r="B707" s="46" t="str">
        <x:v>catch_reconciled</x:v>
      </x:c>
      <x:c r="C707" s="46" t="str">
        <x:v>True</x:v>
      </x:c>
      <x:c r="D707" s="46" t="str">
        <x:v>boolean</x:v>
      </x:c>
    </x:row>
    <x:row r="708" ht="18" customHeight="1">
      <x:c r="A708" s="46" t="str">
        <x:v>LME_022</x:v>
      </x:c>
      <x:c r="B708" s="46" t="str">
        <x:v>matched_catch_tonnes</x:v>
      </x:c>
      <x:c r="C708" s="46" t="n">
        <x:v>2717260.698205171</x:v>
      </x:c>
      <x:c r="D708" s="46" t="str">
        <x:v>tonnes</x:v>
      </x:c>
    </x:row>
    <x:row r="709" ht="18" customHeight="1">
      <x:c r="A709" s="46" t="str">
        <x:v>LME_022</x:v>
      </x:c>
      <x:c r="B709" s="46" t="str">
        <x:v>catch_coverage_fraction</x:v>
      </x:c>
      <x:c r="C709" s="46" t="n">
        <x:v>1</x:v>
      </x:c>
      <x:c r="D709" s="46" t="str">
        <x:v>fraction</x:v>
      </x:c>
    </x:row>
    <x:row r="710" ht="18" customHeight="1">
      <x:c r="A710" s="46" t="str">
        <x:v>LME_022</x:v>
      </x:c>
      <x:c r="B710" s="46" t="str">
        <x:v>taxa_count</x:v>
      </x:c>
      <x:c r="C710" s="46" t="n">
        <x:v>312</x:v>
      </x:c>
      <x:c r="D710" s="46" t="str">
        <x:v>count</x:v>
      </x:c>
    </x:row>
    <x:row r="711" ht="18" customHeight="1">
      <x:c r="A711" s="46" t="str">
        <x:v>LME_022</x:v>
      </x:c>
      <x:c r="B711" s="46" t="str">
        <x:v>matched_taxa_count</x:v>
      </x:c>
      <x:c r="C711" s="46" t="n">
        <x:v>312</x:v>
      </x:c>
      <x:c r="D711" s="46" t="str">
        <x:v>count</x:v>
      </x:c>
    </x:row>
    <x:row r="712" ht="18" customHeight="1">
      <x:c r="A712" s="46" t="str">
        <x:v>LME_022</x:v>
      </x:c>
      <x:c r="B712" s="46" t="str">
        <x:v>unmatched_taxa_count</x:v>
      </x:c>
      <x:c r="C712" s="46" t="n">
        <x:v>0</x:v>
      </x:c>
      <x:c r="D712" s="46" t="str">
        <x:v>count</x:v>
      </x:c>
    </x:row>
    <x:row r="713" ht="18" customHeight="1">
      <x:c r="A713" s="46" t="str">
        <x:v>LME_022</x:v>
      </x:c>
      <x:c r="B713" s="46" t="str">
        <x:v>species_ppr</x:v>
      </x:c>
      <x:c r="C713" s="46" t="n">
        <x:v>1700184787.4627526</x:v>
      </x:c>
      <x:c r="D713" s="46" t="str">
        <x:v>tonnes_primary_production_equivalent</x:v>
      </x:c>
    </x:row>
    <x:row r="714" ht="18" customHeight="1">
      <x:c r="A714" s="46" t="str">
        <x:v>LME_022</x:v>
      </x:c>
      <x:c r="B714" s="46" t="str">
        <x:v>commercial_ppr</x:v>
      </x:c>
      <x:c r="C714" s="46" t="n">
        <x:v>1700184787.462753</x:v>
      </x:c>
      <x:c r="D714" s="46" t="str">
        <x:v>tonnes_primary_production_equivalent</x:v>
      </x:c>
    </x:row>
    <x:row r="715" ht="18" customHeight="1">
      <x:c r="A715" s="46" t="str">
        <x:v>LME_022</x:v>
      </x:c>
      <x:c r="B715" s="46" t="str">
        <x:v>functional_ppr</x:v>
      </x:c>
      <x:c r="C715" s="46" t="n">
        <x:v>1700184787.4627523</x:v>
      </x:c>
      <x:c r="D715" s="46" t="str">
        <x:v>tonnes_primary_production_equivalent</x:v>
      </x:c>
    </x:row>
    <x:row r="716" ht="18" customHeight="1">
      <x:c r="A716" s="46" t="str">
        <x:v>LME_022</x:v>
      </x:c>
      <x:c r="B716" s="46" t="str">
        <x:v>commercial_ppr_difference</x:v>
      </x:c>
      <x:c r="C716" s="46" t="n">
        <x:v>4.76837158203125e-7</x:v>
      </x:c>
      <x:c r="D716" s="46" t="str">
        <x:v>tonnes_primary_production_equivalent</x:v>
      </x:c>
    </x:row>
    <x:row r="717" ht="18" customHeight="1">
      <x:c r="A717" s="46" t="str">
        <x:v>LME_022</x:v>
      </x:c>
      <x:c r="B717" s="46" t="str">
        <x:v>functional_ppr_difference</x:v>
      </x:c>
      <x:c r="C717" s="46" t="n">
        <x:v>-2.384185791015625e-7</x:v>
      </x:c>
      <x:c r="D717" s="46" t="str">
        <x:v>tonnes_primary_production_equivalent</x:v>
      </x:c>
    </x:row>
    <x:row r="718" ht="18" customHeight="1">
      <x:c r="A718" s="46" t="str">
        <x:v>LME_022</x:v>
      </x:c>
      <x:c r="B718" s="46" t="str">
        <x:v>commercial_ppr_reconciled</x:v>
      </x:c>
      <x:c r="C718" s="46" t="str">
        <x:v>True</x:v>
      </x:c>
      <x:c r="D718" s="46" t="str">
        <x:v>boolean</x:v>
      </x:c>
    </x:row>
    <x:row r="719" ht="18" customHeight="1">
      <x:c r="A719" s="46" t="str">
        <x:v>LME_022</x:v>
      </x:c>
      <x:c r="B719" s="46" t="str">
        <x:v>functional_ppr_reconciled</x:v>
      </x:c>
      <x:c r="C719" s="46" t="str">
        <x:v>True</x:v>
      </x:c>
      <x:c r="D719" s="46" t="str">
        <x:v>boolean</x:v>
      </x:c>
    </x:row>
    <x:row r="720" ht="18" customHeight="1">
      <x:c r="A720" s="46" t="str">
        <x:v>LME_022</x:v>
      </x:c>
      <x:c r="B720" s="46" t="str">
        <x:v>commercial_jensen_violations</x:v>
      </x:c>
      <x:c r="C720" s="46" t="n">
        <x:v>0</x:v>
      </x:c>
      <x:c r="D720" s="46" t="str">
        <x:v>count</x:v>
      </x:c>
    </x:row>
    <x:row r="721" ht="18" customHeight="1">
      <x:c r="A721" s="46" t="str">
        <x:v>LME_022</x:v>
      </x:c>
      <x:c r="B721" s="46" t="str">
        <x:v>functional_jensen_violations</x:v>
      </x:c>
      <x:c r="C721" s="46" t="n">
        <x:v>0</x:v>
      </x:c>
      <x:c r="D721" s="46" t="str">
        <x:v>count</x:v>
      </x:c>
    </x:row>
    <x:row r="722" ht="18" customHeight="1">
      <x:c r="A722" s="46" t="str">
        <x:v>LME_023</x:v>
      </x:c>
      <x:c r="B722" s="46" t="str">
        <x:v>raw_filtered_tonnes</x:v>
      </x:c>
      <x:c r="C722" s="46" t="n">
        <x:v>937172.6469930056</x:v>
      </x:c>
      <x:c r="D722" s="46" t="str">
        <x:v>tonnes</x:v>
      </x:c>
    </x:row>
    <x:row r="723" ht="18" customHeight="1">
      <x:c r="A723" s="46" t="str">
        <x:v>LME_023</x:v>
      </x:c>
      <x:c r="B723" s="46" t="str">
        <x:v>species_catch_tonnes</x:v>
      </x:c>
      <x:c r="C723" s="46" t="n">
        <x:v>937172.6469930055</x:v>
      </x:c>
      <x:c r="D723" s="46" t="str">
        <x:v>tonnes</x:v>
      </x:c>
    </x:row>
    <x:row r="724" ht="18" customHeight="1">
      <x:c r="A724" s="46" t="str">
        <x:v>LME_023</x:v>
      </x:c>
      <x:c r="B724" s="46" t="str">
        <x:v>catch_difference_tonnes</x:v>
      </x:c>
      <x:c r="C724" s="46" t="n">
        <x:v>-1.1641532182693481e-10</x:v>
      </x:c>
      <x:c r="D724" s="46" t="str">
        <x:v>tonnes</x:v>
      </x:c>
    </x:row>
    <x:row r="725" ht="18" customHeight="1">
      <x:c r="A725" s="46" t="str">
        <x:v>LME_023</x:v>
      </x:c>
      <x:c r="B725" s="46" t="str">
        <x:v>catch_reconciled</x:v>
      </x:c>
      <x:c r="C725" s="46" t="str">
        <x:v>True</x:v>
      </x:c>
      <x:c r="D725" s="46" t="str">
        <x:v>boolean</x:v>
      </x:c>
    </x:row>
    <x:row r="726" ht="18" customHeight="1">
      <x:c r="A726" s="46" t="str">
        <x:v>LME_023</x:v>
      </x:c>
      <x:c r="B726" s="46" t="str">
        <x:v>matched_catch_tonnes</x:v>
      </x:c>
      <x:c r="C726" s="46" t="n">
        <x:v>937172.6469930055</x:v>
      </x:c>
      <x:c r="D726" s="46" t="str">
        <x:v>tonnes</x:v>
      </x:c>
    </x:row>
    <x:row r="727" ht="18" customHeight="1">
      <x:c r="A727" s="46" t="str">
        <x:v>LME_023</x:v>
      </x:c>
      <x:c r="B727" s="46" t="str">
        <x:v>catch_coverage_fraction</x:v>
      </x:c>
      <x:c r="C727" s="46" t="n">
        <x:v>1</x:v>
      </x:c>
      <x:c r="D727" s="46" t="str">
        <x:v>fraction</x:v>
      </x:c>
    </x:row>
    <x:row r="728" ht="18" customHeight="1">
      <x:c r="A728" s="46" t="str">
        <x:v>LME_023</x:v>
      </x:c>
      <x:c r="B728" s="46" t="str">
        <x:v>taxa_count</x:v>
      </x:c>
      <x:c r="C728" s="46" t="n">
        <x:v>117</x:v>
      </x:c>
      <x:c r="D728" s="46" t="str">
        <x:v>count</x:v>
      </x:c>
    </x:row>
    <x:row r="729" ht="18" customHeight="1">
      <x:c r="A729" s="46" t="str">
        <x:v>LME_023</x:v>
      </x:c>
      <x:c r="B729" s="46" t="str">
        <x:v>matched_taxa_count</x:v>
      </x:c>
      <x:c r="C729" s="46" t="n">
        <x:v>117</x:v>
      </x:c>
      <x:c r="D729" s="46" t="str">
        <x:v>count</x:v>
      </x:c>
    </x:row>
    <x:row r="730" ht="18" customHeight="1">
      <x:c r="A730" s="46" t="str">
        <x:v>LME_023</x:v>
      </x:c>
      <x:c r="B730" s="46" t="str">
        <x:v>unmatched_taxa_count</x:v>
      </x:c>
      <x:c r="C730" s="46" t="n">
        <x:v>0</x:v>
      </x:c>
      <x:c r="D730" s="46" t="str">
        <x:v>count</x:v>
      </x:c>
    </x:row>
    <x:row r="731" ht="18" customHeight="1">
      <x:c r="A731" s="46" t="str">
        <x:v>LME_023</x:v>
      </x:c>
      <x:c r="B731" s="46" t="str">
        <x:v>species_ppr</x:v>
      </x:c>
      <x:c r="C731" s="46" t="n">
        <x:v>250346631.37596366</x:v>
      </x:c>
      <x:c r="D731" s="46" t="str">
        <x:v>tonnes_primary_production_equivalent</x:v>
      </x:c>
    </x:row>
    <x:row r="732" ht="18" customHeight="1">
      <x:c r="A732" s="46" t="str">
        <x:v>LME_023</x:v>
      </x:c>
      <x:c r="B732" s="46" t="str">
        <x:v>commercial_ppr</x:v>
      </x:c>
      <x:c r="C732" s="46" t="n">
        <x:v>250346631.3759636</x:v>
      </x:c>
      <x:c r="D732" s="46" t="str">
        <x:v>tonnes_primary_production_equivalent</x:v>
      </x:c>
    </x:row>
    <x:row r="733" ht="18" customHeight="1">
      <x:c r="A733" s="46" t="str">
        <x:v>LME_023</x:v>
      </x:c>
      <x:c r="B733" s="46" t="str">
        <x:v>functional_ppr</x:v>
      </x:c>
      <x:c r="C733" s="46" t="n">
        <x:v>250346631.37596354</x:v>
      </x:c>
      <x:c r="D733" s="46" t="str">
        <x:v>tonnes_primary_production_equivalent</x:v>
      </x:c>
    </x:row>
    <x:row r="734" ht="18" customHeight="1">
      <x:c r="A734" s="46" t="str">
        <x:v>LME_023</x:v>
      </x:c>
      <x:c r="B734" s="46" t="str">
        <x:v>commercial_ppr_difference</x:v>
      </x:c>
      <x:c r="C734" s="46" t="n">
        <x:v>-5.960464477539063e-8</x:v>
      </x:c>
      <x:c r="D734" s="46" t="str">
        <x:v>tonnes_primary_production_equivalent</x:v>
      </x:c>
    </x:row>
    <x:row r="735" ht="18" customHeight="1">
      <x:c r="A735" s="46" t="str">
        <x:v>LME_023</x:v>
      </x:c>
      <x:c r="B735" s="46" t="str">
        <x:v>functional_ppr_difference</x:v>
      </x:c>
      <x:c r="C735" s="46" t="n">
        <x:v>-1.1920928955078125e-7</x:v>
      </x:c>
      <x:c r="D735" s="46" t="str">
        <x:v>tonnes_primary_production_equivalent</x:v>
      </x:c>
    </x:row>
    <x:row r="736" ht="18" customHeight="1">
      <x:c r="A736" s="46" t="str">
        <x:v>LME_023</x:v>
      </x:c>
      <x:c r="B736" s="46" t="str">
        <x:v>commercial_ppr_reconciled</x:v>
      </x:c>
      <x:c r="C736" s="46" t="str">
        <x:v>True</x:v>
      </x:c>
      <x:c r="D736" s="46" t="str">
        <x:v>boolean</x:v>
      </x:c>
    </x:row>
    <x:row r="737" ht="18" customHeight="1">
      <x:c r="A737" s="46" t="str">
        <x:v>LME_023</x:v>
      </x:c>
      <x:c r="B737" s="46" t="str">
        <x:v>functional_ppr_reconciled</x:v>
      </x:c>
      <x:c r="C737" s="46" t="str">
        <x:v>True</x:v>
      </x:c>
      <x:c r="D737" s="46" t="str">
        <x:v>boolean</x:v>
      </x:c>
    </x:row>
    <x:row r="738" ht="18" customHeight="1">
      <x:c r="A738" s="46" t="str">
        <x:v>LME_023</x:v>
      </x:c>
      <x:c r="B738" s="46" t="str">
        <x:v>commercial_jensen_violations</x:v>
      </x:c>
      <x:c r="C738" s="46" t="n">
        <x:v>0</x:v>
      </x:c>
      <x:c r="D738" s="46" t="str">
        <x:v>count</x:v>
      </x:c>
    </x:row>
    <x:row r="739" ht="18" customHeight="1">
      <x:c r="A739" s="46" t="str">
        <x:v>LME_023</x:v>
      </x:c>
      <x:c r="B739" s="46" t="str">
        <x:v>functional_jensen_violations</x:v>
      </x:c>
      <x:c r="C739" s="46" t="n">
        <x:v>0</x:v>
      </x:c>
      <x:c r="D739" s="46" t="str">
        <x:v>count</x:v>
      </x:c>
    </x:row>
    <x:row r="740" ht="18" customHeight="1">
      <x:c r="A740" s="46" t="str">
        <x:v>LME_024</x:v>
      </x:c>
      <x:c r="B740" s="46" t="str">
        <x:v>raw_filtered_tonnes</x:v>
      </x:c>
      <x:c r="C740" s="46" t="n">
        <x:v>1139679.567089067</x:v>
      </x:c>
      <x:c r="D740" s="46" t="str">
        <x:v>tonnes</x:v>
      </x:c>
    </x:row>
    <x:row r="741" ht="18" customHeight="1">
      <x:c r="A741" s="46" t="str">
        <x:v>LME_024</x:v>
      </x:c>
      <x:c r="B741" s="46" t="str">
        <x:v>species_catch_tonnes</x:v>
      </x:c>
      <x:c r="C741" s="46" t="n">
        <x:v>1139679.567089067</x:v>
      </x:c>
      <x:c r="D741" s="46" t="str">
        <x:v>tonnes</x:v>
      </x:c>
    </x:row>
    <x:row r="742" ht="18" customHeight="1">
      <x:c r="A742" s="46" t="str">
        <x:v>LME_024</x:v>
      </x:c>
      <x:c r="B742" s="46" t="str">
        <x:v>catch_difference_tonnes</x:v>
      </x:c>
      <x:c r="C742" s="46" t="n">
        <x:v>0</x:v>
      </x:c>
      <x:c r="D742" s="46" t="str">
        <x:v>tonnes</x:v>
      </x:c>
    </x:row>
    <x:row r="743" ht="18" customHeight="1">
      <x:c r="A743" s="46" t="str">
        <x:v>LME_024</x:v>
      </x:c>
      <x:c r="B743" s="46" t="str">
        <x:v>catch_reconciled</x:v>
      </x:c>
      <x:c r="C743" s="46" t="str">
        <x:v>True</x:v>
      </x:c>
      <x:c r="D743" s="46" t="str">
        <x:v>boolean</x:v>
      </x:c>
    </x:row>
    <x:row r="744" ht="18" customHeight="1">
      <x:c r="A744" s="46" t="str">
        <x:v>LME_024</x:v>
      </x:c>
      <x:c r="B744" s="46" t="str">
        <x:v>matched_catch_tonnes</x:v>
      </x:c>
      <x:c r="C744" s="46" t="n">
        <x:v>1139679.567089067</x:v>
      </x:c>
      <x:c r="D744" s="46" t="str">
        <x:v>tonnes</x:v>
      </x:c>
    </x:row>
    <x:row r="745" ht="18" customHeight="1">
      <x:c r="A745" s="46" t="str">
        <x:v>LME_024</x:v>
      </x:c>
      <x:c r="B745" s="46" t="str">
        <x:v>catch_coverage_fraction</x:v>
      </x:c>
      <x:c r="C745" s="46" t="n">
        <x:v>1</x:v>
      </x:c>
      <x:c r="D745" s="46" t="str">
        <x:v>fraction</x:v>
      </x:c>
    </x:row>
    <x:row r="746" ht="18" customHeight="1">
      <x:c r="A746" s="46" t="str">
        <x:v>LME_024</x:v>
      </x:c>
      <x:c r="B746" s="46" t="str">
        <x:v>taxa_count</x:v>
      </x:c>
      <x:c r="C746" s="46" t="n">
        <x:v>383</x:v>
      </x:c>
      <x:c r="D746" s="46" t="str">
        <x:v>count</x:v>
      </x:c>
    </x:row>
    <x:row r="747" ht="18" customHeight="1">
      <x:c r="A747" s="46" t="str">
        <x:v>LME_024</x:v>
      </x:c>
      <x:c r="B747" s="46" t="str">
        <x:v>matched_taxa_count</x:v>
      </x:c>
      <x:c r="C747" s="46" t="n">
        <x:v>383</x:v>
      </x:c>
      <x:c r="D747" s="46" t="str">
        <x:v>count</x:v>
      </x:c>
    </x:row>
    <x:row r="748" ht="18" customHeight="1">
      <x:c r="A748" s="46" t="str">
        <x:v>LME_024</x:v>
      </x:c>
      <x:c r="B748" s="46" t="str">
        <x:v>unmatched_taxa_count</x:v>
      </x:c>
      <x:c r="C748" s="46" t="n">
        <x:v>0</x:v>
      </x:c>
      <x:c r="D748" s="46" t="str">
        <x:v>count</x:v>
      </x:c>
    </x:row>
    <x:row r="749" ht="18" customHeight="1">
      <x:c r="A749" s="46" t="str">
        <x:v>LME_024</x:v>
      </x:c>
      <x:c r="B749" s="46" t="str">
        <x:v>species_ppr</x:v>
      </x:c>
      <x:c r="C749" s="46" t="n">
        <x:v>1010255322.1765621</x:v>
      </x:c>
      <x:c r="D749" s="46" t="str">
        <x:v>tonnes_primary_production_equivalent</x:v>
      </x:c>
    </x:row>
    <x:row r="750" ht="18" customHeight="1">
      <x:c r="A750" s="46" t="str">
        <x:v>LME_024</x:v>
      </x:c>
      <x:c r="B750" s="46" t="str">
        <x:v>commercial_ppr</x:v>
      </x:c>
      <x:c r="C750" s="46" t="n">
        <x:v>1010255322.1765624</x:v>
      </x:c>
      <x:c r="D750" s="46" t="str">
        <x:v>tonnes_primary_production_equivalent</x:v>
      </x:c>
    </x:row>
    <x:row r="751" ht="18" customHeight="1">
      <x:c r="A751" s="46" t="str">
        <x:v>LME_024</x:v>
      </x:c>
      <x:c r="B751" s="46" t="str">
        <x:v>functional_ppr</x:v>
      </x:c>
      <x:c r="C751" s="46" t="n">
        <x:v>1010255322.1765624</x:v>
      </x:c>
      <x:c r="D751" s="46" t="str">
        <x:v>tonnes_primary_production_equivalent</x:v>
      </x:c>
    </x:row>
    <x:row r="752" ht="18" customHeight="1">
      <x:c r="A752" s="46" t="str">
        <x:v>LME_024</x:v>
      </x:c>
      <x:c r="B752" s="46" t="str">
        <x:v>commercial_ppr_difference</x:v>
      </x:c>
      <x:c r="C752" s="46" t="n">
        <x:v>3.5762786865234375e-7</x:v>
      </x:c>
      <x:c r="D752" s="46" t="str">
        <x:v>tonnes_primary_production_equivalent</x:v>
      </x:c>
    </x:row>
    <x:row r="753" ht="18" customHeight="1">
      <x:c r="A753" s="46" t="str">
        <x:v>LME_024</x:v>
      </x:c>
      <x:c r="B753" s="46" t="str">
        <x:v>functional_ppr_difference</x:v>
      </x:c>
      <x:c r="C753" s="46" t="n">
        <x:v>3.5762786865234375e-7</x:v>
      </x:c>
      <x:c r="D753" s="46" t="str">
        <x:v>tonnes_primary_production_equivalent</x:v>
      </x:c>
    </x:row>
    <x:row r="754" ht="18" customHeight="1">
      <x:c r="A754" s="46" t="str">
        <x:v>LME_024</x:v>
      </x:c>
      <x:c r="B754" s="46" t="str">
        <x:v>commercial_ppr_reconciled</x:v>
      </x:c>
      <x:c r="C754" s="46" t="str">
        <x:v>True</x:v>
      </x:c>
      <x:c r="D754" s="46" t="str">
        <x:v>boolean</x:v>
      </x:c>
    </x:row>
    <x:row r="755" ht="18" customHeight="1">
      <x:c r="A755" s="46" t="str">
        <x:v>LME_024</x:v>
      </x:c>
      <x:c r="B755" s="46" t="str">
        <x:v>functional_ppr_reconciled</x:v>
      </x:c>
      <x:c r="C755" s="46" t="str">
        <x:v>True</x:v>
      </x:c>
      <x:c r="D755" s="46" t="str">
        <x:v>boolean</x:v>
      </x:c>
    </x:row>
    <x:row r="756" ht="18" customHeight="1">
      <x:c r="A756" s="46" t="str">
        <x:v>LME_024</x:v>
      </x:c>
      <x:c r="B756" s="46" t="str">
        <x:v>commercial_jensen_violations</x:v>
      </x:c>
      <x:c r="C756" s="46" t="n">
        <x:v>0</x:v>
      </x:c>
      <x:c r="D756" s="46" t="str">
        <x:v>count</x:v>
      </x:c>
    </x:row>
    <x:row r="757" ht="18" customHeight="1">
      <x:c r="A757" s="46" t="str">
        <x:v>LME_024</x:v>
      </x:c>
      <x:c r="B757" s="46" t="str">
        <x:v>functional_jensen_violations</x:v>
      </x:c>
      <x:c r="C757" s="46" t="n">
        <x:v>0</x:v>
      </x:c>
      <x:c r="D757" s="46" t="str">
        <x:v>count</x:v>
      </x:c>
    </x:row>
    <x:row r="758" ht="18" customHeight="1">
      <x:c r="A758" s="46" t="str">
        <x:v>LME_025</x:v>
      </x:c>
      <x:c r="B758" s="46" t="str">
        <x:v>raw_filtered_tonnes</x:v>
      </x:c>
      <x:c r="C758" s="46" t="n">
        <x:v>429516.3330948258</x:v>
      </x:c>
      <x:c r="D758" s="46" t="str">
        <x:v>tonnes</x:v>
      </x:c>
    </x:row>
    <x:row r="759" ht="18" customHeight="1">
      <x:c r="A759" s="46" t="str">
        <x:v>LME_025</x:v>
      </x:c>
      <x:c r="B759" s="46" t="str">
        <x:v>species_catch_tonnes</x:v>
      </x:c>
      <x:c r="C759" s="46" t="n">
        <x:v>429516.3330948258</x:v>
      </x:c>
      <x:c r="D759" s="46" t="str">
        <x:v>tonnes</x:v>
      </x:c>
    </x:row>
    <x:row r="760" ht="18" customHeight="1">
      <x:c r="A760" s="46" t="str">
        <x:v>LME_025</x:v>
      </x:c>
      <x:c r="B760" s="46" t="str">
        <x:v>catch_difference_tonnes</x:v>
      </x:c>
      <x:c r="C760" s="46" t="n">
        <x:v>0</x:v>
      </x:c>
      <x:c r="D760" s="46" t="str">
        <x:v>tonnes</x:v>
      </x:c>
    </x:row>
    <x:row r="761" ht="18" customHeight="1">
      <x:c r="A761" s="46" t="str">
        <x:v>LME_025</x:v>
      </x:c>
      <x:c r="B761" s="46" t="str">
        <x:v>catch_reconciled</x:v>
      </x:c>
      <x:c r="C761" s="46" t="str">
        <x:v>True</x:v>
      </x:c>
      <x:c r="D761" s="46" t="str">
        <x:v>boolean</x:v>
      </x:c>
    </x:row>
    <x:row r="762" ht="18" customHeight="1">
      <x:c r="A762" s="46" t="str">
        <x:v>LME_025</x:v>
      </x:c>
      <x:c r="B762" s="46" t="str">
        <x:v>matched_catch_tonnes</x:v>
      </x:c>
      <x:c r="C762" s="46" t="n">
        <x:v>429516.3330948258</x:v>
      </x:c>
      <x:c r="D762" s="46" t="str">
        <x:v>tonnes</x:v>
      </x:c>
    </x:row>
    <x:row r="763" ht="18" customHeight="1">
      <x:c r="A763" s="46" t="str">
        <x:v>LME_025</x:v>
      </x:c>
      <x:c r="B763" s="46" t="str">
        <x:v>catch_coverage_fraction</x:v>
      </x:c>
      <x:c r="C763" s="46" t="n">
        <x:v>1</x:v>
      </x:c>
      <x:c r="D763" s="46" t="str">
        <x:v>fraction</x:v>
      </x:c>
    </x:row>
    <x:row r="764" ht="18" customHeight="1">
      <x:c r="A764" s="46" t="str">
        <x:v>LME_025</x:v>
      </x:c>
      <x:c r="B764" s="46" t="str">
        <x:v>taxa_count</x:v>
      </x:c>
      <x:c r="C764" s="46" t="n">
        <x:v>432</x:v>
      </x:c>
      <x:c r="D764" s="46" t="str">
        <x:v>count</x:v>
      </x:c>
    </x:row>
    <x:row r="765" ht="18" customHeight="1">
      <x:c r="A765" s="46" t="str">
        <x:v>LME_025</x:v>
      </x:c>
      <x:c r="B765" s="46" t="str">
        <x:v>matched_taxa_count</x:v>
      </x:c>
      <x:c r="C765" s="46" t="n">
        <x:v>432</x:v>
      </x:c>
      <x:c r="D765" s="46" t="str">
        <x:v>count</x:v>
      </x:c>
    </x:row>
    <x:row r="766" ht="18" customHeight="1">
      <x:c r="A766" s="46" t="str">
        <x:v>LME_025</x:v>
      </x:c>
      <x:c r="B766" s="46" t="str">
        <x:v>unmatched_taxa_count</x:v>
      </x:c>
      <x:c r="C766" s="46" t="n">
        <x:v>0</x:v>
      </x:c>
      <x:c r="D766" s="46" t="str">
        <x:v>count</x:v>
      </x:c>
    </x:row>
    <x:row r="767" ht="18" customHeight="1">
      <x:c r="A767" s="46" t="str">
        <x:v>LME_025</x:v>
      </x:c>
      <x:c r="B767" s="46" t="str">
        <x:v>species_ppr</x:v>
      </x:c>
      <x:c r="C767" s="46" t="n">
        <x:v>350502389.2247894</x:v>
      </x:c>
      <x:c r="D767" s="46" t="str">
        <x:v>tonnes_primary_production_equivalent</x:v>
      </x:c>
    </x:row>
    <x:row r="768" ht="18" customHeight="1">
      <x:c r="A768" s="46" t="str">
        <x:v>LME_025</x:v>
      </x:c>
      <x:c r="B768" s="46" t="str">
        <x:v>commercial_ppr</x:v>
      </x:c>
      <x:c r="C768" s="46" t="n">
        <x:v>350502389.2247894</x:v>
      </x:c>
      <x:c r="D768" s="46" t="str">
        <x:v>tonnes_primary_production_equivalent</x:v>
      </x:c>
    </x:row>
    <x:row r="769" ht="18" customHeight="1">
      <x:c r="A769" s="46" t="str">
        <x:v>LME_025</x:v>
      </x:c>
      <x:c r="B769" s="46" t="str">
        <x:v>functional_ppr</x:v>
      </x:c>
      <x:c r="C769" s="46" t="n">
        <x:v>350502389.22478944</x:v>
      </x:c>
      <x:c r="D769" s="46" t="str">
        <x:v>tonnes_primary_production_equivalent</x:v>
      </x:c>
    </x:row>
    <x:row r="770" ht="18" customHeight="1">
      <x:c r="A770" s="46" t="str">
        <x:v>LME_025</x:v>
      </x:c>
      <x:c r="B770" s="46" t="str">
        <x:v>commercial_ppr_difference</x:v>
      </x:c>
      <x:c r="C770" s="46" t="n">
        <x:v>0</x:v>
      </x:c>
      <x:c r="D770" s="46" t="str">
        <x:v>tonnes_primary_production_equivalent</x:v>
      </x:c>
    </x:row>
    <x:row r="771" ht="18" customHeight="1">
      <x:c r="A771" s="46" t="str">
        <x:v>LME_025</x:v>
      </x:c>
      <x:c r="B771" s="46" t="str">
        <x:v>functional_ppr_difference</x:v>
      </x:c>
      <x:c r="C771" s="46" t="n">
        <x:v>5.960464477539063e-8</x:v>
      </x:c>
      <x:c r="D771" s="46" t="str">
        <x:v>tonnes_primary_production_equivalent</x:v>
      </x:c>
    </x:row>
    <x:row r="772" ht="18" customHeight="1">
      <x:c r="A772" s="46" t="str">
        <x:v>LME_025</x:v>
      </x:c>
      <x:c r="B772" s="46" t="str">
        <x:v>commercial_ppr_reconciled</x:v>
      </x:c>
      <x:c r="C772" s="46" t="str">
        <x:v>True</x:v>
      </x:c>
      <x:c r="D772" s="46" t="str">
        <x:v>boolean</x:v>
      </x:c>
    </x:row>
    <x:row r="773" ht="18" customHeight="1">
      <x:c r="A773" s="46" t="str">
        <x:v>LME_025</x:v>
      </x:c>
      <x:c r="B773" s="46" t="str">
        <x:v>functional_ppr_reconciled</x:v>
      </x:c>
      <x:c r="C773" s="46" t="str">
        <x:v>True</x:v>
      </x:c>
      <x:c r="D773" s="46" t="str">
        <x:v>boolean</x:v>
      </x:c>
    </x:row>
    <x:row r="774" ht="18" customHeight="1">
      <x:c r="A774" s="46" t="str">
        <x:v>LME_025</x:v>
      </x:c>
      <x:c r="B774" s="46" t="str">
        <x:v>commercial_jensen_violations</x:v>
      </x:c>
      <x:c r="C774" s="46" t="n">
        <x:v>0</x:v>
      </x:c>
      <x:c r="D774" s="46" t="str">
        <x:v>count</x:v>
      </x:c>
    </x:row>
    <x:row r="775" ht="18" customHeight="1">
      <x:c r="A775" s="46" t="str">
        <x:v>LME_025</x:v>
      </x:c>
      <x:c r="B775" s="46" t="str">
        <x:v>functional_jensen_violations</x:v>
      </x:c>
      <x:c r="C775" s="46" t="n">
        <x:v>0</x:v>
      </x:c>
      <x:c r="D775" s="46" t="str">
        <x:v>count</x:v>
      </x:c>
    </x:row>
    <x:row r="776" ht="18" customHeight="1">
      <x:c r="A776" s="46" t="str">
        <x:v>LME_026</x:v>
      </x:c>
      <x:c r="B776" s="46" t="str">
        <x:v>raw_filtered_tonnes</x:v>
      </x:c>
      <x:c r="C776" s="46" t="n">
        <x:v>1487741.6269238535</x:v>
      </x:c>
      <x:c r="D776" s="46" t="str">
        <x:v>tonnes</x:v>
      </x:c>
    </x:row>
    <x:row r="777" ht="18" customHeight="1">
      <x:c r="A777" s="46" t="str">
        <x:v>LME_026</x:v>
      </x:c>
      <x:c r="B777" s="46" t="str">
        <x:v>species_catch_tonnes</x:v>
      </x:c>
      <x:c r="C777" s="46" t="n">
        <x:v>1487741.6269238535</x:v>
      </x:c>
      <x:c r="D777" s="46" t="str">
        <x:v>tonnes</x:v>
      </x:c>
    </x:row>
    <x:row r="778" ht="18" customHeight="1">
      <x:c r="A778" s="46" t="str">
        <x:v>LME_026</x:v>
      </x:c>
      <x:c r="B778" s="46" t="str">
        <x:v>catch_difference_tonnes</x:v>
      </x:c>
      <x:c r="C778" s="46" t="n">
        <x:v>0</x:v>
      </x:c>
      <x:c r="D778" s="46" t="str">
        <x:v>tonnes</x:v>
      </x:c>
    </x:row>
    <x:row r="779" ht="18" customHeight="1">
      <x:c r="A779" s="46" t="str">
        <x:v>LME_026</x:v>
      </x:c>
      <x:c r="B779" s="46" t="str">
        <x:v>catch_reconciled</x:v>
      </x:c>
      <x:c r="C779" s="46" t="str">
        <x:v>True</x:v>
      </x:c>
      <x:c r="D779" s="46" t="str">
        <x:v>boolean</x:v>
      </x:c>
    </x:row>
    <x:row r="780" ht="18" customHeight="1">
      <x:c r="A780" s="46" t="str">
        <x:v>LME_026</x:v>
      </x:c>
      <x:c r="B780" s="46" t="str">
        <x:v>matched_catch_tonnes</x:v>
      </x:c>
      <x:c r="C780" s="46" t="n">
        <x:v>1487741.6269238535</x:v>
      </x:c>
      <x:c r="D780" s="46" t="str">
        <x:v>tonnes</x:v>
      </x:c>
    </x:row>
    <x:row r="781" ht="18" customHeight="1">
      <x:c r="A781" s="46" t="str">
        <x:v>LME_026</x:v>
      </x:c>
      <x:c r="B781" s="46" t="str">
        <x:v>catch_coverage_fraction</x:v>
      </x:c>
      <x:c r="C781" s="46" t="n">
        <x:v>1</x:v>
      </x:c>
      <x:c r="D781" s="46" t="str">
        <x:v>fraction</x:v>
      </x:c>
    </x:row>
    <x:row r="782" ht="18" customHeight="1">
      <x:c r="A782" s="46" t="str">
        <x:v>LME_026</x:v>
      </x:c>
      <x:c r="B782" s="46" t="str">
        <x:v>taxa_count</x:v>
      </x:c>
      <x:c r="C782" s="46" t="n">
        <x:v>482</x:v>
      </x:c>
      <x:c r="D782" s="46" t="str">
        <x:v>count</x:v>
      </x:c>
    </x:row>
    <x:row r="783" ht="18" customHeight="1">
      <x:c r="A783" s="46" t="str">
        <x:v>LME_026</x:v>
      </x:c>
      <x:c r="B783" s="46" t="str">
        <x:v>matched_taxa_count</x:v>
      </x:c>
      <x:c r="C783" s="46" t="n">
        <x:v>482</x:v>
      </x:c>
      <x:c r="D783" s="46" t="str">
        <x:v>count</x:v>
      </x:c>
    </x:row>
    <x:row r="784" ht="18" customHeight="1">
      <x:c r="A784" s="46" t="str">
        <x:v>LME_026</x:v>
      </x:c>
      <x:c r="B784" s="46" t="str">
        <x:v>unmatched_taxa_count</x:v>
      </x:c>
      <x:c r="C784" s="46" t="n">
        <x:v>0</x:v>
      </x:c>
      <x:c r="D784" s="46" t="str">
        <x:v>count</x:v>
      </x:c>
    </x:row>
    <x:row r="785" ht="18" customHeight="1">
      <x:c r="A785" s="46" t="str">
        <x:v>LME_026</x:v>
      </x:c>
      <x:c r="B785" s="46" t="str">
        <x:v>species_ppr</x:v>
      </x:c>
      <x:c r="C785" s="46" t="n">
        <x:v>1007915797.3835726</x:v>
      </x:c>
      <x:c r="D785" s="46" t="str">
        <x:v>tonnes_primary_production_equivalent</x:v>
      </x:c>
    </x:row>
    <x:row r="786" ht="18" customHeight="1">
      <x:c r="A786" s="46" t="str">
        <x:v>LME_026</x:v>
      </x:c>
      <x:c r="B786" s="46" t="str">
        <x:v>commercial_ppr</x:v>
      </x:c>
      <x:c r="C786" s="46" t="n">
        <x:v>1007915797.3835725</x:v>
      </x:c>
      <x:c r="D786" s="46" t="str">
        <x:v>tonnes_primary_production_equivalent</x:v>
      </x:c>
    </x:row>
    <x:row r="787" ht="18" customHeight="1">
      <x:c r="A787" s="46" t="str">
        <x:v>LME_026</x:v>
      </x:c>
      <x:c r="B787" s="46" t="str">
        <x:v>functional_ppr</x:v>
      </x:c>
      <x:c r="C787" s="46" t="n">
        <x:v>1007915797.3835725</x:v>
      </x:c>
      <x:c r="D787" s="46" t="str">
        <x:v>tonnes_primary_production_equivalent</x:v>
      </x:c>
    </x:row>
    <x:row r="788" ht="18" customHeight="1">
      <x:c r="A788" s="46" t="str">
        <x:v>LME_026</x:v>
      </x:c>
      <x:c r="B788" s="46" t="str">
        <x:v>commercial_ppr_difference</x:v>
      </x:c>
      <x:c r="C788" s="46" t="n">
        <x:v>-1.1920928955078125e-7</x:v>
      </x:c>
      <x:c r="D788" s="46" t="str">
        <x:v>tonnes_primary_production_equivalent</x:v>
      </x:c>
    </x:row>
    <x:row r="789" ht="18" customHeight="1">
      <x:c r="A789" s="46" t="str">
        <x:v>LME_026</x:v>
      </x:c>
      <x:c r="B789" s="46" t="str">
        <x:v>functional_ppr_difference</x:v>
      </x:c>
      <x:c r="C789" s="46" t="n">
        <x:v>-1.1920928955078125e-7</x:v>
      </x:c>
      <x:c r="D789" s="46" t="str">
        <x:v>tonnes_primary_production_equivalent</x:v>
      </x:c>
    </x:row>
    <x:row r="790" ht="18" customHeight="1">
      <x:c r="A790" s="46" t="str">
        <x:v>LME_026</x:v>
      </x:c>
      <x:c r="B790" s="46" t="str">
        <x:v>commercial_ppr_reconciled</x:v>
      </x:c>
      <x:c r="C790" s="46" t="str">
        <x:v>True</x:v>
      </x:c>
      <x:c r="D790" s="46" t="str">
        <x:v>boolean</x:v>
      </x:c>
    </x:row>
    <x:row r="791" ht="18" customHeight="1">
      <x:c r="A791" s="46" t="str">
        <x:v>LME_026</x:v>
      </x:c>
      <x:c r="B791" s="46" t="str">
        <x:v>functional_ppr_reconciled</x:v>
      </x:c>
      <x:c r="C791" s="46" t="str">
        <x:v>True</x:v>
      </x:c>
      <x:c r="D791" s="46" t="str">
        <x:v>boolean</x:v>
      </x:c>
    </x:row>
    <x:row r="792" ht="18" customHeight="1">
      <x:c r="A792" s="46" t="str">
        <x:v>LME_026</x:v>
      </x:c>
      <x:c r="B792" s="46" t="str">
        <x:v>commercial_jensen_violations</x:v>
      </x:c>
      <x:c r="C792" s="46" t="n">
        <x:v>0</x:v>
      </x:c>
      <x:c r="D792" s="46" t="str">
        <x:v>count</x:v>
      </x:c>
    </x:row>
    <x:row r="793" ht="18" customHeight="1">
      <x:c r="A793" s="46" t="str">
        <x:v>LME_026</x:v>
      </x:c>
      <x:c r="B793" s="46" t="str">
        <x:v>functional_jensen_violations</x:v>
      </x:c>
      <x:c r="C793" s="46" t="n">
        <x:v>0</x:v>
      </x:c>
      <x:c r="D793" s="46" t="str">
        <x:v>count</x:v>
      </x:c>
    </x:row>
    <x:row r="794" ht="18" customHeight="1">
      <x:c r="A794" s="46" t="str">
        <x:v>LME_027</x:v>
      </x:c>
      <x:c r="B794" s="46" t="str">
        <x:v>raw_filtered_tonnes</x:v>
      </x:c>
      <x:c r="C794" s="46" t="n">
        <x:v>5771015.257329413</x:v>
      </x:c>
      <x:c r="D794" s="46" t="str">
        <x:v>tonnes</x:v>
      </x:c>
    </x:row>
    <x:row r="795" ht="18" customHeight="1">
      <x:c r="A795" s="46" t="str">
        <x:v>LME_027</x:v>
      </x:c>
      <x:c r="B795" s="46" t="str">
        <x:v>species_catch_tonnes</x:v>
      </x:c>
      <x:c r="C795" s="46" t="n">
        <x:v>5771015.257329415</x:v>
      </x:c>
      <x:c r="D795" s="46" t="str">
        <x:v>tonnes</x:v>
      </x:c>
    </x:row>
    <x:row r="796" ht="18" customHeight="1">
      <x:c r="A796" s="46" t="str">
        <x:v>LME_027</x:v>
      </x:c>
      <x:c r="B796" s="46" t="str">
        <x:v>catch_difference_tonnes</x:v>
      </x:c>
      <x:c r="C796" s="46" t="n">
        <x:v>1.862645149230957e-9</x:v>
      </x:c>
      <x:c r="D796" s="46" t="str">
        <x:v>tonnes</x:v>
      </x:c>
    </x:row>
    <x:row r="797" ht="18" customHeight="1">
      <x:c r="A797" s="46" t="str">
        <x:v>LME_027</x:v>
      </x:c>
      <x:c r="B797" s="46" t="str">
        <x:v>catch_reconciled</x:v>
      </x:c>
      <x:c r="C797" s="46" t="str">
        <x:v>True</x:v>
      </x:c>
      <x:c r="D797" s="46" t="str">
        <x:v>boolean</x:v>
      </x:c>
    </x:row>
    <x:row r="798" ht="18" customHeight="1">
      <x:c r="A798" s="46" t="str">
        <x:v>LME_027</x:v>
      </x:c>
      <x:c r="B798" s="46" t="str">
        <x:v>matched_catch_tonnes</x:v>
      </x:c>
      <x:c r="C798" s="46" t="n">
        <x:v>5771015.257329415</x:v>
      </x:c>
      <x:c r="D798" s="46" t="str">
        <x:v>tonnes</x:v>
      </x:c>
    </x:row>
    <x:row r="799" ht="18" customHeight="1">
      <x:c r="A799" s="46" t="str">
        <x:v>LME_027</x:v>
      </x:c>
      <x:c r="B799" s="46" t="str">
        <x:v>catch_coverage_fraction</x:v>
      </x:c>
      <x:c r="C799" s="46" t="n">
        <x:v>1</x:v>
      </x:c>
      <x:c r="D799" s="46" t="str">
        <x:v>fraction</x:v>
      </x:c>
    </x:row>
    <x:row r="800" ht="18" customHeight="1">
      <x:c r="A800" s="46" t="str">
        <x:v>LME_027</x:v>
      </x:c>
      <x:c r="B800" s="46" t="str">
        <x:v>taxa_count</x:v>
      </x:c>
      <x:c r="C800" s="46" t="n">
        <x:v>412</x:v>
      </x:c>
      <x:c r="D800" s="46" t="str">
        <x:v>count</x:v>
      </x:c>
    </x:row>
    <x:row r="801" ht="18" customHeight="1">
      <x:c r="A801" s="46" t="str">
        <x:v>LME_027</x:v>
      </x:c>
      <x:c r="B801" s="46" t="str">
        <x:v>matched_taxa_count</x:v>
      </x:c>
      <x:c r="C801" s="46" t="n">
        <x:v>412</x:v>
      </x:c>
      <x:c r="D801" s="46" t="str">
        <x:v>count</x:v>
      </x:c>
    </x:row>
    <x:row r="802" ht="18" customHeight="1">
      <x:c r="A802" s="46" t="str">
        <x:v>LME_027</x:v>
      </x:c>
      <x:c r="B802" s="46" t="str">
        <x:v>unmatched_taxa_count</x:v>
      </x:c>
      <x:c r="C802" s="46" t="n">
        <x:v>0</x:v>
      </x:c>
      <x:c r="D802" s="46" t="str">
        <x:v>count</x:v>
      </x:c>
    </x:row>
    <x:row r="803" ht="18" customHeight="1">
      <x:c r="A803" s="46" t="str">
        <x:v>LME_027</x:v>
      </x:c>
      <x:c r="B803" s="46" t="str">
        <x:v>species_ppr</x:v>
      </x:c>
      <x:c r="C803" s="46" t="n">
        <x:v>2359485422.816173</x:v>
      </x:c>
      <x:c r="D803" s="46" t="str">
        <x:v>tonnes_primary_production_equivalent</x:v>
      </x:c>
    </x:row>
    <x:row r="804" ht="18" customHeight="1">
      <x:c r="A804" s="46" t="str">
        <x:v>LME_027</x:v>
      </x:c>
      <x:c r="B804" s="46" t="str">
        <x:v>commercial_ppr</x:v>
      </x:c>
      <x:c r="C804" s="46" t="n">
        <x:v>2359485422.8161726</x:v>
      </x:c>
      <x:c r="D804" s="46" t="str">
        <x:v>tonnes_primary_production_equivalent</x:v>
      </x:c>
    </x:row>
    <x:row r="805" ht="18" customHeight="1">
      <x:c r="A805" s="46" t="str">
        <x:v>LME_027</x:v>
      </x:c>
      <x:c r="B805" s="46" t="str">
        <x:v>functional_ppr</x:v>
      </x:c>
      <x:c r="C805" s="46" t="n">
        <x:v>2359485422.8161726</x:v>
      </x:c>
      <x:c r="D805" s="46" t="str">
        <x:v>tonnes_primary_production_equivalent</x:v>
      </x:c>
    </x:row>
    <x:row r="806" ht="18" customHeight="1">
      <x:c r="A806" s="46" t="str">
        <x:v>LME_027</x:v>
      </x:c>
      <x:c r="B806" s="46" t="str">
        <x:v>commercial_ppr_difference</x:v>
      </x:c>
      <x:c r="C806" s="46" t="n">
        <x:v>-4.76837158203125e-7</x:v>
      </x:c>
      <x:c r="D806" s="46" t="str">
        <x:v>tonnes_primary_production_equivalent</x:v>
      </x:c>
    </x:row>
    <x:row r="807" ht="18" customHeight="1">
      <x:c r="A807" s="46" t="str">
        <x:v>LME_027</x:v>
      </x:c>
      <x:c r="B807" s="46" t="str">
        <x:v>functional_ppr_difference</x:v>
      </x:c>
      <x:c r="C807" s="46" t="n">
        <x:v>-4.76837158203125e-7</x:v>
      </x:c>
      <x:c r="D807" s="46" t="str">
        <x:v>tonnes_primary_production_equivalent</x:v>
      </x:c>
    </x:row>
    <x:row r="808" ht="18" customHeight="1">
      <x:c r="A808" s="46" t="str">
        <x:v>LME_027</x:v>
      </x:c>
      <x:c r="B808" s="46" t="str">
        <x:v>commercial_ppr_reconciled</x:v>
      </x:c>
      <x:c r="C808" s="46" t="str">
        <x:v>True</x:v>
      </x:c>
      <x:c r="D808" s="46" t="str">
        <x:v>boolean</x:v>
      </x:c>
    </x:row>
    <x:row r="809" ht="18" customHeight="1">
      <x:c r="A809" s="46" t="str">
        <x:v>LME_027</x:v>
      </x:c>
      <x:c r="B809" s="46" t="str">
        <x:v>functional_ppr_reconciled</x:v>
      </x:c>
      <x:c r="C809" s="46" t="str">
        <x:v>True</x:v>
      </x:c>
      <x:c r="D809" s="46" t="str">
        <x:v>boolean</x:v>
      </x:c>
    </x:row>
    <x:row r="810" ht="18" customHeight="1">
      <x:c r="A810" s="46" t="str">
        <x:v>LME_027</x:v>
      </x:c>
      <x:c r="B810" s="46" t="str">
        <x:v>commercial_jensen_violations</x:v>
      </x:c>
      <x:c r="C810" s="46" t="n">
        <x:v>0</x:v>
      </x:c>
      <x:c r="D810" s="46" t="str">
        <x:v>count</x:v>
      </x:c>
    </x:row>
    <x:row r="811" ht="18" customHeight="1">
      <x:c r="A811" s="46" t="str">
        <x:v>LME_027</x:v>
      </x:c>
      <x:c r="B811" s="46" t="str">
        <x:v>functional_jensen_violations</x:v>
      </x:c>
      <x:c r="C811" s="46" t="n">
        <x:v>0</x:v>
      </x:c>
      <x:c r="D811" s="46" t="str">
        <x:v>count</x:v>
      </x:c>
    </x:row>
    <x:row r="812" ht="18" customHeight="1">
      <x:c r="A812" s="46" t="str">
        <x:v>LME_028</x:v>
      </x:c>
      <x:c r="B812" s="46" t="str">
        <x:v>raw_filtered_tonnes</x:v>
      </x:c>
      <x:c r="C812" s="46" t="n">
        <x:v>4469154.981144244</x:v>
      </x:c>
      <x:c r="D812" s="46" t="str">
        <x:v>tonnes</x:v>
      </x:c>
    </x:row>
    <x:row r="813" ht="18" customHeight="1">
      <x:c r="A813" s="46" t="str">
        <x:v>LME_028</x:v>
      </x:c>
      <x:c r="B813" s="46" t="str">
        <x:v>species_catch_tonnes</x:v>
      </x:c>
      <x:c r="C813" s="46" t="n">
        <x:v>4469154.981144243</x:v>
      </x:c>
      <x:c r="D813" s="46" t="str">
        <x:v>tonnes</x:v>
      </x:c>
    </x:row>
    <x:row r="814" ht="18" customHeight="1">
      <x:c r="A814" s="46" t="str">
        <x:v>LME_028</x:v>
      </x:c>
      <x:c r="B814" s="46" t="str">
        <x:v>catch_difference_tonnes</x:v>
      </x:c>
      <x:c r="C814" s="46" t="n">
        <x:v>-9.313225746154785e-10</x:v>
      </x:c>
      <x:c r="D814" s="46" t="str">
        <x:v>tonnes</x:v>
      </x:c>
    </x:row>
    <x:row r="815" ht="18" customHeight="1">
      <x:c r="A815" s="46" t="str">
        <x:v>LME_028</x:v>
      </x:c>
      <x:c r="B815" s="46" t="str">
        <x:v>catch_reconciled</x:v>
      </x:c>
      <x:c r="C815" s="46" t="str">
        <x:v>True</x:v>
      </x:c>
      <x:c r="D815" s="46" t="str">
        <x:v>boolean</x:v>
      </x:c>
    </x:row>
    <x:row r="816" ht="18" customHeight="1">
      <x:c r="A816" s="46" t="str">
        <x:v>LME_028</x:v>
      </x:c>
      <x:c r="B816" s="46" t="str">
        <x:v>matched_catch_tonnes</x:v>
      </x:c>
      <x:c r="C816" s="46" t="n">
        <x:v>4469154.981144243</x:v>
      </x:c>
      <x:c r="D816" s="46" t="str">
        <x:v>tonnes</x:v>
      </x:c>
    </x:row>
    <x:row r="817" ht="18" customHeight="1">
      <x:c r="A817" s="46" t="str">
        <x:v>LME_028</x:v>
      </x:c>
      <x:c r="B817" s="46" t="str">
        <x:v>catch_coverage_fraction</x:v>
      </x:c>
      <x:c r="C817" s="46" t="n">
        <x:v>1</x:v>
      </x:c>
      <x:c r="D817" s="46" t="str">
        <x:v>fraction</x:v>
      </x:c>
    </x:row>
    <x:row r="818" ht="18" customHeight="1">
      <x:c r="A818" s="46" t="str">
        <x:v>LME_028</x:v>
      </x:c>
      <x:c r="B818" s="46" t="str">
        <x:v>taxa_count</x:v>
      </x:c>
      <x:c r="C818" s="46" t="n">
        <x:v>325</x:v>
      </x:c>
      <x:c r="D818" s="46" t="str">
        <x:v>count</x:v>
      </x:c>
    </x:row>
    <x:row r="819" ht="18" customHeight="1">
      <x:c r="A819" s="46" t="str">
        <x:v>LME_028</x:v>
      </x:c>
      <x:c r="B819" s="46" t="str">
        <x:v>matched_taxa_count</x:v>
      </x:c>
      <x:c r="C819" s="46" t="n">
        <x:v>325</x:v>
      </x:c>
      <x:c r="D819" s="46" t="str">
        <x:v>count</x:v>
      </x:c>
    </x:row>
    <x:row r="820" ht="18" customHeight="1">
      <x:c r="A820" s="46" t="str">
        <x:v>LME_028</x:v>
      </x:c>
      <x:c r="B820" s="46" t="str">
        <x:v>unmatched_taxa_count</x:v>
      </x:c>
      <x:c r="C820" s="46" t="n">
        <x:v>0</x:v>
      </x:c>
      <x:c r="D820" s="46" t="str">
        <x:v>count</x:v>
      </x:c>
    </x:row>
    <x:row r="821" ht="18" customHeight="1">
      <x:c r="A821" s="46" t="str">
        <x:v>LME_028</x:v>
      </x:c>
      <x:c r="B821" s="46" t="str">
        <x:v>species_ppr</x:v>
      </x:c>
      <x:c r="C821" s="46" t="n">
        <x:v>2256398879.66561</x:v>
      </x:c>
      <x:c r="D821" s="46" t="str">
        <x:v>tonnes_primary_production_equivalent</x:v>
      </x:c>
    </x:row>
    <x:row r="822" ht="18" customHeight="1">
      <x:c r="A822" s="46" t="str">
        <x:v>LME_028</x:v>
      </x:c>
      <x:c r="B822" s="46" t="str">
        <x:v>commercial_ppr</x:v>
      </x:c>
      <x:c r="C822" s="46" t="n">
        <x:v>2256398879.6656094</x:v>
      </x:c>
      <x:c r="D822" s="46" t="str">
        <x:v>tonnes_primary_production_equivalent</x:v>
      </x:c>
    </x:row>
    <x:row r="823" ht="18" customHeight="1">
      <x:c r="A823" s="46" t="str">
        <x:v>LME_028</x:v>
      </x:c>
      <x:c r="B823" s="46" t="str">
        <x:v>functional_ppr</x:v>
      </x:c>
      <x:c r="C823" s="46" t="n">
        <x:v>2256398879.66561</x:v>
      </x:c>
      <x:c r="D823" s="46" t="str">
        <x:v>tonnes_primary_production_equivalent</x:v>
      </x:c>
    </x:row>
    <x:row r="824" ht="18" customHeight="1">
      <x:c r="A824" s="46" t="str">
        <x:v>LME_028</x:v>
      </x:c>
      <x:c r="B824" s="46" t="str">
        <x:v>commercial_ppr_difference</x:v>
      </x:c>
      <x:c r="C824" s="46" t="n">
        <x:v>-4.76837158203125e-7</x:v>
      </x:c>
      <x:c r="D824" s="46" t="str">
        <x:v>tonnes_primary_production_equivalent</x:v>
      </x:c>
    </x:row>
    <x:row r="825" ht="18" customHeight="1">
      <x:c r="A825" s="46" t="str">
        <x:v>LME_028</x:v>
      </x:c>
      <x:c r="B825" s="46" t="str">
        <x:v>functional_ppr_difference</x:v>
      </x:c>
      <x:c r="C825" s="46" t="n">
        <x:v>0</x:v>
      </x:c>
      <x:c r="D825" s="46" t="str">
        <x:v>tonnes_primary_production_equivalent</x:v>
      </x:c>
    </x:row>
    <x:row r="826" ht="18" customHeight="1">
      <x:c r="A826" s="46" t="str">
        <x:v>LME_028</x:v>
      </x:c>
      <x:c r="B826" s="46" t="str">
        <x:v>commercial_ppr_reconciled</x:v>
      </x:c>
      <x:c r="C826" s="46" t="str">
        <x:v>True</x:v>
      </x:c>
      <x:c r="D826" s="46" t="str">
        <x:v>boolean</x:v>
      </x:c>
    </x:row>
    <x:row r="827" ht="18" customHeight="1">
      <x:c r="A827" s="46" t="str">
        <x:v>LME_028</x:v>
      </x:c>
      <x:c r="B827" s="46" t="str">
        <x:v>functional_ppr_reconciled</x:v>
      </x:c>
      <x:c r="C827" s="46" t="str">
        <x:v>True</x:v>
      </x:c>
      <x:c r="D827" s="46" t="str">
        <x:v>boolean</x:v>
      </x:c>
    </x:row>
    <x:row r="828" ht="18" customHeight="1">
      <x:c r="A828" s="46" t="str">
        <x:v>LME_028</x:v>
      </x:c>
      <x:c r="B828" s="46" t="str">
        <x:v>commercial_jensen_violations</x:v>
      </x:c>
      <x:c r="C828" s="46" t="n">
        <x:v>0</x:v>
      </x:c>
      <x:c r="D828" s="46" t="str">
        <x:v>count</x:v>
      </x:c>
    </x:row>
    <x:row r="829" ht="18" customHeight="1">
      <x:c r="A829" s="46" t="str">
        <x:v>LME_028</x:v>
      </x:c>
      <x:c r="B829" s="46" t="str">
        <x:v>functional_jensen_violations</x:v>
      </x:c>
      <x:c r="C829" s="46" t="n">
        <x:v>0</x:v>
      </x:c>
      <x:c r="D829" s="46" t="str">
        <x:v>count</x:v>
      </x:c>
    </x:row>
    <x:row r="830" ht="18" customHeight="1">
      <x:c r="A830" s="46" t="str">
        <x:v>LME_029</x:v>
      </x:c>
      <x:c r="B830" s="46" t="str">
        <x:v>raw_filtered_tonnes</x:v>
      </x:c>
      <x:c r="C830" s="46" t="n">
        <x:v>1592518.0818040827</x:v>
      </x:c>
      <x:c r="D830" s="46" t="str">
        <x:v>tonnes</x:v>
      </x:c>
    </x:row>
    <x:row r="831" ht="18" customHeight="1">
      <x:c r="A831" s="46" t="str">
        <x:v>LME_029</x:v>
      </x:c>
      <x:c r="B831" s="46" t="str">
        <x:v>species_catch_tonnes</x:v>
      </x:c>
      <x:c r="C831" s="46" t="n">
        <x:v>1592518.0818040825</x:v>
      </x:c>
      <x:c r="D831" s="46" t="str">
        <x:v>tonnes</x:v>
      </x:c>
    </x:row>
    <x:row r="832" ht="18" customHeight="1">
      <x:c r="A832" s="46" t="str">
        <x:v>LME_029</x:v>
      </x:c>
      <x:c r="B832" s="46" t="str">
        <x:v>catch_difference_tonnes</x:v>
      </x:c>
      <x:c r="C832" s="46" t="n">
        <x:v>-2.3283064365386963e-10</x:v>
      </x:c>
      <x:c r="D832" s="46" t="str">
        <x:v>tonnes</x:v>
      </x:c>
    </x:row>
    <x:row r="833" ht="18" customHeight="1">
      <x:c r="A833" s="46" t="str">
        <x:v>LME_029</x:v>
      </x:c>
      <x:c r="B833" s="46" t="str">
        <x:v>catch_reconciled</x:v>
      </x:c>
      <x:c r="C833" s="46" t="str">
        <x:v>True</x:v>
      </x:c>
      <x:c r="D833" s="46" t="str">
        <x:v>boolean</x:v>
      </x:c>
    </x:row>
    <x:row r="834" ht="18" customHeight="1">
      <x:c r="A834" s="46" t="str">
        <x:v>LME_029</x:v>
      </x:c>
      <x:c r="B834" s="46" t="str">
        <x:v>matched_catch_tonnes</x:v>
      </x:c>
      <x:c r="C834" s="46" t="n">
        <x:v>1592518.0818040825</x:v>
      </x:c>
      <x:c r="D834" s="46" t="str">
        <x:v>tonnes</x:v>
      </x:c>
    </x:row>
    <x:row r="835" ht="18" customHeight="1">
      <x:c r="A835" s="46" t="str">
        <x:v>LME_029</x:v>
      </x:c>
      <x:c r="B835" s="46" t="str">
        <x:v>catch_coverage_fraction</x:v>
      </x:c>
      <x:c r="C835" s="46" t="n">
        <x:v>1</x:v>
      </x:c>
      <x:c r="D835" s="46" t="str">
        <x:v>fraction</x:v>
      </x:c>
    </x:row>
    <x:row r="836" ht="18" customHeight="1">
      <x:c r="A836" s="46" t="str">
        <x:v>LME_029</x:v>
      </x:c>
      <x:c r="B836" s="46" t="str">
        <x:v>taxa_count</x:v>
      </x:c>
      <x:c r="C836" s="46" t="n">
        <x:v>147</x:v>
      </x:c>
      <x:c r="D836" s="46" t="str">
        <x:v>count</x:v>
      </x:c>
    </x:row>
    <x:row r="837" ht="18" customHeight="1">
      <x:c r="A837" s="46" t="str">
        <x:v>LME_029</x:v>
      </x:c>
      <x:c r="B837" s="46" t="str">
        <x:v>matched_taxa_count</x:v>
      </x:c>
      <x:c r="C837" s="46" t="n">
        <x:v>147</x:v>
      </x:c>
      <x:c r="D837" s="46" t="str">
        <x:v>count</x:v>
      </x:c>
    </x:row>
    <x:row r="838" ht="18" customHeight="1">
      <x:c r="A838" s="46" t="str">
        <x:v>LME_029</x:v>
      </x:c>
      <x:c r="B838" s="46" t="str">
        <x:v>unmatched_taxa_count</x:v>
      </x:c>
      <x:c r="C838" s="46" t="n">
        <x:v>0</x:v>
      </x:c>
      <x:c r="D838" s="46" t="str">
        <x:v>count</x:v>
      </x:c>
    </x:row>
    <x:row r="839" ht="18" customHeight="1">
      <x:c r="A839" s="46" t="str">
        <x:v>LME_029</x:v>
      </x:c>
      <x:c r="B839" s="46" t="str">
        <x:v>species_ppr</x:v>
      </x:c>
      <x:c r="C839" s="46" t="n">
        <x:v>997757338.2466873</x:v>
      </x:c>
      <x:c r="D839" s="46" t="str">
        <x:v>tonnes_primary_production_equivalent</x:v>
      </x:c>
    </x:row>
    <x:row r="840" ht="18" customHeight="1">
      <x:c r="A840" s="46" t="str">
        <x:v>LME_029</x:v>
      </x:c>
      <x:c r="B840" s="46" t="str">
        <x:v>commercial_ppr</x:v>
      </x:c>
      <x:c r="C840" s="46" t="n">
        <x:v>997757338.2466873</x:v>
      </x:c>
      <x:c r="D840" s="46" t="str">
        <x:v>tonnes_primary_production_equivalent</x:v>
      </x:c>
    </x:row>
    <x:row r="841" ht="18" customHeight="1">
      <x:c r="A841" s="46" t="str">
        <x:v>LME_029</x:v>
      </x:c>
      <x:c r="B841" s="46" t="str">
        <x:v>functional_ppr</x:v>
      </x:c>
      <x:c r="C841" s="46" t="n">
        <x:v>997757338.2466874</x:v>
      </x:c>
      <x:c r="D841" s="46" t="str">
        <x:v>tonnes_primary_production_equivalent</x:v>
      </x:c>
    </x:row>
    <x:row r="842" ht="18" customHeight="1">
      <x:c r="A842" s="46" t="str">
        <x:v>LME_029</x:v>
      </x:c>
      <x:c r="B842" s="46" t="str">
        <x:v>commercial_ppr_difference</x:v>
      </x:c>
      <x:c r="C842" s="46" t="n">
        <x:v>0</x:v>
      </x:c>
      <x:c r="D842" s="46" t="str">
        <x:v>tonnes_primary_production_equivalent</x:v>
      </x:c>
    </x:row>
    <x:row r="843" ht="18" customHeight="1">
      <x:c r="A843" s="46" t="str">
        <x:v>LME_029</x:v>
      </x:c>
      <x:c r="B843" s="46" t="str">
        <x:v>functional_ppr_difference</x:v>
      </x:c>
      <x:c r="C843" s="46" t="n">
        <x:v>1.1920928955078125e-7</x:v>
      </x:c>
      <x:c r="D843" s="46" t="str">
        <x:v>tonnes_primary_production_equivalent</x:v>
      </x:c>
    </x:row>
    <x:row r="844" ht="18" customHeight="1">
      <x:c r="A844" s="46" t="str">
        <x:v>LME_029</x:v>
      </x:c>
      <x:c r="B844" s="46" t="str">
        <x:v>commercial_ppr_reconciled</x:v>
      </x:c>
      <x:c r="C844" s="46" t="str">
        <x:v>True</x:v>
      </x:c>
      <x:c r="D844" s="46" t="str">
        <x:v>boolean</x:v>
      </x:c>
    </x:row>
    <x:row r="845" ht="18" customHeight="1">
      <x:c r="A845" s="46" t="str">
        <x:v>LME_029</x:v>
      </x:c>
      <x:c r="B845" s="46" t="str">
        <x:v>functional_ppr_reconciled</x:v>
      </x:c>
      <x:c r="C845" s="46" t="str">
        <x:v>True</x:v>
      </x:c>
      <x:c r="D845" s="46" t="str">
        <x:v>boolean</x:v>
      </x:c>
    </x:row>
    <x:row r="846" ht="18" customHeight="1">
      <x:c r="A846" s="46" t="str">
        <x:v>LME_029</x:v>
      </x:c>
      <x:c r="B846" s="46" t="str">
        <x:v>commercial_jensen_violations</x:v>
      </x:c>
      <x:c r="C846" s="46" t="n">
        <x:v>0</x:v>
      </x:c>
      <x:c r="D846" s="46" t="str">
        <x:v>count</x:v>
      </x:c>
    </x:row>
    <x:row r="847" ht="18" customHeight="1">
      <x:c r="A847" s="46" t="str">
        <x:v>LME_029</x:v>
      </x:c>
      <x:c r="B847" s="46" t="str">
        <x:v>functional_jensen_violations</x:v>
      </x:c>
      <x:c r="C847" s="46" t="n">
        <x:v>0</x:v>
      </x:c>
      <x:c r="D847" s="46" t="str">
        <x:v>count</x:v>
      </x:c>
    </x:row>
    <x:row r="848" ht="18" customHeight="1">
      <x:c r="A848" s="46" t="str">
        <x:v>LME_030</x:v>
      </x:c>
      <x:c r="B848" s="46" t="str">
        <x:v>raw_filtered_tonnes</x:v>
      </x:c>
      <x:c r="C848" s="46" t="n">
        <x:v>794215.4259763143</x:v>
      </x:c>
      <x:c r="D848" s="46" t="str">
        <x:v>tonnes</x:v>
      </x:c>
    </x:row>
    <x:row r="849" ht="18" customHeight="1">
      <x:c r="A849" s="46" t="str">
        <x:v>LME_030</x:v>
      </x:c>
      <x:c r="B849" s="46" t="str">
        <x:v>species_catch_tonnes</x:v>
      </x:c>
      <x:c r="C849" s="46" t="n">
        <x:v>794215.4259763142</x:v>
      </x:c>
      <x:c r="D849" s="46" t="str">
        <x:v>tonnes</x:v>
      </x:c>
    </x:row>
    <x:row r="850" ht="18" customHeight="1">
      <x:c r="A850" s="46" t="str">
        <x:v>LME_030</x:v>
      </x:c>
      <x:c r="B850" s="46" t="str">
        <x:v>catch_difference_tonnes</x:v>
      </x:c>
      <x:c r="C850" s="46" t="n">
        <x:v>-1.1641532182693481e-10</x:v>
      </x:c>
      <x:c r="D850" s="46" t="str">
        <x:v>tonnes</x:v>
      </x:c>
    </x:row>
    <x:row r="851" ht="18" customHeight="1">
      <x:c r="A851" s="46" t="str">
        <x:v>LME_030</x:v>
      </x:c>
      <x:c r="B851" s="46" t="str">
        <x:v>catch_reconciled</x:v>
      </x:c>
      <x:c r="C851" s="46" t="str">
        <x:v>True</x:v>
      </x:c>
      <x:c r="D851" s="46" t="str">
        <x:v>boolean</x:v>
      </x:c>
    </x:row>
    <x:row r="852" ht="18" customHeight="1">
      <x:c r="A852" s="46" t="str">
        <x:v>LME_030</x:v>
      </x:c>
      <x:c r="B852" s="46" t="str">
        <x:v>matched_catch_tonnes</x:v>
      </x:c>
      <x:c r="C852" s="46" t="n">
        <x:v>794215.4259763142</x:v>
      </x:c>
      <x:c r="D852" s="46" t="str">
        <x:v>tonnes</x:v>
      </x:c>
    </x:row>
    <x:row r="853" ht="18" customHeight="1">
      <x:c r="A853" s="46" t="str">
        <x:v>LME_030</x:v>
      </x:c>
      <x:c r="B853" s="46" t="str">
        <x:v>catch_coverage_fraction</x:v>
      </x:c>
      <x:c r="C853" s="46" t="n">
        <x:v>1</x:v>
      </x:c>
      <x:c r="D853" s="46" t="str">
        <x:v>fraction</x:v>
      </x:c>
    </x:row>
    <x:row r="854" ht="18" customHeight="1">
      <x:c r="A854" s="46" t="str">
        <x:v>LME_030</x:v>
      </x:c>
      <x:c r="B854" s="46" t="str">
        <x:v>taxa_count</x:v>
      </x:c>
      <x:c r="C854" s="46" t="n">
        <x:v>272</x:v>
      </x:c>
      <x:c r="D854" s="46" t="str">
        <x:v>count</x:v>
      </x:c>
    </x:row>
    <x:row r="855" ht="18" customHeight="1">
      <x:c r="A855" s="46" t="str">
        <x:v>LME_030</x:v>
      </x:c>
      <x:c r="B855" s="46" t="str">
        <x:v>matched_taxa_count</x:v>
      </x:c>
      <x:c r="C855" s="46" t="n">
        <x:v>272</x:v>
      </x:c>
      <x:c r="D855" s="46" t="str">
        <x:v>count</x:v>
      </x:c>
    </x:row>
    <x:row r="856" ht="18" customHeight="1">
      <x:c r="A856" s="46" t="str">
        <x:v>LME_030</x:v>
      </x:c>
      <x:c r="B856" s="46" t="str">
        <x:v>unmatched_taxa_count</x:v>
      </x:c>
      <x:c r="C856" s="46" t="n">
        <x:v>0</x:v>
      </x:c>
      <x:c r="D856" s="46" t="str">
        <x:v>count</x:v>
      </x:c>
    </x:row>
    <x:row r="857" ht="18" customHeight="1">
      <x:c r="A857" s="46" t="str">
        <x:v>LME_030</x:v>
      </x:c>
      <x:c r="B857" s="46" t="str">
        <x:v>species_ppr</x:v>
      </x:c>
      <x:c r="C857" s="46" t="n">
        <x:v>482169734.53988993</x:v>
      </x:c>
      <x:c r="D857" s="46" t="str">
        <x:v>tonnes_primary_production_equivalent</x:v>
      </x:c>
    </x:row>
    <x:row r="858" ht="18" customHeight="1">
      <x:c r="A858" s="46" t="str">
        <x:v>LME_030</x:v>
      </x:c>
      <x:c r="B858" s="46" t="str">
        <x:v>commercial_ppr</x:v>
      </x:c>
      <x:c r="C858" s="46" t="n">
        <x:v>482169734.5398899</x:v>
      </x:c>
      <x:c r="D858" s="46" t="str">
        <x:v>tonnes_primary_production_equivalent</x:v>
      </x:c>
    </x:row>
    <x:row r="859" ht="18" customHeight="1">
      <x:c r="A859" s="46" t="str">
        <x:v>LME_030</x:v>
      </x:c>
      <x:c r="B859" s="46" t="str">
        <x:v>functional_ppr</x:v>
      </x:c>
      <x:c r="C859" s="46" t="n">
        <x:v>482169734.53988993</x:v>
      </x:c>
      <x:c r="D859" s="46" t="str">
        <x:v>tonnes_primary_production_equivalent</x:v>
      </x:c>
    </x:row>
    <x:row r="860" ht="18" customHeight="1">
      <x:c r="A860" s="46" t="str">
        <x:v>LME_030</x:v>
      </x:c>
      <x:c r="B860" s="46" t="str">
        <x:v>commercial_ppr_difference</x:v>
      </x:c>
      <x:c r="C860" s="46" t="n">
        <x:v>-5.960464477539063e-8</x:v>
      </x:c>
      <x:c r="D860" s="46" t="str">
        <x:v>tonnes_primary_production_equivalent</x:v>
      </x:c>
    </x:row>
    <x:row r="861" ht="18" customHeight="1">
      <x:c r="A861" s="46" t="str">
        <x:v>LME_030</x:v>
      </x:c>
      <x:c r="B861" s="46" t="str">
        <x:v>functional_ppr_difference</x:v>
      </x:c>
      <x:c r="C861" s="46" t="n">
        <x:v>0</x:v>
      </x:c>
      <x:c r="D861" s="46" t="str">
        <x:v>tonnes_primary_production_equivalent</x:v>
      </x:c>
    </x:row>
    <x:row r="862" ht="18" customHeight="1">
      <x:c r="A862" s="46" t="str">
        <x:v>LME_030</x:v>
      </x:c>
      <x:c r="B862" s="46" t="str">
        <x:v>commercial_ppr_reconciled</x:v>
      </x:c>
      <x:c r="C862" s="46" t="str">
        <x:v>True</x:v>
      </x:c>
      <x:c r="D862" s="46" t="str">
        <x:v>boolean</x:v>
      </x:c>
    </x:row>
    <x:row r="863" ht="18" customHeight="1">
      <x:c r="A863" s="46" t="str">
        <x:v>LME_030</x:v>
      </x:c>
      <x:c r="B863" s="46" t="str">
        <x:v>functional_ppr_reconciled</x:v>
      </x:c>
      <x:c r="C863" s="46" t="str">
        <x:v>True</x:v>
      </x:c>
      <x:c r="D863" s="46" t="str">
        <x:v>boolean</x:v>
      </x:c>
    </x:row>
    <x:row r="864" ht="18" customHeight="1">
      <x:c r="A864" s="46" t="str">
        <x:v>LME_030</x:v>
      </x:c>
      <x:c r="B864" s="46" t="str">
        <x:v>commercial_jensen_violations</x:v>
      </x:c>
      <x:c r="C864" s="46" t="n">
        <x:v>0</x:v>
      </x:c>
      <x:c r="D864" s="46" t="str">
        <x:v>count</x:v>
      </x:c>
    </x:row>
    <x:row r="865" ht="18" customHeight="1">
      <x:c r="A865" s="46" t="str">
        <x:v>LME_030</x:v>
      </x:c>
      <x:c r="B865" s="46" t="str">
        <x:v>functional_jensen_violations</x:v>
      </x:c>
      <x:c r="C865" s="46" t="n">
        <x:v>0</x:v>
      </x:c>
      <x:c r="D865" s="46" t="str">
        <x:v>count</x:v>
      </x:c>
    </x:row>
    <x:row r="866" ht="18" customHeight="1">
      <x:c r="A866" s="46" t="str">
        <x:v>LME_031</x:v>
      </x:c>
      <x:c r="B866" s="46" t="str">
        <x:v>raw_filtered_tonnes</x:v>
      </x:c>
      <x:c r="C866" s="46" t="n">
        <x:v>237379.07863162042</x:v>
      </x:c>
      <x:c r="D866" s="46" t="str">
        <x:v>tonnes</x:v>
      </x:c>
    </x:row>
    <x:row r="867" ht="18" customHeight="1">
      <x:c r="A867" s="46" t="str">
        <x:v>LME_031</x:v>
      </x:c>
      <x:c r="B867" s="46" t="str">
        <x:v>species_catch_tonnes</x:v>
      </x:c>
      <x:c r="C867" s="46" t="n">
        <x:v>237379.07863162042</x:v>
      </x:c>
      <x:c r="D867" s="46" t="str">
        <x:v>tonnes</x:v>
      </x:c>
    </x:row>
    <x:row r="868" ht="18" customHeight="1">
      <x:c r="A868" s="46" t="str">
        <x:v>LME_031</x:v>
      </x:c>
      <x:c r="B868" s="46" t="str">
        <x:v>catch_difference_tonnes</x:v>
      </x:c>
      <x:c r="C868" s="46" t="n">
        <x:v>0</x:v>
      </x:c>
      <x:c r="D868" s="46" t="str">
        <x:v>tonnes</x:v>
      </x:c>
    </x:row>
    <x:row r="869" ht="18" customHeight="1">
      <x:c r="A869" s="46" t="str">
        <x:v>LME_031</x:v>
      </x:c>
      <x:c r="B869" s="46" t="str">
        <x:v>catch_reconciled</x:v>
      </x:c>
      <x:c r="C869" s="46" t="str">
        <x:v>True</x:v>
      </x:c>
      <x:c r="D869" s="46" t="str">
        <x:v>boolean</x:v>
      </x:c>
    </x:row>
    <x:row r="870" ht="18" customHeight="1">
      <x:c r="A870" s="46" t="str">
        <x:v>LME_031</x:v>
      </x:c>
      <x:c r="B870" s="46" t="str">
        <x:v>matched_catch_tonnes</x:v>
      </x:c>
      <x:c r="C870" s="46" t="n">
        <x:v>237379.07863162042</x:v>
      </x:c>
      <x:c r="D870" s="46" t="str">
        <x:v>tonnes</x:v>
      </x:c>
    </x:row>
    <x:row r="871" ht="18" customHeight="1">
      <x:c r="A871" s="46" t="str">
        <x:v>LME_031</x:v>
      </x:c>
      <x:c r="B871" s="46" t="str">
        <x:v>catch_coverage_fraction</x:v>
      </x:c>
      <x:c r="C871" s="46" t="n">
        <x:v>1</x:v>
      </x:c>
      <x:c r="D871" s="46" t="str">
        <x:v>fraction</x:v>
      </x:c>
    </x:row>
    <x:row r="872" ht="18" customHeight="1">
      <x:c r="A872" s="46" t="str">
        <x:v>LME_031</x:v>
      </x:c>
      <x:c r="B872" s="46" t="str">
        <x:v>taxa_count</x:v>
      </x:c>
      <x:c r="C872" s="46" t="n">
        <x:v>205</x:v>
      </x:c>
      <x:c r="D872" s="46" t="str">
        <x:v>count</x:v>
      </x:c>
    </x:row>
    <x:row r="873" ht="18" customHeight="1">
      <x:c r="A873" s="46" t="str">
        <x:v>LME_031</x:v>
      </x:c>
      <x:c r="B873" s="46" t="str">
        <x:v>matched_taxa_count</x:v>
      </x:c>
      <x:c r="C873" s="46" t="n">
        <x:v>205</x:v>
      </x:c>
      <x:c r="D873" s="46" t="str">
        <x:v>count</x:v>
      </x:c>
    </x:row>
    <x:row r="874" ht="18" customHeight="1">
      <x:c r="A874" s="46" t="str">
        <x:v>LME_031</x:v>
      </x:c>
      <x:c r="B874" s="46" t="str">
        <x:v>unmatched_taxa_count</x:v>
      </x:c>
      <x:c r="C874" s="46" t="n">
        <x:v>0</x:v>
      </x:c>
      <x:c r="D874" s="46" t="str">
        <x:v>count</x:v>
      </x:c>
    </x:row>
    <x:row r="875" ht="18" customHeight="1">
      <x:c r="A875" s="46" t="str">
        <x:v>LME_031</x:v>
      </x:c>
      <x:c r="B875" s="46" t="str">
        <x:v>species_ppr</x:v>
      </x:c>
      <x:c r="C875" s="46" t="n">
        <x:v>220033882.6044375</x:v>
      </x:c>
      <x:c r="D875" s="46" t="str">
        <x:v>tonnes_primary_production_equivalent</x:v>
      </x:c>
    </x:row>
    <x:row r="876" ht="18" customHeight="1">
      <x:c r="A876" s="46" t="str">
        <x:v>LME_031</x:v>
      </x:c>
      <x:c r="B876" s="46" t="str">
        <x:v>commercial_ppr</x:v>
      </x:c>
      <x:c r="C876" s="46" t="n">
        <x:v>220033882.60443753</x:v>
      </x:c>
      <x:c r="D876" s="46" t="str">
        <x:v>tonnes_primary_production_equivalent</x:v>
      </x:c>
    </x:row>
    <x:row r="877" ht="18" customHeight="1">
      <x:c r="A877" s="46" t="str">
        <x:v>LME_031</x:v>
      </x:c>
      <x:c r="B877" s="46" t="str">
        <x:v>functional_ppr</x:v>
      </x:c>
      <x:c r="C877" s="46" t="n">
        <x:v>220033882.6044375</x:v>
      </x:c>
      <x:c r="D877" s="46" t="str">
        <x:v>tonnes_primary_production_equivalent</x:v>
      </x:c>
    </x:row>
    <x:row r="878" ht="18" customHeight="1">
      <x:c r="A878" s="46" t="str">
        <x:v>LME_031</x:v>
      </x:c>
      <x:c r="B878" s="46" t="str">
        <x:v>commercial_ppr_difference</x:v>
      </x:c>
      <x:c r="C878" s="46" t="n">
        <x:v>2.9802322387695312e-8</x:v>
      </x:c>
      <x:c r="D878" s="46" t="str">
        <x:v>tonnes_primary_production_equivalent</x:v>
      </x:c>
    </x:row>
    <x:row r="879" ht="18" customHeight="1">
      <x:c r="A879" s="46" t="str">
        <x:v>LME_031</x:v>
      </x:c>
      <x:c r="B879" s="46" t="str">
        <x:v>functional_ppr_difference</x:v>
      </x:c>
      <x:c r="C879" s="46" t="n">
        <x:v>0</x:v>
      </x:c>
      <x:c r="D879" s="46" t="str">
        <x:v>tonnes_primary_production_equivalent</x:v>
      </x:c>
    </x:row>
    <x:row r="880" ht="18" customHeight="1">
      <x:c r="A880" s="46" t="str">
        <x:v>LME_031</x:v>
      </x:c>
      <x:c r="B880" s="46" t="str">
        <x:v>commercial_ppr_reconciled</x:v>
      </x:c>
      <x:c r="C880" s="46" t="str">
        <x:v>True</x:v>
      </x:c>
      <x:c r="D880" s="46" t="str">
        <x:v>boolean</x:v>
      </x:c>
    </x:row>
    <x:row r="881" ht="18" customHeight="1">
      <x:c r="A881" s="46" t="str">
        <x:v>LME_031</x:v>
      </x:c>
      <x:c r="B881" s="46" t="str">
        <x:v>functional_ppr_reconciled</x:v>
      </x:c>
      <x:c r="C881" s="46" t="str">
        <x:v>True</x:v>
      </x:c>
      <x:c r="D881" s="46" t="str">
        <x:v>boolean</x:v>
      </x:c>
    </x:row>
    <x:row r="882" ht="18" customHeight="1">
      <x:c r="A882" s="46" t="str">
        <x:v>LME_031</x:v>
      </x:c>
      <x:c r="B882" s="46" t="str">
        <x:v>commercial_jensen_violations</x:v>
      </x:c>
      <x:c r="C882" s="46" t="n">
        <x:v>0</x:v>
      </x:c>
      <x:c r="D882" s="46" t="str">
        <x:v>count</x:v>
      </x:c>
    </x:row>
    <x:row r="883" ht="18" customHeight="1">
      <x:c r="A883" s="46" t="str">
        <x:v>LME_031</x:v>
      </x:c>
      <x:c r="B883" s="46" t="str">
        <x:v>functional_jensen_violations</x:v>
      </x:c>
      <x:c r="C883" s="46" t="n">
        <x:v>0</x:v>
      </x:c>
      <x:c r="D883" s="46" t="str">
        <x:v>count</x:v>
      </x:c>
    </x:row>
    <x:row r="884" ht="18" customHeight="1">
      <x:c r="A884" s="46" t="str">
        <x:v>LME_032</x:v>
      </x:c>
      <x:c r="B884" s="46" t="str">
        <x:v>raw_filtered_tonnes</x:v>
      </x:c>
      <x:c r="C884" s="46" t="n">
        <x:v>5436428.793803818</x:v>
      </x:c>
      <x:c r="D884" s="46" t="str">
        <x:v>tonnes</x:v>
      </x:c>
    </x:row>
    <x:row r="885" ht="18" customHeight="1">
      <x:c r="A885" s="46" t="str">
        <x:v>LME_032</x:v>
      </x:c>
      <x:c r="B885" s="46" t="str">
        <x:v>species_catch_tonnes</x:v>
      </x:c>
      <x:c r="C885" s="46" t="n">
        <x:v>5436428.793803818</x:v>
      </x:c>
      <x:c r="D885" s="46" t="str">
        <x:v>tonnes</x:v>
      </x:c>
    </x:row>
    <x:row r="886" ht="18" customHeight="1">
      <x:c r="A886" s="46" t="str">
        <x:v>LME_032</x:v>
      </x:c>
      <x:c r="B886" s="46" t="str">
        <x:v>catch_difference_tonnes</x:v>
      </x:c>
      <x:c r="C886" s="46" t="n">
        <x:v>0</x:v>
      </x:c>
      <x:c r="D886" s="46" t="str">
        <x:v>tonnes</x:v>
      </x:c>
    </x:row>
    <x:row r="887" ht="18" customHeight="1">
      <x:c r="A887" s="46" t="str">
        <x:v>LME_032</x:v>
      </x:c>
      <x:c r="B887" s="46" t="str">
        <x:v>catch_reconciled</x:v>
      </x:c>
      <x:c r="C887" s="46" t="str">
        <x:v>True</x:v>
      </x:c>
      <x:c r="D887" s="46" t="str">
        <x:v>boolean</x:v>
      </x:c>
    </x:row>
    <x:row r="888" ht="18" customHeight="1">
      <x:c r="A888" s="46" t="str">
        <x:v>LME_032</x:v>
      </x:c>
      <x:c r="B888" s="46" t="str">
        <x:v>matched_catch_tonnes</x:v>
      </x:c>
      <x:c r="C888" s="46" t="n">
        <x:v>5436428.793803818</x:v>
      </x:c>
      <x:c r="D888" s="46" t="str">
        <x:v>tonnes</x:v>
      </x:c>
    </x:row>
    <x:row r="889" ht="18" customHeight="1">
      <x:c r="A889" s="46" t="str">
        <x:v>LME_032</x:v>
      </x:c>
      <x:c r="B889" s="46" t="str">
        <x:v>catch_coverage_fraction</x:v>
      </x:c>
      <x:c r="C889" s="46" t="n">
        <x:v>1</x:v>
      </x:c>
      <x:c r="D889" s="46" t="str">
        <x:v>fraction</x:v>
      </x:c>
    </x:row>
    <x:row r="890" ht="18" customHeight="1">
      <x:c r="A890" s="46" t="str">
        <x:v>LME_032</x:v>
      </x:c>
      <x:c r="B890" s="46" t="str">
        <x:v>taxa_count</x:v>
      </x:c>
      <x:c r="C890" s="46" t="n">
        <x:v>393</x:v>
      </x:c>
      <x:c r="D890" s="46" t="str">
        <x:v>count</x:v>
      </x:c>
    </x:row>
    <x:row r="891" ht="18" customHeight="1">
      <x:c r="A891" s="46" t="str">
        <x:v>LME_032</x:v>
      </x:c>
      <x:c r="B891" s="46" t="str">
        <x:v>matched_taxa_count</x:v>
      </x:c>
      <x:c r="C891" s="46" t="n">
        <x:v>393</x:v>
      </x:c>
      <x:c r="D891" s="46" t="str">
        <x:v>count</x:v>
      </x:c>
    </x:row>
    <x:row r="892" ht="18" customHeight="1">
      <x:c r="A892" s="46" t="str">
        <x:v>LME_032</x:v>
      </x:c>
      <x:c r="B892" s="46" t="str">
        <x:v>unmatched_taxa_count</x:v>
      </x:c>
      <x:c r="C892" s="46" t="n">
        <x:v>0</x:v>
      </x:c>
      <x:c r="D892" s="46" t="str">
        <x:v>count</x:v>
      </x:c>
    </x:row>
    <x:row r="893" ht="18" customHeight="1">
      <x:c r="A893" s="46" t="str">
        <x:v>LME_032</x:v>
      </x:c>
      <x:c r="B893" s="46" t="str">
        <x:v>species_ppr</x:v>
      </x:c>
      <x:c r="C893" s="46" t="n">
        <x:v>4734727053.1209135</x:v>
      </x:c>
      <x:c r="D893" s="46" t="str">
        <x:v>tonnes_primary_production_equivalent</x:v>
      </x:c>
    </x:row>
    <x:row r="894" ht="18" customHeight="1">
      <x:c r="A894" s="46" t="str">
        <x:v>LME_032</x:v>
      </x:c>
      <x:c r="B894" s="46" t="str">
        <x:v>commercial_ppr</x:v>
      </x:c>
      <x:c r="C894" s="46" t="n">
        <x:v>4734727053.120914</x:v>
      </x:c>
      <x:c r="D894" s="46" t="str">
        <x:v>tonnes_primary_production_equivalent</x:v>
      </x:c>
    </x:row>
    <x:row r="895" ht="18" customHeight="1">
      <x:c r="A895" s="46" t="str">
        <x:v>LME_032</x:v>
      </x:c>
      <x:c r="B895" s="46" t="str">
        <x:v>functional_ppr</x:v>
      </x:c>
      <x:c r="C895" s="46" t="n">
        <x:v>4734727053.1209135</x:v>
      </x:c>
      <x:c r="D895" s="46" t="str">
        <x:v>tonnes_primary_production_equivalent</x:v>
      </x:c>
    </x:row>
    <x:row r="896" ht="18" customHeight="1">
      <x:c r="A896" s="46" t="str">
        <x:v>LME_032</x:v>
      </x:c>
      <x:c r="B896" s="46" t="str">
        <x:v>commercial_ppr_difference</x:v>
      </x:c>
      <x:c r="C896" s="46" t="n">
        <x:v>9.5367431640625e-7</x:v>
      </x:c>
      <x:c r="D896" s="46" t="str">
        <x:v>tonnes_primary_production_equivalent</x:v>
      </x:c>
    </x:row>
    <x:row r="897" ht="18" customHeight="1">
      <x:c r="A897" s="46" t="str">
        <x:v>LME_032</x:v>
      </x:c>
      <x:c r="B897" s="46" t="str">
        <x:v>functional_ppr_difference</x:v>
      </x:c>
      <x:c r="C897" s="46" t="n">
        <x:v>0</x:v>
      </x:c>
      <x:c r="D897" s="46" t="str">
        <x:v>tonnes_primary_production_equivalent</x:v>
      </x:c>
    </x:row>
    <x:row r="898" ht="18" customHeight="1">
      <x:c r="A898" s="46" t="str">
        <x:v>LME_032</x:v>
      </x:c>
      <x:c r="B898" s="46" t="str">
        <x:v>commercial_ppr_reconciled</x:v>
      </x:c>
      <x:c r="C898" s="46" t="str">
        <x:v>True</x:v>
      </x:c>
      <x:c r="D898" s="46" t="str">
        <x:v>boolean</x:v>
      </x:c>
    </x:row>
    <x:row r="899" ht="18" customHeight="1">
      <x:c r="A899" s="46" t="str">
        <x:v>LME_032</x:v>
      </x:c>
      <x:c r="B899" s="46" t="str">
        <x:v>functional_ppr_reconciled</x:v>
      </x:c>
      <x:c r="C899" s="46" t="str">
        <x:v>True</x:v>
      </x:c>
      <x:c r="D899" s="46" t="str">
        <x:v>boolean</x:v>
      </x:c>
    </x:row>
    <x:row r="900" ht="18" customHeight="1">
      <x:c r="A900" s="46" t="str">
        <x:v>LME_032</x:v>
      </x:c>
      <x:c r="B900" s="46" t="str">
        <x:v>commercial_jensen_violations</x:v>
      </x:c>
      <x:c r="C900" s="46" t="n">
        <x:v>0</x:v>
      </x:c>
      <x:c r="D900" s="46" t="str">
        <x:v>count</x:v>
      </x:c>
    </x:row>
    <x:row r="901" ht="18" customHeight="1">
      <x:c r="A901" s="46" t="str">
        <x:v>LME_032</x:v>
      </x:c>
      <x:c r="B901" s="46" t="str">
        <x:v>functional_jensen_violations</x:v>
      </x:c>
      <x:c r="C901" s="46" t="n">
        <x:v>0</x:v>
      </x:c>
      <x:c r="D901" s="46" t="str">
        <x:v>count</x:v>
      </x:c>
    </x:row>
    <x:row r="902" ht="18" customHeight="1">
      <x:c r="A902" s="46" t="str">
        <x:v>LME_033</x:v>
      </x:c>
      <x:c r="B902" s="46" t="str">
        <x:v>raw_filtered_tonnes</x:v>
      </x:c>
      <x:c r="C902" s="46" t="n">
        <x:v>147100.3417814472</x:v>
      </x:c>
      <x:c r="D902" s="46" t="str">
        <x:v>tonnes</x:v>
      </x:c>
    </x:row>
    <x:row r="903" ht="18" customHeight="1">
      <x:c r="A903" s="46" t="str">
        <x:v>LME_033</x:v>
      </x:c>
      <x:c r="B903" s="46" t="str">
        <x:v>species_catch_tonnes</x:v>
      </x:c>
      <x:c r="C903" s="46" t="n">
        <x:v>147100.3417814472</x:v>
      </x:c>
      <x:c r="D903" s="46" t="str">
        <x:v>tonnes</x:v>
      </x:c>
    </x:row>
    <x:row r="904" ht="18" customHeight="1">
      <x:c r="A904" s="46" t="str">
        <x:v>LME_033</x:v>
      </x:c>
      <x:c r="B904" s="46" t="str">
        <x:v>catch_difference_tonnes</x:v>
      </x:c>
      <x:c r="C904" s="46" t="n">
        <x:v>0</x:v>
      </x:c>
      <x:c r="D904" s="46" t="str">
        <x:v>tonnes</x:v>
      </x:c>
    </x:row>
    <x:row r="905" ht="18" customHeight="1">
      <x:c r="A905" s="46" t="str">
        <x:v>LME_033</x:v>
      </x:c>
      <x:c r="B905" s="46" t="str">
        <x:v>catch_reconciled</x:v>
      </x:c>
      <x:c r="C905" s="46" t="str">
        <x:v>True</x:v>
      </x:c>
      <x:c r="D905" s="46" t="str">
        <x:v>boolean</x:v>
      </x:c>
    </x:row>
    <x:row r="906" ht="18" customHeight="1">
      <x:c r="A906" s="46" t="str">
        <x:v>LME_033</x:v>
      </x:c>
      <x:c r="B906" s="46" t="str">
        <x:v>matched_catch_tonnes</x:v>
      </x:c>
      <x:c r="C906" s="46" t="n">
        <x:v>147100.3417814472</x:v>
      </x:c>
      <x:c r="D906" s="46" t="str">
        <x:v>tonnes</x:v>
      </x:c>
    </x:row>
    <x:row r="907" ht="18" customHeight="1">
      <x:c r="A907" s="46" t="str">
        <x:v>LME_033</x:v>
      </x:c>
      <x:c r="B907" s="46" t="str">
        <x:v>catch_coverage_fraction</x:v>
      </x:c>
      <x:c r="C907" s="46" t="n">
        <x:v>1</x:v>
      </x:c>
      <x:c r="D907" s="46" t="str">
        <x:v>fraction</x:v>
      </x:c>
    </x:row>
    <x:row r="908" ht="18" customHeight="1">
      <x:c r="A908" s="46" t="str">
        <x:v>LME_033</x:v>
      </x:c>
      <x:c r="B908" s="46" t="str">
        <x:v>taxa_count</x:v>
      </x:c>
      <x:c r="C908" s="46" t="n">
        <x:v>193</x:v>
      </x:c>
      <x:c r="D908" s="46" t="str">
        <x:v>count</x:v>
      </x:c>
    </x:row>
    <x:row r="909" ht="18" customHeight="1">
      <x:c r="A909" s="46" t="str">
        <x:v>LME_033</x:v>
      </x:c>
      <x:c r="B909" s="46" t="str">
        <x:v>matched_taxa_count</x:v>
      </x:c>
      <x:c r="C909" s="46" t="n">
        <x:v>193</x:v>
      </x:c>
      <x:c r="D909" s="46" t="str">
        <x:v>count</x:v>
      </x:c>
    </x:row>
    <x:row r="910" ht="18" customHeight="1">
      <x:c r="A910" s="46" t="str">
        <x:v>LME_033</x:v>
      </x:c>
      <x:c r="B910" s="46" t="str">
        <x:v>unmatched_taxa_count</x:v>
      </x:c>
      <x:c r="C910" s="46" t="n">
        <x:v>0</x:v>
      </x:c>
      <x:c r="D910" s="46" t="str">
        <x:v>count</x:v>
      </x:c>
    </x:row>
    <x:row r="911" ht="18" customHeight="1">
      <x:c r="A911" s="46" t="str">
        <x:v>LME_033</x:v>
      </x:c>
      <x:c r="B911" s="46" t="str">
        <x:v>species_ppr</x:v>
      </x:c>
      <x:c r="C911" s="46" t="n">
        <x:v>114071139.38229904</x:v>
      </x:c>
      <x:c r="D911" s="46" t="str">
        <x:v>tonnes_primary_production_equivalent</x:v>
      </x:c>
    </x:row>
    <x:row r="912" ht="18" customHeight="1">
      <x:c r="A912" s="46" t="str">
        <x:v>LME_033</x:v>
      </x:c>
      <x:c r="B912" s="46" t="str">
        <x:v>commercial_ppr</x:v>
      </x:c>
      <x:c r="C912" s="46" t="n">
        <x:v>114071139.38229902</x:v>
      </x:c>
      <x:c r="D912" s="46" t="str">
        <x:v>tonnes_primary_production_equivalent</x:v>
      </x:c>
    </x:row>
    <x:row r="913" ht="18" customHeight="1">
      <x:c r="A913" s="46" t="str">
        <x:v>LME_033</x:v>
      </x:c>
      <x:c r="B913" s="46" t="str">
        <x:v>functional_ppr</x:v>
      </x:c>
      <x:c r="C913" s="46" t="n">
        <x:v>114071139.38229904</x:v>
      </x:c>
      <x:c r="D913" s="46" t="str">
        <x:v>tonnes_primary_production_equivalent</x:v>
      </x:c>
    </x:row>
    <x:row r="914" ht="18" customHeight="1">
      <x:c r="A914" s="46" t="str">
        <x:v>LME_033</x:v>
      </x:c>
      <x:c r="B914" s="46" t="str">
        <x:v>commercial_ppr_difference</x:v>
      </x:c>
      <x:c r="C914" s="46" t="n">
        <x:v>-1.4901161193847656e-8</x:v>
      </x:c>
      <x:c r="D914" s="46" t="str">
        <x:v>tonnes_primary_production_equivalent</x:v>
      </x:c>
    </x:row>
    <x:row r="915" ht="18" customHeight="1">
      <x:c r="A915" s="46" t="str">
        <x:v>LME_033</x:v>
      </x:c>
      <x:c r="B915" s="46" t="str">
        <x:v>functional_ppr_difference</x:v>
      </x:c>
      <x:c r="C915" s="46" t="n">
        <x:v>0</x:v>
      </x:c>
      <x:c r="D915" s="46" t="str">
        <x:v>tonnes_primary_production_equivalent</x:v>
      </x:c>
    </x:row>
    <x:row r="916" ht="18" customHeight="1">
      <x:c r="A916" s="46" t="str">
        <x:v>LME_033</x:v>
      </x:c>
      <x:c r="B916" s="46" t="str">
        <x:v>commercial_ppr_reconciled</x:v>
      </x:c>
      <x:c r="C916" s="46" t="str">
        <x:v>True</x:v>
      </x:c>
      <x:c r="D916" s="46" t="str">
        <x:v>boolean</x:v>
      </x:c>
    </x:row>
    <x:row r="917" ht="18" customHeight="1">
      <x:c r="A917" s="46" t="str">
        <x:v>LME_033</x:v>
      </x:c>
      <x:c r="B917" s="46" t="str">
        <x:v>functional_ppr_reconciled</x:v>
      </x:c>
      <x:c r="C917" s="46" t="str">
        <x:v>True</x:v>
      </x:c>
      <x:c r="D917" s="46" t="str">
        <x:v>boolean</x:v>
      </x:c>
    </x:row>
    <x:row r="918" ht="18" customHeight="1">
      <x:c r="A918" s="46" t="str">
        <x:v>LME_033</x:v>
      </x:c>
      <x:c r="B918" s="46" t="str">
        <x:v>commercial_jensen_violations</x:v>
      </x:c>
      <x:c r="C918" s="46" t="n">
        <x:v>0</x:v>
      </x:c>
      <x:c r="D918" s="46" t="str">
        <x:v>count</x:v>
      </x:c>
    </x:row>
    <x:row r="919" ht="18" customHeight="1">
      <x:c r="A919" s="46" t="str">
        <x:v>LME_033</x:v>
      </x:c>
      <x:c r="B919" s="46" t="str">
        <x:v>functional_jensen_violations</x:v>
      </x:c>
      <x:c r="C919" s="46" t="n">
        <x:v>0</x:v>
      </x:c>
      <x:c r="D919" s="46" t="str">
        <x:v>count</x:v>
      </x:c>
    </x:row>
    <x:row r="920" ht="18" customHeight="1">
      <x:c r="A920" s="46" t="str">
        <x:v>LME_034</x:v>
      </x:c>
      <x:c r="B920" s="46" t="str">
        <x:v>raw_filtered_tonnes</x:v>
      </x:c>
      <x:c r="C920" s="46" t="n">
        <x:v>6697725.785375867</x:v>
      </x:c>
      <x:c r="D920" s="46" t="str">
        <x:v>tonnes</x:v>
      </x:c>
    </x:row>
    <x:row r="921" ht="18" customHeight="1">
      <x:c r="A921" s="46" t="str">
        <x:v>LME_034</x:v>
      </x:c>
      <x:c r="B921" s="46" t="str">
        <x:v>species_catch_tonnes</x:v>
      </x:c>
      <x:c r="C921" s="46" t="n">
        <x:v>6697725.785375867</x:v>
      </x:c>
      <x:c r="D921" s="46" t="str">
        <x:v>tonnes</x:v>
      </x:c>
    </x:row>
    <x:row r="922" ht="18" customHeight="1">
      <x:c r="A922" s="46" t="str">
        <x:v>LME_034</x:v>
      </x:c>
      <x:c r="B922" s="46" t="str">
        <x:v>catch_difference_tonnes</x:v>
      </x:c>
      <x:c r="C922" s="46" t="n">
        <x:v>0</x:v>
      </x:c>
      <x:c r="D922" s="46" t="str">
        <x:v>tonnes</x:v>
      </x:c>
    </x:row>
    <x:row r="923" ht="18" customHeight="1">
      <x:c r="A923" s="46" t="str">
        <x:v>LME_034</x:v>
      </x:c>
      <x:c r="B923" s="46" t="str">
        <x:v>catch_reconciled</x:v>
      </x:c>
      <x:c r="C923" s="46" t="str">
        <x:v>True</x:v>
      </x:c>
      <x:c r="D923" s="46" t="str">
        <x:v>boolean</x:v>
      </x:c>
    </x:row>
    <x:row r="924" ht="18" customHeight="1">
      <x:c r="A924" s="46" t="str">
        <x:v>LME_034</x:v>
      </x:c>
      <x:c r="B924" s="46" t="str">
        <x:v>matched_catch_tonnes</x:v>
      </x:c>
      <x:c r="C924" s="46" t="n">
        <x:v>6697725.785375867</x:v>
      </x:c>
      <x:c r="D924" s="46" t="str">
        <x:v>tonnes</x:v>
      </x:c>
    </x:row>
    <x:row r="925" ht="18" customHeight="1">
      <x:c r="A925" s="46" t="str">
        <x:v>LME_034</x:v>
      </x:c>
      <x:c r="B925" s="46" t="str">
        <x:v>catch_coverage_fraction</x:v>
      </x:c>
      <x:c r="C925" s="46" t="n">
        <x:v>1</x:v>
      </x:c>
      <x:c r="D925" s="46" t="str">
        <x:v>fraction</x:v>
      </x:c>
    </x:row>
    <x:row r="926" ht="18" customHeight="1">
      <x:c r="A926" s="46" t="str">
        <x:v>LME_034</x:v>
      </x:c>
      <x:c r="B926" s="46" t="str">
        <x:v>taxa_count</x:v>
      </x:c>
      <x:c r="C926" s="46" t="n">
        <x:v>288</x:v>
      </x:c>
      <x:c r="D926" s="46" t="str">
        <x:v>count</x:v>
      </x:c>
    </x:row>
    <x:row r="927" ht="18" customHeight="1">
      <x:c r="A927" s="46" t="str">
        <x:v>LME_034</x:v>
      </x:c>
      <x:c r="B927" s="46" t="str">
        <x:v>matched_taxa_count</x:v>
      </x:c>
      <x:c r="C927" s="46" t="n">
        <x:v>288</x:v>
      </x:c>
      <x:c r="D927" s="46" t="str">
        <x:v>count</x:v>
      </x:c>
    </x:row>
    <x:row r="928" ht="18" customHeight="1">
      <x:c r="A928" s="46" t="str">
        <x:v>LME_034</x:v>
      </x:c>
      <x:c r="B928" s="46" t="str">
        <x:v>unmatched_taxa_count</x:v>
      </x:c>
      <x:c r="C928" s="46" t="n">
        <x:v>0</x:v>
      </x:c>
      <x:c r="D928" s="46" t="str">
        <x:v>count</x:v>
      </x:c>
    </x:row>
    <x:row r="929" ht="18" customHeight="1">
      <x:c r="A929" s="46" t="str">
        <x:v>LME_034</x:v>
      </x:c>
      <x:c r="B929" s="46" t="str">
        <x:v>species_ppr</x:v>
      </x:c>
      <x:c r="C929" s="46" t="n">
        <x:v>3525461853.606897</x:v>
      </x:c>
      <x:c r="D929" s="46" t="str">
        <x:v>tonnes_primary_production_equivalent</x:v>
      </x:c>
    </x:row>
    <x:row r="930" ht="18" customHeight="1">
      <x:c r="A930" s="46" t="str">
        <x:v>LME_034</x:v>
      </x:c>
      <x:c r="B930" s="46" t="str">
        <x:v>commercial_ppr</x:v>
      </x:c>
      <x:c r="C930" s="46" t="n">
        <x:v>3525461853.606897</x:v>
      </x:c>
      <x:c r="D930" s="46" t="str">
        <x:v>tonnes_primary_production_equivalent</x:v>
      </x:c>
    </x:row>
    <x:row r="931" ht="18" customHeight="1">
      <x:c r="A931" s="46" t="str">
        <x:v>LME_034</x:v>
      </x:c>
      <x:c r="B931" s="46" t="str">
        <x:v>functional_ppr</x:v>
      </x:c>
      <x:c r="C931" s="46" t="n">
        <x:v>3525461853.6068964</x:v>
      </x:c>
      <x:c r="D931" s="46" t="str">
        <x:v>tonnes_primary_production_equivalent</x:v>
      </x:c>
    </x:row>
    <x:row r="932" ht="18" customHeight="1">
      <x:c r="A932" s="46" t="str">
        <x:v>LME_034</x:v>
      </x:c>
      <x:c r="B932" s="46" t="str">
        <x:v>commercial_ppr_difference</x:v>
      </x:c>
      <x:c r="C932" s="46" t="n">
        <x:v>0</x:v>
      </x:c>
      <x:c r="D932" s="46" t="str">
        <x:v>tonnes_primary_production_equivalent</x:v>
      </x:c>
    </x:row>
    <x:row r="933" ht="18" customHeight="1">
      <x:c r="A933" s="46" t="str">
        <x:v>LME_034</x:v>
      </x:c>
      <x:c r="B933" s="46" t="str">
        <x:v>functional_ppr_difference</x:v>
      </x:c>
      <x:c r="C933" s="46" t="n">
        <x:v>-4.76837158203125e-7</x:v>
      </x:c>
      <x:c r="D933" s="46" t="str">
        <x:v>tonnes_primary_production_equivalent</x:v>
      </x:c>
    </x:row>
    <x:row r="934" ht="18" customHeight="1">
      <x:c r="A934" s="46" t="str">
        <x:v>LME_034</x:v>
      </x:c>
      <x:c r="B934" s="46" t="str">
        <x:v>commercial_ppr_reconciled</x:v>
      </x:c>
      <x:c r="C934" s="46" t="str">
        <x:v>True</x:v>
      </x:c>
      <x:c r="D934" s="46" t="str">
        <x:v>boolean</x:v>
      </x:c>
    </x:row>
    <x:row r="935" ht="18" customHeight="1">
      <x:c r="A935" s="46" t="str">
        <x:v>LME_034</x:v>
      </x:c>
      <x:c r="B935" s="46" t="str">
        <x:v>functional_ppr_reconciled</x:v>
      </x:c>
      <x:c r="C935" s="46" t="str">
        <x:v>True</x:v>
      </x:c>
      <x:c r="D935" s="46" t="str">
        <x:v>boolean</x:v>
      </x:c>
    </x:row>
    <x:row r="936" ht="18" customHeight="1">
      <x:c r="A936" s="46" t="str">
        <x:v>LME_034</x:v>
      </x:c>
      <x:c r="B936" s="46" t="str">
        <x:v>commercial_jensen_violations</x:v>
      </x:c>
      <x:c r="C936" s="46" t="n">
        <x:v>0</x:v>
      </x:c>
      <x:c r="D936" s="46" t="str">
        <x:v>count</x:v>
      </x:c>
    </x:row>
    <x:row r="937" ht="18" customHeight="1">
      <x:c r="A937" s="46" t="str">
        <x:v>LME_034</x:v>
      </x:c>
      <x:c r="B937" s="46" t="str">
        <x:v>functional_jensen_violations</x:v>
      </x:c>
      <x:c r="C937" s="46" t="n">
        <x:v>0</x:v>
      </x:c>
      <x:c r="D937" s="46" t="str">
        <x:v>count</x:v>
      </x:c>
    </x:row>
    <x:row r="938" ht="18" customHeight="1">
      <x:c r="A938" s="46" t="str">
        <x:v>LME_035</x:v>
      </x:c>
      <x:c r="B938" s="46" t="str">
        <x:v>raw_filtered_tonnes</x:v>
      </x:c>
      <x:c r="C938" s="46" t="n">
        <x:v>2615825.056861822</x:v>
      </x:c>
      <x:c r="D938" s="46" t="str">
        <x:v>tonnes</x:v>
      </x:c>
    </x:row>
    <x:row r="939" ht="18" customHeight="1">
      <x:c r="A939" s="46" t="str">
        <x:v>LME_035</x:v>
      </x:c>
      <x:c r="B939" s="46" t="str">
        <x:v>species_catch_tonnes</x:v>
      </x:c>
      <x:c r="C939" s="46" t="n">
        <x:v>2615825.0568618225</x:v>
      </x:c>
      <x:c r="D939" s="46" t="str">
        <x:v>tonnes</x:v>
      </x:c>
    </x:row>
    <x:row r="940" ht="18" customHeight="1">
      <x:c r="A940" s="46" t="str">
        <x:v>LME_035</x:v>
      </x:c>
      <x:c r="B940" s="46" t="str">
        <x:v>catch_difference_tonnes</x:v>
      </x:c>
      <x:c r="C940" s="46" t="n">
        <x:v>4.656612873077393e-10</x:v>
      </x:c>
      <x:c r="D940" s="46" t="str">
        <x:v>tonnes</x:v>
      </x:c>
    </x:row>
    <x:row r="941" ht="18" customHeight="1">
      <x:c r="A941" s="46" t="str">
        <x:v>LME_035</x:v>
      </x:c>
      <x:c r="B941" s="46" t="str">
        <x:v>catch_reconciled</x:v>
      </x:c>
      <x:c r="C941" s="46" t="str">
        <x:v>True</x:v>
      </x:c>
      <x:c r="D941" s="46" t="str">
        <x:v>boolean</x:v>
      </x:c>
    </x:row>
    <x:row r="942" ht="18" customHeight="1">
      <x:c r="A942" s="46" t="str">
        <x:v>LME_035</x:v>
      </x:c>
      <x:c r="B942" s="46" t="str">
        <x:v>matched_catch_tonnes</x:v>
      </x:c>
      <x:c r="C942" s="46" t="n">
        <x:v>2615825.0568618225</x:v>
      </x:c>
      <x:c r="D942" s="46" t="str">
        <x:v>tonnes</x:v>
      </x:c>
    </x:row>
    <x:row r="943" ht="18" customHeight="1">
      <x:c r="A943" s="46" t="str">
        <x:v>LME_035</x:v>
      </x:c>
      <x:c r="B943" s="46" t="str">
        <x:v>catch_coverage_fraction</x:v>
      </x:c>
      <x:c r="C943" s="46" t="n">
        <x:v>1</x:v>
      </x:c>
      <x:c r="D943" s="46" t="str">
        <x:v>fraction</x:v>
      </x:c>
    </x:row>
    <x:row r="944" ht="18" customHeight="1">
      <x:c r="A944" s="46" t="str">
        <x:v>LME_035</x:v>
      </x:c>
      <x:c r="B944" s="46" t="str">
        <x:v>taxa_count</x:v>
      </x:c>
      <x:c r="C944" s="46" t="n">
        <x:v>214</x:v>
      </x:c>
      <x:c r="D944" s="46" t="str">
        <x:v>count</x:v>
      </x:c>
    </x:row>
    <x:row r="945" ht="18" customHeight="1">
      <x:c r="A945" s="46" t="str">
        <x:v>LME_035</x:v>
      </x:c>
      <x:c r="B945" s="46" t="str">
        <x:v>matched_taxa_count</x:v>
      </x:c>
      <x:c r="C945" s="46" t="n">
        <x:v>214</x:v>
      </x:c>
      <x:c r="D945" s="46" t="str">
        <x:v>count</x:v>
      </x:c>
    </x:row>
    <x:row r="946" ht="18" customHeight="1">
      <x:c r="A946" s="46" t="str">
        <x:v>LME_035</x:v>
      </x:c>
      <x:c r="B946" s="46" t="str">
        <x:v>unmatched_taxa_count</x:v>
      </x:c>
      <x:c r="C946" s="46" t="n">
        <x:v>0</x:v>
      </x:c>
      <x:c r="D946" s="46" t="str">
        <x:v>count</x:v>
      </x:c>
    </x:row>
    <x:row r="947" ht="18" customHeight="1">
      <x:c r="A947" s="46" t="str">
        <x:v>LME_035</x:v>
      </x:c>
      <x:c r="B947" s="46" t="str">
        <x:v>species_ppr</x:v>
      </x:c>
      <x:c r="C947" s="46" t="n">
        <x:v>1868893899.8381805</x:v>
      </x:c>
      <x:c r="D947" s="46" t="str">
        <x:v>tonnes_primary_production_equivalent</x:v>
      </x:c>
    </x:row>
    <x:row r="948" ht="18" customHeight="1">
      <x:c r="A948" s="46" t="str">
        <x:v>LME_035</x:v>
      </x:c>
      <x:c r="B948" s="46" t="str">
        <x:v>commercial_ppr</x:v>
      </x:c>
      <x:c r="C948" s="46" t="n">
        <x:v>1868893899.83818</x:v>
      </x:c>
      <x:c r="D948" s="46" t="str">
        <x:v>tonnes_primary_production_equivalent</x:v>
      </x:c>
    </x:row>
    <x:row r="949" ht="18" customHeight="1">
      <x:c r="A949" s="46" t="str">
        <x:v>LME_035</x:v>
      </x:c>
      <x:c r="B949" s="46" t="str">
        <x:v>functional_ppr</x:v>
      </x:c>
      <x:c r="C949" s="46" t="n">
        <x:v>1868893899.8381803</x:v>
      </x:c>
      <x:c r="D949" s="46" t="str">
        <x:v>tonnes_primary_production_equivalent</x:v>
      </x:c>
    </x:row>
    <x:row r="950" ht="18" customHeight="1">
      <x:c r="A950" s="46" t="str">
        <x:v>LME_035</x:v>
      </x:c>
      <x:c r="B950" s="46" t="str">
        <x:v>commercial_ppr_difference</x:v>
      </x:c>
      <x:c r="C950" s="46" t="n">
        <x:v>-4.76837158203125e-7</x:v>
      </x:c>
      <x:c r="D950" s="46" t="str">
        <x:v>tonnes_primary_production_equivalent</x:v>
      </x:c>
    </x:row>
    <x:row r="951" ht="18" customHeight="1">
      <x:c r="A951" s="46" t="str">
        <x:v>LME_035</x:v>
      </x:c>
      <x:c r="B951" s="46" t="str">
        <x:v>functional_ppr_difference</x:v>
      </x:c>
      <x:c r="C951" s="46" t="n">
        <x:v>-2.384185791015625e-7</x:v>
      </x:c>
      <x:c r="D951" s="46" t="str">
        <x:v>tonnes_primary_production_equivalent</x:v>
      </x:c>
    </x:row>
    <x:row r="952" ht="18" customHeight="1">
      <x:c r="A952" s="46" t="str">
        <x:v>LME_035</x:v>
      </x:c>
      <x:c r="B952" s="46" t="str">
        <x:v>commercial_ppr_reconciled</x:v>
      </x:c>
      <x:c r="C952" s="46" t="str">
        <x:v>True</x:v>
      </x:c>
      <x:c r="D952" s="46" t="str">
        <x:v>boolean</x:v>
      </x:c>
    </x:row>
    <x:row r="953" ht="18" customHeight="1">
      <x:c r="A953" s="46" t="str">
        <x:v>LME_035</x:v>
      </x:c>
      <x:c r="B953" s="46" t="str">
        <x:v>functional_ppr_reconciled</x:v>
      </x:c>
      <x:c r="C953" s="46" t="str">
        <x:v>True</x:v>
      </x:c>
      <x:c r="D953" s="46" t="str">
        <x:v>boolean</x:v>
      </x:c>
    </x:row>
    <x:row r="954" ht="18" customHeight="1">
      <x:c r="A954" s="46" t="str">
        <x:v>LME_035</x:v>
      </x:c>
      <x:c r="B954" s="46" t="str">
        <x:v>commercial_jensen_violations</x:v>
      </x:c>
      <x:c r="C954" s="46" t="n">
        <x:v>0</x:v>
      </x:c>
      <x:c r="D954" s="46" t="str">
        <x:v>count</x:v>
      </x:c>
    </x:row>
    <x:row r="955" ht="18" customHeight="1">
      <x:c r="A955" s="46" t="str">
        <x:v>LME_035</x:v>
      </x:c>
      <x:c r="B955" s="46" t="str">
        <x:v>functional_jensen_violations</x:v>
      </x:c>
      <x:c r="C955" s="46" t="n">
        <x:v>0</x:v>
      </x:c>
      <x:c r="D955" s="46" t="str">
        <x:v>count</x:v>
      </x:c>
    </x:row>
    <x:row r="956" ht="18" customHeight="1">
      <x:c r="A956" s="46" t="str">
        <x:v>LME_036</x:v>
      </x:c>
      <x:c r="B956" s="46" t="str">
        <x:v>raw_filtered_tonnes</x:v>
      </x:c>
      <x:c r="C956" s="46" t="n">
        <x:v>11101666.087778974</x:v>
      </x:c>
      <x:c r="D956" s="46" t="str">
        <x:v>tonnes</x:v>
      </x:c>
    </x:row>
    <x:row r="957" ht="18" customHeight="1">
      <x:c r="A957" s="46" t="str">
        <x:v>LME_036</x:v>
      </x:c>
      <x:c r="B957" s="46" t="str">
        <x:v>species_catch_tonnes</x:v>
      </x:c>
      <x:c r="C957" s="46" t="n">
        <x:v>11101666.087778974</x:v>
      </x:c>
      <x:c r="D957" s="46" t="str">
        <x:v>tonnes</x:v>
      </x:c>
    </x:row>
    <x:row r="958" ht="18" customHeight="1">
      <x:c r="A958" s="46" t="str">
        <x:v>LME_036</x:v>
      </x:c>
      <x:c r="B958" s="46" t="str">
        <x:v>catch_difference_tonnes</x:v>
      </x:c>
      <x:c r="C958" s="46" t="n">
        <x:v>0</x:v>
      </x:c>
      <x:c r="D958" s="46" t="str">
        <x:v>tonnes</x:v>
      </x:c>
    </x:row>
    <x:row r="959" ht="18" customHeight="1">
      <x:c r="A959" s="46" t="str">
        <x:v>LME_036</x:v>
      </x:c>
      <x:c r="B959" s="46" t="str">
        <x:v>catch_reconciled</x:v>
      </x:c>
      <x:c r="C959" s="46" t="str">
        <x:v>True</x:v>
      </x:c>
      <x:c r="D959" s="46" t="str">
        <x:v>boolean</x:v>
      </x:c>
    </x:row>
    <x:row r="960" ht="18" customHeight="1">
      <x:c r="A960" s="46" t="str">
        <x:v>LME_036</x:v>
      </x:c>
      <x:c r="B960" s="46" t="str">
        <x:v>matched_catch_tonnes</x:v>
      </x:c>
      <x:c r="C960" s="46" t="n">
        <x:v>11101666.087778974</x:v>
      </x:c>
      <x:c r="D960" s="46" t="str">
        <x:v>tonnes</x:v>
      </x:c>
    </x:row>
    <x:row r="961" ht="18" customHeight="1">
      <x:c r="A961" s="46" t="str">
        <x:v>LME_036</x:v>
      </x:c>
      <x:c r="B961" s="46" t="str">
        <x:v>catch_coverage_fraction</x:v>
      </x:c>
      <x:c r="C961" s="46" t="n">
        <x:v>1</x:v>
      </x:c>
      <x:c r="D961" s="46" t="str">
        <x:v>fraction</x:v>
      </x:c>
    </x:row>
    <x:row r="962" ht="18" customHeight="1">
      <x:c r="A962" s="46" t="str">
        <x:v>LME_036</x:v>
      </x:c>
      <x:c r="B962" s="46" t="str">
        <x:v>taxa_count</x:v>
      </x:c>
      <x:c r="C962" s="46" t="n">
        <x:v>340</x:v>
      </x:c>
      <x:c r="D962" s="46" t="str">
        <x:v>count</x:v>
      </x:c>
    </x:row>
    <x:row r="963" ht="18" customHeight="1">
      <x:c r="A963" s="46" t="str">
        <x:v>LME_036</x:v>
      </x:c>
      <x:c r="B963" s="46" t="str">
        <x:v>matched_taxa_count</x:v>
      </x:c>
      <x:c r="C963" s="46" t="n">
        <x:v>340</x:v>
      </x:c>
      <x:c r="D963" s="46" t="str">
        <x:v>count</x:v>
      </x:c>
    </x:row>
    <x:row r="964" ht="18" customHeight="1">
      <x:c r="A964" s="46" t="str">
        <x:v>LME_036</x:v>
      </x:c>
      <x:c r="B964" s="46" t="str">
        <x:v>unmatched_taxa_count</x:v>
      </x:c>
      <x:c r="C964" s="46" t="n">
        <x:v>0</x:v>
      </x:c>
      <x:c r="D964" s="46" t="str">
        <x:v>count</x:v>
      </x:c>
    </x:row>
    <x:row r="965" ht="18" customHeight="1">
      <x:c r="A965" s="46" t="str">
        <x:v>LME_036</x:v>
      </x:c>
      <x:c r="B965" s="46" t="str">
        <x:v>species_ppr</x:v>
      </x:c>
      <x:c r="C965" s="46" t="n">
        <x:v>8070990713.09262</x:v>
      </x:c>
      <x:c r="D965" s="46" t="str">
        <x:v>tonnes_primary_production_equivalent</x:v>
      </x:c>
    </x:row>
    <x:row r="966" ht="18" customHeight="1">
      <x:c r="A966" s="46" t="str">
        <x:v>LME_036</x:v>
      </x:c>
      <x:c r="B966" s="46" t="str">
        <x:v>commercial_ppr</x:v>
      </x:c>
      <x:c r="C966" s="46" t="n">
        <x:v>8070990713.092622</x:v>
      </x:c>
      <x:c r="D966" s="46" t="str">
        <x:v>tonnes_primary_production_equivalent</x:v>
      </x:c>
    </x:row>
    <x:row r="967" ht="18" customHeight="1">
      <x:c r="A967" s="46" t="str">
        <x:v>LME_036</x:v>
      </x:c>
      <x:c r="B967" s="46" t="str">
        <x:v>functional_ppr</x:v>
      </x:c>
      <x:c r="C967" s="46" t="n">
        <x:v>8070990713.09262</x:v>
      </x:c>
      <x:c r="D967" s="46" t="str">
        <x:v>tonnes_primary_production_equivalent</x:v>
      </x:c>
    </x:row>
    <x:row r="968" ht="18" customHeight="1">
      <x:c r="A968" s="46" t="str">
        <x:v>LME_036</x:v>
      </x:c>
      <x:c r="B968" s="46" t="str">
        <x:v>commercial_ppr_difference</x:v>
      </x:c>
      <x:c r="C968" s="46" t="n">
        <x:v>0.0000019073486328125</x:v>
      </x:c>
      <x:c r="D968" s="46" t="str">
        <x:v>tonnes_primary_production_equivalent</x:v>
      </x:c>
    </x:row>
    <x:row r="969" ht="18" customHeight="1">
      <x:c r="A969" s="46" t="str">
        <x:v>LME_036</x:v>
      </x:c>
      <x:c r="B969" s="46" t="str">
        <x:v>functional_ppr_difference</x:v>
      </x:c>
      <x:c r="C969" s="46" t="n">
        <x:v>0</x:v>
      </x:c>
      <x:c r="D969" s="46" t="str">
        <x:v>tonnes_primary_production_equivalent</x:v>
      </x:c>
    </x:row>
    <x:row r="970" ht="18" customHeight="1">
      <x:c r="A970" s="46" t="str">
        <x:v>LME_036</x:v>
      </x:c>
      <x:c r="B970" s="46" t="str">
        <x:v>commercial_ppr_reconciled</x:v>
      </x:c>
      <x:c r="C970" s="46" t="str">
        <x:v>True</x:v>
      </x:c>
      <x:c r="D970" s="46" t="str">
        <x:v>boolean</x:v>
      </x:c>
    </x:row>
    <x:row r="971" ht="18" customHeight="1">
      <x:c r="A971" s="46" t="str">
        <x:v>LME_036</x:v>
      </x:c>
      <x:c r="B971" s="46" t="str">
        <x:v>functional_ppr_reconciled</x:v>
      </x:c>
      <x:c r="C971" s="46" t="str">
        <x:v>True</x:v>
      </x:c>
      <x:c r="D971" s="46" t="str">
        <x:v>boolean</x:v>
      </x:c>
    </x:row>
    <x:row r="972" ht="18" customHeight="1">
      <x:c r="A972" s="46" t="str">
        <x:v>LME_036</x:v>
      </x:c>
      <x:c r="B972" s="46" t="str">
        <x:v>commercial_jensen_violations</x:v>
      </x:c>
      <x:c r="C972" s="46" t="n">
        <x:v>0</x:v>
      </x:c>
      <x:c r="D972" s="46" t="str">
        <x:v>count</x:v>
      </x:c>
    </x:row>
    <x:row r="973" ht="18" customHeight="1">
      <x:c r="A973" s="46" t="str">
        <x:v>LME_036</x:v>
      </x:c>
      <x:c r="B973" s="46" t="str">
        <x:v>functional_jensen_violations</x:v>
      </x:c>
      <x:c r="C973" s="46" t="n">
        <x:v>0</x:v>
      </x:c>
      <x:c r="D973" s="46" t="str">
        <x:v>count</x:v>
      </x:c>
    </x:row>
    <x:row r="974" ht="18" customHeight="1">
      <x:c r="A974" s="46" t="str">
        <x:v>LME_037</x:v>
      </x:c>
      <x:c r="B974" s="46" t="str">
        <x:v>raw_filtered_tonnes</x:v>
      </x:c>
      <x:c r="C974" s="46" t="n">
        <x:v>1731971.9673227617</x:v>
      </x:c>
      <x:c r="D974" s="46" t="str">
        <x:v>tonnes</x:v>
      </x:c>
    </x:row>
    <x:row r="975" ht="18" customHeight="1">
      <x:c r="A975" s="46" t="str">
        <x:v>LME_037</x:v>
      </x:c>
      <x:c r="B975" s="46" t="str">
        <x:v>species_catch_tonnes</x:v>
      </x:c>
      <x:c r="C975" s="46" t="n">
        <x:v>1731971.9673227614</x:v>
      </x:c>
      <x:c r="D975" s="46" t="str">
        <x:v>tonnes</x:v>
      </x:c>
    </x:row>
    <x:row r="976" ht="18" customHeight="1">
      <x:c r="A976" s="46" t="str">
        <x:v>LME_037</x:v>
      </x:c>
      <x:c r="B976" s="46" t="str">
        <x:v>catch_difference_tonnes</x:v>
      </x:c>
      <x:c r="C976" s="46" t="n">
        <x:v>-2.3283064365386963e-10</x:v>
      </x:c>
      <x:c r="D976" s="46" t="str">
        <x:v>tonnes</x:v>
      </x:c>
    </x:row>
    <x:row r="977" ht="18" customHeight="1">
      <x:c r="A977" s="46" t="str">
        <x:v>LME_037</x:v>
      </x:c>
      <x:c r="B977" s="46" t="str">
        <x:v>catch_reconciled</x:v>
      </x:c>
      <x:c r="C977" s="46" t="str">
        <x:v>True</x:v>
      </x:c>
      <x:c r="D977" s="46" t="str">
        <x:v>boolean</x:v>
      </x:c>
    </x:row>
    <x:row r="978" ht="18" customHeight="1">
      <x:c r="A978" s="46" t="str">
        <x:v>LME_037</x:v>
      </x:c>
      <x:c r="B978" s="46" t="str">
        <x:v>matched_catch_tonnes</x:v>
      </x:c>
      <x:c r="C978" s="46" t="n">
        <x:v>1731971.9673227614</x:v>
      </x:c>
      <x:c r="D978" s="46" t="str">
        <x:v>tonnes</x:v>
      </x:c>
    </x:row>
    <x:row r="979" ht="18" customHeight="1">
      <x:c r="A979" s="46" t="str">
        <x:v>LME_037</x:v>
      </x:c>
      <x:c r="B979" s="46" t="str">
        <x:v>catch_coverage_fraction</x:v>
      </x:c>
      <x:c r="C979" s="46" t="n">
        <x:v>1</x:v>
      </x:c>
      <x:c r="D979" s="46" t="str">
        <x:v>fraction</x:v>
      </x:c>
    </x:row>
    <x:row r="980" ht="18" customHeight="1">
      <x:c r="A980" s="46" t="str">
        <x:v>LME_037</x:v>
      </x:c>
      <x:c r="B980" s="46" t="str">
        <x:v>taxa_count</x:v>
      </x:c>
      <x:c r="C980" s="46" t="n">
        <x:v>219</x:v>
      </x:c>
      <x:c r="D980" s="46" t="str">
        <x:v>count</x:v>
      </x:c>
    </x:row>
    <x:row r="981" ht="18" customHeight="1">
      <x:c r="A981" s="46" t="str">
        <x:v>LME_037</x:v>
      </x:c>
      <x:c r="B981" s="46" t="str">
        <x:v>matched_taxa_count</x:v>
      </x:c>
      <x:c r="C981" s="46" t="n">
        <x:v>219</x:v>
      </x:c>
      <x:c r="D981" s="46" t="str">
        <x:v>count</x:v>
      </x:c>
    </x:row>
    <x:row r="982" ht="18" customHeight="1">
      <x:c r="A982" s="46" t="str">
        <x:v>LME_037</x:v>
      </x:c>
      <x:c r="B982" s="46" t="str">
        <x:v>unmatched_taxa_count</x:v>
      </x:c>
      <x:c r="C982" s="46" t="n">
        <x:v>0</x:v>
      </x:c>
      <x:c r="D982" s="46" t="str">
        <x:v>count</x:v>
      </x:c>
    </x:row>
    <x:row r="983" ht="18" customHeight="1">
      <x:c r="A983" s="46" t="str">
        <x:v>LME_037</x:v>
      </x:c>
      <x:c r="B983" s="46" t="str">
        <x:v>species_ppr</x:v>
      </x:c>
      <x:c r="C983" s="46" t="n">
        <x:v>990198790.8703026</x:v>
      </x:c>
      <x:c r="D983" s="46" t="str">
        <x:v>tonnes_primary_production_equivalent</x:v>
      </x:c>
    </x:row>
    <x:row r="984" ht="18" customHeight="1">
      <x:c r="A984" s="46" t="str">
        <x:v>LME_037</x:v>
      </x:c>
      <x:c r="B984" s="46" t="str">
        <x:v>commercial_ppr</x:v>
      </x:c>
      <x:c r="C984" s="46" t="n">
        <x:v>990198790.8703024</x:v>
      </x:c>
      <x:c r="D984" s="46" t="str">
        <x:v>tonnes_primary_production_equivalent</x:v>
      </x:c>
    </x:row>
    <x:row r="985" ht="18" customHeight="1">
      <x:c r="A985" s="46" t="str">
        <x:v>LME_037</x:v>
      </x:c>
      <x:c r="B985" s="46" t="str">
        <x:v>functional_ppr</x:v>
      </x:c>
      <x:c r="C985" s="46" t="n">
        <x:v>990198790.8703027</x:v>
      </x:c>
      <x:c r="D985" s="46" t="str">
        <x:v>tonnes_primary_production_equivalent</x:v>
      </x:c>
    </x:row>
    <x:row r="986" ht="18" customHeight="1">
      <x:c r="A986" s="46" t="str">
        <x:v>LME_037</x:v>
      </x:c>
      <x:c r="B986" s="46" t="str">
        <x:v>commercial_ppr_difference</x:v>
      </x:c>
      <x:c r="C986" s="46" t="n">
        <x:v>-1.1920928955078125e-7</x:v>
      </x:c>
      <x:c r="D986" s="46" t="str">
        <x:v>tonnes_primary_production_equivalent</x:v>
      </x:c>
    </x:row>
    <x:row r="987" ht="18" customHeight="1">
      <x:c r="A987" s="46" t="str">
        <x:v>LME_037</x:v>
      </x:c>
      <x:c r="B987" s="46" t="str">
        <x:v>functional_ppr_difference</x:v>
      </x:c>
      <x:c r="C987" s="46" t="n">
        <x:v>1.1920928955078125e-7</x:v>
      </x:c>
      <x:c r="D987" s="46" t="str">
        <x:v>tonnes_primary_production_equivalent</x:v>
      </x:c>
    </x:row>
    <x:row r="988" ht="18" customHeight="1">
      <x:c r="A988" s="46" t="str">
        <x:v>LME_037</x:v>
      </x:c>
      <x:c r="B988" s="46" t="str">
        <x:v>commercial_ppr_reconciled</x:v>
      </x:c>
      <x:c r="C988" s="46" t="str">
        <x:v>True</x:v>
      </x:c>
      <x:c r="D988" s="46" t="str">
        <x:v>boolean</x:v>
      </x:c>
    </x:row>
    <x:row r="989" ht="18" customHeight="1">
      <x:c r="A989" s="46" t="str">
        <x:v>LME_037</x:v>
      </x:c>
      <x:c r="B989" s="46" t="str">
        <x:v>functional_ppr_reconciled</x:v>
      </x:c>
      <x:c r="C989" s="46" t="str">
        <x:v>True</x:v>
      </x:c>
      <x:c r="D989" s="46" t="str">
        <x:v>boolean</x:v>
      </x:c>
    </x:row>
    <x:row r="990" ht="18" customHeight="1">
      <x:c r="A990" s="46" t="str">
        <x:v>LME_037</x:v>
      </x:c>
      <x:c r="B990" s="46" t="str">
        <x:v>commercial_jensen_violations</x:v>
      </x:c>
      <x:c r="C990" s="46" t="n">
        <x:v>0</x:v>
      </x:c>
      <x:c r="D990" s="46" t="str">
        <x:v>count</x:v>
      </x:c>
    </x:row>
    <x:row r="991" ht="18" customHeight="1">
      <x:c r="A991" s="46" t="str">
        <x:v>LME_037</x:v>
      </x:c>
      <x:c r="B991" s="46" t="str">
        <x:v>functional_jensen_violations</x:v>
      </x:c>
      <x:c r="C991" s="46" t="n">
        <x:v>0</x:v>
      </x:c>
      <x:c r="D991" s="46" t="str">
        <x:v>count</x:v>
      </x:c>
    </x:row>
    <x:row r="992" ht="18" customHeight="1">
      <x:c r="A992" s="46" t="str">
        <x:v>LME_038</x:v>
      </x:c>
      <x:c r="B992" s="46" t="str">
        <x:v>raw_filtered_tonnes</x:v>
      </x:c>
      <x:c r="C992" s="46" t="n">
        <x:v>2883541.9537540907</x:v>
      </x:c>
      <x:c r="D992" s="46" t="str">
        <x:v>tonnes</x:v>
      </x:c>
    </x:row>
    <x:row r="993" ht="18" customHeight="1">
      <x:c r="A993" s="46" t="str">
        <x:v>LME_038</x:v>
      </x:c>
      <x:c r="B993" s="46" t="str">
        <x:v>species_catch_tonnes</x:v>
      </x:c>
      <x:c r="C993" s="46" t="n">
        <x:v>2883541.9537540916</x:v>
      </x:c>
      <x:c r="D993" s="46" t="str">
        <x:v>tonnes</x:v>
      </x:c>
    </x:row>
    <x:row r="994" ht="18" customHeight="1">
      <x:c r="A994" s="46" t="str">
        <x:v>LME_038</x:v>
      </x:c>
      <x:c r="B994" s="46" t="str">
        <x:v>catch_difference_tonnes</x:v>
      </x:c>
      <x:c r="C994" s="46" t="n">
        <x:v>9.313225746154785e-10</x:v>
      </x:c>
      <x:c r="D994" s="46" t="str">
        <x:v>tonnes</x:v>
      </x:c>
    </x:row>
    <x:row r="995" ht="18" customHeight="1">
      <x:c r="A995" s="46" t="str">
        <x:v>LME_038</x:v>
      </x:c>
      <x:c r="B995" s="46" t="str">
        <x:v>catch_reconciled</x:v>
      </x:c>
      <x:c r="C995" s="46" t="str">
        <x:v>True</x:v>
      </x:c>
      <x:c r="D995" s="46" t="str">
        <x:v>boolean</x:v>
      </x:c>
    </x:row>
    <x:row r="996" ht="18" customHeight="1">
      <x:c r="A996" s="46" t="str">
        <x:v>LME_038</x:v>
      </x:c>
      <x:c r="B996" s="46" t="str">
        <x:v>matched_catch_tonnes</x:v>
      </x:c>
      <x:c r="C996" s="46" t="n">
        <x:v>2883541.9537540916</x:v>
      </x:c>
      <x:c r="D996" s="46" t="str">
        <x:v>tonnes</x:v>
      </x:c>
    </x:row>
    <x:row r="997" ht="18" customHeight="1">
      <x:c r="A997" s="46" t="str">
        <x:v>LME_038</x:v>
      </x:c>
      <x:c r="B997" s="46" t="str">
        <x:v>catch_coverage_fraction</x:v>
      </x:c>
      <x:c r="C997" s="46" t="n">
        <x:v>1</x:v>
      </x:c>
      <x:c r="D997" s="46" t="str">
        <x:v>fraction</x:v>
      </x:c>
    </x:row>
    <x:row r="998" ht="18" customHeight="1">
      <x:c r="A998" s="46" t="str">
        <x:v>LME_038</x:v>
      </x:c>
      <x:c r="B998" s="46" t="str">
        <x:v>taxa_count</x:v>
      </x:c>
      <x:c r="C998" s="46" t="n">
        <x:v>142</x:v>
      </x:c>
      <x:c r="D998" s="46" t="str">
        <x:v>count</x:v>
      </x:c>
    </x:row>
    <x:row r="999" ht="18" customHeight="1">
      <x:c r="A999" s="46" t="str">
        <x:v>LME_038</x:v>
      </x:c>
      <x:c r="B999" s="46" t="str">
        <x:v>matched_taxa_count</x:v>
      </x:c>
      <x:c r="C999" s="46" t="n">
        <x:v>142</x:v>
      </x:c>
      <x:c r="D999" s="46" t="str">
        <x:v>count</x:v>
      </x:c>
    </x:row>
    <x:row r="1000" ht="18" customHeight="1">
      <x:c r="A1000" s="46" t="str">
        <x:v>LME_038</x:v>
      </x:c>
      <x:c r="B1000" s="46" t="str">
        <x:v>unmatched_taxa_count</x:v>
      </x:c>
      <x:c r="C1000" s="46" t="n">
        <x:v>0</x:v>
      </x:c>
      <x:c r="D1000" s="46" t="str">
        <x:v>count</x:v>
      </x:c>
    </x:row>
    <x:row r="1001" ht="18" customHeight="1">
      <x:c r="A1001" s="46" t="str">
        <x:v>LME_038</x:v>
      </x:c>
      <x:c r="B1001" s="46" t="str">
        <x:v>species_ppr</x:v>
      </x:c>
      <x:c r="C1001" s="46" t="n">
        <x:v>1678212214.8416104</x:v>
      </x:c>
      <x:c r="D1001" s="46" t="str">
        <x:v>tonnes_primary_production_equivalent</x:v>
      </x:c>
    </x:row>
    <x:row r="1002" ht="18" customHeight="1">
      <x:c r="A1002" s="46" t="str">
        <x:v>LME_038</x:v>
      </x:c>
      <x:c r="B1002" s="46" t="str">
        <x:v>commercial_ppr</x:v>
      </x:c>
      <x:c r="C1002" s="46" t="n">
        <x:v>1678212214.8416104</x:v>
      </x:c>
      <x:c r="D1002" s="46" t="str">
        <x:v>tonnes_primary_production_equivalent</x:v>
      </x:c>
    </x:row>
    <x:row r="1003" ht="18" customHeight="1">
      <x:c r="A1003" s="46" t="str">
        <x:v>LME_038</x:v>
      </x:c>
      <x:c r="B1003" s="46" t="str">
        <x:v>functional_ppr</x:v>
      </x:c>
      <x:c r="C1003" s="46" t="n">
        <x:v>1678212214.8416104</x:v>
      </x:c>
      <x:c r="D1003" s="46" t="str">
        <x:v>tonnes_primary_production_equivalent</x:v>
      </x:c>
    </x:row>
    <x:row r="1004" ht="18" customHeight="1">
      <x:c r="A1004" s="46" t="str">
        <x:v>LME_038</x:v>
      </x:c>
      <x:c r="B1004" s="46" t="str">
        <x:v>commercial_ppr_difference</x:v>
      </x:c>
      <x:c r="C1004" s="46" t="n">
        <x:v>0</x:v>
      </x:c>
      <x:c r="D1004" s="46" t="str">
        <x:v>tonnes_primary_production_equivalent</x:v>
      </x:c>
    </x:row>
    <x:row r="1005" ht="18" customHeight="1">
      <x:c r="A1005" s="46" t="str">
        <x:v>LME_038</x:v>
      </x:c>
      <x:c r="B1005" s="46" t="str">
        <x:v>functional_ppr_difference</x:v>
      </x:c>
      <x:c r="C1005" s="46" t="n">
        <x:v>0</x:v>
      </x:c>
      <x:c r="D1005" s="46" t="str">
        <x:v>tonnes_primary_production_equivalent</x:v>
      </x:c>
    </x:row>
    <x:row r="1006" ht="18" customHeight="1">
      <x:c r="A1006" s="46" t="str">
        <x:v>LME_038</x:v>
      </x:c>
      <x:c r="B1006" s="46" t="str">
        <x:v>commercial_ppr_reconciled</x:v>
      </x:c>
      <x:c r="C1006" s="46" t="str">
        <x:v>True</x:v>
      </x:c>
      <x:c r="D1006" s="46" t="str">
        <x:v>boolean</x:v>
      </x:c>
    </x:row>
    <x:row r="1007" ht="18" customHeight="1">
      <x:c r="A1007" s="46" t="str">
        <x:v>LME_038</x:v>
      </x:c>
      <x:c r="B1007" s="46" t="str">
        <x:v>functional_ppr_reconciled</x:v>
      </x:c>
      <x:c r="C1007" s="46" t="str">
        <x:v>True</x:v>
      </x:c>
      <x:c r="D1007" s="46" t="str">
        <x:v>boolean</x:v>
      </x:c>
    </x:row>
    <x:row r="1008" ht="18" customHeight="1">
      <x:c r="A1008" s="46" t="str">
        <x:v>LME_038</x:v>
      </x:c>
      <x:c r="B1008" s="46" t="str">
        <x:v>commercial_jensen_violations</x:v>
      </x:c>
      <x:c r="C1008" s="46" t="n">
        <x:v>0</x:v>
      </x:c>
      <x:c r="D1008" s="46" t="str">
        <x:v>count</x:v>
      </x:c>
    </x:row>
    <x:row r="1009" ht="18" customHeight="1">
      <x:c r="A1009" s="46" t="str">
        <x:v>LME_038</x:v>
      </x:c>
      <x:c r="B1009" s="46" t="str">
        <x:v>functional_jensen_violations</x:v>
      </x:c>
      <x:c r="C1009" s="46" t="n">
        <x:v>0</x:v>
      </x:c>
      <x:c r="D1009" s="46" t="str">
        <x:v>count</x:v>
      </x:c>
    </x:row>
    <x:row r="1010" ht="18" customHeight="1">
      <x:c r="A1010" s="46" t="str">
        <x:v>LME_039</x:v>
      </x:c>
      <x:c r="B1010" s="46" t="str">
        <x:v>raw_filtered_tonnes</x:v>
      </x:c>
      <x:c r="C1010" s="46" t="n">
        <x:v>44872.4444403339</x:v>
      </x:c>
      <x:c r="D1010" s="46" t="str">
        <x:v>tonnes</x:v>
      </x:c>
    </x:row>
    <x:row r="1011" ht="18" customHeight="1">
      <x:c r="A1011" s="46" t="str">
        <x:v>LME_039</x:v>
      </x:c>
      <x:c r="B1011" s="46" t="str">
        <x:v>species_catch_tonnes</x:v>
      </x:c>
      <x:c r="C1011" s="46" t="n">
        <x:v>44872.4444403339</x:v>
      </x:c>
      <x:c r="D1011" s="46" t="str">
        <x:v>tonnes</x:v>
      </x:c>
    </x:row>
    <x:row r="1012" ht="18" customHeight="1">
      <x:c r="A1012" s="46" t="str">
        <x:v>LME_039</x:v>
      </x:c>
      <x:c r="B1012" s="46" t="str">
        <x:v>catch_difference_tonnes</x:v>
      </x:c>
      <x:c r="C1012" s="46" t="n">
        <x:v>0</x:v>
      </x:c>
      <x:c r="D1012" s="46" t="str">
        <x:v>tonnes</x:v>
      </x:c>
    </x:row>
    <x:row r="1013" ht="18" customHeight="1">
      <x:c r="A1013" s="46" t="str">
        <x:v>LME_039</x:v>
      </x:c>
      <x:c r="B1013" s="46" t="str">
        <x:v>catch_reconciled</x:v>
      </x:c>
      <x:c r="C1013" s="46" t="str">
        <x:v>True</x:v>
      </x:c>
      <x:c r="D1013" s="46" t="str">
        <x:v>boolean</x:v>
      </x:c>
    </x:row>
    <x:row r="1014" ht="18" customHeight="1">
      <x:c r="A1014" s="46" t="str">
        <x:v>LME_039</x:v>
      </x:c>
      <x:c r="B1014" s="46" t="str">
        <x:v>matched_catch_tonnes</x:v>
      </x:c>
      <x:c r="C1014" s="46" t="n">
        <x:v>44872.4444403339</x:v>
      </x:c>
      <x:c r="D1014" s="46" t="str">
        <x:v>tonnes</x:v>
      </x:c>
    </x:row>
    <x:row r="1015" ht="18" customHeight="1">
      <x:c r="A1015" s="46" t="str">
        <x:v>LME_039</x:v>
      </x:c>
      <x:c r="B1015" s="46" t="str">
        <x:v>catch_coverage_fraction</x:v>
      </x:c>
      <x:c r="C1015" s="46" t="n">
        <x:v>1</x:v>
      </x:c>
      <x:c r="D1015" s="46" t="str">
        <x:v>fraction</x:v>
      </x:c>
    </x:row>
    <x:row r="1016" ht="18" customHeight="1">
      <x:c r="A1016" s="46" t="str">
        <x:v>LME_039</x:v>
      </x:c>
      <x:c r="B1016" s="46" t="str">
        <x:v>taxa_count</x:v>
      </x:c>
      <x:c r="C1016" s="46" t="n">
        <x:v>452</x:v>
      </x:c>
      <x:c r="D1016" s="46" t="str">
        <x:v>count</x:v>
      </x:c>
    </x:row>
    <x:row r="1017" ht="18" customHeight="1">
      <x:c r="A1017" s="46" t="str">
        <x:v>LME_039</x:v>
      </x:c>
      <x:c r="B1017" s="46" t="str">
        <x:v>matched_taxa_count</x:v>
      </x:c>
      <x:c r="C1017" s="46" t="n">
        <x:v>452</x:v>
      </x:c>
      <x:c r="D1017" s="46" t="str">
        <x:v>count</x:v>
      </x:c>
    </x:row>
    <x:row r="1018" ht="18" customHeight="1">
      <x:c r="A1018" s="46" t="str">
        <x:v>LME_039</x:v>
      </x:c>
      <x:c r="B1018" s="46" t="str">
        <x:v>unmatched_taxa_count</x:v>
      </x:c>
      <x:c r="C1018" s="46" t="n">
        <x:v>0</x:v>
      </x:c>
      <x:c r="D1018" s="46" t="str">
        <x:v>count</x:v>
      </x:c>
    </x:row>
    <x:row r="1019" ht="18" customHeight="1">
      <x:c r="A1019" s="46" t="str">
        <x:v>LME_039</x:v>
      </x:c>
      <x:c r="B1019" s="46" t="str">
        <x:v>species_ppr</x:v>
      </x:c>
      <x:c r="C1019" s="46" t="n">
        <x:v>32609919.10129194</x:v>
      </x:c>
      <x:c r="D1019" s="46" t="str">
        <x:v>tonnes_primary_production_equivalent</x:v>
      </x:c>
    </x:row>
    <x:row r="1020" ht="18" customHeight="1">
      <x:c r="A1020" s="46" t="str">
        <x:v>LME_039</x:v>
      </x:c>
      <x:c r="B1020" s="46" t="str">
        <x:v>commercial_ppr</x:v>
      </x:c>
      <x:c r="C1020" s="46" t="n">
        <x:v>32609919.101291947</x:v>
      </x:c>
      <x:c r="D1020" s="46" t="str">
        <x:v>tonnes_primary_production_equivalent</x:v>
      </x:c>
    </x:row>
    <x:row r="1021" ht="18" customHeight="1">
      <x:c r="A1021" s="46" t="str">
        <x:v>LME_039</x:v>
      </x:c>
      <x:c r="B1021" s="46" t="str">
        <x:v>functional_ppr</x:v>
      </x:c>
      <x:c r="C1021" s="46" t="n">
        <x:v>32609919.101291936</x:v>
      </x:c>
      <x:c r="D1021" s="46" t="str">
        <x:v>tonnes_primary_production_equivalent</x:v>
      </x:c>
    </x:row>
    <x:row r="1022" ht="18" customHeight="1">
      <x:c r="A1022" s="46" t="str">
        <x:v>LME_039</x:v>
      </x:c>
      <x:c r="B1022" s="46" t="str">
        <x:v>commercial_ppr_difference</x:v>
      </x:c>
      <x:c r="C1022" s="46" t="n">
        <x:v>7.450580596923828e-9</x:v>
      </x:c>
      <x:c r="D1022" s="46" t="str">
        <x:v>tonnes_primary_production_equivalent</x:v>
      </x:c>
    </x:row>
    <x:row r="1023" ht="18" customHeight="1">
      <x:c r="A1023" s="46" t="str">
        <x:v>LME_039</x:v>
      </x:c>
      <x:c r="B1023" s="46" t="str">
        <x:v>functional_ppr_difference</x:v>
      </x:c>
      <x:c r="C1023" s="46" t="n">
        <x:v>-3.725290298461914e-9</x:v>
      </x:c>
      <x:c r="D1023" s="46" t="str">
        <x:v>tonnes_primary_production_equivalent</x:v>
      </x:c>
    </x:row>
    <x:row r="1024" ht="18" customHeight="1">
      <x:c r="A1024" s="46" t="str">
        <x:v>LME_039</x:v>
      </x:c>
      <x:c r="B1024" s="46" t="str">
        <x:v>commercial_ppr_reconciled</x:v>
      </x:c>
      <x:c r="C1024" s="46" t="str">
        <x:v>True</x:v>
      </x:c>
      <x:c r="D1024" s="46" t="str">
        <x:v>boolean</x:v>
      </x:c>
    </x:row>
    <x:row r="1025" ht="18" customHeight="1">
      <x:c r="A1025" s="46" t="str">
        <x:v>LME_039</x:v>
      </x:c>
      <x:c r="B1025" s="46" t="str">
        <x:v>functional_ppr_reconciled</x:v>
      </x:c>
      <x:c r="C1025" s="46" t="str">
        <x:v>True</x:v>
      </x:c>
      <x:c r="D1025" s="46" t="str">
        <x:v>boolean</x:v>
      </x:c>
    </x:row>
    <x:row r="1026" ht="18" customHeight="1">
      <x:c r="A1026" s="46" t="str">
        <x:v>LME_039</x:v>
      </x:c>
      <x:c r="B1026" s="46" t="str">
        <x:v>commercial_jensen_violations</x:v>
      </x:c>
      <x:c r="C1026" s="46" t="n">
        <x:v>0</x:v>
      </x:c>
      <x:c r="D1026" s="46" t="str">
        <x:v>count</x:v>
      </x:c>
    </x:row>
    <x:row r="1027" ht="18" customHeight="1">
      <x:c r="A1027" s="46" t="str">
        <x:v>LME_039</x:v>
      </x:c>
      <x:c r="B1027" s="46" t="str">
        <x:v>functional_jensen_violations</x:v>
      </x:c>
      <x:c r="C1027" s="46" t="n">
        <x:v>0</x:v>
      </x:c>
      <x:c r="D1027" s="46" t="str">
        <x:v>count</x:v>
      </x:c>
    </x:row>
    <x:row r="1028" ht="18" customHeight="1">
      <x:c r="A1028" s="46" t="str">
        <x:v>LME_040</x:v>
      </x:c>
      <x:c r="B1028" s="46" t="str">
        <x:v>raw_filtered_tonnes</x:v>
      </x:c>
      <x:c r="C1028" s="46" t="n">
        <x:v>22842.5316976432</x:v>
      </x:c>
      <x:c r="D1028" s="46" t="str">
        <x:v>tonnes</x:v>
      </x:c>
    </x:row>
    <x:row r="1029" ht="18" customHeight="1">
      <x:c r="A1029" s="46" t="str">
        <x:v>LME_040</x:v>
      </x:c>
      <x:c r="B1029" s="46" t="str">
        <x:v>species_catch_tonnes</x:v>
      </x:c>
      <x:c r="C1029" s="46" t="n">
        <x:v>22842.531697643197</x:v>
      </x:c>
      <x:c r="D1029" s="46" t="str">
        <x:v>tonnes</x:v>
      </x:c>
    </x:row>
    <x:row r="1030" ht="18" customHeight="1">
      <x:c r="A1030" s="46" t="str">
        <x:v>LME_040</x:v>
      </x:c>
      <x:c r="B1030" s="46" t="str">
        <x:v>catch_difference_tonnes</x:v>
      </x:c>
      <x:c r="C1030" s="46" t="n">
        <x:v>-3.637978807091713e-12</x:v>
      </x:c>
      <x:c r="D1030" s="46" t="str">
        <x:v>tonnes</x:v>
      </x:c>
    </x:row>
    <x:row r="1031" ht="18" customHeight="1">
      <x:c r="A1031" s="46" t="str">
        <x:v>LME_040</x:v>
      </x:c>
      <x:c r="B1031" s="46" t="str">
        <x:v>catch_reconciled</x:v>
      </x:c>
      <x:c r="C1031" s="46" t="str">
        <x:v>True</x:v>
      </x:c>
      <x:c r="D1031" s="46" t="str">
        <x:v>boolean</x:v>
      </x:c>
    </x:row>
    <x:row r="1032" ht="18" customHeight="1">
      <x:c r="A1032" s="46" t="str">
        <x:v>LME_040</x:v>
      </x:c>
      <x:c r="B1032" s="46" t="str">
        <x:v>matched_catch_tonnes</x:v>
      </x:c>
      <x:c r="C1032" s="46" t="n">
        <x:v>22842.531697643197</x:v>
      </x:c>
      <x:c r="D1032" s="46" t="str">
        <x:v>tonnes</x:v>
      </x:c>
    </x:row>
    <x:row r="1033" ht="18" customHeight="1">
      <x:c r="A1033" s="46" t="str">
        <x:v>LME_040</x:v>
      </x:c>
      <x:c r="B1033" s="46" t="str">
        <x:v>catch_coverage_fraction</x:v>
      </x:c>
      <x:c r="C1033" s="46" t="n">
        <x:v>1</x:v>
      </x:c>
      <x:c r="D1033" s="46" t="str">
        <x:v>fraction</x:v>
      </x:c>
    </x:row>
    <x:row r="1034" ht="18" customHeight="1">
      <x:c r="A1034" s="46" t="str">
        <x:v>LME_040</x:v>
      </x:c>
      <x:c r="B1034" s="46" t="str">
        <x:v>taxa_count</x:v>
      </x:c>
      <x:c r="C1034" s="46" t="n">
        <x:v>332</x:v>
      </x:c>
      <x:c r="D1034" s="46" t="str">
        <x:v>count</x:v>
      </x:c>
    </x:row>
    <x:row r="1035" ht="18" customHeight="1">
      <x:c r="A1035" s="46" t="str">
        <x:v>LME_040</x:v>
      </x:c>
      <x:c r="B1035" s="46" t="str">
        <x:v>matched_taxa_count</x:v>
      </x:c>
      <x:c r="C1035" s="46" t="n">
        <x:v>332</x:v>
      </x:c>
      <x:c r="D1035" s="46" t="str">
        <x:v>count</x:v>
      </x:c>
    </x:row>
    <x:row r="1036" ht="18" customHeight="1">
      <x:c r="A1036" s="46" t="str">
        <x:v>LME_040</x:v>
      </x:c>
      <x:c r="B1036" s="46" t="str">
        <x:v>unmatched_taxa_count</x:v>
      </x:c>
      <x:c r="C1036" s="46" t="n">
        <x:v>0</x:v>
      </x:c>
      <x:c r="D1036" s="46" t="str">
        <x:v>count</x:v>
      </x:c>
    </x:row>
    <x:row r="1037" ht="18" customHeight="1">
      <x:c r="A1037" s="46" t="str">
        <x:v>LME_040</x:v>
      </x:c>
      <x:c r="B1037" s="46" t="str">
        <x:v>species_ppr</x:v>
      </x:c>
      <x:c r="C1037" s="46" t="n">
        <x:v>27661702.09258175</x:v>
      </x:c>
      <x:c r="D1037" s="46" t="str">
        <x:v>tonnes_primary_production_equivalent</x:v>
      </x:c>
    </x:row>
    <x:row r="1038" ht="18" customHeight="1">
      <x:c r="A1038" s="46" t="str">
        <x:v>LME_040</x:v>
      </x:c>
      <x:c r="B1038" s="46" t="str">
        <x:v>commercial_ppr</x:v>
      </x:c>
      <x:c r="C1038" s="46" t="n">
        <x:v>27661702.092581745</x:v>
      </x:c>
      <x:c r="D1038" s="46" t="str">
        <x:v>tonnes_primary_production_equivalent</x:v>
      </x:c>
    </x:row>
    <x:row r="1039" ht="18" customHeight="1">
      <x:c r="A1039" s="46" t="str">
        <x:v>LME_040</x:v>
      </x:c>
      <x:c r="B1039" s="46" t="str">
        <x:v>functional_ppr</x:v>
      </x:c>
      <x:c r="C1039" s="46" t="n">
        <x:v>27661702.09258174</x:v>
      </x:c>
      <x:c r="D1039" s="46" t="str">
        <x:v>tonnes_primary_production_equivalent</x:v>
      </x:c>
    </x:row>
    <x:row r="1040" ht="18" customHeight="1">
      <x:c r="A1040" s="46" t="str">
        <x:v>LME_040</x:v>
      </x:c>
      <x:c r="B1040" s="46" t="str">
        <x:v>commercial_ppr_difference</x:v>
      </x:c>
      <x:c r="C1040" s="46" t="n">
        <x:v>-3.725290298461914e-9</x:v>
      </x:c>
      <x:c r="D1040" s="46" t="str">
        <x:v>tonnes_primary_production_equivalent</x:v>
      </x:c>
    </x:row>
    <x:row r="1041" ht="18" customHeight="1">
      <x:c r="A1041" s="46" t="str">
        <x:v>LME_040</x:v>
      </x:c>
      <x:c r="B1041" s="46" t="str">
        <x:v>functional_ppr_difference</x:v>
      </x:c>
      <x:c r="C1041" s="46" t="n">
        <x:v>-7.450580596923828e-9</x:v>
      </x:c>
      <x:c r="D1041" s="46" t="str">
        <x:v>tonnes_primary_production_equivalent</x:v>
      </x:c>
    </x:row>
    <x:row r="1042" ht="18" customHeight="1">
      <x:c r="A1042" s="46" t="str">
        <x:v>LME_040</x:v>
      </x:c>
      <x:c r="B1042" s="46" t="str">
        <x:v>commercial_ppr_reconciled</x:v>
      </x:c>
      <x:c r="C1042" s="46" t="str">
        <x:v>True</x:v>
      </x:c>
      <x:c r="D1042" s="46" t="str">
        <x:v>boolean</x:v>
      </x:c>
    </x:row>
    <x:row r="1043" ht="18" customHeight="1">
      <x:c r="A1043" s="46" t="str">
        <x:v>LME_040</x:v>
      </x:c>
      <x:c r="B1043" s="46" t="str">
        <x:v>functional_ppr_reconciled</x:v>
      </x:c>
      <x:c r="C1043" s="46" t="str">
        <x:v>True</x:v>
      </x:c>
      <x:c r="D1043" s="46" t="str">
        <x:v>boolean</x:v>
      </x:c>
    </x:row>
    <x:row r="1044" ht="18" customHeight="1">
      <x:c r="A1044" s="46" t="str">
        <x:v>LME_040</x:v>
      </x:c>
      <x:c r="B1044" s="46" t="str">
        <x:v>commercial_jensen_violations</x:v>
      </x:c>
      <x:c r="C1044" s="46" t="n">
        <x:v>0</x:v>
      </x:c>
      <x:c r="D1044" s="46" t="str">
        <x:v>count</x:v>
      </x:c>
    </x:row>
    <x:row r="1045" ht="18" customHeight="1">
      <x:c r="A1045" s="46" t="str">
        <x:v>LME_040</x:v>
      </x:c>
      <x:c r="B1045" s="46" t="str">
        <x:v>functional_jensen_violations</x:v>
      </x:c>
      <x:c r="C1045" s="46" t="n">
        <x:v>0</x:v>
      </x:c>
      <x:c r="D1045" s="46" t="str">
        <x:v>count</x:v>
      </x:c>
    </x:row>
    <x:row r="1046" ht="18" customHeight="1">
      <x:c r="A1046" s="46" t="str">
        <x:v>LME_041</x:v>
      </x:c>
      <x:c r="B1046" s="46" t="str">
        <x:v>raw_filtered_tonnes</x:v>
      </x:c>
      <x:c r="C1046" s="46" t="n">
        <x:v>39281.0247337031</x:v>
      </x:c>
      <x:c r="D1046" s="46" t="str">
        <x:v>tonnes</x:v>
      </x:c>
    </x:row>
    <x:row r="1047" ht="18" customHeight="1">
      <x:c r="A1047" s="46" t="str">
        <x:v>LME_041</x:v>
      </x:c>
      <x:c r="B1047" s="46" t="str">
        <x:v>species_catch_tonnes</x:v>
      </x:c>
      <x:c r="C1047" s="46" t="n">
        <x:v>39281.024733703096</x:v>
      </x:c>
      <x:c r="D1047" s="46" t="str">
        <x:v>tonnes</x:v>
      </x:c>
    </x:row>
    <x:row r="1048" ht="18" customHeight="1">
      <x:c r="A1048" s="46" t="str">
        <x:v>LME_041</x:v>
      </x:c>
      <x:c r="B1048" s="46" t="str">
        <x:v>catch_difference_tonnes</x:v>
      </x:c>
      <x:c r="C1048" s="46" t="n">
        <x:v>-7.275957614183426e-12</x:v>
      </x:c>
      <x:c r="D1048" s="46" t="str">
        <x:v>tonnes</x:v>
      </x:c>
    </x:row>
    <x:row r="1049" ht="18" customHeight="1">
      <x:c r="A1049" s="46" t="str">
        <x:v>LME_041</x:v>
      </x:c>
      <x:c r="B1049" s="46" t="str">
        <x:v>catch_reconciled</x:v>
      </x:c>
      <x:c r="C1049" s="46" t="str">
        <x:v>True</x:v>
      </x:c>
      <x:c r="D1049" s="46" t="str">
        <x:v>boolean</x:v>
      </x:c>
    </x:row>
    <x:row r="1050" ht="18" customHeight="1">
      <x:c r="A1050" s="46" t="str">
        <x:v>LME_041</x:v>
      </x:c>
      <x:c r="B1050" s="46" t="str">
        <x:v>matched_catch_tonnes</x:v>
      </x:c>
      <x:c r="C1050" s="46" t="n">
        <x:v>39281.024733703096</x:v>
      </x:c>
      <x:c r="D1050" s="46" t="str">
        <x:v>tonnes</x:v>
      </x:c>
    </x:row>
    <x:row r="1051" ht="18" customHeight="1">
      <x:c r="A1051" s="46" t="str">
        <x:v>LME_041</x:v>
      </x:c>
      <x:c r="B1051" s="46" t="str">
        <x:v>catch_coverage_fraction</x:v>
      </x:c>
      <x:c r="C1051" s="46" t="n">
        <x:v>1</x:v>
      </x:c>
      <x:c r="D1051" s="46" t="str">
        <x:v>fraction</x:v>
      </x:c>
    </x:row>
    <x:row r="1052" ht="18" customHeight="1">
      <x:c r="A1052" s="46" t="str">
        <x:v>LME_041</x:v>
      </x:c>
      <x:c r="B1052" s="46" t="str">
        <x:v>taxa_count</x:v>
      </x:c>
      <x:c r="C1052" s="46" t="n">
        <x:v>382</x:v>
      </x:c>
      <x:c r="D1052" s="46" t="str">
        <x:v>count</x:v>
      </x:c>
    </x:row>
    <x:row r="1053" ht="18" customHeight="1">
      <x:c r="A1053" s="46" t="str">
        <x:v>LME_041</x:v>
      </x:c>
      <x:c r="B1053" s="46" t="str">
        <x:v>matched_taxa_count</x:v>
      </x:c>
      <x:c r="C1053" s="46" t="n">
        <x:v>382</x:v>
      </x:c>
      <x:c r="D1053" s="46" t="str">
        <x:v>count</x:v>
      </x:c>
    </x:row>
    <x:row r="1054" ht="18" customHeight="1">
      <x:c r="A1054" s="46" t="str">
        <x:v>LME_041</x:v>
      </x:c>
      <x:c r="B1054" s="46" t="str">
        <x:v>unmatched_taxa_count</x:v>
      </x:c>
      <x:c r="C1054" s="46" t="n">
        <x:v>0</x:v>
      </x:c>
      <x:c r="D1054" s="46" t="str">
        <x:v>count</x:v>
      </x:c>
    </x:row>
    <x:row r="1055" ht="18" customHeight="1">
      <x:c r="A1055" s="46" t="str">
        <x:v>LME_041</x:v>
      </x:c>
      <x:c r="B1055" s="46" t="str">
        <x:v>species_ppr</x:v>
      </x:c>
      <x:c r="C1055" s="46" t="n">
        <x:v>32154354.584904723</x:v>
      </x:c>
      <x:c r="D1055" s="46" t="str">
        <x:v>tonnes_primary_production_equivalent</x:v>
      </x:c>
    </x:row>
    <x:row r="1056" ht="18" customHeight="1">
      <x:c r="A1056" s="46" t="str">
        <x:v>LME_041</x:v>
      </x:c>
      <x:c r="B1056" s="46" t="str">
        <x:v>commercial_ppr</x:v>
      </x:c>
      <x:c r="C1056" s="46" t="n">
        <x:v>32154354.58490472</x:v>
      </x:c>
      <x:c r="D1056" s="46" t="str">
        <x:v>tonnes_primary_production_equivalent</x:v>
      </x:c>
    </x:row>
    <x:row r="1057" ht="18" customHeight="1">
      <x:c r="A1057" s="46" t="str">
        <x:v>LME_041</x:v>
      </x:c>
      <x:c r="B1057" s="46" t="str">
        <x:v>functional_ppr</x:v>
      </x:c>
      <x:c r="C1057" s="46" t="n">
        <x:v>32154354.58490472</x:v>
      </x:c>
      <x:c r="D1057" s="46" t="str">
        <x:v>tonnes_primary_production_equivalent</x:v>
      </x:c>
    </x:row>
    <x:row r="1058" ht="18" customHeight="1">
      <x:c r="A1058" s="46" t="str">
        <x:v>LME_041</x:v>
      </x:c>
      <x:c r="B1058" s="46" t="str">
        <x:v>commercial_ppr_difference</x:v>
      </x:c>
      <x:c r="C1058" s="46" t="n">
        <x:v>-3.725290298461914e-9</x:v>
      </x:c>
      <x:c r="D1058" s="46" t="str">
        <x:v>tonnes_primary_production_equivalent</x:v>
      </x:c>
    </x:row>
    <x:row r="1059" ht="18" customHeight="1">
      <x:c r="A1059" s="46" t="str">
        <x:v>LME_041</x:v>
      </x:c>
      <x:c r="B1059" s="46" t="str">
        <x:v>functional_ppr_difference</x:v>
      </x:c>
      <x:c r="C1059" s="46" t="n">
        <x:v>-3.725290298461914e-9</x:v>
      </x:c>
      <x:c r="D1059" s="46" t="str">
        <x:v>tonnes_primary_production_equivalent</x:v>
      </x:c>
    </x:row>
    <x:row r="1060" ht="18" customHeight="1">
      <x:c r="A1060" s="46" t="str">
        <x:v>LME_041</x:v>
      </x:c>
      <x:c r="B1060" s="46" t="str">
        <x:v>commercial_ppr_reconciled</x:v>
      </x:c>
      <x:c r="C1060" s="46" t="str">
        <x:v>True</x:v>
      </x:c>
      <x:c r="D1060" s="46" t="str">
        <x:v>boolean</x:v>
      </x:c>
    </x:row>
    <x:row r="1061" ht="18" customHeight="1">
      <x:c r="A1061" s="46" t="str">
        <x:v>LME_041</x:v>
      </x:c>
      <x:c r="B1061" s="46" t="str">
        <x:v>functional_ppr_reconciled</x:v>
      </x:c>
      <x:c r="C1061" s="46" t="str">
        <x:v>True</x:v>
      </x:c>
      <x:c r="D1061" s="46" t="str">
        <x:v>boolean</x:v>
      </x:c>
    </x:row>
    <x:row r="1062" ht="18" customHeight="1">
      <x:c r="A1062" s="46" t="str">
        <x:v>LME_041</x:v>
      </x:c>
      <x:c r="B1062" s="46" t="str">
        <x:v>commercial_jensen_violations</x:v>
      </x:c>
      <x:c r="C1062" s="46" t="n">
        <x:v>0</x:v>
      </x:c>
      <x:c r="D1062" s="46" t="str">
        <x:v>count</x:v>
      </x:c>
    </x:row>
    <x:row r="1063" ht="18" customHeight="1">
      <x:c r="A1063" s="46" t="str">
        <x:v>LME_041</x:v>
      </x:c>
      <x:c r="B1063" s="46" t="str">
        <x:v>functional_jensen_violations</x:v>
      </x:c>
      <x:c r="C1063" s="46" t="n">
        <x:v>0</x:v>
      </x:c>
      <x:c r="D1063" s="46" t="str">
        <x:v>count</x:v>
      </x:c>
    </x:row>
    <x:row r="1064" ht="18" customHeight="1">
      <x:c r="A1064" s="46" t="str">
        <x:v>LME_042</x:v>
      </x:c>
      <x:c r="B1064" s="46" t="str">
        <x:v>raw_filtered_tonnes</x:v>
      </x:c>
      <x:c r="C1064" s="46" t="n">
        <x:v>32645.754357906102</x:v>
      </x:c>
      <x:c r="D1064" s="46" t="str">
        <x:v>tonnes</x:v>
      </x:c>
    </x:row>
    <x:row r="1065" ht="18" customHeight="1">
      <x:c r="A1065" s="46" t="str">
        <x:v>LME_042</x:v>
      </x:c>
      <x:c r="B1065" s="46" t="str">
        <x:v>species_catch_tonnes</x:v>
      </x:c>
      <x:c r="C1065" s="46" t="n">
        <x:v>32645.7543579061</x:v>
      </x:c>
      <x:c r="D1065" s="46" t="str">
        <x:v>tonnes</x:v>
      </x:c>
    </x:row>
    <x:row r="1066" ht="18" customHeight="1">
      <x:c r="A1066" s="46" t="str">
        <x:v>LME_042</x:v>
      </x:c>
      <x:c r="B1066" s="46" t="str">
        <x:v>catch_difference_tonnes</x:v>
      </x:c>
      <x:c r="C1066" s="46" t="n">
        <x:v>-3.637978807091713e-12</x:v>
      </x:c>
      <x:c r="D1066" s="46" t="str">
        <x:v>tonnes</x:v>
      </x:c>
    </x:row>
    <x:row r="1067" ht="18" customHeight="1">
      <x:c r="A1067" s="46" t="str">
        <x:v>LME_042</x:v>
      </x:c>
      <x:c r="B1067" s="46" t="str">
        <x:v>catch_reconciled</x:v>
      </x:c>
      <x:c r="C1067" s="46" t="str">
        <x:v>True</x:v>
      </x:c>
      <x:c r="D1067" s="46" t="str">
        <x:v>boolean</x:v>
      </x:c>
    </x:row>
    <x:row r="1068" ht="18" customHeight="1">
      <x:c r="A1068" s="46" t="str">
        <x:v>LME_042</x:v>
      </x:c>
      <x:c r="B1068" s="46" t="str">
        <x:v>matched_catch_tonnes</x:v>
      </x:c>
      <x:c r="C1068" s="46" t="n">
        <x:v>32645.7543579061</x:v>
      </x:c>
      <x:c r="D1068" s="46" t="str">
        <x:v>tonnes</x:v>
      </x:c>
    </x:row>
    <x:row r="1069" ht="18" customHeight="1">
      <x:c r="A1069" s="46" t="str">
        <x:v>LME_042</x:v>
      </x:c>
      <x:c r="B1069" s="46" t="str">
        <x:v>catch_coverage_fraction</x:v>
      </x:c>
      <x:c r="C1069" s="46" t="n">
        <x:v>1</x:v>
      </x:c>
      <x:c r="D1069" s="46" t="str">
        <x:v>fraction</x:v>
      </x:c>
    </x:row>
    <x:row r="1070" ht="18" customHeight="1">
      <x:c r="A1070" s="46" t="str">
        <x:v>LME_042</x:v>
      </x:c>
      <x:c r="B1070" s="46" t="str">
        <x:v>taxa_count</x:v>
      </x:c>
      <x:c r="C1070" s="46" t="n">
        <x:v>246</x:v>
      </x:c>
      <x:c r="D1070" s="46" t="str">
        <x:v>count</x:v>
      </x:c>
    </x:row>
    <x:row r="1071" ht="18" customHeight="1">
      <x:c r="A1071" s="46" t="str">
        <x:v>LME_042</x:v>
      </x:c>
      <x:c r="B1071" s="46" t="str">
        <x:v>matched_taxa_count</x:v>
      </x:c>
      <x:c r="C1071" s="46" t="n">
        <x:v>246</x:v>
      </x:c>
      <x:c r="D1071" s="46" t="str">
        <x:v>count</x:v>
      </x:c>
    </x:row>
    <x:row r="1072" ht="18" customHeight="1">
      <x:c r="A1072" s="46" t="str">
        <x:v>LME_042</x:v>
      </x:c>
      <x:c r="B1072" s="46" t="str">
        <x:v>unmatched_taxa_count</x:v>
      </x:c>
      <x:c r="C1072" s="46" t="n">
        <x:v>0</x:v>
      </x:c>
      <x:c r="D1072" s="46" t="str">
        <x:v>count</x:v>
      </x:c>
    </x:row>
    <x:row r="1073" ht="18" customHeight="1">
      <x:c r="A1073" s="46" t="str">
        <x:v>LME_042</x:v>
      </x:c>
      <x:c r="B1073" s="46" t="str">
        <x:v>species_ppr</x:v>
      </x:c>
      <x:c r="C1073" s="46" t="n">
        <x:v>22122834.477210246</x:v>
      </x:c>
      <x:c r="D1073" s="46" t="str">
        <x:v>tonnes_primary_production_equivalent</x:v>
      </x:c>
    </x:row>
    <x:row r="1074" ht="18" customHeight="1">
      <x:c r="A1074" s="46" t="str">
        <x:v>LME_042</x:v>
      </x:c>
      <x:c r="B1074" s="46" t="str">
        <x:v>commercial_ppr</x:v>
      </x:c>
      <x:c r="C1074" s="46" t="n">
        <x:v>22122834.477210242</x:v>
      </x:c>
      <x:c r="D1074" s="46" t="str">
        <x:v>tonnes_primary_production_equivalent</x:v>
      </x:c>
    </x:row>
    <x:row r="1075" ht="18" customHeight="1">
      <x:c r="A1075" s="46" t="str">
        <x:v>LME_042</x:v>
      </x:c>
      <x:c r="B1075" s="46" t="str">
        <x:v>functional_ppr</x:v>
      </x:c>
      <x:c r="C1075" s="46" t="n">
        <x:v>22122834.47721024</x:v>
      </x:c>
      <x:c r="D1075" s="46" t="str">
        <x:v>tonnes_primary_production_equivalent</x:v>
      </x:c>
    </x:row>
    <x:row r="1076" ht="18" customHeight="1">
      <x:c r="A1076" s="46" t="str">
        <x:v>LME_042</x:v>
      </x:c>
      <x:c r="B1076" s="46" t="str">
        <x:v>commercial_ppr_difference</x:v>
      </x:c>
      <x:c r="C1076" s="46" t="n">
        <x:v>-3.725290298461914e-9</x:v>
      </x:c>
      <x:c r="D1076" s="46" t="str">
        <x:v>tonnes_primary_production_equivalent</x:v>
      </x:c>
    </x:row>
    <x:row r="1077" ht="18" customHeight="1">
      <x:c r="A1077" s="46" t="str">
        <x:v>LME_042</x:v>
      </x:c>
      <x:c r="B1077" s="46" t="str">
        <x:v>functional_ppr_difference</x:v>
      </x:c>
      <x:c r="C1077" s="46" t="n">
        <x:v>-7.450580596923828e-9</x:v>
      </x:c>
      <x:c r="D1077" s="46" t="str">
        <x:v>tonnes_primary_production_equivalent</x:v>
      </x:c>
    </x:row>
    <x:row r="1078" ht="18" customHeight="1">
      <x:c r="A1078" s="46" t="str">
        <x:v>LME_042</x:v>
      </x:c>
      <x:c r="B1078" s="46" t="str">
        <x:v>commercial_ppr_reconciled</x:v>
      </x:c>
      <x:c r="C1078" s="46" t="str">
        <x:v>True</x:v>
      </x:c>
      <x:c r="D1078" s="46" t="str">
        <x:v>boolean</x:v>
      </x:c>
    </x:row>
    <x:row r="1079" ht="18" customHeight="1">
      <x:c r="A1079" s="46" t="str">
        <x:v>LME_042</x:v>
      </x:c>
      <x:c r="B1079" s="46" t="str">
        <x:v>functional_ppr_reconciled</x:v>
      </x:c>
      <x:c r="C1079" s="46" t="str">
        <x:v>True</x:v>
      </x:c>
      <x:c r="D1079" s="46" t="str">
        <x:v>boolean</x:v>
      </x:c>
    </x:row>
    <x:row r="1080" ht="18" customHeight="1">
      <x:c r="A1080" s="46" t="str">
        <x:v>LME_042</x:v>
      </x:c>
      <x:c r="B1080" s="46" t="str">
        <x:v>commercial_jensen_violations</x:v>
      </x:c>
      <x:c r="C1080" s="46" t="n">
        <x:v>0</x:v>
      </x:c>
      <x:c r="D1080" s="46" t="str">
        <x:v>count</x:v>
      </x:c>
    </x:row>
    <x:row r="1081" ht="18" customHeight="1">
      <x:c r="A1081" s="46" t="str">
        <x:v>LME_042</x:v>
      </x:c>
      <x:c r="B1081" s="46" t="str">
        <x:v>functional_jensen_violations</x:v>
      </x:c>
      <x:c r="C1081" s="46" t="n">
        <x:v>0</x:v>
      </x:c>
      <x:c r="D1081" s="46" t="str">
        <x:v>count</x:v>
      </x:c>
    </x:row>
    <x:row r="1082" ht="18" customHeight="1">
      <x:c r="A1082" s="46" t="str">
        <x:v>LME_043</x:v>
      </x:c>
      <x:c r="B1082" s="46" t="str">
        <x:v>raw_filtered_tonnes</x:v>
      </x:c>
      <x:c r="C1082" s="46" t="n">
        <x:v>30450.9174249122</x:v>
      </x:c>
      <x:c r="D1082" s="46" t="str">
        <x:v>tonnes</x:v>
      </x:c>
    </x:row>
    <x:row r="1083" ht="18" customHeight="1">
      <x:c r="A1083" s="46" t="str">
        <x:v>LME_043</x:v>
      </x:c>
      <x:c r="B1083" s="46" t="str">
        <x:v>species_catch_tonnes</x:v>
      </x:c>
      <x:c r="C1083" s="46" t="n">
        <x:v>30450.9174249122</x:v>
      </x:c>
      <x:c r="D1083" s="46" t="str">
        <x:v>tonnes</x:v>
      </x:c>
    </x:row>
    <x:row r="1084" ht="18" customHeight="1">
      <x:c r="A1084" s="46" t="str">
        <x:v>LME_043</x:v>
      </x:c>
      <x:c r="B1084" s="46" t="str">
        <x:v>catch_difference_tonnes</x:v>
      </x:c>
      <x:c r="C1084" s="46" t="n">
        <x:v>0</x:v>
      </x:c>
      <x:c r="D1084" s="46" t="str">
        <x:v>tonnes</x:v>
      </x:c>
    </x:row>
    <x:row r="1085" ht="18" customHeight="1">
      <x:c r="A1085" s="46" t="str">
        <x:v>LME_043</x:v>
      </x:c>
      <x:c r="B1085" s="46" t="str">
        <x:v>catch_reconciled</x:v>
      </x:c>
      <x:c r="C1085" s="46" t="str">
        <x:v>True</x:v>
      </x:c>
      <x:c r="D1085" s="46" t="str">
        <x:v>boolean</x:v>
      </x:c>
    </x:row>
    <x:row r="1086" ht="18" customHeight="1">
      <x:c r="A1086" s="46" t="str">
        <x:v>LME_043</x:v>
      </x:c>
      <x:c r="B1086" s="46" t="str">
        <x:v>matched_catch_tonnes</x:v>
      </x:c>
      <x:c r="C1086" s="46" t="n">
        <x:v>30450.9174249122</x:v>
      </x:c>
      <x:c r="D1086" s="46" t="str">
        <x:v>tonnes</x:v>
      </x:c>
    </x:row>
    <x:row r="1087" ht="18" customHeight="1">
      <x:c r="A1087" s="46" t="str">
        <x:v>LME_043</x:v>
      </x:c>
      <x:c r="B1087" s="46" t="str">
        <x:v>catch_coverage_fraction</x:v>
      </x:c>
      <x:c r="C1087" s="46" t="n">
        <x:v>1</x:v>
      </x:c>
      <x:c r="D1087" s="46" t="str">
        <x:v>fraction</x:v>
      </x:c>
    </x:row>
    <x:row r="1088" ht="18" customHeight="1">
      <x:c r="A1088" s="46" t="str">
        <x:v>LME_043</x:v>
      </x:c>
      <x:c r="B1088" s="46" t="str">
        <x:v>taxa_count</x:v>
      </x:c>
      <x:c r="C1088" s="46" t="n">
        <x:v>245</x:v>
      </x:c>
      <x:c r="D1088" s="46" t="str">
        <x:v>count</x:v>
      </x:c>
    </x:row>
    <x:row r="1089" ht="18" customHeight="1">
      <x:c r="A1089" s="46" t="str">
        <x:v>LME_043</x:v>
      </x:c>
      <x:c r="B1089" s="46" t="str">
        <x:v>matched_taxa_count</x:v>
      </x:c>
      <x:c r="C1089" s="46" t="n">
        <x:v>245</x:v>
      </x:c>
      <x:c r="D1089" s="46" t="str">
        <x:v>count</x:v>
      </x:c>
    </x:row>
    <x:row r="1090" ht="18" customHeight="1">
      <x:c r="A1090" s="46" t="str">
        <x:v>LME_043</x:v>
      </x:c>
      <x:c r="B1090" s="46" t="str">
        <x:v>unmatched_taxa_count</x:v>
      </x:c>
      <x:c r="C1090" s="46" t="n">
        <x:v>0</x:v>
      </x:c>
      <x:c r="D1090" s="46" t="str">
        <x:v>count</x:v>
      </x:c>
    </x:row>
    <x:row r="1091" ht="18" customHeight="1">
      <x:c r="A1091" s="46" t="str">
        <x:v>LME_043</x:v>
      </x:c>
      <x:c r="B1091" s="46" t="str">
        <x:v>species_ppr</x:v>
      </x:c>
      <x:c r="C1091" s="46" t="n">
        <x:v>21615913.499733415</x:v>
      </x:c>
      <x:c r="D1091" s="46" t="str">
        <x:v>tonnes_primary_production_equivalent</x:v>
      </x:c>
    </x:row>
    <x:row r="1092" ht="18" customHeight="1">
      <x:c r="A1092" s="46" t="str">
        <x:v>LME_043</x:v>
      </x:c>
      <x:c r="B1092" s="46" t="str">
        <x:v>commercial_ppr</x:v>
      </x:c>
      <x:c r="C1092" s="46" t="n">
        <x:v>21615913.49973341</x:v>
      </x:c>
      <x:c r="D1092" s="46" t="str">
        <x:v>tonnes_primary_production_equivalent</x:v>
      </x:c>
    </x:row>
    <x:row r="1093" ht="18" customHeight="1">
      <x:c r="A1093" s="46" t="str">
        <x:v>LME_043</x:v>
      </x:c>
      <x:c r="B1093" s="46" t="str">
        <x:v>functional_ppr</x:v>
      </x:c>
      <x:c r="C1093" s="46" t="n">
        <x:v>21615913.499733415</x:v>
      </x:c>
      <x:c r="D1093" s="46" t="str">
        <x:v>tonnes_primary_production_equivalent</x:v>
      </x:c>
    </x:row>
    <x:row r="1094" ht="18" customHeight="1">
      <x:c r="A1094" s="46" t="str">
        <x:v>LME_043</x:v>
      </x:c>
      <x:c r="B1094" s="46" t="str">
        <x:v>commercial_ppr_difference</x:v>
      </x:c>
      <x:c r="C1094" s="46" t="n">
        <x:v>-3.725290298461914e-9</x:v>
      </x:c>
      <x:c r="D1094" s="46" t="str">
        <x:v>tonnes_primary_production_equivalent</x:v>
      </x:c>
    </x:row>
    <x:row r="1095" ht="18" customHeight="1">
      <x:c r="A1095" s="46" t="str">
        <x:v>LME_043</x:v>
      </x:c>
      <x:c r="B1095" s="46" t="str">
        <x:v>functional_ppr_difference</x:v>
      </x:c>
      <x:c r="C1095" s="46" t="n">
        <x:v>0</x:v>
      </x:c>
      <x:c r="D1095" s="46" t="str">
        <x:v>tonnes_primary_production_equivalent</x:v>
      </x:c>
    </x:row>
    <x:row r="1096" ht="18" customHeight="1">
      <x:c r="A1096" s="46" t="str">
        <x:v>LME_043</x:v>
      </x:c>
      <x:c r="B1096" s="46" t="str">
        <x:v>commercial_ppr_reconciled</x:v>
      </x:c>
      <x:c r="C1096" s="46" t="str">
        <x:v>True</x:v>
      </x:c>
      <x:c r="D1096" s="46" t="str">
        <x:v>boolean</x:v>
      </x:c>
    </x:row>
    <x:row r="1097" ht="18" customHeight="1">
      <x:c r="A1097" s="46" t="str">
        <x:v>LME_043</x:v>
      </x:c>
      <x:c r="B1097" s="46" t="str">
        <x:v>functional_ppr_reconciled</x:v>
      </x:c>
      <x:c r="C1097" s="46" t="str">
        <x:v>True</x:v>
      </x:c>
      <x:c r="D1097" s="46" t="str">
        <x:v>boolean</x:v>
      </x:c>
    </x:row>
    <x:row r="1098" ht="18" customHeight="1">
      <x:c r="A1098" s="46" t="str">
        <x:v>LME_043</x:v>
      </x:c>
      <x:c r="B1098" s="46" t="str">
        <x:v>commercial_jensen_violations</x:v>
      </x:c>
      <x:c r="C1098" s="46" t="n">
        <x:v>0</x:v>
      </x:c>
      <x:c r="D1098" s="46" t="str">
        <x:v>count</x:v>
      </x:c>
    </x:row>
    <x:row r="1099" ht="18" customHeight="1">
      <x:c r="A1099" s="46" t="str">
        <x:v>LME_043</x:v>
      </x:c>
      <x:c r="B1099" s="46" t="str">
        <x:v>functional_jensen_violations</x:v>
      </x:c>
      <x:c r="C1099" s="46" t="n">
        <x:v>0</x:v>
      </x:c>
      <x:c r="D1099" s="46" t="str">
        <x:v>count</x:v>
      </x:c>
    </x:row>
    <x:row r="1100" ht="18" customHeight="1">
      <x:c r="A1100" s="46" t="str">
        <x:v>LME_044</x:v>
      </x:c>
      <x:c r="B1100" s="46" t="str">
        <x:v>raw_filtered_tonnes</x:v>
      </x:c>
      <x:c r="C1100" s="46" t="n">
        <x:v>19839.0729312876</x:v>
      </x:c>
      <x:c r="D1100" s="46" t="str">
        <x:v>tonnes</x:v>
      </x:c>
    </x:row>
    <x:row r="1101" ht="18" customHeight="1">
      <x:c r="A1101" s="46" t="str">
        <x:v>LME_044</x:v>
      </x:c>
      <x:c r="B1101" s="46" t="str">
        <x:v>species_catch_tonnes</x:v>
      </x:c>
      <x:c r="C1101" s="46" t="n">
        <x:v>19839.072931287603</x:v>
      </x:c>
      <x:c r="D1101" s="46" t="str">
        <x:v>tonnes</x:v>
      </x:c>
    </x:row>
    <x:row r="1102" ht="18" customHeight="1">
      <x:c r="A1102" s="46" t="str">
        <x:v>LME_044</x:v>
      </x:c>
      <x:c r="B1102" s="46" t="str">
        <x:v>catch_difference_tonnes</x:v>
      </x:c>
      <x:c r="C1102" s="46" t="n">
        <x:v>3.637978807091713e-12</x:v>
      </x:c>
      <x:c r="D1102" s="46" t="str">
        <x:v>tonnes</x:v>
      </x:c>
    </x:row>
    <x:row r="1103" ht="18" customHeight="1">
      <x:c r="A1103" s="46" t="str">
        <x:v>LME_044</x:v>
      </x:c>
      <x:c r="B1103" s="46" t="str">
        <x:v>catch_reconciled</x:v>
      </x:c>
      <x:c r="C1103" s="46" t="str">
        <x:v>True</x:v>
      </x:c>
      <x:c r="D1103" s="46" t="str">
        <x:v>boolean</x:v>
      </x:c>
    </x:row>
    <x:row r="1104" ht="18" customHeight="1">
      <x:c r="A1104" s="46" t="str">
        <x:v>LME_044</x:v>
      </x:c>
      <x:c r="B1104" s="46" t="str">
        <x:v>matched_catch_tonnes</x:v>
      </x:c>
      <x:c r="C1104" s="46" t="n">
        <x:v>19839.072931287603</x:v>
      </x:c>
      <x:c r="D1104" s="46" t="str">
        <x:v>tonnes</x:v>
      </x:c>
    </x:row>
    <x:row r="1105" ht="18" customHeight="1">
      <x:c r="A1105" s="46" t="str">
        <x:v>LME_044</x:v>
      </x:c>
      <x:c r="B1105" s="46" t="str">
        <x:v>catch_coverage_fraction</x:v>
      </x:c>
      <x:c r="C1105" s="46" t="n">
        <x:v>1</x:v>
      </x:c>
      <x:c r="D1105" s="46" t="str">
        <x:v>fraction</x:v>
      </x:c>
    </x:row>
    <x:row r="1106" ht="18" customHeight="1">
      <x:c r="A1106" s="46" t="str">
        <x:v>LME_044</x:v>
      </x:c>
      <x:c r="B1106" s="46" t="str">
        <x:v>taxa_count</x:v>
      </x:c>
      <x:c r="C1106" s="46" t="n">
        <x:v>411</x:v>
      </x:c>
      <x:c r="D1106" s="46" t="str">
        <x:v>count</x:v>
      </x:c>
    </x:row>
    <x:row r="1107" ht="18" customHeight="1">
      <x:c r="A1107" s="46" t="str">
        <x:v>LME_044</x:v>
      </x:c>
      <x:c r="B1107" s="46" t="str">
        <x:v>matched_taxa_count</x:v>
      </x:c>
      <x:c r="C1107" s="46" t="n">
        <x:v>411</x:v>
      </x:c>
      <x:c r="D1107" s="46" t="str">
        <x:v>count</x:v>
      </x:c>
    </x:row>
    <x:row r="1108" ht="18" customHeight="1">
      <x:c r="A1108" s="46" t="str">
        <x:v>LME_044</x:v>
      </x:c>
      <x:c r="B1108" s="46" t="str">
        <x:v>unmatched_taxa_count</x:v>
      </x:c>
      <x:c r="C1108" s="46" t="n">
        <x:v>0</x:v>
      </x:c>
      <x:c r="D1108" s="46" t="str">
        <x:v>count</x:v>
      </x:c>
    </x:row>
    <x:row r="1109" ht="18" customHeight="1">
      <x:c r="A1109" s="46" t="str">
        <x:v>LME_044</x:v>
      </x:c>
      <x:c r="B1109" s="46" t="str">
        <x:v>species_ppr</x:v>
      </x:c>
      <x:c r="C1109" s="46" t="n">
        <x:v>8269244.800308174</x:v>
      </x:c>
      <x:c r="D1109" s="46" t="str">
        <x:v>tonnes_primary_production_equivalent</x:v>
      </x:c>
    </x:row>
    <x:row r="1110" ht="18" customHeight="1">
      <x:c r="A1110" s="46" t="str">
        <x:v>LME_044</x:v>
      </x:c>
      <x:c r="B1110" s="46" t="str">
        <x:v>commercial_ppr</x:v>
      </x:c>
      <x:c r="C1110" s="46" t="n">
        <x:v>8269244.800308174</x:v>
      </x:c>
      <x:c r="D1110" s="46" t="str">
        <x:v>tonnes_primary_production_equivalent</x:v>
      </x:c>
    </x:row>
    <x:row r="1111" ht="18" customHeight="1">
      <x:c r="A1111" s="46" t="str">
        <x:v>LME_044</x:v>
      </x:c>
      <x:c r="B1111" s="46" t="str">
        <x:v>functional_ppr</x:v>
      </x:c>
      <x:c r="C1111" s="46" t="n">
        <x:v>8269244.800308176</x:v>
      </x:c>
      <x:c r="D1111" s="46" t="str">
        <x:v>tonnes_primary_production_equivalent</x:v>
      </x:c>
    </x:row>
    <x:row r="1112" ht="18" customHeight="1">
      <x:c r="A1112" s="46" t="str">
        <x:v>LME_044</x:v>
      </x:c>
      <x:c r="B1112" s="46" t="str">
        <x:v>commercial_ppr_difference</x:v>
      </x:c>
      <x:c r="C1112" s="46" t="n">
        <x:v>0</x:v>
      </x:c>
      <x:c r="D1112" s="46" t="str">
        <x:v>tonnes_primary_production_equivalent</x:v>
      </x:c>
    </x:row>
    <x:row r="1113" ht="18" customHeight="1">
      <x:c r="A1113" s="46" t="str">
        <x:v>LME_044</x:v>
      </x:c>
      <x:c r="B1113" s="46" t="str">
        <x:v>functional_ppr_difference</x:v>
      </x:c>
      <x:c r="C1113" s="46" t="n">
        <x:v>1.862645149230957e-9</x:v>
      </x:c>
      <x:c r="D1113" s="46" t="str">
        <x:v>tonnes_primary_production_equivalent</x:v>
      </x:c>
    </x:row>
    <x:row r="1114" ht="18" customHeight="1">
      <x:c r="A1114" s="46" t="str">
        <x:v>LME_044</x:v>
      </x:c>
      <x:c r="B1114" s="46" t="str">
        <x:v>commercial_ppr_reconciled</x:v>
      </x:c>
      <x:c r="C1114" s="46" t="str">
        <x:v>True</x:v>
      </x:c>
      <x:c r="D1114" s="46" t="str">
        <x:v>boolean</x:v>
      </x:c>
    </x:row>
    <x:row r="1115" ht="18" customHeight="1">
      <x:c r="A1115" s="46" t="str">
        <x:v>LME_044</x:v>
      </x:c>
      <x:c r="B1115" s="46" t="str">
        <x:v>functional_ppr_reconciled</x:v>
      </x:c>
      <x:c r="C1115" s="46" t="str">
        <x:v>True</x:v>
      </x:c>
      <x:c r="D1115" s="46" t="str">
        <x:v>boolean</x:v>
      </x:c>
    </x:row>
    <x:row r="1116" ht="18" customHeight="1">
      <x:c r="A1116" s="46" t="str">
        <x:v>LME_044</x:v>
      </x:c>
      <x:c r="B1116" s="46" t="str">
        <x:v>commercial_jensen_violations</x:v>
      </x:c>
      <x:c r="C1116" s="46" t="n">
        <x:v>0</x:v>
      </x:c>
      <x:c r="D1116" s="46" t="str">
        <x:v>count</x:v>
      </x:c>
    </x:row>
    <x:row r="1117" ht="18" customHeight="1">
      <x:c r="A1117" s="46" t="str">
        <x:v>LME_044</x:v>
      </x:c>
      <x:c r="B1117" s="46" t="str">
        <x:v>functional_jensen_violations</x:v>
      </x:c>
      <x:c r="C1117" s="46" t="n">
        <x:v>0</x:v>
      </x:c>
      <x:c r="D1117" s="46" t="str">
        <x:v>count</x:v>
      </x:c>
    </x:row>
    <x:row r="1118" ht="18" customHeight="1">
      <x:c r="A1118" s="46" t="str">
        <x:v>LME_045</x:v>
      </x:c>
      <x:c r="B1118" s="46" t="str">
        <x:v>raw_filtered_tonnes</x:v>
      </x:c>
      <x:c r="C1118" s="46" t="n">
        <x:v>44647.944981429304</x:v>
      </x:c>
      <x:c r="D1118" s="46" t="str">
        <x:v>tonnes</x:v>
      </x:c>
    </x:row>
    <x:row r="1119" ht="18" customHeight="1">
      <x:c r="A1119" s="46" t="str">
        <x:v>LME_045</x:v>
      </x:c>
      <x:c r="B1119" s="46" t="str">
        <x:v>species_catch_tonnes</x:v>
      </x:c>
      <x:c r="C1119" s="46" t="n">
        <x:v>44647.94498142931</x:v>
      </x:c>
      <x:c r="D1119" s="46" t="str">
        <x:v>tonnes</x:v>
      </x:c>
    </x:row>
    <x:row r="1120" ht="18" customHeight="1">
      <x:c r="A1120" s="46" t="str">
        <x:v>LME_045</x:v>
      </x:c>
      <x:c r="B1120" s="46" t="str">
        <x:v>catch_difference_tonnes</x:v>
      </x:c>
      <x:c r="C1120" s="46" t="n">
        <x:v>7.275957614183426e-12</x:v>
      </x:c>
      <x:c r="D1120" s="46" t="str">
        <x:v>tonnes</x:v>
      </x:c>
    </x:row>
    <x:row r="1121" ht="18" customHeight="1">
      <x:c r="A1121" s="46" t="str">
        <x:v>LME_045</x:v>
      </x:c>
      <x:c r="B1121" s="46" t="str">
        <x:v>catch_reconciled</x:v>
      </x:c>
      <x:c r="C1121" s="46" t="str">
        <x:v>True</x:v>
      </x:c>
      <x:c r="D1121" s="46" t="str">
        <x:v>boolean</x:v>
      </x:c>
    </x:row>
    <x:row r="1122" ht="18" customHeight="1">
      <x:c r="A1122" s="46" t="str">
        <x:v>LME_045</x:v>
      </x:c>
      <x:c r="B1122" s="46" t="str">
        <x:v>matched_catch_tonnes</x:v>
      </x:c>
      <x:c r="C1122" s="46" t="n">
        <x:v>44647.94498142931</x:v>
      </x:c>
      <x:c r="D1122" s="46" t="str">
        <x:v>tonnes</x:v>
      </x:c>
    </x:row>
    <x:row r="1123" ht="18" customHeight="1">
      <x:c r="A1123" s="46" t="str">
        <x:v>LME_045</x:v>
      </x:c>
      <x:c r="B1123" s="46" t="str">
        <x:v>catch_coverage_fraction</x:v>
      </x:c>
      <x:c r="C1123" s="46" t="n">
        <x:v>1</x:v>
      </x:c>
      <x:c r="D1123" s="46" t="str">
        <x:v>fraction</x:v>
      </x:c>
    </x:row>
    <x:row r="1124" ht="18" customHeight="1">
      <x:c r="A1124" s="46" t="str">
        <x:v>LME_045</x:v>
      </x:c>
      <x:c r="B1124" s="46" t="str">
        <x:v>taxa_count</x:v>
      </x:c>
      <x:c r="C1124" s="46" t="n">
        <x:v>410</x:v>
      </x:c>
      <x:c r="D1124" s="46" t="str">
        <x:v>count</x:v>
      </x:c>
    </x:row>
    <x:row r="1125" ht="18" customHeight="1">
      <x:c r="A1125" s="46" t="str">
        <x:v>LME_045</x:v>
      </x:c>
      <x:c r="B1125" s="46" t="str">
        <x:v>matched_taxa_count</x:v>
      </x:c>
      <x:c r="C1125" s="46" t="n">
        <x:v>410</x:v>
      </x:c>
      <x:c r="D1125" s="46" t="str">
        <x:v>count</x:v>
      </x:c>
    </x:row>
    <x:row r="1126" ht="18" customHeight="1">
      <x:c r="A1126" s="46" t="str">
        <x:v>LME_045</x:v>
      </x:c>
      <x:c r="B1126" s="46" t="str">
        <x:v>unmatched_taxa_count</x:v>
      </x:c>
      <x:c r="C1126" s="46" t="n">
        <x:v>0</x:v>
      </x:c>
      <x:c r="D1126" s="46" t="str">
        <x:v>count</x:v>
      </x:c>
    </x:row>
    <x:row r="1127" ht="18" customHeight="1">
      <x:c r="A1127" s="46" t="str">
        <x:v>LME_045</x:v>
      </x:c>
      <x:c r="B1127" s="46" t="str">
        <x:v>species_ppr</x:v>
      </x:c>
      <x:c r="C1127" s="46" t="n">
        <x:v>19198827.203371964</x:v>
      </x:c>
      <x:c r="D1127" s="46" t="str">
        <x:v>tonnes_primary_production_equivalent</x:v>
      </x:c>
    </x:row>
    <x:row r="1128" ht="18" customHeight="1">
      <x:c r="A1128" s="46" t="str">
        <x:v>LME_045</x:v>
      </x:c>
      <x:c r="B1128" s="46" t="str">
        <x:v>commercial_ppr</x:v>
      </x:c>
      <x:c r="C1128" s="46" t="n">
        <x:v>19198827.203371964</x:v>
      </x:c>
      <x:c r="D1128" s="46" t="str">
        <x:v>tonnes_primary_production_equivalent</x:v>
      </x:c>
    </x:row>
    <x:row r="1129" ht="18" customHeight="1">
      <x:c r="A1129" s="46" t="str">
        <x:v>LME_045</x:v>
      </x:c>
      <x:c r="B1129" s="46" t="str">
        <x:v>functional_ppr</x:v>
      </x:c>
      <x:c r="C1129" s="46" t="n">
        <x:v>19198827.203371964</x:v>
      </x:c>
      <x:c r="D1129" s="46" t="str">
        <x:v>tonnes_primary_production_equivalent</x:v>
      </x:c>
    </x:row>
    <x:row r="1130" ht="18" customHeight="1">
      <x:c r="A1130" s="46" t="str">
        <x:v>LME_045</x:v>
      </x:c>
      <x:c r="B1130" s="46" t="str">
        <x:v>commercial_ppr_difference</x:v>
      </x:c>
      <x:c r="C1130" s="46" t="n">
        <x:v>0</x:v>
      </x:c>
      <x:c r="D1130" s="46" t="str">
        <x:v>tonnes_primary_production_equivalent</x:v>
      </x:c>
    </x:row>
    <x:row r="1131" ht="18" customHeight="1">
      <x:c r="A1131" s="46" t="str">
        <x:v>LME_045</x:v>
      </x:c>
      <x:c r="B1131" s="46" t="str">
        <x:v>functional_ppr_difference</x:v>
      </x:c>
      <x:c r="C1131" s="46" t="n">
        <x:v>0</x:v>
      </x:c>
      <x:c r="D1131" s="46" t="str">
        <x:v>tonnes_primary_production_equivalent</x:v>
      </x:c>
    </x:row>
    <x:row r="1132" ht="18" customHeight="1">
      <x:c r="A1132" s="46" t="str">
        <x:v>LME_045</x:v>
      </x:c>
      <x:c r="B1132" s="46" t="str">
        <x:v>commercial_ppr_reconciled</x:v>
      </x:c>
      <x:c r="C1132" s="46" t="str">
        <x:v>True</x:v>
      </x:c>
      <x:c r="D1132" s="46" t="str">
        <x:v>boolean</x:v>
      </x:c>
    </x:row>
    <x:row r="1133" ht="18" customHeight="1">
      <x:c r="A1133" s="46" t="str">
        <x:v>LME_045</x:v>
      </x:c>
      <x:c r="B1133" s="46" t="str">
        <x:v>functional_ppr_reconciled</x:v>
      </x:c>
      <x:c r="C1133" s="46" t="str">
        <x:v>True</x:v>
      </x:c>
      <x:c r="D1133" s="46" t="str">
        <x:v>boolean</x:v>
      </x:c>
    </x:row>
    <x:row r="1134" ht="18" customHeight="1">
      <x:c r="A1134" s="46" t="str">
        <x:v>LME_045</x:v>
      </x:c>
      <x:c r="B1134" s="46" t="str">
        <x:v>commercial_jensen_violations</x:v>
      </x:c>
      <x:c r="C1134" s="46" t="n">
        <x:v>0</x:v>
      </x:c>
      <x:c r="D1134" s="46" t="str">
        <x:v>count</x:v>
      </x:c>
    </x:row>
    <x:row r="1135" ht="18" customHeight="1">
      <x:c r="A1135" s="46" t="str">
        <x:v>LME_045</x:v>
      </x:c>
      <x:c r="B1135" s="46" t="str">
        <x:v>functional_jensen_violations</x:v>
      </x:c>
      <x:c r="C1135" s="46" t="n">
        <x:v>0</x:v>
      </x:c>
      <x:c r="D1135" s="46" t="str">
        <x:v>count</x:v>
      </x:c>
    </x:row>
    <x:row r="1136" ht="18" customHeight="1">
      <x:c r="A1136" s="46" t="str">
        <x:v>LME_046</x:v>
      </x:c>
      <x:c r="B1136" s="46" t="str">
        <x:v>raw_filtered_tonnes</x:v>
      </x:c>
      <x:c r="C1136" s="46" t="n">
        <x:v>431127.77716673305</x:v>
      </x:c>
      <x:c r="D1136" s="46" t="str">
        <x:v>tonnes</x:v>
      </x:c>
    </x:row>
    <x:row r="1137" ht="18" customHeight="1">
      <x:c r="A1137" s="46" t="str">
        <x:v>LME_046</x:v>
      </x:c>
      <x:c r="B1137" s="46" t="str">
        <x:v>species_catch_tonnes</x:v>
      </x:c>
      <x:c r="C1137" s="46" t="n">
        <x:v>431127.77716673305</x:v>
      </x:c>
      <x:c r="D1137" s="46" t="str">
        <x:v>tonnes</x:v>
      </x:c>
    </x:row>
    <x:row r="1138" ht="18" customHeight="1">
      <x:c r="A1138" s="46" t="str">
        <x:v>LME_046</x:v>
      </x:c>
      <x:c r="B1138" s="46" t="str">
        <x:v>catch_difference_tonnes</x:v>
      </x:c>
      <x:c r="C1138" s="46" t="n">
        <x:v>0</x:v>
      </x:c>
      <x:c r="D1138" s="46" t="str">
        <x:v>tonnes</x:v>
      </x:c>
    </x:row>
    <x:row r="1139" ht="18" customHeight="1">
      <x:c r="A1139" s="46" t="str">
        <x:v>LME_046</x:v>
      </x:c>
      <x:c r="B1139" s="46" t="str">
        <x:v>catch_reconciled</x:v>
      </x:c>
      <x:c r="C1139" s="46" t="str">
        <x:v>True</x:v>
      </x:c>
      <x:c r="D1139" s="46" t="str">
        <x:v>boolean</x:v>
      </x:c>
    </x:row>
    <x:row r="1140" ht="18" customHeight="1">
      <x:c r="A1140" s="46" t="str">
        <x:v>LME_046</x:v>
      </x:c>
      <x:c r="B1140" s="46" t="str">
        <x:v>matched_catch_tonnes</x:v>
      </x:c>
      <x:c r="C1140" s="46" t="n">
        <x:v>431127.77716673305</x:v>
      </x:c>
      <x:c r="D1140" s="46" t="str">
        <x:v>tonnes</x:v>
      </x:c>
    </x:row>
    <x:row r="1141" ht="18" customHeight="1">
      <x:c r="A1141" s="46" t="str">
        <x:v>LME_046</x:v>
      </x:c>
      <x:c r="B1141" s="46" t="str">
        <x:v>catch_coverage_fraction</x:v>
      </x:c>
      <x:c r="C1141" s="46" t="n">
        <x:v>1</x:v>
      </x:c>
      <x:c r="D1141" s="46" t="str">
        <x:v>fraction</x:v>
      </x:c>
    </x:row>
    <x:row r="1142" ht="18" customHeight="1">
      <x:c r="A1142" s="46" t="str">
        <x:v>LME_046</x:v>
      </x:c>
      <x:c r="B1142" s="46" t="str">
        <x:v>taxa_count</x:v>
      </x:c>
      <x:c r="C1142" s="46" t="n">
        <x:v>197</x:v>
      </x:c>
      <x:c r="D1142" s="46" t="str">
        <x:v>count</x:v>
      </x:c>
    </x:row>
    <x:row r="1143" ht="18" customHeight="1">
      <x:c r="A1143" s="46" t="str">
        <x:v>LME_046</x:v>
      </x:c>
      <x:c r="B1143" s="46" t="str">
        <x:v>matched_taxa_count</x:v>
      </x:c>
      <x:c r="C1143" s="46" t="n">
        <x:v>197</x:v>
      </x:c>
      <x:c r="D1143" s="46" t="str">
        <x:v>count</x:v>
      </x:c>
    </x:row>
    <x:row r="1144" ht="18" customHeight="1">
      <x:c r="A1144" s="46" t="str">
        <x:v>LME_046</x:v>
      </x:c>
      <x:c r="B1144" s="46" t="str">
        <x:v>unmatched_taxa_count</x:v>
      </x:c>
      <x:c r="C1144" s="46" t="n">
        <x:v>0</x:v>
      </x:c>
      <x:c r="D1144" s="46" t="str">
        <x:v>count</x:v>
      </x:c>
    </x:row>
    <x:row r="1145" ht="18" customHeight="1">
      <x:c r="A1145" s="46" t="str">
        <x:v>LME_046</x:v>
      </x:c>
      <x:c r="B1145" s="46" t="str">
        <x:v>species_ppr</x:v>
      </x:c>
      <x:c r="C1145" s="46" t="n">
        <x:v>722610291.6356041</x:v>
      </x:c>
      <x:c r="D1145" s="46" t="str">
        <x:v>tonnes_primary_production_equivalent</x:v>
      </x:c>
    </x:row>
    <x:row r="1146" ht="18" customHeight="1">
      <x:c r="A1146" s="46" t="str">
        <x:v>LME_046</x:v>
      </x:c>
      <x:c r="B1146" s="46" t="str">
        <x:v>commercial_ppr</x:v>
      </x:c>
      <x:c r="C1146" s="46" t="n">
        <x:v>722610291.6356039</x:v>
      </x:c>
      <x:c r="D1146" s="46" t="str">
        <x:v>tonnes_primary_production_equivalent</x:v>
      </x:c>
    </x:row>
    <x:row r="1147" ht="18" customHeight="1">
      <x:c r="A1147" s="46" t="str">
        <x:v>LME_046</x:v>
      </x:c>
      <x:c r="B1147" s="46" t="str">
        <x:v>functional_ppr</x:v>
      </x:c>
      <x:c r="C1147" s="46" t="n">
        <x:v>722610291.635604</x:v>
      </x:c>
      <x:c r="D1147" s="46" t="str">
        <x:v>tonnes_primary_production_equivalent</x:v>
      </x:c>
    </x:row>
    <x:row r="1148" ht="18" customHeight="1">
      <x:c r="A1148" s="46" t="str">
        <x:v>LME_046</x:v>
      </x:c>
      <x:c r="B1148" s="46" t="str">
        <x:v>commercial_ppr_difference</x:v>
      </x:c>
      <x:c r="C1148" s="46" t="n">
        <x:v>-2.384185791015625e-7</x:v>
      </x:c>
      <x:c r="D1148" s="46" t="str">
        <x:v>tonnes_primary_production_equivalent</x:v>
      </x:c>
    </x:row>
    <x:row r="1149" ht="18" customHeight="1">
      <x:c r="A1149" s="46" t="str">
        <x:v>LME_046</x:v>
      </x:c>
      <x:c r="B1149" s="46" t="str">
        <x:v>functional_ppr_difference</x:v>
      </x:c>
      <x:c r="C1149" s="46" t="n">
        <x:v>-1.1920928955078125e-7</x:v>
      </x:c>
      <x:c r="D1149" s="46" t="str">
        <x:v>tonnes_primary_production_equivalent</x:v>
      </x:c>
    </x:row>
    <x:row r="1150" ht="18" customHeight="1">
      <x:c r="A1150" s="46" t="str">
        <x:v>LME_046</x:v>
      </x:c>
      <x:c r="B1150" s="46" t="str">
        <x:v>commercial_ppr_reconciled</x:v>
      </x:c>
      <x:c r="C1150" s="46" t="str">
        <x:v>True</x:v>
      </x:c>
      <x:c r="D1150" s="46" t="str">
        <x:v>boolean</x:v>
      </x:c>
    </x:row>
    <x:row r="1151" ht="18" customHeight="1">
      <x:c r="A1151" s="46" t="str">
        <x:v>LME_046</x:v>
      </x:c>
      <x:c r="B1151" s="46" t="str">
        <x:v>functional_ppr_reconciled</x:v>
      </x:c>
      <x:c r="C1151" s="46" t="str">
        <x:v>True</x:v>
      </x:c>
      <x:c r="D1151" s="46" t="str">
        <x:v>boolean</x:v>
      </x:c>
    </x:row>
    <x:row r="1152" ht="18" customHeight="1">
      <x:c r="A1152" s="46" t="str">
        <x:v>LME_046</x:v>
      </x:c>
      <x:c r="B1152" s="46" t="str">
        <x:v>commercial_jensen_violations</x:v>
      </x:c>
      <x:c r="C1152" s="46" t="n">
        <x:v>0</x:v>
      </x:c>
      <x:c r="D1152" s="46" t="str">
        <x:v>count</x:v>
      </x:c>
    </x:row>
    <x:row r="1153" ht="18" customHeight="1">
      <x:c r="A1153" s="46" t="str">
        <x:v>LME_046</x:v>
      </x:c>
      <x:c r="B1153" s="46" t="str">
        <x:v>functional_jensen_violations</x:v>
      </x:c>
      <x:c r="C1153" s="46" t="n">
        <x:v>0</x:v>
      </x:c>
      <x:c r="D1153" s="46" t="str">
        <x:v>count</x:v>
      </x:c>
    </x:row>
    <x:row r="1154" ht="18" customHeight="1">
      <x:c r="A1154" s="46" t="str">
        <x:v>LME_047</x:v>
      </x:c>
      <x:c r="B1154" s="46" t="str">
        <x:v>raw_filtered_tonnes</x:v>
      </x:c>
      <x:c r="C1154" s="46" t="n">
        <x:v>5649829.984210193</x:v>
      </x:c>
      <x:c r="D1154" s="46" t="str">
        <x:v>tonnes</x:v>
      </x:c>
    </x:row>
    <x:row r="1155" ht="18" customHeight="1">
      <x:c r="A1155" s="46" t="str">
        <x:v>LME_047</x:v>
      </x:c>
      <x:c r="B1155" s="46" t="str">
        <x:v>species_catch_tonnes</x:v>
      </x:c>
      <x:c r="C1155" s="46" t="n">
        <x:v>5649829.984210193</x:v>
      </x:c>
      <x:c r="D1155" s="46" t="str">
        <x:v>tonnes</x:v>
      </x:c>
    </x:row>
    <x:row r="1156" ht="18" customHeight="1">
      <x:c r="A1156" s="46" t="str">
        <x:v>LME_047</x:v>
      </x:c>
      <x:c r="B1156" s="46" t="str">
        <x:v>catch_difference_tonnes</x:v>
      </x:c>
      <x:c r="C1156" s="46" t="n">
        <x:v>0</x:v>
      </x:c>
      <x:c r="D1156" s="46" t="str">
        <x:v>tonnes</x:v>
      </x:c>
    </x:row>
    <x:row r="1157" ht="18" customHeight="1">
      <x:c r="A1157" s="46" t="str">
        <x:v>LME_047</x:v>
      </x:c>
      <x:c r="B1157" s="46" t="str">
        <x:v>catch_reconciled</x:v>
      </x:c>
      <x:c r="C1157" s="46" t="str">
        <x:v>True</x:v>
      </x:c>
      <x:c r="D1157" s="46" t="str">
        <x:v>boolean</x:v>
      </x:c>
    </x:row>
    <x:row r="1158" ht="18" customHeight="1">
      <x:c r="A1158" s="46" t="str">
        <x:v>LME_047</x:v>
      </x:c>
      <x:c r="B1158" s="46" t="str">
        <x:v>matched_catch_tonnes</x:v>
      </x:c>
      <x:c r="C1158" s="46" t="n">
        <x:v>5649829.984210193</x:v>
      </x:c>
      <x:c r="D1158" s="46" t="str">
        <x:v>tonnes</x:v>
      </x:c>
    </x:row>
    <x:row r="1159" ht="18" customHeight="1">
      <x:c r="A1159" s="46" t="str">
        <x:v>LME_047</x:v>
      </x:c>
      <x:c r="B1159" s="46" t="str">
        <x:v>catch_coverage_fraction</x:v>
      </x:c>
      <x:c r="C1159" s="46" t="n">
        <x:v>1</x:v>
      </x:c>
      <x:c r="D1159" s="46" t="str">
        <x:v>fraction</x:v>
      </x:c>
    </x:row>
    <x:row r="1160" ht="18" customHeight="1">
      <x:c r="A1160" s="46" t="str">
        <x:v>LME_047</x:v>
      </x:c>
      <x:c r="B1160" s="46" t="str">
        <x:v>taxa_count</x:v>
      </x:c>
      <x:c r="C1160" s="46" t="n">
        <x:v>254</x:v>
      </x:c>
      <x:c r="D1160" s="46" t="str">
        <x:v>count</x:v>
      </x:c>
    </x:row>
    <x:row r="1161" ht="18" customHeight="1">
      <x:c r="A1161" s="46" t="str">
        <x:v>LME_047</x:v>
      </x:c>
      <x:c r="B1161" s="46" t="str">
        <x:v>matched_taxa_count</x:v>
      </x:c>
      <x:c r="C1161" s="46" t="n">
        <x:v>254</x:v>
      </x:c>
      <x:c r="D1161" s="46" t="str">
        <x:v>count</x:v>
      </x:c>
    </x:row>
    <x:row r="1162" ht="18" customHeight="1">
      <x:c r="A1162" s="46" t="str">
        <x:v>LME_047</x:v>
      </x:c>
      <x:c r="B1162" s="46" t="str">
        <x:v>unmatched_taxa_count</x:v>
      </x:c>
      <x:c r="C1162" s="46" t="n">
        <x:v>0</x:v>
      </x:c>
      <x:c r="D1162" s="46" t="str">
        <x:v>count</x:v>
      </x:c>
    </x:row>
    <x:row r="1163" ht="18" customHeight="1">
      <x:c r="A1163" s="46" t="str">
        <x:v>LME_047</x:v>
      </x:c>
      <x:c r="B1163" s="46" t="str">
        <x:v>species_ppr</x:v>
      </x:c>
      <x:c r="C1163" s="46" t="n">
        <x:v>3396644855.5552316</x:v>
      </x:c>
      <x:c r="D1163" s="46" t="str">
        <x:v>tonnes_primary_production_equivalent</x:v>
      </x:c>
    </x:row>
    <x:row r="1164" ht="18" customHeight="1">
      <x:c r="A1164" s="46" t="str">
        <x:v>LME_047</x:v>
      </x:c>
      <x:c r="B1164" s="46" t="str">
        <x:v>commercial_ppr</x:v>
      </x:c>
      <x:c r="C1164" s="46" t="n">
        <x:v>3396644855.555232</x:v>
      </x:c>
      <x:c r="D1164" s="46" t="str">
        <x:v>tonnes_primary_production_equivalent</x:v>
      </x:c>
    </x:row>
    <x:row r="1165" ht="18" customHeight="1">
      <x:c r="A1165" s="46" t="str">
        <x:v>LME_047</x:v>
      </x:c>
      <x:c r="B1165" s="46" t="str">
        <x:v>functional_ppr</x:v>
      </x:c>
      <x:c r="C1165" s="46" t="n">
        <x:v>3396644855.555233</x:v>
      </x:c>
      <x:c r="D1165" s="46" t="str">
        <x:v>tonnes_primary_production_equivalent</x:v>
      </x:c>
    </x:row>
    <x:row r="1166" ht="18" customHeight="1">
      <x:c r="A1166" s="46" t="str">
        <x:v>LME_047</x:v>
      </x:c>
      <x:c r="B1166" s="46" t="str">
        <x:v>commercial_ppr_difference</x:v>
      </x:c>
      <x:c r="C1166" s="46" t="n">
        <x:v>4.76837158203125e-7</x:v>
      </x:c>
      <x:c r="D1166" s="46" t="str">
        <x:v>tonnes_primary_production_equivalent</x:v>
      </x:c>
    </x:row>
    <x:row r="1167" ht="18" customHeight="1">
      <x:c r="A1167" s="46" t="str">
        <x:v>LME_047</x:v>
      </x:c>
      <x:c r="B1167" s="46" t="str">
        <x:v>functional_ppr_difference</x:v>
      </x:c>
      <x:c r="C1167" s="46" t="n">
        <x:v>0.000001430511474609375</x:v>
      </x:c>
      <x:c r="D1167" s="46" t="str">
        <x:v>tonnes_primary_production_equivalent</x:v>
      </x:c>
    </x:row>
    <x:row r="1168" ht="18" customHeight="1">
      <x:c r="A1168" s="46" t="str">
        <x:v>LME_047</x:v>
      </x:c>
      <x:c r="B1168" s="46" t="str">
        <x:v>commercial_ppr_reconciled</x:v>
      </x:c>
      <x:c r="C1168" s="46" t="str">
        <x:v>True</x:v>
      </x:c>
      <x:c r="D1168" s="46" t="str">
        <x:v>boolean</x:v>
      </x:c>
    </x:row>
    <x:row r="1169" ht="18" customHeight="1">
      <x:c r="A1169" s="46" t="str">
        <x:v>LME_047</x:v>
      </x:c>
      <x:c r="B1169" s="46" t="str">
        <x:v>functional_ppr_reconciled</x:v>
      </x:c>
      <x:c r="C1169" s="46" t="str">
        <x:v>True</x:v>
      </x:c>
      <x:c r="D1169" s="46" t="str">
        <x:v>boolean</x:v>
      </x:c>
    </x:row>
    <x:row r="1170" ht="18" customHeight="1">
      <x:c r="A1170" s="46" t="str">
        <x:v>LME_047</x:v>
      </x:c>
      <x:c r="B1170" s="46" t="str">
        <x:v>commercial_jensen_violations</x:v>
      </x:c>
      <x:c r="C1170" s="46" t="n">
        <x:v>0</x:v>
      </x:c>
      <x:c r="D1170" s="46" t="str">
        <x:v>count</x:v>
      </x:c>
    </x:row>
    <x:row r="1171" ht="18" customHeight="1">
      <x:c r="A1171" s="46" t="str">
        <x:v>LME_047</x:v>
      </x:c>
      <x:c r="B1171" s="46" t="str">
        <x:v>functional_jensen_violations</x:v>
      </x:c>
      <x:c r="C1171" s="46" t="n">
        <x:v>0</x:v>
      </x:c>
      <x:c r="D1171" s="46" t="str">
        <x:v>count</x:v>
      </x:c>
    </x:row>
    <x:row r="1172" ht="18" customHeight="1">
      <x:c r="A1172" s="46" t="str">
        <x:v>LME_048</x:v>
      </x:c>
      <x:c r="B1172" s="46" t="str">
        <x:v>raw_filtered_tonnes</x:v>
      </x:c>
      <x:c r="C1172" s="46" t="n">
        <x:v>2658977.968899307</x:v>
      </x:c>
      <x:c r="D1172" s="46" t="str">
        <x:v>tonnes</x:v>
      </x:c>
    </x:row>
    <x:row r="1173" ht="18" customHeight="1">
      <x:c r="A1173" s="46" t="str">
        <x:v>LME_048</x:v>
      </x:c>
      <x:c r="B1173" s="46" t="str">
        <x:v>species_catch_tonnes</x:v>
      </x:c>
      <x:c r="C1173" s="46" t="n">
        <x:v>2658977.968899307</x:v>
      </x:c>
      <x:c r="D1173" s="46" t="str">
        <x:v>tonnes</x:v>
      </x:c>
    </x:row>
    <x:row r="1174" ht="18" customHeight="1">
      <x:c r="A1174" s="46" t="str">
        <x:v>LME_048</x:v>
      </x:c>
      <x:c r="B1174" s="46" t="str">
        <x:v>catch_difference_tonnes</x:v>
      </x:c>
      <x:c r="C1174" s="46" t="n">
        <x:v>0</x:v>
      </x:c>
      <x:c r="D1174" s="46" t="str">
        <x:v>tonnes</x:v>
      </x:c>
    </x:row>
    <x:row r="1175" ht="18" customHeight="1">
      <x:c r="A1175" s="46" t="str">
        <x:v>LME_048</x:v>
      </x:c>
      <x:c r="B1175" s="46" t="str">
        <x:v>catch_reconciled</x:v>
      </x:c>
      <x:c r="C1175" s="46" t="str">
        <x:v>True</x:v>
      </x:c>
      <x:c r="D1175" s="46" t="str">
        <x:v>boolean</x:v>
      </x:c>
    </x:row>
    <x:row r="1176" ht="18" customHeight="1">
      <x:c r="A1176" s="46" t="str">
        <x:v>LME_048</x:v>
      </x:c>
      <x:c r="B1176" s="46" t="str">
        <x:v>matched_catch_tonnes</x:v>
      </x:c>
      <x:c r="C1176" s="46" t="n">
        <x:v>2658977.968899307</x:v>
      </x:c>
      <x:c r="D1176" s="46" t="str">
        <x:v>tonnes</x:v>
      </x:c>
    </x:row>
    <x:row r="1177" ht="18" customHeight="1">
      <x:c r="A1177" s="46" t="str">
        <x:v>LME_048</x:v>
      </x:c>
      <x:c r="B1177" s="46" t="str">
        <x:v>catch_coverage_fraction</x:v>
      </x:c>
      <x:c r="C1177" s="46" t="n">
        <x:v>1</x:v>
      </x:c>
      <x:c r="D1177" s="46" t="str">
        <x:v>fraction</x:v>
      </x:c>
    </x:row>
    <x:row r="1178" ht="18" customHeight="1">
      <x:c r="A1178" s="46" t="str">
        <x:v>LME_048</x:v>
      </x:c>
      <x:c r="B1178" s="46" t="str">
        <x:v>taxa_count</x:v>
      </x:c>
      <x:c r="C1178" s="46" t="n">
        <x:v>175</x:v>
      </x:c>
      <x:c r="D1178" s="46" t="str">
        <x:v>count</x:v>
      </x:c>
    </x:row>
    <x:row r="1179" ht="18" customHeight="1">
      <x:c r="A1179" s="46" t="str">
        <x:v>LME_048</x:v>
      </x:c>
      <x:c r="B1179" s="46" t="str">
        <x:v>matched_taxa_count</x:v>
      </x:c>
      <x:c r="C1179" s="46" t="n">
        <x:v>175</x:v>
      </x:c>
      <x:c r="D1179" s="46" t="str">
        <x:v>count</x:v>
      </x:c>
    </x:row>
    <x:row r="1180" ht="18" customHeight="1">
      <x:c r="A1180" s="46" t="str">
        <x:v>LME_048</x:v>
      </x:c>
      <x:c r="B1180" s="46" t="str">
        <x:v>unmatched_taxa_count</x:v>
      </x:c>
      <x:c r="C1180" s="46" t="n">
        <x:v>0</x:v>
      </x:c>
      <x:c r="D1180" s="46" t="str">
        <x:v>count</x:v>
      </x:c>
    </x:row>
    <x:row r="1181" ht="18" customHeight="1">
      <x:c r="A1181" s="46" t="str">
        <x:v>LME_048</x:v>
      </x:c>
      <x:c r="B1181" s="46" t="str">
        <x:v>species_ppr</x:v>
      </x:c>
      <x:c r="C1181" s="46" t="n">
        <x:v>1554214509.6068287</x:v>
      </x:c>
      <x:c r="D1181" s="46" t="str">
        <x:v>tonnes_primary_production_equivalent</x:v>
      </x:c>
    </x:row>
    <x:row r="1182" ht="18" customHeight="1">
      <x:c r="A1182" s="46" t="str">
        <x:v>LME_048</x:v>
      </x:c>
      <x:c r="B1182" s="46" t="str">
        <x:v>commercial_ppr</x:v>
      </x:c>
      <x:c r="C1182" s="46" t="n">
        <x:v>1554214509.6068282</x:v>
      </x:c>
      <x:c r="D1182" s="46" t="str">
        <x:v>tonnes_primary_production_equivalent</x:v>
      </x:c>
    </x:row>
    <x:row r="1183" ht="18" customHeight="1">
      <x:c r="A1183" s="46" t="str">
        <x:v>LME_048</x:v>
      </x:c>
      <x:c r="B1183" s="46" t="str">
        <x:v>functional_ppr</x:v>
      </x:c>
      <x:c r="C1183" s="46" t="n">
        <x:v>1554214509.6068285</x:v>
      </x:c>
      <x:c r="D1183" s="46" t="str">
        <x:v>tonnes_primary_production_equivalent</x:v>
      </x:c>
    </x:row>
    <x:row r="1184" ht="18" customHeight="1">
      <x:c r="A1184" s="46" t="str">
        <x:v>LME_048</x:v>
      </x:c>
      <x:c r="B1184" s="46" t="str">
        <x:v>commercial_ppr_difference</x:v>
      </x:c>
      <x:c r="C1184" s="46" t="n">
        <x:v>-4.76837158203125e-7</x:v>
      </x:c>
      <x:c r="D1184" s="46" t="str">
        <x:v>tonnes_primary_production_equivalent</x:v>
      </x:c>
    </x:row>
    <x:row r="1185" ht="18" customHeight="1">
      <x:c r="A1185" s="46" t="str">
        <x:v>LME_048</x:v>
      </x:c>
      <x:c r="B1185" s="46" t="str">
        <x:v>functional_ppr_difference</x:v>
      </x:c>
      <x:c r="C1185" s="46" t="n">
        <x:v>-2.384185791015625e-7</x:v>
      </x:c>
      <x:c r="D1185" s="46" t="str">
        <x:v>tonnes_primary_production_equivalent</x:v>
      </x:c>
    </x:row>
    <x:row r="1186" ht="18" customHeight="1">
      <x:c r="A1186" s="46" t="str">
        <x:v>LME_048</x:v>
      </x:c>
      <x:c r="B1186" s="46" t="str">
        <x:v>commercial_ppr_reconciled</x:v>
      </x:c>
      <x:c r="C1186" s="46" t="str">
        <x:v>True</x:v>
      </x:c>
      <x:c r="D1186" s="46" t="str">
        <x:v>boolean</x:v>
      </x:c>
    </x:row>
    <x:row r="1187" ht="18" customHeight="1">
      <x:c r="A1187" s="46" t="str">
        <x:v>LME_048</x:v>
      </x:c>
      <x:c r="B1187" s="46" t="str">
        <x:v>functional_ppr_reconciled</x:v>
      </x:c>
      <x:c r="C1187" s="46" t="str">
        <x:v>True</x:v>
      </x:c>
      <x:c r="D1187" s="46" t="str">
        <x:v>boolean</x:v>
      </x:c>
    </x:row>
    <x:row r="1188" ht="18" customHeight="1">
      <x:c r="A1188" s="46" t="str">
        <x:v>LME_048</x:v>
      </x:c>
      <x:c r="B1188" s="46" t="str">
        <x:v>commercial_jensen_violations</x:v>
      </x:c>
      <x:c r="C1188" s="46" t="n">
        <x:v>0</x:v>
      </x:c>
      <x:c r="D1188" s="46" t="str">
        <x:v>count</x:v>
      </x:c>
    </x:row>
    <x:row r="1189" ht="18" customHeight="1">
      <x:c r="A1189" s="46" t="str">
        <x:v>LME_048</x:v>
      </x:c>
      <x:c r="B1189" s="46" t="str">
        <x:v>functional_jensen_violations</x:v>
      </x:c>
      <x:c r="C1189" s="46" t="n">
        <x:v>0</x:v>
      </x:c>
      <x:c r="D1189" s="46" t="str">
        <x:v>count</x:v>
      </x:c>
    </x:row>
    <x:row r="1190" ht="18" customHeight="1">
      <x:c r="A1190" s="46" t="str">
        <x:v>LME_049</x:v>
      </x:c>
      <x:c r="B1190" s="46" t="str">
        <x:v>raw_filtered_tonnes</x:v>
      </x:c>
      <x:c r="C1190" s="46" t="n">
        <x:v>3090456.2651244747</x:v>
      </x:c>
      <x:c r="D1190" s="46" t="str">
        <x:v>tonnes</x:v>
      </x:c>
    </x:row>
    <x:row r="1191" ht="18" customHeight="1">
      <x:c r="A1191" s="46" t="str">
        <x:v>LME_049</x:v>
      </x:c>
      <x:c r="B1191" s="46" t="str">
        <x:v>species_catch_tonnes</x:v>
      </x:c>
      <x:c r="C1191" s="46" t="n">
        <x:v>3090456.265124474</x:v>
      </x:c>
      <x:c r="D1191" s="46" t="str">
        <x:v>tonnes</x:v>
      </x:c>
    </x:row>
    <x:row r="1192" ht="18" customHeight="1">
      <x:c r="A1192" s="46" t="str">
        <x:v>LME_049</x:v>
      </x:c>
      <x:c r="B1192" s="46" t="str">
        <x:v>catch_difference_tonnes</x:v>
      </x:c>
      <x:c r="C1192" s="46" t="n">
        <x:v>-4.656612873077393e-10</x:v>
      </x:c>
      <x:c r="D1192" s="46" t="str">
        <x:v>tonnes</x:v>
      </x:c>
    </x:row>
    <x:row r="1193" ht="18" customHeight="1">
      <x:c r="A1193" s="46" t="str">
        <x:v>LME_049</x:v>
      </x:c>
      <x:c r="B1193" s="46" t="str">
        <x:v>catch_reconciled</x:v>
      </x:c>
      <x:c r="C1193" s="46" t="str">
        <x:v>True</x:v>
      </x:c>
      <x:c r="D1193" s="46" t="str">
        <x:v>boolean</x:v>
      </x:c>
    </x:row>
    <x:row r="1194" ht="18" customHeight="1">
      <x:c r="A1194" s="46" t="str">
        <x:v>LME_049</x:v>
      </x:c>
      <x:c r="B1194" s="46" t="str">
        <x:v>matched_catch_tonnes</x:v>
      </x:c>
      <x:c r="C1194" s="46" t="n">
        <x:v>3090456.265124474</x:v>
      </x:c>
      <x:c r="D1194" s="46" t="str">
        <x:v>tonnes</x:v>
      </x:c>
    </x:row>
    <x:row r="1195" ht="18" customHeight="1">
      <x:c r="A1195" s="46" t="str">
        <x:v>LME_049</x:v>
      </x:c>
      <x:c r="B1195" s="46" t="str">
        <x:v>catch_coverage_fraction</x:v>
      </x:c>
      <x:c r="C1195" s="46" t="n">
        <x:v>1</x:v>
      </x:c>
      <x:c r="D1195" s="46" t="str">
        <x:v>fraction</x:v>
      </x:c>
    </x:row>
    <x:row r="1196" ht="18" customHeight="1">
      <x:c r="A1196" s="46" t="str">
        <x:v>LME_049</x:v>
      </x:c>
      <x:c r="B1196" s="46" t="str">
        <x:v>taxa_count</x:v>
      </x:c>
      <x:c r="C1196" s="46" t="n">
        <x:v>229</x:v>
      </x:c>
      <x:c r="D1196" s="46" t="str">
        <x:v>count</x:v>
      </x:c>
    </x:row>
    <x:row r="1197" ht="18" customHeight="1">
      <x:c r="A1197" s="46" t="str">
        <x:v>LME_049</x:v>
      </x:c>
      <x:c r="B1197" s="46" t="str">
        <x:v>matched_taxa_count</x:v>
      </x:c>
      <x:c r="C1197" s="46" t="n">
        <x:v>229</x:v>
      </x:c>
      <x:c r="D1197" s="46" t="str">
        <x:v>count</x:v>
      </x:c>
    </x:row>
    <x:row r="1198" ht="18" customHeight="1">
      <x:c r="A1198" s="46" t="str">
        <x:v>LME_049</x:v>
      </x:c>
      <x:c r="B1198" s="46" t="str">
        <x:v>unmatched_taxa_count</x:v>
      </x:c>
      <x:c r="C1198" s="46" t="n">
        <x:v>0</x:v>
      </x:c>
      <x:c r="D1198" s="46" t="str">
        <x:v>count</x:v>
      </x:c>
    </x:row>
    <x:row r="1199" ht="18" customHeight="1">
      <x:c r="A1199" s="46" t="str">
        <x:v>LME_049</x:v>
      </x:c>
      <x:c r="B1199" s="46" t="str">
        <x:v>species_ppr</x:v>
      </x:c>
      <x:c r="C1199" s="46" t="n">
        <x:v>1682486180.5803435</x:v>
      </x:c>
      <x:c r="D1199" s="46" t="str">
        <x:v>tonnes_primary_production_equivalent</x:v>
      </x:c>
    </x:row>
    <x:row r="1200" ht="18" customHeight="1">
      <x:c r="A1200" s="46" t="str">
        <x:v>LME_049</x:v>
      </x:c>
      <x:c r="B1200" s="46" t="str">
        <x:v>commercial_ppr</x:v>
      </x:c>
      <x:c r="C1200" s="46" t="n">
        <x:v>1682486180.5803437</x:v>
      </x:c>
      <x:c r="D1200" s="46" t="str">
        <x:v>tonnes_primary_production_equivalent</x:v>
      </x:c>
    </x:row>
    <x:row r="1201" ht="18" customHeight="1">
      <x:c r="A1201" s="46" t="str">
        <x:v>LME_049</x:v>
      </x:c>
      <x:c r="B1201" s="46" t="str">
        <x:v>functional_ppr</x:v>
      </x:c>
      <x:c r="C1201" s="46" t="n">
        <x:v>1682486180.5803432</x:v>
      </x:c>
      <x:c r="D1201" s="46" t="str">
        <x:v>tonnes_primary_production_equivalent</x:v>
      </x:c>
    </x:row>
    <x:row r="1202" ht="18" customHeight="1">
      <x:c r="A1202" s="46" t="str">
        <x:v>LME_049</x:v>
      </x:c>
      <x:c r="B1202" s="46" t="str">
        <x:v>commercial_ppr_difference</x:v>
      </x:c>
      <x:c r="C1202" s="46" t="n">
        <x:v>2.384185791015625e-7</x:v>
      </x:c>
      <x:c r="D1202" s="46" t="str">
        <x:v>tonnes_primary_production_equivalent</x:v>
      </x:c>
    </x:row>
    <x:row r="1203" ht="18" customHeight="1">
      <x:c r="A1203" s="46" t="str">
        <x:v>LME_049</x:v>
      </x:c>
      <x:c r="B1203" s="46" t="str">
        <x:v>functional_ppr_difference</x:v>
      </x:c>
      <x:c r="C1203" s="46" t="n">
        <x:v>-2.384185791015625e-7</x:v>
      </x:c>
      <x:c r="D1203" s="46" t="str">
        <x:v>tonnes_primary_production_equivalent</x:v>
      </x:c>
    </x:row>
    <x:row r="1204" ht="18" customHeight="1">
      <x:c r="A1204" s="46" t="str">
        <x:v>LME_049</x:v>
      </x:c>
      <x:c r="B1204" s="46" t="str">
        <x:v>commercial_ppr_reconciled</x:v>
      </x:c>
      <x:c r="C1204" s="46" t="str">
        <x:v>True</x:v>
      </x:c>
      <x:c r="D1204" s="46" t="str">
        <x:v>boolean</x:v>
      </x:c>
    </x:row>
    <x:row r="1205" ht="18" customHeight="1">
      <x:c r="A1205" s="46" t="str">
        <x:v>LME_049</x:v>
      </x:c>
      <x:c r="B1205" s="46" t="str">
        <x:v>functional_ppr_reconciled</x:v>
      </x:c>
      <x:c r="C1205" s="46" t="str">
        <x:v>True</x:v>
      </x:c>
      <x:c r="D1205" s="46" t="str">
        <x:v>boolean</x:v>
      </x:c>
    </x:row>
    <x:row r="1206" ht="18" customHeight="1">
      <x:c r="A1206" s="46" t="str">
        <x:v>LME_049</x:v>
      </x:c>
      <x:c r="B1206" s="46" t="str">
        <x:v>commercial_jensen_violations</x:v>
      </x:c>
      <x:c r="C1206" s="46" t="n">
        <x:v>0</x:v>
      </x:c>
      <x:c r="D1206" s="46" t="str">
        <x:v>count</x:v>
      </x:c>
    </x:row>
    <x:row r="1207" ht="18" customHeight="1">
      <x:c r="A1207" s="46" t="str">
        <x:v>LME_049</x:v>
      </x:c>
      <x:c r="B1207" s="46" t="str">
        <x:v>functional_jensen_violations</x:v>
      </x:c>
      <x:c r="C1207" s="46" t="n">
        <x:v>0</x:v>
      </x:c>
      <x:c r="D1207" s="46" t="str">
        <x:v>count</x:v>
      </x:c>
    </x:row>
    <x:row r="1208" ht="18" customHeight="1">
      <x:c r="A1208" s="46" t="str">
        <x:v>LME_050</x:v>
      </x:c>
      <x:c r="B1208" s="46" t="str">
        <x:v>raw_filtered_tonnes</x:v>
      </x:c>
      <x:c r="C1208" s="46" t="n">
        <x:v>2586941.83669577</x:v>
      </x:c>
      <x:c r="D1208" s="46" t="str">
        <x:v>tonnes</x:v>
      </x:c>
    </x:row>
    <x:row r="1209" ht="18" customHeight="1">
      <x:c r="A1209" s="46" t="str">
        <x:v>LME_050</x:v>
      </x:c>
      <x:c r="B1209" s="46" t="str">
        <x:v>species_catch_tonnes</x:v>
      </x:c>
      <x:c r="C1209" s="46" t="n">
        <x:v>2586941.83669577</x:v>
      </x:c>
      <x:c r="D1209" s="46" t="str">
        <x:v>tonnes</x:v>
      </x:c>
    </x:row>
    <x:row r="1210" ht="18" customHeight="1">
      <x:c r="A1210" s="46" t="str">
        <x:v>LME_050</x:v>
      </x:c>
      <x:c r="B1210" s="46" t="str">
        <x:v>catch_difference_tonnes</x:v>
      </x:c>
      <x:c r="C1210" s="46" t="n">
        <x:v>0</x:v>
      </x:c>
      <x:c r="D1210" s="46" t="str">
        <x:v>tonnes</x:v>
      </x:c>
    </x:row>
    <x:row r="1211" ht="18" customHeight="1">
      <x:c r="A1211" s="46" t="str">
        <x:v>LME_050</x:v>
      </x:c>
      <x:c r="B1211" s="46" t="str">
        <x:v>catch_reconciled</x:v>
      </x:c>
      <x:c r="C1211" s="46" t="str">
        <x:v>True</x:v>
      </x:c>
      <x:c r="D1211" s="46" t="str">
        <x:v>boolean</x:v>
      </x:c>
    </x:row>
    <x:row r="1212" ht="18" customHeight="1">
      <x:c r="A1212" s="46" t="str">
        <x:v>LME_050</x:v>
      </x:c>
      <x:c r="B1212" s="46" t="str">
        <x:v>matched_catch_tonnes</x:v>
      </x:c>
      <x:c r="C1212" s="46" t="n">
        <x:v>2586941.83669577</x:v>
      </x:c>
      <x:c r="D1212" s="46" t="str">
        <x:v>tonnes</x:v>
      </x:c>
    </x:row>
    <x:row r="1213" ht="18" customHeight="1">
      <x:c r="A1213" s="46" t="str">
        <x:v>LME_050</x:v>
      </x:c>
      <x:c r="B1213" s="46" t="str">
        <x:v>catch_coverage_fraction</x:v>
      </x:c>
      <x:c r="C1213" s="46" t="n">
        <x:v>1</x:v>
      </x:c>
      <x:c r="D1213" s="46" t="str">
        <x:v>fraction</x:v>
      </x:c>
    </x:row>
    <x:row r="1214" ht="18" customHeight="1">
      <x:c r="A1214" s="46" t="str">
        <x:v>LME_050</x:v>
      </x:c>
      <x:c r="B1214" s="46" t="str">
        <x:v>taxa_count</x:v>
      </x:c>
      <x:c r="C1214" s="46" t="n">
        <x:v>218</x:v>
      </x:c>
      <x:c r="D1214" s="46" t="str">
        <x:v>count</x:v>
      </x:c>
    </x:row>
    <x:row r="1215" ht="18" customHeight="1">
      <x:c r="A1215" s="46" t="str">
        <x:v>LME_050</x:v>
      </x:c>
      <x:c r="B1215" s="46" t="str">
        <x:v>matched_taxa_count</x:v>
      </x:c>
      <x:c r="C1215" s="46" t="n">
        <x:v>218</x:v>
      </x:c>
      <x:c r="D1215" s="46" t="str">
        <x:v>count</x:v>
      </x:c>
    </x:row>
    <x:row r="1216" ht="18" customHeight="1">
      <x:c r="A1216" s="46" t="str">
        <x:v>LME_050</x:v>
      </x:c>
      <x:c r="B1216" s="46" t="str">
        <x:v>unmatched_taxa_count</x:v>
      </x:c>
      <x:c r="C1216" s="46" t="n">
        <x:v>0</x:v>
      </x:c>
      <x:c r="D1216" s="46" t="str">
        <x:v>count</x:v>
      </x:c>
    </x:row>
    <x:row r="1217" ht="18" customHeight="1">
      <x:c r="A1217" s="46" t="str">
        <x:v>LME_050</x:v>
      </x:c>
      <x:c r="B1217" s="46" t="str">
        <x:v>species_ppr</x:v>
      </x:c>
      <x:c r="C1217" s="46" t="n">
        <x:v>1439195574.0782979</x:v>
      </x:c>
      <x:c r="D1217" s="46" t="str">
        <x:v>tonnes_primary_production_equivalent</x:v>
      </x:c>
    </x:row>
    <x:row r="1218" ht="18" customHeight="1">
      <x:c r="A1218" s="46" t="str">
        <x:v>LME_050</x:v>
      </x:c>
      <x:c r="B1218" s="46" t="str">
        <x:v>commercial_ppr</x:v>
      </x:c>
      <x:c r="C1218" s="46" t="n">
        <x:v>1439195574.078298</x:v>
      </x:c>
      <x:c r="D1218" s="46" t="str">
        <x:v>tonnes_primary_production_equivalent</x:v>
      </x:c>
    </x:row>
    <x:row r="1219" ht="18" customHeight="1">
      <x:c r="A1219" s="46" t="str">
        <x:v>LME_050</x:v>
      </x:c>
      <x:c r="B1219" s="46" t="str">
        <x:v>functional_ppr</x:v>
      </x:c>
      <x:c r="C1219" s="46" t="n">
        <x:v>1439195574.0782976</x:v>
      </x:c>
      <x:c r="D1219" s="46" t="str">
        <x:v>tonnes_primary_production_equivalent</x:v>
      </x:c>
    </x:row>
    <x:row r="1220" ht="18" customHeight="1">
      <x:c r="A1220" s="46" t="str">
        <x:v>LME_050</x:v>
      </x:c>
      <x:c r="B1220" s="46" t="str">
        <x:v>commercial_ppr_difference</x:v>
      </x:c>
      <x:c r="C1220" s="46" t="n">
        <x:v>2.384185791015625e-7</x:v>
      </x:c>
      <x:c r="D1220" s="46" t="str">
        <x:v>tonnes_primary_production_equivalent</x:v>
      </x:c>
    </x:row>
    <x:row r="1221" ht="18" customHeight="1">
      <x:c r="A1221" s="46" t="str">
        <x:v>LME_050</x:v>
      </x:c>
      <x:c r="B1221" s="46" t="str">
        <x:v>functional_ppr_difference</x:v>
      </x:c>
      <x:c r="C1221" s="46" t="n">
        <x:v>-2.384185791015625e-7</x:v>
      </x:c>
      <x:c r="D1221" s="46" t="str">
        <x:v>tonnes_primary_production_equivalent</x:v>
      </x:c>
    </x:row>
    <x:row r="1222" ht="18" customHeight="1">
      <x:c r="A1222" s="46" t="str">
        <x:v>LME_050</x:v>
      </x:c>
      <x:c r="B1222" s="46" t="str">
        <x:v>commercial_ppr_reconciled</x:v>
      </x:c>
      <x:c r="C1222" s="46" t="str">
        <x:v>True</x:v>
      </x:c>
      <x:c r="D1222" s="46" t="str">
        <x:v>boolean</x:v>
      </x:c>
    </x:row>
    <x:row r="1223" ht="18" customHeight="1">
      <x:c r="A1223" s="46" t="str">
        <x:v>LME_050</x:v>
      </x:c>
      <x:c r="B1223" s="46" t="str">
        <x:v>functional_ppr_reconciled</x:v>
      </x:c>
      <x:c r="C1223" s="46" t="str">
        <x:v>True</x:v>
      </x:c>
      <x:c r="D1223" s="46" t="str">
        <x:v>boolean</x:v>
      </x:c>
    </x:row>
    <x:row r="1224" ht="18" customHeight="1">
      <x:c r="A1224" s="46" t="str">
        <x:v>LME_050</x:v>
      </x:c>
      <x:c r="B1224" s="46" t="str">
        <x:v>commercial_jensen_violations</x:v>
      </x:c>
      <x:c r="C1224" s="46" t="n">
        <x:v>0</x:v>
      </x:c>
      <x:c r="D1224" s="46" t="str">
        <x:v>count</x:v>
      </x:c>
    </x:row>
    <x:row r="1225" ht="18" customHeight="1">
      <x:c r="A1225" s="46" t="str">
        <x:v>LME_050</x:v>
      </x:c>
      <x:c r="B1225" s="46" t="str">
        <x:v>functional_jensen_violations</x:v>
      </x:c>
      <x:c r="C1225" s="46" t="n">
        <x:v>0</x:v>
      </x:c>
      <x:c r="D1225" s="46" t="str">
        <x:v>count</x:v>
      </x:c>
    </x:row>
    <x:row r="1226" ht="18" customHeight="1">
      <x:c r="A1226" s="46" t="str">
        <x:v>LME_051</x:v>
      </x:c>
      <x:c r="B1226" s="46" t="str">
        <x:v>raw_filtered_tonnes</x:v>
      </x:c>
      <x:c r="C1226" s="46" t="n">
        <x:v>1092021.8374498228</x:v>
      </x:c>
      <x:c r="D1226" s="46" t="str">
        <x:v>tonnes</x:v>
      </x:c>
    </x:row>
    <x:row r="1227" ht="18" customHeight="1">
      <x:c r="A1227" s="46" t="str">
        <x:v>LME_051</x:v>
      </x:c>
      <x:c r="B1227" s="46" t="str">
        <x:v>species_catch_tonnes</x:v>
      </x:c>
      <x:c r="C1227" s="46" t="n">
        <x:v>1092021.8374498228</x:v>
      </x:c>
      <x:c r="D1227" s="46" t="str">
        <x:v>tonnes</x:v>
      </x:c>
    </x:row>
    <x:row r="1228" ht="18" customHeight="1">
      <x:c r="A1228" s="46" t="str">
        <x:v>LME_051</x:v>
      </x:c>
      <x:c r="B1228" s="46" t="str">
        <x:v>catch_difference_tonnes</x:v>
      </x:c>
      <x:c r="C1228" s="46" t="n">
        <x:v>0</x:v>
      </x:c>
      <x:c r="D1228" s="46" t="str">
        <x:v>tonnes</x:v>
      </x:c>
    </x:row>
    <x:row r="1229" ht="18" customHeight="1">
      <x:c r="A1229" s="46" t="str">
        <x:v>LME_051</x:v>
      </x:c>
      <x:c r="B1229" s="46" t="str">
        <x:v>catch_reconciled</x:v>
      </x:c>
      <x:c r="C1229" s="46" t="str">
        <x:v>True</x:v>
      </x:c>
      <x:c r="D1229" s="46" t="str">
        <x:v>boolean</x:v>
      </x:c>
    </x:row>
    <x:row r="1230" ht="18" customHeight="1">
      <x:c r="A1230" s="46" t="str">
        <x:v>LME_051</x:v>
      </x:c>
      <x:c r="B1230" s="46" t="str">
        <x:v>matched_catch_tonnes</x:v>
      </x:c>
      <x:c r="C1230" s="46" t="n">
        <x:v>1092021.8374498228</x:v>
      </x:c>
      <x:c r="D1230" s="46" t="str">
        <x:v>tonnes</x:v>
      </x:c>
    </x:row>
    <x:row r="1231" ht="18" customHeight="1">
      <x:c r="A1231" s="46" t="str">
        <x:v>LME_051</x:v>
      </x:c>
      <x:c r="B1231" s="46" t="str">
        <x:v>catch_coverage_fraction</x:v>
      </x:c>
      <x:c r="C1231" s="46" t="n">
        <x:v>1</x:v>
      </x:c>
      <x:c r="D1231" s="46" t="str">
        <x:v>fraction</x:v>
      </x:c>
    </x:row>
    <x:row r="1232" ht="18" customHeight="1">
      <x:c r="A1232" s="46" t="str">
        <x:v>LME_051</x:v>
      </x:c>
      <x:c r="B1232" s="46" t="str">
        <x:v>taxa_count</x:v>
      </x:c>
      <x:c r="C1232" s="46" t="n">
        <x:v>143</x:v>
      </x:c>
      <x:c r="D1232" s="46" t="str">
        <x:v>count</x:v>
      </x:c>
    </x:row>
    <x:row r="1233" ht="18" customHeight="1">
      <x:c r="A1233" s="46" t="str">
        <x:v>LME_051</x:v>
      </x:c>
      <x:c r="B1233" s="46" t="str">
        <x:v>matched_taxa_count</x:v>
      </x:c>
      <x:c r="C1233" s="46" t="n">
        <x:v>143</x:v>
      </x:c>
      <x:c r="D1233" s="46" t="str">
        <x:v>count</x:v>
      </x:c>
    </x:row>
    <x:row r="1234" ht="18" customHeight="1">
      <x:c r="A1234" s="46" t="str">
        <x:v>LME_051</x:v>
      </x:c>
      <x:c r="B1234" s="46" t="str">
        <x:v>unmatched_taxa_count</x:v>
      </x:c>
      <x:c r="C1234" s="46" t="n">
        <x:v>0</x:v>
      </x:c>
      <x:c r="D1234" s="46" t="str">
        <x:v>count</x:v>
      </x:c>
    </x:row>
    <x:row r="1235" ht="18" customHeight="1">
      <x:c r="A1235" s="46" t="str">
        <x:v>LME_051</x:v>
      </x:c>
      <x:c r="B1235" s="46" t="str">
        <x:v>species_ppr</x:v>
      </x:c>
      <x:c r="C1235" s="46" t="n">
        <x:v>528421987.24496377</x:v>
      </x:c>
      <x:c r="D1235" s="46" t="str">
        <x:v>tonnes_primary_production_equivalent</x:v>
      </x:c>
    </x:row>
    <x:row r="1236" ht="18" customHeight="1">
      <x:c r="A1236" s="46" t="str">
        <x:v>LME_051</x:v>
      </x:c>
      <x:c r="B1236" s="46" t="str">
        <x:v>commercial_ppr</x:v>
      </x:c>
      <x:c r="C1236" s="46" t="n">
        <x:v>528421987.2449637</x:v>
      </x:c>
      <x:c r="D1236" s="46" t="str">
        <x:v>tonnes_primary_production_equivalent</x:v>
      </x:c>
    </x:row>
    <x:row r="1237" ht="18" customHeight="1">
      <x:c r="A1237" s="46" t="str">
        <x:v>LME_051</x:v>
      </x:c>
      <x:c r="B1237" s="46" t="str">
        <x:v>functional_ppr</x:v>
      </x:c>
      <x:c r="C1237" s="46" t="n">
        <x:v>528421987.2449638</x:v>
      </x:c>
      <x:c r="D1237" s="46" t="str">
        <x:v>tonnes_primary_production_equivalent</x:v>
      </x:c>
    </x:row>
    <x:row r="1238" ht="18" customHeight="1">
      <x:c r="A1238" s="46" t="str">
        <x:v>LME_051</x:v>
      </x:c>
      <x:c r="B1238" s="46" t="str">
        <x:v>commercial_ppr_difference</x:v>
      </x:c>
      <x:c r="C1238" s="46" t="n">
        <x:v>-5.960464477539063e-8</x:v>
      </x:c>
      <x:c r="D1238" s="46" t="str">
        <x:v>tonnes_primary_production_equivalent</x:v>
      </x:c>
    </x:row>
    <x:row r="1239" ht="18" customHeight="1">
      <x:c r="A1239" s="46" t="str">
        <x:v>LME_051</x:v>
      </x:c>
      <x:c r="B1239" s="46" t="str">
        <x:v>functional_ppr_difference</x:v>
      </x:c>
      <x:c r="C1239" s="46" t="n">
        <x:v>5.960464477539063e-8</x:v>
      </x:c>
      <x:c r="D1239" s="46" t="str">
        <x:v>tonnes_primary_production_equivalent</x:v>
      </x:c>
    </x:row>
    <x:row r="1240" ht="18" customHeight="1">
      <x:c r="A1240" s="46" t="str">
        <x:v>LME_051</x:v>
      </x:c>
      <x:c r="B1240" s="46" t="str">
        <x:v>commercial_ppr_reconciled</x:v>
      </x:c>
      <x:c r="C1240" s="46" t="str">
        <x:v>True</x:v>
      </x:c>
      <x:c r="D1240" s="46" t="str">
        <x:v>boolean</x:v>
      </x:c>
    </x:row>
    <x:row r="1241" ht="18" customHeight="1">
      <x:c r="A1241" s="46" t="str">
        <x:v>LME_051</x:v>
      </x:c>
      <x:c r="B1241" s="46" t="str">
        <x:v>functional_ppr_reconciled</x:v>
      </x:c>
      <x:c r="C1241" s="46" t="str">
        <x:v>True</x:v>
      </x:c>
      <x:c r="D1241" s="46" t="str">
        <x:v>boolean</x:v>
      </x:c>
    </x:row>
    <x:row r="1242" ht="18" customHeight="1">
      <x:c r="A1242" s="46" t="str">
        <x:v>LME_051</x:v>
      </x:c>
      <x:c r="B1242" s="46" t="str">
        <x:v>commercial_jensen_violations</x:v>
      </x:c>
      <x:c r="C1242" s="46" t="n">
        <x:v>0</x:v>
      </x:c>
      <x:c r="D1242" s="46" t="str">
        <x:v>count</x:v>
      </x:c>
    </x:row>
    <x:row r="1243" ht="18" customHeight="1">
      <x:c r="A1243" s="46" t="str">
        <x:v>LME_051</x:v>
      </x:c>
      <x:c r="B1243" s="46" t="str">
        <x:v>functional_jensen_violations</x:v>
      </x:c>
      <x:c r="C1243" s="46" t="n">
        <x:v>0</x:v>
      </x:c>
      <x:c r="D1243" s="46" t="str">
        <x:v>count</x:v>
      </x:c>
    </x:row>
    <x:row r="1244" ht="18" customHeight="1">
      <x:c r="A1244" s="46" t="str">
        <x:v>LME_052</x:v>
      </x:c>
      <x:c r="B1244" s="46" t="str">
        <x:v>raw_filtered_tonnes</x:v>
      </x:c>
      <x:c r="C1244" s="46" t="n">
        <x:v>4800852.125625119</x:v>
      </x:c>
      <x:c r="D1244" s="46" t="str">
        <x:v>tonnes</x:v>
      </x:c>
    </x:row>
    <x:row r="1245" ht="18" customHeight="1">
      <x:c r="A1245" s="46" t="str">
        <x:v>LME_052</x:v>
      </x:c>
      <x:c r="B1245" s="46" t="str">
        <x:v>species_catch_tonnes</x:v>
      </x:c>
      <x:c r="C1245" s="46" t="n">
        <x:v>4800852.125625119</x:v>
      </x:c>
      <x:c r="D1245" s="46" t="str">
        <x:v>tonnes</x:v>
      </x:c>
    </x:row>
    <x:row r="1246" ht="18" customHeight="1">
      <x:c r="A1246" s="46" t="str">
        <x:v>LME_052</x:v>
      </x:c>
      <x:c r="B1246" s="46" t="str">
        <x:v>catch_difference_tonnes</x:v>
      </x:c>
      <x:c r="C1246" s="46" t="n">
        <x:v>0</x:v>
      </x:c>
      <x:c r="D1246" s="46" t="str">
        <x:v>tonnes</x:v>
      </x:c>
    </x:row>
    <x:row r="1247" ht="18" customHeight="1">
      <x:c r="A1247" s="46" t="str">
        <x:v>LME_052</x:v>
      </x:c>
      <x:c r="B1247" s="46" t="str">
        <x:v>catch_reconciled</x:v>
      </x:c>
      <x:c r="C1247" s="46" t="str">
        <x:v>True</x:v>
      </x:c>
      <x:c r="D1247" s="46" t="str">
        <x:v>boolean</x:v>
      </x:c>
    </x:row>
    <x:row r="1248" ht="18" customHeight="1">
      <x:c r="A1248" s="46" t="str">
        <x:v>LME_052</x:v>
      </x:c>
      <x:c r="B1248" s="46" t="str">
        <x:v>matched_catch_tonnes</x:v>
      </x:c>
      <x:c r="C1248" s="46" t="n">
        <x:v>4800852.125625119</x:v>
      </x:c>
      <x:c r="D1248" s="46" t="str">
        <x:v>tonnes</x:v>
      </x:c>
    </x:row>
    <x:row r="1249" ht="18" customHeight="1">
      <x:c r="A1249" s="46" t="str">
        <x:v>LME_052</x:v>
      </x:c>
      <x:c r="B1249" s="46" t="str">
        <x:v>catch_coverage_fraction</x:v>
      </x:c>
      <x:c r="C1249" s="46" t="n">
        <x:v>1</x:v>
      </x:c>
      <x:c r="D1249" s="46" t="str">
        <x:v>fraction</x:v>
      </x:c>
    </x:row>
    <x:row r="1250" ht="18" customHeight="1">
      <x:c r="A1250" s="46" t="str">
        <x:v>LME_052</x:v>
      </x:c>
      <x:c r="B1250" s="46" t="str">
        <x:v>taxa_count</x:v>
      </x:c>
      <x:c r="C1250" s="46" t="n">
        <x:v>131</x:v>
      </x:c>
      <x:c r="D1250" s="46" t="str">
        <x:v>count</x:v>
      </x:c>
    </x:row>
    <x:row r="1251" ht="18" customHeight="1">
      <x:c r="A1251" s="46" t="str">
        <x:v>LME_052</x:v>
      </x:c>
      <x:c r="B1251" s="46" t="str">
        <x:v>matched_taxa_count</x:v>
      </x:c>
      <x:c r="C1251" s="46" t="n">
        <x:v>131</x:v>
      </x:c>
      <x:c r="D1251" s="46" t="str">
        <x:v>count</x:v>
      </x:c>
    </x:row>
    <x:row r="1252" ht="18" customHeight="1">
      <x:c r="A1252" s="46" t="str">
        <x:v>LME_052</x:v>
      </x:c>
      <x:c r="B1252" s="46" t="str">
        <x:v>unmatched_taxa_count</x:v>
      </x:c>
      <x:c r="C1252" s="46" t="n">
        <x:v>0</x:v>
      </x:c>
      <x:c r="D1252" s="46" t="str">
        <x:v>count</x:v>
      </x:c>
    </x:row>
    <x:row r="1253" ht="18" customHeight="1">
      <x:c r="A1253" s="46" t="str">
        <x:v>LME_052</x:v>
      </x:c>
      <x:c r="B1253" s="46" t="str">
        <x:v>species_ppr</x:v>
      </x:c>
      <x:c r="C1253" s="46" t="n">
        <x:v>2799543440.9812036</x:v>
      </x:c>
      <x:c r="D1253" s="46" t="str">
        <x:v>tonnes_primary_production_equivalent</x:v>
      </x:c>
    </x:row>
    <x:row r="1254" ht="18" customHeight="1">
      <x:c r="A1254" s="46" t="str">
        <x:v>LME_052</x:v>
      </x:c>
      <x:c r="B1254" s="46" t="str">
        <x:v>commercial_ppr</x:v>
      </x:c>
      <x:c r="C1254" s="46" t="n">
        <x:v>2799543440.9812036</x:v>
      </x:c>
      <x:c r="D1254" s="46" t="str">
        <x:v>tonnes_primary_production_equivalent</x:v>
      </x:c>
    </x:row>
    <x:row r="1255" ht="18" customHeight="1">
      <x:c r="A1255" s="46" t="str">
        <x:v>LME_052</x:v>
      </x:c>
      <x:c r="B1255" s="46" t="str">
        <x:v>functional_ppr</x:v>
      </x:c>
      <x:c r="C1255" s="46" t="n">
        <x:v>2799543440.9812036</x:v>
      </x:c>
      <x:c r="D1255" s="46" t="str">
        <x:v>tonnes_primary_production_equivalent</x:v>
      </x:c>
    </x:row>
    <x:row r="1256" ht="18" customHeight="1">
      <x:c r="A1256" s="46" t="str">
        <x:v>LME_052</x:v>
      </x:c>
      <x:c r="B1256" s="46" t="str">
        <x:v>commercial_ppr_difference</x:v>
      </x:c>
      <x:c r="C1256" s="46" t="n">
        <x:v>0</x:v>
      </x:c>
      <x:c r="D1256" s="46" t="str">
        <x:v>tonnes_primary_production_equivalent</x:v>
      </x:c>
    </x:row>
    <x:row r="1257" ht="18" customHeight="1">
      <x:c r="A1257" s="46" t="str">
        <x:v>LME_052</x:v>
      </x:c>
      <x:c r="B1257" s="46" t="str">
        <x:v>functional_ppr_difference</x:v>
      </x:c>
      <x:c r="C1257" s="46" t="n">
        <x:v>0</x:v>
      </x:c>
      <x:c r="D1257" s="46" t="str">
        <x:v>tonnes_primary_production_equivalent</x:v>
      </x:c>
    </x:row>
    <x:row r="1258" ht="18" customHeight="1">
      <x:c r="A1258" s="46" t="str">
        <x:v>LME_052</x:v>
      </x:c>
      <x:c r="B1258" s="46" t="str">
        <x:v>commercial_ppr_reconciled</x:v>
      </x:c>
      <x:c r="C1258" s="46" t="str">
        <x:v>True</x:v>
      </x:c>
      <x:c r="D1258" s="46" t="str">
        <x:v>boolean</x:v>
      </x:c>
    </x:row>
    <x:row r="1259" ht="18" customHeight="1">
      <x:c r="A1259" s="46" t="str">
        <x:v>LME_052</x:v>
      </x:c>
      <x:c r="B1259" s="46" t="str">
        <x:v>functional_ppr_reconciled</x:v>
      </x:c>
      <x:c r="C1259" s="46" t="str">
        <x:v>True</x:v>
      </x:c>
      <x:c r="D1259" s="46" t="str">
        <x:v>boolean</x:v>
      </x:c>
    </x:row>
    <x:row r="1260" ht="18" customHeight="1">
      <x:c r="A1260" s="46" t="str">
        <x:v>LME_052</x:v>
      </x:c>
      <x:c r="B1260" s="46" t="str">
        <x:v>commercial_jensen_violations</x:v>
      </x:c>
      <x:c r="C1260" s="46" t="n">
        <x:v>0</x:v>
      </x:c>
      <x:c r="D1260" s="46" t="str">
        <x:v>count</x:v>
      </x:c>
    </x:row>
    <x:row r="1261" ht="18" customHeight="1">
      <x:c r="A1261" s="46" t="str">
        <x:v>LME_052</x:v>
      </x:c>
      <x:c r="B1261" s="46" t="str">
        <x:v>functional_jensen_violations</x:v>
      </x:c>
      <x:c r="C1261" s="46" t="n">
        <x:v>0</x:v>
      </x:c>
      <x:c r="D1261" s="46" t="str">
        <x:v>count</x:v>
      </x:c>
    </x:row>
    <x:row r="1262" ht="18" customHeight="1">
      <x:c r="A1262" s="46" t="str">
        <x:v>LME_053</x:v>
      </x:c>
      <x:c r="B1262" s="46" t="str">
        <x:v>raw_filtered_tonnes</x:v>
      </x:c>
      <x:c r="C1262" s="46" t="n">
        <x:v>705687.5220776038</x:v>
      </x:c>
      <x:c r="D1262" s="46" t="str">
        <x:v>tonnes</x:v>
      </x:c>
    </x:row>
    <x:row r="1263" ht="18" customHeight="1">
      <x:c r="A1263" s="46" t="str">
        <x:v>LME_053</x:v>
      </x:c>
      <x:c r="B1263" s="46" t="str">
        <x:v>species_catch_tonnes</x:v>
      </x:c>
      <x:c r="C1263" s="46" t="n">
        <x:v>705687.5220776038</x:v>
      </x:c>
      <x:c r="D1263" s="46" t="str">
        <x:v>tonnes</x:v>
      </x:c>
    </x:row>
    <x:row r="1264" ht="18" customHeight="1">
      <x:c r="A1264" s="46" t="str">
        <x:v>LME_053</x:v>
      </x:c>
      <x:c r="B1264" s="46" t="str">
        <x:v>catch_difference_tonnes</x:v>
      </x:c>
      <x:c r="C1264" s="46" t="n">
        <x:v>0</x:v>
      </x:c>
      <x:c r="D1264" s="46" t="str">
        <x:v>tonnes</x:v>
      </x:c>
    </x:row>
    <x:row r="1265" ht="18" customHeight="1">
      <x:c r="A1265" s="46" t="str">
        <x:v>LME_053</x:v>
      </x:c>
      <x:c r="B1265" s="46" t="str">
        <x:v>catch_reconciled</x:v>
      </x:c>
      <x:c r="C1265" s="46" t="str">
        <x:v>True</x:v>
      </x:c>
      <x:c r="D1265" s="46" t="str">
        <x:v>boolean</x:v>
      </x:c>
    </x:row>
    <x:row r="1266" ht="18" customHeight="1">
      <x:c r="A1266" s="46" t="str">
        <x:v>LME_053</x:v>
      </x:c>
      <x:c r="B1266" s="46" t="str">
        <x:v>matched_catch_tonnes</x:v>
      </x:c>
      <x:c r="C1266" s="46" t="n">
        <x:v>705687.5220776038</x:v>
      </x:c>
      <x:c r="D1266" s="46" t="str">
        <x:v>tonnes</x:v>
      </x:c>
    </x:row>
    <x:row r="1267" ht="18" customHeight="1">
      <x:c r="A1267" s="46" t="str">
        <x:v>LME_053</x:v>
      </x:c>
      <x:c r="B1267" s="46" t="str">
        <x:v>catch_coverage_fraction</x:v>
      </x:c>
      <x:c r="C1267" s="46" t="n">
        <x:v>1</x:v>
      </x:c>
      <x:c r="D1267" s="46" t="str">
        <x:v>fraction</x:v>
      </x:c>
    </x:row>
    <x:row r="1268" ht="18" customHeight="1">
      <x:c r="A1268" s="46" t="str">
        <x:v>LME_053</x:v>
      </x:c>
      <x:c r="B1268" s="46" t="str">
        <x:v>taxa_count</x:v>
      </x:c>
      <x:c r="C1268" s="46" t="n">
        <x:v>63</x:v>
      </x:c>
      <x:c r="D1268" s="46" t="str">
        <x:v>count</x:v>
      </x:c>
    </x:row>
    <x:row r="1269" ht="18" customHeight="1">
      <x:c r="A1269" s="46" t="str">
        <x:v>LME_053</x:v>
      </x:c>
      <x:c r="B1269" s="46" t="str">
        <x:v>matched_taxa_count</x:v>
      </x:c>
      <x:c r="C1269" s="46" t="n">
        <x:v>63</x:v>
      </x:c>
      <x:c r="D1269" s="46" t="str">
        <x:v>count</x:v>
      </x:c>
    </x:row>
    <x:row r="1270" ht="18" customHeight="1">
      <x:c r="A1270" s="46" t="str">
        <x:v>LME_053</x:v>
      </x:c>
      <x:c r="B1270" s="46" t="str">
        <x:v>unmatched_taxa_count</x:v>
      </x:c>
      <x:c r="C1270" s="46" t="n">
        <x:v>0</x:v>
      </x:c>
      <x:c r="D1270" s="46" t="str">
        <x:v>count</x:v>
      </x:c>
    </x:row>
    <x:row r="1271" ht="18" customHeight="1">
      <x:c r="A1271" s="46" t="str">
        <x:v>LME_053</x:v>
      </x:c>
      <x:c r="B1271" s="46" t="str">
        <x:v>species_ppr</x:v>
      </x:c>
      <x:c r="C1271" s="46" t="n">
        <x:v>511445832.05498385</x:v>
      </x:c>
      <x:c r="D1271" s="46" t="str">
        <x:v>tonnes_primary_production_equivalent</x:v>
      </x:c>
    </x:row>
    <x:row r="1272" ht="18" customHeight="1">
      <x:c r="A1272" s="46" t="str">
        <x:v>LME_053</x:v>
      </x:c>
      <x:c r="B1272" s="46" t="str">
        <x:v>commercial_ppr</x:v>
      </x:c>
      <x:c r="C1272" s="46" t="n">
        <x:v>511445832.05498385</x:v>
      </x:c>
      <x:c r="D1272" s="46" t="str">
        <x:v>tonnes_primary_production_equivalent</x:v>
      </x:c>
    </x:row>
    <x:row r="1273" ht="18" customHeight="1">
      <x:c r="A1273" s="46" t="str">
        <x:v>LME_053</x:v>
      </x:c>
      <x:c r="B1273" s="46" t="str">
        <x:v>functional_ppr</x:v>
      </x:c>
      <x:c r="C1273" s="46" t="n">
        <x:v>511445832.0549839</x:v>
      </x:c>
      <x:c r="D1273" s="46" t="str">
        <x:v>tonnes_primary_production_equivalent</x:v>
      </x:c>
    </x:row>
    <x:row r="1274" ht="18" customHeight="1">
      <x:c r="A1274" s="46" t="str">
        <x:v>LME_053</x:v>
      </x:c>
      <x:c r="B1274" s="46" t="str">
        <x:v>commercial_ppr_difference</x:v>
      </x:c>
      <x:c r="C1274" s="46" t="n">
        <x:v>0</x:v>
      </x:c>
      <x:c r="D1274" s="46" t="str">
        <x:v>tonnes_primary_production_equivalent</x:v>
      </x:c>
    </x:row>
    <x:row r="1275" ht="18" customHeight="1">
      <x:c r="A1275" s="46" t="str">
        <x:v>LME_053</x:v>
      </x:c>
      <x:c r="B1275" s="46" t="str">
        <x:v>functional_ppr_difference</x:v>
      </x:c>
      <x:c r="C1275" s="46" t="n">
        <x:v>5.960464477539063e-8</x:v>
      </x:c>
      <x:c r="D1275" s="46" t="str">
        <x:v>tonnes_primary_production_equivalent</x:v>
      </x:c>
    </x:row>
    <x:row r="1276" ht="18" customHeight="1">
      <x:c r="A1276" s="46" t="str">
        <x:v>LME_053</x:v>
      </x:c>
      <x:c r="B1276" s="46" t="str">
        <x:v>commercial_ppr_reconciled</x:v>
      </x:c>
      <x:c r="C1276" s="46" t="str">
        <x:v>True</x:v>
      </x:c>
      <x:c r="D1276" s="46" t="str">
        <x:v>boolean</x:v>
      </x:c>
    </x:row>
    <x:row r="1277" ht="18" customHeight="1">
      <x:c r="A1277" s="46" t="str">
        <x:v>LME_053</x:v>
      </x:c>
      <x:c r="B1277" s="46" t="str">
        <x:v>functional_ppr_reconciled</x:v>
      </x:c>
      <x:c r="C1277" s="46" t="str">
        <x:v>True</x:v>
      </x:c>
      <x:c r="D1277" s="46" t="str">
        <x:v>boolean</x:v>
      </x:c>
    </x:row>
    <x:row r="1278" ht="18" customHeight="1">
      <x:c r="A1278" s="46" t="str">
        <x:v>LME_053</x:v>
      </x:c>
      <x:c r="B1278" s="46" t="str">
        <x:v>commercial_jensen_violations</x:v>
      </x:c>
      <x:c r="C1278" s="46" t="n">
        <x:v>0</x:v>
      </x:c>
      <x:c r="D1278" s="46" t="str">
        <x:v>count</x:v>
      </x:c>
    </x:row>
    <x:row r="1279" ht="18" customHeight="1">
      <x:c r="A1279" s="46" t="str">
        <x:v>LME_053</x:v>
      </x:c>
      <x:c r="B1279" s="46" t="str">
        <x:v>functional_jensen_violations</x:v>
      </x:c>
      <x:c r="C1279" s="46" t="n">
        <x:v>0</x:v>
      </x:c>
      <x:c r="D1279" s="46" t="str">
        <x:v>count</x:v>
      </x:c>
    </x:row>
    <x:row r="1280" ht="18" customHeight="1">
      <x:c r="A1280" s="46" t="str">
        <x:v>LME_054</x:v>
      </x:c>
      <x:c r="B1280" s="46" t="str">
        <x:v>raw_filtered_tonnes</x:v>
      </x:c>
      <x:c r="C1280" s="46" t="n">
        <x:v>348828.221273396</x:v>
      </x:c>
      <x:c r="D1280" s="46" t="str">
        <x:v>tonnes</x:v>
      </x:c>
    </x:row>
    <x:row r="1281" ht="18" customHeight="1">
      <x:c r="A1281" s="46" t="str">
        <x:v>LME_054</x:v>
      </x:c>
      <x:c r="B1281" s="46" t="str">
        <x:v>species_catch_tonnes</x:v>
      </x:c>
      <x:c r="C1281" s="46" t="n">
        <x:v>348828.221273396</x:v>
      </x:c>
      <x:c r="D1281" s="46" t="str">
        <x:v>tonnes</x:v>
      </x:c>
    </x:row>
    <x:row r="1282" ht="18" customHeight="1">
      <x:c r="A1282" s="46" t="str">
        <x:v>LME_054</x:v>
      </x:c>
      <x:c r="B1282" s="46" t="str">
        <x:v>catch_difference_tonnes</x:v>
      </x:c>
      <x:c r="C1282" s="46" t="n">
        <x:v>0</x:v>
      </x:c>
      <x:c r="D1282" s="46" t="str">
        <x:v>tonnes</x:v>
      </x:c>
    </x:row>
    <x:row r="1283" ht="18" customHeight="1">
      <x:c r="A1283" s="46" t="str">
        <x:v>LME_054</x:v>
      </x:c>
      <x:c r="B1283" s="46" t="str">
        <x:v>catch_reconciled</x:v>
      </x:c>
      <x:c r="C1283" s="46" t="str">
        <x:v>True</x:v>
      </x:c>
      <x:c r="D1283" s="46" t="str">
        <x:v>boolean</x:v>
      </x:c>
    </x:row>
    <x:row r="1284" ht="18" customHeight="1">
      <x:c r="A1284" s="46" t="str">
        <x:v>LME_054</x:v>
      </x:c>
      <x:c r="B1284" s="46" t="str">
        <x:v>matched_catch_tonnes</x:v>
      </x:c>
      <x:c r="C1284" s="46" t="n">
        <x:v>348828.221273396</x:v>
      </x:c>
      <x:c r="D1284" s="46" t="str">
        <x:v>tonnes</x:v>
      </x:c>
    </x:row>
    <x:row r="1285" ht="18" customHeight="1">
      <x:c r="A1285" s="46" t="str">
        <x:v>LME_054</x:v>
      </x:c>
      <x:c r="B1285" s="46" t="str">
        <x:v>catch_coverage_fraction</x:v>
      </x:c>
      <x:c r="C1285" s="46" t="n">
        <x:v>1</x:v>
      </x:c>
      <x:c r="D1285" s="46" t="str">
        <x:v>fraction</x:v>
      </x:c>
    </x:row>
    <x:row r="1286" ht="18" customHeight="1">
      <x:c r="A1286" s="46" t="str">
        <x:v>LME_054</x:v>
      </x:c>
      <x:c r="B1286" s="46" t="str">
        <x:v>taxa_count</x:v>
      </x:c>
      <x:c r="C1286" s="46" t="n">
        <x:v>93</x:v>
      </x:c>
      <x:c r="D1286" s="46" t="str">
        <x:v>count</x:v>
      </x:c>
    </x:row>
    <x:row r="1287" ht="18" customHeight="1">
      <x:c r="A1287" s="46" t="str">
        <x:v>LME_054</x:v>
      </x:c>
      <x:c r="B1287" s="46" t="str">
        <x:v>matched_taxa_count</x:v>
      </x:c>
      <x:c r="C1287" s="46" t="n">
        <x:v>93</x:v>
      </x:c>
      <x:c r="D1287" s="46" t="str">
        <x:v>count</x:v>
      </x:c>
    </x:row>
    <x:row r="1288" ht="18" customHeight="1">
      <x:c r="A1288" s="46" t="str">
        <x:v>LME_054</x:v>
      </x:c>
      <x:c r="B1288" s="46" t="str">
        <x:v>unmatched_taxa_count</x:v>
      </x:c>
      <x:c r="C1288" s="46" t="n">
        <x:v>0</x:v>
      </x:c>
      <x:c r="D1288" s="46" t="str">
        <x:v>count</x:v>
      </x:c>
    </x:row>
    <x:row r="1289" ht="18" customHeight="1">
      <x:c r="A1289" s="46" t="str">
        <x:v>LME_054</x:v>
      </x:c>
      <x:c r="B1289" s="46" t="str">
        <x:v>species_ppr</x:v>
      </x:c>
      <x:c r="C1289" s="46" t="n">
        <x:v>188778895.78178987</x:v>
      </x:c>
      <x:c r="D1289" s="46" t="str">
        <x:v>tonnes_primary_production_equivalent</x:v>
      </x:c>
    </x:row>
    <x:row r="1290" ht="18" customHeight="1">
      <x:c r="A1290" s="46" t="str">
        <x:v>LME_054</x:v>
      </x:c>
      <x:c r="B1290" s="46" t="str">
        <x:v>commercial_ppr</x:v>
      </x:c>
      <x:c r="C1290" s="46" t="n">
        <x:v>188778895.78178984</x:v>
      </x:c>
      <x:c r="D1290" s="46" t="str">
        <x:v>tonnes_primary_production_equivalent</x:v>
      </x:c>
    </x:row>
    <x:row r="1291" ht="18" customHeight="1">
      <x:c r="A1291" s="46" t="str">
        <x:v>LME_054</x:v>
      </x:c>
      <x:c r="B1291" s="46" t="str">
        <x:v>functional_ppr</x:v>
      </x:c>
      <x:c r="C1291" s="46" t="n">
        <x:v>188778895.78178978</x:v>
      </x:c>
      <x:c r="D1291" s="46" t="str">
        <x:v>tonnes_primary_production_equivalent</x:v>
      </x:c>
    </x:row>
    <x:row r="1292" ht="18" customHeight="1">
      <x:c r="A1292" s="46" t="str">
        <x:v>LME_054</x:v>
      </x:c>
      <x:c r="B1292" s="46" t="str">
        <x:v>commercial_ppr_difference</x:v>
      </x:c>
      <x:c r="C1292" s="46" t="n">
        <x:v>-2.9802322387695312e-8</x:v>
      </x:c>
      <x:c r="D1292" s="46" t="str">
        <x:v>tonnes_primary_production_equivalent</x:v>
      </x:c>
    </x:row>
    <x:row r="1293" ht="18" customHeight="1">
      <x:c r="A1293" s="46" t="str">
        <x:v>LME_054</x:v>
      </x:c>
      <x:c r="B1293" s="46" t="str">
        <x:v>functional_ppr_difference</x:v>
      </x:c>
      <x:c r="C1293" s="46" t="n">
        <x:v>-8.940696716308594e-8</x:v>
      </x:c>
      <x:c r="D1293" s="46" t="str">
        <x:v>tonnes_primary_production_equivalent</x:v>
      </x:c>
    </x:row>
    <x:row r="1294" ht="18" customHeight="1">
      <x:c r="A1294" s="46" t="str">
        <x:v>LME_054</x:v>
      </x:c>
      <x:c r="B1294" s="46" t="str">
        <x:v>commercial_ppr_reconciled</x:v>
      </x:c>
      <x:c r="C1294" s="46" t="str">
        <x:v>True</x:v>
      </x:c>
      <x:c r="D1294" s="46" t="str">
        <x:v>boolean</x:v>
      </x:c>
    </x:row>
    <x:row r="1295" ht="18" customHeight="1">
      <x:c r="A1295" s="46" t="str">
        <x:v>LME_054</x:v>
      </x:c>
      <x:c r="B1295" s="46" t="str">
        <x:v>functional_ppr_reconciled</x:v>
      </x:c>
      <x:c r="C1295" s="46" t="str">
        <x:v>True</x:v>
      </x:c>
      <x:c r="D1295" s="46" t="str">
        <x:v>boolean</x:v>
      </x:c>
    </x:row>
    <x:row r="1296" ht="18" customHeight="1">
      <x:c r="A1296" s="46" t="str">
        <x:v>LME_054</x:v>
      </x:c>
      <x:c r="B1296" s="46" t="str">
        <x:v>commercial_jensen_violations</x:v>
      </x:c>
      <x:c r="C1296" s="46" t="n">
        <x:v>0</x:v>
      </x:c>
      <x:c r="D1296" s="46" t="str">
        <x:v>count</x:v>
      </x:c>
    </x:row>
    <x:row r="1297" ht="18" customHeight="1">
      <x:c r="A1297" s="46" t="str">
        <x:v>LME_054</x:v>
      </x:c>
      <x:c r="B1297" s="46" t="str">
        <x:v>functional_jensen_violations</x:v>
      </x:c>
      <x:c r="C1297" s="46" t="n">
        <x:v>0</x:v>
      </x:c>
      <x:c r="D1297" s="46" t="str">
        <x:v>count</x:v>
      </x:c>
    </x:row>
    <x:row r="1298" ht="18" customHeight="1">
      <x:c r="A1298" s="46" t="str">
        <x:v>LME_055</x:v>
      </x:c>
      <x:c r="B1298" s="46" t="str">
        <x:v>raw_filtered_tonnes</x:v>
      </x:c>
      <x:c r="C1298" s="46" t="n">
        <x:v>212.78852302800001</x:v>
      </x:c>
      <x:c r="D1298" s="46" t="str">
        <x:v>tonnes</x:v>
      </x:c>
    </x:row>
    <x:row r="1299" ht="18" customHeight="1">
      <x:c r="A1299" s="46" t="str">
        <x:v>LME_055</x:v>
      </x:c>
      <x:c r="B1299" s="46" t="str">
        <x:v>species_catch_tonnes</x:v>
      </x:c>
      <x:c r="C1299" s="46" t="n">
        <x:v>212.78852302800001</x:v>
      </x:c>
      <x:c r="D1299" s="46" t="str">
        <x:v>tonnes</x:v>
      </x:c>
    </x:row>
    <x:row r="1300" ht="18" customHeight="1">
      <x:c r="A1300" s="46" t="str">
        <x:v>LME_055</x:v>
      </x:c>
      <x:c r="B1300" s="46" t="str">
        <x:v>catch_difference_tonnes</x:v>
      </x:c>
      <x:c r="C1300" s="46" t="n">
        <x:v>0</x:v>
      </x:c>
      <x:c r="D1300" s="46" t="str">
        <x:v>tonnes</x:v>
      </x:c>
    </x:row>
    <x:row r="1301" ht="18" customHeight="1">
      <x:c r="A1301" s="46" t="str">
        <x:v>LME_055</x:v>
      </x:c>
      <x:c r="B1301" s="46" t="str">
        <x:v>catch_reconciled</x:v>
      </x:c>
      <x:c r="C1301" s="46" t="str">
        <x:v>True</x:v>
      </x:c>
      <x:c r="D1301" s="46" t="str">
        <x:v>boolean</x:v>
      </x:c>
    </x:row>
    <x:row r="1302" ht="18" customHeight="1">
      <x:c r="A1302" s="46" t="str">
        <x:v>LME_055</x:v>
      </x:c>
      <x:c r="B1302" s="46" t="str">
        <x:v>matched_catch_tonnes</x:v>
      </x:c>
      <x:c r="C1302" s="46" t="n">
        <x:v>212.78852302800001</x:v>
      </x:c>
      <x:c r="D1302" s="46" t="str">
        <x:v>tonnes</x:v>
      </x:c>
    </x:row>
    <x:row r="1303" ht="18" customHeight="1">
      <x:c r="A1303" s="46" t="str">
        <x:v>LME_055</x:v>
      </x:c>
      <x:c r="B1303" s="46" t="str">
        <x:v>catch_coverage_fraction</x:v>
      </x:c>
      <x:c r="C1303" s="46" t="n">
        <x:v>1</x:v>
      </x:c>
      <x:c r="D1303" s="46" t="str">
        <x:v>fraction</x:v>
      </x:c>
    </x:row>
    <x:row r="1304" ht="18" customHeight="1">
      <x:c r="A1304" s="46" t="str">
        <x:v>LME_055</x:v>
      </x:c>
      <x:c r="B1304" s="46" t="str">
        <x:v>taxa_count</x:v>
      </x:c>
      <x:c r="C1304" s="46" t="n">
        <x:v>19</x:v>
      </x:c>
      <x:c r="D1304" s="46" t="str">
        <x:v>count</x:v>
      </x:c>
    </x:row>
    <x:row r="1305" ht="18" customHeight="1">
      <x:c r="A1305" s="46" t="str">
        <x:v>LME_055</x:v>
      </x:c>
      <x:c r="B1305" s="46" t="str">
        <x:v>matched_taxa_count</x:v>
      </x:c>
      <x:c r="C1305" s="46" t="n">
        <x:v>19</x:v>
      </x:c>
      <x:c r="D1305" s="46" t="str">
        <x:v>count</x:v>
      </x:c>
    </x:row>
    <x:row r="1306" ht="18" customHeight="1">
      <x:c r="A1306" s="46" t="str">
        <x:v>LME_055</x:v>
      </x:c>
      <x:c r="B1306" s="46" t="str">
        <x:v>unmatched_taxa_count</x:v>
      </x:c>
      <x:c r="C1306" s="46" t="n">
        <x:v>0</x:v>
      </x:c>
      <x:c r="D1306" s="46" t="str">
        <x:v>count</x:v>
      </x:c>
    </x:row>
    <x:row r="1307" ht="18" customHeight="1">
      <x:c r="A1307" s="46" t="str">
        <x:v>LME_055</x:v>
      </x:c>
      <x:c r="B1307" s="46" t="str">
        <x:v>species_ppr</x:v>
      </x:c>
      <x:c r="C1307" s="46" t="n">
        <x:v>439874.51024657505</x:v>
      </x:c>
      <x:c r="D1307" s="46" t="str">
        <x:v>tonnes_primary_production_equivalent</x:v>
      </x:c>
    </x:row>
    <x:row r="1308" ht="18" customHeight="1">
      <x:c r="A1308" s="46" t="str">
        <x:v>LME_055</x:v>
      </x:c>
      <x:c r="B1308" s="46" t="str">
        <x:v>commercial_ppr</x:v>
      </x:c>
      <x:c r="C1308" s="46" t="n">
        <x:v>439874.5102465751</x:v>
      </x:c>
      <x:c r="D1308" s="46" t="str">
        <x:v>tonnes_primary_production_equivalent</x:v>
      </x:c>
    </x:row>
    <x:row r="1309" ht="18" customHeight="1">
      <x:c r="A1309" s="46" t="str">
        <x:v>LME_055</x:v>
      </x:c>
      <x:c r="B1309" s="46" t="str">
        <x:v>functional_ppr</x:v>
      </x:c>
      <x:c r="C1309" s="46" t="n">
        <x:v>439874.51024657505</x:v>
      </x:c>
      <x:c r="D1309" s="46" t="str">
        <x:v>tonnes_primary_production_equivalent</x:v>
      </x:c>
    </x:row>
    <x:row r="1310" ht="18" customHeight="1">
      <x:c r="A1310" s="46" t="str">
        <x:v>LME_055</x:v>
      </x:c>
      <x:c r="B1310" s="46" t="str">
        <x:v>commercial_ppr_difference</x:v>
      </x:c>
      <x:c r="C1310" s="46" t="n">
        <x:v>5.820766091346741e-11</x:v>
      </x:c>
      <x:c r="D1310" s="46" t="str">
        <x:v>tonnes_primary_production_equivalent</x:v>
      </x:c>
    </x:row>
    <x:row r="1311" ht="18" customHeight="1">
      <x:c r="A1311" s="46" t="str">
        <x:v>LME_055</x:v>
      </x:c>
      <x:c r="B1311" s="46" t="str">
        <x:v>functional_ppr_difference</x:v>
      </x:c>
      <x:c r="C1311" s="46" t="n">
        <x:v>0</x:v>
      </x:c>
      <x:c r="D1311" s="46" t="str">
        <x:v>tonnes_primary_production_equivalent</x:v>
      </x:c>
    </x:row>
    <x:row r="1312" ht="18" customHeight="1">
      <x:c r="A1312" s="46" t="str">
        <x:v>LME_055</x:v>
      </x:c>
      <x:c r="B1312" s="46" t="str">
        <x:v>commercial_ppr_reconciled</x:v>
      </x:c>
      <x:c r="C1312" s="46" t="str">
        <x:v>True</x:v>
      </x:c>
      <x:c r="D1312" s="46" t="str">
        <x:v>boolean</x:v>
      </x:c>
    </x:row>
    <x:row r="1313" ht="18" customHeight="1">
      <x:c r="A1313" s="46" t="str">
        <x:v>LME_055</x:v>
      </x:c>
      <x:c r="B1313" s="46" t="str">
        <x:v>functional_ppr_reconciled</x:v>
      </x:c>
      <x:c r="C1313" s="46" t="str">
        <x:v>True</x:v>
      </x:c>
      <x:c r="D1313" s="46" t="str">
        <x:v>boolean</x:v>
      </x:c>
    </x:row>
    <x:row r="1314" ht="18" customHeight="1">
      <x:c r="A1314" s="46" t="str">
        <x:v>LME_055</x:v>
      </x:c>
      <x:c r="B1314" s="46" t="str">
        <x:v>commercial_jensen_violations</x:v>
      </x:c>
      <x:c r="C1314" s="46" t="n">
        <x:v>0</x:v>
      </x:c>
      <x:c r="D1314" s="46" t="str">
        <x:v>count</x:v>
      </x:c>
    </x:row>
    <x:row r="1315" ht="18" customHeight="1">
      <x:c r="A1315" s="46" t="str">
        <x:v>LME_055</x:v>
      </x:c>
      <x:c r="B1315" s="46" t="str">
        <x:v>functional_jensen_violations</x:v>
      </x:c>
      <x:c r="C1315" s="46" t="n">
        <x:v>0</x:v>
      </x:c>
      <x:c r="D1315" s="46" t="str">
        <x:v>count</x:v>
      </x:c>
    </x:row>
    <x:row r="1316" ht="18" customHeight="1">
      <x:c r="A1316" s="46" t="str">
        <x:v>LME_056</x:v>
      </x:c>
      <x:c r="B1316" s="46" t="str">
        <x:v>raw_filtered_tonnes</x:v>
      </x:c>
      <x:c r="C1316" s="46" t="n">
        <x:v>1304.0687744917</x:v>
      </x:c>
      <x:c r="D1316" s="46" t="str">
        <x:v>tonnes</x:v>
      </x:c>
    </x:row>
    <x:row r="1317" ht="18" customHeight="1">
      <x:c r="A1317" s="46" t="str">
        <x:v>LME_056</x:v>
      </x:c>
      <x:c r="B1317" s="46" t="str">
        <x:v>species_catch_tonnes</x:v>
      </x:c>
      <x:c r="C1317" s="46" t="n">
        <x:v>1304.0687744917002</x:v>
      </x:c>
      <x:c r="D1317" s="46" t="str">
        <x:v>tonnes</x:v>
      </x:c>
    </x:row>
    <x:row r="1318" ht="18" customHeight="1">
      <x:c r="A1318" s="46" t="str">
        <x:v>LME_056</x:v>
      </x:c>
      <x:c r="B1318" s="46" t="str">
        <x:v>catch_difference_tonnes</x:v>
      </x:c>
      <x:c r="C1318" s="46" t="n">
        <x:v>2.2737367544323206e-13</x:v>
      </x:c>
      <x:c r="D1318" s="46" t="str">
        <x:v>tonnes</x:v>
      </x:c>
    </x:row>
    <x:row r="1319" ht="18" customHeight="1">
      <x:c r="A1319" s="46" t="str">
        <x:v>LME_056</x:v>
      </x:c>
      <x:c r="B1319" s="46" t="str">
        <x:v>catch_reconciled</x:v>
      </x:c>
      <x:c r="C1319" s="46" t="str">
        <x:v>True</x:v>
      </x:c>
      <x:c r="D1319" s="46" t="str">
        <x:v>boolean</x:v>
      </x:c>
    </x:row>
    <x:row r="1320" ht="18" customHeight="1">
      <x:c r="A1320" s="46" t="str">
        <x:v>LME_056</x:v>
      </x:c>
      <x:c r="B1320" s="46" t="str">
        <x:v>matched_catch_tonnes</x:v>
      </x:c>
      <x:c r="C1320" s="46" t="n">
        <x:v>1304.0687744917002</x:v>
      </x:c>
      <x:c r="D1320" s="46" t="str">
        <x:v>tonnes</x:v>
      </x:c>
    </x:row>
    <x:row r="1321" ht="18" customHeight="1">
      <x:c r="A1321" s="46" t="str">
        <x:v>LME_056</x:v>
      </x:c>
      <x:c r="B1321" s="46" t="str">
        <x:v>catch_coverage_fraction</x:v>
      </x:c>
      <x:c r="C1321" s="46" t="n">
        <x:v>1</x:v>
      </x:c>
      <x:c r="D1321" s="46" t="str">
        <x:v>fraction</x:v>
      </x:c>
    </x:row>
    <x:row r="1322" ht="18" customHeight="1">
      <x:c r="A1322" s="46" t="str">
        <x:v>LME_056</x:v>
      </x:c>
      <x:c r="B1322" s="46" t="str">
        <x:v>taxa_count</x:v>
      </x:c>
      <x:c r="C1322" s="46" t="n">
        <x:v>4</x:v>
      </x:c>
      <x:c r="D1322" s="46" t="str">
        <x:v>count</x:v>
      </x:c>
    </x:row>
    <x:row r="1323" ht="18" customHeight="1">
      <x:c r="A1323" s="46" t="str">
        <x:v>LME_056</x:v>
      </x:c>
      <x:c r="B1323" s="46" t="str">
        <x:v>matched_taxa_count</x:v>
      </x:c>
      <x:c r="C1323" s="46" t="n">
        <x:v>4</x:v>
      </x:c>
      <x:c r="D1323" s="46" t="str">
        <x:v>count</x:v>
      </x:c>
    </x:row>
    <x:row r="1324" ht="18" customHeight="1">
      <x:c r="A1324" s="46" t="str">
        <x:v>LME_056</x:v>
      </x:c>
      <x:c r="B1324" s="46" t="str">
        <x:v>unmatched_taxa_count</x:v>
      </x:c>
      <x:c r="C1324" s="46" t="n">
        <x:v>0</x:v>
      </x:c>
      <x:c r="D1324" s="46" t="str">
        <x:v>count</x:v>
      </x:c>
    </x:row>
    <x:row r="1325" ht="18" customHeight="1">
      <x:c r="A1325" s="46" t="str">
        <x:v>LME_056</x:v>
      </x:c>
      <x:c r="B1325" s="46" t="str">
        <x:v>species_ppr</x:v>
      </x:c>
      <x:c r="C1325" s="46" t="n">
        <x:v>275429.0625472164</x:v>
      </x:c>
      <x:c r="D1325" s="46" t="str">
        <x:v>tonnes_primary_production_equivalent</x:v>
      </x:c>
    </x:row>
    <x:row r="1326" ht="18" customHeight="1">
      <x:c r="A1326" s="46" t="str">
        <x:v>LME_056</x:v>
      </x:c>
      <x:c r="B1326" s="46" t="str">
        <x:v>commercial_ppr</x:v>
      </x:c>
      <x:c r="C1326" s="46" t="n">
        <x:v>275429.0625472164</x:v>
      </x:c>
      <x:c r="D1326" s="46" t="str">
        <x:v>tonnes_primary_production_equivalent</x:v>
      </x:c>
    </x:row>
    <x:row r="1327" ht="18" customHeight="1">
      <x:c r="A1327" s="46" t="str">
        <x:v>LME_056</x:v>
      </x:c>
      <x:c r="B1327" s="46" t="str">
        <x:v>functional_ppr</x:v>
      </x:c>
      <x:c r="C1327" s="46" t="n">
        <x:v>275429.0625472164</x:v>
      </x:c>
      <x:c r="D1327" s="46" t="str">
        <x:v>tonnes_primary_production_equivalent</x:v>
      </x:c>
    </x:row>
    <x:row r="1328" ht="18" customHeight="1">
      <x:c r="A1328" s="46" t="str">
        <x:v>LME_056</x:v>
      </x:c>
      <x:c r="B1328" s="46" t="str">
        <x:v>commercial_ppr_difference</x:v>
      </x:c>
      <x:c r="C1328" s="46" t="n">
        <x:v>0</x:v>
      </x:c>
      <x:c r="D1328" s="46" t="str">
        <x:v>tonnes_primary_production_equivalent</x:v>
      </x:c>
    </x:row>
    <x:row r="1329" ht="18" customHeight="1">
      <x:c r="A1329" s="46" t="str">
        <x:v>LME_056</x:v>
      </x:c>
      <x:c r="B1329" s="46" t="str">
        <x:v>functional_ppr_difference</x:v>
      </x:c>
      <x:c r="C1329" s="46" t="n">
        <x:v>0</x:v>
      </x:c>
      <x:c r="D1329" s="46" t="str">
        <x:v>tonnes_primary_production_equivalent</x:v>
      </x:c>
    </x:row>
    <x:row r="1330" ht="18" customHeight="1">
      <x:c r="A1330" s="46" t="str">
        <x:v>LME_056</x:v>
      </x:c>
      <x:c r="B1330" s="46" t="str">
        <x:v>commercial_ppr_reconciled</x:v>
      </x:c>
      <x:c r="C1330" s="46" t="str">
        <x:v>True</x:v>
      </x:c>
      <x:c r="D1330" s="46" t="str">
        <x:v>boolean</x:v>
      </x:c>
    </x:row>
    <x:row r="1331" ht="18" customHeight="1">
      <x:c r="A1331" s="46" t="str">
        <x:v>LME_056</x:v>
      </x:c>
      <x:c r="B1331" s="46" t="str">
        <x:v>functional_ppr_reconciled</x:v>
      </x:c>
      <x:c r="C1331" s="46" t="str">
        <x:v>True</x:v>
      </x:c>
      <x:c r="D1331" s="46" t="str">
        <x:v>boolean</x:v>
      </x:c>
    </x:row>
    <x:row r="1332" ht="18" customHeight="1">
      <x:c r="A1332" s="46" t="str">
        <x:v>LME_056</x:v>
      </x:c>
      <x:c r="B1332" s="46" t="str">
        <x:v>commercial_jensen_violations</x:v>
      </x:c>
      <x:c r="C1332" s="46" t="n">
        <x:v>0</x:v>
      </x:c>
      <x:c r="D1332" s="46" t="str">
        <x:v>count</x:v>
      </x:c>
    </x:row>
    <x:row r="1333" ht="18" customHeight="1">
      <x:c r="A1333" s="46" t="str">
        <x:v>LME_056</x:v>
      </x:c>
      <x:c r="B1333" s="46" t="str">
        <x:v>functional_jensen_violations</x:v>
      </x:c>
      <x:c r="C1333" s="46" t="n">
        <x:v>0</x:v>
      </x:c>
      <x:c r="D1333" s="46" t="str">
        <x:v>count</x:v>
      </x:c>
    </x:row>
    <x:row r="1334" ht="18" customHeight="1">
      <x:c r="A1334" s="46" t="str">
        <x:v>LME_057</x:v>
      </x:c>
      <x:c r="B1334" s="46" t="str">
        <x:v>raw_filtered_tonnes</x:v>
      </x:c>
      <x:c r="C1334" s="46" t="n">
        <x:v>2616.1834162357</x:v>
      </x:c>
      <x:c r="D1334" s="46" t="str">
        <x:v>tonnes</x:v>
      </x:c>
    </x:row>
    <x:row r="1335" ht="18" customHeight="1">
      <x:c r="A1335" s="46" t="str">
        <x:v>LME_057</x:v>
      </x:c>
      <x:c r="B1335" s="46" t="str">
        <x:v>species_catch_tonnes</x:v>
      </x:c>
      <x:c r="C1335" s="46" t="n">
        <x:v>2616.1834162357</x:v>
      </x:c>
      <x:c r="D1335" s="46" t="str">
        <x:v>tonnes</x:v>
      </x:c>
    </x:row>
    <x:row r="1336" ht="18" customHeight="1">
      <x:c r="A1336" s="46" t="str">
        <x:v>LME_057</x:v>
      </x:c>
      <x:c r="B1336" s="46" t="str">
        <x:v>catch_difference_tonnes</x:v>
      </x:c>
      <x:c r="C1336" s="46" t="n">
        <x:v>0</x:v>
      </x:c>
      <x:c r="D1336" s="46" t="str">
        <x:v>tonnes</x:v>
      </x:c>
    </x:row>
    <x:row r="1337" ht="18" customHeight="1">
      <x:c r="A1337" s="46" t="str">
        <x:v>LME_057</x:v>
      </x:c>
      <x:c r="B1337" s="46" t="str">
        <x:v>catch_reconciled</x:v>
      </x:c>
      <x:c r="C1337" s="46" t="str">
        <x:v>True</x:v>
      </x:c>
      <x:c r="D1337" s="46" t="str">
        <x:v>boolean</x:v>
      </x:c>
    </x:row>
    <x:row r="1338" ht="18" customHeight="1">
      <x:c r="A1338" s="46" t="str">
        <x:v>LME_057</x:v>
      </x:c>
      <x:c r="B1338" s="46" t="str">
        <x:v>matched_catch_tonnes</x:v>
      </x:c>
      <x:c r="C1338" s="46" t="n">
        <x:v>2616.1834162357</x:v>
      </x:c>
      <x:c r="D1338" s="46" t="str">
        <x:v>tonnes</x:v>
      </x:c>
    </x:row>
    <x:row r="1339" ht="18" customHeight="1">
      <x:c r="A1339" s="46" t="str">
        <x:v>LME_057</x:v>
      </x:c>
      <x:c r="B1339" s="46" t="str">
        <x:v>catch_coverage_fraction</x:v>
      </x:c>
      <x:c r="C1339" s="46" t="n">
        <x:v>1</x:v>
      </x:c>
      <x:c r="D1339" s="46" t="str">
        <x:v>fraction</x:v>
      </x:c>
    </x:row>
    <x:row r="1340" ht="18" customHeight="1">
      <x:c r="A1340" s="46" t="str">
        <x:v>LME_057</x:v>
      </x:c>
      <x:c r="B1340" s="46" t="str">
        <x:v>taxa_count</x:v>
      </x:c>
      <x:c r="C1340" s="46" t="n">
        <x:v>5</x:v>
      </x:c>
      <x:c r="D1340" s="46" t="str">
        <x:v>count</x:v>
      </x:c>
    </x:row>
    <x:row r="1341" ht="18" customHeight="1">
      <x:c r="A1341" s="46" t="str">
        <x:v>LME_057</x:v>
      </x:c>
      <x:c r="B1341" s="46" t="str">
        <x:v>matched_taxa_count</x:v>
      </x:c>
      <x:c r="C1341" s="46" t="n">
        <x:v>5</x:v>
      </x:c>
      <x:c r="D1341" s="46" t="str">
        <x:v>count</x:v>
      </x:c>
    </x:row>
    <x:row r="1342" ht="18" customHeight="1">
      <x:c r="A1342" s="46" t="str">
        <x:v>LME_057</x:v>
      </x:c>
      <x:c r="B1342" s="46" t="str">
        <x:v>unmatched_taxa_count</x:v>
      </x:c>
      <x:c r="C1342" s="46" t="n">
        <x:v>0</x:v>
      </x:c>
      <x:c r="D1342" s="46" t="str">
        <x:v>count</x:v>
      </x:c>
    </x:row>
    <x:row r="1343" ht="18" customHeight="1">
      <x:c r="A1343" s="46" t="str">
        <x:v>LME_057</x:v>
      </x:c>
      <x:c r="B1343" s="46" t="str">
        <x:v>species_ppr</x:v>
      </x:c>
      <x:c r="C1343" s="46" t="n">
        <x:v>507104.9804889677</x:v>
      </x:c>
      <x:c r="D1343" s="46" t="str">
        <x:v>tonnes_primary_production_equivalent</x:v>
      </x:c>
    </x:row>
    <x:row r="1344" ht="18" customHeight="1">
      <x:c r="A1344" s="46" t="str">
        <x:v>LME_057</x:v>
      </x:c>
      <x:c r="B1344" s="46" t="str">
        <x:v>commercial_ppr</x:v>
      </x:c>
      <x:c r="C1344" s="46" t="n">
        <x:v>507104.9804889677</x:v>
      </x:c>
      <x:c r="D1344" s="46" t="str">
        <x:v>tonnes_primary_production_equivalent</x:v>
      </x:c>
    </x:row>
    <x:row r="1345" ht="18" customHeight="1">
      <x:c r="A1345" s="46" t="str">
        <x:v>LME_057</x:v>
      </x:c>
      <x:c r="B1345" s="46" t="str">
        <x:v>functional_ppr</x:v>
      </x:c>
      <x:c r="C1345" s="46" t="n">
        <x:v>507104.9804889676</x:v>
      </x:c>
      <x:c r="D1345" s="46" t="str">
        <x:v>tonnes_primary_production_equivalent</x:v>
      </x:c>
    </x:row>
    <x:row r="1346" ht="18" customHeight="1">
      <x:c r="A1346" s="46" t="str">
        <x:v>LME_057</x:v>
      </x:c>
      <x:c r="B1346" s="46" t="str">
        <x:v>commercial_ppr_difference</x:v>
      </x:c>
      <x:c r="C1346" s="46" t="n">
        <x:v>0</x:v>
      </x:c>
      <x:c r="D1346" s="46" t="str">
        <x:v>tonnes_primary_production_equivalent</x:v>
      </x:c>
    </x:row>
    <x:row r="1347" ht="18" customHeight="1">
      <x:c r="A1347" s="46" t="str">
        <x:v>LME_057</x:v>
      </x:c>
      <x:c r="B1347" s="46" t="str">
        <x:v>functional_ppr_difference</x:v>
      </x:c>
      <x:c r="C1347" s="46" t="n">
        <x:v>-5.820766091346741e-11</x:v>
      </x:c>
      <x:c r="D1347" s="46" t="str">
        <x:v>tonnes_primary_production_equivalent</x:v>
      </x:c>
    </x:row>
    <x:row r="1348" ht="18" customHeight="1">
      <x:c r="A1348" s="46" t="str">
        <x:v>LME_057</x:v>
      </x:c>
      <x:c r="B1348" s="46" t="str">
        <x:v>commercial_ppr_reconciled</x:v>
      </x:c>
      <x:c r="C1348" s="46" t="str">
        <x:v>True</x:v>
      </x:c>
      <x:c r="D1348" s="46" t="str">
        <x:v>boolean</x:v>
      </x:c>
    </x:row>
    <x:row r="1349" ht="18" customHeight="1">
      <x:c r="A1349" s="46" t="str">
        <x:v>LME_057</x:v>
      </x:c>
      <x:c r="B1349" s="46" t="str">
        <x:v>functional_ppr_reconciled</x:v>
      </x:c>
      <x:c r="C1349" s="46" t="str">
        <x:v>True</x:v>
      </x:c>
      <x:c r="D1349" s="46" t="str">
        <x:v>boolean</x:v>
      </x:c>
    </x:row>
    <x:row r="1350" ht="18" customHeight="1">
      <x:c r="A1350" s="46" t="str">
        <x:v>LME_057</x:v>
      </x:c>
      <x:c r="B1350" s="46" t="str">
        <x:v>commercial_jensen_violations</x:v>
      </x:c>
      <x:c r="C1350" s="46" t="n">
        <x:v>0</x:v>
      </x:c>
      <x:c r="D1350" s="46" t="str">
        <x:v>count</x:v>
      </x:c>
    </x:row>
    <x:row r="1351" ht="18" customHeight="1">
      <x:c r="A1351" s="46" t="str">
        <x:v>LME_057</x:v>
      </x:c>
      <x:c r="B1351" s="46" t="str">
        <x:v>functional_jensen_violations</x:v>
      </x:c>
      <x:c r="C1351" s="46" t="n">
        <x:v>0</x:v>
      </x:c>
      <x:c r="D1351" s="46" t="str">
        <x:v>count</x:v>
      </x:c>
    </x:row>
    <x:row r="1352" ht="18" customHeight="1">
      <x:c r="A1352" s="46" t="str">
        <x:v>LME_058</x:v>
      </x:c>
      <x:c r="B1352" s="46" t="str">
        <x:v>raw_filtered_tonnes</x:v>
      </x:c>
      <x:c r="C1352" s="46" t="n">
        <x:v>719.2892019077999</x:v>
      </x:c>
      <x:c r="D1352" s="46" t="str">
        <x:v>tonnes</x:v>
      </x:c>
    </x:row>
    <x:row r="1353" ht="18" customHeight="1">
      <x:c r="A1353" s="46" t="str">
        <x:v>LME_058</x:v>
      </x:c>
      <x:c r="B1353" s="46" t="str">
        <x:v>species_catch_tonnes</x:v>
      </x:c>
      <x:c r="C1353" s="46" t="n">
        <x:v>719.2892019078</x:v>
      </x:c>
      <x:c r="D1353" s="46" t="str">
        <x:v>tonnes</x:v>
      </x:c>
    </x:row>
    <x:row r="1354" ht="18" customHeight="1">
      <x:c r="A1354" s="46" t="str">
        <x:v>LME_058</x:v>
      </x:c>
      <x:c r="B1354" s="46" t="str">
        <x:v>catch_difference_tonnes</x:v>
      </x:c>
      <x:c r="C1354" s="46" t="n">
        <x:v>1.1368683772161603e-13</x:v>
      </x:c>
      <x:c r="D1354" s="46" t="str">
        <x:v>tonnes</x:v>
      </x:c>
    </x:row>
    <x:row r="1355" ht="18" customHeight="1">
      <x:c r="A1355" s="46" t="str">
        <x:v>LME_058</x:v>
      </x:c>
      <x:c r="B1355" s="46" t="str">
        <x:v>catch_reconciled</x:v>
      </x:c>
      <x:c r="C1355" s="46" t="str">
        <x:v>True</x:v>
      </x:c>
      <x:c r="D1355" s="46" t="str">
        <x:v>boolean</x:v>
      </x:c>
    </x:row>
    <x:row r="1356" ht="18" customHeight="1">
      <x:c r="A1356" s="46" t="str">
        <x:v>LME_058</x:v>
      </x:c>
      <x:c r="B1356" s="46" t="str">
        <x:v>matched_catch_tonnes</x:v>
      </x:c>
      <x:c r="C1356" s="46" t="n">
        <x:v>719.2892019078</x:v>
      </x:c>
      <x:c r="D1356" s="46" t="str">
        <x:v>tonnes</x:v>
      </x:c>
    </x:row>
    <x:row r="1357" ht="18" customHeight="1">
      <x:c r="A1357" s="46" t="str">
        <x:v>LME_058</x:v>
      </x:c>
      <x:c r="B1357" s="46" t="str">
        <x:v>catch_coverage_fraction</x:v>
      </x:c>
      <x:c r="C1357" s="46" t="n">
        <x:v>1</x:v>
      </x:c>
      <x:c r="D1357" s="46" t="str">
        <x:v>fraction</x:v>
      </x:c>
    </x:row>
    <x:row r="1358" ht="18" customHeight="1">
      <x:c r="A1358" s="46" t="str">
        <x:v>LME_058</x:v>
      </x:c>
      <x:c r="B1358" s="46" t="str">
        <x:v>taxa_count</x:v>
      </x:c>
      <x:c r="C1358" s="46" t="n">
        <x:v>5</x:v>
      </x:c>
      <x:c r="D1358" s="46" t="str">
        <x:v>count</x:v>
      </x:c>
    </x:row>
    <x:row r="1359" ht="18" customHeight="1">
      <x:c r="A1359" s="46" t="str">
        <x:v>LME_058</x:v>
      </x:c>
      <x:c r="B1359" s="46" t="str">
        <x:v>matched_taxa_count</x:v>
      </x:c>
      <x:c r="C1359" s="46" t="n">
        <x:v>5</x:v>
      </x:c>
      <x:c r="D1359" s="46" t="str">
        <x:v>count</x:v>
      </x:c>
    </x:row>
    <x:row r="1360" ht="18" customHeight="1">
      <x:c r="A1360" s="46" t="str">
        <x:v>LME_058</x:v>
      </x:c>
      <x:c r="B1360" s="46" t="str">
        <x:v>unmatched_taxa_count</x:v>
      </x:c>
      <x:c r="C1360" s="46" t="n">
        <x:v>0</x:v>
      </x:c>
      <x:c r="D1360" s="46" t="str">
        <x:v>count</x:v>
      </x:c>
    </x:row>
    <x:row r="1361" ht="18" customHeight="1">
      <x:c r="A1361" s="46" t="str">
        <x:v>LME_058</x:v>
      </x:c>
      <x:c r="B1361" s="46" t="str">
        <x:v>species_ppr</x:v>
      </x:c>
      <x:c r="C1361" s="46" t="n">
        <x:v>137138.92556169763</x:v>
      </x:c>
      <x:c r="D1361" s="46" t="str">
        <x:v>tonnes_primary_production_equivalent</x:v>
      </x:c>
    </x:row>
    <x:row r="1362" ht="18" customHeight="1">
      <x:c r="A1362" s="46" t="str">
        <x:v>LME_058</x:v>
      </x:c>
      <x:c r="B1362" s="46" t="str">
        <x:v>commercial_ppr</x:v>
      </x:c>
      <x:c r="C1362" s="46" t="n">
        <x:v>137138.92556169763</x:v>
      </x:c>
      <x:c r="D1362" s="46" t="str">
        <x:v>tonnes_primary_production_equivalent</x:v>
      </x:c>
    </x:row>
    <x:row r="1363" ht="18" customHeight="1">
      <x:c r="A1363" s="46" t="str">
        <x:v>LME_058</x:v>
      </x:c>
      <x:c r="B1363" s="46" t="str">
        <x:v>functional_ppr</x:v>
      </x:c>
      <x:c r="C1363" s="46" t="n">
        <x:v>137138.92556169763</x:v>
      </x:c>
      <x:c r="D1363" s="46" t="str">
        <x:v>tonnes_primary_production_equivalent</x:v>
      </x:c>
    </x:row>
    <x:row r="1364" ht="18" customHeight="1">
      <x:c r="A1364" s="46" t="str">
        <x:v>LME_058</x:v>
      </x:c>
      <x:c r="B1364" s="46" t="str">
        <x:v>commercial_ppr_difference</x:v>
      </x:c>
      <x:c r="C1364" s="46" t="n">
        <x:v>0</x:v>
      </x:c>
      <x:c r="D1364" s="46" t="str">
        <x:v>tonnes_primary_production_equivalent</x:v>
      </x:c>
    </x:row>
    <x:row r="1365" ht="18" customHeight="1">
      <x:c r="A1365" s="46" t="str">
        <x:v>LME_058</x:v>
      </x:c>
      <x:c r="B1365" s="46" t="str">
        <x:v>functional_ppr_difference</x:v>
      </x:c>
      <x:c r="C1365" s="46" t="n">
        <x:v>0</x:v>
      </x:c>
      <x:c r="D1365" s="46" t="str">
        <x:v>tonnes_primary_production_equivalent</x:v>
      </x:c>
    </x:row>
    <x:row r="1366" ht="18" customHeight="1">
      <x:c r="A1366" s="46" t="str">
        <x:v>LME_058</x:v>
      </x:c>
      <x:c r="B1366" s="46" t="str">
        <x:v>commercial_ppr_reconciled</x:v>
      </x:c>
      <x:c r="C1366" s="46" t="str">
        <x:v>True</x:v>
      </x:c>
      <x:c r="D1366" s="46" t="str">
        <x:v>boolean</x:v>
      </x:c>
    </x:row>
    <x:row r="1367" ht="18" customHeight="1">
      <x:c r="A1367" s="46" t="str">
        <x:v>LME_058</x:v>
      </x:c>
      <x:c r="B1367" s="46" t="str">
        <x:v>functional_ppr_reconciled</x:v>
      </x:c>
      <x:c r="C1367" s="46" t="str">
        <x:v>True</x:v>
      </x:c>
      <x:c r="D1367" s="46" t="str">
        <x:v>boolean</x:v>
      </x:c>
    </x:row>
    <x:row r="1368" ht="18" customHeight="1">
      <x:c r="A1368" s="46" t="str">
        <x:v>LME_058</x:v>
      </x:c>
      <x:c r="B1368" s="46" t="str">
        <x:v>commercial_jensen_violations</x:v>
      </x:c>
      <x:c r="C1368" s="46" t="n">
        <x:v>0</x:v>
      </x:c>
      <x:c r="D1368" s="46" t="str">
        <x:v>count</x:v>
      </x:c>
    </x:row>
    <x:row r="1369" ht="18" customHeight="1">
      <x:c r="A1369" s="46" t="str">
        <x:v>LME_058</x:v>
      </x:c>
      <x:c r="B1369" s="46" t="str">
        <x:v>functional_jensen_violations</x:v>
      </x:c>
      <x:c r="C1369" s="46" t="n">
        <x:v>0</x:v>
      </x:c>
      <x:c r="D1369" s="46" t="str">
        <x:v>count</x:v>
      </x:c>
    </x:row>
    <x:row r="1370" ht="18" customHeight="1">
      <x:c r="A1370" s="46" t="str">
        <x:v>LME_059</x:v>
      </x:c>
      <x:c r="B1370" s="46" t="str">
        <x:v>raw_filtered_tonnes</x:v>
      </x:c>
      <x:c r="C1370" s="46" t="n">
        <x:v>697974.9116856115</x:v>
      </x:c>
      <x:c r="D1370" s="46" t="str">
        <x:v>tonnes</x:v>
      </x:c>
    </x:row>
    <x:row r="1371" ht="18" customHeight="1">
      <x:c r="A1371" s="46" t="str">
        <x:v>LME_059</x:v>
      </x:c>
      <x:c r="B1371" s="46" t="str">
        <x:v>species_catch_tonnes</x:v>
      </x:c>
      <x:c r="C1371" s="46" t="n">
        <x:v>697974.9116856114</x:v>
      </x:c>
      <x:c r="D1371" s="46" t="str">
        <x:v>tonnes</x:v>
      </x:c>
    </x:row>
    <x:row r="1372" ht="18" customHeight="1">
      <x:c r="A1372" s="46" t="str">
        <x:v>LME_059</x:v>
      </x:c>
      <x:c r="B1372" s="46" t="str">
        <x:v>catch_difference_tonnes</x:v>
      </x:c>
      <x:c r="C1372" s="46" t="n">
        <x:v>-1.1641532182693481e-10</x:v>
      </x:c>
      <x:c r="D1372" s="46" t="str">
        <x:v>tonnes</x:v>
      </x:c>
    </x:row>
    <x:row r="1373" ht="18" customHeight="1">
      <x:c r="A1373" s="46" t="str">
        <x:v>LME_059</x:v>
      </x:c>
      <x:c r="B1373" s="46" t="str">
        <x:v>catch_reconciled</x:v>
      </x:c>
      <x:c r="C1373" s="46" t="str">
        <x:v>True</x:v>
      </x:c>
      <x:c r="D1373" s="46" t="str">
        <x:v>boolean</x:v>
      </x:c>
    </x:row>
    <x:row r="1374" ht="18" customHeight="1">
      <x:c r="A1374" s="46" t="str">
        <x:v>LME_059</x:v>
      </x:c>
      <x:c r="B1374" s="46" t="str">
        <x:v>matched_catch_tonnes</x:v>
      </x:c>
      <x:c r="C1374" s="46" t="n">
        <x:v>697974.9116856114</x:v>
      </x:c>
      <x:c r="D1374" s="46" t="str">
        <x:v>tonnes</x:v>
      </x:c>
    </x:row>
    <x:row r="1375" ht="18" customHeight="1">
      <x:c r="A1375" s="46" t="str">
        <x:v>LME_059</x:v>
      </x:c>
      <x:c r="B1375" s="46" t="str">
        <x:v>catch_coverage_fraction</x:v>
      </x:c>
      <x:c r="C1375" s="46" t="n">
        <x:v>1</x:v>
      </x:c>
      <x:c r="D1375" s="46" t="str">
        <x:v>fraction</x:v>
      </x:c>
    </x:row>
    <x:row r="1376" ht="18" customHeight="1">
      <x:c r="A1376" s="46" t="str">
        <x:v>LME_059</x:v>
      </x:c>
      <x:c r="B1376" s="46" t="str">
        <x:v>taxa_count</x:v>
      </x:c>
      <x:c r="C1376" s="46" t="n">
        <x:v>74</x:v>
      </x:c>
      <x:c r="D1376" s="46" t="str">
        <x:v>count</x:v>
      </x:c>
    </x:row>
    <x:row r="1377" ht="18" customHeight="1">
      <x:c r="A1377" s="46" t="str">
        <x:v>LME_059</x:v>
      </x:c>
      <x:c r="B1377" s="46" t="str">
        <x:v>matched_taxa_count</x:v>
      </x:c>
      <x:c r="C1377" s="46" t="n">
        <x:v>74</x:v>
      </x:c>
      <x:c r="D1377" s="46" t="str">
        <x:v>count</x:v>
      </x:c>
    </x:row>
    <x:row r="1378" ht="18" customHeight="1">
      <x:c r="A1378" s="46" t="str">
        <x:v>LME_059</x:v>
      </x:c>
      <x:c r="B1378" s="46" t="str">
        <x:v>unmatched_taxa_count</x:v>
      </x:c>
      <x:c r="C1378" s="46" t="n">
        <x:v>0</x:v>
      </x:c>
      <x:c r="D1378" s="46" t="str">
        <x:v>count</x:v>
      </x:c>
    </x:row>
    <x:row r="1379" ht="18" customHeight="1">
      <x:c r="A1379" s="46" t="str">
        <x:v>LME_059</x:v>
      </x:c>
      <x:c r="B1379" s="46" t="str">
        <x:v>species_ppr</x:v>
      </x:c>
      <x:c r="C1379" s="46" t="n">
        <x:v>707135211.9152755</x:v>
      </x:c>
      <x:c r="D1379" s="46" t="str">
        <x:v>tonnes_primary_production_equivalent</x:v>
      </x:c>
    </x:row>
    <x:row r="1380" ht="18" customHeight="1">
      <x:c r="A1380" s="46" t="str">
        <x:v>LME_059</x:v>
      </x:c>
      <x:c r="B1380" s="46" t="str">
        <x:v>commercial_ppr</x:v>
      </x:c>
      <x:c r="C1380" s="46" t="n">
        <x:v>707135211.9152755</x:v>
      </x:c>
      <x:c r="D1380" s="46" t="str">
        <x:v>tonnes_primary_production_equivalent</x:v>
      </x:c>
    </x:row>
    <x:row r="1381" ht="18" customHeight="1">
      <x:c r="A1381" s="46" t="str">
        <x:v>LME_059</x:v>
      </x:c>
      <x:c r="B1381" s="46" t="str">
        <x:v>functional_ppr</x:v>
      </x:c>
      <x:c r="C1381" s="46" t="n">
        <x:v>707135211.9152753</x:v>
      </x:c>
      <x:c r="D1381" s="46" t="str">
        <x:v>tonnes_primary_production_equivalent</x:v>
      </x:c>
    </x:row>
    <x:row r="1382" ht="18" customHeight="1">
      <x:c r="A1382" s="46" t="str">
        <x:v>LME_059</x:v>
      </x:c>
      <x:c r="B1382" s="46" t="str">
        <x:v>commercial_ppr_difference</x:v>
      </x:c>
      <x:c r="C1382" s="46" t="n">
        <x:v>0</x:v>
      </x:c>
      <x:c r="D1382" s="46" t="str">
        <x:v>tonnes_primary_production_equivalent</x:v>
      </x:c>
    </x:row>
    <x:row r="1383" ht="18" customHeight="1">
      <x:c r="A1383" s="46" t="str">
        <x:v>LME_059</x:v>
      </x:c>
      <x:c r="B1383" s="46" t="str">
        <x:v>functional_ppr_difference</x:v>
      </x:c>
      <x:c r="C1383" s="46" t="n">
        <x:v>-1.1920928955078125e-7</x:v>
      </x:c>
      <x:c r="D1383" s="46" t="str">
        <x:v>tonnes_primary_production_equivalent</x:v>
      </x:c>
    </x:row>
    <x:row r="1384" ht="18" customHeight="1">
      <x:c r="A1384" s="46" t="str">
        <x:v>LME_059</x:v>
      </x:c>
      <x:c r="B1384" s="46" t="str">
        <x:v>commercial_ppr_reconciled</x:v>
      </x:c>
      <x:c r="C1384" s="46" t="str">
        <x:v>True</x:v>
      </x:c>
      <x:c r="D1384" s="46" t="str">
        <x:v>boolean</x:v>
      </x:c>
    </x:row>
    <x:row r="1385" ht="18" customHeight="1">
      <x:c r="A1385" s="46" t="str">
        <x:v>LME_059</x:v>
      </x:c>
      <x:c r="B1385" s="46" t="str">
        <x:v>functional_ppr_reconciled</x:v>
      </x:c>
      <x:c r="C1385" s="46" t="str">
        <x:v>True</x:v>
      </x:c>
      <x:c r="D1385" s="46" t="str">
        <x:v>boolean</x:v>
      </x:c>
    </x:row>
    <x:row r="1386" ht="18" customHeight="1">
      <x:c r="A1386" s="46" t="str">
        <x:v>LME_059</x:v>
      </x:c>
      <x:c r="B1386" s="46" t="str">
        <x:v>commercial_jensen_violations</x:v>
      </x:c>
      <x:c r="C1386" s="46" t="n">
        <x:v>0</x:v>
      </x:c>
      <x:c r="D1386" s="46" t="str">
        <x:v>count</x:v>
      </x:c>
    </x:row>
    <x:row r="1387" ht="18" customHeight="1">
      <x:c r="A1387" s="46" t="str">
        <x:v>LME_059</x:v>
      </x:c>
      <x:c r="B1387" s="46" t="str">
        <x:v>functional_jensen_violations</x:v>
      </x:c>
      <x:c r="C1387" s="46" t="n">
        <x:v>0</x:v>
      </x:c>
      <x:c r="D1387" s="46" t="str">
        <x:v>count</x:v>
      </x:c>
    </x:row>
    <x:row r="1388" ht="18" customHeight="1">
      <x:c r="A1388" s="46" t="str">
        <x:v>LME_060</x:v>
      </x:c>
      <x:c r="B1388" s="46" t="str">
        <x:v>raw_filtered_tonnes</x:v>
      </x:c>
      <x:c r="C1388" s="46" t="n">
        <x:v>420222.2010145739</x:v>
      </x:c>
      <x:c r="D1388" s="46" t="str">
        <x:v>tonnes</x:v>
      </x:c>
    </x:row>
    <x:row r="1389" ht="18" customHeight="1">
      <x:c r="A1389" s="46" t="str">
        <x:v>LME_060</x:v>
      </x:c>
      <x:c r="B1389" s="46" t="str">
        <x:v>species_catch_tonnes</x:v>
      </x:c>
      <x:c r="C1389" s="46" t="n">
        <x:v>420222.20101457404</x:v>
      </x:c>
      <x:c r="D1389" s="46" t="str">
        <x:v>tonnes</x:v>
      </x:c>
    </x:row>
    <x:row r="1390" ht="18" customHeight="1">
      <x:c r="A1390" s="46" t="str">
        <x:v>LME_060</x:v>
      </x:c>
      <x:c r="B1390" s="46" t="str">
        <x:v>catch_difference_tonnes</x:v>
      </x:c>
      <x:c r="C1390" s="46" t="n">
        <x:v>1.1641532182693481e-10</x:v>
      </x:c>
      <x:c r="D1390" s="46" t="str">
        <x:v>tonnes</x:v>
      </x:c>
    </x:row>
    <x:row r="1391" ht="18" customHeight="1">
      <x:c r="A1391" s="46" t="str">
        <x:v>LME_060</x:v>
      </x:c>
      <x:c r="B1391" s="46" t="str">
        <x:v>catch_reconciled</x:v>
      </x:c>
      <x:c r="C1391" s="46" t="str">
        <x:v>True</x:v>
      </x:c>
      <x:c r="D1391" s="46" t="str">
        <x:v>boolean</x:v>
      </x:c>
    </x:row>
    <x:row r="1392" ht="18" customHeight="1">
      <x:c r="A1392" s="46" t="str">
        <x:v>LME_060</x:v>
      </x:c>
      <x:c r="B1392" s="46" t="str">
        <x:v>matched_catch_tonnes</x:v>
      </x:c>
      <x:c r="C1392" s="46" t="n">
        <x:v>420222.20101457404</x:v>
      </x:c>
      <x:c r="D1392" s="46" t="str">
        <x:v>tonnes</x:v>
      </x:c>
    </x:row>
    <x:row r="1393" ht="18" customHeight="1">
      <x:c r="A1393" s="46" t="str">
        <x:v>LME_060</x:v>
      </x:c>
      <x:c r="B1393" s="46" t="str">
        <x:v>catch_coverage_fraction</x:v>
      </x:c>
      <x:c r="C1393" s="46" t="n">
        <x:v>1</x:v>
      </x:c>
      <x:c r="D1393" s="46" t="str">
        <x:v>fraction</x:v>
      </x:c>
    </x:row>
    <x:row r="1394" ht="18" customHeight="1">
      <x:c r="A1394" s="46" t="str">
        <x:v>LME_060</x:v>
      </x:c>
      <x:c r="B1394" s="46" t="str">
        <x:v>taxa_count</x:v>
      </x:c>
      <x:c r="C1394" s="46" t="n">
        <x:v>114</x:v>
      </x:c>
      <x:c r="D1394" s="46" t="str">
        <x:v>count</x:v>
      </x:c>
    </x:row>
    <x:row r="1395" ht="18" customHeight="1">
      <x:c r="A1395" s="46" t="str">
        <x:v>LME_060</x:v>
      </x:c>
      <x:c r="B1395" s="46" t="str">
        <x:v>matched_taxa_count</x:v>
      </x:c>
      <x:c r="C1395" s="46" t="n">
        <x:v>114</x:v>
      </x:c>
      <x:c r="D1395" s="46" t="str">
        <x:v>count</x:v>
      </x:c>
    </x:row>
    <x:row r="1396" ht="18" customHeight="1">
      <x:c r="A1396" s="46" t="str">
        <x:v>LME_060</x:v>
      </x:c>
      <x:c r="B1396" s="46" t="str">
        <x:v>unmatched_taxa_count</x:v>
      </x:c>
      <x:c r="C1396" s="46" t="n">
        <x:v>0</x:v>
      </x:c>
      <x:c r="D1396" s="46" t="str">
        <x:v>count</x:v>
      </x:c>
    </x:row>
    <x:row r="1397" ht="18" customHeight="1">
      <x:c r="A1397" s="46" t="str">
        <x:v>LME_060</x:v>
      </x:c>
      <x:c r="B1397" s="46" t="str">
        <x:v>species_ppr</x:v>
      </x:c>
      <x:c r="C1397" s="46" t="n">
        <x:v>476451437.8234684</x:v>
      </x:c>
      <x:c r="D1397" s="46" t="str">
        <x:v>tonnes_primary_production_equivalent</x:v>
      </x:c>
    </x:row>
    <x:row r="1398" ht="18" customHeight="1">
      <x:c r="A1398" s="46" t="str">
        <x:v>LME_060</x:v>
      </x:c>
      <x:c r="B1398" s="46" t="str">
        <x:v>commercial_ppr</x:v>
      </x:c>
      <x:c r="C1398" s="46" t="n">
        <x:v>476451437.82346827</x:v>
      </x:c>
      <x:c r="D1398" s="46" t="str">
        <x:v>tonnes_primary_production_equivalent</x:v>
      </x:c>
    </x:row>
    <x:row r="1399" ht="18" customHeight="1">
      <x:c r="A1399" s="46" t="str">
        <x:v>LME_060</x:v>
      </x:c>
      <x:c r="B1399" s="46" t="str">
        <x:v>functional_ppr</x:v>
      </x:c>
      <x:c r="C1399" s="46" t="n">
        <x:v>476451437.82346827</x:v>
      </x:c>
      <x:c r="D1399" s="46" t="str">
        <x:v>tonnes_primary_production_equivalent</x:v>
      </x:c>
    </x:row>
    <x:row r="1400" ht="18" customHeight="1">
      <x:c r="A1400" s="46" t="str">
        <x:v>LME_060</x:v>
      </x:c>
      <x:c r="B1400" s="46" t="str">
        <x:v>commercial_ppr_difference</x:v>
      </x:c>
      <x:c r="C1400" s="46" t="n">
        <x:v>-1.1920928955078125e-7</x:v>
      </x:c>
      <x:c r="D1400" s="46" t="str">
        <x:v>tonnes_primary_production_equivalent</x:v>
      </x:c>
    </x:row>
    <x:row r="1401" ht="18" customHeight="1">
      <x:c r="A1401" s="46" t="str">
        <x:v>LME_060</x:v>
      </x:c>
      <x:c r="B1401" s="46" t="str">
        <x:v>functional_ppr_difference</x:v>
      </x:c>
      <x:c r="C1401" s="46" t="n">
        <x:v>-1.1920928955078125e-7</x:v>
      </x:c>
      <x:c r="D1401" s="46" t="str">
        <x:v>tonnes_primary_production_equivalent</x:v>
      </x:c>
    </x:row>
    <x:row r="1402" ht="18" customHeight="1">
      <x:c r="A1402" s="46" t="str">
        <x:v>LME_060</x:v>
      </x:c>
      <x:c r="B1402" s="46" t="str">
        <x:v>commercial_ppr_reconciled</x:v>
      </x:c>
      <x:c r="C1402" s="46" t="str">
        <x:v>True</x:v>
      </x:c>
      <x:c r="D1402" s="46" t="str">
        <x:v>boolean</x:v>
      </x:c>
    </x:row>
    <x:row r="1403" ht="18" customHeight="1">
      <x:c r="A1403" s="46" t="str">
        <x:v>LME_060</x:v>
      </x:c>
      <x:c r="B1403" s="46" t="str">
        <x:v>functional_ppr_reconciled</x:v>
      </x:c>
      <x:c r="C1403" s="46" t="str">
        <x:v>True</x:v>
      </x:c>
      <x:c r="D1403" s="46" t="str">
        <x:v>boolean</x:v>
      </x:c>
    </x:row>
    <x:row r="1404" ht="18" customHeight="1">
      <x:c r="A1404" s="46" t="str">
        <x:v>LME_060</x:v>
      </x:c>
      <x:c r="B1404" s="46" t="str">
        <x:v>commercial_jensen_violations</x:v>
      </x:c>
      <x:c r="C1404" s="46" t="n">
        <x:v>0</x:v>
      </x:c>
      <x:c r="D1404" s="46" t="str">
        <x:v>count</x:v>
      </x:c>
    </x:row>
    <x:row r="1405" ht="18" customHeight="1">
      <x:c r="A1405" s="46" t="str">
        <x:v>LME_060</x:v>
      </x:c>
      <x:c r="B1405" s="46" t="str">
        <x:v>functional_jensen_violations</x:v>
      </x:c>
      <x:c r="C1405" s="46" t="n">
        <x:v>0</x:v>
      </x:c>
      <x:c r="D1405" s="46" t="str">
        <x:v>count</x:v>
      </x:c>
    </x:row>
    <x:row r="1406" ht="18" customHeight="1">
      <x:c r="A1406" s="46" t="str">
        <x:v>LME_061</x:v>
      </x:c>
      <x:c r="B1406" s="46" t="str">
        <x:v>raw_filtered_tonnes</x:v>
      </x:c>
      <x:c r="C1406" s="46" t="n">
        <x:v>0.2496140134</x:v>
      </x:c>
      <x:c r="D1406" s="46" t="str">
        <x:v>tonnes</x:v>
      </x:c>
    </x:row>
    <x:row r="1407" ht="18" customHeight="1">
      <x:c r="A1407" s="46" t="str">
        <x:v>LME_061</x:v>
      </x:c>
      <x:c r="B1407" s="46" t="str">
        <x:v>species_catch_tonnes</x:v>
      </x:c>
      <x:c r="C1407" s="46" t="n">
        <x:v>0.2496140134</x:v>
      </x:c>
      <x:c r="D1407" s="46" t="str">
        <x:v>tonnes</x:v>
      </x:c>
    </x:row>
    <x:row r="1408" ht="18" customHeight="1">
      <x:c r="A1408" s="46" t="str">
        <x:v>LME_061</x:v>
      </x:c>
      <x:c r="B1408" s="46" t="str">
        <x:v>catch_difference_tonnes</x:v>
      </x:c>
      <x:c r="C1408" s="46" t="n">
        <x:v>0</x:v>
      </x:c>
      <x:c r="D1408" s="46" t="str">
        <x:v>tonnes</x:v>
      </x:c>
    </x:row>
    <x:row r="1409" ht="18" customHeight="1">
      <x:c r="A1409" s="46" t="str">
        <x:v>LME_061</x:v>
      </x:c>
      <x:c r="B1409" s="46" t="str">
        <x:v>catch_reconciled</x:v>
      </x:c>
      <x:c r="C1409" s="46" t="str">
        <x:v>True</x:v>
      </x:c>
      <x:c r="D1409" s="46" t="str">
        <x:v>boolean</x:v>
      </x:c>
    </x:row>
    <x:row r="1410" ht="18" customHeight="1">
      <x:c r="A1410" s="46" t="str">
        <x:v>LME_061</x:v>
      </x:c>
      <x:c r="B1410" s="46" t="str">
        <x:v>matched_catch_tonnes</x:v>
      </x:c>
      <x:c r="C1410" s="46" t="n">
        <x:v>0.2496140134</x:v>
      </x:c>
      <x:c r="D1410" s="46" t="str">
        <x:v>tonnes</x:v>
      </x:c>
    </x:row>
    <x:row r="1411" ht="18" customHeight="1">
      <x:c r="A1411" s="46" t="str">
        <x:v>LME_061</x:v>
      </x:c>
      <x:c r="B1411" s="46" t="str">
        <x:v>catch_coverage_fraction</x:v>
      </x:c>
      <x:c r="C1411" s="46" t="n">
        <x:v>1</x:v>
      </x:c>
      <x:c r="D1411" s="46" t="str">
        <x:v>fraction</x:v>
      </x:c>
    </x:row>
    <x:row r="1412" ht="18" customHeight="1">
      <x:c r="A1412" s="46" t="str">
        <x:v>LME_061</x:v>
      </x:c>
      <x:c r="B1412" s="46" t="str">
        <x:v>taxa_count</x:v>
      </x:c>
      <x:c r="C1412" s="46" t="n">
        <x:v>10</x:v>
      </x:c>
      <x:c r="D1412" s="46" t="str">
        <x:v>count</x:v>
      </x:c>
    </x:row>
    <x:row r="1413" ht="18" customHeight="1">
      <x:c r="A1413" s="46" t="str">
        <x:v>LME_061</x:v>
      </x:c>
      <x:c r="B1413" s="46" t="str">
        <x:v>matched_taxa_count</x:v>
      </x:c>
      <x:c r="C1413" s="46" t="n">
        <x:v>10</x:v>
      </x:c>
      <x:c r="D1413" s="46" t="str">
        <x:v>count</x:v>
      </x:c>
    </x:row>
    <x:row r="1414" ht="18" customHeight="1">
      <x:c r="A1414" s="46" t="str">
        <x:v>LME_061</x:v>
      </x:c>
      <x:c r="B1414" s="46" t="str">
        <x:v>unmatched_taxa_count</x:v>
      </x:c>
      <x:c r="C1414" s="46" t="n">
        <x:v>0</x:v>
      </x:c>
      <x:c r="D1414" s="46" t="str">
        <x:v>count</x:v>
      </x:c>
    </x:row>
    <x:row r="1415" ht="18" customHeight="1">
      <x:c r="A1415" s="46" t="str">
        <x:v>LME_061</x:v>
      </x:c>
      <x:c r="B1415" s="46" t="str">
        <x:v>species_ppr</x:v>
      </x:c>
      <x:c r="C1415" s="46" t="n">
        <x:v>57.73274163591119</x:v>
      </x:c>
      <x:c r="D1415" s="46" t="str">
        <x:v>tonnes_primary_production_equivalent</x:v>
      </x:c>
    </x:row>
    <x:row r="1416" ht="18" customHeight="1">
      <x:c r="A1416" s="46" t="str">
        <x:v>LME_061</x:v>
      </x:c>
      <x:c r="B1416" s="46" t="str">
        <x:v>commercial_ppr</x:v>
      </x:c>
      <x:c r="C1416" s="46" t="n">
        <x:v>57.7327416359112</x:v>
      </x:c>
      <x:c r="D1416" s="46" t="str">
        <x:v>tonnes_primary_production_equivalent</x:v>
      </x:c>
    </x:row>
    <x:row r="1417" ht="18" customHeight="1">
      <x:c r="A1417" s="46" t="str">
        <x:v>LME_061</x:v>
      </x:c>
      <x:c r="B1417" s="46" t="str">
        <x:v>functional_ppr</x:v>
      </x:c>
      <x:c r="C1417" s="46" t="n">
        <x:v>57.7327416359112</x:v>
      </x:c>
      <x:c r="D1417" s="46" t="str">
        <x:v>tonnes_primary_production_equivalent</x:v>
      </x:c>
    </x:row>
    <x:row r="1418" ht="18" customHeight="1">
      <x:c r="A1418" s="46" t="str">
        <x:v>LME_061</x:v>
      </x:c>
      <x:c r="B1418" s="46" t="str">
        <x:v>commercial_ppr_difference</x:v>
      </x:c>
      <x:c r="C1418" s="46" t="n">
        <x:v>7.105427357601002e-15</x:v>
      </x:c>
      <x:c r="D1418" s="46" t="str">
        <x:v>tonnes_primary_production_equivalent</x:v>
      </x:c>
    </x:row>
    <x:row r="1419" ht="18" customHeight="1">
      <x:c r="A1419" s="46" t="str">
        <x:v>LME_061</x:v>
      </x:c>
      <x:c r="B1419" s="46" t="str">
        <x:v>functional_ppr_difference</x:v>
      </x:c>
      <x:c r="C1419" s="46" t="n">
        <x:v>7.105427357601002e-15</x:v>
      </x:c>
      <x:c r="D1419" s="46" t="str">
        <x:v>tonnes_primary_production_equivalent</x:v>
      </x:c>
    </x:row>
    <x:row r="1420" ht="18" customHeight="1">
      <x:c r="A1420" s="46" t="str">
        <x:v>LME_061</x:v>
      </x:c>
      <x:c r="B1420" s="46" t="str">
        <x:v>commercial_ppr_reconciled</x:v>
      </x:c>
      <x:c r="C1420" s="46" t="str">
        <x:v>True</x:v>
      </x:c>
      <x:c r="D1420" s="46" t="str">
        <x:v>boolean</x:v>
      </x:c>
    </x:row>
    <x:row r="1421" ht="18" customHeight="1">
      <x:c r="A1421" s="46" t="str">
        <x:v>LME_061</x:v>
      </x:c>
      <x:c r="B1421" s="46" t="str">
        <x:v>functional_ppr_reconciled</x:v>
      </x:c>
      <x:c r="C1421" s="46" t="str">
        <x:v>True</x:v>
      </x:c>
      <x:c r="D1421" s="46" t="str">
        <x:v>boolean</x:v>
      </x:c>
    </x:row>
    <x:row r="1422" ht="18" customHeight="1">
      <x:c r="A1422" s="46" t="str">
        <x:v>LME_061</x:v>
      </x:c>
      <x:c r="B1422" s="46" t="str">
        <x:v>commercial_jensen_violations</x:v>
      </x:c>
      <x:c r="C1422" s="46" t="n">
        <x:v>0</x:v>
      </x:c>
      <x:c r="D1422" s="46" t="str">
        <x:v>count</x:v>
      </x:c>
    </x:row>
    <x:row r="1423" ht="18" customHeight="1">
      <x:c r="A1423" s="46" t="str">
        <x:v>LME_061</x:v>
      </x:c>
      <x:c r="B1423" s="46" t="str">
        <x:v>functional_jensen_violations</x:v>
      </x:c>
      <x:c r="C1423" s="46" t="n">
        <x:v>0</x:v>
      </x:c>
      <x:c r="D1423" s="46" t="str">
        <x:v>count</x:v>
      </x:c>
    </x:row>
    <x:row r="1424" ht="18" customHeight="1">
      <x:c r="A1424" s="46" t="str">
        <x:v>LME_062</x:v>
      </x:c>
      <x:c r="B1424" s="46" t="str">
        <x:v>raw_filtered_tonnes</x:v>
      </x:c>
      <x:c r="C1424" s="46" t="n">
        <x:v>1145168.185954724</x:v>
      </x:c>
      <x:c r="D1424" s="46" t="str">
        <x:v>tonnes</x:v>
      </x:c>
    </x:row>
    <x:row r="1425" ht="18" customHeight="1">
      <x:c r="A1425" s="46" t="str">
        <x:v>LME_062</x:v>
      </x:c>
      <x:c r="B1425" s="46" t="str">
        <x:v>species_catch_tonnes</x:v>
      </x:c>
      <x:c r="C1425" s="46" t="n">
        <x:v>1145168.1859547237</x:v>
      </x:c>
      <x:c r="D1425" s="46" t="str">
        <x:v>tonnes</x:v>
      </x:c>
    </x:row>
    <x:row r="1426" ht="18" customHeight="1">
      <x:c r="A1426" s="46" t="str">
        <x:v>LME_062</x:v>
      </x:c>
      <x:c r="B1426" s="46" t="str">
        <x:v>catch_difference_tonnes</x:v>
      </x:c>
      <x:c r="C1426" s="46" t="n">
        <x:v>-2.3283064365386963e-10</x:v>
      </x:c>
      <x:c r="D1426" s="46" t="str">
        <x:v>tonnes</x:v>
      </x:c>
    </x:row>
    <x:row r="1427" ht="18" customHeight="1">
      <x:c r="A1427" s="46" t="str">
        <x:v>LME_062</x:v>
      </x:c>
      <x:c r="B1427" s="46" t="str">
        <x:v>catch_reconciled</x:v>
      </x:c>
      <x:c r="C1427" s="46" t="str">
        <x:v>True</x:v>
      </x:c>
      <x:c r="D1427" s="46" t="str">
        <x:v>boolean</x:v>
      </x:c>
    </x:row>
    <x:row r="1428" ht="18" customHeight="1">
      <x:c r="A1428" s="46" t="str">
        <x:v>LME_062</x:v>
      </x:c>
      <x:c r="B1428" s="46" t="str">
        <x:v>matched_catch_tonnes</x:v>
      </x:c>
      <x:c r="C1428" s="46" t="n">
        <x:v>1145168.1859547237</x:v>
      </x:c>
      <x:c r="D1428" s="46" t="str">
        <x:v>tonnes</x:v>
      </x:c>
    </x:row>
    <x:row r="1429" ht="18" customHeight="1">
      <x:c r="A1429" s="46" t="str">
        <x:v>LME_062</x:v>
      </x:c>
      <x:c r="B1429" s="46" t="str">
        <x:v>catch_coverage_fraction</x:v>
      </x:c>
      <x:c r="C1429" s="46" t="n">
        <x:v>1</x:v>
      </x:c>
      <x:c r="D1429" s="46" t="str">
        <x:v>fraction</x:v>
      </x:c>
    </x:row>
    <x:row r="1430" ht="18" customHeight="1">
      <x:c r="A1430" s="46" t="str">
        <x:v>LME_062</x:v>
      </x:c>
      <x:c r="B1430" s="46" t="str">
        <x:v>taxa_count</x:v>
      </x:c>
      <x:c r="C1430" s="46" t="n">
        <x:v>120</x:v>
      </x:c>
      <x:c r="D1430" s="46" t="str">
        <x:v>count</x:v>
      </x:c>
    </x:row>
    <x:row r="1431" ht="18" customHeight="1">
      <x:c r="A1431" s="46" t="str">
        <x:v>LME_062</x:v>
      </x:c>
      <x:c r="B1431" s="46" t="str">
        <x:v>matched_taxa_count</x:v>
      </x:c>
      <x:c r="C1431" s="46" t="n">
        <x:v>120</x:v>
      </x:c>
      <x:c r="D1431" s="46" t="str">
        <x:v>count</x:v>
      </x:c>
    </x:row>
    <x:row r="1432" ht="18" customHeight="1">
      <x:c r="A1432" s="46" t="str">
        <x:v>LME_062</x:v>
      </x:c>
      <x:c r="B1432" s="46" t="str">
        <x:v>unmatched_taxa_count</x:v>
      </x:c>
      <x:c r="C1432" s="46" t="n">
        <x:v>0</x:v>
      </x:c>
      <x:c r="D1432" s="46" t="str">
        <x:v>count</x:v>
      </x:c>
    </x:row>
    <x:row r="1433" ht="18" customHeight="1">
      <x:c r="A1433" s="46" t="str">
        <x:v>LME_062</x:v>
      </x:c>
      <x:c r="B1433" s="46" t="str">
        <x:v>species_ppr</x:v>
      </x:c>
      <x:c r="C1433" s="46" t="n">
        <x:v>287609386.6659423</x:v>
      </x:c>
      <x:c r="D1433" s="46" t="str">
        <x:v>tonnes_primary_production_equivalent</x:v>
      </x:c>
    </x:row>
    <x:row r="1434" ht="18" customHeight="1">
      <x:c r="A1434" s="46" t="str">
        <x:v>LME_062</x:v>
      </x:c>
      <x:c r="B1434" s="46" t="str">
        <x:v>commercial_ppr</x:v>
      </x:c>
      <x:c r="C1434" s="46" t="n">
        <x:v>287609386.6659423</x:v>
      </x:c>
      <x:c r="D1434" s="46" t="str">
        <x:v>tonnes_primary_production_equivalent</x:v>
      </x:c>
    </x:row>
    <x:row r="1435" ht="18" customHeight="1">
      <x:c r="A1435" s="46" t="str">
        <x:v>LME_062</x:v>
      </x:c>
      <x:c r="B1435" s="46" t="str">
        <x:v>functional_ppr</x:v>
      </x:c>
      <x:c r="C1435" s="46" t="n">
        <x:v>287609386.6659424</x:v>
      </x:c>
      <x:c r="D1435" s="46" t="str">
        <x:v>tonnes_primary_production_equivalent</x:v>
      </x:c>
    </x:row>
    <x:row r="1436" ht="18" customHeight="1">
      <x:c r="A1436" s="46" t="str">
        <x:v>LME_062</x:v>
      </x:c>
      <x:c r="B1436" s="46" t="str">
        <x:v>commercial_ppr_difference</x:v>
      </x:c>
      <x:c r="C1436" s="46" t="n">
        <x:v>0</x:v>
      </x:c>
      <x:c r="D1436" s="46" t="str">
        <x:v>tonnes_primary_production_equivalent</x:v>
      </x:c>
    </x:row>
    <x:row r="1437" ht="18" customHeight="1">
      <x:c r="A1437" s="46" t="str">
        <x:v>LME_062</x:v>
      </x:c>
      <x:c r="B1437" s="46" t="str">
        <x:v>functional_ppr_difference</x:v>
      </x:c>
      <x:c r="C1437" s="46" t="n">
        <x:v>5.960464477539063e-8</x:v>
      </x:c>
      <x:c r="D1437" s="46" t="str">
        <x:v>tonnes_primary_production_equivalent</x:v>
      </x:c>
    </x:row>
    <x:row r="1438" ht="18" customHeight="1">
      <x:c r="A1438" s="46" t="str">
        <x:v>LME_062</x:v>
      </x:c>
      <x:c r="B1438" s="46" t="str">
        <x:v>commercial_ppr_reconciled</x:v>
      </x:c>
      <x:c r="C1438" s="46" t="str">
        <x:v>True</x:v>
      </x:c>
      <x:c r="D1438" s="46" t="str">
        <x:v>boolean</x:v>
      </x:c>
    </x:row>
    <x:row r="1439" ht="18" customHeight="1">
      <x:c r="A1439" s="46" t="str">
        <x:v>LME_062</x:v>
      </x:c>
      <x:c r="B1439" s="46" t="str">
        <x:v>functional_ppr_reconciled</x:v>
      </x:c>
      <x:c r="C1439" s="46" t="str">
        <x:v>True</x:v>
      </x:c>
      <x:c r="D1439" s="46" t="str">
        <x:v>boolean</x:v>
      </x:c>
    </x:row>
    <x:row r="1440" ht="18" customHeight="1">
      <x:c r="A1440" s="46" t="str">
        <x:v>LME_062</x:v>
      </x:c>
      <x:c r="B1440" s="46" t="str">
        <x:v>commercial_jensen_violations</x:v>
      </x:c>
      <x:c r="C1440" s="46" t="n">
        <x:v>0</x:v>
      </x:c>
      <x:c r="D1440" s="46" t="str">
        <x:v>count</x:v>
      </x:c>
    </x:row>
    <x:row r="1441" ht="18" customHeight="1">
      <x:c r="A1441" s="46" t="str">
        <x:v>LME_062</x:v>
      </x:c>
      <x:c r="B1441" s="46" t="str">
        <x:v>functional_jensen_violations</x:v>
      </x:c>
      <x:c r="C1441" s="46" t="n">
        <x:v>0</x:v>
      </x:c>
      <x:c r="D1441" s="46" t="str">
        <x:v>count</x:v>
      </x:c>
    </x:row>
    <x:row r="1442" ht="18" customHeight="1">
      <x:c r="A1442" s="46" t="str">
        <x:v>LME_063</x:v>
      </x:c>
      <x:c r="B1442" s="46" t="str">
        <x:v>raw_filtered_tonnes</x:v>
      </x:c>
      <x:c r="C1442" s="46" t="n">
        <x:v>1269.735630608</x:v>
      </x:c>
      <x:c r="D1442" s="46" t="str">
        <x:v>tonnes</x:v>
      </x:c>
    </x:row>
    <x:row r="1443" ht="18" customHeight="1">
      <x:c r="A1443" s="46" t="str">
        <x:v>LME_063</x:v>
      </x:c>
      <x:c r="B1443" s="46" t="str">
        <x:v>species_catch_tonnes</x:v>
      </x:c>
      <x:c r="C1443" s="46" t="n">
        <x:v>1269.735630608</x:v>
      </x:c>
      <x:c r="D1443" s="46" t="str">
        <x:v>tonnes</x:v>
      </x:c>
    </x:row>
    <x:row r="1444" ht="18" customHeight="1">
      <x:c r="A1444" s="46" t="str">
        <x:v>LME_063</x:v>
      </x:c>
      <x:c r="B1444" s="46" t="str">
        <x:v>catch_difference_tonnes</x:v>
      </x:c>
      <x:c r="C1444" s="46" t="n">
        <x:v>0</x:v>
      </x:c>
      <x:c r="D1444" s="46" t="str">
        <x:v>tonnes</x:v>
      </x:c>
    </x:row>
    <x:row r="1445" ht="18" customHeight="1">
      <x:c r="A1445" s="46" t="str">
        <x:v>LME_063</x:v>
      </x:c>
      <x:c r="B1445" s="46" t="str">
        <x:v>catch_reconciled</x:v>
      </x:c>
      <x:c r="C1445" s="46" t="str">
        <x:v>True</x:v>
      </x:c>
      <x:c r="D1445" s="46" t="str">
        <x:v>boolean</x:v>
      </x:c>
    </x:row>
    <x:row r="1446" ht="18" customHeight="1">
      <x:c r="A1446" s="46" t="str">
        <x:v>LME_063</x:v>
      </x:c>
      <x:c r="B1446" s="46" t="str">
        <x:v>matched_catch_tonnes</x:v>
      </x:c>
      <x:c r="C1446" s="46" t="n">
        <x:v>1269.735630608</x:v>
      </x:c>
      <x:c r="D1446" s="46" t="str">
        <x:v>tonnes</x:v>
      </x:c>
    </x:row>
    <x:row r="1447" ht="18" customHeight="1">
      <x:c r="A1447" s="46" t="str">
        <x:v>LME_063</x:v>
      </x:c>
      <x:c r="B1447" s="46" t="str">
        <x:v>catch_coverage_fraction</x:v>
      </x:c>
      <x:c r="C1447" s="46" t="n">
        <x:v>1</x:v>
      </x:c>
      <x:c r="D1447" s="46" t="str">
        <x:v>fraction</x:v>
      </x:c>
    </x:row>
    <x:row r="1448" ht="18" customHeight="1">
      <x:c r="A1448" s="46" t="str">
        <x:v>LME_063</x:v>
      </x:c>
      <x:c r="B1448" s="46" t="str">
        <x:v>taxa_count</x:v>
      </x:c>
      <x:c r="C1448" s="46" t="n">
        <x:v>44</x:v>
      </x:c>
      <x:c r="D1448" s="46" t="str">
        <x:v>count</x:v>
      </x:c>
    </x:row>
    <x:row r="1449" ht="18" customHeight="1">
      <x:c r="A1449" s="46" t="str">
        <x:v>LME_063</x:v>
      </x:c>
      <x:c r="B1449" s="46" t="str">
        <x:v>matched_taxa_count</x:v>
      </x:c>
      <x:c r="C1449" s="46" t="n">
        <x:v>44</x:v>
      </x:c>
      <x:c r="D1449" s="46" t="str">
        <x:v>count</x:v>
      </x:c>
    </x:row>
    <x:row r="1450" ht="18" customHeight="1">
      <x:c r="A1450" s="46" t="str">
        <x:v>LME_063</x:v>
      </x:c>
      <x:c r="B1450" s="46" t="str">
        <x:v>unmatched_taxa_count</x:v>
      </x:c>
      <x:c r="C1450" s="46" t="n">
        <x:v>0</x:v>
      </x:c>
      <x:c r="D1450" s="46" t="str">
        <x:v>count</x:v>
      </x:c>
    </x:row>
    <x:row r="1451" ht="18" customHeight="1">
      <x:c r="A1451" s="46" t="str">
        <x:v>LME_063</x:v>
      </x:c>
      <x:c r="B1451" s="46" t="str">
        <x:v>species_ppr</x:v>
      </x:c>
      <x:c r="C1451" s="46" t="n">
        <x:v>2919836.9461889495</x:v>
      </x:c>
      <x:c r="D1451" s="46" t="str">
        <x:v>tonnes_primary_production_equivalent</x:v>
      </x:c>
    </x:row>
    <x:row r="1452" ht="18" customHeight="1">
      <x:c r="A1452" s="46" t="str">
        <x:v>LME_063</x:v>
      </x:c>
      <x:c r="B1452" s="46" t="str">
        <x:v>commercial_ppr</x:v>
      </x:c>
      <x:c r="C1452" s="46" t="n">
        <x:v>2919836.946188949</x:v>
      </x:c>
      <x:c r="D1452" s="46" t="str">
        <x:v>tonnes_primary_production_equivalent</x:v>
      </x:c>
    </x:row>
    <x:row r="1453" ht="18" customHeight="1">
      <x:c r="A1453" s="46" t="str">
        <x:v>LME_063</x:v>
      </x:c>
      <x:c r="B1453" s="46" t="str">
        <x:v>functional_ppr</x:v>
      </x:c>
      <x:c r="C1453" s="46" t="n">
        <x:v>2919836.946188949</x:v>
      </x:c>
      <x:c r="D1453" s="46" t="str">
        <x:v>tonnes_primary_production_equivalent</x:v>
      </x:c>
    </x:row>
    <x:row r="1454" ht="18" customHeight="1">
      <x:c r="A1454" s="46" t="str">
        <x:v>LME_063</x:v>
      </x:c>
      <x:c r="B1454" s="46" t="str">
        <x:v>commercial_ppr_difference</x:v>
      </x:c>
      <x:c r="C1454" s="46" t="n">
        <x:v>-4.656612873077393e-10</x:v>
      </x:c>
      <x:c r="D1454" s="46" t="str">
        <x:v>tonnes_primary_production_equivalent</x:v>
      </x:c>
    </x:row>
    <x:row r="1455" ht="18" customHeight="1">
      <x:c r="A1455" s="46" t="str">
        <x:v>LME_063</x:v>
      </x:c>
      <x:c r="B1455" s="46" t="str">
        <x:v>functional_ppr_difference</x:v>
      </x:c>
      <x:c r="C1455" s="46" t="n">
        <x:v>-4.656612873077393e-10</x:v>
      </x:c>
      <x:c r="D1455" s="46" t="str">
        <x:v>tonnes_primary_production_equivalent</x:v>
      </x:c>
    </x:row>
    <x:row r="1456" ht="18" customHeight="1">
      <x:c r="A1456" s="46" t="str">
        <x:v>LME_063</x:v>
      </x:c>
      <x:c r="B1456" s="46" t="str">
        <x:v>commercial_ppr_reconciled</x:v>
      </x:c>
      <x:c r="C1456" s="46" t="str">
        <x:v>True</x:v>
      </x:c>
      <x:c r="D1456" s="46" t="str">
        <x:v>boolean</x:v>
      </x:c>
    </x:row>
    <x:row r="1457" ht="18" customHeight="1">
      <x:c r="A1457" s="46" t="str">
        <x:v>LME_063</x:v>
      </x:c>
      <x:c r="B1457" s="46" t="str">
        <x:v>functional_ppr_reconciled</x:v>
      </x:c>
      <x:c r="C1457" s="46" t="str">
        <x:v>True</x:v>
      </x:c>
      <x:c r="D1457" s="46" t="str">
        <x:v>boolean</x:v>
      </x:c>
    </x:row>
    <x:row r="1458" ht="18" customHeight="1">
      <x:c r="A1458" s="46" t="str">
        <x:v>LME_063</x:v>
      </x:c>
      <x:c r="B1458" s="46" t="str">
        <x:v>commercial_jensen_violations</x:v>
      </x:c>
      <x:c r="C1458" s="46" t="n">
        <x:v>0</x:v>
      </x:c>
      <x:c r="D1458" s="46" t="str">
        <x:v>count</x:v>
      </x:c>
    </x:row>
    <x:row r="1459" ht="18" customHeight="1">
      <x:c r="A1459" s="46" t="str">
        <x:v>LME_063</x:v>
      </x:c>
      <x:c r="B1459" s="46" t="str">
        <x:v>functional_jensen_violations</x:v>
      </x:c>
      <x:c r="C1459" s="46" t="n">
        <x:v>0</x:v>
      </x:c>
      <x:c r="D1459" s="46" t="str">
        <x:v>count</x:v>
      </x:c>
    </x:row>
    <x:row r="1460" ht="18" customHeight="1">
      <x:c r="A1460" s="46" t="str">
        <x:v>LME_064</x:v>
      </x:c>
      <x:c r="B1460" s="46" t="str">
        <x:v>raw_filtered_tonnes</x:v>
      </x:c>
      <x:c r="C1460" s="46" t="n">
        <x:v>0</x:v>
      </x:c>
      <x:c r="D1460" s="46" t="str">
        <x:v>tonnes</x:v>
      </x:c>
    </x:row>
    <x:row r="1461" ht="18" customHeight="1">
      <x:c r="A1461" s="46" t="str">
        <x:v>LME_064</x:v>
      </x:c>
      <x:c r="B1461" s="46" t="str">
        <x:v>species_catch_tonnes</x:v>
      </x:c>
      <x:c r="C1461" s="46" t="n">
        <x:v>0</x:v>
      </x:c>
      <x:c r="D1461" s="46" t="str">
        <x:v>tonnes</x:v>
      </x:c>
    </x:row>
    <x:row r="1462" ht="18" customHeight="1">
      <x:c r="A1462" s="46" t="str">
        <x:v>LME_064</x:v>
      </x:c>
      <x:c r="B1462" s="46" t="str">
        <x:v>catch_difference_tonnes</x:v>
      </x:c>
      <x:c r="C1462" s="46" t="n">
        <x:v>0</x:v>
      </x:c>
      <x:c r="D1462" s="46" t="str">
        <x:v>tonnes</x:v>
      </x:c>
    </x:row>
    <x:row r="1463" ht="18" customHeight="1">
      <x:c r="A1463" s="46" t="str">
        <x:v>LME_064</x:v>
      </x:c>
      <x:c r="B1463" s="46" t="str">
        <x:v>catch_reconciled</x:v>
      </x:c>
      <x:c r="C1463" s="46" t="str">
        <x:v>True</x:v>
      </x:c>
      <x:c r="D1463" s="46" t="str">
        <x:v>boolean</x:v>
      </x:c>
    </x:row>
    <x:row r="1464" ht="18" customHeight="1">
      <x:c r="A1464" s="46" t="str">
        <x:v>LME_064</x:v>
      </x:c>
      <x:c r="B1464" s="46" t="str">
        <x:v>matched_catch_tonnes</x:v>
      </x:c>
      <x:c r="C1464" s="46" t="n">
        <x:v>0</x:v>
      </x:c>
      <x:c r="D1464" s="46" t="str">
        <x:v>tonnes</x:v>
      </x:c>
    </x:row>
    <x:row r="1465" ht="18" customHeight="1">
      <x:c r="A1465" s="46" t="str">
        <x:v>LME_064</x:v>
      </x:c>
      <x:c r="B1465" s="46" t="str">
        <x:v>catch_coverage_fraction</x:v>
      </x:c>
      <x:c r="C1465" s="46" t="str"/>
      <x:c r="D1465" s="46" t="str">
        <x:v>fraction</x:v>
      </x:c>
    </x:row>
    <x:row r="1466" ht="18" customHeight="1">
      <x:c r="A1466" s="46" t="str">
        <x:v>LME_064</x:v>
      </x:c>
      <x:c r="B1466" s="46" t="str">
        <x:v>taxa_count</x:v>
      </x:c>
      <x:c r="C1466" s="46" t="n">
        <x:v>0</x:v>
      </x:c>
      <x:c r="D1466" s="46" t="str">
        <x:v>count</x:v>
      </x:c>
    </x:row>
    <x:row r="1467" ht="18" customHeight="1">
      <x:c r="A1467" s="46" t="str">
        <x:v>LME_064</x:v>
      </x:c>
      <x:c r="B1467" s="46" t="str">
        <x:v>matched_taxa_count</x:v>
      </x:c>
      <x:c r="C1467" s="46" t="n">
        <x:v>0</x:v>
      </x:c>
      <x:c r="D1467" s="46" t="str">
        <x:v>count</x:v>
      </x:c>
    </x:row>
    <x:row r="1468" ht="18" customHeight="1">
      <x:c r="A1468" s="46" t="str">
        <x:v>LME_064</x:v>
      </x:c>
      <x:c r="B1468" s="46" t="str">
        <x:v>unmatched_taxa_count</x:v>
      </x:c>
      <x:c r="C1468" s="46" t="n">
        <x:v>0</x:v>
      </x:c>
      <x:c r="D1468" s="46" t="str">
        <x:v>count</x:v>
      </x:c>
    </x:row>
    <x:row r="1469" ht="18" customHeight="1">
      <x:c r="A1469" s="46" t="str">
        <x:v>LME_064</x:v>
      </x:c>
      <x:c r="B1469" s="46" t="str">
        <x:v>species_ppr</x:v>
      </x:c>
      <x:c r="C1469" s="46" t="n">
        <x:v>0</x:v>
      </x:c>
      <x:c r="D1469" s="46" t="str">
        <x:v>tonnes_primary_production_equivalent</x:v>
      </x:c>
    </x:row>
    <x:row r="1470" ht="18" customHeight="1">
      <x:c r="A1470" s="46" t="str">
        <x:v>LME_064</x:v>
      </x:c>
      <x:c r="B1470" s="46" t="str">
        <x:v>commercial_ppr</x:v>
      </x:c>
      <x:c r="C1470" s="46" t="n">
        <x:v>0</x:v>
      </x:c>
      <x:c r="D1470" s="46" t="str">
        <x:v>tonnes_primary_production_equivalent</x:v>
      </x:c>
    </x:row>
    <x:row r="1471" ht="18" customHeight="1">
      <x:c r="A1471" s="46" t="str">
        <x:v>LME_064</x:v>
      </x:c>
      <x:c r="B1471" s="46" t="str">
        <x:v>functional_ppr</x:v>
      </x:c>
      <x:c r="C1471" s="46" t="n">
        <x:v>0</x:v>
      </x:c>
      <x:c r="D1471" s="46" t="str">
        <x:v>tonnes_primary_production_equivalent</x:v>
      </x:c>
    </x:row>
    <x:row r="1472" ht="18" customHeight="1">
      <x:c r="A1472" s="46" t="str">
        <x:v>LME_064</x:v>
      </x:c>
      <x:c r="B1472" s="46" t="str">
        <x:v>commercial_ppr_difference</x:v>
      </x:c>
      <x:c r="C1472" s="46" t="n">
        <x:v>0</x:v>
      </x:c>
      <x:c r="D1472" s="46" t="str">
        <x:v>tonnes_primary_production_equivalent</x:v>
      </x:c>
    </x:row>
    <x:row r="1473" ht="18" customHeight="1">
      <x:c r="A1473" s="46" t="str">
        <x:v>LME_064</x:v>
      </x:c>
      <x:c r="B1473" s="46" t="str">
        <x:v>functional_ppr_difference</x:v>
      </x:c>
      <x:c r="C1473" s="46" t="n">
        <x:v>0</x:v>
      </x:c>
      <x:c r="D1473" s="46" t="str">
        <x:v>tonnes_primary_production_equivalent</x:v>
      </x:c>
    </x:row>
    <x:row r="1474" ht="18" customHeight="1">
      <x:c r="A1474" s="46" t="str">
        <x:v>LME_064</x:v>
      </x:c>
      <x:c r="B1474" s="46" t="str">
        <x:v>commercial_ppr_reconciled</x:v>
      </x:c>
      <x:c r="C1474" s="46" t="str">
        <x:v>True</x:v>
      </x:c>
      <x:c r="D1474" s="46" t="str">
        <x:v>boolean</x:v>
      </x:c>
    </x:row>
    <x:row r="1475" ht="18" customHeight="1">
      <x:c r="A1475" s="46" t="str">
        <x:v>LME_064</x:v>
      </x:c>
      <x:c r="B1475" s="46" t="str">
        <x:v>functional_ppr_reconciled</x:v>
      </x:c>
      <x:c r="C1475" s="46" t="str">
        <x:v>True</x:v>
      </x:c>
      <x:c r="D1475" s="46" t="str">
        <x:v>boolean</x:v>
      </x:c>
    </x:row>
    <x:row r="1476" ht="18" customHeight="1">
      <x:c r="A1476" s="46" t="str">
        <x:v>LME_064</x:v>
      </x:c>
      <x:c r="B1476" s="46" t="str">
        <x:v>commercial_jensen_violations</x:v>
      </x:c>
      <x:c r="C1476" s="46" t="n">
        <x:v>0</x:v>
      </x:c>
      <x:c r="D1476" s="46" t="str">
        <x:v>count</x:v>
      </x:c>
    </x:row>
    <x:row r="1477" ht="18" customHeight="1">
      <x:c r="A1477" s="46" t="str">
        <x:v>LME_064</x:v>
      </x:c>
      <x:c r="B1477" s="46" t="str">
        <x:v>functional_jensen_violations</x:v>
      </x:c>
      <x:c r="C1477" s="46" t="n">
        <x:v>0</x:v>
      </x:c>
      <x:c r="D1477" s="46" t="str">
        <x:v>count</x:v>
      </x:c>
    </x:row>
    <x:row r="1478" ht="18" customHeight="1">
      <x:c r="A1478" s="46" t="str">
        <x:v>LME_065</x:v>
      </x:c>
      <x:c r="B1478" s="46" t="str">
        <x:v>raw_filtered_tonnes</x:v>
      </x:c>
      <x:c r="C1478" s="46" t="n">
        <x:v>151507.6717909796</x:v>
      </x:c>
      <x:c r="D1478" s="46" t="str">
        <x:v>tonnes</x:v>
      </x:c>
    </x:row>
    <x:row r="1479" ht="18" customHeight="1">
      <x:c r="A1479" s="46" t="str">
        <x:v>LME_065</x:v>
      </x:c>
      <x:c r="B1479" s="46" t="str">
        <x:v>species_catch_tonnes</x:v>
      </x:c>
      <x:c r="C1479" s="46" t="n">
        <x:v>151507.6717909796</x:v>
      </x:c>
      <x:c r="D1479" s="46" t="str">
        <x:v>tonnes</x:v>
      </x:c>
    </x:row>
    <x:row r="1480" ht="18" customHeight="1">
      <x:c r="A1480" s="46" t="str">
        <x:v>LME_065</x:v>
      </x:c>
      <x:c r="B1480" s="46" t="str">
        <x:v>catch_difference_tonnes</x:v>
      </x:c>
      <x:c r="C1480" s="46" t="n">
        <x:v>0</x:v>
      </x:c>
      <x:c r="D1480" s="46" t="str">
        <x:v>tonnes</x:v>
      </x:c>
    </x:row>
    <x:row r="1481" ht="18" customHeight="1">
      <x:c r="A1481" s="46" t="str">
        <x:v>LME_065</x:v>
      </x:c>
      <x:c r="B1481" s="46" t="str">
        <x:v>catch_reconciled</x:v>
      </x:c>
      <x:c r="C1481" s="46" t="str">
        <x:v>True</x:v>
      </x:c>
      <x:c r="D1481" s="46" t="str">
        <x:v>boolean</x:v>
      </x:c>
    </x:row>
    <x:row r="1482" ht="18" customHeight="1">
      <x:c r="A1482" s="46" t="str">
        <x:v>LME_065</x:v>
      </x:c>
      <x:c r="B1482" s="46" t="str">
        <x:v>matched_catch_tonnes</x:v>
      </x:c>
      <x:c r="C1482" s="46" t="n">
        <x:v>151507.6717909796</x:v>
      </x:c>
      <x:c r="D1482" s="46" t="str">
        <x:v>tonnes</x:v>
      </x:c>
    </x:row>
    <x:row r="1483" ht="18" customHeight="1">
      <x:c r="A1483" s="46" t="str">
        <x:v>LME_065</x:v>
      </x:c>
      <x:c r="B1483" s="46" t="str">
        <x:v>catch_coverage_fraction</x:v>
      </x:c>
      <x:c r="C1483" s="46" t="n">
        <x:v>1</x:v>
      </x:c>
      <x:c r="D1483" s="46" t="str">
        <x:v>fraction</x:v>
      </x:c>
    </x:row>
    <x:row r="1484" ht="18" customHeight="1">
      <x:c r="A1484" s="46" t="str">
        <x:v>LME_065</x:v>
      </x:c>
      <x:c r="B1484" s="46" t="str">
        <x:v>taxa_count</x:v>
      </x:c>
      <x:c r="C1484" s="46" t="n">
        <x:v>68</x:v>
      </x:c>
      <x:c r="D1484" s="46" t="str">
        <x:v>count</x:v>
      </x:c>
    </x:row>
    <x:row r="1485" ht="18" customHeight="1">
      <x:c r="A1485" s="46" t="str">
        <x:v>LME_065</x:v>
      </x:c>
      <x:c r="B1485" s="46" t="str">
        <x:v>matched_taxa_count</x:v>
      </x:c>
      <x:c r="C1485" s="46" t="n">
        <x:v>68</x:v>
      </x:c>
      <x:c r="D1485" s="46" t="str">
        <x:v>count</x:v>
      </x:c>
    </x:row>
    <x:row r="1486" ht="18" customHeight="1">
      <x:c r="A1486" s="46" t="str">
        <x:v>LME_065</x:v>
      </x:c>
      <x:c r="B1486" s="46" t="str">
        <x:v>unmatched_taxa_count</x:v>
      </x:c>
      <x:c r="C1486" s="46" t="n">
        <x:v>0</x:v>
      </x:c>
      <x:c r="D1486" s="46" t="str">
        <x:v>count</x:v>
      </x:c>
    </x:row>
    <x:row r="1487" ht="18" customHeight="1">
      <x:c r="A1487" s="46" t="str">
        <x:v>LME_065</x:v>
      </x:c>
      <x:c r="B1487" s="46" t="str">
        <x:v>species_ppr</x:v>
      </x:c>
      <x:c r="C1487" s="46" t="n">
        <x:v>85526381.4039745</x:v>
      </x:c>
      <x:c r="D1487" s="46" t="str">
        <x:v>tonnes_primary_production_equivalent</x:v>
      </x:c>
    </x:row>
    <x:row r="1488" ht="18" customHeight="1">
      <x:c r="A1488" s="46" t="str">
        <x:v>LME_065</x:v>
      </x:c>
      <x:c r="B1488" s="46" t="str">
        <x:v>commercial_ppr</x:v>
      </x:c>
      <x:c r="C1488" s="46" t="n">
        <x:v>85526381.40397452</x:v>
      </x:c>
      <x:c r="D1488" s="46" t="str">
        <x:v>tonnes_primary_production_equivalent</x:v>
      </x:c>
    </x:row>
    <x:row r="1489" ht="18" customHeight="1">
      <x:c r="A1489" s="46" t="str">
        <x:v>LME_065</x:v>
      </x:c>
      <x:c r="B1489" s="46" t="str">
        <x:v>functional_ppr</x:v>
      </x:c>
      <x:c r="C1489" s="46" t="n">
        <x:v>85526381.4039745</x:v>
      </x:c>
      <x:c r="D1489" s="46" t="str">
        <x:v>tonnes_primary_production_equivalent</x:v>
      </x:c>
    </x:row>
    <x:row r="1490" ht="18" customHeight="1">
      <x:c r="A1490" s="46" t="str">
        <x:v>LME_065</x:v>
      </x:c>
      <x:c r="B1490" s="46" t="str">
        <x:v>commercial_ppr_difference</x:v>
      </x:c>
      <x:c r="C1490" s="46" t="n">
        <x:v>1.4901161193847656e-8</x:v>
      </x:c>
      <x:c r="D1490" s="46" t="str">
        <x:v>tonnes_primary_production_equivalent</x:v>
      </x:c>
    </x:row>
    <x:row r="1491" ht="18" customHeight="1">
      <x:c r="A1491" s="46" t="str">
        <x:v>LME_065</x:v>
      </x:c>
      <x:c r="B1491" s="46" t="str">
        <x:v>functional_ppr_difference</x:v>
      </x:c>
      <x:c r="C1491" s="46" t="n">
        <x:v>0</x:v>
      </x:c>
      <x:c r="D1491" s="46" t="str">
        <x:v>tonnes_primary_production_equivalent</x:v>
      </x:c>
    </x:row>
    <x:row r="1492" ht="18" customHeight="1">
      <x:c r="A1492" s="46" t="str">
        <x:v>LME_065</x:v>
      </x:c>
      <x:c r="B1492" s="46" t="str">
        <x:v>commercial_ppr_reconciled</x:v>
      </x:c>
      <x:c r="C1492" s="46" t="str">
        <x:v>True</x:v>
      </x:c>
      <x:c r="D1492" s="46" t="str">
        <x:v>boolean</x:v>
      </x:c>
    </x:row>
    <x:row r="1493" ht="18" customHeight="1">
      <x:c r="A1493" s="46" t="str">
        <x:v>LME_065</x:v>
      </x:c>
      <x:c r="B1493" s="46" t="str">
        <x:v>functional_ppr_reconciled</x:v>
      </x:c>
      <x:c r="C1493" s="46" t="str">
        <x:v>True</x:v>
      </x:c>
      <x:c r="D1493" s="46" t="str">
        <x:v>boolean</x:v>
      </x:c>
    </x:row>
    <x:row r="1494" ht="18" customHeight="1">
      <x:c r="A1494" s="46" t="str">
        <x:v>LME_065</x:v>
      </x:c>
      <x:c r="B1494" s="46" t="str">
        <x:v>commercial_jensen_violations</x:v>
      </x:c>
      <x:c r="C1494" s="46" t="n">
        <x:v>0</x:v>
      </x:c>
      <x:c r="D1494" s="46" t="str">
        <x:v>count</x:v>
      </x:c>
    </x:row>
    <x:row r="1495" ht="18" customHeight="1">
      <x:c r="A1495" s="46" t="str">
        <x:v>LME_065</x:v>
      </x:c>
      <x:c r="B1495" s="46" t="str">
        <x:v>functional_jensen_violations</x:v>
      </x:c>
      <x:c r="C1495" s="46" t="n">
        <x:v>0</x:v>
      </x:c>
      <x:c r="D1495" s="46" t="str">
        <x:v>count</x:v>
      </x:c>
    </x:row>
    <x:row r="1496" ht="18" customHeight="1">
      <x:c r="A1496" s="46" t="str">
        <x:v>LME_066</x:v>
      </x:c>
      <x:c r="B1496" s="46" t="str">
        <x:v>raw_filtered_tonnes</x:v>
      </x:c>
      <x:c r="C1496" s="46" t="n">
        <x:v>53.591934083899986</x:v>
      </x:c>
      <x:c r="D1496" s="46" t="str">
        <x:v>tonnes</x:v>
      </x:c>
    </x:row>
    <x:row r="1497" ht="18" customHeight="1">
      <x:c r="A1497" s="46" t="str">
        <x:v>LME_066</x:v>
      </x:c>
      <x:c r="B1497" s="46" t="str">
        <x:v>species_catch_tonnes</x:v>
      </x:c>
      <x:c r="C1497" s="46" t="n">
        <x:v>53.5919340839</x:v>
      </x:c>
      <x:c r="D1497" s="46" t="str">
        <x:v>tonnes</x:v>
      </x:c>
    </x:row>
    <x:row r="1498" ht="18" customHeight="1">
      <x:c r="A1498" s="46" t="str">
        <x:v>LME_066</x:v>
      </x:c>
      <x:c r="B1498" s="46" t="str">
        <x:v>catch_difference_tonnes</x:v>
      </x:c>
      <x:c r="C1498" s="46" t="n">
        <x:v>1.4210854715202004e-14</x:v>
      </x:c>
      <x:c r="D1498" s="46" t="str">
        <x:v>tonnes</x:v>
      </x:c>
    </x:row>
    <x:row r="1499" ht="18" customHeight="1">
      <x:c r="A1499" s="46" t="str">
        <x:v>LME_066</x:v>
      </x:c>
      <x:c r="B1499" s="46" t="str">
        <x:v>catch_reconciled</x:v>
      </x:c>
      <x:c r="C1499" s="46" t="str">
        <x:v>True</x:v>
      </x:c>
      <x:c r="D1499" s="46" t="str">
        <x:v>boolean</x:v>
      </x:c>
    </x:row>
    <x:row r="1500" ht="18" customHeight="1">
      <x:c r="A1500" s="46" t="str">
        <x:v>LME_066</x:v>
      </x:c>
      <x:c r="B1500" s="46" t="str">
        <x:v>matched_catch_tonnes</x:v>
      </x:c>
      <x:c r="C1500" s="46" t="n">
        <x:v>53.5919340839</x:v>
      </x:c>
      <x:c r="D1500" s="46" t="str">
        <x:v>tonnes</x:v>
      </x:c>
    </x:row>
    <x:row r="1501" ht="18" customHeight="1">
      <x:c r="A1501" s="46" t="str">
        <x:v>LME_066</x:v>
      </x:c>
      <x:c r="B1501" s="46" t="str">
        <x:v>catch_coverage_fraction</x:v>
      </x:c>
      <x:c r="C1501" s="46" t="n">
        <x:v>1</x:v>
      </x:c>
      <x:c r="D1501" s="46" t="str">
        <x:v>fraction</x:v>
      </x:c>
    </x:row>
    <x:row r="1502" ht="18" customHeight="1">
      <x:c r="A1502" s="46" t="str">
        <x:v>LME_066</x:v>
      </x:c>
      <x:c r="B1502" s="46" t="str">
        <x:v>taxa_count</x:v>
      </x:c>
      <x:c r="C1502" s="46" t="n">
        <x:v>21</x:v>
      </x:c>
      <x:c r="D1502" s="46" t="str">
        <x:v>count</x:v>
      </x:c>
    </x:row>
    <x:row r="1503" ht="18" customHeight="1">
      <x:c r="A1503" s="46" t="str">
        <x:v>LME_066</x:v>
      </x:c>
      <x:c r="B1503" s="46" t="str">
        <x:v>matched_taxa_count</x:v>
      </x:c>
      <x:c r="C1503" s="46" t="n">
        <x:v>21</x:v>
      </x:c>
      <x:c r="D1503" s="46" t="str">
        <x:v>count</x:v>
      </x:c>
    </x:row>
    <x:row r="1504" ht="18" customHeight="1">
      <x:c r="A1504" s="46" t="str">
        <x:v>LME_066</x:v>
      </x:c>
      <x:c r="B1504" s="46" t="str">
        <x:v>unmatched_taxa_count</x:v>
      </x:c>
      <x:c r="C1504" s="46" t="n">
        <x:v>0</x:v>
      </x:c>
      <x:c r="D1504" s="46" t="str">
        <x:v>count</x:v>
      </x:c>
    </x:row>
    <x:row r="1505" ht="18" customHeight="1">
      <x:c r="A1505" s="46" t="str">
        <x:v>LME_066</x:v>
      </x:c>
      <x:c r="B1505" s="46" t="str">
        <x:v>species_ppr</x:v>
      </x:c>
      <x:c r="C1505" s="46" t="n">
        <x:v>10566.207059943801</x:v>
      </x:c>
      <x:c r="D1505" s="46" t="str">
        <x:v>tonnes_primary_production_equivalent</x:v>
      </x:c>
    </x:row>
    <x:row r="1506" ht="18" customHeight="1">
      <x:c r="A1506" s="46" t="str">
        <x:v>LME_066</x:v>
      </x:c>
      <x:c r="B1506" s="46" t="str">
        <x:v>commercial_ppr</x:v>
      </x:c>
      <x:c r="C1506" s="46" t="n">
        <x:v>10566.2070599438</x:v>
      </x:c>
      <x:c r="D1506" s="46" t="str">
        <x:v>tonnes_primary_production_equivalent</x:v>
      </x:c>
    </x:row>
    <x:row r="1507" ht="18" customHeight="1">
      <x:c r="A1507" s="46" t="str">
        <x:v>LME_066</x:v>
      </x:c>
      <x:c r="B1507" s="46" t="str">
        <x:v>functional_ppr</x:v>
      </x:c>
      <x:c r="C1507" s="46" t="n">
        <x:v>10566.207059943801</x:v>
      </x:c>
      <x:c r="D1507" s="46" t="str">
        <x:v>tonnes_primary_production_equivalent</x:v>
      </x:c>
    </x:row>
    <x:row r="1508" ht="18" customHeight="1">
      <x:c r="A1508" s="46" t="str">
        <x:v>LME_066</x:v>
      </x:c>
      <x:c r="B1508" s="46" t="str">
        <x:v>commercial_ppr_difference</x:v>
      </x:c>
      <x:c r="C1508" s="46" t="n">
        <x:v>-1.8189894035458565e-12</x:v>
      </x:c>
      <x:c r="D1508" s="46" t="str">
        <x:v>tonnes_primary_production_equivalent</x:v>
      </x:c>
    </x:row>
    <x:row r="1509" ht="18" customHeight="1">
      <x:c r="A1509" s="46" t="str">
        <x:v>LME_066</x:v>
      </x:c>
      <x:c r="B1509" s="46" t="str">
        <x:v>functional_ppr_difference</x:v>
      </x:c>
      <x:c r="C1509" s="46" t="n">
        <x:v>0</x:v>
      </x:c>
      <x:c r="D1509" s="46" t="str">
        <x:v>tonnes_primary_production_equivalent</x:v>
      </x:c>
    </x:row>
    <x:row r="1510" ht="18" customHeight="1">
      <x:c r="A1510" s="46" t="str">
        <x:v>LME_066</x:v>
      </x:c>
      <x:c r="B1510" s="46" t="str">
        <x:v>commercial_ppr_reconciled</x:v>
      </x:c>
      <x:c r="C1510" s="46" t="str">
        <x:v>True</x:v>
      </x:c>
      <x:c r="D1510" s="46" t="str">
        <x:v>boolean</x:v>
      </x:c>
    </x:row>
    <x:row r="1511" ht="18" customHeight="1">
      <x:c r="A1511" s="46" t="str">
        <x:v>LME_066</x:v>
      </x:c>
      <x:c r="B1511" s="46" t="str">
        <x:v>functional_ppr_reconciled</x:v>
      </x:c>
      <x:c r="C1511" s="46" t="str">
        <x:v>True</x:v>
      </x:c>
      <x:c r="D1511" s="46" t="str">
        <x:v>boolean</x:v>
      </x:c>
    </x:row>
    <x:row r="1512" ht="18" customHeight="1">
      <x:c r="A1512" s="46" t="str">
        <x:v>LME_066</x:v>
      </x:c>
      <x:c r="B1512" s="46" t="str">
        <x:v>commercial_jensen_violations</x:v>
      </x:c>
      <x:c r="C1512" s="46" t="n">
        <x:v>0</x:v>
      </x:c>
      <x:c r="D1512" s="46" t="str">
        <x:v>count</x:v>
      </x:c>
    </x:row>
    <x:row r="1513" ht="18" customHeight="1">
      <x:c r="A1513" s="46" t="str">
        <x:v>LME_066</x:v>
      </x:c>
      <x:c r="B1513" s="46" t="str">
        <x:v>functional_jensen_violations</x:v>
      </x:c>
      <x:c r="C1513" s="46" t="n">
        <x:v>0</x:v>
      </x:c>
      <x:c r="D1513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5fec261f8964d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32" customHeight="1">
      <x:c r="A1" s="56" t="str">
        <x:v>unit_id</x:v>
      </x:c>
      <x:c r="B1" s="56" t="str">
        <x:v>match_method</x:v>
      </x:c>
      <x:c r="C1" s="56" t="str">
        <x:v>tl_source</x:v>
      </x:c>
      <x:c r="D1" s="56" t="str">
        <x:v>match_confidence</x:v>
      </x:c>
      <x:c r="E1" s="56" t="str">
        <x:v>taxa_count</x:v>
      </x:c>
      <x:c r="F1" s="56" t="str">
        <x:v>catch_tonnes</x:v>
      </x:c>
      <x:c r="G1" s="56" t="str">
        <x:v>unit_catch_tonnes</x:v>
      </x:c>
      <x:c r="H1" s="56" t="str">
        <x:v>unit_taxa</x:v>
      </x:c>
      <x:c r="I1" s="56" t="str">
        <x:v>taxa_fraction</x:v>
      </x:c>
      <x:c r="J1" s="56" t="str">
        <x:v>catch_fraction</x:v>
      </x:c>
    </x:row>
    <x:row r="2" ht="18" customHeight="1">
      <x:c r="A2" s="46" t="str">
        <x:v>HS_021</x:v>
      </x:c>
      <x:c r="B2" s="46" t="str">
        <x:v>exact_2020_supplement</x:v>
      </x:c>
      <x:c r="C2" s="62" t="str">
        <x:v>2020 supplement MeanTL</x:v>
      </x:c>
      <x:c r="D2" s="46" t="str">
        <x:v>high</x:v>
      </x:c>
      <x:c r="E2" s="66" t="n">
        <x:v>47</x:v>
      </x:c>
      <x:c r="F2" s="60" t="n">
        <x:v>49444.6035574501</x:v>
      </x:c>
      <x:c r="G2" s="60" t="n">
        <x:v>87745.0994728874</x:v>
      </x:c>
      <x:c r="H2" s="46" t="n">
        <x:v>67</x:v>
      </x:c>
      <x:c r="I2" s="64" t="n">
        <x:v>0.7014925373134329</x:v>
      </x:c>
      <x:c r="J2" s="64" t="n">
        <x:v>0.5635027352465207</x:v>
      </x:c>
    </x:row>
    <x:row r="3" ht="18" customHeight="1">
      <x:c r="A3" s="46" t="str">
        <x:v>HS_021</x:v>
      </x:c>
      <x:c r="B3" s="46" t="str">
        <x:v>exact_sea_around_us</x:v>
      </x:c>
      <x:c r="C3" s="62" t="str">
        <x:v>Sea Around Us exploited organisms</x:v>
      </x:c>
      <x:c r="D3" s="46" t="str">
        <x:v>high</x:v>
      </x:c>
      <x:c r="E3" s="66" t="n">
        <x:v>20</x:v>
      </x:c>
      <x:c r="F3" s="60" t="n">
        <x:v>38300.4959154373</x:v>
      </x:c>
      <x:c r="G3" s="60" t="n">
        <x:v>87745.0994728874</x:v>
      </x:c>
      <x:c r="H3" s="46" t="n">
        <x:v>67</x:v>
      </x:c>
      <x:c r="I3" s="64" t="n">
        <x:v>0.29850746268656714</x:v>
      </x:c>
      <x:c r="J3" s="64" t="n">
        <x:v>0.43649726475347916</x:v>
      </x:c>
    </x:row>
    <x:row r="4" ht="18" customHeight="1">
      <x:c r="A4" s="46" t="str">
        <x:v>HS_027</x:v>
      </x:c>
      <x:c r="B4" s="46" t="str">
        <x:v>exact_sea_around_us</x:v>
      </x:c>
      <x:c r="C4" s="62" t="str">
        <x:v>Sea Around Us exploited organisms</x:v>
      </x:c>
      <x:c r="D4" s="46" t="str">
        <x:v>high</x:v>
      </x:c>
      <x:c r="E4" s="66" t="n">
        <x:v>62</x:v>
      </x:c>
      <x:c r="F4" s="60" t="n">
        <x:v>699792.7726284624</x:v>
      </x:c>
      <x:c r="G4" s="60" t="n">
        <x:v>734932.290461042</x:v>
      </x:c>
      <x:c r="H4" s="46" t="n">
        <x:v>131</x:v>
      </x:c>
      <x:c r="I4" s="64" t="n">
        <x:v>0.4732824427480916</x:v>
      </x:c>
      <x:c r="J4" s="64" t="n">
        <x:v>0.9521867275548124</x:v>
      </x:c>
    </x:row>
    <x:row r="5" ht="18" customHeight="1">
      <x:c r="A5" s="46" t="str">
        <x:v>HS_027</x:v>
      </x:c>
      <x:c r="B5" s="46" t="str">
        <x:v>exact_2020_supplement</x:v>
      </x:c>
      <x:c r="C5" s="62" t="str">
        <x:v>2020 supplement MeanTL</x:v>
      </x:c>
      <x:c r="D5" s="46" t="str">
        <x:v>high</x:v>
      </x:c>
      <x:c r="E5" s="66" t="n">
        <x:v>69</x:v>
      </x:c>
      <x:c r="F5" s="60" t="n">
        <x:v>35139.5178325796</x:v>
      </x:c>
      <x:c r="G5" s="60" t="n">
        <x:v>734932.290461042</x:v>
      </x:c>
      <x:c r="H5" s="46" t="n">
        <x:v>131</x:v>
      </x:c>
      <x:c r="I5" s="64" t="n">
        <x:v>0.5267175572519084</x:v>
      </x:c>
      <x:c r="J5" s="64" t="n">
        <x:v>0.047813272445187675</x:v>
      </x:c>
    </x:row>
    <x:row r="6" ht="18" customHeight="1">
      <x:c r="A6" s="46" t="str">
        <x:v>HS_031</x:v>
      </x:c>
      <x:c r="B6" s="46" t="str">
        <x:v>exact_2020_supplement</x:v>
      </x:c>
      <x:c r="C6" s="62" t="str">
        <x:v>2020 supplement MeanTL</x:v>
      </x:c>
      <x:c r="D6" s="46" t="str">
        <x:v>high</x:v>
      </x:c>
      <x:c r="E6" s="66" t="n">
        <x:v>23</x:v>
      </x:c>
      <x:c r="F6" s="60" t="n">
        <x:v>12502.1639590351</x:v>
      </x:c>
      <x:c r="G6" s="60" t="n">
        <x:v>16859.0112032287</x:v>
      </x:c>
      <x:c r="H6" s="46" t="n">
        <x:v>32</x:v>
      </x:c>
      <x:c r="I6" s="64" t="n">
        <x:v>0.71875</x:v>
      </x:c>
      <x:c r="J6" s="64" t="n">
        <x:v>0.7415716027664059</x:v>
      </x:c>
    </x:row>
    <x:row r="7" ht="18" customHeight="1">
      <x:c r="A7" s="46" t="str">
        <x:v>HS_031</x:v>
      </x:c>
      <x:c r="B7" s="46" t="str">
        <x:v>exact_sea_around_us</x:v>
      </x:c>
      <x:c r="C7" s="62" t="str">
        <x:v>Sea Around Us exploited organisms</x:v>
      </x:c>
      <x:c r="D7" s="46" t="str">
        <x:v>high</x:v>
      </x:c>
      <x:c r="E7" s="66" t="n">
        <x:v>9</x:v>
      </x:c>
      <x:c r="F7" s="60" t="n">
        <x:v>4356.8472441936</x:v>
      </x:c>
      <x:c r="G7" s="60" t="n">
        <x:v>16859.0112032287</x:v>
      </x:c>
      <x:c r="H7" s="46" t="n">
        <x:v>32</x:v>
      </x:c>
      <x:c r="I7" s="64" t="n">
        <x:v>0.28125</x:v>
      </x:c>
      <x:c r="J7" s="64" t="n">
        <x:v>0.2584283972335941</x:v>
      </x:c>
    </x:row>
    <x:row r="8" ht="18" customHeight="1">
      <x:c r="A8" s="46" t="str">
        <x:v>HS_034</x:v>
      </x:c>
      <x:c r="B8" s="46" t="str">
        <x:v>exact_2020_supplement</x:v>
      </x:c>
      <x:c r="C8" s="62" t="str">
        <x:v>2020 supplement MeanTL</x:v>
      </x:c>
      <x:c r="D8" s="46" t="str">
        <x:v>high</x:v>
      </x:c>
      <x:c r="E8" s="66" t="n">
        <x:v>26</x:v>
      </x:c>
      <x:c r="F8" s="60" t="n">
        <x:v>211390.9655708007</x:v>
      </x:c>
      <x:c r="G8" s="60" t="n">
        <x:v>235319.45527268611</x:v>
      </x:c>
      <x:c r="H8" s="46" t="n">
        <x:v>37</x:v>
      </x:c>
      <x:c r="I8" s="64" t="n">
        <x:v>0.7027027027027027</x:v>
      </x:c>
      <x:c r="J8" s="64" t="n">
        <x:v>0.8983148687210869</x:v>
      </x:c>
    </x:row>
    <x:row r="9" ht="18" customHeight="1">
      <x:c r="A9" s="46" t="str">
        <x:v>HS_034</x:v>
      </x:c>
      <x:c r="B9" s="46" t="str">
        <x:v>exact_sea_around_us</x:v>
      </x:c>
      <x:c r="C9" s="62" t="str">
        <x:v>Sea Around Us exploited organisms</x:v>
      </x:c>
      <x:c r="D9" s="46" t="str">
        <x:v>high</x:v>
      </x:c>
      <x:c r="E9" s="66" t="n">
        <x:v>11</x:v>
      </x:c>
      <x:c r="F9" s="60" t="n">
        <x:v>23928.4897018854</x:v>
      </x:c>
      <x:c r="G9" s="60" t="n">
        <x:v>235319.45527268611</x:v>
      </x:c>
      <x:c r="H9" s="46" t="n">
        <x:v>37</x:v>
      </x:c>
      <x:c r="I9" s="64" t="n">
        <x:v>0.2972972972972973</x:v>
      </x:c>
      <x:c r="J9" s="64" t="n">
        <x:v>0.10168513127891307</x:v>
      </x:c>
    </x:row>
    <x:row r="10" ht="18" customHeight="1">
      <x:c r="A10" s="46" t="str">
        <x:v>HS_041</x:v>
      </x:c>
      <x:c r="B10" s="46" t="str">
        <x:v>exact_2020_supplement</x:v>
      </x:c>
      <x:c r="C10" s="62" t="str">
        <x:v>2020 supplement MeanTL</x:v>
      </x:c>
      <x:c r="D10" s="46" t="str">
        <x:v>high</x:v>
      </x:c>
      <x:c r="E10" s="66" t="n">
        <x:v>24</x:v>
      </x:c>
      <x:c r="F10" s="60" t="n">
        <x:v>56631.1152073094</x:v>
      </x:c>
      <x:c r="G10" s="60" t="n">
        <x:v>62238.3652132951</x:v>
      </x:c>
      <x:c r="H10" s="46" t="n">
        <x:v>33</x:v>
      </x:c>
      <x:c r="I10" s="64" t="n">
        <x:v>0.7272727272727273</x:v>
      </x:c>
      <x:c r="J10" s="64" t="n">
        <x:v>0.9099068558955673</x:v>
      </x:c>
    </x:row>
    <x:row r="11" ht="18" customHeight="1">
      <x:c r="A11" s="46" t="str">
        <x:v>HS_041</x:v>
      </x:c>
      <x:c r="B11" s="46" t="str">
        <x:v>exact_sea_around_us</x:v>
      </x:c>
      <x:c r="C11" s="62" t="str">
        <x:v>Sea Around Us exploited organisms</x:v>
      </x:c>
      <x:c r="D11" s="46" t="str">
        <x:v>high</x:v>
      </x:c>
      <x:c r="E11" s="66" t="n">
        <x:v>9</x:v>
      </x:c>
      <x:c r="F11" s="60" t="n">
        <x:v>5607.2500059857</x:v>
      </x:c>
      <x:c r="G11" s="60" t="n">
        <x:v>62238.3652132951</x:v>
      </x:c>
      <x:c r="H11" s="46" t="n">
        <x:v>33</x:v>
      </x:c>
      <x:c r="I11" s="64" t="n">
        <x:v>0.2727272727272727</x:v>
      </x:c>
      <x:c r="J11" s="64" t="n">
        <x:v>0.09009314410443259</x:v>
      </x:c>
    </x:row>
    <x:row r="12" ht="18" customHeight="1">
      <x:c r="A12" s="46" t="str">
        <x:v>HS_047</x:v>
      </x:c>
      <x:c r="B12" s="46" t="str">
        <x:v>exact_2020_supplement</x:v>
      </x:c>
      <x:c r="C12" s="62" t="str">
        <x:v>2020 supplement MeanTL</x:v>
      </x:c>
      <x:c r="D12" s="46" t="str">
        <x:v>high</x:v>
      </x:c>
      <x:c r="E12" s="66" t="n">
        <x:v>25</x:v>
      </x:c>
      <x:c r="F12" s="60" t="n">
        <x:v>33834.1879283443</x:v>
      </x:c>
      <x:c r="G12" s="60" t="n">
        <x:v>41830.7267805337</x:v>
      </x:c>
      <x:c r="H12" s="46" t="n">
        <x:v>35</x:v>
      </x:c>
      <x:c r="I12" s="64" t="n">
        <x:v>0.7142857142857143</x:v>
      </x:c>
      <x:c r="J12" s="64" t="n">
        <x:v>0.8088357657722871</x:v>
      </x:c>
    </x:row>
    <x:row r="13" ht="18" customHeight="1">
      <x:c r="A13" s="46" t="str">
        <x:v>HS_047</x:v>
      </x:c>
      <x:c r="B13" s="46" t="str">
        <x:v>exact_sea_around_us</x:v>
      </x:c>
      <x:c r="C13" s="62" t="str">
        <x:v>Sea Around Us exploited organisms</x:v>
      </x:c>
      <x:c r="D13" s="46" t="str">
        <x:v>high</x:v>
      </x:c>
      <x:c r="E13" s="66" t="n">
        <x:v>10</x:v>
      </x:c>
      <x:c r="F13" s="60" t="n">
        <x:v>7996.538852189401</x:v>
      </x:c>
      <x:c r="G13" s="60" t="n">
        <x:v>41830.7267805337</x:v>
      </x:c>
      <x:c r="H13" s="46" t="n">
        <x:v>35</x:v>
      </x:c>
      <x:c r="I13" s="64" t="n">
        <x:v>0.2857142857142857</x:v>
      </x:c>
      <x:c r="J13" s="64" t="n">
        <x:v>0.19116423422771275</x:v>
      </x:c>
    </x:row>
    <x:row r="14" ht="18" customHeight="1">
      <x:c r="A14" s="46" t="str">
        <x:v>HS_048</x:v>
      </x:c>
      <x:c r="B14" s="46" t="str">
        <x:v>exact_sea_around_us</x:v>
      </x:c>
      <x:c r="C14" s="62" t="str">
        <x:v>Sea Around Us exploited organisms</x:v>
      </x:c>
      <x:c r="D14" s="46" t="str">
        <x:v>high</x:v>
      </x:c>
      <x:c r="E14" s="66" t="n">
        <x:v>4</x:v>
      </x:c>
      <x:c r="F14" s="60" t="n">
        <x:v>154127.5680229508</x:v>
      </x:c>
      <x:c r="G14" s="60" t="n">
        <x:v>154127.6154029508</x:v>
      </x:c>
      <x:c r="H14" s="46" t="n">
        <x:v>6</x:v>
      </x:c>
      <x:c r="I14" s="64" t="n">
        <x:v>0.6666666666666666</x:v>
      </x:c>
      <x:c r="J14" s="64" t="n">
        <x:v>0.9999996925924024</x:v>
      </x:c>
    </x:row>
    <x:row r="15" ht="18" customHeight="1">
      <x:c r="A15" s="46" t="str">
        <x:v>HS_048</x:v>
      </x:c>
      <x:c r="B15" s="46" t="str">
        <x:v>exact_2020_supplement</x:v>
      </x:c>
      <x:c r="C15" s="62" t="str">
        <x:v>2020 supplement MeanTL</x:v>
      </x:c>
      <x:c r="D15" s="46" t="str">
        <x:v>high</x:v>
      </x:c>
      <x:c r="E15" s="66" t="n">
        <x:v>2</x:v>
      </x:c>
      <x:c r="F15" s="60" t="n">
        <x:v>0.04738</x:v>
      </x:c>
      <x:c r="G15" s="60" t="n">
        <x:v>154127.6154029508</x:v>
      </x:c>
      <x:c r="H15" s="46" t="n">
        <x:v>6</x:v>
      </x:c>
      <x:c r="I15" s="64" t="n">
        <x:v>0.3333333333333333</x:v>
      </x:c>
      <x:c r="J15" s="64" t="n">
        <x:v>3.0740759776325524e-7</x:v>
      </x:c>
    </x:row>
    <x:row r="16" ht="18" customHeight="1">
      <x:c r="A16" s="46" t="str">
        <x:v>HS_051</x:v>
      </x:c>
      <x:c r="B16" s="46" t="str">
        <x:v>exact_2020_supplement</x:v>
      </x:c>
      <x:c r="C16" s="62" t="str">
        <x:v>2020 supplement MeanTL</x:v>
      </x:c>
      <x:c r="D16" s="46" t="str">
        <x:v>high</x:v>
      </x:c>
      <x:c r="E16" s="66" t="n">
        <x:v>26</x:v>
      </x:c>
      <x:c r="F16" s="60" t="n">
        <x:v>338908.4691785278</x:v>
      </x:c>
      <x:c r="G16" s="60" t="n">
        <x:v>377854.0083285441</x:v>
      </x:c>
      <x:c r="H16" s="46" t="n">
        <x:v>36</x:v>
      </x:c>
      <x:c r="I16" s="64" t="n">
        <x:v>0.7222222222222222</x:v>
      </x:c>
      <x:c r="J16" s="64" t="n">
        <x:v>0.8969296651839324</x:v>
      </x:c>
    </x:row>
    <x:row r="17" ht="18" customHeight="1">
      <x:c r="A17" s="46" t="str">
        <x:v>HS_051</x:v>
      </x:c>
      <x:c r="B17" s="46" t="str">
        <x:v>exact_sea_around_us</x:v>
      </x:c>
      <x:c r="C17" s="62" t="str">
        <x:v>Sea Around Us exploited organisms</x:v>
      </x:c>
      <x:c r="D17" s="46" t="str">
        <x:v>high</x:v>
      </x:c>
      <x:c r="E17" s="66" t="n">
        <x:v>10</x:v>
      </x:c>
      <x:c r="F17" s="60" t="n">
        <x:v>38945.5391500163</x:v>
      </x:c>
      <x:c r="G17" s="60" t="n">
        <x:v>377854.0083285441</x:v>
      </x:c>
      <x:c r="H17" s="46" t="n">
        <x:v>36</x:v>
      </x:c>
      <x:c r="I17" s="64" t="n">
        <x:v>0.2777777777777778</x:v>
      </x:c>
      <x:c r="J17" s="64" t="n">
        <x:v>0.10307033481606778</x:v>
      </x:c>
    </x:row>
    <x:row r="18" ht="18" customHeight="1">
      <x:c r="A18" s="46" t="str">
        <x:v>HS_057</x:v>
      </x:c>
      <x:c r="B18" s="46" t="str">
        <x:v>exact_2020_supplement</x:v>
      </x:c>
      <x:c r="C18" s="62" t="str">
        <x:v>2020 supplement MeanTL</x:v>
      </x:c>
      <x:c r="D18" s="46" t="str">
        <x:v>high</x:v>
      </x:c>
      <x:c r="E18" s="66" t="n">
        <x:v>22</x:v>
      </x:c>
      <x:c r="F18" s="60" t="n">
        <x:v>208641.2610203343</x:v>
      </x:c>
      <x:c r="G18" s="60" t="n">
        <x:v>249459.5239463328</x:v>
      </x:c>
      <x:c r="H18" s="46" t="n">
        <x:v>34</x:v>
      </x:c>
      <x:c r="I18" s="64" t="n">
        <x:v>0.6470588235294118</x:v>
      </x:c>
      <x:c r="J18" s="64" t="n">
        <x:v>0.8363732028335791</x:v>
      </x:c>
    </x:row>
    <x:row r="19" ht="18" customHeight="1">
      <x:c r="A19" s="46" t="str">
        <x:v>HS_057</x:v>
      </x:c>
      <x:c r="B19" s="46" t="str">
        <x:v>exact_sea_around_us</x:v>
      </x:c>
      <x:c r="C19" s="62" t="str">
        <x:v>Sea Around Us exploited organisms</x:v>
      </x:c>
      <x:c r="D19" s="46" t="str">
        <x:v>high</x:v>
      </x:c>
      <x:c r="E19" s="66" t="n">
        <x:v>12</x:v>
      </x:c>
      <x:c r="F19" s="60" t="n">
        <x:v>40818.262925998504</x:v>
      </x:c>
      <x:c r="G19" s="60" t="n">
        <x:v>249459.5239463328</x:v>
      </x:c>
      <x:c r="H19" s="46" t="n">
        <x:v>34</x:v>
      </x:c>
      <x:c r="I19" s="64" t="n">
        <x:v>0.35294117647058826</x:v>
      </x:c>
      <x:c r="J19" s="64" t="n">
        <x:v>0.16362679716642087</x:v>
      </x:c>
    </x:row>
    <x:row r="20" ht="18" customHeight="1">
      <x:c r="A20" s="46" t="str">
        <x:v>HS_058</x:v>
      </x:c>
      <x:c r="B20" s="46" t="str">
        <x:v>exact_sea_around_us</x:v>
      </x:c>
      <x:c r="C20" s="62" t="str">
        <x:v>Sea Around Us exploited organisms</x:v>
      </x:c>
      <x:c r="D20" s="46" t="str">
        <x:v>high</x:v>
      </x:c>
      <x:c r="E20" s="66" t="n">
        <x:v>3</x:v>
      </x:c>
      <x:c r="F20" s="60" t="n">
        <x:v>1610.6266293135002</x:v>
      </x:c>
      <x:c r="G20" s="60" t="n">
        <x:v>1622.2799593135003</x:v>
      </x:c>
      <x:c r="H20" s="46" t="n">
        <x:v>6</x:v>
      </x:c>
      <x:c r="I20" s="64" t="n">
        <x:v>0.5</x:v>
      </x:c>
      <x:c r="J20" s="64" t="n">
        <x:v>0.9928166960744979</x:v>
      </x:c>
    </x:row>
    <x:row r="21" ht="18" customHeight="1">
      <x:c r="A21" s="46" t="str">
        <x:v>HS_058</x:v>
      </x:c>
      <x:c r="B21" s="46" t="str">
        <x:v>exact_2020_supplement</x:v>
      </x:c>
      <x:c r="C21" s="62" t="str">
        <x:v>2020 supplement MeanTL</x:v>
      </x:c>
      <x:c r="D21" s="46" t="str">
        <x:v>high</x:v>
      </x:c>
      <x:c r="E21" s="66" t="n">
        <x:v>3</x:v>
      </x:c>
      <x:c r="F21" s="60" t="n">
        <x:v>11.65333</x:v>
      </x:c>
      <x:c r="G21" s="60" t="n">
        <x:v>1622.2799593135003</x:v>
      </x:c>
      <x:c r="H21" s="46" t="n">
        <x:v>6</x:v>
      </x:c>
      <x:c r="I21" s="64" t="n">
        <x:v>0.5</x:v>
      </x:c>
      <x:c r="J21" s="64" t="n">
        <x:v>0.007183303925502068</x:v>
      </x:c>
    </x:row>
    <x:row r="22" ht="18" customHeight="1">
      <x:c r="A22" s="46" t="str">
        <x:v>HS_061</x:v>
      </x:c>
      <x:c r="B22" s="46" t="str">
        <x:v>exact_2020_supplement</x:v>
      </x:c>
      <x:c r="C22" s="62" t="str">
        <x:v>2020 supplement MeanTL</x:v>
      </x:c>
      <x:c r="D22" s="46" t="str">
        <x:v>high</x:v>
      </x:c>
      <x:c r="E22" s="66" t="n">
        <x:v>13</x:v>
      </x:c>
      <x:c r="F22" s="60" t="n">
        <x:v>105462.8685152573</x:v>
      </x:c>
      <x:c r="G22" s="60" t="n">
        <x:v>132995.6793372668</x:v>
      </x:c>
      <x:c r="H22" s="46" t="n">
        <x:v>21</x:v>
      </x:c>
      <x:c r="I22" s="64" t="n">
        <x:v>0.6190476190476191</x:v>
      </x:c>
      <x:c r="J22" s="64" t="n">
        <x:v>0.7929796594956411</x:v>
      </x:c>
    </x:row>
    <x:row r="23" ht="18" customHeight="1">
      <x:c r="A23" s="46" t="str">
        <x:v>HS_061</x:v>
      </x:c>
      <x:c r="B23" s="46" t="str">
        <x:v>exact_sea_around_us</x:v>
      </x:c>
      <x:c r="C23" s="62" t="str">
        <x:v>Sea Around Us exploited organisms</x:v>
      </x:c>
      <x:c r="D23" s="46" t="str">
        <x:v>high</x:v>
      </x:c>
      <x:c r="E23" s="66" t="n">
        <x:v>8</x:v>
      </x:c>
      <x:c r="F23" s="60" t="n">
        <x:v>27532.8108220095</x:v>
      </x:c>
      <x:c r="G23" s="60" t="n">
        <x:v>132995.6793372668</x:v>
      </x:c>
      <x:c r="H23" s="46" t="n">
        <x:v>21</x:v>
      </x:c>
      <x:c r="I23" s="64" t="n">
        <x:v>0.38095238095238093</x:v>
      </x:c>
      <x:c r="J23" s="64" t="n">
        <x:v>0.20702034050435886</x:v>
      </x:c>
    </x:row>
    <x:row r="24" ht="18" customHeight="1">
      <x:c r="A24" s="46" t="str">
        <x:v>HS_067</x:v>
      </x:c>
      <x:c r="B24" s="46" t="str">
        <x:v>exact_2020_supplement</x:v>
      </x:c>
      <x:c r="C24" s="62" t="str">
        <x:v>2020 supplement MeanTL</x:v>
      </x:c>
      <x:c r="D24" s="46" t="str">
        <x:v>high</x:v>
      </x:c>
      <x:c r="E24" s="66" t="n">
        <x:v>8</x:v>
      </x:c>
      <x:c r="F24" s="60" t="n">
        <x:v>312.396432107</x:v>
      </x:c>
      <x:c r="G24" s="60" t="n">
        <x:v>402.2913954087</x:v>
      </x:c>
      <x:c r="H24" s="46" t="n">
        <x:v>16</x:v>
      </x:c>
      <x:c r="I24" s="64" t="n">
        <x:v>0.5</x:v>
      </x:c>
      <x:c r="J24" s="64" t="n">
        <x:v>0.7765426645271073</x:v>
      </x:c>
    </x:row>
    <x:row r="25" ht="18" customHeight="1">
      <x:c r="A25" s="46" t="str">
        <x:v>HS_067</x:v>
      </x:c>
      <x:c r="B25" s="46" t="str">
        <x:v>exact_sea_around_us</x:v>
      </x:c>
      <x:c r="C25" s="62" t="str">
        <x:v>Sea Around Us exploited organisms</x:v>
      </x:c>
      <x:c r="D25" s="46" t="str">
        <x:v>high</x:v>
      </x:c>
      <x:c r="E25" s="66" t="n">
        <x:v>8</x:v>
      </x:c>
      <x:c r="F25" s="60" t="n">
        <x:v>89.8949633017</x:v>
      </x:c>
      <x:c r="G25" s="60" t="n">
        <x:v>402.2913954087</x:v>
      </x:c>
      <x:c r="H25" s="46" t="n">
        <x:v>16</x:v>
      </x:c>
      <x:c r="I25" s="64" t="n">
        <x:v>0.5</x:v>
      </x:c>
      <x:c r="J25" s="64" t="n">
        <x:v>0.2234573354728927</x:v>
      </x:c>
    </x:row>
    <x:row r="26" ht="18" customHeight="1">
      <x:c r="A26" s="46" t="str">
        <x:v>HS_071</x:v>
      </x:c>
      <x:c r="B26" s="46" t="str">
        <x:v>exact_2020_supplement</x:v>
      </x:c>
      <x:c r="C26" s="62" t="str">
        <x:v>2020 supplement MeanTL</x:v>
      </x:c>
      <x:c r="D26" s="46" t="str">
        <x:v>high</x:v>
      </x:c>
      <x:c r="E26" s="66" t="n">
        <x:v>14</x:v>
      </x:c>
      <x:c r="F26" s="60" t="n">
        <x:v>549678.0727472507</x:v>
      </x:c>
      <x:c r="G26" s="60" t="n">
        <x:v>571817.786555246</x:v>
      </x:c>
      <x:c r="H26" s="46" t="n">
        <x:v>23</x:v>
      </x:c>
      <x:c r="I26" s="64" t="n">
        <x:v>0.6086956521739131</x:v>
      </x:c>
      <x:c r="J26" s="64" t="n">
        <x:v>0.9612818727773934</x:v>
      </x:c>
    </x:row>
    <x:row r="27" ht="18" customHeight="1">
      <x:c r="A27" s="46" t="str">
        <x:v>HS_071</x:v>
      </x:c>
      <x:c r="B27" s="46" t="str">
        <x:v>exact_sea_around_us</x:v>
      </x:c>
      <x:c r="C27" s="62" t="str">
        <x:v>Sea Around Us exploited organisms</x:v>
      </x:c>
      <x:c r="D27" s="46" t="str">
        <x:v>high</x:v>
      </x:c>
      <x:c r="E27" s="66" t="n">
        <x:v>9</x:v>
      </x:c>
      <x:c r="F27" s="60" t="n">
        <x:v>22139.7138079953</x:v>
      </x:c>
      <x:c r="G27" s="60" t="n">
        <x:v>571817.786555246</x:v>
      </x:c>
      <x:c r="H27" s="46" t="n">
        <x:v>23</x:v>
      </x:c>
      <x:c r="I27" s="64" t="n">
        <x:v>0.391304347826087</x:v>
      </x:c>
      <x:c r="J27" s="64" t="n">
        <x:v>0.03871812722260656</x:v>
      </x:c>
    </x:row>
    <x:row r="28" ht="18" customHeight="1">
      <x:c r="A28" s="46" t="str">
        <x:v>HS_077</x:v>
      </x:c>
      <x:c r="B28" s="46" t="str">
        <x:v>exact_2020_supplement</x:v>
      </x:c>
      <x:c r="C28" s="62" t="str">
        <x:v>2020 supplement MeanTL</x:v>
      </x:c>
      <x:c r="D28" s="46" t="str">
        <x:v>high</x:v>
      </x:c>
      <x:c r="E28" s="66" t="n">
        <x:v>16</x:v>
      </x:c>
      <x:c r="F28" s="60" t="n">
        <x:v>795872.2487714348</x:v>
      </x:c>
      <x:c r="G28" s="60" t="n">
        <x:v>860671.2076084926</x:v>
      </x:c>
      <x:c r="H28" s="46" t="n">
        <x:v>26</x:v>
      </x:c>
      <x:c r="I28" s="64" t="n">
        <x:v>0.6153846153846154</x:v>
      </x:c>
      <x:c r="J28" s="64" t="n">
        <x:v>0.9247111344445788</x:v>
      </x:c>
    </x:row>
    <x:row r="29" ht="18" customHeight="1">
      <x:c r="A29" s="46" t="str">
        <x:v>HS_077</x:v>
      </x:c>
      <x:c r="B29" s="46" t="str">
        <x:v>exact_sea_around_us</x:v>
      </x:c>
      <x:c r="C29" s="62" t="str">
        <x:v>Sea Around Us exploited organisms</x:v>
      </x:c>
      <x:c r="D29" s="46" t="str">
        <x:v>high</x:v>
      </x:c>
      <x:c r="E29" s="66" t="n">
        <x:v>10</x:v>
      </x:c>
      <x:c r="F29" s="60" t="n">
        <x:v>64798.9588370578</x:v>
      </x:c>
      <x:c r="G29" s="60" t="n">
        <x:v>860671.2076084926</x:v>
      </x:c>
      <x:c r="H29" s="46" t="n">
        <x:v>26</x:v>
      </x:c>
      <x:c r="I29" s="64" t="n">
        <x:v>0.38461538461538464</x:v>
      </x:c>
      <x:c r="J29" s="64" t="n">
        <x:v>0.07528886555542119</x:v>
      </x:c>
    </x:row>
    <x:row r="30" ht="18" customHeight="1">
      <x:c r="A30" s="46" t="str">
        <x:v>HS_081</x:v>
      </x:c>
      <x:c r="B30" s="46" t="str">
        <x:v>exact_2020_supplement</x:v>
      </x:c>
      <x:c r="C30" s="62" t="str">
        <x:v>2020 supplement MeanTL</x:v>
      </x:c>
      <x:c r="D30" s="46" t="str">
        <x:v>high</x:v>
      </x:c>
      <x:c r="E30" s="66" t="n">
        <x:v>17</x:v>
      </x:c>
      <x:c r="F30" s="60" t="n">
        <x:v>38623.1331689638</x:v>
      </x:c>
      <x:c r="G30" s="60" t="n">
        <x:v>45252.4668227171</x:v>
      </x:c>
      <x:c r="H30" s="46" t="n">
        <x:v>27</x:v>
      </x:c>
      <x:c r="I30" s="64" t="n">
        <x:v>0.6296296296296297</x:v>
      </x:c>
      <x:c r="J30" s="64" t="n">
        <x:v>0.8535033751922377</x:v>
      </x:c>
    </x:row>
    <x:row r="31" ht="18" customHeight="1">
      <x:c r="A31" s="46" t="str">
        <x:v>HS_081</x:v>
      </x:c>
      <x:c r="B31" s="46" t="str">
        <x:v>exact_sea_around_us</x:v>
      </x:c>
      <x:c r="C31" s="62" t="str">
        <x:v>Sea Around Us exploited organisms</x:v>
      </x:c>
      <x:c r="D31" s="46" t="str">
        <x:v>high</x:v>
      </x:c>
      <x:c r="E31" s="66" t="n">
        <x:v>10</x:v>
      </x:c>
      <x:c r="F31" s="60" t="n">
        <x:v>6629.3336537533</x:v>
      </x:c>
      <x:c r="G31" s="60" t="n">
        <x:v>45252.4668227171</x:v>
      </x:c>
      <x:c r="H31" s="46" t="n">
        <x:v>27</x:v>
      </x:c>
      <x:c r="I31" s="64" t="n">
        <x:v>0.37037037037037035</x:v>
      </x:c>
      <x:c r="J31" s="64" t="n">
        <x:v>0.14649662480776232</x:v>
      </x:c>
    </x:row>
    <x:row r="32" ht="18" customHeight="1">
      <x:c r="A32" s="46" t="str">
        <x:v>HS_087</x:v>
      </x:c>
      <x:c r="B32" s="46" t="str">
        <x:v>exact_2020_supplement</x:v>
      </x:c>
      <x:c r="C32" s="62" t="str">
        <x:v>2020 supplement MeanTL</x:v>
      </x:c>
      <x:c r="D32" s="46" t="str">
        <x:v>high</x:v>
      </x:c>
      <x:c r="E32" s="66" t="n">
        <x:v>16</x:v>
      </x:c>
      <x:c r="F32" s="60" t="n">
        <x:v>237905.69624999192</x:v>
      </x:c>
      <x:c r="G32" s="60" t="n">
        <x:v>245882.4176735426</x:v>
      </x:c>
      <x:c r="H32" s="46" t="n">
        <x:v>25</x:v>
      </x:c>
      <x:c r="I32" s="64" t="n">
        <x:v>0.64</x:v>
      </x:c>
      <x:c r="J32" s="64" t="n">
        <x:v>0.9675587970094659</x:v>
      </x:c>
    </x:row>
    <x:row r="33" ht="18" customHeight="1">
      <x:c r="A33" s="46" t="str">
        <x:v>HS_087</x:v>
      </x:c>
      <x:c r="B33" s="46" t="str">
        <x:v>exact_sea_around_us</x:v>
      </x:c>
      <x:c r="C33" s="62" t="str">
        <x:v>Sea Around Us exploited organisms</x:v>
      </x:c>
      <x:c r="D33" s="46" t="str">
        <x:v>high</x:v>
      </x:c>
      <x:c r="E33" s="66" t="n">
        <x:v>9</x:v>
      </x:c>
      <x:c r="F33" s="60" t="n">
        <x:v>7976.7214235507</x:v>
      </x:c>
      <x:c r="G33" s="60" t="n">
        <x:v>245882.4176735426</x:v>
      </x:c>
      <x:c r="H33" s="46" t="n">
        <x:v>25</x:v>
      </x:c>
      <x:c r="I33" s="64" t="n">
        <x:v>0.36</x:v>
      </x:c>
      <x:c r="J33" s="64" t="n">
        <x:v>0.032441202990534164</x:v>
      </x:c>
    </x:row>
    <x:row r="34" ht="18" customHeight="1">
      <x:c r="A34" s="46" t="str">
        <x:v>HS_088</x:v>
      </x:c>
      <x:c r="B34" s="46" t="str">
        <x:v>exact_2020_supplement</x:v>
      </x:c>
      <x:c r="C34" s="62" t="str">
        <x:v>2020 supplement MeanTL</x:v>
      </x:c>
      <x:c r="D34" s="46" t="str">
        <x:v>high</x:v>
      </x:c>
      <x:c r="E34" s="66" t="n">
        <x:v>13</x:v>
      </x:c>
      <x:c r="F34" s="60" t="n">
        <x:v>3333.825386</x:v>
      </x:c>
      <x:c r="G34" s="60" t="n">
        <x:v>3559.327863</x:v>
      </x:c>
      <x:c r="H34" s="46" t="n">
        <x:v>32</x:v>
      </x:c>
      <x:c r="I34" s="64" t="n">
        <x:v>0.40625</x:v>
      </x:c>
      <x:c r="J34" s="64" t="n">
        <x:v>0.9366446459332538</x:v>
      </x:c>
    </x:row>
    <x:row r="35" ht="18" customHeight="1">
      <x:c r="A35" s="46" t="str">
        <x:v>HS_088</x:v>
      </x:c>
      <x:c r="B35" s="46" t="str">
        <x:v>exact_sea_around_us</x:v>
      </x:c>
      <x:c r="C35" s="62" t="str">
        <x:v>Sea Around Us exploited organisms</x:v>
      </x:c>
      <x:c r="D35" s="46" t="str">
        <x:v>high</x:v>
      </x:c>
      <x:c r="E35" s="66" t="n">
        <x:v>19</x:v>
      </x:c>
      <x:c r="F35" s="60" t="n">
        <x:v>225.50247700000003</x:v>
      </x:c>
      <x:c r="G35" s="60" t="n">
        <x:v>3559.327863</x:v>
      </x:c>
      <x:c r="H35" s="46" t="n">
        <x:v>32</x:v>
      </x:c>
      <x:c r="I35" s="64" t="n">
        <x:v>0.59375</x:v>
      </x:c>
      <x:c r="J35" s="64" t="n">
        <x:v>0.06335535406674618</x:v>
      </x:c>
    </x:row>
    <x:row r="36" ht="18" customHeight="1">
      <x:c r="A36" s="46" t="str">
        <x:v>LME_001</x:v>
      </x:c>
      <x:c r="B36" s="46" t="str">
        <x:v>exact_sea_around_us</x:v>
      </x:c>
      <x:c r="C36" s="62" t="str">
        <x:v>Sea Around Us exploited organisms</x:v>
      </x:c>
      <x:c r="D36" s="46" t="str">
        <x:v>high</x:v>
      </x:c>
      <x:c r="E36" s="66" t="n">
        <x:v>38</x:v>
      </x:c>
      <x:c r="F36" s="60" t="n">
        <x:v>857354.7509184423</x:v>
      </x:c>
      <x:c r="G36" s="60" t="n">
        <x:v>1300999.7714510453</x:v>
      </x:c>
      <x:c r="H36" s="46" t="n">
        <x:v>73</x:v>
      </x:c>
      <x:c r="I36" s="64" t="n">
        <x:v>0.5205479452054794</x:v>
      </x:c>
      <x:c r="J36" s="64" t="n">
        <x:v>0.6589968497551756</x:v>
      </x:c>
    </x:row>
    <x:row r="37" ht="18" customHeight="1">
      <x:c r="A37" s="46" t="str">
        <x:v>LME_001</x:v>
      </x:c>
      <x:c r="B37" s="46" t="str">
        <x:v>exact_2020_supplement</x:v>
      </x:c>
      <x:c r="C37" s="62" t="str">
        <x:v>2020 supplement MeanTL</x:v>
      </x:c>
      <x:c r="D37" s="46" t="str">
        <x:v>high</x:v>
      </x:c>
      <x:c r="E37" s="66" t="n">
        <x:v>35</x:v>
      </x:c>
      <x:c r="F37" s="60" t="n">
        <x:v>443645.0205326031</x:v>
      </x:c>
      <x:c r="G37" s="60" t="n">
        <x:v>1300999.7714510453</x:v>
      </x:c>
      <x:c r="H37" s="46" t="n">
        <x:v>73</x:v>
      </x:c>
      <x:c r="I37" s="64" t="n">
        <x:v>0.4794520547945205</x:v>
      </x:c>
      <x:c r="J37" s="64" t="n">
        <x:v>0.34100315024482447</x:v>
      </x:c>
    </x:row>
    <x:row r="38" ht="18" customHeight="1">
      <x:c r="A38" s="46" t="str">
        <x:v>LME_002</x:v>
      </x:c>
      <x:c r="B38" s="46" t="str">
        <x:v>exact_sea_around_us</x:v>
      </x:c>
      <x:c r="C38" s="62" t="str">
        <x:v>Sea Around Us exploited organisms</x:v>
      </x:c>
      <x:c r="D38" s="46" t="str">
        <x:v>high</x:v>
      </x:c>
      <x:c r="E38" s="66" t="n">
        <x:v>84</x:v>
      </x:c>
      <x:c r="F38" s="60" t="n">
        <x:v>619378.7375070577</x:v>
      </x:c>
      <x:c r="G38" s="60" t="n">
        <x:v>1102866.6258441233</x:v>
      </x:c>
      <x:c r="H38" s="46" t="n">
        <x:v>170</x:v>
      </x:c>
      <x:c r="I38" s="64" t="n">
        <x:v>0.49411764705882355</x:v>
      </x:c>
      <x:c r="J38" s="64" t="n">
        <x:v>0.5616080158677313</x:v>
      </x:c>
    </x:row>
    <x:row r="39" ht="18" customHeight="1">
      <x:c r="A39" s="46" t="str">
        <x:v>LME_002</x:v>
      </x:c>
      <x:c r="B39" s="46" t="str">
        <x:v>exact_2020_supplement</x:v>
      </x:c>
      <x:c r="C39" s="62" t="str">
        <x:v>2020 supplement MeanTL</x:v>
      </x:c>
      <x:c r="D39" s="46" t="str">
        <x:v>high</x:v>
      </x:c>
      <x:c r="E39" s="66" t="n">
        <x:v>86</x:v>
      </x:c>
      <x:c r="F39" s="60" t="n">
        <x:v>483487.8883370655</x:v>
      </x:c>
      <x:c r="G39" s="60" t="n">
        <x:v>1102866.6258441233</x:v>
      </x:c>
      <x:c r="H39" s="46" t="n">
        <x:v>170</x:v>
      </x:c>
      <x:c r="I39" s="64" t="n">
        <x:v>0.5058823529411764</x:v>
      </x:c>
      <x:c r="J39" s="64" t="n">
        <x:v>0.4383919841322686</x:v>
      </x:c>
    </x:row>
    <x:row r="40" ht="18" customHeight="1">
      <x:c r="A40" s="46" t="str">
        <x:v>LME_003</x:v>
      </x:c>
      <x:c r="B40" s="46" t="str">
        <x:v>exact_2020_supplement</x:v>
      </x:c>
      <x:c r="C40" s="62" t="str">
        <x:v>2020 supplement MeanTL</x:v>
      </x:c>
      <x:c r="D40" s="46" t="str">
        <x:v>high</x:v>
      </x:c>
      <x:c r="E40" s="66" t="n">
        <x:v>122</x:v>
      </x:c>
      <x:c r="F40" s="60" t="n">
        <x:v>663879.7881095104</x:v>
      </x:c>
      <x:c r="G40" s="60" t="n">
        <x:v>1037537.6190575529</x:v>
      </x:c>
      <x:c r="H40" s="46" t="n">
        <x:v>277</x:v>
      </x:c>
      <x:c r="I40" s="64" t="n">
        <x:v>0.4404332129963899</x:v>
      </x:c>
      <x:c r="J40" s="64" t="n">
        <x:v>0.6398609321872546</x:v>
      </x:c>
    </x:row>
    <x:row r="41" ht="18" customHeight="1">
      <x:c r="A41" s="46" t="str">
        <x:v>LME_003</x:v>
      </x:c>
      <x:c r="B41" s="46" t="str">
        <x:v>exact_sea_around_us</x:v>
      </x:c>
      <x:c r="C41" s="62" t="str">
        <x:v>Sea Around Us exploited organisms</x:v>
      </x:c>
      <x:c r="D41" s="46" t="str">
        <x:v>high</x:v>
      </x:c>
      <x:c r="E41" s="66" t="n">
        <x:v>155</x:v>
      </x:c>
      <x:c r="F41" s="60" t="n">
        <x:v>373657.8309480424</x:v>
      </x:c>
      <x:c r="G41" s="60" t="n">
        <x:v>1037537.6190575529</x:v>
      </x:c>
      <x:c r="H41" s="46" t="n">
        <x:v>277</x:v>
      </x:c>
      <x:c r="I41" s="64" t="n">
        <x:v>0.5595667870036101</x:v>
      </x:c>
      <x:c r="J41" s="64" t="n">
        <x:v>0.36013906781274535</x:v>
      </x:c>
    </x:row>
    <x:row r="42" ht="18" customHeight="1">
      <x:c r="A42" s="46" t="str">
        <x:v>LME_004</x:v>
      </x:c>
      <x:c r="B42" s="46" t="str">
        <x:v>exact_sea_around_us</x:v>
      </x:c>
      <x:c r="C42" s="62" t="str">
        <x:v>Sea Around Us exploited organisms</x:v>
      </x:c>
      <x:c r="D42" s="46" t="str">
        <x:v>high</x:v>
      </x:c>
      <x:c r="E42" s="66" t="n">
        <x:v>81</x:v>
      </x:c>
      <x:c r="F42" s="60" t="n">
        <x:v>395524.1301164904</x:v>
      </x:c>
      <x:c r="G42" s="60" t="n">
        <x:v>664877.8552277526</x:v>
      </x:c>
      <x:c r="H42" s="46" t="n">
        <x:v>129</x:v>
      </x:c>
      <x:c r="I42" s="64" t="n">
        <x:v>0.627906976744186</x:v>
      </x:c>
      <x:c r="J42" s="64" t="n">
        <x:v>0.5948823938210491</x:v>
      </x:c>
    </x:row>
    <x:row r="43" ht="18" customHeight="1">
      <x:c r="A43" s="46" t="str">
        <x:v>LME_004</x:v>
      </x:c>
      <x:c r="B43" s="46" t="str">
        <x:v>exact_2020_supplement</x:v>
      </x:c>
      <x:c r="C43" s="62" t="str">
        <x:v>2020 supplement MeanTL</x:v>
      </x:c>
      <x:c r="D43" s="46" t="str">
        <x:v>high</x:v>
      </x:c>
      <x:c r="E43" s="66" t="n">
        <x:v>48</x:v>
      </x:c>
      <x:c r="F43" s="60" t="n">
        <x:v>269353.72511126223</x:v>
      </x:c>
      <x:c r="G43" s="60" t="n">
        <x:v>664877.8552277526</x:v>
      </x:c>
      <x:c r="H43" s="46" t="n">
        <x:v>129</x:v>
      </x:c>
      <x:c r="I43" s="64" t="n">
        <x:v>0.37209302325581395</x:v>
      </x:c>
      <x:c r="J43" s="64" t="n">
        <x:v>0.40511760617895093</x:v>
      </x:c>
    </x:row>
    <x:row r="44" ht="18" customHeight="1">
      <x:c r="A44" s="46" t="str">
        <x:v>LME_005</x:v>
      </x:c>
      <x:c r="B44" s="46" t="str">
        <x:v>exact_sea_around_us</x:v>
      </x:c>
      <x:c r="C44" s="62" t="str">
        <x:v>Sea Around Us exploited organisms</x:v>
      </x:c>
      <x:c r="D44" s="46" t="str">
        <x:v>high</x:v>
      </x:c>
      <x:c r="E44" s="66" t="n">
        <x:v>201</x:v>
      </x:c>
      <x:c r="F44" s="60" t="n">
        <x:v>1082457.5680425193</x:v>
      </x:c>
      <x:c r="G44" s="60" t="n">
        <x:v>1549275.8254257175</x:v>
      </x:c>
      <x:c r="H44" s="46" t="n">
        <x:v>418</x:v>
      </x:c>
      <x:c r="I44" s="64" t="n">
        <x:v>0.48086124401913877</x:v>
      </x:c>
      <x:c r="J44" s="64" t="n">
        <x:v>0.6986861540585108</x:v>
      </x:c>
    </x:row>
    <x:row r="45" ht="18" customHeight="1">
      <x:c r="A45" s="46" t="str">
        <x:v>LME_005</x:v>
      </x:c>
      <x:c r="B45" s="46" t="str">
        <x:v>exact_2020_supplement</x:v>
      </x:c>
      <x:c r="C45" s="62" t="str">
        <x:v>2020 supplement MeanTL</x:v>
      </x:c>
      <x:c r="D45" s="46" t="str">
        <x:v>high</x:v>
      </x:c>
      <x:c r="E45" s="66" t="n">
        <x:v>217</x:v>
      </x:c>
      <x:c r="F45" s="60" t="n">
        <x:v>466818.2573831982</x:v>
      </x:c>
      <x:c r="G45" s="60" t="n">
        <x:v>1549275.8254257175</x:v>
      </x:c>
      <x:c r="H45" s="46" t="n">
        <x:v>418</x:v>
      </x:c>
      <x:c r="I45" s="64" t="n">
        <x:v>0.5191387559808612</x:v>
      </x:c>
      <x:c r="J45" s="64" t="n">
        <x:v>0.3013138459414892</x:v>
      </x:c>
    </x:row>
    <x:row r="46" ht="18" customHeight="1">
      <x:c r="A46" s="46" t="str">
        <x:v>LME_006</x:v>
      </x:c>
      <x:c r="B46" s="46" t="str">
        <x:v>exact_2020_supplement</x:v>
      </x:c>
      <x:c r="C46" s="62" t="str">
        <x:v>2020 supplement MeanTL</x:v>
      </x:c>
      <x:c r="D46" s="46" t="str">
        <x:v>high</x:v>
      </x:c>
      <x:c r="E46" s="66" t="n">
        <x:v>157</x:v>
      </x:c>
      <x:c r="F46" s="60" t="n">
        <x:v>61274.19444497</x:v>
      </x:c>
      <x:c r="G46" s="60" t="n">
        <x:v>115599.570034811</x:v>
      </x:c>
      <x:c r="H46" s="46" t="n">
        <x:v>283</x:v>
      </x:c>
      <x:c r="I46" s="64" t="n">
        <x:v>0.5547703180212014</x:v>
      </x:c>
      <x:c r="J46" s="64" t="n">
        <x:v>0.5300555566644256</x:v>
      </x:c>
    </x:row>
    <x:row r="47" ht="18" customHeight="1">
      <x:c r="A47" s="46" t="str">
        <x:v>LME_006</x:v>
      </x:c>
      <x:c r="B47" s="46" t="str">
        <x:v>exact_sea_around_us</x:v>
      </x:c>
      <x:c r="C47" s="62" t="str">
        <x:v>Sea Around Us exploited organisms</x:v>
      </x:c>
      <x:c r="D47" s="46" t="str">
        <x:v>high</x:v>
      </x:c>
      <x:c r="E47" s="66" t="n">
        <x:v>126</x:v>
      </x:c>
      <x:c r="F47" s="60" t="n">
        <x:v>54325.375589841</x:v>
      </x:c>
      <x:c r="G47" s="60" t="n">
        <x:v>115599.570034811</x:v>
      </x:c>
      <x:c r="H47" s="46" t="n">
        <x:v>283</x:v>
      </x:c>
      <x:c r="I47" s="64" t="n">
        <x:v>0.4452296819787986</x:v>
      </x:c>
      <x:c r="J47" s="64" t="n">
        <x:v>0.4699444433355744</x:v>
      </x:c>
    </x:row>
    <x:row r="48" ht="18" customHeight="1">
      <x:c r="A48" s="46" t="str">
        <x:v>LME_007</x:v>
      </x:c>
      <x:c r="B48" s="46" t="str">
        <x:v>exact_2020_supplement</x:v>
      </x:c>
      <x:c r="C48" s="62" t="str">
        <x:v>2020 supplement MeanTL</x:v>
      </x:c>
      <x:c r="D48" s="46" t="str">
        <x:v>high</x:v>
      </x:c>
      <x:c r="E48" s="66" t="n">
        <x:v>122</x:v>
      </x:c>
      <x:c r="F48" s="60" t="n">
        <x:v>388648.9112819567</x:v>
      </x:c>
      <x:c r="G48" s="60" t="n">
        <x:v>700878.7473042159</x:v>
      </x:c>
      <x:c r="H48" s="46" t="n">
        <x:v>232</x:v>
      </x:c>
      <x:c r="I48" s="64" t="n">
        <x:v>0.5258620689655172</x:v>
      </x:c>
      <x:c r="J48" s="64" t="n">
        <x:v>0.5545166161433969</x:v>
      </x:c>
    </x:row>
    <x:row r="49" ht="18" customHeight="1">
      <x:c r="A49" s="46" t="str">
        <x:v>LME_007</x:v>
      </x:c>
      <x:c r="B49" s="46" t="str">
        <x:v>exact_sea_around_us</x:v>
      </x:c>
      <x:c r="C49" s="62" t="str">
        <x:v>Sea Around Us exploited organisms</x:v>
      </x:c>
      <x:c r="D49" s="46" t="str">
        <x:v>high</x:v>
      </x:c>
      <x:c r="E49" s="66" t="n">
        <x:v>110</x:v>
      </x:c>
      <x:c r="F49" s="60" t="n">
        <x:v>312229.8360222592</x:v>
      </x:c>
      <x:c r="G49" s="60" t="n">
        <x:v>700878.7473042159</x:v>
      </x:c>
      <x:c r="H49" s="46" t="n">
        <x:v>232</x:v>
      </x:c>
      <x:c r="I49" s="64" t="n">
        <x:v>0.47413793103448276</x:v>
      </x:c>
      <x:c r="J49" s="64" t="n">
        <x:v>0.4454833838566032</x:v>
      </x:c>
    </x:row>
    <x:row r="50" ht="18" customHeight="1">
      <x:c r="A50" s="46" t="str">
        <x:v>LME_008</x:v>
      </x:c>
      <x:c r="B50" s="46" t="str">
        <x:v>exact_2020_supplement</x:v>
      </x:c>
      <x:c r="C50" s="62" t="str">
        <x:v>2020 supplement MeanTL</x:v>
      </x:c>
      <x:c r="D50" s="46" t="str">
        <x:v>high</x:v>
      </x:c>
      <x:c r="E50" s="66" t="n">
        <x:v>48</x:v>
      </x:c>
      <x:c r="F50" s="60" t="n">
        <x:v>107720.416510851</x:v>
      </x:c>
      <x:c r="G50" s="60" t="n">
        <x:v>148680.2607308072</x:v>
      </x:c>
      <x:c r="H50" s="46" t="n">
        <x:v>92</x:v>
      </x:c>
      <x:c r="I50" s="64" t="n">
        <x:v>0.5217391304347826</x:v>
      </x:c>
      <x:c r="J50" s="64" t="n">
        <x:v>0.7245105435070768</x:v>
      </x:c>
    </x:row>
    <x:row r="51" ht="18" customHeight="1">
      <x:c r="A51" s="46" t="str">
        <x:v>LME_008</x:v>
      </x:c>
      <x:c r="B51" s="46" t="str">
        <x:v>exact_sea_around_us</x:v>
      </x:c>
      <x:c r="C51" s="62" t="str">
        <x:v>Sea Around Us exploited organisms</x:v>
      </x:c>
      <x:c r="D51" s="46" t="str">
        <x:v>high</x:v>
      </x:c>
      <x:c r="E51" s="66" t="n">
        <x:v>44</x:v>
      </x:c>
      <x:c r="F51" s="60" t="n">
        <x:v>40959.8442199562</x:v>
      </x:c>
      <x:c r="G51" s="60" t="n">
        <x:v>148680.2607308072</x:v>
      </x:c>
      <x:c r="H51" s="46" t="n">
        <x:v>92</x:v>
      </x:c>
      <x:c r="I51" s="64" t="n">
        <x:v>0.4782608695652174</x:v>
      </x:c>
      <x:c r="J51" s="64" t="n">
        <x:v>0.2754894564929233</x:v>
      </x:c>
    </x:row>
    <x:row r="52" ht="18" customHeight="1">
      <x:c r="A52" s="46" t="str">
        <x:v>LME_009</x:v>
      </x:c>
      <x:c r="B52" s="46" t="str">
        <x:v>exact_2020_supplement</x:v>
      </x:c>
      <x:c r="C52" s="62" t="str">
        <x:v>2020 supplement MeanTL</x:v>
      </x:c>
      <x:c r="D52" s="46" t="str">
        <x:v>high</x:v>
      </x:c>
      <x:c r="E52" s="66" t="n">
        <x:v>62</x:v>
      </x:c>
      <x:c r="F52" s="60" t="n">
        <x:v>271225.0657550423</x:v>
      </x:c>
      <x:c r="G52" s="60" t="n">
        <x:v>506689.994061008</x:v>
      </x:c>
      <x:c r="H52" s="46" t="n">
        <x:v>111</x:v>
      </x:c>
      <x:c r="I52" s="64" t="n">
        <x:v>0.5585585585585585</x:v>
      </x:c>
      <x:c r="J52" s="64" t="n">
        <x:v>0.5352879846338262</x:v>
      </x:c>
    </x:row>
    <x:row r="53" ht="18" customHeight="1">
      <x:c r="A53" s="46" t="str">
        <x:v>LME_009</x:v>
      </x:c>
      <x:c r="B53" s="46" t="str">
        <x:v>exact_sea_around_us</x:v>
      </x:c>
      <x:c r="C53" s="62" t="str">
        <x:v>Sea Around Us exploited organisms</x:v>
      </x:c>
      <x:c r="D53" s="46" t="str">
        <x:v>high</x:v>
      </x:c>
      <x:c r="E53" s="66" t="n">
        <x:v>49</x:v>
      </x:c>
      <x:c r="F53" s="60" t="n">
        <x:v>235464.9283059657</x:v>
      </x:c>
      <x:c r="G53" s="60" t="n">
        <x:v>506689.994061008</x:v>
      </x:c>
      <x:c r="H53" s="46" t="n">
        <x:v>111</x:v>
      </x:c>
      <x:c r="I53" s="64" t="n">
        <x:v>0.44144144144144143</x:v>
      </x:c>
      <x:c r="J53" s="64" t="n">
        <x:v>0.4647120153661739</x:v>
      </x:c>
    </x:row>
    <x:row r="54" ht="18" customHeight="1">
      <x:c r="A54" s="46" t="str">
        <x:v>LME_010</x:v>
      </x:c>
      <x:c r="B54" s="46" t="str">
        <x:v>exact_2020_supplement</x:v>
      </x:c>
      <x:c r="C54" s="62" t="str">
        <x:v>2020 supplement MeanTL</x:v>
      </x:c>
      <x:c r="D54" s="46" t="str">
        <x:v>high</x:v>
      </x:c>
      <x:c r="E54" s="66" t="n">
        <x:v>95</x:v>
      </x:c>
      <x:c r="F54" s="60" t="n">
        <x:v>19678.4945914937</x:v>
      </x:c>
      <x:c r="G54" s="60" t="n">
        <x:v>21171.9533963985</x:v>
      </x:c>
      <x:c r="H54" s="46" t="n">
        <x:v>140</x:v>
      </x:c>
      <x:c r="I54" s="64" t="n">
        <x:v>0.6785714285714286</x:v>
      </x:c>
      <x:c r="J54" s="64" t="n">
        <x:v>0.9294605095267757</x:v>
      </x:c>
    </x:row>
    <x:row r="55" ht="18" customHeight="1">
      <x:c r="A55" s="46" t="str">
        <x:v>LME_010</x:v>
      </x:c>
      <x:c r="B55" s="46" t="str">
        <x:v>exact_sea_around_us</x:v>
      </x:c>
      <x:c r="C55" s="62" t="str">
        <x:v>Sea Around Us exploited organisms</x:v>
      </x:c>
      <x:c r="D55" s="46" t="str">
        <x:v>high</x:v>
      </x:c>
      <x:c r="E55" s="66" t="n">
        <x:v>45</x:v>
      </x:c>
      <x:c r="F55" s="60" t="n">
        <x:v>1493.4588049048</x:v>
      </x:c>
      <x:c r="G55" s="60" t="n">
        <x:v>21171.9533963985</x:v>
      </x:c>
      <x:c r="H55" s="46" t="n">
        <x:v>140</x:v>
      </x:c>
      <x:c r="I55" s="64" t="n">
        <x:v>0.32142857142857145</x:v>
      </x:c>
      <x:c r="J55" s="64" t="n">
        <x:v>0.07053949047322426</x:v>
      </x:c>
    </x:row>
    <x:row r="56" ht="18" customHeight="1">
      <x:c r="A56" s="46" t="str">
        <x:v>LME_011</x:v>
      </x:c>
      <x:c r="B56" s="46" t="str">
        <x:v>exact_2020_supplement</x:v>
      </x:c>
      <x:c r="C56" s="62" t="str">
        <x:v>2020 supplement MeanTL</x:v>
      </x:c>
      <x:c r="D56" s="46" t="str">
        <x:v>high</x:v>
      </x:c>
      <x:c r="E56" s="66" t="n">
        <x:v>106</x:v>
      </x:c>
      <x:c r="F56" s="60" t="n">
        <x:v>949479.3634376844</x:v>
      </x:c>
      <x:c r="G56" s="60" t="n">
        <x:v>1587670.7135199131</x:v>
      </x:c>
      <x:c r="H56" s="46" t="n">
        <x:v>270</x:v>
      </x:c>
      <x:c r="I56" s="64" t="n">
        <x:v>0.3925925925925926</x:v>
      </x:c>
      <x:c r="J56" s="64" t="n">
        <x:v>0.5980329266971616</x:v>
      </x:c>
    </x:row>
    <x:row r="57" ht="18" customHeight="1">
      <x:c r="A57" s="46" t="str">
        <x:v>LME_011</x:v>
      </x:c>
      <x:c r="B57" s="46" t="str">
        <x:v>exact_sea_around_us</x:v>
      </x:c>
      <x:c r="C57" s="62" t="str">
        <x:v>Sea Around Us exploited organisms</x:v>
      </x:c>
      <x:c r="D57" s="46" t="str">
        <x:v>high</x:v>
      </x:c>
      <x:c r="E57" s="66" t="n">
        <x:v>164</x:v>
      </x:c>
      <x:c r="F57" s="60" t="n">
        <x:v>638191.3500822289</x:v>
      </x:c>
      <x:c r="G57" s="60" t="n">
        <x:v>1587670.7135199131</x:v>
      </x:c>
      <x:c r="H57" s="46" t="n">
        <x:v>270</x:v>
      </x:c>
      <x:c r="I57" s="64" t="n">
        <x:v>0.6074074074074074</x:v>
      </x:c>
      <x:c r="J57" s="64" t="n">
        <x:v>0.40196707330283854</x:v>
      </x:c>
    </x:row>
    <x:row r="58" ht="18" customHeight="1">
      <x:c r="A58" s="46" t="str">
        <x:v>LME_012</x:v>
      </x:c>
      <x:c r="B58" s="46" t="str">
        <x:v>exact_sea_around_us</x:v>
      </x:c>
      <x:c r="C58" s="62" t="str">
        <x:v>Sea Around Us exploited organisms</x:v>
      </x:c>
      <x:c r="D58" s="46" t="str">
        <x:v>high</x:v>
      </x:c>
      <x:c r="E58" s="66" t="n">
        <x:v>252</x:v>
      </x:c>
      <x:c r="F58" s="60" t="n">
        <x:v>386949.6789431504</x:v>
      </x:c>
      <x:c r="G58" s="60" t="n">
        <x:v>625707.9632201534</x:v>
      </x:c>
      <x:c r="H58" s="46" t="n">
        <x:v>507</x:v>
      </x:c>
      <x:c r="I58" s="64" t="n">
        <x:v>0.4970414201183432</x:v>
      </x:c>
      <x:c r="J58" s="64" t="n">
        <x:v>0.6184189776836888</x:v>
      </x:c>
    </x:row>
    <x:row r="59" ht="18" customHeight="1">
      <x:c r="A59" s="46" t="str">
        <x:v>LME_012</x:v>
      </x:c>
      <x:c r="B59" s="46" t="str">
        <x:v>exact_2020_supplement</x:v>
      </x:c>
      <x:c r="C59" s="62" t="str">
        <x:v>2020 supplement MeanTL</x:v>
      </x:c>
      <x:c r="D59" s="46" t="str">
        <x:v>high</x:v>
      </x:c>
      <x:c r="E59" s="66" t="n">
        <x:v>255</x:v>
      </x:c>
      <x:c r="F59" s="60" t="n">
        <x:v>238758.284277003</x:v>
      </x:c>
      <x:c r="G59" s="60" t="n">
        <x:v>625707.9632201534</x:v>
      </x:c>
      <x:c r="H59" s="46" t="n">
        <x:v>507</x:v>
      </x:c>
      <x:c r="I59" s="64" t="n">
        <x:v>0.5029585798816568</x:v>
      </x:c>
      <x:c r="J59" s="64" t="n">
        <x:v>0.38158102231631125</x:v>
      </x:c>
    </x:row>
    <x:row r="60" ht="18" customHeight="1">
      <x:c r="A60" s="46" t="str">
        <x:v>LME_013</x:v>
      </x:c>
      <x:c r="B60" s="46" t="str">
        <x:v>exact_2020_supplement</x:v>
      </x:c>
      <x:c r="C60" s="62" t="str">
        <x:v>2020 supplement MeanTL</x:v>
      </x:c>
      <x:c r="D60" s="46" t="str">
        <x:v>high</x:v>
      </x:c>
      <x:c r="E60" s="66" t="n">
        <x:v>79</x:v>
      </x:c>
      <x:c r="F60" s="60" t="n">
        <x:v>6493516.779946463</x:v>
      </x:c>
      <x:c r="G60" s="60" t="n">
        <x:v>7390380.680601613</x:v>
      </x:c>
      <x:c r="H60" s="46" t="n">
        <x:v>184</x:v>
      </x:c>
      <x:c r="I60" s="64" t="n">
        <x:v>0.42934782608695654</x:v>
      </x:c>
      <x:c r="J60" s="64" t="n">
        <x:v>0.8786444245004521</x:v>
      </x:c>
    </x:row>
    <x:row r="61" ht="18" customHeight="1">
      <x:c r="A61" s="46" t="str">
        <x:v>LME_013</x:v>
      </x:c>
      <x:c r="B61" s="46" t="str">
        <x:v>exact_sea_around_us</x:v>
      </x:c>
      <x:c r="C61" s="62" t="str">
        <x:v>Sea Around Us exploited organisms</x:v>
      </x:c>
      <x:c r="D61" s="46" t="str">
        <x:v>high</x:v>
      </x:c>
      <x:c r="E61" s="66" t="n">
        <x:v>105</x:v>
      </x:c>
      <x:c r="F61" s="60" t="n">
        <x:v>896863.9006551492</x:v>
      </x:c>
      <x:c r="G61" s="60" t="n">
        <x:v>7390380.680601613</x:v>
      </x:c>
      <x:c r="H61" s="46" t="n">
        <x:v>184</x:v>
      </x:c>
      <x:c r="I61" s="64" t="n">
        <x:v>0.5706521739130435</x:v>
      </x:c>
      <x:c r="J61" s="64" t="n">
        <x:v>0.12135557549954791</x:v>
      </x:c>
    </x:row>
    <x:row r="62" ht="18" customHeight="1">
      <x:c r="A62" s="46" t="str">
        <x:v>LME_014</x:v>
      </x:c>
      <x:c r="B62" s="46" t="str">
        <x:v>exact_2020_supplement</x:v>
      </x:c>
      <x:c r="C62" s="62" t="str">
        <x:v>2020 supplement MeanTL</x:v>
      </x:c>
      <x:c r="D62" s="46" t="str">
        <x:v>high</x:v>
      </x:c>
      <x:c r="E62" s="66" t="n">
        <x:v>99</x:v>
      </x:c>
      <x:c r="F62" s="60" t="n">
        <x:v>1139217.2180863454</x:v>
      </x:c>
      <x:c r="G62" s="60" t="n">
        <x:v>1589890.9385366843</x:v>
      </x:c>
      <x:c r="H62" s="46" t="n">
        <x:v>195</x:v>
      </x:c>
      <x:c r="I62" s="64" t="n">
        <x:v>0.5076923076923077</x:v>
      </x:c>
      <x:c r="J62" s="64" t="n">
        <x:v>0.7165379652612315</x:v>
      </x:c>
    </x:row>
    <x:row r="63" ht="18" customHeight="1">
      <x:c r="A63" s="46" t="str">
        <x:v>LME_014</x:v>
      </x:c>
      <x:c r="B63" s="46" t="str">
        <x:v>exact_sea_around_us</x:v>
      </x:c>
      <x:c r="C63" s="62" t="str">
        <x:v>Sea Around Us exploited organisms</x:v>
      </x:c>
      <x:c r="D63" s="46" t="str">
        <x:v>high</x:v>
      </x:c>
      <x:c r="E63" s="66" t="n">
        <x:v>96</x:v>
      </x:c>
      <x:c r="F63" s="60" t="n">
        <x:v>450673.7204503388</x:v>
      </x:c>
      <x:c r="G63" s="60" t="n">
        <x:v>1589890.9385366843</x:v>
      </x:c>
      <x:c r="H63" s="46" t="n">
        <x:v>195</x:v>
      </x:c>
      <x:c r="I63" s="64" t="n">
        <x:v>0.49230769230769234</x:v>
      </x:c>
      <x:c r="J63" s="64" t="n">
        <x:v>0.28346203473876846</x:v>
      </x:c>
    </x:row>
    <x:row r="64" ht="18" customHeight="1">
      <x:c r="A64" s="46" t="str">
        <x:v>LME_015</x:v>
      </x:c>
      <x:c r="B64" s="46" t="str">
        <x:v>exact_2020_supplement</x:v>
      </x:c>
      <x:c r="C64" s="62" t="str">
        <x:v>2020 supplement MeanTL</x:v>
      </x:c>
      <x:c r="D64" s="46" t="str">
        <x:v>high</x:v>
      </x:c>
      <x:c r="E64" s="66" t="n">
        <x:v>147</x:v>
      </x:c>
      <x:c r="F64" s="60" t="n">
        <x:v>199375.4914398834</x:v>
      </x:c>
      <x:c r="G64" s="60" t="n">
        <x:v>292432.0999772061</x:v>
      </x:c>
      <x:c r="H64" s="46" t="n">
        <x:v>264</x:v>
      </x:c>
      <x:c r="I64" s="64" t="n">
        <x:v>0.5568181818181818</x:v>
      </x:c>
      <x:c r="J64" s="64" t="n">
        <x:v>0.6817838789087242</x:v>
      </x:c>
    </x:row>
    <x:row r="65" ht="18" customHeight="1">
      <x:c r="A65" s="46" t="str">
        <x:v>LME_015</x:v>
      </x:c>
      <x:c r="B65" s="46" t="str">
        <x:v>exact_sea_around_us</x:v>
      </x:c>
      <x:c r="C65" s="62" t="str">
        <x:v>Sea Around Us exploited organisms</x:v>
      </x:c>
      <x:c r="D65" s="46" t="str">
        <x:v>high</x:v>
      </x:c>
      <x:c r="E65" s="66" t="n">
        <x:v>117</x:v>
      </x:c>
      <x:c r="F65" s="60" t="n">
        <x:v>93056.6085373227</x:v>
      </x:c>
      <x:c r="G65" s="60" t="n">
        <x:v>292432.0999772061</x:v>
      </x:c>
      <x:c r="H65" s="46" t="n">
        <x:v>264</x:v>
      </x:c>
      <x:c r="I65" s="64" t="n">
        <x:v>0.4431818181818182</x:v>
      </x:c>
      <x:c r="J65" s="64" t="n">
        <x:v>0.31821612109127584</x:v>
      </x:c>
    </x:row>
    <x:row r="66" ht="18" customHeight="1">
      <x:c r="A66" s="46" t="str">
        <x:v>LME_016</x:v>
      </x:c>
      <x:c r="B66" s="46" t="str">
        <x:v>exact_2020_supplement</x:v>
      </x:c>
      <x:c r="C66" s="62" t="str">
        <x:v>2020 supplement MeanTL</x:v>
      </x:c>
      <x:c r="D66" s="46" t="str">
        <x:v>high</x:v>
      </x:c>
      <x:c r="E66" s="66" t="n">
        <x:v>141</x:v>
      </x:c>
      <x:c r="F66" s="60" t="n">
        <x:v>176897.4575719152</x:v>
      </x:c>
      <x:c r="G66" s="60" t="n">
        <x:v>306003.2887419415</x:v>
      </x:c>
      <x:c r="H66" s="46" t="n">
        <x:v>254</x:v>
      </x:c>
      <x:c r="I66" s="64" t="n">
        <x:v>0.5551181102362205</x:v>
      </x:c>
      <x:c r="J66" s="64" t="n">
        <x:v>0.5780900535389221</x:v>
      </x:c>
    </x:row>
    <x:row r="67" ht="18" customHeight="1">
      <x:c r="A67" s="46" t="str">
        <x:v>LME_016</x:v>
      </x:c>
      <x:c r="B67" s="46" t="str">
        <x:v>exact_sea_around_us</x:v>
      </x:c>
      <x:c r="C67" s="62" t="str">
        <x:v>Sea Around Us exploited organisms</x:v>
      </x:c>
      <x:c r="D67" s="46" t="str">
        <x:v>high</x:v>
      </x:c>
      <x:c r="E67" s="66" t="n">
        <x:v>113</x:v>
      </x:c>
      <x:c r="F67" s="60" t="n">
        <x:v>129105.8311700263</x:v>
      </x:c>
      <x:c r="G67" s="60" t="n">
        <x:v>306003.2887419415</x:v>
      </x:c>
      <x:c r="H67" s="46" t="n">
        <x:v>254</x:v>
      </x:c>
      <x:c r="I67" s="64" t="n">
        <x:v>0.4448818897637795</x:v>
      </x:c>
      <x:c r="J67" s="64" t="n">
        <x:v>0.4219099464610779</x:v>
      </x:c>
    </x:row>
    <x:row r="68" ht="18" customHeight="1">
      <x:c r="A68" s="46" t="str">
        <x:v>LME_017</x:v>
      </x:c>
      <x:c r="B68" s="46" t="str">
        <x:v>exact_2020_supplement</x:v>
      </x:c>
      <x:c r="C68" s="62" t="str">
        <x:v>2020 supplement MeanTL</x:v>
      </x:c>
      <x:c r="D68" s="46" t="str">
        <x:v>high</x:v>
      </x:c>
      <x:c r="E68" s="66" t="n">
        <x:v>158</x:v>
      </x:c>
      <x:c r="F68" s="60" t="n">
        <x:v>246642.6611292279</x:v>
      </x:c>
      <x:c r="G68" s="60" t="n">
        <x:v>453226.0308527972</x:v>
      </x:c>
      <x:c r="H68" s="46" t="n">
        <x:v>311</x:v>
      </x:c>
      <x:c r="I68" s="64" t="n">
        <x:v>0.5080385852090032</x:v>
      </x:c>
      <x:c r="J68" s="64" t="n">
        <x:v>0.5441935024454381</x:v>
      </x:c>
    </x:row>
    <x:row r="69" ht="18" customHeight="1">
      <x:c r="A69" s="46" t="str">
        <x:v>LME_017</x:v>
      </x:c>
      <x:c r="B69" s="46" t="str">
        <x:v>exact_sea_around_us</x:v>
      </x:c>
      <x:c r="C69" s="62" t="str">
        <x:v>Sea Around Us exploited organisms</x:v>
      </x:c>
      <x:c r="D69" s="46" t="str">
        <x:v>high</x:v>
      </x:c>
      <x:c r="E69" s="66" t="n">
        <x:v>153</x:v>
      </x:c>
      <x:c r="F69" s="60" t="n">
        <x:v>206583.3697235693</x:v>
      </x:c>
      <x:c r="G69" s="60" t="n">
        <x:v>453226.0308527972</x:v>
      </x:c>
      <x:c r="H69" s="46" t="n">
        <x:v>311</x:v>
      </x:c>
      <x:c r="I69" s="64" t="n">
        <x:v>0.4919614147909968</x:v>
      </x:c>
      <x:c r="J69" s="64" t="n">
        <x:v>0.45580649755456193</x:v>
      </x:c>
    </x:row>
    <x:row r="70" ht="18" customHeight="1">
      <x:c r="A70" s="46" t="str">
        <x:v>LME_018</x:v>
      </x:c>
      <x:c r="B70" s="46" t="str">
        <x:v>exact_2020_supplement</x:v>
      </x:c>
      <x:c r="C70" s="62" t="str">
        <x:v>2020 supplement MeanTL</x:v>
      </x:c>
      <x:c r="D70" s="46" t="str">
        <x:v>high</x:v>
      </x:c>
      <x:c r="E70" s="66" t="n">
        <x:v>28</x:v>
      </x:c>
      <x:c r="F70" s="60" t="n">
        <x:v>169647.4816779808</x:v>
      </x:c>
      <x:c r="G70" s="60" t="n">
        <x:v>219045.62416918142</x:v>
      </x:c>
      <x:c r="H70" s="46" t="n">
        <x:v>61</x:v>
      </x:c>
      <x:c r="I70" s="64" t="n">
        <x:v>0.45901639344262296</x:v>
      </x:c>
      <x:c r="J70" s="64" t="n">
        <x:v>0.7744846870209668</x:v>
      </x:c>
    </x:row>
    <x:row r="71" ht="18" customHeight="1">
      <x:c r="A71" s="46" t="str">
        <x:v>LME_018</x:v>
      </x:c>
      <x:c r="B71" s="46" t="str">
        <x:v>exact_sea_around_us</x:v>
      </x:c>
      <x:c r="C71" s="62" t="str">
        <x:v>Sea Around Us exploited organisms</x:v>
      </x:c>
      <x:c r="D71" s="46" t="str">
        <x:v>high</x:v>
      </x:c>
      <x:c r="E71" s="66" t="n">
        <x:v>33</x:v>
      </x:c>
      <x:c r="F71" s="60" t="n">
        <x:v>49398.1424912006</x:v>
      </x:c>
      <x:c r="G71" s="60" t="n">
        <x:v>219045.62416918142</x:v>
      </x:c>
      <x:c r="H71" s="46" t="n">
        <x:v>61</x:v>
      </x:c>
      <x:c r="I71" s="64" t="n">
        <x:v>0.5409836065573771</x:v>
      </x:c>
      <x:c r="J71" s="64" t="n">
        <x:v>0.22551531297903307</x:v>
      </x:c>
    </x:row>
    <x:row r="72" ht="18" customHeight="1">
      <x:c r="A72" s="46" t="str">
        <x:v>LME_019</x:v>
      </x:c>
      <x:c r="B72" s="46" t="str">
        <x:v>exact_2020_supplement</x:v>
      </x:c>
      <x:c r="C72" s="62" t="str">
        <x:v>2020 supplement MeanTL</x:v>
      </x:c>
      <x:c r="D72" s="46" t="str">
        <x:v>high</x:v>
      </x:c>
      <x:c r="E72" s="66" t="n">
        <x:v>29</x:v>
      </x:c>
      <x:c r="F72" s="60" t="n">
        <x:v>53579.0212137005</x:v>
      </x:c>
      <x:c r="G72" s="60" t="n">
        <x:v>87093.8235737202</x:v>
      </x:c>
      <x:c r="H72" s="46" t="n">
        <x:v>64</x:v>
      </x:c>
      <x:c r="I72" s="64" t="n">
        <x:v>0.453125</x:v>
      </x:c>
      <x:c r="J72" s="64" t="n">
        <x:v>0.6151873808634519</x:v>
      </x:c>
    </x:row>
    <x:row r="73" ht="18" customHeight="1">
      <x:c r="A73" s="46" t="str">
        <x:v>LME_019</x:v>
      </x:c>
      <x:c r="B73" s="46" t="str">
        <x:v>exact_sea_around_us</x:v>
      </x:c>
      <x:c r="C73" s="62" t="str">
        <x:v>Sea Around Us exploited organisms</x:v>
      </x:c>
      <x:c r="D73" s="46" t="str">
        <x:v>high</x:v>
      </x:c>
      <x:c r="E73" s="66" t="n">
        <x:v>35</x:v>
      </x:c>
      <x:c r="F73" s="60" t="n">
        <x:v>33514.802360019705</x:v>
      </x:c>
      <x:c r="G73" s="60" t="n">
        <x:v>87093.8235737202</x:v>
      </x:c>
      <x:c r="H73" s="46" t="n">
        <x:v>64</x:v>
      </x:c>
      <x:c r="I73" s="64" t="n">
        <x:v>0.546875</x:v>
      </x:c>
      <x:c r="J73" s="64" t="n">
        <x:v>0.3848126191365481</x:v>
      </x:c>
    </x:row>
    <x:row r="74" ht="18" customHeight="1">
      <x:c r="A74" s="46" t="str">
        <x:v>LME_020</x:v>
      </x:c>
      <x:c r="B74" s="46" t="str">
        <x:v>exact_2020_supplement</x:v>
      </x:c>
      <x:c r="C74" s="62" t="str">
        <x:v>2020 supplement MeanTL</x:v>
      </x:c>
      <x:c r="D74" s="46" t="str">
        <x:v>high</x:v>
      </x:c>
      <x:c r="E74" s="66" t="n">
        <x:v>65</x:v>
      </x:c>
      <x:c r="F74" s="60" t="n">
        <x:v>604631.9274699817</x:v>
      </x:c>
      <x:c r="G74" s="60" t="n">
        <x:v>675569.0179631643</x:v>
      </x:c>
      <x:c r="H74" s="46" t="n">
        <x:v>138</x:v>
      </x:c>
      <x:c r="I74" s="64" t="n">
        <x:v>0.47101449275362317</x:v>
      </x:c>
      <x:c r="J74" s="64" t="n">
        <x:v>0.8949965309139585</x:v>
      </x:c>
    </x:row>
    <x:row r="75" ht="18" customHeight="1">
      <x:c r="A75" s="46" t="str">
        <x:v>LME_020</x:v>
      </x:c>
      <x:c r="B75" s="46" t="str">
        <x:v>exact_sea_around_us</x:v>
      </x:c>
      <x:c r="C75" s="62" t="str">
        <x:v>Sea Around Us exploited organisms</x:v>
      </x:c>
      <x:c r="D75" s="46" t="str">
        <x:v>high</x:v>
      </x:c>
      <x:c r="E75" s="66" t="n">
        <x:v>73</x:v>
      </x:c>
      <x:c r="F75" s="60" t="n">
        <x:v>70937.0904931826</x:v>
      </x:c>
      <x:c r="G75" s="60" t="n">
        <x:v>675569.0179631643</x:v>
      </x:c>
      <x:c r="H75" s="46" t="n">
        <x:v>138</x:v>
      </x:c>
      <x:c r="I75" s="64" t="n">
        <x:v>0.5289855072463768</x:v>
      </x:c>
      <x:c r="J75" s="64" t="n">
        <x:v>0.10500346908604159</x:v>
      </x:c>
    </x:row>
    <x:row r="76" ht="18" customHeight="1">
      <x:c r="A76" s="46" t="str">
        <x:v>LME_021</x:v>
      </x:c>
      <x:c r="B76" s="46" t="str">
        <x:v>exact_sea_around_us</x:v>
      </x:c>
      <x:c r="C76" s="62" t="str">
        <x:v>Sea Around Us exploited organisms</x:v>
      </x:c>
      <x:c r="D76" s="46" t="str">
        <x:v>high</x:v>
      </x:c>
      <x:c r="E76" s="66" t="n">
        <x:v>81</x:v>
      </x:c>
      <x:c r="F76" s="60" t="n">
        <x:v>405556.0700439657</x:v>
      </x:c>
      <x:c r="G76" s="60" t="n">
        <x:v>707251.5165434973</x:v>
      </x:c>
      <x:c r="H76" s="46" t="n">
        <x:v>162</x:v>
      </x:c>
      <x:c r="I76" s="64" t="n">
        <x:v>0.5</x:v>
      </x:c>
      <x:c r="J76" s="64" t="n">
        <x:v>0.573425521978394</x:v>
      </x:c>
    </x:row>
    <x:row r="77" ht="18" customHeight="1">
      <x:c r="A77" s="46" t="str">
        <x:v>LME_021</x:v>
      </x:c>
      <x:c r="B77" s="46" t="str">
        <x:v>exact_2020_supplement</x:v>
      </x:c>
      <x:c r="C77" s="62" t="str">
        <x:v>2020 supplement MeanTL</x:v>
      </x:c>
      <x:c r="D77" s="46" t="str">
        <x:v>high</x:v>
      </x:c>
      <x:c r="E77" s="66" t="n">
        <x:v>81</x:v>
      </x:c>
      <x:c r="F77" s="60" t="n">
        <x:v>301695.4464995316</x:v>
      </x:c>
      <x:c r="G77" s="60" t="n">
        <x:v>707251.5165434973</x:v>
      </x:c>
      <x:c r="H77" s="46" t="n">
        <x:v>162</x:v>
      </x:c>
      <x:c r="I77" s="64" t="n">
        <x:v>0.5</x:v>
      </x:c>
      <x:c r="J77" s="64" t="n">
        <x:v>0.42657447802160603</x:v>
      </x:c>
    </x:row>
    <x:row r="78" ht="18" customHeight="1">
      <x:c r="A78" s="46" t="str">
        <x:v>LME_022</x:v>
      </x:c>
      <x:c r="B78" s="46" t="str">
        <x:v>exact_2020_supplement</x:v>
      </x:c>
      <x:c r="C78" s="62" t="str">
        <x:v>2020 supplement MeanTL</x:v>
      </x:c>
      <x:c r="D78" s="46" t="str">
        <x:v>high</x:v>
      </x:c>
      <x:c r="E78" s="66" t="n">
        <x:v>164</x:v>
      </x:c>
      <x:c r="F78" s="60" t="n">
        <x:v>2360936.4714387595</x:v>
      </x:c>
      <x:c r="G78" s="60" t="n">
        <x:v>2717260.6982051707</x:v>
      </x:c>
      <x:c r="H78" s="46" t="n">
        <x:v>312</x:v>
      </x:c>
      <x:c r="I78" s="64" t="n">
        <x:v>0.5256410256410257</x:v>
      </x:c>
      <x:c r="J78" s="64" t="n">
        <x:v>0.8688663818669391</x:v>
      </x:c>
    </x:row>
    <x:row r="79" ht="18" customHeight="1">
      <x:c r="A79" s="46" t="str">
        <x:v>LME_022</x:v>
      </x:c>
      <x:c r="B79" s="46" t="str">
        <x:v>exact_sea_around_us</x:v>
      </x:c>
      <x:c r="C79" s="62" t="str">
        <x:v>Sea Around Us exploited organisms</x:v>
      </x:c>
      <x:c r="D79" s="46" t="str">
        <x:v>high</x:v>
      </x:c>
      <x:c r="E79" s="66" t="n">
        <x:v>148</x:v>
      </x:c>
      <x:c r="F79" s="60" t="n">
        <x:v>356324.2267664112</x:v>
      </x:c>
      <x:c r="G79" s="60" t="n">
        <x:v>2717260.6982051707</x:v>
      </x:c>
      <x:c r="H79" s="46" t="n">
        <x:v>312</x:v>
      </x:c>
      <x:c r="I79" s="64" t="n">
        <x:v>0.47435897435897434</x:v>
      </x:c>
      <x:c r="J79" s="64" t="n">
        <x:v>0.13113361813306088</x:v>
      </x:c>
    </x:row>
    <x:row r="80" ht="18" customHeight="1">
      <x:c r="A80" s="46" t="str">
        <x:v>LME_023</x:v>
      </x:c>
      <x:c r="B80" s="46" t="str">
        <x:v>exact_2020_supplement</x:v>
      </x:c>
      <x:c r="C80" s="62" t="str">
        <x:v>2020 supplement MeanTL</x:v>
      </x:c>
      <x:c r="D80" s="46" t="str">
        <x:v>high</x:v>
      </x:c>
      <x:c r="E80" s="66" t="n">
        <x:v>71</x:v>
      </x:c>
      <x:c r="F80" s="60" t="n">
        <x:v>918052.1507498808</x:v>
      </x:c>
      <x:c r="G80" s="60" t="n">
        <x:v>937172.6469930056</x:v>
      </x:c>
      <x:c r="H80" s="46" t="n">
        <x:v>117</x:v>
      </x:c>
      <x:c r="I80" s="64" t="n">
        <x:v>0.6068376068376068</x:v>
      </x:c>
      <x:c r="J80" s="64" t="n">
        <x:v>0.9795976799958103</x:v>
      </x:c>
    </x:row>
    <x:row r="81" ht="18" customHeight="1">
      <x:c r="A81" s="46" t="str">
        <x:v>LME_023</x:v>
      </x:c>
      <x:c r="B81" s="46" t="str">
        <x:v>exact_sea_around_us</x:v>
      </x:c>
      <x:c r="C81" s="62" t="str">
        <x:v>Sea Around Us exploited organisms</x:v>
      </x:c>
      <x:c r="D81" s="46" t="str">
        <x:v>high</x:v>
      </x:c>
      <x:c r="E81" s="66" t="n">
        <x:v>46</x:v>
      </x:c>
      <x:c r="F81" s="60" t="n">
        <x:v>19120.496243124802</x:v>
      </x:c>
      <x:c r="G81" s="60" t="n">
        <x:v>937172.6469930056</x:v>
      </x:c>
      <x:c r="H81" s="46" t="n">
        <x:v>117</x:v>
      </x:c>
      <x:c r="I81" s="64" t="n">
        <x:v>0.39316239316239315</x:v>
      </x:c>
      <x:c r="J81" s="64" t="n">
        <x:v>0.020402320004189692</x:v>
      </x:c>
    </x:row>
    <x:row r="82" ht="18" customHeight="1">
      <x:c r="A82" s="46" t="str">
        <x:v>LME_024</x:v>
      </x:c>
      <x:c r="B82" s="46" t="str">
        <x:v>exact_2020_supplement</x:v>
      </x:c>
      <x:c r="C82" s="62" t="str">
        <x:v>2020 supplement MeanTL</x:v>
      </x:c>
      <x:c r="D82" s="46" t="str">
        <x:v>high</x:v>
      </x:c>
      <x:c r="E82" s="66" t="n">
        <x:v>208</x:v>
      </x:c>
      <x:c r="F82" s="60" t="n">
        <x:v>943721.5793583774</x:v>
      </x:c>
      <x:c r="G82" s="60" t="n">
        <x:v>1139679.567089067</x:v>
      </x:c>
      <x:c r="H82" s="46" t="n">
        <x:v>383</x:v>
      </x:c>
      <x:c r="I82" s="64" t="n">
        <x:v>0.5430809399477807</x:v>
      </x:c>
      <x:c r="J82" s="64" t="n">
        <x:v>0.828058698787415</x:v>
      </x:c>
    </x:row>
    <x:row r="83" ht="18" customHeight="1">
      <x:c r="A83" s="46" t="str">
        <x:v>LME_024</x:v>
      </x:c>
      <x:c r="B83" s="46" t="str">
        <x:v>exact_sea_around_us</x:v>
      </x:c>
      <x:c r="C83" s="62" t="str">
        <x:v>Sea Around Us exploited organisms</x:v>
      </x:c>
      <x:c r="D83" s="46" t="str">
        <x:v>high</x:v>
      </x:c>
      <x:c r="E83" s="66" t="n">
        <x:v>175</x:v>
      </x:c>
      <x:c r="F83" s="60" t="n">
        <x:v>195957.9877306897</x:v>
      </x:c>
      <x:c r="G83" s="60" t="n">
        <x:v>1139679.567089067</x:v>
      </x:c>
      <x:c r="H83" s="46" t="n">
        <x:v>383</x:v>
      </x:c>
      <x:c r="I83" s="64" t="n">
        <x:v>0.45691906005221933</x:v>
      </x:c>
      <x:c r="J83" s="64" t="n">
        <x:v>0.17194130121258494</x:v>
      </x:c>
    </x:row>
    <x:row r="84" ht="18" customHeight="1">
      <x:c r="A84" s="46" t="str">
        <x:v>LME_025</x:v>
      </x:c>
      <x:c r="B84" s="46" t="str">
        <x:v>exact_2020_supplement</x:v>
      </x:c>
      <x:c r="C84" s="62" t="str">
        <x:v>2020 supplement MeanTL</x:v>
      </x:c>
      <x:c r="D84" s="46" t="str">
        <x:v>high</x:v>
      </x:c>
      <x:c r="E84" s="66" t="n">
        <x:v>229</x:v>
      </x:c>
      <x:c r="F84" s="60" t="n">
        <x:v>274323.7610972734</x:v>
      </x:c>
      <x:c r="G84" s="60" t="n">
        <x:v>429516.3330948258</x:v>
      </x:c>
      <x:c r="H84" s="46" t="n">
        <x:v>432</x:v>
      </x:c>
      <x:c r="I84" s="64" t="n">
        <x:v>0.5300925925925926</x:v>
      </x:c>
      <x:c r="J84" s="64" t="n">
        <x:v>0.6386806273946979</x:v>
      </x:c>
    </x:row>
    <x:row r="85" ht="18" customHeight="1">
      <x:c r="A85" s="46" t="str">
        <x:v>LME_025</x:v>
      </x:c>
      <x:c r="B85" s="46" t="str">
        <x:v>exact_sea_around_us</x:v>
      </x:c>
      <x:c r="C85" s="62" t="str">
        <x:v>Sea Around Us exploited organisms</x:v>
      </x:c>
      <x:c r="D85" s="46" t="str">
        <x:v>high</x:v>
      </x:c>
      <x:c r="E85" s="66" t="n">
        <x:v>203</x:v>
      </x:c>
      <x:c r="F85" s="60" t="n">
        <x:v>155192.5719975524</x:v>
      </x:c>
      <x:c r="G85" s="60" t="n">
        <x:v>429516.3330948258</x:v>
      </x:c>
      <x:c r="H85" s="46" t="n">
        <x:v>432</x:v>
      </x:c>
      <x:c r="I85" s="64" t="n">
        <x:v>0.4699074074074074</x:v>
      </x:c>
      <x:c r="J85" s="64" t="n">
        <x:v>0.3613193726053021</x:v>
      </x:c>
    </x:row>
    <x:row r="86" ht="18" customHeight="1">
      <x:c r="A86" s="46" t="str">
        <x:v>LME_026</x:v>
      </x:c>
      <x:c r="B86" s="46" t="str">
        <x:v>exact_2020_supplement</x:v>
      </x:c>
      <x:c r="C86" s="62" t="str">
        <x:v>2020 supplement MeanTL</x:v>
      </x:c>
      <x:c r="D86" s="46" t="str">
        <x:v>high</x:v>
      </x:c>
      <x:c r="E86" s="66" t="n">
        <x:v>244</x:v>
      </x:c>
      <x:c r="F86" s="60" t="n">
        <x:v>960876.5466587584</x:v>
      </x:c>
      <x:c r="G86" s="60" t="n">
        <x:v>1487741.6269238533</x:v>
      </x:c>
      <x:c r="H86" s="46" t="n">
        <x:v>482</x:v>
      </x:c>
      <x:c r="I86" s="64" t="n">
        <x:v>0.5062240663900415</x:v>
      </x:c>
      <x:c r="J86" s="64" t="n">
        <x:v>0.6458625135370624</x:v>
      </x:c>
    </x:row>
    <x:row r="87" ht="18" customHeight="1">
      <x:c r="A87" s="46" t="str">
        <x:v>LME_026</x:v>
      </x:c>
      <x:c r="B87" s="46" t="str">
        <x:v>exact_sea_around_us</x:v>
      </x:c>
      <x:c r="C87" s="62" t="str">
        <x:v>Sea Around Us exploited organisms</x:v>
      </x:c>
      <x:c r="D87" s="46" t="str">
        <x:v>high</x:v>
      </x:c>
      <x:c r="E87" s="66" t="n">
        <x:v>238</x:v>
      </x:c>
      <x:c r="F87" s="60" t="n">
        <x:v>526865.0802650949</x:v>
      </x:c>
      <x:c r="G87" s="60" t="n">
        <x:v>1487741.6269238533</x:v>
      </x:c>
      <x:c r="H87" s="46" t="n">
        <x:v>482</x:v>
      </x:c>
      <x:c r="I87" s="64" t="n">
        <x:v>0.49377593360995853</x:v>
      </x:c>
      <x:c r="J87" s="64" t="n">
        <x:v>0.35413748646293763</x:v>
      </x:c>
    </x:row>
    <x:row r="88" ht="18" customHeight="1">
      <x:c r="A88" s="46" t="str">
        <x:v>LME_027</x:v>
      </x:c>
      <x:c r="B88" s="46" t="str">
        <x:v>exact_2020_supplement</x:v>
      </x:c>
      <x:c r="C88" s="62" t="str">
        <x:v>2020 supplement MeanTL</x:v>
      </x:c>
      <x:c r="D88" s="46" t="str">
        <x:v>high</x:v>
      </x:c>
      <x:c r="E88" s="66" t="n">
        <x:v>236</x:v>
      </x:c>
      <x:c r="F88" s="60" t="n">
        <x:v>3346234.7466529934</x:v>
      </x:c>
      <x:c r="G88" s="60" t="n">
        <x:v>5771015.257329414</x:v>
      </x:c>
      <x:c r="H88" s="46" t="n">
        <x:v>412</x:v>
      </x:c>
      <x:c r="I88" s="64" t="n">
        <x:v>0.5728155339805825</x:v>
      </x:c>
      <x:c r="J88" s="64" t="n">
        <x:v>0.5798346733537302</x:v>
      </x:c>
    </x:row>
    <x:row r="89" ht="18" customHeight="1">
      <x:c r="A89" s="46" t="str">
        <x:v>LME_027</x:v>
      </x:c>
      <x:c r="B89" s="46" t="str">
        <x:v>exact_sea_around_us</x:v>
      </x:c>
      <x:c r="C89" s="62" t="str">
        <x:v>Sea Around Us exploited organisms</x:v>
      </x:c>
      <x:c r="D89" s="46" t="str">
        <x:v>high</x:v>
      </x:c>
      <x:c r="E89" s="66" t="n">
        <x:v>176</x:v>
      </x:c>
      <x:c r="F89" s="60" t="n">
        <x:v>2424780.51067642</x:v>
      </x:c>
      <x:c r="G89" s="60" t="n">
        <x:v>5771015.257329414</x:v>
      </x:c>
      <x:c r="H89" s="46" t="n">
        <x:v>412</x:v>
      </x:c>
      <x:c r="I89" s="64" t="n">
        <x:v>0.42718446601941745</x:v>
      </x:c>
      <x:c r="J89" s="64" t="n">
        <x:v>0.4201653266462698</x:v>
      </x:c>
    </x:row>
    <x:row r="90" ht="18" customHeight="1">
      <x:c r="A90" s="46" t="str">
        <x:v>LME_028</x:v>
      </x:c>
      <x:c r="B90" s="46" t="str">
        <x:v>exact_sea_around_us</x:v>
      </x:c>
      <x:c r="C90" s="62" t="str">
        <x:v>Sea Around Us exploited organisms</x:v>
      </x:c>
      <x:c r="D90" s="46" t="str">
        <x:v>high</x:v>
      </x:c>
      <x:c r="E90" s="66" t="n">
        <x:v>153</x:v>
      </x:c>
      <x:c r="F90" s="60" t="n">
        <x:v>2833655.7651303564</x:v>
      </x:c>
      <x:c r="G90" s="60" t="n">
        <x:v>4469154.981144244</x:v>
      </x:c>
      <x:c r="H90" s="46" t="n">
        <x:v>325</x:v>
      </x:c>
      <x:c r="I90" s="64" t="n">
        <x:v>0.4707692307692308</x:v>
      </x:c>
      <x:c r="J90" s="64" t="n">
        <x:v>0.6340473259678392</x:v>
      </x:c>
    </x:row>
    <x:row r="91" ht="18" customHeight="1">
      <x:c r="A91" s="46" t="str">
        <x:v>LME_028</x:v>
      </x:c>
      <x:c r="B91" s="46" t="str">
        <x:v>exact_2020_supplement</x:v>
      </x:c>
      <x:c r="C91" s="62" t="str">
        <x:v>2020 supplement MeanTL</x:v>
      </x:c>
      <x:c r="D91" s="46" t="str">
        <x:v>high</x:v>
      </x:c>
      <x:c r="E91" s="66" t="n">
        <x:v>172</x:v>
      </x:c>
      <x:c r="F91" s="60" t="n">
        <x:v>1635499.2160138872</x:v>
      </x:c>
      <x:c r="G91" s="60" t="n">
        <x:v>4469154.981144244</x:v>
      </x:c>
      <x:c r="H91" s="46" t="n">
        <x:v>325</x:v>
      </x:c>
      <x:c r="I91" s="64" t="n">
        <x:v>0.5292307692307693</x:v>
      </x:c>
      <x:c r="J91" s="64" t="n">
        <x:v>0.3659526740321608</x:v>
      </x:c>
    </x:row>
    <x:row r="92" ht="18" customHeight="1">
      <x:c r="A92" s="46" t="str">
        <x:v>LME_029</x:v>
      </x:c>
      <x:c r="B92" s="46" t="str">
        <x:v>exact_sea_around_us</x:v>
      </x:c>
      <x:c r="C92" s="62" t="str">
        <x:v>Sea Around Us exploited organisms</x:v>
      </x:c>
      <x:c r="D92" s="46" t="str">
        <x:v>high</x:v>
      </x:c>
      <x:c r="E92" s="66" t="n">
        <x:v>71</x:v>
      </x:c>
      <x:c r="F92" s="60" t="n">
        <x:v>855542.152200344</x:v>
      </x:c>
      <x:c r="G92" s="60" t="n">
        <x:v>1592518.0818040827</x:v>
      </x:c>
      <x:c r="H92" s="46" t="n">
        <x:v>147</x:v>
      </x:c>
      <x:c r="I92" s="64" t="n">
        <x:v>0.48299319727891155</x:v>
      </x:c>
      <x:c r="J92" s="64" t="n">
        <x:v>0.5372260208381081</x:v>
      </x:c>
    </x:row>
    <x:row r="93" ht="18" customHeight="1">
      <x:c r="A93" s="46" t="str">
        <x:v>LME_029</x:v>
      </x:c>
      <x:c r="B93" s="46" t="str">
        <x:v>exact_2020_supplement</x:v>
      </x:c>
      <x:c r="C93" s="62" t="str">
        <x:v>2020 supplement MeanTL</x:v>
      </x:c>
      <x:c r="D93" s="46" t="str">
        <x:v>high</x:v>
      </x:c>
      <x:c r="E93" s="66" t="n">
        <x:v>76</x:v>
      </x:c>
      <x:c r="F93" s="60" t="n">
        <x:v>736975.9296037386</x:v>
      </x:c>
      <x:c r="G93" s="60" t="n">
        <x:v>1592518.0818040827</x:v>
      </x:c>
      <x:c r="H93" s="46" t="n">
        <x:v>147</x:v>
      </x:c>
      <x:c r="I93" s="64" t="n">
        <x:v>0.5170068027210885</x:v>
      </x:c>
      <x:c r="J93" s="64" t="n">
        <x:v>0.4627739791618919</x:v>
      </x:c>
    </x:row>
    <x:row r="94" ht="18" customHeight="1">
      <x:c r="A94" s="46" t="str">
        <x:v>LME_030</x:v>
      </x:c>
      <x:c r="B94" s="46" t="str">
        <x:v>exact_sea_around_us</x:v>
      </x:c>
      <x:c r="C94" s="62" t="str">
        <x:v>Sea Around Us exploited organisms</x:v>
      </x:c>
      <x:c r="D94" s="46" t="str">
        <x:v>high</x:v>
      </x:c>
      <x:c r="E94" s="66" t="n">
        <x:v>140</x:v>
      </x:c>
      <x:c r="F94" s="60" t="n">
        <x:v>514692.6651183495</x:v>
      </x:c>
      <x:c r="G94" s="60" t="n">
        <x:v>794215.4259763142</x:v>
      </x:c>
      <x:c r="H94" s="46" t="n">
        <x:v>272</x:v>
      </x:c>
      <x:c r="I94" s="64" t="n">
        <x:v>0.5147058823529411</x:v>
      </x:c>
      <x:c r="J94" s="64" t="n">
        <x:v>0.6480517102594014</x:v>
      </x:c>
    </x:row>
    <x:row r="95" ht="18" customHeight="1">
      <x:c r="A95" s="46" t="str">
        <x:v>LME_030</x:v>
      </x:c>
      <x:c r="B95" s="46" t="str">
        <x:v>exact_2020_supplement</x:v>
      </x:c>
      <x:c r="C95" s="62" t="str">
        <x:v>2020 supplement MeanTL</x:v>
      </x:c>
      <x:c r="D95" s="46" t="str">
        <x:v>high</x:v>
      </x:c>
      <x:c r="E95" s="66" t="n">
        <x:v>132</x:v>
      </x:c>
      <x:c r="F95" s="60" t="n">
        <x:v>279522.7608579647</x:v>
      </x:c>
      <x:c r="G95" s="60" t="n">
        <x:v>794215.4259763142</x:v>
      </x:c>
      <x:c r="H95" s="46" t="n">
        <x:v>272</x:v>
      </x:c>
      <x:c r="I95" s="64" t="n">
        <x:v>0.4852941176470588</x:v>
      </x:c>
      <x:c r="J95" s="64" t="n">
        <x:v>0.3519482897405985</x:v>
      </x:c>
    </x:row>
    <x:row r="96" ht="18" customHeight="1">
      <x:c r="A96" s="46" t="str">
        <x:v>LME_031</x:v>
      </x:c>
      <x:c r="B96" s="46" t="str">
        <x:v>exact_sea_around_us</x:v>
      </x:c>
      <x:c r="C96" s="62" t="str">
        <x:v>Sea Around Us exploited organisms</x:v>
      </x:c>
      <x:c r="D96" s="46" t="str">
        <x:v>high</x:v>
      </x:c>
      <x:c r="E96" s="66" t="n">
        <x:v>117</x:v>
      </x:c>
      <x:c r="F96" s="60" t="n">
        <x:v>166699.5570868173</x:v>
      </x:c>
      <x:c r="G96" s="60" t="n">
        <x:v>237379.0786316204</x:v>
      </x:c>
      <x:c r="H96" s="46" t="n">
        <x:v>205</x:v>
      </x:c>
      <x:c r="I96" s="64" t="n">
        <x:v>0.5707317073170731</x:v>
      </x:c>
      <x:c r="J96" s="64" t="n">
        <x:v>0.7022504175505375</x:v>
      </x:c>
    </x:row>
    <x:row r="97" ht="18" customHeight="1">
      <x:c r="A97" s="46" t="str">
        <x:v>LME_031</x:v>
      </x:c>
      <x:c r="B97" s="46" t="str">
        <x:v>exact_2020_supplement</x:v>
      </x:c>
      <x:c r="C97" s="62" t="str">
        <x:v>2020 supplement MeanTL</x:v>
      </x:c>
      <x:c r="D97" s="46" t="str">
        <x:v>high</x:v>
      </x:c>
      <x:c r="E97" s="66" t="n">
        <x:v>88</x:v>
      </x:c>
      <x:c r="F97" s="60" t="n">
        <x:v>70679.5215448031</x:v>
      </x:c>
      <x:c r="G97" s="60" t="n">
        <x:v>237379.0786316204</x:v>
      </x:c>
      <x:c r="H97" s="46" t="n">
        <x:v>205</x:v>
      </x:c>
      <x:c r="I97" s="64" t="n">
        <x:v>0.4292682926829268</x:v>
      </x:c>
      <x:c r="J97" s="64" t="n">
        <x:v>0.2977495824494625</x:v>
      </x:c>
    </x:row>
    <x:row r="98" ht="18" customHeight="1">
      <x:c r="A98" s="46" t="str">
        <x:v>LME_032</x:v>
      </x:c>
      <x:c r="B98" s="46" t="str">
        <x:v>exact_sea_around_us</x:v>
      </x:c>
      <x:c r="C98" s="62" t="str">
        <x:v>Sea Around Us exploited organisms</x:v>
      </x:c>
      <x:c r="D98" s="46" t="str">
        <x:v>high</x:v>
      </x:c>
      <x:c r="E98" s="66" t="n">
        <x:v>193</x:v>
      </x:c>
      <x:c r="F98" s="60" t="n">
        <x:v>3023975.798409274</x:v>
      </x:c>
      <x:c r="G98" s="60" t="n">
        <x:v>5436428.793803818</x:v>
      </x:c>
      <x:c r="H98" s="46" t="n">
        <x:v>393</x:v>
      </x:c>
      <x:c r="I98" s="64" t="n">
        <x:v>0.4910941475826972</x:v>
      </x:c>
      <x:c r="J98" s="64" t="n">
        <x:v>0.5562430619630035</x:v>
      </x:c>
    </x:row>
    <x:row r="99" ht="18" customHeight="1">
      <x:c r="A99" s="46" t="str">
        <x:v>LME_032</x:v>
      </x:c>
      <x:c r="B99" s="46" t="str">
        <x:v>exact_2020_supplement</x:v>
      </x:c>
      <x:c r="C99" s="62" t="str">
        <x:v>2020 supplement MeanTL</x:v>
      </x:c>
      <x:c r="D99" s="46" t="str">
        <x:v>high</x:v>
      </x:c>
      <x:c r="E99" s="66" t="n">
        <x:v>200</x:v>
      </x:c>
      <x:c r="F99" s="60" t="n">
        <x:v>2412452.9953945437</x:v>
      </x:c>
      <x:c r="G99" s="60" t="n">
        <x:v>5436428.793803818</x:v>
      </x:c>
      <x:c r="H99" s="46" t="n">
        <x:v>393</x:v>
      </x:c>
      <x:c r="I99" s="64" t="n">
        <x:v>0.5089058524173028</x:v>
      </x:c>
      <x:c r="J99" s="64" t="n">
        <x:v>0.4437569380369964</x:v>
      </x:c>
    </x:row>
    <x:row r="100" ht="18" customHeight="1">
      <x:c r="A100" s="46" t="str">
        <x:v>LME_033</x:v>
      </x:c>
      <x:c r="B100" s="46" t="str">
        <x:v>exact_sea_around_us</x:v>
      </x:c>
      <x:c r="C100" s="62" t="str">
        <x:v>Sea Around Us exploited organisms</x:v>
      </x:c>
      <x:c r="D100" s="46" t="str">
        <x:v>high</x:v>
      </x:c>
      <x:c r="E100" s="66" t="n">
        <x:v>102</x:v>
      </x:c>
      <x:c r="F100" s="60" t="n">
        <x:v>107195.887761954</x:v>
      </x:c>
      <x:c r="G100" s="60" t="n">
        <x:v>147100.3417814472</x:v>
      </x:c>
      <x:c r="H100" s="46" t="n">
        <x:v>193</x:v>
      </x:c>
      <x:c r="I100" s="64" t="n">
        <x:v>0.5284974093264249</x:v>
      </x:c>
      <x:c r="J100" s="64" t="n">
        <x:v>0.7287262997744708</x:v>
      </x:c>
    </x:row>
    <x:row r="101" ht="18" customHeight="1">
      <x:c r="A101" s="46" t="str">
        <x:v>LME_033</x:v>
      </x:c>
      <x:c r="B101" s="46" t="str">
        <x:v>exact_2020_supplement</x:v>
      </x:c>
      <x:c r="C101" s="62" t="str">
        <x:v>2020 supplement MeanTL</x:v>
      </x:c>
      <x:c r="D101" s="46" t="str">
        <x:v>high</x:v>
      </x:c>
      <x:c r="E101" s="66" t="n">
        <x:v>91</x:v>
      </x:c>
      <x:c r="F101" s="60" t="n">
        <x:v>39904.4540194932</x:v>
      </x:c>
      <x:c r="G101" s="60" t="n">
        <x:v>147100.3417814472</x:v>
      </x:c>
      <x:c r="H101" s="46" t="n">
        <x:v>193</x:v>
      </x:c>
      <x:c r="I101" s="64" t="n">
        <x:v>0.47150259067357514</x:v>
      </x:c>
      <x:c r="J101" s="64" t="n">
        <x:v>0.2712737002255292</x:v>
      </x:c>
    </x:row>
    <x:row r="102" ht="18" customHeight="1">
      <x:c r="A102" s="46" t="str">
        <x:v>LME_034</x:v>
      </x:c>
      <x:c r="B102" s="46" t="str">
        <x:v>exact_sea_around_us</x:v>
      </x:c>
      <x:c r="C102" s="62" t="str">
        <x:v>Sea Around Us exploited organisms</x:v>
      </x:c>
      <x:c r="D102" s="46" t="str">
        <x:v>high</x:v>
      </x:c>
      <x:c r="E102" s="66" t="n">
        <x:v>179</x:v>
      </x:c>
      <x:c r="F102" s="60" t="n">
        <x:v>5179539.039041754</x:v>
      </x:c>
      <x:c r="G102" s="60" t="n">
        <x:v>6697725.785375867</x:v>
      </x:c>
      <x:c r="H102" s="46" t="n">
        <x:v>288</x:v>
      </x:c>
      <x:c r="I102" s="64" t="n">
        <x:v>0.6215277777777778</x:v>
      </x:c>
      <x:c r="J102" s="64" t="n">
        <x:v>0.7733280228269431</x:v>
      </x:c>
    </x:row>
    <x:row r="103" ht="18" customHeight="1">
      <x:c r="A103" s="46" t="str">
        <x:v>LME_034</x:v>
      </x:c>
      <x:c r="B103" s="46" t="str">
        <x:v>exact_2020_supplement</x:v>
      </x:c>
      <x:c r="C103" s="62" t="str">
        <x:v>2020 supplement MeanTL</x:v>
      </x:c>
      <x:c r="D103" s="46" t="str">
        <x:v>high</x:v>
      </x:c>
      <x:c r="E103" s="66" t="n">
        <x:v>109</x:v>
      </x:c>
      <x:c r="F103" s="60" t="n">
        <x:v>1518186.7463341132</x:v>
      </x:c>
      <x:c r="G103" s="60" t="n">
        <x:v>6697725.785375867</x:v>
      </x:c>
      <x:c r="H103" s="46" t="n">
        <x:v>288</x:v>
      </x:c>
      <x:c r="I103" s="64" t="n">
        <x:v>0.3784722222222222</x:v>
      </x:c>
      <x:c r="J103" s="64" t="n">
        <x:v>0.2266719771730569</x:v>
      </x:c>
    </x:row>
    <x:row r="104" ht="18" customHeight="1">
      <x:c r="A104" s="46" t="str">
        <x:v>LME_035</x:v>
      </x:c>
      <x:c r="B104" s="46" t="str">
        <x:v>exact_sea_around_us</x:v>
      </x:c>
      <x:c r="C104" s="62" t="str">
        <x:v>Sea Around Us exploited organisms</x:v>
      </x:c>
      <x:c r="D104" s="46" t="str">
        <x:v>high</x:v>
      </x:c>
      <x:c r="E104" s="66" t="n">
        <x:v>145</x:v>
      </x:c>
      <x:c r="F104" s="60" t="n">
        <x:v>2297500.6793667916</x:v>
      </x:c>
      <x:c r="G104" s="60" t="n">
        <x:v>2615825.056861822</x:v>
      </x:c>
      <x:c r="H104" s="46" t="n">
        <x:v>214</x:v>
      </x:c>
      <x:c r="I104" s="64" t="n">
        <x:v>0.677570093457944</x:v>
      </x:c>
      <x:c r="J104" s="64" t="n">
        <x:v>0.8783082314086704</x:v>
      </x:c>
    </x:row>
    <x:row r="105" ht="18" customHeight="1">
      <x:c r="A105" s="46" t="str">
        <x:v>LME_035</x:v>
      </x:c>
      <x:c r="B105" s="46" t="str">
        <x:v>exact_2020_supplement</x:v>
      </x:c>
      <x:c r="C105" s="62" t="str">
        <x:v>2020 supplement MeanTL</x:v>
      </x:c>
      <x:c r="D105" s="46" t="str">
        <x:v>high</x:v>
      </x:c>
      <x:c r="E105" s="66" t="n">
        <x:v>69</x:v>
      </x:c>
      <x:c r="F105" s="60" t="n">
        <x:v>318324.3774950302</x:v>
      </x:c>
      <x:c r="G105" s="60" t="n">
        <x:v>2615825.056861822</x:v>
      </x:c>
      <x:c r="H105" s="46" t="n">
        <x:v>214</x:v>
      </x:c>
      <x:c r="I105" s="64" t="n">
        <x:v>0.32242990654205606</x:v>
      </x:c>
      <x:c r="J105" s="64" t="n">
        <x:v>0.1216917685913295</x:v>
      </x:c>
    </x:row>
    <x:row r="106" ht="18" customHeight="1">
      <x:c r="A106" s="46" t="str">
        <x:v>LME_036</x:v>
      </x:c>
      <x:c r="B106" s="46" t="str">
        <x:v>exact_sea_around_us</x:v>
      </x:c>
      <x:c r="C106" s="62" t="str">
        <x:v>Sea Around Us exploited organisms</x:v>
      </x:c>
      <x:c r="D106" s="46" t="str">
        <x:v>high</x:v>
      </x:c>
      <x:c r="E106" s="66" t="n">
        <x:v>208</x:v>
      </x:c>
      <x:c r="F106" s="60" t="n">
        <x:v>8813719.17838607</x:v>
      </x:c>
      <x:c r="G106" s="60" t="n">
        <x:v>11101666.087778976</x:v>
      </x:c>
      <x:c r="H106" s="46" t="n">
        <x:v>340</x:v>
      </x:c>
      <x:c r="I106" s="64" t="n">
        <x:v>0.611764705882353</x:v>
      </x:c>
      <x:c r="J106" s="64" t="n">
        <x:v>0.7939095905693343</x:v>
      </x:c>
    </x:row>
    <x:row r="107" ht="18" customHeight="1">
      <x:c r="A107" s="46" t="str">
        <x:v>LME_036</x:v>
      </x:c>
      <x:c r="B107" s="46" t="str">
        <x:v>exact_2020_supplement</x:v>
      </x:c>
      <x:c r="C107" s="62" t="str">
        <x:v>2020 supplement MeanTL</x:v>
      </x:c>
      <x:c r="D107" s="46" t="str">
        <x:v>high</x:v>
      </x:c>
      <x:c r="E107" s="66" t="n">
        <x:v>132</x:v>
      </x:c>
      <x:c r="F107" s="60" t="n">
        <x:v>2287946.9093929054</x:v>
      </x:c>
      <x:c r="G107" s="60" t="n">
        <x:v>11101666.087778976</x:v>
      </x:c>
      <x:c r="H107" s="46" t="n">
        <x:v>340</x:v>
      </x:c>
      <x:c r="I107" s="64" t="n">
        <x:v>0.38823529411764707</x:v>
      </x:c>
      <x:c r="J107" s="64" t="n">
        <x:v>0.20609040943066564</x:v>
      </x:c>
    </x:row>
    <x:row r="108" ht="18" customHeight="1">
      <x:c r="A108" s="46" t="str">
        <x:v>LME_037</x:v>
      </x:c>
      <x:c r="B108" s="46" t="str">
        <x:v>exact_sea_around_us</x:v>
      </x:c>
      <x:c r="C108" s="62" t="str">
        <x:v>Sea Around Us exploited organisms</x:v>
      </x:c>
      <x:c r="D108" s="46" t="str">
        <x:v>high</x:v>
      </x:c>
      <x:c r="E108" s="66" t="n">
        <x:v>142</x:v>
      </x:c>
      <x:c r="F108" s="60" t="n">
        <x:v>1057086.8939323956</x:v>
      </x:c>
      <x:c r="G108" s="60" t="n">
        <x:v>1731971.9673227617</x:v>
      </x:c>
      <x:c r="H108" s="46" t="n">
        <x:v>219</x:v>
      </x:c>
      <x:c r="I108" s="64" t="n">
        <x:v>0.6484018264840182</x:v>
      </x:c>
      <x:c r="J108" s="64" t="n">
        <x:v>0.6103371843635632</x:v>
      </x:c>
    </x:row>
    <x:row r="109" ht="18" customHeight="1">
      <x:c r="A109" s="46" t="str">
        <x:v>LME_037</x:v>
      </x:c>
      <x:c r="B109" s="46" t="str">
        <x:v>exact_2020_supplement</x:v>
      </x:c>
      <x:c r="C109" s="62" t="str">
        <x:v>2020 supplement MeanTL</x:v>
      </x:c>
      <x:c r="D109" s="46" t="str">
        <x:v>high</x:v>
      </x:c>
      <x:c r="E109" s="66" t="n">
        <x:v>77</x:v>
      </x:c>
      <x:c r="F109" s="60" t="n">
        <x:v>674885.073390366</x:v>
      </x:c>
      <x:c r="G109" s="60" t="n">
        <x:v>1731971.9673227617</x:v>
      </x:c>
      <x:c r="H109" s="46" t="n">
        <x:v>219</x:v>
      </x:c>
      <x:c r="I109" s="64" t="n">
        <x:v>0.3515981735159817</x:v>
      </x:c>
      <x:c r="J109" s="64" t="n">
        <x:v>0.3896628156364368</x:v>
      </x:c>
    </x:row>
    <x:row r="110" ht="18" customHeight="1">
      <x:c r="A110" s="46" t="str">
        <x:v>LME_038</x:v>
      </x:c>
      <x:c r="B110" s="46" t="str">
        <x:v>exact_sea_around_us</x:v>
      </x:c>
      <x:c r="C110" s="62" t="str">
        <x:v>Sea Around Us exploited organisms</x:v>
      </x:c>
      <x:c r="D110" s="46" t="str">
        <x:v>high</x:v>
      </x:c>
      <x:c r="E110" s="66" t="n">
        <x:v>90</x:v>
      </x:c>
      <x:c r="F110" s="60" t="n">
        <x:v>1944118.6713466921</x:v>
      </x:c>
      <x:c r="G110" s="60" t="n">
        <x:v>2883541.9537540907</x:v>
      </x:c>
      <x:c r="H110" s="46" t="n">
        <x:v>142</x:v>
      </x:c>
      <x:c r="I110" s="64" t="n">
        <x:v>0.6338028169014085</x:v>
      </x:c>
      <x:c r="J110" s="64" t="n">
        <x:v>0.6742120289998343</x:v>
      </x:c>
    </x:row>
    <x:row r="111" ht="18" customHeight="1">
      <x:c r="A111" s="46" t="str">
        <x:v>LME_038</x:v>
      </x:c>
      <x:c r="B111" s="46" t="str">
        <x:v>exact_2020_supplement</x:v>
      </x:c>
      <x:c r="C111" s="62" t="str">
        <x:v>2020 supplement MeanTL</x:v>
      </x:c>
      <x:c r="D111" s="46" t="str">
        <x:v>high</x:v>
      </x:c>
      <x:c r="E111" s="66" t="n">
        <x:v>52</x:v>
      </x:c>
      <x:c r="F111" s="60" t="n">
        <x:v>939423.2824073987</x:v>
      </x:c>
      <x:c r="G111" s="60" t="n">
        <x:v>2883541.9537540907</x:v>
      </x:c>
      <x:c r="H111" s="46" t="n">
        <x:v>142</x:v>
      </x:c>
      <x:c r="I111" s="64" t="n">
        <x:v>0.36619718309859156</x:v>
      </x:c>
      <x:c r="J111" s="64" t="n">
        <x:v>0.32578797100016565</x:v>
      </x:c>
    </x:row>
    <x:row r="112" ht="18" customHeight="1">
      <x:c r="A112" s="46" t="str">
        <x:v>LME_039</x:v>
      </x:c>
      <x:c r="B112" s="46" t="str">
        <x:v>exact_sea_around_us</x:v>
      </x:c>
      <x:c r="C112" s="62" t="str">
        <x:v>Sea Around Us exploited organisms</x:v>
      </x:c>
      <x:c r="D112" s="46" t="str">
        <x:v>high</x:v>
      </x:c>
      <x:c r="E112" s="66" t="n">
        <x:v>217</x:v>
      </x:c>
      <x:c r="F112" s="60" t="n">
        <x:v>25880.7640581048</x:v>
      </x:c>
      <x:c r="G112" s="60" t="n">
        <x:v>44872.4444403339</x:v>
      </x:c>
      <x:c r="H112" s="46" t="n">
        <x:v>452</x:v>
      </x:c>
      <x:c r="I112" s="64" t="n">
        <x:v>0.48008849557522126</x:v>
      </x:c>
      <x:c r="J112" s="64" t="n">
        <x:v>0.5767629640172154</x:v>
      </x:c>
    </x:row>
    <x:row r="113" ht="18" customHeight="1">
      <x:c r="A113" s="46" t="str">
        <x:v>LME_039</x:v>
      </x:c>
      <x:c r="B113" s="46" t="str">
        <x:v>exact_2020_supplement</x:v>
      </x:c>
      <x:c r="C113" s="62" t="str">
        <x:v>2020 supplement MeanTL</x:v>
      </x:c>
      <x:c r="D113" s="46" t="str">
        <x:v>high</x:v>
      </x:c>
      <x:c r="E113" s="66" t="n">
        <x:v>235</x:v>
      </x:c>
      <x:c r="F113" s="60" t="n">
        <x:v>18991.6803822291</x:v>
      </x:c>
      <x:c r="G113" s="60" t="n">
        <x:v>44872.4444403339</x:v>
      </x:c>
      <x:c r="H113" s="46" t="n">
        <x:v>452</x:v>
      </x:c>
      <x:c r="I113" s="64" t="n">
        <x:v>0.5199115044247787</x:v>
      </x:c>
      <x:c r="J113" s="64" t="n">
        <x:v>0.42323703598278456</x:v>
      </x:c>
    </x:row>
    <x:row r="114" ht="18" customHeight="1">
      <x:c r="A114" s="46" t="str">
        <x:v>LME_040</x:v>
      </x:c>
      <x:c r="B114" s="46" t="str">
        <x:v>exact_sea_around_us</x:v>
      </x:c>
      <x:c r="C114" s="62" t="str">
        <x:v>Sea Around Us exploited organisms</x:v>
      </x:c>
      <x:c r="D114" s="46" t="str">
        <x:v>high</x:v>
      </x:c>
      <x:c r="E114" s="66" t="n">
        <x:v>161</x:v>
      </x:c>
      <x:c r="F114" s="60" t="n">
        <x:v>13568.6339577754</x:v>
      </x:c>
      <x:c r="G114" s="60" t="n">
        <x:v>22842.5316976432</x:v>
      </x:c>
      <x:c r="H114" s="46" t="n">
        <x:v>332</x:v>
      </x:c>
      <x:c r="I114" s="64" t="n">
        <x:v>0.48493975903614456</x:v>
      </x:c>
      <x:c r="J114" s="64" t="n">
        <x:v>0.594007447921167</x:v>
      </x:c>
    </x:row>
    <x:row r="115" ht="18" customHeight="1">
      <x:c r="A115" s="46" t="str">
        <x:v>LME_040</x:v>
      </x:c>
      <x:c r="B115" s="46" t="str">
        <x:v>exact_2020_supplement</x:v>
      </x:c>
      <x:c r="C115" s="62" t="str">
        <x:v>2020 supplement MeanTL</x:v>
      </x:c>
      <x:c r="D115" s="46" t="str">
        <x:v>high</x:v>
      </x:c>
      <x:c r="E115" s="66" t="n">
        <x:v>171</x:v>
      </x:c>
      <x:c r="F115" s="60" t="n">
        <x:v>9273.8977398678</x:v>
      </x:c>
      <x:c r="G115" s="60" t="n">
        <x:v>22842.5316976432</x:v>
      </x:c>
      <x:c r="H115" s="46" t="n">
        <x:v>332</x:v>
      </x:c>
      <x:c r="I115" s="64" t="n">
        <x:v>0.5150602409638554</x:v>
      </x:c>
      <x:c r="J115" s="64" t="n">
        <x:v>0.40599255207883295</x:v>
      </x:c>
    </x:row>
    <x:row r="116" ht="18" customHeight="1">
      <x:c r="A116" s="46" t="str">
        <x:v>LME_041</x:v>
      </x:c>
      <x:c r="B116" s="46" t="str">
        <x:v>exact_sea_around_us</x:v>
      </x:c>
      <x:c r="C116" s="62" t="str">
        <x:v>Sea Around Us exploited organisms</x:v>
      </x:c>
      <x:c r="D116" s="46" t="str">
        <x:v>high</x:v>
      </x:c>
      <x:c r="E116" s="66" t="n">
        <x:v>183</x:v>
      </x:c>
      <x:c r="F116" s="60" t="n">
        <x:v>20760.254472359</x:v>
      </x:c>
      <x:c r="G116" s="60" t="n">
        <x:v>39281.0247337031</x:v>
      </x:c>
      <x:c r="H116" s="46" t="n">
        <x:v>382</x:v>
      </x:c>
      <x:c r="I116" s="64" t="n">
        <x:v>0.4790575916230366</x:v>
      </x:c>
      <x:c r="J116" s="64" t="n">
        <x:v>0.528505929086588</x:v>
      </x:c>
    </x:row>
    <x:row r="117" ht="18" customHeight="1">
      <x:c r="A117" s="46" t="str">
        <x:v>LME_041</x:v>
      </x:c>
      <x:c r="B117" s="46" t="str">
        <x:v>exact_2020_supplement</x:v>
      </x:c>
      <x:c r="C117" s="62" t="str">
        <x:v>2020 supplement MeanTL</x:v>
      </x:c>
      <x:c r="D117" s="46" t="str">
        <x:v>high</x:v>
      </x:c>
      <x:c r="E117" s="66" t="n">
        <x:v>199</x:v>
      </x:c>
      <x:c r="F117" s="60" t="n">
        <x:v>18520.7702613441</x:v>
      </x:c>
      <x:c r="G117" s="60" t="n">
        <x:v>39281.0247337031</x:v>
      </x:c>
      <x:c r="H117" s="46" t="n">
        <x:v>382</x:v>
      </x:c>
      <x:c r="I117" s="64" t="n">
        <x:v>0.5209424083769634</x:v>
      </x:c>
      <x:c r="J117" s="64" t="n">
        <x:v>0.47149407091341194</x:v>
      </x:c>
    </x:row>
    <x:row r="118" ht="18" customHeight="1">
      <x:c r="A118" s="46" t="str">
        <x:v>LME_042</x:v>
      </x:c>
      <x:c r="B118" s="46" t="str">
        <x:v>exact_2020_supplement</x:v>
      </x:c>
      <x:c r="C118" s="62" t="str">
        <x:v>2020 supplement MeanTL</x:v>
      </x:c>
      <x:c r="D118" s="46" t="str">
        <x:v>high</x:v>
      </x:c>
      <x:c r="E118" s="66" t="n">
        <x:v>111</x:v>
      </x:c>
      <x:c r="F118" s="60" t="n">
        <x:v>17532.7393653736</x:v>
      </x:c>
      <x:c r="G118" s="60" t="n">
        <x:v>32645.7543579061</x:v>
      </x:c>
      <x:c r="H118" s="46" t="n">
        <x:v>246</x:v>
      </x:c>
      <x:c r="I118" s="64" t="n">
        <x:v>0.45121951219512196</x:v>
      </x:c>
      <x:c r="J118" s="64" t="n">
        <x:v>0.5370603225508724</x:v>
      </x:c>
    </x:row>
    <x:row r="119" ht="18" customHeight="1">
      <x:c r="A119" s="46" t="str">
        <x:v>LME_042</x:v>
      </x:c>
      <x:c r="B119" s="46" t="str">
        <x:v>exact_sea_around_us</x:v>
      </x:c>
      <x:c r="C119" s="62" t="str">
        <x:v>Sea Around Us exploited organisms</x:v>
      </x:c>
      <x:c r="D119" s="46" t="str">
        <x:v>high</x:v>
      </x:c>
      <x:c r="E119" s="66" t="n">
        <x:v>135</x:v>
      </x:c>
      <x:c r="F119" s="60" t="n">
        <x:v>15113.0149925325</x:v>
      </x:c>
      <x:c r="G119" s="60" t="n">
        <x:v>32645.7543579061</x:v>
      </x:c>
      <x:c r="H119" s="46" t="n">
        <x:v>246</x:v>
      </x:c>
      <x:c r="I119" s="64" t="n">
        <x:v>0.5487804878048781</x:v>
      </x:c>
      <x:c r="J119" s="64" t="n">
        <x:v>0.46293967744912756</x:v>
      </x:c>
    </x:row>
    <x:row r="120" ht="18" customHeight="1">
      <x:c r="A120" s="46" t="str">
        <x:v>LME_043</x:v>
      </x:c>
      <x:c r="B120" s="46" t="str">
        <x:v>exact_2020_supplement</x:v>
      </x:c>
      <x:c r="C120" s="62" t="str">
        <x:v>2020 supplement MeanTL</x:v>
      </x:c>
      <x:c r="D120" s="46" t="str">
        <x:v>high</x:v>
      </x:c>
      <x:c r="E120" s="66" t="n">
        <x:v>111</x:v>
      </x:c>
      <x:c r="F120" s="60" t="n">
        <x:v>18686.7969428345</x:v>
      </x:c>
      <x:c r="G120" s="60" t="n">
        <x:v>30450.9174249122</x:v>
      </x:c>
      <x:c r="H120" s="46" t="n">
        <x:v>245</x:v>
      </x:c>
      <x:c r="I120" s="64" t="n">
        <x:v>0.4530612244897959</x:v>
      </x:c>
      <x:c r="J120" s="64" t="n">
        <x:v>0.61366942355394</x:v>
      </x:c>
    </x:row>
    <x:row r="121" ht="18" customHeight="1">
      <x:c r="A121" s="46" t="str">
        <x:v>LME_043</x:v>
      </x:c>
      <x:c r="B121" s="46" t="str">
        <x:v>exact_sea_around_us</x:v>
      </x:c>
      <x:c r="C121" s="62" t="str">
        <x:v>Sea Around Us exploited organisms</x:v>
      </x:c>
      <x:c r="D121" s="46" t="str">
        <x:v>high</x:v>
      </x:c>
      <x:c r="E121" s="66" t="n">
        <x:v>134</x:v>
      </x:c>
      <x:c r="F121" s="60" t="n">
        <x:v>11764.1204820777</x:v>
      </x:c>
      <x:c r="G121" s="60" t="n">
        <x:v>30450.9174249122</x:v>
      </x:c>
      <x:c r="H121" s="46" t="n">
        <x:v>245</x:v>
      </x:c>
      <x:c r="I121" s="64" t="n">
        <x:v>0.5469387755102041</x:v>
      </x:c>
      <x:c r="J121" s="64" t="n">
        <x:v>0.3863305764460599</x:v>
      </x:c>
    </x:row>
    <x:row r="122" ht="18" customHeight="1">
      <x:c r="A122" s="46" t="str">
        <x:v>LME_044</x:v>
      </x:c>
      <x:c r="B122" s="46" t="str">
        <x:v>exact_sea_around_us</x:v>
      </x:c>
      <x:c r="C122" s="62" t="str">
        <x:v>Sea Around Us exploited organisms</x:v>
      </x:c>
      <x:c r="D122" s="46" t="str">
        <x:v>high</x:v>
      </x:c>
      <x:c r="E122" s="66" t="n">
        <x:v>194</x:v>
      </x:c>
      <x:c r="F122" s="60" t="n">
        <x:v>13664.710434395</x:v>
      </x:c>
      <x:c r="G122" s="60" t="n">
        <x:v>19839.0729312876</x:v>
      </x:c>
      <x:c r="H122" s="46" t="n">
        <x:v>411</x:v>
      </x:c>
      <x:c r="I122" s="64" t="n">
        <x:v>0.4720194647201946</x:v>
      </x:c>
      <x:c r="J122" s="64" t="n">
        <x:v>0.6887776702934943</x:v>
      </x:c>
    </x:row>
    <x:row r="123" ht="18" customHeight="1">
      <x:c r="A123" s="46" t="str">
        <x:v>LME_044</x:v>
      </x:c>
      <x:c r="B123" s="46" t="str">
        <x:v>exact_2020_supplement</x:v>
      </x:c>
      <x:c r="C123" s="62" t="str">
        <x:v>2020 supplement MeanTL</x:v>
      </x:c>
      <x:c r="D123" s="46" t="str">
        <x:v>high</x:v>
      </x:c>
      <x:c r="E123" s="66" t="n">
        <x:v>217</x:v>
      </x:c>
      <x:c r="F123" s="60" t="n">
        <x:v>6174.3624968926</x:v>
      </x:c>
      <x:c r="G123" s="60" t="n">
        <x:v>19839.0729312876</x:v>
      </x:c>
      <x:c r="H123" s="46" t="n">
        <x:v>411</x:v>
      </x:c>
      <x:c r="I123" s="64" t="n">
        <x:v>0.5279805352798054</x:v>
      </x:c>
      <x:c r="J123" s="64" t="n">
        <x:v>0.3112223297065056</x:v>
      </x:c>
    </x:row>
    <x:row r="124" ht="18" customHeight="1">
      <x:c r="A124" s="46" t="str">
        <x:v>LME_045</x:v>
      </x:c>
      <x:c r="B124" s="46" t="str">
        <x:v>exact_2020_supplement</x:v>
      </x:c>
      <x:c r="C124" s="62" t="str">
        <x:v>2020 supplement MeanTL</x:v>
      </x:c>
      <x:c r="D124" s="46" t="str">
        <x:v>high</x:v>
      </x:c>
      <x:c r="E124" s="66" t="n">
        <x:v>211</x:v>
      </x:c>
      <x:c r="F124" s="60" t="n">
        <x:v>25041.116485450002</x:v>
      </x:c>
      <x:c r="G124" s="60" t="n">
        <x:v>44647.944981429304</x:v>
      </x:c>
      <x:c r="H124" s="46" t="n">
        <x:v>410</x:v>
      </x:c>
      <x:c r="I124" s="64" t="n">
        <x:v>0.5146341463414634</x:v>
      </x:c>
      <x:c r="J124" s="64" t="n">
        <x:v>0.5608570897465831</x:v>
      </x:c>
    </x:row>
    <x:row r="125" ht="18" customHeight="1">
      <x:c r="A125" s="46" t="str">
        <x:v>LME_045</x:v>
      </x:c>
      <x:c r="B125" s="46" t="str">
        <x:v>exact_sea_around_us</x:v>
      </x:c>
      <x:c r="C125" s="62" t="str">
        <x:v>Sea Around Us exploited organisms</x:v>
      </x:c>
      <x:c r="D125" s="46" t="str">
        <x:v>high</x:v>
      </x:c>
      <x:c r="E125" s="66" t="n">
        <x:v>199</x:v>
      </x:c>
      <x:c r="F125" s="60" t="n">
        <x:v>19606.828495979298</x:v>
      </x:c>
      <x:c r="G125" s="60" t="n">
        <x:v>44647.944981429304</x:v>
      </x:c>
      <x:c r="H125" s="46" t="n">
        <x:v>410</x:v>
      </x:c>
      <x:c r="I125" s="64" t="n">
        <x:v>0.4853658536585366</x:v>
      </x:c>
      <x:c r="J125" s="64" t="n">
        <x:v>0.4391429102534168</x:v>
      </x:c>
    </x:row>
    <x:row r="126" ht="18" customHeight="1">
      <x:c r="A126" s="46" t="str">
        <x:v>LME_046</x:v>
      </x:c>
      <x:c r="B126" s="46" t="str">
        <x:v>exact_2020_supplement</x:v>
      </x:c>
      <x:c r="C126" s="62" t="str">
        <x:v>2020 supplement MeanTL</x:v>
      </x:c>
      <x:c r="D126" s="46" t="str">
        <x:v>high</x:v>
      </x:c>
      <x:c r="E126" s="66" t="n">
        <x:v>87</x:v>
      </x:c>
      <x:c r="F126" s="60" t="n">
        <x:v>280158.3272979933</x:v>
      </x:c>
      <x:c r="G126" s="60" t="n">
        <x:v>431127.7771667331</x:v>
      </x:c>
      <x:c r="H126" s="46" t="n">
        <x:v>197</x:v>
      </x:c>
      <x:c r="I126" s="64" t="n">
        <x:v>0.4416243654822335</x:v>
      </x:c>
      <x:c r="J126" s="64" t="n">
        <x:v>0.6498266688802231</x:v>
      </x:c>
    </x:row>
    <x:row r="127" ht="18" customHeight="1">
      <x:c r="A127" s="46" t="str">
        <x:v>LME_046</x:v>
      </x:c>
      <x:c r="B127" s="46" t="str">
        <x:v>exact_sea_around_us</x:v>
      </x:c>
      <x:c r="C127" s="62" t="str">
        <x:v>Sea Around Us exploited organisms</x:v>
      </x:c>
      <x:c r="D127" s="46" t="str">
        <x:v>high</x:v>
      </x:c>
      <x:c r="E127" s="66" t="n">
        <x:v>110</x:v>
      </x:c>
      <x:c r="F127" s="60" t="n">
        <x:v>150969.4498687398</x:v>
      </x:c>
      <x:c r="G127" s="60" t="n">
        <x:v>431127.7771667331</x:v>
      </x:c>
      <x:c r="H127" s="46" t="n">
        <x:v>197</x:v>
      </x:c>
      <x:c r="I127" s="64" t="n">
        <x:v>0.5583756345177665</x:v>
      </x:c>
      <x:c r="J127" s="64" t="n">
        <x:v>0.35017333111977683</x:v>
      </x:c>
    </x:row>
    <x:row r="128" ht="18" customHeight="1">
      <x:c r="A128" s="46" t="str">
        <x:v>LME_047</x:v>
      </x:c>
      <x:c r="B128" s="46" t="str">
        <x:v>exact_sea_around_us</x:v>
      </x:c>
      <x:c r="C128" s="62" t="str">
        <x:v>Sea Around Us exploited organisms</x:v>
      </x:c>
      <x:c r="D128" s="46" t="str">
        <x:v>high</x:v>
      </x:c>
      <x:c r="E128" s="66" t="n">
        <x:v>160</x:v>
      </x:c>
      <x:c r="F128" s="60" t="n">
        <x:v>2860946.2095963345</x:v>
      </x:c>
      <x:c r="G128" s="60" t="n">
        <x:v>5649829.984210193</x:v>
      </x:c>
      <x:c r="H128" s="46" t="n">
        <x:v>254</x:v>
      </x:c>
      <x:c r="I128" s="64" t="n">
        <x:v>0.6299212598425197</x:v>
      </x:c>
      <x:c r="J128" s="64" t="n">
        <x:v>0.5063773985397677</x:v>
      </x:c>
    </x:row>
    <x:row r="129" ht="18" customHeight="1">
      <x:c r="A129" s="46" t="str">
        <x:v>LME_047</x:v>
      </x:c>
      <x:c r="B129" s="46" t="str">
        <x:v>exact_2020_supplement</x:v>
      </x:c>
      <x:c r="C129" s="62" t="str">
        <x:v>2020 supplement MeanTL</x:v>
      </x:c>
      <x:c r="D129" s="46" t="str">
        <x:v>high</x:v>
      </x:c>
      <x:c r="E129" s="66" t="n">
        <x:v>94</x:v>
      </x:c>
      <x:c r="F129" s="60" t="n">
        <x:v>2788883.7746138587</x:v>
      </x:c>
      <x:c r="G129" s="60" t="n">
        <x:v>5649829.984210193</x:v>
      </x:c>
      <x:c r="H129" s="46" t="n">
        <x:v>254</x:v>
      </x:c>
      <x:c r="I129" s="64" t="n">
        <x:v>0.3700787401574803</x:v>
      </x:c>
      <x:c r="J129" s="64" t="n">
        <x:v>0.4936226014602323</x:v>
      </x:c>
    </x:row>
    <x:row r="130" ht="18" customHeight="1">
      <x:c r="A130" s="46" t="str">
        <x:v>LME_048</x:v>
      </x:c>
      <x:c r="B130" s="46" t="str">
        <x:v>exact_sea_around_us</x:v>
      </x:c>
      <x:c r="C130" s="62" t="str">
        <x:v>Sea Around Us exploited organisms</x:v>
      </x:c>
      <x:c r="D130" s="46" t="str">
        <x:v>high</x:v>
      </x:c>
      <x:c r="E130" s="66" t="n">
        <x:v>122</x:v>
      </x:c>
      <x:c r="F130" s="60" t="n">
        <x:v>1611687.8018338387</x:v>
      </x:c>
      <x:c r="G130" s="60" t="n">
        <x:v>2658977.968899307</x:v>
      </x:c>
      <x:c r="H130" s="46" t="n">
        <x:v>175</x:v>
      </x:c>
      <x:c r="I130" s="64" t="n">
        <x:v>0.6971428571428572</x:v>
      </x:c>
      <x:c r="J130" s="64" t="n">
        <x:v>0.6061305586901882</x:v>
      </x:c>
    </x:row>
    <x:row r="131" ht="18" customHeight="1">
      <x:c r="A131" s="46" t="str">
        <x:v>LME_048</x:v>
      </x:c>
      <x:c r="B131" s="46" t="str">
        <x:v>exact_2020_supplement</x:v>
      </x:c>
      <x:c r="C131" s="62" t="str">
        <x:v>2020 supplement MeanTL</x:v>
      </x:c>
      <x:c r="D131" s="46" t="str">
        <x:v>high</x:v>
      </x:c>
      <x:c r="E131" s="66" t="n">
        <x:v>53</x:v>
      </x:c>
      <x:c r="F131" s="60" t="n">
        <x:v>1047290.1670654682</x:v>
      </x:c>
      <x:c r="G131" s="60" t="n">
        <x:v>2658977.968899307</x:v>
      </x:c>
      <x:c r="H131" s="46" t="n">
        <x:v>175</x:v>
      </x:c>
      <x:c r="I131" s="64" t="n">
        <x:v>0.3028571428571429</x:v>
      </x:c>
      <x:c r="J131" s="64" t="n">
        <x:v>0.39386944130981183</x:v>
      </x:c>
    </x:row>
    <x:row r="132" ht="18" customHeight="1">
      <x:c r="A132" s="46" t="str">
        <x:v>LME_049</x:v>
      </x:c>
      <x:c r="B132" s="46" t="str">
        <x:v>exact_sea_around_us</x:v>
      </x:c>
      <x:c r="C132" s="62" t="str">
        <x:v>Sea Around Us exploited organisms</x:v>
      </x:c>
      <x:c r="D132" s="46" t="str">
        <x:v>high</x:v>
      </x:c>
      <x:c r="E132" s="66" t="n">
        <x:v>140</x:v>
      </x:c>
      <x:c r="F132" s="60" t="n">
        <x:v>1737369.3964359923</x:v>
      </x:c>
      <x:c r="G132" s="60" t="n">
        <x:v>3090456.2651244747</x:v>
      </x:c>
      <x:c r="H132" s="46" t="n">
        <x:v>229</x:v>
      </x:c>
      <x:c r="I132" s="64" t="n">
        <x:v>0.611353711790393</x:v>
      </x:c>
      <x:c r="J132" s="64" t="n">
        <x:v>0.5621724584948999</x:v>
      </x:c>
    </x:row>
    <x:row r="133" ht="18" customHeight="1">
      <x:c r="A133" s="46" t="str">
        <x:v>LME_049</x:v>
      </x:c>
      <x:c r="B133" s="46" t="str">
        <x:v>exact_2020_supplement</x:v>
      </x:c>
      <x:c r="C133" s="62" t="str">
        <x:v>2020 supplement MeanTL</x:v>
      </x:c>
      <x:c r="D133" s="46" t="str">
        <x:v>high</x:v>
      </x:c>
      <x:c r="E133" s="66" t="n">
        <x:v>89</x:v>
      </x:c>
      <x:c r="F133" s="60" t="n">
        <x:v>1353086.868688482</x:v>
      </x:c>
      <x:c r="G133" s="60" t="n">
        <x:v>3090456.2651244747</x:v>
      </x:c>
      <x:c r="H133" s="46" t="n">
        <x:v>229</x:v>
      </x:c>
      <x:c r="I133" s="64" t="n">
        <x:v>0.388646288209607</x:v>
      </x:c>
      <x:c r="J133" s="64" t="n">
        <x:v>0.43782754150509995</x:v>
      </x:c>
    </x:row>
    <x:row r="134" ht="18" customHeight="1">
      <x:c r="A134" s="46" t="str">
        <x:v>LME_050</x:v>
      </x:c>
      <x:c r="B134" s="46" t="str">
        <x:v>exact_sea_around_us</x:v>
      </x:c>
      <x:c r="C134" s="62" t="str">
        <x:v>Sea Around Us exploited organisms</x:v>
      </x:c>
      <x:c r="D134" s="46" t="str">
        <x:v>high</x:v>
      </x:c>
      <x:c r="E134" s="66" t="n">
        <x:v>138</x:v>
      </x:c>
      <x:c r="F134" s="60" t="n">
        <x:v>1538340.3968175815</x:v>
      </x:c>
      <x:c r="G134" s="60" t="n">
        <x:v>2586941.83669577</x:v>
      </x:c>
      <x:c r="H134" s="46" t="n">
        <x:v>218</x:v>
      </x:c>
      <x:c r="I134" s="64" t="n">
        <x:v>0.6330275229357798</x:v>
      </x:c>
      <x:c r="J134" s="64" t="n">
        <x:v>0.5946559659734993</x:v>
      </x:c>
    </x:row>
    <x:row r="135" ht="18" customHeight="1">
      <x:c r="A135" s="46" t="str">
        <x:v>LME_050</x:v>
      </x:c>
      <x:c r="B135" s="46" t="str">
        <x:v>exact_2020_supplement</x:v>
      </x:c>
      <x:c r="C135" s="62" t="str">
        <x:v>2020 supplement MeanTL</x:v>
      </x:c>
      <x:c r="D135" s="46" t="str">
        <x:v>high</x:v>
      </x:c>
      <x:c r="E135" s="66" t="n">
        <x:v>80</x:v>
      </x:c>
      <x:c r="F135" s="60" t="n">
        <x:v>1048601.4398781885</x:v>
      </x:c>
      <x:c r="G135" s="60" t="n">
        <x:v>2586941.83669577</x:v>
      </x:c>
      <x:c r="H135" s="46" t="n">
        <x:v>218</x:v>
      </x:c>
      <x:c r="I135" s="64" t="n">
        <x:v>0.3669724770642202</x:v>
      </x:c>
      <x:c r="J135" s="64" t="n">
        <x:v>0.40534403402650077</x:v>
      </x:c>
    </x:row>
    <x:row r="136" ht="18" customHeight="1">
      <x:c r="A136" s="46" t="str">
        <x:v>LME_051</x:v>
      </x:c>
      <x:c r="B136" s="46" t="str">
        <x:v>exact_sea_around_us</x:v>
      </x:c>
      <x:c r="C136" s="62" t="str">
        <x:v>Sea Around Us exploited organisms</x:v>
      </x:c>
      <x:c r="D136" s="46" t="str">
        <x:v>high</x:v>
      </x:c>
      <x:c r="E136" s="66" t="n">
        <x:v>92</x:v>
      </x:c>
      <x:c r="F136" s="60" t="n">
        <x:v>786705.2140325026</x:v>
      </x:c>
      <x:c r="G136" s="60" t="n">
        <x:v>1092021.837449823</x:v>
      </x:c>
      <x:c r="H136" s="46" t="n">
        <x:v>143</x:v>
      </x:c>
      <x:c r="I136" s="64" t="n">
        <x:v>0.6433566433566433</x:v>
      </x:c>
      <x:c r="J136" s="64" t="n">
        <x:v>0.7204116136264085</x:v>
      </x:c>
    </x:row>
    <x:row r="137" ht="18" customHeight="1">
      <x:c r="A137" s="46" t="str">
        <x:v>LME_051</x:v>
      </x:c>
      <x:c r="B137" s="46" t="str">
        <x:v>exact_2020_supplement</x:v>
      </x:c>
      <x:c r="C137" s="62" t="str">
        <x:v>2020 supplement MeanTL</x:v>
      </x:c>
      <x:c r="D137" s="46" t="str">
        <x:v>high</x:v>
      </x:c>
      <x:c r="E137" s="66" t="n">
        <x:v>51</x:v>
      </x:c>
      <x:c r="F137" s="60" t="n">
        <x:v>305316.6234173204</x:v>
      </x:c>
      <x:c r="G137" s="60" t="n">
        <x:v>1092021.837449823</x:v>
      </x:c>
      <x:c r="H137" s="46" t="n">
        <x:v>143</x:v>
      </x:c>
      <x:c r="I137" s="64" t="n">
        <x:v>0.35664335664335667</x:v>
      </x:c>
      <x:c r="J137" s="64" t="n">
        <x:v>0.27958838637359146</x:v>
      </x:c>
    </x:row>
    <x:row r="138" ht="18" customHeight="1">
      <x:c r="A138" s="46" t="str">
        <x:v>LME_052</x:v>
      </x:c>
      <x:c r="B138" s="46" t="str">
        <x:v>exact_sea_around_us</x:v>
      </x:c>
      <x:c r="C138" s="62" t="str">
        <x:v>Sea Around Us exploited organisms</x:v>
      </x:c>
      <x:c r="D138" s="46" t="str">
        <x:v>high</x:v>
      </x:c>
      <x:c r="E138" s="66" t="n">
        <x:v>84</x:v>
      </x:c>
      <x:c r="F138" s="60" t="n">
        <x:v>3826894.734182435</x:v>
      </x:c>
      <x:c r="G138" s="60" t="n">
        <x:v>4800852.125625119</x:v>
      </x:c>
      <x:c r="H138" s="46" t="n">
        <x:v>131</x:v>
      </x:c>
      <x:c r="I138" s="64" t="n">
        <x:v>0.6412213740458015</x:v>
      </x:c>
      <x:c r="J138" s="64" t="n">
        <x:v>0.7971282251656804</x:v>
      </x:c>
    </x:row>
    <x:row r="139" ht="18" customHeight="1">
      <x:c r="A139" s="46" t="str">
        <x:v>LME_052</x:v>
      </x:c>
      <x:c r="B139" s="46" t="str">
        <x:v>exact_2020_supplement</x:v>
      </x:c>
      <x:c r="C139" s="62" t="str">
        <x:v>2020 supplement MeanTL</x:v>
      </x:c>
      <x:c r="D139" s="46" t="str">
        <x:v>high</x:v>
      </x:c>
      <x:c r="E139" s="66" t="n">
        <x:v>47</x:v>
      </x:c>
      <x:c r="F139" s="60" t="n">
        <x:v>973957.3914426834</x:v>
      </x:c>
      <x:c r="G139" s="60" t="n">
        <x:v>4800852.125625119</x:v>
      </x:c>
      <x:c r="H139" s="46" t="n">
        <x:v>131</x:v>
      </x:c>
      <x:c r="I139" s="64" t="n">
        <x:v>0.35877862595419846</x:v>
      </x:c>
      <x:c r="J139" s="64" t="n">
        <x:v>0.20287177483431953</x:v>
      </x:c>
    </x:row>
    <x:row r="140" ht="18" customHeight="1">
      <x:c r="A140" s="46" t="str">
        <x:v>LME_053</x:v>
      </x:c>
      <x:c r="B140" s="46" t="str">
        <x:v>exact_sea_around_us</x:v>
      </x:c>
      <x:c r="C140" s="62" t="str">
        <x:v>Sea Around Us exploited organisms</x:v>
      </x:c>
      <x:c r="D140" s="46" t="str">
        <x:v>high</x:v>
      </x:c>
      <x:c r="E140" s="66" t="n">
        <x:v>39</x:v>
      </x:c>
      <x:c r="F140" s="60" t="n">
        <x:v>517378.1147917534</x:v>
      </x:c>
      <x:c r="G140" s="60" t="n">
        <x:v>705687.5220776038</x:v>
      </x:c>
      <x:c r="H140" s="46" t="n">
        <x:v>63</x:v>
      </x:c>
      <x:c r="I140" s="64" t="n">
        <x:v>0.6190476190476191</x:v>
      </x:c>
      <x:c r="J140" s="64" t="n">
        <x:v>0.7331546875996169</x:v>
      </x:c>
    </x:row>
    <x:row r="141" ht="18" customHeight="1">
      <x:c r="A141" s="46" t="str">
        <x:v>LME_053</x:v>
      </x:c>
      <x:c r="B141" s="46" t="str">
        <x:v>exact_2020_supplement</x:v>
      </x:c>
      <x:c r="C141" s="62" t="str">
        <x:v>2020 supplement MeanTL</x:v>
      </x:c>
      <x:c r="D141" s="46" t="str">
        <x:v>high</x:v>
      </x:c>
      <x:c r="E141" s="66" t="n">
        <x:v>24</x:v>
      </x:c>
      <x:c r="F141" s="60" t="n">
        <x:v>188309.4072858504</x:v>
      </x:c>
      <x:c r="G141" s="60" t="n">
        <x:v>705687.5220776038</x:v>
      </x:c>
      <x:c r="H141" s="46" t="n">
        <x:v>63</x:v>
      </x:c>
      <x:c r="I141" s="64" t="n">
        <x:v>0.38095238095238093</x:v>
      </x:c>
      <x:c r="J141" s="64" t="n">
        <x:v>0.26684531240038306</x:v>
      </x:c>
    </x:row>
    <x:row r="142" ht="18" customHeight="1">
      <x:c r="A142" s="46" t="str">
        <x:v>LME_054</x:v>
      </x:c>
      <x:c r="B142" s="46" t="str">
        <x:v>exact_sea_around_us</x:v>
      </x:c>
      <x:c r="C142" s="62" t="str">
        <x:v>Sea Around Us exploited organisms</x:v>
      </x:c>
      <x:c r="D142" s="46" t="str">
        <x:v>high</x:v>
      </x:c>
      <x:c r="E142" s="66" t="n">
        <x:v>52</x:v>
      </x:c>
      <x:c r="F142" s="60" t="n">
        <x:v>280191.1913609018</x:v>
      </x:c>
      <x:c r="G142" s="60" t="n">
        <x:v>348828.221273396</x:v>
      </x:c>
      <x:c r="H142" s="46" t="n">
        <x:v>93</x:v>
      </x:c>
      <x:c r="I142" s="64" t="n">
        <x:v>0.5591397849462365</x:v>
      </x:c>
      <x:c r="J142" s="64" t="n">
        <x:v>0.8032354444777002</x:v>
      </x:c>
    </x:row>
    <x:row r="143" ht="18" customHeight="1">
      <x:c r="A143" s="46" t="str">
        <x:v>LME_054</x:v>
      </x:c>
      <x:c r="B143" s="46" t="str">
        <x:v>exact_2020_supplement</x:v>
      </x:c>
      <x:c r="C143" s="62" t="str">
        <x:v>2020 supplement MeanTL</x:v>
      </x:c>
      <x:c r="D143" s="46" t="str">
        <x:v>high</x:v>
      </x:c>
      <x:c r="E143" s="66" t="n">
        <x:v>41</x:v>
      </x:c>
      <x:c r="F143" s="60" t="n">
        <x:v>68637.0299124942</x:v>
      </x:c>
      <x:c r="G143" s="60" t="n">
        <x:v>348828.221273396</x:v>
      </x:c>
      <x:c r="H143" s="46" t="n">
        <x:v>93</x:v>
      </x:c>
      <x:c r="I143" s="64" t="n">
        <x:v>0.44086021505376344</x:v>
      </x:c>
      <x:c r="J143" s="64" t="n">
        <x:v>0.19676455552229977</x:v>
      </x:c>
    </x:row>
    <x:row r="144" ht="18" customHeight="1">
      <x:c r="A144" s="46" t="str">
        <x:v>LME_055</x:v>
      </x:c>
      <x:c r="B144" s="46" t="str">
        <x:v>exact_sea_around_us</x:v>
      </x:c>
      <x:c r="C144" s="62" t="str">
        <x:v>Sea Around Us exploited organisms</x:v>
      </x:c>
      <x:c r="D144" s="46" t="str">
        <x:v>high</x:v>
      </x:c>
      <x:c r="E144" s="66" t="n">
        <x:v>8</x:v>
      </x:c>
      <x:c r="F144" s="60" t="n">
        <x:v>175.1248022034</x:v>
      </x:c>
      <x:c r="G144" s="60" t="n">
        <x:v>212.78852302800001</x:v>
      </x:c>
      <x:c r="H144" s="46" t="n">
        <x:v>19</x:v>
      </x:c>
      <x:c r="I144" s="64" t="n">
        <x:v>0.42105263157894735</x:v>
      </x:c>
      <x:c r="J144" s="64" t="n">
        <x:v>0.8229992845072571</x:v>
      </x:c>
    </x:row>
    <x:row r="145" ht="18" customHeight="1">
      <x:c r="A145" s="46" t="str">
        <x:v>LME_055</x:v>
      </x:c>
      <x:c r="B145" s="46" t="str">
        <x:v>exact_2020_supplement</x:v>
      </x:c>
      <x:c r="C145" s="62" t="str">
        <x:v>2020 supplement MeanTL</x:v>
      </x:c>
      <x:c r="D145" s="46" t="str">
        <x:v>high</x:v>
      </x:c>
      <x:c r="E145" s="66" t="n">
        <x:v>11</x:v>
      </x:c>
      <x:c r="F145" s="60" t="n">
        <x:v>37.6637208246</x:v>
      </x:c>
      <x:c r="G145" s="60" t="n">
        <x:v>212.78852302800001</x:v>
      </x:c>
      <x:c r="H145" s="46" t="n">
        <x:v>19</x:v>
      </x:c>
      <x:c r="I145" s="64" t="n">
        <x:v>0.5789473684210527</x:v>
      </x:c>
      <x:c r="J145" s="64" t="n">
        <x:v>0.17700071549274288</x:v>
      </x:c>
    </x:row>
    <x:row r="146" ht="18" customHeight="1">
      <x:c r="A146" s="46" t="str">
        <x:v>LME_056</x:v>
      </x:c>
      <x:c r="B146" s="46" t="str">
        <x:v>exact_2020_supplement</x:v>
      </x:c>
      <x:c r="C146" s="62" t="str">
        <x:v>2020 supplement MeanTL</x:v>
      </x:c>
      <x:c r="D146" s="46" t="str">
        <x:v>high</x:v>
      </x:c>
      <x:c r="E146" s="66" t="n">
        <x:v>2</x:v>
      </x:c>
      <x:c r="F146" s="60" t="n">
        <x:v>818.6706854780999</x:v>
      </x:c>
      <x:c r="G146" s="60" t="n">
        <x:v>1304.0687744917</x:v>
      </x:c>
      <x:c r="H146" s="46" t="n">
        <x:v>4</x:v>
      </x:c>
      <x:c r="I146" s="64" t="n">
        <x:v>0.5</x:v>
      </x:c>
      <x:c r="J146" s="64" t="n">
        <x:v>0.6277818329000335</x:v>
      </x:c>
    </x:row>
    <x:row r="147" ht="18" customHeight="1">
      <x:c r="A147" s="46" t="str">
        <x:v>LME_056</x:v>
      </x:c>
      <x:c r="B147" s="46" t="str">
        <x:v>exact_sea_around_us</x:v>
      </x:c>
      <x:c r="C147" s="62" t="str">
        <x:v>Sea Around Us exploited organisms</x:v>
      </x:c>
      <x:c r="D147" s="46" t="str">
        <x:v>high</x:v>
      </x:c>
      <x:c r="E147" s="66" t="n">
        <x:v>2</x:v>
      </x:c>
      <x:c r="F147" s="60" t="n">
        <x:v>485.39808901360004</x:v>
      </x:c>
      <x:c r="G147" s="60" t="n">
        <x:v>1304.0687744917</x:v>
      </x:c>
      <x:c r="H147" s="46" t="n">
        <x:v>4</x:v>
      </x:c>
      <x:c r="I147" s="64" t="n">
        <x:v>0.5</x:v>
      </x:c>
      <x:c r="J147" s="64" t="n">
        <x:v>0.37221816709996647</x:v>
      </x:c>
    </x:row>
    <x:row r="148" ht="18" customHeight="1">
      <x:c r="A148" s="46" t="str">
        <x:v>LME_057</x:v>
      </x:c>
      <x:c r="B148" s="46" t="str">
        <x:v>exact_sea_around_us</x:v>
      </x:c>
      <x:c r="C148" s="62" t="str">
        <x:v>Sea Around Us exploited organisms</x:v>
      </x:c>
      <x:c r="D148" s="46" t="str">
        <x:v>high</x:v>
      </x:c>
      <x:c r="E148" s="66" t="n">
        <x:v>3</x:v>
      </x:c>
      <x:c r="F148" s="60" t="n">
        <x:v>1803.0208838031</x:v>
      </x:c>
      <x:c r="G148" s="60" t="n">
        <x:v>2616.1834162357</x:v>
      </x:c>
      <x:c r="H148" s="46" t="n">
        <x:v>5</x:v>
      </x:c>
      <x:c r="I148" s="64" t="n">
        <x:v>0.6</x:v>
      </x:c>
      <x:c r="J148" s="64" t="n">
        <x:v>0.6891798459594931</x:v>
      </x:c>
    </x:row>
    <x:row r="149" ht="18" customHeight="1">
      <x:c r="A149" s="46" t="str">
        <x:v>LME_057</x:v>
      </x:c>
      <x:c r="B149" s="46" t="str">
        <x:v>exact_2020_supplement</x:v>
      </x:c>
      <x:c r="C149" s="62" t="str">
        <x:v>2020 supplement MeanTL</x:v>
      </x:c>
      <x:c r="D149" s="46" t="str">
        <x:v>high</x:v>
      </x:c>
      <x:c r="E149" s="66" t="n">
        <x:v>2</x:v>
      </x:c>
      <x:c r="F149" s="60" t="n">
        <x:v>813.1625324326</x:v>
      </x:c>
      <x:c r="G149" s="60" t="n">
        <x:v>2616.1834162357</x:v>
      </x:c>
      <x:c r="H149" s="46" t="n">
        <x:v>5</x:v>
      </x:c>
      <x:c r="I149" s="64" t="n">
        <x:v>0.4</x:v>
      </x:c>
      <x:c r="J149" s="64" t="n">
        <x:v>0.31082015404050695</x:v>
      </x:c>
    </x:row>
    <x:row r="150" ht="18" customHeight="1">
      <x:c r="A150" s="46" t="str">
        <x:v>LME_058</x:v>
      </x:c>
      <x:c r="B150" s="46" t="str">
        <x:v>exact_sea_around_us</x:v>
      </x:c>
      <x:c r="C150" s="62" t="str">
        <x:v>Sea Around Us exploited organisms</x:v>
      </x:c>
      <x:c r="D150" s="46" t="str">
        <x:v>high</x:v>
      </x:c>
      <x:c r="E150" s="66" t="n">
        <x:v>3</x:v>
      </x:c>
      <x:c r="F150" s="60" t="n">
        <x:v>593.8297840942</x:v>
      </x:c>
      <x:c r="G150" s="60" t="n">
        <x:v>719.2892019078</x:v>
      </x:c>
      <x:c r="H150" s="46" t="n">
        <x:v>5</x:v>
      </x:c>
      <x:c r="I150" s="64" t="n">
        <x:v>0.6</x:v>
      </x:c>
      <x:c r="J150" s="64" t="n">
        <x:v>0.8255786163884584</x:v>
      </x:c>
    </x:row>
    <x:row r="151" ht="18" customHeight="1">
      <x:c r="A151" s="46" t="str">
        <x:v>LME_058</x:v>
      </x:c>
      <x:c r="B151" s="46" t="str">
        <x:v>exact_2020_supplement</x:v>
      </x:c>
      <x:c r="C151" s="62" t="str">
        <x:v>2020 supplement MeanTL</x:v>
      </x:c>
      <x:c r="D151" s="46" t="str">
        <x:v>high</x:v>
      </x:c>
      <x:c r="E151" s="66" t="n">
        <x:v>2</x:v>
      </x:c>
      <x:c r="F151" s="60" t="n">
        <x:v>125.4594178136</x:v>
      </x:c>
      <x:c r="G151" s="60" t="n">
        <x:v>719.2892019078</x:v>
      </x:c>
      <x:c r="H151" s="46" t="n">
        <x:v>5</x:v>
      </x:c>
      <x:c r="I151" s="64" t="n">
        <x:v>0.4</x:v>
      </x:c>
      <x:c r="J151" s="64" t="n">
        <x:v>0.1744213836115416</x:v>
      </x:c>
    </x:row>
    <x:row r="152" ht="18" customHeight="1">
      <x:c r="A152" s="46" t="str">
        <x:v>LME_059</x:v>
      </x:c>
      <x:c r="B152" s="46" t="str">
        <x:v>exact_2020_supplement</x:v>
      </x:c>
      <x:c r="C152" s="62" t="str">
        <x:v>2020 supplement MeanTL</x:v>
      </x:c>
      <x:c r="D152" s="46" t="str">
        <x:v>high</x:v>
      </x:c>
      <x:c r="E152" s="66" t="n">
        <x:v>52</x:v>
      </x:c>
      <x:c r="F152" s="60" t="n">
        <x:v>575061.2813650751</x:v>
      </x:c>
      <x:c r="G152" s="60" t="n">
        <x:v>697974.9116856114</x:v>
      </x:c>
      <x:c r="H152" s="46" t="n">
        <x:v>74</x:v>
      </x:c>
      <x:c r="I152" s="64" t="n">
        <x:v>0.7027027027027027</x:v>
      </x:c>
      <x:c r="J152" s="64" t="n">
        <x:v>0.8238996441523959</x:v>
      </x:c>
    </x:row>
    <x:row r="153" ht="18" customHeight="1">
      <x:c r="A153" s="46" t="str">
        <x:v>LME_059</x:v>
      </x:c>
      <x:c r="B153" s="46" t="str">
        <x:v>exact_sea_around_us</x:v>
      </x:c>
      <x:c r="C153" s="62" t="str">
        <x:v>Sea Around Us exploited organisms</x:v>
      </x:c>
      <x:c r="D153" s="46" t="str">
        <x:v>high</x:v>
      </x:c>
      <x:c r="E153" s="66" t="n">
        <x:v>22</x:v>
      </x:c>
      <x:c r="F153" s="60" t="n">
        <x:v>122913.6303205362</x:v>
      </x:c>
      <x:c r="G153" s="60" t="n">
        <x:v>697974.9116856114</x:v>
      </x:c>
      <x:c r="H153" s="46" t="n">
        <x:v>74</x:v>
      </x:c>
      <x:c r="I153" s="64" t="n">
        <x:v>0.2972972972972973</x:v>
      </x:c>
      <x:c r="J153" s="64" t="n">
        <x:v>0.1761003558476041</x:v>
      </x:c>
    </x:row>
    <x:row r="154" ht="18" customHeight="1">
      <x:c r="A154" s="46" t="str">
        <x:v>LME_060</x:v>
      </x:c>
      <x:c r="B154" s="46" t="str">
        <x:v>exact_2020_supplement</x:v>
      </x:c>
      <x:c r="C154" s="62" t="str">
        <x:v>2020 supplement MeanTL</x:v>
      </x:c>
      <x:c r="D154" s="46" t="str">
        <x:v>high</x:v>
      </x:c>
      <x:c r="E154" s="66" t="n">
        <x:v>60</x:v>
      </x:c>
      <x:c r="F154" s="60" t="n">
        <x:v>378656.5320043856</x:v>
      </x:c>
      <x:c r="G154" s="60" t="n">
        <x:v>420222.2010145739</x:v>
      </x:c>
      <x:c r="H154" s="46" t="n">
        <x:v>114</x:v>
      </x:c>
      <x:c r="I154" s="64" t="n">
        <x:v>0.5263157894736842</x:v>
      </x:c>
      <x:c r="J154" s="64" t="n">
        <x:v>0.901086451620516</x:v>
      </x:c>
    </x:row>
    <x:row r="155" ht="18" customHeight="1">
      <x:c r="A155" s="46" t="str">
        <x:v>LME_060</x:v>
      </x:c>
      <x:c r="B155" s="46" t="str">
        <x:v>exact_sea_around_us</x:v>
      </x:c>
      <x:c r="C155" s="62" t="str">
        <x:v>Sea Around Us exploited organisms</x:v>
      </x:c>
      <x:c r="D155" s="46" t="str">
        <x:v>high</x:v>
      </x:c>
      <x:c r="E155" s="66" t="n">
        <x:v>54</x:v>
      </x:c>
      <x:c r="F155" s="60" t="n">
        <x:v>41565.6690101883</x:v>
      </x:c>
      <x:c r="G155" s="60" t="n">
        <x:v>420222.2010145739</x:v>
      </x:c>
      <x:c r="H155" s="46" t="n">
        <x:v>114</x:v>
      </x:c>
      <x:c r="I155" s="64" t="n">
        <x:v>0.47368421052631576</x:v>
      </x:c>
      <x:c r="J155" s="64" t="n">
        <x:v>0.09891354837948398</x:v>
      </x:c>
    </x:row>
    <x:row r="156" ht="18" customHeight="1">
      <x:c r="A156" s="46" t="str">
        <x:v>LME_061</x:v>
      </x:c>
      <x:c r="B156" s="46" t="str">
        <x:v>exact_sea_around_us</x:v>
      </x:c>
      <x:c r="C156" s="62" t="str">
        <x:v>Sea Around Us exploited organisms</x:v>
      </x:c>
      <x:c r="D156" s="46" t="str">
        <x:v>high</x:v>
      </x:c>
      <x:c r="E156" s="66" t="n">
        <x:v>6</x:v>
      </x:c>
      <x:c r="F156" s="60" t="n">
        <x:v>0.2214252491</x:v>
      </x:c>
      <x:c r="G156" s="60" t="n">
        <x:v>0.2496140134</x:v>
      </x:c>
      <x:c r="H156" s="46" t="n">
        <x:v>10</x:v>
      </x:c>
      <x:c r="I156" s="64" t="n">
        <x:v>0.6</x:v>
      </x:c>
      <x:c r="J156" s="64" t="n">
        <x:v>0.8870705858375497</x:v>
      </x:c>
    </x:row>
    <x:row r="157" ht="18" customHeight="1">
      <x:c r="A157" s="46" t="str">
        <x:v>LME_061</x:v>
      </x:c>
      <x:c r="B157" s="46" t="str">
        <x:v>exact_2020_supplement</x:v>
      </x:c>
      <x:c r="C157" s="62" t="str">
        <x:v>2020 supplement MeanTL</x:v>
      </x:c>
      <x:c r="D157" s="46" t="str">
        <x:v>high</x:v>
      </x:c>
      <x:c r="E157" s="66" t="n">
        <x:v>4</x:v>
      </x:c>
      <x:c r="F157" s="60" t="n">
        <x:v>0.028188764300000002</x:v>
      </x:c>
      <x:c r="G157" s="60" t="n">
        <x:v>0.2496140134</x:v>
      </x:c>
      <x:c r="H157" s="46" t="n">
        <x:v>10</x:v>
      </x:c>
      <x:c r="I157" s="64" t="n">
        <x:v>0.4</x:v>
      </x:c>
      <x:c r="J157" s="64" t="n">
        <x:v>0.11292941416245023</x:v>
      </x:c>
    </x:row>
    <x:row r="158" ht="18" customHeight="1">
      <x:c r="A158" s="46" t="str">
        <x:v>LME_062</x:v>
      </x:c>
      <x:c r="B158" s="46" t="str">
        <x:v>exact_2020_supplement</x:v>
      </x:c>
      <x:c r="C158" s="62" t="str">
        <x:v>2020 supplement MeanTL</x:v>
      </x:c>
      <x:c r="D158" s="46" t="str">
        <x:v>high</x:v>
      </x:c>
      <x:c r="E158" s="66" t="n">
        <x:v>64</x:v>
      </x:c>
      <x:c r="F158" s="60" t="n">
        <x:v>959859.9003196299</x:v>
      </x:c>
      <x:c r="G158" s="60" t="n">
        <x:v>1145168.185954724</x:v>
      </x:c>
      <x:c r="H158" s="46" t="n">
        <x:v>120</x:v>
      </x:c>
      <x:c r="I158" s="64" t="n">
        <x:v>0.5333333333333333</x:v>
      </x:c>
      <x:c r="J158" s="64" t="n">
        <x:v>0.8381824714414303</x:v>
      </x:c>
    </x:row>
    <x:row r="159" ht="18" customHeight="1">
      <x:c r="A159" s="46" t="str">
        <x:v>LME_062</x:v>
      </x:c>
      <x:c r="B159" s="46" t="str">
        <x:v>exact_sea_around_us</x:v>
      </x:c>
      <x:c r="C159" s="62" t="str">
        <x:v>Sea Around Us exploited organisms</x:v>
      </x:c>
      <x:c r="D159" s="46" t="str">
        <x:v>high</x:v>
      </x:c>
      <x:c r="E159" s="66" t="n">
        <x:v>56</x:v>
      </x:c>
      <x:c r="F159" s="60" t="n">
        <x:v>185308.2856350941</x:v>
      </x:c>
      <x:c r="G159" s="60" t="n">
        <x:v>1145168.185954724</x:v>
      </x:c>
      <x:c r="H159" s="46" t="n">
        <x:v>120</x:v>
      </x:c>
      <x:c r="I159" s="64" t="n">
        <x:v>0.4666666666666667</x:v>
      </x:c>
      <x:c r="J159" s="64" t="n">
        <x:v>0.1618175285585698</x:v>
      </x:c>
    </x:row>
    <x:row r="160" ht="18" customHeight="1">
      <x:c r="A160" s="46" t="str">
        <x:v>LME_063</x:v>
      </x:c>
      <x:c r="B160" s="46" t="str">
        <x:v>exact_sea_around_us</x:v>
      </x:c>
      <x:c r="C160" s="62" t="str">
        <x:v>Sea Around Us exploited organisms</x:v>
      </x:c>
      <x:c r="D160" s="46" t="str">
        <x:v>high</x:v>
      </x:c>
      <x:c r="E160" s="66" t="n">
        <x:v>26</x:v>
      </x:c>
      <x:c r="F160" s="60" t="n">
        <x:v>857.0044020437</x:v>
      </x:c>
      <x:c r="G160" s="60" t="n">
        <x:v>1269.735630608</x:v>
      </x:c>
      <x:c r="H160" s="46" t="n">
        <x:v>44</x:v>
      </x:c>
      <x:c r="I160" s="64" t="n">
        <x:v>0.5909090909090909</x:v>
      </x:c>
      <x:c r="J160" s="64" t="n">
        <x:v>0.6749471160648868</x:v>
      </x:c>
    </x:row>
    <x:row r="161" ht="18" customHeight="1">
      <x:c r="A161" s="46" t="str">
        <x:v>LME_063</x:v>
      </x:c>
      <x:c r="B161" s="46" t="str">
        <x:v>exact_2020_supplement</x:v>
      </x:c>
      <x:c r="C161" s="62" t="str">
        <x:v>2020 supplement MeanTL</x:v>
      </x:c>
      <x:c r="D161" s="46" t="str">
        <x:v>high</x:v>
      </x:c>
      <x:c r="E161" s="66" t="n">
        <x:v>18</x:v>
      </x:c>
      <x:c r="F161" s="60" t="n">
        <x:v>412.73122856429995</x:v>
      </x:c>
      <x:c r="G161" s="60" t="n">
        <x:v>1269.735630608</x:v>
      </x:c>
      <x:c r="H161" s="46" t="n">
        <x:v>44</x:v>
      </x:c>
      <x:c r="I161" s="64" t="n">
        <x:v>0.4090909090909091</x:v>
      </x:c>
      <x:c r="J161" s="64" t="n">
        <x:v>0.32505288393511317</x:v>
      </x:c>
    </x:row>
    <x:row r="162" ht="18" customHeight="1">
      <x:c r="A162" s="46" t="str">
        <x:v>LME_065</x:v>
      </x:c>
      <x:c r="B162" s="46" t="str">
        <x:v>exact_sea_around_us</x:v>
      </x:c>
      <x:c r="C162" s="62" t="str">
        <x:v>Sea Around Us exploited organisms</x:v>
      </x:c>
      <x:c r="D162" s="46" t="str">
        <x:v>high</x:v>
      </x:c>
      <x:c r="E162" s="66" t="n">
        <x:v>39</x:v>
      </x:c>
      <x:c r="F162" s="60" t="n">
        <x:v>99013.32729659039</x:v>
      </x:c>
      <x:c r="G162" s="60" t="n">
        <x:v>151507.6717909796</x:v>
      </x:c>
      <x:c r="H162" s="46" t="n">
        <x:v>68</x:v>
      </x:c>
      <x:c r="I162" s="64" t="n">
        <x:v>0.5735294117647058</x:v>
      </x:c>
      <x:c r="J162" s="64" t="n">
        <x:v>0.6535202219541031</x:v>
      </x:c>
    </x:row>
    <x:row r="163" ht="18" customHeight="1">
      <x:c r="A163" s="46" t="str">
        <x:v>LME_065</x:v>
      </x:c>
      <x:c r="B163" s="46" t="str">
        <x:v>exact_2020_supplement</x:v>
      </x:c>
      <x:c r="C163" s="62" t="str">
        <x:v>2020 supplement MeanTL</x:v>
      </x:c>
      <x:c r="D163" s="46" t="str">
        <x:v>high</x:v>
      </x:c>
      <x:c r="E163" s="66" t="n">
        <x:v>29</x:v>
      </x:c>
      <x:c r="F163" s="60" t="n">
        <x:v>52494.3444943892</x:v>
      </x:c>
      <x:c r="G163" s="60" t="n">
        <x:v>151507.6717909796</x:v>
      </x:c>
      <x:c r="H163" s="46" t="n">
        <x:v>68</x:v>
      </x:c>
      <x:c r="I163" s="64" t="n">
        <x:v>0.4264705882352941</x:v>
      </x:c>
      <x:c r="J163" s="64" t="n">
        <x:v>0.34647977804589686</x:v>
      </x:c>
    </x:row>
    <x:row r="164" ht="18" customHeight="1">
      <x:c r="A164" s="46" t="str">
        <x:v>LME_066</x:v>
      </x:c>
      <x:c r="B164" s="46" t="str">
        <x:v>exact_sea_around_us</x:v>
      </x:c>
      <x:c r="C164" s="62" t="str">
        <x:v>Sea Around Us exploited organisms</x:v>
      </x:c>
      <x:c r="D164" s="46" t="str">
        <x:v>high</x:v>
      </x:c>
      <x:c r="E164" s="66" t="n">
        <x:v>18</x:v>
      </x:c>
      <x:c r="F164" s="60" t="n">
        <x:v>53.560771256600006</x:v>
      </x:c>
      <x:c r="G164" s="60" t="n">
        <x:v>53.5919340839</x:v>
      </x:c>
      <x:c r="H164" s="46" t="n">
        <x:v>21</x:v>
      </x:c>
      <x:c r="I164" s="64" t="n">
        <x:v>0.8571428571428571</x:v>
      </x:c>
      <x:c r="J164" s="64" t="n">
        <x:v>0.9994185164646007</x:v>
      </x:c>
    </x:row>
    <x:row r="165" ht="18" customHeight="1">
      <x:c r="A165" s="46" t="str">
        <x:v>LME_066</x:v>
      </x:c>
      <x:c r="B165" s="46" t="str">
        <x:v>exact_2020_supplement</x:v>
      </x:c>
      <x:c r="C165" s="62" t="str">
        <x:v>2020 supplement MeanTL</x:v>
      </x:c>
      <x:c r="D165" s="46" t="str">
        <x:v>high</x:v>
      </x:c>
      <x:c r="E165" s="66" t="n">
        <x:v>3</x:v>
      </x:c>
      <x:c r="F165" s="60" t="n">
        <x:v>0.031162827299999998</x:v>
      </x:c>
      <x:c r="G165" s="60" t="n">
        <x:v>53.5919340839</x:v>
      </x:c>
      <x:c r="H165" s="46" t="n">
        <x:v>21</x:v>
      </x:c>
      <x:c r="I165" s="64" t="n">
        <x:v>0.14285714285714285</x:v>
      </x:c>
      <x:c r="J165" s="64" t="n">
        <x:v>0.0005814835353994414</x:v>
      </x:c>
    </x:row>
  </x:sheetData>
  <x:conditionalFormatting sqref="J2:J165">
    <x:cfRule type="dataBar" priority="1">
      <x:dataBar>
        <x:cfvo type="min"/>
        <x:cfvo type="max"/>
        <x:color rgb="FF147D9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4c6349da134b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classification</x:v>
      </x:c>
      <x:c r="D1" s="56" t="str">
        <x:v>group_name</x:v>
      </x:c>
      <x:c r="E1" s="56" t="str">
        <x:v>taxon_count_total</x:v>
      </x:c>
      <x:c r="F1" s="56" t="str">
        <x:v>taxon_count_matched</x:v>
      </x:c>
      <x:c r="G1" s="56" t="str">
        <x:v>catch_tonnes_total</x:v>
      </x:c>
      <x:c r="H1" s="56" t="str">
        <x:v>catch_tonnes_matched</x:v>
      </x:c>
      <x:c r="I1" s="56" t="str">
        <x:v>catch_tonnes_missing_tl</x:v>
      </x:c>
      <x:c r="J1" s="56" t="str">
        <x:v>catch_coverage_fraction</x:v>
      </x:c>
      <x:c r="K1" s="56" t="str">
        <x:v>sppr_correct</x:v>
      </x:c>
      <x:c r="L1" s="56" t="str">
        <x:v>ppr_correct</x:v>
      </x:c>
      <x:c r="M1" s="56" t="str">
        <x:v>tl_weighted_jensen</x:v>
      </x:c>
      <x:c r="N1" s="56" t="str">
        <x:v>sppr_jensen</x:v>
      </x:c>
      <x:c r="O1" s="56" t="str">
        <x:v>ppr_jensen</x:v>
      </x:c>
      <x:c r="P1" s="56" t="str">
        <x:v>jensen_difference</x:v>
      </x:c>
      <x:c r="Q1" s="56" t="str">
        <x:v>jensen_ratio_correct_to_error</x:v>
      </x:c>
      <x:c r="R1" s="56" t="str">
        <x:v>jensen_percent_difference</x:v>
      </x:c>
    </x:row>
    <x:row r="2" ht="18" customHeight="1">
      <x:c r="A2" s="46" t="str">
        <x:v>HS_021</x:v>
      </x:c>
      <x:c r="B2" s="46" t="str">
        <x:v>Atlantic, Northwest</x:v>
      </x:c>
      <x:c r="C2" s="46" t="str">
        <x:v>commercial</x:v>
      </x:c>
      <x:c r="D2" s="46" t="str">
        <x:v>Cod-likes</x:v>
      </x:c>
      <x:c r="E2" s="66" t="n">
        <x:v>11</x:v>
      </x:c>
      <x:c r="F2" s="66" t="n">
        <x:v>11</x:v>
      </x:c>
      <x:c r="G2" s="60" t="n">
        <x:v>29072.9492116375</x:v>
      </x:c>
      <x:c r="H2" s="60" t="n">
        <x:v>29072.9492116375</x:v>
      </x:c>
      <x:c r="I2" s="62" t="n">
        <x:v>0</x:v>
      </x:c>
      <x:c r="J2" s="64" t="n">
        <x:v>1</x:v>
      </x:c>
      <x:c r="K2" s="62" t="n">
        <x:v>1262.5161866961553</x:v>
      </x:c>
      <x:c r="L2" s="60" t="n">
        <x:v>36705068.97468757</x:v>
      </x:c>
      <x:c r="M2" s="62" t="n">
        <x:v>4.095965857393727</x:v>
      </x:c>
      <x:c r="N2" s="62" t="n">
        <x:v>1247.2854534755938</x:v>
      </x:c>
      <x:c r="O2" s="60" t="n">
        <x:v>36262266.641310185</x:v>
      </x:c>
      <x:c r="P2" s="60" t="n">
        <x:v>442802.33337738365</x:v>
      </x:c>
      <x:c r="Q2" s="62" t="n">
        <x:v>1.012211104665833</x:v>
      </x:c>
      <x:c r="R2" s="64" t="n">
        <x:v>0.012211104665833014</x:v>
      </x:c>
    </x:row>
    <x:row r="3" ht="18" customHeight="1">
      <x:c r="A3" s="46" t="str">
        <x:v>HS_021</x:v>
      </x:c>
      <x:c r="B3" s="46" t="str">
        <x:v>Atlantic, Northwest</x:v>
      </x:c>
      <x:c r="C3" s="46" t="str">
        <x:v>commercial</x:v>
      </x:c>
      <x:c r="D3" s="46" t="str">
        <x:v>Crustaceans</x:v>
      </x:c>
      <x:c r="E3" s="66" t="n">
        <x:v>3</x:v>
      </x:c>
      <x:c r="F3" s="66" t="n">
        <x:v>3</x:v>
      </x:c>
      <x:c r="G3" s="60" t="n">
        <x:v>8.8019263176</x:v>
      </x:c>
      <x:c r="H3" s="60" t="n">
        <x:v>8.8019263176</x:v>
      </x:c>
      <x:c r="I3" s="62" t="n">
        <x:v>0</x:v>
      </x:c>
      <x:c r="J3" s="64" t="n">
        <x:v>1</x:v>
      </x:c>
      <x:c r="K3" s="62" t="n">
        <x:v>158.3847887551331</x:v>
      </x:c>
      <x:c r="L3" s="60" t="n">
        <x:v>1394.0912404513224</x:v>
      </x:c>
      <x:c r="M3" s="62" t="n">
        <x:v>3.1537593275554734</x:v>
      </x:c>
      <x:c r="N3" s="62" t="n">
        <x:v>142.48177852407005</x:v>
      </x:c>
      <x:c r="O3" s="60" t="n">
        <x:v>1254.1141161694666</x:v>
      </x:c>
      <x:c r="P3" s="60" t="n">
        <x:v>139.97712428185582</x:v>
      </x:c>
      <x:c r="Q3" s="62" t="n">
        <x:v>1.1116143439238195</x:v>
      </x:c>
      <x:c r="R3" s="64" t="n">
        <x:v>0.11161434392381955</x:v>
      </x:c>
    </x:row>
    <x:row r="4" ht="18" customHeight="1">
      <x:c r="A4" s="46" t="str">
        <x:v>HS_021</x:v>
      </x:c>
      <x:c r="B4" s="46" t="str">
        <x:v>Atlantic, Northwest</x:v>
      </x:c>
      <x:c r="C4" s="46" t="str">
        <x:v>commercial</x:v>
      </x:c>
      <x:c r="D4" s="46" t="str">
        <x:v>Flatfishes</x:v>
      </x:c>
      <x:c r="E4" s="66" t="n">
        <x:v>5</x:v>
      </x:c>
      <x:c r="F4" s="66" t="n">
        <x:v>5</x:v>
      </x:c>
      <x:c r="G4" s="60" t="n">
        <x:v>15789.6647557821</x:v>
      </x:c>
      <x:c r="H4" s="60" t="n">
        <x:v>15789.6647557821</x:v>
      </x:c>
      <x:c r="I4" s="62" t="n">
        <x:v>0</x:v>
      </x:c>
      <x:c r="J4" s="64" t="n">
        <x:v>1</x:v>
      </x:c>
      <x:c r="K4" s="62" t="n">
        <x:v>1835.4040135079313</x:v>
      </x:c>
      <x:c r="L4" s="60" t="n">
        <x:v>28980414.064707194</x:v>
      </x:c>
      <x:c r="M4" s="62" t="n">
        <x:v>4.157987624509237</x:v>
      </x:c>
      <x:c r="N4" s="62" t="n">
        <x:v>1438.7575793816582</x:v>
      </x:c>
      <x:c r="O4" s="60" t="n">
        <x:v>22717499.843276933</x:v>
      </x:c>
      <x:c r="P4" s="60" t="n">
        <x:v>6262914.221430261</x:v>
      </x:c>
      <x:c r="Q4" s="62" t="n">
        <x:v>1.2756867729563877</x:v>
      </x:c>
      <x:c r="R4" s="64" t="n">
        <x:v>0.2756867729563877</x:v>
      </x:c>
    </x:row>
    <x:row r="5" ht="18" customHeight="1">
      <x:c r="A5" s="46" t="str">
        <x:v>HS_021</x:v>
      </x:c>
      <x:c r="B5" s="46" t="str">
        <x:v>Atlantic, Northwest</x:v>
      </x:c>
      <x:c r="C5" s="46" t="str">
        <x:v>commercial</x:v>
      </x:c>
      <x:c r="D5" s="46" t="str">
        <x:v>Molluscs</x:v>
      </x:c>
      <x:c r="E5" s="66" t="n">
        <x:v>1</x:v>
      </x:c>
      <x:c r="F5" s="66" t="n">
        <x:v>1</x:v>
      </x:c>
      <x:c r="G5" s="60" t="n">
        <x:v>3.4029850746</x:v>
      </x:c>
      <x:c r="H5" s="60" t="n">
        <x:v>3.4029850746</x:v>
      </x:c>
      <x:c r="I5" s="62" t="n">
        <x:v>0</x:v>
      </x:c>
      <x:c r="J5" s="64" t="n">
        <x:v>1</x:v>
      </x:c>
      <x:c r="K5" s="62" t="n">
        <x:v>12.589254117941673</x:v>
      </x:c>
      <x:c r="L5" s="60" t="n">
        <x:v>42.841043863702104</x:v>
      </x:c>
      <x:c r="M5" s="62" t="n">
        <x:v>2.1</x:v>
      </x:c>
      <x:c r="N5" s="62" t="n">
        <x:v>12.589254117941675</x:v>
      </x:c>
      <x:c r="O5" s="60" t="n">
        <x:v>42.841043863702104</x:v>
      </x:c>
      <x:c r="P5" s="60" t="n">
        <x:v>0</x:v>
      </x:c>
      <x:c r="Q5" s="62" t="n">
        <x:v>1</x:v>
      </x:c>
      <x:c r="R5" s="64" t="n">
        <x:v>0</x:v>
      </x:c>
    </x:row>
    <x:row r="6" ht="18" customHeight="1">
      <x:c r="A6" s="46" t="str">
        <x:v>HS_021</x:v>
      </x:c>
      <x:c r="B6" s="46" t="str">
        <x:v>Atlantic, Northwest</x:v>
      </x:c>
      <x:c r="C6" s="46" t="str">
        <x:v>commercial</x:v>
      </x:c>
      <x:c r="D6" s="46" t="str">
        <x:v>Other fishes &amp; inverts</x:v>
      </x:c>
      <x:c r="E6" s="66" t="n">
        <x:v>8</x:v>
      </x:c>
      <x:c r="F6" s="66" t="n">
        <x:v>8</x:v>
      </x:c>
      <x:c r="G6" s="60" t="n">
        <x:v>4263.8936655488</x:v>
      </x:c>
      <x:c r="H6" s="60" t="n">
        <x:v>4263.8936655488</x:v>
      </x:c>
      <x:c r="I6" s="62" t="n">
        <x:v>0</x:v>
      </x:c>
      <x:c r="J6" s="64" t="n">
        <x:v>1</x:v>
      </x:c>
      <x:c r="K6" s="62" t="n">
        <x:v>240.17457173037587</x:v>
      </x:c>
      <x:c r="L6" s="60" t="n">
        <x:v>1024078.8350270455</x:v>
      </x:c>
      <x:c r="M6" s="62" t="n">
        <x:v>3.31614458092747</x:v>
      </x:c>
      <x:c r="N6" s="62" t="n">
        <x:v>207.08306340448553</x:v>
      </x:c>
      <x:c r="O6" s="60" t="n">
        <x:v>882980.1622928263</x:v>
      </x:c>
      <x:c r="P6" s="60" t="n">
        <x:v>141098.67273421912</x:v>
      </x:c>
      <x:c r="Q6" s="62" t="n">
        <x:v>1.1597982364267727</x:v>
      </x:c>
      <x:c r="R6" s="64" t="n">
        <x:v>0.1597982364267726</x:v>
      </x:c>
    </x:row>
    <x:row r="7" ht="18" customHeight="1">
      <x:c r="A7" s="46" t="str">
        <x:v>HS_021</x:v>
      </x:c>
      <x:c r="B7" s="46" t="str">
        <x:v>Atlantic, Northwest</x:v>
      </x:c>
      <x:c r="C7" s="46" t="str">
        <x:v>commercial</x:v>
      </x:c>
      <x:c r="D7" s="46" t="str">
        <x:v>Perch-likes</x:v>
      </x:c>
      <x:c r="E7" s="66" t="n">
        <x:v>9</x:v>
      </x:c>
      <x:c r="F7" s="66" t="n">
        <x:v>9</x:v>
      </x:c>
      <x:c r="G7" s="60" t="n">
        <x:v>122.1513190902</x:v>
      </x:c>
      <x:c r="H7" s="60" t="n">
        <x:v>122.1513190902</x:v>
      </x:c>
      <x:c r="I7" s="62" t="n">
        <x:v>0</x:v>
      </x:c>
      <x:c r="J7" s="64" t="n">
        <x:v>1</x:v>
      </x:c>
      <x:c r="K7" s="62" t="n">
        <x:v>430.45796849551374</x:v>
      </x:c>
      <x:c r="L7" s="60" t="n">
        <x:v>52581.00866461476</x:v>
      </x:c>
      <x:c r="M7" s="62" t="n">
        <x:v>3.4775297234903038</x:v>
      </x:c>
      <x:c r="N7" s="62" t="n">
        <x:v>300.28229296293915</x:v>
      </x:c>
      <x:c r="O7" s="60" t="n">
        <x:v>36679.8781848529</x:v>
      </x:c>
      <x:c r="P7" s="60" t="n">
        <x:v>15901.130479761858</x:v>
      </x:c>
      <x:c r="Q7" s="62" t="n">
        <x:v>1.4335109947646525</x:v>
      </x:c>
      <x:c r="R7" s="64" t="n">
        <x:v>0.4335109947646525</x:v>
      </x:c>
    </x:row>
    <x:row r="8" ht="18" customHeight="1">
      <x:c r="A8" s="46" t="str">
        <x:v>HS_021</x:v>
      </x:c>
      <x:c r="B8" s="46" t="str">
        <x:v>Atlantic, Northwest</x:v>
      </x:c>
      <x:c r="C8" s="46" t="str">
        <x:v>commercial</x:v>
      </x:c>
      <x:c r="D8" s="46" t="str">
        <x:v>Salmon, smelts, etc</x:v>
      </x:c>
      <x:c r="E8" s="66" t="n">
        <x:v>2</x:v>
      </x:c>
      <x:c r="F8" s="66" t="n">
        <x:v>2</x:v>
      </x:c>
      <x:c r="G8" s="60" t="n">
        <x:v>13.795119683300001</x:v>
      </x:c>
      <x:c r="H8" s="60" t="n">
        <x:v>13.795119683300001</x:v>
      </x:c>
      <x:c r="I8" s="62" t="n">
        <x:v>0</x:v>
      </x:c>
      <x:c r="J8" s="64" t="n">
        <x:v>1</x:v>
      </x:c>
      <x:c r="K8" s="62" t="n">
        <x:v>141.36726683797556</x:v>
      </x:c>
      <x:c r="L8" s="60" t="n">
        <x:v>1950.1783653308803</x:v>
      </x:c>
      <x:c r="M8" s="62" t="n">
        <x:v>3.1501758745325668</x:v>
      </x:c>
      <x:c r="N8" s="62" t="n">
        <x:v>141.31096902526767</x:v>
      </x:c>
      <x:c r="O8" s="60" t="n">
        <x:v>1949.4017302666668</x:v>
      </x:c>
      <x:c r="P8" s="60" t="n">
        <x:v>0.7766350642134512</x:v>
      </x:c>
      <x:c r="Q8" s="62" t="n">
        <x:v>1.0003983966219765</x:v>
      </x:c>
      <x:c r="R8" s="64" t="n">
        <x:v>0.0003983966219765343</x:v>
      </x:c>
    </x:row>
    <x:row r="9" ht="18" customHeight="1">
      <x:c r="A9" s="46" t="str">
        <x:v>HS_021</x:v>
      </x:c>
      <x:c r="B9" s="46" t="str">
        <x:v>Atlantic, Northwest</x:v>
      </x:c>
      <x:c r="C9" s="46" t="str">
        <x:v>commercial</x:v>
      </x:c>
      <x:c r="D9" s="46" t="str">
        <x:v>Scorpionfishes</x:v>
      </x:c>
      <x:c r="E9" s="66" t="n">
        <x:v>4</x:v>
      </x:c>
      <x:c r="F9" s="66" t="n">
        <x:v>4</x:v>
      </x:c>
      <x:c r="G9" s="60" t="n">
        <x:v>32837.70405282581</x:v>
      </x:c>
      <x:c r="H9" s="60" t="n">
        <x:v>32837.70405282581</x:v>
      </x:c>
      <x:c r="I9" s="62" t="n">
        <x:v>0</x:v>
      </x:c>
      <x:c r="J9" s="64" t="n">
        <x:v>1</x:v>
      </x:c>
      <x:c r="K9" s="62" t="n">
        <x:v>616.209038713864</x:v>
      </x:c>
      <x:c r="L9" s="60" t="n">
        <x:v>20234890.047962144</x:v>
      </x:c>
      <x:c r="M9" s="62" t="n">
        <x:v>3.7896598092663534</x:v>
      </x:c>
      <x:c r="N9" s="62" t="n">
        <x:v>616.1122009467498</x:v>
      </x:c>
      <x:c r="O9" s="60" t="n">
        <x:v>20231710.118024513</x:v>
      </x:c>
      <x:c r="P9" s="60" t="n">
        <x:v>3179.929937630892</x:v>
      </x:c>
      <x:c r="Q9" s="62" t="n">
        <x:v>1.0001571755387497</x:v>
      </x:c>
      <x:c r="R9" s="64" t="n">
        <x:v>0.0001571755387498301</x:v>
      </x:c>
    </x:row>
    <x:row r="10" ht="18" customHeight="1">
      <x:c r="A10" s="46" t="str">
        <x:v>HS_021</x:v>
      </x:c>
      <x:c r="B10" s="46" t="str">
        <x:v>Atlantic, Northwest</x:v>
      </x:c>
      <x:c r="C10" s="46" t="str">
        <x:v>commercial</x:v>
      </x:c>
      <x:c r="D10" s="46" t="str">
        <x:v>Sharks &amp; rays</x:v>
      </x:c>
      <x:c r="E10" s="66" t="n">
        <x:v>11</x:v>
      </x:c>
      <x:c r="F10" s="66" t="n">
        <x:v>11</x:v>
      </x:c>
      <x:c r="G10" s="60" t="n">
        <x:v>4212.114304450501</x:v>
      </x:c>
      <x:c r="H10" s="60" t="n">
        <x:v>4212.114304450501</x:v>
      </x:c>
      <x:c r="I10" s="62" t="n">
        <x:v>0</x:v>
      </x:c>
      <x:c r="J10" s="64" t="n">
        <x:v>1</x:v>
      </x:c>
      <x:c r="K10" s="62" t="n">
        <x:v>2334.5163995703488</x:v>
      </x:c>
      <x:c r="L10" s="60" t="n">
        <x:v>9833249.920604547</x:v>
      </x:c>
      <x:c r="M10" s="62" t="n">
        <x:v>4.36391560403777</x:v>
      </x:c>
      <x:c r="N10" s="62" t="n">
        <x:v>2311.6155328571845</x:v>
      </x:c>
      <x:c r="O10" s="60" t="n">
        <x:v>9736788.852337712</x:v>
      </x:c>
      <x:c r="P10" s="60" t="n">
        <x:v>96461.06826683506</x:v>
      </x:c>
      <x:c r="Q10" s="62" t="n">
        <x:v>1.0099068665994206</x:v>
      </x:c>
      <x:c r="R10" s="64" t="n">
        <x:v>0.009906866599420574</x:v>
      </x:c>
    </x:row>
    <x:row r="11" ht="18" customHeight="1">
      <x:c r="A11" s="46" t="str">
        <x:v>HS_021</x:v>
      </x:c>
      <x:c r="B11" s="46" t="str">
        <x:v>Atlantic, Northwest</x:v>
      </x:c>
      <x:c r="C11" s="46" t="str">
        <x:v>commercial</x:v>
      </x:c>
      <x:c r="D11" s="46" t="str">
        <x:v>Tuna &amp; billfishes</x:v>
      </x:c>
      <x:c r="E11" s="66" t="n">
        <x:v>13</x:v>
      </x:c>
      <x:c r="F11" s="66" t="n">
        <x:v>13</x:v>
      </x:c>
      <x:c r="G11" s="60" t="n">
        <x:v>1420.622132477</x:v>
      </x:c>
      <x:c r="H11" s="60" t="n">
        <x:v>1420.622132477</x:v>
      </x:c>
      <x:c r="I11" s="62" t="n">
        <x:v>0</x:v>
      </x:c>
      <x:c r="J11" s="64" t="n">
        <x:v>1</x:v>
      </x:c>
      <x:c r="K11" s="62" t="n">
        <x:v>3321.2043545295387</x:v>
      </x:c>
      <x:c r="L11" s="60" t="n">
        <x:v>4718176.4125236515</x:v>
      </x:c>
      <x:c r="M11" s="62" t="n">
        <x:v>4.520045156948439</x:v>
      </x:c>
      <x:c r="N11" s="62" t="n">
        <x:v>3311.6555353045724</x:v>
      </x:c>
      <x:c r="O11" s="60" t="n">
        <x:v>4704611.148593643</x:v>
      </x:c>
      <x:c r="P11" s="60" t="n">
        <x:v>13565.263930008747</x:v>
      </x:c>
      <x:c r="Q11" s="62" t="n">
        <x:v>1.002883397479952</x:v>
      </x:c>
      <x:c r="R11" s="64" t="n">
        <x:v>0.0028833974799519473</x:v>
      </x:c>
    </x:row>
    <x:row r="12" ht="18" customHeight="1">
      <x:c r="A12" s="46" t="str">
        <x:v>HS_027</x:v>
      </x:c>
      <x:c r="B12" s="46" t="str">
        <x:v>Atlantic, Northeast</x:v>
      </x:c>
      <x:c r="C12" s="46" t="str">
        <x:v>commercial</x:v>
      </x:c>
      <x:c r="D12" s="46" t="str">
        <x:v>Anchovies</x:v>
      </x:c>
      <x:c r="E12" s="66" t="n">
        <x:v>1</x:v>
      </x:c>
      <x:c r="F12" s="66" t="n">
        <x:v>1</x:v>
      </x:c>
      <x:c r="G12" s="60" t="n">
        <x:v>0.07326971709999999</x:v>
      </x:c>
      <x:c r="H12" s="60" t="n">
        <x:v>0.07326971709999999</x:v>
      </x:c>
      <x:c r="I12" s="62" t="n">
        <x:v>0</x:v>
      </x:c>
      <x:c r="J12" s="64" t="n">
        <x:v>1</x:v>
      </x:c>
      <x:c r="K12" s="62" t="n">
        <x:v>128.82495516931337</x:v>
      </x:c>
      <x:c r="L12" s="60" t="n">
        <x:v>9.438968020675771</x:v>
      </x:c>
      <x:c r="M12" s="62" t="n">
        <x:v>3.11</x:v>
      </x:c>
      <x:c r="N12" s="62" t="n">
        <x:v>128.82495516931337</x:v>
      </x:c>
      <x:c r="O12" s="60" t="n">
        <x:v>9.438968020675771</x:v>
      </x:c>
      <x:c r="P12" s="60" t="n">
        <x:v>0</x:v>
      </x:c>
      <x:c r="Q12" s="62" t="n">
        <x:v>1</x:v>
      </x:c>
      <x:c r="R12" s="64" t="n">
        <x:v>0</x:v>
      </x:c>
    </x:row>
    <x:row r="13" ht="18" customHeight="1">
      <x:c r="A13" s="46" t="str">
        <x:v>HS_027</x:v>
      </x:c>
      <x:c r="B13" s="46" t="str">
        <x:v>Atlantic, Northeast</x:v>
      </x:c>
      <x:c r="C13" s="46" t="str">
        <x:v>commercial</x:v>
      </x:c>
      <x:c r="D13" s="46" t="str">
        <x:v>Cod-likes</x:v>
      </x:c>
      <x:c r="E13" s="66" t="n">
        <x:v>15</x:v>
      </x:c>
      <x:c r="F13" s="66" t="n">
        <x:v>15</x:v>
      </x:c>
      <x:c r="G13" s="60" t="n">
        <x:v>26895.4619577919</x:v>
      </x:c>
      <x:c r="H13" s="60" t="n">
        <x:v>26895.4619577919</x:v>
      </x:c>
      <x:c r="I13" s="62" t="n">
        <x:v>0</x:v>
      </x:c>
      <x:c r="J13" s="64" t="n">
        <x:v>1</x:v>
      </x:c>
      <x:c r="K13" s="62" t="n">
        <x:v>1307.3525109358495</x:v>
      </x:c>
      <x:c r="L13" s="60" t="n">
        <x:v>35161849.72329886</x:v>
      </x:c>
      <x:c r="M13" s="62" t="n">
        <x:v>4.115325022338194</x:v>
      </x:c>
      <x:c r="N13" s="62" t="n">
        <x:v>1304.1424225471037</x:v>
      </x:c>
      <x:c r="O13" s="60" t="n">
        <x:v>35075512.9131582</x:v>
      </x:c>
      <x:c r="P13" s="60" t="n">
        <x:v>86336.8101406619</x:v>
      </x:c>
      <x:c r="Q13" s="62" t="n">
        <x:v>1.0024614553849696</x:v>
      </x:c>
      <x:c r="R13" s="64" t="n">
        <x:v>0.00246145538496954</x:v>
      </x:c>
    </x:row>
    <x:row r="14" ht="18" customHeight="1">
      <x:c r="A14" s="46" t="str">
        <x:v>HS_027</x:v>
      </x:c>
      <x:c r="B14" s="46" t="str">
        <x:v>Atlantic, Northeast</x:v>
      </x:c>
      <x:c r="C14" s="46" t="str">
        <x:v>commercial</x:v>
      </x:c>
      <x:c r="D14" s="46" t="str">
        <x:v>Crustaceans</x:v>
      </x:c>
      <x:c r="E14" s="66" t="n">
        <x:v>14</x:v>
      </x:c>
      <x:c r="F14" s="66" t="n">
        <x:v>14</x:v>
      </x:c>
      <x:c r="G14" s="60" t="n">
        <x:v>262.8419529171</x:v>
      </x:c>
      <x:c r="H14" s="60" t="n">
        <x:v>262.8419529171</x:v>
      </x:c>
      <x:c r="I14" s="62" t="n">
        <x:v>0</x:v>
      </x:c>
      <x:c r="J14" s="64" t="n">
        <x:v>1</x:v>
      </x:c>
      <x:c r="K14" s="62" t="n">
        <x:v>193.91966245832478</x:v>
      </x:c>
      <x:c r="L14" s="60" t="n">
        <x:v>50970.22278957093</x:v>
      </x:c>
      <x:c r="M14" s="62" t="n">
        <x:v>3.131419850663356</x:v>
      </x:c>
      <x:c r="N14" s="62" t="n">
        <x:v>135.33803003844992</x:v>
      </x:c>
      <x:c r="O14" s="60" t="n">
        <x:v>35572.51211925932</x:v>
      </x:c>
      <x:c r="P14" s="60" t="n">
        <x:v>15397.710670311608</x:v>
      </x:c>
      <x:c r="Q14" s="62" t="n">
        <x:v>1.43285418299078</x:v>
      </x:c>
      <x:c r="R14" s="64" t="n">
        <x:v>0.4328541829907798</x:v>
      </x:c>
    </x:row>
    <x:row r="15" ht="18" customHeight="1">
      <x:c r="A15" s="46" t="str">
        <x:v>HS_027</x:v>
      </x:c>
      <x:c r="B15" s="46" t="str">
        <x:v>Atlantic, Northeast</x:v>
      </x:c>
      <x:c r="C15" s="46" t="str">
        <x:v>commercial</x:v>
      </x:c>
      <x:c r="D15" s="46" t="str">
        <x:v>Flatfishes</x:v>
      </x:c>
      <x:c r="E15" s="66" t="n">
        <x:v>9</x:v>
      </x:c>
      <x:c r="F15" s="66" t="n">
        <x:v>9</x:v>
      </x:c>
      <x:c r="G15" s="60" t="n">
        <x:v>37.10074451359999</x:v>
      </x:c>
      <x:c r="H15" s="60" t="n">
        <x:v>37.10074451359999</x:v>
      </x:c>
      <x:c r="I15" s="62" t="n">
        <x:v>0</x:v>
      </x:c>
      <x:c r="J15" s="64" t="n">
        <x:v>1</x:v>
      </x:c>
      <x:c r="K15" s="62" t="n">
        <x:v>197.60665370998913</x:v>
      </x:c>
      <x:c r="L15" s="60" t="n">
        <x:v>7331.353973481733</x:v>
      </x:c>
      <x:c r="M15" s="62" t="n">
        <x:v>3.2604988607764254</x:v>
      </x:c>
      <x:c r="N15" s="62" t="n">
        <x:v>182.17922942343475</x:v>
      </x:c>
      <x:c r="O15" s="60" t="n">
        <x:v>6758.985046523371</x:v>
      </x:c>
      <x:c r="P15" s="60" t="n">
        <x:v>572.368926958362</x:v>
      </x:c>
      <x:c r="Q15" s="62" t="n">
        <x:v>1.0846826739545419</x:v>
      </x:c>
      <x:c r="R15" s="64" t="n">
        <x:v>0.08468267395454177</x:v>
      </x:c>
    </x:row>
    <x:row r="16" ht="18" customHeight="1">
      <x:c r="A16" s="46" t="str">
        <x:v>HS_027</x:v>
      </x:c>
      <x:c r="B16" s="46" t="str">
        <x:v>Atlantic, Northeast</x:v>
      </x:c>
      <x:c r="C16" s="46" t="str">
        <x:v>commercial</x:v>
      </x:c>
      <x:c r="D16" s="46" t="str">
        <x:v>Herring-likes</x:v>
      </x:c>
      <x:c r="E16" s="66" t="n">
        <x:v>5</x:v>
      </x:c>
      <x:c r="F16" s="66" t="n">
        <x:v>5</x:v>
      </x:c>
      <x:c r="G16" s="60" t="n">
        <x:v>54.4192684623</x:v>
      </x:c>
      <x:c r="H16" s="60" t="n">
        <x:v>54.4192684623</x:v>
      </x:c>
      <x:c r="I16" s="62" t="n">
        <x:v>0</x:v>
      </x:c>
      <x:c r="J16" s="64" t="n">
        <x:v>1</x:v>
      </x:c>
      <x:c r="K16" s="62" t="n">
        <x:v>227.25012616669702</x:v>
      </x:c>
      <x:c r="L16" s="60" t="n">
        <x:v>12366.785623957032</x:v>
      </x:c>
      <x:c r="M16" s="62" t="n">
        <x:v>3.336320608158051</x:v>
      </x:c>
      <x:c r="N16" s="62" t="n">
        <x:v>216.9304954566552</x:v>
      </x:c>
      <x:c r="O16" s="60" t="n">
        <x:v>11805.19886991547</x:v>
      </x:c>
      <x:c r="P16" s="60" t="n">
        <x:v>561.586754041562</x:v>
      </x:c>
      <x:c r="Q16" s="62" t="n">
        <x:v>1.0475711388033215</x:v>
      </x:c>
      <x:c r="R16" s="64" t="n">
        <x:v>0.04757113880332142</x:v>
      </x:c>
    </x:row>
    <x:row r="17" ht="18" customHeight="1">
      <x:c r="A17" s="46" t="str">
        <x:v>HS_027</x:v>
      </x:c>
      <x:c r="B17" s="46" t="str">
        <x:v>Atlantic, Northeast</x:v>
      </x:c>
      <x:c r="C17" s="46" t="str">
        <x:v>commercial</x:v>
      </x:c>
      <x:c r="D17" s="46" t="str">
        <x:v>Molluscs</x:v>
      </x:c>
      <x:c r="E17" s="66" t="n">
        <x:v>10</x:v>
      </x:c>
      <x:c r="F17" s="66" t="n">
        <x:v>10</x:v>
      </x:c>
      <x:c r="G17" s="60" t="n">
        <x:v>24.851964369300003</x:v>
      </x:c>
      <x:c r="H17" s="60" t="n">
        <x:v>24.851964369300003</x:v>
      </x:c>
      <x:c r="I17" s="62" t="n">
        <x:v>0</x:v>
      </x:c>
      <x:c r="J17" s="64" t="n">
        <x:v>1</x:v>
      </x:c>
      <x:c r="K17" s="62" t="n">
        <x:v>15.373019849752227</x:v>
      </x:c>
      <x:c r="L17" s="60" t="n">
        <x:v>382.04974155458405</x:v>
      </x:c>
      <x:c r="M17" s="62" t="n">
        <x:v>2.1771318259126002</x:v>
      </x:c>
      <x:c r="N17" s="62" t="n">
        <x:v>15.03598299629767</x:v>
      </x:c>
      <x:c r="O17" s="60" t="n">
        <x:v>373.6737136813904</x:v>
      </x:c>
      <x:c r="P17" s="60" t="n">
        <x:v>8.376027873193664</x:v>
      </x:c>
      <x:c r="Q17" s="62" t="n">
        <x:v>1.022415352128128</x:v>
      </x:c>
      <x:c r="R17" s="64" t="n">
        <x:v>0.022415352128128046</x:v>
      </x:c>
    </x:row>
    <x:row r="18" ht="18" customHeight="1">
      <x:c r="A18" s="46" t="str">
        <x:v>HS_027</x:v>
      </x:c>
      <x:c r="B18" s="46" t="str">
        <x:v>Atlantic, Northeast</x:v>
      </x:c>
      <x:c r="C18" s="46" t="str">
        <x:v>commercial</x:v>
      </x:c>
      <x:c r="D18" s="46" t="str">
        <x:v>Other fishes &amp; inverts</x:v>
      </x:c>
      <x:c r="E18" s="66" t="n">
        <x:v>20</x:v>
      </x:c>
      <x:c r="F18" s="66" t="n">
        <x:v>20</x:v>
      </x:c>
      <x:c r="G18" s="60" t="n">
        <x:v>699326.3505697721</x:v>
      </x:c>
      <x:c r="H18" s="60" t="n">
        <x:v>699326.3505697721</x:v>
      </x:c>
      <x:c r="I18" s="62" t="n">
        <x:v>0</x:v>
      </x:c>
      <x:c r="J18" s="64" t="n">
        <x:v>1</x:v>
      </x:c>
      <x:c r="K18" s="62" t="n">
        <x:v>193.6117318078214</x:v>
      </x:c>
      <x:c r="L18" s="60" t="n">
        <x:v>135397785.8326572</x:v>
      </x:c>
      <x:c r="M18" s="62" t="n">
        <x:v>3.2814500592734386</x:v>
      </x:c>
      <x:c r="N18" s="62" t="n">
        <x:v>191.18334649329222</x:v>
      </x:c>
      <x:c r="O18" s="60" t="n">
        <x:v>133699551.99287027</x:v>
      </x:c>
      <x:c r="P18" s="60" t="n">
        <x:v>1698233.839786917</x:v>
      </x:c>
      <x:c r="Q18" s="62" t="n">
        <x:v>1.0127018663449034</x:v>
      </x:c>
      <x:c r="R18" s="64" t="n">
        <x:v>0.012701866344903518</x:v>
      </x:c>
    </x:row>
    <x:row r="19" ht="18" customHeight="1">
      <x:c r="A19" s="46" t="str">
        <x:v>HS_027</x:v>
      </x:c>
      <x:c r="B19" s="46" t="str">
        <x:v>Atlantic, Northeast</x:v>
      </x:c>
      <x:c r="C19" s="46" t="str">
        <x:v>commercial</x:v>
      </x:c>
      <x:c r="D19" s="46" t="str">
        <x:v>Perch-likes</x:v>
      </x:c>
      <x:c r="E19" s="66" t="n">
        <x:v>22</x:v>
      </x:c>
      <x:c r="F19" s="66" t="n">
        <x:v>22</x:v>
      </x:c>
      <x:c r="G19" s="60" t="n">
        <x:v>301.6978233262</x:v>
      </x:c>
      <x:c r="H19" s="60" t="n">
        <x:v>301.6978233262</x:v>
      </x:c>
      <x:c r="I19" s="62" t="n">
        <x:v>0</x:v>
      </x:c>
      <x:c r="J19" s="64" t="n">
        <x:v>1</x:v>
      </x:c>
      <x:c r="K19" s="62" t="n">
        <x:v>550.5154600788337</x:v>
      </x:c>
      <x:c r="L19" s="60" t="n">
        <x:v>166089.3160132057</x:v>
      </x:c>
      <x:c r="M19" s="62" t="n">
        <x:v>3.6960160587380875</x:v>
      </x:c>
      <x:c r="N19" s="62" t="n">
        <x:v>496.61068409089046</x:v>
      </x:c>
      <x:c r="O19" s="60" t="n">
        <x:v>149826.3624307568</x:v>
      </x:c>
      <x:c r="P19" s="60" t="n">
        <x:v>16262.953582448914</x:v>
      </x:c>
      <x:c r="Q19" s="62" t="n">
        <x:v>1.1085453408772767</x:v>
      </x:c>
      <x:c r="R19" s="64" t="n">
        <x:v>0.1085453408772768</x:v>
      </x:c>
    </x:row>
    <x:row r="20" ht="18" customHeight="1">
      <x:c r="A20" s="46" t="str">
        <x:v>HS_027</x:v>
      </x:c>
      <x:c r="B20" s="46" t="str">
        <x:v>Atlantic, Northeast</x:v>
      </x:c>
      <x:c r="C20" s="46" t="str">
        <x:v>commercial</x:v>
      </x:c>
      <x:c r="D20" s="46" t="str">
        <x:v>Salmon, smelts, etc</x:v>
      </x:c>
      <x:c r="E20" s="66" t="n">
        <x:v>4</x:v>
      </x:c>
      <x:c r="F20" s="66" t="n">
        <x:v>4</x:v>
      </x:c>
      <x:c r="G20" s="60" t="n">
        <x:v>0.8265607651</x:v>
      </x:c>
      <x:c r="H20" s="60" t="n">
        <x:v>0.8265607651</x:v>
      </x:c>
      <x:c r="I20" s="62" t="n">
        <x:v>0</x:v>
      </x:c>
      <x:c r="J20" s="64" t="n">
        <x:v>1</x:v>
      </x:c>
      <x:c r="K20" s="62" t="n">
        <x:v>458.00123840575577</x:v>
      </x:c>
      <x:c r="L20" s="60" t="n">
        <x:v>378.565854033409</x:v>
      </x:c>
      <x:c r="M20" s="62" t="n">
        <x:v>3.644665432086573</x:v>
      </x:c>
      <x:c r="N20" s="62" t="n">
        <x:v>441.23040524257345</x:v>
      </x:c>
      <x:c r="O20" s="60" t="n">
        <x:v>364.70374134268457</x:v>
      </x:c>
      <x:c r="P20" s="60" t="n">
        <x:v>13.862112690724416</x:v>
      </x:c>
      <x:c r="Q20" s="62" t="n">
        <x:v>1.0380092418018252</x:v>
      </x:c>
      <x:c r="R20" s="64" t="n">
        <x:v>0.03800924180182521</x:v>
      </x:c>
    </x:row>
    <x:row r="21" ht="18" customHeight="1">
      <x:c r="A21" s="46" t="str">
        <x:v>HS_027</x:v>
      </x:c>
      <x:c r="B21" s="46" t="str">
        <x:v>Atlantic, Northeast</x:v>
      </x:c>
      <x:c r="C21" s="46" t="str">
        <x:v>commercial</x:v>
      </x:c>
      <x:c r="D21" s="46" t="str">
        <x:v>Scorpionfishes</x:v>
      </x:c>
      <x:c r="E21" s="66" t="n">
        <x:v>3</x:v>
      </x:c>
      <x:c r="F21" s="66" t="n">
        <x:v>3</x:v>
      </x:c>
      <x:c r="G21" s="60" t="n">
        <x:v>32.4389876712</x:v>
      </x:c>
      <x:c r="H21" s="60" t="n">
        <x:v>32.4389876712</x:v>
      </x:c>
      <x:c r="I21" s="62" t="n">
        <x:v>0</x:v>
      </x:c>
      <x:c r="J21" s="64" t="n">
        <x:v>1</x:v>
      </x:c>
      <x:c r="K21" s="62" t="n">
        <x:v>543.8131812090338</x:v>
      </x:c>
      <x:c r="L21" s="60" t="n">
        <x:v>17640.7490806759</x:v>
      </x:c>
      <x:c r="M21" s="62" t="n">
        <x:v>3.734988275697939</x:v>
      </x:c>
      <x:c r="N21" s="62" t="n">
        <x:v>543.2356659940796</x:v>
      </x:c>
      <x:c r="O21" s="60" t="n">
        <x:v>17622.01507173807</x:v>
      </x:c>
      <x:c r="P21" s="60" t="n">
        <x:v>18.734008937830367</x:v>
      </x:c>
      <x:c r="Q21" s="62" t="n">
        <x:v>1.0010631025374548</x:v>
      </x:c>
      <x:c r="R21" s="64" t="n">
        <x:v>0.0010631025374547372</x:v>
      </x:c>
    </x:row>
    <x:row r="22" ht="18" customHeight="1">
      <x:c r="A22" s="46" t="str">
        <x:v>HS_027</x:v>
      </x:c>
      <x:c r="B22" s="46" t="str">
        <x:v>Atlantic, Northeast</x:v>
      </x:c>
      <x:c r="C22" s="46" t="str">
        <x:v>commercial</x:v>
      </x:c>
      <x:c r="D22" s="46" t="str">
        <x:v>Sharks &amp; rays</x:v>
      </x:c>
      <x:c r="E22" s="66" t="n">
        <x:v>14</x:v>
      </x:c>
      <x:c r="F22" s="66" t="n">
        <x:v>14</x:v>
      </x:c>
      <x:c r="G22" s="60" t="n">
        <x:v>4611.594732014</x:v>
      </x:c>
      <x:c r="H22" s="60" t="n">
        <x:v>4611.594732014</x:v>
      </x:c>
      <x:c r="I22" s="62" t="n">
        <x:v>0</x:v>
      </x:c>
      <x:c r="J22" s="64" t="n">
        <x:v>1</x:v>
      </x:c>
      <x:c r="K22" s="62" t="n">
        <x:v>2248.02479592846</x:v>
      </x:c>
      <x:c r="L22" s="60" t="n">
        <x:v>10366979.306340536</x:v>
      </x:c>
      <x:c r="M22" s="62" t="n">
        <x:v>4.347131236568111</x:v>
      </x:c>
      <x:c r="N22" s="62" t="n">
        <x:v>2223.98183943722</x:v>
      </x:c>
      <x:c r="O22" s="60" t="n">
        <x:v>10256102.93484349</x:v>
      </x:c>
      <x:c r="P22" s="60" t="n">
        <x:v>110876.3714970462</x:v>
      </x:c>
      <x:c r="Q22" s="62" t="n">
        <x:v>1.0108107701532871</x:v>
      </x:c>
      <x:c r="R22" s="64" t="n">
        <x:v>0.010810770153287097</x:v>
      </x:c>
    </x:row>
    <x:row r="23" ht="18" customHeight="1">
      <x:c r="A23" s="46" t="str">
        <x:v>HS_027</x:v>
      </x:c>
      <x:c r="B23" s="46" t="str">
        <x:v>Atlantic, Northeast</x:v>
      </x:c>
      <x:c r="C23" s="46" t="str">
        <x:v>commercial</x:v>
      </x:c>
      <x:c r="D23" s="46" t="str">
        <x:v>Tuna &amp; billfishes</x:v>
      </x:c>
      <x:c r="E23" s="66" t="n">
        <x:v>14</x:v>
      </x:c>
      <x:c r="F23" s="66" t="n">
        <x:v>14</x:v>
      </x:c>
      <x:c r="G23" s="60" t="n">
        <x:v>3384.6326297222</x:v>
      </x:c>
      <x:c r="H23" s="60" t="n">
        <x:v>3384.6326297222</x:v>
      </x:c>
      <x:c r="I23" s="62" t="n">
        <x:v>0</x:v>
      </x:c>
      <x:c r="J23" s="64" t="n">
        <x:v>1</x:v>
      </x:c>
      <x:c r="K23" s="62" t="n">
        <x:v>3229.0730928076537</x:v>
      </x:c>
      <x:c r="L23" s="60" t="n">
        <x:v>10929226.153674766</x:v>
      </x:c>
      <x:c r="M23" s="62" t="n">
        <x:v>4.506574849560249</x:v>
      </x:c>
      <x:c r="N23" s="62" t="n">
        <x:v>3210.51608089273</x:v>
      </x:c>
      <x:c r="O23" s="60" t="n">
        <x:v>10866417.48563737</x:v>
      </x:c>
      <x:c r="P23" s="60" t="n">
        <x:v>62808.668037395924</x:v>
      </x:c>
      <x:c r="Q23" s="62" t="n">
        <x:v>1.005780071317931</x:v>
      </x:c>
      <x:c r="R23" s="64" t="n">
        <x:v>0.005780071317930951</x:v>
      </x:c>
    </x:row>
    <x:row r="24" ht="18" customHeight="1">
      <x:c r="A24" s="46" t="str">
        <x:v>HS_031</x:v>
      </x:c>
      <x:c r="B24" s="46" t="str">
        <x:v>Atlantic, Western Central</x:v>
      </x:c>
      <x:c r="C24" s="46" t="str">
        <x:v>commercial</x:v>
      </x:c>
      <x:c r="D24" s="46" t="str">
        <x:v>Other fishes &amp; inverts</x:v>
      </x:c>
      <x:c r="E24" s="66" t="n">
        <x:v>2</x:v>
      </x:c>
      <x:c r="F24" s="66" t="n">
        <x:v>2</x:v>
      </x:c>
      <x:c r="G24" s="60" t="n">
        <x:v>3850.3552854922</x:v>
      </x:c>
      <x:c r="H24" s="60" t="n">
        <x:v>3850.3552854922</x:v>
      </x:c>
      <x:c r="I24" s="62" t="n">
        <x:v>0</x:v>
      </x:c>
      <x:c r="J24" s="64" t="n">
        <x:v>1</x:v>
      </x:c>
      <x:c r="K24" s="62" t="n">
        <x:v>196.37228491108365</x:v>
      </x:c>
      <x:c r="L24" s="60" t="n">
        <x:v>756103.0651315711</x:v>
      </x:c>
      <x:c r="M24" s="62" t="n">
        <x:v>3.292237724398614</x:v>
      </x:c>
      <x:c r="N24" s="62" t="n">
        <x:v>195.99172007028758</x:v>
      </x:c>
      <x:c r="O24" s="60" t="n">
        <x:v>754637.7552853395</x:v>
      </x:c>
      <x:c r="P24" s="60" t="n">
        <x:v>1465.3098462315975</x:v>
      </x:c>
      <x:c r="Q24" s="62" t="n">
        <x:v>1.0019417393788859</x:v>
      </x:c>
      <x:c r="R24" s="64" t="n">
        <x:v>0.00194173937888589</x:v>
      </x:c>
    </x:row>
    <x:row r="25" ht="18" customHeight="1">
      <x:c r="A25" s="46" t="str">
        <x:v>HS_031</x:v>
      </x:c>
      <x:c r="B25" s="46" t="str">
        <x:v>Atlantic, Western Central</x:v>
      </x:c>
      <x:c r="C25" s="46" t="str">
        <x:v>commercial</x:v>
      </x:c>
      <x:c r="D25" s="46" t="str">
        <x:v>Perch-likes</x:v>
      </x:c>
      <x:c r="E25" s="66" t="n">
        <x:v>6</x:v>
      </x:c>
      <x:c r="F25" s="66" t="n">
        <x:v>6</x:v>
      </x:c>
      <x:c r="G25" s="60" t="n">
        <x:v>766.8285754965001</x:v>
      </x:c>
      <x:c r="H25" s="60" t="n">
        <x:v>766.8285754965001</x:v>
      </x:c>
      <x:c r="I25" s="62" t="n">
        <x:v>0</x:v>
      </x:c>
      <x:c r="J25" s="64" t="n">
        <x:v>1</x:v>
      </x:c>
      <x:c r="K25" s="62" t="n">
        <x:v>2028.539365953817</x:v>
      </x:c>
      <x:c r="L25" s="60" t="n">
        <x:v>1555541.952332939</x:v>
      </x:c>
      <x:c r="M25" s="62" t="n">
        <x:v>4.3037153144300175</x:v>
      </x:c>
      <x:c r="N25" s="62" t="n">
        <x:v>2012.40466049344</x:v>
      </x:c>
      <x:c r="O25" s="60" t="n">
        <x:v>1543169.3991287025</x:v>
      </x:c>
      <x:c r="P25" s="60" t="n">
        <x:v>12372.553204236552</x:v>
      </x:c>
      <x:c r="Q25" s="62" t="n">
        <x:v>1.0080176247735486</x:v>
      </x:c>
      <x:c r="R25" s="64" t="n">
        <x:v>0.008017624773548703</x:v>
      </x:c>
    </x:row>
    <x:row r="26" ht="18" customHeight="1">
      <x:c r="A26" s="46" t="str">
        <x:v>HS_031</x:v>
      </x:c>
      <x:c r="B26" s="46" t="str">
        <x:v>Atlantic, Western Central</x:v>
      </x:c>
      <x:c r="C26" s="46" t="str">
        <x:v>commercial</x:v>
      </x:c>
      <x:c r="D26" s="46" t="str">
        <x:v>Sharks &amp; rays</x:v>
      </x:c>
      <x:c r="E26" s="66" t="n">
        <x:v>9</x:v>
      </x:c>
      <x:c r="F26" s="66" t="n">
        <x:v>9</x:v>
      </x:c>
      <x:c r="G26" s="60" t="n">
        <x:v>757.0219326704</x:v>
      </x:c>
      <x:c r="H26" s="60" t="n">
        <x:v>757.0219326704</x:v>
      </x:c>
      <x:c r="I26" s="62" t="n">
        <x:v>0</x:v>
      </x:c>
      <x:c r="J26" s="64" t="n">
        <x:v>1</x:v>
      </x:c>
      <x:c r="K26" s="62" t="n">
        <x:v>1865.8178354020285</x:v>
      </x:c>
      <x:c r="L26" s="60" t="n">
        <x:v>1412465.023766946</x:v>
      </x:c>
      <x:c r="M26" s="62" t="n">
        <x:v>4.248051555732182</x:v>
      </x:c>
      <x:c r="N26" s="62" t="n">
        <x:v>1770.319103009942</x:v>
      </x:c>
      <x:c r="O26" s="60" t="n">
        <x:v>1340170.3888039151</x:v>
      </x:c>
      <x:c r="P26" s="60" t="n">
        <x:v>72294.63496303093</x:v>
      </x:c>
      <x:c r="Q26" s="62" t="n">
        <x:v>1.0539443607820294</x:v>
      </x:c>
      <x:c r="R26" s="64" t="n">
        <x:v>0.053944360782029334</x:v>
      </x:c>
    </x:row>
    <x:row r="27" ht="18" customHeight="1">
      <x:c r="A27" s="46" t="str">
        <x:v>HS_031</x:v>
      </x:c>
      <x:c r="B27" s="46" t="str">
        <x:v>Atlantic, Western Central</x:v>
      </x:c>
      <x:c r="C27" s="46" t="str">
        <x:v>commercial</x:v>
      </x:c>
      <x:c r="D27" s="46" t="str">
        <x:v>Tuna &amp; billfishes</x:v>
      </x:c>
      <x:c r="E27" s="66" t="n">
        <x:v>15</x:v>
      </x:c>
      <x:c r="F27" s="66" t="n">
        <x:v>15</x:v>
      </x:c>
      <x:c r="G27" s="60" t="n">
        <x:v>11484.8054095696</x:v>
      </x:c>
      <x:c r="H27" s="60" t="n">
        <x:v>11484.8054095696</x:v>
      </x:c>
      <x:c r="I27" s="62" t="n">
        <x:v>0</x:v>
      </x:c>
      <x:c r="J27" s="64" t="n">
        <x:v>1</x:v>
      </x:c>
      <x:c r="K27" s="62" t="n">
        <x:v>2535.664066785789</x:v>
      </x:c>
      <x:c r="L27" s="60" t="n">
        <x:v>29121608.391072687</x:v>
      </x:c>
      <x:c r="M27" s="62" t="n">
        <x:v>4.3976781806934</x:v>
      </x:c>
      <x:c r="N27" s="62" t="n">
        <x:v>2498.493251239538</x:v>
      </x:c>
      <x:c r="O27" s="60" t="n">
        <x:v>28694708.807608984</x:v>
      </x:c>
      <x:c r="P27" s="60" t="n">
        <x:v>426899.58346370235</x:v>
      </x:c>
      <x:c r="Q27" s="62" t="n">
        <x:v>1.014877292755468</x:v>
      </x:c>
      <x:c r="R27" s="64" t="n">
        <x:v>0.014877292755467909</x:v>
      </x:c>
    </x:row>
    <x:row r="28" ht="18" customHeight="1">
      <x:c r="A28" s="46" t="str">
        <x:v>HS_034</x:v>
      </x:c>
      <x:c r="B28" s="46" t="str">
        <x:v>Atlantic, Eastern Central</x:v>
      </x:c>
      <x:c r="C28" s="46" t="str">
        <x:v>commercial</x:v>
      </x:c>
      <x:c r="D28" s="46" t="str">
        <x:v>Other fishes &amp; inverts</x:v>
      </x:c>
      <x:c r="E28" s="66" t="n">
        <x:v>2</x:v>
      </x:c>
      <x:c r="F28" s="66" t="n">
        <x:v>2</x:v>
      </x:c>
      <x:c r="G28" s="60" t="n">
        <x:v>21164.582657384897</x:v>
      </x:c>
      <x:c r="H28" s="60" t="n">
        <x:v>21164.582657384897</x:v>
      </x:c>
      <x:c r="I28" s="62" t="n">
        <x:v>0</x:v>
      </x:c>
      <x:c r="J28" s="64" t="n">
        <x:v>1</x:v>
      </x:c>
      <x:c r="K28" s="62" t="n">
        <x:v>194.7958590193647</x:v>
      </x:c>
      <x:c r="L28" s="60" t="n">
        <x:v>4122773.05953164</x:v>
      </x:c>
      <x:c r="M28" s="62" t="n">
        <x:v>3.2889265057360446</x:v>
      </x:c>
      <x:c r="N28" s="62" t="n">
        <x:v>194.50309024215645</x:v>
      </x:c>
      <x:c r="O28" s="60" t="n">
        <x:v>4116576.730546914</x:v>
      </x:c>
      <x:c r="P28" s="60" t="n">
        <x:v>6196.328984725755</x:v>
      </x:c>
      <x:c r="Q28" s="62" t="n">
        <x:v>1.0015052140140486</x:v>
      </x:c>
      <x:c r="R28" s="64" t="n">
        <x:v>0.0015052140140486418</x:v>
      </x:c>
    </x:row>
    <x:row r="29" ht="18" customHeight="1">
      <x:c r="A29" s="46" t="str">
        <x:v>HS_034</x:v>
      </x:c>
      <x:c r="B29" s="46" t="str">
        <x:v>Atlantic, Eastern Central</x:v>
      </x:c>
      <x:c r="C29" s="46" t="str">
        <x:v>commercial</x:v>
      </x:c>
      <x:c r="D29" s="46" t="str">
        <x:v>Perch-likes</x:v>
      </x:c>
      <x:c r="E29" s="66" t="n">
        <x:v>5</x:v>
      </x:c>
      <x:c r="F29" s="66" t="n">
        <x:v>5</x:v>
      </x:c>
      <x:c r="G29" s="60" t="n">
        <x:v>2839.6174870202</x:v>
      </x:c>
      <x:c r="H29" s="60" t="n">
        <x:v>2839.6174870202</x:v>
      </x:c>
      <x:c r="I29" s="62" t="n">
        <x:v>0</x:v>
      </x:c>
      <x:c r="J29" s="64" t="n">
        <x:v>1</x:v>
      </x:c>
      <x:c r="K29" s="62" t="n">
        <x:v>1951.3791572602477</x:v>
      </x:c>
      <x:c r="L29" s="60" t="n">
        <x:v>5541170.37876294</x:v>
      </x:c>
      <x:c r="M29" s="62" t="n">
        <x:v>4.287574396565617</x:v>
      </x:c>
      <x:c r="N29" s="62" t="n">
        <x:v>1938.9847641700326</x:v>
      </x:c>
      <x:c r="O29" s="60" t="n">
        <x:v>5505975.043402962</x:v>
      </x:c>
      <x:c r="P29" s="60" t="n">
        <x:v>35195.33535997756</x:v>
      </x:c>
      <x:c r="Q29" s="62" t="n">
        <x:v>1.006392207571327</x:v>
      </x:c>
      <x:c r="R29" s="64" t="n">
        <x:v>0.006392207571326933</x:v>
      </x:c>
    </x:row>
    <x:row r="30" ht="18" customHeight="1">
      <x:c r="A30" s="46" t="str">
        <x:v>HS_034</x:v>
      </x:c>
      <x:c r="B30" s="46" t="str">
        <x:v>Atlantic, Eastern Central</x:v>
      </x:c>
      <x:c r="C30" s="46" t="str">
        <x:v>commercial</x:v>
      </x:c>
      <x:c r="D30" s="46" t="str">
        <x:v>Sharks &amp; rays</x:v>
      </x:c>
      <x:c r="E30" s="66" t="n">
        <x:v>14</x:v>
      </x:c>
      <x:c r="F30" s="66" t="n">
        <x:v>14</x:v>
      </x:c>
      <x:c r="G30" s="60" t="n">
        <x:v>14724.0785045723</x:v>
      </x:c>
      <x:c r="H30" s="60" t="n">
        <x:v>14724.0785045723</x:v>
      </x:c>
      <x:c r="I30" s="62" t="n">
        <x:v>0</x:v>
      </x:c>
      <x:c r="J30" s="64" t="n">
        <x:v>1</x:v>
      </x:c>
      <x:c r="K30" s="62" t="n">
        <x:v>2191.5718104516695</x:v>
      </x:c>
      <x:c r="L30" s="60" t="n">
        <x:v>32268875.385498025</x:v>
      </x:c>
      <x:c r="M30" s="62" t="n">
        <x:v>4.3350642171340255</x:v>
      </x:c>
      <x:c r="N30" s="62" t="n">
        <x:v>2163.038338644388</x:v>
      </x:c>
      <x:c r="O30" s="60" t="n">
        <x:v>31848746.306599617</x:v>
      </x:c>
      <x:c r="P30" s="60" t="n">
        <x:v>420129.0788984075</x:v>
      </x:c>
      <x:c r="Q30" s="62" t="n">
        <x:v>1.0131913851444554</x:v>
      </x:c>
      <x:c r="R30" s="64" t="n">
        <x:v>0.013191385144455416</x:v>
      </x:c>
    </x:row>
    <x:row r="31" ht="18" customHeight="1">
      <x:c r="A31" s="46" t="str">
        <x:v>HS_034</x:v>
      </x:c>
      <x:c r="B31" s="46" t="str">
        <x:v>Atlantic, Eastern Central</x:v>
      </x:c>
      <x:c r="C31" s="46" t="str">
        <x:v>commercial</x:v>
      </x:c>
      <x:c r="D31" s="46" t="str">
        <x:v>Tuna &amp; billfishes</x:v>
      </x:c>
      <x:c r="E31" s="66" t="n">
        <x:v>16</x:v>
      </x:c>
      <x:c r="F31" s="66" t="n">
        <x:v>16</x:v>
      </x:c>
      <x:c r="G31" s="60" t="n">
        <x:v>196591.17662370868</x:v>
      </x:c>
      <x:c r="H31" s="60" t="n">
        <x:v>196591.17662370868</x:v>
      </x:c>
      <x:c r="I31" s="62" t="n">
        <x:v>0</x:v>
      </x:c>
      <x:c r="J31" s="64" t="n">
        <x:v>1</x:v>
      </x:c>
      <x:c r="K31" s="62" t="n">
        <x:v>2737.752683251629</x:v>
      </x:c>
      <x:c r="L31" s="60" t="n">
        <x:v>538218021.3051534</x:v>
      </x:c>
      <x:c r="M31" s="62" t="n">
        <x:v>4.43595929010175</x:v>
      </x:c>
      <x:c r="N31" s="62" t="n">
        <x:v>2728.7219858645426</x:v>
      </x:c>
      <x:c r="O31" s="60" t="n">
        <x:v>536442665.8800934</x:v>
      </x:c>
      <x:c r="P31" s="60" t="n">
        <x:v>1775355.4250599742</x:v>
      </x:c>
      <x:c r="Q31" s="62" t="n">
        <x:v>1.0033094970590144</x:v>
      </x:c>
      <x:c r="R31" s="64" t="n">
        <x:v>0.0033094970590143266</x:v>
      </x:c>
    </x:row>
    <x:row r="32" ht="18" customHeight="1">
      <x:c r="A32" s="46" t="str">
        <x:v>HS_041</x:v>
      </x:c>
      <x:c r="B32" s="46" t="str">
        <x:v>Atlantic, Southwest</x:v>
      </x:c>
      <x:c r="C32" s="46" t="str">
        <x:v>commercial</x:v>
      </x:c>
      <x:c r="D32" s="46" t="str">
        <x:v>Other fishes &amp; inverts</x:v>
      </x:c>
      <x:c r="E32" s="66" t="n">
        <x:v>2</x:v>
      </x:c>
      <x:c r="F32" s="66" t="n">
        <x:v>2</x:v>
      </x:c>
      <x:c r="G32" s="60" t="n">
        <x:v>5311.4274258874</x:v>
      </x:c>
      <x:c r="H32" s="60" t="n">
        <x:v>5311.4274258874</x:v>
      </x:c>
      <x:c r="I32" s="62" t="n">
        <x:v>0</x:v>
      </x:c>
      <x:c r="J32" s="64" t="n">
        <x:v>1</x:v>
      </x:c>
      <x:c r="K32" s="62" t="n">
        <x:v>192.93693146645884</x:v>
      </x:c>
      <x:c r="L32" s="60" t="n">
        <x:v>1024770.5092575073</x:v>
      </x:c>
      <x:c r="M32" s="62" t="n">
        <x:v>3.2850219037893997</x:v>
      </x:c>
      <x:c r="N32" s="62" t="n">
        <x:v>192.76221310148574</x:v>
      </x:c>
      <x:c r="O32" s="60" t="n">
        <x:v>1023842.5053419829</x:v>
      </x:c>
      <x:c r="P32" s="60" t="n">
        <x:v>928.003915524343</x:v>
      </x:c>
      <x:c r="Q32" s="62" t="n">
        <x:v>1.000906393230094</x:v>
      </x:c>
      <x:c r="R32" s="64" t="n">
        <x:v>0.0009063932300938922</x:v>
      </x:c>
    </x:row>
    <x:row r="33" ht="18" customHeight="1">
      <x:c r="A33" s="46" t="str">
        <x:v>HS_041</x:v>
      </x:c>
      <x:c r="B33" s="46" t="str">
        <x:v>Atlantic, Southwest</x:v>
      </x:c>
      <x:c r="C33" s="46" t="str">
        <x:v>commercial</x:v>
      </x:c>
      <x:c r="D33" s="46" t="str">
        <x:v>Perch-likes</x:v>
      </x:c>
      <x:c r="E33" s="66" t="n">
        <x:v>7</x:v>
      </x:c>
      <x:c r="F33" s="66" t="n">
        <x:v>7</x:v>
      </x:c>
      <x:c r="G33" s="60" t="n">
        <x:v>676.6536445014001</x:v>
      </x:c>
      <x:c r="H33" s="60" t="n">
        <x:v>676.6536445014001</x:v>
      </x:c>
      <x:c r="I33" s="62" t="n">
        <x:v>0</x:v>
      </x:c>
      <x:c r="J33" s="64" t="n">
        <x:v>1</x:v>
      </x:c>
      <x:c r="K33" s="62" t="n">
        <x:v>2023.3664873994665</x:v>
      </x:c>
      <x:c r="L33" s="60" t="n">
        <x:v>1369118.3078608452</x:v>
      </x:c>
      <x:c r="M33" s="62" t="n">
        <x:v>4.289701333839051</x:v>
      </x:c>
      <x:c r="N33" s="62" t="n">
        <x:v>1948.5041443112668</x:v>
      </x:c>
      <x:c r="O33" s="60" t="n">
        <x:v>1318462.4305743007</x:v>
      </x:c>
      <x:c r="P33" s="60" t="n">
        <x:v>50655.877286544535</x:v>
      </x:c>
      <x:c r="Q33" s="62" t="n">
        <x:v>1.0384204176864407</x:v>
      </x:c>
      <x:c r="R33" s="64" t="n">
        <x:v>0.03842041768644076</x:v>
      </x:c>
    </x:row>
    <x:row r="34" ht="18" customHeight="1">
      <x:c r="A34" s="46" t="str">
        <x:v>HS_041</x:v>
      </x:c>
      <x:c r="B34" s="46" t="str">
        <x:v>Atlantic, Southwest</x:v>
      </x:c>
      <x:c r="C34" s="46" t="str">
        <x:v>commercial</x:v>
      </x:c>
      <x:c r="D34" s="46" t="str">
        <x:v>Sharks &amp; rays</x:v>
      </x:c>
      <x:c r="E34" s="66" t="n">
        <x:v>9</x:v>
      </x:c>
      <x:c r="F34" s="66" t="n">
        <x:v>9</x:v>
      </x:c>
      <x:c r="G34" s="60" t="n">
        <x:v>8355.589598736598</x:v>
      </x:c>
      <x:c r="H34" s="60" t="n">
        <x:v>8355.589598736598</x:v>
      </x:c>
      <x:c r="I34" s="62" t="n">
        <x:v>0</x:v>
      </x:c>
      <x:c r="J34" s="64" t="n">
        <x:v>1</x:v>
      </x:c>
      <x:c r="K34" s="62" t="n">
        <x:v>2287.269500531835</x:v>
      </x:c>
      <x:c r="L34" s="60" t="n">
        <x:v>19111485.248151258</x:v>
      </x:c>
      <x:c r="M34" s="62" t="n">
        <x:v>4.357798503130919</x:v>
      </x:c>
      <x:c r="N34" s="62" t="n">
        <x:v>2279.2843214828904</x:v>
      </x:c>
      <x:c r="O34" s="60" t="n">
        <x:v>19044764.369145844</x:v>
      </x:c>
      <x:c r="P34" s="60" t="n">
        <x:v>66720.8790054135</x:v>
      </x:c>
      <x:c r="Q34" s="62" t="n">
        <x:v>1.0035033712001975</x:v>
      </x:c>
      <x:c r="R34" s="64" t="n">
        <x:v>0.0035033712001975234</x:v>
      </x:c>
    </x:row>
    <x:row r="35" ht="18" customHeight="1">
      <x:c r="A35" s="46" t="str">
        <x:v>HS_041</x:v>
      </x:c>
      <x:c r="B35" s="46" t="str">
        <x:v>Atlantic, Southwest</x:v>
      </x:c>
      <x:c r="C35" s="46" t="str">
        <x:v>commercial</x:v>
      </x:c>
      <x:c r="D35" s="46" t="str">
        <x:v>Tuna &amp; billfishes</x:v>
      </x:c>
      <x:c r="E35" s="66" t="n">
        <x:v>15</x:v>
      </x:c>
      <x:c r="F35" s="66" t="n">
        <x:v>15</x:v>
      </x:c>
      <x:c r="G35" s="60" t="n">
        <x:v>47894.694544169695</x:v>
      </x:c>
      <x:c r="H35" s="60" t="n">
        <x:v>47894.694544169695</x:v>
      </x:c>
      <x:c r="I35" s="62" t="n">
        <x:v>0</x:v>
      </x:c>
      <x:c r="J35" s="64" t="n">
        <x:v>1</x:v>
      </x:c>
      <x:c r="K35" s="62" t="n">
        <x:v>2669.2744074159923</x:v>
      </x:c>
      <x:c r="L35" s="60" t="n">
        <x:v>127844082.39775851</x:v>
      </x:c>
      <x:c r="M35" s="62" t="n">
        <x:v>4.422012328058691</x:v>
      </x:c>
      <x:c r="N35" s="62" t="n">
        <x:v>2642.4837668695277</x:v>
      </x:c>
      <x:c r="O35" s="60" t="n">
        <x:v>126560952.85214296</x:v>
      </x:c>
      <x:c r="P35" s="60" t="n">
        <x:v>1283129.5456155539</x:v>
      </x:c>
      <x:c r="Q35" s="62" t="n">
        <x:v>1.0101384314569328</x:v>
      </x:c>
      <x:c r="R35" s="64" t="n">
        <x:v>0.01013843145693279</x:v>
      </x:c>
    </x:row>
    <x:row r="36" ht="18" customHeight="1">
      <x:c r="A36" s="46" t="str">
        <x:v>HS_047</x:v>
      </x:c>
      <x:c r="B36" s="46" t="str">
        <x:v>Atlantic, Southeast</x:v>
      </x:c>
      <x:c r="C36" s="46" t="str">
        <x:v>commercial</x:v>
      </x:c>
      <x:c r="D36" s="46" t="str">
        <x:v>Other fishes &amp; inverts</x:v>
      </x:c>
      <x:c r="E36" s="66" t="n">
        <x:v>2</x:v>
      </x:c>
      <x:c r="F36" s="66" t="n">
        <x:v>2</x:v>
      </x:c>
      <x:c r="G36" s="60" t="n">
        <x:v>5385.878291358101</x:v>
      </x:c>
      <x:c r="H36" s="60" t="n">
        <x:v>5385.878291358101</x:v>
      </x:c>
      <x:c r="I36" s="62" t="n">
        <x:v>0</x:v>
      </x:c>
      <x:c r="J36" s="64" t="n">
        <x:v>1</x:v>
      </x:c>
      <x:c r="K36" s="62" t="n">
        <x:v>191.74654108796497</x:v>
      </x:c>
      <x:c r="L36" s="60" t="n">
        <x:v>1032723.5330886747</x:v>
      </x:c>
      <x:c r="M36" s="62" t="n">
        <x:v>3.282521537068886</x:v>
      </x:c>
      <x:c r="N36" s="62" t="n">
        <x:v>191.6556104185586</x:v>
      </x:c>
      <x:c r="O36" s="60" t="n">
        <x:v>1032233.7915703002</x:v>
      </x:c>
      <x:c r="P36" s="60" t="n">
        <x:v>489.74151837441605</x:v>
      </x:c>
      <x:c r="Q36" s="62" t="n">
        <x:v>1.000474448252299</x:v>
      </x:c>
      <x:c r="R36" s="64" t="n">
        <x:v>0.0004744482522989195</x:v>
      </x:c>
    </x:row>
    <x:row r="37" ht="18" customHeight="1">
      <x:c r="A37" s="46" t="str">
        <x:v>HS_047</x:v>
      </x:c>
      <x:c r="B37" s="46" t="str">
        <x:v>Atlantic, Southeast</x:v>
      </x:c>
      <x:c r="C37" s="46" t="str">
        <x:v>commercial</x:v>
      </x:c>
      <x:c r="D37" s="46" t="str">
        <x:v>Perch-likes</x:v>
      </x:c>
      <x:c r="E37" s="66" t="n">
        <x:v>5</x:v>
      </x:c>
      <x:c r="F37" s="66" t="n">
        <x:v>5</x:v>
      </x:c>
      <x:c r="G37" s="60" t="n">
        <x:v>39.648962495700005</x:v>
      </x:c>
      <x:c r="H37" s="60" t="n">
        <x:v>39.648962495700005</x:v>
      </x:c>
      <x:c r="I37" s="62" t="n">
        <x:v>0</x:v>
      </x:c>
      <x:c r="J37" s="64" t="n">
        <x:v>1</x:v>
      </x:c>
      <x:c r="K37" s="62" t="n">
        <x:v>1957.471892084017</x:v>
      </x:c>
      <x:c r="L37" s="60" t="n">
        <x:v>77611.72963562612</x:v>
      </x:c>
      <x:c r="M37" s="62" t="n">
        <x:v>4.288819405020368</x:v>
      </x:c>
      <x:c r="N37" s="62" t="n">
        <x:v>1944.5513003855585</x:v>
      </x:c>
      <x:c r="O37" s="60" t="n">
        <x:v>77099.44157995169</x:v>
      </x:c>
      <x:c r="P37" s="60" t="n">
        <x:v>512.2880556744349</x:v>
      </x:c>
      <x:c r="Q37" s="62" t="n">
        <x:v>1.0066445105849853</x:v>
      </x:c>
      <x:c r="R37" s="64" t="n">
        <x:v>0.006644510584985172</x:v>
      </x:c>
    </x:row>
    <x:row r="38" ht="18" customHeight="1">
      <x:c r="A38" s="46" t="str">
        <x:v>HS_047</x:v>
      </x:c>
      <x:c r="B38" s="46" t="str">
        <x:v>Atlantic, Southeast</x:v>
      </x:c>
      <x:c r="C38" s="46" t="str">
        <x:v>commercial</x:v>
      </x:c>
      <x:c r="D38" s="46" t="str">
        <x:v>Sharks &amp; rays</x:v>
      </x:c>
      <x:c r="E38" s="66" t="n">
        <x:v>8</x:v>
      </x:c>
      <x:c r="F38" s="66" t="n">
        <x:v>8</x:v>
      </x:c>
      <x:c r="G38" s="60" t="n">
        <x:v>5486.885765556901</x:v>
      </x:c>
      <x:c r="H38" s="60" t="n">
        <x:v>5486.885765556901</x:v>
      </x:c>
      <x:c r="I38" s="62" t="n">
        <x:v>0</x:v>
      </x:c>
      <x:c r="J38" s="64" t="n">
        <x:v>1</x:v>
      </x:c>
      <x:c r="K38" s="62" t="n">
        <x:v>1764.6428031204132</x:v>
      </x:c>
      <x:c r="L38" s="60" t="n">
        <x:v>9682393.477733824</x:v>
      </x:c>
      <x:c r="M38" s="62" t="n">
        <x:v>4.219965651641608</x:v>
      </x:c>
      <x:c r="N38" s="62" t="n">
        <x:v>1659.4556558695895</x:v>
      </x:c>
      <x:c r="O38" s="60" t="n">
        <x:v>9105243.61676374</x:v>
      </x:c>
      <x:c r="P38" s="60" t="n">
        <x:v>577149.8609700836</x:v>
      </x:c>
      <x:c r="Q38" s="62" t="n">
        <x:v>1.063386536951904</x:v>
      </x:c>
      <x:c r="R38" s="64" t="n">
        <x:v>0.06338653695190408</x:v>
      </x:c>
    </x:row>
    <x:row r="39" ht="18" customHeight="1">
      <x:c r="A39" s="46" t="str">
        <x:v>HS_047</x:v>
      </x:c>
      <x:c r="B39" s="46" t="str">
        <x:v>Atlantic, Southeast</x:v>
      </x:c>
      <x:c r="C39" s="46" t="str">
        <x:v>commercial</x:v>
      </x:c>
      <x:c r="D39" s="46" t="str">
        <x:v>Tuna &amp; billfishes</x:v>
      </x:c>
      <x:c r="E39" s="66" t="n">
        <x:v>20</x:v>
      </x:c>
      <x:c r="F39" s="66" t="n">
        <x:v>20</x:v>
      </x:c>
      <x:c r="G39" s="60" t="n">
        <x:v>30918.313761122998</x:v>
      </x:c>
      <x:c r="H39" s="60" t="n">
        <x:v>30918.313761122998</x:v>
      </x:c>
      <x:c r="I39" s="62" t="n">
        <x:v>0</x:v>
      </x:c>
      <x:c r="J39" s="64" t="n">
        <x:v>1</x:v>
      </x:c>
      <x:c r="K39" s="62" t="n">
        <x:v>2492.656658941842</x:v>
      </x:c>
      <x:c r="L39" s="60" t="n">
        <x:v>77068740.67991643</x:v>
      </x:c>
      <x:c r="M39" s="62" t="n">
        <x:v>4.363391063337743</x:v>
      </x:c>
      <x:c r="N39" s="62" t="n">
        <x:v>2308.8252499397136</x:v>
      </x:c>
      <x:c r="O39" s="60" t="n">
        <x:v>71384983.49723929</x:v>
      </x:c>
      <x:c r="P39" s="60" t="n">
        <x:v>5683757.182677135</x:v>
      </x:c>
      <x:c r="Q39" s="62" t="n">
        <x:v>1.079621187877657</x:v>
      </x:c>
      <x:c r="R39" s="64" t="n">
        <x:v>0.07962118787765701</x:v>
      </x:c>
    </x:row>
    <x:row r="40" ht="18" customHeight="1">
      <x:c r="A40" s="46" t="str">
        <x:v>HS_048</x:v>
      </x:c>
      <x:c r="B40" s="46" t="str">
        <x:v>Atlantic, Antarctic</x:v>
      </x:c>
      <x:c r="C40" s="46" t="str">
        <x:v>commercial</x:v>
      </x:c>
      <x:c r="D40" s="46" t="str">
        <x:v>Other fishes &amp; inverts</x:v>
      </x:c>
      <x:c r="E40" s="66" t="n">
        <x:v>3</x:v>
      </x:c>
      <x:c r="F40" s="66" t="n">
        <x:v>3</x:v>
      </x:c>
      <x:c r="G40" s="60" t="n">
        <x:v>154127.5393257442</x:v>
      </x:c>
      <x:c r="H40" s="60" t="n">
        <x:v>154127.5393257442</x:v>
      </x:c>
      <x:c r="I40" s="62" t="n">
        <x:v>0</x:v>
      </x:c>
      <x:c r="J40" s="64" t="n">
        <x:v>1</x:v>
      </x:c>
      <x:c r="K40" s="62" t="n">
        <x:v>190.5460762809463</x:v>
      </x:c>
      <x:c r="L40" s="60" t="n">
        <x:v>29368397.865357805</x:v>
      </x:c>
      <x:c r="M40" s="62" t="n">
        <x:v>3.2800000052089846</x:v>
      </x:c>
      <x:c r="N40" s="62" t="n">
        <x:v>190.54607408175914</x:v>
      </x:c>
      <x:c r="O40" s="60" t="n">
        <x:v>29368397.5264025</x:v>
      </x:c>
      <x:c r="P40" s="60" t="n">
        <x:v>0.3389553055167198</x:v>
      </x:c>
      <x:c r="Q40" s="62" t="n">
        <x:v>1.0000000115414982</x:v>
      </x:c>
      <x:c r="R40" s="64" t="n">
        <x:v>1.154149814309737e-8</x:v>
      </x:c>
    </x:row>
    <x:row r="41" ht="18" customHeight="1">
      <x:c r="A41" s="46" t="str">
        <x:v>HS_048</x:v>
      </x:c>
      <x:c r="B41" s="46" t="str">
        <x:v>Atlantic, Antarctic</x:v>
      </x:c>
      <x:c r="C41" s="46" t="str">
        <x:v>commercial</x:v>
      </x:c>
      <x:c r="D41" s="46" t="str">
        <x:v>Perch-likes</x:v>
      </x:c>
      <x:c r="E41" s="66" t="n">
        <x:v>2</x:v>
      </x:c>
      <x:c r="F41" s="66" t="n">
        <x:v>2</x:v>
      </x:c>
      <x:c r="G41" s="60" t="n">
        <x:v>0.04738</x:v>
      </x:c>
      <x:c r="H41" s="60" t="n">
        <x:v>0.04738</x:v>
      </x:c>
      <x:c r="I41" s="62" t="n">
        <x:v>0</x:v>
      </x:c>
      <x:c r="J41" s="64" t="n">
        <x:v>1</x:v>
      </x:c>
      <x:c r="K41" s="62" t="n">
        <x:v>224.46572848400177</x:v>
      </x:c>
      <x:c r="L41" s="60" t="n">
        <x:v>10.635186215572004</x:v>
      </x:c>
      <x:c r="M41" s="62" t="n">
        <x:v>3.350692276086957</x:v>
      </x:c>
      <x:c r="N41" s="62" t="n">
        <x:v>224.2292560842676</x:v>
      </x:c>
      <x:c r="O41" s="60" t="n">
        <x:v>10.623982153272598</x:v>
      </x:c>
      <x:c r="P41" s="60" t="n">
        <x:v>0.011204062299405848</x:v>
      </x:c>
      <x:c r="Q41" s="62" t="n">
        <x:v>1.001054601009091</x:v>
      </x:c>
      <x:c r="R41" s="64" t="n">
        <x:v>0.0010546010090909804</x:v>
      </x:c>
    </x:row>
    <x:row r="42" ht="18" customHeight="1">
      <x:c r="A42" s="46" t="str">
        <x:v>HS_048</x:v>
      </x:c>
      <x:c r="B42" s="46" t="str">
        <x:v>Atlantic, Antarctic</x:v>
      </x:c>
      <x:c r="C42" s="46" t="str">
        <x:v>commercial</x:v>
      </x:c>
      <x:c r="D42" s="46" t="str">
        <x:v>Sharks &amp; rays</x:v>
      </x:c>
      <x:c r="E42" s="66" t="n">
        <x:v>1</x:v>
      </x:c>
      <x:c r="F42" s="66" t="n">
        <x:v>1</x:v>
      </x:c>
      <x:c r="G42" s="60" t="n">
        <x:v>0.0286972066</x:v>
      </x:c>
      <x:c r="H42" s="60" t="n">
        <x:v>0.0286972066</x:v>
      </x:c>
      <x:c r="I42" s="62" t="n">
        <x:v>0</x:v>
      </x:c>
      <x:c r="J42" s="64" t="n">
        <x:v>1</x:v>
      </x:c>
      <x:c r="K42" s="62" t="n">
        <x:v>407.3802778041126</x:v>
      </x:c>
      <x:c r="L42" s="60" t="n">
        <x:v>11.690675996910015</x:v>
      </x:c>
      <x:c r="M42" s="62" t="n">
        <x:v>3.61</x:v>
      </x:c>
      <x:c r="N42" s="62" t="n">
        <x:v>407.3802778041126</x:v>
      </x:c>
      <x:c r="O42" s="60" t="n">
        <x:v>11.690675996910015</x:v>
      </x:c>
      <x:c r="P42" s="60" t="n">
        <x:v>0</x:v>
      </x:c>
      <x:c r="Q42" s="62" t="n">
        <x:v>1</x:v>
      </x:c>
      <x:c r="R42" s="64" t="n">
        <x:v>0</x:v>
      </x:c>
    </x:row>
    <x:row r="43" ht="18" customHeight="1">
      <x:c r="A43" s="46" t="str">
        <x:v>HS_051</x:v>
      </x:c>
      <x:c r="B43" s="46" t="str">
        <x:v>Indian Ocean, Western</x:v>
      </x:c>
      <x:c r="C43" s="46" t="str">
        <x:v>commercial</x:v>
      </x:c>
      <x:c r="D43" s="46" t="str">
        <x:v>Other fishes &amp; inverts</x:v>
      </x:c>
      <x:c r="E43" s="66" t="n">
        <x:v>2</x:v>
      </x:c>
      <x:c r="F43" s="66" t="n">
        <x:v>2</x:v>
      </x:c>
      <x:c r="G43" s="60" t="n">
        <x:v>38349.497354102205</x:v>
      </x:c>
      <x:c r="H43" s="60" t="n">
        <x:v>38349.497354102205</x:v>
      </x:c>
      <x:c r="I43" s="62" t="n">
        <x:v>0</x:v>
      </x:c>
      <x:c r="J43" s="64" t="n">
        <x:v>1</x:v>
      </x:c>
      <x:c r="K43" s="62" t="n">
        <x:v>211.37066862470542</x:v>
      </x:c>
      <x:c r="L43" s="60" t="n">
        <x:v>8105958.897157954</x:v>
      </x:c>
      <x:c r="M43" s="62" t="n">
        <x:v>3.3237412212149255</x:v>
      </x:c>
      <x:c r="N43" s="62" t="n">
        <x:v>210.7372076658481</x:v>
      </x:c>
      <x:c r="O43" s="60" t="n">
        <x:v>8081665.987792329</x:v>
      </x:c>
      <x:c r="P43" s="60" t="n">
        <x:v>24292.90936562512</x:v>
      </x:c>
      <x:c r="Q43" s="62" t="n">
        <x:v>1.003005928406633</x:v>
      </x:c>
      <x:c r="R43" s="64" t="n">
        <x:v>0.0030059284066330516</x:v>
      </x:c>
    </x:row>
    <x:row r="44" ht="18" customHeight="1">
      <x:c r="A44" s="46" t="str">
        <x:v>HS_051</x:v>
      </x:c>
      <x:c r="B44" s="46" t="str">
        <x:v>Indian Ocean, Western</x:v>
      </x:c>
      <x:c r="C44" s="46" t="str">
        <x:v>commercial</x:v>
      </x:c>
      <x:c r="D44" s="46" t="str">
        <x:v>Perch-likes</x:v>
      </x:c>
      <x:c r="E44" s="66" t="n">
        <x:v>7</x:v>
      </x:c>
      <x:c r="F44" s="66" t="n">
        <x:v>7</x:v>
      </x:c>
      <x:c r="G44" s="60" t="n">
        <x:v>251.71120243299998</x:v>
      </x:c>
      <x:c r="H44" s="60" t="n">
        <x:v>251.71120243299998</x:v>
      </x:c>
      <x:c r="I44" s="62" t="n">
        <x:v>0</x:v>
      </x:c>
      <x:c r="J44" s="64" t="n">
        <x:v>1</x:v>
      </x:c>
      <x:c r="K44" s="62" t="n">
        <x:v>2759.2866494092896</x:v>
      </x:c>
      <x:c r="L44" s="60" t="n">
        <x:v>694543.360380136</x:v>
      </x:c>
      <x:c r="M44" s="62" t="n">
        <x:v>4.404563606325193</x:v>
      </x:c>
      <x:c r="N44" s="62" t="n">
        <x:v>2538.4207332420333</x:v>
      </x:c>
      <x:c r="O44" s="60" t="n">
        <x:v>638948.9350452097</x:v>
      </x:c>
      <x:c r="P44" s="60" t="n">
        <x:v>55594.42533492623</x:v>
      </x:c>
      <x:c r="Q44" s="62" t="n">
        <x:v>1.087009183810585</x:v>
      </x:c>
      <x:c r="R44" s="64" t="n">
        <x:v>0.08700918381058506</x:v>
      </x:c>
    </x:row>
    <x:row r="45" ht="18" customHeight="1">
      <x:c r="A45" s="46" t="str">
        <x:v>HS_051</x:v>
      </x:c>
      <x:c r="B45" s="46" t="str">
        <x:v>Indian Ocean, Western</x:v>
      </x:c>
      <x:c r="C45" s="46" t="str">
        <x:v>commercial</x:v>
      </x:c>
      <x:c r="D45" s="46" t="str">
        <x:v>Sharks &amp; rays</x:v>
      </x:c>
      <x:c r="E45" s="66" t="n">
        <x:v>10</x:v>
      </x:c>
      <x:c r="F45" s="66" t="n">
        <x:v>10</x:v>
      </x:c>
      <x:c r="G45" s="60" t="n">
        <x:v>2875.7957787779</x:v>
      </x:c>
      <x:c r="H45" s="60" t="n">
        <x:v>2875.7957787779</x:v>
      </x:c>
      <x:c r="I45" s="62" t="n">
        <x:v>0</x:v>
      </x:c>
      <x:c r="J45" s="64" t="n">
        <x:v>1</x:v>
      </x:c>
      <x:c r="K45" s="62" t="n">
        <x:v>2286.1040762813623</x:v>
      </x:c>
      <x:c r="L45" s="60" t="n">
        <x:v>6574368.452416892</x:v>
      </x:c>
      <x:c r="M45" s="62" t="n">
        <x:v>4.356012171875731</x:v>
      </x:c>
      <x:c r="N45" s="62" t="n">
        <x:v>2269.9284697772737</x:v>
      </x:c>
      <x:c r="O45" s="60" t="n">
        <x:v>6527850.711513261</x:v>
      </x:c>
      <x:c r="P45" s="60" t="n">
        <x:v>46517.74090363085</x:v>
      </x:c>
      <x:c r="Q45" s="62" t="n">
        <x:v>1.0071260423927262</x:v>
      </x:c>
      <x:c r="R45" s="64" t="n">
        <x:v>0.007126042392726118</x:v>
      </x:c>
    </x:row>
    <x:row r="46" ht="18" customHeight="1">
      <x:c r="A46" s="46" t="str">
        <x:v>HS_051</x:v>
      </x:c>
      <x:c r="B46" s="46" t="str">
        <x:v>Indian Ocean, Western</x:v>
      </x:c>
      <x:c r="C46" s="46" t="str">
        <x:v>commercial</x:v>
      </x:c>
      <x:c r="D46" s="46" t="str">
        <x:v>Tuna &amp; billfishes</x:v>
      </x:c>
      <x:c r="E46" s="66" t="n">
        <x:v>17</x:v>
      </x:c>
      <x:c r="F46" s="66" t="n">
        <x:v>17</x:v>
      </x:c>
      <x:c r="G46" s="60" t="n">
        <x:v>336377.00399323105</x:v>
      </x:c>
      <x:c r="H46" s="60" t="n">
        <x:v>336377.00399323105</x:v>
      </x:c>
      <x:c r="I46" s="62" t="n">
        <x:v>0</x:v>
      </x:c>
      <x:c r="J46" s="64" t="n">
        <x:v>1</x:v>
      </x:c>
      <x:c r="K46" s="62" t="n">
        <x:v>2652.104619330474</x:v>
      </x:c>
      <x:c r="L46" s="60" t="n">
        <x:v>892107006.1269934</x:v>
      </x:c>
      <x:c r="M46" s="62" t="n">
        <x:v>4.4190764558988285</x:v>
      </x:c>
      <x:c r="N46" s="62" t="n">
        <x:v>2624.680567788493</x:v>
      </x:c>
      <x:c r="O46" s="60" t="n">
        <x:v>882882185.8319459</x:v>
      </x:c>
      <x:c r="P46" s="60" t="n">
        <x:v>9224820.295047522</x:v>
      </x:c>
      <x:c r="Q46" s="62" t="n">
        <x:v>1.0104485291957215</x:v>
      </x:c>
      <x:c r="R46" s="64" t="n">
        <x:v>0.010448529195721522</x:v>
      </x:c>
    </x:row>
    <x:row r="47" ht="18" customHeight="1">
      <x:c r="A47" s="46" t="str">
        <x:v>HS_057</x:v>
      </x:c>
      <x:c r="B47" s="46" t="str">
        <x:v>Indian Ocean, Eastern</x:v>
      </x:c>
      <x:c r="C47" s="46" t="str">
        <x:v>commercial</x:v>
      </x:c>
      <x:c r="D47" s="46" t="str">
        <x:v>Other fishes &amp; inverts</x:v>
      </x:c>
      <x:c r="E47" s="66" t="n">
        <x:v>2</x:v>
      </x:c>
      <x:c r="F47" s="66" t="n">
        <x:v>2</x:v>
      </x:c>
      <x:c r="G47" s="60" t="n">
        <x:v>22751.8814889103</x:v>
      </x:c>
      <x:c r="H47" s="60" t="n">
        <x:v>22751.8814889103</x:v>
      </x:c>
      <x:c r="I47" s="62" t="n">
        <x:v>0</x:v>
      </x:c>
      <x:c r="J47" s="64" t="n">
        <x:v>1</x:v>
      </x:c>
      <x:c r="K47" s="62" t="n">
        <x:v>196.51625069859568</x:v>
      </x:c>
      <x:c r="L47" s="60" t="n">
        <x:v>4471114.446539436</x:v>
      </x:c>
      <x:c r="M47" s="62" t="n">
        <x:v>3.2925401186975694</x:v>
      </x:c>
      <x:c r="N47" s="62" t="n">
        <x:v>196.12823439281132</x:v>
      </x:c>
      <x:c r="O47" s="60" t="n">
        <x:v>4462286.345534464</x:v>
      </x:c>
      <x:c r="P47" s="60" t="n">
        <x:v>8828.101004971191</x:v>
      </x:c>
      <x:c r="Q47" s="62" t="n">
        <x:v>1.0019783806599067</x:v>
      </x:c>
      <x:c r="R47" s="64" t="n">
        <x:v>0.0019783806599067135</x:v>
      </x:c>
    </x:row>
    <x:row r="48" ht="18" customHeight="1">
      <x:c r="A48" s="46" t="str">
        <x:v>HS_057</x:v>
      </x:c>
      <x:c r="B48" s="46" t="str">
        <x:v>Indian Ocean, Eastern</x:v>
      </x:c>
      <x:c r="C48" s="46" t="str">
        <x:v>commercial</x:v>
      </x:c>
      <x:c r="D48" s="46" t="str">
        <x:v>Perch-likes</x:v>
      </x:c>
      <x:c r="E48" s="66" t="n">
        <x:v>6</x:v>
      </x:c>
      <x:c r="F48" s="66" t="n">
        <x:v>6</x:v>
      </x:c>
      <x:c r="G48" s="60" t="n">
        <x:v>2405.5874379947004</x:v>
      </x:c>
      <x:c r="H48" s="60" t="n">
        <x:v>2405.5874379947004</x:v>
      </x:c>
      <x:c r="I48" s="62" t="n">
        <x:v>0</x:v>
      </x:c>
      <x:c r="J48" s="64" t="n">
        <x:v>1</x:v>
      </x:c>
      <x:c r="K48" s="62" t="n">
        <x:v>3077.090111166782</x:v>
      </x:c>
      <x:c r="L48" s="60" t="n">
        <x:v>7402209.317000527</x:v>
      </x:c>
      <x:c r="M48" s="62" t="n">
        <x:v>4.485830956832564</x:v>
      </x:c>
      <x:c r="N48" s="62" t="n">
        <x:v>3060.771838363291</x:v>
      </x:c>
      <x:c r="O48" s="60" t="n">
        <x:v>7362954.284934678</x:v>
      </x:c>
      <x:c r="P48" s="60" t="n">
        <x:v>39255.03206584882</x:v>
      </x:c>
      <x:c r="Q48" s="62" t="n">
        <x:v>1.0053314241195506</x:v>
      </x:c>
      <x:c r="R48" s="64" t="n">
        <x:v>0.00533142411955055</x:v>
      </x:c>
    </x:row>
    <x:row r="49" ht="18" customHeight="1">
      <x:c r="A49" s="46" t="str">
        <x:v>HS_057</x:v>
      </x:c>
      <x:c r="B49" s="46" t="str">
        <x:v>Indian Ocean, Eastern</x:v>
      </x:c>
      <x:c r="C49" s="46" t="str">
        <x:v>commercial</x:v>
      </x:c>
      <x:c r="D49" s="46" t="str">
        <x:v>Sharks &amp; rays</x:v>
      </x:c>
      <x:c r="E49" s="66" t="n">
        <x:v>10</x:v>
      </x:c>
      <x:c r="F49" s="66" t="n">
        <x:v>10</x:v>
      </x:c>
      <x:c r="G49" s="60" t="n">
        <x:v>7718.8080732855</x:v>
      </x:c>
      <x:c r="H49" s="60" t="n">
        <x:v>7718.8080732855</x:v>
      </x:c>
      <x:c r="I49" s="62" t="n">
        <x:v>0</x:v>
      </x:c>
      <x:c r="J49" s="64" t="n">
        <x:v>1</x:v>
      </x:c>
      <x:c r="K49" s="62" t="n">
        <x:v>2315.172653505817</x:v>
      </x:c>
      <x:c r="L49" s="60" t="n">
        <x:v>17870373.36893051</x:v>
      </x:c>
      <x:c r="M49" s="62" t="n">
        <x:v>4.352214970212532</x:v>
      </x:c>
      <x:c r="N49" s="62" t="n">
        <x:v>2250.16813466162</x:v>
      </x:c>
      <x:c r="O49" s="60" t="n">
        <x:v>17368615.964075886</x:v>
      </x:c>
      <x:c r="P49" s="60" t="n">
        <x:v>501757.40485462546</x:v>
      </x:c>
      <x:c r="Q49" s="62" t="n">
        <x:v>1.028888738509299</x:v>
      </x:c>
      <x:c r="R49" s="64" t="n">
        <x:v>0.028888738509299062</x:v>
      </x:c>
    </x:row>
    <x:row r="50" ht="18" customHeight="1">
      <x:c r="A50" s="46" t="str">
        <x:v>HS_057</x:v>
      </x:c>
      <x:c r="B50" s="46" t="str">
        <x:v>Indian Ocean, Eastern</x:v>
      </x:c>
      <x:c r="C50" s="46" t="str">
        <x:v>commercial</x:v>
      </x:c>
      <x:c r="D50" s="46" t="str">
        <x:v>Tuna &amp; billfishes</x:v>
      </x:c>
      <x:c r="E50" s="66" t="n">
        <x:v>16</x:v>
      </x:c>
      <x:c r="F50" s="66" t="n">
        <x:v>16</x:v>
      </x:c>
      <x:c r="G50" s="60" t="n">
        <x:v>216583.2469461423</x:v>
      </x:c>
      <x:c r="H50" s="60" t="n">
        <x:v>216583.2469461423</x:v>
      </x:c>
      <x:c r="I50" s="62" t="n">
        <x:v>0</x:v>
      </x:c>
      <x:c r="J50" s="64" t="n">
        <x:v>1</x:v>
      </x:c>
      <x:c r="K50" s="62" t="n">
        <x:v>2528.397221672192</x:v>
      </x:c>
      <x:c r="L50" s="60" t="n">
        <x:v>547608479.8393683</x:v>
      </x:c>
      <x:c r="M50" s="62" t="n">
        <x:v>4.390811671107426</x:v>
      </x:c>
      <x:c r="N50" s="62" t="n">
        <x:v>2459.3009135173616</x:v>
      </x:c>
      <x:c r="O50" s="60" t="n">
        <x:v>532643377.06720406</x:v>
      </x:c>
      <x:c r="P50" s="60" t="n">
        <x:v>14965102.772164285</x:v>
      </x:c>
      <x:c r="Q50" s="62" t="n">
        <x:v>1.0280959144832775</x:v>
      </x:c>
      <x:c r="R50" s="64" t="n">
        <x:v>0.028095914483277477</x:v>
      </x:c>
    </x:row>
    <x:row r="51" ht="18" customHeight="1">
      <x:c r="A51" s="46" t="str">
        <x:v>HS_058</x:v>
      </x:c>
      <x:c r="B51" s="46" t="str">
        <x:v>Indian Ocean, Antarctic</x:v>
      </x:c>
      <x:c r="C51" s="46" t="str">
        <x:v>commercial</x:v>
      </x:c>
      <x:c r="D51" s="46" t="str">
        <x:v>Other fishes &amp; inverts</x:v>
      </x:c>
      <x:c r="E51" s="66" t="n">
        <x:v>1</x:v>
      </x:c>
      <x:c r="F51" s="66" t="n">
        <x:v>1</x:v>
      </x:c>
      <x:c r="G51" s="60" t="n">
        <x:v>1610.6000393135002</x:v>
      </x:c>
      <x:c r="H51" s="60" t="n">
        <x:v>1610.6000393135002</x:v>
      </x:c>
      <x:c r="I51" s="62" t="n">
        <x:v>0</x:v>
      </x:c>
      <x:c r="J51" s="64" t="n">
        <x:v>1</x:v>
      </x:c>
      <x:c r="K51" s="62" t="n">
        <x:v>190.54607179632464</x:v>
      </x:c>
      <x:c r="L51" s="60" t="n">
        <x:v>306893.5107261935</x:v>
      </x:c>
      <x:c r="M51" s="62" t="n">
        <x:v>3.28</x:v>
      </x:c>
      <x:c r="N51" s="62" t="n">
        <x:v>190.54607179632464</x:v>
      </x:c>
      <x:c r="O51" s="60" t="n">
        <x:v>306893.5107261935</x:v>
      </x:c>
      <x:c r="P51" s="60" t="n">
        <x:v>0</x:v>
      </x:c>
      <x:c r="Q51" s="62" t="n">
        <x:v>1</x:v>
      </x:c>
      <x:c r="R51" s="64" t="n">
        <x:v>0</x:v>
      </x:c>
    </x:row>
    <x:row r="52" ht="18" customHeight="1">
      <x:c r="A52" s="46" t="str">
        <x:v>HS_058</x:v>
      </x:c>
      <x:c r="B52" s="46" t="str">
        <x:v>Indian Ocean, Antarctic</x:v>
      </x:c>
      <x:c r="C52" s="46" t="str">
        <x:v>commercial</x:v>
      </x:c>
      <x:c r="D52" s="46" t="str">
        <x:v>Perch-likes</x:v>
      </x:c>
      <x:c r="E52" s="66" t="n">
        <x:v>4</x:v>
      </x:c>
      <x:c r="F52" s="66" t="n">
        <x:v>4</x:v>
      </x:c>
      <x:c r="G52" s="60" t="n">
        <x:v>11.657250000000001</x:v>
      </x:c>
      <x:c r="H52" s="60" t="n">
        <x:v>11.657250000000001</x:v>
      </x:c>
      <x:c r="I52" s="62" t="n">
        <x:v>0</x:v>
      </x:c>
      <x:c r="J52" s="64" t="n">
        <x:v>1</x:v>
      </x:c>
      <x:c r="K52" s="62" t="n">
        <x:v>851.2557441118342</x:v>
      </x:c>
      <x:c r="L52" s="60" t="n">
        <x:v>9923.301023047681</x:v>
      </x:c>
      <x:c r="M52" s="62" t="n">
        <x:v>3.9065154131549034</x:v>
      </x:c>
      <x:c r="N52" s="62" t="n">
        <x:v>806.3348177508185</x:v>
      </x:c>
      <x:c r="O52" s="60" t="n">
        <x:v>9399.64655422573</x:v>
      </x:c>
      <x:c r="P52" s="60" t="n">
        <x:v>523.654468821951</x:v>
      </x:c>
      <x:c r="Q52" s="62" t="n">
        <x:v>1.0557100169459601</x:v>
      </x:c>
      <x:c r="R52" s="64" t="n">
        <x:v>0.05571001694596011</x:v>
      </x:c>
    </x:row>
    <x:row r="53" ht="18" customHeight="1">
      <x:c r="A53" s="46" t="str">
        <x:v>HS_058</x:v>
      </x:c>
      <x:c r="B53" s="46" t="str">
        <x:v>Indian Ocean, Antarctic</x:v>
      </x:c>
      <x:c r="C53" s="46" t="str">
        <x:v>commercial</x:v>
      </x:c>
      <x:c r="D53" s="46" t="str">
        <x:v>Sharks &amp; rays</x:v>
      </x:c>
      <x:c r="E53" s="66" t="n">
        <x:v>1</x:v>
      </x:c>
      <x:c r="F53" s="66" t="n">
        <x:v>1</x:v>
      </x:c>
      <x:c r="G53" s="60" t="n">
        <x:v>0.02267</x:v>
      </x:c>
      <x:c r="H53" s="60" t="n">
        <x:v>0.02267</x:v>
      </x:c>
      <x:c r="I53" s="62" t="n">
        <x:v>0</x:v>
      </x:c>
      <x:c r="J53" s="64" t="n">
        <x:v>1</x:v>
      </x:c>
      <x:c r="K53" s="62" t="n">
        <x:v>407.3802778041126</x:v>
      </x:c>
      <x:c r="L53" s="60" t="n">
        <x:v>9.235310897819232</x:v>
      </x:c>
      <x:c r="M53" s="62" t="n">
        <x:v>3.6100000000000003</x:v>
      </x:c>
      <x:c r="N53" s="62" t="n">
        <x:v>407.380277804113</x:v>
      </x:c>
      <x:c r="O53" s="60" t="n">
        <x:v>9.235310897819241</x:v>
      </x:c>
      <x:c r="P53" s="60" t="n">
        <x:v>-8.881784197001252e-15</x:v>
      </x:c>
      <x:c r="Q53" s="62" t="n">
        <x:v>0.999999999999999</x:v>
      </x:c>
      <x:c r="R53" s="64" t="n">
        <x:v>-9.617201083180136e-16</x:v>
      </x:c>
    </x:row>
    <x:row r="54" ht="18" customHeight="1">
      <x:c r="A54" s="46" t="str">
        <x:v>HS_061</x:v>
      </x:c>
      <x:c r="B54" s="46" t="str">
        <x:v>Pacific, Northwest</x:v>
      </x:c>
      <x:c r="C54" s="46" t="str">
        <x:v>commercial</x:v>
      </x:c>
      <x:c r="D54" s="46" t="str">
        <x:v>Other fishes &amp; inverts</x:v>
      </x:c>
      <x:c r="E54" s="66" t="n">
        <x:v>2</x:v>
      </x:c>
      <x:c r="F54" s="66" t="n">
        <x:v>2</x:v>
      </x:c>
      <x:c r="G54" s="60" t="n">
        <x:v>26655.7076681612</x:v>
      </x:c>
      <x:c r="H54" s="60" t="n">
        <x:v>26655.7076681612</x:v>
      </x:c>
      <x:c r="I54" s="62" t="n">
        <x:v>0</x:v>
      </x:c>
      <x:c r="J54" s="64" t="n">
        <x:v>1</x:v>
      </x:c>
      <x:c r="K54" s="62" t="n">
        <x:v>222.27982240729324</x:v>
      </x:c>
      <x:c r="L54" s="60" t="n">
        <x:v>5925025.966619597</x:v>
      </x:c>
      <x:c r="M54" s="62" t="n">
        <x:v>3.346655456376563</x:v>
      </x:c>
      <x:c r="N54" s="62" t="n">
        <x:v>222.15467472139895</x:v>
      </x:c>
      <x:c r="O54" s="60" t="n">
        <x:v>5921690.066489051</x:v>
      </x:c>
      <x:c r="P54" s="60" t="n">
        <x:v>3335.9001305457205</x:v>
      </x:c>
      <x:c r="Q54" s="62" t="n">
        <x:v>1.0005633358201949</x:v>
      </x:c>
      <x:c r="R54" s="64" t="n">
        <x:v>0.0005633358201949201</x:v>
      </x:c>
    </x:row>
    <x:row r="55" ht="18" customHeight="1">
      <x:c r="A55" s="46" t="str">
        <x:v>HS_061</x:v>
      </x:c>
      <x:c r="B55" s="46" t="str">
        <x:v>Pacific, Northwest</x:v>
      </x:c>
      <x:c r="C55" s="46" t="str">
        <x:v>commercial</x:v>
      </x:c>
      <x:c r="D55" s="46" t="str">
        <x:v>Perch-likes</x:v>
      </x:c>
      <x:c r="E55" s="66" t="n">
        <x:v>3</x:v>
      </x:c>
      <x:c r="F55" s="66" t="n">
        <x:v>3</x:v>
      </x:c>
      <x:c r="G55" s="60" t="n">
        <x:v>416.71112384380007</x:v>
      </x:c>
      <x:c r="H55" s="60" t="n">
        <x:v>416.71112384380007</x:v>
      </x:c>
      <x:c r="I55" s="62" t="n">
        <x:v>0</x:v>
      </x:c>
      <x:c r="J55" s="64" t="n">
        <x:v>1</x:v>
      </x:c>
      <x:c r="K55" s="62" t="n">
        <x:v>1952.3159433687267</x:v>
      </x:c>
      <x:c r="L55" s="60" t="n">
        <x:v>813551.7708593508</x:v>
      </x:c>
      <x:c r="M55" s="62" t="n">
        <x:v>4.287811023486644</x:v>
      </x:c>
      <x:c r="N55" s="62" t="n">
        <x:v>1940.041514900862</x:v>
      </x:c>
      <x:c r="O55" s="60" t="n">
        <x:v>808436.8799779667</x:v>
      </x:c>
      <x:c r="P55" s="60" t="n">
        <x:v>5114.890881384141</x:v>
      </x:c>
      <x:c r="Q55" s="62" t="n">
        <x:v>1.0063268895915827</x:v>
      </x:c>
      <x:c r="R55" s="64" t="n">
        <x:v>0.006326889591582639</x:v>
      </x:c>
    </x:row>
    <x:row r="56" ht="18" customHeight="1">
      <x:c r="A56" s="46" t="str">
        <x:v>HS_061</x:v>
      </x:c>
      <x:c r="B56" s="46" t="str">
        <x:v>Pacific, Northwest</x:v>
      </x:c>
      <x:c r="C56" s="46" t="str">
        <x:v>commercial</x:v>
      </x:c>
      <x:c r="D56" s="46" t="str">
        <x:v>Sharks &amp; rays</x:v>
      </x:c>
      <x:c r="E56" s="66" t="n">
        <x:v>7</x:v>
      </x:c>
      <x:c r="F56" s="66" t="n">
        <x:v>7</x:v>
      </x:c>
      <x:c r="G56" s="60" t="n">
        <x:v>5742.7680373349</x:v>
      </x:c>
      <x:c r="H56" s="60" t="n">
        <x:v>5742.7680373349</x:v>
      </x:c>
      <x:c r="I56" s="62" t="n">
        <x:v>0</x:v>
      </x:c>
      <x:c r="J56" s="64" t="n">
        <x:v>1</x:v>
      </x:c>
      <x:c r="K56" s="62" t="n">
        <x:v>2292.0258225138004</x:v>
      </x:c>
      <x:c r="L56" s="60" t="n">
        <x:v>13162572.634278487</x:v>
      </x:c>
      <x:c r="M56" s="62" t="n">
        <x:v>4.356368871775674</x:v>
      </x:c>
      <x:c r="N56" s="62" t="n">
        <x:v>2271.7936002179868</x:v>
      </x:c>
      <x:c r="O56" s="60" t="n">
        <x:v>13046383.674753835</x:v>
      </x:c>
      <x:c r="P56" s="60" t="n">
        <x:v>116188.95952465199</x:v>
      </x:c>
      <x:c r="Q56" s="62" t="n">
        <x:v>1.0089058364694188</x:v>
      </x:c>
      <x:c r="R56" s="64" t="n">
        <x:v>0.00890583646941874</x:v>
      </x:c>
    </x:row>
    <x:row r="57" ht="18" customHeight="1">
      <x:c r="A57" s="46" t="str">
        <x:v>HS_061</x:v>
      </x:c>
      <x:c r="B57" s="46" t="str">
        <x:v>Pacific, Northwest</x:v>
      </x:c>
      <x:c r="C57" s="46" t="str">
        <x:v>commercial</x:v>
      </x:c>
      <x:c r="D57" s="46" t="str">
        <x:v>Tuna &amp; billfishes</x:v>
      </x:c>
      <x:c r="E57" s="66" t="n">
        <x:v>9</x:v>
      </x:c>
      <x:c r="F57" s="66" t="n">
        <x:v>9</x:v>
      </x:c>
      <x:c r="G57" s="60" t="n">
        <x:v>100180.4925079269</x:v>
      </x:c>
      <x:c r="H57" s="60" t="n">
        <x:v>100180.4925079269</x:v>
      </x:c>
      <x:c r="I57" s="62" t="n">
        <x:v>0</x:v>
      </x:c>
      <x:c r="J57" s="64" t="n">
        <x:v>1</x:v>
      </x:c>
      <x:c r="K57" s="62" t="n">
        <x:v>2640.071984776356</x:v>
      </x:c>
      <x:c r="L57" s="60" t="n">
        <x:v>264483711.69127545</x:v>
      </x:c>
      <x:c r="M57" s="62" t="n">
        <x:v>4.418864628473072</x:v>
      </x:c>
      <x:c r="N57" s="62" t="n">
        <x:v>2623.4006902315223</x:v>
      </x:c>
      <x:c r="O57" s="60" t="n">
        <x:v>262813573.19302928</x:v>
      </x:c>
      <x:c r="P57" s="60" t="n">
        <x:v>1670138.4982461631</x:v>
      </x:c>
      <x:c r="Q57" s="62" t="n">
        <x:v>1.0063548411063972</x:v>
      </x:c>
      <x:c r="R57" s="64" t="n">
        <x:v>0.006354841106397092</x:v>
      </x:c>
    </x:row>
    <x:row r="58" ht="18" customHeight="1">
      <x:c r="A58" s="46" t="str">
        <x:v>HS_067</x:v>
      </x:c>
      <x:c r="B58" s="46" t="str">
        <x:v>Pacific, Northeast</x:v>
      </x:c>
      <x:c r="C58" s="46" t="str">
        <x:v>commercial</x:v>
      </x:c>
      <x:c r="D58" s="46" t="str">
        <x:v>Other fishes &amp; inverts</x:v>
      </x:c>
      <x:c r="E58" s="66" t="n">
        <x:v>2</x:v>
      </x:c>
      <x:c r="F58" s="66" t="n">
        <x:v>2</x:v>
      </x:c>
      <x:c r="G58" s="60" t="n">
        <x:v>32.4170134874</x:v>
      </x:c>
      <x:c r="H58" s="60" t="n">
        <x:v>32.4170134874</x:v>
      </x:c>
      <x:c r="I58" s="62" t="n">
        <x:v>0</x:v>
      </x:c>
      <x:c r="J58" s="64" t="n">
        <x:v>1</x:v>
      </x:c>
      <x:c r="K58" s="62" t="n">
        <x:v>202.6789313028726</x:v>
      </x:c>
      <x:c r="L58" s="60" t="n">
        <x:v>6570.2456496570385</x:v>
      </x:c>
      <x:c r="M58" s="62" t="n">
        <x:v>3.30548457941439</x:v>
      </x:c>
      <x:c r="N58" s="62" t="n">
        <x:v>202.06196841499147</x:v>
      </x:c>
      <x:c r="O58" s="60" t="n">
        <x:v>6550.245555399371</x:v>
      </x:c>
      <x:c r="P58" s="60" t="n">
        <x:v>20.000094257667115</x:v>
      </x:c>
      <x:c r="Q58" s="62" t="n">
        <x:v>1.0030533350373683</x:v>
      </x:c>
      <x:c r="R58" s="64" t="n">
        <x:v>0.0030533350373683358</x:v>
      </x:c>
    </x:row>
    <x:row r="59" ht="18" customHeight="1">
      <x:c r="A59" s="46" t="str">
        <x:v>HS_067</x:v>
      </x:c>
      <x:c r="B59" s="46" t="str">
        <x:v>Pacific, Northeast</x:v>
      </x:c>
      <x:c r="C59" s="46" t="str">
        <x:v>commercial</x:v>
      </x:c>
      <x:c r="D59" s="46" t="str">
        <x:v>Perch-likes</x:v>
      </x:c>
      <x:c r="E59" s="66" t="n">
        <x:v>2</x:v>
      </x:c>
      <x:c r="F59" s="66" t="n">
        <x:v>2</x:v>
      </x:c>
      <x:c r="G59" s="60" t="n">
        <x:v>5.391441048299999</x:v>
      </x:c>
      <x:c r="H59" s="60" t="n">
        <x:v>5.391441048299999</x:v>
      </x:c>
      <x:c r="I59" s="62" t="n">
        <x:v>0</x:v>
      </x:c>
      <x:c r="J59" s="64" t="n">
        <x:v>1</x:v>
      </x:c>
      <x:c r="K59" s="62" t="n">
        <x:v>1819.5449068937687</x:v>
      </x:c>
      <x:c r="L59" s="60" t="n">
        <x:v>9809.969100252265</x:v>
      </x:c>
      <x:c r="M59" s="62" t="n">
        <x:v>4.259953059070713</x:v>
      </x:c>
      <x:c r="N59" s="62" t="n">
        <x:v>1819.5041859908147</x:v>
      </x:c>
      <x:c r="O59" s="60" t="n">
        <x:v>9809.749555904555</x:v>
      </x:c>
      <x:c r="P59" s="60" t="n">
        <x:v>0.21954434771032538</x:v>
      </x:c>
      <x:c r="Q59" s="62" t="n">
        <x:v>1.0000223802194397</x:v>
      </x:c>
      <x:c r="R59" s="64" t="n">
        <x:v>0.000022380219439769506</x:v>
      </x:c>
    </x:row>
    <x:row r="60" ht="18" customHeight="1">
      <x:c r="A60" s="46" t="str">
        <x:v>HS_067</x:v>
      </x:c>
      <x:c r="B60" s="46" t="str">
        <x:v>Pacific, Northeast</x:v>
      </x:c>
      <x:c r="C60" s="46" t="str">
        <x:v>commercial</x:v>
      </x:c>
      <x:c r="D60" s="46" t="str">
        <x:v>Sharks &amp; rays</x:v>
      </x:c>
      <x:c r="E60" s="66" t="n">
        <x:v>4</x:v>
      </x:c>
      <x:c r="F60" s="66" t="n">
        <x:v>4</x:v>
      </x:c>
      <x:c r="G60" s="60" t="n">
        <x:v>96.97994071950001</x:v>
      </x:c>
      <x:c r="H60" s="60" t="n">
        <x:v>96.97994071950001</x:v>
      </x:c>
      <x:c r="I60" s="62" t="n">
        <x:v>0</x:v>
      </x:c>
      <x:c r="J60" s="64" t="n">
        <x:v>1</x:v>
      </x:c>
      <x:c r="K60" s="62" t="n">
        <x:v>1769.048461604668</x:v>
      </x:c>
      <x:c r="L60" s="60" t="n">
        <x:v>171562.2149363434</x:v>
      </x:c>
      <x:c r="M60" s="62" t="n">
        <x:v>4.2183549350025755</x:v>
      </x:c>
      <x:c r="N60" s="62" t="n">
        <x:v>1653.3124456650928</x:v>
      </x:c>
      <x:c r="O60" s="60" t="n">
        <x:v>160338.14297141228</x:v>
      </x:c>
      <x:c r="P60" s="60" t="n">
        <x:v>11224.071964931121</x:v>
      </x:c>
      <x:c r="Q60" s="62" t="n">
        <x:v>1.0700025069326913</x:v>
      </x:c>
      <x:c r="R60" s="64" t="n">
        <x:v>0.07000250693269121</x:v>
      </x:c>
    </x:row>
    <x:row r="61" ht="18" customHeight="1">
      <x:c r="A61" s="46" t="str">
        <x:v>HS_067</x:v>
      </x:c>
      <x:c r="B61" s="46" t="str">
        <x:v>Pacific, Northeast</x:v>
      </x:c>
      <x:c r="C61" s="46" t="str">
        <x:v>commercial</x:v>
      </x:c>
      <x:c r="D61" s="46" t="str">
        <x:v>Tuna &amp; billfishes</x:v>
      </x:c>
      <x:c r="E61" s="66" t="n">
        <x:v>8</x:v>
      </x:c>
      <x:c r="F61" s="66" t="n">
        <x:v>8</x:v>
      </x:c>
      <x:c r="G61" s="60" t="n">
        <x:v>267.5030001535</x:v>
      </x:c>
      <x:c r="H61" s="60" t="n">
        <x:v>267.5030001535</x:v>
      </x:c>
      <x:c r="I61" s="62" t="n">
        <x:v>0</x:v>
      </x:c>
      <x:c r="J61" s="64" t="n">
        <x:v>1</x:v>
      </x:c>
      <x:c r="K61" s="62" t="n">
        <x:v>2137.8231036774</x:v>
      </x:c>
      <x:c r="L61" s="60" t="n">
        <x:v>571874.0940311714</x:v>
      </x:c>
      <x:c r="M61" s="62" t="n">
        <x:v>4.324231070841645</x:v>
      </x:c>
      <x:c r="N61" s="62" t="n">
        <x:v>2109.7503657241996</x:v>
      </x:c>
      <x:c r="O61" s="60" t="n">
        <x:v>564364.5524061673</x:v>
      </x:c>
      <x:c r="P61" s="60" t="n">
        <x:v>7509.541625004145</x:v>
      </x:c>
      <x:c r="Q61" s="62" t="n">
        <x:v>1.0133061894000734</x:v>
      </x:c>
      <x:c r="R61" s="64" t="n">
        <x:v>0.01330618940007346</x:v>
      </x:c>
    </x:row>
    <x:row r="62" ht="18" customHeight="1">
      <x:c r="A62" s="46" t="str">
        <x:v>HS_071</x:v>
      </x:c>
      <x:c r="B62" s="46" t="str">
        <x:v>Pacific, Western Central</x:v>
      </x:c>
      <x:c r="C62" s="46" t="str">
        <x:v>commercial</x:v>
      </x:c>
      <x:c r="D62" s="46" t="str">
        <x:v>Other fishes &amp; inverts</x:v>
      </x:c>
      <x:c r="E62" s="66" t="n">
        <x:v>2</x:v>
      </x:c>
      <x:c r="F62" s="66" t="n">
        <x:v>2</x:v>
      </x:c>
      <x:c r="G62" s="60" t="n">
        <x:v>11447.2441360498</x:v>
      </x:c>
      <x:c r="H62" s="60" t="n">
        <x:v>11447.2441360498</x:v>
      </x:c>
      <x:c r="I62" s="62" t="n">
        <x:v>0</x:v>
      </x:c>
      <x:c r="J62" s="64" t="n">
        <x:v>1</x:v>
      </x:c>
      <x:c r="K62" s="62" t="n">
        <x:v>202.72607725491756</x:v>
      </x:c>
      <x:c r="L62" s="60" t="n">
        <x:v>2320654.899080734</x:v>
      </x:c>
      <x:c r="M62" s="62" t="n">
        <x:v>3.3055836075749245</x:v>
      </x:c>
      <x:c r="N62" s="62" t="n">
        <x:v>202.10804799320675</x:v>
      </x:c>
      <x:c r="O62" s="60" t="n">
        <x:v>2313580.1672387077</x:v>
      </x:c>
      <x:c r="P62" s="60" t="n">
        <x:v>7074.7318420261145</x:v>
      </x:c>
      <x:c r="Q62" s="62" t="n">
        <x:v>1.0030579151490868</x:v>
      </x:c>
      <x:c r="R62" s="64" t="n">
        <x:v>0.0030579151490868423</x:v>
      </x:c>
    </x:row>
    <x:row r="63" ht="18" customHeight="1">
      <x:c r="A63" s="46" t="str">
        <x:v>HS_071</x:v>
      </x:c>
      <x:c r="B63" s="46" t="str">
        <x:v>Pacific, Western Central</x:v>
      </x:c>
      <x:c r="C63" s="46" t="str">
        <x:v>commercial</x:v>
      </x:c>
      <x:c r="D63" s="46" t="str">
        <x:v>Perch-likes</x:v>
      </x:c>
      <x:c r="E63" s="66" t="n">
        <x:v>4</x:v>
      </x:c>
      <x:c r="F63" s="66" t="n">
        <x:v>4</x:v>
      </x:c>
      <x:c r="G63" s="60" t="n">
        <x:v>6578.2319181244</x:v>
      </x:c>
      <x:c r="H63" s="60" t="n">
        <x:v>6578.2319181244</x:v>
      </x:c>
      <x:c r="I63" s="62" t="n">
        <x:v>0</x:v>
      </x:c>
      <x:c r="J63" s="64" t="n">
        <x:v>1</x:v>
      </x:c>
      <x:c r="K63" s="62" t="n">
        <x:v>1936.9937998799257</x:v>
      </x:c>
      <x:c r="L63" s="60" t="n">
        <x:v>12741994.439579194</x:v>
      </x:c>
      <x:c r="M63" s="62" t="n">
        <x:v>4.276568321378021</x:v>
      </x:c>
      <x:c r="N63" s="62" t="n">
        <x:v>1890.463607564683</x:v>
      </x:c>
      <x:c r="O63" s="60" t="n">
        <x:v>12435908.043334598</x:v>
      </x:c>
      <x:c r="P63" s="60" t="n">
        <x:v>306086.3962445967</x:v>
      </x:c>
      <x:c r="Q63" s="62" t="n">
        <x:v>1.0246131118996697</x:v>
      </x:c>
      <x:c r="R63" s="64" t="n">
        <x:v>0.024613111899669683</x:v>
      </x:c>
    </x:row>
    <x:row r="64" ht="18" customHeight="1">
      <x:c r="A64" s="46" t="str">
        <x:v>HS_071</x:v>
      </x:c>
      <x:c r="B64" s="46" t="str">
        <x:v>Pacific, Western Central</x:v>
      </x:c>
      <x:c r="C64" s="46" t="str">
        <x:v>commercial</x:v>
      </x:c>
      <x:c r="D64" s="46" t="str">
        <x:v>Sharks &amp; rays</x:v>
      </x:c>
      <x:c r="E64" s="66" t="n">
        <x:v>7</x:v>
      </x:c>
      <x:c r="F64" s="66" t="n">
        <x:v>7</x:v>
      </x:c>
      <x:c r="G64" s="60" t="n">
        <x:v>22977.887308863603</x:v>
      </x:c>
      <x:c r="H64" s="60" t="n">
        <x:v>22977.887308863603</x:v>
      </x:c>
      <x:c r="I64" s="62" t="n">
        <x:v>0</x:v>
      </x:c>
      <x:c r="J64" s="64" t="n">
        <x:v>1</x:v>
      </x:c>
      <x:c r="K64" s="62" t="n">
        <x:v>2081.3799999334074</x:v>
      </x:c>
      <x:c r="L64" s="60" t="n">
        <x:v>47825715.08539236</x:v>
      </x:c>
      <x:c r="M64" s="62" t="n">
        <x:v>4.299497131294167</x:v>
      </x:c>
      <x:c r="N64" s="62" t="n">
        <x:v>1992.9533417889393</x:v>
      </x:c>
      <x:c r="O64" s="60" t="n">
        <x:v>45793857.29944938</x:v>
      </x:c>
      <x:c r="P64" s="60" t="n">
        <x:v>2031857.7859429866</x:v>
      </x:c>
      <x:c r="Q64" s="62" t="n">
        <x:v>1.0443696579795958</x:v>
      </x:c>
      <x:c r="R64" s="64" t="n">
        <x:v>0.04436965797959583</x:v>
      </x:c>
    </x:row>
    <x:row r="65" ht="18" customHeight="1">
      <x:c r="A65" s="46" t="str">
        <x:v>HS_071</x:v>
      </x:c>
      <x:c r="B65" s="46" t="str">
        <x:v>Pacific, Western Central</x:v>
      </x:c>
      <x:c r="C65" s="46" t="str">
        <x:v>commercial</x:v>
      </x:c>
      <x:c r="D65" s="46" t="str">
        <x:v>Tuna &amp; billfishes</x:v>
      </x:c>
      <x:c r="E65" s="66" t="n">
        <x:v>10</x:v>
      </x:c>
      <x:c r="F65" s="66" t="n">
        <x:v>10</x:v>
      </x:c>
      <x:c r="G65" s="60" t="n">
        <x:v>530814.4231922082</x:v>
      </x:c>
      <x:c r="H65" s="60" t="n">
        <x:v>530814.4231922082</x:v>
      </x:c>
      <x:c r="I65" s="62" t="n">
        <x:v>0</x:v>
      </x:c>
      <x:c r="J65" s="64" t="n">
        <x:v>1</x:v>
      </x:c>
      <x:c r="K65" s="62" t="n">
        <x:v>2673.7383789573214</x:v>
      </x:c>
      <x:c r="L65" s="60" t="n">
        <x:v>1419258895.3931003</x:v>
      </x:c>
      <x:c r="M65" s="62" t="n">
        <x:v>4.426167894304057</x:v>
      </x:c>
      <x:c r="N65" s="62" t="n">
        <x:v>2667.8898471807793</x:v>
      </x:c>
      <x:c r="O65" s="60" t="n">
        <x:v>1416154410.3716137</x:v>
      </x:c>
      <x:c r="P65" s="60" t="n">
        <x:v>3104485.021486521</x:v>
      </x:c>
      <x:c r="Q65" s="62" t="n">
        <x:v>1.0021921938728926</x:v>
      </x:c>
      <x:c r="R65" s="64" t="n">
        <x:v>0.0021921938728926256</x:v>
      </x:c>
    </x:row>
    <x:row r="66" ht="18" customHeight="1">
      <x:c r="A66" s="46" t="str">
        <x:v>HS_077</x:v>
      </x:c>
      <x:c r="B66" s="46" t="str">
        <x:v>Pacific, Eastern Central</x:v>
      </x:c>
      <x:c r="C66" s="46" t="str">
        <x:v>commercial</x:v>
      </x:c>
      <x:c r="D66" s="46" t="str">
        <x:v>Other fishes &amp; inverts</x:v>
      </x:c>
      <x:c r="E66" s="66" t="n">
        <x:v>2</x:v>
      </x:c>
      <x:c r="F66" s="66" t="n">
        <x:v>2</x:v>
      </x:c>
      <x:c r="G66" s="60" t="n">
        <x:v>33612.6652031533</x:v>
      </x:c>
      <x:c r="H66" s="60" t="n">
        <x:v>33612.6652031533</x:v>
      </x:c>
      <x:c r="I66" s="62" t="n">
        <x:v>0</x:v>
      </x:c>
      <x:c r="J66" s="64" t="n">
        <x:v>1</x:v>
      </x:c>
      <x:c r="K66" s="62" t="n">
        <x:v>202.38184710387696</x:v>
      </x:c>
      <x:c r="L66" s="60" t="n">
        <x:v>6802593.269898377</x:v>
      </x:c>
      <x:c r="M66" s="62" t="n">
        <x:v>3.30486056610096</x:v>
      </x:c>
      <x:c r="N66" s="62" t="n">
        <x:v>201.77184541850934</x:v>
      </x:c>
      <x:c r="O66" s="60" t="n">
        <x:v>6782089.487474756</x:v>
      </x:c>
      <x:c r="P66" s="60" t="n">
        <x:v>20503.782423621044</x:v>
      </x:c>
      <x:c r="Q66" s="62" t="n">
        <x:v>1.003023224990099</x:v>
      </x:c>
      <x:c r="R66" s="64" t="n">
        <x:v>0.003023224990098947</x:v>
      </x:c>
    </x:row>
    <x:row r="67" ht="18" customHeight="1">
      <x:c r="A67" s="46" t="str">
        <x:v>HS_077</x:v>
      </x:c>
      <x:c r="B67" s="46" t="str">
        <x:v>Pacific, Eastern Central</x:v>
      </x:c>
      <x:c r="C67" s="46" t="str">
        <x:v>commercial</x:v>
      </x:c>
      <x:c r="D67" s="46" t="str">
        <x:v>Perch-likes</x:v>
      </x:c>
      <x:c r="E67" s="66" t="n">
        <x:v>5</x:v>
      </x:c>
      <x:c r="F67" s="66" t="n">
        <x:v>5</x:v>
      </x:c>
      <x:c r="G67" s="60" t="n">
        <x:v>18111.6321857724</x:v>
      </x:c>
      <x:c r="H67" s="60" t="n">
        <x:v>18111.6321857724</x:v>
      </x:c>
      <x:c r="I67" s="62" t="n">
        <x:v>0</x:v>
      </x:c>
      <x:c r="J67" s="64" t="n">
        <x:v>1</x:v>
      </x:c>
      <x:c r="K67" s="62" t="n">
        <x:v>2010.7739659569172</x:v>
      </x:c>
      <x:c r="L67" s="60" t="n">
        <x:v>36418398.48013852</x:v>
      </x:c>
      <x:c r="M67" s="62" t="n">
        <x:v>4.292135851834571</x:v>
      </x:c>
      <x:c r="N67" s="62" t="n">
        <x:v>1959.4575163565628</x:v>
      </x:c>
      <x:c r="O67" s="60" t="n">
        <x:v>35488973.81989717</x:v>
      </x:c>
      <x:c r="P67" s="60" t="n">
        <x:v>929424.6602413505</x:v>
      </x:c>
      <x:c r="Q67" s="62" t="n">
        <x:v>1.0261891105941265</x:v>
      </x:c>
      <x:c r="R67" s="64" t="n">
        <x:v>0.026189110594126604</x:v>
      </x:c>
    </x:row>
    <x:row r="68" ht="18" customHeight="1">
      <x:c r="A68" s="46" t="str">
        <x:v>HS_077</x:v>
      </x:c>
      <x:c r="B68" s="46" t="str">
        <x:v>Pacific, Eastern Central</x:v>
      </x:c>
      <x:c r="C68" s="46" t="str">
        <x:v>commercial</x:v>
      </x:c>
      <x:c r="D68" s="46" t="str">
        <x:v>Sharks &amp; rays</x:v>
      </x:c>
      <x:c r="E68" s="66" t="n">
        <x:v>7</x:v>
      </x:c>
      <x:c r="F68" s="66" t="n">
        <x:v>7</x:v>
      </x:c>
      <x:c r="G68" s="60" t="n">
        <x:v>69815.97612667471</x:v>
      </x:c>
      <x:c r="H68" s="60" t="n">
        <x:v>69815.97612667471</x:v>
      </x:c>
      <x:c r="I68" s="62" t="n">
        <x:v>0</x:v>
      </x:c>
      <x:c r="J68" s="64" t="n">
        <x:v>1</x:v>
      </x:c>
      <x:c r="K68" s="62" t="n">
        <x:v>2083.5948316686536</x:v>
      </x:c>
      <x:c r="L68" s="60" t="n">
        <x:v>145468207.02544153</x:v>
      </x:c>
      <x:c r="M68" s="62" t="n">
        <x:v>4.301341671050433</x:v>
      </x:c>
      <x:c r="N68" s="62" t="n">
        <x:v>2001.435833355204</x:v>
      </x:c>
      <x:c r="O68" s="60" t="n">
        <x:v>139732196.36059824</x:v>
      </x:c>
      <x:c r="P68" s="60" t="n">
        <x:v>5736010.664843291</x:v>
      </x:c>
      <x:c r="Q68" s="62" t="n">
        <x:v>1.041050028656536</x:v>
      </x:c>
      <x:c r="R68" s="64" t="n">
        <x:v>0.041050028656536126</x:v>
      </x:c>
    </x:row>
    <x:row r="69" ht="18" customHeight="1">
      <x:c r="A69" s="46" t="str">
        <x:v>HS_077</x:v>
      </x:c>
      <x:c r="B69" s="46" t="str">
        <x:v>Pacific, Eastern Central</x:v>
      </x:c>
      <x:c r="C69" s="46" t="str">
        <x:v>commercial</x:v>
      </x:c>
      <x:c r="D69" s="46" t="str">
        <x:v>Tuna &amp; billfishes</x:v>
      </x:c>
      <x:c r="E69" s="66" t="n">
        <x:v>12</x:v>
      </x:c>
      <x:c r="F69" s="66" t="n">
        <x:v>12</x:v>
      </x:c>
      <x:c r="G69" s="60" t="n">
        <x:v>739130.934092892</x:v>
      </x:c>
      <x:c r="H69" s="60" t="n">
        <x:v>739130.934092892</x:v>
      </x:c>
      <x:c r="I69" s="62" t="n">
        <x:v>0</x:v>
      </x:c>
      <x:c r="J69" s="64" t="n">
        <x:v>1</x:v>
      </x:c>
      <x:c r="K69" s="62" t="n">
        <x:v>2716.0142468072117</x:v>
      </x:c>
      <x:c r="L69" s="60" t="n">
        <x:v>2007490147.252217</x:v>
      </x:c>
      <x:c r="M69" s="62" t="n">
        <x:v>4.431340406972279</x:v>
      </x:c>
      <x:c r="N69" s="62" t="n">
        <x:v>2699.8547927479863</x:v>
      </x:c>
      <x:c r="O69" s="60" t="n">
        <x:v>1995546194.8789904</x:v>
      </x:c>
      <x:c r="P69" s="60" t="n">
        <x:v>11943952.373226643</x:v>
      </x:c>
      <x:c r="Q69" s="62" t="n">
        <x:v>1.0059853048773701</x:v>
      </x:c>
      <x:c r="R69" s="64" t="n">
        <x:v>0.005985304877370139</x:v>
      </x:c>
    </x:row>
    <x:row r="70" ht="18" customHeight="1">
      <x:c r="A70" s="46" t="str">
        <x:v>HS_081</x:v>
      </x:c>
      <x:c r="B70" s="46" t="str">
        <x:v>Pacific, Southwest</x:v>
      </x:c>
      <x:c r="C70" s="46" t="str">
        <x:v>commercial</x:v>
      </x:c>
      <x:c r="D70" s="46" t="str">
        <x:v>Other fishes &amp; inverts</x:v>
      </x:c>
      <x:c r="E70" s="66" t="n">
        <x:v>2</x:v>
      </x:c>
      <x:c r="F70" s="66" t="n">
        <x:v>2</x:v>
      </x:c>
      <x:c r="G70" s="60" t="n">
        <x:v>3492.4651876564</x:v>
      </x:c>
      <x:c r="H70" s="60" t="n">
        <x:v>3492.4651876564</x:v>
      </x:c>
      <x:c r="I70" s="62" t="n">
        <x:v>0</x:v>
      </x:c>
      <x:c r="J70" s="64" t="n">
        <x:v>1</x:v>
      </x:c>
      <x:c r="K70" s="62" t="n">
        <x:v>200.6887637976973</x:v>
      </x:c>
      <x:c r="L70" s="60" t="n">
        <x:v>700898.5211172558</x:v>
      </x:c>
      <x:c r="M70" s="62" t="n">
        <x:v>3.301304313269694</x:v>
      </x:c>
      <x:c r="N70" s="62" t="n">
        <x:v>200.12636783119578</x:v>
      </x:c>
      <x:c r="O70" s="60" t="n">
        <x:v>698934.3727825709</x:v>
      </x:c>
      <x:c r="P70" s="60" t="n">
        <x:v>1964.1483346848981</x:v>
      </x:c>
      <x:c r="Q70" s="62" t="n">
        <x:v>1.0028102042354352</x:v>
      </x:c>
      <x:c r="R70" s="64" t="n">
        <x:v>0.002810204235435304</x:v>
      </x:c>
    </x:row>
    <x:row r="71" ht="18" customHeight="1">
      <x:c r="A71" s="46" t="str">
        <x:v>HS_081</x:v>
      </x:c>
      <x:c r="B71" s="46" t="str">
        <x:v>Pacific, Southwest</x:v>
      </x:c>
      <x:c r="C71" s="46" t="str">
        <x:v>commercial</x:v>
      </x:c>
      <x:c r="D71" s="46" t="str">
        <x:v>Perch-likes</x:v>
      </x:c>
      <x:c r="E71" s="66" t="n">
        <x:v>5</x:v>
      </x:c>
      <x:c r="F71" s="66" t="n">
        <x:v>5</x:v>
      </x:c>
      <x:c r="G71" s="60" t="n">
        <x:v>900.4425892744001</x:v>
      </x:c>
      <x:c r="H71" s="60" t="n">
        <x:v>900.4425892744001</x:v>
      </x:c>
      <x:c r="I71" s="62" t="n">
        <x:v>0</x:v>
      </x:c>
      <x:c r="J71" s="64" t="n">
        <x:v>1</x:v>
      </x:c>
      <x:c r="K71" s="62" t="n">
        <x:v>1956.5212883585396</x:v>
      </x:c>
      <x:c r="L71" s="60" t="n">
        <x:v>1761735.0948600485</x:v>
      </x:c>
      <x:c r="M71" s="62" t="n">
        <x:v>4.288578296498873</x:v>
      </x:c>
      <x:c r="N71" s="62" t="n">
        <x:v>1943.4720378418215</x:v>
      </x:c>
      <x:c r="O71" s="60" t="n">
        <x:v>1749984.9939366847</x:v>
      </x:c>
      <x:c r="P71" s="60" t="n">
        <x:v>11750.100923363818</x:v>
      </x:c>
      <x:c r="Q71" s="62" t="n">
        <x:v>1.0067144009600513</x:v>
      </x:c>
      <x:c r="R71" s="64" t="n">
        <x:v>0.006714400960051285</x:v>
      </x:c>
    </x:row>
    <x:row r="72" ht="18" customHeight="1">
      <x:c r="A72" s="46" t="str">
        <x:v>HS_081</x:v>
      </x:c>
      <x:c r="B72" s="46" t="str">
        <x:v>Pacific, Southwest</x:v>
      </x:c>
      <x:c r="C72" s="46" t="str">
        <x:v>commercial</x:v>
      </x:c>
      <x:c r="D72" s="46" t="str">
        <x:v>Sharks &amp; rays</x:v>
      </x:c>
      <x:c r="E72" s="66" t="n">
        <x:v>8</x:v>
      </x:c>
      <x:c r="F72" s="66" t="n">
        <x:v>8</x:v>
      </x:c>
      <x:c r="G72" s="60" t="n">
        <x:v>13144.3799647761</x:v>
      </x:c>
      <x:c r="H72" s="60" t="n">
        <x:v>13144.3799647761</x:v>
      </x:c>
      <x:c r="I72" s="62" t="n">
        <x:v>0</x:v>
      </x:c>
      <x:c r="J72" s="64" t="n">
        <x:v>1</x:v>
      </x:c>
      <x:c r="K72" s="62" t="n">
        <x:v>2196.2300994140164</x:v>
      </x:c>
      <x:c r="L72" s="60" t="n">
        <x:v>28868082.91677582</x:v>
      </x:c>
      <x:c r="M72" s="62" t="n">
        <x:v>4.329759704970958</x:v>
      </x:c>
      <x:c r="N72" s="62" t="n">
        <x:v>2136.779482806935</x:v>
      </x:c>
      <x:c r="O72" s="60" t="n">
        <x:v>28086641.422952116</x:v>
      </x:c>
      <x:c r="P72" s="60" t="n">
        <x:v>781441.4938237034</x:v>
      </x:c>
      <x:c r="Q72" s="62" t="n">
        <x:v>1.0278225325006327</x:v>
      </x:c>
      <x:c r="R72" s="64" t="n">
        <x:v>0.02782253250063275</x:v>
      </x:c>
    </x:row>
    <x:row r="73" ht="18" customHeight="1">
      <x:c r="A73" s="46" t="str">
        <x:v>HS_081</x:v>
      </x:c>
      <x:c r="B73" s="46" t="str">
        <x:v>Pacific, Southwest</x:v>
      </x:c>
      <x:c r="C73" s="46" t="str">
        <x:v>commercial</x:v>
      </x:c>
      <x:c r="D73" s="46" t="str">
        <x:v>Tuna &amp; billfishes</x:v>
      </x:c>
      <x:c r="E73" s="66" t="n">
        <x:v>12</x:v>
      </x:c>
      <x:c r="F73" s="66" t="n">
        <x:v>12</x:v>
      </x:c>
      <x:c r="G73" s="60" t="n">
        <x:v>27715.179081010196</x:v>
      </x:c>
      <x:c r="H73" s="60" t="n">
        <x:v>27715.179081010196</x:v>
      </x:c>
      <x:c r="I73" s="62" t="n">
        <x:v>0</x:v>
      </x:c>
      <x:c r="J73" s="64" t="n">
        <x:v>1</x:v>
      </x:c>
      <x:c r="K73" s="62" t="n">
        <x:v>2166.8837052932663</x:v>
      </x:c>
      <x:c r="L73" s="60" t="n">
        <x:v>60055569.9399258</x:v>
      </x:c>
      <x:c r="M73" s="62" t="n">
        <x:v>4.3123912418989345</x:v>
      </x:c>
      <x:c r="N73" s="62" t="n">
        <x:v>2053.010837285082</x:v>
      </x:c>
      <x:c r="O73" s="60" t="n">
        <x:v>56899563.01061073</x:v>
      </x:c>
      <x:c r="P73" s="60" t="n">
        <x:v>3156006.929315068</x:v>
      </x:c>
      <x:c r="Q73" s="62" t="n">
        <x:v>1.0554662771087808</x:v>
      </x:c>
      <x:c r="R73" s="64" t="n">
        <x:v>0.055466277108780784</x:v>
      </x:c>
    </x:row>
    <x:row r="74" ht="18" customHeight="1">
      <x:c r="A74" s="46" t="str">
        <x:v>HS_087</x:v>
      </x:c>
      <x:c r="B74" s="46" t="str">
        <x:v>Pacific, Southeast</x:v>
      </x:c>
      <x:c r="C74" s="46" t="str">
        <x:v>commercial</x:v>
      </x:c>
      <x:c r="D74" s="46" t="str">
        <x:v>Other fishes &amp; inverts</x:v>
      </x:c>
      <x:c r="E74" s="66" t="n">
        <x:v>2</x:v>
      </x:c>
      <x:c r="F74" s="66" t="n">
        <x:v>2</x:v>
      </x:c>
      <x:c r="G74" s="60" t="n">
        <x:v>3103.5338506599</x:v>
      </x:c>
      <x:c r="H74" s="60" t="n">
        <x:v>3103.5338506599</x:v>
      </x:c>
      <x:c r="I74" s="62" t="n">
        <x:v>0</x:v>
      </x:c>
      <x:c r="J74" s="64" t="n">
        <x:v>1</x:v>
      </x:c>
      <x:c r="K74" s="62" t="n">
        <x:v>201.77683875644794</x:v>
      </x:c>
      <x:c r="L74" s="60" t="n">
        <x:v>626221.2493597807</x:v>
      </x:c>
      <x:c r="M74" s="62" t="n">
        <x:v>3.303589770599858</x:v>
      </x:c>
      <x:c r="N74" s="62" t="n">
        <x:v>201.18230079829095</x:v>
      </x:c>
      <x:c r="O74" s="60" t="n">
        <x:v>624376.0806811382</x:v>
      </x:c>
      <x:c r="P74" s="60" t="n">
        <x:v>1845.1686786424834</x:v>
      </x:c>
      <x:c r="Q74" s="62" t="n">
        <x:v>1.0029552199959832</x:v>
      </x:c>
      <x:c r="R74" s="64" t="n">
        <x:v>0.0029552199959831426</x:v>
      </x:c>
    </x:row>
    <x:row r="75" ht="18" customHeight="1">
      <x:c r="A75" s="46" t="str">
        <x:v>HS_087</x:v>
      </x:c>
      <x:c r="B75" s="46" t="str">
        <x:v>Pacific, Southeast</x:v>
      </x:c>
      <x:c r="C75" s="46" t="str">
        <x:v>commercial</x:v>
      </x:c>
      <x:c r="D75" s="46" t="str">
        <x:v>Perch-likes</x:v>
      </x:c>
      <x:c r="E75" s="66" t="n">
        <x:v>5</x:v>
      </x:c>
      <x:c r="F75" s="66" t="n">
        <x:v>5</x:v>
      </x:c>
      <x:c r="G75" s="60" t="n">
        <x:v>2995.8482341383</x:v>
      </x:c>
      <x:c r="H75" s="60" t="n">
        <x:v>2995.8482341383</x:v>
      </x:c>
      <x:c r="I75" s="62" t="n">
        <x:v>0</x:v>
      </x:c>
      <x:c r="J75" s="64" t="n">
        <x:v>1</x:v>
      </x:c>
      <x:c r="K75" s="62" t="n">
        <x:v>2344.1374963595536</x:v>
      </x:c>
      <x:c r="L75" s="60" t="n">
        <x:v>7022680.179046144</x:v>
      </x:c>
      <x:c r="M75" s="62" t="n">
        <x:v>4.352473056019792</x:v>
      </x:c>
      <x:c r="N75" s="62" t="n">
        <x:v>2251.505727178768</x:v>
      </x:c>
      <x:c r="O75" s="60" t="n">
        <x:v>6745169.456920782</x:v>
      </x:c>
      <x:c r="P75" s="60" t="n">
        <x:v>277510.7221253617</x:v>
      </x:c>
      <x:c r="Q75" s="62" t="n">
        <x:v>1.0411421423728096</x:v>
      </x:c>
      <x:c r="R75" s="64" t="n">
        <x:v>0.04114214237280961</x:v>
      </x:c>
    </x:row>
    <x:row r="76" ht="18" customHeight="1">
      <x:c r="A76" s="46" t="str">
        <x:v>HS_087</x:v>
      </x:c>
      <x:c r="B76" s="46" t="str">
        <x:v>Pacific, Southeast</x:v>
      </x:c>
      <x:c r="C76" s="46" t="str">
        <x:v>commercial</x:v>
      </x:c>
      <x:c r="D76" s="46" t="str">
        <x:v>Sharks &amp; rays</x:v>
      </x:c>
      <x:c r="E76" s="66" t="n">
        <x:v>6</x:v>
      </x:c>
      <x:c r="F76" s="66" t="n">
        <x:v>6</x:v>
      </x:c>
      <x:c r="G76" s="60" t="n">
        <x:v>5079.5806851539</x:v>
      </x:c>
      <x:c r="H76" s="60" t="n">
        <x:v>5079.5806851539</x:v>
      </x:c>
      <x:c r="I76" s="62" t="n">
        <x:v>0</x:v>
      </x:c>
      <x:c r="J76" s="64" t="n">
        <x:v>1</x:v>
      </x:c>
      <x:c r="K76" s="62" t="n">
        <x:v>1802.8361345683602</x:v>
      </x:c>
      <x:c r="L76" s="60" t="n">
        <x:v>9157651.60765096</x:v>
      </x:c>
      <x:c r="M76" s="62" t="n">
        <x:v>4.226346799779315</x:v>
      </x:c>
      <x:c r="N76" s="62" t="n">
        <x:v>1684.0182735176274</x:v>
      </x:c>
      <x:c r="O76" s="60" t="n">
        <x:v>8554106.695606358</x:v>
      </x:c>
      <x:c r="P76" s="60" t="n">
        <x:v>603544.9120446015</x:v>
      </x:c>
      <x:c r="Q76" s="62" t="n">
        <x:v>1.0705561589914</x:v>
      </x:c>
      <x:c r="R76" s="64" t="n">
        <x:v>0.0705561589914</x:v>
      </x:c>
    </x:row>
    <x:row r="77" ht="18" customHeight="1">
      <x:c r="A77" s="46" t="str">
        <x:v>HS_087</x:v>
      </x:c>
      <x:c r="B77" s="46" t="str">
        <x:v>Pacific, Southeast</x:v>
      </x:c>
      <x:c r="C77" s="46" t="str">
        <x:v>commercial</x:v>
      </x:c>
      <x:c r="D77" s="46" t="str">
        <x:v>Tuna &amp; billfishes</x:v>
      </x:c>
      <x:c r="E77" s="66" t="n">
        <x:v>12</x:v>
      </x:c>
      <x:c r="F77" s="66" t="n">
        <x:v>12</x:v>
      </x:c>
      <x:c r="G77" s="60" t="n">
        <x:v>234703.4549035905</x:v>
      </x:c>
      <x:c r="H77" s="60" t="n">
        <x:v>234703.4549035905</x:v>
      </x:c>
      <x:c r="I77" s="62" t="n">
        <x:v>0</x:v>
      </x:c>
      <x:c r="J77" s="64" t="n">
        <x:v>1</x:v>
      </x:c>
      <x:c r="K77" s="62" t="n">
        <x:v>2728.8234566915175</x:v>
      </x:c>
      <x:c r="L77" s="60" t="n">
        <x:v>640464293.1074575</x:v>
      </x:c>
      <x:c r="M77" s="62" t="n">
        <x:v>4.434697104734626</x:v>
      </x:c>
      <x:c r="N77" s="62" t="n">
        <x:v>2720.80304353966</x:v>
      </x:c>
      <x:c r="O77" s="60" t="n">
        <x:v>638581874.4309623</x:v>
      </x:c>
      <x:c r="P77" s="60" t="n">
        <x:v>1882418.6764951944</x:v>
      </x:c>
      <x:c r="Q77" s="62" t="n">
        <x:v>1.0029478110041452</x:v>
      </x:c>
      <x:c r="R77" s="64" t="n">
        <x:v>0.0029478110041450986</x:v>
      </x:c>
    </x:row>
    <x:row r="78" ht="18" customHeight="1">
      <x:c r="A78" s="46" t="str">
        <x:v>HS_088</x:v>
      </x:c>
      <x:c r="B78" s="46" t="str">
        <x:v>Pacific, Antarctic</x:v>
      </x:c>
      <x:c r="C78" s="46" t="str">
        <x:v>commercial</x:v>
      </x:c>
      <x:c r="D78" s="46" t="str">
        <x:v>Cod-likes</x:v>
      </x:c>
      <x:c r="E78" s="66" t="n">
        <x:v>5</x:v>
      </x:c>
      <x:c r="F78" s="66" t="n">
        <x:v>5</x:v>
      </x:c>
      <x:c r="G78" s="60" t="n">
        <x:v>123.449815</x:v>
      </x:c>
      <x:c r="H78" s="60" t="n">
        <x:v>123.449815</x:v>
      </x:c>
      <x:c r="I78" s="62" t="n">
        <x:v>0</x:v>
      </x:c>
      <x:c r="J78" s="64" t="n">
        <x:v>1</x:v>
      </x:c>
      <x:c r="K78" s="62" t="n">
        <x:v>371.82744379911486</x:v>
      </x:c>
      <x:c r="L78" s="60" t="n">
        <x:v>45902.029148923626</x:v>
      </x:c>
      <x:c r="M78" s="62" t="n">
        <x:v>3.5683148944370635</x:v>
      </x:c>
      <x:c r="N78" s="62" t="n">
        <x:v>370.0964287939971</x:v>
      </x:c>
      <x:c r="O78" s="60" t="n">
        <x:v>45688.33566677962</x:v>
      </x:c>
      <x:c r="P78" s="60" t="n">
        <x:v>213.69348214400816</x:v>
      </x:c>
      <x:c r="Q78" s="62" t="n">
        <x:v>1.0046771999685553</x:v>
      </x:c>
      <x:c r="R78" s="64" t="n">
        <x:v>0.004677199968555356</x:v>
      </x:c>
    </x:row>
    <x:row r="79" ht="18" customHeight="1">
      <x:c r="A79" s="46" t="str">
        <x:v>HS_088</x:v>
      </x:c>
      <x:c r="B79" s="46" t="str">
        <x:v>Pacific, Antarctic</x:v>
      </x:c>
      <x:c r="C79" s="46" t="str">
        <x:v>commercial</x:v>
      </x:c>
      <x:c r="D79" s="46" t="str">
        <x:v>Crustaceans</x:v>
      </x:c>
      <x:c r="E79" s="66" t="n">
        <x:v>5</x:v>
      </x:c>
      <x:c r="F79" s="66" t="n">
        <x:v>5</x:v>
      </x:c>
      <x:c r="G79" s="60" t="n">
        <x:v>0.26576900000000003</x:v>
      </x:c>
      <x:c r="H79" s="60" t="n">
        <x:v>0.26576900000000003</x:v>
      </x:c>
      <x:c r="I79" s="62" t="n">
        <x:v>0</x:v>
      </x:c>
      <x:c r="J79" s="64" t="n">
        <x:v>1</x:v>
      </x:c>
      <x:c r="K79" s="62" t="n">
        <x:v>20.930750074071174</x:v>
      </x:c>
      <x:c r="L79" s="60" t="n">
        <x:v>5.5627445164358225</x:v>
      </x:c>
      <x:c r="M79" s="62" t="n">
        <x:v>2.2874784117033964</x:v>
      </x:c>
      <x:c r="N79" s="62" t="n">
        <x:v>19.3855627007683</x:v>
      </x:c>
      <x:c r="O79" s="60" t="n">
        <x:v>5.152081613420491</x:v>
      </x:c>
      <x:c r="P79" s="60" t="n">
        <x:v>0.41066290301533126</x:v>
      </x:c>
      <x:c r="Q79" s="62" t="n">
        <x:v>1.0797081517392133</x:v>
      </x:c>
      <x:c r="R79" s="64" t="n">
        <x:v>0.07970815173921328</x:v>
      </x:c>
    </x:row>
    <x:row r="80" ht="18" customHeight="1">
      <x:c r="A80" s="46" t="str">
        <x:v>HS_088</x:v>
      </x:c>
      <x:c r="B80" s="46" t="str">
        <x:v>Pacific, Antarctic</x:v>
      </x:c>
      <x:c r="C80" s="46" t="str">
        <x:v>commercial</x:v>
      </x:c>
      <x:c r="D80" s="46" t="str">
        <x:v>Molluscs</x:v>
      </x:c>
      <x:c r="E80" s="66" t="n">
        <x:v>1</x:v>
      </x:c>
      <x:c r="F80" s="66" t="n">
        <x:v>1</x:v>
      </x:c>
      <x:c r="G80" s="60" t="n">
        <x:v>0.000397</x:v>
      </x:c>
      <x:c r="H80" s="60" t="n">
        <x:v>0.000397</x:v>
      </x:c>
      <x:c r="I80" s="62" t="n">
        <x:v>0</x:v>
      </x:c>
      <x:c r="J80" s="64" t="n">
        <x:v>1</x:v>
      </x:c>
      <x:c r="K80" s="62" t="n">
        <x:v>12.589254117941675</x:v>
      </x:c>
      <x:c r="L80" s="60" t="n">
        <x:v>0.004997933884822845</x:v>
      </x:c>
      <x:c r="M80" s="62" t="n">
        <x:v>2.1</x:v>
      </x:c>
      <x:c r="N80" s="62" t="n">
        <x:v>12.589254117941675</x:v>
      </x:c>
      <x:c r="O80" s="60" t="n">
        <x:v>0.004997933884822845</x:v>
      </x:c>
      <x:c r="P80" s="60" t="n">
        <x:v>0</x:v>
      </x:c>
      <x:c r="Q80" s="62" t="n">
        <x:v>1</x:v>
      </x:c>
      <x:c r="R80" s="64" t="n">
        <x:v>0</x:v>
      </x:c>
    </x:row>
    <x:row r="81" ht="18" customHeight="1">
      <x:c r="A81" s="46" t="str">
        <x:v>HS_088</x:v>
      </x:c>
      <x:c r="B81" s="46" t="str">
        <x:v>Pacific, Antarctic</x:v>
      </x:c>
      <x:c r="C81" s="46" t="str">
        <x:v>commercial</x:v>
      </x:c>
      <x:c r="D81" s="46" t="str">
        <x:v>Other fishes &amp; inverts</x:v>
      </x:c>
      <x:c r="E81" s="66" t="n">
        <x:v>6</x:v>
      </x:c>
      <x:c r="F81" s="66" t="n">
        <x:v>6</x:v>
      </x:c>
      <x:c r="G81" s="60" t="n">
        <x:v>84.40703700000003</x:v>
      </x:c>
      <x:c r="H81" s="60" t="n">
        <x:v>84.40703700000003</x:v>
      </x:c>
      <x:c r="I81" s="62" t="n">
        <x:v>0</x:v>
      </x:c>
      <x:c r="J81" s="64" t="n">
        <x:v>1</x:v>
      </x:c>
      <x:c r="K81" s="62" t="n">
        <x:v>190.5487423253487</x:v>
      </x:c>
      <x:c r="L81" s="60" t="n">
        <x:v>16083.65474375918</x:v>
      </x:c>
      <x:c r="M81" s="62" t="n">
        <x:v>3.2800045483174567</x:v>
      </x:c>
      <x:c r="N81" s="62" t="n">
        <x:v>190.54806737443823</x:v>
      </x:c>
      <x:c r="O81" s="60" t="n">
        <x:v>16083.597773152707</x:v>
      </x:c>
      <x:c r="P81" s="60" t="n">
        <x:v>0.05697060647253238</x:v>
      </x:c>
      <x:c r="Q81" s="62" t="n">
        <x:v>1.0000035421556344</x:v>
      </x:c>
      <x:c r="R81" s="64" t="n">
        <x:v>0.0000035421556343338597</x:v>
      </x:c>
    </x:row>
    <x:row r="82" ht="18" customHeight="1">
      <x:c r="A82" s="46" t="str">
        <x:v>HS_088</x:v>
      </x:c>
      <x:c r="B82" s="46" t="str">
        <x:v>Pacific, Antarctic</x:v>
      </x:c>
      <x:c r="C82" s="46" t="str">
        <x:v>commercial</x:v>
      </x:c>
      <x:c r="D82" s="46" t="str">
        <x:v>Perch-likes</x:v>
      </x:c>
      <x:c r="E82" s="66" t="n">
        <x:v>13</x:v>
      </x:c>
      <x:c r="F82" s="66" t="n">
        <x:v>13</x:v>
      </x:c>
      <x:c r="G82" s="60" t="n">
        <x:v>3349.338988</x:v>
      </x:c>
      <x:c r="H82" s="60" t="n">
        <x:v>3349.338988</x:v>
      </x:c>
      <x:c r="I82" s="62" t="n">
        <x:v>0</x:v>
      </x:c>
      <x:c r="J82" s="64" t="n">
        <x:v>1</x:v>
      </x:c>
      <x:c r="K82" s="62" t="n">
        <x:v>1614.8939756491002</x:v>
      </x:c>
      <x:c r="L82" s="60" t="n">
        <x:v>5408827.354127854</x:v>
      </x:c>
      <x:c r="M82" s="62" t="n">
        <x:v>4.205712265333115</x:v>
      </x:c>
      <x:c r="N82" s="62" t="n">
        <x:v>1605.8769531184398</x:v>
      </x:c>
      <x:c r="O82" s="60" t="n">
        <x:v>5378626.289010239</x:v>
      </x:c>
      <x:c r="P82" s="60" t="n">
        <x:v>30201.065117615275</x:v>
      </x:c>
      <x:c r="Q82" s="62" t="n">
        <x:v>1.0056150145957012</x:v>
      </x:c>
      <x:c r="R82" s="64" t="n">
        <x:v>0.005615014595701312</x:v>
      </x:c>
    </x:row>
    <x:row r="83" ht="18" customHeight="1">
      <x:c r="A83" s="46" t="str">
        <x:v>HS_088</x:v>
      </x:c>
      <x:c r="B83" s="46" t="str">
        <x:v>Pacific, Antarctic</x:v>
      </x:c>
      <x:c r="C83" s="46" t="str">
        <x:v>commercial</x:v>
      </x:c>
      <x:c r="D83" s="46" t="str">
        <x:v>Sharks &amp; rays</x:v>
      </x:c>
      <x:c r="E83" s="66" t="n">
        <x:v>2</x:v>
      </x:c>
      <x:c r="F83" s="66" t="n">
        <x:v>2</x:v>
      </x:c>
      <x:c r="G83" s="60" t="n">
        <x:v>1.865857</x:v>
      </x:c>
      <x:c r="H83" s="60" t="n">
        <x:v>1.865857</x:v>
      </x:c>
      <x:c r="I83" s="62" t="n">
        <x:v>0</x:v>
      </x:c>
      <x:c r="J83" s="64" t="n">
        <x:v>1</x:v>
      </x:c>
      <x:c r="K83" s="62" t="n">
        <x:v>411.57569758130643</x:v>
      </x:c>
      <x:c r="L83" s="60" t="n">
        <x:v>767.9413963619637</x:v>
      </x:c>
      <x:c r="M83" s="62" t="n">
        <x:v>3.6143198969695964</x:v>
      </x:c>
      <x:c r="N83" s="62" t="n">
        <x:v>411.4526814399905</x:v>
      </x:c>
      <x:c r="O83" s="60" t="n">
        <x:v>767.7118658335764</x:v>
      </x:c>
      <x:c r="P83" s="60" t="n">
        <x:v>0.22953052838727217</x:v>
      </x:c>
      <x:c r="Q83" s="62" t="n">
        <x:v>1.0002989800452518</x:v>
      </x:c>
      <x:c r="R83" s="64" t="n">
        <x:v>0.0002989800452518074</x:v>
      </x:c>
    </x:row>
    <x:row r="84" ht="18" customHeight="1">
      <x:c r="A84" s="46" t="str">
        <x:v>LME_001</x:v>
      </x:c>
      <x:c r="B84" s="46" t="str">
        <x:v>East Bering Sea</x:v>
      </x:c>
      <x:c r="C84" s="46" t="str">
        <x:v>commercial</x:v>
      </x:c>
      <x:c r="D84" s="46" t="str">
        <x:v>Cod-likes</x:v>
      </x:c>
      <x:c r="E84" s="66" t="n">
        <x:v>5</x:v>
      </x:c>
      <x:c r="F84" s="66" t="n">
        <x:v>5</x:v>
      </x:c>
      <x:c r="G84" s="60" t="n">
        <x:v>900467.2139058373</x:v>
      </x:c>
      <x:c r="H84" s="60" t="n">
        <x:v>900467.2139058373</x:v>
      </x:c>
      <x:c r="I84" s="62" t="n">
        <x:v>0</x:v>
      </x:c>
      <x:c r="J84" s="64" t="n">
        <x:v>1</x:v>
      </x:c>
      <x:c r="K84" s="62" t="n">
        <x:v>495.4268982255637</x:v>
      </x:c>
      <x:c r="L84" s="60" t="n">
        <x:v>446115678.73918414</x:v>
      </x:c>
      <x:c r="M84" s="62" t="n">
        <x:v>3.6380659152630677</x:v>
      </x:c>
      <x:c r="N84" s="62" t="n">
        <x:v>434.5761771839295</x:v>
      </x:c>
      <x:c r="O84" s="60" t="n">
        <x:v>391321599.4986625</x:v>
      </x:c>
      <x:c r="P84" s="60" t="n">
        <x:v>54794079.24052167</x:v>
      </x:c>
      <x:c r="Q84" s="62" t="n">
        <x:v>1.1400231403293877</x:v>
      </x:c>
      <x:c r="R84" s="64" t="n">
        <x:v>0.1400231403293877</x:v>
      </x:c>
    </x:row>
    <x:row r="85" ht="18" customHeight="1">
      <x:c r="A85" s="46" t="str">
        <x:v>LME_001</x:v>
      </x:c>
      <x:c r="B85" s="46" t="str">
        <x:v>East Bering Sea</x:v>
      </x:c>
      <x:c r="C85" s="46" t="str">
        <x:v>commercial</x:v>
      </x:c>
      <x:c r="D85" s="46" t="str">
        <x:v>Crustaceans</x:v>
      </x:c>
      <x:c r="E85" s="66" t="n">
        <x:v>9</x:v>
      </x:c>
      <x:c r="F85" s="66" t="n">
        <x:v>9</x:v>
      </x:c>
      <x:c r="G85" s="60" t="n">
        <x:v>7646.588618008599</x:v>
      </x:c>
      <x:c r="H85" s="60" t="n">
        <x:v>7646.588618008599</x:v>
      </x:c>
      <x:c r="I85" s="62" t="n">
        <x:v>0</x:v>
      </x:c>
      <x:c r="J85" s="64" t="n">
        <x:v>1</x:v>
      </x:c>
      <x:c r="K85" s="62" t="n">
        <x:v>220.05447368047456</x:v>
      </x:c>
      <x:c r="L85" s="60" t="n">
        <x:v>1682666.0337869895</x:v>
      </x:c>
      <x:c r="M85" s="62" t="n">
        <x:v>3.2245729225225066</x:v>
      </x:c>
      <x:c r="N85" s="62" t="n">
        <x:v>167.71539235478835</x:v>
      </x:c>
      <x:c r="O85" s="60" t="n">
        <x:v>1282450.610244971</x:v>
      </x:c>
      <x:c r="P85" s="60" t="n">
        <x:v>400215.4235420185</x:v>
      </x:c>
      <x:c r="Q85" s="62" t="n">
        <x:v>1.3120708277924014</x:v>
      </x:c>
      <x:c r="R85" s="64" t="n">
        <x:v>0.3120708277924015</x:v>
      </x:c>
    </x:row>
    <x:row r="86" ht="18" customHeight="1">
      <x:c r="A86" s="46" t="str">
        <x:v>LME_001</x:v>
      </x:c>
      <x:c r="B86" s="46" t="str">
        <x:v>East Bering Sea</x:v>
      </x:c>
      <x:c r="C86" s="46" t="str">
        <x:v>commercial</x:v>
      </x:c>
      <x:c r="D86" s="46" t="str">
        <x:v>Flatfishes</x:v>
      </x:c>
      <x:c r="E86" s="66" t="n">
        <x:v>15</x:v>
      </x:c>
      <x:c r="F86" s="66" t="n">
        <x:v>15</x:v>
      </x:c>
      <x:c r="G86" s="60" t="n">
        <x:v>118815.8974802802</x:v>
      </x:c>
      <x:c r="H86" s="60" t="n">
        <x:v>118815.8974802802</x:v>
      </x:c>
      <x:c r="I86" s="62" t="n">
        <x:v>0</x:v>
      </x:c>
      <x:c r="J86" s="64" t="n">
        <x:v>1</x:v>
      </x:c>
      <x:c r="K86" s="62" t="n">
        <x:v>565.0697140711317</x:v>
      </x:c>
      <x:c r="L86" s="60" t="n">
        <x:v>67139265.21628682</x:v>
      </x:c>
      <x:c r="M86" s="62" t="n">
        <x:v>3.647464209051954</x:v>
      </x:c>
      <x:c r="N86" s="62" t="n">
        <x:v>444.0830622158865</x:v>
      </x:c>
      <x:c r="O86" s="60" t="n">
        <x:v>52764127.59297167</x:v>
      </x:c>
      <x:c r="P86" s="60" t="n">
        <x:v>14375137.623315156</x:v>
      </x:c>
      <x:c r="Q86" s="62" t="n">
        <x:v>1.2724414915794033</x:v>
      </x:c>
      <x:c r="R86" s="64" t="n">
        <x:v>0.2724414915794034</x:v>
      </x:c>
    </x:row>
    <x:row r="87" ht="18" customHeight="1">
      <x:c r="A87" s="46" t="str">
        <x:v>LME_001</x:v>
      </x:c>
      <x:c r="B87" s="46" t="str">
        <x:v>East Bering Sea</x:v>
      </x:c>
      <x:c r="C87" s="46" t="str">
        <x:v>commercial</x:v>
      </x:c>
      <x:c r="D87" s="46" t="str">
        <x:v>Herring-likes</x:v>
      </x:c>
      <x:c r="E87" s="66" t="n">
        <x:v>1</x:v>
      </x:c>
      <x:c r="F87" s="66" t="n">
        <x:v>1</x:v>
      </x:c>
      <x:c r="G87" s="60" t="n">
        <x:v>9651.0177963192</x:v>
      </x:c>
      <x:c r="H87" s="60" t="n">
        <x:v>9651.0177963192</x:v>
      </x:c>
      <x:c r="I87" s="62" t="n">
        <x:v>0</x:v>
      </x:c>
      <x:c r="J87" s="64" t="n">
        <x:v>1</x:v>
      </x:c>
      <x:c r="K87" s="62" t="n">
        <x:v>144.5439770745928</x:v>
      </x:c>
      <x:c r="L87" s="60" t="n">
        <x:v>1394996.4950976495</x:v>
      </x:c>
      <x:c r="M87" s="62" t="n">
        <x:v>3.16</x:v>
      </x:c>
      <x:c r="N87" s="62" t="n">
        <x:v>144.5439770745928</x:v>
      </x:c>
      <x:c r="O87" s="60" t="n">
        <x:v>1394996.4950976495</x:v>
      </x:c>
      <x:c r="P87" s="60" t="n">
        <x:v>0</x:v>
      </x:c>
      <x:c r="Q87" s="62" t="n">
        <x:v>1</x:v>
      </x:c>
      <x:c r="R87" s="64" t="n">
        <x:v>0</x:v>
      </x:c>
    </x:row>
    <x:row r="88" ht="18" customHeight="1">
      <x:c r="A88" s="46" t="str">
        <x:v>LME_001</x:v>
      </x:c>
      <x:c r="B88" s="46" t="str">
        <x:v>East Bering Sea</x:v>
      </x:c>
      <x:c r="C88" s="46" t="str">
        <x:v>commercial</x:v>
      </x:c>
      <x:c r="D88" s="46" t="str">
        <x:v>Molluscs</x:v>
      </x:c>
      <x:c r="E88" s="66" t="n">
        <x:v>6</x:v>
      </x:c>
      <x:c r="F88" s="66" t="n">
        <x:v>6</x:v>
      </x:c>
      <x:c r="G88" s="60" t="n">
        <x:v>73.53917867999999</x:v>
      </x:c>
      <x:c r="H88" s="60" t="n">
        <x:v>73.53917867999999</x:v>
      </x:c>
      <x:c r="I88" s="62" t="n">
        <x:v>0</x:v>
      </x:c>
      <x:c r="J88" s="64" t="n">
        <x:v>1</x:v>
      </x:c>
      <x:c r="K88" s="62" t="n">
        <x:v>10.551480000235559</x:v>
      </x:c>
      <x:c r="L88" s="60" t="n">
        <x:v>775.9471730757691</x:v>
      </x:c>
      <x:c r="M88" s="62" t="n">
        <x:v>2.0199522817432563</x:v>
      </x:c>
      <x:c r="N88" s="62" t="n">
        <x:v>10.470135007592502</x:v>
      </x:c>
      <x:c r="O88" s="60" t="n">
        <x:v>769.965129127068</x:v>
      </x:c>
      <x:c r="P88" s="60" t="n">
        <x:v>5.982043948701062</x:v>
      </x:c>
      <x:c r="Q88" s="62" t="n">
        <x:v>1.0077692400894611</x:v>
      </x:c>
      <x:c r="R88" s="64" t="n">
        <x:v>0.007769240089461038</x:v>
      </x:c>
    </x:row>
    <x:row r="89" ht="18" customHeight="1">
      <x:c r="A89" s="46" t="str">
        <x:v>LME_001</x:v>
      </x:c>
      <x:c r="B89" s="46" t="str">
        <x:v>East Bering Sea</x:v>
      </x:c>
      <x:c r="C89" s="46" t="str">
        <x:v>commercial</x:v>
      </x:c>
      <x:c r="D89" s="46" t="str">
        <x:v>Other fishes &amp; inverts</x:v>
      </x:c>
      <x:c r="E89" s="66" t="n">
        <x:v>7</x:v>
      </x:c>
      <x:c r="F89" s="66" t="n">
        <x:v>7</x:v>
      </x:c>
      <x:c r="G89" s="60" t="n">
        <x:v>13078.7075267686</x:v>
      </x:c>
      <x:c r="H89" s="60" t="n">
        <x:v>13078.7075267686</x:v>
      </x:c>
      <x:c r="I89" s="62" t="n">
        <x:v>0</x:v>
      </x:c>
      <x:c r="J89" s="64" t="n">
        <x:v>1</x:v>
      </x:c>
      <x:c r="K89" s="62" t="n">
        <x:v>208.14052374797805</x:v>
      </x:c>
      <x:c r="L89" s="60" t="n">
        <x:v>2722209.034568239</x:v>
      </x:c>
      <x:c r="M89" s="62" t="n">
        <x:v>3.2919966388682522</x:v>
      </x:c>
      <x:c r="N89" s="62" t="n">
        <x:v>195.8829513494021</x:v>
      </x:c>
      <x:c r="O89" s="60" t="n">
        <x:v>2561895.830179073</x:v>
      </x:c>
      <x:c r="P89" s="60" t="n">
        <x:v>160313.2043891661</x:v>
      </x:c>
      <x:c r="Q89" s="62" t="n">
        <x:v>1.0625760042624217</x:v>
      </x:c>
      <x:c r="R89" s="64" t="n">
        <x:v>0.06257600426242171</x:v>
      </x:c>
    </x:row>
    <x:row r="90" ht="18" customHeight="1">
      <x:c r="A90" s="46" t="str">
        <x:v>LME_001</x:v>
      </x:c>
      <x:c r="B90" s="46" t="str">
        <x:v>East Bering Sea</x:v>
      </x:c>
      <x:c r="C90" s="46" t="str">
        <x:v>commercial</x:v>
      </x:c>
      <x:c r="D90" s="46" t="str">
        <x:v>Perch-likes</x:v>
      </x:c>
      <x:c r="E90" s="66" t="n">
        <x:v>1</x:v>
      </x:c>
      <x:c r="F90" s="66" t="n">
        <x:v>1</x:v>
      </x:c>
      <x:c r="G90" s="60" t="n">
        <x:v>0.0003054059</x:v>
      </x:c>
      <x:c r="H90" s="60" t="n">
        <x:v>0.0003054059</x:v>
      </x:c>
      <x:c r="I90" s="62" t="n">
        <x:v>0</x:v>
      </x:c>
      <x:c r="J90" s="64" t="n">
        <x:v>1</x:v>
      </x:c>
      <x:c r="K90" s="62" t="n">
        <x:v>1819.7008586099826</x:v>
      </x:c>
      <x:c r="L90" s="60" t="n">
        <x:v>0.5557473784545545</x:v>
      </x:c>
      <x:c r="M90" s="62" t="n">
        <x:v>4.26</x:v>
      </x:c>
      <x:c r="N90" s="62" t="n">
        <x:v>1819.7008586099826</x:v>
      </x:c>
      <x:c r="O90" s="60" t="n">
        <x:v>0.5557473784545545</x:v>
      </x:c>
      <x:c r="P90" s="60" t="n">
        <x:v>0</x:v>
      </x:c>
      <x:c r="Q90" s="62" t="n">
        <x:v>1</x:v>
      </x:c>
      <x:c r="R90" s="64" t="n">
        <x:v>0</x:v>
      </x:c>
    </x:row>
    <x:row r="91" ht="18" customHeight="1">
      <x:c r="A91" s="46" t="str">
        <x:v>LME_001</x:v>
      </x:c>
      <x:c r="B91" s="46" t="str">
        <x:v>East Bering Sea</x:v>
      </x:c>
      <x:c r="C91" s="46" t="str">
        <x:v>commercial</x:v>
      </x:c>
      <x:c r="D91" s="46" t="str">
        <x:v>Salmon, smelts, etc</x:v>
      </x:c>
      <x:c r="E91" s="66" t="n">
        <x:v>14</x:v>
      </x:c>
      <x:c r="F91" s="66" t="n">
        <x:v>14</x:v>
      </x:c>
      <x:c r="G91" s="60" t="n">
        <x:v>151074.52322968937</x:v>
      </x:c>
      <x:c r="H91" s="60" t="n">
        <x:v>151074.52322968937</x:v>
      </x:c>
      <x:c r="I91" s="62" t="n">
        <x:v>0</x:v>
      </x:c>
      <x:c r="J91" s="64" t="n">
        <x:v>1</x:v>
      </x:c>
      <x:c r="K91" s="62" t="n">
        <x:v>1701.5597616376394</x:v>
      </x:c>
      <x:c r="L91" s="60" t="n">
        <x:v>257062329.73623025</x:v>
      </x:c>
      <x:c r="M91" s="62" t="n">
        <x:v>4.036356428059977</x:v>
      </x:c>
      <x:c r="N91" s="62" t="n">
        <x:v>1087.3176255627384</x:v>
      </x:c>
      <x:c r="O91" s="60" t="n">
        <x:v>164265991.8811286</x:v>
      </x:c>
      <x:c r="P91" s="60" t="n">
        <x:v>92796337.85510164</x:v>
      </x:c>
      <x:c r="Q91" s="62" t="n">
        <x:v>1.5649150916292758</x:v>
      </x:c>
      <x:c r="R91" s="64" t="n">
        <x:v>0.5649150916292758</x:v>
      </x:c>
    </x:row>
    <x:row r="92" ht="18" customHeight="1">
      <x:c r="A92" s="46" t="str">
        <x:v>LME_001</x:v>
      </x:c>
      <x:c r="B92" s="46" t="str">
        <x:v>East Bering Sea</x:v>
      </x:c>
      <x:c r="C92" s="46" t="str">
        <x:v>commercial</x:v>
      </x:c>
      <x:c r="D92" s="46" t="str">
        <x:v>Scorpionfishes</x:v>
      </x:c>
      <x:c r="E92" s="66" t="n">
        <x:v>10</x:v>
      </x:c>
      <x:c r="F92" s="66" t="n">
        <x:v>10</x:v>
      </x:c>
      <x:c r="G92" s="60" t="n">
        <x:v>86330.68726332128</x:v>
      </x:c>
      <x:c r="H92" s="60" t="n">
        <x:v>86330.68726332128</x:v>
      </x:c>
      <x:c r="I92" s="62" t="n">
        <x:v>0</x:v>
      </x:c>
      <x:c r="J92" s="64" t="n">
        <x:v>1</x:v>
      </x:c>
      <x:c r="K92" s="62" t="n">
        <x:v>360.6080847270518</x:v>
      </x:c>
      <x:c r="L92" s="60" t="n">
        <x:v>31131543.78719637</x:v>
      </x:c>
      <x:c r="M92" s="62" t="n">
        <x:v>3.52290856212849</x:v>
      </x:c>
      <x:c r="N92" s="62" t="n">
        <x:v>333.3562193956472</x:v>
      </x:c>
      <x:c r="O92" s="60" t="n">
        <x:v>28778871.52392873</x:v>
      </x:c>
      <x:c r="P92" s="60" t="n">
        <x:v>2352672.26326764</x:v>
      </x:c>
      <x:c r="Q92" s="62" t="n">
        <x:v>1.0817499831885857</x:v>
      </x:c>
      <x:c r="R92" s="64" t="n">
        <x:v>0.08174998318858565</x:v>
      </x:c>
    </x:row>
    <x:row r="93" ht="18" customHeight="1">
      <x:c r="A93" s="46" t="str">
        <x:v>LME_001</x:v>
      </x:c>
      <x:c r="B93" s="46" t="str">
        <x:v>East Bering Sea</x:v>
      </x:c>
      <x:c r="C93" s="46" t="str">
        <x:v>commercial</x:v>
      </x:c>
      <x:c r="D93" s="46" t="str">
        <x:v>Sharks &amp; rays</x:v>
      </x:c>
      <x:c r="E93" s="66" t="n">
        <x:v>5</x:v>
      </x:c>
      <x:c r="F93" s="66" t="n">
        <x:v>5</x:v>
      </x:c>
      <x:c r="G93" s="60" t="n">
        <x:v>13861.596146735</x:v>
      </x:c>
      <x:c r="H93" s="60" t="n">
        <x:v>13861.596146735</x:v>
      </x:c>
      <x:c r="I93" s="62" t="n">
        <x:v>0</x:v>
      </x:c>
      <x:c r="J93" s="64" t="n">
        <x:v>1</x:v>
      </x:c>
      <x:c r="K93" s="62" t="n">
        <x:v>662.7280343399174</x:v>
      </x:c>
      <x:c r="L93" s="60" t="n">
        <x:v>9186468.36713946</x:v>
      </x:c>
      <x:c r="M93" s="62" t="n">
        <x:v>3.8207569299797064</x:v>
      </x:c>
      <x:c r="N93" s="62" t="n">
        <x:v>661.845971841688</x:v>
      </x:c>
      <x:c r="O93" s="60" t="n">
        <x:v>9174241.573012823</x:v>
      </x:c>
      <x:c r="P93" s="60" t="n">
        <x:v>12226.79412663728</x:v>
      </x:c>
      <x:c r="Q93" s="62" t="n">
        <x:v>1.001332730779905</x:v>
      </x:c>
      <x:c r="R93" s="64" t="n">
        <x:v>0.0013327307799048938</x:v>
      </x:c>
    </x:row>
    <x:row r="94" ht="18" customHeight="1">
      <x:c r="A94" s="46" t="str">
        <x:v>LME_002</x:v>
      </x:c>
      <x:c r="B94" s="46" t="str">
        <x:v>Gulf of Alaska</x:v>
      </x:c>
      <x:c r="C94" s="46" t="str">
        <x:v>commercial</x:v>
      </x:c>
      <x:c r="D94" s="46" t="str">
        <x:v>Anchovies</x:v>
      </x:c>
      <x:c r="E94" s="66" t="n">
        <x:v>1</x:v>
      </x:c>
      <x:c r="F94" s="66" t="n">
        <x:v>1</x:v>
      </x:c>
      <x:c r="G94" s="60" t="n">
        <x:v>0.0052133158</x:v>
      </x:c>
      <x:c r="H94" s="60" t="n">
        <x:v>0.0052133158</x:v>
      </x:c>
      <x:c r="I94" s="62" t="n">
        <x:v>0</x:v>
      </x:c>
      <x:c r="J94" s="64" t="n">
        <x:v>1</x:v>
      </x:c>
      <x:c r="K94" s="62" t="n">
        <x:v>93.32543007969915</x:v>
      </x:c>
      <x:c r="L94" s="60" t="n">
        <x:v>0.4865349391762908</x:v>
      </x:c>
      <x:c r="M94" s="62" t="n">
        <x:v>2.97</x:v>
      </x:c>
      <x:c r="N94" s="62" t="n">
        <x:v>93.32543007969915</x:v>
      </x:c>
      <x:c r="O94" s="60" t="n">
        <x:v>0.4865349391762908</x:v>
      </x:c>
      <x:c r="P94" s="60" t="n">
        <x:v>0</x:v>
      </x:c>
      <x:c r="Q94" s="62" t="n">
        <x:v>1</x:v>
      </x:c>
      <x:c r="R94" s="64" t="n">
        <x:v>0</x:v>
      </x:c>
    </x:row>
    <x:row r="95" ht="18" customHeight="1">
      <x:c r="A95" s="46" t="str">
        <x:v>LME_002</x:v>
      </x:c>
      <x:c r="B95" s="46" t="str">
        <x:v>Gulf of Alaska</x:v>
      </x:c>
      <x:c r="C95" s="46" t="str">
        <x:v>commercial</x:v>
      </x:c>
      <x:c r="D95" s="46" t="str">
        <x:v>Cod-likes</x:v>
      </x:c>
      <x:c r="E95" s="66" t="n">
        <x:v>6</x:v>
      </x:c>
      <x:c r="F95" s="66" t="n">
        <x:v>6</x:v>
      </x:c>
      <x:c r="G95" s="60" t="n">
        <x:v>706803.8940885267</x:v>
      </x:c>
      <x:c r="H95" s="60" t="n">
        <x:v>706803.8940885267</x:v>
      </x:c>
      <x:c r="I95" s="62" t="n">
        <x:v>0</x:v>
      </x:c>
      <x:c r="J95" s="64" t="n">
        <x:v>1</x:v>
      </x:c>
      <x:c r="K95" s="62" t="n">
        <x:v>822.3301071846022</x:v>
      </x:c>
      <x:c r="L95" s="60" t="n">
        <x:v>581226121.9843124</x:v>
      </x:c>
      <x:c r="M95" s="62" t="n">
        <x:v>3.771814822437368</x:v>
      </x:c>
      <x:c r="N95" s="62" t="n">
        <x:v>591.3094536956745</x:v>
      </x:c>
      <x:c r="O95" s="60" t="n">
        <x:v>417939824.4834621</x:v>
      </x:c>
      <x:c r="P95" s="60" t="n">
        <x:v>163286297.50085032</x:v>
      </x:c>
      <x:c r="Q95" s="62" t="n">
        <x:v>1.3906933197922888</x:v>
      </x:c>
      <x:c r="R95" s="64" t="n">
        <x:v>0.39069331979228883</x:v>
      </x:c>
    </x:row>
    <x:row r="96" ht="18" customHeight="1">
      <x:c r="A96" s="46" t="str">
        <x:v>LME_002</x:v>
      </x:c>
      <x:c r="B96" s="46" t="str">
        <x:v>Gulf of Alaska</x:v>
      </x:c>
      <x:c r="C96" s="46" t="str">
        <x:v>commercial</x:v>
      </x:c>
      <x:c r="D96" s="46" t="str">
        <x:v>Crustaceans</x:v>
      </x:c>
      <x:c r="E96" s="66" t="n">
        <x:v>17</x:v>
      </x:c>
      <x:c r="F96" s="66" t="n">
        <x:v>17</x:v>
      </x:c>
      <x:c r="G96" s="60" t="n">
        <x:v>27630.049904951098</x:v>
      </x:c>
      <x:c r="H96" s="60" t="n">
        <x:v>27630.049904951098</x:v>
      </x:c>
      <x:c r="I96" s="62" t="n">
        <x:v>0</x:v>
      </x:c>
      <x:c r="J96" s="64" t="n">
        <x:v>1</x:v>
      </x:c>
      <x:c r="K96" s="62" t="n">
        <x:v>644.7958257597014</x:v>
      </x:c>
      <x:c r="L96" s="60" t="n">
        <x:v>17815740.844244704</x:v>
      </x:c>
      <x:c r="M96" s="62" t="n">
        <x:v>3.675917663722411</x:v>
      </x:c>
      <x:c r="N96" s="62" t="n">
        <x:v>474.15208400617524</x:v>
      </x:c>
      <x:c r="O96" s="60" t="n">
        <x:v>13100845.743627187</x:v>
      </x:c>
      <x:c r="P96" s="60" t="n">
        <x:v>4714895.100617517</x:v>
      </x:c>
      <x:c r="Q96" s="62" t="n">
        <x:v>1.3598924216714057</x:v>
      </x:c>
      <x:c r="R96" s="64" t="n">
        <x:v>0.3598924216714057</x:v>
      </x:c>
    </x:row>
    <x:row r="97" ht="18" customHeight="1">
      <x:c r="A97" s="46" t="str">
        <x:v>LME_002</x:v>
      </x:c>
      <x:c r="B97" s="46" t="str">
        <x:v>Gulf of Alaska</x:v>
      </x:c>
      <x:c r="C97" s="46" t="str">
        <x:v>commercial</x:v>
      </x:c>
      <x:c r="D97" s="46" t="str">
        <x:v>Flatfishes</x:v>
      </x:c>
      <x:c r="E97" s="66" t="n">
        <x:v>21</x:v>
      </x:c>
      <x:c r="F97" s="66" t="n">
        <x:v>21</x:v>
      </x:c>
      <x:c r="G97" s="60" t="n">
        <x:v>69768.85210018101</x:v>
      </x:c>
      <x:c r="H97" s="60" t="n">
        <x:v>69768.85210018101</x:v>
      </x:c>
      <x:c r="I97" s="62" t="n">
        <x:v>0</x:v>
      </x:c>
      <x:c r="J97" s="64" t="n">
        <x:v>1</x:v>
      </x:c>
      <x:c r="K97" s="62" t="n">
        <x:v>744.1861576993239</x:v>
      </x:c>
      <x:c r="L97" s="60" t="n">
        <x:v>51921013.97152611</x:v>
      </x:c>
      <x:c r="M97" s="62" t="n">
        <x:v>3.7457963772897322</x:v>
      </x:c>
      <x:c r="N97" s="62" t="n">
        <x:v>556.9245688251864</x:v>
      </x:c>
      <x:c r="O97" s="60" t="n">
        <x:v>38855987.87332151</x:v>
      </x:c>
      <x:c r="P97" s="60" t="n">
        <x:v>13065026.098204598</x:v>
      </x:c>
      <x:c r="Q97" s="62" t="n">
        <x:v>1.3362422837066776</x:v>
      </x:c>
      <x:c r="R97" s="64" t="n">
        <x:v>0.33624228370667764</x:v>
      </x:c>
    </x:row>
    <x:row r="98" ht="18" customHeight="1">
      <x:c r="A98" s="46" t="str">
        <x:v>LME_002</x:v>
      </x:c>
      <x:c r="B98" s="46" t="str">
        <x:v>Gulf of Alaska</x:v>
      </x:c>
      <x:c r="C98" s="46" t="str">
        <x:v>commercial</x:v>
      </x:c>
      <x:c r="D98" s="46" t="str">
        <x:v>Herring-likes</x:v>
      </x:c>
      <x:c r="E98" s="66" t="n">
        <x:v>3</x:v>
      </x:c>
      <x:c r="F98" s="66" t="n">
        <x:v>3</x:v>
      </x:c>
      <x:c r="G98" s="60" t="n">
        <x:v>27995.9477756774</x:v>
      </x:c>
      <x:c r="H98" s="60" t="n">
        <x:v>27995.9477756774</x:v>
      </x:c>
      <x:c r="I98" s="62" t="n">
        <x:v>0</x:v>
      </x:c>
      <x:c r="J98" s="64" t="n">
        <x:v>1</x:v>
      </x:c>
      <x:c r="K98" s="62" t="n">
        <x:v>144.8848136611816</x:v>
      </x:c>
      <x:c r="L98" s="60" t="n">
        <x:v>4056187.676747191</x:v>
      </x:c>
      <x:c r="M98" s="62" t="n">
        <x:v>3.160677930288026</x:v>
      </x:c>
      <x:c r="N98" s="62" t="n">
        <x:v>144.7697852883678</x:v>
      </x:c>
      <x:c r="O98" s="60" t="n">
        <x:v>4052967.3484291756</x:v>
      </x:c>
      <x:c r="P98" s="60" t="n">
        <x:v>3220.3283180156723</x:v>
      </x:c>
      <x:c r="Q98" s="62" t="n">
        <x:v>1.0007945606369772</x:v>
      </x:c>
      <x:c r="R98" s="64" t="n">
        <x:v>0.0007945606369771983</x:v>
      </x:c>
    </x:row>
    <x:row r="99" ht="18" customHeight="1">
      <x:c r="A99" s="46" t="str">
        <x:v>LME_002</x:v>
      </x:c>
      <x:c r="B99" s="46" t="str">
        <x:v>Gulf of Alaska</x:v>
      </x:c>
      <x:c r="C99" s="46" t="str">
        <x:v>commercial</x:v>
      </x:c>
      <x:c r="D99" s="46" t="str">
        <x:v>Molluscs</x:v>
      </x:c>
      <x:c r="E99" s="66" t="n">
        <x:v>14</x:v>
      </x:c>
      <x:c r="F99" s="66" t="n">
        <x:v>14</x:v>
      </x:c>
      <x:c r="G99" s="60" t="n">
        <x:v>2547.1570238147997</x:v>
      </x:c>
      <x:c r="H99" s="60" t="n">
        <x:v>2547.1570238147997</x:v>
      </x:c>
      <x:c r="I99" s="62" t="n">
        <x:v>0</x:v>
      </x:c>
      <x:c r="J99" s="64" t="n">
        <x:v>1</x:v>
      </x:c>
      <x:c r="K99" s="62" t="n">
        <x:v>14.781416708396502</x:v>
      </x:c>
      <x:c r="L99" s="60" t="n">
        <x:v>37650.58939072559</x:v>
      </x:c>
      <x:c r="M99" s="62" t="n">
        <x:v>2.156281445323247</x:v>
      </x:c>
      <x:c r="N99" s="62" t="n">
        <x:v>14.331163320316847</x:v>
      </x:c>
      <x:c r="O99" s="60" t="n">
        <x:v>36503.72331078208</x:v>
      </x:c>
      <x:c r="P99" s="60" t="n">
        <x:v>1146.8660799435092</x:v>
      </x:c>
      <x:c r="Q99" s="62" t="n">
        <x:v>1.0314177836101657</x:v>
      </x:c>
      <x:c r="R99" s="64" t="n">
        <x:v>0.0314177836101656</x:v>
      </x:c>
    </x:row>
    <x:row r="100" ht="18" customHeight="1">
      <x:c r="A100" s="46" t="str">
        <x:v>LME_002</x:v>
      </x:c>
      <x:c r="B100" s="46" t="str">
        <x:v>Gulf of Alaska</x:v>
      </x:c>
      <x:c r="C100" s="46" t="str">
        <x:v>commercial</x:v>
      </x:c>
      <x:c r="D100" s="46" t="str">
        <x:v>Other fishes &amp; inverts</x:v>
      </x:c>
      <x:c r="E100" s="66" t="n">
        <x:v>19</x:v>
      </x:c>
      <x:c r="F100" s="66" t="n">
        <x:v>19</x:v>
      </x:c>
      <x:c r="G100" s="60" t="n">
        <x:v>35364.4433107304</x:v>
      </x:c>
      <x:c r="H100" s="60" t="n">
        <x:v>35364.4433107304</x:v>
      </x:c>
      <x:c r="I100" s="62" t="n">
        <x:v>0</x:v>
      </x:c>
      <x:c r="J100" s="64" t="n">
        <x:v>1</x:v>
      </x:c>
      <x:c r="K100" s="62" t="n">
        <x:v>177.0365482354278</x:v>
      </x:c>
      <x:c r="L100" s="60" t="n">
        <x:v>6260798.973999174</x:v>
      </x:c>
      <x:c r="M100" s="62" t="n">
        <x:v>3.1812978702740278</x:v>
      </x:c>
      <x:c r="N100" s="62" t="n">
        <x:v>151.80912262089294</x:v>
      </x:c>
      <x:c r="O100" s="60" t="n">
        <x:v>5368645.110978289</x:v>
      </x:c>
      <x:c r="P100" s="60" t="n">
        <x:v>892153.8630208857</x:v>
      </x:c>
      <x:c r="Q100" s="62" t="n">
        <x:v>1.166178587814741</x:v>
      </x:c>
      <x:c r="R100" s="64" t="n">
        <x:v>0.16617858781474104</x:v>
      </x:c>
    </x:row>
    <x:row r="101" ht="18" customHeight="1">
      <x:c r="A101" s="46" t="str">
        <x:v>LME_002</x:v>
      </x:c>
      <x:c r="B101" s="46" t="str">
        <x:v>Gulf of Alaska</x:v>
      </x:c>
      <x:c r="C101" s="46" t="str">
        <x:v>commercial</x:v>
      </x:c>
      <x:c r="D101" s="46" t="str">
        <x:v>Perch-likes</x:v>
      </x:c>
      <x:c r="E101" s="66" t="n">
        <x:v>17</x:v>
      </x:c>
      <x:c r="F101" s="66" t="n">
        <x:v>17</x:v>
      </x:c>
      <x:c r="G101" s="60" t="n">
        <x:v>169.1047980331</x:v>
      </x:c>
      <x:c r="H101" s="60" t="n">
        <x:v>169.1047980331</x:v>
      </x:c>
      <x:c r="I101" s="62" t="n">
        <x:v>0</x:v>
      </x:c>
      <x:c r="J101" s="64" t="n">
        <x:v>1</x:v>
      </x:c>
      <x:c r="K101" s="62" t="n">
        <x:v>343.6735611003672</x:v>
      </x:c>
      <x:c r="L101" s="60" t="n">
        <x:v>58116.84813919385</x:v>
      </x:c>
      <x:c r="M101" s="62" t="n">
        <x:v>3.5280693356944957</x:v>
      </x:c>
      <x:c r="N101" s="62" t="n">
        <x:v>337.3411613272112</x:v>
      </x:c>
      <x:c r="O101" s="60" t="n">
        <x:v>57046.00895448945</x:v>
      </x:c>
      <x:c r="P101" s="60" t="n">
        <x:v>1070.8391847043968</x:v>
      </x:c>
      <x:c r="Q101" s="62" t="n">
        <x:v>1.0187715004840865</x:v>
      </x:c>
      <x:c r="R101" s="64" t="n">
        <x:v>0.018771500484086417</x:v>
      </x:c>
    </x:row>
    <x:row r="102" ht="18" customHeight="1">
      <x:c r="A102" s="46" t="str">
        <x:v>LME_002</x:v>
      </x:c>
      <x:c r="B102" s="46" t="str">
        <x:v>Gulf of Alaska</x:v>
      </x:c>
      <x:c r="C102" s="46" t="str">
        <x:v>commercial</x:v>
      </x:c>
      <x:c r="D102" s="46" t="str">
        <x:v>Salmon, smelts, etc</x:v>
      </x:c>
      <x:c r="E102" s="66" t="n">
        <x:v>17</x:v>
      </x:c>
      <x:c r="F102" s="66" t="n">
        <x:v>17</x:v>
      </x:c>
      <x:c r="G102" s="60" t="n">
        <x:v>157619.026070673</x:v>
      </x:c>
      <x:c r="H102" s="60" t="n">
        <x:v>157619.026070673</x:v>
      </x:c>
      <x:c r="I102" s="62" t="n">
        <x:v>0</x:v>
      </x:c>
      <x:c r="J102" s="64" t="n">
        <x:v>1</x:v>
      </x:c>
      <x:c r="K102" s="62" t="n">
        <x:v>1707.7482543290891</x:v>
      </x:c>
      <x:c r="L102" s="60" t="n">
        <x:v>269173616.621243</x:v>
      </x:c>
      <x:c r="M102" s="62" t="n">
        <x:v>4.047743998239861</x:v>
      </x:c>
      <x:c r="N102" s="62" t="n">
        <x:v>1116.2050890518558</x:v>
      </x:c>
      <x:c r="O102" s="60" t="n">
        <x:v>175935159.03148234</x:v>
      </x:c>
      <x:c r="P102" s="60" t="n">
        <x:v>93238457.58976066</x:v>
      </x:c>
      <x:c r="Q102" s="62" t="n">
        <x:v>1.529959208284663</x:v>
      </x:c>
      <x:c r="R102" s="64" t="n">
        <x:v>0.529959208284663</x:v>
      </x:c>
    </x:row>
    <x:row r="103" ht="18" customHeight="1">
      <x:c r="A103" s="46" t="str">
        <x:v>LME_002</x:v>
      </x:c>
      <x:c r="B103" s="46" t="str">
        <x:v>Gulf of Alaska</x:v>
      </x:c>
      <x:c r="C103" s="46" t="str">
        <x:v>commercial</x:v>
      </x:c>
      <x:c r="D103" s="46" t="str">
        <x:v>Scorpionfishes</x:v>
      </x:c>
      <x:c r="E103" s="66" t="n">
        <x:v>34</x:v>
      </x:c>
      <x:c r="F103" s="66" t="n">
        <x:v>34</x:v>
      </x:c>
      <x:c r="G103" s="60" t="n">
        <x:v>64246.36009520989</x:v>
      </x:c>
      <x:c r="H103" s="60" t="n">
        <x:v>64246.36009520989</x:v>
      </x:c>
      <x:c r="I103" s="62" t="n">
        <x:v>0</x:v>
      </x:c>
      <x:c r="J103" s="64" t="n">
        <x:v>1</x:v>
      </x:c>
      <x:c r="K103" s="62" t="n">
        <x:v>439.69943846407705</x:v>
      </x:c>
      <x:c r="L103" s="60" t="n">
        <x:v>28249088.45722468</x:v>
      </x:c>
      <x:c r="M103" s="62" t="n">
        <x:v>3.594656462160672</x:v>
      </x:c>
      <x:c r="N103" s="62" t="n">
        <x:v>393.238890558708</x:v>
      </x:c>
      <x:c r="O103" s="60" t="n">
        <x:v>25264167.36627559</x:v>
      </x:c>
      <x:c r="P103" s="60" t="n">
        <x:v>2984921.0909490883</x:v>
      </x:c>
      <x:c r="Q103" s="62" t="n">
        <x:v>1.1181484055133981</x:v>
      </x:c>
      <x:c r="R103" s="64" t="n">
        <x:v>0.11814840551339814</x:v>
      </x:c>
    </x:row>
    <x:row r="104" ht="18" customHeight="1">
      <x:c r="A104" s="46" t="str">
        <x:v>LME_002</x:v>
      </x:c>
      <x:c r="B104" s="46" t="str">
        <x:v>Gulf of Alaska</x:v>
      </x:c>
      <x:c r="C104" s="46" t="str">
        <x:v>commercial</x:v>
      </x:c>
      <x:c r="D104" s="46" t="str">
        <x:v>Sharks &amp; rays</x:v>
      </x:c>
      <x:c r="E104" s="66" t="n">
        <x:v>17</x:v>
      </x:c>
      <x:c r="F104" s="66" t="n">
        <x:v>17</x:v>
      </x:c>
      <x:c r="G104" s="60" t="n">
        <x:v>9848.127002097699</x:v>
      </x:c>
      <x:c r="H104" s="60" t="n">
        <x:v>9848.127002097699</x:v>
      </x:c>
      <x:c r="I104" s="62" t="n">
        <x:v>0</x:v>
      </x:c>
      <x:c r="J104" s="64" t="n">
        <x:v>1</x:v>
      </x:c>
      <x:c r="K104" s="62" t="n">
        <x:v>671.6024137472891</x:v>
      </x:c>
      <x:c r="L104" s="60" t="n">
        <x:v>6614025.8654986685</x:v>
      </x:c>
      <x:c r="M104" s="62" t="n">
        <x:v>3.8220375487881553</x:v>
      </x:c>
      <x:c r="N104" s="62" t="n">
        <x:v>663.800459630672</x:v>
      </x:c>
      <x:c r="O104" s="60" t="n">
        <x:v>6537191.230493684</x:v>
      </x:c>
      <x:c r="P104" s="60" t="n">
        <x:v>76834.63500498421</x:v>
      </x:c>
      <x:c r="Q104" s="62" t="n">
        <x:v>1.0117534629622853</x:v>
      </x:c>
      <x:c r="R104" s="64" t="n">
        <x:v>0.011753462962285365</x:v>
      </x:c>
    </x:row>
    <x:row r="105" ht="18" customHeight="1">
      <x:c r="A105" s="46" t="str">
        <x:v>LME_002</x:v>
      </x:c>
      <x:c r="B105" s="46" t="str">
        <x:v>Gulf of Alaska</x:v>
      </x:c>
      <x:c r="C105" s="46" t="str">
        <x:v>commercial</x:v>
      </x:c>
      <x:c r="D105" s="46" t="str">
        <x:v>Tuna &amp; billfishes</x:v>
      </x:c>
      <x:c r="E105" s="66" t="n">
        <x:v>4</x:v>
      </x:c>
      <x:c r="F105" s="66" t="n">
        <x:v>4</x:v>
      </x:c>
      <x:c r="G105" s="60" t="n">
        <x:v>873.6584609124</x:v>
      </x:c>
      <x:c r="H105" s="60" t="n">
        <x:v>873.6584609124</x:v>
      </x:c>
      <x:c r="I105" s="62" t="n">
        <x:v>0</x:v>
      </x:c>
      <x:c r="J105" s="64" t="n">
        <x:v>1</x:v>
      </x:c>
      <x:c r="K105" s="62" t="n">
        <x:v>2067.6103019924144</x:v>
      </x:c>
      <x:c r="L105" s="60" t="n">
        <x:v>1806385.2342053151</x:v>
      </x:c>
      <x:c r="M105" s="62" t="n">
        <x:v>4.3138332681755935</x:v>
      </x:c>
      <x:c r="N105" s="62" t="n">
        <x:v>2059.838959996543</x:v>
      </x:c>
      <x:c r="O105" s="60" t="n">
        <x:v>1799595.7355179784</x:v>
      </x:c>
      <x:c r="P105" s="60" t="n">
        <x:v>6789.498687336687</x:v>
      </x:c>
      <x:c r="Q105" s="62" t="n">
        <x:v>1.0037727910515317</x:v>
      </x:c>
      <x:c r="R105" s="64" t="n">
        <x:v>0.003772791051531617</x:v>
      </x:c>
    </x:row>
    <x:row r="106" ht="18" customHeight="1">
      <x:c r="A106" s="46" t="str">
        <x:v>LME_003</x:v>
      </x:c>
      <x:c r="B106" s="46" t="str">
        <x:v>California Current</x:v>
      </x:c>
      <x:c r="C106" s="46" t="str">
        <x:v>commercial</x:v>
      </x:c>
      <x:c r="D106" s="46" t="str">
        <x:v>Anchovies</x:v>
      </x:c>
      <x:c r="E106" s="66" t="n">
        <x:v>2</x:v>
      </x:c>
      <x:c r="F106" s="66" t="n">
        <x:v>2</x:v>
      </x:c>
      <x:c r="G106" s="60" t="n">
        <x:v>86015.9003228017</x:v>
      </x:c>
      <x:c r="H106" s="60" t="n">
        <x:v>86015.9003228017</x:v>
      </x:c>
      <x:c r="I106" s="62" t="n">
        <x:v>0</x:v>
      </x:c>
      <x:c r="J106" s="64" t="n">
        <x:v>1</x:v>
      </x:c>
      <x:c r="K106" s="62" t="n">
        <x:v>61.106060487230074</x:v>
      </x:c>
      <x:c r="L106" s="60" t="n">
        <x:v>5256092.807988673</x:v>
      </x:c>
      <x:c r="M106" s="62" t="n">
        <x:v>2.717549879878815</x:v>
      </x:c>
      <x:c r="N106" s="62" t="n">
        <x:v>52.18550372391834</x:v>
      </x:c>
      <x:c r="O106" s="60" t="n">
        <x:v>4488783.086611756</x:v>
      </x:c>
      <x:c r="P106" s="60" t="n">
        <x:v>767309.7213769173</x:v>
      </x:c>
      <x:c r="Q106" s="62" t="n">
        <x:v>1.1709393629791325</x:v>
      </x:c>
      <x:c r="R106" s="64" t="n">
        <x:v>0.1709393629791324</x:v>
      </x:c>
    </x:row>
    <x:row r="107" ht="18" customHeight="1">
      <x:c r="A107" s="46" t="str">
        <x:v>LME_003</x:v>
      </x:c>
      <x:c r="B107" s="46" t="str">
        <x:v>California Current</x:v>
      </x:c>
      <x:c r="C107" s="46" t="str">
        <x:v>commercial</x:v>
      </x:c>
      <x:c r="D107" s="46" t="str">
        <x:v>Cod-likes</x:v>
      </x:c>
      <x:c r="E107" s="66" t="n">
        <x:v>7</x:v>
      </x:c>
      <x:c r="F107" s="66" t="n">
        <x:v>7</x:v>
      </x:c>
      <x:c r="G107" s="60" t="n">
        <x:v>296748.68664511514</x:v>
      </x:c>
      <x:c r="H107" s="60" t="n">
        <x:v>296748.68664511514</x:v>
      </x:c>
      <x:c r="I107" s="62" t="n">
        <x:v>0</x:v>
      </x:c>
      <x:c r="J107" s="64" t="n">
        <x:v>1</x:v>
      </x:c>
      <x:c r="K107" s="62" t="n">
        <x:v>2237.776630129469</x:v>
      </x:c>
      <x:c r="L107" s="60" t="n">
        <x:v>664057275.9960515</x:v>
      </x:c>
      <x:c r="M107" s="62" t="n">
        <x:v>4.349714038871416</x:v>
      </x:c>
      <x:c r="N107" s="62" t="n">
        <x:v>2237.2475382102775</x:v>
      </x:c>
      <x:c r="O107" s="60" t="n">
        <x:v>663900268.663917</x:v>
      </x:c>
      <x:c r="P107" s="60" t="n">
        <x:v>157007.33213460445</x:v>
      </x:c>
      <x:c r="Q107" s="62" t="n">
        <x:v>1.0002364923461329</x:v>
      </x:c>
      <x:c r="R107" s="64" t="n">
        <x:v>0.00023649234613291824</x:v>
      </x:c>
    </x:row>
    <x:row r="108" ht="18" customHeight="1">
      <x:c r="A108" s="46" t="str">
        <x:v>LME_003</x:v>
      </x:c>
      <x:c r="B108" s="46" t="str">
        <x:v>California Current</x:v>
      </x:c>
      <x:c r="C108" s="46" t="str">
        <x:v>commercial</x:v>
      </x:c>
      <x:c r="D108" s="46" t="str">
        <x:v>Crustaceans</x:v>
      </x:c>
      <x:c r="E108" s="66" t="n">
        <x:v>27</x:v>
      </x:c>
      <x:c r="F108" s="66" t="n">
        <x:v>27</x:v>
      </x:c>
      <x:c r="G108" s="60" t="n">
        <x:v>69141.99559019222</x:v>
      </x:c>
      <x:c r="H108" s="60" t="n">
        <x:v>69141.99559019222</x:v>
      </x:c>
      <x:c r="I108" s="62" t="n">
        <x:v>0</x:v>
      </x:c>
      <x:c r="J108" s="64" t="n">
        <x:v>1</x:v>
      </x:c>
      <x:c r="K108" s="62" t="n">
        <x:v>489.3364989872825</x:v>
      </x:c>
      <x:c r="L108" s="60" t="n">
        <x:v>33833702.05509879</x:v>
      </x:c>
      <x:c r="M108" s="62" t="n">
        <x:v>3.4448973993077403</x:v>
      </x:c>
      <x:c r="N108" s="62" t="n">
        <x:v>278.54630340950894</x:v>
      </x:c>
      <x:c r="O108" s="60" t="n">
        <x:v>19259247.282004613</x:v>
      </x:c>
      <x:c r="P108" s="60" t="n">
        <x:v>14574454.773094174</x:v>
      </x:c>
      <x:c r="Q108" s="62" t="n">
        <x:v>1.7567510069156338</x:v>
      </x:c>
      <x:c r="R108" s="64" t="n">
        <x:v>0.7567510069156338</x:v>
      </x:c>
    </x:row>
    <x:row r="109" ht="18" customHeight="1">
      <x:c r="A109" s="46" t="str">
        <x:v>LME_003</x:v>
      </x:c>
      <x:c r="B109" s="46" t="str">
        <x:v>California Current</x:v>
      </x:c>
      <x:c r="C109" s="46" t="str">
        <x:v>commercial</x:v>
      </x:c>
      <x:c r="D109" s="46" t="str">
        <x:v>Flatfishes</x:v>
      </x:c>
      <x:c r="E109" s="66" t="n">
        <x:v>22</x:v>
      </x:c>
      <x:c r="F109" s="66" t="n">
        <x:v>22</x:v>
      </x:c>
      <x:c r="G109" s="60" t="n">
        <x:v>16199.6579316234</x:v>
      </x:c>
      <x:c r="H109" s="60" t="n">
        <x:v>16199.6579316234</x:v>
      </x:c>
      <x:c r="I109" s="62" t="n">
        <x:v>0</x:v>
      </x:c>
      <x:c r="J109" s="64" t="n">
        <x:v>1</x:v>
      </x:c>
      <x:c r="K109" s="62" t="n">
        <x:v>709.9540738327264</x:v>
      </x:c>
      <x:c r="L109" s="60" t="n">
        <x:v>11501013.14325267</x:v>
      </x:c>
      <x:c r="M109" s="62" t="n">
        <x:v>3.670684679623381</x:v>
      </x:c>
      <x:c r="N109" s="62" t="n">
        <x:v>468.4731227900719</x:v>
      </x:c>
      <x:c r="O109" s="60" t="n">
        <x:v>7589104.339358571</x:v>
      </x:c>
      <x:c r="P109" s="60" t="n">
        <x:v>3911908.8038941</x:v>
      </x:c>
      <x:c r="Q109" s="62" t="n">
        <x:v>1.5154638319579006</x:v>
      </x:c>
      <x:c r="R109" s="64" t="n">
        <x:v>0.5154638319579005</x:v>
      </x:c>
    </x:row>
    <x:row r="110" ht="18" customHeight="1">
      <x:c r="A110" s="46" t="str">
        <x:v>LME_003</x:v>
      </x:c>
      <x:c r="B110" s="46" t="str">
        <x:v>California Current</x:v>
      </x:c>
      <x:c r="C110" s="46" t="str">
        <x:v>commercial</x:v>
      </x:c>
      <x:c r="D110" s="46" t="str">
        <x:v>Herring-likes</x:v>
      </x:c>
      <x:c r="E110" s="66" t="n">
        <x:v>5</x:v>
      </x:c>
      <x:c r="F110" s="66" t="n">
        <x:v>5</x:v>
      </x:c>
      <x:c r="G110" s="60" t="n">
        <x:v>85281.13505095741</x:v>
      </x:c>
      <x:c r="H110" s="60" t="n">
        <x:v>85281.13505095741</x:v>
      </x:c>
      <x:c r="I110" s="62" t="n">
        <x:v>0</x:v>
      </x:c>
      <x:c r="J110" s="64" t="n">
        <x:v>1</x:v>
      </x:c>
      <x:c r="K110" s="62" t="n">
        <x:v>75.41532052331819</x:v>
      </x:c>
      <x:c r="L110" s="60" t="n">
        <x:v>6431504.134460338</x:v>
      </x:c>
      <x:c r="M110" s="62" t="n">
        <x:v>2.872831891315812</x:v>
      </x:c>
      <x:c r="N110" s="62" t="n">
        <x:v>74.61598755428138</x:v>
      </x:c>
      <x:c r="O110" s="60" t="n">
        <x:v>6363336.111577228</x:v>
      </x:c>
      <x:c r="P110" s="60" t="n">
        <x:v>68168.02288311068</x:v>
      </x:c>
      <x:c r="Q110" s="62" t="n">
        <x:v>1.0107126233296224</x:v>
      </x:c>
      <x:c r="R110" s="64" t="n">
        <x:v>0.010712623329622365</x:v>
      </x:c>
    </x:row>
    <x:row r="111" ht="18" customHeight="1">
      <x:c r="A111" s="46" t="str">
        <x:v>LME_003</x:v>
      </x:c>
      <x:c r="B111" s="46" t="str">
        <x:v>California Current</x:v>
      </x:c>
      <x:c r="C111" s="46" t="str">
        <x:v>commercial</x:v>
      </x:c>
      <x:c r="D111" s="46" t="str">
        <x:v>Molluscs</x:v>
      </x:c>
      <x:c r="E111" s="66" t="n">
        <x:v>21</x:v>
      </x:c>
      <x:c r="F111" s="66" t="n">
        <x:v>21</x:v>
      </x:c>
      <x:c r="G111" s="60" t="n">
        <x:v>23704.251192193897</x:v>
      </x:c>
      <x:c r="H111" s="60" t="n">
        <x:v>23704.251192193897</x:v>
      </x:c>
      <x:c r="I111" s="62" t="n">
        <x:v>0</x:v>
      </x:c>
      <x:c r="J111" s="64" t="n">
        <x:v>1</x:v>
      </x:c>
      <x:c r="K111" s="62" t="n">
        <x:v>27.07227857176937</x:v>
      </x:c>
      <x:c r="L111" s="60" t="n">
        <x:v>641728.0916102694</x:v>
      </x:c>
      <x:c r="M111" s="62" t="n">
        <x:v>2.260159677334492</x:v>
      </x:c>
      <x:c r="N111" s="62" t="n">
        <x:v>18.203700322178474</x:v>
      </x:c>
      <x:c r="O111" s="60" t="n">
        <x:v>431505.0850643395</x:v>
      </x:c>
      <x:c r="P111" s="60" t="n">
        <x:v>210223.00654592988</x:v>
      </x:c>
      <x:c r="Q111" s="62" t="n">
        <x:v>1.487185467384665</x:v>
      </x:c>
      <x:c r="R111" s="64" t="n">
        <x:v>0.487185467384665</x:v>
      </x:c>
    </x:row>
    <x:row r="112" ht="18" customHeight="1">
      <x:c r="A112" s="46" t="str">
        <x:v>LME_003</x:v>
      </x:c>
      <x:c r="B112" s="46" t="str">
        <x:v>California Current</x:v>
      </x:c>
      <x:c r="C112" s="46" t="str">
        <x:v>commercial</x:v>
      </x:c>
      <x:c r="D112" s="46" t="str">
        <x:v>Other fishes &amp; inverts</x:v>
      </x:c>
      <x:c r="E112" s="66" t="n">
        <x:v>28</x:v>
      </x:c>
      <x:c r="F112" s="66" t="n">
        <x:v>28</x:v>
      </x:c>
      <x:c r="G112" s="60" t="n">
        <x:v>274697.1628342929</x:v>
      </x:c>
      <x:c r="H112" s="60" t="n">
        <x:v>274697.1628342929</x:v>
      </x:c>
      <x:c r="I112" s="62" t="n">
        <x:v>0</x:v>
      </x:c>
      <x:c r="J112" s="64" t="n">
        <x:v>1</x:v>
      </x:c>
      <x:c r="K112" s="62" t="n">
        <x:v>369.8125666411483</x:v>
      </x:c>
      <x:c r="L112" s="60" t="n">
        <x:v>101586462.83679132</x:v>
      </x:c>
      <x:c r="M112" s="62" t="n">
        <x:v>3.4736230585997245</x:v>
      </x:c>
      <x:c r="N112" s="62" t="n">
        <x:v>297.5932378486627</x:v>
      </x:c>
      <x:c r="O112" s="60" t="n">
        <x:v>81748018.11569856</x:v>
      </x:c>
      <x:c r="P112" s="60" t="n">
        <x:v>19838444.72109276</x:v>
      </x:c>
      <x:c r="Q112" s="62" t="n">
        <x:v>1.2426779899790998</x:v>
      </x:c>
      <x:c r="R112" s="64" t="n">
        <x:v>0.24267798997909976</x:v>
      </x:c>
    </x:row>
    <x:row r="113" ht="18" customHeight="1">
      <x:c r="A113" s="46" t="str">
        <x:v>LME_003</x:v>
      </x:c>
      <x:c r="B113" s="46" t="str">
        <x:v>California Current</x:v>
      </x:c>
      <x:c r="C113" s="46" t="str">
        <x:v>commercial</x:v>
      </x:c>
      <x:c r="D113" s="46" t="str">
        <x:v>Perch-likes</x:v>
      </x:c>
      <x:c r="E113" s="66" t="n">
        <x:v>59</x:v>
      </x:c>
      <x:c r="F113" s="66" t="n">
        <x:v>59</x:v>
      </x:c>
      <x:c r="G113" s="60" t="n">
        <x:v>105901.82907491212</x:v>
      </x:c>
      <x:c r="H113" s="60" t="n">
        <x:v>105901.82907491212</x:v>
      </x:c>
      <x:c r="I113" s="62" t="n">
        <x:v>0</x:v>
      </x:c>
      <x:c r="J113" s="64" t="n">
        <x:v>1</x:v>
      </x:c>
      <x:c r="K113" s="62" t="n">
        <x:v>783.8421652039018</x:v>
      </x:c>
      <x:c r="L113" s="60" t="n">
        <x:v>83010319.00113264</x:v>
      </x:c>
      <x:c r="M113" s="62" t="n">
        <x:v>3.6830621714664256</x:v>
      </x:c>
      <x:c r="N113" s="62" t="n">
        <x:v>482.0167958449451</x:v>
      </x:c>
      <x:c r="O113" s="60" t="n">
        <x:v>51046460.32480819</x:v>
      </x:c>
      <x:c r="P113" s="60" t="n">
        <x:v>31963858.67632445</x:v>
      </x:c>
      <x:c r="Q113" s="62" t="n">
        <x:v>1.6261718926824444</x:v>
      </x:c>
      <x:c r="R113" s="64" t="n">
        <x:v>0.6261718926824444</x:v>
      </x:c>
    </x:row>
    <x:row r="114" ht="18" customHeight="1">
      <x:c r="A114" s="46" t="str">
        <x:v>LME_003</x:v>
      </x:c>
      <x:c r="B114" s="46" t="str">
        <x:v>California Current</x:v>
      </x:c>
      <x:c r="C114" s="46" t="str">
        <x:v>commercial</x:v>
      </x:c>
      <x:c r="D114" s="46" t="str">
        <x:v>Salmon, smelts, etc</x:v>
      </x:c>
      <x:c r="E114" s="66" t="n">
        <x:v>11</x:v>
      </x:c>
      <x:c r="F114" s="66" t="n">
        <x:v>11</x:v>
      </x:c>
      <x:c r="G114" s="60" t="n">
        <x:v>10035.4966525763</x:v>
      </x:c>
      <x:c r="H114" s="60" t="n">
        <x:v>10035.4966525763</x:v>
      </x:c>
      <x:c r="I114" s="62" t="n">
        <x:v>0</x:v>
      </x:c>
      <x:c r="J114" s="64" t="n">
        <x:v>1</x:v>
      </x:c>
      <x:c r="K114" s="62" t="n">
        <x:v>2034.5056957970655</x:v>
      </x:c>
      <x:c r="L114" s="60" t="n">
        <x:v>20417275.099818867</x:v>
      </x:c>
      <x:c r="M114" s="62" t="n">
        <x:v>4.267617291847776</x:v>
      </x:c>
      <x:c r="N114" s="62" t="n">
        <x:v>1851.8989772890675</x:v>
      </x:c>
      <x:c r="O114" s="60" t="n">
        <x:v>18584725.98749391</x:v>
      </x:c>
      <x:c r="P114" s="60" t="n">
        <x:v>1832549.1123249568</x:v>
      </x:c>
      <x:c r="Q114" s="62" t="n">
        <x:v>1.09860511871728</x:v>
      </x:c>
      <x:c r="R114" s="64" t="n">
        <x:v>0.09860511871728006</x:v>
      </x:c>
    </x:row>
    <x:row r="115" ht="18" customHeight="1">
      <x:c r="A115" s="46" t="str">
        <x:v>LME_003</x:v>
      </x:c>
      <x:c r="B115" s="46" t="str">
        <x:v>California Current</x:v>
      </x:c>
      <x:c r="C115" s="46" t="str">
        <x:v>commercial</x:v>
      </x:c>
      <x:c r="D115" s="46" t="str">
        <x:v>Scorpionfishes</x:v>
      </x:c>
      <x:c r="E115" s="66" t="n">
        <x:v>50</x:v>
      </x:c>
      <x:c r="F115" s="66" t="n">
        <x:v>50</x:v>
      </x:c>
      <x:c r="G115" s="60" t="n">
        <x:v>26654.983233390798</x:v>
      </x:c>
      <x:c r="H115" s="60" t="n">
        <x:v>26654.983233390798</x:v>
      </x:c>
      <x:c r="I115" s="62" t="n">
        <x:v>0</x:v>
      </x:c>
      <x:c r="J115" s="64" t="n">
        <x:v>1</x:v>
      </x:c>
      <x:c r="K115" s="62" t="n">
        <x:v>651.5574742898164</x:v>
      </x:c>
      <x:c r="L115" s="60" t="n">
        <x:v>17367253.552785512</x:v>
      </x:c>
      <x:c r="M115" s="62" t="n">
        <x:v>3.7506601786566134</x:v>
      </x:c>
      <x:c r="N115" s="62" t="n">
        <x:v>563.1968001450498</x:v>
      </x:c>
      <x:c r="O115" s="60" t="n">
        <x:v>15012001.26496565</x:v>
      </x:c>
      <x:c r="P115" s="60" t="n">
        <x:v>2355252.2878198624</x:v>
      </x:c>
      <x:c r="Q115" s="62" t="n">
        <x:v>1.156891292922846</x:v>
      </x:c>
      <x:c r="R115" s="64" t="n">
        <x:v>0.15689129292284612</x:v>
      </x:c>
    </x:row>
    <x:row r="116" ht="18" customHeight="1">
      <x:c r="A116" s="46" t="str">
        <x:v>LME_003</x:v>
      </x:c>
      <x:c r="B116" s="46" t="str">
        <x:v>California Current</x:v>
      </x:c>
      <x:c r="C116" s="46" t="str">
        <x:v>commercial</x:v>
      </x:c>
      <x:c r="D116" s="46" t="str">
        <x:v>Sharks &amp; rays</x:v>
      </x:c>
      <x:c r="E116" s="66" t="n">
        <x:v>31</x:v>
      </x:c>
      <x:c r="F116" s="66" t="n">
        <x:v>31</x:v>
      </x:c>
      <x:c r="G116" s="60" t="n">
        <x:v>16089.065474423</x:v>
      </x:c>
      <x:c r="H116" s="60" t="n">
        <x:v>16089.065474423</x:v>
      </x:c>
      <x:c r="I116" s="62" t="n">
        <x:v>0</x:v>
      </x:c>
      <x:c r="J116" s="64" t="n">
        <x:v>1</x:v>
      </x:c>
      <x:c r="K116" s="62" t="n">
        <x:v>1305.6891805720234</x:v>
      </x:c>
      <x:c r="L116" s="60" t="n">
        <x:v>21007318.715469</x:v>
      </x:c>
      <x:c r="M116" s="62" t="n">
        <x:v>4.0676772054501535</x:v>
      </x:c>
      <x:c r="N116" s="62" t="n">
        <x:v>1168.6304696168245</x:v>
      </x:c>
      <x:c r="O116" s="60" t="n">
        <x:v>18802172.141070787</x:v>
      </x:c>
      <x:c r="P116" s="60" t="n">
        <x:v>2205146.574398212</x:v>
      </x:c>
      <x:c r="Q116" s="62" t="n">
        <x:v>1.117281479919087</x:v>
      </x:c>
      <x:c r="R116" s="64" t="n">
        <x:v>0.11728147991908709</x:v>
      </x:c>
    </x:row>
    <x:row r="117" ht="18" customHeight="1">
      <x:c r="A117" s="46" t="str">
        <x:v>LME_003</x:v>
      </x:c>
      <x:c r="B117" s="46" t="str">
        <x:v>California Current</x:v>
      </x:c>
      <x:c r="C117" s="46" t="str">
        <x:v>commercial</x:v>
      </x:c>
      <x:c r="D117" s="46" t="str">
        <x:v>Tuna &amp; billfishes</x:v>
      </x:c>
      <x:c r="E117" s="66" t="n">
        <x:v>14</x:v>
      </x:c>
      <x:c r="F117" s="66" t="n">
        <x:v>14</x:v>
      </x:c>
      <x:c r="G117" s="60" t="n">
        <x:v>27067.455055073995</x:v>
      </x:c>
      <x:c r="H117" s="60" t="n">
        <x:v>27067.455055073995</x:v>
      </x:c>
      <x:c r="I117" s="62" t="n">
        <x:v>0</x:v>
      </x:c>
      <x:c r="J117" s="64" t="n">
        <x:v>1</x:v>
      </x:c>
      <x:c r="K117" s="62" t="n">
        <x:v>2357.584346223711</x:v>
      </x:c>
      <x:c r="L117" s="60" t="n">
        <x:v>63813808.3299563</x:v>
      </x:c>
      <x:c r="M117" s="62" t="n">
        <x:v>4.3535925266604085</x:v>
      </x:c>
      <x:c r="N117" s="62" t="n">
        <x:v>2257.316866777825</x:v>
      </x:c>
      <x:c r="O117" s="60" t="n">
        <x:v>61099822.836569235</x:v>
      </x:c>
      <x:c r="P117" s="60" t="n">
        <x:v>2713985.493387066</x:v>
      </x:c>
      <x:c r="Q117" s="62" t="n">
        <x:v>1.044418876641369</x:v>
      </x:c>
      <x:c r="R117" s="64" t="n">
        <x:v>0.04441887664136894</x:v>
      </x:c>
    </x:row>
    <x:row r="118" ht="18" customHeight="1">
      <x:c r="A118" s="46" t="str">
        <x:v>LME_004</x:v>
      </x:c>
      <x:c r="B118" s="46" t="str">
        <x:v>Gulf of California</x:v>
      </x:c>
      <x:c r="C118" s="46" t="str">
        <x:v>commercial</x:v>
      </x:c>
      <x:c r="D118" s="46" t="str">
        <x:v>Anchovies</x:v>
      </x:c>
      <x:c r="E118" s="66" t="n">
        <x:v>2</x:v>
      </x:c>
      <x:c r="F118" s="66" t="n">
        <x:v>2</x:v>
      </x:c>
      <x:c r="G118" s="60" t="n">
        <x:v>76885.2102479088</x:v>
      </x:c>
      <x:c r="H118" s="60" t="n">
        <x:v>76885.2102479088</x:v>
      </x:c>
      <x:c r="I118" s="62" t="n">
        <x:v>0</x:v>
      </x:c>
      <x:c r="J118" s="64" t="n">
        <x:v>1</x:v>
      </x:c>
      <x:c r="K118" s="62" t="n">
        <x:v>44.99750767304786</x:v>
      </x:c>
      <x:c r="L118" s="60" t="n">
        <x:v>3459642.8380741747</x:v>
      </x:c>
      <x:c r="M118" s="62" t="n">
        <x:v>2.591333689296697</x:v>
      </x:c>
      <x:c r="N118" s="62" t="n">
        <x:v>39.0241712954524</x:v>
      </x:c>
      <x:c r="O118" s="60" t="n">
        <x:v>3000381.6148012653</x:v>
      </x:c>
      <x:c r="P118" s="60" t="n">
        <x:v>459261.2232729094</x:v>
      </x:c>
      <x:c r="Q118" s="62" t="n">
        <x:v>1.1530676034699436</x:v>
      </x:c>
      <x:c r="R118" s="64" t="n">
        <x:v>0.1530676034699437</x:v>
      </x:c>
    </x:row>
    <x:row r="119" ht="18" customHeight="1">
      <x:c r="A119" s="46" t="str">
        <x:v>LME_004</x:v>
      </x:c>
      <x:c r="B119" s="46" t="str">
        <x:v>Gulf of California</x:v>
      </x:c>
      <x:c r="C119" s="46" t="str">
        <x:v>commercial</x:v>
      </x:c>
      <x:c r="D119" s="46" t="str">
        <x:v>Cod-likes</x:v>
      </x:c>
      <x:c r="E119" s="66" t="n">
        <x:v>3</x:v>
      </x:c>
      <x:c r="F119" s="66" t="n">
        <x:v>3</x:v>
      </x:c>
      <x:c r="G119" s="60" t="n">
        <x:v>6626.2595020799</x:v>
      </x:c>
      <x:c r="H119" s="60" t="n">
        <x:v>6626.2595020799</x:v>
      </x:c>
      <x:c r="I119" s="62" t="n">
        <x:v>0</x:v>
      </x:c>
      <x:c r="J119" s="64" t="n">
        <x:v>1</x:v>
      </x:c>
      <x:c r="K119" s="62" t="n">
        <x:v>2221.674408730513</x:v>
      </x:c>
      <x:c r="L119" s="60" t="n">
        <x:v>14721391.161378304</x:v>
      </x:c>
      <x:c r="M119" s="62" t="n">
        <x:v>4.344739735986203</x:v>
      </x:c>
      <x:c r="N119" s="62" t="n">
        <x:v>2211.7688434453</x:v>
      </x:c>
      <x:c r="O119" s="60" t="n">
        <x:v>14655754.315283688</x:v>
      </x:c>
      <x:c r="P119" s="60" t="n">
        <x:v>65636.84609461576</x:v>
      </x:c>
      <x:c r="Q119" s="62" t="n">
        <x:v>1.0044785716710716</x:v>
      </x:c>
      <x:c r="R119" s="64" t="n">
        <x:v>0.00447857167107166</x:v>
      </x:c>
    </x:row>
    <x:row r="120" ht="18" customHeight="1">
      <x:c r="A120" s="46" t="str">
        <x:v>LME_004</x:v>
      </x:c>
      <x:c r="B120" s="46" t="str">
        <x:v>Gulf of California</x:v>
      </x:c>
      <x:c r="C120" s="46" t="str">
        <x:v>commercial</x:v>
      </x:c>
      <x:c r="D120" s="46" t="str">
        <x:v>Crustaceans</x:v>
      </x:c>
      <x:c r="E120" s="66" t="n">
        <x:v>20</x:v>
      </x:c>
      <x:c r="F120" s="66" t="n">
        <x:v>20</x:v>
      </x:c>
      <x:c r="G120" s="60" t="n">
        <x:v>47327.6951262869</x:v>
      </x:c>
      <x:c r="H120" s="60" t="n">
        <x:v>47327.6951262869</x:v>
      </x:c>
      <x:c r="I120" s="62" t="n">
        <x:v>0</x:v>
      </x:c>
      <x:c r="J120" s="64" t="n">
        <x:v>1</x:v>
      </x:c>
      <x:c r="K120" s="62" t="n">
        <x:v>263.72651475877456</x:v>
      </x:c>
      <x:c r="L120" s="60" t="n">
        <x:v>12481568.087221483</x:v>
      </x:c>
      <x:c r="M120" s="62" t="n">
        <x:v>3.1169444318544723</x:v>
      </x:c>
      <x:c r="N120" s="62" t="n">
        <x:v>130.90144233862875</x:v>
      </x:c>
      <x:c r="O120" s="60" t="n">
        <x:v>6195263.554593845</x:v>
      </x:c>
      <x:c r="P120" s="60" t="n">
        <x:v>6286304.5326276375</x:v>
      </x:c>
      <x:c r="Q120" s="62" t="n">
        <x:v>2.0146952550495265</x:v>
      </x:c>
      <x:c r="R120" s="64" t="n">
        <x:v>1.0146952550495265</x:v>
      </x:c>
    </x:row>
    <x:row r="121" ht="18" customHeight="1">
      <x:c r="A121" s="46" t="str">
        <x:v>LME_004</x:v>
      </x:c>
      <x:c r="B121" s="46" t="str">
        <x:v>Gulf of California</x:v>
      </x:c>
      <x:c r="C121" s="46" t="str">
        <x:v>commercial</x:v>
      </x:c>
      <x:c r="D121" s="46" t="str">
        <x:v>Flatfishes</x:v>
      </x:c>
      <x:c r="E121" s="66" t="n">
        <x:v>4</x:v>
      </x:c>
      <x:c r="F121" s="66" t="n">
        <x:v>4</x:v>
      </x:c>
      <x:c r="G121" s="60" t="n">
        <x:v>14274.9401417047</x:v>
      </x:c>
      <x:c r="H121" s="60" t="n">
        <x:v>14274.9401417047</x:v>
      </x:c>
      <x:c r="I121" s="62" t="n">
        <x:v>0</x:v>
      </x:c>
      <x:c r="J121" s="64" t="n">
        <x:v>1</x:v>
      </x:c>
      <x:c r="K121" s="62" t="n">
        <x:v>794.9222719799703</x:v>
      </x:c>
      <x:c r="L121" s="60" t="n">
        <x:v>11347467.84982198</x:v>
      </x:c>
      <x:c r="M121" s="62" t="n">
        <x:v>3.8015535776013145</x:v>
      </x:c>
      <x:c r="N121" s="62" t="n">
        <x:v>633.2184751472323</x:v>
      </x:c>
      <x:c r="O121" s="60" t="n">
        <x:v>9039155.829348266</x:v>
      </x:c>
      <x:c r="P121" s="60" t="n">
        <x:v>2308312.020473713</x:v>
      </x:c>
      <x:c r="Q121" s="62" t="n">
        <x:v>1.2553680967617686</x:v>
      </x:c>
      <x:c r="R121" s="64" t="n">
        <x:v>0.25536809676176864</x:v>
      </x:c>
    </x:row>
    <x:row r="122" ht="18" customHeight="1">
      <x:c r="A122" s="46" t="str">
        <x:v>LME_004</x:v>
      </x:c>
      <x:c r="B122" s="46" t="str">
        <x:v>Gulf of California</x:v>
      </x:c>
      <x:c r="C122" s="46" t="str">
        <x:v>commercial</x:v>
      </x:c>
      <x:c r="D122" s="46" t="str">
        <x:v>Herring-likes</x:v>
      </x:c>
      <x:c r="E122" s="66" t="n">
        <x:v>3</x:v>
      </x:c>
      <x:c r="F122" s="66" t="n">
        <x:v>3</x:v>
      </x:c>
      <x:c r="G122" s="60" t="n">
        <x:v>106018.7635782452</x:v>
      </x:c>
      <x:c r="H122" s="60" t="n">
        <x:v>106018.7635782452</x:v>
      </x:c>
      <x:c r="I122" s="62" t="n">
        <x:v>0</x:v>
      </x:c>
      <x:c r="J122" s="64" t="n">
        <x:v>1</x:v>
      </x:c>
      <x:c r="K122" s="62" t="n">
        <x:v>72.9311440335088</x:v>
      </x:c>
      <x:c r="L122" s="60" t="n">
        <x:v>7732069.716779518</x:v>
      </x:c>
      <x:c r="M122" s="62" t="n">
        <x:v>2.8621837437805966</x:v>
      </x:c>
      <x:c r="N122" s="62" t="n">
        <x:v>72.80877829037166</x:v>
      </x:c>
      <x:c r="O122" s="60" t="n">
        <x:v>7719096.651987785</x:v>
      </x:c>
      <x:c r="P122" s="60" t="n">
        <x:v>12973.064791733399</x:v>
      </x:c>
      <x:c r="Q122" s="62" t="n">
        <x:v>1.0016806454662532</x:v>
      </x:c>
      <x:c r="R122" s="64" t="n">
        <x:v>0.0016806454662531836</x:v>
      </x:c>
    </x:row>
    <x:row r="123" ht="18" customHeight="1">
      <x:c r="A123" s="46" t="str">
        <x:v>LME_004</x:v>
      </x:c>
      <x:c r="B123" s="46" t="str">
        <x:v>Gulf of California</x:v>
      </x:c>
      <x:c r="C123" s="46" t="str">
        <x:v>commercial</x:v>
      </x:c>
      <x:c r="D123" s="46" t="str">
        <x:v>Molluscs</x:v>
      </x:c>
      <x:c r="E123" s="66" t="n">
        <x:v>10</x:v>
      </x:c>
      <x:c r="F123" s="66" t="n">
        <x:v>10</x:v>
      </x:c>
      <x:c r="G123" s="60" t="n">
        <x:v>14808.3444128788</x:v>
      </x:c>
      <x:c r="H123" s="60" t="n">
        <x:v>14808.3444128788</x:v>
      </x:c>
      <x:c r="I123" s="62" t="n">
        <x:v>0</x:v>
      </x:c>
      <x:c r="J123" s="64" t="n">
        <x:v>1</x:v>
      </x:c>
      <x:c r="K123" s="62" t="n">
        <x:v>41.03729223321821</x:v>
      </x:c>
      <x:c r="L123" s="60" t="n">
        <x:v>607694.3571614515</x:v>
      </x:c>
      <x:c r="M123" s="62" t="n">
        <x:v>2.329123562476733</x:v>
      </x:c>
      <x:c r="N123" s="62" t="n">
        <x:v>21.33651878744213</x:v>
      </x:c>
      <x:c r="O123" s="60" t="n">
        <x:v>315958.5187763022</x:v>
      </x:c>
      <x:c r="P123" s="60" t="n">
        <x:v>291735.83838514925</x:v>
      </x:c>
      <x:c r="Q123" s="62" t="n">
        <x:v>1.9233358844541788</x:v>
      </x:c>
      <x:c r="R123" s="64" t="n">
        <x:v>0.9233358844541787</x:v>
      </x:c>
    </x:row>
    <x:row r="124" ht="18" customHeight="1">
      <x:c r="A124" s="46" t="str">
        <x:v>LME_004</x:v>
      </x:c>
      <x:c r="B124" s="46" t="str">
        <x:v>Gulf of California</x:v>
      </x:c>
      <x:c r="C124" s="46" t="str">
        <x:v>commercial</x:v>
      </x:c>
      <x:c r="D124" s="46" t="str">
        <x:v>Other fishes &amp; inverts</x:v>
      </x:c>
      <x:c r="E124" s="66" t="n">
        <x:v>16</x:v>
      </x:c>
      <x:c r="F124" s="66" t="n">
        <x:v>16</x:v>
      </x:c>
      <x:c r="G124" s="60" t="n">
        <x:v>231851.68023806822</x:v>
      </x:c>
      <x:c r="H124" s="60" t="n">
        <x:v>231851.68023806822</x:v>
      </x:c>
      <x:c r="I124" s="62" t="n">
        <x:v>0</x:v>
      </x:c>
      <x:c r="J124" s="64" t="n">
        <x:v>1</x:v>
      </x:c>
      <x:c r="K124" s="62" t="n">
        <x:v>303.23312381043223</x:v>
      </x:c>
      <x:c r="L124" s="60" t="n">
        <x:v>70305109.25928688</x:v>
      </x:c>
      <x:c r="M124" s="62" t="n">
        <x:v>3.3836114475268566</x:v>
      </x:c>
      <x:c r="N124" s="62" t="n">
        <x:v>241.88639809126826</x:v>
      </x:c>
      <x:c r="O124" s="60" t="n">
        <x:v>56081767.824194804</x:v>
      </x:c>
      <x:c r="P124" s="60" t="n">
        <x:v>14223341.435092077</x:v>
      </x:c>
      <x:c r="Q124" s="62" t="n">
        <x:v>1.2536179223108554</x:v>
      </x:c>
      <x:c r="R124" s="64" t="n">
        <x:v>0.25361792231085556</x:v>
      </x:c>
    </x:row>
    <x:row r="125" ht="18" customHeight="1">
      <x:c r="A125" s="46" t="str">
        <x:v>LME_004</x:v>
      </x:c>
      <x:c r="B125" s="46" t="str">
        <x:v>Gulf of California</x:v>
      </x:c>
      <x:c r="C125" s="46" t="str">
        <x:v>commercial</x:v>
      </x:c>
      <x:c r="D125" s="46" t="str">
        <x:v>Perch-likes</x:v>
      </x:c>
      <x:c r="E125" s="66" t="n">
        <x:v>46</x:v>
      </x:c>
      <x:c r="F125" s="66" t="n">
        <x:v>46</x:v>
      </x:c>
      <x:c r="G125" s="60" t="n">
        <x:v>130501.49345998281</x:v>
      </x:c>
      <x:c r="H125" s="60" t="n">
        <x:v>130501.49345998281</x:v>
      </x:c>
      <x:c r="I125" s="62" t="n">
        <x:v>0</x:v>
      </x:c>
      <x:c r="J125" s="64" t="n">
        <x:v>1</x:v>
      </x:c>
      <x:c r="K125" s="62" t="n">
        <x:v>758.9005856213191</x:v>
      </x:c>
      <x:c r="L125" s="60" t="n">
        <x:v>99037659.81123771</x:v>
      </x:c>
      <x:c r="M125" s="62" t="n">
        <x:v>3.665284781908793</x:v>
      </x:c>
      <x:c r="N125" s="62" t="n">
        <x:v>462.68432005401536</x:v>
      </x:c>
      <x:c r="O125" s="60" t="n">
        <x:v>60380994.76756568</x:v>
      </x:c>
      <x:c r="P125" s="60" t="n">
        <x:v>38656665.043672025</x:v>
      </x:c>
      <x:c r="Q125" s="62" t="n">
        <x:v>1.6402124574541934</x:v>
      </x:c>
      <x:c r="R125" s="64" t="n">
        <x:v>0.6402124574541935</x:v>
      </x:c>
    </x:row>
    <x:row r="126" ht="18" customHeight="1">
      <x:c r="A126" s="46" t="str">
        <x:v>LME_004</x:v>
      </x:c>
      <x:c r="B126" s="46" t="str">
        <x:v>Gulf of California</x:v>
      </x:c>
      <x:c r="C126" s="46" t="str">
        <x:v>commercial</x:v>
      </x:c>
      <x:c r="D126" s="46" t="str">
        <x:v>Scorpionfishes</x:v>
      </x:c>
      <x:c r="E126" s="66" t="n">
        <x:v>3</x:v>
      </x:c>
      <x:c r="F126" s="66" t="n">
        <x:v>3</x:v>
      </x:c>
      <x:c r="G126" s="60" t="n">
        <x:v>20798.2685250309</x:v>
      </x:c>
      <x:c r="H126" s="60" t="n">
        <x:v>20798.2685250309</x:v>
      </x:c>
      <x:c r="I126" s="62" t="n">
        <x:v>0</x:v>
      </x:c>
      <x:c r="J126" s="64" t="n">
        <x:v>1</x:v>
      </x:c>
      <x:c r="K126" s="62" t="n">
        <x:v>414.24785725103743</x:v>
      </x:c>
      <x:c r="L126" s="60" t="n">
        <x:v>8615638.171025746</x:v>
      </x:c>
      <x:c r="M126" s="62" t="n">
        <x:v>3.6140678524917194</x:v>
      </x:c>
      <x:c r="N126" s="62" t="n">
        <x:v>411.213962566535</x:v>
      </x:c>
      <x:c r="O126" s="60" t="n">
        <x:v>8552538.414700799</x:v>
      </x:c>
      <x:c r="P126" s="60" t="n">
        <x:v>63099.75632494688</x:v>
      </x:c>
      <x:c r="Q126" s="62" t="n">
        <x:v>1.007377898030424</x:v>
      </x:c>
      <x:c r="R126" s="64" t="n">
        <x:v>0.00737789803042403</x:v>
      </x:c>
    </x:row>
    <x:row r="127" ht="18" customHeight="1">
      <x:c r="A127" s="46" t="str">
        <x:v>LME_004</x:v>
      </x:c>
      <x:c r="B127" s="46" t="str">
        <x:v>Gulf of California</x:v>
      </x:c>
      <x:c r="C127" s="46" t="str">
        <x:v>commercial</x:v>
      </x:c>
      <x:c r="D127" s="46" t="str">
        <x:v>Sharks &amp; rays</x:v>
      </x:c>
      <x:c r="E127" s="66" t="n">
        <x:v>10</x:v>
      </x:c>
      <x:c r="F127" s="66" t="n">
        <x:v>10</x:v>
      </x:c>
      <x:c r="G127" s="60" t="n">
        <x:v>9302.7208807609</x:v>
      </x:c>
      <x:c r="H127" s="60" t="n">
        <x:v>9302.7208807609</x:v>
      </x:c>
      <x:c r="I127" s="62" t="n">
        <x:v>0</x:v>
      </x:c>
      <x:c r="J127" s="64" t="n">
        <x:v>1</x:v>
      </x:c>
      <x:c r="K127" s="62" t="n">
        <x:v>1212.1293411375468</x:v>
      </x:c>
      <x:c r="L127" s="60" t="n">
        <x:v>11276100.93198321</x:v>
      </x:c>
      <x:c r="M127" s="62" t="n">
        <x:v>3.990970525551864</x:v>
      </x:c>
      <x:c r="N127" s="62" t="n">
        <x:v>979.4235122013803</x:v>
      </x:c>
      <x:c r="O127" s="60" t="n">
        <x:v>9111303.55806396</x:v>
      </x:c>
      <x:c r="P127" s="60" t="n">
        <x:v>2164797.3739192504</x:v>
      </x:c>
      <x:c r="Q127" s="62" t="n">
        <x:v>1.2375946932426916</x:v>
      </x:c>
      <x:c r="R127" s="64" t="n">
        <x:v>0.23759469324269153</x:v>
      </x:c>
    </x:row>
    <x:row r="128" ht="18" customHeight="1">
      <x:c r="A128" s="46" t="str">
        <x:v>LME_004</x:v>
      </x:c>
      <x:c r="B128" s="46" t="str">
        <x:v>Gulf of California</x:v>
      </x:c>
      <x:c r="C128" s="46" t="str">
        <x:v>commercial</x:v>
      </x:c>
      <x:c r="D128" s="46" t="str">
        <x:v>Tuna &amp; billfishes</x:v>
      </x:c>
      <x:c r="E128" s="66" t="n">
        <x:v>12</x:v>
      </x:c>
      <x:c r="F128" s="66" t="n">
        <x:v>12</x:v>
      </x:c>
      <x:c r="G128" s="60" t="n">
        <x:v>6482.4791148055</x:v>
      </x:c>
      <x:c r="H128" s="60" t="n">
        <x:v>6482.4791148055</x:v>
      </x:c>
      <x:c r="I128" s="62" t="n">
        <x:v>0</x:v>
      </x:c>
      <x:c r="J128" s="64" t="n">
        <x:v>1</x:v>
      </x:c>
      <x:c r="K128" s="62" t="n">
        <x:v>2263.4824385777756</x:v>
      </x:c>
      <x:c r="L128" s="60" t="n">
        <x:v>14672977.634809455</x:v>
      </x:c>
      <x:c r="M128" s="62" t="n">
        <x:v>4.289238730985265</x:v>
      </x:c>
      <x:c r="N128" s="62" t="n">
        <x:v>1946.4297369293129</x:v>
      </x:c>
      <x:c r="O128" s="60" t="n">
        <x:v>12617690.118080635</x:v>
      </x:c>
      <x:c r="P128" s="60" t="n">
        <x:v>2055287.5167288203</x:v>
      </x:c>
      <x:c r="Q128" s="62" t="n">
        <x:v>1.1628893638609556</x:v>
      </x:c>
      <x:c r="R128" s="64" t="n">
        <x:v>0.1628893638609556</x:v>
      </x:c>
    </x:row>
    <x:row r="129" ht="18" customHeight="1">
      <x:c r="A129" s="46" t="str">
        <x:v>LME_005</x:v>
      </x:c>
      <x:c r="B129" s="46" t="str">
        <x:v>Gulf of Mexico</x:v>
      </x:c>
      <x:c r="C129" s="46" t="str">
        <x:v>commercial</x:v>
      </x:c>
      <x:c r="D129" s="46" t="str">
        <x:v>Anchovies</x:v>
      </x:c>
      <x:c r="E129" s="66" t="n">
        <x:v>3</x:v>
      </x:c>
      <x:c r="F129" s="66" t="n">
        <x:v>3</x:v>
      </x:c>
      <x:c r="G129" s="60" t="n">
        <x:v>297.24301791069996</x:v>
      </x:c>
      <x:c r="H129" s="60" t="n">
        <x:v>297.24301791069996</x:v>
      </x:c>
      <x:c r="I129" s="62" t="n">
        <x:v>0</x:v>
      </x:c>
      <x:c r="J129" s="64" t="n">
        <x:v>1</x:v>
      </x:c>
      <x:c r="K129" s="62" t="n">
        <x:v>172.30832709273875</x:v>
      </x:c>
      <x:c r="L129" s="60" t="n">
        <x:v>51217.44715618969</x:v>
      </x:c>
      <x:c r="M129" s="62" t="n">
        <x:v>3.2320909212859084</x:v>
      </x:c>
      <x:c r="N129" s="62" t="n">
        <x:v>170.64396015620764</x:v>
      </x:c>
      <x:c r="O129" s="60" t="n">
        <x:v>50722.7257050644</x:v>
      </x:c>
      <x:c r="P129" s="60" t="n">
        <x:v>494.7214511252969</x:v>
      </x:c>
      <x:c r="Q129" s="62" t="n">
        <x:v>1.0097534476755436</x:v>
      </x:c>
      <x:c r="R129" s="64" t="n">
        <x:v>0.009753447675543618</x:v>
      </x:c>
    </x:row>
    <x:row r="130" ht="18" customHeight="1">
      <x:c r="A130" s="46" t="str">
        <x:v>LME_005</x:v>
      </x:c>
      <x:c r="B130" s="46" t="str">
        <x:v>Gulf of Mexico</x:v>
      </x:c>
      <x:c r="C130" s="46" t="str">
        <x:v>commercial</x:v>
      </x:c>
      <x:c r="D130" s="46" t="str">
        <x:v>Cod-likes</x:v>
      </x:c>
      <x:c r="E130" s="66" t="n">
        <x:v>1</x:v>
      </x:c>
      <x:c r="F130" s="66" t="n">
        <x:v>1</x:v>
      </x:c>
      <x:c r="G130" s="60" t="n">
        <x:v>262.2222669504</x:v>
      </x:c>
      <x:c r="H130" s="60" t="n">
        <x:v>262.2222669504</x:v>
      </x:c>
      <x:c r="I130" s="62" t="n">
        <x:v>0</x:v>
      </x:c>
      <x:c r="J130" s="64" t="n">
        <x:v>1</x:v>
      </x:c>
      <x:c r="K130" s="62" t="n">
        <x:v>812.8305161640995</x:v>
      </x:c>
      <x:c r="L130" s="60" t="n">
        <x:v>213142.26059501394</x:v>
      </x:c>
      <x:c r="M130" s="62" t="n">
        <x:v>3.91</x:v>
      </x:c>
      <x:c r="N130" s="62" t="n">
        <x:v>812.8305161640995</x:v>
      </x:c>
      <x:c r="O130" s="60" t="n">
        <x:v>213142.26059501394</x:v>
      </x:c>
      <x:c r="P130" s="60" t="n">
        <x:v>0</x:v>
      </x:c>
      <x:c r="Q130" s="62" t="n">
        <x:v>1</x:v>
      </x:c>
      <x:c r="R130" s="64" t="n">
        <x:v>0</x:v>
      </x:c>
    </x:row>
    <x:row r="131" ht="18" customHeight="1">
      <x:c r="A131" s="46" t="str">
        <x:v>LME_005</x:v>
      </x:c>
      <x:c r="B131" s="46" t="str">
        <x:v>Gulf of Mexico</x:v>
      </x:c>
      <x:c r="C131" s="46" t="str">
        <x:v>commercial</x:v>
      </x:c>
      <x:c r="D131" s="46" t="str">
        <x:v>Crustaceans</x:v>
      </x:c>
      <x:c r="E131" s="66" t="n">
        <x:v>35</x:v>
      </x:c>
      <x:c r="F131" s="66" t="n">
        <x:v>35</x:v>
      </x:c>
      <x:c r="G131" s="60" t="n">
        <x:v>191750.41955023183</x:v>
      </x:c>
      <x:c r="H131" s="60" t="n">
        <x:v>191750.41955023183</x:v>
      </x:c>
      <x:c r="I131" s="62" t="n">
        <x:v>0</x:v>
      </x:c>
      <x:c r="J131" s="64" t="n">
        <x:v>1</x:v>
      </x:c>
      <x:c r="K131" s="62" t="n">
        <x:v>286.6651498752971</x:v>
      </x:c>
      <x:c r="L131" s="60" t="n">
        <x:v>54968162.75901831</x:v>
      </x:c>
      <x:c r="M131" s="62" t="n">
        <x:v>3.1127733978884753</x:v>
      </x:c>
      <x:c r="N131" s="62" t="n">
        <x:v>129.65026174646246</x:v>
      </x:c>
      <x:c r="O131" s="60" t="n">
        <x:v>24860492.08468155</x:v>
      </x:c>
      <x:c r="P131" s="60" t="n">
        <x:v>30107670.67433676</x:v>
      </x:c>
      <x:c r="Q131" s="62" t="n">
        <x:v>2.2110649528489583</x:v>
      </x:c>
      <x:c r="R131" s="64" t="n">
        <x:v>1.2110649528489583</x:v>
      </x:c>
    </x:row>
    <x:row r="132" ht="18" customHeight="1">
      <x:c r="A132" s="46" t="str">
        <x:v>LME_005</x:v>
      </x:c>
      <x:c r="B132" s="46" t="str">
        <x:v>Gulf of Mexico</x:v>
      </x:c>
      <x:c r="C132" s="46" t="str">
        <x:v>commercial</x:v>
      </x:c>
      <x:c r="D132" s="46" t="str">
        <x:v>Flatfishes</x:v>
      </x:c>
      <x:c r="E132" s="66" t="n">
        <x:v>2</x:v>
      </x:c>
      <x:c r="F132" s="66" t="n">
        <x:v>2</x:v>
      </x:c>
      <x:c r="G132" s="60" t="n">
        <x:v>462.7281089285</x:v>
      </x:c>
      <x:c r="H132" s="60" t="n">
        <x:v>462.7281089285</x:v>
      </x:c>
      <x:c r="I132" s="62" t="n">
        <x:v>0</x:v>
      </x:c>
      <x:c r="J132" s="64" t="n">
        <x:v>1</x:v>
      </x:c>
      <x:c r="K132" s="62" t="n">
        <x:v>543.1083421687077</x:v>
      </x:c>
      <x:c r="L132" s="60" t="n">
        <x:v>251311.49611501885</x:v>
      </x:c>
      <x:c r="M132" s="62" t="n">
        <x:v>3.7279074645430508</x:v>
      </x:c>
      <x:c r="N132" s="62" t="n">
        <x:v>534.4504714941663</x:v>
      </x:c>
      <x:c r="O132" s="60" t="n">
        <x:v>247305.25599044075</x:v>
      </x:c>
      <x:c r="P132" s="60" t="n">
        <x:v>4006.240124578093</x:v>
      </x:c>
      <x:c r="Q132" s="62" t="n">
        <x:v>1.0161995753326527</x:v>
      </x:c>
      <x:c r="R132" s="64" t="n">
        <x:v>0.01619957533265265</x:v>
      </x:c>
    </x:row>
    <x:row r="133" ht="18" customHeight="1">
      <x:c r="A133" s="46" t="str">
        <x:v>LME_005</x:v>
      </x:c>
      <x:c r="B133" s="46" t="str">
        <x:v>Gulf of Mexico</x:v>
      </x:c>
      <x:c r="C133" s="46" t="str">
        <x:v>commercial</x:v>
      </x:c>
      <x:c r="D133" s="46" t="str">
        <x:v>Herring-likes</x:v>
      </x:c>
      <x:c r="E133" s="66" t="n">
        <x:v>9</x:v>
      </x:c>
      <x:c r="F133" s="66" t="n">
        <x:v>9</x:v>
      </x:c>
      <x:c r="G133" s="60" t="n">
        <x:v>637387.5236525004</x:v>
      </x:c>
      <x:c r="H133" s="60" t="n">
        <x:v>637387.5236525004</x:v>
      </x:c>
      <x:c r="I133" s="62" t="n">
        <x:v>0</x:v>
      </x:c>
      <x:c r="J133" s="64" t="n">
        <x:v>1</x:v>
      </x:c>
      <x:c r="K133" s="62" t="n">
        <x:v>128.17856078416293</x:v>
      </x:c>
      <x:c r="L133" s="60" t="n">
        <x:v>81699415.4435591</x:v>
      </x:c>
      <x:c r="M133" s="62" t="n">
        <x:v>2.945184828148674</x:v>
      </x:c>
      <x:c r="N133" s="62" t="n">
        <x:v>88.14239118244922</x:v>
      </x:c>
      <x:c r="O133" s="60" t="n">
        <x:v>56180860.44459129</x:v>
      </x:c>
      <x:c r="P133" s="60" t="n">
        <x:v>25518554.998967804</x:v>
      </x:c>
      <x:c r="Q133" s="62" t="n">
        <x:v>1.454221505278219</x:v>
      </x:c>
      <x:c r="R133" s="64" t="n">
        <x:v>0.4542215052782189</x:v>
      </x:c>
    </x:row>
    <x:row r="134" ht="18" customHeight="1">
      <x:c r="A134" s="46" t="str">
        <x:v>LME_005</x:v>
      </x:c>
      <x:c r="B134" s="46" t="str">
        <x:v>Gulf of Mexico</x:v>
      </x:c>
      <x:c r="C134" s="46" t="str">
        <x:v>commercial</x:v>
      </x:c>
      <x:c r="D134" s="46" t="str">
        <x:v>Molluscs</x:v>
      </x:c>
      <x:c r="E134" s="66" t="n">
        <x:v>32</x:v>
      </x:c>
      <x:c r="F134" s="66" t="n">
        <x:v>32</x:v>
      </x:c>
      <x:c r="G134" s="60" t="n">
        <x:v>80197.4929162213</x:v>
      </x:c>
      <x:c r="H134" s="60" t="n">
        <x:v>80197.4929162213</x:v>
      </x:c>
      <x:c r="I134" s="62" t="n">
        <x:v>0</x:v>
      </x:c>
      <x:c r="J134" s="64" t="n">
        <x:v>1</x:v>
      </x:c>
      <x:c r="K134" s="62" t="n">
        <x:v>18.217995778457386</x:v>
      </x:c>
      <x:c r="L134" s="60" t="n">
        <x:v>1461037.5873905856</x:v>
      </x:c>
      <x:c r="M134" s="62" t="n">
        <x:v>2.0862589523360016</x:v>
      </x:c>
      <x:c r="N134" s="62" t="n">
        <x:v>12.197166501396776</x:v>
      </x:c>
      <x:c r="O134" s="60" t="n">
        <x:v>978182.1740937396</x:v>
      </x:c>
      <x:c r="P134" s="60" t="n">
        <x:v>482855.413296846</x:v>
      </x:c>
      <x:c r="Q134" s="62" t="n">
        <x:v>1.4936252429095827</x:v>
      </x:c>
      <x:c r="R134" s="64" t="n">
        <x:v>0.49362524290958276</x:v>
      </x:c>
    </x:row>
    <x:row r="135" ht="18" customHeight="1">
      <x:c r="A135" s="46" t="str">
        <x:v>LME_005</x:v>
      </x:c>
      <x:c r="B135" s="46" t="str">
        <x:v>Gulf of Mexico</x:v>
      </x:c>
      <x:c r="C135" s="46" t="str">
        <x:v>commercial</x:v>
      </x:c>
      <x:c r="D135" s="46" t="str">
        <x:v>Other fishes &amp; inverts</x:v>
      </x:c>
      <x:c r="E135" s="66" t="n">
        <x:v>94</x:v>
      </x:c>
      <x:c r="F135" s="66" t="n">
        <x:v>94</x:v>
      </x:c>
      <x:c r="G135" s="60" t="n">
        <x:v>346261.55158372887</x:v>
      </x:c>
      <x:c r="H135" s="60" t="n">
        <x:v>346261.55158372887</x:v>
      </x:c>
      <x:c r="I135" s="62" t="n">
        <x:v>0</x:v>
      </x:c>
      <x:c r="J135" s="64" t="n">
        <x:v>1</x:v>
      </x:c>
      <x:c r="K135" s="62" t="n">
        <x:v>277.04387831310856</x:v>
      </x:c>
      <x:c r="L135" s="60" t="n">
        <x:v>95929643.16147074</x:v>
      </x:c>
      <x:c r="M135" s="62" t="n">
        <x:v>3.3442422611417713</x:v>
      </x:c>
      <x:c r="N135" s="62" t="n">
        <x:v>220.9236761037527</x:v>
      </x:c>
      <x:c r="O135" s="60" t="n">
        <x:v>76497374.86926658</x:v>
      </x:c>
      <x:c r="P135" s="60" t="n">
        <x:v>19432268.292204157</x:v>
      </x:c>
      <x:c r="Q135" s="62" t="n">
        <x:v>1.2540252959714469</x:v>
      </x:c>
      <x:c r="R135" s="64" t="n">
        <x:v>0.25402529597144674</x:v>
      </x:c>
    </x:row>
    <x:row r="136" ht="18" customHeight="1">
      <x:c r="A136" s="46" t="str">
        <x:v>LME_005</x:v>
      </x:c>
      <x:c r="B136" s="46" t="str">
        <x:v>Gulf of Mexico</x:v>
      </x:c>
      <x:c r="C136" s="46" t="str">
        <x:v>commercial</x:v>
      </x:c>
      <x:c r="D136" s="46" t="str">
        <x:v>Perch-likes</x:v>
      </x:c>
      <x:c r="E136" s="66" t="n">
        <x:v>183</x:v>
      </x:c>
      <x:c r="F136" s="66" t="n">
        <x:v>183</x:v>
      </x:c>
      <x:c r="G136" s="60" t="n">
        <x:v>272280.4169000981</x:v>
      </x:c>
      <x:c r="H136" s="60" t="n">
        <x:v>272280.4169000981</x:v>
      </x:c>
      <x:c r="I136" s="62" t="n">
        <x:v>0</x:v>
      </x:c>
      <x:c r="J136" s="64" t="n">
        <x:v>1</x:v>
      </x:c>
      <x:c r="K136" s="62" t="n">
        <x:v>1045.2103888148797</x:v>
      </x:c>
      <x:c r="L136" s="60" t="n">
        <x:v>284590320.4148291</x:v>
      </x:c>
      <x:c r="M136" s="62" t="n">
        <x:v>3.764904804010099</x:v>
      </x:c>
      <x:c r="N136" s="62" t="n">
        <x:v>581.9756365523273</x:v>
      </x:c>
      <x:c r="O136" s="60" t="n">
        <x:v>158460568.94616765</x:v>
      </x:c>
      <x:c r="P136" s="60" t="n">
        <x:v>126129751.46866143</x:v>
      </x:c>
      <x:c r="Q136" s="62" t="n">
        <x:v>1.7959693209956247</x:v>
      </x:c>
      <x:c r="R136" s="64" t="n">
        <x:v>0.7959693209956247</x:v>
      </x:c>
    </x:row>
    <x:row r="137" ht="18" customHeight="1">
      <x:c r="A137" s="46" t="str">
        <x:v>LME_005</x:v>
      </x:c>
      <x:c r="B137" s="46" t="str">
        <x:v>Gulf of Mexico</x:v>
      </x:c>
      <x:c r="C137" s="46" t="str">
        <x:v>commercial</x:v>
      </x:c>
      <x:c r="D137" s="46" t="str">
        <x:v>Scorpionfishes</x:v>
      </x:c>
      <x:c r="E137" s="66" t="n">
        <x:v>5</x:v>
      </x:c>
      <x:c r="F137" s="66" t="n">
        <x:v>5</x:v>
      </x:c>
      <x:c r="G137" s="60" t="n">
        <x:v>69.3604237019</x:v>
      </x:c>
      <x:c r="H137" s="60" t="n">
        <x:v>69.3604237019</x:v>
      </x:c>
      <x:c r="I137" s="62" t="n">
        <x:v>0</x:v>
      </x:c>
      <x:c r="J137" s="64" t="n">
        <x:v>1</x:v>
      </x:c>
      <x:c r="K137" s="62" t="n">
        <x:v>773.6785957295237</x:v>
      </x:c>
      <x:c r="L137" s="60" t="n">
        <x:v>53662.67520889077</x:v>
      </x:c>
      <x:c r="M137" s="62" t="n">
        <x:v>3.853403061283239</x:v>
      </x:c>
      <x:c r="N137" s="62" t="n">
        <x:v>713.5149239343214</x:v>
      </x:c>
      <x:c r="O137" s="60" t="n">
        <x:v>49489.697441713484</x:v>
      </x:c>
      <x:c r="P137" s="60" t="n">
        <x:v>4172.977767177283</x:v>
      </x:c>
      <x:c r="Q137" s="62" t="n">
        <x:v>1.0843201309139545</x:v>
      </x:c>
      <x:c r="R137" s="64" t="n">
        <x:v>0.08432013091395456</x:v>
      </x:c>
    </x:row>
    <x:row r="138" ht="18" customHeight="1">
      <x:c r="A138" s="46" t="str">
        <x:v>LME_005</x:v>
      </x:c>
      <x:c r="B138" s="46" t="str">
        <x:v>Gulf of Mexico</x:v>
      </x:c>
      <x:c r="C138" s="46" t="str">
        <x:v>commercial</x:v>
      </x:c>
      <x:c r="D138" s="46" t="str">
        <x:v>Sharks &amp; rays</x:v>
      </x:c>
      <x:c r="E138" s="66" t="n">
        <x:v>36</x:v>
      </x:c>
      <x:c r="F138" s="66" t="n">
        <x:v>36</x:v>
      </x:c>
      <x:c r="G138" s="60" t="n">
        <x:v>12119.114291927703</x:v>
      </x:c>
      <x:c r="H138" s="60" t="n">
        <x:v>12119.114291927703</x:v>
      </x:c>
      <x:c r="I138" s="62" t="n">
        <x:v>0</x:v>
      </x:c>
      <x:c r="J138" s="64" t="n">
        <x:v>1</x:v>
      </x:c>
      <x:c r="K138" s="62" t="n">
        <x:v>1211.7277778588957</x:v>
      </x:c>
      <x:c r="L138" s="60" t="n">
        <x:v>14685067.430575538</x:v>
      </x:c>
      <x:c r="M138" s="62" t="n">
        <x:v>3.957108471888898</x:v>
      </x:c>
      <x:c r="N138" s="62" t="n">
        <x:v>905.9588501380149</x:v>
      </x:c>
      <x:c r="O138" s="60" t="n">
        <x:v>10979418.848606003</x:v>
      </x:c>
      <x:c r="P138" s="60" t="n">
        <x:v>3705648.581969535</x:v>
      </x:c>
      <x:c r="Q138" s="62" t="n">
        <x:v>1.3375086271018817</x:v>
      </x:c>
      <x:c r="R138" s="64" t="n">
        <x:v>0.33750862710188173</x:v>
      </x:c>
    </x:row>
    <x:row r="139" ht="18" customHeight="1">
      <x:c r="A139" s="46" t="str">
        <x:v>LME_005</x:v>
      </x:c>
      <x:c r="B139" s="46" t="str">
        <x:v>Gulf of Mexico</x:v>
      </x:c>
      <x:c r="C139" s="46" t="str">
        <x:v>commercial</x:v>
      </x:c>
      <x:c r="D139" s="46" t="str">
        <x:v>Tuna &amp; billfishes</x:v>
      </x:c>
      <x:c r="E139" s="66" t="n">
        <x:v>18</x:v>
      </x:c>
      <x:c r="F139" s="66" t="n">
        <x:v>18</x:v>
      </x:c>
      <x:c r="G139" s="60" t="n">
        <x:v>8187.752713518</x:v>
      </x:c>
      <x:c r="H139" s="60" t="n">
        <x:v>8187.752713518</x:v>
      </x:c>
      <x:c r="I139" s="62" t="n">
        <x:v>0</x:v>
      </x:c>
      <x:c r="J139" s="64" t="n">
        <x:v>1</x:v>
      </x:c>
      <x:c r="K139" s="62" t="n">
        <x:v>2987.2381381629725</x:v>
      </x:c>
      <x:c r="L139" s="60" t="n">
        <x:v>24458767.171668336</x:v>
      </x:c>
      <x:c r="M139" s="62" t="n">
        <x:v>4.473025045020316</x:v>
      </x:c>
      <x:c r="N139" s="62" t="n">
        <x:v>2971.837407579245</x:v>
      </x:c>
      <x:c r="O139" s="60" t="n">
        <x:v>24332669.79804126</x:v>
      </x:c>
      <x:c r="P139" s="60" t="n">
        <x:v>126097.37362707406</x:v>
      </x:c>
      <x:c r="Q139" s="62" t="n">
        <x:v>1.0051822251595763</x:v>
      </x:c>
      <x:c r="R139" s="64" t="n">
        <x:v>0.005182225159576393</x:v>
      </x:c>
    </x:row>
    <x:row r="140" ht="18" customHeight="1">
      <x:c r="A140" s="46" t="str">
        <x:v>LME_006</x:v>
      </x:c>
      <x:c r="B140" s="46" t="str">
        <x:v>Southeast U.S. Continental Shelf</x:v>
      </x:c>
      <x:c r="C140" s="46" t="str">
        <x:v>commercial</x:v>
      </x:c>
      <x:c r="D140" s="46" t="str">
        <x:v>Anchovies</x:v>
      </x:c>
      <x:c r="E140" s="66" t="n">
        <x:v>2</x:v>
      </x:c>
      <x:c r="F140" s="66" t="n">
        <x:v>2</x:v>
      </x:c>
      <x:c r="G140" s="60" t="n">
        <x:v>4.9026608354</x:v>
      </x:c>
      <x:c r="H140" s="60" t="n">
        <x:v>4.9026608354</x:v>
      </x:c>
      <x:c r="I140" s="62" t="n">
        <x:v>0</x:v>
      </x:c>
      <x:c r="J140" s="64" t="n">
        <x:v>1</x:v>
      </x:c>
      <x:c r="K140" s="62" t="n">
        <x:v>218.73834916046212</x:v>
      </x:c>
      <x:c r="L140" s="60" t="n">
        <x:v>1072.399937629048</x:v>
      </x:c>
      <x:c r="M140" s="62" t="n">
        <x:v>3.339910262323508</x:v>
      </x:c>
      <x:c r="N140" s="62" t="n">
        <x:v>218.73096164493845</x:v>
      </x:c>
      <x:c r="O140" s="60" t="n">
        <x:v>1072.3637191460193</x:v>
      </x:c>
      <x:c r="P140" s="60" t="n">
        <x:v>0.03621848302873332</x:v>
      </x:c>
      <x:c r="Q140" s="62" t="n">
        <x:v>1.00003377443901</x:v>
      </x:c>
      <x:c r="R140" s="64" t="n">
        <x:v>0.00003377443900990611</x:v>
      </x:c>
    </x:row>
    <x:row r="141" ht="18" customHeight="1">
      <x:c r="A141" s="46" t="str">
        <x:v>LME_006</x:v>
      </x:c>
      <x:c r="B141" s="46" t="str">
        <x:v>Southeast U.S. Continental Shelf</x:v>
      </x:c>
      <x:c r="C141" s="46" t="str">
        <x:v>commercial</x:v>
      </x:c>
      <x:c r="D141" s="46" t="str">
        <x:v>Cod-likes</x:v>
      </x:c>
      <x:c r="E141" s="66" t="n">
        <x:v>2</x:v>
      </x:c>
      <x:c r="F141" s="66" t="n">
        <x:v>2</x:v>
      </x:c>
      <x:c r="G141" s="60" t="n">
        <x:v>0.3497773748</x:v>
      </x:c>
      <x:c r="H141" s="60" t="n">
        <x:v>0.3497773748</x:v>
      </x:c>
      <x:c r="I141" s="62" t="n">
        <x:v>0</x:v>
      </x:c>
      <x:c r="J141" s="64" t="n">
        <x:v>1</x:v>
      </x:c>
      <x:c r="K141" s="62" t="n">
        <x:v>776.6001552291183</x:v>
      </x:c>
      <x:c r="L141" s="60" t="n">
        <x:v>271.6371635653135</x:v>
      </x:c>
      <x:c r="M141" s="62" t="n">
        <x:v>3.8860999390976043</x:v>
      </x:c>
      <x:c r="N141" s="62" t="n">
        <x:v>769.3074516238082</x:v>
      </x:c>
      <x:c r="O141" s="60" t="n">
        <x:v>269.0863408430536</x:v>
      </x:c>
      <x:c r="P141" s="60" t="n">
        <x:v>2.550822722259852</x:v>
      </x:c>
      <x:c r="Q141" s="62" t="n">
        <x:v>1.009479569695987</x:v>
      </x:c>
      <x:c r="R141" s="64" t="n">
        <x:v>0.009479569695987044</x:v>
      </x:c>
    </x:row>
    <x:row r="142" ht="18" customHeight="1">
      <x:c r="A142" s="46" t="str">
        <x:v>LME_006</x:v>
      </x:c>
      <x:c r="B142" s="46" t="str">
        <x:v>Southeast U.S. Continental Shelf</x:v>
      </x:c>
      <x:c r="C142" s="46" t="str">
        <x:v>commercial</x:v>
      </x:c>
      <x:c r="D142" s="46" t="str">
        <x:v>Crustaceans</x:v>
      </x:c>
      <x:c r="E142" s="66" t="n">
        <x:v>20</x:v>
      </x:c>
      <x:c r="F142" s="66" t="n">
        <x:v>20</x:v>
      </x:c>
      <x:c r="G142" s="60" t="n">
        <x:v>30493.668794595003</x:v>
      </x:c>
      <x:c r="H142" s="60" t="n">
        <x:v>30493.668794595003</x:v>
      </x:c>
      <x:c r="I142" s="62" t="n">
        <x:v>0</x:v>
      </x:c>
      <x:c r="J142" s="64" t="n">
        <x:v>1</x:v>
      </x:c>
      <x:c r="K142" s="62" t="n">
        <x:v>496.7635795117501</x:v>
      </x:c>
      <x:c r="L142" s="60" t="n">
        <x:v>15148144.062848767</x:v>
      </x:c>
      <x:c r="M142" s="62" t="n">
        <x:v>3.452789956829892</x:v>
      </x:c>
      <x:c r="N142" s="62" t="n">
        <x:v>283.6546822688923</x:v>
      </x:c>
      <x:c r="O142" s="60" t="n">
        <x:v>8649671.933143683</x:v>
      </x:c>
      <x:c r="P142" s="60" t="n">
        <x:v>6498472.1297050845</x:v>
      </x:c>
      <x:c r="Q142" s="62" t="n">
        <x:v>1.75129694859343</x:v>
      </x:c>
      <x:c r="R142" s="64" t="n">
        <x:v>0.7512969485934301</x:v>
      </x:c>
    </x:row>
    <x:row r="143" ht="18" customHeight="1">
      <x:c r="A143" s="46" t="str">
        <x:v>LME_006</x:v>
      </x:c>
      <x:c r="B143" s="46" t="str">
        <x:v>Southeast U.S. Continental Shelf</x:v>
      </x:c>
      <x:c r="C143" s="46" t="str">
        <x:v>commercial</x:v>
      </x:c>
      <x:c r="D143" s="46" t="str">
        <x:v>Flatfishes</x:v>
      </x:c>
      <x:c r="E143" s="66" t="n">
        <x:v>5</x:v>
      </x:c>
      <x:c r="F143" s="66" t="n">
        <x:v>5</x:v>
      </x:c>
      <x:c r="G143" s="60" t="n">
        <x:v>2975.3840267695996</x:v>
      </x:c>
      <x:c r="H143" s="60" t="n">
        <x:v>2975.3840267695996</x:v>
      </x:c>
      <x:c r="I143" s="62" t="n">
        <x:v>0</x:v>
      </x:c>
      <x:c r="J143" s="64" t="n">
        <x:v>1</x:v>
      </x:c>
      <x:c r="K143" s="62" t="n">
        <x:v>1489.975291903449</x:v>
      </x:c>
      <x:c r="L143" s="60" t="n">
        <x:v>4433248.683810893</x:v>
      </x:c>
      <x:c r="M143" s="62" t="n">
        <x:v>4.162072344773832</x:v>
      </x:c>
      <x:c r="N143" s="62" t="n">
        <x:v>1452.353530486144</x:v>
      </x:c>
      <x:c r="O143" s="60" t="n">
        <x:v>4321309.4958309075</x:v>
      </x:c>
      <x:c r="P143" s="60" t="n">
        <x:v>111939.18797998596</x:v>
      </x:c>
      <x:c r="Q143" s="62" t="n">
        <x:v>1.0259039969453663</x:v>
      </x:c>
      <x:c r="R143" s="64" t="n">
        <x:v>0.025903996945366242</x:v>
      </x:c>
    </x:row>
    <x:row r="144" ht="18" customHeight="1">
      <x:c r="A144" s="46" t="str">
        <x:v>LME_006</x:v>
      </x:c>
      <x:c r="B144" s="46" t="str">
        <x:v>Southeast U.S. Continental Shelf</x:v>
      </x:c>
      <x:c r="C144" s="46" t="str">
        <x:v>commercial</x:v>
      </x:c>
      <x:c r="D144" s="46" t="str">
        <x:v>Herring-likes</x:v>
      </x:c>
      <x:c r="E144" s="66" t="n">
        <x:v>9</x:v>
      </x:c>
      <x:c r="F144" s="66" t="n">
        <x:v>9</x:v>
      </x:c>
      <x:c r="G144" s="60" t="n">
        <x:v>1306.7959215621001</x:v>
      </x:c>
      <x:c r="H144" s="60" t="n">
        <x:v>1306.7959215621001</x:v>
      </x:c>
      <x:c r="I144" s="62" t="n">
        <x:v>0</x:v>
      </x:c>
      <x:c r="J144" s="64" t="n">
        <x:v>1</x:v>
      </x:c>
      <x:c r="K144" s="62" t="n">
        <x:v>1355.8564757809079</x:v>
      </x:c>
      <x:c r="L144" s="60" t="n">
        <x:v>1771827.712774053</x:v>
      </x:c>
      <x:c r="M144" s="62" t="n">
        <x:v>3.644860354785706</x:v>
      </x:c>
      <x:c r="N144" s="62" t="n">
        <x:v>441.4284854135882</x:v>
      </x:c>
      <x:c r="O144" s="60" t="n">
        <x:v>576856.944399812</x:v>
      </x:c>
      <x:c r="P144" s="60" t="n">
        <x:v>1194970.768374241</x:v>
      </x:c>
      <x:c r="Q144" s="62" t="n">
        <x:v>3.0715201229267377</x:v>
      </x:c>
      <x:c r="R144" s="64" t="n">
        <x:v>2.0715201229267377</x:v>
      </x:c>
    </x:row>
    <x:row r="145" ht="18" customHeight="1">
      <x:c r="A145" s="46" t="str">
        <x:v>LME_006</x:v>
      </x:c>
      <x:c r="B145" s="46" t="str">
        <x:v>Southeast U.S. Continental Shelf</x:v>
      </x:c>
      <x:c r="C145" s="46" t="str">
        <x:v>commercial</x:v>
      </x:c>
      <x:c r="D145" s="46" t="str">
        <x:v>Molluscs</x:v>
      </x:c>
      <x:c r="E145" s="66" t="n">
        <x:v>14</x:v>
      </x:c>
      <x:c r="F145" s="66" t="n">
        <x:v>14</x:v>
      </x:c>
      <x:c r="G145" s="60" t="n">
        <x:v>4883.494476837201</x:v>
      </x:c>
      <x:c r="H145" s="60" t="n">
        <x:v>4883.494476837201</x:v>
      </x:c>
      <x:c r="I145" s="62" t="n">
        <x:v>0</x:v>
      </x:c>
      <x:c r="J145" s="64" t="n">
        <x:v>1</x:v>
      </x:c>
      <x:c r="K145" s="62" t="n">
        <x:v>75.65755622518789</x:v>
      </x:c>
      <x:c r="L145" s="60" t="n">
        <x:v>369473.25795670506</x:v>
      </x:c>
      <x:c r="M145" s="62" t="n">
        <x:v>2.6814485104581607</x:v>
      </x:c>
      <x:c r="N145" s="62" t="n">
        <x:v>48.02291413529536</x:v>
      </x:c>
      <x:c r="O145" s="60" t="n">
        <x:v>234519.635941342</x:v>
      </x:c>
      <x:c r="P145" s="60" t="n">
        <x:v>134953.62201536304</x:v>
      </x:c>
      <x:c r="Q145" s="62" t="n">
        <x:v>1.5754470045703022</x:v>
      </x:c>
      <x:c r="R145" s="64" t="n">
        <x:v>0.5754470045703022</x:v>
      </x:c>
    </x:row>
    <x:row r="146" ht="18" customHeight="1">
      <x:c r="A146" s="46" t="str">
        <x:v>LME_006</x:v>
      </x:c>
      <x:c r="B146" s="46" t="str">
        <x:v>Southeast U.S. Continental Shelf</x:v>
      </x:c>
      <x:c r="C146" s="46" t="str">
        <x:v>commercial</x:v>
      </x:c>
      <x:c r="D146" s="46" t="str">
        <x:v>Other fishes &amp; inverts</x:v>
      </x:c>
      <x:c r="E146" s="66" t="n">
        <x:v>47</x:v>
      </x:c>
      <x:c r="F146" s="66" t="n">
        <x:v>47</x:v>
      </x:c>
      <x:c r="G146" s="60" t="n">
        <x:v>21359.144613287295</x:v>
      </x:c>
      <x:c r="H146" s="60" t="n">
        <x:v>21359.144613287295</x:v>
      </x:c>
      <x:c r="I146" s="62" t="n">
        <x:v>0</x:v>
      </x:c>
      <x:c r="J146" s="64" t="n">
        <x:v>1</x:v>
      </x:c>
      <x:c r="K146" s="62" t="n">
        <x:v>225.02557251920774</x:v>
      </x:c>
      <x:c r="L146" s="60" t="n">
        <x:v>4806353.745125526</x:v>
      </x:c>
      <x:c r="M146" s="62" t="n">
        <x:v>3.267644692018786</x:v>
      </x:c>
      <x:c r="N146" s="62" t="n">
        <x:v>185.2015819550524</x:v>
      </x:c>
      <x:c r="O146" s="60" t="n">
        <x:v>3955747.3715875433</x:v>
      </x:c>
      <x:c r="P146" s="60" t="n">
        <x:v>850606.3735379823</x:v>
      </x:c>
      <x:c r="Q146" s="62" t="n">
        <x:v>1.2150305096952165</x:v>
      </x:c>
      <x:c r="R146" s="64" t="n">
        <x:v>0.21503050969521648</x:v>
      </x:c>
    </x:row>
    <x:row r="147" ht="18" customHeight="1">
      <x:c r="A147" s="46" t="str">
        <x:v>LME_006</x:v>
      </x:c>
      <x:c r="B147" s="46" t="str">
        <x:v>Southeast U.S. Continental Shelf</x:v>
      </x:c>
      <x:c r="C147" s="46" t="str">
        <x:v>commercial</x:v>
      </x:c>
      <x:c r="D147" s="46" t="str">
        <x:v>Perch-likes</x:v>
      </x:c>
      <x:c r="E147" s="66" t="n">
        <x:v>135</x:v>
      </x:c>
      <x:c r="F147" s="66" t="n">
        <x:v>135</x:v>
      </x:c>
      <x:c r="G147" s="60" t="n">
        <x:v>50248.8680136869</x:v>
      </x:c>
      <x:c r="H147" s="60" t="n">
        <x:v>50248.8680136869</x:v>
      </x:c>
      <x:c r="I147" s="62" t="n">
        <x:v>0</x:v>
      </x:c>
      <x:c r="J147" s="64" t="n">
        <x:v>1</x:v>
      </x:c>
      <x:c r="K147" s="62" t="n">
        <x:v>1327.6145817092502</x:v>
      </x:c>
      <x:c r="L147" s="60" t="n">
        <x:v>66711129.88935426</x:v>
      </x:c>
      <x:c r="M147" s="62" t="n">
        <x:v>3.8684314422101926</x:v>
      </x:c>
      <x:c r="N147" s="62" t="n">
        <x:v>738.6376523430238</x:v>
      </x:c>
      <x:c r="O147" s="60" t="n">
        <x:v>37115705.90252415</x:v>
      </x:c>
      <x:c r="P147" s="60" t="n">
        <x:v>29595423.986830108</x:v>
      </x:c>
      <x:c r="Q147" s="62" t="n">
        <x:v>1.797382759324467</x:v>
      </x:c>
      <x:c r="R147" s="64" t="n">
        <x:v>0.7973827593244668</x:v>
      </x:c>
    </x:row>
    <x:row r="148" ht="18" customHeight="1">
      <x:c r="A148" s="46" t="str">
        <x:v>LME_006</x:v>
      </x:c>
      <x:c r="B148" s="46" t="str">
        <x:v>Southeast U.S. Continental Shelf</x:v>
      </x:c>
      <x:c r="C148" s="46" t="str">
        <x:v>commercial</x:v>
      </x:c>
      <x:c r="D148" s="46" t="str">
        <x:v>Scorpionfishes</x:v>
      </x:c>
      <x:c r="E148" s="66" t="n">
        <x:v>4</x:v>
      </x:c>
      <x:c r="F148" s="66" t="n">
        <x:v>4</x:v>
      </x:c>
      <x:c r="G148" s="60" t="n">
        <x:v>12.592600627</x:v>
      </x:c>
      <x:c r="H148" s="60" t="n">
        <x:v>12.592600627</x:v>
      </x:c>
      <x:c r="I148" s="62" t="n">
        <x:v>0</x:v>
      </x:c>
      <x:c r="J148" s="64" t="n">
        <x:v>1</x:v>
      </x:c>
      <x:c r="K148" s="62" t="n">
        <x:v>383.7794215400649</x:v>
      </x:c>
      <x:c r="L148" s="60" t="n">
        <x:v>4832.780984315118</x:v>
      </x:c>
      <x:c r="M148" s="62" t="n">
        <x:v>3.568497387010557</x:v>
      </x:c>
      <x:c r="N148" s="62" t="n">
        <x:v>370.2519777240771</x:v>
      </x:c>
      <x:c r="O148" s="60" t="n">
        <x:v>4662.435286836203</x:v>
      </x:c>
      <x:c r="P148" s="60" t="n">
        <x:v>170.3456974789151</x:v>
      </x:c>
      <x:c r="Q148" s="62" t="n">
        <x:v>1.0365357773350474</x:v>
      </x:c>
      <x:c r="R148" s="64" t="n">
        <x:v>0.03653577733504734</x:v>
      </x:c>
    </x:row>
    <x:row r="149" ht="18" customHeight="1">
      <x:c r="A149" s="46" t="str">
        <x:v>LME_006</x:v>
      </x:c>
      <x:c r="B149" s="46" t="str">
        <x:v>Southeast U.S. Continental Shelf</x:v>
      </x:c>
      <x:c r="C149" s="46" t="str">
        <x:v>commercial</x:v>
      </x:c>
      <x:c r="D149" s="46" t="str">
        <x:v>Sharks &amp; rays</x:v>
      </x:c>
      <x:c r="E149" s="66" t="n">
        <x:v>30</x:v>
      </x:c>
      <x:c r="F149" s="66" t="n">
        <x:v>30</x:v>
      </x:c>
      <x:c r="G149" s="60" t="n">
        <x:v>1243.3850085454999</x:v>
      </x:c>
      <x:c r="H149" s="60" t="n">
        <x:v>1243.3850085454999</x:v>
      </x:c>
      <x:c r="I149" s="62" t="n">
        <x:v>0</x:v>
      </x:c>
      <x:c r="J149" s="64" t="n">
        <x:v>1</x:v>
      </x:c>
      <x:c r="K149" s="62" t="n">
        <x:v>1887.122216594446</x:v>
      </x:c>
      <x:c r="L149" s="60" t="n">
        <x:v>2346419.473406688</x:v>
      </x:c>
      <x:c r="M149" s="62" t="n">
        <x:v>4.2093414897602495</x:v>
      </x:c>
      <x:c r="N149" s="62" t="n">
        <x:v>1619.352849259927</x:v>
      </x:c>
      <x:c r="O149" s="60" t="n">
        <x:v>2013479.056315234</x:v>
      </x:c>
      <x:c r="P149" s="60" t="n">
        <x:v>332940.4170914539</x:v>
      </x:c>
      <x:c r="Q149" s="62" t="n">
        <x:v>1.1653557885527508</x:v>
      </x:c>
      <x:c r="R149" s="64" t="n">
        <x:v>0.16535578855275074</x:v>
      </x:c>
    </x:row>
    <x:row r="150" ht="18" customHeight="1">
      <x:c r="A150" s="46" t="str">
        <x:v>LME_006</x:v>
      </x:c>
      <x:c r="B150" s="46" t="str">
        <x:v>Southeast U.S. Continental Shelf</x:v>
      </x:c>
      <x:c r="C150" s="46" t="str">
        <x:v>commercial</x:v>
      </x:c>
      <x:c r="D150" s="46" t="str">
        <x:v>Tuna &amp; billfishes</x:v>
      </x:c>
      <x:c r="E150" s="66" t="n">
        <x:v>15</x:v>
      </x:c>
      <x:c r="F150" s="66" t="n">
        <x:v>15</x:v>
      </x:c>
      <x:c r="G150" s="60" t="n">
        <x:v>3070.9841406902</x:v>
      </x:c>
      <x:c r="H150" s="60" t="n">
        <x:v>3070.9841406902</x:v>
      </x:c>
      <x:c r="I150" s="62" t="n">
        <x:v>0</x:v>
      </x:c>
      <x:c r="J150" s="64" t="n">
        <x:v>1</x:v>
      </x:c>
      <x:c r="K150" s="62" t="n">
        <x:v>2880.509978444826</x:v>
      </x:c>
      <x:c r="L150" s="60" t="n">
        <x:v>8846000.460903931</x:v>
      </x:c>
      <x:c r="M150" s="62" t="n">
        <x:v>4.4547119374037765</x:v>
      </x:c>
      <x:c r="N150" s="62" t="n">
        <x:v>2849.127846491587</x:v>
      </x:c>
      <x:c r="O150" s="60" t="n">
        <x:v>8749626.431374487</x:v>
      </x:c>
      <x:c r="P150" s="60" t="n">
        <x:v>96374.02952944487</x:v>
      </x:c>
      <x:c r="Q150" s="62" t="n">
        <x:v>1.011014645057744</x:v>
      </x:c>
      <x:c r="R150" s="64" t="n">
        <x:v>0.011014645057743955</x:v>
      </x:c>
    </x:row>
    <x:row r="151" ht="18" customHeight="1">
      <x:c r="A151" s="46" t="str">
        <x:v>LME_007</x:v>
      </x:c>
      <x:c r="B151" s="46" t="str">
        <x:v>Northeast U.S. Continental Shelf</x:v>
      </x:c>
      <x:c r="C151" s="46" t="str">
        <x:v>commercial</x:v>
      </x:c>
      <x:c r="D151" s="46" t="str">
        <x:v>Anchovies</x:v>
      </x:c>
      <x:c r="E151" s="66" t="n">
        <x:v>1</x:v>
      </x:c>
      <x:c r="F151" s="66" t="n">
        <x:v>1</x:v>
      </x:c>
      <x:c r="G151" s="60" t="n">
        <x:v>0.0178273771</x:v>
      </x:c>
      <x:c r="H151" s="60" t="n">
        <x:v>0.0178273771</x:v>
      </x:c>
      <x:c r="I151" s="62" t="n">
        <x:v>0</x:v>
      </x:c>
      <x:c r="J151" s="64" t="n">
        <x:v>1</x:v>
      </x:c>
      <x:c r="K151" s="62" t="n">
        <x:v>288.40315031266056</x:v>
      </x:c>
      <x:c r="L151" s="60" t="n">
        <x:v>5.1414717174517826</x:v>
      </x:c>
      <x:c r="M151" s="62" t="n">
        <x:v>3.46</x:v>
      </x:c>
      <x:c r="N151" s="62" t="n">
        <x:v>288.40315031266056</x:v>
      </x:c>
      <x:c r="O151" s="60" t="n">
        <x:v>5.1414717174517826</x:v>
      </x:c>
      <x:c r="P151" s="60" t="n">
        <x:v>0</x:v>
      </x:c>
      <x:c r="Q151" s="62" t="n">
        <x:v>1</x:v>
      </x:c>
      <x:c r="R151" s="64" t="n">
        <x:v>0</x:v>
      </x:c>
    </x:row>
    <x:row r="152" ht="18" customHeight="1">
      <x:c r="A152" s="46" t="str">
        <x:v>LME_007</x:v>
      </x:c>
      <x:c r="B152" s="46" t="str">
        <x:v>Northeast U.S. Continental Shelf</x:v>
      </x:c>
      <x:c r="C152" s="46" t="str">
        <x:v>commercial</x:v>
      </x:c>
      <x:c r="D152" s="46" t="str">
        <x:v>Cod-likes</x:v>
      </x:c>
      <x:c r="E152" s="66" t="n">
        <x:v>12</x:v>
      </x:c>
      <x:c r="F152" s="66" t="n">
        <x:v>12</x:v>
      </x:c>
      <x:c r="G152" s="60" t="n">
        <x:v>45984.184848767705</x:v>
      </x:c>
      <x:c r="H152" s="60" t="n">
        <x:v>45984.184848767705</x:v>
      </x:c>
      <x:c r="I152" s="62" t="n">
        <x:v>0</x:v>
      </x:c>
      <x:c r="J152" s="64" t="n">
        <x:v>1</x:v>
      </x:c>
      <x:c r="K152" s="62" t="n">
        <x:v>1583.2095781804094</x:v>
      </x:c>
      <x:c r="L152" s="60" t="n">
        <x:v>72802601.89738749</x:v>
      </x:c>
      <x:c r="M152" s="62" t="n">
        <x:v>4.1564482164550505</x:v>
      </x:c>
      <x:c r="N152" s="62" t="n">
        <x:v>1433.6667611473324</x:v>
      </x:c>
      <x:c r="O152" s="60" t="n">
        <x:v>65925997.35613303</x:v>
      </x:c>
      <x:c r="P152" s="60" t="n">
        <x:v>6876604.541254461</x:v>
      </x:c>
      <x:c r="Q152" s="62" t="n">
        <x:v>1.1043079333954853</x:v>
      </x:c>
      <x:c r="R152" s="64" t="n">
        <x:v>0.10430793339548525</x:v>
      </x:c>
    </x:row>
    <x:row r="153" ht="18" customHeight="1">
      <x:c r="A153" s="46" t="str">
        <x:v>LME_007</x:v>
      </x:c>
      <x:c r="B153" s="46" t="str">
        <x:v>Northeast U.S. Continental Shelf</x:v>
      </x:c>
      <x:c r="C153" s="46" t="str">
        <x:v>commercial</x:v>
      </x:c>
      <x:c r="D153" s="46" t="str">
        <x:v>Crustaceans</x:v>
      </x:c>
      <x:c r="E153" s="66" t="n">
        <x:v>17</x:v>
      </x:c>
      <x:c r="F153" s="66" t="n">
        <x:v>17</x:v>
      </x:c>
      <x:c r="G153" s="60" t="n">
        <x:v>99396.539481732</x:v>
      </x:c>
      <x:c r="H153" s="60" t="n">
        <x:v>99396.539481732</x:v>
      </x:c>
      <x:c r="I153" s="62" t="n">
        <x:v>0</x:v>
      </x:c>
      <x:c r="J153" s="64" t="n">
        <x:v>1</x:v>
      </x:c>
      <x:c r="K153" s="62" t="n">
        <x:v>570.4938477518286</x:v>
      </x:c>
      <x:c r="L153" s="60" t="n">
        <x:v>56705114.26214985</x:v>
      </x:c>
      <x:c r="M153" s="62" t="n">
        <x:v>3.6618431932236177</x:v>
      </x:c>
      <x:c r="N153" s="62" t="n">
        <x:v>459.03224429612817</x:v>
      </x:c>
      <x:c r="O153" s="60" t="n">
        <x:v>45626216.59356815</x:v>
      </x:c>
      <x:c r="P153" s="60" t="n">
        <x:v>11078897.668581694</x:v>
      </x:c>
      <x:c r="Q153" s="62" t="n">
        <x:v>1.2428186796041174</x:v>
      </x:c>
      <x:c r="R153" s="64" t="n">
        <x:v>0.2428186796041175</x:v>
      </x:c>
    </x:row>
    <x:row r="154" ht="18" customHeight="1">
      <x:c r="A154" s="46" t="str">
        <x:v>LME_007</x:v>
      </x:c>
      <x:c r="B154" s="46" t="str">
        <x:v>Northeast U.S. Continental Shelf</x:v>
      </x:c>
      <x:c r="C154" s="46" t="str">
        <x:v>commercial</x:v>
      </x:c>
      <x:c r="D154" s="46" t="str">
        <x:v>Flatfishes</x:v>
      </x:c>
      <x:c r="E154" s="66" t="n">
        <x:v>11</x:v>
      </x:c>
      <x:c r="F154" s="66" t="n">
        <x:v>11</x:v>
      </x:c>
      <x:c r="G154" s="60" t="n">
        <x:v>17634.2454305262</x:v>
      </x:c>
      <x:c r="H154" s="60" t="n">
        <x:v>17634.2454305262</x:v>
      </x:c>
      <x:c r="I154" s="62" t="n">
        <x:v>0</x:v>
      </x:c>
      <x:c r="J154" s="64" t="n">
        <x:v>1</x:v>
      </x:c>
      <x:c r="K154" s="62" t="n">
        <x:v>1771.6393945148795</x:v>
      </x:c>
      <x:c r="L154" s="60" t="n">
        <x:v>31241523.89726422</x:v>
      </x:c>
      <x:c r="M154" s="62" t="n">
        <x:v>4.085853341690647</x:v>
      </x:c>
      <x:c r="N154" s="62" t="n">
        <x:v>1218.5780238784475</x:v>
      </x:c>
      <x:c r="O154" s="60" t="n">
        <x:v>21488703.94931816</x:v>
      </x:c>
      <x:c r="P154" s="60" t="n">
        <x:v>9752819.94794606</x:v>
      </x:c>
      <x:c r="Q154" s="62" t="n">
        <x:v>1.4538579884086271</x:v>
      </x:c>
      <x:c r="R154" s="64" t="n">
        <x:v>0.4538579884086271</x:v>
      </x:c>
    </x:row>
    <x:row r="155" ht="18" customHeight="1">
      <x:c r="A155" s="46" t="str">
        <x:v>LME_007</x:v>
      </x:c>
      <x:c r="B155" s="46" t="str">
        <x:v>Northeast U.S. Continental Shelf</x:v>
      </x:c>
      <x:c r="C155" s="46" t="str">
        <x:v>commercial</x:v>
      </x:c>
      <x:c r="D155" s="46" t="str">
        <x:v>Herring-likes</x:v>
      </x:c>
      <x:c r="E155" s="66" t="n">
        <x:v>10</x:v>
      </x:c>
      <x:c r="F155" s="66" t="n">
        <x:v>10</x:v>
      </x:c>
      <x:c r="G155" s="60" t="n">
        <x:v>186844.3049160411</x:v>
      </x:c>
      <x:c r="H155" s="60" t="n">
        <x:v>186844.3049160411</x:v>
      </x:c>
      <x:c r="I155" s="62" t="n">
        <x:v>0</x:v>
      </x:c>
      <x:c r="J155" s="64" t="n">
        <x:v>1</x:v>
      </x:c>
      <x:c r="K155" s="62" t="n">
        <x:v>175.58511145540012</x:v>
      </x:c>
      <x:c r="L155" s="60" t="n">
        <x:v>32807078.103489842</x:v>
      </x:c>
      <x:c r="M155" s="62" t="n">
        <x:v>3.2329012411800204</x:v>
      </x:c>
      <x:c r="N155" s="62" t="n">
        <x:v>170.96265008143655</x:v>
      </x:c>
      <x:c r="O155" s="60" t="n">
        <x:v>31943397.52107037</x:v>
      </x:c>
      <x:c r="P155" s="60" t="n">
        <x:v>863680.5824194737</x:v>
      </x:c>
      <x:c r="Q155" s="62" t="n">
        <x:v>1.0270378434807936</x:v>
      </x:c>
      <x:c r="R155" s="64" t="n">
        <x:v>0.027037843480793685</x:v>
      </x:c>
    </x:row>
    <x:row r="156" ht="18" customHeight="1">
      <x:c r="A156" s="46" t="str">
        <x:v>LME_007</x:v>
      </x:c>
      <x:c r="B156" s="46" t="str">
        <x:v>Northeast U.S. Continental Shelf</x:v>
      </x:c>
      <x:c r="C156" s="46" t="str">
        <x:v>commercial</x:v>
      </x:c>
      <x:c r="D156" s="46" t="str">
        <x:v>Molluscs</x:v>
      </x:c>
      <x:c r="E156" s="66" t="n">
        <x:v>18</x:v>
      </x:c>
      <x:c r="F156" s="66" t="n">
        <x:v>18</x:v>
      </x:c>
      <x:c r="G156" s="60" t="n">
        <x:v>148201.41528790048</x:v>
      </x:c>
      <x:c r="H156" s="60" t="n">
        <x:v>148201.41528790048</x:v>
      </x:c>
      <x:c r="I156" s="62" t="n">
        <x:v>0</x:v>
      </x:c>
      <x:c r="J156" s="64" t="n">
        <x:v>1</x:v>
      </x:c>
      <x:c r="K156" s="62" t="n">
        <x:v>11.437785038211713</x:v>
      </x:c>
      <x:c r="L156" s="60" t="n">
        <x:v>1695095.9304217487</x:v>
      </x:c>
      <x:c r="M156" s="62" t="n">
        <x:v>2.0218445287845284</x:v>
      </x:c>
      <x:c r="N156" s="62" t="n">
        <x:v>10.515853539105454</x:v>
      </x:c>
      <x:c r="O156" s="60" t="n">
        <x:v>1558464.3774557053</x:v>
      </x:c>
      <x:c r="P156" s="60" t="n">
        <x:v>136631.55296604335</x:v>
      </x:c>
      <x:c r="Q156" s="62" t="n">
        <x:v>1.0876706294622551</x:v>
      </x:c>
      <x:c r="R156" s="64" t="n">
        <x:v>0.08767062946225519</x:v>
      </x:c>
    </x:row>
    <x:row r="157" ht="18" customHeight="1">
      <x:c r="A157" s="46" t="str">
        <x:v>LME_007</x:v>
      </x:c>
      <x:c r="B157" s="46" t="str">
        <x:v>Northeast U.S. Continental Shelf</x:v>
      </x:c>
      <x:c r="C157" s="46" t="str">
        <x:v>commercial</x:v>
      </x:c>
      <x:c r="D157" s="46" t="str">
        <x:v>Other fishes &amp; inverts</x:v>
      </x:c>
      <x:c r="E157" s="66" t="n">
        <x:v>38</x:v>
      </x:c>
      <x:c r="F157" s="66" t="n">
        <x:v>38</x:v>
      </x:c>
      <x:c r="G157" s="60" t="n">
        <x:v>94483.8979855644</x:v>
      </x:c>
      <x:c r="H157" s="60" t="n">
        <x:v>94483.8979855644</x:v>
      </x:c>
      <x:c r="I157" s="62" t="n">
        <x:v>0</x:v>
      </x:c>
      <x:c r="J157" s="64" t="n">
        <x:v>1</x:v>
      </x:c>
      <x:c r="K157" s="62" t="n">
        <x:v>575.8763543199871</x:v>
      </x:c>
      <x:c r="L157" s="60" t="n">
        <x:v>54411042.713868394</x:v>
      </x:c>
      <x:c r="M157" s="62" t="n">
        <x:v>3.44676021178623</x:v>
      </x:c>
      <x:c r="N157" s="62" t="n">
        <x:v>279.7436336892012</x:v>
      </x:c>
      <x:c r="O157" s="60" t="n">
        <x:v>26431268.947601583</x:v>
      </x:c>
      <x:c r="P157" s="60" t="n">
        <x:v>27979773.76626681</x:v>
      </x:c>
      <x:c r="Q157" s="62" t="n">
        <x:v>2.0585860944374272</x:v>
      </x:c>
      <x:c r="R157" s="64" t="n">
        <x:v>1.0585860944374275</x:v>
      </x:c>
    </x:row>
    <x:row r="158" ht="18" customHeight="1">
      <x:c r="A158" s="46" t="str">
        <x:v>LME_007</x:v>
      </x:c>
      <x:c r="B158" s="46" t="str">
        <x:v>Northeast U.S. Continental Shelf</x:v>
      </x:c>
      <x:c r="C158" s="46" t="str">
        <x:v>commercial</x:v>
      </x:c>
      <x:c r="D158" s="46" t="str">
        <x:v>Perch-likes</x:v>
      </x:c>
      <x:c r="E158" s="66" t="n">
        <x:v>65</x:v>
      </x:c>
      <x:c r="F158" s="66" t="n">
        <x:v>65</x:v>
      </x:c>
      <x:c r="G158" s="60" t="n">
        <x:v>60755.530297761106</x:v>
      </x:c>
      <x:c r="H158" s="60" t="n">
        <x:v>60755.530297761106</x:v>
      </x:c>
      <x:c r="I158" s="62" t="n">
        <x:v>0</x:v>
      </x:c>
      <x:c r="J158" s="64" t="n">
        <x:v>1</x:v>
      </x:c>
      <x:c r="K158" s="62" t="n">
        <x:v>1863.7126317052243</x:v>
      </x:c>
      <x:c r="L158" s="60" t="n">
        <x:v>113230849.26188685</x:v>
      </x:c>
      <x:c r="M158" s="62" t="n">
        <x:v>4.040370058786635</x:v>
      </x:c>
      <x:c r="N158" s="62" t="n">
        <x:v>1097.4128944408833</x:v>
      </x:c>
      <x:c r="O158" s="60" t="n">
        <x:v>66673902.357356794</x:v>
      </x:c>
      <x:c r="P158" s="60" t="n">
        <x:v>46556946.904530056</x:v>
      </x:c>
      <x:c r="Q158" s="62" t="n">
        <x:v>1.6982784156684803</x:v>
      </x:c>
      <x:c r="R158" s="64" t="n">
        <x:v>0.6982784156684803</x:v>
      </x:c>
    </x:row>
    <x:row r="159" ht="18" customHeight="1">
      <x:c r="A159" s="46" t="str">
        <x:v>LME_007</x:v>
      </x:c>
      <x:c r="B159" s="46" t="str">
        <x:v>Northeast U.S. Continental Shelf</x:v>
      </x:c>
      <x:c r="C159" s="46" t="str">
        <x:v>commercial</x:v>
      </x:c>
      <x:c r="D159" s="46" t="str">
        <x:v>Salmon, smelts, etc</x:v>
      </x:c>
      <x:c r="E159" s="66" t="n">
        <x:v>6</x:v>
      </x:c>
      <x:c r="F159" s="66" t="n">
        <x:v>6</x:v>
      </x:c>
      <x:c r="G159" s="60" t="n">
        <x:v>900.6678409879</x:v>
      </x:c>
      <x:c r="H159" s="60" t="n">
        <x:v>900.6678409879</x:v>
      </x:c>
      <x:c r="I159" s="62" t="n">
        <x:v>0</x:v>
      </x:c>
      <x:c r="J159" s="64" t="n">
        <x:v>1</x:v>
      </x:c>
      <x:c r="K159" s="62" t="n">
        <x:v>342.83499240962755</x:v>
      </x:c>
      <x:c r="L159" s="60" t="n">
        <x:v>308780.45242868236</x:v>
      </x:c>
      <x:c r="M159" s="62" t="n">
        <x:v>3.257639202188396</x:v>
      </x:c>
      <x:c r="N159" s="62" t="n">
        <x:v>180.98359147423935</x:v>
      </x:c>
      <x:c r="O159" s="60" t="n">
        <x:v>163006.10058733926</x:v>
      </x:c>
      <x:c r="P159" s="60" t="n">
        <x:v>145774.3518413431</x:v>
      </x:c>
      <x:c r="Q159" s="62" t="n">
        <x:v>1.8942877065097123</x:v>
      </x:c>
      <x:c r="R159" s="64" t="n">
        <x:v>0.8942877065097123</x:v>
      </x:c>
    </x:row>
    <x:row r="160" ht="18" customHeight="1">
      <x:c r="A160" s="46" t="str">
        <x:v>LME_007</x:v>
      </x:c>
      <x:c r="B160" s="46" t="str">
        <x:v>Northeast U.S. Continental Shelf</x:v>
      </x:c>
      <x:c r="C160" s="46" t="str">
        <x:v>commercial</x:v>
      </x:c>
      <x:c r="D160" s="46" t="str">
        <x:v>Scorpionfishes</x:v>
      </x:c>
      <x:c r="E160" s="66" t="n">
        <x:v>8</x:v>
      </x:c>
      <x:c r="F160" s="66" t="n">
        <x:v>8</x:v>
      </x:c>
      <x:c r="G160" s="60" t="n">
        <x:v>9451.7125782432</x:v>
      </x:c>
      <x:c r="H160" s="60" t="n">
        <x:v>9451.7125782432</x:v>
      </x:c>
      <x:c r="I160" s="62" t="n">
        <x:v>0</x:v>
      </x:c>
      <x:c r="J160" s="64" t="n">
        <x:v>1</x:v>
      </x:c>
      <x:c r="K160" s="62" t="n">
        <x:v>618.5951793118243</x:v>
      </x:c>
      <x:c r="L160" s="60" t="n">
        <x:v>5846783.837142177</x:v>
      </x:c>
      <x:c r="M160" s="62" t="n">
        <x:v>3.7896293634912954</x:v>
      </x:c>
      <x:c r="N160" s="62" t="n">
        <x:v>616.0690105384631</x:v>
      </x:c>
      <x:c r="O160" s="60" t="n">
        <x:v>5822907.215972234</x:v>
      </x:c>
      <x:c r="P160" s="60" t="n">
        <x:v>23876.621169943362</x:v>
      </x:c>
      <x:c r="Q160" s="62" t="n">
        <x:v>1.0041004639580122</x:v>
      </x:c>
      <x:c r="R160" s="64" t="n">
        <x:v>0.00410046395801221</x:v>
      </x:c>
    </x:row>
    <x:row r="161" ht="18" customHeight="1">
      <x:c r="A161" s="46" t="str">
        <x:v>LME_007</x:v>
      </x:c>
      <x:c r="B161" s="46" t="str">
        <x:v>Northeast U.S. Continental Shelf</x:v>
      </x:c>
      <x:c r="C161" s="46" t="str">
        <x:v>commercial</x:v>
      </x:c>
      <x:c r="D161" s="46" t="str">
        <x:v>Sharks &amp; rays</x:v>
      </x:c>
      <x:c r="E161" s="66" t="n">
        <x:v>29</x:v>
      </x:c>
      <x:c r="F161" s="66" t="n">
        <x:v>29</x:v>
      </x:c>
      <x:c r="G161" s="60" t="n">
        <x:v>31851.413635642897</x:v>
      </x:c>
      <x:c r="H161" s="60" t="n">
        <x:v>31851.413635642897</x:v>
      </x:c>
      <x:c r="I161" s="62" t="n">
        <x:v>0</x:v>
      </x:c>
      <x:c r="J161" s="64" t="n">
        <x:v>1</x:v>
      </x:c>
      <x:c r="K161" s="62" t="n">
        <x:v>1520.0045026797493</x:v>
      </x:c>
      <x:c r="L161" s="60" t="n">
        <x:v>48414292.14289237</x:v>
      </x:c>
      <x:c r="M161" s="62" t="n">
        <x:v>4.075518482648599</x:v>
      </x:c>
      <x:c r="N161" s="62" t="n">
        <x:v>1189.9219686282904</x:v>
      </x:c>
      <x:c r="O161" s="60" t="n">
        <x:v>37900696.81691817</x:v>
      </x:c>
      <x:c r="P161" s="60" t="n">
        <x:v>10513595.325974196</x:v>
      </x:c>
      <x:c r="Q161" s="62" t="n">
        <x:v>1.277398470449259</x:v>
      </x:c>
      <x:c r="R161" s="64" t="n">
        <x:v>0.2773984704492589</x:v>
      </x:c>
    </x:row>
    <x:row r="162" ht="18" customHeight="1">
      <x:c r="A162" s="46" t="str">
        <x:v>LME_007</x:v>
      </x:c>
      <x:c r="B162" s="46" t="str">
        <x:v>Northeast U.S. Continental Shelf</x:v>
      </x:c>
      <x:c r="C162" s="46" t="str">
        <x:v>commercial</x:v>
      </x:c>
      <x:c r="D162" s="46" t="str">
        <x:v>Tuna &amp; billfishes</x:v>
      </x:c>
      <x:c r="E162" s="66" t="n">
        <x:v>17</x:v>
      </x:c>
      <x:c r="F162" s="66" t="n">
        <x:v>17</x:v>
      </x:c>
      <x:c r="G162" s="60" t="n">
        <x:v>5374.8171736718</x:v>
      </x:c>
      <x:c r="H162" s="60" t="n">
        <x:v>5374.8171736718</x:v>
      </x:c>
      <x:c r="I162" s="62" t="n">
        <x:v>0</x:v>
      </x:c>
      <x:c r="J162" s="64" t="n">
        <x:v>1</x:v>
      </x:c>
      <x:c r="K162" s="62" t="n">
        <x:v>2865.2943794732573</x:v>
      </x:c>
      <x:c r="L162" s="60" t="n">
        <x:v>15400433.438418148</x:v>
      </x:c>
      <x:c r="M162" s="62" t="n">
        <x:v>4.4530504154205435</x:v>
      </x:c>
      <x:c r="N162" s="62" t="n">
        <x:v>2838.2484896529036</x:v>
      </x:c>
      <x:c r="O162" s="60" t="n">
        <x:v>15255066.725334475</x:v>
      </x:c>
      <x:c r="P162" s="60" t="n">
        <x:v>145366.71308367327</x:v>
      </x:c>
      <x:c r="Q162" s="62" t="n">
        <x:v>1.0095290774993635</x:v>
      </x:c>
      <x:c r="R162" s="64" t="n">
        <x:v>0.00952907749936348</x:v>
      </x:c>
    </x:row>
    <x:row r="163" ht="18" customHeight="1">
      <x:c r="A163" s="46" t="str">
        <x:v>LME_008</x:v>
      </x:c>
      <x:c r="B163" s="46" t="str">
        <x:v>Scotian Shelf</x:v>
      </x:c>
      <x:c r="C163" s="46" t="str">
        <x:v>commercial</x:v>
      </x:c>
      <x:c r="D163" s="46" t="str">
        <x:v>Cod-likes</x:v>
      </x:c>
      <x:c r="E163" s="66" t="n">
        <x:v>10</x:v>
      </x:c>
      <x:c r="F163" s="66" t="n">
        <x:v>10</x:v>
      </x:c>
      <x:c r="G163" s="60" t="n">
        <x:v>14292.4020565726</x:v>
      </x:c>
      <x:c r="H163" s="60" t="n">
        <x:v>14292.4020565726</x:v>
      </x:c>
      <x:c r="I163" s="62" t="n">
        <x:v>0</x:v>
      </x:c>
      <x:c r="J163" s="64" t="n">
        <x:v>1</x:v>
      </x:c>
      <x:c r="K163" s="62" t="n">
        <x:v>1864.0025305081474</x:v>
      </x:c>
      <x:c r="L163" s="60" t="n">
        <x:v>26641073.600491177</x:v>
      </x:c>
      <x:c r="M163" s="62" t="n">
        <x:v>4.218816155274312</x:v>
      </x:c>
      <x:c r="N163" s="62" t="n">
        <x:v>1655.0691943680963</x:v>
      </x:c>
      <x:c r="O163" s="60" t="n">
        <x:v>23654914.357356537</x:v>
      </x:c>
      <x:c r="P163" s="60" t="n">
        <x:v>2986159.24313464</x:v>
      </x:c>
      <x:c r="Q163" s="62" t="n">
        <x:v>1.1262384296988994</x:v>
      </x:c>
      <x:c r="R163" s="64" t="n">
        <x:v>0.12623842969889942</x:v>
      </x:c>
    </x:row>
    <x:row r="164" ht="18" customHeight="1">
      <x:c r="A164" s="46" t="str">
        <x:v>LME_008</x:v>
      </x:c>
      <x:c r="B164" s="46" t="str">
        <x:v>Scotian Shelf</x:v>
      </x:c>
      <x:c r="C164" s="46" t="str">
        <x:v>commercial</x:v>
      </x:c>
      <x:c r="D164" s="46" t="str">
        <x:v>Crustaceans</x:v>
      </x:c>
      <x:c r="E164" s="66" t="n">
        <x:v>8</x:v>
      </x:c>
      <x:c r="F164" s="66" t="n">
        <x:v>8</x:v>
      </x:c>
      <x:c r="G164" s="60" t="n">
        <x:v>47374.38401841311</x:v>
      </x:c>
      <x:c r="H164" s="60" t="n">
        <x:v>47374.38401841311</x:v>
      </x:c>
      <x:c r="I164" s="62" t="n">
        <x:v>0</x:v>
      </x:c>
      <x:c r="J164" s="64" t="n">
        <x:v>1</x:v>
      </x:c>
      <x:c r="K164" s="62" t="n">
        <x:v>445.57652421645855</x:v>
      </x:c>
      <x:c r="L164" s="60" t="n">
        <x:v>21108913.367820255</x:v>
      </x:c>
      <x:c r="M164" s="62" t="n">
        <x:v>3.5902348855775528</x:v>
      </x:c>
      <x:c r="N164" s="62" t="n">
        <x:v>389.25561464862795</x:v>
      </x:c>
      <x:c r="O164" s="60" t="n">
        <x:v>18440744.969687533</x:v>
      </x:c>
      <x:c r="P164" s="60" t="n">
        <x:v>2668168.398132723</x:v>
      </x:c>
      <x:c r="Q164" s="62" t="n">
        <x:v>1.1446887532211196</x:v>
      </x:c>
      <x:c r="R164" s="64" t="n">
        <x:v>0.14468875322111965</x:v>
      </x:c>
    </x:row>
    <x:row r="165" ht="18" customHeight="1">
      <x:c r="A165" s="46" t="str">
        <x:v>LME_008</x:v>
      </x:c>
      <x:c r="B165" s="46" t="str">
        <x:v>Scotian Shelf</x:v>
      </x:c>
      <x:c r="C165" s="46" t="str">
        <x:v>commercial</x:v>
      </x:c>
      <x:c r="D165" s="46" t="str">
        <x:v>Flatfishes</x:v>
      </x:c>
      <x:c r="E165" s="66" t="n">
        <x:v>8</x:v>
      </x:c>
      <x:c r="F165" s="66" t="n">
        <x:v>8</x:v>
      </x:c>
      <x:c r="G165" s="60" t="n">
        <x:v>6848.612356211201</x:v>
      </x:c>
      <x:c r="H165" s="60" t="n">
        <x:v>6848.612356211201</x:v>
      </x:c>
      <x:c r="I165" s="62" t="n">
        <x:v>0</x:v>
      </x:c>
      <x:c r="J165" s="64" t="n">
        <x:v>1</x:v>
      </x:c>
      <x:c r="K165" s="62" t="n">
        <x:v>711.3811548665394</x:v>
      </x:c>
      <x:c r="L165" s="60" t="n">
        <x:v>4871973.767194776</x:v>
      </x:c>
      <x:c r="M165" s="62" t="n">
        <x:v>3.791091769177757</x:v>
      </x:c>
      <x:c r="N165" s="62" t="n">
        <x:v>618.1470047207234</x:v>
      </x:c>
      <x:c r="O165" s="60" t="n">
        <x:v>4233449.2144852895</x:v>
      </x:c>
      <x:c r="P165" s="60" t="n">
        <x:v>638524.5527094863</x:v>
      </x:c>
      <x:c r="Q165" s="62" t="n">
        <x:v>1.150828442803729</x:v>
      </x:c>
      <x:c r="R165" s="64" t="n">
        <x:v>0.1508284428037291</x:v>
      </x:c>
    </x:row>
    <x:row r="166" ht="18" customHeight="1">
      <x:c r="A166" s="46" t="str">
        <x:v>LME_008</x:v>
      </x:c>
      <x:c r="B166" s="46" t="str">
        <x:v>Scotian Shelf</x:v>
      </x:c>
      <x:c r="C166" s="46" t="str">
        <x:v>commercial</x:v>
      </x:c>
      <x:c r="D166" s="46" t="str">
        <x:v>Herring-likes</x:v>
      </x:c>
      <x:c r="E166" s="66" t="n">
        <x:v>3</x:v>
      </x:c>
      <x:c r="F166" s="66" t="n">
        <x:v>3</x:v>
      </x:c>
      <x:c r="G166" s="60" t="n">
        <x:v>39258.0915846662</x:v>
      </x:c>
      <x:c r="H166" s="60" t="n">
        <x:v>39258.0915846662</x:v>
      </x:c>
      <x:c r="I166" s="62" t="n">
        <x:v>0</x:v>
      </x:c>
      <x:c r="J166" s="64" t="n">
        <x:v>1</x:v>
      </x:c>
      <x:c r="K166" s="62" t="n">
        <x:v>240.0608554597599</x:v>
      </x:c>
      <x:c r="L166" s="60" t="n">
        <x:v>9424331.04953257</x:v>
      </x:c>
      <x:c r="M166" s="62" t="n">
        <x:v>3.380317089497164</x:v>
      </x:c>
      <x:c r="N166" s="62" t="n">
        <x:v>240.05850077667503</x:v>
      </x:c>
      <x:c r="O166" s="60" t="n">
        <x:v>9424238.609168371</x:v>
      </x:c>
      <x:c r="P166" s="60" t="n">
        <x:v>92.4403641987592</x:v>
      </x:c>
      <x:c r="Q166" s="62" t="n">
        <x:v>1.0000098087885962</x:v>
      </x:c>
      <x:c r="R166" s="64" t="n">
        <x:v>0.000009808788596335898</x:v>
      </x:c>
    </x:row>
    <x:row r="167" ht="18" customHeight="1">
      <x:c r="A167" s="46" t="str">
        <x:v>LME_008</x:v>
      </x:c>
      <x:c r="B167" s="46" t="str">
        <x:v>Scotian Shelf</x:v>
      </x:c>
      <x:c r="C167" s="46" t="str">
        <x:v>commercial</x:v>
      </x:c>
      <x:c r="D167" s="46" t="str">
        <x:v>Molluscs</x:v>
      </x:c>
      <x:c r="E167" s="66" t="n">
        <x:v>6</x:v>
      </x:c>
      <x:c r="F167" s="66" t="n">
        <x:v>6</x:v>
      </x:c>
      <x:c r="G167" s="60" t="n">
        <x:v>24583.8157469929</x:v>
      </x:c>
      <x:c r="H167" s="60" t="n">
        <x:v>24583.8157469929</x:v>
      </x:c>
      <x:c r="I167" s="62" t="n">
        <x:v>0</x:v>
      </x:c>
      <x:c r="J167" s="64" t="n">
        <x:v>1</x:v>
      </x:c>
      <x:c r="K167" s="62" t="n">
        <x:v>14.56608025506798</x:v>
      </x:c>
      <x:c r="L167" s="60" t="n">
        <x:v>358089.83314650255</x:v>
      </x:c>
      <x:c r="M167" s="62" t="n">
        <x:v>2.1294966374448223</x:v>
      </x:c>
      <x:c r="N167" s="62" t="n">
        <x:v>13.474002929637047</x:v>
      </x:c>
      <x:c r="O167" s="60" t="n">
        <x:v>331242.4053966397</x:v>
      </x:c>
      <x:c r="P167" s="60" t="n">
        <x:v>26847.427749862836</x:v>
      </x:c>
      <x:c r="Q167" s="62" t="n">
        <x:v>1.0810506967479447</x:v>
      </x:c>
      <x:c r="R167" s="64" t="n">
        <x:v>0.0810506967479448</x:v>
      </x:c>
    </x:row>
    <x:row r="168" ht="18" customHeight="1">
      <x:c r="A168" s="46" t="str">
        <x:v>LME_008</x:v>
      </x:c>
      <x:c r="B168" s="46" t="str">
        <x:v>Scotian Shelf</x:v>
      </x:c>
      <x:c r="C168" s="46" t="str">
        <x:v>commercial</x:v>
      </x:c>
      <x:c r="D168" s="46" t="str">
        <x:v>Other fishes &amp; inverts</x:v>
      </x:c>
      <x:c r="E168" s="66" t="n">
        <x:v>17</x:v>
      </x:c>
      <x:c r="F168" s="66" t="n">
        <x:v>17</x:v>
      </x:c>
      <x:c r="G168" s="60" t="n">
        <x:v>6875.2066360481</x:v>
      </x:c>
      <x:c r="H168" s="60" t="n">
        <x:v>6875.2066360481</x:v>
      </x:c>
      <x:c r="I168" s="62" t="n">
        <x:v>0</x:v>
      </x:c>
      <x:c r="J168" s="64" t="n">
        <x:v>1</x:v>
      </x:c>
      <x:c r="K168" s="62" t="n">
        <x:v>488.0831756726508</x:v>
      </x:c>
      <x:c r="L168" s="60" t="n">
        <x:v>3355672.6883280394</x:v>
      </x:c>
      <x:c r="M168" s="62" t="n">
        <x:v>3.3240249117617378</x:v>
      </x:c>
      <x:c r="N168" s="62" t="n">
        <x:v>210.87491073731618</x:v>
      </x:c>
      <x:c r="O168" s="60" t="n">
        <x:v>1449808.585677247</x:v>
      </x:c>
      <x:c r="P168" s="60" t="n">
        <x:v>1905864.1026507923</x:v>
      </x:c>
      <x:c r="Q168" s="62" t="n">
        <x:v>2.314562571555271</x:v>
      </x:c>
      <x:c r="R168" s="64" t="n">
        <x:v>1.3145625715552711</x:v>
      </x:c>
    </x:row>
    <x:row r="169" ht="18" customHeight="1">
      <x:c r="A169" s="46" t="str">
        <x:v>LME_008</x:v>
      </x:c>
      <x:c r="B169" s="46" t="str">
        <x:v>Scotian Shelf</x:v>
      </x:c>
      <x:c r="C169" s="46" t="str">
        <x:v>commercial</x:v>
      </x:c>
      <x:c r="D169" s="46" t="str">
        <x:v>Perch-likes</x:v>
      </x:c>
      <x:c r="E169" s="66" t="n">
        <x:v>12</x:v>
      </x:c>
      <x:c r="F169" s="66" t="n">
        <x:v>12</x:v>
      </x:c>
      <x:c r="G169" s="60" t="n">
        <x:v>3809.6786226971</x:v>
      </x:c>
      <x:c r="H169" s="60" t="n">
        <x:v>3809.6786226971</x:v>
      </x:c>
      <x:c r="I169" s="62" t="n">
        <x:v>0</x:v>
      </x:c>
      <x:c r="J169" s="64" t="n">
        <x:v>1</x:v>
      </x:c>
      <x:c r="K169" s="62" t="n">
        <x:v>896.9870771834276</x:v>
      </x:c>
      <x:c r="L169" s="60" t="n">
        <x:v>3417232.4927812577</x:v>
      </x:c>
      <x:c r="M169" s="62" t="n">
        <x:v>3.737245092858726</x:v>
      </x:c>
      <x:c r="N169" s="62" t="n">
        <x:v>546.065944916749</x:v>
      </x:c>
      <x:c r="O169" s="60" t="n">
        <x:v>2080335.7569322307</x:v>
      </x:c>
      <x:c r="P169" s="60" t="n">
        <x:v>1336896.735849027</x:v>
      </x:c>
      <x:c r="Q169" s="62" t="n">
        <x:v>1.6426350801278748</x:v>
      </x:c>
      <x:c r="R169" s="64" t="n">
        <x:v>0.6426350801278747</x:v>
      </x:c>
    </x:row>
    <x:row r="170" ht="18" customHeight="1">
      <x:c r="A170" s="46" t="str">
        <x:v>LME_008</x:v>
      </x:c>
      <x:c r="B170" s="46" t="str">
        <x:v>Scotian Shelf</x:v>
      </x:c>
      <x:c r="C170" s="46" t="str">
        <x:v>commercial</x:v>
      </x:c>
      <x:c r="D170" s="46" t="str">
        <x:v>Salmon, smelts, etc</x:v>
      </x:c>
      <x:c r="E170" s="66" t="n">
        <x:v>7</x:v>
      </x:c>
      <x:c r="F170" s="66" t="n">
        <x:v>7</x:v>
      </x:c>
      <x:c r="G170" s="60" t="n">
        <x:v>1578.4018091099</x:v>
      </x:c>
      <x:c r="H170" s="60" t="n">
        <x:v>1578.4018091099</x:v>
      </x:c>
      <x:c r="I170" s="62" t="n">
        <x:v>0</x:v>
      </x:c>
      <x:c r="J170" s="64" t="n">
        <x:v>1</x:v>
      </x:c>
      <x:c r="K170" s="62" t="n">
        <x:v>1112.9161397656299</x:v>
      </x:c>
      <x:c r="L170" s="60" t="n">
        <x:v>1756628.8483936763</x:v>
      </x:c>
      <x:c r="M170" s="62" t="n">
        <x:v>3.7042032207686812</x:v>
      </x:c>
      <x:c r="N170" s="62" t="n">
        <x:v>506.0614094982871</x:v>
      </x:c>
      <x:c r="O170" s="60" t="n">
        <x:v>798768.2442728023</x:v>
      </x:c>
      <x:c r="P170" s="60" t="n">
        <x:v>957860.6041208741</x:v>
      </x:c>
      <x:c r="Q170" s="62" t="n">
        <x:v>2.1991721140503144</x:v>
      </x:c>
      <x:c r="R170" s="64" t="n">
        <x:v>1.1991721140503142</x:v>
      </x:c>
    </x:row>
    <x:row r="171" ht="18" customHeight="1">
      <x:c r="A171" s="46" t="str">
        <x:v>LME_008</x:v>
      </x:c>
      <x:c r="B171" s="46" t="str">
        <x:v>Scotian Shelf</x:v>
      </x:c>
      <x:c r="C171" s="46" t="str">
        <x:v>commercial</x:v>
      </x:c>
      <x:c r="D171" s="46" t="str">
        <x:v>Scorpionfishes</x:v>
      </x:c>
      <x:c r="E171" s="66" t="n">
        <x:v>6</x:v>
      </x:c>
      <x:c r="F171" s="66" t="n">
        <x:v>6</x:v>
      </x:c>
      <x:c r="G171" s="60" t="n">
        <x:v>2541.7667255396</x:v>
      </x:c>
      <x:c r="H171" s="60" t="n">
        <x:v>2541.7667255396</x:v>
      </x:c>
      <x:c r="I171" s="62" t="n">
        <x:v>0</x:v>
      </x:c>
      <x:c r="J171" s="64" t="n">
        <x:v>1</x:v>
      </x:c>
      <x:c r="K171" s="62" t="n">
        <x:v>626.1120680835597</x:v>
      </x:c>
      <x:c r="L171" s="60" t="n">
        <x:v>1591430.8211135766</x:v>
      </x:c>
      <x:c r="M171" s="62" t="n">
        <x:v>3.7954089261652832</x:v>
      </x:c>
      <x:c r="N171" s="62" t="n">
        <x:v>624.3224128615698</x:v>
      </x:c>
      <x:c r="O171" s="60" t="n">
        <x:v>1586881.9350201346</x:v>
      </x:c>
      <x:c r="P171" s="60" t="n">
        <x:v>4548.886093442095</x:v>
      </x:c>
      <x:c r="Q171" s="62" t="n">
        <x:v>1.0028665561016576</x:v>
      </x:c>
      <x:c r="R171" s="64" t="n">
        <x:v>0.002866556101657543</x:v>
      </x:c>
    </x:row>
    <x:row r="172" ht="18" customHeight="1">
      <x:c r="A172" s="46" t="str">
        <x:v>LME_008</x:v>
      </x:c>
      <x:c r="B172" s="46" t="str">
        <x:v>Scotian Shelf</x:v>
      </x:c>
      <x:c r="C172" s="46" t="str">
        <x:v>commercial</x:v>
      </x:c>
      <x:c r="D172" s="46" t="str">
        <x:v>Sharks &amp; rays</x:v>
      </x:c>
      <x:c r="E172" s="66" t="n">
        <x:v>9</x:v>
      </x:c>
      <x:c r="F172" s="66" t="n">
        <x:v>9</x:v>
      </x:c>
      <x:c r="G172" s="60" t="n">
        <x:v>715.6396049350999</x:v>
      </x:c>
      <x:c r="H172" s="60" t="n">
        <x:v>715.6396049350999</x:v>
      </x:c>
      <x:c r="I172" s="62" t="n">
        <x:v>0</x:v>
      </x:c>
      <x:c r="J172" s="64" t="n">
        <x:v>1</x:v>
      </x:c>
      <x:c r="K172" s="62" t="n">
        <x:v>1046.3004995542794</x:v>
      </x:c>
      <x:c r="L172" s="60" t="n">
        <x:v>748774.0761444222</x:v>
      </x:c>
      <x:c r="M172" s="62" t="n">
        <x:v>3.966630203046906</x:v>
      </x:c>
      <x:c r="N172" s="62" t="n">
        <x:v>926.0409739206624</x:v>
      </x:c>
      <x:c r="O172" s="60" t="n">
        <x:v>662711.596730298</x:v>
      </x:c>
      <x:c r="P172" s="60" t="n">
        <x:v>86062.47941412416</x:v>
      </x:c>
      <x:c r="Q172" s="62" t="n">
        <x:v>1.1298641518252301</x:v>
      </x:c>
      <x:c r="R172" s="64" t="n">
        <x:v>0.1298641518252302</x:v>
      </x:c>
    </x:row>
    <x:row r="173" ht="18" customHeight="1">
      <x:c r="A173" s="46" t="str">
        <x:v>LME_008</x:v>
      </x:c>
      <x:c r="B173" s="46" t="str">
        <x:v>Scotian Shelf</x:v>
      </x:c>
      <x:c r="C173" s="46" t="str">
        <x:v>commercial</x:v>
      </x:c>
      <x:c r="D173" s="46" t="str">
        <x:v>Tuna &amp; billfishes</x:v>
      </x:c>
      <x:c r="E173" s="66" t="n">
        <x:v>6</x:v>
      </x:c>
      <x:c r="F173" s="66" t="n">
        <x:v>6</x:v>
      </x:c>
      <x:c r="G173" s="60" t="n">
        <x:v>802.2615696214</x:v>
      </x:c>
      <x:c r="H173" s="60" t="n">
        <x:v>802.2615696214</x:v>
      </x:c>
      <x:c r="I173" s="62" t="n">
        <x:v>0</x:v>
      </x:c>
      <x:c r="J173" s="64" t="n">
        <x:v>1</x:v>
      </x:c>
      <x:c r="K173" s="62" t="n">
        <x:v>2416.1607126058616</x:v>
      </x:c>
      <x:c r="L173" s="60" t="n">
        <x:v>1938392.8857527387</x:v>
      </x:c>
      <x:c r="M173" s="62" t="n">
        <x:v>4.363988505706929</x:v>
      </x:c>
      <x:c r="N173" s="62" t="n">
        <x:v>2312.0035985194113</x:v>
      </x:c>
      <x:c r="O173" s="60" t="n">
        <x:v>1854831.635918508</x:v>
      </x:c>
      <x:c r="P173" s="60" t="n">
        <x:v>83561.24983423064</x:v>
      </x:c>
      <x:c r="Q173" s="62" t="n">
        <x:v>1.0450505847625633</x:v>
      </x:c>
      <x:c r="R173" s="64" t="n">
        <x:v>0.04505058476256327</x:v>
      </x:c>
    </x:row>
    <x:row r="174" ht="18" customHeight="1">
      <x:c r="A174" s="46" t="str">
        <x:v>LME_009</x:v>
      </x:c>
      <x:c r="B174" s="46" t="str">
        <x:v>Newfoundland-Labrador Shelf</x:v>
      </x:c>
      <x:c r="C174" s="46" t="str">
        <x:v>commercial</x:v>
      </x:c>
      <x:c r="D174" s="46" t="str">
        <x:v>Cod-likes</x:v>
      </x:c>
      <x:c r="E174" s="66" t="n">
        <x:v>17</x:v>
      </x:c>
      <x:c r="F174" s="66" t="n">
        <x:v>17</x:v>
      </x:c>
      <x:c r="G174" s="60" t="n">
        <x:v>54335.454490040705</x:v>
      </x:c>
      <x:c r="H174" s="60" t="n">
        <x:v>54335.454490040705</x:v>
      </x:c>
      <x:c r="I174" s="62" t="n">
        <x:v>0</x:v>
      </x:c>
      <x:c r="J174" s="64" t="n">
        <x:v>1</x:v>
      </x:c>
      <x:c r="K174" s="62" t="n">
        <x:v>1281.7566192710995</x:v>
      </x:c>
      <x:c r="L174" s="60" t="n">
        <x:v>69644828.45371325</x:v>
      </x:c>
      <x:c r="M174" s="62" t="n">
        <x:v>4.099879628789628</x:v>
      </x:c>
      <x:c r="N174" s="62" t="n">
        <x:v>1258.576530140644</x:v>
      </x:c>
      <x:c r="O174" s="60" t="n">
        <x:v>68385327.77569032</x:v>
      </x:c>
      <x:c r="P174" s="60" t="n">
        <x:v>1259500.678022936</x:v>
      </x:c>
      <x:c r="Q174" s="62" t="n">
        <x:v>1.018417703314287</x:v>
      </x:c>
      <x:c r="R174" s="64" t="n">
        <x:v>0.018417703314287024</x:v>
      </x:c>
    </x:row>
    <x:row r="175" ht="18" customHeight="1">
      <x:c r="A175" s="46" t="str">
        <x:v>LME_009</x:v>
      </x:c>
      <x:c r="B175" s="46" t="str">
        <x:v>Newfoundland-Labrador Shelf</x:v>
      </x:c>
      <x:c r="C175" s="46" t="str">
        <x:v>commercial</x:v>
      </x:c>
      <x:c r="D175" s="46" t="str">
        <x:v>Crustaceans</x:v>
      </x:c>
      <x:c r="E175" s="66" t="n">
        <x:v>9</x:v>
      </x:c>
      <x:c r="F175" s="66" t="n">
        <x:v>9</x:v>
      </x:c>
      <x:c r="G175" s="60" t="n">
        <x:v>198938.11354446295</x:v>
      </x:c>
      <x:c r="H175" s="60" t="n">
        <x:v>198938.11354446295</x:v>
      </x:c>
      <x:c r="I175" s="62" t="n">
        <x:v>0</x:v>
      </x:c>
      <x:c r="J175" s="64" t="n">
        <x:v>1</x:v>
      </x:c>
      <x:c r="K175" s="62" t="n">
        <x:v>314.5342258495164</x:v>
      </x:c>
      <x:c r="L175" s="60" t="n">
        <x:v>62572845.53567085</x:v>
      </x:c>
      <x:c r="M175" s="62" t="n">
        <x:v>3.3220465289542496</x:v>
      </x:c>
      <x:c r="N175" s="62" t="n">
        <x:v>209.9164769533079</x:v>
      </x:c>
      <x:c r="O175" s="60" t="n">
        <x:v>41760387.92699081</x:v>
      </x:c>
      <x:c r="P175" s="60" t="n">
        <x:v>20812457.60868004</x:v>
      </x:c>
      <x:c r="Q175" s="62" t="n">
        <x:v>1.498377975919817</x:v>
      </x:c>
      <x:c r="R175" s="64" t="n">
        <x:v>0.498377975919817</x:v>
      </x:c>
    </x:row>
    <x:row r="176" ht="18" customHeight="1">
      <x:c r="A176" s="46" t="str">
        <x:v>LME_009</x:v>
      </x:c>
      <x:c r="B176" s="46" t="str">
        <x:v>Newfoundland-Labrador Shelf</x:v>
      </x:c>
      <x:c r="C176" s="46" t="str">
        <x:v>commercial</x:v>
      </x:c>
      <x:c r="D176" s="46" t="str">
        <x:v>Flatfishes</x:v>
      </x:c>
      <x:c r="E176" s="66" t="n">
        <x:v>7</x:v>
      </x:c>
      <x:c r="F176" s="66" t="n">
        <x:v>7</x:v>
      </x:c>
      <x:c r="G176" s="60" t="n">
        <x:v>36567.0714180516</x:v>
      </x:c>
      <x:c r="H176" s="60" t="n">
        <x:v>36567.0714180516</x:v>
      </x:c>
      <x:c r="I176" s="62" t="n">
        <x:v>0</x:v>
      </x:c>
      <x:c r="J176" s="64" t="n">
        <x:v>1</x:v>
      </x:c>
      <x:c r="K176" s="62" t="n">
        <x:v>1890.475264459271</x:v>
      </x:c>
      <x:c r="L176" s="60" t="n">
        <x:v>69129144.00954215</x:v>
      </x:c>
      <x:c r="M176" s="62" t="n">
        <x:v>4.185022559803227</x:v>
      </x:c>
      <x:c r="N176" s="62" t="n">
        <x:v>1531.166997412843</x:v>
      </x:c>
      <x:c r="O176" s="60" t="n">
        <x:v>55990292.94735906</x:v>
      </x:c>
      <x:c r="P176" s="60" t="n">
        <x:v>13138851.06218309</x:v>
      </x:c>
      <x:c r="Q176" s="62" t="n">
        <x:v>1.2346630169364532</x:v>
      </x:c>
      <x:c r="R176" s="64" t="n">
        <x:v>0.23466301693645308</x:v>
      </x:c>
    </x:row>
    <x:row r="177" ht="18" customHeight="1">
      <x:c r="A177" s="46" t="str">
        <x:v>LME_009</x:v>
      </x:c>
      <x:c r="B177" s="46" t="str">
        <x:v>Newfoundland-Labrador Shelf</x:v>
      </x:c>
      <x:c r="C177" s="46" t="str">
        <x:v>commercial</x:v>
      </x:c>
      <x:c r="D177" s="46" t="str">
        <x:v>Herring-likes</x:v>
      </x:c>
      <x:c r="E177" s="66" t="n">
        <x:v>3</x:v>
      </x:c>
      <x:c r="F177" s="66" t="n">
        <x:v>3</x:v>
      </x:c>
      <x:c r="G177" s="60" t="n">
        <x:v>11344.2640213873</x:v>
      </x:c>
      <x:c r="H177" s="60" t="n">
        <x:v>11344.2640213873</x:v>
      </x:c>
      <x:c r="I177" s="62" t="n">
        <x:v>0</x:v>
      </x:c>
      <x:c r="J177" s="64" t="n">
        <x:v>1</x:v>
      </x:c>
      <x:c r="K177" s="62" t="n">
        <x:v>239.85816688178113</x:v>
      </x:c>
      <x:c r="L177" s="60" t="n">
        <x:v>2721014.3727929005</x:v>
      </x:c>
      <x:c r="M177" s="62" t="n">
        <x:v>3.379925171009269</x:v>
      </x:c>
      <x:c r="N177" s="62" t="n">
        <x:v>239.8419635428516</x:v>
      </x:c>
      <x:c r="O177" s="60" t="n">
        <x:v>2720830.557838056</x:v>
      </x:c>
      <x:c r="P177" s="60" t="n">
        <x:v>183.8149548447691</x:v>
      </x:c>
      <x:c r="Q177" s="62" t="n">
        <x:v>1.0000675583984144</x:v>
      </x:c>
      <x:c r="R177" s="64" t="n">
        <x:v>0.00006755839841449979</x:v>
      </x:c>
    </x:row>
    <x:row r="178" ht="18" customHeight="1">
      <x:c r="A178" s="46" t="str">
        <x:v>LME_009</x:v>
      </x:c>
      <x:c r="B178" s="46" t="str">
        <x:v>Newfoundland-Labrador Shelf</x:v>
      </x:c>
      <x:c r="C178" s="46" t="str">
        <x:v>commercial</x:v>
      </x:c>
      <x:c r="D178" s="46" t="str">
        <x:v>Molluscs</x:v>
      </x:c>
      <x:c r="E178" s="66" t="n">
        <x:v>6</x:v>
      </x:c>
      <x:c r="F178" s="66" t="n">
        <x:v>6</x:v>
      </x:c>
      <x:c r="G178" s="60" t="n">
        <x:v>84156.7897566199</x:v>
      </x:c>
      <x:c r="H178" s="60" t="n">
        <x:v>84156.7897566199</x:v>
      </x:c>
      <x:c r="I178" s="62" t="n">
        <x:v>0</x:v>
      </x:c>
      <x:c r="J178" s="64" t="n">
        <x:v>1</x:v>
      </x:c>
      <x:c r="K178" s="62" t="n">
        <x:v>14.612044631571262</x:v>
      </x:c>
      <x:c r="L178" s="60" t="n">
        <x:v>1229702.7679734891</x:v>
      </x:c>
      <x:c r="M178" s="62" t="n">
        <x:v>2.0971846010055635</x:v>
      </x:c>
      <x:c r="N178" s="62" t="n">
        <x:v>12.507905776870876</x:v>
      </x:c>
      <x:c r="O178" s="60" t="n">
        <x:v>1052625.1967597338</x:v>
      </x:c>
      <x:c r="P178" s="60" t="n">
        <x:v>177077.5712137553</x:v>
      </x:c>
      <x:c r="Q178" s="62" t="n">
        <x:v>1.1682247126126641</x:v>
      </x:c>
      <x:c r="R178" s="64" t="n">
        <x:v>0.16822471261266417</x:v>
      </x:c>
    </x:row>
    <x:row r="179" ht="18" customHeight="1">
      <x:c r="A179" s="46" t="str">
        <x:v>LME_009</x:v>
      </x:c>
      <x:c r="B179" s="46" t="str">
        <x:v>Newfoundland-Labrador Shelf</x:v>
      </x:c>
      <x:c r="C179" s="46" t="str">
        <x:v>commercial</x:v>
      </x:c>
      <x:c r="D179" s="46" t="str">
        <x:v>Other fishes &amp; inverts</x:v>
      </x:c>
      <x:c r="E179" s="66" t="n">
        <x:v>22</x:v>
      </x:c>
      <x:c r="F179" s="66" t="n">
        <x:v>22</x:v>
      </x:c>
      <x:c r="G179" s="60" t="n">
        <x:v>24468.44695543669</x:v>
      </x:c>
      <x:c r="H179" s="60" t="n">
        <x:v>24468.44695543669</x:v>
      </x:c>
      <x:c r="I179" s="62" t="n">
        <x:v>0</x:v>
      </x:c>
      <x:c r="J179" s="64" t="n">
        <x:v>1</x:v>
      </x:c>
      <x:c r="K179" s="62" t="n">
        <x:v>196.4041247358553</x:v>
      </x:c>
      <x:c r="L179" s="60" t="n">
        <x:v>4805703.907928247</x:v>
      </x:c>
      <x:c r="M179" s="62" t="n">
        <x:v>3.221365771004841</x:v>
      </x:c>
      <x:c r="N179" s="62" t="n">
        <x:v>166.48141980036706</x:v>
      </x:c>
      <x:c r="O179" s="60" t="n">
        <x:v>4073541.789451069</x:v>
      </x:c>
      <x:c r="P179" s="60" t="n">
        <x:v>732162.1184771778</x:v>
      </x:c>
      <x:c r="Q179" s="62" t="n">
        <x:v>1.1797360028006096</x:v>
      </x:c>
      <x:c r="R179" s="64" t="n">
        <x:v>0.17973600280060964</x:v>
      </x:c>
    </x:row>
    <x:row r="180" ht="18" customHeight="1">
      <x:c r="A180" s="46" t="str">
        <x:v>LME_009</x:v>
      </x:c>
      <x:c r="B180" s="46" t="str">
        <x:v>Newfoundland-Labrador Shelf</x:v>
      </x:c>
      <x:c r="C180" s="46" t="str">
        <x:v>commercial</x:v>
      </x:c>
      <x:c r="D180" s="46" t="str">
        <x:v>Perch-likes</x:v>
      </x:c>
      <x:c r="E180" s="66" t="n">
        <x:v>15</x:v>
      </x:c>
      <x:c r="F180" s="66" t="n">
        <x:v>15</x:v>
      </x:c>
      <x:c r="G180" s="60" t="n">
        <x:v>1844.120792624</x:v>
      </x:c>
      <x:c r="H180" s="60" t="n">
        <x:v>1844.120792624</x:v>
      </x:c>
      <x:c r="I180" s="62" t="n">
        <x:v>0</x:v>
      </x:c>
      <x:c r="J180" s="64" t="n">
        <x:v>1</x:v>
      </x:c>
      <x:c r="K180" s="62" t="n">
        <x:v>534.7104405759342</x:v>
      </x:c>
      <x:c r="L180" s="60" t="n">
        <x:v>986070.64149922</x:v>
      </x:c>
      <x:c r="M180" s="62" t="n">
        <x:v>3.5834704184250734</x:v>
      </x:c>
      <x:c r="N180" s="62" t="n">
        <x:v>383.2396354906417</x:v>
      </x:c>
      <x:c r="O180" s="60" t="n">
        <x:v>706740.180365935</x:v>
      </x:c>
      <x:c r="P180" s="60" t="n">
        <x:v>279330.4611332851</x:v>
      </x:c>
      <x:c r="Q180" s="62" t="n">
        <x:v>1.3952378383080664</x:v>
      </x:c>
      <x:c r="R180" s="64" t="n">
        <x:v>0.39523783830806636</x:v>
      </x:c>
    </x:row>
    <x:row r="181" ht="18" customHeight="1">
      <x:c r="A181" s="46" t="str">
        <x:v>LME_009</x:v>
      </x:c>
      <x:c r="B181" s="46" t="str">
        <x:v>Newfoundland-Labrador Shelf</x:v>
      </x:c>
      <x:c r="C181" s="46" t="str">
        <x:v>commercial</x:v>
      </x:c>
      <x:c r="D181" s="46" t="str">
        <x:v>Salmon, smelts, etc</x:v>
      </x:c>
      <x:c r="E181" s="66" t="n">
        <x:v>8</x:v>
      </x:c>
      <x:c r="F181" s="66" t="n">
        <x:v>8</x:v>
      </x:c>
      <x:c r="G181" s="60" t="n">
        <x:v>32416.7718722394</x:v>
      </x:c>
      <x:c r="H181" s="60" t="n">
        <x:v>32416.7718722394</x:v>
      </x:c>
      <x:c r="I181" s="62" t="n">
        <x:v>0</x:v>
      </x:c>
      <x:c r="J181" s="64" t="n">
        <x:v>1</x:v>
      </x:c>
      <x:c r="K181" s="62" t="n">
        <x:v>665.9100349367754</x:v>
      </x:c>
      <x:c r="L181" s="60" t="n">
        <x:v>21586653.689980417</x:v>
      </x:c>
      <x:c r="M181" s="62" t="n">
        <x:v>3.431154764886374</x:v>
      </x:c>
      <x:c r="N181" s="62" t="n">
        <x:v>269.87009683513344</x:v>
      </x:c>
      <x:c r="O181" s="60" t="n">
        <x:v>8748317.364243677</x:v>
      </x:c>
      <x:c r="P181" s="60" t="n">
        <x:v>12838336.32573674</x:v>
      </x:c>
      <x:c r="Q181" s="62" t="n">
        <x:v>2.4675206432507677</x:v>
      </x:c>
      <x:c r="R181" s="64" t="n">
        <x:v>1.4675206432507677</x:v>
      </x:c>
    </x:row>
    <x:row r="182" ht="18" customHeight="1">
      <x:c r="A182" s="46" t="str">
        <x:v>LME_009</x:v>
      </x:c>
      <x:c r="B182" s="46" t="str">
        <x:v>Newfoundland-Labrador Shelf</x:v>
      </x:c>
      <x:c r="C182" s="46" t="str">
        <x:v>commercial</x:v>
      </x:c>
      <x:c r="D182" s="46" t="str">
        <x:v>Scorpionfishes</x:v>
      </x:c>
      <x:c r="E182" s="66" t="n">
        <x:v>7</x:v>
      </x:c>
      <x:c r="F182" s="66" t="n">
        <x:v>7</x:v>
      </x:c>
      <x:c r="G182" s="60" t="n">
        <x:v>61318.9033440854</x:v>
      </x:c>
      <x:c r="H182" s="60" t="n">
        <x:v>61318.9033440854</x:v>
      </x:c>
      <x:c r="I182" s="62" t="n">
        <x:v>0</x:v>
      </x:c>
      <x:c r="J182" s="64" t="n">
        <x:v>1</x:v>
      </x:c>
      <x:c r="K182" s="62" t="n">
        <x:v>616.0262959659838</x:v>
      </x:c>
      <x:c r="L182" s="60" t="n">
        <x:v>37774056.8997531</x:v>
      </x:c>
      <x:c r="M182" s="62" t="n">
        <x:v>3.7894828924382464</x:v>
      </x:c>
      <x:c r="N182" s="62" t="n">
        <x:v>615.8612688664917</x:v>
      </x:c>
      <x:c r="O182" s="60" t="n">
        <x:v>37763937.6189902</x:v>
      </x:c>
      <x:c r="P182" s="60" t="n">
        <x:v>10119.280762903392</x:v>
      </x:c>
      <x:c r="Q182" s="62" t="n">
        <x:v>1.0002679614839163</x:v>
      </x:c>
      <x:c r="R182" s="64" t="n">
        <x:v>0.0002679614839161992</x:v>
      </x:c>
    </x:row>
    <x:row r="183" ht="18" customHeight="1">
      <x:c r="A183" s="46" t="str">
        <x:v>LME_009</x:v>
      </x:c>
      <x:c r="B183" s="46" t="str">
        <x:v>Newfoundland-Labrador Shelf</x:v>
      </x:c>
      <x:c r="C183" s="46" t="str">
        <x:v>commercial</x:v>
      </x:c>
      <x:c r="D183" s="46" t="str">
        <x:v>Sharks &amp; rays</x:v>
      </x:c>
      <x:c r="E183" s="66" t="n">
        <x:v>9</x:v>
      </x:c>
      <x:c r="F183" s="66" t="n">
        <x:v>9</x:v>
      </x:c>
      <x:c r="G183" s="60" t="n">
        <x:v>1189.3979373784</x:v>
      </x:c>
      <x:c r="H183" s="60" t="n">
        <x:v>1189.3979373784</x:v>
      </x:c>
      <x:c r="I183" s="62" t="n">
        <x:v>0</x:v>
      </x:c>
      <x:c r="J183" s="64" t="n">
        <x:v>1</x:v>
      </x:c>
      <x:c r="K183" s="62" t="n">
        <x:v>1285.6161421138038</x:v>
      </x:c>
      <x:c r="L183" s="60" t="n">
        <x:v>1529109.1876905342</x:v>
      </x:c>
      <x:c r="M183" s="62" t="n">
        <x:v>4.059042119713747</x:v>
      </x:c>
      <x:c r="N183" s="62" t="n">
        <x:v>1145.624043517871</x:v>
      </x:c>
      <x:c r="O183" s="60" t="n">
        <x:v>1362602.8743712583</x:v>
      </x:c>
      <x:c r="P183" s="60" t="n">
        <x:v>166506.31331927585</x:v>
      </x:c>
      <x:c r="Q183" s="62" t="n">
        <x:v>1.122197242095285</x:v>
      </x:c>
      <x:c r="R183" s="64" t="n">
        <x:v>0.12219724209528499</x:v>
      </x:c>
    </x:row>
    <x:row r="184" ht="18" customHeight="1">
      <x:c r="A184" s="46" t="str">
        <x:v>LME_009</x:v>
      </x:c>
      <x:c r="B184" s="46" t="str">
        <x:v>Newfoundland-Labrador Shelf</x:v>
      </x:c>
      <x:c r="C184" s="46" t="str">
        <x:v>commercial</x:v>
      </x:c>
      <x:c r="D184" s="46" t="str">
        <x:v>Tuna &amp; billfishes</x:v>
      </x:c>
      <x:c r="E184" s="66" t="n">
        <x:v>8</x:v>
      </x:c>
      <x:c r="F184" s="66" t="n">
        <x:v>8</x:v>
      </x:c>
      <x:c r="G184" s="60" t="n">
        <x:v>110.65992868170001</x:v>
      </x:c>
      <x:c r="H184" s="60" t="n">
        <x:v>110.65992868170001</x:v>
      </x:c>
      <x:c r="I184" s="62" t="n">
        <x:v>0</x:v>
      </x:c>
      <x:c r="J184" s="64" t="n">
        <x:v>1</x:v>
      </x:c>
      <x:c r="K184" s="62" t="n">
        <x:v>3143.1463433624685</x:v>
      </x:c>
      <x:c r="L184" s="60" t="n">
        <x:v>347820.35019263695</x:v>
      </x:c>
      <x:c r="M184" s="62" t="n">
        <x:v>4.493744997902719</x:v>
      </x:c>
      <x:c r="N184" s="62" t="n">
        <x:v>3117.058821854687</x:v>
      </x:c>
      <x:c r="O184" s="60" t="n">
        <x:v>344933.5069231035</x:v>
      </x:c>
      <x:c r="P184" s="60" t="n">
        <x:v>2886.8432695334777</x:v>
      </x:c>
      <x:c r="Q184" s="62" t="n">
        <x:v>1.0083692746908959</x:v>
      </x:c>
      <x:c r="R184" s="64" t="n">
        <x:v>0.008369274690895849</x:v>
      </x:c>
    </x:row>
    <x:row r="185" ht="18" customHeight="1">
      <x:c r="A185" s="46" t="str">
        <x:v>LME_010</x:v>
      </x:c>
      <x:c r="B185" s="46" t="str">
        <x:v>Insular Pacific-Hawaiian</x:v>
      </x:c>
      <x:c r="C185" s="46" t="str">
        <x:v>commercial</x:v>
      </x:c>
      <x:c r="D185" s="46" t="str">
        <x:v>Crustaceans</x:v>
      </x:c>
      <x:c r="E185" s="66" t="n">
        <x:v>4</x:v>
      </x:c>
      <x:c r="F185" s="66" t="n">
        <x:v>4</x:v>
      </x:c>
      <x:c r="G185" s="60" t="n">
        <x:v>3.6707369654999997</x:v>
      </x:c>
      <x:c r="H185" s="60" t="n">
        <x:v>3.6707369654999997</x:v>
      </x:c>
      <x:c r="I185" s="62" t="n">
        <x:v>0</x:v>
      </x:c>
      <x:c r="J185" s="64" t="n">
        <x:v>1</x:v>
      </x:c>
      <x:c r="K185" s="62" t="n">
        <x:v>412.3050846614537</x:v>
      </x:c>
      <x:c r="L185" s="60" t="n">
        <x:v>1513.463515330405</x:v>
      </x:c>
      <x:c r="M185" s="62" t="n">
        <x:v>3.370474054817699</x:v>
      </x:c>
      <x:c r="N185" s="62" t="n">
        <x:v>234.67890589968445</x:v>
      </x:c>
      <x:c r="O185" s="60" t="n">
        <x:v>861.4445349090677</x:v>
      </x:c>
      <x:c r="P185" s="60" t="n">
        <x:v>652.0189804213373</x:v>
      </x:c>
      <x:c r="Q185" s="62" t="n">
        <x:v>1.756890262807417</x:v>
      </x:c>
      <x:c r="R185" s="64" t="n">
        <x:v>0.756890262807417</x:v>
      </x:c>
    </x:row>
    <x:row r="186" ht="18" customHeight="1">
      <x:c r="A186" s="46" t="str">
        <x:v>LME_010</x:v>
      </x:c>
      <x:c r="B186" s="46" t="str">
        <x:v>Insular Pacific-Hawaiian</x:v>
      </x:c>
      <x:c r="C186" s="46" t="str">
        <x:v>commercial</x:v>
      </x:c>
      <x:c r="D186" s="46" t="str">
        <x:v>Flatfishes</x:v>
      </x:c>
      <x:c r="E186" s="66" t="n">
        <x:v>2</x:v>
      </x:c>
      <x:c r="F186" s="66" t="n">
        <x:v>2</x:v>
      </x:c>
      <x:c r="G186" s="60" t="n">
        <x:v>0.5670226334</x:v>
      </x:c>
      <x:c r="H186" s="60" t="n">
        <x:v>0.5670226334</x:v>
      </x:c>
      <x:c r="I186" s="62" t="n">
        <x:v>0</x:v>
      </x:c>
      <x:c r="J186" s="64" t="n">
        <x:v>1</x:v>
      </x:c>
      <x:c r="K186" s="62" t="n">
        <x:v>2355.7588696316698</x:v>
      </x:c>
      <x:c r="L186" s="60" t="n">
        <x:v>1335.7685979139567</x:v>
      </x:c>
      <x:c r="M186" s="62" t="n">
        <x:v>4.3654832453130785</x:v>
      </x:c>
      <x:c r="N186" s="62" t="n">
        <x:v>2319.974681325683</x:v>
      </x:c>
      <x:c r="O186" s="60" t="n">
        <x:v>1315.4781532266145</x:v>
      </x:c>
      <x:c r="P186" s="60" t="n">
        <x:v>20.290444687342188</x:v>
      </x:c>
      <x:c r="Q186" s="62" t="n">
        <x:v>1.0154243874271676</x:v>
      </x:c>
      <x:c r="R186" s="64" t="n">
        <x:v>0.015424387427167556</x:v>
      </x:c>
    </x:row>
    <x:row r="187" ht="18" customHeight="1">
      <x:c r="A187" s="46" t="str">
        <x:v>LME_010</x:v>
      </x:c>
      <x:c r="B187" s="46" t="str">
        <x:v>Insular Pacific-Hawaiian</x:v>
      </x:c>
      <x:c r="C187" s="46" t="str">
        <x:v>commercial</x:v>
      </x:c>
      <x:c r="D187" s="46" t="str">
        <x:v>Herring-likes</x:v>
      </x:c>
      <x:c r="E187" s="66" t="n">
        <x:v>2</x:v>
      </x:c>
      <x:c r="F187" s="66" t="n">
        <x:v>2</x:v>
      </x:c>
      <x:c r="G187" s="60" t="n">
        <x:v>40.2545498904</x:v>
      </x:c>
      <x:c r="H187" s="60" t="n">
        <x:v>40.2545498904</x:v>
      </x:c>
      <x:c r="I187" s="62" t="n">
        <x:v>0</x:v>
      </x:c>
      <x:c r="J187" s="64" t="n">
        <x:v>1</x:v>
      </x:c>
      <x:c r="K187" s="62" t="n">
        <x:v>369.8419001898986</x:v>
      </x:c>
      <x:c r="L187" s="60" t="n">
        <x:v>14887.81922275461</x:v>
      </x:c>
      <x:c r="M187" s="62" t="n">
        <x:v>3.566941446660185</x:v>
      </x:c>
      <x:c r="N187" s="62" t="n">
        <x:v>368.92785487030903</x:v>
      </x:c>
      <x:c r="O187" s="60" t="n">
        <x:v>14851.024739835106</x:v>
      </x:c>
      <x:c r="P187" s="60" t="n">
        <x:v>36.794482919503935</x:v>
      </x:c>
      <x:c r="Q187" s="62" t="n">
        <x:v>1.002477571990087</x:v>
      </x:c>
      <x:c r="R187" s="64" t="n">
        <x:v>0.0024775719900869595</x:v>
      </x:c>
    </x:row>
    <x:row r="188" ht="18" customHeight="1">
      <x:c r="A188" s="46" t="str">
        <x:v>LME_010</x:v>
      </x:c>
      <x:c r="B188" s="46" t="str">
        <x:v>Insular Pacific-Hawaiian</x:v>
      </x:c>
      <x:c r="C188" s="46" t="str">
        <x:v>commercial</x:v>
      </x:c>
      <x:c r="D188" s="46" t="str">
        <x:v>Molluscs</x:v>
      </x:c>
      <x:c r="E188" s="66" t="n">
        <x:v>1</x:v>
      </x:c>
      <x:c r="F188" s="66" t="n">
        <x:v>1</x:v>
      </x:c>
      <x:c r="G188" s="60" t="n">
        <x:v>5.263133777899999</x:v>
      </x:c>
      <x:c r="H188" s="60" t="n">
        <x:v>5.263133777899999</x:v>
      </x:c>
      <x:c r="I188" s="62" t="n">
        <x:v>0</x:v>
      </x:c>
      <x:c r="J188" s="64" t="n">
        <x:v>1</x:v>
      </x:c>
      <x:c r="K188" s="62" t="n">
        <x:v>114.81536214968828</x:v>
      </x:c>
      <x:c r="L188" s="60" t="n">
        <x:v>604.2886107518455</x:v>
      </x:c>
      <x:c r="M188" s="62" t="n">
        <x:v>3.06</x:v>
      </x:c>
      <x:c r="N188" s="62" t="n">
        <x:v>114.81536214968828</x:v>
      </x:c>
      <x:c r="O188" s="60" t="n">
        <x:v>604.2886107518455</x:v>
      </x:c>
      <x:c r="P188" s="60" t="n">
        <x:v>0</x:v>
      </x:c>
      <x:c r="Q188" s="62" t="n">
        <x:v>1</x:v>
      </x:c>
      <x:c r="R188" s="64" t="n">
        <x:v>0</x:v>
      </x:c>
    </x:row>
    <x:row r="189" ht="18" customHeight="1">
      <x:c r="A189" s="46" t="str">
        <x:v>LME_010</x:v>
      </x:c>
      <x:c r="B189" s="46" t="str">
        <x:v>Insular Pacific-Hawaiian</x:v>
      </x:c>
      <x:c r="C189" s="46" t="str">
        <x:v>commercial</x:v>
      </x:c>
      <x:c r="D189" s="46" t="str">
        <x:v>Other fishes &amp; inverts</x:v>
      </x:c>
      <x:c r="E189" s="66" t="n">
        <x:v>27</x:v>
      </x:c>
      <x:c r="F189" s="66" t="n">
        <x:v>27</x:v>
      </x:c>
      <x:c r="G189" s="60" t="n">
        <x:v>1214.9331684746</x:v>
      </x:c>
      <x:c r="H189" s="60" t="n">
        <x:v>1214.9331684746</x:v>
      </x:c>
      <x:c r="I189" s="62" t="n">
        <x:v>0</x:v>
      </x:c>
      <x:c r="J189" s="64" t="n">
        <x:v>1</x:v>
      </x:c>
      <x:c r="K189" s="62" t="n">
        <x:v>538.5214972652717</x:v>
      </x:c>
      <x:c r="L189" s="60" t="n">
        <x:v>654267.6289641822</x:v>
      </x:c>
      <x:c r="M189" s="62" t="n">
        <x:v>3.4726881864304127</x:v>
      </x:c>
      <x:c r="N189" s="62" t="n">
        <x:v>296.9533208802857</x:v>
      </x:c>
      <x:c r="O189" s="60" t="n">
        <x:v>360778.4390261401</x:v>
      </x:c>
      <x:c r="P189" s="60" t="n">
        <x:v>293489.18993804214</x:v>
      </x:c>
      <x:c r="Q189" s="62" t="n">
        <x:v>1.81348871825674</x:v>
      </x:c>
      <x:c r="R189" s="64" t="n">
        <x:v>0.8134887182567401</x:v>
      </x:c>
    </x:row>
    <x:row r="190" ht="18" customHeight="1">
      <x:c r="A190" s="46" t="str">
        <x:v>LME_010</x:v>
      </x:c>
      <x:c r="B190" s="46" t="str">
        <x:v>Insular Pacific-Hawaiian</x:v>
      </x:c>
      <x:c r="C190" s="46" t="str">
        <x:v>commercial</x:v>
      </x:c>
      <x:c r="D190" s="46" t="str">
        <x:v>Perch-likes</x:v>
      </x:c>
      <x:c r="E190" s="66" t="n">
        <x:v>83</x:v>
      </x:c>
      <x:c r="F190" s="66" t="n">
        <x:v>83</x:v>
      </x:c>
      <x:c r="G190" s="60" t="n">
        <x:v>12299.106607953698</x:v>
      </x:c>
      <x:c r="H190" s="60" t="n">
        <x:v>12299.106607953698</x:v>
      </x:c>
      <x:c r="I190" s="62" t="n">
        <x:v>0</x:v>
      </x:c>
      <x:c r="J190" s="64" t="n">
        <x:v>1</x:v>
      </x:c>
      <x:c r="K190" s="62" t="n">
        <x:v>1897.716929630271</x:v>
      </x:c>
      <x:c r="L190" s="60" t="n">
        <x:v>23340222.82924127</x:v>
      </x:c>
      <x:c r="M190" s="62" t="n">
        <x:v>4.202485761456611</x:v>
      </x:c>
      <x:c r="N190" s="62" t="n">
        <x:v>1593.9906201433923</x:v>
      </x:c>
      <x:c r="O190" s="60" t="n">
        <x:v>19604660.56922181</x:v>
      </x:c>
      <x:c r="P190" s="60" t="n">
        <x:v>3735562.260019459</x:v>
      </x:c>
      <x:c r="Q190" s="62" t="n">
        <x:v>1.190544602740232</x:v>
      </x:c>
      <x:c r="R190" s="64" t="n">
        <x:v>0.19054460274023194</x:v>
      </x:c>
    </x:row>
    <x:row r="191" ht="18" customHeight="1">
      <x:c r="A191" s="46" t="str">
        <x:v>LME_010</x:v>
      </x:c>
      <x:c r="B191" s="46" t="str">
        <x:v>Insular Pacific-Hawaiian</x:v>
      </x:c>
      <x:c r="C191" s="46" t="str">
        <x:v>commercial</x:v>
      </x:c>
      <x:c r="D191" s="46" t="str">
        <x:v>Scorpionfishes</x:v>
      </x:c>
      <x:c r="E191" s="66" t="n">
        <x:v>3</x:v>
      </x:c>
      <x:c r="F191" s="66" t="n">
        <x:v>3</x:v>
      </x:c>
      <x:c r="G191" s="60" t="n">
        <x:v>5.3487907952</x:v>
      </x:c>
      <x:c r="H191" s="60" t="n">
        <x:v>5.3487907952</x:v>
      </x:c>
      <x:c r="I191" s="62" t="n">
        <x:v>0</x:v>
      </x:c>
      <x:c r="J191" s="64" t="n">
        <x:v>1</x:v>
      </x:c>
      <x:c r="K191" s="62" t="n">
        <x:v>819.3392159117816</x:v>
      </x:c>
      <x:c r="L191" s="60" t="n">
        <x:v>4382.474056215323</x:v>
      </x:c>
      <x:c r="M191" s="62" t="n">
        <x:v>3.9118407197224525</x:v>
      </x:c>
      <x:c r="N191" s="62" t="n">
        <x:v>816.2829394663763</x:v>
      </x:c>
      <x:c r="O191" s="60" t="n">
        <x:v>4366.126672896553</x:v>
      </x:c>
      <x:c r="P191" s="60" t="n">
        <x:v>16.34738331876997</x:v>
      </x:c>
      <x:c r="Q191" s="62" t="n">
        <x:v>1.0037441385794528</x:v>
      </x:c>
      <x:c r="R191" s="64" t="n">
        <x:v>0.003744138579452821</x:v>
      </x:c>
    </x:row>
    <x:row r="192" ht="18" customHeight="1">
      <x:c r="A192" s="46" t="str">
        <x:v>LME_010</x:v>
      </x:c>
      <x:c r="B192" s="46" t="str">
        <x:v>Insular Pacific-Hawaiian</x:v>
      </x:c>
      <x:c r="C192" s="46" t="str">
        <x:v>commercial</x:v>
      </x:c>
      <x:c r="D192" s="46" t="str">
        <x:v>Sharks &amp; rays</x:v>
      </x:c>
      <x:c r="E192" s="66" t="n">
        <x:v>7</x:v>
      </x:c>
      <x:c r="F192" s="66" t="n">
        <x:v>7</x:v>
      </x:c>
      <x:c r="G192" s="60" t="n">
        <x:v>207.9320892578</x:v>
      </x:c>
      <x:c r="H192" s="60" t="n">
        <x:v>207.9320892578</x:v>
      </x:c>
      <x:c r="I192" s="62" t="n">
        <x:v>0</x:v>
      </x:c>
      <x:c r="J192" s="64" t="n">
        <x:v>1</x:v>
      </x:c>
      <x:c r="K192" s="62" t="n">
        <x:v>1617.7507351704985</x:v>
      </x:c>
      <x:c r="L192" s="60" t="n">
        <x:v>336382.29026234365</x:v>
      </x:c>
      <x:c r="M192" s="62" t="n">
        <x:v>4.182209154003976</x:v>
      </x:c>
      <x:c r="N192" s="62" t="n">
        <x:v>1521.2799940167668</x:v>
      </x:c>
      <x:c r="O192" s="60" t="n">
        <x:v>316322.9275019998</x:v>
      </x:c>
      <x:c r="P192" s="60" t="n">
        <x:v>20059.36276034388</x:v>
      </x:c>
      <x:c r="Q192" s="62" t="n">
        <x:v>1.0634141916893365</x:v>
      </x:c>
      <x:c r="R192" s="64" t="n">
        <x:v>0.06341419168933642</x:v>
      </x:c>
    </x:row>
    <x:row r="193" ht="18" customHeight="1">
      <x:c r="A193" s="46" t="str">
        <x:v>LME_010</x:v>
      </x:c>
      <x:c r="B193" s="46" t="str">
        <x:v>Insular Pacific-Hawaiian</x:v>
      </x:c>
      <x:c r="C193" s="46" t="str">
        <x:v>commercial</x:v>
      </x:c>
      <x:c r="D193" s="46" t="str">
        <x:v>Tuna &amp; billfishes</x:v>
      </x:c>
      <x:c r="E193" s="66" t="n">
        <x:v>11</x:v>
      </x:c>
      <x:c r="F193" s="66" t="n">
        <x:v>11</x:v>
      </x:c>
      <x:c r="G193" s="60" t="n">
        <x:v>7394.87729665</x:v>
      </x:c>
      <x:c r="H193" s="60" t="n">
        <x:v>7394.87729665</x:v>
      </x:c>
      <x:c r="I193" s="62" t="n">
        <x:v>0</x:v>
      </x:c>
      <x:c r="J193" s="64" t="n">
        <x:v>1</x:v>
      </x:c>
      <x:c r="K193" s="62" t="n">
        <x:v>2766.7663828296018</x:v>
      </x:c>
      <x:c r="L193" s="60" t="n">
        <x:v>20459897.909521066</x:v>
      </x:c>
      <x:c r="M193" s="62" t="n">
        <x:v>4.439847121020348</x:v>
      </x:c>
      <x:c r="N193" s="62" t="n">
        <x:v>2753.259339025755</x:v>
      </x:c>
      <x:c r="O193" s="60" t="n">
        <x:v>20360014.97795114</x:v>
      </x:c>
      <x:c r="P193" s="60" t="n">
        <x:v>99882.93156992644</x:v>
      </x:c>
      <x:c r="Q193" s="62" t="n">
        <x:v>1.0049058378236997</x:v>
      </x:c>
      <x:c r="R193" s="64" t="n">
        <x:v>0.004905837823699765</x:v>
      </x:c>
    </x:row>
    <x:row r="194" ht="18" customHeight="1">
      <x:c r="A194" s="46" t="str">
        <x:v>LME_011</x:v>
      </x:c>
      <x:c r="B194" s="46" t="str">
        <x:v>Pacific Central-American Coastal</x:v>
      </x:c>
      <x:c r="C194" s="46" t="str">
        <x:v>commercial</x:v>
      </x:c>
      <x:c r="D194" s="46" t="str">
        <x:v>Anchovies</x:v>
      </x:c>
      <x:c r="E194" s="66" t="n">
        <x:v>5</x:v>
      </x:c>
      <x:c r="F194" s="66" t="n">
        <x:v>5</x:v>
      </x:c>
      <x:c r="G194" s="60" t="n">
        <x:v>419230.0057269221</x:v>
      </x:c>
      <x:c r="H194" s="60" t="n">
        <x:v>419230.0057269221</x:v>
      </x:c>
      <x:c r="I194" s="62" t="n">
        <x:v>0</x:v>
      </x:c>
      <x:c r="J194" s="64" t="n">
        <x:v>1</x:v>
      </x:c>
      <x:c r="K194" s="62" t="n">
        <x:v>32.521564520149504</x:v>
      </x:c>
      <x:c r="L194" s="60" t="n">
        <x:v>13634015.680030745</x:v>
      </x:c>
      <x:c r="M194" s="62" t="n">
        <x:v>2.5024938906375978</x:v>
      </x:c>
      <x:c r="N194" s="62" t="n">
        <x:v>31.804889470374402</x:v>
      </x:c>
      <x:c r="O194" s="60" t="n">
        <x:v>13333563.994809186</x:v>
      </x:c>
      <x:c r="P194" s="60" t="n">
        <x:v>300451.68522155844</x:v>
      </x:c>
      <x:c r="Q194" s="62" t="n">
        <x:v>1.0225334865710718</x:v>
      </x:c>
      <x:c r="R194" s="64" t="n">
        <x:v>0.022533486571071737</x:v>
      </x:c>
    </x:row>
    <x:row r="195" ht="18" customHeight="1">
      <x:c r="A195" s="46" t="str">
        <x:v>LME_011</x:v>
      </x:c>
      <x:c r="B195" s="46" t="str">
        <x:v>Pacific Central-American Coastal</x:v>
      </x:c>
      <x:c r="C195" s="46" t="str">
        <x:v>commercial</x:v>
      </x:c>
      <x:c r="D195" s="46" t="str">
        <x:v>Cod-likes</x:v>
      </x:c>
      <x:c r="E195" s="66" t="n">
        <x:v>6</x:v>
      </x:c>
      <x:c r="F195" s="66" t="n">
        <x:v>6</x:v>
      </x:c>
      <x:c r="G195" s="60" t="n">
        <x:v>548.7652239448</x:v>
      </x:c>
      <x:c r="H195" s="60" t="n">
        <x:v>548.7652239448</x:v>
      </x:c>
      <x:c r="I195" s="62" t="n">
        <x:v>0</x:v>
      </x:c>
      <x:c r="J195" s="64" t="n">
        <x:v>1</x:v>
      </x:c>
      <x:c r="K195" s="62" t="n">
        <x:v>1847.1881537444826</x:v>
      </x:c>
      <x:c r="L195" s="60" t="n">
        <x:v>1013672.6208577728</x:v>
      </x:c>
      <x:c r="M195" s="62" t="n">
        <x:v>4.237382989291578</x:v>
      </x:c>
      <x:c r="N195" s="62" t="n">
        <x:v>1727.3605200489328</x:v>
      </x:c>
      <x:c r="O195" s="60" t="n">
        <x:v>947915.3826180588</x:v>
      </x:c>
      <x:c r="P195" s="60" t="n">
        <x:v>65757.23823971394</x:v>
      </x:c>
      <x:c r="Q195" s="62" t="n">
        <x:v>1.06937036727698</x:v>
      </x:c>
      <x:c r="R195" s="64" t="n">
        <x:v>0.06937036727698019</x:v>
      </x:c>
    </x:row>
    <x:row r="196" ht="18" customHeight="1">
      <x:c r="A196" s="46" t="str">
        <x:v>LME_011</x:v>
      </x:c>
      <x:c r="B196" s="46" t="str">
        <x:v>Pacific Central-American Coastal</x:v>
      </x:c>
      <x:c r="C196" s="46" t="str">
        <x:v>commercial</x:v>
      </x:c>
      <x:c r="D196" s="46" t="str">
        <x:v>Crustaceans</x:v>
      </x:c>
      <x:c r="E196" s="66" t="n">
        <x:v>33</x:v>
      </x:c>
      <x:c r="F196" s="66" t="n">
        <x:v>33</x:v>
      </x:c>
      <x:c r="G196" s="60" t="n">
        <x:v>107413.19706949028</x:v>
      </x:c>
      <x:c r="H196" s="60" t="n">
        <x:v>107413.19706949028</x:v>
      </x:c>
      <x:c r="I196" s="62" t="n">
        <x:v>0</x:v>
      </x:c>
      <x:c r="J196" s="64" t="n">
        <x:v>1</x:v>
      </x:c>
      <x:c r="K196" s="62" t="n">
        <x:v>177.00712113342058</x:v>
      </x:c>
      <x:c r="L196" s="60" t="n">
        <x:v>19012900.785007242</x:v>
      </x:c>
      <x:c r="M196" s="62" t="n">
        <x:v>3.027170778049363</x:v>
      </x:c>
      <x:c r="N196" s="62" t="n">
        <x:v>106.45615545229197</x:v>
      </x:c>
      <x:c r="O196" s="60" t="n">
        <x:v>11434796.00485733</x:v>
      </x:c>
      <x:c r="P196" s="60" t="n">
        <x:v>7578104.780149912</x:v>
      </x:c>
      <x:c r="Q196" s="62" t="n">
        <x:v>1.6627232157819736</x:v>
      </x:c>
      <x:c r="R196" s="64" t="n">
        <x:v>0.6627232157819735</x:v>
      </x:c>
    </x:row>
    <x:row r="197" ht="18" customHeight="1">
      <x:c r="A197" s="46" t="str">
        <x:v>LME_011</x:v>
      </x:c>
      <x:c r="B197" s="46" t="str">
        <x:v>Pacific Central-American Coastal</x:v>
      </x:c>
      <x:c r="C197" s="46" t="str">
        <x:v>commercial</x:v>
      </x:c>
      <x:c r="D197" s="46" t="str">
        <x:v>Flatfishes</x:v>
      </x:c>
      <x:c r="E197" s="66" t="n">
        <x:v>10</x:v>
      </x:c>
      <x:c r="F197" s="66" t="n">
        <x:v>10</x:v>
      </x:c>
      <x:c r="G197" s="60" t="n">
        <x:v>20574.1526550974</x:v>
      </x:c>
      <x:c r="H197" s="60" t="n">
        <x:v>20574.1526550974</x:v>
      </x:c>
      <x:c r="I197" s="62" t="n">
        <x:v>0</x:v>
      </x:c>
      <x:c r="J197" s="64" t="n">
        <x:v>1</x:v>
      </x:c>
      <x:c r="K197" s="62" t="n">
        <x:v>786.3196931975451</x:v>
      </x:c>
      <x:c r="L197" s="60" t="n">
        <x:v>16177861.403555647</x:v>
      </x:c>
      <x:c r="M197" s="62" t="n">
        <x:v>3.7913005328144256</x:v>
      </x:c>
      <x:c r="N197" s="62" t="n">
        <x:v>618.4442169652925</x:v>
      </x:c>
      <x:c r="O197" s="60" t="n">
        <x:v>12723965.728506107</x:v>
      </x:c>
      <x:c r="P197" s="60" t="n">
        <x:v>3453895.6750495397</x:v>
      </x:c>
      <x:c r="Q197" s="62" t="n">
        <x:v>1.27144804919677</x:v>
      </x:c>
      <x:c r="R197" s="64" t="n">
        <x:v>0.2714480491967699</x:v>
      </x:c>
    </x:row>
    <x:row r="198" ht="18" customHeight="1">
      <x:c r="A198" s="46" t="str">
        <x:v>LME_011</x:v>
      </x:c>
      <x:c r="B198" s="46" t="str">
        <x:v>Pacific Central-American Coastal</x:v>
      </x:c>
      <x:c r="C198" s="46" t="str">
        <x:v>commercial</x:v>
      </x:c>
      <x:c r="D198" s="46" t="str">
        <x:v>Herring-likes</x:v>
      </x:c>
      <x:c r="E198" s="66" t="n">
        <x:v>4</x:v>
      </x:c>
      <x:c r="F198" s="66" t="n">
        <x:v>4</x:v>
      </x:c>
      <x:c r="G198" s="60" t="n">
        <x:v>253264.1298041896</x:v>
      </x:c>
      <x:c r="H198" s="60" t="n">
        <x:v>253264.1298041896</x:v>
      </x:c>
      <x:c r="I198" s="62" t="n">
        <x:v>0</x:v>
      </x:c>
      <x:c r="J198" s="64" t="n">
        <x:v>1</x:v>
      </x:c>
      <x:c r="K198" s="62" t="n">
        <x:v>76.43326282625489</x:v>
      </x:c>
      <x:c r="L198" s="60" t="n">
        <x:v>19357803.79778636</x:v>
      </x:c>
      <x:c r="M198" s="62" t="n">
        <x:v>2.882663375791619</x:v>
      </x:c>
      <x:c r="N198" s="62" t="n">
        <x:v>76.32439593601555</x:v>
      </x:c>
      <x:c r="O198" s="60" t="n">
        <x:v>19330231.719565403</x:v>
      </x:c>
      <x:c r="P198" s="60" t="n">
        <x:v>27572.078220956028</x:v>
      </x:c>
      <x:c r="Q198" s="62" t="n">
        <x:v>1.0014263708071873</x:v>
      </x:c>
      <x:c r="R198" s="64" t="n">
        <x:v>0.0014263708071874021</x:v>
      </x:c>
    </x:row>
    <x:row r="199" ht="18" customHeight="1">
      <x:c r="A199" s="46" t="str">
        <x:v>LME_011</x:v>
      </x:c>
      <x:c r="B199" s="46" t="str">
        <x:v>Pacific Central-American Coastal</x:v>
      </x:c>
      <x:c r="C199" s="46" t="str">
        <x:v>commercial</x:v>
      </x:c>
      <x:c r="D199" s="46" t="str">
        <x:v>Molluscs</x:v>
      </x:c>
      <x:c r="E199" s="66" t="n">
        <x:v>12</x:v>
      </x:c>
      <x:c r="F199" s="66" t="n">
        <x:v>12</x:v>
      </x:c>
      <x:c r="G199" s="60" t="n">
        <x:v>13049.289571390704</x:v>
      </x:c>
      <x:c r="H199" s="60" t="n">
        <x:v>13049.289571390704</x:v>
      </x:c>
      <x:c r="I199" s="62" t="n">
        <x:v>0</x:v>
      </x:c>
      <x:c r="J199" s="64" t="n">
        <x:v>1</x:v>
      </x:c>
      <x:c r="K199" s="62" t="n">
        <x:v>32.99850352000319</x:v>
      </x:c>
      <x:c r="L199" s="60" t="n">
        <x:v>430607.02785507706</x:v>
      </x:c>
      <x:c r="M199" s="62" t="n">
        <x:v>2.2495169728147033</x:v>
      </x:c>
      <x:c r="N199" s="62" t="n">
        <x:v>17.763026872391787</x:v>
      </x:c>
      <x:c r="O199" s="60" t="n">
        <x:v>231794.88132223499</x:v>
      </x:c>
      <x:c r="P199" s="60" t="n">
        <x:v>198812.14653284207</x:v>
      </x:c>
      <x:c r="Q199" s="62" t="n">
        <x:v>1.8577072340801988</x:v>
      </x:c>
      <x:c r="R199" s="64" t="n">
        <x:v>0.8577072340801987</x:v>
      </x:c>
    </x:row>
    <x:row r="200" ht="18" customHeight="1">
      <x:c r="A200" s="46" t="str">
        <x:v>LME_011</x:v>
      </x:c>
      <x:c r="B200" s="46" t="str">
        <x:v>Pacific Central-American Coastal</x:v>
      </x:c>
      <x:c r="C200" s="46" t="str">
        <x:v>commercial</x:v>
      </x:c>
      <x:c r="D200" s="46" t="str">
        <x:v>Other fishes &amp; inverts</x:v>
      </x:c>
      <x:c r="E200" s="66" t="n">
        <x:v>36</x:v>
      </x:c>
      <x:c r="F200" s="66" t="n">
        <x:v>36</x:v>
      </x:c>
      <x:c r="G200" s="60" t="n">
        <x:v>373590.78195799136</x:v>
      </x:c>
      <x:c r="H200" s="60" t="n">
        <x:v>373590.78195799136</x:v>
      </x:c>
      <x:c r="I200" s="62" t="n">
        <x:v>0</x:v>
      </x:c>
      <x:c r="J200" s="64" t="n">
        <x:v>1</x:v>
      </x:c>
      <x:c r="K200" s="62" t="n">
        <x:v>477.5365873939484</x:v>
      </x:c>
      <x:c r="L200" s="60" t="n">
        <x:v>178403267.09805587</x:v>
      </x:c>
      <x:c r="M200" s="62" t="n">
        <x:v>3.5022043575824036</x:v>
      </x:c>
      <x:c r="N200" s="62" t="n">
        <x:v>317.83693028039187</x:v>
      </x:c>
      <x:c r="O200" s="60" t="n">
        <x:v>118740947.31857918</x:v>
      </x:c>
      <x:c r="P200" s="60" t="n">
        <x:v>59662319.77947669</x:v>
      </x:c>
      <x:c r="Q200" s="62" t="n">
        <x:v>1.5024578389071133</x:v>
      </x:c>
      <x:c r="R200" s="64" t="n">
        <x:v>0.5024578389071133</x:v>
      </x:c>
    </x:row>
    <x:row r="201" ht="18" customHeight="1">
      <x:c r="A201" s="46" t="str">
        <x:v>LME_011</x:v>
      </x:c>
      <x:c r="B201" s="46" t="str">
        <x:v>Pacific Central-American Coastal</x:v>
      </x:c>
      <x:c r="C201" s="46" t="str">
        <x:v>commercial</x:v>
      </x:c>
      <x:c r="D201" s="46" t="str">
        <x:v>Perch-likes</x:v>
      </x:c>
      <x:c r="E201" s="66" t="n">
        <x:v>91</x:v>
      </x:c>
      <x:c r="F201" s="66" t="n">
        <x:v>91</x:v>
      </x:c>
      <x:c r="G201" s="60" t="n">
        <x:v>262470.3362051095</x:v>
      </x:c>
      <x:c r="H201" s="60" t="n">
        <x:v>262470.3362051095</x:v>
      </x:c>
      <x:c r="I201" s="62" t="n">
        <x:v>0</x:v>
      </x:c>
      <x:c r="J201" s="64" t="n">
        <x:v>1</x:v>
      </x:c>
      <x:c r="K201" s="62" t="n">
        <x:v>852.2625222660026</x:v>
      </x:c>
      <x:c r="L201" s="60" t="n">
        <x:v>223693630.75417233</x:v>
      </x:c>
      <x:c r="M201" s="62" t="n">
        <x:v>3.7309283737815755</x:v>
      </x:c>
      <x:c r="N201" s="62" t="n">
        <x:v>538.1810154434656</x:v>
      </x:c>
      <x:c r="O201" s="60" t="n">
        <x:v>141256552.06265366</x:v>
      </x:c>
      <x:c r="P201" s="60" t="n">
        <x:v>82437078.69151866</x:v>
      </x:c>
      <x:c r="Q201" s="62" t="n">
        <x:v>1.5835982649141407</x:v>
      </x:c>
      <x:c r="R201" s="64" t="n">
        <x:v>0.5835982649141407</x:v>
      </x:c>
    </x:row>
    <x:row r="202" ht="18" customHeight="1">
      <x:c r="A202" s="46" t="str">
        <x:v>LME_011</x:v>
      </x:c>
      <x:c r="B202" s="46" t="str">
        <x:v>Pacific Central-American Coastal</x:v>
      </x:c>
      <x:c r="C202" s="46" t="str">
        <x:v>commercial</x:v>
      </x:c>
      <x:c r="D202" s="46" t="str">
        <x:v>Scorpionfishes</x:v>
      </x:c>
      <x:c r="E202" s="66" t="n">
        <x:v>8</x:v>
      </x:c>
      <x:c r="F202" s="66" t="n">
        <x:v>8</x:v>
      </x:c>
      <x:c r="G202" s="60" t="n">
        <x:v>13904.225366641598</x:v>
      </x:c>
      <x:c r="H202" s="60" t="n">
        <x:v>13904.225366641598</x:v>
      </x:c>
      <x:c r="I202" s="62" t="n">
        <x:v>0</x:v>
      </x:c>
      <x:c r="J202" s="64" t="n">
        <x:v>1</x:v>
      </x:c>
      <x:c r="K202" s="62" t="n">
        <x:v>304.7937148650278</x:v>
      </x:c>
      <x:c r="L202" s="60" t="n">
        <x:v>4237920.501819246</x:v>
      </x:c>
      <x:c r="M202" s="62" t="n">
        <x:v>3.4821957825576866</x:v>
      </x:c>
      <x:c r="N202" s="62" t="n">
        <x:v>303.52591888689926</x:v>
      </x:c>
      <x:c r="O202" s="60" t="n">
        <x:v>4220292.780820425</x:v>
      </x:c>
      <x:c r="P202" s="60" t="n">
        <x:v>17627.72099882178</x:v>
      </x:c>
      <x:c r="Q202" s="62" t="n">
        <x:v>1.0041768952805674</x:v>
      </x:c>
      <x:c r="R202" s="64" t="n">
        <x:v>0.004176895280567466</x:v>
      </x:c>
    </x:row>
    <x:row r="203" ht="18" customHeight="1">
      <x:c r="A203" s="46" t="str">
        <x:v>LME_011</x:v>
      </x:c>
      <x:c r="B203" s="46" t="str">
        <x:v>Pacific Central-American Coastal</x:v>
      </x:c>
      <x:c r="C203" s="46" t="str">
        <x:v>commercial</x:v>
      </x:c>
      <x:c r="D203" s="46" t="str">
        <x:v>Sharks &amp; rays</x:v>
      </x:c>
      <x:c r="E203" s="66" t="n">
        <x:v>44</x:v>
      </x:c>
      <x:c r="F203" s="66" t="n">
        <x:v>44</x:v>
      </x:c>
      <x:c r="G203" s="60" t="n">
        <x:v>53887.4670000712</x:v>
      </x:c>
      <x:c r="H203" s="60" t="n">
        <x:v>53887.4670000712</x:v>
      </x:c>
      <x:c r="I203" s="62" t="n">
        <x:v>0</x:v>
      </x:c>
      <x:c r="J203" s="64" t="n">
        <x:v>1</x:v>
      </x:c>
      <x:c r="K203" s="62" t="n">
        <x:v>1700.6643250354764</x:v>
      </x:c>
      <x:c r="L203" s="60" t="n">
        <x:v>91644492.69354759</x:v>
      </x:c>
      <x:c r="M203" s="62" t="n">
        <x:v>4.138955197242048</x:v>
      </x:c>
      <x:c r="N203" s="62" t="n">
        <x:v>1377.0674003149786</x:v>
      </x:c>
      <x:c r="O203" s="60" t="n">
        <x:v>74206674.09134725</x:v>
      </x:c>
      <x:c r="P203" s="60" t="n">
        <x:v>17437818.602200344</x:v>
      </x:c>
      <x:c r="Q203" s="62" t="n">
        <x:v>1.2349898956626821</x:v>
      </x:c>
      <x:c r="R203" s="64" t="n">
        <x:v>0.23498989566268208</x:v>
      </x:c>
    </x:row>
    <x:row r="204" ht="18" customHeight="1">
      <x:c r="A204" s="46" t="str">
        <x:v>LME_011</x:v>
      </x:c>
      <x:c r="B204" s="46" t="str">
        <x:v>Pacific Central-American Coastal</x:v>
      </x:c>
      <x:c r="C204" s="46" t="str">
        <x:v>commercial</x:v>
      </x:c>
      <x:c r="D204" s="46" t="str">
        <x:v>Tuna &amp; billfishes</x:v>
      </x:c>
      <x:c r="E204" s="66" t="n">
        <x:v>21</x:v>
      </x:c>
      <x:c r="F204" s="66" t="n">
        <x:v>21</x:v>
      </x:c>
      <x:c r="G204" s="60" t="n">
        <x:v>69738.3629390647</x:v>
      </x:c>
      <x:c r="H204" s="60" t="n">
        <x:v>69738.3629390647</x:v>
      </x:c>
      <x:c r="I204" s="62" t="n">
        <x:v>0</x:v>
      </x:c>
      <x:c r="J204" s="64" t="n">
        <x:v>1</x:v>
      </x:c>
      <x:c r="K204" s="62" t="n">
        <x:v>2597.749605883726</x:v>
      </x:c>
      <x:c r="L204" s="60" t="n">
        <x:v>181162804.83993155</x:v>
      </x:c>
      <x:c r="M204" s="62" t="n">
        <x:v>4.399952284157103</x:v>
      </x:c>
      <x:c r="N204" s="62" t="n">
        <x:v>2511.6104662388784</x:v>
      </x:c>
      <x:c r="O204" s="60" t="n">
        <x:v>175155602.2561204</x:v>
      </x:c>
      <x:c r="P204" s="60" t="n">
        <x:v>6007202.583811134</x:v>
      </x:c>
      <x:c r="Q204" s="62" t="n">
        <x:v>1.034296377086627</x:v>
      </x:c>
      <x:c r="R204" s="64" t="n">
        <x:v>0.03429637708662685</x:v>
      </x:c>
    </x:row>
    <x:row r="205" ht="18" customHeight="1">
      <x:c r="A205" s="46" t="str">
        <x:v>LME_012</x:v>
      </x:c>
      <x:c r="B205" s="46" t="str">
        <x:v>Caribbean Sea</x:v>
      </x:c>
      <x:c r="C205" s="46" t="str">
        <x:v>commercial</x:v>
      </x:c>
      <x:c r="D205" s="46" t="str">
        <x:v>Anchovies</x:v>
      </x:c>
      <x:c r="E205" s="66" t="n">
        <x:v>4</x:v>
      </x:c>
      <x:c r="F205" s="66" t="n">
        <x:v>4</x:v>
      </x:c>
      <x:c r="G205" s="60" t="n">
        <x:v>3996.4462912992003</x:v>
      </x:c>
      <x:c r="H205" s="60" t="n">
        <x:v>3996.4462912992003</x:v>
      </x:c>
      <x:c r="I205" s="62" t="n">
        <x:v>0</x:v>
      </x:c>
      <x:c r="J205" s="64" t="n">
        <x:v>1</x:v>
      </x:c>
      <x:c r="K205" s="62" t="n">
        <x:v>157.6453116088981</x:v>
      </x:c>
      <x:c r="L205" s="60" t="n">
        <x:v>630021.0209200876</x:v>
      </x:c>
      <x:c r="M205" s="62" t="n">
        <x:v>3.1934046009104398</x:v>
      </x:c>
      <x:c r="N205" s="62" t="n">
        <x:v>156.10061026470606</x:v>
      </x:c>
      <x:c r="O205" s="60" t="n">
        <x:v>623847.7049619264</x:v>
      </x:c>
      <x:c r="P205" s="60" t="n">
        <x:v>6173.31595816114</x:v>
      </x:c>
      <x:c r="Q205" s="62" t="n">
        <x:v>1.0098955496815332</x:v>
      </x:c>
      <x:c r="R205" s="64" t="n">
        <x:v>0.009895549681533089</x:v>
      </x:c>
    </x:row>
    <x:row r="206" ht="18" customHeight="1">
      <x:c r="A206" s="46" t="str">
        <x:v>LME_012</x:v>
      </x:c>
      <x:c r="B206" s="46" t="str">
        <x:v>Caribbean Sea</x:v>
      </x:c>
      <x:c r="C206" s="46" t="str">
        <x:v>commercial</x:v>
      </x:c>
      <x:c r="D206" s="46" t="str">
        <x:v>Cod-likes</x:v>
      </x:c>
      <x:c r="E206" s="66" t="n">
        <x:v>1</x:v>
      </x:c>
      <x:c r="F206" s="66" t="n">
        <x:v>1</x:v>
      </x:c>
      <x:c r="G206" s="60" t="n">
        <x:v>106.3242169429</x:v>
      </x:c>
      <x:c r="H206" s="60" t="n">
        <x:v>106.3242169429</x:v>
      </x:c>
      <x:c r="I206" s="62" t="n">
        <x:v>0</x:v>
      </x:c>
      <x:c r="J206" s="64" t="n">
        <x:v>1</x:v>
      </x:c>
      <x:c r="K206" s="62" t="n">
        <x:v>812.8305161640995</x:v>
      </x:c>
      <x:c r="L206" s="60" t="n">
        <x:v>86423.5681384411</x:v>
      </x:c>
      <x:c r="M206" s="62" t="n">
        <x:v>3.91</x:v>
      </x:c>
      <x:c r="N206" s="62" t="n">
        <x:v>812.8305161640995</x:v>
      </x:c>
      <x:c r="O206" s="60" t="n">
        <x:v>86423.5681384411</x:v>
      </x:c>
      <x:c r="P206" s="60" t="n">
        <x:v>0</x:v>
      </x:c>
      <x:c r="Q206" s="62" t="n">
        <x:v>1</x:v>
      </x:c>
      <x:c r="R206" s="64" t="n">
        <x:v>0</x:v>
      </x:c>
    </x:row>
    <x:row r="207" ht="18" customHeight="1">
      <x:c r="A207" s="46" t="str">
        <x:v>LME_012</x:v>
      </x:c>
      <x:c r="B207" s="46" t="str">
        <x:v>Caribbean Sea</x:v>
      </x:c>
      <x:c r="C207" s="46" t="str">
        <x:v>commercial</x:v>
      </x:c>
      <x:c r="D207" s="46" t="str">
        <x:v>Crustaceans</x:v>
      </x:c>
      <x:c r="E207" s="66" t="n">
        <x:v>44</x:v>
      </x:c>
      <x:c r="F207" s="66" t="n">
        <x:v>44</x:v>
      </x:c>
      <x:c r="G207" s="60" t="n">
        <x:v>60429.47482592629</x:v>
      </x:c>
      <x:c r="H207" s="60" t="n">
        <x:v>60429.47482592629</x:v>
      </x:c>
      <x:c r="I207" s="62" t="n">
        <x:v>0</x:v>
      </x:c>
      <x:c r="J207" s="64" t="n">
        <x:v>1</x:v>
      </x:c>
      <x:c r="K207" s="62" t="n">
        <x:v>227.48734837393454</x:v>
      </x:c>
      <x:c r="L207" s="60" t="n">
        <x:v>13746940.991779402</x:v>
      </x:c>
      <x:c r="M207" s="62" t="n">
        <x:v>3.2125762733697525</x:v>
      </x:c>
      <x:c r="N207" s="62" t="n">
        <x:v>163.1459410635327</x:v>
      </x:c>
      <x:c r="O207" s="60" t="n">
        <x:v>9858823.538450804</x:v>
      </x:c>
      <x:c r="P207" s="60" t="n">
        <x:v>3888117.4533285983</x:v>
      </x:c>
      <x:c r="Q207" s="62" t="n">
        <x:v>1.3943794549283077</x:v>
      </x:c>
      <x:c r="R207" s="64" t="n">
        <x:v>0.3943794549283078</x:v>
      </x:c>
    </x:row>
    <x:row r="208" ht="18" customHeight="1">
      <x:c r="A208" s="46" t="str">
        <x:v>LME_012</x:v>
      </x:c>
      <x:c r="B208" s="46" t="str">
        <x:v>Caribbean Sea</x:v>
      </x:c>
      <x:c r="C208" s="46" t="str">
        <x:v>commercial</x:v>
      </x:c>
      <x:c r="D208" s="46" t="str">
        <x:v>Flatfishes</x:v>
      </x:c>
      <x:c r="E208" s="66" t="n">
        <x:v>3</x:v>
      </x:c>
      <x:c r="F208" s="66" t="n">
        <x:v>3</x:v>
      </x:c>
      <x:c r="G208" s="60" t="n">
        <x:v>190.2980075253</x:v>
      </x:c>
      <x:c r="H208" s="60" t="n">
        <x:v>190.2980075253</x:v>
      </x:c>
      <x:c r="I208" s="62" t="n">
        <x:v>0</x:v>
      </x:c>
      <x:c r="J208" s="64" t="n">
        <x:v>1</x:v>
      </x:c>
      <x:c r="K208" s="62" t="n">
        <x:v>276.7480012475941</x:v>
      </x:c>
      <x:c r="L208" s="60" t="n">
        <x:v>52664.5932240264</x:v>
      </x:c>
      <x:c r="M208" s="62" t="n">
        <x:v>3.4089926358439953</x:v>
      </x:c>
      <x:c r="N208" s="62" t="n">
        <x:v>256.44405519670505</x:v>
      </x:c>
      <x:c r="O208" s="60" t="n">
        <x:v>48800.792745641025</x:v>
      </x:c>
      <x:c r="P208" s="60" t="n">
        <x:v>3863.8004783853758</x:v>
      </x:c>
      <x:c r="Q208" s="62" t="n">
        <x:v>1.079174953130869</x:v>
      </x:c>
      <x:c r="R208" s="64" t="n">
        <x:v>0.0791749531308689</x:v>
      </x:c>
    </x:row>
    <x:row r="209" ht="18" customHeight="1">
      <x:c r="A209" s="46" t="str">
        <x:v>LME_012</x:v>
      </x:c>
      <x:c r="B209" s="46" t="str">
        <x:v>Caribbean Sea</x:v>
      </x:c>
      <x:c r="C209" s="46" t="str">
        <x:v>commercial</x:v>
      </x:c>
      <x:c r="D209" s="46" t="str">
        <x:v>Herring-likes</x:v>
      </x:c>
      <x:c r="E209" s="66" t="n">
        <x:v>10</x:v>
      </x:c>
      <x:c r="F209" s="66" t="n">
        <x:v>10</x:v>
      </x:c>
      <x:c r="G209" s="60" t="n">
        <x:v>119269.19500032571</x:v>
      </x:c>
      <x:c r="H209" s="60" t="n">
        <x:v>119269.19500032571</x:v>
      </x:c>
      <x:c r="I209" s="62" t="n">
        <x:v>0</x:v>
      </x:c>
      <x:c r="J209" s="64" t="n">
        <x:v>1</x:v>
      </x:c>
      <x:c r="K209" s="62" t="n">
        <x:v>313.0527840250147</x:v>
      </x:c>
      <x:c r="L209" s="60" t="n">
        <x:v>37337553.54327433</x:v>
      </x:c>
      <x:c r="M209" s="62" t="n">
        <x:v>3.4183104265885556</x:v>
      </x:c>
      <x:c r="N209" s="62" t="n">
        <x:v>262.0055111582137</x:v>
      </x:c>
      <x:c r="O209" s="60" t="n">
        <x:v>31249186.401489004</x:v>
      </x:c>
      <x:c r="P209" s="60" t="n">
        <x:v>6088367.141785324</x:v>
      </x:c>
      <x:c r="Q209" s="62" t="n">
        <x:v>1.1948328210393093</x:v>
      </x:c>
      <x:c r="R209" s="64" t="n">
        <x:v>0.19483282103930927</x:v>
      </x:c>
    </x:row>
    <x:row r="210" ht="18" customHeight="1">
      <x:c r="A210" s="46" t="str">
        <x:v>LME_012</x:v>
      </x:c>
      <x:c r="B210" s="46" t="str">
        <x:v>Caribbean Sea</x:v>
      </x:c>
      <x:c r="C210" s="46" t="str">
        <x:v>commercial</x:v>
      </x:c>
      <x:c r="D210" s="46" t="str">
        <x:v>Molluscs</x:v>
      </x:c>
      <x:c r="E210" s="66" t="n">
        <x:v>40</x:v>
      </x:c>
      <x:c r="F210" s="66" t="n">
        <x:v>40</x:v>
      </x:c>
      <x:c r="G210" s="60" t="n">
        <x:v>68314.5491680265</x:v>
      </x:c>
      <x:c r="H210" s="60" t="n">
        <x:v>68314.5491680265</x:v>
      </x:c>
      <x:c r="I210" s="62" t="n">
        <x:v>0</x:v>
      </x:c>
      <x:c r="J210" s="64" t="n">
        <x:v>1</x:v>
      </x:c>
      <x:c r="K210" s="62" t="n">
        <x:v>13.286529783746731</x:v>
      </x:c>
      <x:c r="L210" s="60" t="n">
        <x:v>907663.2921842146</x:v>
      </x:c>
      <x:c r="M210" s="62" t="n">
        <x:v>2.0921272721148396</x:v>
      </x:c>
      <x:c r="N210" s="62" t="n">
        <x:v>12.363096869418472</x:v>
      </x:c>
      <x:c r="O210" s="60" t="n">
        <x:v>844579.3889549626</x:v>
      </x:c>
      <x:c r="P210" s="60" t="n">
        <x:v>63083.90322925197</x:v>
      </x:c>
      <x:c r="Q210" s="62" t="n">
        <x:v>1.0746926861515158</x:v>
      </x:c>
      <x:c r="R210" s="64" t="n">
        <x:v>0.07469268615151575</x:v>
      </x:c>
    </x:row>
    <x:row r="211" ht="18" customHeight="1">
      <x:c r="A211" s="46" t="str">
        <x:v>LME_012</x:v>
      </x:c>
      <x:c r="B211" s="46" t="str">
        <x:v>Caribbean Sea</x:v>
      </x:c>
      <x:c r="C211" s="46" t="str">
        <x:v>commercial</x:v>
      </x:c>
      <x:c r="D211" s="46" t="str">
        <x:v>Other fishes &amp; inverts</x:v>
      </x:c>
      <x:c r="E211" s="66" t="n">
        <x:v>110</x:v>
      </x:c>
      <x:c r="F211" s="66" t="n">
        <x:v>110</x:v>
      </x:c>
      <x:c r="G211" s="60" t="n">
        <x:v>127853.04166348011</x:v>
      </x:c>
      <x:c r="H211" s="60" t="n">
        <x:v>127853.04166348011</x:v>
      </x:c>
      <x:c r="I211" s="62" t="n">
        <x:v>0</x:v>
      </x:c>
      <x:c r="J211" s="64" t="n">
        <x:v>1</x:v>
      </x:c>
      <x:c r="K211" s="62" t="n">
        <x:v>357.29059118947487</x:v>
      </x:c>
      <x:c r="L211" s="60" t="n">
        <x:v>45680688.84131737</x:v>
      </x:c>
      <x:c r="M211" s="62" t="n">
        <x:v>3.4342610086783663</x:v>
      </x:c>
      <x:c r="N211" s="62" t="n">
        <x:v>271.80723251005725</x:v>
      </x:c>
      <x:c r="O211" s="60" t="n">
        <x:v>34751381.42254357</x:v>
      </x:c>
      <x:c r="P211" s="60" t="n">
        <x:v>10929307.4187738</x:v>
      </x:c>
      <x:c r="Q211" s="62" t="n">
        <x:v>1.314499941337119</x:v>
      </x:c>
      <x:c r="R211" s="64" t="n">
        <x:v>0.314499941337119</x:v>
      </x:c>
    </x:row>
    <x:row r="212" ht="18" customHeight="1">
      <x:c r="A212" s="46" t="str">
        <x:v>LME_012</x:v>
      </x:c>
      <x:c r="B212" s="46" t="str">
        <x:v>Caribbean Sea</x:v>
      </x:c>
      <x:c r="C212" s="46" t="str">
        <x:v>commercial</x:v>
      </x:c>
      <x:c r="D212" s="46" t="str">
        <x:v>Perch-likes</x:v>
      </x:c>
      <x:c r="E212" s="66" t="n">
        <x:v>223</x:v>
      </x:c>
      <x:c r="F212" s="66" t="n">
        <x:v>223</x:v>
      </x:c>
      <x:c r="G212" s="60" t="n">
        <x:v>205693.3038436284</x:v>
      </x:c>
      <x:c r="H212" s="60" t="n">
        <x:v>205693.3038436284</x:v>
      </x:c>
      <x:c r="I212" s="62" t="n">
        <x:v>0</x:v>
      </x:c>
      <x:c r="J212" s="64" t="n">
        <x:v>1</x:v>
      </x:c>
      <x:c r="K212" s="62" t="n">
        <x:v>1118.7259460256907</x:v>
      </x:c>
      <x:c r="L212" s="60" t="n">
        <x:v>230114435.93361303</x:v>
      </x:c>
      <x:c r="M212" s="62" t="n">
        <x:v>3.7890642956944176</x:v>
      </x:c>
      <x:c r="N212" s="62" t="n">
        <x:v>615.2679541163047</x:v>
      </x:c>
      <x:c r="O212" s="60" t="n">
        <x:v>126556498.2312927</x:v>
      </x:c>
      <x:c r="P212" s="60" t="n">
        <x:v>103557937.70232034</x:v>
      </x:c>
      <x:c r="Q212" s="62" t="n">
        <x:v>1.8182743608554928</x:v>
      </x:c>
      <x:c r="R212" s="64" t="n">
        <x:v>0.8182743608554928</x:v>
      </x:c>
    </x:row>
    <x:row r="213" ht="18" customHeight="1">
      <x:c r="A213" s="46" t="str">
        <x:v>LME_012</x:v>
      </x:c>
      <x:c r="B213" s="46" t="str">
        <x:v>Caribbean Sea</x:v>
      </x:c>
      <x:c r="C213" s="46" t="str">
        <x:v>commercial</x:v>
      </x:c>
      <x:c r="D213" s="46" t="str">
        <x:v>Scorpionfishes</x:v>
      </x:c>
      <x:c r="E213" s="66" t="n">
        <x:v>5</x:v>
      </x:c>
      <x:c r="F213" s="66" t="n">
        <x:v>5</x:v>
      </x:c>
      <x:c r="G213" s="60" t="n">
        <x:v>16.4050664061</x:v>
      </x:c>
      <x:c r="H213" s="60" t="n">
        <x:v>16.4050664061</x:v>
      </x:c>
      <x:c r="I213" s="62" t="n">
        <x:v>0</x:v>
      </x:c>
      <x:c r="J213" s="64" t="n">
        <x:v>1</x:v>
      </x:c>
      <x:c r="K213" s="62" t="n">
        <x:v>503.1881087672529</x:v>
      </x:c>
      <x:c r="L213" s="60" t="n">
        <x:v>8254.834339086654</x:v>
      </x:c>
      <x:c r="M213" s="62" t="n">
        <x:v>3.693133080239278</x:v>
      </x:c>
      <x:c r="N213" s="62" t="n">
        <x:v>493.3249496574733</x:v>
      </x:c>
      <x:c r="O213" s="60" t="n">
        <x:v>8093.02855891679</x:v>
      </x:c>
      <x:c r="P213" s="60" t="n">
        <x:v>161.8057801698642</x:v>
      </x:c>
      <x:c r="Q213" s="62" t="n">
        <x:v>1.0199932298510905</x:v>
      </x:c>
      <x:c r="R213" s="64" t="n">
        <x:v>0.019993229851090637</x:v>
      </x:c>
    </x:row>
    <x:row r="214" ht="18" customHeight="1">
      <x:c r="A214" s="46" t="str">
        <x:v>LME_012</x:v>
      </x:c>
      <x:c r="B214" s="46" t="str">
        <x:v>Caribbean Sea</x:v>
      </x:c>
      <x:c r="C214" s="46" t="str">
        <x:v>commercial</x:v>
      </x:c>
      <x:c r="D214" s="46" t="str">
        <x:v>Sharks &amp; rays</x:v>
      </x:c>
      <x:c r="E214" s="66" t="n">
        <x:v>46</x:v>
      </x:c>
      <x:c r="F214" s="66" t="n">
        <x:v>46</x:v>
      </x:c>
      <x:c r="G214" s="60" t="n">
        <x:v>22893.7295984106</x:v>
      </x:c>
      <x:c r="H214" s="60" t="n">
        <x:v>22893.7295984106</x:v>
      </x:c>
      <x:c r="I214" s="62" t="n">
        <x:v>0</x:v>
      </x:c>
      <x:c r="J214" s="64" t="n">
        <x:v>1</x:v>
      </x:c>
      <x:c r="K214" s="62" t="n">
        <x:v>1002.0318863084472</x:v>
      </x:c>
      <x:c r="L214" s="60" t="n">
        <x:v>22940247.0541309</x:v>
      </x:c>
      <x:c r="M214" s="62" t="n">
        <x:v>3.913428912940755</x:v>
      </x:c>
      <x:c r="N214" s="62" t="n">
        <x:v>819.2735102368621</x:v>
      </x:c>
      <x:c r="O214" s="60" t="n">
        <x:v>18756226.2105034</x:v>
      </x:c>
      <x:c r="P214" s="60" t="n">
        <x:v>4184020.8436275013</x:v>
      </x:c>
      <x:c r="Q214" s="62" t="n">
        <x:v>1.223073703455574</x:v>
      </x:c>
      <x:c r="R214" s="64" t="n">
        <x:v>0.2230737034555741</x:v>
      </x:c>
    </x:row>
    <x:row r="215" ht="18" customHeight="1">
      <x:c r="A215" s="46" t="str">
        <x:v>LME_012</x:v>
      </x:c>
      <x:c r="B215" s="46" t="str">
        <x:v>Caribbean Sea</x:v>
      </x:c>
      <x:c r="C215" s="46" t="str">
        <x:v>commercial</x:v>
      </x:c>
      <x:c r="D215" s="46" t="str">
        <x:v>Tuna &amp; billfishes</x:v>
      </x:c>
      <x:c r="E215" s="66" t="n">
        <x:v>21</x:v>
      </x:c>
      <x:c r="F215" s="66" t="n">
        <x:v>21</x:v>
      </x:c>
      <x:c r="G215" s="60" t="n">
        <x:v>16945.195538182306</x:v>
      </x:c>
      <x:c r="H215" s="60" t="n">
        <x:v>16945.195538182306</x:v>
      </x:c>
      <x:c r="I215" s="62" t="n">
        <x:v>0</x:v>
      </x:c>
      <x:c r="J215" s="64" t="n">
        <x:v>1</x:v>
      </x:c>
      <x:c r="K215" s="62" t="n">
        <x:v>2770.9717356980204</x:v>
      </x:c>
      <x:c r="L215" s="60" t="n">
        <x:v>46954657.89217938</x:v>
      </x:c>
      <x:c r="M215" s="62" t="n">
        <x:v>4.438285296670075</x:v>
      </x:c>
      <x:c r="N215" s="62" t="n">
        <x:v>2743.375758132064</x:v>
      </x:c>
      <x:c r="O215" s="60" t="n">
        <x:v>46487038.65625696</x:v>
      </x:c>
      <x:c r="P215" s="60" t="n">
        <x:v>467619.23592241853</x:v>
      </x:c>
      <x:c r="Q215" s="62" t="n">
        <x:v>1.010059131522233</x:v>
      </x:c>
      <x:c r="R215" s="64" t="n">
        <x:v>0.010059131522233004</x:v>
      </x:c>
    </x:row>
    <x:row r="216" ht="18" customHeight="1">
      <x:c r="A216" s="46" t="str">
        <x:v>LME_013</x:v>
      </x:c>
      <x:c r="B216" s="46" t="str">
        <x:v>Humboldt Current</x:v>
      </x:c>
      <x:c r="C216" s="46" t="str">
        <x:v>commercial</x:v>
      </x:c>
      <x:c r="D216" s="46" t="str">
        <x:v>Anchovies</x:v>
      </x:c>
      <x:c r="E216" s="66" t="n">
        <x:v>3</x:v>
      </x:c>
      <x:c r="F216" s="66" t="n">
        <x:v>3</x:v>
      </x:c>
      <x:c r="G216" s="60" t="n">
        <x:v>4598547.799117034</x:v>
      </x:c>
      <x:c r="H216" s="60" t="n">
        <x:v>4598547.799117034</x:v>
      </x:c>
      <x:c r="I216" s="62" t="n">
        <x:v>0</x:v>
      </x:c>
      <x:c r="J216" s="64" t="n">
        <x:v>1</x:v>
      </x:c>
      <x:c r="K216" s="62" t="n">
        <x:v>50.120255971114005</x:v>
      </x:c>
      <x:c r="L216" s="60" t="n">
        <x:v>230480392.7871487</x:v>
      </x:c>
      <x:c r="M216" s="62" t="n">
        <x:v>2.700005308232516</x:v>
      </x:c>
      <x:c r="N216" s="62" t="n">
        <x:v>50.11933595043896</x:v>
      </x:c>
      <x:c r="O216" s="60" t="n">
        <x:v>230476162.02809832</x:v>
      </x:c>
      <x:c r="P216" s="60" t="n">
        <x:v>4230.759050399065</x:v>
      </x:c>
      <x:c r="Q216" s="62" t="n">
        <x:v>1.0000183566014513</x:v>
      </x:c>
      <x:c r="R216" s="64" t="n">
        <x:v>0.000018356601451404226</x:v>
      </x:c>
    </x:row>
    <x:row r="217" ht="18" customHeight="1">
      <x:c r="A217" s="46" t="str">
        <x:v>LME_013</x:v>
      </x:c>
      <x:c r="B217" s="46" t="str">
        <x:v>Humboldt Current</x:v>
      </x:c>
      <x:c r="C217" s="46" t="str">
        <x:v>commercial</x:v>
      </x:c>
      <x:c r="D217" s="46" t="str">
        <x:v>Cod-likes</x:v>
      </x:c>
      <x:c r="E217" s="66" t="n">
        <x:v>5</x:v>
      </x:c>
      <x:c r="F217" s="66" t="n">
        <x:v>5</x:v>
      </x:c>
      <x:c r="G217" s="60" t="n">
        <x:v>103175.9252273117</x:v>
      </x:c>
      <x:c r="H217" s="60" t="n">
        <x:v>103175.9252273117</x:v>
      </x:c>
      <x:c r="I217" s="62" t="n">
        <x:v>0</x:v>
      </x:c>
      <x:c r="J217" s="64" t="n">
        <x:v>1</x:v>
      </x:c>
      <x:c r="K217" s="62" t="n">
        <x:v>2309.274016675505</x:v>
      </x:c>
      <x:c r="L217" s="60" t="n">
        <x:v>238261483.27388567</x:v>
      </x:c>
      <x:c r="M217" s="62" t="n">
        <x:v>4.354987129979293</x:v>
      </x:c>
      <x:c r="N217" s="62" t="n">
        <x:v>2264.5771973982696</x:v>
      </x:c>
      <x:c r="O217" s="60" t="n">
        <x:v>233649847.59023896</x:v>
      </x:c>
      <x:c r="P217" s="60" t="n">
        <x:v>4611635.683646709</x:v>
      </x:c>
      <x:c r="Q217" s="62" t="n">
        <x:v>1.0197373793786262</x:v>
      </x:c>
      <x:c r="R217" s="64" t="n">
        <x:v>0.019737379378626078</x:v>
      </x:c>
    </x:row>
    <x:row r="218" ht="18" customHeight="1">
      <x:c r="A218" s="46" t="str">
        <x:v>LME_013</x:v>
      </x:c>
      <x:c r="B218" s="46" t="str">
        <x:v>Humboldt Current</x:v>
      </x:c>
      <x:c r="C218" s="46" t="str">
        <x:v>commercial</x:v>
      </x:c>
      <x:c r="D218" s="46" t="str">
        <x:v>Crustaceans</x:v>
      </x:c>
      <x:c r="E218" s="66" t="n">
        <x:v>22</x:v>
      </x:c>
      <x:c r="F218" s="66" t="n">
        <x:v>22</x:v>
      </x:c>
      <x:c r="G218" s="60" t="n">
        <x:v>27172.084580324004</x:v>
      </x:c>
      <x:c r="H218" s="60" t="n">
        <x:v>27172.084580324004</x:v>
      </x:c>
      <x:c r="I218" s="62" t="n">
        <x:v>0</x:v>
      </x:c>
      <x:c r="J218" s="64" t="n">
        <x:v>1</x:v>
      </x:c>
      <x:c r="K218" s="62" t="n">
        <x:v>94.24094082108884</x:v>
      </x:c>
      <x:c r="L218" s="60" t="n">
        <x:v>2560722.814919935</x:v>
      </x:c>
      <x:c r="M218" s="62" t="n">
        <x:v>2.717708213752778</x:v>
      </x:c>
      <x:c r="N218" s="62" t="n">
        <x:v>52.20453283826089</x:v>
      </x:c>
      <x:c r="O218" s="60" t="n">
        <x:v>1418505.9817575268</x:v>
      </x:c>
      <x:c r="P218" s="60" t="n">
        <x:v>1142216.8331624083</x:v>
      </x:c>
      <x:c r="Q218" s="62" t="n">
        <x:v>1.8052252495595424</x:v>
      </x:c>
      <x:c r="R218" s="64" t="n">
        <x:v>0.8052252495595426</x:v>
      </x:c>
    </x:row>
    <x:row r="219" ht="18" customHeight="1">
      <x:c r="A219" s="46" t="str">
        <x:v>LME_013</x:v>
      </x:c>
      <x:c r="B219" s="46" t="str">
        <x:v>Humboldt Current</x:v>
      </x:c>
      <x:c r="C219" s="46" t="str">
        <x:v>commercial</x:v>
      </x:c>
      <x:c r="D219" s="46" t="str">
        <x:v>Flatfishes</x:v>
      </x:c>
      <x:c r="E219" s="66" t="n">
        <x:v>6</x:v>
      </x:c>
      <x:c r="F219" s="66" t="n">
        <x:v>6</x:v>
      </x:c>
      <x:c r="G219" s="60" t="n">
        <x:v>2102.1049634653</x:v>
      </x:c>
      <x:c r="H219" s="60" t="n">
        <x:v>2102.1049634653</x:v>
      </x:c>
      <x:c r="I219" s="62" t="n">
        <x:v>0</x:v>
      </x:c>
      <x:c r="J219" s="64" t="n">
        <x:v>1</x:v>
      </x:c>
      <x:c r="K219" s="62" t="n">
        <x:v>516.5369614030293</x:v>
      </x:c>
      <x:c r="L219" s="60" t="n">
        <x:v>1085814.9103785919</x:v>
      </x:c>
      <x:c r="M219" s="62" t="n">
        <x:v>3.639823474641467</x:v>
      </x:c>
      <x:c r="N219" s="62" t="n">
        <x:v>436.33844003549865</x:v>
      </x:c>
      <x:c r="O219" s="60" t="n">
        <x:v>917229.2005493279</x:v>
      </x:c>
      <x:c r="P219" s="60" t="n">
        <x:v>168585.70982926397</x:v>
      </x:c>
      <x:c r="Q219" s="62" t="n">
        <x:v>1.1837988909732684</x:v>
      </x:c>
      <x:c r="R219" s="64" t="n">
        <x:v>0.18379889097326832</x:v>
      </x:c>
    </x:row>
    <x:row r="220" ht="18" customHeight="1">
      <x:c r="A220" s="46" t="str">
        <x:v>LME_013</x:v>
      </x:c>
      <x:c r="B220" s="46" t="str">
        <x:v>Humboldt Current</x:v>
      </x:c>
      <x:c r="C220" s="46" t="str">
        <x:v>commercial</x:v>
      </x:c>
      <x:c r="D220" s="46" t="str">
        <x:v>Herring-likes</x:v>
      </x:c>
      <x:c r="E220" s="66" t="n">
        <x:v>5</x:v>
      </x:c>
      <x:c r="F220" s="66" t="n">
        <x:v>5</x:v>
      </x:c>
      <x:c r="G220" s="60" t="n">
        <x:v>364665.91995222075</x:v>
      </x:c>
      <x:c r="H220" s="60" t="n">
        <x:v>364665.91995222075</x:v>
      </x:c>
      <x:c r="I220" s="62" t="n">
        <x:v>0</x:v>
      </x:c>
      <x:c r="J220" s="64" t="n">
        <x:v>1</x:v>
      </x:c>
      <x:c r="K220" s="62" t="n">
        <x:v>26.565062463694456</x:v>
      </x:c>
      <x:c r="L220" s="60" t="n">
        <x:v>9687372.941911347</x:v>
      </x:c>
      <x:c r="M220" s="62" t="n">
        <x:v>2.1235344375932526</x:v>
      </x:c>
      <x:c r="N220" s="62" t="n">
        <x:v>13.290289389478747</x:v>
      </x:c>
      <x:c r="O220" s="60" t="n">
        <x:v>4846515.606645506</x:v>
      </x:c>
      <x:c r="P220" s="60" t="n">
        <x:v>4840857.335265841</x:v>
      </x:c>
      <x:c r="Q220" s="62" t="n">
        <x:v>1.998832507343646</x:v>
      </x:c>
      <x:c r="R220" s="64" t="n">
        <x:v>0.9988325073436458</x:v>
      </x:c>
    </x:row>
    <x:row r="221" ht="18" customHeight="1">
      <x:c r="A221" s="46" t="str">
        <x:v>LME_013</x:v>
      </x:c>
      <x:c r="B221" s="46" t="str">
        <x:v>Humboldt Current</x:v>
      </x:c>
      <x:c r="C221" s="46" t="str">
        <x:v>commercial</x:v>
      </x:c>
      <x:c r="D221" s="46" t="str">
        <x:v>Molluscs</x:v>
      </x:c>
      <x:c r="E221" s="66" t="n">
        <x:v>28</x:v>
      </x:c>
      <x:c r="F221" s="66" t="n">
        <x:v>28</x:v>
      </x:c>
      <x:c r="G221" s="60" t="n">
        <x:v>143346.93019208778</x:v>
      </x:c>
      <x:c r="H221" s="60" t="n">
        <x:v>143346.93019208778</x:v>
      </x:c>
      <x:c r="I221" s="62" t="n">
        <x:v>0</x:v>
      </x:c>
      <x:c r="J221" s="64" t="n">
        <x:v>1</x:v>
      </x:c>
      <x:c r="K221" s="62" t="n">
        <x:v>15.47803451051527</x:v>
      </x:c>
      <x:c r="L221" s="60" t="n">
        <x:v>2218728.732489558</x:v>
      </x:c>
      <x:c r="M221" s="62" t="n">
        <x:v>2.073365107373941</x:v>
      </x:c>
      <x:c r="N221" s="62" t="n">
        <x:v>11.840365460540381</x:v>
      </x:c>
      <x:c r="O221" s="60" t="n">
        <x:v>1697280.0411208894</x:v>
      </x:c>
      <x:c r="P221" s="60" t="n">
        <x:v>521448.6913686686</x:v>
      </x:c>
      <x:c r="Q221" s="62" t="n">
        <x:v>1.3072260786288998</x:v>
      </x:c>
      <x:c r="R221" s="64" t="n">
        <x:v>0.3072260786288998</x:v>
      </x:c>
    </x:row>
    <x:row r="222" ht="18" customHeight="1">
      <x:c r="A222" s="46" t="str">
        <x:v>LME_013</x:v>
      </x:c>
      <x:c r="B222" s="46" t="str">
        <x:v>Humboldt Current</x:v>
      </x:c>
      <x:c r="C222" s="46" t="str">
        <x:v>commercial</x:v>
      </x:c>
      <x:c r="D222" s="46" t="str">
        <x:v>Other fishes &amp; inverts</x:v>
      </x:c>
      <x:c r="E222" s="66" t="n">
        <x:v>19</x:v>
      </x:c>
      <x:c r="F222" s="66" t="n">
        <x:v>19</x:v>
      </x:c>
      <x:c r="G222" s="60" t="n">
        <x:v>1004132.0481028467</x:v>
      </x:c>
      <x:c r="H222" s="60" t="n">
        <x:v>1004132.0481028467</x:v>
      </x:c>
      <x:c r="I222" s="62" t="n">
        <x:v>0</x:v>
      </x:c>
      <x:c r="J222" s="64" t="n">
        <x:v>1</x:v>
      </x:c>
      <x:c r="K222" s="62" t="n">
        <x:v>1099.2732552812815</x:v>
      </x:c>
      <x:c r="L222" s="60" t="n">
        <x:v>1103815505.2502768</x:v>
      </x:c>
      <x:c r="M222" s="62" t="n">
        <x:v>3.89177283772931</x:v>
      </x:c>
      <x:c r="N222" s="62" t="n">
        <x:v>779.4223188874819</x:v>
      </x:c>
      <x:c r="O222" s="60" t="n">
        <x:v>782642929.4015573</x:v>
      </x:c>
      <x:c r="P222" s="60" t="n">
        <x:v>321172575.8487195</x:v>
      </x:c>
      <x:c r="Q222" s="62" t="n">
        <x:v>1.4103692294189663</x:v>
      </x:c>
      <x:c r="R222" s="64" t="n">
        <x:v>0.41036922941896625</x:v>
      </x:c>
    </x:row>
    <x:row r="223" ht="18" customHeight="1">
      <x:c r="A223" s="46" t="str">
        <x:v>LME_013</x:v>
      </x:c>
      <x:c r="B223" s="46" t="str">
        <x:v>Humboldt Current</x:v>
      </x:c>
      <x:c r="C223" s="46" t="str">
        <x:v>commercial</x:v>
      </x:c>
      <x:c r="D223" s="46" t="str">
        <x:v>Perch-likes</x:v>
      </x:c>
      <x:c r="E223" s="66" t="n">
        <x:v>50</x:v>
      </x:c>
      <x:c r="F223" s="66" t="n">
        <x:v>50</x:v>
      </x:c>
      <x:c r="G223" s="60" t="n">
        <x:v>943495.2939962571</x:v>
      </x:c>
      <x:c r="H223" s="60" t="n">
        <x:v>943495.2939962571</x:v>
      </x:c>
      <x:c r="I223" s="62" t="n">
        <x:v>0</x:v>
      </x:c>
      <x:c r="J223" s="64" t="n">
        <x:v>1</x:v>
      </x:c>
      <x:c r="K223" s="62" t="n">
        <x:v>507.1148191751242</x:v>
      </x:c>
      <x:c r="L223" s="60" t="n">
        <x:v>478460445.4074926</x:v>
      </x:c>
      <x:c r="M223" s="62" t="n">
        <x:v>3.460375633497943</x:v>
      </x:c>
      <x:c r="N223" s="62" t="n">
        <x:v>288.6527062078104</x:v>
      </x:c>
      <x:c r="O223" s="60" t="n">
        <x:v>272342469.9063533</x:v>
      </x:c>
      <x:c r="P223" s="60" t="n">
        <x:v>206117975.50113928</x:v>
      </x:c>
      <x:c r="Q223" s="62" t="n">
        <x:v>1.7568337599788026</x:v>
      </x:c>
      <x:c r="R223" s="64" t="n">
        <x:v>0.7568337599788026</x:v>
      </x:c>
    </x:row>
    <x:row r="224" ht="18" customHeight="1">
      <x:c r="A224" s="46" t="str">
        <x:v>LME_013</x:v>
      </x:c>
      <x:c r="B224" s="46" t="str">
        <x:v>Humboldt Current</x:v>
      </x:c>
      <x:c r="C224" s="46" t="str">
        <x:v>commercial</x:v>
      </x:c>
      <x:c r="D224" s="46" t="str">
        <x:v>Salmon, smelts, etc</x:v>
      </x:c>
      <x:c r="E224" s="66" t="n">
        <x:v>1</x:v>
      </x:c>
      <x:c r="F224" s="66" t="n">
        <x:v>1</x:v>
      </x:c>
      <x:c r="G224" s="60" t="n">
        <x:v>0.9583645265</x:v>
      </x:c>
      <x:c r="H224" s="60" t="n">
        <x:v>0.9583645265</x:v>
      </x:c>
      <x:c r="I224" s="62" t="n">
        <x:v>0</x:v>
      </x:c>
      <x:c r="J224" s="64" t="n">
        <x:v>1</x:v>
      </x:c>
      <x:c r="K224" s="62" t="n">
        <x:v>144.5439770745928</x:v>
      </x:c>
      <x:c r="L224" s="60" t="n">
        <x:v>138.52582014751897</x:v>
      </x:c>
      <x:c r="M224" s="62" t="n">
        <x:v>3.16</x:v>
      </x:c>
      <x:c r="N224" s="62" t="n">
        <x:v>144.5439770745928</x:v>
      </x:c>
      <x:c r="O224" s="60" t="n">
        <x:v>138.52582014751897</x:v>
      </x:c>
      <x:c r="P224" s="60" t="n">
        <x:v>0</x:v>
      </x:c>
      <x:c r="Q224" s="62" t="n">
        <x:v>1</x:v>
      </x:c>
      <x:c r="R224" s="64" t="n">
        <x:v>0</x:v>
      </x:c>
    </x:row>
    <x:row r="225" ht="18" customHeight="1">
      <x:c r="A225" s="46" t="str">
        <x:v>LME_013</x:v>
      </x:c>
      <x:c r="B225" s="46" t="str">
        <x:v>Humboldt Current</x:v>
      </x:c>
      <x:c r="C225" s="46" t="str">
        <x:v>commercial</x:v>
      </x:c>
      <x:c r="D225" s="46" t="str">
        <x:v>Scorpionfishes</x:v>
      </x:c>
      <x:c r="E225" s="66" t="n">
        <x:v>4</x:v>
      </x:c>
      <x:c r="F225" s="66" t="n">
        <x:v>4</x:v>
      </x:c>
      <x:c r="G225" s="60" t="n">
        <x:v>12464.655147225</x:v>
      </x:c>
      <x:c r="H225" s="60" t="n">
        <x:v>12464.655147225</x:v>
      </x:c>
      <x:c r="I225" s="62" t="n">
        <x:v>0</x:v>
      </x:c>
      <x:c r="J225" s="64" t="n">
        <x:v>1</x:v>
      </x:c>
      <x:c r="K225" s="62" t="n">
        <x:v>70.95349915533234</x:v>
      </x:c>
      <x:c r="L225" s="60" t="n">
        <x:v>884410.8984601379</x:v>
      </x:c>
      <x:c r="M225" s="62" t="n">
        <x:v>2.7892808870216403</x:v>
      </x:c>
      <x:c r="N225" s="62" t="n">
        <x:v>61.557487705452864</x:v>
      </x:c>
      <x:c r="O225" s="60" t="n">
        <x:v>767292.8559780127</x:v>
      </x:c>
      <x:c r="P225" s="60" t="n">
        <x:v>117118.04248212522</x:v>
      </x:c>
      <x:c r="Q225" s="62" t="n">
        <x:v>1.1526379941760871</x:v>
      </x:c>
      <x:c r="R225" s="64" t="n">
        <x:v>0.15263799417608723</x:v>
      </x:c>
    </x:row>
    <x:row r="226" ht="18" customHeight="1">
      <x:c r="A226" s="46" t="str">
        <x:v>LME_013</x:v>
      </x:c>
      <x:c r="B226" s="46" t="str">
        <x:v>Humboldt Current</x:v>
      </x:c>
      <x:c r="C226" s="46" t="str">
        <x:v>commercial</x:v>
      </x:c>
      <x:c r="D226" s="46" t="str">
        <x:v>Sharks &amp; rays</x:v>
      </x:c>
      <x:c r="E226" s="66" t="n">
        <x:v>24</x:v>
      </x:c>
      <x:c r="F226" s="66" t="n">
        <x:v>24</x:v>
      </x:c>
      <x:c r="G226" s="60" t="n">
        <x:v>25393.6704067327</x:v>
      </x:c>
      <x:c r="H226" s="60" t="n">
        <x:v>25393.6704067327</x:v>
      </x:c>
      <x:c r="I226" s="62" t="n">
        <x:v>0</x:v>
      </x:c>
      <x:c r="J226" s="64" t="n">
        <x:v>1</x:v>
      </x:c>
      <x:c r="K226" s="62" t="n">
        <x:v>2134.3621298675785</x:v>
      </x:c>
      <x:c r="L226" s="60" t="n">
        <x:v>54199288.45446931</x:v>
      </x:c>
      <x:c r="M226" s="62" t="n">
        <x:v>4.209222660668503</x:v>
      </x:c>
      <x:c r="N226" s="62" t="n">
        <x:v>1618.909832105786</x:v>
      </x:c>
      <x:c r="O226" s="60" t="n">
        <x:v>41110062.69471331</x:v>
      </x:c>
      <x:c r="P226" s="60" t="n">
        <x:v>13089225.759755999</x:v>
      </x:c>
      <x:c r="Q226" s="62" t="n">
        <x:v>1.31839469224257</x:v>
      </x:c>
      <x:c r="R226" s="64" t="n">
        <x:v>0.31839469224256994</x:v>
      </x:c>
    </x:row>
    <x:row r="227" ht="18" customHeight="1">
      <x:c r="A227" s="46" t="str">
        <x:v>LME_013</x:v>
      </x:c>
      <x:c r="B227" s="46" t="str">
        <x:v>Humboldt Current</x:v>
      </x:c>
      <x:c r="C227" s="46" t="str">
        <x:v>commercial</x:v>
      </x:c>
      <x:c r="D227" s="46" t="str">
        <x:v>Tuna &amp; billfishes</x:v>
      </x:c>
      <x:c r="E227" s="66" t="n">
        <x:v>17</x:v>
      </x:c>
      <x:c r="F227" s="66" t="n">
        <x:v>17</x:v>
      </x:c>
      <x:c r="G227" s="60" t="n">
        <x:v>165883.2905515809</x:v>
      </x:c>
      <x:c r="H227" s="60" t="n">
        <x:v>165883.2905515809</x:v>
      </x:c>
      <x:c r="I227" s="62" t="n">
        <x:v>0</x:v>
      </x:c>
      <x:c r="J227" s="64" t="n">
        <x:v>1</x:v>
      </x:c>
      <x:c r="K227" s="62" t="n">
        <x:v>2956.284593316184</x:v>
      </x:c>
      <x:c r="L227" s="60" t="n">
        <x:v>490398216.1462307</x:v>
      </x:c>
      <x:c r="M227" s="62" t="n">
        <x:v>4.469331134457172</x:v>
      </x:c>
      <x:c r="N227" s="62" t="n">
        <x:v>2946.667509111792</x:v>
      </x:c>
      <x:c r="O227" s="60" t="n">
        <x:v>488802902.5728945</x:v>
      </x:c>
      <x:c r="P227" s="60" t="n">
        <x:v>1595313.573336184</x:v>
      </x:c>
      <x:c r="Q227" s="62" t="n">
        <x:v>1.003263715425868</x:v>
      </x:c>
      <x:c r="R227" s="64" t="n">
        <x:v>0.003263715425867949</x:v>
      </x:c>
    </x:row>
    <x:row r="228" ht="18" customHeight="1">
      <x:c r="A228" s="46" t="str">
        <x:v>LME_014</x:v>
      </x:c>
      <x:c r="B228" s="46" t="str">
        <x:v>Patagonian Shelf</x:v>
      </x:c>
      <x:c r="C228" s="46" t="str">
        <x:v>commercial</x:v>
      </x:c>
      <x:c r="D228" s="46" t="str">
        <x:v>Anchovies</x:v>
      </x:c>
      <x:c r="E228" s="66" t="n">
        <x:v>3</x:v>
      </x:c>
      <x:c r="F228" s="66" t="n">
        <x:v>3</x:v>
      </x:c>
      <x:c r="G228" s="60" t="n">
        <x:v>6907.352790027099</x:v>
      </x:c>
      <x:c r="H228" s="60" t="n">
        <x:v>6907.352790027099</x:v>
      </x:c>
      <x:c r="I228" s="62" t="n">
        <x:v>0</x:v>
      </x:c>
      <x:c r="J228" s="64" t="n">
        <x:v>1</x:v>
      </x:c>
      <x:c r="K228" s="62" t="n">
        <x:v>32.71654395825055</x:v>
      </x:c>
      <x:c r="L228" s="60" t="n">
        <x:v>225984.71119006615</x:v>
      </x:c>
      <x:c r="M228" s="62" t="n">
        <x:v>2.51159132602985</x:v>
      </x:c>
      <x:c r="N228" s="62" t="n">
        <x:v>32.478153198195436</x:v>
      </x:c>
      <x:c r="O228" s="60" t="n">
        <x:v>224338.0621084828</x:v>
      </x:c>
      <x:c r="P228" s="60" t="n">
        <x:v>1646.6490815833677</x:v>
      </x:c>
      <x:c r="Q228" s="62" t="n">
        <x:v>1.007340034348639</x:v>
      </x:c>
      <x:c r="R228" s="64" t="n">
        <x:v>0.007340034348638977</x:v>
      </x:c>
    </x:row>
    <x:row r="229" ht="18" customHeight="1">
      <x:c r="A229" s="46" t="str">
        <x:v>LME_014</x:v>
      </x:c>
      <x:c r="B229" s="46" t="str">
        <x:v>Patagonian Shelf</x:v>
      </x:c>
      <x:c r="C229" s="46" t="str">
        <x:v>commercial</x:v>
      </x:c>
      <x:c r="D229" s="46" t="str">
        <x:v>Cod-likes</x:v>
      </x:c>
      <x:c r="E229" s="66" t="n">
        <x:v>12</x:v>
      </x:c>
      <x:c r="F229" s="66" t="n">
        <x:v>12</x:v>
      </x:c>
      <x:c r="G229" s="60" t="n">
        <x:v>740821.9266295667</x:v>
      </x:c>
      <x:c r="H229" s="60" t="n">
        <x:v>740821.9266295667</x:v>
      </x:c>
      <x:c r="I229" s="62" t="n">
        <x:v>0</x:v>
      </x:c>
      <x:c r="J229" s="64" t="n">
        <x:v>1</x:v>
      </x:c>
      <x:c r="K229" s="62" t="n">
        <x:v>1499.2304428207526</x:v>
      </x:c>
      <x:c r="L229" s="60" t="n">
        <x:v>1110662785.1121683</x:v>
      </x:c>
      <x:c r="M229" s="62" t="n">
        <x:v>4.149539932221344</x:v>
      </x:c>
      <x:c r="N229" s="62" t="n">
        <x:v>1411.0419720461523</x:v>
      </x:c>
      <x:c r="O229" s="60" t="n">
        <x:v>1045330832.2864138</x:v>
      </x:c>
      <x:c r="P229" s="60" t="n">
        <x:v>65331952.82575452</x:v>
      </x:c>
      <x:c r="Q229" s="62" t="n">
        <x:v>1.0624988288950172</x:v>
      </x:c>
      <x:c r="R229" s="64" t="n">
        <x:v>0.062498828895017226</x:v>
      </x:c>
    </x:row>
    <x:row r="230" ht="18" customHeight="1">
      <x:c r="A230" s="46" t="str">
        <x:v>LME_014</x:v>
      </x:c>
      <x:c r="B230" s="46" t="str">
        <x:v>Patagonian Shelf</x:v>
      </x:c>
      <x:c r="C230" s="46" t="str">
        <x:v>commercial</x:v>
      </x:c>
      <x:c r="D230" s="46" t="str">
        <x:v>Crustaceans</x:v>
      </x:c>
      <x:c r="E230" s="66" t="n">
        <x:v>14</x:v>
      </x:c>
      <x:c r="F230" s="66" t="n">
        <x:v>14</x:v>
      </x:c>
      <x:c r="G230" s="60" t="n">
        <x:v>285498.3665785909</x:v>
      </x:c>
      <x:c r="H230" s="60" t="n">
        <x:v>285498.3665785909</x:v>
      </x:c>
      <x:c r="I230" s="62" t="n">
        <x:v>0</x:v>
      </x:c>
      <x:c r="J230" s="64" t="n">
        <x:v>1</x:v>
      </x:c>
      <x:c r="K230" s="62" t="n">
        <x:v>16.93505634604565</x:v>
      </x:c>
      <x:c r="L230" s="60" t="n">
        <x:v>4834930.924712433</x:v>
      </x:c>
      <x:c r="M230" s="62" t="n">
        <x:v>2.205056379427213</x:v>
      </x:c>
      <x:c r="N230" s="62" t="n">
        <x:v>16.034535349975965</x:v>
      </x:c>
      <x:c r="O230" s="60" t="n">
        <x:v>4577833.651264812</x:v>
      </x:c>
      <x:c r="P230" s="60" t="n">
        <x:v>257097.27344762068</x:v>
      </x:c>
      <x:c r="Q230" s="62" t="n">
        <x:v>1.0561613402829932</x:v>
      </x:c>
      <x:c r="R230" s="64" t="n">
        <x:v>0.05616134028299328</x:v>
      </x:c>
    </x:row>
    <x:row r="231" ht="18" customHeight="1">
      <x:c r="A231" s="46" t="str">
        <x:v>LME_014</x:v>
      </x:c>
      <x:c r="B231" s="46" t="str">
        <x:v>Patagonian Shelf</x:v>
      </x:c>
      <x:c r="C231" s="46" t="str">
        <x:v>commercial</x:v>
      </x:c>
      <x:c r="D231" s="46" t="str">
        <x:v>Flatfishes</x:v>
      </x:c>
      <x:c r="E231" s="66" t="n">
        <x:v>2</x:v>
      </x:c>
      <x:c r="F231" s="66" t="n">
        <x:v>2</x:v>
      </x:c>
      <x:c r="G231" s="60" t="n">
        <x:v>0.084540174</x:v>
      </x:c>
      <x:c r="H231" s="60" t="n">
        <x:v>0.084540174</x:v>
      </x:c>
      <x:c r="I231" s="62" t="n">
        <x:v>0</x:v>
      </x:c>
      <x:c r="J231" s="64" t="n">
        <x:v>1</x:v>
      </x:c>
      <x:c r="K231" s="62" t="n">
        <x:v>321.2013445351274</x:v>
      </x:c>
      <x:c r="L231" s="60" t="n">
        <x:v>27.154417556033618</x:v>
      </x:c>
      <x:c r="M231" s="62" t="n">
        <x:v>3.4901731731472427</x:v>
      </x:c>
      <x:c r="N231" s="62" t="n">
        <x:v>309.1527920878317</x:v>
      </x:c>
      <x:c r="O231" s="60" t="n">
        <x:v>26.135830835691113</x:v>
      </x:c>
      <x:c r="P231" s="60" t="n">
        <x:v>1.0185867203425047</x:v>
      </x:c>
      <x:c r="Q231" s="62" t="n">
        <x:v>1.0389728081248337</x:v>
      </x:c>
      <x:c r="R231" s="64" t="n">
        <x:v>0.038972808124833815</x:v>
      </x:c>
    </x:row>
    <x:row r="232" ht="18" customHeight="1">
      <x:c r="A232" s="46" t="str">
        <x:v>LME_014</x:v>
      </x:c>
      <x:c r="B232" s="46" t="str">
        <x:v>Patagonian Shelf</x:v>
      </x:c>
      <x:c r="C232" s="46" t="str">
        <x:v>commercial</x:v>
      </x:c>
      <x:c r="D232" s="46" t="str">
        <x:v>Herring-likes</x:v>
      </x:c>
      <x:c r="E232" s="66" t="n">
        <x:v>6</x:v>
      </x:c>
      <x:c r="F232" s="66" t="n">
        <x:v>6</x:v>
      </x:c>
      <x:c r="G232" s="60" t="n">
        <x:v>5940.7491715112</x:v>
      </x:c>
      <x:c r="H232" s="60" t="n">
        <x:v>5940.7491715112</x:v>
      </x:c>
      <x:c r="I232" s="62" t="n">
        <x:v>0</x:v>
      </x:c>
      <x:c r="J232" s="64" t="n">
        <x:v>1</x:v>
      </x:c>
      <x:c r="K232" s="62" t="n">
        <x:v>157.47848902985805</x:v>
      </x:c>
      <x:c r="L232" s="60" t="n">
        <x:v>935540.2032349649</x:v>
      </x:c>
      <x:c r="M232" s="62" t="n">
        <x:v>3.0874175272960374</x:v>
      </x:c>
      <x:c r="N232" s="62" t="n">
        <x:v>122.29748535601935</x:v>
      </x:c>
      <x:c r="O232" s="60" t="n">
        <x:v>726538.6848066751</x:v>
      </x:c>
      <x:c r="P232" s="60" t="n">
        <x:v>209001.5184282898</x:v>
      </x:c>
      <x:c r="Q232" s="62" t="n">
        <x:v>1.2876674329927842</x:v>
      </x:c>
      <x:c r="R232" s="64" t="n">
        <x:v>0.28766743299278424</x:v>
      </x:c>
    </x:row>
    <x:row r="233" ht="18" customHeight="1">
      <x:c r="A233" s="46" t="str">
        <x:v>LME_014</x:v>
      </x:c>
      <x:c r="B233" s="46" t="str">
        <x:v>Patagonian Shelf</x:v>
      </x:c>
      <x:c r="C233" s="46" t="str">
        <x:v>commercial</x:v>
      </x:c>
      <x:c r="D233" s="46" t="str">
        <x:v>Molluscs</x:v>
      </x:c>
      <x:c r="E233" s="66" t="n">
        <x:v>11</x:v>
      </x:c>
      <x:c r="F233" s="66" t="n">
        <x:v>11</x:v>
      </x:c>
      <x:c r="G233" s="60" t="n">
        <x:v>23703.8202913302</x:v>
      </x:c>
      <x:c r="H233" s="60" t="n">
        <x:v>23703.8202913302</x:v>
      </x:c>
      <x:c r="I233" s="62" t="n">
        <x:v>0</x:v>
      </x:c>
      <x:c r="J233" s="64" t="n">
        <x:v>1</x:v>
      </x:c>
      <x:c r="K233" s="62" t="n">
        <x:v>10.000081017993296</x:v>
      </x:c>
      <x:c r="L233" s="60" t="n">
        <x:v>237040.12334925545</x:v>
      </x:c>
      <x:c r="M233" s="62" t="n">
        <x:v>2.000002667625962</x:v>
      </x:c>
      <x:c r="N233" s="62" t="n">
        <x:v>10.000061424546384</x:v>
      </x:c>
      <x:c r="O233" s="60" t="n">
        <x:v>237039.658909711</x:v>
      </x:c>
      <x:c r="P233" s="60" t="n">
        <x:v>0.4644395444483962</x:v>
      </x:c>
      <x:c r="Q233" s="62" t="n">
        <x:v>1.000001959332656</x:v>
      </x:c>
      <x:c r="R233" s="64" t="n">
        <x:v>0.0000019593326559135085</x:v>
      </x:c>
    </x:row>
    <x:row r="234" ht="18" customHeight="1">
      <x:c r="A234" s="46" t="str">
        <x:v>LME_014</x:v>
      </x:c>
      <x:c r="B234" s="46" t="str">
        <x:v>Patagonian Shelf</x:v>
      </x:c>
      <x:c r="C234" s="46" t="str">
        <x:v>commercial</x:v>
      </x:c>
      <x:c r="D234" s="46" t="str">
        <x:v>Other fishes &amp; inverts</x:v>
      </x:c>
      <x:c r="E234" s="66" t="n">
        <x:v>25</x:v>
      </x:c>
      <x:c r="F234" s="66" t="n">
        <x:v>25</x:v>
      </x:c>
      <x:c r="G234" s="60" t="n">
        <x:v>358321.8367739405</x:v>
      </x:c>
      <x:c r="H234" s="60" t="n">
        <x:v>358321.8367739405</x:v>
      </x:c>
      <x:c r="I234" s="62" t="n">
        <x:v>0</x:v>
      </x:c>
      <x:c r="J234" s="64" t="n">
        <x:v>1</x:v>
      </x:c>
      <x:c r="K234" s="62" t="n">
        <x:v>547.6422013573826</x:v>
      </x:c>
      <x:c r="L234" s="60" t="n">
        <x:v>196232159.48530152</x:v>
      </x:c>
      <x:c r="M234" s="62" t="n">
        <x:v>3.6717817147724596</x:v>
      </x:c>
      <x:c r="N234" s="62" t="n">
        <x:v>469.6579896263004</x:v>
      </x:c>
      <x:c r="O234" s="60" t="n">
        <x:v>168288713.49845225</x:v>
      </x:c>
      <x:c r="P234" s="60" t="n">
        <x:v>27943445.98684928</x:v>
      </x:c>
      <x:c r="Q234" s="62" t="n">
        <x:v>1.166044682414821</x:v>
      </x:c>
      <x:c r="R234" s="64" t="n">
        <x:v>0.16604468241482084</x:v>
      </x:c>
    </x:row>
    <x:row r="235" ht="18" customHeight="1">
      <x:c r="A235" s="46" t="str">
        <x:v>LME_014</x:v>
      </x:c>
      <x:c r="B235" s="46" t="str">
        <x:v>Patagonian Shelf</x:v>
      </x:c>
      <x:c r="C235" s="46" t="str">
        <x:v>commercial</x:v>
      </x:c>
      <x:c r="D235" s="46" t="str">
        <x:v>Perch-likes</x:v>
      </x:c>
      <x:c r="E235" s="66" t="n">
        <x:v>69</x:v>
      </x:c>
      <x:c r="F235" s="66" t="n">
        <x:v>69</x:v>
      </x:c>
      <x:c r="G235" s="60" t="n">
        <x:v>117294.30590042162</x:v>
      </x:c>
      <x:c r="H235" s="60" t="n">
        <x:v>117294.30590042162</x:v>
      </x:c>
      <x:c r="I235" s="62" t="n">
        <x:v>0</x:v>
      </x:c>
      <x:c r="J235" s="64" t="n">
        <x:v>1</x:v>
      </x:c>
      <x:c r="K235" s="62" t="n">
        <x:v>442.2856302950328</x:v>
      </x:c>
      <x:c r="L235" s="60" t="n">
        <x:v>51877586.015186355</x:v>
      </x:c>
      <x:c r="M235" s="62" t="n">
        <x:v>3.389554770571526</x:v>
      </x:c>
      <x:c r="N235" s="62" t="n">
        <x:v>245.21936900231697</x:v>
      </x:c>
      <x:c r="O235" s="60" t="n">
        <x:v>28762835.680466134</x:v>
      </x:c>
      <x:c r="P235" s="60" t="n">
        <x:v>23114750.33472022</x:v>
      </x:c>
      <x:c r="Q235" s="62" t="n">
        <x:v>1.80363252745689</x:v>
      </x:c>
      <x:c r="R235" s="64" t="n">
        <x:v>0.8036325274568902</x:v>
      </x:c>
    </x:row>
    <x:row r="236" ht="18" customHeight="1">
      <x:c r="A236" s="46" t="str">
        <x:v>LME_014</x:v>
      </x:c>
      <x:c r="B236" s="46" t="str">
        <x:v>Patagonian Shelf</x:v>
      </x:c>
      <x:c r="C236" s="46" t="str">
        <x:v>commercial</x:v>
      </x:c>
      <x:c r="D236" s="46" t="str">
        <x:v>Scorpionfishes</x:v>
      </x:c>
      <x:c r="E236" s="66" t="n">
        <x:v>1</x:v>
      </x:c>
      <x:c r="F236" s="66" t="n">
        <x:v>1</x:v>
      </x:c>
      <x:c r="G236" s="60" t="n">
        <x:v>0.000010462100000000001</x:v>
      </x:c>
      <x:c r="H236" s="60" t="n">
        <x:v>0.000010462100000000001</x:v>
      </x:c>
      <x:c r="I236" s="62" t="n">
        <x:v>0</x:v>
      </x:c>
      <x:c r="J236" s="64" t="n">
        <x:v>1</x:v>
      </x:c>
      <x:c r="K236" s="62" t="n">
        <x:v>602.5595860743575</x:v>
      </x:c>
      <x:c r="L236" s="60" t="n">
        <x:v>0.006304038645468537</x:v>
      </x:c>
      <x:c r="M236" s="62" t="n">
        <x:v>3.78</x:v>
      </x:c>
      <x:c r="N236" s="62" t="n">
        <x:v>602.5595860743575</x:v>
      </x:c>
      <x:c r="O236" s="60" t="n">
        <x:v>0.006304038645468537</x:v>
      </x:c>
      <x:c r="P236" s="60" t="n">
        <x:v>0</x:v>
      </x:c>
      <x:c r="Q236" s="62" t="n">
        <x:v>1</x:v>
      </x:c>
      <x:c r="R236" s="64" t="n">
        <x:v>0</x:v>
      </x:c>
    </x:row>
    <x:row r="237" ht="18" customHeight="1">
      <x:c r="A237" s="46" t="str">
        <x:v>LME_014</x:v>
      </x:c>
      <x:c r="B237" s="46" t="str">
        <x:v>Patagonian Shelf</x:v>
      </x:c>
      <x:c r="C237" s="46" t="str">
        <x:v>commercial</x:v>
      </x:c>
      <x:c r="D237" s="46" t="str">
        <x:v>Sharks &amp; rays</x:v>
      </x:c>
      <x:c r="E237" s="66" t="n">
        <x:v>43</x:v>
      </x:c>
      <x:c r="F237" s="66" t="n">
        <x:v>43</x:v>
      </x:c>
      <x:c r="G237" s="60" t="n">
        <x:v>51017.43725857529</x:v>
      </x:c>
      <x:c r="H237" s="60" t="n">
        <x:v>51017.43725857529</x:v>
      </x:c>
      <x:c r="I237" s="62" t="n">
        <x:v>0</x:v>
      </x:c>
      <x:c r="J237" s="64" t="n">
        <x:v>1</x:v>
      </x:c>
      <x:c r="K237" s="62" t="n">
        <x:v>503.00996705453474</x:v>
      </x:c>
      <x:c r="L237" s="60" t="n">
        <x:v>25662279.43464275</x:v>
      </x:c>
      <x:c r="M237" s="62" t="n">
        <x:v>3.6586109052506486</x:v>
      </x:c>
      <x:c r="N237" s="62" t="n">
        <x:v>455.62852460954423</x:v>
      </x:c>
      <x:c r="O237" s="60" t="n">
        <x:v>23244999.667484652</x:v>
      </x:c>
      <x:c r="P237" s="60" t="n">
        <x:v>2417279.7671580985</x:v>
      </x:c>
      <x:c r="Q237" s="62" t="n">
        <x:v>1.1039913874698573</x:v>
      </x:c>
      <x:c r="R237" s="64" t="n">
        <x:v>0.10399138746985721</x:v>
      </x:c>
    </x:row>
    <x:row r="238" ht="18" customHeight="1">
      <x:c r="A238" s="46" t="str">
        <x:v>LME_014</x:v>
      </x:c>
      <x:c r="B238" s="46" t="str">
        <x:v>Patagonian Shelf</x:v>
      </x:c>
      <x:c r="C238" s="46" t="str">
        <x:v>commercial</x:v>
      </x:c>
      <x:c r="D238" s="46" t="str">
        <x:v>Tuna &amp; billfishes</x:v>
      </x:c>
      <x:c r="E238" s="66" t="n">
        <x:v>9</x:v>
      </x:c>
      <x:c r="F238" s="66" t="n">
        <x:v>9</x:v>
      </x:c>
      <x:c r="G238" s="60" t="n">
        <x:v>385.05859208460004</x:v>
      </x:c>
      <x:c r="H238" s="60" t="n">
        <x:v>385.05859208460004</x:v>
      </x:c>
      <x:c r="I238" s="62" t="n">
        <x:v>0</x:v>
      </x:c>
      <x:c r="J238" s="64" t="n">
        <x:v>1</x:v>
      </x:c>
      <x:c r="K238" s="62" t="n">
        <x:v>2569.4399043969497</x:v>
      </x:c>
      <x:c r="L238" s="60" t="n">
        <x:v>989384.9120330787</x:v>
      </x:c>
      <x:c r="M238" s="62" t="n">
        <x:v>4.405772115639851</x:v>
      </x:c>
      <x:c r="N238" s="62" t="n">
        <x:v>2545.4942223954117</x:v>
      </x:c>
      <x:c r="O238" s="60" t="n">
        <x:v>980164.421435061</x:v>
      </x:c>
      <x:c r="P238" s="60" t="n">
        <x:v>9220.490598017699</x:v>
      </x:c>
      <x:c r="Q238" s="62" t="n">
        <x:v>1.0094070855831698</x:v>
      </x:c>
      <x:c r="R238" s="64" t="n">
        <x:v>0.009407085583169768</x:v>
      </x:c>
    </x:row>
    <x:row r="239" ht="18" customHeight="1">
      <x:c r="A239" s="46" t="str">
        <x:v>LME_015</x:v>
      </x:c>
      <x:c r="B239" s="46" t="str">
        <x:v>South Brazil Shelf</x:v>
      </x:c>
      <x:c r="C239" s="46" t="str">
        <x:v>commercial</x:v>
      </x:c>
      <x:c r="D239" s="46" t="str">
        <x:v>Anchovies</x:v>
      </x:c>
      <x:c r="E239" s="66" t="n">
        <x:v>6</x:v>
      </x:c>
      <x:c r="F239" s="66" t="n">
        <x:v>6</x:v>
      </x:c>
      <x:c r="G239" s="60" t="n">
        <x:v>590.7311473911001</x:v>
      </x:c>
      <x:c r="H239" s="60" t="n">
        <x:v>590.7311473911001</x:v>
      </x:c>
      <x:c r="I239" s="62" t="n">
        <x:v>0</x:v>
      </x:c>
      <x:c r="J239" s="64" t="n">
        <x:v>1</x:v>
      </x:c>
      <x:c r="K239" s="62" t="n">
        <x:v>124.19926085867944</x:v>
      </x:c>
      <x:c r="L239" s="60" t="n">
        <x:v>73368.37187217425</x:v>
      </x:c>
      <x:c r="M239" s="62" t="n">
        <x:v>2.9492088307869455</x:v>
      </x:c>
      <x:c r="N239" s="62" t="n">
        <x:v>88.96287936155008</x:v>
      </x:c>
      <x:c r="O239" s="60" t="n">
        <x:v>52553.143800464495</x:v>
      </x:c>
      <x:c r="P239" s="60" t="n">
        <x:v>20815.228071709753</x:v>
      </x:c>
      <x:c r="Q239" s="62" t="n">
        <x:v>1.396079598030171</x:v>
      </x:c>
      <x:c r="R239" s="64" t="n">
        <x:v>0.39607959803017107</x:v>
      </x:c>
    </x:row>
    <x:row r="240" ht="18" customHeight="1">
      <x:c r="A240" s="46" t="str">
        <x:v>LME_015</x:v>
      </x:c>
      <x:c r="B240" s="46" t="str">
        <x:v>South Brazil Shelf</x:v>
      </x:c>
      <x:c r="C240" s="46" t="str">
        <x:v>commercial</x:v>
      </x:c>
      <x:c r="D240" s="46" t="str">
        <x:v>Cod-likes</x:v>
      </x:c>
      <x:c r="E240" s="66" t="n">
        <x:v>6</x:v>
      </x:c>
      <x:c r="F240" s="66" t="n">
        <x:v>6</x:v>
      </x:c>
      <x:c r="G240" s="60" t="n">
        <x:v>7446.672923409101</x:v>
      </x:c>
      <x:c r="H240" s="60" t="n">
        <x:v>7446.672923409101</x:v>
      </x:c>
      <x:c r="I240" s="62" t="n">
        <x:v>0</x:v>
      </x:c>
      <x:c r="J240" s="64" t="n">
        <x:v>1</x:v>
      </x:c>
      <x:c r="K240" s="62" t="n">
        <x:v>890.0051895995484</x:v>
      </x:c>
      <x:c r="L240" s="60" t="n">
        <x:v>6627577.54708454</x:v>
      </x:c>
      <x:c r="M240" s="62" t="n">
        <x:v>3.901907363072741</x:v>
      </x:c>
      <x:c r="N240" s="62" t="n">
        <x:v>797.8244896364057</x:v>
      </x:c>
      <x:c r="O240" s="60" t="n">
        <x:v>5941138.024608107</x:v>
      </x:c>
      <x:c r="P240" s="60" t="n">
        <x:v>686439.5224764328</x:v>
      </x:c>
      <x:c r="Q240" s="62" t="n">
        <x:v>1.1155400732373513</x:v>
      </x:c>
      <x:c r="R240" s="64" t="n">
        <x:v>0.11554007323735122</x:v>
      </x:c>
    </x:row>
    <x:row r="241" ht="18" customHeight="1">
      <x:c r="A241" s="46" t="str">
        <x:v>LME_015</x:v>
      </x:c>
      <x:c r="B241" s="46" t="str">
        <x:v>South Brazil Shelf</x:v>
      </x:c>
      <x:c r="C241" s="46" t="str">
        <x:v>commercial</x:v>
      </x:c>
      <x:c r="D241" s="46" t="str">
        <x:v>Crustaceans</x:v>
      </x:c>
      <x:c r="E241" s="66" t="n">
        <x:v>16</x:v>
      </x:c>
      <x:c r="F241" s="66" t="n">
        <x:v>16</x:v>
      </x:c>
      <x:c r="G241" s="60" t="n">
        <x:v>11869.4786314086</x:v>
      </x:c>
      <x:c r="H241" s="60" t="n">
        <x:v>11869.4786314086</x:v>
      </x:c>
      <x:c r="I241" s="62" t="n">
        <x:v>0</x:v>
      </x:c>
      <x:c r="J241" s="64" t="n">
        <x:v>1</x:v>
      </x:c>
      <x:c r="K241" s="62" t="n">
        <x:v>88.29908234886948</x:v>
      </x:c>
      <x:c r="L241" s="60" t="n">
        <x:v>1048064.0711128945</x:v>
      </x:c>
      <x:c r="M241" s="62" t="n">
        <x:v>2.79624623441564</x:v>
      </x:c>
      <x:c r="N241" s="62" t="n">
        <x:v>62.55272510010138</x:v>
      </x:c>
      <x:c r="O241" s="60" t="n">
        <x:v>742468.2339120297</x:v>
      </x:c>
      <x:c r="P241" s="60" t="n">
        <x:v>305595.8372008648</x:v>
      </x:c>
      <x:c r="Q241" s="62" t="n">
        <x:v>1.4115944942057588</x:v>
      </x:c>
      <x:c r="R241" s="64" t="n">
        <x:v>0.4115944942057587</x:v>
      </x:c>
    </x:row>
    <x:row r="242" ht="18" customHeight="1">
      <x:c r="A242" s="46" t="str">
        <x:v>LME_015</x:v>
      </x:c>
      <x:c r="B242" s="46" t="str">
        <x:v>South Brazil Shelf</x:v>
      </x:c>
      <x:c r="C242" s="46" t="str">
        <x:v>commercial</x:v>
      </x:c>
      <x:c r="D242" s="46" t="str">
        <x:v>Flatfishes</x:v>
      </x:c>
      <x:c r="E242" s="66" t="n">
        <x:v>2</x:v>
      </x:c>
      <x:c r="F242" s="66" t="n">
        <x:v>2</x:v>
      </x:c>
      <x:c r="G242" s="60" t="n">
        <x:v>999.6871411252</x:v>
      </x:c>
      <x:c r="H242" s="60" t="n">
        <x:v>999.6871411252</x:v>
      </x:c>
      <x:c r="I242" s="62" t="n">
        <x:v>0</x:v>
      </x:c>
      <x:c r="J242" s="64" t="n">
        <x:v>1</x:v>
      </x:c>
      <x:c r="K242" s="62" t="n">
        <x:v>244.47917993284625</x:v>
      </x:c>
      <x:c r="L242" s="60" t="n">
        <x:v>244402.69245170042</x:v>
      </x:c>
      <x:c r="M242" s="62" t="n">
        <x:v>3.368495957037971</x:v>
      </x:c>
      <x:c r="N242" s="62" t="n">
        <x:v>233.61243545191186</x:v>
      </x:c>
      <x:c r="O242" s="60" t="n">
        <x:v>233539.3477282171</x:v>
      </x:c>
      <x:c r="P242" s="60" t="n">
        <x:v>10863.344723483315</x:v>
      </x:c>
      <x:c r="Q242" s="62" t="n">
        <x:v>1.0465161217120706</x:v>
      </x:c>
      <x:c r="R242" s="64" t="n">
        <x:v>0.046516121712070556</x:v>
      </x:c>
    </x:row>
    <x:row r="243" ht="18" customHeight="1">
      <x:c r="A243" s="46" t="str">
        <x:v>LME_015</x:v>
      </x:c>
      <x:c r="B243" s="46" t="str">
        <x:v>South Brazil Shelf</x:v>
      </x:c>
      <x:c r="C243" s="46" t="str">
        <x:v>commercial</x:v>
      </x:c>
      <x:c r="D243" s="46" t="str">
        <x:v>Herring-likes</x:v>
      </x:c>
      <x:c r="E243" s="66" t="n">
        <x:v>9</x:v>
      </x:c>
      <x:c r="F243" s="66" t="n">
        <x:v>9</x:v>
      </x:c>
      <x:c r="G243" s="60" t="n">
        <x:v>28634.4769196915</x:v>
      </x:c>
      <x:c r="H243" s="60" t="n">
        <x:v>28634.4769196915</x:v>
      </x:c>
      <x:c r="I243" s="62" t="n">
        <x:v>0</x:v>
      </x:c>
      <x:c r="J243" s="64" t="n">
        <x:v>1</x:v>
      </x:c>
      <x:c r="K243" s="62" t="n">
        <x:v>269.07831434515765</x:v>
      </x:c>
      <x:c r="L243" s="60" t="n">
        <x:v>7704916.781705911</x:v>
      </x:c>
      <x:c r="M243" s="62" t="n">
        <x:v>3.1946357043076583</x:v>
      </x:c>
      <x:c r="N243" s="62" t="n">
        <x:v>156.54373961536058</x:v>
      </x:c>
      <x:c r="O243" s="60" t="n">
        <x:v>4482548.098938239</x:v>
      </x:c>
      <x:c r="P243" s="60" t="n">
        <x:v>3222368.6827676725</x:v>
      </x:c>
      <x:c r="Q243" s="62" t="n">
        <x:v>1.7188698507286382</x:v>
      </x:c>
      <x:c r="R243" s="64" t="n">
        <x:v>0.7188698507286382</x:v>
      </x:c>
    </x:row>
    <x:row r="244" ht="18" customHeight="1">
      <x:c r="A244" s="46" t="str">
        <x:v>LME_015</x:v>
      </x:c>
      <x:c r="B244" s="46" t="str">
        <x:v>South Brazil Shelf</x:v>
      </x:c>
      <x:c r="C244" s="46" t="str">
        <x:v>commercial</x:v>
      </x:c>
      <x:c r="D244" s="46" t="str">
        <x:v>Molluscs</x:v>
      </x:c>
      <x:c r="E244" s="66" t="n">
        <x:v>7</x:v>
      </x:c>
      <x:c r="F244" s="66" t="n">
        <x:v>7</x:v>
      </x:c>
      <x:c r="G244" s="60" t="n">
        <x:v>3973.2032768271997</x:v>
      </x:c>
      <x:c r="H244" s="60" t="n">
        <x:v>3973.2032768271997</x:v>
      </x:c>
      <x:c r="I244" s="62" t="n">
        <x:v>0</x:v>
      </x:c>
      <x:c r="J244" s="64" t="n">
        <x:v>1</x:v>
      </x:c>
      <x:c r="K244" s="62" t="n">
        <x:v>12.381469033911099</x:v>
      </x:c>
      <x:c r="L244" s="60" t="n">
        <x:v>49194.09333747008</x:v>
      </x:c>
      <x:c r="M244" s="62" t="n">
        <x:v>2.0784048706608114</x:v>
      </x:c>
      <x:c r="N244" s="62" t="n">
        <x:v>11.978567118464811</x:v>
      </x:c>
      <x:c r="O244" s="60" t="n">
        <x:v>47593.28212677893</x:v>
      </x:c>
      <x:c r="P244" s="60" t="n">
        <x:v>1600.8112106911503</x:v>
      </x:c>
      <x:c r="Q244" s="62" t="n">
        <x:v>1.0336352346204432</x:v>
      </x:c>
      <x:c r="R244" s="64" t="n">
        <x:v>0.03363523462044309</x:v>
      </x:c>
    </x:row>
    <x:row r="245" ht="18" customHeight="1">
      <x:c r="A245" s="46" t="str">
        <x:v>LME_015</x:v>
      </x:c>
      <x:c r="B245" s="46" t="str">
        <x:v>South Brazil Shelf</x:v>
      </x:c>
      <x:c r="C245" s="46" t="str">
        <x:v>commercial</x:v>
      </x:c>
      <x:c r="D245" s="46" t="str">
        <x:v>Other fishes &amp; inverts</x:v>
      </x:c>
      <x:c r="E245" s="66" t="n">
        <x:v>40</x:v>
      </x:c>
      <x:c r="F245" s="66" t="n">
        <x:v>40</x:v>
      </x:c>
      <x:c r="G245" s="60" t="n">
        <x:v>26800.5455220326</x:v>
      </x:c>
      <x:c r="H245" s="60" t="n">
        <x:v>26800.5455220326</x:v>
      </x:c>
      <x:c r="I245" s="62" t="n">
        <x:v>0</x:v>
      </x:c>
      <x:c r="J245" s="64" t="n">
        <x:v>1</x:v>
      </x:c>
      <x:c r="K245" s="62" t="n">
        <x:v>427.1567642468562</x:v>
      </x:c>
      <x:c r="L245" s="60" t="n">
        <x:v>11448034.305242017</x:v>
      </x:c>
      <x:c r="M245" s="62" t="n">
        <x:v>3.4551262173780435</x:v>
      </x:c>
      <x:c r="N245" s="62" t="n">
        <x:v>285.1846968676009</x:v>
      </x:c>
      <x:c r="O245" s="60" t="n">
        <x:v>7643105.450587206</x:v>
      </x:c>
      <x:c r="P245" s="60" t="n">
        <x:v>3804928.8546548113</x:v>
      </x:c>
      <x:c r="Q245" s="62" t="n">
        <x:v>1.497824984785796</x:v>
      </x:c>
      <x:c r="R245" s="64" t="n">
        <x:v>0.4978249847857962</x:v>
      </x:c>
    </x:row>
    <x:row r="246" ht="18" customHeight="1">
      <x:c r="A246" s="46" t="str">
        <x:v>LME_015</x:v>
      </x:c>
      <x:c r="B246" s="46" t="str">
        <x:v>South Brazil Shelf</x:v>
      </x:c>
      <x:c r="C246" s="46" t="str">
        <x:v>commercial</x:v>
      </x:c>
      <x:c r="D246" s="46" t="str">
        <x:v>Perch-likes</x:v>
      </x:c>
      <x:c r="E246" s="66" t="n">
        <x:v>121</x:v>
      </x:c>
      <x:c r="F246" s="66" t="n">
        <x:v>121</x:v>
      </x:c>
      <x:c r="G246" s="60" t="n">
        <x:v>150297.70461451498</x:v>
      </x:c>
      <x:c r="H246" s="60" t="n">
        <x:v>150297.70461451498</x:v>
      </x:c>
      <x:c r="I246" s="62" t="n">
        <x:v>0</x:v>
      </x:c>
      <x:c r="J246" s="64" t="n">
        <x:v>1</x:v>
      </x:c>
      <x:c r="K246" s="62" t="n">
        <x:v>710.894820952549</x:v>
      </x:c>
      <x:c r="L246" s="60" t="n">
        <x:v>106845859.81151472</x:v>
      </x:c>
      <x:c r="M246" s="62" t="n">
        <x:v>3.6874578076365006</x:v>
      </x:c>
      <x:c r="N246" s="62" t="n">
        <x:v>486.92021783484665</x:v>
      </x:c>
      <x:c r="O246" s="60" t="n">
        <x:v>73182991.07097708</x:v>
      </x:c>
      <x:c r="P246" s="60" t="n">
        <x:v>33662868.74053764</x:v>
      </x:c>
      <x:c r="Q246" s="62" t="n">
        <x:v>1.4599821385803904</x:v>
      </x:c>
      <x:c r="R246" s="64" t="n">
        <x:v>0.4599821385803903</x:v>
      </x:c>
    </x:row>
    <x:row r="247" ht="18" customHeight="1">
      <x:c r="A247" s="46" t="str">
        <x:v>LME_015</x:v>
      </x:c>
      <x:c r="B247" s="46" t="str">
        <x:v>South Brazil Shelf</x:v>
      </x:c>
      <x:c r="C247" s="46" t="str">
        <x:v>commercial</x:v>
      </x:c>
      <x:c r="D247" s="46" t="str">
        <x:v>Scorpionfishes</x:v>
      </x:c>
      <x:c r="E247" s="66" t="n">
        <x:v>1</x:v>
      </x:c>
      <x:c r="F247" s="66" t="n">
        <x:v>1</x:v>
      </x:c>
      <x:c r="G247" s="60" t="n">
        <x:v>0.8331538576</x:v>
      </x:c>
      <x:c r="H247" s="60" t="n">
        <x:v>0.8331538576</x:v>
      </x:c>
      <x:c r="I247" s="62" t="n">
        <x:v>0</x:v>
      </x:c>
      <x:c r="J247" s="64" t="n">
        <x:v>1</x:v>
      </x:c>
      <x:c r="K247" s="62" t="n">
        <x:v>602.5595860743575</x:v>
      </x:c>
      <x:c r="L247" s="60" t="n">
        <x:v>502.0248435717102</x:v>
      </x:c>
      <x:c r="M247" s="62" t="n">
        <x:v>3.78</x:v>
      </x:c>
      <x:c r="N247" s="62" t="n">
        <x:v>602.5595860743575</x:v>
      </x:c>
      <x:c r="O247" s="60" t="n">
        <x:v>502.0248435717102</x:v>
      </x:c>
      <x:c r="P247" s="60" t="n">
        <x:v>0</x:v>
      </x:c>
      <x:c r="Q247" s="62" t="n">
        <x:v>1</x:v>
      </x:c>
      <x:c r="R247" s="64" t="n">
        <x:v>0</x:v>
      </x:c>
    </x:row>
    <x:row r="248" ht="18" customHeight="1">
      <x:c r="A248" s="46" t="str">
        <x:v>LME_015</x:v>
      </x:c>
      <x:c r="B248" s="46" t="str">
        <x:v>South Brazil Shelf</x:v>
      </x:c>
      <x:c r="C248" s="46" t="str">
        <x:v>commercial</x:v>
      </x:c>
      <x:c r="D248" s="46" t="str">
        <x:v>Sharks &amp; rays</x:v>
      </x:c>
      <x:c r="E248" s="66" t="n">
        <x:v>41</x:v>
      </x:c>
      <x:c r="F248" s="66" t="n">
        <x:v>41</x:v>
      </x:c>
      <x:c r="G248" s="60" t="n">
        <x:v>41069.883315392195</x:v>
      </x:c>
      <x:c r="H248" s="60" t="n">
        <x:v>41069.883315392195</x:v>
      </x:c>
      <x:c r="I248" s="62" t="n">
        <x:v>0</x:v>
      </x:c>
      <x:c r="J248" s="64" t="n">
        <x:v>1</x:v>
      </x:c>
      <x:c r="K248" s="62" t="n">
        <x:v>871.0944371078814</x:v>
      </x:c>
      <x:c r="L248" s="60" t="n">
        <x:v>35775746.888707936</x:v>
      </x:c>
      <x:c r="M248" s="62" t="n">
        <x:v>3.8453709373209617</x:v>
      </x:c>
      <x:c r="N248" s="62" t="n">
        <x:v>700.4399967149654</x:v>
      </x:c>
      <x:c r="O248" s="60" t="n">
        <x:v>28766988.934517324</x:v>
      </x:c>
      <x:c r="P248" s="60" t="n">
        <x:v>7008757.954190612</x:v>
      </x:c>
      <x:c r="Q248" s="62" t="n">
        <x:v>1.2436389143870685</x:v>
      </x:c>
      <x:c r="R248" s="64" t="n">
        <x:v>0.24363891438706844</x:v>
      </x:c>
    </x:row>
    <x:row r="249" ht="18" customHeight="1">
      <x:c r="A249" s="46" t="str">
        <x:v>LME_015</x:v>
      </x:c>
      <x:c r="B249" s="46" t="str">
        <x:v>South Brazil Shelf</x:v>
      </x:c>
      <x:c r="C249" s="46" t="str">
        <x:v>commercial</x:v>
      </x:c>
      <x:c r="D249" s="46" t="str">
        <x:v>Tuna &amp; billfishes</x:v>
      </x:c>
      <x:c r="E249" s="66" t="n">
        <x:v>15</x:v>
      </x:c>
      <x:c r="F249" s="66" t="n">
        <x:v>15</x:v>
      </x:c>
      <x:c r="G249" s="60" t="n">
        <x:v>20748.883331556008</x:v>
      </x:c>
      <x:c r="H249" s="60" t="n">
        <x:v>20748.883331556008</x:v>
      </x:c>
      <x:c r="I249" s="62" t="n">
        <x:v>0</x:v>
      </x:c>
      <x:c r="J249" s="64" t="n">
        <x:v>1</x:v>
      </x:c>
      <x:c r="K249" s="62" t="n">
        <x:v>2736.165190066827</x:v>
      </x:c>
      <x:c r="L249" s="60" t="n">
        <x:v>56772372.30456136</x:v>
      </x:c>
      <x:c r="M249" s="62" t="n">
        <x:v>4.435186635225594</x:v>
      </x:c>
      <x:c r="N249" s="62" t="n">
        <x:v>2723.8716226851193</x:v>
      </x:c>
      <x:c r="O249" s="60" t="n">
        <x:v>56517294.50922969</x:v>
      </x:c>
      <x:c r="P249" s="60" t="n">
        <x:v>255077.79533167183</x:v>
      </x:c>
      <x:c r="Q249" s="62" t="n">
        <x:v>1.0045132697441845</x:v>
      </x:c>
      <x:c r="R249" s="64" t="n">
        <x:v>0.004513269744184512</x:v>
      </x:c>
    </x:row>
    <x:row r="250" ht="18" customHeight="1">
      <x:c r="A250" s="46" t="str">
        <x:v>LME_016</x:v>
      </x:c>
      <x:c r="B250" s="46" t="str">
        <x:v>East Brazil Shelf</x:v>
      </x:c>
      <x:c r="C250" s="46" t="str">
        <x:v>commercial</x:v>
      </x:c>
      <x:c r="D250" s="46" t="str">
        <x:v>Anchovies</x:v>
      </x:c>
      <x:c r="E250" s="66" t="n">
        <x:v>6</x:v>
      </x:c>
      <x:c r="F250" s="66" t="n">
        <x:v>6</x:v>
      </x:c>
      <x:c r="G250" s="60" t="n">
        <x:v>2140.1010021266993</x:v>
      </x:c>
      <x:c r="H250" s="60" t="n">
        <x:v>2140.1010021266993</x:v>
      </x:c>
      <x:c r="I250" s="62" t="n">
        <x:v>0</x:v>
      </x:c>
      <x:c r="J250" s="64" t="n">
        <x:v>1</x:v>
      </x:c>
      <x:c r="K250" s="62" t="n">
        <x:v>82.73258831153233</x:v>
      </x:c>
      <x:c r="L250" s="60" t="n">
        <x:v>177056.09515404596</x:v>
      </x:c>
      <x:c r="M250" s="62" t="n">
        <x:v>2.6327691265575024</x:v>
      </x:c>
      <x:c r="N250" s="62" t="n">
        <x:v>42.93081434155924</x:v>
      </x:c>
      <x:c r="O250" s="60" t="n">
        <x:v>91876.2787944862</x:v>
      </x:c>
      <x:c r="P250" s="60" t="n">
        <x:v>85179.81635955976</x:v>
      </x:c>
      <x:c r="Q250" s="62" t="n">
        <x:v>1.92711434852618</x:v>
      </x:c>
      <x:c r="R250" s="64" t="n">
        <x:v>0.9271143485261799</x:v>
      </x:c>
    </x:row>
    <x:row r="251" ht="18" customHeight="1">
      <x:c r="A251" s="46" t="str">
        <x:v>LME_016</x:v>
      </x:c>
      <x:c r="B251" s="46" t="str">
        <x:v>East Brazil Shelf</x:v>
      </x:c>
      <x:c r="C251" s="46" t="str">
        <x:v>commercial</x:v>
      </x:c>
      <x:c r="D251" s="46" t="str">
        <x:v>Cod-likes</x:v>
      </x:c>
      <x:c r="E251" s="66" t="n">
        <x:v>2</x:v>
      </x:c>
      <x:c r="F251" s="66" t="n">
        <x:v>2</x:v>
      </x:c>
      <x:c r="G251" s="60" t="n">
        <x:v>1720.8014653053</x:v>
      </x:c>
      <x:c r="H251" s="60" t="n">
        <x:v>1720.8014653053</x:v>
      </x:c>
      <x:c r="I251" s="62" t="n">
        <x:v>0</x:v>
      </x:c>
      <x:c r="J251" s="64" t="n">
        <x:v>1</x:v>
      </x:c>
      <x:c r="K251" s="62" t="n">
        <x:v>812.8294743656867</x:v>
      </x:c>
      <x:c r="L251" s="60" t="n">
        <x:v>1398718.1505318105</x:v>
      </x:c>
      <x:c r="M251" s="62" t="n">
        <x:v>3.909999423921511</x:v>
      </x:c>
      <x:c r="N251" s="62" t="n">
        <x:v>812.8294379697296</x:v>
      </x:c>
      <x:c r="O251" s="60" t="n">
        <x:v>1398718.0879015944</x:v>
      </x:c>
      <x:c r="P251" s="60" t="n">
        <x:v>0.06263021612539887</x:v>
      </x:c>
      <x:c r="Q251" s="62" t="n">
        <x:v>1.0000000447768687</x:v>
      </x:c>
      <x:c r="R251" s="64" t="n">
        <x:v>4.477686866790928e-8</x:v>
      </x:c>
    </x:row>
    <x:row r="252" ht="18" customHeight="1">
      <x:c r="A252" s="46" t="str">
        <x:v>LME_016</x:v>
      </x:c>
      <x:c r="B252" s="46" t="str">
        <x:v>East Brazil Shelf</x:v>
      </x:c>
      <x:c r="C252" s="46" t="str">
        <x:v>commercial</x:v>
      </x:c>
      <x:c r="D252" s="46" t="str">
        <x:v>Crustaceans</x:v>
      </x:c>
      <x:c r="E252" s="66" t="n">
        <x:v>14</x:v>
      </x:c>
      <x:c r="F252" s="66" t="n">
        <x:v>14</x:v>
      </x:c>
      <x:c r="G252" s="60" t="n">
        <x:v>14078.5136014561</x:v>
      </x:c>
      <x:c r="H252" s="60" t="n">
        <x:v>14078.5136014561</x:v>
      </x:c>
      <x:c r="I252" s="62" t="n">
        <x:v>0</x:v>
      </x:c>
      <x:c r="J252" s="64" t="n">
        <x:v>1</x:v>
      </x:c>
      <x:c r="K252" s="62" t="n">
        <x:v>103.36843987385781</x:v>
      </x:c>
      <x:c r="L252" s="60" t="n">
        <x:v>1455273.9867254042</x:v>
      </x:c>
      <x:c r="M252" s="62" t="n">
        <x:v>2.8648403523259915</x:v>
      </x:c>
      <x:c r="N252" s="62" t="n">
        <x:v>73.25551946230004</x:v>
      </x:c>
      <x:c r="O252" s="60" t="n">
        <x:v>1031328.8271317232</x:v>
      </x:c>
      <x:c r="P252" s="60" t="n">
        <x:v>423945.159593681</x:v>
      </x:c>
      <x:c r="Q252" s="62" t="n">
        <x:v>1.4110669152657496</x:v>
      </x:c>
      <x:c r="R252" s="64" t="n">
        <x:v>0.4110669152657496</x:v>
      </x:c>
    </x:row>
    <x:row r="253" ht="18" customHeight="1">
      <x:c r="A253" s="46" t="str">
        <x:v>LME_016</x:v>
      </x:c>
      <x:c r="B253" s="46" t="str">
        <x:v>East Brazil Shelf</x:v>
      </x:c>
      <x:c r="C253" s="46" t="str">
        <x:v>commercial</x:v>
      </x:c>
      <x:c r="D253" s="46" t="str">
        <x:v>Flatfishes</x:v>
      </x:c>
      <x:c r="E253" s="66" t="n">
        <x:v>2</x:v>
      </x:c>
      <x:c r="F253" s="66" t="n">
        <x:v>2</x:v>
      </x:c>
      <x:c r="G253" s="60" t="n">
        <x:v>1829.3221062905998</x:v>
      </x:c>
      <x:c r="H253" s="60" t="n">
        <x:v>1829.3221062905998</x:v>
      </x:c>
      <x:c r="I253" s="62" t="n">
        <x:v>0</x:v>
      </x:c>
      <x:c r="J253" s="64" t="n">
        <x:v>1</x:v>
      </x:c>
      <x:c r="K253" s="62" t="n">
        <x:v>233.2296128365663</x:v>
      </x:c>
      <x:c r="L253" s="60" t="n">
        <x:v>426652.0866035286</x:v>
      </x:c>
      <x:c r="M253" s="62" t="n">
        <x:v>3.350654750213247</x:v>
      </x:c>
      <x:c r="N253" s="62" t="n">
        <x:v>224.20988205218225</x:v>
      </x:c>
      <x:c r="O253" s="60" t="n">
        <x:v>410152.093686865</x:v>
      </x:c>
      <x:c r="P253" s="60" t="n">
        <x:v>16499.992916663585</x:v>
      </x:c>
      <x:c r="Q253" s="62" t="n">
        <x:v>1.0402289618183949</x:v>
      </x:c>
      <x:c r="R253" s="64" t="n">
        <x:v>0.04022896181839481</x:v>
      </x:c>
    </x:row>
    <x:row r="254" ht="18" customHeight="1">
      <x:c r="A254" s="46" t="str">
        <x:v>LME_016</x:v>
      </x:c>
      <x:c r="B254" s="46" t="str">
        <x:v>East Brazil Shelf</x:v>
      </x:c>
      <x:c r="C254" s="46" t="str">
        <x:v>commercial</x:v>
      </x:c>
      <x:c r="D254" s="46" t="str">
        <x:v>Herring-likes</x:v>
      </x:c>
      <x:c r="E254" s="66" t="n">
        <x:v>8</x:v>
      </x:c>
      <x:c r="F254" s="66" t="n">
        <x:v>8</x:v>
      </x:c>
      <x:c r="G254" s="60" t="n">
        <x:v>65018.7812441886</x:v>
      </x:c>
      <x:c r="H254" s="60" t="n">
        <x:v>65018.7812441886</x:v>
      </x:c>
      <x:c r="I254" s="62" t="n">
        <x:v>0</x:v>
      </x:c>
      <x:c r="J254" s="64" t="n">
        <x:v>1</x:v>
      </x:c>
      <x:c r="K254" s="62" t="n">
        <x:v>339.2015553030064</x:v>
      </x:c>
      <x:c r="L254" s="60" t="n">
        <x:v>22054471.721934713</x:v>
      </x:c>
      <x:c r="M254" s="62" t="n">
        <x:v>3.2212405160884003</x:v>
      </x:c>
      <x:c r="N254" s="62" t="n">
        <x:v>166.43341180019382</x:v>
      </x:c>
      <x:c r="O254" s="60" t="n">
        <x:v>10821297.593560759</x:v>
      </x:c>
      <x:c r="P254" s="60" t="n">
        <x:v>11233174.128373954</x:v>
      </x:c>
      <x:c r="Q254" s="62" t="n">
        <x:v>2.038061658618305</x:v>
      </x:c>
      <x:c r="R254" s="64" t="n">
        <x:v>1.0380616586183051</x:v>
      </x:c>
    </x:row>
    <x:row r="255" ht="18" customHeight="1">
      <x:c r="A255" s="46" t="str">
        <x:v>LME_016</x:v>
      </x:c>
      <x:c r="B255" s="46" t="str">
        <x:v>East Brazil Shelf</x:v>
      </x:c>
      <x:c r="C255" s="46" t="str">
        <x:v>commercial</x:v>
      </x:c>
      <x:c r="D255" s="46" t="str">
        <x:v>Molluscs</x:v>
      </x:c>
      <x:c r="E255" s="66" t="n">
        <x:v>8</x:v>
      </x:c>
      <x:c r="F255" s="66" t="n">
        <x:v>8</x:v>
      </x:c>
      <x:c r="G255" s="60" t="n">
        <x:v>4004.3294580471998</x:v>
      </x:c>
      <x:c r="H255" s="60" t="n">
        <x:v>4004.3294580471998</x:v>
      </x:c>
      <x:c r="I255" s="62" t="n">
        <x:v>0</x:v>
      </x:c>
      <x:c r="J255" s="64" t="n">
        <x:v>1</x:v>
      </x:c>
      <x:c r="K255" s="62" t="n">
        <x:v>12.38703402650402</x:v>
      </x:c>
      <x:c r="L255" s="60" t="n">
        <x:v>49601.765250163066</x:v>
      </x:c>
      <x:c r="M255" s="62" t="n">
        <x:v>2.078588803749761</x:v>
      </x:c>
      <x:c r="N255" s="62" t="n">
        <x:v>11.983641374694137</x:v>
      </x:c>
      <x:c r="O255" s="60" t="n">
        <x:v>47986.44817136098</x:v>
      </x:c>
      <x:c r="P255" s="60" t="n">
        <x:v>1615.317078802087</x:v>
      </x:c>
      <x:c r="Q255" s="62" t="n">
        <x:v>1.0336619429100846</x:v>
      </x:c>
      <x:c r="R255" s="64" t="n">
        <x:v>0.033661942910084605</x:v>
      </x:c>
    </x:row>
    <x:row r="256" ht="18" customHeight="1">
      <x:c r="A256" s="46" t="str">
        <x:v>LME_016</x:v>
      </x:c>
      <x:c r="B256" s="46" t="str">
        <x:v>East Brazil Shelf</x:v>
      </x:c>
      <x:c r="C256" s="46" t="str">
        <x:v>commercial</x:v>
      </x:c>
      <x:c r="D256" s="46" t="str">
        <x:v>Other fishes &amp; inverts</x:v>
      </x:c>
      <x:c r="E256" s="66" t="n">
        <x:v>43</x:v>
      </x:c>
      <x:c r="F256" s="66" t="n">
        <x:v>43</x:v>
      </x:c>
      <x:c r="G256" s="60" t="n">
        <x:v>51925.7640507231</x:v>
      </x:c>
      <x:c r="H256" s="60" t="n">
        <x:v>51925.7640507231</x:v>
      </x:c>
      <x:c r="I256" s="62" t="n">
        <x:v>0</x:v>
      </x:c>
      <x:c r="J256" s="64" t="n">
        <x:v>1</x:v>
      </x:c>
      <x:c r="K256" s="62" t="n">
        <x:v>550.2182442260912</x:v>
      </x:c>
      <x:c r="L256" s="60" t="n">
        <x:v>28570502.72608715</x:v>
      </x:c>
      <x:c r="M256" s="62" t="n">
        <x:v>3.5339820921479417</x:v>
      </x:c>
      <x:c r="N256" s="62" t="n">
        <x:v>341.96534150331513</x:v>
      </x:c>
      <x:c r="O256" s="60" t="n">
        <x:v>17756811.636426087</x:v>
      </x:c>
      <x:c r="P256" s="60" t="n">
        <x:v>10813691.089661062</x:v>
      </x:c>
      <x:c r="Q256" s="62" t="n">
        <x:v>1.6089883314118172</x:v>
      </x:c>
      <x:c r="R256" s="64" t="n">
        <x:v>0.6089883314118172</x:v>
      </x:c>
    </x:row>
    <x:row r="257" ht="18" customHeight="1">
      <x:c r="A257" s="46" t="str">
        <x:v>LME_016</x:v>
      </x:c>
      <x:c r="B257" s="46" t="str">
        <x:v>East Brazil Shelf</x:v>
      </x:c>
      <x:c r="C257" s="46" t="str">
        <x:v>commercial</x:v>
      </x:c>
      <x:c r="D257" s="46" t="str">
        <x:v>Perch-likes</x:v>
      </x:c>
      <x:c r="E257" s="66" t="n">
        <x:v>122</x:v>
      </x:c>
      <x:c r="F257" s="66" t="n">
        <x:v>122</x:v>
      </x:c>
      <x:c r="G257" s="60" t="n">
        <x:v>126680.3702697804</x:v>
      </x:c>
      <x:c r="H257" s="60" t="n">
        <x:v>126680.3702697804</x:v>
      </x:c>
      <x:c r="I257" s="62" t="n">
        <x:v>0</x:v>
      </x:c>
      <x:c r="J257" s="64" t="n">
        <x:v>1</x:v>
      </x:c>
      <x:c r="K257" s="62" t="n">
        <x:v>723.7642729436815</x:v>
      </x:c>
      <x:c r="L257" s="60" t="n">
        <x:v>91686726.08454397</x:v>
      </x:c>
      <x:c r="M257" s="62" t="n">
        <x:v>3.594522482783109</x:v>
      </x:c>
      <x:c r="N257" s="62" t="n">
        <x:v>393.11759549729356</x:v>
      </x:c>
      <x:c r="O257" s="60" t="n">
        <x:v>49800282.5571629</x:v>
      </x:c>
      <x:c r="P257" s="60" t="n">
        <x:v>41886443.52738107</x:v>
      </x:c>
      <x:c r="Q257" s="62" t="n">
        <x:v>1.841088471321463</x:v>
      </x:c>
      <x:c r="R257" s="64" t="n">
        <x:v>0.8410884713214631</x:v>
      </x:c>
    </x:row>
    <x:row r="258" ht="18" customHeight="1">
      <x:c r="A258" s="46" t="str">
        <x:v>LME_016</x:v>
      </x:c>
      <x:c r="B258" s="46" t="str">
        <x:v>East Brazil Shelf</x:v>
      </x:c>
      <x:c r="C258" s="46" t="str">
        <x:v>commercial</x:v>
      </x:c>
      <x:c r="D258" s="46" t="str">
        <x:v>Scorpionfishes</x:v>
      </x:c>
      <x:c r="E258" s="66" t="n">
        <x:v>1</x:v>
      </x:c>
      <x:c r="F258" s="66" t="n">
        <x:v>1</x:v>
      </x:c>
      <x:c r="G258" s="60" t="n">
        <x:v>123.35519425220001</x:v>
      </x:c>
      <x:c r="H258" s="60" t="n">
        <x:v>123.35519425220001</x:v>
      </x:c>
      <x:c r="I258" s="62" t="n">
        <x:v>0</x:v>
      </x:c>
      <x:c r="J258" s="64" t="n">
        <x:v>1</x:v>
      </x:c>
      <x:c r="K258" s="62" t="n">
        <x:v>602.5595860743575</x:v>
      </x:c>
      <x:c r="L258" s="60" t="n">
        <x:v>74328.8547887276</x:v>
      </x:c>
      <x:c r="M258" s="62" t="n">
        <x:v>3.78</x:v>
      </x:c>
      <x:c r="N258" s="62" t="n">
        <x:v>602.5595860743575</x:v>
      </x:c>
      <x:c r="O258" s="60" t="n">
        <x:v>74328.8547887276</x:v>
      </x:c>
      <x:c r="P258" s="60" t="n">
        <x:v>0</x:v>
      </x:c>
      <x:c r="Q258" s="62" t="n">
        <x:v>1</x:v>
      </x:c>
      <x:c r="R258" s="64" t="n">
        <x:v>0</x:v>
      </x:c>
    </x:row>
    <x:row r="259" ht="18" customHeight="1">
      <x:c r="A259" s="46" t="str">
        <x:v>LME_016</x:v>
      </x:c>
      <x:c r="B259" s="46" t="str">
        <x:v>East Brazil Shelf</x:v>
      </x:c>
      <x:c r="C259" s="46" t="str">
        <x:v>commercial</x:v>
      </x:c>
      <x:c r="D259" s="46" t="str">
        <x:v>Sharks &amp; rays</x:v>
      </x:c>
      <x:c r="E259" s="66" t="n">
        <x:v>33</x:v>
      </x:c>
      <x:c r="F259" s="66" t="n">
        <x:v>33</x:v>
      </x:c>
      <x:c r="G259" s="60" t="n">
        <x:v>28404.584075984498</x:v>
      </x:c>
      <x:c r="H259" s="60" t="n">
        <x:v>28404.584075984498</x:v>
      </x:c>
      <x:c r="I259" s="62" t="n">
        <x:v>0</x:v>
      </x:c>
      <x:c r="J259" s="64" t="n">
        <x:v>1</x:v>
      </x:c>
      <x:c r="K259" s="62" t="n">
        <x:v>982.7023758096567</x:v>
      </x:c>
      <x:c r="L259" s="60" t="n">
        <x:v>27913252.25535511</x:v>
      </x:c>
      <x:c r="M259" s="62" t="n">
        <x:v>3.912405062682388</x:v>
      </x:c>
      <x:c r="N259" s="62" t="n">
        <x:v>817.3443459156315</x:v>
      </x:c>
      <x:c r="O259" s="60" t="n">
        <x:v>23216326.192591112</x:v>
      </x:c>
      <x:c r="P259" s="60" t="n">
        <x:v>4696926.062763996</x:v>
      </x:c>
      <x:c r="Q259" s="62" t="n">
        <x:v>1.202311340037206</x:v>
      </x:c>
      <x:c r="R259" s="64" t="n">
        <x:v>0.20231134003720616</x:v>
      </x:c>
    </x:row>
    <x:row r="260" ht="18" customHeight="1">
      <x:c r="A260" s="46" t="str">
        <x:v>LME_016</x:v>
      </x:c>
      <x:c r="B260" s="46" t="str">
        <x:v>East Brazil Shelf</x:v>
      </x:c>
      <x:c r="C260" s="46" t="str">
        <x:v>commercial</x:v>
      </x:c>
      <x:c r="D260" s="46" t="str">
        <x:v>Tuna &amp; billfishes</x:v>
      </x:c>
      <x:c r="E260" s="66" t="n">
        <x:v>15</x:v>
      </x:c>
      <x:c r="F260" s="66" t="n">
        <x:v>15</x:v>
      </x:c>
      <x:c r="G260" s="60" t="n">
        <x:v>10077.366273786802</x:v>
      </x:c>
      <x:c r="H260" s="60" t="n">
        <x:v>10077.366273786802</x:v>
      </x:c>
      <x:c r="I260" s="62" t="n">
        <x:v>0</x:v>
      </x:c>
      <x:c r="J260" s="64" t="n">
        <x:v>1</x:v>
      </x:c>
      <x:c r="K260" s="62" t="n">
        <x:v>2763.773712434646</x:v>
      </x:c>
      <x:c r="L260" s="60" t="n">
        <x:v>27851559.998067442</x:v>
      </x:c>
      <x:c r="M260" s="62" t="n">
        <x:v>4.439613686883405</x:v>
      </x:c>
      <x:c r="N260" s="62" t="n">
        <x:v>2751.779854372418</x:v>
      </x:c>
      <x:c r="O260" s="60" t="n">
        <x:v>27730693.49733856</x:v>
      </x:c>
      <x:c r="P260" s="60" t="n">
        <x:v>120866.50072888285</x:v>
      </x:c>
      <x:c r="Q260" s="62" t="n">
        <x:v>1.0043585819712906</x:v>
      </x:c>
      <x:c r="R260" s="64" t="n">
        <x:v>0.004358581971290511</x:v>
      </x:c>
    </x:row>
    <x:row r="261" ht="18" customHeight="1">
      <x:c r="A261" s="46" t="str">
        <x:v>LME_017</x:v>
      </x:c>
      <x:c r="B261" s="46" t="str">
        <x:v>North Brazil Shelf</x:v>
      </x:c>
      <x:c r="C261" s="46" t="str">
        <x:v>commercial</x:v>
      </x:c>
      <x:c r="D261" s="46" t="str">
        <x:v>Anchovies</x:v>
      </x:c>
      <x:c r="E261" s="66" t="n">
        <x:v>5</x:v>
      </x:c>
      <x:c r="F261" s="66" t="n">
        <x:v>5</x:v>
      </x:c>
      <x:c r="G261" s="60" t="n">
        <x:v>2432.1429237378</x:v>
      </x:c>
      <x:c r="H261" s="60" t="n">
        <x:v>2432.1429237378</x:v>
      </x:c>
      <x:c r="I261" s="62" t="n">
        <x:v>0</x:v>
      </x:c>
      <x:c r="J261" s="64" t="n">
        <x:v>1</x:v>
      </x:c>
      <x:c r="K261" s="62" t="n">
        <x:v>100.65305702395125</x:v>
      </x:c>
      <x:c r="L261" s="60" t="n">
        <x:v>244802.62039338032</x:v>
      </x:c>
      <x:c r="M261" s="62" t="n">
        <x:v>2.7753980049746403</x:v>
      </x:c>
      <x:c r="N261" s="62" t="n">
        <x:v>59.620828254904396</x:v>
      </x:c>
      <x:c r="O261" s="60" t="n">
        <x:v>145006.37554755242</x:v>
      </x:c>
      <x:c r="P261" s="60" t="n">
        <x:v>99796.2448458279</x:v>
      </x:c>
      <x:c r="Q261" s="62" t="n">
        <x:v>1.6882197039198554</x:v>
      </x:c>
      <x:c r="R261" s="64" t="n">
        <x:v>0.6882197039198554</x:v>
      </x:c>
    </x:row>
    <x:row r="262" ht="18" customHeight="1">
      <x:c r="A262" s="46" t="str">
        <x:v>LME_017</x:v>
      </x:c>
      <x:c r="B262" s="46" t="str">
        <x:v>North Brazil Shelf</x:v>
      </x:c>
      <x:c r="C262" s="46" t="str">
        <x:v>commercial</x:v>
      </x:c>
      <x:c r="D262" s="46" t="str">
        <x:v>Cod-likes</x:v>
      </x:c>
      <x:c r="E262" s="66" t="n">
        <x:v>2</x:v>
      </x:c>
      <x:c r="F262" s="66" t="n">
        <x:v>2</x:v>
      </x:c>
      <x:c r="G262" s="60" t="n">
        <x:v>183.0729879504</x:v>
      </x:c>
      <x:c r="H262" s="60" t="n">
        <x:v>183.0729879504</x:v>
      </x:c>
      <x:c r="I262" s="62" t="n">
        <x:v>0</x:v>
      </x:c>
      <x:c r="J262" s="64" t="n">
        <x:v>1</x:v>
      </x:c>
      <x:c r="K262" s="62" t="n">
        <x:v>812.8270256275853</x:v>
      </x:c>
      <x:c r="L262" s="60" t="n">
        <x:v>148806.6722684784</x:v>
      </x:c>
      <x:c r="M262" s="62" t="n">
        <x:v>3.9099980698540353</x:v>
      </x:c>
      <x:c r="N262" s="62" t="n">
        <x:v>812.8269036888784</x:v>
      </x:c>
      <x:c r="O262" s="60" t="n">
        <x:v>148806.64994479498</x:v>
      </x:c>
      <x:c r="P262" s="60" t="n">
        <x:v>0.022323683428112417</x:v>
      </x:c>
      <x:c r="Q262" s="62" t="n">
        <x:v>1.0000001500180498</x:v>
      </x:c>
      <x:c r="R262" s="64" t="n">
        <x:v>1.5001804984114734e-7</x:v>
      </x:c>
    </x:row>
    <x:row r="263" ht="18" customHeight="1">
      <x:c r="A263" s="46" t="str">
        <x:v>LME_017</x:v>
      </x:c>
      <x:c r="B263" s="46" t="str">
        <x:v>North Brazil Shelf</x:v>
      </x:c>
      <x:c r="C263" s="46" t="str">
        <x:v>commercial</x:v>
      </x:c>
      <x:c r="D263" s="46" t="str">
        <x:v>Crustaceans</x:v>
      </x:c>
      <x:c r="E263" s="66" t="n">
        <x:v>17</x:v>
      </x:c>
      <x:c r="F263" s="66" t="n">
        <x:v>17</x:v>
      </x:c>
      <x:c r="G263" s="60" t="n">
        <x:v>45269.3521355498</x:v>
      </x:c>
      <x:c r="H263" s="60" t="n">
        <x:v>45269.3521355498</x:v>
      </x:c>
      <x:c r="I263" s="62" t="n">
        <x:v>0</x:v>
      </x:c>
      <x:c r="J263" s="64" t="n">
        <x:v>1</x:v>
      </x:c>
      <x:c r="K263" s="62" t="n">
        <x:v>81.40422342591764</x:v>
      </x:c>
      <x:c r="L263" s="60" t="n">
        <x:v>3685116.4555888376</x:v>
      </x:c>
      <x:c r="M263" s="62" t="n">
        <x:v>2.78308612854173</x:v>
      </x:c>
      <x:c r="N263" s="62" t="n">
        <x:v>60.68566684359771</x:v>
      </x:c>
      <x:c r="O263" s="60" t="n">
        <x:v>2747200.8219234836</x:v>
      </x:c>
      <x:c r="P263" s="60" t="n">
        <x:v>937915.633665354</x:v>
      </x:c>
      <x:c r="Q263" s="62" t="n">
        <x:v>1.3414077435404457</x:v>
      </x:c>
      <x:c r="R263" s="64" t="n">
        <x:v>0.34140774354044556</x:v>
      </x:c>
    </x:row>
    <x:row r="264" ht="18" customHeight="1">
      <x:c r="A264" s="46" t="str">
        <x:v>LME_017</x:v>
      </x:c>
      <x:c r="B264" s="46" t="str">
        <x:v>North Brazil Shelf</x:v>
      </x:c>
      <x:c r="C264" s="46" t="str">
        <x:v>commercial</x:v>
      </x:c>
      <x:c r="D264" s="46" t="str">
        <x:v>Flatfishes</x:v>
      </x:c>
      <x:c r="E264" s="66" t="n">
        <x:v>4</x:v>
      </x:c>
      <x:c r="F264" s="66" t="n">
        <x:v>4</x:v>
      </x:c>
      <x:c r="G264" s="60" t="n">
        <x:v>3415.4823753489</x:v>
      </x:c>
      <x:c r="H264" s="60" t="n">
        <x:v>3415.4823753489</x:v>
      </x:c>
      <x:c r="I264" s="62" t="n">
        <x:v>0</x:v>
      </x:c>
      <x:c r="J264" s="64" t="n">
        <x:v>1</x:v>
      </x:c>
      <x:c r="K264" s="62" t="n">
        <x:v>300.3525712512118</x:v>
      </x:c>
      <x:c r="L264" s="60" t="n">
        <x:v>1025848.9134992388</x:v>
      </x:c>
      <x:c r="M264" s="62" t="n">
        <x:v>3.4285117429588916</x:v>
      </x:c>
      <x:c r="N264" s="62" t="n">
        <x:v>268.23271345061283</x:v>
      </x:c>
      <x:c r="O264" s="60" t="n">
        <x:v>916144.1052825799</x:v>
      </x:c>
      <x:c r="P264" s="60" t="n">
        <x:v>109704.80821665889</x:v>
      </x:c>
      <x:c r="Q264" s="62" t="n">
        <x:v>1.1197462359732382</x:v>
      </x:c>
      <x:c r="R264" s="64" t="n">
        <x:v>0.11974623597323808</x:v>
      </x:c>
    </x:row>
    <x:row r="265" ht="18" customHeight="1">
      <x:c r="A265" s="46" t="str">
        <x:v>LME_017</x:v>
      </x:c>
      <x:c r="B265" s="46" t="str">
        <x:v>North Brazil Shelf</x:v>
      </x:c>
      <x:c r="C265" s="46" t="str">
        <x:v>commercial</x:v>
      </x:c>
      <x:c r="D265" s="46" t="str">
        <x:v>Herring-likes</x:v>
      </x:c>
      <x:c r="E265" s="66" t="n">
        <x:v>9</x:v>
      </x:c>
      <x:c r="F265" s="66" t="n">
        <x:v>9</x:v>
      </x:c>
      <x:c r="G265" s="60" t="n">
        <x:v>75683.8483990559</x:v>
      </x:c>
      <x:c r="H265" s="60" t="n">
        <x:v>75683.8483990559</x:v>
      </x:c>
      <x:c r="I265" s="62" t="n">
        <x:v>0</x:v>
      </x:c>
      <x:c r="J265" s="64" t="n">
        <x:v>1</x:v>
      </x:c>
      <x:c r="K265" s="62" t="n">
        <x:v>294.1684888556041</x:v>
      </x:c>
      <x:c r="L265" s="60" t="n">
        <x:v>22263803.314326905</x:v>
      </x:c>
      <x:c r="M265" s="62" t="n">
        <x:v>3.243918783760125</x:v>
      </x:c>
      <x:c r="N265" s="62" t="n">
        <x:v>175.3552544045105</x:v>
      </x:c>
      <x:c r="O265" s="60" t="n">
        <x:v>13271560.490328852</x:v>
      </x:c>
      <x:c r="P265" s="60" t="n">
        <x:v>8992242.823998053</x:v>
      </x:c>
      <x:c r="Q265" s="62" t="n">
        <x:v>1.6775573098996768</x:v>
      </x:c>
      <x:c r="R265" s="64" t="n">
        <x:v>0.6775573098996768</x:v>
      </x:c>
    </x:row>
    <x:row r="266" ht="18" customHeight="1">
      <x:c r="A266" s="46" t="str">
        <x:v>LME_017</x:v>
      </x:c>
      <x:c r="B266" s="46" t="str">
        <x:v>North Brazil Shelf</x:v>
      </x:c>
      <x:c r="C266" s="46" t="str">
        <x:v>commercial</x:v>
      </x:c>
      <x:c r="D266" s="46" t="str">
        <x:v>Molluscs</x:v>
      </x:c>
      <x:c r="E266" s="66" t="n">
        <x:v>13</x:v>
      </x:c>
      <x:c r="F266" s="66" t="n">
        <x:v>13</x:v>
      </x:c>
      <x:c r="G266" s="60" t="n">
        <x:v>7337.397917767299</x:v>
      </x:c>
      <x:c r="H266" s="60" t="n">
        <x:v>7337.397917767299</x:v>
      </x:c>
      <x:c r="I266" s="62" t="n">
        <x:v>0</x:v>
      </x:c>
      <x:c r="J266" s="64" t="n">
        <x:v>1</x:v>
      </x:c>
      <x:c r="K266" s="62" t="n">
        <x:v>11.205575881375458</x:v>
      </x:c>
      <x:c r="L266" s="60" t="n">
        <x:v>82219.76913938775</x:v>
      </x:c>
      <x:c r="M266" s="62" t="n">
        <x:v>2.0365693542947425</x:v>
      </x:c>
      <x:c r="N266" s="62" t="n">
        <x:v>10.878508471933435</x:v>
      </x:c>
      <x:c r="O266" s="60" t="n">
        <x:v>79819.9454103783</x:v>
      </x:c>
      <x:c r="P266" s="60" t="n">
        <x:v>2399.8237290094403</x:v>
      </x:c>
      <x:c r="Q266" s="62" t="n">
        <x:v>1.0300654644233496</x:v>
      </x:c>
      <x:c r="R266" s="64" t="n">
        <x:v>0.03006546442334965</x:v>
      </x:c>
    </x:row>
    <x:row r="267" ht="18" customHeight="1">
      <x:c r="A267" s="46" t="str">
        <x:v>LME_017</x:v>
      </x:c>
      <x:c r="B267" s="46" t="str">
        <x:v>North Brazil Shelf</x:v>
      </x:c>
      <x:c r="C267" s="46" t="str">
        <x:v>commercial</x:v>
      </x:c>
      <x:c r="D267" s="46" t="str">
        <x:v>Other fishes &amp; inverts</x:v>
      </x:c>
      <x:c r="E267" s="66" t="n">
        <x:v>54</x:v>
      </x:c>
      <x:c r="F267" s="66" t="n">
        <x:v>54</x:v>
      </x:c>
      <x:c r="G267" s="60" t="n">
        <x:v>101490.5759909777</x:v>
      </x:c>
      <x:c r="H267" s="60" t="n">
        <x:v>101490.5759909777</x:v>
      </x:c>
      <x:c r="I267" s="62" t="n">
        <x:v>0</x:v>
      </x:c>
      <x:c r="J267" s="64" t="n">
        <x:v>1</x:v>
      </x:c>
      <x:c r="K267" s="62" t="n">
        <x:v>529.6812534113204</x:v>
      </x:c>
      <x:c r="L267" s="60" t="n">
        <x:v>53757655.500337936</x:v>
      </x:c>
      <x:c r="M267" s="62" t="n">
        <x:v>3.5378816294240587</x:v>
      </x:c>
      <x:c r="N267" s="62" t="n">
        <x:v>345.0496803557191</x:v>
      </x:c>
      <x:c r="O267" s="60" t="n">
        <x:v>35019290.804804675</x:v>
      </x:c>
      <x:c r="P267" s="60" t="n">
        <x:v>18738364.69553326</x:v>
      </x:c>
      <x:c r="Q267" s="62" t="n">
        <x:v>1.5350869268021368</x:v>
      </x:c>
      <x:c r="R267" s="64" t="n">
        <x:v>0.5350869268021368</x:v>
      </x:c>
    </x:row>
    <x:row r="268" ht="18" customHeight="1">
      <x:c r="A268" s="46" t="str">
        <x:v>LME_017</x:v>
      </x:c>
      <x:c r="B268" s="46" t="str">
        <x:v>North Brazil Shelf</x:v>
      </x:c>
      <x:c r="C268" s="46" t="str">
        <x:v>commercial</x:v>
      </x:c>
      <x:c r="D268" s="46" t="str">
        <x:v>Perch-likes</x:v>
      </x:c>
      <x:c r="E268" s="66" t="n">
        <x:v>147</x:v>
      </x:c>
      <x:c r="F268" s="66" t="n">
        <x:v>147</x:v>
      </x:c>
      <x:c r="G268" s="60" t="n">
        <x:v>191509.0741502911</x:v>
      </x:c>
      <x:c r="H268" s="60" t="n">
        <x:v>191509.0741502911</x:v>
      </x:c>
      <x:c r="I268" s="62" t="n">
        <x:v>0</x:v>
      </x:c>
      <x:c r="J268" s="64" t="n">
        <x:v>1</x:v>
      </x:c>
      <x:c r="K268" s="62" t="n">
        <x:v>870.8651602832076</x:v>
      </x:c>
      <x:c r="L268" s="60" t="n">
        <x:v>166778580.55558196</x:v>
      </x:c>
      <x:c r="M268" s="62" t="n">
        <x:v>3.6926119620879136</x:v>
      </x:c>
      <x:c r="N268" s="62" t="n">
        <x:v>492.7333547368823</x:v>
      </x:c>
      <x:c r="O268" s="60" t="n">
        <x:v>94362908.56862728</x:v>
      </x:c>
      <x:c r="P268" s="60" t="n">
        <x:v>72415671.98695467</x:v>
      </x:c>
      <x:c r="Q268" s="62" t="n">
        <x:v>1.7674167009624226</x:v>
      </x:c>
      <x:c r="R268" s="64" t="n">
        <x:v>0.7674167009624226</x:v>
      </x:c>
    </x:row>
    <x:row r="269" ht="18" customHeight="1">
      <x:c r="A269" s="46" t="str">
        <x:v>LME_017</x:v>
      </x:c>
      <x:c r="B269" s="46" t="str">
        <x:v>North Brazil Shelf</x:v>
      </x:c>
      <x:c r="C269" s="46" t="str">
        <x:v>commercial</x:v>
      </x:c>
      <x:c r="D269" s="46" t="str">
        <x:v>Scorpionfishes</x:v>
      </x:c>
      <x:c r="E269" s="66" t="n">
        <x:v>1</x:v>
      </x:c>
      <x:c r="F269" s="66" t="n">
        <x:v>1</x:v>
      </x:c>
      <x:c r="G269" s="60" t="n">
        <x:v>357.52101189210003</x:v>
      </x:c>
      <x:c r="H269" s="60" t="n">
        <x:v>357.52101189210003</x:v>
      </x:c>
      <x:c r="I269" s="62" t="n">
        <x:v>0</x:v>
      </x:c>
      <x:c r="J269" s="64" t="n">
        <x:v>1</x:v>
      </x:c>
      <x:c r="K269" s="62" t="n">
        <x:v>602.5595860743575</x:v>
      </x:c>
      <x:c r="L269" s="60" t="n">
        <x:v>215427.71293858925</x:v>
      </x:c>
      <x:c r="M269" s="62" t="n">
        <x:v>3.78</x:v>
      </x:c>
      <x:c r="N269" s="62" t="n">
        <x:v>602.5595860743575</x:v>
      </x:c>
      <x:c r="O269" s="60" t="n">
        <x:v>215427.71293858925</x:v>
      </x:c>
      <x:c r="P269" s="60" t="n">
        <x:v>0</x:v>
      </x:c>
      <x:c r="Q269" s="62" t="n">
        <x:v>1</x:v>
      </x:c>
      <x:c r="R269" s="64" t="n">
        <x:v>0</x:v>
      </x:c>
    </x:row>
    <x:row r="270" ht="18" customHeight="1">
      <x:c r="A270" s="46" t="str">
        <x:v>LME_017</x:v>
      </x:c>
      <x:c r="B270" s="46" t="str">
        <x:v>North Brazil Shelf</x:v>
      </x:c>
      <x:c r="C270" s="46" t="str">
        <x:v>commercial</x:v>
      </x:c>
      <x:c r="D270" s="46" t="str">
        <x:v>Sharks &amp; rays</x:v>
      </x:c>
      <x:c r="E270" s="66" t="n">
        <x:v>40</x:v>
      </x:c>
      <x:c r="F270" s="66" t="n">
        <x:v>40</x:v>
      </x:c>
      <x:c r="G270" s="60" t="n">
        <x:v>13130.3069526564</x:v>
      </x:c>
      <x:c r="H270" s="60" t="n">
        <x:v>13130.3069526564</x:v>
      </x:c>
      <x:c r="I270" s="62" t="n">
        <x:v>0</x:v>
      </x:c>
      <x:c r="J270" s="64" t="n">
        <x:v>1</x:v>
      </x:c>
      <x:c r="K270" s="62" t="n">
        <x:v>804.7273914102923</x:v>
      </x:c>
      <x:c r="L270" s="60" t="n">
        <x:v>10566317.662427608</x:v>
      </x:c>
      <x:c r="M270" s="62" t="n">
        <x:v>3.822992932678038</x:v>
      </x:c>
      <x:c r="N270" s="62" t="n">
        <x:v>665.2623302264458</x:v>
      </x:c>
      <x:c r="O270" s="60" t="n">
        <x:v>8735098.5999127</x:v>
      </x:c>
      <x:c r="P270" s="60" t="n">
        <x:v>1831219.0625149086</x:v>
      </x:c>
      <x:c r="Q270" s="62" t="n">
        <x:v>1.2096391977227607</x:v>
      </x:c>
      <x:c r="R270" s="64" t="n">
        <x:v>0.2096391977227607</x:v>
      </x:c>
    </x:row>
    <x:row r="271" ht="18" customHeight="1">
      <x:c r="A271" s="46" t="str">
        <x:v>LME_017</x:v>
      </x:c>
      <x:c r="B271" s="46" t="str">
        <x:v>North Brazil Shelf</x:v>
      </x:c>
      <x:c r="C271" s="46" t="str">
        <x:v>commercial</x:v>
      </x:c>
      <x:c r="D271" s="46" t="str">
        <x:v>Tuna &amp; billfishes</x:v>
      </x:c>
      <x:c r="E271" s="66" t="n">
        <x:v>19</x:v>
      </x:c>
      <x:c r="F271" s="66" t="n">
        <x:v>19</x:v>
      </x:c>
      <x:c r="G271" s="60" t="n">
        <x:v>12417.2560075698</x:v>
      </x:c>
      <x:c r="H271" s="60" t="n">
        <x:v>12417.2560075698</x:v>
      </x:c>
      <x:c r="I271" s="62" t="n">
        <x:v>0</x:v>
      </x:c>
      <x:c r="J271" s="64" t="n">
        <x:v>1</x:v>
      </x:c>
      <x:c r="K271" s="62" t="n">
        <x:v>2722.400919133894</x:v>
      </x:c>
      <x:c r="L271" s="60" t="n">
        <x:v>33804749.16812889</x:v>
      </x:c>
      <x:c r="M271" s="62" t="n">
        <x:v>4.431352660237059</x:v>
      </x:c>
      <x:c r="N271" s="62" t="n">
        <x:v>2699.9309680247143</x:v>
      </x:c>
      <x:c r="O271" s="60" t="n">
        <x:v>33525734.03272863</x:v>
      </x:c>
      <x:c r="P271" s="60" t="n">
        <x:v>279015.13540026173</x:v>
      </x:c>
      <x:c r="Q271" s="62" t="n">
        <x:v>1.0083224168970581</x:v>
      </x:c>
      <x:c r="R271" s="64" t="n">
        <x:v>0.008322416897058255</x:v>
      </x:c>
    </x:row>
    <x:row r="272" ht="18" customHeight="1">
      <x:c r="A272" s="46" t="str">
        <x:v>LME_018</x:v>
      </x:c>
      <x:c r="B272" s="46" t="str">
        <x:v>Canadian Eastern Arctic -West Greenland</x:v>
      </x:c>
      <x:c r="C272" s="46" t="str">
        <x:v>commercial</x:v>
      </x:c>
      <x:c r="D272" s="46" t="str">
        <x:v>Cod-likes</x:v>
      </x:c>
      <x:c r="E272" s="66" t="n">
        <x:v>12</x:v>
      </x:c>
      <x:c r="F272" s="66" t="n">
        <x:v>12</x:v>
      </x:c>
      <x:c r="G272" s="60" t="n">
        <x:v>32323.500216867098</x:v>
      </x:c>
      <x:c r="H272" s="60" t="n">
        <x:v>32323.500216867098</x:v>
      </x:c>
      <x:c r="I272" s="62" t="n">
        <x:v>0</x:v>
      </x:c>
      <x:c r="J272" s="64" t="n">
        <x:v>1</x:v>
      </x:c>
      <x:c r="K272" s="62" t="n">
        <x:v>1229.7962562893836</x:v>
      </x:c>
      <x:c r="L272" s="60" t="n">
        <x:v>39751319.556872234</x:v>
      </x:c>
      <x:c r="M272" s="62" t="n">
        <x:v>4.089551877683279</x:v>
      </x:c>
      <x:c r="N272" s="62" t="n">
        <x:v>1228.9999852756544</x:v>
      </x:c>
      <x:c r="O272" s="60" t="n">
        <x:v>39725581.290587276</x:v>
      </x:c>
      <x:c r="P272" s="60" t="n">
        <x:v>25738.266284957528</x:v>
      </x:c>
      <x:c r="Q272" s="62" t="n">
        <x:v>1.0006479015649057</x:v>
      </x:c>
      <x:c r="R272" s="64" t="n">
        <x:v>0.0006479015649056354</x:v>
      </x:c>
    </x:row>
    <x:row r="273" ht="18" customHeight="1">
      <x:c r="A273" s="46" t="str">
        <x:v>LME_018</x:v>
      </x:c>
      <x:c r="B273" s="46" t="str">
        <x:v>Canadian Eastern Arctic -West Greenland</x:v>
      </x:c>
      <x:c r="C273" s="46" t="str">
        <x:v>commercial</x:v>
      </x:c>
      <x:c r="D273" s="46" t="str">
        <x:v>Crustaceans</x:v>
      </x:c>
      <x:c r="E273" s="66" t="n">
        <x:v>6</x:v>
      </x:c>
      <x:c r="F273" s="66" t="n">
        <x:v>6</x:v>
      </x:c>
      <x:c r="G273" s="60" t="n">
        <x:v>67588.5433126096</x:v>
      </x:c>
      <x:c r="H273" s="60" t="n">
        <x:v>67588.5433126096</x:v>
      </x:c>
      <x:c r="I273" s="62" t="n">
        <x:v>0</x:v>
      </x:c>
      <x:c r="J273" s="64" t="n">
        <x:v>1</x:v>
      </x:c>
      <x:c r="K273" s="62" t="n">
        <x:v>125.05800714986246</x:v>
      </x:c>
      <x:c r="L273" s="60" t="n">
        <x:v>8452488.53283712</x:v>
      </x:c>
      <x:c r="M273" s="62" t="n">
        <x:v>3.0850977823066903</x:v>
      </x:c>
      <x:c r="N273" s="62" t="n">
        <x:v>121.64598582848528</x:v>
      </x:c>
      <x:c r="O273" s="60" t="n">
        <x:v>8221874.981973671</x:v>
      </x:c>
      <x:c r="P273" s="60" t="n">
        <x:v>230613.55086344946</x:v>
      </x:c>
      <x:c r="Q273" s="62" t="n">
        <x:v>1.0280487785777654</x:v>
      </x:c>
      <x:c r="R273" s="64" t="n">
        <x:v>0.02804877857776553</x:v>
      </x:c>
    </x:row>
    <x:row r="274" ht="18" customHeight="1">
      <x:c r="A274" s="46" t="str">
        <x:v>LME_018</x:v>
      </x:c>
      <x:c r="B274" s="46" t="str">
        <x:v>Canadian Eastern Arctic -West Greenland</x:v>
      </x:c>
      <x:c r="C274" s="46" t="str">
        <x:v>commercial</x:v>
      </x:c>
      <x:c r="D274" s="46" t="str">
        <x:v>Flatfishes</x:v>
      </x:c>
      <x:c r="E274" s="66" t="n">
        <x:v>3</x:v>
      </x:c>
      <x:c r="F274" s="66" t="n">
        <x:v>3</x:v>
      </x:c>
      <x:c r="G274" s="60" t="n">
        <x:v>59779.117859353704</x:v>
      </x:c>
      <x:c r="H274" s="60" t="n">
        <x:v>59779.117859353704</x:v>
      </x:c>
      <x:c r="I274" s="62" t="n">
        <x:v>0</x:v>
      </x:c>
      <x:c r="J274" s="64" t="n">
        <x:v>1</x:v>
      </x:c>
      <x:c r="K274" s="62" t="n">
        <x:v>2397.7896222729337</x:v>
      </x:c>
      <x:c r="L274" s="60" t="n">
        <x:v>143337748.4317889</x:v>
      </x:c>
      <x:c r="M274" s="62" t="n">
        <x:v>4.37968618698544</x:v>
      </x:c>
      <x:c r="N274" s="62" t="n">
        <x:v>2397.100193616643</x:v>
      </x:c>
      <x:c r="O274" s="60" t="n">
        <x:v>143296534.9948889</x:v>
      </x:c>
      <x:c r="P274" s="60" t="n">
        <x:v>41213.43689998984</x:v>
      </x:c>
      <x:c r="Q274" s="62" t="n">
        <x:v>1.0002876094449977</x:v>
      </x:c>
      <x:c r="R274" s="64" t="n">
        <x:v>0.00028760944499781413</x:v>
      </x:c>
    </x:row>
    <x:row r="275" ht="18" customHeight="1">
      <x:c r="A275" s="46" t="str">
        <x:v>LME_018</x:v>
      </x:c>
      <x:c r="B275" s="46" t="str">
        <x:v>Canadian Eastern Arctic -West Greenland</x:v>
      </x:c>
      <x:c r="C275" s="46" t="str">
        <x:v>commercial</x:v>
      </x:c>
      <x:c r="D275" s="46" t="str">
        <x:v>Herring-likes</x:v>
      </x:c>
      <x:c r="E275" s="66" t="n">
        <x:v>1</x:v>
      </x:c>
      <x:c r="F275" s="66" t="n">
        <x:v>1</x:v>
      </x:c>
      <x:c r="G275" s="60" t="n">
        <x:v>5.2252798923</x:v>
      </x:c>
      <x:c r="H275" s="60" t="n">
        <x:v>5.2252798923</x:v>
      </x:c>
      <x:c r="I275" s="62" t="n">
        <x:v>0</x:v>
      </x:c>
      <x:c r="J275" s="64" t="n">
        <x:v>1</x:v>
      </x:c>
      <x:c r="K275" s="62" t="n">
        <x:v>239.88329190194898</x:v>
      </x:c>
      <x:c r="L275" s="60" t="n">
        <x:v>1253.4573416739854</x:v>
      </x:c>
      <x:c r="M275" s="62" t="n">
        <x:v>3.38</x:v>
      </x:c>
      <x:c r="N275" s="62" t="n">
        <x:v>239.88329190194898</x:v>
      </x:c>
      <x:c r="O275" s="60" t="n">
        <x:v>1253.4573416739854</x:v>
      </x:c>
      <x:c r="P275" s="60" t="n">
        <x:v>0</x:v>
      </x:c>
      <x:c r="Q275" s="62" t="n">
        <x:v>1</x:v>
      </x:c>
      <x:c r="R275" s="64" t="n">
        <x:v>0</x:v>
      </x:c>
    </x:row>
    <x:row r="276" ht="18" customHeight="1">
      <x:c r="A276" s="46" t="str">
        <x:v>LME_018</x:v>
      </x:c>
      <x:c r="B276" s="46" t="str">
        <x:v>Canadian Eastern Arctic -West Greenland</x:v>
      </x:c>
      <x:c r="C276" s="46" t="str">
        <x:v>commercial</x:v>
      </x:c>
      <x:c r="D276" s="46" t="str">
        <x:v>Molluscs</x:v>
      </x:c>
      <x:c r="E276" s="66" t="n">
        <x:v>2</x:v>
      </x:c>
      <x:c r="F276" s="66" t="n">
        <x:v>2</x:v>
      </x:c>
      <x:c r="G276" s="60" t="n">
        <x:v>38.2558386769</x:v>
      </x:c>
      <x:c r="H276" s="60" t="n">
        <x:v>38.2558386769</x:v>
      </x:c>
      <x:c r="I276" s="62" t="n">
        <x:v>0</x:v>
      </x:c>
      <x:c r="J276" s="64" t="n">
        <x:v>1</x:v>
      </x:c>
      <x:c r="K276" s="62" t="n">
        <x:v>31.740699823301867</x:v>
      </x:c>
      <x:c r="L276" s="60" t="n">
        <x:v>1214.2670919321445</x:v>
      </x:c>
      <x:c r="M276" s="62" t="n">
        <x:v>2.157480248054732</x:v>
      </x:c>
      <x:c r="N276" s="62" t="n">
        <x:v>14.370776928081654</x:v>
      </x:c>
      <x:c r="O276" s="60" t="n">
        <x:v>549.7661238224083</x:v>
      </x:c>
      <x:c r="P276" s="60" t="n">
        <x:v>664.5009681097362</x:v>
      </x:c>
      <x:c r="Q276" s="62" t="n">
        <x:v>2.208697552132897</x:v>
      </x:c>
      <x:c r="R276" s="64" t="n">
        <x:v>1.208697552132897</x:v>
      </x:c>
    </x:row>
    <x:row r="277" ht="18" customHeight="1">
      <x:c r="A277" s="46" t="str">
        <x:v>LME_018</x:v>
      </x:c>
      <x:c r="B277" s="46" t="str">
        <x:v>Canadian Eastern Arctic -West Greenland</x:v>
      </x:c>
      <x:c r="C277" s="46" t="str">
        <x:v>commercial</x:v>
      </x:c>
      <x:c r="D277" s="46" t="str">
        <x:v>Other fishes &amp; inverts</x:v>
      </x:c>
      <x:c r="E277" s="66" t="n">
        <x:v>7</x:v>
      </x:c>
      <x:c r="F277" s="66" t="n">
        <x:v>7</x:v>
      </x:c>
      <x:c r="G277" s="60" t="n">
        <x:v>48630.0576033726</x:v>
      </x:c>
      <x:c r="H277" s="60" t="n">
        <x:v>48630.0576033726</x:v>
      </x:c>
      <x:c r="I277" s="62" t="n">
        <x:v>0</x:v>
      </x:c>
      <x:c r="J277" s="64" t="n">
        <x:v>1</x:v>
      </x:c>
      <x:c r="K277" s="62" t="n">
        <x:v>190.54569727487035</x:v>
      </x:c>
      <x:c r="L277" s="60" t="n">
        <x:v>9266248.234551743</x:v>
      </x:c>
      <x:c r="M277" s="62" t="n">
        <x:v>3.2799899711554157</x:v>
      </x:c>
      <x:c r="N277" s="62" t="n">
        <x:v>190.5416717061651</x:v>
      </x:c>
      <x:c r="O277" s="60" t="n">
        <x:v>9266052.47091372</x:v>
      </x:c>
      <x:c r="P277" s="60" t="n">
        <x:v>195.76363802328706</x:v>
      </x:c>
      <x:c r="Q277" s="62" t="n">
        <x:v>1.0000211269727468</x:v>
      </x:c>
      <x:c r="R277" s="64" t="n">
        <x:v>0.000021126972746786415</x:v>
      </x:c>
    </x:row>
    <x:row r="278" ht="18" customHeight="1">
      <x:c r="A278" s="46" t="str">
        <x:v>LME_018</x:v>
      </x:c>
      <x:c r="B278" s="46" t="str">
        <x:v>Canadian Eastern Arctic -West Greenland</x:v>
      </x:c>
      <x:c r="C278" s="46" t="str">
        <x:v>commercial</x:v>
      </x:c>
      <x:c r="D278" s="46" t="str">
        <x:v>Perch-likes</x:v>
      </x:c>
      <x:c r="E278" s="66" t="n">
        <x:v>7</x:v>
      </x:c>
      <x:c r="F278" s="66" t="n">
        <x:v>7</x:v>
      </x:c>
      <x:c r="G278" s="60" t="n">
        <x:v>300.8004016021</x:v>
      </x:c>
      <x:c r="H278" s="60" t="n">
        <x:v>300.8004016021</x:v>
      </x:c>
      <x:c r="I278" s="62" t="n">
        <x:v>0</x:v>
      </x:c>
      <x:c r="J278" s="64" t="n">
        <x:v>1</x:v>
      </x:c>
      <x:c r="K278" s="62" t="n">
        <x:v>292.89918245947723</x:v>
      </x:c>
      <x:c r="L278" s="60" t="n">
        <x:v>88104.19171273752</x:v>
      </x:c>
      <x:c r="M278" s="62" t="n">
        <x:v>3.456761072756771</x:v>
      </x:c>
      <x:c r="N278" s="62" t="n">
        <x:v>286.26026748768953</x:v>
      </x:c>
      <x:c r="O278" s="60" t="n">
        <x:v>86107.20342302158</x:v>
      </x:c>
      <x:c r="P278" s="60" t="n">
        <x:v>1996.9882897159405</x:v>
      </x:c>
      <x:c r="Q278" s="62" t="n">
        <x:v>1.0231918841900518</x:v>
      </x:c>
      <x:c r="R278" s="64" t="n">
        <x:v>0.023191884190051706</x:v>
      </x:c>
    </x:row>
    <x:row r="279" ht="18" customHeight="1">
      <x:c r="A279" s="46" t="str">
        <x:v>LME_018</x:v>
      </x:c>
      <x:c r="B279" s="46" t="str">
        <x:v>Canadian Eastern Arctic -West Greenland</x:v>
      </x:c>
      <x:c r="C279" s="46" t="str">
        <x:v>commercial</x:v>
      </x:c>
      <x:c r="D279" s="46" t="str">
        <x:v>Salmon, smelts, etc</x:v>
      </x:c>
      <x:c r="E279" s="66" t="n">
        <x:v>9</x:v>
      </x:c>
      <x:c r="F279" s="66" t="n">
        <x:v>9</x:v>
      </x:c>
      <x:c r="G279" s="60" t="n">
        <x:v>1232.4260775125</x:v>
      </x:c>
      <x:c r="H279" s="60" t="n">
        <x:v>1232.4260775125</x:v>
      </x:c>
      <x:c r="I279" s="62" t="n">
        <x:v>0</x:v>
      </x:c>
      <x:c r="J279" s="64" t="n">
        <x:v>1</x:v>
      </x:c>
      <x:c r="K279" s="62" t="n">
        <x:v>890.5337363045624</x:v>
      </x:c>
      <x:c r="L279" s="60" t="n">
        <x:v>1097516.9995263827</x:v>
      </x:c>
      <x:c r="M279" s="62" t="n">
        <x:v>3.5492904992557417</x:v>
      </x:c>
      <x:c r="N279" s="62" t="n">
        <x:v>354.234208852945</x:v>
      </x:c>
      <x:c r="O279" s="60" t="n">
        <x:v>436567.4765373787</x:v>
      </x:c>
      <x:c r="P279" s="60" t="n">
        <x:v>660949.5229890039</x:v>
      </x:c>
      <x:c r="Q279" s="62" t="n">
        <x:v>2.513968764304901</x:v>
      </x:c>
      <x:c r="R279" s="64" t="n">
        <x:v>1.5139687643049007</x:v>
      </x:c>
    </x:row>
    <x:row r="280" ht="18" customHeight="1">
      <x:c r="A280" s="46" t="str">
        <x:v>LME_018</x:v>
      </x:c>
      <x:c r="B280" s="46" t="str">
        <x:v>Canadian Eastern Arctic -West Greenland</x:v>
      </x:c>
      <x:c r="C280" s="46" t="str">
        <x:v>commercial</x:v>
      </x:c>
      <x:c r="D280" s="46" t="str">
        <x:v>Scorpionfishes</x:v>
      </x:c>
      <x:c r="E280" s="66" t="n">
        <x:v>8</x:v>
      </x:c>
      <x:c r="F280" s="66" t="n">
        <x:v>8</x:v>
      </x:c>
      <x:c r="G280" s="60" t="n">
        <x:v>9090.138328950101</x:v>
      </x:c>
      <x:c r="H280" s="60" t="n">
        <x:v>9090.138328950101</x:v>
      </x:c>
      <x:c r="I280" s="62" t="n">
        <x:v>0</x:v>
      </x:c>
      <x:c r="J280" s="64" t="n">
        <x:v>1</x:v>
      </x:c>
      <x:c r="K280" s="62" t="n">
        <x:v>728.053134649895</x:v>
      </x:c>
      <x:c r="L280" s="60" t="n">
        <x:v>6618103.704793279</x:v>
      </x:c>
      <x:c r="M280" s="62" t="n">
        <x:v>3.8551311578672043</x:v>
      </x:c>
      <x:c r="N280" s="62" t="n">
        <x:v>716.3597197237143</x:v>
      </x:c>
      <x:c r="O280" s="60" t="n">
        <x:v>6511808.945576487</x:v>
      </x:c>
      <x:c r="P280" s="60" t="n">
        <x:v>106294.75921679195</x:v>
      </x:c>
      <x:c r="Q280" s="62" t="n">
        <x:v>1.016323384194034</x:v>
      </x:c>
      <x:c r="R280" s="64" t="n">
        <x:v>0.016323384194033924</x:v>
      </x:c>
    </x:row>
    <x:row r="281" ht="18" customHeight="1">
      <x:c r="A281" s="46" t="str">
        <x:v>LME_018</x:v>
      </x:c>
      <x:c r="B281" s="46" t="str">
        <x:v>Canadian Eastern Arctic -West Greenland</x:v>
      </x:c>
      <x:c r="C281" s="46" t="str">
        <x:v>commercial</x:v>
      </x:c>
      <x:c r="D281" s="46" t="str">
        <x:v>Sharks &amp; rays</x:v>
      </x:c>
      <x:c r="E281" s="66" t="n">
        <x:v>6</x:v>
      </x:c>
      <x:c r="F281" s="66" t="n">
        <x:v>6</x:v>
      </x:c>
      <x:c r="G281" s="60" t="n">
        <x:v>57.5592503445</x:v>
      </x:c>
      <x:c r="H281" s="60" t="n">
        <x:v>57.5592503445</x:v>
      </x:c>
      <x:c r="I281" s="62" t="n">
        <x:v>0</x:v>
      </x:c>
      <x:c r="J281" s="64" t="n">
        <x:v>1</x:v>
      </x:c>
      <x:c r="K281" s="62" t="n">
        <x:v>1436.9645121157462</x:v>
      </x:c>
      <x:c r="L281" s="60" t="n">
        <x:v>82710.60008903254</x:v>
      </x:c>
      <x:c r="M281" s="62" t="n">
        <x:v>4.142260528078619</x:v>
      </x:c>
      <x:c r="N281" s="62" t="n">
        <x:v>1387.5879767226481</x:v>
      </x:c>
      <x:c r="O281" s="60" t="n">
        <x:v>79868.52372719714</x:v>
      </x:c>
      <x:c r="P281" s="60" t="n">
        <x:v>2842.076361835396</x:v>
      </x:c>
      <x:c r="Q281" s="62" t="n">
        <x:v>1.0355844358854425</x:v>
      </x:c>
      <x:c r="R281" s="64" t="n">
        <x:v>0.03558443588544258</x:v>
      </x:c>
    </x:row>
    <x:row r="282" ht="18" customHeight="1">
      <x:c r="A282" s="46" t="str">
        <x:v>LME_019</x:v>
      </x:c>
      <x:c r="B282" s="46" t="str">
        <x:v>Greenland Sea</x:v>
      </x:c>
      <x:c r="C282" s="46" t="str">
        <x:v>commercial</x:v>
      </x:c>
      <x:c r="D282" s="46" t="str">
        <x:v>Cod-likes</x:v>
      </x:c>
      <x:c r="E282" s="66" t="n">
        <x:v>11</x:v>
      </x:c>
      <x:c r="F282" s="66" t="n">
        <x:v>11</x:v>
      </x:c>
      <x:c r="G282" s="60" t="n">
        <x:v>36494.180468461804</x:v>
      </x:c>
      <x:c r="H282" s="60" t="n">
        <x:v>36494.180468461804</x:v>
      </x:c>
      <x:c r="I282" s="62" t="n">
        <x:v>0</x:v>
      </x:c>
      <x:c r="J282" s="64" t="n">
        <x:v>1</x:v>
      </x:c>
      <x:c r="K282" s="62" t="n">
        <x:v>1226.8220764082885</x:v>
      </x:c>
      <x:c r="L282" s="60" t="n">
        <x:v>44771866.25913712</x:v>
      </x:c>
      <x:c r="M282" s="62" t="n">
        <x:v>4.087992000070825</x:v>
      </x:c>
      <x:c r="N282" s="62" t="n">
        <x:v>1224.5936414084836</x:v>
      </x:c>
      <x:c r="O282" s="60" t="n">
        <x:v>44690541.350092</x:v>
      </x:c>
      <x:c r="P282" s="60" t="n">
        <x:v>81324.90904511511</x:v>
      </x:c>
      <x:c r="Q282" s="62" t="n">
        <x:v>1.0018197342566975</x:v>
      </x:c>
      <x:c r="R282" s="64" t="n">
        <x:v>0.001819734256697423</x:v>
      </x:c>
    </x:row>
    <x:row r="283" ht="18" customHeight="1">
      <x:c r="A283" s="46" t="str">
        <x:v>LME_019</x:v>
      </x:c>
      <x:c r="B283" s="46" t="str">
        <x:v>Greenland Sea</x:v>
      </x:c>
      <x:c r="C283" s="46" t="str">
        <x:v>commercial</x:v>
      </x:c>
      <x:c r="D283" s="46" t="str">
        <x:v>Crustaceans</x:v>
      </x:c>
      <x:c r="E283" s="66" t="n">
        <x:v>4</x:v>
      </x:c>
      <x:c r="F283" s="66" t="n">
        <x:v>4</x:v>
      </x:c>
      <x:c r="G283" s="60" t="n">
        <x:v>991.5554287606999</x:v>
      </x:c>
      <x:c r="H283" s="60" t="n">
        <x:v>991.5554287606999</x:v>
      </x:c>
      <x:c r="I283" s="62" t="n">
        <x:v>0</x:v>
      </x:c>
      <x:c r="J283" s="64" t="n">
        <x:v>1</x:v>
      </x:c>
      <x:c r="K283" s="62" t="n">
        <x:v>114.8714477023306</x:v>
      </x:c>
      <x:c r="L283" s="60" t="n">
        <x:v>113901.40757884673</x:v>
      </x:c>
      <x:c r="M283" s="62" t="n">
        <x:v>3.0549785641321523</x:v>
      </x:c>
      <x:c r="N283" s="62" t="n">
        <x:v>113.49547952934326</x:v>
      </x:c>
      <x:c r="O283" s="60" t="n">
        <x:v>112537.0588671192</x:v>
      </x:c>
      <x:c r="P283" s="60" t="n">
        <x:v>1364.3487117275363</x:v>
      </x:c>
      <x:c r="Q283" s="62" t="n">
        <x:v>1.012123550459396</x:v>
      </x:c>
      <x:c r="R283" s="64" t="n">
        <x:v>0.012123550459395989</x:v>
      </x:c>
    </x:row>
    <x:row r="284" ht="18" customHeight="1">
      <x:c r="A284" s="46" t="str">
        <x:v>LME_019</x:v>
      </x:c>
      <x:c r="B284" s="46" t="str">
        <x:v>Greenland Sea</x:v>
      </x:c>
      <x:c r="C284" s="46" t="str">
        <x:v>commercial</x:v>
      </x:c>
      <x:c r="D284" s="46" t="str">
        <x:v>Flatfishes</x:v>
      </x:c>
      <x:c r="E284" s="66" t="n">
        <x:v>7</x:v>
      </x:c>
      <x:c r="F284" s="66" t="n">
        <x:v>7</x:v>
      </x:c>
      <x:c r="G284" s="60" t="n">
        <x:v>7446.7601847677</x:v>
      </x:c>
      <x:c r="H284" s="60" t="n">
        <x:v>7446.7601847677</x:v>
      </x:c>
      <x:c r="I284" s="62" t="n">
        <x:v>0</x:v>
      </x:c>
      <x:c r="J284" s="64" t="n">
        <x:v>1</x:v>
      </x:c>
      <x:c r="K284" s="62" t="n">
        <x:v>2318.8804437611593</x:v>
      </x:c>
      <x:c r="L284" s="60" t="n">
        <x:v>17268146.561837055</x:v>
      </x:c>
      <x:c r="M284" s="62" t="n">
        <x:v>4.340069594008816</x:v>
      </x:c>
      <x:c r="N284" s="62" t="n">
        <x:v>2188.1122323682325</x:v>
      </x:c>
      <x:c r="O284" s="60" t="n">
        <x:v>16294347.051802924</x:v>
      </x:c>
      <x:c r="P284" s="60" t="n">
        <x:v>973799.5100341309</x:v>
      </x:c>
      <x:c r="Q284" s="62" t="n">
        <x:v>1.0597630274437038</x:v>
      </x:c>
      <x:c r="R284" s="64" t="n">
        <x:v>0.059763027443703716</x:v>
      </x:c>
    </x:row>
    <x:row r="285" ht="18" customHeight="1">
      <x:c r="A285" s="46" t="str">
        <x:v>LME_019</x:v>
      </x:c>
      <x:c r="B285" s="46" t="str">
        <x:v>Greenland Sea</x:v>
      </x:c>
      <x:c r="C285" s="46" t="str">
        <x:v>commercial</x:v>
      </x:c>
      <x:c r="D285" s="46" t="str">
        <x:v>Herring-likes</x:v>
      </x:c>
      <x:c r="E285" s="66" t="n">
        <x:v>2</x:v>
      </x:c>
      <x:c r="F285" s="66" t="n">
        <x:v>2</x:v>
      </x:c>
      <x:c r="G285" s="60" t="n">
        <x:v>171.6707849823</x:v>
      </x:c>
      <x:c r="H285" s="60" t="n">
        <x:v>171.6707849823</x:v>
      </x:c>
      <x:c r="I285" s="62" t="n">
        <x:v>0</x:v>
      </x:c>
      <x:c r="J285" s="64" t="n">
        <x:v>1</x:v>
      </x:c>
      <x:c r="K285" s="62" t="n">
        <x:v>239.77078758931245</x:v>
      </x:c>
      <x:c r="L285" s="60" t="n">
        <x:v>41161.63932128158</x:v>
      </x:c>
      <x:c r="M285" s="62" t="n">
        <x:v>3.3797403909517825</x:v>
      </x:c>
      <x:c r="N285" s="62" t="n">
        <x:v>239.73993925527216</x:v>
      </x:c>
      <x:c r="O285" s="60" t="n">
        <x:v>41156.343563561495</x:v>
      </x:c>
      <x:c r="P285" s="60" t="n">
        <x:v>5.29575772008684</x:v>
      </x:c>
      <x:c r="Q285" s="62" t="n">
        <x:v>1.0001286741547366</x:v>
      </x:c>
      <x:c r="R285" s="64" t="n">
        <x:v>0.0001286741547365139</x:v>
      </x:c>
    </x:row>
    <x:row r="286" ht="18" customHeight="1">
      <x:c r="A286" s="46" t="str">
        <x:v>LME_019</x:v>
      </x:c>
      <x:c r="B286" s="46" t="str">
        <x:v>Greenland Sea</x:v>
      </x:c>
      <x:c r="C286" s="46" t="str">
        <x:v>commercial</x:v>
      </x:c>
      <x:c r="D286" s="46" t="str">
        <x:v>Molluscs</x:v>
      </x:c>
      <x:c r="E286" s="66" t="n">
        <x:v>4</x:v>
      </x:c>
      <x:c r="F286" s="66" t="n">
        <x:v>4</x:v>
      </x:c>
      <x:c r="G286" s="60" t="n">
        <x:v>15.614821926900001</x:v>
      </x:c>
      <x:c r="H286" s="60" t="n">
        <x:v>15.614821926900001</x:v>
      </x:c>
      <x:c r="I286" s="62" t="n">
        <x:v>0</x:v>
      </x:c>
      <x:c r="J286" s="64" t="n">
        <x:v>1</x:v>
      </x:c>
      <x:c r="K286" s="62" t="n">
        <x:v>359.9311784476991</x:v>
      </x:c>
      <x:c r="L286" s="60" t="n">
        <x:v>5620.261257400089</x:v>
      </x:c>
      <x:c r="M286" s="62" t="n">
        <x:v>3.1840236693911805</x:v>
      </x:c>
      <x:c r="N286" s="62" t="n">
        <x:v>152.76493140596213</x:v>
      </x:c>
      <x:c r="O286" s="60" t="n">
        <x:v>2385.397200579192</x:v>
      </x:c>
      <x:c r="P286" s="60" t="n">
        <x:v>3234.8640568208966</x:v>
      </x:c>
      <x:c r="Q286" s="62" t="n">
        <x:v>2.3561112824461468</x:v>
      </x:c>
      <x:c r="R286" s="64" t="n">
        <x:v>1.3561112824461468</x:v>
      </x:c>
    </x:row>
    <x:row r="287" ht="18" customHeight="1">
      <x:c r="A287" s="46" t="str">
        <x:v>LME_019</x:v>
      </x:c>
      <x:c r="B287" s="46" t="str">
        <x:v>Greenland Sea</x:v>
      </x:c>
      <x:c r="C287" s="46" t="str">
        <x:v>commercial</x:v>
      </x:c>
      <x:c r="D287" s="46" t="str">
        <x:v>Other fishes &amp; inverts</x:v>
      </x:c>
      <x:c r="E287" s="66" t="n">
        <x:v>8</x:v>
      </x:c>
      <x:c r="F287" s="66" t="n">
        <x:v>8</x:v>
      </x:c>
      <x:c r="G287" s="60" t="n">
        <x:v>32942.1627605002</x:v>
      </x:c>
      <x:c r="H287" s="60" t="n">
        <x:v>32942.1627605002</x:v>
      </x:c>
      <x:c r="I287" s="62" t="n">
        <x:v>0</x:v>
      </x:c>
      <x:c r="J287" s="64" t="n">
        <x:v>1</x:v>
      </x:c>
      <x:c r="K287" s="62" t="n">
        <x:v>190.7676527881125</x:v>
      </x:c>
      <x:c r="L287" s="60" t="n">
        <x:v>6284299.067584592</x:v>
      </x:c>
      <x:c r="M287" s="62" t="n">
        <x:v>3.2799712594665524</x:v>
      </x:c>
      <x:c r="N287" s="62" t="n">
        <x:v>190.53346234634367</x:v>
      </x:c>
      <x:c r="O287" s="60" t="n">
        <x:v>6276584.327934889</x:v>
      </x:c>
      <x:c r="P287" s="60" t="n">
        <x:v>7714.739649702795</x:v>
      </x:c>
      <x:c r="Q287" s="62" t="n">
        <x:v>1.0012291302476997</x:v>
      </x:c>
      <x:c r="R287" s="64" t="n">
        <x:v>0.0012291302476997207</x:v>
      </x:c>
    </x:row>
    <x:row r="288" ht="18" customHeight="1">
      <x:c r="A288" s="46" t="str">
        <x:v>LME_019</x:v>
      </x:c>
      <x:c r="B288" s="46" t="str">
        <x:v>Greenland Sea</x:v>
      </x:c>
      <x:c r="C288" s="46" t="str">
        <x:v>commercial</x:v>
      </x:c>
      <x:c r="D288" s="46" t="str">
        <x:v>Perch-likes</x:v>
      </x:c>
      <x:c r="E288" s="66" t="n">
        <x:v>8</x:v>
      </x:c>
      <x:c r="F288" s="66" t="n">
        <x:v>8</x:v>
      </x:c>
      <x:c r="G288" s="60" t="n">
        <x:v>304.30787965790006</x:v>
      </x:c>
      <x:c r="H288" s="60" t="n">
        <x:v>304.30787965790006</x:v>
      </x:c>
      <x:c r="I288" s="62" t="n">
        <x:v>0</x:v>
      </x:c>
      <x:c r="J288" s="64" t="n">
        <x:v>1</x:v>
      </x:c>
      <x:c r="K288" s="62" t="n">
        <x:v>397.9665143224182</x:v>
      </x:c>
      <x:c r="L288" s="60" t="n">
        <x:v>121104.3461483004</x:v>
      </x:c>
      <x:c r="M288" s="62" t="n">
        <x:v>3.5788916252842506</x:v>
      </x:c>
      <x:c r="N288" s="62" t="n">
        <x:v>379.2203417610467</x:v>
      </x:c>
      <x:c r="O288" s="60" t="n">
        <x:v>115399.73812444834</x:v>
      </x:c>
      <x:c r="P288" s="60" t="n">
        <x:v>5704.608023852066</x:v>
      </x:c>
      <x:c r="Q288" s="62" t="n">
        <x:v>1.0494334572726687</x:v>
      </x:c>
      <x:c r="R288" s="64" t="n">
        <x:v>0.04943345727266863</x:v>
      </x:c>
    </x:row>
    <x:row r="289" ht="18" customHeight="1">
      <x:c r="A289" s="46" t="str">
        <x:v>LME_019</x:v>
      </x:c>
      <x:c r="B289" s="46" t="str">
        <x:v>Greenland Sea</x:v>
      </x:c>
      <x:c r="C289" s="46" t="str">
        <x:v>commercial</x:v>
      </x:c>
      <x:c r="D289" s="46" t="str">
        <x:v>Salmon, smelts, etc</x:v>
      </x:c>
      <x:c r="E289" s="66" t="n">
        <x:v>5</x:v>
      </x:c>
      <x:c r="F289" s="66" t="n">
        <x:v>5</x:v>
      </x:c>
      <x:c r="G289" s="60" t="n">
        <x:v>36.434822630300005</x:v>
      </x:c>
      <x:c r="H289" s="60" t="n">
        <x:v>36.434822630300005</x:v>
      </x:c>
      <x:c r="I289" s="62" t="n">
        <x:v>0</x:v>
      </x:c>
      <x:c r="J289" s="64" t="n">
        <x:v>1</x:v>
      </x:c>
      <x:c r="K289" s="62" t="n">
        <x:v>2534.1699403770835</x:v>
      </x:c>
      <x:c r="L289" s="60" t="n">
        <x:v>92332.03229267697</x:v>
      </x:c>
      <x:c r="M289" s="62" t="n">
        <x:v>4.226722966699646</x:v>
      </x:c>
      <x:c r="N289" s="62" t="n">
        <x:v>1685.4775285076048</x:v>
      </x:c>
      <x:c r="O289" s="60" t="n">
        <x:v>61410.074798531</x:v>
      </x:c>
      <x:c r="P289" s="60" t="n">
        <x:v>30921.957494145972</x:v>
      </x:c>
      <x:c r="Q289" s="62" t="n">
        <x:v>1.5035323209683773</x:v>
      </x:c>
      <x:c r="R289" s="64" t="n">
        <x:v>0.5035323209683773</x:v>
      </x:c>
    </x:row>
    <x:row r="290" ht="18" customHeight="1">
      <x:c r="A290" s="46" t="str">
        <x:v>LME_019</x:v>
      </x:c>
      <x:c r="B290" s="46" t="str">
        <x:v>Greenland Sea</x:v>
      </x:c>
      <x:c r="C290" s="46" t="str">
        <x:v>commercial</x:v>
      </x:c>
      <x:c r="D290" s="46" t="str">
        <x:v>Scorpionfishes</x:v>
      </x:c>
      <x:c r="E290" s="66" t="n">
        <x:v>6</x:v>
      </x:c>
      <x:c r="F290" s="66" t="n">
        <x:v>6</x:v>
      </x:c>
      <x:c r="G290" s="60" t="n">
        <x:v>8432.802223788201</x:v>
      </x:c>
      <x:c r="H290" s="60" t="n">
        <x:v>8432.802223788201</x:v>
      </x:c>
      <x:c r="I290" s="62" t="n">
        <x:v>0</x:v>
      </x:c>
      <x:c r="J290" s="64" t="n">
        <x:v>1</x:v>
      </x:c>
      <x:c r="K290" s="62" t="n">
        <x:v>858.0761361083934</x:v>
      </x:c>
      <x:c r="L290" s="60" t="n">
        <x:v>7235986.348754447</x:v>
      </x:c>
      <x:c r="M290" s="62" t="n">
        <x:v>3.8974046333511767</x:v>
      </x:c>
      <x:c r="N290" s="62" t="n">
        <x:v>789.5954432370964</x:v>
      </x:c>
      <x:c r="O290" s="60" t="n">
        <x:v>6658502.209622817</x:v>
      </x:c>
      <x:c r="P290" s="60" t="n">
        <x:v>577484.1391316298</x:v>
      </x:c>
      <x:c r="Q290" s="62" t="n">
        <x:v>1.0867288349468525</x:v>
      </x:c>
      <x:c r="R290" s="64" t="n">
        <x:v>0.08672883494685248</x:v>
      </x:c>
    </x:row>
    <x:row r="291" ht="18" customHeight="1">
      <x:c r="A291" s="46" t="str">
        <x:v>LME_019</x:v>
      </x:c>
      <x:c r="B291" s="46" t="str">
        <x:v>Greenland Sea</x:v>
      </x:c>
      <x:c r="C291" s="46" t="str">
        <x:v>commercial</x:v>
      </x:c>
      <x:c r="D291" s="46" t="str">
        <x:v>Sharks &amp; rays</x:v>
      </x:c>
      <x:c r="E291" s="66" t="n">
        <x:v>9</x:v>
      </x:c>
      <x:c r="F291" s="66" t="n">
        <x:v>9</x:v>
      </x:c>
      <x:c r="G291" s="60" t="n">
        <x:v>258.3341982442</x:v>
      </x:c>
      <x:c r="H291" s="60" t="n">
        <x:v>258.3341982442</x:v>
      </x:c>
      <x:c r="I291" s="62" t="n">
        <x:v>0</x:v>
      </x:c>
      <x:c r="J291" s="64" t="n">
        <x:v>1</x:v>
      </x:c>
      <x:c r="K291" s="62" t="n">
        <x:v>1336.9149922256506</x:v>
      </x:c>
      <x:c r="L291" s="60" t="n">
        <x:v>345370.86263726436</x:v>
      </x:c>
      <x:c r="M291" s="62" t="n">
        <x:v>4.117510165506271</x:v>
      </x:c>
      <x:c r="N291" s="62" t="n">
        <x:v>1310.7207219725112</x:v>
      </x:c>
      <x:c r="O291" s="60" t="n">
        <x:v>338603.9868328277</x:v>
      </x:c>
      <x:c r="P291" s="60" t="n">
        <x:v>6766.875804436684</x:v>
      </x:c>
      <x:c r="Q291" s="62" t="n">
        <x:v>1.019984631213978</x:v>
      </x:c>
      <x:c r="R291" s="64" t="n">
        <x:v>0.019984631213977883</x:v>
      </x:c>
    </x:row>
    <x:row r="292" ht="18" customHeight="1">
      <x:c r="A292" s="46" t="str">
        <x:v>LME_020</x:v>
      </x:c>
      <x:c r="B292" s="46" t="str">
        <x:v>Barents Sea</x:v>
      </x:c>
      <x:c r="C292" s="46" t="str">
        <x:v>commercial</x:v>
      </x:c>
      <x:c r="D292" s="46" t="str">
        <x:v>Cod-likes</x:v>
      </x:c>
      <x:c r="E292" s="66" t="n">
        <x:v>23</x:v>
      </x:c>
      <x:c r="F292" s="66" t="n">
        <x:v>23</x:v>
      </x:c>
      <x:c r="G292" s="60" t="n">
        <x:v>443163.1875443222</x:v>
      </x:c>
      <x:c r="H292" s="60" t="n">
        <x:v>443163.1875443222</x:v>
      </x:c>
      <x:c r="I292" s="62" t="n">
        <x:v>0</x:v>
      </x:c>
      <x:c r="J292" s="64" t="n">
        <x:v>1</x:v>
      </x:c>
      <x:c r="K292" s="62" t="n">
        <x:v>1256.3048642308372</x:v>
      </x:c>
      <x:c r="L292" s="60" t="n">
        <x:v>556748068.1599748</x:v>
      </x:c>
      <x:c r="M292" s="62" t="n">
        <x:v>4.091543986902294</x:v>
      </x:c>
      <x:c r="N292" s="62" t="n">
        <x:v>1234.6503586533308</x:v>
      </x:c>
      <x:c r="O292" s="60" t="n">
        <x:v>547151588.4435507</x:v>
      </x:c>
      <x:c r="P292" s="60" t="n">
        <x:v>9596479.716424108</x:v>
      </x:c>
      <x:c r="Q292" s="62" t="n">
        <x:v>1.0175389780805035</x:v>
      </x:c>
      <x:c r="R292" s="64" t="n">
        <x:v>0.0175389780805035</x:v>
      </x:c>
    </x:row>
    <x:row r="293" ht="18" customHeight="1">
      <x:c r="A293" s="46" t="str">
        <x:v>LME_020</x:v>
      </x:c>
      <x:c r="B293" s="46" t="str">
        <x:v>Barents Sea</x:v>
      </x:c>
      <x:c r="C293" s="46" t="str">
        <x:v>commercial</x:v>
      </x:c>
      <x:c r="D293" s="46" t="str">
        <x:v>Crustaceans</x:v>
      </x:c>
      <x:c r="E293" s="66" t="n">
        <x:v>16</x:v>
      </x:c>
      <x:c r="F293" s="66" t="n">
        <x:v>16</x:v>
      </x:c>
      <x:c r="G293" s="60" t="n">
        <x:v>33024.9405126183</x:v>
      </x:c>
      <x:c r="H293" s="60" t="n">
        <x:v>33024.9405126183</x:v>
      </x:c>
      <x:c r="I293" s="62" t="n">
        <x:v>0</x:v>
      </x:c>
      <x:c r="J293" s="64" t="n">
        <x:v>1</x:v>
      </x:c>
      <x:c r="K293" s="62" t="n">
        <x:v>309.426837678063</x:v>
      </x:c>
      <x:c r="L293" s="60" t="n">
        <x:v>10218802.90732563</x:v>
      </x:c>
      <x:c r="M293" s="62" t="n">
        <x:v>3.4136305499263613</x:v>
      </x:c>
      <x:c r="N293" s="62" t="n">
        <x:v>259.1973457478768</x:v>
      </x:c>
      <x:c r="O293" s="60" t="n">
        <x:v>8559976.924352188</x:v>
      </x:c>
      <x:c r="P293" s="60" t="n">
        <x:v>1658825.9829734415</x:v>
      </x:c>
      <x:c r="Q293" s="62" t="n">
        <x:v>1.193788604529326</x:v>
      </x:c>
      <x:c r="R293" s="64" t="n">
        <x:v>0.1937886045293259</x:v>
      </x:c>
    </x:row>
    <x:row r="294" ht="18" customHeight="1">
      <x:c r="A294" s="46" t="str">
        <x:v>LME_020</x:v>
      </x:c>
      <x:c r="B294" s="46" t="str">
        <x:v>Barents Sea</x:v>
      </x:c>
      <x:c r="C294" s="46" t="str">
        <x:v>commercial</x:v>
      </x:c>
      <x:c r="D294" s="46" t="str">
        <x:v>Flatfishes</x:v>
      </x:c>
      <x:c r="E294" s="66" t="n">
        <x:v>14</x:v>
      </x:c>
      <x:c r="F294" s="66" t="n">
        <x:v>14</x:v>
      </x:c>
      <x:c r="G294" s="60" t="n">
        <x:v>29061.50834417379</x:v>
      </x:c>
      <x:c r="H294" s="60" t="n">
        <x:v>29061.50834417379</x:v>
      </x:c>
      <x:c r="I294" s="62" t="n">
        <x:v>0</x:v>
      </x:c>
      <x:c r="J294" s="64" t="n">
        <x:v>1</x:v>
      </x:c>
      <x:c r="K294" s="62" t="n">
        <x:v>1304.1828929076</x:v>
      </x:c>
      <x:c r="L294" s="60" t="n">
        <x:v>37901522.02456293</x:v>
      </x:c>
      <x:c r="M294" s="62" t="n">
        <x:v>3.8660578961799983</x:v>
      </x:c>
      <x:c r="N294" s="62" t="n">
        <x:v>734.6117933750932</x:v>
      </x:c>
      <x:c r="O294" s="60" t="n">
        <x:v>21348926.762898743</x:v>
      </x:c>
      <x:c r="P294" s="60" t="n">
        <x:v>16552595.26166419</x:v>
      </x:c>
      <x:c r="Q294" s="62" t="n">
        <x:v>1.775336177106108</x:v>
      </x:c>
      <x:c r="R294" s="64" t="n">
        <x:v>0.775336177106108</x:v>
      </x:c>
    </x:row>
    <x:row r="295" ht="18" customHeight="1">
      <x:c r="A295" s="46" t="str">
        <x:v>LME_020</x:v>
      </x:c>
      <x:c r="B295" s="46" t="str">
        <x:v>Barents Sea</x:v>
      </x:c>
      <x:c r="C295" s="46" t="str">
        <x:v>commercial</x:v>
      </x:c>
      <x:c r="D295" s="46" t="str">
        <x:v>Herring-likes</x:v>
      </x:c>
      <x:c r="E295" s="66" t="n">
        <x:v>4</x:v>
      </x:c>
      <x:c r="F295" s="66" t="n">
        <x:v>4</x:v>
      </x:c>
      <x:c r="G295" s="60" t="n">
        <x:v>30546.684731365993</x:v>
      </x:c>
      <x:c r="H295" s="60" t="n">
        <x:v>30546.684731365993</x:v>
      </x:c>
      <x:c r="I295" s="62" t="n">
        <x:v>0</x:v>
      </x:c>
      <x:c r="J295" s="64" t="n">
        <x:v>1</x:v>
      </x:c>
      <x:c r="K295" s="62" t="n">
        <x:v>239.59301870971882</x:v>
      </x:c>
      <x:c r="L295" s="60" t="n">
        <x:v>7318772.406362055</x:v>
      </x:c>
      <x:c r="M295" s="62" t="n">
        <x:v>3.3793301668776308</x:v>
      </x:c>
      <x:c r="N295" s="62" t="n">
        <x:v>239.51359361840412</x:v>
      </x:c>
      <x:c r="O295" s="60" t="n">
        <x:v>7316346.233137905</x:v>
      </x:c>
      <x:c r="P295" s="60" t="n">
        <x:v>2426.173224150203</x:v>
      </x:c>
      <x:c r="Q295" s="62" t="n">
        <x:v>1.0003316099521318</x:v>
      </x:c>
      <x:c r="R295" s="64" t="n">
        <x:v>0.00033160995213175453</x:v>
      </x:c>
    </x:row>
    <x:row r="296" ht="18" customHeight="1">
      <x:c r="A296" s="46" t="str">
        <x:v>LME_020</x:v>
      </x:c>
      <x:c r="B296" s="46" t="str">
        <x:v>Barents Sea</x:v>
      </x:c>
      <x:c r="C296" s="46" t="str">
        <x:v>commercial</x:v>
      </x:c>
      <x:c r="D296" s="46" t="str">
        <x:v>Molluscs</x:v>
      </x:c>
      <x:c r="E296" s="66" t="n">
        <x:v>18</x:v>
      </x:c>
      <x:c r="F296" s="66" t="n">
        <x:v>18</x:v>
      </x:c>
      <x:c r="G296" s="60" t="n">
        <x:v>72.16306530700001</x:v>
      </x:c>
      <x:c r="H296" s="60" t="n">
        <x:v>72.16306530700001</x:v>
      </x:c>
      <x:c r="I296" s="62" t="n">
        <x:v>0</x:v>
      </x:c>
      <x:c r="J296" s="64" t="n">
        <x:v>1</x:v>
      </x:c>
      <x:c r="K296" s="62" t="n">
        <x:v>49.660883915044394</x:v>
      </x:c>
      <x:c r="L296" s="60" t="n">
        <x:v>3583.681609164695</x:v>
      </x:c>
      <x:c r="M296" s="62" t="n">
        <x:v>2.4696767639661537</x:v>
      </x:c>
      <x:c r="N296" s="62" t="n">
        <x:v>29.49013522378579</x:v>
      </x:c>
      <x:c r="O296" s="60" t="n">
        <x:v>2128.098554066315</x:v>
      </x:c>
      <x:c r="P296" s="60" t="n">
        <x:v>1455.58305509838</x:v>
      </x:c>
      <x:c r="Q296" s="62" t="n">
        <x:v>1.683982916259724</x:v>
      </x:c>
      <x:c r="R296" s="64" t="n">
        <x:v>0.683982916259724</x:v>
      </x:c>
    </x:row>
    <x:row r="297" ht="18" customHeight="1">
      <x:c r="A297" s="46" t="str">
        <x:v>LME_020</x:v>
      </x:c>
      <x:c r="B297" s="46" t="str">
        <x:v>Barents Sea</x:v>
      </x:c>
      <x:c r="C297" s="46" t="str">
        <x:v>commercial</x:v>
      </x:c>
      <x:c r="D297" s="46" t="str">
        <x:v>Other fishes &amp; inverts</x:v>
      </x:c>
      <x:c r="E297" s="66" t="n">
        <x:v>20</x:v>
      </x:c>
      <x:c r="F297" s="66" t="n">
        <x:v>20</x:v>
      </x:c>
      <x:c r="G297" s="60" t="n">
        <x:v>59341.531840947406</x:v>
      </x:c>
      <x:c r="H297" s="60" t="n">
        <x:v>59341.531840947406</x:v>
      </x:c>
      <x:c r="I297" s="62" t="n">
        <x:v>0</x:v>
      </x:c>
      <x:c r="J297" s="64" t="n">
        <x:v>1</x:v>
      </x:c>
      <x:c r="K297" s="62" t="n">
        <x:v>196.42823352196146</x:v>
      </x:c>
      <x:c r="L297" s="60" t="n">
        <x:v>11656352.274004528</x:v>
      </x:c>
      <x:c r="M297" s="62" t="n">
        <x:v>3.277990776918862</x:v>
      </x:c>
      <x:c r="N297" s="62" t="n">
        <x:v>189.66656414296097</x:v>
      </x:c>
      <x:c r="O297" s="60" t="n">
        <x:v>11255104.455252612</x:v>
      </x:c>
      <x:c r="P297" s="60" t="n">
        <x:v>401247.8187519163</x:v>
      </x:c>
      <x:c r="Q297" s="62" t="n">
        <x:v>1.0356502971915698</x:v>
      </x:c>
      <x:c r="R297" s="64" t="n">
        <x:v>0.035650297191569744</x:v>
      </x:c>
    </x:row>
    <x:row r="298" ht="18" customHeight="1">
      <x:c r="A298" s="46" t="str">
        <x:v>LME_020</x:v>
      </x:c>
      <x:c r="B298" s="46" t="str">
        <x:v>Barents Sea</x:v>
      </x:c>
      <x:c r="C298" s="46" t="str">
        <x:v>commercial</x:v>
      </x:c>
      <x:c r="D298" s="46" t="str">
        <x:v>Perch-likes</x:v>
      </x:c>
      <x:c r="E298" s="66" t="n">
        <x:v>15</x:v>
      </x:c>
      <x:c r="F298" s="66" t="n">
        <x:v>15</x:v>
      </x:c>
      <x:c r="G298" s="60" t="n">
        <x:v>63838.71648667149</x:v>
      </x:c>
      <x:c r="H298" s="60" t="n">
        <x:v>63838.71648667149</x:v>
      </x:c>
      <x:c r="I298" s="62" t="n">
        <x:v>0</x:v>
      </x:c>
      <x:c r="J298" s="64" t="n">
        <x:v>1</x:v>
      </x:c>
      <x:c r="K298" s="62" t="n">
        <x:v>430.9388446648315</x:v>
      </x:c>
      <x:c r="L298" s="60" t="n">
        <x:v>27510582.727651943</x:v>
      </x:c>
      <x:c r="M298" s="62" t="n">
        <x:v>3.627961984236241</x:v>
      </x:c>
      <x:c r="N298" s="62" t="n">
        <x:v>424.5823966986915</x:v>
      </x:c>
      <x:c r="O298" s="60" t="n">
        <x:v>27104795.24807925</x:v>
      </x:c>
      <x:c r="P298" s="60" t="n">
        <x:v>405787.479572691</x:v>
      </x:c>
      <x:c r="Q298" s="62" t="n">
        <x:v>1.0149710586580227</x:v>
      </x:c>
      <x:c r="R298" s="64" t="n">
        <x:v>0.01497105865802276</x:v>
      </x:c>
    </x:row>
    <x:row r="299" ht="18" customHeight="1">
      <x:c r="A299" s="46" t="str">
        <x:v>LME_020</x:v>
      </x:c>
      <x:c r="B299" s="46" t="str">
        <x:v>Barents Sea</x:v>
      </x:c>
      <x:c r="C299" s="46" t="str">
        <x:v>commercial</x:v>
      </x:c>
      <x:c r="D299" s="46" t="str">
        <x:v>Salmon, smelts, etc</x:v>
      </x:c>
      <x:c r="E299" s="66" t="n">
        <x:v>9</x:v>
      </x:c>
      <x:c r="F299" s="66" t="n">
        <x:v>9</x:v>
      </x:c>
      <x:c r="G299" s="60" t="n">
        <x:v>461.4460984356</x:v>
      </x:c>
      <x:c r="H299" s="60" t="n">
        <x:v>461.4460984356</x:v>
      </x:c>
      <x:c r="I299" s="62" t="n">
        <x:v>0</x:v>
      </x:c>
      <x:c r="J299" s="64" t="n">
        <x:v>1</x:v>
      </x:c>
      <x:c r="K299" s="62" t="n">
        <x:v>1428.7080257561602</x:v>
      </x:c>
      <x:c r="L299" s="60" t="n">
        <x:v>659271.7442888088</x:v>
      </x:c>
      <x:c r="M299" s="62" t="n">
        <x:v>3.733190314677452</x:v>
      </x:c>
      <x:c r="N299" s="62" t="n">
        <x:v>540.9913419299106</x:v>
      </x:c>
      <x:c r="O299" s="60" t="n">
        <x:v>249638.34402099688</x:v>
      </x:c>
      <x:c r="P299" s="60" t="n">
        <x:v>409633.4002678119</x:v>
      </x:c>
      <x:c r="Q299" s="62" t="n">
        <x:v>2.640907376926671</x:v>
      </x:c>
      <x:c r="R299" s="64" t="n">
        <x:v>1.640907376926671</x:v>
      </x:c>
    </x:row>
    <x:row r="300" ht="18" customHeight="1">
      <x:c r="A300" s="46" t="str">
        <x:v>LME_020</x:v>
      </x:c>
      <x:c r="B300" s="46" t="str">
        <x:v>Barents Sea</x:v>
      </x:c>
      <x:c r="C300" s="46" t="str">
        <x:v>commercial</x:v>
      </x:c>
      <x:c r="D300" s="46" t="str">
        <x:v>Scorpionfishes</x:v>
      </x:c>
      <x:c r="E300" s="66" t="n">
        <x:v>7</x:v>
      </x:c>
      <x:c r="F300" s="66" t="n">
        <x:v>7</x:v>
      </x:c>
      <x:c r="G300" s="60" t="n">
        <x:v>15613.050026949199</x:v>
      </x:c>
      <x:c r="H300" s="60" t="n">
        <x:v>15613.050026949199</x:v>
      </x:c>
      <x:c r="I300" s="62" t="n">
        <x:v>0</x:v>
      </x:c>
      <x:c r="J300" s="64" t="n">
        <x:v>1</x:v>
      </x:c>
      <x:c r="K300" s="62" t="n">
        <x:v>572.5753167438801</x:v>
      </x:c>
      <x:c r="L300" s="60" t="n">
        <x:v>8939647.064518483</x:v>
      </x:c>
      <x:c r="M300" s="62" t="n">
        <x:v>3.73415350673782</x:v>
      </x:c>
      <x:c r="N300" s="62" t="n">
        <x:v>542.1925011587333</x:v>
      </x:c>
      <x:c r="O300" s="60" t="n">
        <x:v>8465278.644828014</x:v>
      </x:c>
      <x:c r="P300" s="60" t="n">
        <x:v>474368.4196904693</x:v>
      </x:c>
      <x:c r="Q300" s="62" t="n">
        <x:v>1.0560369527800826</x:v>
      </x:c>
      <x:c r="R300" s="64" t="n">
        <x:v>0.056036952780082624</x:v>
      </x:c>
    </x:row>
    <x:row r="301" ht="18" customHeight="1">
      <x:c r="A301" s="46" t="str">
        <x:v>LME_020</x:v>
      </x:c>
      <x:c r="B301" s="46" t="str">
        <x:v>Barents Sea</x:v>
      </x:c>
      <x:c r="C301" s="46" t="str">
        <x:v>commercial</x:v>
      </x:c>
      <x:c r="D301" s="46" t="str">
        <x:v>Sharks &amp; rays</x:v>
      </x:c>
      <x:c r="E301" s="66" t="n">
        <x:v>12</x:v>
      </x:c>
      <x:c r="F301" s="66" t="n">
        <x:v>12</x:v>
      </x:c>
      <x:c r="G301" s="60" t="n">
        <x:v>445.7893123734</x:v>
      </x:c>
      <x:c r="H301" s="60" t="n">
        <x:v>445.7893123734</x:v>
      </x:c>
      <x:c r="I301" s="62" t="n">
        <x:v>0</x:v>
      </x:c>
      <x:c r="J301" s="64" t="n">
        <x:v>1</x:v>
      </x:c>
      <x:c r="K301" s="62" t="n">
        <x:v>719.6915986244198</x:v>
      </x:c>
      <x:c r="L301" s="60" t="n">
        <x:v>320830.8228716931</x:v>
      </x:c>
      <x:c r="M301" s="62" t="n">
        <x:v>3.838669195502836</x:v>
      </x:c>
      <x:c r="N301" s="62" t="n">
        <x:v>689.7142445687755</x:v>
      </x:c>
      <x:c r="O301" s="60" t="n">
        <x:v>307467.23882045347</x:v>
      </x:c>
      <x:c r="P301" s="60" t="n">
        <x:v>13363.584051239653</x:v>
      </x:c>
      <x:c r="Q301" s="62" t="n">
        <x:v>1.043463440535996</x:v>
      </x:c>
      <x:c r="R301" s="64" t="n">
        <x:v>0.043463440535995976</x:v>
      </x:c>
    </x:row>
    <x:row r="302" ht="18" customHeight="1">
      <x:c r="A302" s="46" t="str">
        <x:v>LME_021</x:v>
      </x:c>
      <x:c r="B302" s="46" t="str">
        <x:v>Norwegian Sea</x:v>
      </x:c>
      <x:c r="C302" s="46" t="str">
        <x:v>commercial</x:v>
      </x:c>
      <x:c r="D302" s="46" t="str">
        <x:v>Cod-likes</x:v>
      </x:c>
      <x:c r="E302" s="66" t="n">
        <x:v>23</x:v>
      </x:c>
      <x:c r="F302" s="66" t="n">
        <x:v>23</x:v>
      </x:c>
      <x:c r="G302" s="60" t="n">
        <x:v>164540.7157373236</x:v>
      </x:c>
      <x:c r="H302" s="60" t="n">
        <x:v>164540.7157373236</x:v>
      </x:c>
      <x:c r="I302" s="62" t="n">
        <x:v>0</x:v>
      </x:c>
      <x:c r="J302" s="64" t="n">
        <x:v>1</x:v>
      </x:c>
      <x:c r="K302" s="62" t="n">
        <x:v>1273.988193646957</x:v>
      </x:c>
      <x:c r="L302" s="60" t="n">
        <x:v>209622929.2235703</x:v>
      </x:c>
      <x:c r="M302" s="62" t="n">
        <x:v>4.100435357183206</x:v>
      </x:c>
      <x:c r="N302" s="62" t="n">
        <x:v>1260.1880505047434</x:v>
      </x:c>
      <x:c r="O302" s="60" t="n">
        <x:v>207352243.79367298</x:v>
      </x:c>
      <x:c r="P302" s="60" t="n">
        <x:v>2270685.4298973083</x:v>
      </x:c>
      <x:c r="Q302" s="62" t="n">
        <x:v>1.0109508601804993</x:v>
      </x:c>
      <x:c r="R302" s="64" t="n">
        <x:v>0.010950860180499261</x:v>
      </x:c>
    </x:row>
    <x:row r="303" ht="18" customHeight="1">
      <x:c r="A303" s="46" t="str">
        <x:v>LME_021</x:v>
      </x:c>
      <x:c r="B303" s="46" t="str">
        <x:v>Norwegian Sea</x:v>
      </x:c>
      <x:c r="C303" s="46" t="str">
        <x:v>commercial</x:v>
      </x:c>
      <x:c r="D303" s="46" t="str">
        <x:v>Crustaceans</x:v>
      </x:c>
      <x:c r="E303" s="66" t="n">
        <x:v>14</x:v>
      </x:c>
      <x:c r="F303" s="66" t="n">
        <x:v>14</x:v>
      </x:c>
      <x:c r="G303" s="60" t="n">
        <x:v>126.4643718248</x:v>
      </x:c>
      <x:c r="H303" s="60" t="n">
        <x:v>126.4643718248</x:v>
      </x:c>
      <x:c r="I303" s="62" t="n">
        <x:v>0</x:v>
      </x:c>
      <x:c r="J303" s="64" t="n">
        <x:v>1</x:v>
      </x:c>
      <x:c r="K303" s="62" t="n">
        <x:v>127.84048726997091</x:v>
      </x:c>
      <x:c r="L303" s="60" t="n">
        <x:v>16167.266916373212</x:v>
      </x:c>
      <x:c r="M303" s="62" t="n">
        <x:v>2.9260233886717386</x:v>
      </x:c>
      <x:c r="N303" s="62" t="n">
        <x:v>84.33801762804474</x:v>
      </x:c>
      <x:c r="O303" s="60" t="n">
        <x:v>10665.754420279587</x:v>
      </x:c>
      <x:c r="P303" s="60" t="n">
        <x:v>5501.512496093625</x:v>
      </x:c>
      <x:c r="Q303" s="62" t="n">
        <x:v>1.5158109102562114</x:v>
      </x:c>
      <x:c r="R303" s="64" t="n">
        <x:v>0.5158109102562114</x:v>
      </x:c>
    </x:row>
    <x:row r="304" ht="18" customHeight="1">
      <x:c r="A304" s="46" t="str">
        <x:v>LME_021</x:v>
      </x:c>
      <x:c r="B304" s="46" t="str">
        <x:v>Norwegian Sea</x:v>
      </x:c>
      <x:c r="C304" s="46" t="str">
        <x:v>commercial</x:v>
      </x:c>
      <x:c r="D304" s="46" t="str">
        <x:v>Flatfishes</x:v>
      </x:c>
      <x:c r="E304" s="66" t="n">
        <x:v>18</x:v>
      </x:c>
      <x:c r="F304" s="66" t="n">
        <x:v>18</x:v>
      </x:c>
      <x:c r="G304" s="60" t="n">
        <x:v>1379.4863146275</x:v>
      </x:c>
      <x:c r="H304" s="60" t="n">
        <x:v>1379.4863146275</x:v>
      </x:c>
      <x:c r="I304" s="62" t="n">
        <x:v>0</x:v>
      </x:c>
      <x:c r="J304" s="64" t="n">
        <x:v>1</x:v>
      </x:c>
      <x:c r="K304" s="62" t="n">
        <x:v>2113.8350445460624</x:v>
      </x:c>
      <x:c r="L304" s="60" t="n">
        <x:v>2916006.5153313046</x:v>
      </x:c>
      <x:c r="M304" s="62" t="n">
        <x:v>4.282084563409455</x:v>
      </x:c>
      <x:c r="N304" s="62" t="n">
        <x:v>1914.6286945937081</x:v>
      </x:c>
      <x:c r="O304" s="60" t="n">
        <x:v>2641204.0817851354</x:v>
      </x:c>
      <x:c r="P304" s="60" t="n">
        <x:v>274802.4335461692</x:v>
      </x:c>
      <x:c r="Q304" s="62" t="n">
        <x:v>1.1040443771237987</x:v>
      </x:c>
      <x:c r="R304" s="64" t="n">
        <x:v>0.10404437712379874</x:v>
      </x:c>
    </x:row>
    <x:row r="305" ht="18" customHeight="1">
      <x:c r="A305" s="46" t="str">
        <x:v>LME_021</x:v>
      </x:c>
      <x:c r="B305" s="46" t="str">
        <x:v>Norwegian Sea</x:v>
      </x:c>
      <x:c r="C305" s="46" t="str">
        <x:v>commercial</x:v>
      </x:c>
      <x:c r="D305" s="46" t="str">
        <x:v>Herring-likes</x:v>
      </x:c>
      <x:c r="E305" s="66" t="n">
        <x:v>5</x:v>
      </x:c>
      <x:c r="F305" s="66" t="n">
        <x:v>5</x:v>
      </x:c>
      <x:c r="G305" s="60" t="n">
        <x:v>58691.7932763386</x:v>
      </x:c>
      <x:c r="H305" s="60" t="n">
        <x:v>58691.7932763386</x:v>
      </x:c>
      <x:c r="I305" s="62" t="n">
        <x:v>0</x:v>
      </x:c>
      <x:c r="J305" s="64" t="n">
        <x:v>1</x:v>
      </x:c>
      <x:c r="K305" s="62" t="n">
        <x:v>239.91029970817965</x:v>
      </x:c>
      <x:c r="L305" s="60" t="n">
        <x:v>14080765.715336917</x:v>
      </x:c>
      <x:c r="M305" s="62" t="n">
        <x:v>3.3799869916803638</x:v>
      </x:c>
      <x:c r="N305" s="62" t="n">
        <x:v>239.87610684219473</x:v>
      </x:c>
      <x:c r="O305" s="60" t="n">
        <x:v>14078758.874715004</x:v>
      </x:c>
      <x:c r="P305" s="60" t="n">
        <x:v>2006.840621912852</x:v>
      </x:c>
      <x:c r="Q305" s="62" t="n">
        <x:v>1.0001425438591407</x:v>
      </x:c>
      <x:c r="R305" s="64" t="n">
        <x:v>0.00014254385914067133</x:v>
      </x:c>
    </x:row>
    <x:row r="306" ht="18" customHeight="1">
      <x:c r="A306" s="46" t="str">
        <x:v>LME_021</x:v>
      </x:c>
      <x:c r="B306" s="46" t="str">
        <x:v>Norwegian Sea</x:v>
      </x:c>
      <x:c r="C306" s="46" t="str">
        <x:v>commercial</x:v>
      </x:c>
      <x:c r="D306" s="46" t="str">
        <x:v>Molluscs</x:v>
      </x:c>
      <x:c r="E306" s="66" t="n">
        <x:v>19</x:v>
      </x:c>
      <x:c r="F306" s="66" t="n">
        <x:v>19</x:v>
      </x:c>
      <x:c r="G306" s="60" t="n">
        <x:v>27.607873503599997</x:v>
      </x:c>
      <x:c r="H306" s="60" t="n">
        <x:v>27.607873503599997</x:v>
      </x:c>
      <x:c r="I306" s="62" t="n">
        <x:v>0</x:v>
      </x:c>
      <x:c r="J306" s="64" t="n">
        <x:v>1</x:v>
      </x:c>
      <x:c r="K306" s="62" t="n">
        <x:v>35.212594714400026</x:v>
      </x:c>
      <x:c r="L306" s="60" t="n">
        <x:v>972.1448606086898</x:v>
      </x:c>
      <x:c r="M306" s="62" t="n">
        <x:v>2.3236719865730975</x:v>
      </x:c>
      <x:c r="N306" s="62" t="n">
        <x:v>21.07036149015416</x:v>
      </x:c>
      <x:c r="O306" s="60" t="n">
        <x:v>581.7078746953008</x:v>
      </x:c>
      <x:c r="P306" s="60" t="n">
        <x:v>390.436985913389</x:v>
      </x:c>
      <x:c r="Q306" s="62" t="n">
        <x:v>1.671190820852993</x:v>
      </x:c>
      <x:c r="R306" s="64" t="n">
        <x:v>0.6711908208529931</x:v>
      </x:c>
    </x:row>
    <x:row r="307" ht="18" customHeight="1">
      <x:c r="A307" s="46" t="str">
        <x:v>LME_021</x:v>
      </x:c>
      <x:c r="B307" s="46" t="str">
        <x:v>Norwegian Sea</x:v>
      </x:c>
      <x:c r="C307" s="46" t="str">
        <x:v>commercial</x:v>
      </x:c>
      <x:c r="D307" s="46" t="str">
        <x:v>Other fishes &amp; inverts</x:v>
      </x:c>
      <x:c r="E307" s="66" t="n">
        <x:v>25</x:v>
      </x:c>
      <x:c r="F307" s="66" t="n">
        <x:v>25</x:v>
      </x:c>
      <x:c r="G307" s="60" t="n">
        <x:v>404444.840538847</x:v>
      </x:c>
      <x:c r="H307" s="60" t="n">
        <x:v>404444.840538847</x:v>
      </x:c>
      <x:c r="I307" s="62" t="n">
        <x:v>0</x:v>
      </x:c>
      <x:c r="J307" s="64" t="n">
        <x:v>1</x:v>
      </x:c>
      <x:c r="K307" s="62" t="n">
        <x:v>191.72272377795437</x:v>
      </x:c>
      <x:c r="L307" s="60" t="n">
        <x:v>77541266.44604817</x:v>
      </x:c>
      <x:c r="M307" s="62" t="n">
        <x:v>3.2805510006107563</x:v>
      </x:c>
      <x:c r="N307" s="62" t="n">
        <x:v>190.78797593484455</x:v>
      </x:c>
      <x:c r="O307" s="60" t="n">
        <x:v>77163212.50369759</x:v>
      </x:c>
      <x:c r="P307" s="60" t="n">
        <x:v>378053.9423505813</x:v>
      </x:c>
      <x:c r="Q307" s="62" t="n">
        <x:v>1.0048994064669412</x:v>
      </x:c>
      <x:c r="R307" s="64" t="n">
        <x:v>0.004899406466941294</x:v>
      </x:c>
    </x:row>
    <x:row r="308" ht="18" customHeight="1">
      <x:c r="A308" s="46" t="str">
        <x:v>LME_021</x:v>
      </x:c>
      <x:c r="B308" s="46" t="str">
        <x:v>Norwegian Sea</x:v>
      </x:c>
      <x:c r="C308" s="46" t="str">
        <x:v>commercial</x:v>
      </x:c>
      <x:c r="D308" s="46" t="str">
        <x:v>Perch-likes</x:v>
      </x:c>
      <x:c r="E308" s="66" t="n">
        <x:v>30</x:v>
      </x:c>
      <x:c r="F308" s="66" t="n">
        <x:v>30</x:v>
      </x:c>
      <x:c r="G308" s="60" t="n">
        <x:v>73443.7550020732</x:v>
      </x:c>
      <x:c r="H308" s="60" t="n">
        <x:v>73443.7550020732</x:v>
      </x:c>
      <x:c r="I308" s="62" t="n">
        <x:v>0</x:v>
      </x:c>
      <x:c r="J308" s="64" t="n">
        <x:v>1</x:v>
      </x:c>
      <x:c r="K308" s="62" t="n">
        <x:v>430.8893623435091</x:v>
      </x:c>
      <x:c r="L308" s="60" t="n">
        <x:v>31646132.760956228</x:v>
      </x:c>
      <x:c r="M308" s="62" t="n">
        <x:v>3.632572724192609</x:v>
      </x:c>
      <x:c r="N308" s="62" t="n">
        <x:v>429.1140399316223</x:v>
      </x:c>
      <x:c r="O308" s="60" t="n">
        <x:v>31515746.416687924</x:v>
      </x:c>
      <x:c r="P308" s="60" t="n">
        <x:v>130386.34426830336</x:v>
      </x:c>
      <x:c r="Q308" s="62" t="n">
        <x:v>1.0041371809045672</x:v>
      </x:c>
      <x:c r="R308" s="64" t="n">
        <x:v>0.004137180904567198</x:v>
      </x:c>
    </x:row>
    <x:row r="309" ht="18" customHeight="1">
      <x:c r="A309" s="46" t="str">
        <x:v>LME_021</x:v>
      </x:c>
      <x:c r="B309" s="46" t="str">
        <x:v>Norwegian Sea</x:v>
      </x:c>
      <x:c r="C309" s="46" t="str">
        <x:v>commercial</x:v>
      </x:c>
      <x:c r="D309" s="46" t="str">
        <x:v>Salmon, smelts, etc</x:v>
      </x:c>
      <x:c r="E309" s="66" t="n">
        <x:v>5</x:v>
      </x:c>
      <x:c r="F309" s="66" t="n">
        <x:v>5</x:v>
      </x:c>
      <x:c r="G309" s="60" t="n">
        <x:v>15.5344158855</x:v>
      </x:c>
      <x:c r="H309" s="60" t="n">
        <x:v>15.5344158855</x:v>
      </x:c>
      <x:c r="I309" s="62" t="n">
        <x:v>0</x:v>
      </x:c>
      <x:c r="J309" s="64" t="n">
        <x:v>1</x:v>
      </x:c>
      <x:c r="K309" s="62" t="n">
        <x:v>378.4302162585293</x:v>
      </x:c>
      <x:c r="L309" s="60" t="n">
        <x:v>5878.692362999698</x:v>
      </x:c>
      <x:c r="M309" s="62" t="n">
        <x:v>3.544456867117973</x:v>
      </x:c>
      <x:c r="N309" s="62" t="n">
        <x:v>350.313494442507</x:v>
      </x:c>
      <x:c r="O309" s="60" t="n">
        <x:v>5441.915512972697</x:v>
      </x:c>
      <x:c r="P309" s="60" t="n">
        <x:v>436.7768500270013</x:v>
      </x:c>
      <x:c r="Q309" s="62" t="n">
        <x:v>1.080261600715004</x:v>
      </x:c>
      <x:c r="R309" s="64" t="n">
        <x:v>0.08026160071500409</x:v>
      </x:c>
    </x:row>
    <x:row r="310" ht="18" customHeight="1">
      <x:c r="A310" s="46" t="str">
        <x:v>LME_021</x:v>
      </x:c>
      <x:c r="B310" s="46" t="str">
        <x:v>Norwegian Sea</x:v>
      </x:c>
      <x:c r="C310" s="46" t="str">
        <x:v>commercial</x:v>
      </x:c>
      <x:c r="D310" s="46" t="str">
        <x:v>Scorpionfishes</x:v>
      </x:c>
      <x:c r="E310" s="66" t="n">
        <x:v>7</x:v>
      </x:c>
      <x:c r="F310" s="66" t="n">
        <x:v>7</x:v>
      </x:c>
      <x:c r="G310" s="60" t="n">
        <x:v>4414.6149343495</x:v>
      </x:c>
      <x:c r="H310" s="60" t="n">
        <x:v>4414.6149343495</x:v>
      </x:c>
      <x:c r="I310" s="62" t="n">
        <x:v>0</x:v>
      </x:c>
      <x:c r="J310" s="64" t="n">
        <x:v>1</x:v>
      </x:c>
      <x:c r="K310" s="62" t="n">
        <x:v>502.266681044199</x:v>
      </x:c>
      <x:c r="L310" s="60" t="n">
        <x:v>2217313.991163878</x:v>
      </x:c>
      <x:c r="M310" s="62" t="n">
        <x:v>3.6861473229095405</x:v>
      </x:c>
      <x:c r="N310" s="62" t="n">
        <x:v>485.4531493676817</x:v>
      </x:c>
      <x:c r="O310" s="60" t="n">
        <x:v>2143088.7231255663</x:v>
      </x:c>
      <x:c r="P310" s="60" t="n">
        <x:v>74225.26803831151</x:v>
      </x:c>
      <x:c r="Q310" s="62" t="n">
        <x:v>1.0346347154167552</x:v>
      </x:c>
      <x:c r="R310" s="64" t="n">
        <x:v>0.034634715416755314</x:v>
      </x:c>
    </x:row>
    <x:row r="311" ht="18" customHeight="1">
      <x:c r="A311" s="46" t="str">
        <x:v>LME_021</x:v>
      </x:c>
      <x:c r="B311" s="46" t="str">
        <x:v>Norwegian Sea</x:v>
      </x:c>
      <x:c r="C311" s="46" t="str">
        <x:v>commercial</x:v>
      </x:c>
      <x:c r="D311" s="46" t="str">
        <x:v>Sharks &amp; rays</x:v>
      </x:c>
      <x:c r="E311" s="66" t="n">
        <x:v>14</x:v>
      </x:c>
      <x:c r="F311" s="66" t="n">
        <x:v>14</x:v>
      </x:c>
      <x:c r="G311" s="60" t="n">
        <x:v>152.93449145719998</x:v>
      </x:c>
      <x:c r="H311" s="60" t="n">
        <x:v>152.93449145719998</x:v>
      </x:c>
      <x:c r="I311" s="62" t="n">
        <x:v>0</x:v>
      </x:c>
      <x:c r="J311" s="64" t="n">
        <x:v>1</x:v>
      </x:c>
      <x:c r="K311" s="62" t="n">
        <x:v>939.9154180198885</x:v>
      </x:c>
      <x:c r="L311" s="60" t="n">
        <x:v>143745.4864676532</x:v>
      </x:c>
      <x:c r="M311" s="62" t="n">
        <x:v>3.9326636701425337</x:v>
      </x:c>
      <x:c r="N311" s="62" t="n">
        <x:v>856.3743879595758</x:v>
      </x:c>
      <x:c r="O311" s="60" t="n">
        <x:v>130969.1815195686</x:v>
      </x:c>
      <x:c r="P311" s="60" t="n">
        <x:v>12776.30494808458</x:v>
      </x:c>
      <x:c r="Q311" s="62" t="n">
        <x:v>1.0975519950559944</x:v>
      </x:c>
      <x:c r="R311" s="64" t="n">
        <x:v>0.09755199505599432</x:v>
      </x:c>
    </x:row>
    <x:row r="312" ht="18" customHeight="1">
      <x:c r="A312" s="46" t="str">
        <x:v>LME_021</x:v>
      </x:c>
      <x:c r="B312" s="46" t="str">
        <x:v>Norwegian Sea</x:v>
      </x:c>
      <x:c r="C312" s="46" t="str">
        <x:v>commercial</x:v>
      </x:c>
      <x:c r="D312" s="46" t="str">
        <x:v>Tuna &amp; billfishes</x:v>
      </x:c>
      <x:c r="E312" s="66" t="n">
        <x:v>2</x:v>
      </x:c>
      <x:c r="F312" s="66" t="n">
        <x:v>2</x:v>
      </x:c>
      <x:c r="G312" s="60" t="n">
        <x:v>13.7695872668</x:v>
      </x:c>
      <x:c r="H312" s="60" t="n">
        <x:v>13.7695872668</x:v>
      </x:c>
      <x:c r="I312" s="62" t="n">
        <x:v>0</x:v>
      </x:c>
      <x:c r="J312" s="64" t="n">
        <x:v>1</x:v>
      </x:c>
      <x:c r="K312" s="62" t="n">
        <x:v>3158.239853762625</x:v>
      </x:c>
      <x:c r="L312" s="60" t="n">
        <x:v>43487.65927587014</x:v>
      </x:c>
      <x:c r="M312" s="62" t="n">
        <x:v>4.4994129298784795</x:v>
      </x:c>
      <x:c r="N312" s="62" t="n">
        <x:v>3158.005847842074</x:v>
      </x:c>
      <x:c r="O312" s="60" t="n">
        <x:v>43484.43711092616</x:v>
      </x:c>
      <x:c r="P312" s="60" t="n">
        <x:v>3.2221649439743487</x:v>
      </x:c>
      <x:c r="Q312" s="62" t="n">
        <x:v>1.0000740992676473</x:v>
      </x:c>
      <x:c r="R312" s="64" t="n">
        <x:v>0.00007409926764729186</x:v>
      </x:c>
    </x:row>
    <x:row r="313" ht="18" customHeight="1">
      <x:c r="A313" s="46" t="str">
        <x:v>LME_022</x:v>
      </x:c>
      <x:c r="B313" s="46" t="str">
        <x:v>North Sea</x:v>
      </x:c>
      <x:c r="C313" s="46" t="str">
        <x:v>commercial</x:v>
      </x:c>
      <x:c r="D313" s="46" t="str">
        <x:v>Anchovies</x:v>
      </x:c>
      <x:c r="E313" s="66" t="n">
        <x:v>1</x:v>
      </x:c>
      <x:c r="F313" s="66" t="n">
        <x:v>1</x:v>
      </x:c>
      <x:c r="G313" s="60" t="n">
        <x:v>44.1975200296</x:v>
      </x:c>
      <x:c r="H313" s="60" t="n">
        <x:v>44.1975200296</x:v>
      </x:c>
      <x:c r="I313" s="62" t="n">
        <x:v>0</x:v>
      </x:c>
      <x:c r="J313" s="64" t="n">
        <x:v>1</x:v>
      </x:c>
      <x:c r="K313" s="62" t="n">
        <x:v>128.82495516931337</x:v>
      </x:c>
      <x:c r="L313" s="60" t="n">
        <x:v>5693.743536408049</x:v>
      </x:c>
      <x:c r="M313" s="62" t="n">
        <x:v>3.11</x:v>
      </x:c>
      <x:c r="N313" s="62" t="n">
        <x:v>128.82495516931337</x:v>
      </x:c>
      <x:c r="O313" s="60" t="n">
        <x:v>5693.743536408049</x:v>
      </x:c>
      <x:c r="P313" s="60" t="n">
        <x:v>0</x:v>
      </x:c>
      <x:c r="Q313" s="62" t="n">
        <x:v>1</x:v>
      </x:c>
      <x:c r="R313" s="64" t="n">
        <x:v>0</x:v>
      </x:c>
    </x:row>
    <x:row r="314" ht="18" customHeight="1">
      <x:c r="A314" s="46" t="str">
        <x:v>LME_022</x:v>
      </x:c>
      <x:c r="B314" s="46" t="str">
        <x:v>North Sea</x:v>
      </x:c>
      <x:c r="C314" s="46" t="str">
        <x:v>commercial</x:v>
      </x:c>
      <x:c r="D314" s="46" t="str">
        <x:v>Cod-likes</x:v>
      </x:c>
      <x:c r="E314" s="66" t="n">
        <x:v>28</x:v>
      </x:c>
      <x:c r="F314" s="66" t="n">
        <x:v>28</x:v>
      </x:c>
      <x:c r="G314" s="60" t="n">
        <x:v>804817.8387178982</x:v>
      </x:c>
      <x:c r="H314" s="60" t="n">
        <x:v>804817.8387178982</x:v>
      </x:c>
      <x:c r="I314" s="62" t="n">
        <x:v>0</x:v>
      </x:c>
      <x:c r="J314" s="64" t="n">
        <x:v>1</x:v>
      </x:c>
      <x:c r="K314" s="62" t="n">
        <x:v>1430.1748112487994</x:v>
      </x:c>
      <x:c r="L314" s="60" t="n">
        <x:v>1151030200.5780368</x:v>
      </x:c>
      <x:c r="M314" s="62" t="n">
        <x:v>4.089373948458418</x:v>
      </x:c>
      <x:c r="N314" s="62" t="n">
        <x:v>1228.4965705773488</x:v>
      </x:c>
      <x:c r="O314" s="60" t="n">
        <x:v>988715954.8044119</x:v>
      </x:c>
      <x:c r="P314" s="60" t="n">
        <x:v>162314245.7736249</x:v>
      </x:c>
      <x:c r="Q314" s="62" t="n">
        <x:v>1.1641667103528575</x:v>
      </x:c>
      <x:c r="R314" s="64" t="n">
        <x:v>0.16416671035285757</x:v>
      </x:c>
    </x:row>
    <x:row r="315" ht="18" customHeight="1">
      <x:c r="A315" s="46" t="str">
        <x:v>LME_022</x:v>
      </x:c>
      <x:c r="B315" s="46" t="str">
        <x:v>North Sea</x:v>
      </x:c>
      <x:c r="C315" s="46" t="str">
        <x:v>commercial</x:v>
      </x:c>
      <x:c r="D315" s="46" t="str">
        <x:v>Crustaceans</x:v>
      </x:c>
      <x:c r="E315" s="66" t="n">
        <x:v>26</x:v>
      </x:c>
      <x:c r="F315" s="66" t="n">
        <x:v>26</x:v>
      </x:c>
      <x:c r="G315" s="60" t="n">
        <x:v>106858.8179571575</x:v>
      </x:c>
      <x:c r="H315" s="60" t="n">
        <x:v>106858.8179571575</x:v>
      </x:c>
      <x:c r="I315" s="62" t="n">
        <x:v>0</x:v>
      </x:c>
      <x:c r="J315" s="64" t="n">
        <x:v>1</x:v>
      </x:c>
      <x:c r="K315" s="62" t="n">
        <x:v>130.3134110440353</x:v>
      </x:c>
      <x:c r="L315" s="60" t="n">
        <x:v>13925137.068130804</x:v>
      </x:c>
      <x:c r="M315" s="62" t="n">
        <x:v>3.075891256664645</x:v>
      </x:c>
      <x:c r="N315" s="62" t="n">
        <x:v>119.09437693479674</x:v>
      </x:c>
      <x:c r="O315" s="60" t="n">
        <x:v>12726284.344596542</x:v>
      </x:c>
      <x:c r="P315" s="60" t="n">
        <x:v>1198852.7235342618</x:v>
      </x:c>
      <x:c r="Q315" s="62" t="n">
        <x:v>1.094202886802799</x:v>
      </x:c>
      <x:c r="R315" s="64" t="n">
        <x:v>0.09420288680279905</x:v>
      </x:c>
    </x:row>
    <x:row r="316" ht="18" customHeight="1">
      <x:c r="A316" s="46" t="str">
        <x:v>LME_022</x:v>
      </x:c>
      <x:c r="B316" s="46" t="str">
        <x:v>North Sea</x:v>
      </x:c>
      <x:c r="C316" s="46" t="str">
        <x:v>commercial</x:v>
      </x:c>
      <x:c r="D316" s="46" t="str">
        <x:v>Flatfishes</x:v>
      </x:c>
      <x:c r="E316" s="66" t="n">
        <x:v>22</x:v>
      </x:c>
      <x:c r="F316" s="66" t="n">
        <x:v>22</x:v>
      </x:c>
      <x:c r="G316" s="60" t="n">
        <x:v>165666.69996181587</x:v>
      </x:c>
      <x:c r="H316" s="60" t="n">
        <x:v>165666.69996181587</x:v>
      </x:c>
      <x:c r="I316" s="62" t="n">
        <x:v>0</x:v>
      </x:c>
      <x:c r="J316" s="64" t="n">
        <x:v>1</x:v>
      </x:c>
      <x:c r="K316" s="62" t="n">
        <x:v>428.3468889487486</x:v>
      </x:c>
      <x:c r="L316" s="60" t="n">
        <x:v>70962815.5310496</x:v>
      </x:c>
      <x:c r="M316" s="62" t="n">
        <x:v>3.3920230206599467</x:v>
      </x:c>
      <x:c r="N316" s="62" t="n">
        <x:v>246.6170058116115</x:v>
      </x:c>
      <x:c r="O316" s="60" t="n">
        <x:v>40856225.507273644</x:v>
      </x:c>
      <x:c r="P316" s="60" t="n">
        <x:v>30106590.02377595</x:v>
      </x:c>
      <x:c r="Q316" s="62" t="n">
        <x:v>1.736891126137339</x:v>
      </x:c>
      <x:c r="R316" s="64" t="n">
        <x:v>0.736891126137339</x:v>
      </x:c>
    </x:row>
    <x:row r="317" ht="18" customHeight="1">
      <x:c r="A317" s="46" t="str">
        <x:v>LME_022</x:v>
      </x:c>
      <x:c r="B317" s="46" t="str">
        <x:v>North Sea</x:v>
      </x:c>
      <x:c r="C317" s="46" t="str">
        <x:v>commercial</x:v>
      </x:c>
      <x:c r="D317" s="46" t="str">
        <x:v>Herring-likes</x:v>
      </x:c>
      <x:c r="E317" s="66" t="n">
        <x:v>7</x:v>
      </x:c>
      <x:c r="F317" s="66" t="n">
        <x:v>7</x:v>
      </x:c>
      <x:c r="G317" s="60" t="n">
        <x:v>914865.848949436</x:v>
      </x:c>
      <x:c r="H317" s="60" t="n">
        <x:v>914865.848949436</x:v>
      </x:c>
      <x:c r="I317" s="62" t="n">
        <x:v>0</x:v>
      </x:c>
      <x:c r="J317" s="64" t="n">
        <x:v>1</x:v>
      </x:c>
      <x:c r="K317" s="62" t="n">
        <x:v>218.8134780075475</x:v>
      </x:c>
      <x:c r="L317" s="60" t="n">
        <x:v>200184978.3189537</x:v>
      </x:c>
      <x:c r="M317" s="62" t="n">
        <x:v>3.323350792572964</x:v>
      </x:c>
      <x:c r="N317" s="62" t="n">
        <x:v>210.5478410664193</x:v>
      </x:c>
      <x:c r="O317" s="60" t="n">
        <x:v>192623029.3617006</x:v>
      </x:c>
      <x:c r="P317" s="60" t="n">
        <x:v>7561948.9572530985</x:v>
      </x:c>
      <x:c r="Q317" s="62" t="n">
        <x:v>1.0392577615579575</x:v>
      </x:c>
      <x:c r="R317" s="64" t="n">
        <x:v>0.03925776155795755</x:v>
      </x:c>
    </x:row>
    <x:row r="318" ht="18" customHeight="1">
      <x:c r="A318" s="46" t="str">
        <x:v>LME_022</x:v>
      </x:c>
      <x:c r="B318" s="46" t="str">
        <x:v>North Sea</x:v>
      </x:c>
      <x:c r="C318" s="46" t="str">
        <x:v>commercial</x:v>
      </x:c>
      <x:c r="D318" s="46" t="str">
        <x:v>Molluscs</x:v>
      </x:c>
      <x:c r="E318" s="66" t="n">
        <x:v>38</x:v>
      </x:c>
      <x:c r="F318" s="66" t="n">
        <x:v>38</x:v>
      </x:c>
      <x:c r="G318" s="60" t="n">
        <x:v>72701.2747054144</x:v>
      </x:c>
      <x:c r="H318" s="60" t="n">
        <x:v>72701.2747054144</x:v>
      </x:c>
      <x:c r="I318" s="62" t="n">
        <x:v>0</x:v>
      </x:c>
      <x:c r="J318" s="64" t="n">
        <x:v>1</x:v>
      </x:c>
      <x:c r="K318" s="62" t="n">
        <x:v>65.72816856362255</x:v>
      </x:c>
      <x:c r="L318" s="60" t="n">
        <x:v>4778521.638627705</x:v>
      </x:c>
      <x:c r="M318" s="62" t="n">
        <x:v>2.179530293743841</x:v>
      </x:c>
      <x:c r="N318" s="62" t="n">
        <x:v>15.119251583937324</x:v>
      </x:c>
      <x:c r="O318" s="60" t="n">
        <x:v>1099188.8627440992</x:v>
      </x:c>
      <x:c r="P318" s="60" t="n">
        <x:v>3679332.7758836057</x:v>
      </x:c>
      <x:c r="Q318" s="62" t="n">
        <x:v>4.347316280751096</x:v>
      </x:c>
      <x:c r="R318" s="64" t="n">
        <x:v>3.3473162807510963</x:v>
      </x:c>
    </x:row>
    <x:row r="319" ht="18" customHeight="1">
      <x:c r="A319" s="46" t="str">
        <x:v>LME_022</x:v>
      </x:c>
      <x:c r="B319" s="46" t="str">
        <x:v>North Sea</x:v>
      </x:c>
      <x:c r="C319" s="46" t="str">
        <x:v>commercial</x:v>
      </x:c>
      <x:c r="D319" s="46" t="str">
        <x:v>Other fishes &amp; inverts</x:v>
      </x:c>
      <x:c r="E319" s="66" t="n">
        <x:v>52</x:v>
      </x:c>
      <x:c r="F319" s="66" t="n">
        <x:v>52</x:v>
      </x:c>
      <x:c r="G319" s="60" t="n">
        <x:v>340332.64567051164</x:v>
      </x:c>
      <x:c r="H319" s="60" t="n">
        <x:v>340332.64567051164</x:v>
      </x:c>
      <x:c r="I319" s="62" t="n">
        <x:v>0</x:v>
      </x:c>
      <x:c r="J319" s="64" t="n">
        <x:v>1</x:v>
      </x:c>
      <x:c r="K319" s="62" t="n">
        <x:v>306.84746265762135</x:v>
      </x:c>
      <x:c r="L319" s="60" t="n">
        <x:v>104430208.7835518</x:v>
      </x:c>
      <x:c r="M319" s="62" t="n">
        <x:v>3.332997353098918</x:v>
      </x:c>
      <x:c r="N319" s="62" t="n">
        <x:v>215.2768614173281</x:v>
      </x:c>
      <x:c r="O319" s="60" t="n">
        <x:v>73265743.79780336</x:v>
      </x:c>
      <x:c r="P319" s="60" t="n">
        <x:v>31164464.98574844</x:v>
      </x:c>
      <x:c r="Q319" s="62" t="n">
        <x:v>1.4253620228268646</x:v>
      </x:c>
      <x:c r="R319" s="64" t="n">
        <x:v>0.4253620228268645</x:v>
      </x:c>
    </x:row>
    <x:row r="320" ht="18" customHeight="1">
      <x:c r="A320" s="46" t="str">
        <x:v>LME_022</x:v>
      </x:c>
      <x:c r="B320" s="46" t="str">
        <x:v>North Sea</x:v>
      </x:c>
      <x:c r="C320" s="46" t="str">
        <x:v>commercial</x:v>
      </x:c>
      <x:c r="D320" s="46" t="str">
        <x:v>Perch-likes</x:v>
      </x:c>
      <x:c r="E320" s="66" t="n">
        <x:v>62</x:v>
      </x:c>
      <x:c r="F320" s="66" t="n">
        <x:v>62</x:v>
      </x:c>
      <x:c r="G320" s="60" t="n">
        <x:v>276364.4962383876</x:v>
      </x:c>
      <x:c r="H320" s="60" t="n">
        <x:v>276364.4962383876</x:v>
      </x:c>
      <x:c r="I320" s="62" t="n">
        <x:v>0</x:v>
      </x:c>
      <x:c r="J320" s="64" t="n">
        <x:v>1</x:v>
      </x:c>
      <x:c r="K320" s="62" t="n">
        <x:v>434.31999241830925</x:v>
      </x:c>
      <x:c r="L320" s="60" t="n">
        <x:v>120030625.91094635</x:v>
      </x:c>
      <x:c r="M320" s="62" t="n">
        <x:v>3.6316991633069238</x:v>
      </x:c>
      <x:c r="N320" s="62" t="n">
        <x:v>428.251766736684</x:v>
      </x:c>
      <x:c r="O320" s="60" t="n">
        <x:v>118353583.77738315</x:v>
      </x:c>
      <x:c r="P320" s="60" t="n">
        <x:v>1677042.1335632056</x:v>
      </x:c>
      <x:c r="Q320" s="62" t="n">
        <x:v>1.0141697621655263</x:v>
      </x:c>
      <x:c r="R320" s="64" t="n">
        <x:v>0.014169762165526255</x:v>
      </x:c>
    </x:row>
    <x:row r="321" ht="18" customHeight="1">
      <x:c r="A321" s="46" t="str">
        <x:v>LME_022</x:v>
      </x:c>
      <x:c r="B321" s="46" t="str">
        <x:v>North Sea</x:v>
      </x:c>
      <x:c r="C321" s="46" t="str">
        <x:v>commercial</x:v>
      </x:c>
      <x:c r="D321" s="46" t="str">
        <x:v>Salmon, smelts, etc</x:v>
      </x:c>
      <x:c r="E321" s="66" t="n">
        <x:v>11</x:v>
      </x:c>
      <x:c r="F321" s="66" t="n">
        <x:v>11</x:v>
      </x:c>
      <x:c r="G321" s="60" t="n">
        <x:v>1813.3627320183</x:v>
      </x:c>
      <x:c r="H321" s="60" t="n">
        <x:v>1813.3627320183</x:v>
      </x:c>
      <x:c r="I321" s="62" t="n">
        <x:v>0</x:v>
      </x:c>
      <x:c r="J321" s="64" t="n">
        <x:v>1</x:v>
      </x:c>
      <x:c r="K321" s="62" t="n">
        <x:v>268.2783693813472</x:v>
      </x:c>
      <x:c r="L321" s="60" t="n">
        <x:v>486485.99684277445</x:v>
      </x:c>
      <x:c r="M321" s="62" t="n">
        <x:v>3.397283884721646</x:v>
      </x:c>
      <x:c r="N321" s="62" t="n">
        <x:v>249.62258985703278</x:v>
      </x:c>
      <x:c r="O321" s="60" t="n">
        <x:v>452656.30151663255</x:v>
      </x:c>
      <x:c r="P321" s="60" t="n">
        <x:v>33829.6953261419</x:v>
      </x:c>
      <x:c r="Q321" s="62" t="n">
        <x:v>1.074735942508245</x:v>
      </x:c>
      <x:c r="R321" s="64" t="n">
        <x:v>0.07473594250824507</x:v>
      </x:c>
    </x:row>
    <x:row r="322" ht="18" customHeight="1">
      <x:c r="A322" s="46" t="str">
        <x:v>LME_022</x:v>
      </x:c>
      <x:c r="B322" s="46" t="str">
        <x:v>North Sea</x:v>
      </x:c>
      <x:c r="C322" s="46" t="str">
        <x:v>commercial</x:v>
      </x:c>
      <x:c r="D322" s="46" t="str">
        <x:v>Scorpionfishes</x:v>
      </x:c>
      <x:c r="E322" s="66" t="n">
        <x:v>17</x:v>
      </x:c>
      <x:c r="F322" s="66" t="n">
        <x:v>17</x:v>
      </x:c>
      <x:c r="G322" s="60" t="n">
        <x:v>27373.5584482724</x:v>
      </x:c>
      <x:c r="H322" s="60" t="n">
        <x:v>27373.5584482724</x:v>
      </x:c>
      <x:c r="I322" s="62" t="n">
        <x:v>0</x:v>
      </x:c>
      <x:c r="J322" s="64" t="n">
        <x:v>1</x:v>
      </x:c>
      <x:c r="K322" s="62" t="n">
        <x:v>994.8005528062819</x:v>
      </x:c>
      <x:c r="L322" s="60" t="n">
        <x:v>27231231.07661645</x:v>
      </x:c>
      <x:c r="M322" s="62" t="n">
        <x:v>3.9892037391582207</x:v>
      </x:c>
      <x:c r="N322" s="62" t="n">
        <x:v>975.4471387406198</x:v>
      </x:c>
      <x:c r="O322" s="60" t="n">
        <x:v>26701459.265516434</x:v>
      </x:c>
      <x:c r="P322" s="60" t="n">
        <x:v>529771.8111000173</x:v>
      </x:c>
      <x:c r="Q322" s="62" t="n">
        <x:v>1.0198405564966329</x:v>
      </x:c>
      <x:c r="R322" s="64" t="n">
        <x:v>0.01984055649663277</x:v>
      </x:c>
    </x:row>
    <x:row r="323" ht="18" customHeight="1">
      <x:c r="A323" s="46" t="str">
        <x:v>LME_022</x:v>
      </x:c>
      <x:c r="B323" s="46" t="str">
        <x:v>North Sea</x:v>
      </x:c>
      <x:c r="C323" s="46" t="str">
        <x:v>commercial</x:v>
      </x:c>
      <x:c r="D323" s="46" t="str">
        <x:v>Sharks &amp; rays</x:v>
      </x:c>
      <x:c r="E323" s="66" t="n">
        <x:v>43</x:v>
      </x:c>
      <x:c r="F323" s="66" t="n">
        <x:v>43</x:v>
      </x:c>
      <x:c r="G323" s="60" t="n">
        <x:v>6345.645695917801</x:v>
      </x:c>
      <x:c r="H323" s="60" t="n">
        <x:v>6345.645695917801</x:v>
      </x:c>
      <x:c r="I323" s="62" t="n">
        <x:v>0</x:v>
      </x:c>
      <x:c r="J323" s="64" t="n">
        <x:v>1</x:v>
      </x:c>
      <x:c r="K323" s="62" t="n">
        <x:v>1088.053050225829</x:v>
      </x:c>
      <x:c r="L323" s="60" t="n">
        <x:v>6904399.155095768</x:v>
      </x:c>
      <x:c r="M323" s="62" t="n">
        <x:v>3.9939808937173495</x:v>
      </x:c>
      <x:c r="N323" s="62" t="n">
        <x:v>986.2360963621703</x:v>
      </x:c>
      <x:c r="O323" s="60" t="n">
        <x:v>6258304.84003938</x:v>
      </x:c>
      <x:c r="P323" s="60" t="n">
        <x:v>646094.3150563883</x:v>
      </x:c>
      <x:c r="Q323" s="62" t="n">
        <x:v>1.1032379105157688</x:v>
      </x:c>
      <x:c r="R323" s="64" t="n">
        <x:v>0.1032379105157688</x:v>
      </x:c>
    </x:row>
    <x:row r="324" ht="18" customHeight="1">
      <x:c r="A324" s="46" t="str">
        <x:v>LME_022</x:v>
      </x:c>
      <x:c r="B324" s="46" t="str">
        <x:v>North Sea</x:v>
      </x:c>
      <x:c r="C324" s="46" t="str">
        <x:v>commercial</x:v>
      </x:c>
      <x:c r="D324" s="46" t="str">
        <x:v>Tuna &amp; billfishes</x:v>
      </x:c>
      <x:c r="E324" s="66" t="n">
        <x:v>5</x:v>
      </x:c>
      <x:c r="F324" s="66" t="n">
        <x:v>5</x:v>
      </x:c>
      <x:c r="G324" s="60" t="n">
        <x:v>76.3116083112</x:v>
      </x:c>
      <x:c r="H324" s="60" t="n">
        <x:v>76.3116083112</x:v>
      </x:c>
      <x:c r="I324" s="62" t="n">
        <x:v>0</x:v>
      </x:c>
      <x:c r="J324" s="64" t="n">
        <x:v>1</x:v>
      </x:c>
      <x:c r="K324" s="62" t="n">
        <x:v>2810.708175483831</x:v>
      </x:c>
      <x:c r="L324" s="60" t="n">
        <x:v>214489.66136460972</x:v>
      </x:c>
      <x:c r="M324" s="62" t="n">
        <x:v>4.446852922707688</x:v>
      </x:c>
      <x:c r="N324" s="62" t="n">
        <x:v>2798.0335827607555</x:v>
      </x:c>
      <x:c r="O324" s="60" t="n">
        <x:v>213522.44280922238</x:v>
      </x:c>
      <x:c r="P324" s="60" t="n">
        <x:v>967.2185553873423</x:v>
      </x:c>
      <x:c r="Q324" s="62" t="n">
        <x:v>1.004529821515069</x:v>
      </x:c>
      <x:c r="R324" s="64" t="n">
        <x:v>0.004529821515069172</x:v>
      </x:c>
    </x:row>
    <x:row r="325" ht="18" customHeight="1">
      <x:c r="A325" s="46" t="str">
        <x:v>LME_023</x:v>
      </x:c>
      <x:c r="B325" s="46" t="str">
        <x:v>Baltic Sea</x:v>
      </x:c>
      <x:c r="C325" s="46" t="str">
        <x:v>commercial</x:v>
      </x:c>
      <x:c r="D325" s="46" t="str">
        <x:v>Anchovies</x:v>
      </x:c>
      <x:c r="E325" s="66" t="n">
        <x:v>1</x:v>
      </x:c>
      <x:c r="F325" s="66" t="n">
        <x:v>1</x:v>
      </x:c>
      <x:c r="G325" s="60" t="n">
        <x:v>0.2711890629</x:v>
      </x:c>
      <x:c r="H325" s="60" t="n">
        <x:v>0.2711890629</x:v>
      </x:c>
      <x:c r="I325" s="62" t="n">
        <x:v>0</x:v>
      </x:c>
      <x:c r="J325" s="64" t="n">
        <x:v>1</x:v>
      </x:c>
      <x:c r="K325" s="62" t="n">
        <x:v>128.82495516931337</x:v>
      </x:c>
      <x:c r="L325" s="60" t="n">
        <x:v>34.9359188705006</x:v>
      </x:c>
      <x:c r="M325" s="62" t="n">
        <x:v>3.11</x:v>
      </x:c>
      <x:c r="N325" s="62" t="n">
        <x:v>128.82495516931337</x:v>
      </x:c>
      <x:c r="O325" s="60" t="n">
        <x:v>34.9359188705006</x:v>
      </x:c>
      <x:c r="P325" s="60" t="n">
        <x:v>0</x:v>
      </x:c>
      <x:c r="Q325" s="62" t="n">
        <x:v>1</x:v>
      </x:c>
      <x:c r="R325" s="64" t="n">
        <x:v>0</x:v>
      </x:c>
    </x:row>
    <x:row r="326" ht="18" customHeight="1">
      <x:c r="A326" s="46" t="str">
        <x:v>LME_023</x:v>
      </x:c>
      <x:c r="B326" s="46" t="str">
        <x:v>Baltic Sea</x:v>
      </x:c>
      <x:c r="C326" s="46" t="str">
        <x:v>commercial</x:v>
      </x:c>
      <x:c r="D326" s="46" t="str">
        <x:v>Cod-likes</x:v>
      </x:c>
      <x:c r="E326" s="66" t="n">
        <x:v>8</x:v>
      </x:c>
      <x:c r="F326" s="66" t="n">
        <x:v>8</x:v>
      </x:c>
      <x:c r="G326" s="60" t="n">
        <x:v>51786.729808338205</x:v>
      </x:c>
      <x:c r="H326" s="60" t="n">
        <x:v>51786.729808338205</x:v>
      </x:c>
      <x:c r="I326" s="62" t="n">
        <x:v>0</x:v>
      </x:c>
      <x:c r="J326" s="64" t="n">
        <x:v>1</x:v>
      </x:c>
      <x:c r="K326" s="62" t="n">
        <x:v>1310.631160852074</x:v>
      </x:c>
      <x:c r="L326" s="60" t="n">
        <x:v>67873301.805435</x:v>
      </x:c>
      <x:c r="M326" s="62" t="n">
        <x:v>4.110213581737287</x:v>
      </x:c>
      <x:c r="N326" s="62" t="n">
        <x:v>1288.8832559124012</x:v>
      </x:c>
      <x:c r="O326" s="60" t="n">
        <x:v>66747048.92842674</x:v>
      </x:c>
      <x:c r="P326" s="60" t="n">
        <x:v>1126252.8770082593</x:v>
      </x:c>
      <x:c r="Q326" s="62" t="n">
        <x:v>1.0168734482660942</x:v>
      </x:c>
      <x:c r="R326" s="64" t="n">
        <x:v>0.016873448266094087</x:v>
      </x:c>
    </x:row>
    <x:row r="327" ht="18" customHeight="1">
      <x:c r="A327" s="46" t="str">
        <x:v>LME_023</x:v>
      </x:c>
      <x:c r="B327" s="46" t="str">
        <x:v>Baltic Sea</x:v>
      </x:c>
      <x:c r="C327" s="46" t="str">
        <x:v>commercial</x:v>
      </x:c>
      <x:c r="D327" s="46" t="str">
        <x:v>Crustaceans</x:v>
      </x:c>
      <x:c r="E327" s="66" t="n">
        <x:v>8</x:v>
      </x:c>
      <x:c r="F327" s="66" t="n">
        <x:v>8</x:v>
      </x:c>
      <x:c r="G327" s="60" t="n">
        <x:v>119.46880440439999</x:v>
      </x:c>
      <x:c r="H327" s="60" t="n">
        <x:v>119.46880440439999</x:v>
      </x:c>
      <x:c r="I327" s="62" t="n">
        <x:v>0</x:v>
      </x:c>
      <x:c r="J327" s="64" t="n">
        <x:v>1</x:v>
      </x:c>
      <x:c r="K327" s="62" t="n">
        <x:v>115.84726104147016</x:v>
      </x:c>
      <x:c r="L327" s="60" t="n">
        <x:v>13840.133770148866</x:v>
      </x:c>
      <x:c r="M327" s="62" t="n">
        <x:v>2.9953077190229394</x:v>
      </x:c>
      <x:c r="N327" s="62" t="n">
        <x:v>98.92537814021793</x:v>
      </x:c>
      <x:c r="O327" s="60" t="n">
        <x:v>11818.496651665002</x:v>
      </x:c>
      <x:c r="P327" s="60" t="n">
        <x:v>2021.6371184838645</x:v>
      </x:c>
      <x:c r="Q327" s="62" t="n">
        <x:v>1.171057045415252</x:v>
      </x:c>
      <x:c r="R327" s="64" t="n">
        <x:v>0.17105704541525205</x:v>
      </x:c>
    </x:row>
    <x:row r="328" ht="18" customHeight="1">
      <x:c r="A328" s="46" t="str">
        <x:v>LME_023</x:v>
      </x:c>
      <x:c r="B328" s="46" t="str">
        <x:v>Baltic Sea</x:v>
      </x:c>
      <x:c r="C328" s="46" t="str">
        <x:v>commercial</x:v>
      </x:c>
      <x:c r="D328" s="46" t="str">
        <x:v>Flatfishes</x:v>
      </x:c>
      <x:c r="E328" s="66" t="n">
        <x:v>14</x:v>
      </x:c>
      <x:c r="F328" s="66" t="n">
        <x:v>14</x:v>
      </x:c>
      <x:c r="G328" s="60" t="n">
        <x:v>41778.69500006709</x:v>
      </x:c>
      <x:c r="H328" s="60" t="n">
        <x:v>41778.69500006709</x:v>
      </x:c>
      <x:c r="I328" s="62" t="n">
        <x:v>0</x:v>
      </x:c>
      <x:c r="J328" s="64" t="n">
        <x:v>1</x:v>
      </x:c>
      <x:c r="K328" s="62" t="n">
        <x:v>320.2312519567909</x:v>
      </x:c>
      <x:c r="L328" s="60" t="n">
        <x:v>13378843.804992406</x:v>
      </x:c>
      <x:c r="M328" s="62" t="n">
        <x:v>3.4128748891533567</x:v>
      </x:c>
      <x:c r="N328" s="62" t="n">
        <x:v>258.7467414380589</x:v>
      </x:c>
      <x:c r="O328" s="60" t="n">
        <x:v>10810101.192801883</x:v>
      </x:c>
      <x:c r="P328" s="60" t="n">
        <x:v>2568742.6121905223</x:v>
      </x:c>
      <x:c r="Q328" s="62" t="n">
        <x:v>1.237624289206559</x:v>
      </x:c>
      <x:c r="R328" s="64" t="n">
        <x:v>0.23762428920655893</x:v>
      </x:c>
    </x:row>
    <x:row r="329" ht="18" customHeight="1">
      <x:c r="A329" s="46" t="str">
        <x:v>LME_023</x:v>
      </x:c>
      <x:c r="B329" s="46" t="str">
        <x:v>Baltic Sea</x:v>
      </x:c>
      <x:c r="C329" s="46" t="str">
        <x:v>commercial</x:v>
      </x:c>
      <x:c r="D329" s="46" t="str">
        <x:v>Herring-likes</x:v>
      </x:c>
      <x:c r="E329" s="66" t="n">
        <x:v>4</x:v>
      </x:c>
      <x:c r="F329" s="66" t="n">
        <x:v>4</x:v>
      </x:c>
      <x:c r="G329" s="60" t="n">
        <x:v>788688.897235735</x:v>
      </x:c>
      <x:c r="H329" s="60" t="n">
        <x:v>788688.897235735</x:v>
      </x:c>
      <x:c r="I329" s="62" t="n">
        <x:v>0</x:v>
      </x:c>
      <x:c r="J329" s="64" t="n">
        <x:v>1</x:v>
      </x:c>
      <x:c r="K329" s="62" t="n">
        <x:v>177.94298323600106</x:v>
      </x:c>
      <x:c r="L329" s="60" t="n">
        <x:v>140341655.21923855</x:v>
      </x:c>
      <x:c r="M329" s="62" t="n">
        <x:v>3.2132642659304724</x:v>
      </x:c>
      <x:c r="N329" s="62" t="n">
        <x:v>163.404595389291</x:v>
      </x:c>
      <x:c r="O329" s="60" t="n">
        <x:v>128875390.14083137</x:v>
      </x:c>
      <x:c r="P329" s="60" t="n">
        <x:v>11466265.078407183</x:v>
      </x:c>
      <x:c r="Q329" s="62" t="n">
        <x:v>1.0889717196268207</x:v>
      </x:c>
      <x:c r="R329" s="64" t="n">
        <x:v>0.08897171962682071</x:v>
      </x:c>
    </x:row>
    <x:row r="330" ht="18" customHeight="1">
      <x:c r="A330" s="46" t="str">
        <x:v>LME_023</x:v>
      </x:c>
      <x:c r="B330" s="46" t="str">
        <x:v>Baltic Sea</x:v>
      </x:c>
      <x:c r="C330" s="46" t="str">
        <x:v>commercial</x:v>
      </x:c>
      <x:c r="D330" s="46" t="str">
        <x:v>Molluscs</x:v>
      </x:c>
      <x:c r="E330" s="66" t="n">
        <x:v>7</x:v>
      </x:c>
      <x:c r="F330" s="66" t="n">
        <x:v>7</x:v>
      </x:c>
      <x:c r="G330" s="60" t="n">
        <x:v>14519.8011704346</x:v>
      </x:c>
      <x:c r="H330" s="60" t="n">
        <x:v>14519.8011704346</x:v>
      </x:c>
      <x:c r="I330" s="62" t="n">
        <x:v>0</x:v>
      </x:c>
      <x:c r="J330" s="64" t="n">
        <x:v>1</x:v>
      </x:c>
      <x:c r="K330" s="62" t="n">
        <x:v>11.242626484504484</x:v>
      </x:c>
      <x:c r="L330" s="60" t="n">
        <x:v>163240.70118846724</x:v>
      </x:c>
      <x:c r="M330" s="62" t="n">
        <x:v>2.0039376769355037</x:v>
      </x:c>
      <x:c r="N330" s="62" t="n">
        <x:v>10.091080644812877</x:v>
      </x:c>
      <x:c r="O330" s="60" t="n">
        <x:v>146520.48455750395</x:v>
      </x:c>
      <x:c r="P330" s="60" t="n">
        <x:v>16720.21663096329</x:v>
      </x:c>
      <x:c r="Q330" s="62" t="n">
        <x:v>1.114115215230545</x:v>
      </x:c>
      <x:c r="R330" s="64" t="n">
        <x:v>0.11411521523054487</x:v>
      </x:c>
    </x:row>
    <x:row r="331" ht="18" customHeight="1">
      <x:c r="A331" s="46" t="str">
        <x:v>LME_023</x:v>
      </x:c>
      <x:c r="B331" s="46" t="str">
        <x:v>Baltic Sea</x:v>
      </x:c>
      <x:c r="C331" s="46" t="str">
        <x:v>commercial</x:v>
      </x:c>
      <x:c r="D331" s="46" t="str">
        <x:v>Other fishes &amp; inverts</x:v>
      </x:c>
      <x:c r="E331" s="66" t="n">
        <x:v>30</x:v>
      </x:c>
      <x:c r="F331" s="66" t="n">
        <x:v>30</x:v>
      </x:c>
      <x:c r="G331" s="60" t="n">
        <x:v>14583.973620221299</x:v>
      </x:c>
      <x:c r="H331" s="60" t="n">
        <x:v>14583.973620221299</x:v>
      </x:c>
      <x:c r="I331" s="62" t="n">
        <x:v>0</x:v>
      </x:c>
      <x:c r="J331" s="64" t="n">
        <x:v>1</x:v>
      </x:c>
      <x:c r="K331" s="62" t="n">
        <x:v>230.55265247275264</x:v>
      </x:c>
      <x:c r="L331" s="60" t="n">
        <x:v>3362373.8017346733</x:v>
      </x:c>
      <x:c r="M331" s="62" t="n">
        <x:v>3.0985952997722928</x:v>
      </x:c>
      <x:c r="N331" s="62" t="n">
        <x:v>125.48600689152317</x:v>
      </x:c>
      <x:c r="O331" s="60" t="n">
        <x:v>1830084.614212882</x:v>
      </x:c>
      <x:c r="P331" s="60" t="n">
        <x:v>1532289.1875217913</x:v>
      </x:c>
      <x:c r="Q331" s="62" t="n">
        <x:v>1.8372777824706361</x:v>
      </x:c>
      <x:c r="R331" s="64" t="n">
        <x:v>0.837277782470636</x:v>
      </x:c>
    </x:row>
    <x:row r="332" ht="18" customHeight="1">
      <x:c r="A332" s="46" t="str">
        <x:v>LME_023</x:v>
      </x:c>
      <x:c r="B332" s="46" t="str">
        <x:v>Baltic Sea</x:v>
      </x:c>
      <x:c r="C332" s="46" t="str">
        <x:v>commercial</x:v>
      </x:c>
      <x:c r="D332" s="46" t="str">
        <x:v>Perch-likes</x:v>
      </x:c>
      <x:c r="E332" s="66" t="n">
        <x:v>24</x:v>
      </x:c>
      <x:c r="F332" s="66" t="n">
        <x:v>24</x:v>
      </x:c>
      <x:c r="G332" s="60" t="n">
        <x:v>11175.4109975239</x:v>
      </x:c>
      <x:c r="H332" s="60" t="n">
        <x:v>11175.4109975239</x:v>
      </x:c>
      <x:c r="I332" s="62" t="n">
        <x:v>0</x:v>
      </x:c>
      <x:c r="J332" s="64" t="n">
        <x:v>1</x:v>
      </x:c>
      <x:c r="K332" s="62" t="n">
        <x:v>1556.925259876857</x:v>
      </x:c>
      <x:c r="L332" s="60" t="n">
        <x:v>17399279.671550583</x:v>
      </x:c>
      <x:c r="M332" s="62" t="n">
        <x:v>4.040212447425251</x:v>
      </x:c>
      <x:c r="N332" s="62" t="n">
        <x:v>1097.0147006676023</x:v>
      </x:c>
      <x:c r="O332" s="60" t="n">
        <x:v>12259590.150286112</x:v>
      </x:c>
      <x:c r="P332" s="60" t="n">
        <x:v>5139689.521264471</x:v>
      </x:c>
      <x:c r="Q332" s="62" t="n">
        <x:v>1.4192382827042975</x:v>
      </x:c>
      <x:c r="R332" s="64" t="n">
        <x:v>0.4192382827042976</x:v>
      </x:c>
    </x:row>
    <x:row r="333" ht="18" customHeight="1">
      <x:c r="A333" s="46" t="str">
        <x:v>LME_023</x:v>
      </x:c>
      <x:c r="B333" s="46" t="str">
        <x:v>Baltic Sea</x:v>
      </x:c>
      <x:c r="C333" s="46" t="str">
        <x:v>commercial</x:v>
      </x:c>
      <x:c r="D333" s="46" t="str">
        <x:v>Salmon, smelts, etc</x:v>
      </x:c>
      <x:c r="E333" s="66" t="n">
        <x:v>9</x:v>
      </x:c>
      <x:c r="F333" s="66" t="n">
        <x:v>9</x:v>
      </x:c>
      <x:c r="G333" s="60" t="n">
        <x:v>13983.700319652999</x:v>
      </x:c>
      <x:c r="H333" s="60" t="n">
        <x:v>13983.700319652999</x:v>
      </x:c>
      <x:c r="I333" s="62" t="n">
        <x:v>0</x:v>
      </x:c>
      <x:c r="J333" s="64" t="n">
        <x:v>1</x:v>
      </x:c>
      <x:c r="K333" s="62" t="n">
        <x:v>539.4433174237294</x:v>
      </x:c>
      <x:c r="L333" s="60" t="n">
        <x:v>7543413.690292878</x:v>
      </x:c>
      <x:c r="M333" s="62" t="n">
        <x:v>3.5283742447782616</x:v>
      </x:c>
      <x:c r="N333" s="62" t="n">
        <x:v>337.57808466959165</x:v>
      </x:c>
      <x:c r="O333" s="60" t="n">
        <x:v>4720590.770502016</x:v>
      </x:c>
      <x:c r="P333" s="60" t="n">
        <x:v>2822822.919790862</x:v>
      </x:c>
      <x:c r="Q333" s="62" t="n">
        <x:v>1.5979808581226935</x:v>
      </x:c>
      <x:c r="R333" s="64" t="n">
        <x:v>0.5979808581226934</x:v>
      </x:c>
    </x:row>
    <x:row r="334" ht="18" customHeight="1">
      <x:c r="A334" s="46" t="str">
        <x:v>LME_023</x:v>
      </x:c>
      <x:c r="B334" s="46" t="str">
        <x:v>Baltic Sea</x:v>
      </x:c>
      <x:c r="C334" s="46" t="str">
        <x:v>commercial</x:v>
      </x:c>
      <x:c r="D334" s="46" t="str">
        <x:v>Scorpionfishes</x:v>
      </x:c>
      <x:c r="E334" s="66" t="n">
        <x:v>5</x:v>
      </x:c>
      <x:c r="F334" s="66" t="n">
        <x:v>5</x:v>
      </x:c>
      <x:c r="G334" s="60" t="n">
        <x:v>535.6695167353</x:v>
      </x:c>
      <x:c r="H334" s="60" t="n">
        <x:v>535.6695167353</x:v>
      </x:c>
      <x:c r="I334" s="62" t="n">
        <x:v>0</x:v>
      </x:c>
      <x:c r="J334" s="64" t="n">
        <x:v>1</x:v>
      </x:c>
      <x:c r="K334" s="62" t="n">
        <x:v>505.2009577306949</x:v>
      </x:c>
      <x:c r="L334" s="60" t="n">
        <x:v>270620.75288181205</x:v>
      </x:c>
      <x:c r="M334" s="62" t="n">
        <x:v>3.7007678573896152</x:v>
      </x:c>
      <x:c r="N334" s="62" t="n">
        <x:v>502.074145037321</x:v>
      </x:c>
      <x:c r="O334" s="60" t="n">
        <x:v>268945.81463743065</x:v>
      </x:c>
      <x:c r="P334" s="60" t="n">
        <x:v>1674.9382443813956</x:v>
      </x:c>
      <x:c r="Q334" s="62" t="n">
        <x:v>1.006227790704382</x:v>
      </x:c>
      <x:c r="R334" s="64" t="n">
        <x:v>0.006227790704381854</x:v>
      </x:c>
    </x:row>
    <x:row r="335" ht="18" customHeight="1">
      <x:c r="A335" s="46" t="str">
        <x:v>LME_023</x:v>
      </x:c>
      <x:c r="B335" s="46" t="str">
        <x:v>Baltic Sea</x:v>
      </x:c>
      <x:c r="C335" s="46" t="str">
        <x:v>commercial</x:v>
      </x:c>
      <x:c r="D335" s="46" t="str">
        <x:v>Sharks &amp; rays</x:v>
      </x:c>
      <x:c r="E335" s="66" t="n">
        <x:v>7</x:v>
      </x:c>
      <x:c r="F335" s="66" t="n">
        <x:v>7</x:v>
      </x:c>
      <x:c r="G335" s="60" t="n">
        <x:v>0.029330830000000002</x:v>
      </x:c>
      <x:c r="H335" s="60" t="n">
        <x:v>0.029330830000000002</x:v>
      </x:c>
      <x:c r="I335" s="62" t="n">
        <x:v>0</x:v>
      </x:c>
      <x:c r="J335" s="64" t="n">
        <x:v>1</x:v>
      </x:c>
      <x:c r="K335" s="62" t="n">
        <x:v>915.7245193336089</x:v>
      </x:c>
      <x:c r="L335" s="60" t="n">
        <x:v>26.858960203405797</x:v>
      </x:c>
      <x:c r="M335" s="62" t="n">
        <x:v>3.8966667239215527</x:v>
      </x:c>
      <x:c r="N335" s="62" t="n">
        <x:v>788.2549813210164</x:v>
      </x:c>
      <x:c r="O335" s="60" t="n">
        <x:v>23.12017285377991</x:v>
      </x:c>
      <x:c r="P335" s="60" t="n">
        <x:v>3.7387873496258877</x:v>
      </x:c>
      <x:c r="Q335" s="62" t="n">
        <x:v>1.1617110465943006</x:v>
      </x:c>
      <x:c r="R335" s="64" t="n">
        <x:v>0.16171104659430063</x:v>
      </x:c>
    </x:row>
    <x:row r="336" ht="18" customHeight="1">
      <x:c r="A336" s="46" t="str">
        <x:v>LME_024</x:v>
      </x:c>
      <x:c r="B336" s="46" t="str">
        <x:v>Celtic-Biscay Shelf</x:v>
      </x:c>
      <x:c r="C336" s="46" t="str">
        <x:v>commercial</x:v>
      </x:c>
      <x:c r="D336" s="46" t="str">
        <x:v>Anchovies</x:v>
      </x:c>
      <x:c r="E336" s="66" t="n">
        <x:v>1</x:v>
      </x:c>
      <x:c r="F336" s="66" t="n">
        <x:v>1</x:v>
      </x:c>
      <x:c r="G336" s="60" t="n">
        <x:v>6447.5123056993</x:v>
      </x:c>
      <x:c r="H336" s="60" t="n">
        <x:v>6447.5123056993</x:v>
      </x:c>
      <x:c r="I336" s="62" t="n">
        <x:v>0</x:v>
      </x:c>
      <x:c r="J336" s="64" t="n">
        <x:v>1</x:v>
      </x:c>
      <x:c r="K336" s="62" t="n">
        <x:v>128.82495516931337</x:v>
      </x:c>
      <x:c r="L336" s="60" t="n">
        <x:v>830600.4837353085</x:v>
      </x:c>
      <x:c r="M336" s="62" t="n">
        <x:v>3.1100000000000003</x:v>
      </x:c>
      <x:c r="N336" s="62" t="n">
        <x:v>128.82495516931348</x:v>
      </x:c>
      <x:c r="O336" s="60" t="n">
        <x:v>830600.4837353093</x:v>
      </x:c>
      <x:c r="P336" s="60" t="n">
        <x:v>-8.149072527885437e-10</x:v>
      </x:c>
      <x:c r="Q336" s="62" t="n">
        <x:v>0.999999999999999</x:v>
      </x:c>
      <x:c r="R336" s="64" t="n">
        <x:v>-9.81106162042922e-16</x:v>
      </x:c>
    </x:row>
    <x:row r="337" ht="18" customHeight="1">
      <x:c r="A337" s="46" t="str">
        <x:v>LME_024</x:v>
      </x:c>
      <x:c r="B337" s="46" t="str">
        <x:v>Celtic-Biscay Shelf</x:v>
      </x:c>
      <x:c r="C337" s="46" t="str">
        <x:v>commercial</x:v>
      </x:c>
      <x:c r="D337" s="46" t="str">
        <x:v>Cod-likes</x:v>
      </x:c>
      <x:c r="E337" s="66" t="n">
        <x:v>27</x:v>
      </x:c>
      <x:c r="F337" s="66" t="n">
        <x:v>27</x:v>
      </x:c>
      <x:c r="G337" s="60" t="n">
        <x:v>410804.471906796</x:v>
      </x:c>
      <x:c r="H337" s="60" t="n">
        <x:v>410804.471906796</x:v>
      </x:c>
      <x:c r="I337" s="62" t="n">
        <x:v>0</x:v>
      </x:c>
      <x:c r="J337" s="64" t="n">
        <x:v>1</x:v>
      </x:c>
      <x:c r="K337" s="62" t="n">
        <x:v>1519.6927881922516</x:v>
      </x:c>
      <x:c r="L337" s="60" t="n">
        <x:v>624296593.3138843</x:v>
      </x:c>
      <x:c r="M337" s="62" t="n">
        <x:v>4.160818219507097</x:v>
      </x:c>
      <x:c r="N337" s="62" t="n">
        <x:v>1448.1655751691935</x:v>
      </x:c>
      <x:c r="O337" s="60" t="n">
        <x:v>594912894.340982</x:v>
      </x:c>
      <x:c r="P337" s="60" t="n">
        <x:v>29383698.972902298</x:v>
      </x:c>
      <x:c r="Q337" s="62" t="n">
        <x:v>1.0493915987574152</x:v>
      </x:c>
      <x:c r="R337" s="64" t="n">
        <x:v>0.04939159875741515</x:v>
      </x:c>
    </x:row>
    <x:row r="338" ht="18" customHeight="1">
      <x:c r="A338" s="46" t="str">
        <x:v>LME_024</x:v>
      </x:c>
      <x:c r="B338" s="46" t="str">
        <x:v>Celtic-Biscay Shelf</x:v>
      </x:c>
      <x:c r="C338" s="46" t="str">
        <x:v>commercial</x:v>
      </x:c>
      <x:c r="D338" s="46" t="str">
        <x:v>Crustaceans</x:v>
      </x:c>
      <x:c r="E338" s="66" t="n">
        <x:v>30</x:v>
      </x:c>
      <x:c r="F338" s="66" t="n">
        <x:v>30</x:v>
      </x:c>
      <x:c r="G338" s="60" t="n">
        <x:v>56326.11743821189</x:v>
      </x:c>
      <x:c r="H338" s="60" t="n">
        <x:v>56326.11743821189</x:v>
      </x:c>
      <x:c r="I338" s="62" t="n">
        <x:v>0</x:v>
      </x:c>
      <x:c r="J338" s="64" t="n">
        <x:v>1</x:v>
      </x:c>
      <x:c r="K338" s="62" t="n">
        <x:v>120.3784637527562</x:v>
      </x:c>
      <x:c r="L338" s="60" t="n">
        <x:v>6780451.486369279</x:v>
      </x:c>
      <x:c r="M338" s="62" t="n">
        <x:v>3.008273074314981</x:v>
      </x:c>
      <x:c r="N338" s="62" t="n">
        <x:v>101.92320561329518</x:v>
      </x:c>
      <x:c r="O338" s="60" t="n">
        <x:v>5740938.449053482</x:v>
      </x:c>
      <x:c r="P338" s="60" t="n">
        <x:v>1039513.0373157971</x:v>
      </x:c>
      <x:c r="Q338" s="62" t="n">
        <x:v>1.1810702285942785</x:v>
      </x:c>
      <x:c r="R338" s="64" t="n">
        <x:v>0.18107022859427857</x:v>
      </x:c>
    </x:row>
    <x:row r="339" ht="18" customHeight="1">
      <x:c r="A339" s="46" t="str">
        <x:v>LME_024</x:v>
      </x:c>
      <x:c r="B339" s="46" t="str">
        <x:v>Celtic-Biscay Shelf</x:v>
      </x:c>
      <x:c r="C339" s="46" t="str">
        <x:v>commercial</x:v>
      </x:c>
      <x:c r="D339" s="46" t="str">
        <x:v>Flatfishes</x:v>
      </x:c>
      <x:c r="E339" s="66" t="n">
        <x:v>26</x:v>
      </x:c>
      <x:c r="F339" s="66" t="n">
        <x:v>26</x:v>
      </x:c>
      <x:c r="G339" s="60" t="n">
        <x:v>46661.755388687</x:v>
      </x:c>
      <x:c r="H339" s="60" t="n">
        <x:v>46661.755388687</x:v>
      </x:c>
      <x:c r="I339" s="62" t="n">
        <x:v>0</x:v>
      </x:c>
      <x:c r="J339" s="64" t="n">
        <x:v>1</x:v>
      </x:c>
      <x:c r="K339" s="62" t="n">
        <x:v>520.2671741089305</x:v>
      </x:c>
      <x:c r="L339" s="60" t="n">
        <x:v>24276579.615034346</x:v>
      </x:c>
      <x:c r="M339" s="62" t="n">
        <x:v>3.5160114712780515</x:v>
      </x:c>
      <x:c r="N339" s="62" t="n">
        <x:v>328.1039594033852</x:v>
      </x:c>
      <x:c r="O339" s="60" t="n">
        <x:v>15309906.69574045</x:v>
      </x:c>
      <x:c r="P339" s="60" t="n">
        <x:v>8966672.919293895</x:v>
      </x:c>
      <x:c r="Q339" s="62" t="n">
        <x:v>1.585677829231227</x:v>
      </x:c>
      <x:c r="R339" s="64" t="n">
        <x:v>0.585677829231227</x:v>
      </x:c>
    </x:row>
    <x:row r="340" ht="18" customHeight="1">
      <x:c r="A340" s="46" t="str">
        <x:v>LME_024</x:v>
      </x:c>
      <x:c r="B340" s="46" t="str">
        <x:v>Celtic-Biscay Shelf</x:v>
      </x:c>
      <x:c r="C340" s="46" t="str">
        <x:v>commercial</x:v>
      </x:c>
      <x:c r="D340" s="46" t="str">
        <x:v>Herring-likes</x:v>
      </x:c>
      <x:c r="E340" s="66" t="n">
        <x:v>7</x:v>
      </x:c>
      <x:c r="F340" s="66" t="n">
        <x:v>7</x:v>
      </x:c>
      <x:c r="G340" s="60" t="n">
        <x:v>116297.15182404731</x:v>
      </x:c>
      <x:c r="H340" s="60" t="n">
        <x:v>116297.15182404731</x:v>
      </x:c>
      <x:c r="I340" s="62" t="n">
        <x:v>0</x:v>
      </x:c>
      <x:c r="J340" s="64" t="n">
        <x:v>1</x:v>
      </x:c>
      <x:c r="K340" s="62" t="n">
        <x:v>178.95045143880833</x:v>
      </x:c>
      <x:c r="L340" s="60" t="n">
        <x:v>20811427.819960896</x:v>
      </x:c>
      <x:c r="M340" s="62" t="n">
        <x:v>3.2211317584161545</x:v>
      </x:c>
      <x:c r="N340" s="62" t="n">
        <x:v>166.39173813187585</x:v>
      </x:c>
      <x:c r="O340" s="60" t="n">
        <x:v>19350885.231789887</x:v>
      </x:c>
      <x:c r="P340" s="60" t="n">
        <x:v>1460542.588171009</x:v>
      </x:c>
      <x:c r="Q340" s="62" t="n">
        <x:v>1.075476784171693</x:v>
      </x:c>
      <x:c r="R340" s="64" t="n">
        <x:v>0.07547678417169311</x:v>
      </x:c>
    </x:row>
    <x:row r="341" ht="18" customHeight="1">
      <x:c r="A341" s="46" t="str">
        <x:v>LME_024</x:v>
      </x:c>
      <x:c r="B341" s="46" t="str">
        <x:v>Celtic-Biscay Shelf</x:v>
      </x:c>
      <x:c r="C341" s="46" t="str">
        <x:v>commercial</x:v>
      </x:c>
      <x:c r="D341" s="46" t="str">
        <x:v>Molluscs</x:v>
      </x:c>
      <x:c r="E341" s="66" t="n">
        <x:v>44</x:v>
      </x:c>
      <x:c r="F341" s="66" t="n">
        <x:v>44</x:v>
      </x:c>
      <x:c r="G341" s="60" t="n">
        <x:v>103364.6414470407</x:v>
      </x:c>
      <x:c r="H341" s="60" t="n">
        <x:v>103364.6414470407</x:v>
      </x:c>
      <x:c r="I341" s="62" t="n">
        <x:v>0</x:v>
      </x:c>
      <x:c r="J341" s="64" t="n">
        <x:v>1</x:v>
      </x:c>
      <x:c r="K341" s="62" t="n">
        <x:v>169.85591466273758</x:v>
      </x:c>
      <x:c r="L341" s="60" t="n">
        <x:v>17557095.716773015</x:v>
      </x:c>
      <x:c r="M341" s="62" t="n">
        <x:v>2.518321230365662</x:v>
      </x:c>
      <x:c r="N341" s="62" t="n">
        <x:v>32.985360156655176</x:v>
      </x:c>
      <x:c r="O341" s="60" t="n">
        <x:v>3409519.9255941645</x:v>
      </x:c>
      <x:c r="P341" s="60" t="n">
        <x:v>14147575.79117885</x:v>
      </x:c>
      <x:c r="Q341" s="62" t="n">
        <x:v>5.149433380628625</x:v>
      </x:c>
      <x:c r="R341" s="64" t="n">
        <x:v>4.149433380628625</x:v>
      </x:c>
    </x:row>
    <x:row r="342" ht="18" customHeight="1">
      <x:c r="A342" s="46" t="str">
        <x:v>LME_024</x:v>
      </x:c>
      <x:c r="B342" s="46" t="str">
        <x:v>Celtic-Biscay Shelf</x:v>
      </x:c>
      <x:c r="C342" s="46" t="str">
        <x:v>commercial</x:v>
      </x:c>
      <x:c r="D342" s="46" t="str">
        <x:v>Other fishes &amp; inverts</x:v>
      </x:c>
      <x:c r="E342" s="66" t="n">
        <x:v>66</x:v>
      </x:c>
      <x:c r="F342" s="66" t="n">
        <x:v>66</x:v>
      </x:c>
      <x:c r="G342" s="60" t="n">
        <x:v>102124.80158346529</x:v>
      </x:c>
      <x:c r="H342" s="60" t="n">
        <x:v>102124.80158346529</x:v>
      </x:c>
      <x:c r="I342" s="62" t="n">
        <x:v>0</x:v>
      </x:c>
      <x:c r="J342" s="64" t="n">
        <x:v>1</x:v>
      </x:c>
      <x:c r="K342" s="62" t="n">
        <x:v>1432.4211635225067</x:v>
      </x:c>
      <x:c r="L342" s="60" t="n">
        <x:v>146285727.1086925</x:v>
      </x:c>
      <x:c r="M342" s="62" t="n">
        <x:v>3.904681502363087</x:v>
      </x:c>
      <x:c r="N342" s="62" t="n">
        <x:v>802.9370579388383</x:v>
      </x:c>
      <x:c r="O342" s="60" t="n">
        <x:v>81999787.72601524</x:v>
      </x:c>
      <x:c r="P342" s="60" t="n">
        <x:v>64285939.38267726</x:v>
      </x:c>
      <x:c r="Q342" s="62" t="n">
        <x:v>1.783976900007046</x:v>
      </x:c>
      <x:c r="R342" s="64" t="n">
        <x:v>0.7839769000070461</x:v>
      </x:c>
    </x:row>
    <x:row r="343" ht="18" customHeight="1">
      <x:c r="A343" s="46" t="str">
        <x:v>LME_024</x:v>
      </x:c>
      <x:c r="B343" s="46" t="str">
        <x:v>Celtic-Biscay Shelf</x:v>
      </x:c>
      <x:c r="C343" s="46" t="str">
        <x:v>commercial</x:v>
      </x:c>
      <x:c r="D343" s="46" t="str">
        <x:v>Perch-likes</x:v>
      </x:c>
      <x:c r="E343" s="66" t="n">
        <x:v>87</x:v>
      </x:c>
      <x:c r="F343" s="66" t="n">
        <x:v>87</x:v>
      </x:c>
      <x:c r="G343" s="60" t="n">
        <x:v>239418.93469134293</x:v>
      </x:c>
      <x:c r="H343" s="60" t="n">
        <x:v>239418.93469134293</x:v>
      </x:c>
      <x:c r="I343" s="62" t="n">
        <x:v>0</x:v>
      </x:c>
      <x:c r="J343" s="64" t="n">
        <x:v>1</x:v>
      </x:c>
      <x:c r="K343" s="62" t="n">
        <x:v>490.9564795707111</x:v>
      </x:c>
      <x:c r="L343" s="60" t="n">
        <x:v>117544277.31863172</x:v>
      </x:c>
      <x:c r="M343" s="62" t="n">
        <x:v>3.647282685777777</x:v>
      </x:c>
      <x:c r="N343" s="62" t="n">
        <x:v>443.8974863670626</x:v>
      </x:c>
      <x:c r="O343" s="60" t="n">
        <x:v>106277463.29816705</x:v>
      </x:c>
      <x:c r="P343" s="60" t="n">
        <x:v>11266814.020464674</x:v>
      </x:c>
      <x:c r="Q343" s="62" t="n">
        <x:v>1.1060132004548795</x:v>
      </x:c>
      <x:c r="R343" s="64" t="n">
        <x:v>0.10601320045487941</x:v>
      </x:c>
    </x:row>
    <x:row r="344" ht="18" customHeight="1">
      <x:c r="A344" s="46" t="str">
        <x:v>LME_024</x:v>
      </x:c>
      <x:c r="B344" s="46" t="str">
        <x:v>Celtic-Biscay Shelf</x:v>
      </x:c>
      <x:c r="C344" s="46" t="str">
        <x:v>commercial</x:v>
      </x:c>
      <x:c r="D344" s="46" t="str">
        <x:v>Salmon, smelts, etc</x:v>
      </x:c>
      <x:c r="E344" s="66" t="n">
        <x:v>8</x:v>
      </x:c>
      <x:c r="F344" s="66" t="n">
        <x:v>8</x:v>
      </x:c>
      <x:c r="G344" s="60" t="n">
        <x:v>11424.3280812336</x:v>
      </x:c>
      <x:c r="H344" s="60" t="n">
        <x:v>11424.3280812336</x:v>
      </x:c>
      <x:c r="I344" s="62" t="n">
        <x:v>0</x:v>
      </x:c>
      <x:c r="J344" s="64" t="n">
        <x:v>1</x:v>
      </x:c>
      <x:c r="K344" s="62" t="n">
        <x:v>240.6669144481145</x:v>
      </x:c>
      <x:c r="L344" s="60" t="n">
        <x:v>2749457.788953439</x:v>
      </x:c>
      <x:c r="M344" s="62" t="n">
        <x:v>3.367749921586502</x:v>
      </x:c>
      <x:c r="N344" s="62" t="n">
        <x:v>233.2114781314787</x:v>
      </x:c>
      <x:c r="O344" s="60" t="n">
        <x:v>2664284.438483448</x:v>
      </x:c>
      <x:c r="P344" s="60" t="n">
        <x:v>85173.3504699911</x:v>
      </x:c>
      <x:c r="Q344" s="62" t="n">
        <x:v>1.0319685650825154</x:v>
      </x:c>
      <x:c r="R344" s="64" t="n">
        <x:v>0.0319685650825154</x:v>
      </x:c>
    </x:row>
    <x:row r="345" ht="18" customHeight="1">
      <x:c r="A345" s="46" t="str">
        <x:v>LME_024</x:v>
      </x:c>
      <x:c r="B345" s="46" t="str">
        <x:v>Celtic-Biscay Shelf</x:v>
      </x:c>
      <x:c r="C345" s="46" t="str">
        <x:v>commercial</x:v>
      </x:c>
      <x:c r="D345" s="46" t="str">
        <x:v>Scorpionfishes</x:v>
      </x:c>
      <x:c r="E345" s="66" t="n">
        <x:v>18</x:v>
      </x:c>
      <x:c r="F345" s="66" t="n">
        <x:v>18</x:v>
      </x:c>
      <x:c r="G345" s="60" t="n">
        <x:v>11338.588108537</x:v>
      </x:c>
      <x:c r="H345" s="60" t="n">
        <x:v>11338.588108537</x:v>
      </x:c>
      <x:c r="I345" s="62" t="n">
        <x:v>0</x:v>
      </x:c>
      <x:c r="J345" s="64" t="n">
        <x:v>1</x:v>
      </x:c>
      <x:c r="K345" s="62" t="n">
        <x:v>652.9166147218364</x:v>
      </x:c>
      <x:c r="L345" s="60" t="n">
        <x:v>7403152.563551248</x:v>
      </x:c>
      <x:c r="M345" s="62" t="n">
        <x:v>3.80171193066121</x:v>
      </x:c>
      <x:c r="N345" s="62" t="n">
        <x:v>633.4494022489947</x:v>
      </x:c>
      <x:c r="O345" s="60" t="n">
        <x:v>7182421.859700322</x:v>
      </x:c>
      <x:c r="P345" s="60" t="n">
        <x:v>220730.7038509259</x:v>
      </x:c>
      <x:c r="Q345" s="62" t="n">
        <x:v>1.0307320717388404</x:v>
      </x:c>
      <x:c r="R345" s="64" t="n">
        <x:v>0.030732071738840416</x:v>
      </x:c>
    </x:row>
    <x:row r="346" ht="18" customHeight="1">
      <x:c r="A346" s="46" t="str">
        <x:v>LME_024</x:v>
      </x:c>
      <x:c r="B346" s="46" t="str">
        <x:v>Celtic-Biscay Shelf</x:v>
      </x:c>
      <x:c r="C346" s="46" t="str">
        <x:v>commercial</x:v>
      </x:c>
      <x:c r="D346" s="46" t="str">
        <x:v>Sharks &amp; rays</x:v>
      </x:c>
      <x:c r="E346" s="66" t="n">
        <x:v>53</x:v>
      </x:c>
      <x:c r="F346" s="66" t="n">
        <x:v>53</x:v>
      </x:c>
      <x:c r="G346" s="60" t="n">
        <x:v>31528.077980077996</x:v>
      </x:c>
      <x:c r="H346" s="60" t="n">
        <x:v>31528.077980077996</x:v>
      </x:c>
      <x:c r="I346" s="62" t="n">
        <x:v>0</x:v>
      </x:c>
      <x:c r="J346" s="64" t="n">
        <x:v>1</x:v>
      </x:c>
      <x:c r="K346" s="62" t="n">
        <x:v>1022.3345531314052</x:v>
      </x:c>
      <x:c r="L346" s="60" t="n">
        <x:v>32232243.512855135</x:v>
      </x:c>
      <x:c r="M346" s="62" t="n">
        <x:v>3.9589994018327253</x:v>
      </x:c>
      <x:c r="N346" s="62" t="n">
        <x:v>909.9120193813114</x:v>
      </x:c>
      <x:c r="O346" s="60" t="n">
        <x:v>28687777.10206423</x:v>
      </x:c>
      <x:c r="P346" s="60" t="n">
        <x:v>3544466.4107909054</x:v>
      </x:c>
      <x:c r="Q346" s="62" t="n">
        <x:v>1.123553191248682</x:v>
      </x:c>
      <x:c r="R346" s="64" t="n">
        <x:v>0.12355319124868211</x:v>
      </x:c>
    </x:row>
    <x:row r="347" ht="18" customHeight="1">
      <x:c r="A347" s="46" t="str">
        <x:v>LME_024</x:v>
      </x:c>
      <x:c r="B347" s="46" t="str">
        <x:v>Celtic-Biscay Shelf</x:v>
      </x:c>
      <x:c r="C347" s="46" t="str">
        <x:v>commercial</x:v>
      </x:c>
      <x:c r="D347" s="46" t="str">
        <x:v>Tuna &amp; billfishes</x:v>
      </x:c>
      <x:c r="E347" s="66" t="n">
        <x:v>16</x:v>
      </x:c>
      <x:c r="F347" s="66" t="n">
        <x:v>16</x:v>
      </x:c>
      <x:c r="G347" s="60" t="n">
        <x:v>3943.186333928101</x:v>
      </x:c>
      <x:c r="H347" s="60" t="n">
        <x:v>3943.186333928101</x:v>
      </x:c>
      <x:c r="I347" s="62" t="n">
        <x:v>0</x:v>
      </x:c>
      <x:c r="J347" s="64" t="n">
        <x:v>1</x:v>
      </x:c>
      <x:c r="K347" s="62" t="n">
        <x:v>2406.1037558602397</x:v>
      </x:c>
      <x:c r="L347" s="60" t="n">
        <x:v>9487715.448121173</x:v>
      </x:c>
      <x:c r="M347" s="62" t="n">
        <x:v>4.370216563873295</x:v>
      </x:c>
      <x:c r="N347" s="62" t="n">
        <x:v>2345.3980723383434</x:v>
      </x:c>
      <x:c r="O347" s="60" t="n">
        <x:v>9248341.626465866</x:v>
      </x:c>
      <x:c r="P347" s="60" t="n">
        <x:v>239373.82165530697</x:v>
      </x:c>
      <x:c r="Q347" s="62" t="n">
        <x:v>1.025882891368361</x:v>
      </x:c>
      <x:c r="R347" s="64" t="n">
        <x:v>0.025882891368360986</x:v>
      </x:c>
    </x:row>
    <x:row r="348" ht="18" customHeight="1">
      <x:c r="A348" s="46" t="str">
        <x:v>LME_025</x:v>
      </x:c>
      <x:c r="B348" s="46" t="str">
        <x:v>Iberian Coastal</x:v>
      </x:c>
      <x:c r="C348" s="46" t="str">
        <x:v>commercial</x:v>
      </x:c>
      <x:c r="D348" s="46" t="str">
        <x:v>Anchovies</x:v>
      </x:c>
      <x:c r="E348" s="66" t="n">
        <x:v>1</x:v>
      </x:c>
      <x:c r="F348" s="66" t="n">
        <x:v>1</x:v>
      </x:c>
      <x:c r="G348" s="60" t="n">
        <x:v>27091.6933762591</x:v>
      </x:c>
      <x:c r="H348" s="60" t="n">
        <x:v>27091.6933762591</x:v>
      </x:c>
      <x:c r="I348" s="62" t="n">
        <x:v>0</x:v>
      </x:c>
      <x:c r="J348" s="64" t="n">
        <x:v>1</x:v>
      </x:c>
      <x:c r="K348" s="62" t="n">
        <x:v>128.82495516931337</x:v>
      </x:c>
      <x:c r="L348" s="60" t="n">
        <x:v>3490086.1846573623</x:v>
      </x:c>
      <x:c r="M348" s="62" t="n">
        <x:v>3.11</x:v>
      </x:c>
      <x:c r="N348" s="62" t="n">
        <x:v>128.82495516931337</x:v>
      </x:c>
      <x:c r="O348" s="60" t="n">
        <x:v>3490086.1846573623</x:v>
      </x:c>
      <x:c r="P348" s="60" t="n">
        <x:v>0</x:v>
      </x:c>
      <x:c r="Q348" s="62" t="n">
        <x:v>1</x:v>
      </x:c>
      <x:c r="R348" s="64" t="n">
        <x:v>0</x:v>
      </x:c>
    </x:row>
    <x:row r="349" ht="18" customHeight="1">
      <x:c r="A349" s="46" t="str">
        <x:v>LME_025</x:v>
      </x:c>
      <x:c r="B349" s="46" t="str">
        <x:v>Iberian Coastal</x:v>
      </x:c>
      <x:c r="C349" s="46" t="str">
        <x:v>commercial</x:v>
      </x:c>
      <x:c r="D349" s="46" t="str">
        <x:v>Cod-likes</x:v>
      </x:c>
      <x:c r="E349" s="66" t="n">
        <x:v>24</x:v>
      </x:c>
      <x:c r="F349" s="66" t="n">
        <x:v>24</x:v>
      </x:c>
      <x:c r="G349" s="60" t="n">
        <x:v>80337.6089392526</x:v>
      </x:c>
      <x:c r="H349" s="60" t="n">
        <x:v>80337.6089392526</x:v>
      </x:c>
      <x:c r="I349" s="62" t="n">
        <x:v>0</x:v>
      </x:c>
      <x:c r="J349" s="64" t="n">
        <x:v>1</x:v>
      </x:c>
      <x:c r="K349" s="62" t="n">
        <x:v>2179.038608065284</x:v>
      </x:c>
      <x:c r="L349" s="60" t="n">
        <x:v>175058751.5582821</x:v>
      </x:c>
      <x:c r="M349" s="62" t="n">
        <x:v>4.305187574987113</x:v>
      </x:c>
      <x:c r="N349" s="62" t="n">
        <x:v>2019.2382992718187</x:v>
      </x:c>
      <x:c r="O349" s="60" t="n">
        <x:v>162220776.8420609</x:v>
      </x:c>
      <x:c r="P349" s="60" t="n">
        <x:v>12837974.716221213</x:v>
      </x:c>
      <x:c r="Q349" s="62" t="n">
        <x:v>1.0791389054234424</x:v>
      </x:c>
      <x:c r="R349" s="64" t="n">
        <x:v>0.0791389054234424</x:v>
      </x:c>
    </x:row>
    <x:row r="350" ht="18" customHeight="1">
      <x:c r="A350" s="46" t="str">
        <x:v>LME_025</x:v>
      </x:c>
      <x:c r="B350" s="46" t="str">
        <x:v>Iberian Coastal</x:v>
      </x:c>
      <x:c r="C350" s="46" t="str">
        <x:v>commercial</x:v>
      </x:c>
      <x:c r="D350" s="46" t="str">
        <x:v>Crustaceans</x:v>
      </x:c>
      <x:c r="E350" s="66" t="n">
        <x:v>38</x:v>
      </x:c>
      <x:c r="F350" s="66" t="n">
        <x:v>38</x:v>
      </x:c>
      <x:c r="G350" s="60" t="n">
        <x:v>7280.636644615702</x:v>
      </x:c>
      <x:c r="H350" s="60" t="n">
        <x:v>7280.636644615702</x:v>
      </x:c>
      <x:c r="I350" s="62" t="n">
        <x:v>0</x:v>
      </x:c>
      <x:c r="J350" s="64" t="n">
        <x:v>1</x:v>
      </x:c>
      <x:c r="K350" s="62" t="n">
        <x:v>149.17387580445066</x:v>
      </x:c>
      <x:c r="L350" s="60" t="n">
        <x:v>1086080.7866012352</x:v>
      </x:c>
      <x:c r="M350" s="62" t="n">
        <x:v>3.057663102746476</x:v>
      </x:c>
      <x:c r="N350" s="62" t="n">
        <x:v>114.1992108311641</x:v>
      </x:c>
      <x:c r="O350" s="60" t="n">
        <x:v>831442.9591635676</x:v>
      </x:c>
      <x:c r="P350" s="60" t="n">
        <x:v>254637.82743766753</x:v>
      </x:c>
      <x:c r="Q350" s="62" t="n">
        <x:v>1.3062601284083677</x:v>
      </x:c>
      <x:c r="R350" s="64" t="n">
        <x:v>0.3062601284083678</x:v>
      </x:c>
    </x:row>
    <x:row r="351" ht="18" customHeight="1">
      <x:c r="A351" s="46" t="str">
        <x:v>LME_025</x:v>
      </x:c>
      <x:c r="B351" s="46" t="str">
        <x:v>Iberian Coastal</x:v>
      </x:c>
      <x:c r="C351" s="46" t="str">
        <x:v>commercial</x:v>
      </x:c>
      <x:c r="D351" s="46" t="str">
        <x:v>Flatfishes</x:v>
      </x:c>
      <x:c r="E351" s="66" t="n">
        <x:v>25</x:v>
      </x:c>
      <x:c r="F351" s="66" t="n">
        <x:v>25</x:v>
      </x:c>
      <x:c r="G351" s="60" t="n">
        <x:v>5649.9613347060995</x:v>
      </x:c>
      <x:c r="H351" s="60" t="n">
        <x:v>5649.9613347060995</x:v>
      </x:c>
      <x:c r="I351" s="62" t="n">
        <x:v>0</x:v>
      </x:c>
      <x:c r="J351" s="64" t="n">
        <x:v>1</x:v>
      </x:c>
      <x:c r="K351" s="62" t="n">
        <x:v>637.6494662361725</x:v>
      </x:c>
      <x:c r="L351" s="60" t="n">
        <x:v>3602694.8293303573</x:v>
      </x:c>
      <x:c r="M351" s="62" t="n">
        <x:v>3.6590230411769076</x:v>
      </x:c>
      <x:c r="N351" s="62" t="n">
        <x:v>456.061111299008</x:v>
      </x:c>
      <x:c r="O351" s="60" t="n">
        <x:v>2576727.64510249</x:v>
      </x:c>
      <x:c r="P351" s="60" t="n">
        <x:v>1025967.184227867</x:v>
      </x:c>
      <x:c r="Q351" s="62" t="n">
        <x:v>1.398166715903364</x:v>
      </x:c>
      <x:c r="R351" s="64" t="n">
        <x:v>0.3981667159033639</x:v>
      </x:c>
    </x:row>
    <x:row r="352" ht="18" customHeight="1">
      <x:c r="A352" s="46" t="str">
        <x:v>LME_025</x:v>
      </x:c>
      <x:c r="B352" s="46" t="str">
        <x:v>Iberian Coastal</x:v>
      </x:c>
      <x:c r="C352" s="46" t="str">
        <x:v>commercial</x:v>
      </x:c>
      <x:c r="D352" s="46" t="str">
        <x:v>Herring-likes</x:v>
      </x:c>
      <x:c r="E352" s="66" t="n">
        <x:v>8</x:v>
      </x:c>
      <x:c r="F352" s="66" t="n">
        <x:v>8</x:v>
      </x:c>
      <x:c r="G352" s="60" t="n">
        <x:v>25098.1419405148</x:v>
      </x:c>
      <x:c r="H352" s="60" t="n">
        <x:v>25098.1419405148</x:v>
      </x:c>
      <x:c r="I352" s="62" t="n">
        <x:v>0</x:v>
      </x:c>
      <x:c r="J352" s="64" t="n">
        <x:v>1</x:v>
      </x:c>
      <x:c r="K352" s="62" t="n">
        <x:v>120.2869338469471</x:v>
      </x:c>
      <x:c r="L352" s="60" t="n">
        <x:v>3018978.539279992</x:v>
      </x:c>
      <x:c r="M352" s="62" t="n">
        <x:v>3.0658527538988753</x:v>
      </x:c>
      <x:c r="N352" s="62" t="n">
        <x:v>116.37314032502098</x:v>
      </x:c>
      <x:c r="O352" s="60" t="n">
        <x:v>2920749.5939408233</x:v>
      </x:c>
      <x:c r="P352" s="60" t="n">
        <x:v>98228.94533916889</x:v>
      </x:c>
      <x:c r="Q352" s="62" t="n">
        <x:v>1.0336314162442914</x:v>
      </x:c>
      <x:c r="R352" s="64" t="n">
        <x:v>0.03363141624429139</x:v>
      </x:c>
    </x:row>
    <x:row r="353" ht="18" customHeight="1">
      <x:c r="A353" s="46" t="str">
        <x:v>LME_025</x:v>
      </x:c>
      <x:c r="B353" s="46" t="str">
        <x:v>Iberian Coastal</x:v>
      </x:c>
      <x:c r="C353" s="46" t="str">
        <x:v>commercial</x:v>
      </x:c>
      <x:c r="D353" s="46" t="str">
        <x:v>Molluscs</x:v>
      </x:c>
      <x:c r="E353" s="66" t="n">
        <x:v>41</x:v>
      </x:c>
      <x:c r="F353" s="66" t="n">
        <x:v>41</x:v>
      </x:c>
      <x:c r="G353" s="60" t="n">
        <x:v>22406.596545823097</x:v>
      </x:c>
      <x:c r="H353" s="60" t="n">
        <x:v>22406.596545823097</x:v>
      </x:c>
      <x:c r="I353" s="62" t="n">
        <x:v>0</x:v>
      </x:c>
      <x:c r="J353" s="64" t="n">
        <x:v>1</x:v>
      </x:c>
      <x:c r="K353" s="62" t="n">
        <x:v>12.840669853485338</x:v>
      </x:c>
      <x:c r="L353" s="60" t="n">
        <x:v>287715.70878515934</x:v>
      </x:c>
      <x:c r="M353" s="62" t="n">
        <x:v>2.1007813926887042</x:v>
      </x:c>
      <x:c r="N353" s="62" t="n">
        <x:v>12.611925384695432</x:v>
      </x:c>
      <x:c r="O353" s="60" t="n">
        <x:v>282590.3237608953</x:v>
      </x:c>
      <x:c r="P353" s="60" t="n">
        <x:v>5125.385024264047</x:v>
      </x:c>
      <x:c r="Q353" s="62" t="n">
        <x:v>1.018137156842641</x:v>
      </x:c>
      <x:c r="R353" s="64" t="n">
        <x:v>0.018137156842640965</x:v>
      </x:c>
    </x:row>
    <x:row r="354" ht="18" customHeight="1">
      <x:c r="A354" s="46" t="str">
        <x:v>LME_025</x:v>
      </x:c>
      <x:c r="B354" s="46" t="str">
        <x:v>Iberian Coastal</x:v>
      </x:c>
      <x:c r="C354" s="46" t="str">
        <x:v>commercial</x:v>
      </x:c>
      <x:c r="D354" s="46" t="str">
        <x:v>Other fishes &amp; inverts</x:v>
      </x:c>
      <x:c r="E354" s="66" t="n">
        <x:v>72</x:v>
      </x:c>
      <x:c r="F354" s="66" t="n">
        <x:v>72</x:v>
      </x:c>
      <x:c r="G354" s="60" t="n">
        <x:v>121655.11614862122</x:v>
      </x:c>
      <x:c r="H354" s="60" t="n">
        <x:v>121655.11614862122</x:v>
      </x:c>
      <x:c r="I354" s="62" t="n">
        <x:v>0</x:v>
      </x:c>
      <x:c r="J354" s="64" t="n">
        <x:v>1</x:v>
      </x:c>
      <x:c r="K354" s="62" t="n">
        <x:v>463.3269959237258</x:v>
      </x:c>
      <x:c r="L354" s="60" t="n">
        <x:v>56366099.503892615</x:v>
      </x:c>
      <x:c r="M354" s="62" t="n">
        <x:v>3.4283117444337936</x:v>
      </x:c>
      <x:c r="N354" s="62" t="n">
        <x:v>268.1092170701309</x:v>
      </x:c>
      <x:c r="O354" s="60" t="n">
        <x:v>32616857.943182677</x:v>
      </x:c>
      <x:c r="P354" s="60" t="n">
        <x:v>23749241.56070994</x:v>
      </x:c>
      <x:c r="Q354" s="62" t="n">
        <x:v>1.7281278166670808</x:v>
      </x:c>
      <x:c r="R354" s="64" t="n">
        <x:v>0.7281278166670809</x:v>
      </x:c>
    </x:row>
    <x:row r="355" ht="18" customHeight="1">
      <x:c r="A355" s="46" t="str">
        <x:v>LME_025</x:v>
      </x:c>
      <x:c r="B355" s="46" t="str">
        <x:v>Iberian Coastal</x:v>
      </x:c>
      <x:c r="C355" s="46" t="str">
        <x:v>commercial</x:v>
      </x:c>
      <x:c r="D355" s="46" t="str">
        <x:v>Perch-likes</x:v>
      </x:c>
      <x:c r="E355" s="66" t="n">
        <x:v>115</x:v>
      </x:c>
      <x:c r="F355" s="66" t="n">
        <x:v>115</x:v>
      </x:c>
      <x:c r="G355" s="60" t="n">
        <x:v>115258.7509581911</x:v>
      </x:c>
      <x:c r="H355" s="60" t="n">
        <x:v>115258.7509581911</x:v>
      </x:c>
      <x:c r="I355" s="62" t="n">
        <x:v>0</x:v>
      </x:c>
      <x:c r="J355" s="64" t="n">
        <x:v>1</x:v>
      </x:c>
      <x:c r="K355" s="62" t="n">
        <x:v>559.8944524658589</x:v>
      </x:c>
      <x:c r="L355" s="60" t="n">
        <x:v>64532735.259635195</x:v>
      </x:c>
      <x:c r="M355" s="62" t="n">
        <x:v>3.592529813303126</x:v>
      </x:c>
      <x:c r="N355" s="62" t="n">
        <x:v>391.3179892719866</x:v>
      </x:c>
      <x:c r="O355" s="60" t="n">
        <x:v>45102822.67096</x:v>
      </x:c>
      <x:c r="P355" s="60" t="n">
        <x:v>19429912.588675193</x:v>
      </x:c>
      <x:c r="Q355" s="62" t="n">
        <x:v>1.4307914990248576</x:v>
      </x:c>
      <x:c r="R355" s="64" t="n">
        <x:v>0.43079149902485764</x:v>
      </x:c>
    </x:row>
    <x:row r="356" ht="18" customHeight="1">
      <x:c r="A356" s="46" t="str">
        <x:v>LME_025</x:v>
      </x:c>
      <x:c r="B356" s="46" t="str">
        <x:v>Iberian Coastal</x:v>
      </x:c>
      <x:c r="C356" s="46" t="str">
        <x:v>commercial</x:v>
      </x:c>
      <x:c r="D356" s="46" t="str">
        <x:v>Salmon, smelts, etc</x:v>
      </x:c>
      <x:c r="E356" s="66" t="n">
        <x:v>6</x:v>
      </x:c>
      <x:c r="F356" s="66" t="n">
        <x:v>6</x:v>
      </x:c>
      <x:c r="G356" s="60" t="n">
        <x:v>644.3311274291999</x:v>
      </x:c>
      <x:c r="H356" s="60" t="n">
        <x:v>644.3311274291999</x:v>
      </x:c>
      <x:c r="I356" s="62" t="n">
        <x:v>0</x:v>
      </x:c>
      <x:c r="J356" s="64" t="n">
        <x:v>1</x:v>
      </x:c>
      <x:c r="K356" s="62" t="n">
        <x:v>2054.716089436741</x:v>
      </x:c>
      <x:c r="L356" s="60" t="n">
        <x:v>1323917.5344536921</x:v>
      </x:c>
      <x:c r="M356" s="62" t="n">
        <x:v>4.157123915719983</x:v>
      </x:c>
      <x:c r="N356" s="62" t="n">
        <x:v>1435.8990749525822</x:v>
      </x:c>
      <x:c r="O356" s="60" t="n">
        <x:v>925194.4698387425</x:v>
      </x:c>
      <x:c r="P356" s="60" t="n">
        <x:v>398723.06461494963</x:v>
      </x:c>
      <x:c r="Q356" s="62" t="n">
        <x:v>1.4309613574370428</x:v>
      </x:c>
      <x:c r="R356" s="64" t="n">
        <x:v>0.4309613574370428</x:v>
      </x:c>
    </x:row>
    <x:row r="357" ht="18" customHeight="1">
      <x:c r="A357" s="46" t="str">
        <x:v>LME_025</x:v>
      </x:c>
      <x:c r="B357" s="46" t="str">
        <x:v>Iberian Coastal</x:v>
      </x:c>
      <x:c r="C357" s="46" t="str">
        <x:v>commercial</x:v>
      </x:c>
      <x:c r="D357" s="46" t="str">
        <x:v>Scorpionfishes</x:v>
      </x:c>
      <x:c r="E357" s="66" t="n">
        <x:v>19</x:v>
      </x:c>
      <x:c r="F357" s="66" t="n">
        <x:v>19</x:v>
      </x:c>
      <x:c r="G357" s="60" t="n">
        <x:v>4734.427981729001</x:v>
      </x:c>
      <x:c r="H357" s="60" t="n">
        <x:v>4734.427981729001</x:v>
      </x:c>
      <x:c r="I357" s="62" t="n">
        <x:v>0</x:v>
      </x:c>
      <x:c r="J357" s="64" t="n">
        <x:v>1</x:v>
      </x:c>
      <x:c r="K357" s="62" t="n">
        <x:v>521.996877601278</x:v>
      </x:c>
      <x:c r="L357" s="60" t="n">
        <x:v>2471356.6236906587</x:v>
      </x:c>
      <x:c r="M357" s="62" t="n">
        <x:v>3.691516002012012</x:v>
      </x:c>
      <x:c r="N357" s="62" t="n">
        <x:v>491.4914893582643</x:v>
      </x:c>
      <x:c r="O357" s="60" t="n">
        <x:v>2326931.0599994278</x:v>
      </x:c>
      <x:c r="P357" s="60" t="n">
        <x:v>144425.56369123096</x:v>
      </x:c>
      <x:c r="Q357" s="62" t="n">
        <x:v>1.0620669714603692</x:v>
      </x:c>
      <x:c r="R357" s="64" t="n">
        <x:v>0.06206697146036912</x:v>
      </x:c>
    </x:row>
    <x:row r="358" ht="18" customHeight="1">
      <x:c r="A358" s="46" t="str">
        <x:v>LME_025</x:v>
      </x:c>
      <x:c r="B358" s="46" t="str">
        <x:v>Iberian Coastal</x:v>
      </x:c>
      <x:c r="C358" s="46" t="str">
        <x:v>commercial</x:v>
      </x:c>
      <x:c r="D358" s="46" t="str">
        <x:v>Sharks &amp; rays</x:v>
      </x:c>
      <x:c r="E358" s="66" t="n">
        <x:v>64</x:v>
      </x:c>
      <x:c r="F358" s="66" t="n">
        <x:v>64</x:v>
      </x:c>
      <x:c r="G358" s="60" t="n">
        <x:v>9148.7216320734</x:v>
      </x:c>
      <x:c r="H358" s="60" t="n">
        <x:v>9148.7216320734</x:v>
      </x:c>
      <x:c r="I358" s="62" t="n">
        <x:v>0</x:v>
      </x:c>
      <x:c r="J358" s="64" t="n">
        <x:v>1</x:v>
      </x:c>
      <x:c r="K358" s="62" t="n">
        <x:v>1427.6213977794853</x:v>
      </x:c>
      <x:c r="L358" s="60" t="n">
        <x:v>13060910.764276043</x:v>
      </x:c>
      <x:c r="M358" s="62" t="n">
        <x:v>4.087283560049473</x:v>
      </x:c>
      <x:c r="N358" s="62" t="n">
        <x:v>1222.5976594823267</x:v>
      </x:c>
      <x:c r="O358" s="60" t="n">
        <x:v>11185205.654628271</x:v>
      </x:c>
      <x:c r="P358" s="60" t="n">
        <x:v>1875705.1096477713</x:v>
      </x:c>
      <x:c r="Q358" s="62" t="n">
        <x:v>1.167695183044903</x:v>
      </x:c>
      <x:c r="R358" s="64" t="n">
        <x:v>0.16769518304490294</x:v>
      </x:c>
    </x:row>
    <x:row r="359" ht="18" customHeight="1">
      <x:c r="A359" s="46" t="str">
        <x:v>LME_025</x:v>
      </x:c>
      <x:c r="B359" s="46" t="str">
        <x:v>Iberian Coastal</x:v>
      </x:c>
      <x:c r="C359" s="46" t="str">
        <x:v>commercial</x:v>
      </x:c>
      <x:c r="D359" s="46" t="str">
        <x:v>Tuna &amp; billfishes</x:v>
      </x:c>
      <x:c r="E359" s="66" t="n">
        <x:v>19</x:v>
      </x:c>
      <x:c r="F359" s="66" t="n">
        <x:v>19</x:v>
      </x:c>
      <x:c r="G359" s="60" t="n">
        <x:v>10210.346465610499</x:v>
      </x:c>
      <x:c r="H359" s="60" t="n">
        <x:v>10210.346465610499</x:v>
      </x:c>
      <x:c r="I359" s="62" t="n">
        <x:v>0</x:v>
      </x:c>
      <x:c r="J359" s="64" t="n">
        <x:v>1</x:v>
      </x:c>
      <x:c r="K359" s="62" t="n">
        <x:v>2566.324465106019</x:v>
      </x:c>
      <x:c r="L359" s="60" t="n">
        <x:v>26203061.931904998</x:v>
      </x:c>
      <x:c r="M359" s="62" t="n">
        <x:v>4.398749816320576</x:v>
      </x:c>
      <x:c r="N359" s="62" t="n">
        <x:v>2504.665976406188</x:v>
      </x:c>
      <x:c r="O359" s="60" t="n">
        <x:v>25573507.39973379</x:v>
      </x:c>
      <x:c r="P359" s="60" t="n">
        <x:v>629554.5321712084</x:v>
      </x:c>
      <x:c r="Q359" s="62" t="n">
        <x:v>1.0246174497041325</x:v>
      </x:c>
      <x:c r="R359" s="64" t="n">
        <x:v>0.02461744970413256</x:v>
      </x:c>
    </x:row>
    <x:row r="360" ht="18" customHeight="1">
      <x:c r="A360" s="46" t="str">
        <x:v>LME_026</x:v>
      </x:c>
      <x:c r="B360" s="46" t="str">
        <x:v>Mediterranean Sea</x:v>
      </x:c>
      <x:c r="C360" s="46" t="str">
        <x:v>commercial</x:v>
      </x:c>
      <x:c r="D360" s="46" t="str">
        <x:v>Anchovies</x:v>
      </x:c>
      <x:c r="E360" s="66" t="n">
        <x:v>2</x:v>
      </x:c>
      <x:c r="F360" s="66" t="n">
        <x:v>2</x:v>
      </x:c>
      <x:c r="G360" s="60" t="n">
        <x:v>162917.7874635183</x:v>
      </x:c>
      <x:c r="H360" s="60" t="n">
        <x:v>162917.7874635183</x:v>
      </x:c>
      <x:c r="I360" s="62" t="n">
        <x:v>0</x:v>
      </x:c>
      <x:c r="J360" s="64" t="n">
        <x:v>1</x:v>
      </x:c>
      <x:c r="K360" s="62" t="n">
        <x:v>129.02865114728553</x:v>
      </x:c>
      <x:c r="L360" s="60" t="n">
        <x:v>21021062.36431791</x:v>
      </x:c>
      <x:c r="M360" s="62" t="n">
        <x:v>3.110618002056947</x:v>
      </x:c>
      <x:c r="N360" s="62" t="n">
        <x:v>129.00840387288815</x:v>
      </x:c>
      <x:c r="O360" s="60" t="n">
        <x:v>21017763.72317092</x:v>
      </x:c>
      <x:c r="P360" s="60" t="n">
        <x:v>3298.6411469876766</x:v>
      </x:c>
      <x:c r="Q360" s="62" t="n">
        <x:v>1.0001569453910717</x:v>
      </x:c>
      <x:c r="R360" s="64" t="n">
        <x:v>0.00015694539107179644</x:v>
      </x:c>
    </x:row>
    <x:row r="361" ht="18" customHeight="1">
      <x:c r="A361" s="46" t="str">
        <x:v>LME_026</x:v>
      </x:c>
      <x:c r="B361" s="46" t="str">
        <x:v>Mediterranean Sea</x:v>
      </x:c>
      <x:c r="C361" s="46" t="str">
        <x:v>commercial</x:v>
      </x:c>
      <x:c r="D361" s="46" t="str">
        <x:v>Cod-likes</x:v>
      </x:c>
      <x:c r="E361" s="66" t="n">
        <x:v>21</x:v>
      </x:c>
      <x:c r="F361" s="66" t="n">
        <x:v>21</x:v>
      </x:c>
      <x:c r="G361" s="60" t="n">
        <x:v>33520.18702212189</x:v>
      </x:c>
      <x:c r="H361" s="60" t="n">
        <x:v>33520.18702212189</x:v>
      </x:c>
      <x:c r="I361" s="62" t="n">
        <x:v>0</x:v>
      </x:c>
      <x:c r="J361" s="64" t="n">
        <x:v>1</x:v>
      </x:c>
      <x:c r="K361" s="62" t="n">
        <x:v>1949.4633667150074</x:v>
      </x:c>
      <x:c r="L361" s="60" t="n">
        <x:v>65346376.64506244</x:v>
      </x:c>
      <x:c r="M361" s="62" t="n">
        <x:v>4.2265438324163345</x:v>
      </x:c>
      <x:c r="N361" s="62" t="n">
        <x:v>1684.7824596958212</x:v>
      </x:c>
      <x:c r="O361" s="60" t="n">
        <x:v>56474223.14059447</x:v>
      </x:c>
      <x:c r="P361" s="60" t="n">
        <x:v>8872153.504467972</x:v>
      </x:c>
      <x:c r="Q361" s="62" t="n">
        <x:v>1.1571009393503378</x:v>
      </x:c>
      <x:c r="R361" s="64" t="n">
        <x:v>0.15710093935033775</x:v>
      </x:c>
    </x:row>
    <x:row r="362" ht="18" customHeight="1">
      <x:c r="A362" s="46" t="str">
        <x:v>LME_026</x:v>
      </x:c>
      <x:c r="B362" s="46" t="str">
        <x:v>Mediterranean Sea</x:v>
      </x:c>
      <x:c r="C362" s="46" t="str">
        <x:v>commercial</x:v>
      </x:c>
      <x:c r="D362" s="46" t="str">
        <x:v>Crustaceans</x:v>
      </x:c>
      <x:c r="E362" s="66" t="n">
        <x:v>51</x:v>
      </x:c>
      <x:c r="F362" s="66" t="n">
        <x:v>51</x:v>
      </x:c>
      <x:c r="G362" s="60" t="n">
        <x:v>76859.69305503018</x:v>
      </x:c>
      <x:c r="H362" s="60" t="n">
        <x:v>76859.69305503018</x:v>
      </x:c>
      <x:c r="I362" s="62" t="n">
        <x:v>0</x:v>
      </x:c>
      <x:c r="J362" s="64" t="n">
        <x:v>1</x:v>
      </x:c>
      <x:c r="K362" s="62" t="n">
        <x:v>211.4417291278357</x:v>
      </x:c>
      <x:c r="L362" s="60" t="n">
        <x:v>16251346.399790287</x:v>
      </x:c>
      <x:c r="M362" s="62" t="n">
        <x:v>3.2527185132693632</x:v>
      </x:c>
      <x:c r="N362" s="62" t="n">
        <x:v>178.94456539853087</x:v>
      </x:c>
      <x:c r="O362" s="60" t="n">
        <x:v>13753624.370396856</x:v>
      </x:c>
      <x:c r="P362" s="60" t="n">
        <x:v>2497722.029393431</x:v>
      </x:c>
      <x:c r="Q362" s="62" t="n">
        <x:v>1.1816046419567412</x:v>
      </x:c>
      <x:c r="R362" s="64" t="n">
        <x:v>0.18160464195674117</x:v>
      </x:c>
    </x:row>
    <x:row r="363" ht="18" customHeight="1">
      <x:c r="A363" s="46" t="str">
        <x:v>LME_026</x:v>
      </x:c>
      <x:c r="B363" s="46" t="str">
        <x:v>Mediterranean Sea</x:v>
      </x:c>
      <x:c r="C363" s="46" t="str">
        <x:v>commercial</x:v>
      </x:c>
      <x:c r="D363" s="46" t="str">
        <x:v>Flatfishes</x:v>
      </x:c>
      <x:c r="E363" s="66" t="n">
        <x:v>25</x:v>
      </x:c>
      <x:c r="F363" s="66" t="n">
        <x:v>25</x:v>
      </x:c>
      <x:c r="G363" s="60" t="n">
        <x:v>14487.512709259901</x:v>
      </x:c>
      <x:c r="H363" s="60" t="n">
        <x:v>14487.512709259901</x:v>
      </x:c>
      <x:c r="I363" s="62" t="n">
        <x:v>0</x:v>
      </x:c>
      <x:c r="J363" s="64" t="n">
        <x:v>1</x:v>
      </x:c>
      <x:c r="K363" s="62" t="n">
        <x:v>756.2788464290222</x:v>
      </x:c>
      <x:c r="L363" s="60" t="n">
        <x:v>10956599.399384877</x:v>
      </x:c>
      <x:c r="M363" s="62" t="n">
        <x:v>3.572205374580053</x:v>
      </x:c>
      <x:c r="N363" s="62" t="n">
        <x:v>373.42670671703644</x:v>
      </x:c>
      <x:c r="O363" s="60" t="n">
        <x:v>5410024.159540135</x:v>
      </x:c>
      <x:c r="P363" s="60" t="n">
        <x:v>5546575.239844741</x:v>
      </x:c>
      <x:c r="Q363" s="62" t="n">
        <x:v>2.0252403827187737</x:v>
      </x:c>
      <x:c r="R363" s="64" t="n">
        <x:v>1.025240382718774</x:v>
      </x:c>
    </x:row>
    <x:row r="364" ht="18" customHeight="1">
      <x:c r="A364" s="46" t="str">
        <x:v>LME_026</x:v>
      </x:c>
      <x:c r="B364" s="46" t="str">
        <x:v>Mediterranean Sea</x:v>
      </x:c>
      <x:c r="C364" s="46" t="str">
        <x:v>commercial</x:v>
      </x:c>
      <x:c r="D364" s="46" t="str">
        <x:v>Herring-likes</x:v>
      </x:c>
      <x:c r="E364" s="66" t="n">
        <x:v>10</x:v>
      </x:c>
      <x:c r="F364" s="66" t="n">
        <x:v>10</x:v>
      </x:c>
      <x:c r="G364" s="60" t="n">
        <x:v>254721.02536577111</x:v>
      </x:c>
      <x:c r="H364" s="60" t="n">
        <x:v>254721.02536577111</x:v>
      </x:c>
      <x:c r="I364" s="62" t="n">
        <x:v>0</x:v>
      </x:c>
      <x:c r="J364" s="64" t="n">
        <x:v>1</x:v>
      </x:c>
      <x:c r="K364" s="62" t="n">
        <x:v>114.89676239183846</x:v>
      </x:c>
      <x:c r="L364" s="60" t="n">
        <x:v>29266621.127656464</x:v>
      </x:c>
      <x:c r="M364" s="62" t="n">
        <x:v>3.015983309592709</x:v>
      </x:c>
      <x:c r="N364" s="62" t="n">
        <x:v>103.74885432435026</x:v>
      </x:c>
      <x:c r="O364" s="60" t="n">
        <x:v>26427014.554022517</x:v>
      </x:c>
      <x:c r="P364" s="60" t="n">
        <x:v>2839606.5736339465</x:v>
      </x:c>
      <x:c r="Q364" s="62" t="n">
        <x:v>1.1074509028565893</x:v>
      </x:c>
      <x:c r="R364" s="64" t="n">
        <x:v>0.10745090285658936</x:v>
      </x:c>
    </x:row>
    <x:row r="365" ht="18" customHeight="1">
      <x:c r="A365" s="46" t="str">
        <x:v>LME_026</x:v>
      </x:c>
      <x:c r="B365" s="46" t="str">
        <x:v>Mediterranean Sea</x:v>
      </x:c>
      <x:c r="C365" s="46" t="str">
        <x:v>commercial</x:v>
      </x:c>
      <x:c r="D365" s="46" t="str">
        <x:v>Molluscs</x:v>
      </x:c>
      <x:c r="E365" s="66" t="n">
        <x:v>36</x:v>
      </x:c>
      <x:c r="F365" s="66" t="n">
        <x:v>36</x:v>
      </x:c>
      <x:c r="G365" s="60" t="n">
        <x:v>65085.24309026881</x:v>
      </x:c>
      <x:c r="H365" s="60" t="n">
        <x:v>65085.24309026881</x:v>
      </x:c>
      <x:c r="I365" s="62" t="n">
        <x:v>0</x:v>
      </x:c>
      <x:c r="J365" s="64" t="n">
        <x:v>1</x:v>
      </x:c>
      <x:c r="K365" s="62" t="n">
        <x:v>41.548787250554064</x:v>
      </x:c>
      <x:c r="L365" s="60" t="n">
        <x:v>2704212.9183081724</x:v>
      </x:c>
      <x:c r="M365" s="62" t="n">
        <x:v>2.4906221896898115</x:v>
      </x:c>
      <x:c r="N365" s="62" t="n">
        <x:v>30.94725900786842</x:v>
      </x:c>
      <x:c r="O365" s="60" t="n">
        <x:v>2014209.8755046274</x:v>
      </x:c>
      <x:c r="P365" s="60" t="n">
        <x:v>690003.042803545</x:v>
      </x:c>
      <x:c r="Q365" s="62" t="n">
        <x:v>1.3425675999283222</x:v>
      </x:c>
      <x:c r="R365" s="64" t="n">
        <x:v>0.3425675999283223</x:v>
      </x:c>
    </x:row>
    <x:row r="366" ht="18" customHeight="1">
      <x:c r="A366" s="46" t="str">
        <x:v>LME_026</x:v>
      </x:c>
      <x:c r="B366" s="46" t="str">
        <x:v>Mediterranean Sea</x:v>
      </x:c>
      <x:c r="C366" s="46" t="str">
        <x:v>commercial</x:v>
      </x:c>
      <x:c r="D366" s="46" t="str">
        <x:v>Other fishes &amp; inverts</x:v>
      </x:c>
      <x:c r="E366" s="66" t="n">
        <x:v>86</x:v>
      </x:c>
      <x:c r="F366" s="66" t="n">
        <x:v>86</x:v>
      </x:c>
      <x:c r="G366" s="60" t="n">
        <x:v>276436.8940301527</x:v>
      </x:c>
      <x:c r="H366" s="60" t="n">
        <x:v>276436.8940301527</x:v>
      </x:c>
      <x:c r="I366" s="62" t="n">
        <x:v>0</x:v>
      </x:c>
      <x:c r="J366" s="64" t="n">
        <x:v>1</x:v>
      </x:c>
      <x:c r="K366" s="62" t="n">
        <x:v>490.6770867741561</x:v>
      </x:c>
      <x:c r="L366" s="60" t="n">
        <x:v>135641249.83961144</x:v>
      </x:c>
      <x:c r="M366" s="62" t="n">
        <x:v>3.485736636277754</x:v>
      </x:c>
      <x:c r="N366" s="62" t="n">
        <x:v>306.01071687374235</x:v>
      </x:c>
      <x:c r="O366" s="60" t="n">
        <x:v>84592652.11251777</x:v>
      </x:c>
      <x:c r="P366" s="60" t="n">
        <x:v>51048597.72709367</x:v>
      </x:c>
      <x:c r="Q366" s="62" t="n">
        <x:v>1.603463734169172</x:v>
      </x:c>
      <x:c r="R366" s="64" t="n">
        <x:v>0.603463734169172</x:v>
      </x:c>
    </x:row>
    <x:row r="367" ht="18" customHeight="1">
      <x:c r="A367" s="46" t="str">
        <x:v>LME_026</x:v>
      </x:c>
      <x:c r="B367" s="46" t="str">
        <x:v>Mediterranean Sea</x:v>
      </x:c>
      <x:c r="C367" s="46" t="str">
        <x:v>commercial</x:v>
      </x:c>
      <x:c r="D367" s="46" t="str">
        <x:v>Perch-likes</x:v>
      </x:c>
      <x:c r="E367" s="66" t="n">
        <x:v>139</x:v>
      </x:c>
      <x:c r="F367" s="66" t="n">
        <x:v>139</x:v>
      </x:c>
      <x:c r="G367" s="60" t="n">
        <x:v>404014.8436488525</x:v>
      </x:c>
      <x:c r="H367" s="60" t="n">
        <x:v>404014.8436488525</x:v>
      </x:c>
      <x:c r="I367" s="62" t="n">
        <x:v>0</x:v>
      </x:c>
      <x:c r="J367" s="64" t="n">
        <x:v>1</x:v>
      </x:c>
      <x:c r="K367" s="62" t="n">
        <x:v>665.4973998581248</x:v>
      </x:c>
      <x:c r="L367" s="60" t="n">
        <x:v>268870827.9523982</x:v>
      </x:c>
      <x:c r="M367" s="62" t="n">
        <x:v>3.5161024941373666</x:v>
      </x:c>
      <x:c r="N367" s="62" t="n">
        <x:v>328.1727332231495</x:v>
      </x:c>
      <x:c r="O367" s="60" t="n">
        <x:v>132586655.50296733</x:v>
      </x:c>
      <x:c r="P367" s="60" t="n">
        <x:v>136284172.44943085</x:v>
      </x:c>
      <x:c r="Q367" s="62" t="n">
        <x:v>2.0278875497118243</x:v>
      </x:c>
      <x:c r="R367" s="64" t="n">
        <x:v>1.0278875497118243</x:v>
      </x:c>
    </x:row>
    <x:row r="368" ht="18" customHeight="1">
      <x:c r="A368" s="46" t="str">
        <x:v>LME_026</x:v>
      </x:c>
      <x:c r="B368" s="46" t="str">
        <x:v>Mediterranean Sea</x:v>
      </x:c>
      <x:c r="C368" s="46" t="str">
        <x:v>commercial</x:v>
      </x:c>
      <x:c r="D368" s="46" t="str">
        <x:v>Salmon, smelts, etc</x:v>
      </x:c>
      <x:c r="E368" s="66" t="n">
        <x:v>3</x:v>
      </x:c>
      <x:c r="F368" s="66" t="n">
        <x:v>3</x:v>
      </x:c>
      <x:c r="G368" s="60" t="n">
        <x:v>519.7187743258</x:v>
      </x:c>
      <x:c r="H368" s="60" t="n">
        <x:v>519.7187743258</x:v>
      </x:c>
      <x:c r="I368" s="62" t="n">
        <x:v>0</x:v>
      </x:c>
      <x:c r="J368" s="64" t="n">
        <x:v>1</x:v>
      </x:c>
      <x:c r="K368" s="62" t="n">
        <x:v>343.1859006772494</x:v>
      </x:c>
      <x:c r="L368" s="60" t="n">
        <x:v>178360.1556658758</x:v>
      </x:c>
      <x:c r="M368" s="62" t="n">
        <x:v>3.5170087267003316</x:v>
      </x:c>
      <x:c r="N368" s="62" t="n">
        <x:v>328.85823887720966</x:v>
      </x:c>
      <x:c r="O368" s="60" t="n">
        <x:v>170913.80083620458</x:v>
      </x:c>
      <x:c r="P368" s="60" t="n">
        <x:v>7446.354829671211</x:v>
      </x:c>
      <x:c r="Q368" s="62" t="n">
        <x:v>1.0435678967598845</x:v>
      </x:c>
      <x:c r="R368" s="64" t="n">
        <x:v>0.043567896759884435</x:v>
      </x:c>
    </x:row>
    <x:row r="369" ht="18" customHeight="1">
      <x:c r="A369" s="46" t="str">
        <x:v>LME_026</x:v>
      </x:c>
      <x:c r="B369" s="46" t="str">
        <x:v>Mediterranean Sea</x:v>
      </x:c>
      <x:c r="C369" s="46" t="str">
        <x:v>commercial</x:v>
      </x:c>
      <x:c r="D369" s="46" t="str">
        <x:v>Scorpionfishes</x:v>
      </x:c>
      <x:c r="E369" s="66" t="n">
        <x:v>20</x:v>
      </x:c>
      <x:c r="F369" s="66" t="n">
        <x:v>20</x:v>
      </x:c>
      <x:c r="G369" s="60" t="n">
        <x:v>18986.876146204402</x:v>
      </x:c>
      <x:c r="H369" s="60" t="n">
        <x:v>18986.876146204402</x:v>
      </x:c>
      <x:c r="I369" s="62" t="n">
        <x:v>0</x:v>
      </x:c>
      <x:c r="J369" s="64" t="n">
        <x:v>1</x:v>
      </x:c>
      <x:c r="K369" s="62" t="n">
        <x:v>782.693457267512</x:v>
      </x:c>
      <x:c r="L369" s="60" t="n">
        <x:v>14860903.73358278</x:v>
      </x:c>
      <x:c r="M369" s="62" t="n">
        <x:v>3.8647060690238453</x:v>
      </x:c>
      <x:c r="N369" s="62" t="n">
        <x:v>732.3287245012853</x:v>
      </x:c>
      <x:c r="O369" s="60" t="n">
        <x:v>13904634.790413748</x:v>
      </x:c>
      <x:c r="P369" s="60" t="n">
        <x:v>956268.9431690313</x:v>
      </x:c>
      <x:c r="Q369" s="62" t="n">
        <x:v>1.0687733951724003</x:v>
      </x:c>
      <x:c r="R369" s="64" t="n">
        <x:v>0.06877339517240039</x:v>
      </x:c>
    </x:row>
    <x:row r="370" ht="18" customHeight="1">
      <x:c r="A370" s="46" t="str">
        <x:v>LME_026</x:v>
      </x:c>
      <x:c r="B370" s="46" t="str">
        <x:v>Mediterranean Sea</x:v>
      </x:c>
      <x:c r="C370" s="46" t="str">
        <x:v>commercial</x:v>
      </x:c>
      <x:c r="D370" s="46" t="str">
        <x:v>Sharks &amp; rays</x:v>
      </x:c>
      <x:c r="E370" s="66" t="n">
        <x:v>70</x:v>
      </x:c>
      <x:c r="F370" s="66" t="n">
        <x:v>70</x:v>
      </x:c>
      <x:c r="G370" s="60" t="n">
        <x:v>67479.37981520522</x:v>
      </x:c>
      <x:c r="H370" s="60" t="n">
        <x:v>67479.37981520522</x:v>
      </x:c>
      <x:c r="I370" s="62" t="n">
        <x:v>0</x:v>
      </x:c>
      <x:c r="J370" s="64" t="n">
        <x:v>1</x:v>
      </x:c>
      <x:c r="K370" s="62" t="n">
        <x:v>1894.3170945963054</x:v>
      </x:c>
      <x:c r="L370" s="60" t="n">
        <x:v>127827342.71670012</x:v>
      </x:c>
      <x:c r="M370" s="62" t="n">
        <x:v>4.225408426687299</x:v>
      </x:c>
      <x:c r="N370" s="62" t="n">
        <x:v>1680.3835704941484</x:v>
      </x:c>
      <x:c r="O370" s="60" t="n">
        <x:v>113391241.18860532</x:v>
      </x:c>
      <x:c r="P370" s="60" t="n">
        <x:v>14436101.528094798</x:v>
      </x:c>
      <x:c r="Q370" s="62" t="n">
        <x:v>1.1273123159846448</x:v>
      </x:c>
      <x:c r="R370" s="64" t="n">
        <x:v>0.12731231598464487</x:v>
      </x:c>
    </x:row>
    <x:row r="371" ht="18" customHeight="1">
      <x:c r="A371" s="46" t="str">
        <x:v>LME_026</x:v>
      </x:c>
      <x:c r="B371" s="46" t="str">
        <x:v>Mediterranean Sea</x:v>
      </x:c>
      <x:c r="C371" s="46" t="str">
        <x:v>commercial</x:v>
      </x:c>
      <x:c r="D371" s="46" t="str">
        <x:v>Tuna &amp; billfishes</x:v>
      </x:c>
      <x:c r="E371" s="66" t="n">
        <x:v>19</x:v>
      </x:c>
      <x:c r="F371" s="66" t="n">
        <x:v>19</x:v>
      </x:c>
      <x:c r="G371" s="60" t="n">
        <x:v>112712.46580314249</x:v>
      </x:c>
      <x:c r="H371" s="60" t="n">
        <x:v>112712.46580314249</x:v>
      </x:c>
      <x:c r="I371" s="62" t="n">
        <x:v>0</x:v>
      </x:c>
      <x:c r="J371" s="64" t="n">
        <x:v>1</x:v>
      </x:c>
      <x:c r="K371" s="62" t="n">
        <x:v>2794.641141834658</x:v>
      </x:c>
      <x:c r="L371" s="60" t="n">
        <x:v>314990894.131094</x:v>
      </x:c>
      <x:c r="M371" s="62" t="n">
        <x:v>4.436628424931948</x:v>
      </x:c>
      <x:c r="N371" s="62" t="n">
        <x:v>2732.9294771563173</x:v>
      </x:c>
      <x:c r="O371" s="60" t="n">
        <x:v>308035220.2363815</x:v>
      </x:c>
      <x:c r="P371" s="60" t="n">
        <x:v>6955673.894712508</x:v>
      </x:c>
      <x:c r="Q371" s="62" t="n">
        <x:v>1.0225807746574396</x:v>
      </x:c>
      <x:c r="R371" s="64" t="n">
        <x:v>0.022580774657439597</x:v>
      </x:c>
    </x:row>
    <x:row r="372" ht="18" customHeight="1">
      <x:c r="A372" s="46" t="str">
        <x:v>LME_027</x:v>
      </x:c>
      <x:c r="B372" s="46" t="str">
        <x:v>Canary Current</x:v>
      </x:c>
      <x:c r="C372" s="46" t="str">
        <x:v>commercial</x:v>
      </x:c>
      <x:c r="D372" s="46" t="str">
        <x:v>Anchovies</x:v>
      </x:c>
      <x:c r="E372" s="66" t="n">
        <x:v>2</x:v>
      </x:c>
      <x:c r="F372" s="66" t="n">
        <x:v>2</x:v>
      </x:c>
      <x:c r="G372" s="60" t="n">
        <x:v>26687.1808469247</x:v>
      </x:c>
      <x:c r="H372" s="60" t="n">
        <x:v>26687.1808469247</x:v>
      </x:c>
      <x:c r="I372" s="62" t="n">
        <x:v>0</x:v>
      </x:c>
      <x:c r="J372" s="64" t="n">
        <x:v>1</x:v>
      </x:c>
      <x:c r="K372" s="62" t="n">
        <x:v>128.93563559966847</x:v>
      </x:c>
      <x:c r="L372" s="60" t="n">
        <x:v>3440928.624861535</x:v>
      </x:c>
      <x:c r="M372" s="62" t="n">
        <x:v>3.1103357981551927</x:v>
      </x:c>
      <x:c r="N372" s="62" t="n">
        <x:v>128.92460163613663</x:v>
      </x:c>
      <x:c r="O372" s="60" t="n">
        <x:v>3440634.1594813024</x:v>
      </x:c>
      <x:c r="P372" s="60" t="n">
        <x:v>294.4653802327812</x:v>
      </x:c>
      <x:c r="Q372" s="62" t="n">
        <x:v>1.0000855846238175</x:v>
      </x:c>
      <x:c r="R372" s="64" t="n">
        <x:v>0.0000855846238174807</x:v>
      </x:c>
    </x:row>
    <x:row r="373" ht="18" customHeight="1">
      <x:c r="A373" s="46" t="str">
        <x:v>LME_027</x:v>
      </x:c>
      <x:c r="B373" s="46" t="str">
        <x:v>Canary Current</x:v>
      </x:c>
      <x:c r="C373" s="46" t="str">
        <x:v>commercial</x:v>
      </x:c>
      <x:c r="D373" s="46" t="str">
        <x:v>Cod-likes</x:v>
      </x:c>
      <x:c r="E373" s="66" t="n">
        <x:v>14</x:v>
      </x:c>
      <x:c r="F373" s="66" t="n">
        <x:v>14</x:v>
      </x:c>
      <x:c r="G373" s="60" t="n">
        <x:v>94231.65227819631</x:v>
      </x:c>
      <x:c r="H373" s="60" t="n">
        <x:v>94231.65227819631</x:v>
      </x:c>
      <x:c r="I373" s="62" t="n">
        <x:v>0</x:v>
      </x:c>
      <x:c r="J373" s="64" t="n">
        <x:v>1</x:v>
      </x:c>
      <x:c r="K373" s="62" t="n">
        <x:v>2654.2169648532395</x:v>
      </x:c>
      <x:c r="L373" s="60" t="n">
        <x:v>250111250.10294005</x:v>
      </x:c>
      <x:c r="M373" s="62" t="n">
        <x:v>4.417958767513354</x:v>
      </x:c>
      <x:c r="N373" s="62" t="n">
        <x:v>2617.9344462963095</x:v>
      </x:c>
      <x:c r="O373" s="60" t="n">
        <x:v>246692288.43050623</x:v>
      </x:c>
      <x:c r="P373" s="60" t="n">
        <x:v>3418961.6724338233</x:v>
      </x:c>
      <x:c r="Q373" s="62" t="n">
        <x:v>1.013859215844102</x:v>
      </x:c>
      <x:c r="R373" s="64" t="n">
        <x:v>0.013859215844101882</x:v>
      </x:c>
    </x:row>
    <x:row r="374" ht="18" customHeight="1">
      <x:c r="A374" s="46" t="str">
        <x:v>LME_027</x:v>
      </x:c>
      <x:c r="B374" s="46" t="str">
        <x:v>Canary Current</x:v>
      </x:c>
      <x:c r="C374" s="46" t="str">
        <x:v>commercial</x:v>
      </x:c>
      <x:c r="D374" s="46" t="str">
        <x:v>Crustaceans</x:v>
      </x:c>
      <x:c r="E374" s="66" t="n">
        <x:v>24</x:v>
      </x:c>
      <x:c r="F374" s="66" t="n">
        <x:v>24</x:v>
      </x:c>
      <x:c r="G374" s="60" t="n">
        <x:v>40645.767301183594</x:v>
      </x:c>
      <x:c r="H374" s="60" t="n">
        <x:v>40645.767301183594</x:v>
      </x:c>
      <x:c r="I374" s="62" t="n">
        <x:v>0</x:v>
      </x:c>
      <x:c r="J374" s="64" t="n">
        <x:v>1</x:v>
      </x:c>
      <x:c r="K374" s="62" t="n">
        <x:v>137.2006304200693</x:v>
      </x:c>
      <x:c r="L374" s="60" t="n">
        <x:v>5576624.897629828</x:v>
      </x:c>
      <x:c r="M374" s="62" t="n">
        <x:v>3.0834267066908874</x:v>
      </x:c>
      <x:c r="N374" s="62" t="n">
        <x:v>121.17881652012504</x:v>
      </x:c>
      <x:c r="O374" s="60" t="n">
        <x:v>4925405.9781098245</x:v>
      </x:c>
      <x:c r="P374" s="60" t="n">
        <x:v>651218.9195200037</x:v>
      </x:c>
      <x:c r="Q374" s="62" t="n">
        <x:v>1.1322162929135673</x:v>
      </x:c>
      <x:c r="R374" s="64" t="n">
        <x:v>0.13221629291356723</x:v>
      </x:c>
    </x:row>
    <x:row r="375" ht="18" customHeight="1">
      <x:c r="A375" s="46" t="str">
        <x:v>LME_027</x:v>
      </x:c>
      <x:c r="B375" s="46" t="str">
        <x:v>Canary Current</x:v>
      </x:c>
      <x:c r="C375" s="46" t="str">
        <x:v>commercial</x:v>
      </x:c>
      <x:c r="D375" s="46" t="str">
        <x:v>Flatfishes</x:v>
      </x:c>
      <x:c r="E375" s="66" t="n">
        <x:v>18</x:v>
      </x:c>
      <x:c r="F375" s="66" t="n">
        <x:v>18</x:v>
      </x:c>
      <x:c r="G375" s="60" t="n">
        <x:v>37418.0255920436</x:v>
      </x:c>
      <x:c r="H375" s="60" t="n">
        <x:v>37418.0255920436</x:v>
      </x:c>
      <x:c r="I375" s="62" t="n">
        <x:v>0</x:v>
      </x:c>
      <x:c r="J375" s="64" t="n">
        <x:v>1</x:v>
      </x:c>
      <x:c r="K375" s="62" t="n">
        <x:v>348.1252331368112</x:v>
      </x:c>
      <x:c r="L375" s="60" t="n">
        <x:v>13026158.882749347</x:v>
      </x:c>
      <x:c r="M375" s="62" t="n">
        <x:v>3.4806313532564084</x:v>
      </x:c>
      <x:c r="N375" s="62" t="n">
        <x:v>302.4345151587278</x:v>
      </x:c>
      <x:c r="O375" s="60" t="n">
        <x:v>11316502.428126575</x:v>
      </x:c>
      <x:c r="P375" s="60" t="n">
        <x:v>1709656.4546227716</x:v>
      </x:c>
      <x:c r="Q375" s="62" t="n">
        <x:v>1.1510764006353686</x:v>
      </x:c>
      <x:c r="R375" s="64" t="n">
        <x:v>0.15107640063536856</x:v>
      </x:c>
    </x:row>
    <x:row r="376" ht="18" customHeight="1">
      <x:c r="A376" s="46" t="str">
        <x:v>LME_027</x:v>
      </x:c>
      <x:c r="B376" s="46" t="str">
        <x:v>Canary Current</x:v>
      </x:c>
      <x:c r="C376" s="46" t="str">
        <x:v>commercial</x:v>
      </x:c>
      <x:c r="D376" s="46" t="str">
        <x:v>Herring-likes</x:v>
      </x:c>
      <x:c r="E376" s="66" t="n">
        <x:v>8</x:v>
      </x:c>
      <x:c r="F376" s="66" t="n">
        <x:v>8</x:v>
      </x:c>
      <x:c r="G376" s="60" t="n">
        <x:v>2390071.1965708393</x:v>
      </x:c>
      <x:c r="H376" s="60" t="n">
        <x:v>2390071.1965708393</x:v>
      </x:c>
      <x:c r="I376" s="62" t="n">
        <x:v>0</x:v>
      </x:c>
      <x:c r="J376" s="64" t="n">
        <x:v>1</x:v>
      </x:c>
      <x:c r="K376" s="62" t="n">
        <x:v>119.29953701327959</x:v>
      </x:c>
      <x:c r="L376" s="60" t="n">
        <x:v>285134387.1796763</x:v>
      </x:c>
      <x:c r="M376" s="62" t="n">
        <x:v>3.037485032297229</x:v>
      </x:c>
      <x:c r="N376" s="62" t="n">
        <x:v>109.01469204680457</x:v>
      </x:c>
      <x:c r="O376" s="60" t="n">
        <x:v>260552875.46410775</x:v>
      </x:c>
      <x:c r="P376" s="60" t="n">
        <x:v>24581511.715568542</x:v>
      </x:c>
      <x:c r="Q376" s="62" t="n">
        <x:v>1.0943436593120799</x:v>
      </x:c>
      <x:c r="R376" s="64" t="n">
        <x:v>0.09434365931207982</x:v>
      </x:c>
    </x:row>
    <x:row r="377" ht="18" customHeight="1">
      <x:c r="A377" s="46" t="str">
        <x:v>LME_027</x:v>
      </x:c>
      <x:c r="B377" s="46" t="str">
        <x:v>Canary Current</x:v>
      </x:c>
      <x:c r="C377" s="46" t="str">
        <x:v>commercial</x:v>
      </x:c>
      <x:c r="D377" s="46" t="str">
        <x:v>Molluscs</x:v>
      </x:c>
      <x:c r="E377" s="66" t="n">
        <x:v>14</x:v>
      </x:c>
      <x:c r="F377" s="66" t="n">
        <x:v>14</x:v>
      </x:c>
      <x:c r="G377" s="60" t="n">
        <x:v>27631.596812516203</x:v>
      </x:c>
      <x:c r="H377" s="60" t="n">
        <x:v>27631.596812516203</x:v>
      </x:c>
      <x:c r="I377" s="62" t="n">
        <x:v>0</x:v>
      </x:c>
      <x:c r="J377" s="64" t="n">
        <x:v>1</x:v>
      </x:c>
      <x:c r="K377" s="62" t="n">
        <x:v>13.817525482991638</x:v>
      </x:c>
      <x:c r="L377" s="60" t="n">
        <x:v>381800.29309269314</x:v>
      </x:c>
      <x:c r="M377" s="62" t="n">
        <x:v>2.057403287932293</x:v>
      </x:c>
      <x:c r="N377" s="62" t="n">
        <x:v>11.413091207403308</x:v>
      </x:c>
      <x:c r="O377" s="60" t="n">
        <x:v>315361.934627442</x:v>
      </x:c>
      <x:c r="P377" s="60" t="n">
        <x:v>66438.35846525116</x:v>
      </x:c>
      <x:c r="Q377" s="62" t="n">
        <x:v>1.2106733602574427</x:v>
      </x:c>
      <x:c r="R377" s="64" t="n">
        <x:v>0.21067336025744265</x:v>
      </x:c>
    </x:row>
    <x:row r="378" ht="18" customHeight="1">
      <x:c r="A378" s="46" t="str">
        <x:v>LME_027</x:v>
      </x:c>
      <x:c r="B378" s="46" t="str">
        <x:v>Canary Current</x:v>
      </x:c>
      <x:c r="C378" s="46" t="str">
        <x:v>commercial</x:v>
      </x:c>
      <x:c r="D378" s="46" t="str">
        <x:v>Other fishes &amp; inverts</x:v>
      </x:c>
      <x:c r="E378" s="66" t="n">
        <x:v>68</x:v>
      </x:c>
      <x:c r="F378" s="66" t="n">
        <x:v>68</x:v>
      </x:c>
      <x:c r="G378" s="60" t="n">
        <x:v>1560886.6637494164</x:v>
      </x:c>
      <x:c r="H378" s="60" t="n">
        <x:v>1560886.6637494164</x:v>
      </x:c>
      <x:c r="I378" s="62" t="n">
        <x:v>0</x:v>
      </x:c>
      <x:c r="J378" s="64" t="n">
        <x:v>1</x:v>
      </x:c>
      <x:c r="K378" s="62" t="n">
        <x:v>272.2586644283632</x:v>
      </x:c>
      <x:c r="L378" s="60" t="n">
        <x:v>424964918.3964597</x:v>
      </x:c>
      <x:c r="M378" s="62" t="n">
        <x:v>3.3273082456953698</x:v>
      </x:c>
      <x:c r="N378" s="62" t="n">
        <x:v>212.47519950468316</x:v>
      </x:c>
      <x:c r="O378" s="60" t="n">
        <x:v>331649705.28435653</x:v>
      </x:c>
      <x:c r="P378" s="60" t="n">
        <x:v>93315213.11210316</x:v>
      </x:c>
      <x:c r="Q378" s="62" t="n">
        <x:v>1.2813667903974004</x:v>
      </x:c>
      <x:c r="R378" s="64" t="n">
        <x:v>0.2813667903974004</x:v>
      </x:c>
    </x:row>
    <x:row r="379" ht="18" customHeight="1">
      <x:c r="A379" s="46" t="str">
        <x:v>LME_027</x:v>
      </x:c>
      <x:c r="B379" s="46" t="str">
        <x:v>Canary Current</x:v>
      </x:c>
      <x:c r="C379" s="46" t="str">
        <x:v>commercial</x:v>
      </x:c>
      <x:c r="D379" s="46" t="str">
        <x:v>Perch-likes</x:v>
      </x:c>
      <x:c r="E379" s="66" t="n">
        <x:v>169</x:v>
      </x:c>
      <x:c r="F379" s="66" t="n">
        <x:v>169</x:v>
      </x:c>
      <x:c r="G379" s="60" t="n">
        <x:v>1384458.6660075733</x:v>
      </x:c>
      <x:c r="H379" s="60" t="n">
        <x:v>1384458.6660075733</x:v>
      </x:c>
      <x:c r="I379" s="62" t="n">
        <x:v>0</x:v>
      </x:c>
      <x:c r="J379" s="64" t="n">
        <x:v>1</x:v>
      </x:c>
      <x:c r="K379" s="62" t="n">
        <x:v>641.8823930146758</x:v>
      </x:c>
      <x:c r="L379" s="60" t="n">
        <x:v>888659641.566847</x:v>
      </x:c>
      <x:c r="M379" s="62" t="n">
        <x:v>3.690010722774576</x:v>
      </x:c>
      <x:c r="N379" s="62" t="n">
        <x:v>489.7909122061986</x:v>
      </x:c>
      <x:c r="O379" s="60" t="n">
        <x:v>678095272.9356261</x:v>
      </x:c>
      <x:c r="P379" s="60" t="n">
        <x:v>210564368.63122082</x:v>
      </x:c>
      <x:c r="Q379" s="62" t="n">
        <x:v>1.3105232804818718</x:v>
      </x:c>
      <x:c r="R379" s="64" t="n">
        <x:v>0.3105232804818718</x:v>
      </x:c>
    </x:row>
    <x:row r="380" ht="18" customHeight="1">
      <x:c r="A380" s="46" t="str">
        <x:v>LME_027</x:v>
      </x:c>
      <x:c r="B380" s="46" t="str">
        <x:v>Canary Current</x:v>
      </x:c>
      <x:c r="C380" s="46" t="str">
        <x:v>commercial</x:v>
      </x:c>
      <x:c r="D380" s="46" t="str">
        <x:v>Salmon, smelts, etc</x:v>
      </x:c>
      <x:c r="E380" s="66" t="n">
        <x:v>1</x:v>
      </x:c>
      <x:c r="F380" s="66" t="n">
        <x:v>1</x:v>
      </x:c>
      <x:c r="G380" s="60" t="n">
        <x:v>288.3642016095</x:v>
      </x:c>
      <x:c r="H380" s="60" t="n">
        <x:v>288.3642016095</x:v>
      </x:c>
      <x:c r="I380" s="62" t="n">
        <x:v>0</x:v>
      </x:c>
      <x:c r="J380" s="64" t="n">
        <x:v>1</x:v>
      </x:c>
      <x:c r="K380" s="62" t="n">
        <x:v>416.8693834703355</x:v>
      </x:c>
      <x:c r="L380" s="60" t="n">
        <x:v>120210.2069398678</x:v>
      </x:c>
      <x:c r="M380" s="62" t="n">
        <x:v>3.6199999999999997</x:v>
      </x:c>
      <x:c r="N380" s="62" t="n">
        <x:v>416.8693834703351</x:v>
      </x:c>
      <x:c r="O380" s="60" t="n">
        <x:v>120210.20693986768</x:v>
      </x:c>
      <x:c r="P380" s="60" t="n">
        <x:v>1.1641532182693481e-10</x:v>
      </x:c>
      <x:c r="Q380" s="62" t="n">
        <x:v>1.0000000000000009</x:v>
      </x:c>
      <x:c r="R380" s="64" t="n">
        <x:v>9.684312571325064e-16</x:v>
      </x:c>
    </x:row>
    <x:row r="381" ht="18" customHeight="1">
      <x:c r="A381" s="46" t="str">
        <x:v>LME_027</x:v>
      </x:c>
      <x:c r="B381" s="46" t="str">
        <x:v>Canary Current</x:v>
      </x:c>
      <x:c r="C381" s="46" t="str">
        <x:v>commercial</x:v>
      </x:c>
      <x:c r="D381" s="46" t="str">
        <x:v>Scorpionfishes</x:v>
      </x:c>
      <x:c r="E381" s="66" t="n">
        <x:v>12</x:v>
      </x:c>
      <x:c r="F381" s="66" t="n">
        <x:v>12</x:v>
      </x:c>
      <x:c r="G381" s="60" t="n">
        <x:v>14191.6686893406</x:v>
      </x:c>
      <x:c r="H381" s="60" t="n">
        <x:v>14191.6686893406</x:v>
      </x:c>
      <x:c r="I381" s="62" t="n">
        <x:v>0</x:v>
      </x:c>
      <x:c r="J381" s="64" t="n">
        <x:v>1</x:v>
      </x:c>
      <x:c r="K381" s="62" t="n">
        <x:v>571.7031534996822</x:v>
      </x:c>
      <x:c r="L381" s="60" t="n">
        <x:v>8113421.743118724</x:v>
      </x:c>
      <x:c r="M381" s="62" t="n">
        <x:v>3.7205036585893376</x:v>
      </x:c>
      <x:c r="N381" s="62" t="n">
        <x:v>525.4164413115933</x:v>
      </x:c>
      <x:c r="O381" s="60" t="n">
        <x:v>7456536.059026502</x:v>
      </x:c>
      <x:c r="P381" s="60" t="n">
        <x:v>656885.6840922218</x:v>
      </x:c>
      <x:c r="Q381" s="62" t="n">
        <x:v>1.0880952869928162</x:v>
      </x:c>
      <x:c r="R381" s="64" t="n">
        <x:v>0.08809528699281612</x:v>
      </x:c>
    </x:row>
    <x:row r="382" ht="18" customHeight="1">
      <x:c r="A382" s="46" t="str">
        <x:v>LME_027</x:v>
      </x:c>
      <x:c r="B382" s="46" t="str">
        <x:v>Canary Current</x:v>
      </x:c>
      <x:c r="C382" s="46" t="str">
        <x:v>commercial</x:v>
      </x:c>
      <x:c r="D382" s="46" t="str">
        <x:v>Sharks &amp; rays</x:v>
      </x:c>
      <x:c r="E382" s="66" t="n">
        <x:v>62</x:v>
      </x:c>
      <x:c r="F382" s="66" t="n">
        <x:v>62</x:v>
      </x:c>
      <x:c r="G382" s="60" t="n">
        <x:v>50035.98591157389</x:v>
      </x:c>
      <x:c r="H382" s="60" t="n">
        <x:v>50035.98591157389</x:v>
      </x:c>
      <x:c r="I382" s="62" t="n">
        <x:v>0</x:v>
      </x:c>
      <x:c r="J382" s="64" t="n">
        <x:v>1</x:v>
      </x:c>
      <x:c r="K382" s="62" t="n">
        <x:v>1851.8402992267122</x:v>
      </x:c>
      <x:c r="L382" s="60" t="n">
        <x:v>92658655.12259254</x:v>
      </x:c>
      <x:c r="M382" s="62" t="n">
        <x:v>4.091101166048676</x:v>
      </x:c>
      <x:c r="N382" s="62" t="n">
        <x:v>1233.3921103635776</x:v>
      </x:c>
      <x:c r="O382" s="60" t="n">
        <x:v>61713990.257598355</x:v>
      </x:c>
      <x:c r="P382" s="60" t="n">
        <x:v>30944664.864994183</x:v>
      </x:c>
      <x:c r="Q382" s="62" t="n">
        <x:v>1.5014205812301078</x:v>
      </x:c>
      <x:c r="R382" s="64" t="n">
        <x:v>0.5014205812301079</x:v>
      </x:c>
    </x:row>
    <x:row r="383" ht="18" customHeight="1">
      <x:c r="A383" s="46" t="str">
        <x:v>LME_027</x:v>
      </x:c>
      <x:c r="B383" s="46" t="str">
        <x:v>Canary Current</x:v>
      </x:c>
      <x:c r="C383" s="46" t="str">
        <x:v>commercial</x:v>
      </x:c>
      <x:c r="D383" s="46" t="str">
        <x:v>Tuna &amp; billfishes</x:v>
      </x:c>
      <x:c r="E383" s="66" t="n">
        <x:v>20</x:v>
      </x:c>
      <x:c r="F383" s="66" t="n">
        <x:v>20</x:v>
      </x:c>
      <x:c r="G383" s="60" t="n">
        <x:v>144468.48936819646</x:v>
      </x:c>
      <x:c r="H383" s="60" t="n">
        <x:v>144468.48936819646</x:v>
      </x:c>
      <x:c r="I383" s="62" t="n">
        <x:v>0</x:v>
      </x:c>
      <x:c r="J383" s="64" t="n">
        <x:v>1</x:v>
      </x:c>
      <x:c r="K383" s="62" t="n">
        <x:v>2680.843604671383</x:v>
      </x:c>
      <x:c r="L383" s="60" t="n">
        <x:v>387297425.7992652</x:v>
      </x:c>
      <x:c r="M383" s="62" t="n">
        <x:v>4.422018742936276</x:v>
      </x:c>
      <x:c r="N383" s="62" t="n">
        <x:v>2642.52279876098</x:v>
      </x:c>
      <x:c r="O383" s="60" t="n">
        <x:v>381761276.8580174</x:v>
      </x:c>
      <x:c r="P383" s="60" t="n">
        <x:v>5536148.941247821</x:v>
      </x:c>
      <x:c r="Q383" s="62" t="n">
        <x:v>1.0145015989751804</x:v>
      </x:c>
      <x:c r="R383" s="64" t="n">
        <x:v>0.014501598975180491</x:v>
      </x:c>
    </x:row>
    <x:row r="384" ht="18" customHeight="1">
      <x:c r="A384" s="46" t="str">
        <x:v>LME_028</x:v>
      </x:c>
      <x:c r="B384" s="46" t="str">
        <x:v>Guinea Current</x:v>
      </x:c>
      <x:c r="C384" s="46" t="str">
        <x:v>commercial</x:v>
      </x:c>
      <x:c r="D384" s="46" t="str">
        <x:v>Anchovies</x:v>
      </x:c>
      <x:c r="E384" s="66" t="n">
        <x:v>2</x:v>
      </x:c>
      <x:c r="F384" s="66" t="n">
        <x:v>2</x:v>
      </x:c>
      <x:c r="G384" s="60" t="n">
        <x:v>111861.98015248781</x:v>
      </x:c>
      <x:c r="H384" s="60" t="n">
        <x:v>111861.98015248781</x:v>
      </x:c>
      <x:c r="I384" s="62" t="n">
        <x:v>0</x:v>
      </x:c>
      <x:c r="J384" s="64" t="n">
        <x:v>1</x:v>
      </x:c>
      <x:c r="K384" s="62" t="n">
        <x:v>131.51157088477038</x:v>
      </x:c>
      <x:c r="L384" s="60" t="n">
        <x:v>14711144.73213468</x:v>
      </x:c>
      <x:c r="M384" s="62" t="n">
        <x:v>3.1181510398727963</x:v>
      </x:c>
      <x:c r="N384" s="62" t="n">
        <x:v>131.26563380999272</x:v>
      </x:c>
      <x:c r="O384" s="60" t="n">
        <x:v>14683633.723957138</x:v>
      </x:c>
      <x:c r="P384" s="60" t="n">
        <x:v>27511.008177541196</x:v>
      </x:c>
      <x:c r="Q384" s="62" t="n">
        <x:v>1.0018735831126497</x:v>
      </x:c>
      <x:c r="R384" s="64" t="n">
        <x:v>0.0018735831126498006</x:v>
      </x:c>
    </x:row>
    <x:row r="385" ht="18" customHeight="1">
      <x:c r="A385" s="46" t="str">
        <x:v>LME_028</x:v>
      </x:c>
      <x:c r="B385" s="46" t="str">
        <x:v>Guinea Current</x:v>
      </x:c>
      <x:c r="C385" s="46" t="str">
        <x:v>commercial</x:v>
      </x:c>
      <x:c r="D385" s="46" t="str">
        <x:v>Cod-likes</x:v>
      </x:c>
      <x:c r="E385" s="66" t="n">
        <x:v>3</x:v>
      </x:c>
      <x:c r="F385" s="66" t="n">
        <x:v>3</x:v>
      </x:c>
      <x:c r="G385" s="60" t="n">
        <x:v>7825.8121623662</x:v>
      </x:c>
      <x:c r="H385" s="60" t="n">
        <x:v>7825.8121623662</x:v>
      </x:c>
      <x:c r="I385" s="62" t="n">
        <x:v>0</x:v>
      </x:c>
      <x:c r="J385" s="64" t="n">
        <x:v>1</x:v>
      </x:c>
      <x:c r="K385" s="62" t="n">
        <x:v>2914.1740608261134</x:v>
      </x:c>
      <x:c r="L385" s="60" t="n">
        <x:v>22805778.808465097</x:v>
      </x:c>
      <x:c r="M385" s="62" t="n">
        <x:v>4.444088733271677</x:v>
      </x:c>
      <x:c r="N385" s="62" t="n">
        <x:v>2780.2812654247864</x:v>
      </x:c>
      <x:c r="O385" s="60" t="n">
        <x:v>21757958.941760182</x:v>
      </x:c>
      <x:c r="P385" s="60" t="n">
        <x:v>1047819.8667049147</x:v>
      </x:c>
      <x:c r="Q385" s="62" t="n">
        <x:v>1.0481580036762468</x:v>
      </x:c>
      <x:c r="R385" s="64" t="n">
        <x:v>0.04815800367624684</x:v>
      </x:c>
    </x:row>
    <x:row r="386" ht="18" customHeight="1">
      <x:c r="A386" s="46" t="str">
        <x:v>LME_028</x:v>
      </x:c>
      <x:c r="B386" s="46" t="str">
        <x:v>Guinea Current</x:v>
      </x:c>
      <x:c r="C386" s="46" t="str">
        <x:v>commercial</x:v>
      </x:c>
      <x:c r="D386" s="46" t="str">
        <x:v>Crustaceans</x:v>
      </x:c>
      <x:c r="E386" s="66" t="n">
        <x:v>21</x:v>
      </x:c>
      <x:c r="F386" s="66" t="n">
        <x:v>21</x:v>
      </x:c>
      <x:c r="G386" s="60" t="n">
        <x:v>88362.2979947881</x:v>
      </x:c>
      <x:c r="H386" s="60" t="n">
        <x:v>88362.2979947881</x:v>
      </x:c>
      <x:c r="I386" s="62" t="n">
        <x:v>0</x:v>
      </x:c>
      <x:c r="J386" s="64" t="n">
        <x:v>1</x:v>
      </x:c>
      <x:c r="K386" s="62" t="n">
        <x:v>155.50616360963105</x:v>
      </x:c>
      <x:c r="L386" s="60" t="n">
        <x:v>13740881.96890049</x:v>
      </x:c>
      <x:c r="M386" s="62" t="n">
        <x:v>3.1233448860225366</x:v>
      </x:c>
      <x:c r="N386" s="62" t="n">
        <x:v>132.8448999378819</x:v>
      </x:c>
      <x:c r="O386" s="60" t="n">
        <x:v>11738480.635398928</x:v>
      </x:c>
      <x:c r="P386" s="60" t="n">
        <x:v>2002401.3335015625</x:v>
      </x:c>
      <x:c r="Q386" s="62" t="n">
        <x:v>1.1705843708139756</x:v>
      </x:c>
      <x:c r="R386" s="64" t="n">
        <x:v>0.1705843708139756</x:v>
      </x:c>
    </x:row>
    <x:row r="387" ht="18" customHeight="1">
      <x:c r="A387" s="46" t="str">
        <x:v>LME_028</x:v>
      </x:c>
      <x:c r="B387" s="46" t="str">
        <x:v>Guinea Current</x:v>
      </x:c>
      <x:c r="C387" s="46" t="str">
        <x:v>commercial</x:v>
      </x:c>
      <x:c r="D387" s="46" t="str">
        <x:v>Flatfishes</x:v>
      </x:c>
      <x:c r="E387" s="66" t="n">
        <x:v>13</x:v>
      </x:c>
      <x:c r="F387" s="66" t="n">
        <x:v>13</x:v>
      </x:c>
      <x:c r="G387" s="60" t="n">
        <x:v>59175.295089737105</x:v>
      </x:c>
      <x:c r="H387" s="60" t="n">
        <x:v>59175.295089737105</x:v>
      </x:c>
      <x:c r="I387" s="62" t="n">
        <x:v>0</x:v>
      </x:c>
      <x:c r="J387" s="64" t="n">
        <x:v>1</x:v>
      </x:c>
      <x:c r="K387" s="62" t="n">
        <x:v>315.84119672639895</x:v>
      </x:c>
      <x:c r="L387" s="60" t="n">
        <x:v>18689996.017780367</x:v>
      </x:c>
      <x:c r="M387" s="62" t="n">
        <x:v>3.4795946124973005</x:v>
      </x:c>
      <x:c r="N387" s="62" t="n">
        <x:v>301.7134094267825</x:v>
      </x:c>
      <x:c r="O387" s="60" t="n">
        <x:v>17853980.035360523</x:v>
      </x:c>
      <x:c r="P387" s="60" t="n">
        <x:v>836015.9824198447</x:v>
      </x:c>
      <x:c r="Q387" s="62" t="n">
        <x:v>1.0468251886001934</x:v>
      </x:c>
      <x:c r="R387" s="64" t="n">
        <x:v>0.04682518860019343</x:v>
      </x:c>
    </x:row>
    <x:row r="388" ht="18" customHeight="1">
      <x:c r="A388" s="46" t="str">
        <x:v>LME_028</x:v>
      </x:c>
      <x:c r="B388" s="46" t="str">
        <x:v>Guinea Current</x:v>
      </x:c>
      <x:c r="C388" s="46" t="str">
        <x:v>commercial</x:v>
      </x:c>
      <x:c r="D388" s="46" t="str">
        <x:v>Herring-likes</x:v>
      </x:c>
      <x:c r="E388" s="66" t="n">
        <x:v>7</x:v>
      </x:c>
      <x:c r="F388" s="66" t="n">
        <x:v>7</x:v>
      </x:c>
      <x:c r="G388" s="60" t="n">
        <x:v>757809.8044436984</x:v>
      </x:c>
      <x:c r="H388" s="60" t="n">
        <x:v>757809.8044436984</x:v>
      </x:c>
      <x:c r="I388" s="62" t="n">
        <x:v>0</x:v>
      </x:c>
      <x:c r="J388" s="64" t="n">
        <x:v>1</x:v>
      </x:c>
      <x:c r="K388" s="62" t="n">
        <x:v>77.3693049208106</x:v>
      </x:c>
      <x:c r="L388" s="60" t="n">
        <x:v>58631217.831984356</x:v>
      </x:c>
      <x:c r="M388" s="62" t="n">
        <x:v>2.729063678655881</x:v>
      </x:c>
      <x:c r="N388" s="62" t="n">
        <x:v>53.58752247387249</x:v>
      </x:c>
      <x:c r="O388" s="60" t="n">
        <x:v>40609149.9265476</x:v>
      </x:c>
      <x:c r="P388" s="60" t="n">
        <x:v>18022067.905436754</x:v>
      </x:c>
      <x:c r="Q388" s="62" t="n">
        <x:v>1.4437932815149894</x:v>
      </x:c>
      <x:c r="R388" s="64" t="n">
        <x:v>0.4437932815149895</x:v>
      </x:c>
    </x:row>
    <x:row r="389" ht="18" customHeight="1">
      <x:c r="A389" s="46" t="str">
        <x:v>LME_028</x:v>
      </x:c>
      <x:c r="B389" s="46" t="str">
        <x:v>Guinea Current</x:v>
      </x:c>
      <x:c r="C389" s="46" t="str">
        <x:v>commercial</x:v>
      </x:c>
      <x:c r="D389" s="46" t="str">
        <x:v>Molluscs</x:v>
      </x:c>
      <x:c r="E389" s="66" t="n">
        <x:v>7</x:v>
      </x:c>
      <x:c r="F389" s="66" t="n">
        <x:v>7</x:v>
      </x:c>
      <x:c r="G389" s="60" t="n">
        <x:v>23541.037660515</x:v>
      </x:c>
      <x:c r="H389" s="60" t="n">
        <x:v>23541.037660515</x:v>
      </x:c>
      <x:c r="I389" s="62" t="n">
        <x:v>0</x:v>
      </x:c>
      <x:c r="J389" s="64" t="n">
        <x:v>1</x:v>
      </x:c>
      <x:c r="K389" s="62" t="n">
        <x:v>36.072914563060806</x:v>
      </x:c>
      <x:c r="L389" s="60" t="n">
        <x:v>849193.8402535544</x:v>
      </x:c>
      <x:c r="M389" s="62" t="n">
        <x:v>2.2741927683271537</x:v>
      </x:c>
      <x:c r="N389" s="62" t="n">
        <x:v>18.801511658133254</x:v>
      </x:c>
      <x:c r="O389" s="60" t="n">
        <x:v>442607.0940187268</x:v>
      </x:c>
      <x:c r="P389" s="60" t="n">
        <x:v>406586.7462348276</x:v>
      </x:c>
      <x:c r="Q389" s="62" t="n">
        <x:v>1.9186177802600355</x:v>
      </x:c>
      <x:c r="R389" s="64" t="n">
        <x:v>0.9186177802600355</x:v>
      </x:c>
    </x:row>
    <x:row r="390" ht="18" customHeight="1">
      <x:c r="A390" s="46" t="str">
        <x:v>LME_028</x:v>
      </x:c>
      <x:c r="B390" s="46" t="str">
        <x:v>Guinea Current</x:v>
      </x:c>
      <x:c r="C390" s="46" t="str">
        <x:v>commercial</x:v>
      </x:c>
      <x:c r="D390" s="46" t="str">
        <x:v>Other fishes &amp; inverts</x:v>
      </x:c>
      <x:c r="E390" s="66" t="n">
        <x:v>53</x:v>
      </x:c>
      <x:c r="F390" s="66" t="n">
        <x:v>53</x:v>
      </x:c>
      <x:c r="G390" s="60" t="n">
        <x:v>1797878.4752323378</x:v>
      </x:c>
      <x:c r="H390" s="60" t="n">
        <x:v>1797878.4752323378</x:v>
      </x:c>
      <x:c r="I390" s="62" t="n">
        <x:v>0</x:v>
      </x:c>
      <x:c r="J390" s="64" t="n">
        <x:v>1</x:v>
      </x:c>
      <x:c r="K390" s="62" t="n">
        <x:v>262.8387271719364</x:v>
      </x:c>
      <x:c r="L390" s="60" t="n">
        <x:v>472552090.03988945</x:v>
      </x:c>
      <x:c r="M390" s="62" t="n">
        <x:v>3.347297896558264</x:v>
      </x:c>
      <x:c r="N390" s="62" t="n">
        <x:v>222.48354535954067</x:v>
      </x:c>
      <x:c r="O390" s="60" t="n">
        <x:v>399998377.29529566</x:v>
      </x:c>
      <x:c r="P390" s="60" t="n">
        <x:v>72553712.7445938</x:v>
      </x:c>
      <x:c r="Q390" s="62" t="n">
        <x:v>1.1813850176972882</x:v>
      </x:c>
      <x:c r="R390" s="64" t="n">
        <x:v>0.1813850176972883</x:v>
      </x:c>
    </x:row>
    <x:row r="391" ht="18" customHeight="1">
      <x:c r="A391" s="46" t="str">
        <x:v>LME_028</x:v>
      </x:c>
      <x:c r="B391" s="46" t="str">
        <x:v>Guinea Current</x:v>
      </x:c>
      <x:c r="C391" s="46" t="str">
        <x:v>commercial</x:v>
      </x:c>
      <x:c r="D391" s="46" t="str">
        <x:v>Perch-likes</x:v>
      </x:c>
      <x:c r="E391" s="66" t="n">
        <x:v>138</x:v>
      </x:c>
      <x:c r="F391" s="66" t="n">
        <x:v>138</x:v>
      </x:c>
      <x:c r="G391" s="60" t="n">
        <x:v>1389185.130458009</x:v>
      </x:c>
      <x:c r="H391" s="60" t="n">
        <x:v>1389185.130458009</x:v>
      </x:c>
      <x:c r="I391" s="62" t="n">
        <x:v>0</x:v>
      </x:c>
      <x:c r="J391" s="64" t="n">
        <x:v>1</x:v>
      </x:c>
      <x:c r="K391" s="62" t="n">
        <x:v>792.7369471198142</x:v>
      </x:c>
      <x:c r="L391" s="60" t="n">
        <x:v>1101258379.3035228</x:v>
      </x:c>
      <x:c r="M391" s="62" t="n">
        <x:v>3.7165474884185477</x:v>
      </x:c>
      <x:c r="N391" s="62" t="n">
        <x:v>520.6519369606467</x:v>
      </x:c>
      <x:c r="O391" s="60" t="n">
        <x:v>723281928.9698911</x:v>
      </x:c>
      <x:c r="P391" s="60" t="n">
        <x:v>377976450.33363175</x:v>
      </x:c>
      <x:c r="Q391" s="62" t="n">
        <x:v>1.5225852260292905</x:v>
      </x:c>
      <x:c r="R391" s="64" t="n">
        <x:v>0.5225852260292905</x:v>
      </x:c>
    </x:row>
    <x:row r="392" ht="18" customHeight="1">
      <x:c r="A392" s="46" t="str">
        <x:v>LME_028</x:v>
      </x:c>
      <x:c r="B392" s="46" t="str">
        <x:v>Guinea Current</x:v>
      </x:c>
      <x:c r="C392" s="46" t="str">
        <x:v>commercial</x:v>
      </x:c>
      <x:c r="D392" s="46" t="str">
        <x:v>Scorpionfishes</x:v>
      </x:c>
      <x:c r="E392" s="66" t="n">
        <x:v>7</x:v>
      </x:c>
      <x:c r="F392" s="66" t="n">
        <x:v>7</x:v>
      </x:c>
      <x:c r="G392" s="60" t="n">
        <x:v>9694.997496032402</x:v>
      </x:c>
      <x:c r="H392" s="60" t="n">
        <x:v>9694.997496032402</x:v>
      </x:c>
      <x:c r="I392" s="62" t="n">
        <x:v>0</x:v>
      </x:c>
      <x:c r="J392" s="64" t="n">
        <x:v>1</x:v>
      </x:c>
      <x:c r="K392" s="62" t="n">
        <x:v>789.8854022633027</x:v>
      </x:c>
      <x:c r="L392" s="60" t="n">
        <x:v>7657936.997095266</x:v>
      </x:c>
      <x:c r="M392" s="62" t="n">
        <x:v>3.8912763736908333</x:v>
      </x:c>
      <x:c r="N392" s="62" t="n">
        <x:v>778.5318308005787</x:v>
      </x:c>
      <x:c r="O392" s="60" t="n">
        <x:v>7547864.150193132</x:v>
      </x:c>
      <x:c r="P392" s="60" t="n">
        <x:v>110072.8469021339</x:v>
      </x:c>
      <x:c r="Q392" s="62" t="n">
        <x:v>1.0145833105514117</x:v>
      </x:c>
      <x:c r="R392" s="64" t="n">
        <x:v>0.014583310551411738</x:v>
      </x:c>
    </x:row>
    <x:row r="393" ht="18" customHeight="1">
      <x:c r="A393" s="46" t="str">
        <x:v>LME_028</x:v>
      </x:c>
      <x:c r="B393" s="46" t="str">
        <x:v>Guinea Current</x:v>
      </x:c>
      <x:c r="C393" s="46" t="str">
        <x:v>commercial</x:v>
      </x:c>
      <x:c r="D393" s="46" t="str">
        <x:v>Sharks &amp; rays</x:v>
      </x:c>
      <x:c r="E393" s="66" t="n">
        <x:v>54</x:v>
      </x:c>
      <x:c r="F393" s="66" t="n">
        <x:v>54</x:v>
      </x:c>
      <x:c r="G393" s="60" t="n">
        <x:v>73335.4696613766</x:v>
      </x:c>
      <x:c r="H393" s="60" t="n">
        <x:v>73335.4696613766</x:v>
      </x:c>
      <x:c r="I393" s="62" t="n">
        <x:v>0</x:v>
      </x:c>
      <x:c r="J393" s="64" t="n">
        <x:v>1</x:v>
      </x:c>
      <x:c r="K393" s="62" t="n">
        <x:v>1891.3045336457128</x:v>
      </x:c>
      <x:c r="L393" s="60" t="n">
        <x:v>138699706.24759918</x:v>
      </x:c>
      <x:c r="M393" s="62" t="n">
        <x:v>4.050519315474019</x:v>
      </x:c>
      <x:c r="N393" s="62" t="n">
        <x:v>1123.360930627687</x:v>
      </x:c>
      <x:c r="O393" s="60" t="n">
        <x:v>82382201.44682251</x:v>
      </x:c>
      <x:c r="P393" s="60" t="n">
        <x:v>56317504.800776675</x:v>
      </x:c>
      <x:c r="Q393" s="62" t="n">
        <x:v>1.6836125256634404</x:v>
      </x:c>
      <x:c r="R393" s="64" t="n">
        <x:v>0.6836125256634404</x:v>
      </x:c>
    </x:row>
    <x:row r="394" ht="18" customHeight="1">
      <x:c r="A394" s="46" t="str">
        <x:v>LME_028</x:v>
      </x:c>
      <x:c r="B394" s="46" t="str">
        <x:v>Guinea Current</x:v>
      </x:c>
      <x:c r="C394" s="46" t="str">
        <x:v>commercial</x:v>
      </x:c>
      <x:c r="D394" s="46" t="str">
        <x:v>Tuna &amp; billfishes</x:v>
      </x:c>
      <x:c r="E394" s="66" t="n">
        <x:v>20</x:v>
      </x:c>
      <x:c r="F394" s="66" t="n">
        <x:v>20</x:v>
      </x:c>
      <x:c r="G394" s="60" t="n">
        <x:v>150484.68079289547</x:v>
      </x:c>
      <x:c r="H394" s="60" t="n">
        <x:v>150484.68079289547</x:v>
      </x:c>
      <x:c r="I394" s="62" t="n">
        <x:v>0</x:v>
      </x:c>
      <x:c r="J394" s="64" t="n">
        <x:v>1</x:v>
      </x:c>
      <x:c r="K394" s="62" t="n">
        <x:v>2703.282166228244</x:v>
      </x:c>
      <x:c r="L394" s="60" t="n">
        <x:v>406802553.8779843</x:v>
      </x:c>
      <x:c r="M394" s="62" t="n">
        <x:v>4.428853302866321</x:v>
      </x:c>
      <x:c r="N394" s="62" t="n">
        <x:v>2684.437536118386</x:v>
      </x:c>
      <x:c r="O394" s="60" t="n">
        <x:v>403966725.7312421</x:v>
      </x:c>
      <x:c r="P394" s="60" t="n">
        <x:v>2835828.146742165</x:v>
      </x:c>
      <x:c r="Q394" s="62" t="n">
        <x:v>1.007019954778723</x:v>
      </x:c>
      <x:c r="R394" s="64" t="n">
        <x:v>0.00701995477872312</x:v>
      </x:c>
    </x:row>
    <x:row r="395" ht="18" customHeight="1">
      <x:c r="A395" s="46" t="str">
        <x:v>LME_029</x:v>
      </x:c>
      <x:c r="B395" s="46" t="str">
        <x:v>Benguela Current</x:v>
      </x:c>
      <x:c r="C395" s="46" t="str">
        <x:v>commercial</x:v>
      </x:c>
      <x:c r="D395" s="46" t="str">
        <x:v>Anchovies</x:v>
      </x:c>
      <x:c r="E395" s="66" t="n">
        <x:v>1</x:v>
      </x:c>
      <x:c r="F395" s="66" t="n">
        <x:v>1</x:v>
      </x:c>
      <x:c r="G395" s="60" t="n">
        <x:v>163774.3749582084</x:v>
      </x:c>
      <x:c r="H395" s="60" t="n">
        <x:v>163774.3749582084</x:v>
      </x:c>
      <x:c r="I395" s="62" t="n">
        <x:v>0</x:v>
      </x:c>
      <x:c r="J395" s="64" t="n">
        <x:v>1</x:v>
      </x:c>
      <x:c r="K395" s="62" t="n">
        <x:v>100</x:v>
      </x:c>
      <x:c r="L395" s="60" t="n">
        <x:v>16377437.49582084</x:v>
      </x:c>
      <x:c r="M395" s="62" t="n">
        <x:v>3</x:v>
      </x:c>
      <x:c r="N395" s="62" t="n">
        <x:v>100</x:v>
      </x:c>
      <x:c r="O395" s="60" t="n">
        <x:v>16377437.49582084</x:v>
      </x:c>
      <x:c r="P395" s="60" t="n">
        <x:v>0</x:v>
      </x:c>
      <x:c r="Q395" s="62" t="n">
        <x:v>1</x:v>
      </x:c>
      <x:c r="R395" s="64" t="n">
        <x:v>0</x:v>
      </x:c>
    </x:row>
    <x:row r="396" ht="18" customHeight="1">
      <x:c r="A396" s="46" t="str">
        <x:v>LME_029</x:v>
      </x:c>
      <x:c r="B396" s="46" t="str">
        <x:v>Benguela Current</x:v>
      </x:c>
      <x:c r="C396" s="46" t="str">
        <x:v>commercial</x:v>
      </x:c>
      <x:c r="D396" s="46" t="str">
        <x:v>Cod-likes</x:v>
      </x:c>
      <x:c r="E396" s="66" t="n">
        <x:v>3</x:v>
      </x:c>
      <x:c r="F396" s="66" t="n">
        <x:v>3</x:v>
      </x:c>
      <x:c r="G396" s="60" t="n">
        <x:v>267699.7844030071</x:v>
      </x:c>
      <x:c r="H396" s="60" t="n">
        <x:v>267699.7844030071</x:v>
      </x:c>
      <x:c r="I396" s="62" t="n">
        <x:v>0</x:v>
      </x:c>
      <x:c r="J396" s="64" t="n">
        <x:v>1</x:v>
      </x:c>
      <x:c r="K396" s="62" t="n">
        <x:v>1943.3979917416702</x:v>
      </x:c>
      <x:c r="L396" s="60" t="n">
        <x:v>520247223.39848214</x:v>
      </x:c>
      <x:c r="M396" s="62" t="n">
        <x:v>4.28511765875323</x:v>
      </x:c>
      <x:c r="N396" s="62" t="n">
        <x:v>1928.0471876181955</x:v>
      </x:c>
      <x:c r="O396" s="60" t="n">
        <x:v>516137816.4442152</x:v>
      </x:c>
      <x:c r="P396" s="60" t="n">
        <x:v>4109406.9542669654</x:v>
      </x:c>
      <x:c r="Q396" s="62" t="n">
        <x:v>1.0079618404684578</x:v>
      </x:c>
      <x:c r="R396" s="64" t="n">
        <x:v>0.007961840468457741</x:v>
      </x:c>
    </x:row>
    <x:row r="397" ht="18" customHeight="1">
      <x:c r="A397" s="46" t="str">
        <x:v>LME_029</x:v>
      </x:c>
      <x:c r="B397" s="46" t="str">
        <x:v>Benguela Current</x:v>
      </x:c>
      <x:c r="C397" s="46" t="str">
        <x:v>commercial</x:v>
      </x:c>
      <x:c r="D397" s="46" t="str">
        <x:v>Crustaceans</x:v>
      </x:c>
      <x:c r="E397" s="66" t="n">
        <x:v>9</x:v>
      </x:c>
      <x:c r="F397" s="66" t="n">
        <x:v>9</x:v>
      </x:c>
      <x:c r="G397" s="60" t="n">
        <x:v>8573.4993541609</x:v>
      </x:c>
      <x:c r="H397" s="60" t="n">
        <x:v>8573.4993541609</x:v>
      </x:c>
      <x:c r="I397" s="62" t="n">
        <x:v>0</x:v>
      </x:c>
      <x:c r="J397" s="64" t="n">
        <x:v>1</x:v>
      </x:c>
      <x:c r="K397" s="62" t="n">
        <x:v>144.97566317799823</x:v>
      </x:c>
      <x:c r="L397" s="60" t="n">
        <x:v>1242948.754625616</x:v>
      </x:c>
      <x:c r="M397" s="62" t="n">
        <x:v>2.95565814290617</x:v>
      </x:c>
      <x:c r="N397" s="62" t="n">
        <x:v>90.29384413603398</x:v>
      </x:c>
      <x:c r="O397" s="60" t="n">
        <x:v>774134.2143849924</x:v>
      </x:c>
      <x:c r="P397" s="60" t="n">
        <x:v>468814.5402406235</x:v>
      </x:c>
      <x:c r="Q397" s="62" t="n">
        <x:v>1.6055985273988584</x:v>
      </x:c>
      <x:c r="R397" s="64" t="n">
        <x:v>0.6055985273988584</x:v>
      </x:c>
    </x:row>
    <x:row r="398" ht="18" customHeight="1">
      <x:c r="A398" s="46" t="str">
        <x:v>LME_029</x:v>
      </x:c>
      <x:c r="B398" s="46" t="str">
        <x:v>Benguela Current</x:v>
      </x:c>
      <x:c r="C398" s="46" t="str">
        <x:v>commercial</x:v>
      </x:c>
      <x:c r="D398" s="46" t="str">
        <x:v>Flatfishes</x:v>
      </x:c>
      <x:c r="E398" s="66" t="n">
        <x:v>4</x:v>
      </x:c>
      <x:c r="F398" s="66" t="n">
        <x:v>4</x:v>
      </x:c>
      <x:c r="G398" s="60" t="n">
        <x:v>15813.752201610101</x:v>
      </x:c>
      <x:c r="H398" s="60" t="n">
        <x:v>15813.752201610101</x:v>
      </x:c>
      <x:c r="I398" s="62" t="n">
        <x:v>0</x:v>
      </x:c>
      <x:c r="J398" s="64" t="n">
        <x:v>1</x:v>
      </x:c>
      <x:c r="K398" s="62" t="n">
        <x:v>342.9714458390469</x:v>
      </x:c>
      <x:c r="L398" s="60" t="n">
        <x:v>5423665.456726627</x:v>
      </x:c>
      <x:c r="M398" s="62" t="n">
        <x:v>3.524049162648808</x:v>
      </x:c>
      <x:c r="N398" s="62" t="n">
        <x:v>334.2328734411097</x:v>
      </x:c>
      <x:c r="O398" s="60" t="n">
        <x:v>5285475.838229818</x:v>
      </x:c>
      <x:c r="P398" s="60" t="n">
        <x:v>138189.61849680915</x:v>
      </x:c>
      <x:c r="Q398" s="62" t="n">
        <x:v>1.0261451613300896</x:v>
      </x:c>
      <x:c r="R398" s="64" t="n">
        <x:v>0.026145161330089598</x:v>
      </x:c>
    </x:row>
    <x:row r="399" ht="18" customHeight="1">
      <x:c r="A399" s="46" t="str">
        <x:v>LME_029</x:v>
      </x:c>
      <x:c r="B399" s="46" t="str">
        <x:v>Benguela Current</x:v>
      </x:c>
      <x:c r="C399" s="46" t="str">
        <x:v>commercial</x:v>
      </x:c>
      <x:c r="D399" s="46" t="str">
        <x:v>Herring-likes</x:v>
      </x:c>
      <x:c r="E399" s="66" t="n">
        <x:v>7</x:v>
      </x:c>
      <x:c r="F399" s="66" t="n">
        <x:v>7</x:v>
      </x:c>
      <x:c r="G399" s="60" t="n">
        <x:v>229395.76539079222</x:v>
      </x:c>
      <x:c r="H399" s="60" t="n">
        <x:v>229395.76539079222</x:v>
      </x:c>
      <x:c r="I399" s="62" t="n">
        <x:v>0</x:v>
      </x:c>
      <x:c r="J399" s="64" t="n">
        <x:v>1</x:v>
      </x:c>
      <x:c r="K399" s="62" t="n">
        <x:v>91.77069547300538</x:v>
      </x:c>
      <x:c r="L399" s="60" t="n">
        <x:v>21051808.92847538</x:v>
      </x:c>
      <x:c r="M399" s="62" t="n">
        <x:v>2.8860545611731125</x:v>
      </x:c>
      <x:c r="N399" s="62" t="n">
        <x:v>76.92270735550585</x:v>
      </x:c>
      <x:c r="O399" s="60" t="n">
        <x:v>17645743.329748187</x:v>
      </x:c>
      <x:c r="P399" s="60" t="n">
        <x:v>3406065.5987271927</x:v>
      </x:c>
      <x:c r="Q399" s="62" t="n">
        <x:v>1.193024772891548</x:v>
      </x:c>
      <x:c r="R399" s="64" t="n">
        <x:v>0.19302477289154804</x:v>
      </x:c>
    </x:row>
    <x:row r="400" ht="18" customHeight="1">
      <x:c r="A400" s="46" t="str">
        <x:v>LME_029</x:v>
      </x:c>
      <x:c r="B400" s="46" t="str">
        <x:v>Benguela Current</x:v>
      </x:c>
      <x:c r="C400" s="46" t="str">
        <x:v>commercial</x:v>
      </x:c>
      <x:c r="D400" s="46" t="str">
        <x:v>Molluscs</x:v>
      </x:c>
      <x:c r="E400" s="66" t="n">
        <x:v>5</x:v>
      </x:c>
      <x:c r="F400" s="66" t="n">
        <x:v>5</x:v>
      </x:c>
      <x:c r="G400" s="60" t="n">
        <x:v>846.8126926816</x:v>
      </x:c>
      <x:c r="H400" s="60" t="n">
        <x:v>846.8126926816</x:v>
      </x:c>
      <x:c r="I400" s="62" t="n">
        <x:v>0</x:v>
      </x:c>
      <x:c r="J400" s="64" t="n">
        <x:v>1</x:v>
      </x:c>
      <x:c r="K400" s="62" t="n">
        <x:v>11.656947353860788</x:v>
      </x:c>
      <x:c r="L400" s="60" t="n">
        <x:v>9871.250977170506</x:v>
      </x:c>
      <x:c r="M400" s="62" t="n">
        <x:v>2.061349002458489</x:v>
      </x:c>
      <x:c r="N400" s="62" t="n">
        <x:v>11.517255528650765</x:v>
      </x:c>
      <x:c r="O400" s="60" t="n">
        <x:v>9752.958166518798</x:v>
      </x:c>
      <x:c r="P400" s="60" t="n">
        <x:v>118.29281065170835</x:v>
      </x:c>
      <x:c r="Q400" s="62" t="n">
        <x:v>1.0121289160306048</x:v>
      </x:c>
      <x:c r="R400" s="64" t="n">
        <x:v>0.012128916030604852</x:v>
      </x:c>
    </x:row>
    <x:row r="401" ht="18" customHeight="1">
      <x:c r="A401" s="46" t="str">
        <x:v>LME_029</x:v>
      </x:c>
      <x:c r="B401" s="46" t="str">
        <x:v>Benguela Current</x:v>
      </x:c>
      <x:c r="C401" s="46" t="str">
        <x:v>commercial</x:v>
      </x:c>
      <x:c r="D401" s="46" t="str">
        <x:v>Other fishes &amp; inverts</x:v>
      </x:c>
      <x:c r="E401" s="66" t="n">
        <x:v>22</x:v>
      </x:c>
      <x:c r="F401" s="66" t="n">
        <x:v>22</x:v>
      </x:c>
      <x:c r="G401" s="60" t="n">
        <x:v>387059.4427884759</x:v>
      </x:c>
      <x:c r="H401" s="60" t="n">
        <x:v>387059.4427884759</x:v>
      </x:c>
      <x:c r="I401" s="62" t="n">
        <x:v>0</x:v>
      </x:c>
      <x:c r="J401" s="64" t="n">
        <x:v>1</x:v>
      </x:c>
      <x:c r="K401" s="62" t="n">
        <x:v>461.6386291978361</x:v>
      </x:c>
      <x:c r="L401" s="60" t="n">
        <x:v>178681590.58695027</x:v>
      </x:c>
      <x:c r="M401" s="62" t="n">
        <x:v>3.4067444074649345</x:v>
      </x:c>
      <x:c r="N401" s="62" t="n">
        <x:v>255.11994197901998</x:v>
      </x:c>
      <x:c r="O401" s="60" t="n">
        <x:v>98746582.58662778</x:v>
      </x:c>
      <x:c r="P401" s="60" t="n">
        <x:v>79935008.00032249</x:v>
      </x:c>
      <x:c r="Q401" s="62" t="n">
        <x:v>1.809496449461404</x:v>
      </x:c>
      <x:c r="R401" s="64" t="n">
        <x:v>0.809496449461404</x:v>
      </x:c>
    </x:row>
    <x:row r="402" ht="18" customHeight="1">
      <x:c r="A402" s="46" t="str">
        <x:v>LME_029</x:v>
      </x:c>
      <x:c r="B402" s="46" t="str">
        <x:v>Benguela Current</x:v>
      </x:c>
      <x:c r="C402" s="46" t="str">
        <x:v>commercial</x:v>
      </x:c>
      <x:c r="D402" s="46" t="str">
        <x:v>Perch-likes</x:v>
      </x:c>
      <x:c r="E402" s="66" t="n">
        <x:v>58</x:v>
      </x:c>
      <x:c r="F402" s="66" t="n">
        <x:v>58</x:v>
      </x:c>
      <x:c r="G402" s="60" t="n">
        <x:v>484759.74197683966</x:v>
      </x:c>
      <x:c r="H402" s="60" t="n">
        <x:v>484759.74197683966</x:v>
      </x:c>
      <x:c r="I402" s="62" t="n">
        <x:v>0</x:v>
      </x:c>
      <x:c r="J402" s="64" t="n">
        <x:v>1</x:v>
      </x:c>
      <x:c r="K402" s="62" t="n">
        <x:v>398.4748932708742</x:v>
      </x:c>
      <x:c r="L402" s="60" t="n">
        <x:v>193164586.44623768</x:v>
      </x:c>
      <x:c r="M402" s="62" t="n">
        <x:v>3.5253565124155135</x:v>
      </x:c>
      <x:c r="N402" s="62" t="n">
        <x:v>335.2405252385828</x:v>
      </x:c>
      <x:c r="O402" s="60" t="n">
        <x:v>162511110.5148356</x:v>
      </x:c>
      <x:c r="P402" s="60" t="n">
        <x:v>30653475.931402087</x:v>
      </x:c>
      <x:c r="Q402" s="62" t="n">
        <x:v>1.1886238782954088</x:v>
      </x:c>
      <x:c r="R402" s="64" t="n">
        <x:v>0.18862387829540886</x:v>
      </x:c>
    </x:row>
    <x:row r="403" ht="18" customHeight="1">
      <x:c r="A403" s="46" t="str">
        <x:v>LME_029</x:v>
      </x:c>
      <x:c r="B403" s="46" t="str">
        <x:v>Benguela Current</x:v>
      </x:c>
      <x:c r="C403" s="46" t="str">
        <x:v>commercial</x:v>
      </x:c>
      <x:c r="D403" s="46" t="str">
        <x:v>Scorpionfishes</x:v>
      </x:c>
      <x:c r="E403" s="66" t="n">
        <x:v>4</x:v>
      </x:c>
      <x:c r="F403" s="66" t="n">
        <x:v>4</x:v>
      </x:c>
      <x:c r="G403" s="60" t="n">
        <x:v>3380.4358505096</x:v>
      </x:c>
      <x:c r="H403" s="60" t="n">
        <x:v>3380.4358505096</x:v>
      </x:c>
      <x:c r="I403" s="62" t="n">
        <x:v>0</x:v>
      </x:c>
      <x:c r="J403" s="64" t="n">
        <x:v>1</x:v>
      </x:c>
      <x:c r="K403" s="62" t="n">
        <x:v>647.8731244959775</x:v>
      </x:c>
      <x:c r="L403" s="60" t="n">
        <x:v>2190093.536627872</x:v>
      </x:c>
      <x:c r="M403" s="62" t="n">
        <x:v>3.767987508996726</x:v>
      </x:c>
      <x:c r="N403" s="62" t="n">
        <x:v>586.1213064862394</x:v>
      </x:c>
      <x:c r="O403" s="60" t="n">
        <x:v>1981345.4771936086</x:v>
      </x:c>
      <x:c r="P403" s="60" t="n">
        <x:v>208748.05943426327</x:v>
      </x:c>
      <x:c r="Q403" s="62" t="n">
        <x:v>1.105356719379366</x:v>
      </x:c>
      <x:c r="R403" s="64" t="n">
        <x:v>0.10535671937936611</x:v>
      </x:c>
    </x:row>
    <x:row r="404" ht="18" customHeight="1">
      <x:c r="A404" s="46" t="str">
        <x:v>LME_029</x:v>
      </x:c>
      <x:c r="B404" s="46" t="str">
        <x:v>Benguela Current</x:v>
      </x:c>
      <x:c r="C404" s="46" t="str">
        <x:v>commercial</x:v>
      </x:c>
      <x:c r="D404" s="46" t="str">
        <x:v>Sharks &amp; rays</x:v>
      </x:c>
      <x:c r="E404" s="66" t="n">
        <x:v>16</x:v>
      </x:c>
      <x:c r="F404" s="66" t="n">
        <x:v>16</x:v>
      </x:c>
      <x:c r="G404" s="60" t="n">
        <x:v>14615.0051364434</x:v>
      </x:c>
      <x:c r="H404" s="60" t="n">
        <x:v>14615.0051364434</x:v>
      </x:c>
      <x:c r="I404" s="62" t="n">
        <x:v>0</x:v>
      </x:c>
      <x:c r="J404" s="64" t="n">
        <x:v>1</x:v>
      </x:c>
      <x:c r="K404" s="62" t="n">
        <x:v>1191.4169882453518</x:v>
      </x:c>
      <x:c r="L404" s="60" t="n">
        <x:v>17412565.40285174</x:v>
      </x:c>
      <x:c r="M404" s="62" t="n">
        <x:v>3.9681944514094187</x:v>
      </x:c>
      <x:c r="N404" s="62" t="n">
        <x:v>929.3824161712206</x:v>
      </x:c>
      <x:c r="O404" s="60" t="n">
        <x:v>13582928.786062567</x:v>
      </x:c>
      <x:c r="P404" s="60" t="n">
        <x:v>3829636.616789175</x:v>
      </x:c>
      <x:c r="Q404" s="62" t="n">
        <x:v>1.2819448351020408</x:v>
      </x:c>
      <x:c r="R404" s="64" t="n">
        <x:v>0.28194483510204094</x:v>
      </x:c>
    </x:row>
    <x:row r="405" ht="18" customHeight="1">
      <x:c r="A405" s="46" t="str">
        <x:v>LME_029</x:v>
      </x:c>
      <x:c r="B405" s="46" t="str">
        <x:v>Benguela Current</x:v>
      </x:c>
      <x:c r="C405" s="46" t="str">
        <x:v>commercial</x:v>
      </x:c>
      <x:c r="D405" s="46" t="str">
        <x:v>Tuna &amp; billfishes</x:v>
      </x:c>
      <x:c r="E405" s="66" t="n">
        <x:v>18</x:v>
      </x:c>
      <x:c r="F405" s="66" t="n">
        <x:v>18</x:v>
      </x:c>
      <x:c r="G405" s="60" t="n">
        <x:v>16599.467051353702</x:v>
      </x:c>
      <x:c r="H405" s="60" t="n">
        <x:v>16599.467051353702</x:v>
      </x:c>
      <x:c r="I405" s="62" t="n">
        <x:v>0</x:v>
      </x:c>
      <x:c r="J405" s="64" t="n">
        <x:v>1</x:v>
      </x:c>
      <x:c r="K405" s="62" t="n">
        <x:v>2527.523736702771</x:v>
      </x:c>
      <x:c r="L405" s="60" t="n">
        <x:v>41955546.98891204</x:v>
      </x:c>
      <x:c r="M405" s="62" t="n">
        <x:v>4.394452381233963</x:v>
      </x:c>
      <x:c r="N405" s="62" t="n">
        <x:v>2480.0039996193473</x:v>
      </x:c>
      <x:c r="O405" s="60" t="n">
        <x:v>41166744.67890675</x:v>
      </x:c>
      <x:c r="P405" s="60" t="n">
        <x:v>788802.3100052848</x:v>
      </x:c>
      <x:c r="Q405" s="62" t="n">
        <x:v>1.019161153405687</x:v>
      </x:c>
      <x:c r="R405" s="64" t="n">
        <x:v>0.019161153405687085</x:v>
      </x:c>
    </x:row>
    <x:row r="406" ht="18" customHeight="1">
      <x:c r="A406" s="46" t="str">
        <x:v>LME_030</x:v>
      </x:c>
      <x:c r="B406" s="46" t="str">
        <x:v>Agulhas Current</x:v>
      </x:c>
      <x:c r="C406" s="46" t="str">
        <x:v>commercial</x:v>
      </x:c>
      <x:c r="D406" s="46" t="str">
        <x:v>Anchovies</x:v>
      </x:c>
      <x:c r="E406" s="66" t="n">
        <x:v>3</x:v>
      </x:c>
      <x:c r="F406" s="66" t="n">
        <x:v>3</x:v>
      </x:c>
      <x:c r="G406" s="60" t="n">
        <x:v>196639.1309704637</x:v>
      </x:c>
      <x:c r="H406" s="60" t="n">
        <x:v>196639.1309704637</x:v>
      </x:c>
      <x:c r="I406" s="62" t="n">
        <x:v>0</x:v>
      </x:c>
      <x:c r="J406" s="64" t="n">
        <x:v>1</x:v>
      </x:c>
      <x:c r="K406" s="62" t="n">
        <x:v>106.7731241471489</x:v>
      </x:c>
      <x:c r="L406" s="60" t="n">
        <x:v>20995774.343296796</x:v>
      </x:c>
      <x:c r="M406" s="62" t="n">
        <x:v>3.023159178267672</x:v>
      </x:c>
      <x:c r="N406" s="62" t="n">
        <x:v>105.477342269549</x:v>
      </x:c>
      <x:c r="O406" s="60" t="n">
        <x:v>20740972.920958273</x:v>
      </x:c>
      <x:c r="P406" s="60" t="n">
        <x:v>254801.42233852297</x:v>
      </x:c>
      <x:c r="Q406" s="62" t="n">
        <x:v>1.0122849310545627</x:v>
      </x:c>
      <x:c r="R406" s="64" t="n">
        <x:v>0.012284931054562635</x:v>
      </x:c>
    </x:row>
    <x:row r="407" ht="18" customHeight="1">
      <x:c r="A407" s="46" t="str">
        <x:v>LME_030</x:v>
      </x:c>
      <x:c r="B407" s="46" t="str">
        <x:v>Agulhas Current</x:v>
      </x:c>
      <x:c r="C407" s="46" t="str">
        <x:v>commercial</x:v>
      </x:c>
      <x:c r="D407" s="46" t="str">
        <x:v>Cod-likes</x:v>
      </x:c>
      <x:c r="E407" s="66" t="n">
        <x:v>3</x:v>
      </x:c>
      <x:c r="F407" s="66" t="n">
        <x:v>3</x:v>
      </x:c>
      <x:c r="G407" s="60" t="n">
        <x:v>56859.5770404601</x:v>
      </x:c>
      <x:c r="H407" s="60" t="n">
        <x:v>56859.5770404601</x:v>
      </x:c>
      <x:c r="I407" s="62" t="n">
        <x:v>0</x:v>
      </x:c>
      <x:c r="J407" s="64" t="n">
        <x:v>1</x:v>
      </x:c>
      <x:c r="K407" s="62" t="n">
        <x:v>1916.361981845742</x:v>
      </x:c>
      <x:c r="L407" s="60" t="n">
        <x:v>108963531.74416678</x:v>
      </x:c>
      <x:c r="M407" s="62" t="n">
        <x:v>4.280101774024834</x:v>
      </x:c>
      <x:c r="N407" s="62" t="n">
        <x:v>1905.9073023408264</x:v>
      </x:c>
      <x:c r="O407" s="60" t="n">
        <x:v>108369083.0894237</x:v>
      </x:c>
      <x:c r="P407" s="60" t="n">
        <x:v>594448.6547430754</x:v>
      </x:c>
      <x:c r="Q407" s="62" t="n">
        <x:v>1.0054854081791256</x:v>
      </x:c>
      <x:c r="R407" s="64" t="n">
        <x:v>0.005485408179125682</x:v>
      </x:c>
    </x:row>
    <x:row r="408" ht="18" customHeight="1">
      <x:c r="A408" s="46" t="str">
        <x:v>LME_030</x:v>
      </x:c>
      <x:c r="B408" s="46" t="str">
        <x:v>Agulhas Current</x:v>
      </x:c>
      <x:c r="C408" s="46" t="str">
        <x:v>commercial</x:v>
      </x:c>
      <x:c r="D408" s="46" t="str">
        <x:v>Crustaceans</x:v>
      </x:c>
      <x:c r="E408" s="66" t="n">
        <x:v>19</x:v>
      </x:c>
      <x:c r="F408" s="66" t="n">
        <x:v>19</x:v>
      </x:c>
      <x:c r="G408" s="60" t="n">
        <x:v>43579.7176429081</x:v>
      </x:c>
      <x:c r="H408" s="60" t="n">
        <x:v>43579.7176429081</x:v>
      </x:c>
      <x:c r="I408" s="62" t="n">
        <x:v>0</x:v>
      </x:c>
      <x:c r="J408" s="64" t="n">
        <x:v>1</x:v>
      </x:c>
      <x:c r="K408" s="62" t="n">
        <x:v>141.68989740828326</x:v>
      </x:c>
      <x:c r="L408" s="60" t="n">
        <x:v>6174805.721905601</x:v>
      </x:c>
      <x:c r="M408" s="62" t="n">
        <x:v>2.975826847052228</x:v>
      </x:c>
      <x:c r="N408" s="62" t="n">
        <x:v>94.5859972378262</x:v>
      </x:c>
      <x:c r="O408" s="60" t="n">
        <x:v>4122031.0525973514</x:v>
      </x:c>
      <x:c r="P408" s="60" t="n">
        <x:v>2052774.6693082498</x:v>
      </x:c>
      <x:c r="Q408" s="62" t="n">
        <x:v>1.4980007775571624</x:v>
      </x:c>
      <x:c r="R408" s="64" t="n">
        <x:v>0.4980007775571625</x:v>
      </x:c>
    </x:row>
    <x:row r="409" ht="18" customHeight="1">
      <x:c r="A409" s="46" t="str">
        <x:v>LME_030</x:v>
      </x:c>
      <x:c r="B409" s="46" t="str">
        <x:v>Agulhas Current</x:v>
      </x:c>
      <x:c r="C409" s="46" t="str">
        <x:v>commercial</x:v>
      </x:c>
      <x:c r="D409" s="46" t="str">
        <x:v>Flatfishes</x:v>
      </x:c>
      <x:c r="E409" s="66" t="n">
        <x:v>5</x:v>
      </x:c>
      <x:c r="F409" s="66" t="n">
        <x:v>5</x:v>
      </x:c>
      <x:c r="G409" s="60" t="n">
        <x:v>195.7302660675</x:v>
      </x:c>
      <x:c r="H409" s="60" t="n">
        <x:v>195.7302660675</x:v>
      </x:c>
      <x:c r="I409" s="62" t="n">
        <x:v>0</x:v>
      </x:c>
      <x:c r="J409" s="64" t="n">
        <x:v>1</x:v>
      </x:c>
      <x:c r="K409" s="62" t="n">
        <x:v>672.8146437523822</x:v>
      </x:c>
      <x:c r="L409" s="60" t="n">
        <x:v>131690.18923576397</x:v>
      </x:c>
      <x:c r="M409" s="62" t="n">
        <x:v>3.592647457243451</x:v>
      </x:c>
      <x:c r="N409" s="62" t="n">
        <x:v>391.424005875744</x:v>
      </x:c>
      <x:c r="O409" s="60" t="n">
        <x:v>76613.52481526605</x:v>
      </x:c>
      <x:c r="P409" s="60" t="n">
        <x:v>55076.664420497924</x:v>
      </x:c>
      <x:c r="Q409" s="62" t="n">
        <x:v>1.7188895766550518</x:v>
      </x:c>
      <x:c r="R409" s="64" t="n">
        <x:v>0.7188895766550519</x:v>
      </x:c>
    </x:row>
    <x:row r="410" ht="18" customHeight="1">
      <x:c r="A410" s="46" t="str">
        <x:v>LME_030</x:v>
      </x:c>
      <x:c r="B410" s="46" t="str">
        <x:v>Agulhas Current</x:v>
      </x:c>
      <x:c r="C410" s="46" t="str">
        <x:v>commercial</x:v>
      </x:c>
      <x:c r="D410" s="46" t="str">
        <x:v>Herring-likes</x:v>
      </x:c>
      <x:c r="E410" s="66" t="n">
        <x:v>9</x:v>
      </x:c>
      <x:c r="F410" s="66" t="n">
        <x:v>9</x:v>
      </x:c>
      <x:c r="G410" s="60" t="n">
        <x:v>55445.4766444321</x:v>
      </x:c>
      <x:c r="H410" s="60" t="n">
        <x:v>55445.4766444321</x:v>
      </x:c>
      <x:c r="I410" s="62" t="n">
        <x:v>0</x:v>
      </x:c>
      <x:c r="J410" s="64" t="n">
        <x:v>1</x:v>
      </x:c>
      <x:c r="K410" s="62" t="n">
        <x:v>177.07192578678288</x:v>
      </x:c>
      <x:c r="L410" s="60" t="n">
        <x:v>9817837.325595684</x:v>
      </x:c>
      <x:c r="M410" s="62" t="n">
        <x:v>3.2217120806004496</x:v>
      </x:c>
      <x:c r="N410" s="62" t="n">
        <x:v>166.61422624527412</x:v>
      </x:c>
      <x:c r="O410" s="60" t="n">
        <x:v>9238005.189912472</x:v>
      </x:c>
      <x:c r="P410" s="60" t="n">
        <x:v>579832.1356832124</x:v>
      </x:c>
      <x:c r="Q410" s="62" t="n">
        <x:v>1.0627659460850234</x:v>
      </x:c>
      <x:c r="R410" s="64" t="n">
        <x:v>0.06276594608502338</x:v>
      </x:c>
    </x:row>
    <x:row r="411" ht="18" customHeight="1">
      <x:c r="A411" s="46" t="str">
        <x:v>LME_030</x:v>
      </x:c>
      <x:c r="B411" s="46" t="str">
        <x:v>Agulhas Current</x:v>
      </x:c>
      <x:c r="C411" s="46" t="str">
        <x:v>commercial</x:v>
      </x:c>
      <x:c r="D411" s="46" t="str">
        <x:v>Molluscs</x:v>
      </x:c>
      <x:c r="E411" s="66" t="n">
        <x:v>5</x:v>
      </x:c>
      <x:c r="F411" s="66" t="n">
        <x:v>5</x:v>
      </x:c>
      <x:c r="G411" s="60" t="n">
        <x:v>1379.9341931610002</x:v>
      </x:c>
      <x:c r="H411" s="60" t="n">
        <x:v>1379.9341931610002</x:v>
      </x:c>
      <x:c r="I411" s="62" t="n">
        <x:v>0</x:v>
      </x:c>
      <x:c r="J411" s="64" t="n">
        <x:v>1</x:v>
      </x:c>
      <x:c r="K411" s="62" t="n">
        <x:v>11.748381056189169</x:v>
      </x:c>
      <x:c r="L411" s="60" t="n">
        <x:v>16211.992733720379</x:v>
      </x:c>
      <x:c r="M411" s="62" t="n">
        <x:v>2.058533285249447</x:v>
      </x:c>
      <x:c r="N411" s="62" t="n">
        <x:v>11.442825766979395</x:v>
      </x:c>
      <x:c r="O411" s="60" t="n">
        <x:v>15790.346542238614</x:v>
      </x:c>
      <x:c r="P411" s="60" t="n">
        <x:v>421.6461914817646</x:v>
      </x:c>
      <x:c r="Q411" s="62" t="n">
        <x:v>1.0267027826370927</x:v>
      </x:c>
      <x:c r="R411" s="64" t="n">
        <x:v>0.026702782637092613</x:v>
      </x:c>
    </x:row>
    <x:row r="412" ht="18" customHeight="1">
      <x:c r="A412" s="46" t="str">
        <x:v>LME_030</x:v>
      </x:c>
      <x:c r="B412" s="46" t="str">
        <x:v>Agulhas Current</x:v>
      </x:c>
      <x:c r="C412" s="46" t="str">
        <x:v>commercial</x:v>
      </x:c>
      <x:c r="D412" s="46" t="str">
        <x:v>Other fishes &amp; inverts</x:v>
      </x:c>
      <x:c r="E412" s="66" t="n">
        <x:v>44</x:v>
      </x:c>
      <x:c r="F412" s="66" t="n">
        <x:v>44</x:v>
      </x:c>
      <x:c r="G412" s="60" t="n">
        <x:v>180456.6257479621</x:v>
      </x:c>
      <x:c r="H412" s="60" t="n">
        <x:v>180456.6257479621</x:v>
      </x:c>
      <x:c r="I412" s="62" t="n">
        <x:v>0</x:v>
      </x:c>
      <x:c r="J412" s="64" t="n">
        <x:v>1</x:v>
      </x:c>
      <x:c r="K412" s="62" t="n">
        <x:v>287.3858678503283</x:v>
      </x:c>
      <x:c r="L412" s="60" t="n">
        <x:v>51860683.99991999</x:v>
      </x:c>
      <x:c r="M412" s="62" t="n">
        <x:v>3.2352636826173353</x:v>
      </x:c>
      <x:c r="N412" s="62" t="n">
        <x:v>171.89517347964548</x:v>
      </x:c>
      <x:c r="O412" s="60" t="n">
        <x:v>31019622.988497403</x:v>
      </x:c>
      <x:c r="P412" s="60" t="n">
        <x:v>20841061.011422586</x:v>
      </x:c>
      <x:c r="Q412" s="62" t="n">
        <x:v>1.6718669991298991</x:v>
      </x:c>
      <x:c r="R412" s="64" t="n">
        <x:v>0.6718669991298992</x:v>
      </x:c>
    </x:row>
    <x:row r="413" ht="18" customHeight="1">
      <x:c r="A413" s="46" t="str">
        <x:v>LME_030</x:v>
      </x:c>
      <x:c r="B413" s="46" t="str">
        <x:v>Agulhas Current</x:v>
      </x:c>
      <x:c r="C413" s="46" t="str">
        <x:v>commercial</x:v>
      </x:c>
      <x:c r="D413" s="46" t="str">
        <x:v>Perch-likes</x:v>
      </x:c>
      <x:c r="E413" s="66" t="n">
        <x:v>122</x:v>
      </x:c>
      <x:c r="F413" s="66" t="n">
        <x:v>122</x:v>
      </x:c>
      <x:c r="G413" s="60" t="n">
        <x:v>206388.76926308323</x:v>
      </x:c>
      <x:c r="H413" s="60" t="n">
        <x:v>206388.76926308323</x:v>
      </x:c>
      <x:c r="I413" s="62" t="n">
        <x:v>0</x:v>
      </x:c>
      <x:c r="J413" s="64" t="n">
        <x:v>1</x:v>
      </x:c>
      <x:c r="K413" s="62" t="n">
        <x:v>828.416102908206</x:v>
      </x:c>
      <x:c r="L413" s="60" t="n">
        <x:v>170975779.91694432</x:v>
      </x:c>
      <x:c r="M413" s="62" t="n">
        <x:v>3.630644396251138</x:v>
      </x:c>
      <x:c r="N413" s="62" t="n">
        <x:v>427.2129375763248</x:v>
      </x:c>
      <x:c r="O413" s="60" t="n">
        <x:v>88171952.39964408</x:v>
      </x:c>
      <x:c r="P413" s="60" t="n">
        <x:v>82803827.51730025</x:v>
      </x:c>
      <x:c r="Q413" s="62" t="n">
        <x:v>1.9391175454750904</x:v>
      </x:c>
      <x:c r="R413" s="64" t="n">
        <x:v>0.9391175454750903</x:v>
      </x:c>
    </x:row>
    <x:row r="414" ht="18" customHeight="1">
      <x:c r="A414" s="46" t="str">
        <x:v>LME_030</x:v>
      </x:c>
      <x:c r="B414" s="46" t="str">
        <x:v>Agulhas Current</x:v>
      </x:c>
      <x:c r="C414" s="46" t="str">
        <x:v>commercial</x:v>
      </x:c>
      <x:c r="D414" s="46" t="str">
        <x:v>Scorpionfishes</x:v>
      </x:c>
      <x:c r="E414" s="66" t="n">
        <x:v>7</x:v>
      </x:c>
      <x:c r="F414" s="66" t="n">
        <x:v>7</x:v>
      </x:c>
      <x:c r="G414" s="60" t="n">
        <x:v>3309.5462190985995</x:v>
      </x:c>
      <x:c r="H414" s="60" t="n">
        <x:v>3309.5462190985995</x:v>
      </x:c>
      <x:c r="I414" s="62" t="n">
        <x:v>0</x:v>
      </x:c>
      <x:c r="J414" s="64" t="n">
        <x:v>1</x:v>
      </x:c>
      <x:c r="K414" s="62" t="n">
        <x:v>613.3667291331685</x:v>
      </x:c>
      <x:c r="L414" s="60" t="n">
        <x:v>2029965.5393235525</x:v>
      </x:c>
      <x:c r="M414" s="62" t="n">
        <x:v>3.765683831474443</x:v>
      </x:c>
      <x:c r="N414" s="62" t="n">
        <x:v>583.0205079320882</x:v>
      </x:c>
      <x:c r="O414" s="60" t="n">
        <x:v>1929533.3176835875</x:v>
      </x:c>
      <x:c r="P414" s="60" t="n">
        <x:v>100432.22163996496</x:v>
      </x:c>
      <x:c r="Q414" s="62" t="n">
        <x:v>1.0520500064546874</x:v>
      </x:c>
      <x:c r="R414" s="64" t="n">
        <x:v>0.05205000645468732</x:v>
      </x:c>
    </x:row>
    <x:row r="415" ht="18" customHeight="1">
      <x:c r="A415" s="46" t="str">
        <x:v>LME_030</x:v>
      </x:c>
      <x:c r="B415" s="46" t="str">
        <x:v>Agulhas Current</x:v>
      </x:c>
      <x:c r="C415" s="46" t="str">
        <x:v>commercial</x:v>
      </x:c>
      <x:c r="D415" s="46" t="str">
        <x:v>Sharks &amp; rays</x:v>
      </x:c>
      <x:c r="E415" s="66" t="n">
        <x:v>34</x:v>
      </x:c>
      <x:c r="F415" s="66" t="n">
        <x:v>34</x:v>
      </x:c>
      <x:c r="G415" s="60" t="n">
        <x:v>17009.2373808311</x:v>
      </x:c>
      <x:c r="H415" s="60" t="n">
        <x:v>17009.2373808311</x:v>
      </x:c>
      <x:c r="I415" s="62" t="n">
        <x:v>0</x:v>
      </x:c>
      <x:c r="J415" s="64" t="n">
        <x:v>1</x:v>
      </x:c>
      <x:c r="K415" s="62" t="n">
        <x:v>1473.715130757497</x:v>
      </x:c>
      <x:c r="L415" s="60" t="n">
        <x:v>25066770.490776807</x:v>
      </x:c>
      <x:c r="M415" s="62" t="n">
        <x:v>4.1273441376016775</x:v>
      </x:c>
      <x:c r="N415" s="62" t="n">
        <x:v>1340.7386761281675</x:v>
      </x:c>
      <x:c r="O415" s="60" t="n">
        <x:v>22804942.407925226</x:v>
      </x:c>
      <x:c r="P415" s="60" t="n">
        <x:v>2261828.0828515813</x:v>
      </x:c>
      <x:c r="Q415" s="62" t="n">
        <x:v>1.0991814862933198</x:v>
      </x:c>
      <x:c r="R415" s="64" t="n">
        <x:v>0.09918148629331971</x:v>
      </x:c>
    </x:row>
    <x:row r="416" ht="18" customHeight="1">
      <x:c r="A416" s="46" t="str">
        <x:v>LME_030</x:v>
      </x:c>
      <x:c r="B416" s="46" t="str">
        <x:v>Agulhas Current</x:v>
      </x:c>
      <x:c r="C416" s="46" t="str">
        <x:v>commercial</x:v>
      </x:c>
      <x:c r="D416" s="46" t="str">
        <x:v>Tuna &amp; billfishes</x:v>
      </x:c>
      <x:c r="E416" s="66" t="n">
        <x:v>21</x:v>
      </x:c>
      <x:c r="F416" s="66" t="n">
        <x:v>21</x:v>
      </x:c>
      <x:c r="G416" s="60" t="n">
        <x:v>32951.680607846705</x:v>
      </x:c>
      <x:c r="H416" s="60" t="n">
        <x:v>32951.680607846705</x:v>
      </x:c>
      <x:c r="I416" s="62" t="n">
        <x:v>0</x:v>
      </x:c>
      <x:c r="J416" s="64" t="n">
        <x:v>1</x:v>
      </x:c>
      <x:c r="K416" s="62" t="n">
        <x:v>2614.0300490615764</x:v>
      </x:c>
      <x:c r="L416" s="60" t="n">
        <x:v>86136683.27599092</x:v>
      </x:c>
      <x:c r="M416" s="62" t="n">
        <x:v>4.410690020679923</x:v>
      </x:c>
      <x:c r="N416" s="62" t="n">
        <x:v>2574.4829541759464</x:v>
      </x:c>
      <x:c r="O416" s="60" t="n">
        <x:v>84833540.03635143</x:v>
      </x:c>
      <x:c r="P416" s="60" t="n">
        <x:v>1303143.2396394908</x:v>
      </x:c>
      <x:c r="Q416" s="62" t="n">
        <x:v>1.0153611795415007</x:v>
      </x:c>
      <x:c r="R416" s="64" t="n">
        <x:v>0.015361179541500803</x:v>
      </x:c>
    </x:row>
    <x:row r="417" ht="18" customHeight="1">
      <x:c r="A417" s="46" t="str">
        <x:v>LME_031</x:v>
      </x:c>
      <x:c r="B417" s="46" t="str">
        <x:v>Somali Coastal Current</x:v>
      </x:c>
      <x:c r="C417" s="46" t="str">
        <x:v>commercial</x:v>
      </x:c>
      <x:c r="D417" s="46" t="str">
        <x:v>Anchovies</x:v>
      </x:c>
      <x:c r="E417" s="66" t="n">
        <x:v>2</x:v>
      </x:c>
      <x:c r="F417" s="66" t="n">
        <x:v>2</x:v>
      </x:c>
      <x:c r="G417" s="60" t="n">
        <x:v>1846.4376834211002</x:v>
      </x:c>
      <x:c r="H417" s="60" t="n">
        <x:v>1846.4376834211002</x:v>
      </x:c>
      <x:c r="I417" s="62" t="n">
        <x:v>0</x:v>
      </x:c>
      <x:c r="J417" s="64" t="n">
        <x:v>1</x:v>
      </x:c>
      <x:c r="K417" s="62" t="n">
        <x:v>159.24187707227182</x:v>
      </x:c>
      <x:c r="L417" s="60" t="n">
        <x:v>294030.2026049532</x:v>
      </x:c>
      <x:c r="M417" s="62" t="n">
        <x:v>3.2017476134121394</x:v>
      </x:c>
      <x:c r="N417" s="62" t="n">
        <x:v>159.1283697144862</x:v>
      </x:c>
      <x:c r="O417" s="60" t="n">
        <x:v>293820.61834219226</x:v>
      </x:c>
      <x:c r="P417" s="60" t="n">
        <x:v>209.58426276093815</x:v>
      </x:c>
      <x:c r="Q417" s="62" t="n">
        <x:v>1.0007133068602996</x:v>
      </x:c>
      <x:c r="R417" s="64" t="n">
        <x:v>0.0007133068602995385</x:v>
      </x:c>
    </x:row>
    <x:row r="418" ht="18" customHeight="1">
      <x:c r="A418" s="46" t="str">
        <x:v>LME_031</x:v>
      </x:c>
      <x:c r="B418" s="46" t="str">
        <x:v>Somali Coastal Current</x:v>
      </x:c>
      <x:c r="C418" s="46" t="str">
        <x:v>commercial</x:v>
      </x:c>
      <x:c r="D418" s="46" t="str">
        <x:v>Crustaceans</x:v>
      </x:c>
      <x:c r="E418" s="66" t="n">
        <x:v>16</x:v>
      </x:c>
      <x:c r="F418" s="66" t="n">
        <x:v>16</x:v>
      </x:c>
      <x:c r="G418" s="60" t="n">
        <x:v>8195.7265323692</x:v>
      </x:c>
      <x:c r="H418" s="60" t="n">
        <x:v>8195.7265323692</x:v>
      </x:c>
      <x:c r="I418" s="62" t="n">
        <x:v>0</x:v>
      </x:c>
      <x:c r="J418" s="64" t="n">
        <x:v>1</x:v>
      </x:c>
      <x:c r="K418" s="62" t="n">
        <x:v>79.90423382243713</x:v>
      </x:c>
      <x:c r="L418" s="60" t="n">
        <x:v>654873.2491871805</x:v>
      </x:c>
      <x:c r="M418" s="62" t="n">
        <x:v>2.818444807539823</x:v>
      </x:c>
      <x:c r="N418" s="62" t="n">
        <x:v>65.83317603139119</x:v>
      </x:c>
      <x:c r="O418" s="60" t="n">
        <x:v>539550.7075106049</x:v>
      </x:c>
      <x:c r="P418" s="60" t="n">
        <x:v>115322.54167657567</x:v>
      </x:c>
      <x:c r="Q418" s="62" t="n">
        <x:v>1.213738097404513</x:v>
      </x:c>
      <x:c r="R418" s="64" t="n">
        <x:v>0.2137380974045132</x:v>
      </x:c>
    </x:row>
    <x:row r="419" ht="18" customHeight="1">
      <x:c r="A419" s="46" t="str">
        <x:v>LME_031</x:v>
      </x:c>
      <x:c r="B419" s="46" t="str">
        <x:v>Somali Coastal Current</x:v>
      </x:c>
      <x:c r="C419" s="46" t="str">
        <x:v>commercial</x:v>
      </x:c>
      <x:c r="D419" s="46" t="str">
        <x:v>Flatfishes</x:v>
      </x:c>
      <x:c r="E419" s="66" t="n">
        <x:v>3</x:v>
      </x:c>
      <x:c r="F419" s="66" t="n">
        <x:v>3</x:v>
      </x:c>
      <x:c r="G419" s="60" t="n">
        <x:v>691.2461631122</x:v>
      </x:c>
      <x:c r="H419" s="60" t="n">
        <x:v>691.2461631122</x:v>
      </x:c>
      <x:c r="I419" s="62" t="n">
        <x:v>0</x:v>
      </x:c>
      <x:c r="J419" s="64" t="n">
        <x:v>1</x:v>
      </x:c>
      <x:c r="K419" s="62" t="n">
        <x:v>2199.4563396655985</x:v>
      </x:c>
      <x:c r="L419" s="60" t="n">
        <x:v>1520365.7557266487</x:v>
      </x:c>
      <x:c r="M419" s="62" t="n">
        <x:v>4.288896200183057</x:v>
      </x:c>
      <x:c r="N419" s="62" t="n">
        <x:v>1944.8951807328312</x:v>
      </x:c>
      <x:c r="O419" s="60" t="n">
        <x:v>1344401.3313369784</x:v>
      </x:c>
      <x:c r="P419" s="60" t="n">
        <x:v>175964.42438967037</x:v>
      </x:c>
      <x:c r="Q419" s="62" t="n">
        <x:v>1.1308868269378145</x:v>
      </x:c>
      <x:c r="R419" s="64" t="n">
        <x:v>0.1308868269378144</x:v>
      </x:c>
    </x:row>
    <x:row r="420" ht="18" customHeight="1">
      <x:c r="A420" s="46" t="str">
        <x:v>LME_031</x:v>
      </x:c>
      <x:c r="B420" s="46" t="str">
        <x:v>Somali Coastal Current</x:v>
      </x:c>
      <x:c r="C420" s="46" t="str">
        <x:v>commercial</x:v>
      </x:c>
      <x:c r="D420" s="46" t="str">
        <x:v>Herring-likes</x:v>
      </x:c>
      <x:c r="E420" s="66" t="n">
        <x:v>10</x:v>
      </x:c>
      <x:c r="F420" s="66" t="n">
        <x:v>10</x:v>
      </x:c>
      <x:c r="G420" s="60" t="n">
        <x:v>12717.2067838525</x:v>
      </x:c>
      <x:c r="H420" s="60" t="n">
        <x:v>12717.2067838525</x:v>
      </x:c>
      <x:c r="I420" s="62" t="n">
        <x:v>0</x:v>
      </x:c>
      <x:c r="J420" s="64" t="n">
        <x:v>1</x:v>
      </x:c>
      <x:c r="K420" s="62" t="n">
        <x:v>229.61090169071045</x:v>
      </x:c>
      <x:c r="L420" s="60" t="n">
        <x:v>2920009.3166275923</x:v>
      </x:c>
      <x:c r="M420" s="62" t="n">
        <x:v>2.957267013450208</x:v>
      </x:c>
      <x:c r="N420" s="62" t="n">
        <x:v>90.6289635714634</x:v>
      </x:c>
      <x:c r="O420" s="60" t="n">
        <x:v>1152547.2703445354</x:v>
      </x:c>
      <x:c r="P420" s="60" t="n">
        <x:v>1767462.046283057</x:v>
      </x:c>
      <x:c r="Q420" s="62" t="n">
        <x:v>2.5335267296713155</x:v>
      </x:c>
      <x:c r="R420" s="64" t="n">
        <x:v>1.5335267296713155</x:v>
      </x:c>
    </x:row>
    <x:row r="421" ht="18" customHeight="1">
      <x:c r="A421" s="46" t="str">
        <x:v>LME_031</x:v>
      </x:c>
      <x:c r="B421" s="46" t="str">
        <x:v>Somali Coastal Current</x:v>
      </x:c>
      <x:c r="C421" s="46" t="str">
        <x:v>commercial</x:v>
      </x:c>
      <x:c r="D421" s="46" t="str">
        <x:v>Molluscs</x:v>
      </x:c>
      <x:c r="E421" s="66" t="n">
        <x:v>2</x:v>
      </x:c>
      <x:c r="F421" s="66" t="n">
        <x:v>2</x:v>
      </x:c>
      <x:c r="G421" s="60" t="n">
        <x:v>2725.8614490224995</x:v>
      </x:c>
      <x:c r="H421" s="60" t="n">
        <x:v>2725.8614490224995</x:v>
      </x:c>
      <x:c r="I421" s="62" t="n">
        <x:v>0</x:v>
      </x:c>
      <x:c r="J421" s="64" t="n">
        <x:v>1</x:v>
      </x:c>
      <x:c r="K421" s="62" t="n">
        <x:v>12.589246573624544</x:v>
      </x:c>
      <x:c r="L421" s="60" t="n">
        <x:v>34316.54190728174</x:v>
      </x:c>
      <x:c r="M421" s="62" t="n">
        <x:v>2.099999708629714</x:v>
      </x:c>
      <x:c r="N421" s="62" t="n">
        <x:v>12.589245671752519</x:v>
      </x:c>
      <x:c r="O421" s="60" t="n">
        <x:v>34316.53944890355</x:v>
      </x:c>
      <x:c r="P421" s="60" t="n">
        <x:v>0.0024583781851106323</x:v>
      </x:c>
      <x:c r="Q421" s="62" t="n">
        <x:v>1.0000000716382895</x:v>
      </x:c>
      <x:c r="R421" s="64" t="n">
        <x:v>7.163828942516463e-8</x:v>
      </x:c>
    </x:row>
    <x:row r="422" ht="18" customHeight="1">
      <x:c r="A422" s="46" t="str">
        <x:v>LME_031</x:v>
      </x:c>
      <x:c r="B422" s="46" t="str">
        <x:v>Somali Coastal Current</x:v>
      </x:c>
      <x:c r="C422" s="46" t="str">
        <x:v>commercial</x:v>
      </x:c>
      <x:c r="D422" s="46" t="str">
        <x:v>Other fishes &amp; inverts</x:v>
      </x:c>
      <x:c r="E422" s="66" t="n">
        <x:v>39</x:v>
      </x:c>
      <x:c r="F422" s="66" t="n">
        <x:v>39</x:v>
      </x:c>
      <x:c r="G422" s="60" t="n">
        <x:v>48908.4913532825</x:v>
      </x:c>
      <x:c r="H422" s="60" t="n">
        <x:v>48908.4913532825</x:v>
      </x:c>
      <x:c r="I422" s="62" t="n">
        <x:v>0</x:v>
      </x:c>
      <x:c r="J422" s="64" t="n">
        <x:v>1</x:v>
      </x:c>
      <x:c r="K422" s="62" t="n">
        <x:v>323.0225490122704</x:v>
      </x:c>
      <x:c r="L422" s="60" t="n">
        <x:v>15798545.545281902</x:v>
      </x:c>
      <x:c r="M422" s="62" t="n">
        <x:v>3.4446649516565935</x:v>
      </x:c>
      <x:c r="N422" s="62" t="n">
        <x:v>278.39725682395283</x:v>
      </x:c>
      <x:c r="O422" s="60" t="n">
        <x:v>13615989.828151865</x:v>
      </x:c>
      <x:c r="P422" s="60" t="n">
        <x:v>2182555.717130037</x:v>
      </x:c>
      <x:c r="Q422" s="62" t="n">
        <x:v>1.1602935772335459</x:v>
      </x:c>
      <x:c r="R422" s="64" t="n">
        <x:v>0.16029357723354595</x:v>
      </x:c>
    </x:row>
    <x:row r="423" ht="18" customHeight="1">
      <x:c r="A423" s="46" t="str">
        <x:v>LME_031</x:v>
      </x:c>
      <x:c r="B423" s="46" t="str">
        <x:v>Somali Coastal Current</x:v>
      </x:c>
      <x:c r="C423" s="46" t="str">
        <x:v>commercial</x:v>
      </x:c>
      <x:c r="D423" s="46" t="str">
        <x:v>Perch-likes</x:v>
      </x:c>
      <x:c r="E423" s="66" t="n">
        <x:v>93</x:v>
      </x:c>
      <x:c r="F423" s="66" t="n">
        <x:v>93</x:v>
      </x:c>
      <x:c r="G423" s="60" t="n">
        <x:v>112862.12392606889</x:v>
      </x:c>
      <x:c r="H423" s="60" t="n">
        <x:v>112862.12392606889</x:v>
      </x:c>
      <x:c r="I423" s="62" t="n">
        <x:v>0</x:v>
      </x:c>
      <x:c r="J423" s="64" t="n">
        <x:v>1</x:v>
      </x:c>
      <x:c r="K423" s="62" t="n">
        <x:v>911.7349848309152</x:v>
      </x:c>
      <x:c r="L423" s="60" t="n">
        <x:v>102900346.8457193</x:v>
      </x:c>
      <x:c r="M423" s="62" t="n">
        <x:v>3.671671210373483</x:v>
      </x:c>
      <x:c r="N423" s="62" t="n">
        <x:v>469.53850233411754</x:v>
      </x:c>
      <x:c r="O423" s="60" t="n">
        <x:v>52993112.63849396</x:v>
      </x:c>
      <x:c r="P423" s="60" t="n">
        <x:v>49907234.20722533</x:v>
      </x:c>
      <x:c r="Q423" s="62" t="n">
        <x:v>1.941768311434738</x:v>
      </x:c>
      <x:c r="R423" s="64" t="n">
        <x:v>0.9417683114347379</x:v>
      </x:c>
    </x:row>
    <x:row r="424" ht="18" customHeight="1">
      <x:c r="A424" s="46" t="str">
        <x:v>LME_031</x:v>
      </x:c>
      <x:c r="B424" s="46" t="str">
        <x:v>Somali Coastal Current</x:v>
      </x:c>
      <x:c r="C424" s="46" t="str">
        <x:v>commercial</x:v>
      </x:c>
      <x:c r="D424" s="46" t="str">
        <x:v>Scorpionfishes</x:v>
      </x:c>
      <x:c r="E424" s="66" t="n">
        <x:v>2</x:v>
      </x:c>
      <x:c r="F424" s="66" t="n">
        <x:v>2</x:v>
      </x:c>
      <x:c r="G424" s="60" t="n">
        <x:v>119.6725045985</x:v>
      </x:c>
      <x:c r="H424" s="60" t="n">
        <x:v>119.6725045985</x:v>
      </x:c>
      <x:c r="I424" s="62" t="n">
        <x:v>0</x:v>
      </x:c>
      <x:c r="J424" s="64" t="n">
        <x:v>1</x:v>
      </x:c>
      <x:c r="K424" s="62" t="n">
        <x:v>787.5354953771239</x:v>
      </x:c>
      <x:c r="L424" s="60" t="n">
        <x:v>94246.34519200084</x:v>
      </x:c>
      <x:c r="M424" s="62" t="n">
        <x:v>3.894856856466195</x:v>
      </x:c>
      <x:c r="N424" s="62" t="n">
        <x:v>784.976863461543</x:v>
      </x:c>
      <x:c r="O424" s="60" t="n">
        <x:v>93940.14730231761</x:v>
      </x:c>
      <x:c r="P424" s="60" t="n">
        <x:v>306.19788968322973</x:v>
      </x:c>
      <x:c r="Q424" s="62" t="n">
        <x:v>1.0032594997823223</x:v>
      </x:c>
      <x:c r="R424" s="64" t="n">
        <x:v>0.0032594997823223075</x:v>
      </x:c>
    </x:row>
    <x:row r="425" ht="18" customHeight="1">
      <x:c r="A425" s="46" t="str">
        <x:v>LME_031</x:v>
      </x:c>
      <x:c r="B425" s="46" t="str">
        <x:v>Somali Coastal Current</x:v>
      </x:c>
      <x:c r="C425" s="46" t="str">
        <x:v>commercial</x:v>
      </x:c>
      <x:c r="D425" s="46" t="str">
        <x:v>Sharks &amp; rays</x:v>
      </x:c>
      <x:c r="E425" s="66" t="n">
        <x:v>20</x:v>
      </x:c>
      <x:c r="F425" s="66" t="n">
        <x:v>20</x:v>
      </x:c>
      <x:c r="G425" s="60" t="n">
        <x:v>32240.654084842794</x:v>
      </x:c>
      <x:c r="H425" s="60" t="n">
        <x:v>32240.654084842794</x:v>
      </x:c>
      <x:c r="I425" s="62" t="n">
        <x:v>0</x:v>
      </x:c>
      <x:c r="J425" s="64" t="n">
        <x:v>1</x:v>
      </x:c>
      <x:c r="K425" s="62" t="n">
        <x:v>1491.7215354791063</x:v>
      </x:c>
      <x:c r="L425" s="60" t="n">
        <x:v>48094078.01629241</x:v>
      </x:c>
      <x:c r="M425" s="62" t="n">
        <x:v>4.085776987182173</x:v>
      </x:c>
      <x:c r="N425" s="62" t="n">
        <x:v>1218.3638011534276</x:v>
      </x:c>
      <x:c r="O425" s="60" t="n">
        <x:v>39280845.86248185</x:v>
      </x:c>
      <x:c r="P425" s="60" t="n">
        <x:v>8813232.15381056</x:v>
      </x:c>
      <x:c r="Q425" s="62" t="n">
        <x:v>1.2243646225100338</x:v>
      </x:c>
      <x:c r="R425" s="64" t="n">
        <x:v>0.22436462251003375</x:v>
      </x:c>
    </x:row>
    <x:row r="426" ht="18" customHeight="1">
      <x:c r="A426" s="46" t="str">
        <x:v>LME_031</x:v>
      </x:c>
      <x:c r="B426" s="46" t="str">
        <x:v>Somali Coastal Current</x:v>
      </x:c>
      <x:c r="C426" s="46" t="str">
        <x:v>commercial</x:v>
      </x:c>
      <x:c r="D426" s="46" t="str">
        <x:v>Tuna &amp; billfishes</x:v>
      </x:c>
      <x:c r="E426" s="66" t="n">
        <x:v>18</x:v>
      </x:c>
      <x:c r="F426" s="66" t="n">
        <x:v>18</x:v>
      </x:c>
      <x:c r="G426" s="60" t="n">
        <x:v>17071.658151050196</x:v>
      </x:c>
      <x:c r="H426" s="60" t="n">
        <x:v>17071.658151050196</x:v>
      </x:c>
      <x:c r="I426" s="62" t="n">
        <x:v>0</x:v>
      </x:c>
      <x:c r="J426" s="64" t="n">
        <x:v>1</x:v>
      </x:c>
      <x:c r="K426" s="62" t="n">
        <x:v>2795.4560924102443</x:v>
      </x:c>
      <x:c r="L426" s="60" t="n">
        <x:v>47723070.785898276</x:v>
      </x:c>
      <x:c r="M426" s="62" t="n">
        <x:v>4.441236641847048</x:v>
      </x:c>
      <x:c r="N426" s="62" t="n">
        <x:v>2762.0824718242407</x:v>
      </x:c>
      <x:c r="O426" s="60" t="n">
        <x:v>47153327.743991174</x:v>
      </x:c>
      <x:c r="P426" s="60" t="n">
        <x:v>569743.0419071019</x:v>
      </x:c>
      <x:c r="Q426" s="62" t="n">
        <x:v>1.012082774836177</x:v>
      </x:c>
      <x:c r="R426" s="64" t="n">
        <x:v>0.012082774836176969</x:v>
      </x:c>
    </x:row>
    <x:row r="427" ht="18" customHeight="1">
      <x:c r="A427" s="46" t="str">
        <x:v>LME_032</x:v>
      </x:c>
      <x:c r="B427" s="46" t="str">
        <x:v>Arabian Sea</x:v>
      </x:c>
      <x:c r="C427" s="46" t="str">
        <x:v>commercial</x:v>
      </x:c>
      <x:c r="D427" s="46" t="str">
        <x:v>Anchovies</x:v>
      </x:c>
      <x:c r="E427" s="66" t="n">
        <x:v>5</x:v>
      </x:c>
      <x:c r="F427" s="66" t="n">
        <x:v>5</x:v>
      </x:c>
      <x:c r="G427" s="60" t="n">
        <x:v>114036.54438802763</x:v>
      </x:c>
      <x:c r="H427" s="60" t="n">
        <x:v>114036.54438802763</x:v>
      </x:c>
      <x:c r="I427" s="62" t="n">
        <x:v>0</x:v>
      </x:c>
      <x:c r="J427" s="64" t="n">
        <x:v>1</x:v>
      </x:c>
      <x:c r="K427" s="62" t="n">
        <x:v>221.69835719141696</x:v>
      </x:c>
      <x:c r="L427" s="60" t="n">
        <x:v>25281714.550611824</x:v>
      </x:c>
      <x:c r="M427" s="62" t="n">
        <x:v>3.3334736401419875</x:v>
      </x:c>
      <x:c r="N427" s="62" t="n">
        <x:v>215.51308321716567</x:v>
      </x:c>
      <x:c r="O427" s="60" t="n">
        <x:v>24576367.280495007</x:v>
      </x:c>
      <x:c r="P427" s="60" t="n">
        <x:v>705347.2701168172</x:v>
      </x:c>
      <x:c r="Q427" s="62" t="n">
        <x:v>1.0287002249790032</x:v>
      </x:c>
      <x:c r="R427" s="64" t="n">
        <x:v>0.028700224979003097</x:v>
      </x:c>
    </x:row>
    <x:row r="428" ht="18" customHeight="1">
      <x:c r="A428" s="46" t="str">
        <x:v>LME_032</x:v>
      </x:c>
      <x:c r="B428" s="46" t="str">
        <x:v>Arabian Sea</x:v>
      </x:c>
      <x:c r="C428" s="46" t="str">
        <x:v>commercial</x:v>
      </x:c>
      <x:c r="D428" s="46" t="str">
        <x:v>Cod-likes</x:v>
      </x:c>
      <x:c r="E428" s="66" t="n">
        <x:v>1</x:v>
      </x:c>
      <x:c r="F428" s="66" t="n">
        <x:v>1</x:v>
      </x:c>
      <x:c r="G428" s="60" t="n">
        <x:v>224.60510071849998</x:v>
      </x:c>
      <x:c r="H428" s="60" t="n">
        <x:v>224.60510071849998</x:v>
      </x:c>
      <x:c r="I428" s="62" t="n">
        <x:v>0</x:v>
      </x:c>
      <x:c r="J428" s="64" t="n">
        <x:v>1</x:v>
      </x:c>
      <x:c r="K428" s="62" t="n">
        <x:v>199.52623149688787</x:v>
      </x:c>
      <x:c r="L428" s="60" t="n">
        <x:v>44814.609321341246</x:v>
      </x:c>
      <x:c r="M428" s="62" t="n">
        <x:v>3.3</x:v>
      </x:c>
      <x:c r="N428" s="62" t="n">
        <x:v>199.52623149688787</x:v>
      </x:c>
      <x:c r="O428" s="60" t="n">
        <x:v>44814.609321341246</x:v>
      </x:c>
      <x:c r="P428" s="60" t="n">
        <x:v>0</x:v>
      </x:c>
      <x:c r="Q428" s="62" t="n">
        <x:v>1</x:v>
      </x:c>
      <x:c r="R428" s="64" t="n">
        <x:v>0</x:v>
      </x:c>
    </x:row>
    <x:row r="429" ht="18" customHeight="1">
      <x:c r="A429" s="46" t="str">
        <x:v>LME_032</x:v>
      </x:c>
      <x:c r="B429" s="46" t="str">
        <x:v>Arabian Sea</x:v>
      </x:c>
      <x:c r="C429" s="46" t="str">
        <x:v>commercial</x:v>
      </x:c>
      <x:c r="D429" s="46" t="str">
        <x:v>Crustaceans</x:v>
      </x:c>
      <x:c r="E429" s="66" t="n">
        <x:v>22</x:v>
      </x:c>
      <x:c r="F429" s="66" t="n">
        <x:v>22</x:v>
      </x:c>
      <x:c r="G429" s="60" t="n">
        <x:v>387946.9165851195</x:v>
      </x:c>
      <x:c r="H429" s="60" t="n">
        <x:v>387946.9165851195</x:v>
      </x:c>
      <x:c r="I429" s="62" t="n">
        <x:v>0</x:v>
      </x:c>
      <x:c r="J429" s="64" t="n">
        <x:v>1</x:v>
      </x:c>
      <x:c r="K429" s="62" t="n">
        <x:v>220.4793120258226</x:v>
      </x:c>
      <x:c r="L429" s="60" t="n">
        <x:v>85534269.27122633</x:v>
      </x:c>
      <x:c r="M429" s="62" t="n">
        <x:v>3.2689865262901674</x:v>
      </x:c>
      <x:c r="N429" s="62" t="n">
        <x:v>185.77468187852122</x:v>
      </x:c>
      <x:c r="O429" s="60" t="n">
        <x:v>72070715.01435378</x:v>
      </x:c>
      <x:c r="P429" s="60" t="n">
        <x:v>13463554.25687255</x:v>
      </x:c>
      <x:c r="Q429" s="62" t="n">
        <x:v>1.1868103327987118</x:v>
      </x:c>
      <x:c r="R429" s="64" t="n">
        <x:v>0.18681033279871187</x:v>
      </x:c>
    </x:row>
    <x:row r="430" ht="18" customHeight="1">
      <x:c r="A430" s="46" t="str">
        <x:v>LME_032</x:v>
      </x:c>
      <x:c r="B430" s="46" t="str">
        <x:v>Arabian Sea</x:v>
      </x:c>
      <x:c r="C430" s="46" t="str">
        <x:v>commercial</x:v>
      </x:c>
      <x:c r="D430" s="46" t="str">
        <x:v>Flatfishes</x:v>
      </x:c>
      <x:c r="E430" s="66" t="n">
        <x:v>5</x:v>
      </x:c>
      <x:c r="F430" s="66" t="n">
        <x:v>5</x:v>
      </x:c>
      <x:c r="G430" s="60" t="n">
        <x:v>50229.592475417296</x:v>
      </x:c>
      <x:c r="H430" s="60" t="n">
        <x:v>50229.592475417296</x:v>
      </x:c>
      <x:c r="I430" s="62" t="n">
        <x:v>0</x:v>
      </x:c>
      <x:c r="J430" s="64" t="n">
        <x:v>1</x:v>
      </x:c>
      <x:c r="K430" s="62" t="n">
        <x:v>566.8140929756333</x:v>
      </x:c>
      <x:c r="L430" s="60" t="n">
        <x:v>28470840.89948935</x:v>
      </x:c>
      <x:c r="M430" s="62" t="n">
        <x:v>3.379868572229347</x:v>
      </x:c>
      <x:c r="N430" s="62" t="n">
        <x:v>239.81070853372918</x:v>
      </x:c>
      <x:c r="O430" s="60" t="n">
        <x:v>12045594.160890294</x:v>
      </x:c>
      <x:c r="P430" s="60" t="n">
        <x:v>16425246.738599056</x:v>
      </x:c>
      <x:c r="Q430" s="62" t="n">
        <x:v>2.363589584640718</x:v>
      </x:c>
      <x:c r="R430" s="64" t="n">
        <x:v>1.3635895846407182</x:v>
      </x:c>
    </x:row>
    <x:row r="431" ht="18" customHeight="1">
      <x:c r="A431" s="46" t="str">
        <x:v>LME_032</x:v>
      </x:c>
      <x:c r="B431" s="46" t="str">
        <x:v>Arabian Sea</x:v>
      </x:c>
      <x:c r="C431" s="46" t="str">
        <x:v>commercial</x:v>
      </x:c>
      <x:c r="D431" s="46" t="str">
        <x:v>Herring-likes</x:v>
      </x:c>
      <x:c r="E431" s="66" t="n">
        <x:v>15</x:v>
      </x:c>
      <x:c r="F431" s="66" t="n">
        <x:v>15</x:v>
      </x:c>
      <x:c r="G431" s="60" t="n">
        <x:v>818557.452492271</x:v>
      </x:c>
      <x:c r="H431" s="60" t="n">
        <x:v>818557.452492271</x:v>
      </x:c>
      <x:c r="I431" s="62" t="n">
        <x:v>0</x:v>
      </x:c>
      <x:c r="J431" s="64" t="n">
        <x:v>1</x:v>
      </x:c>
      <x:c r="K431" s="62" t="n">
        <x:v>110.75107209977091</x:v>
      </x:c>
      <x:c r="L431" s="60" t="n">
        <x:v>90656115.4387763</x:v>
      </x:c>
      <x:c r="M431" s="62" t="n">
        <x:v>2.6082730518100314</x:v>
      </x:c>
      <x:c r="N431" s="62" t="n">
        <x:v>40.57635689780222</x:v>
      </x:c>
      <x:c r="O431" s="60" t="n">
        <x:v>33214079.333682172</x:v>
      </x:c>
      <x:c r="P431" s="60" t="n">
        <x:v>57442036.10509413</x:v>
      </x:c>
      <x:c r="Q431" s="62" t="n">
        <x:v>2.7294483922919563</x:v>
      </x:c>
      <x:c r="R431" s="64" t="n">
        <x:v>1.7294483922919563</x:v>
      </x:c>
    </x:row>
    <x:row r="432" ht="18" customHeight="1">
      <x:c r="A432" s="46" t="str">
        <x:v>LME_032</x:v>
      </x:c>
      <x:c r="B432" s="46" t="str">
        <x:v>Arabian Sea</x:v>
      </x:c>
      <x:c r="C432" s="46" t="str">
        <x:v>commercial</x:v>
      </x:c>
      <x:c r="D432" s="46" t="str">
        <x:v>Molluscs</x:v>
      </x:c>
      <x:c r="E432" s="66" t="n">
        <x:v>11</x:v>
      </x:c>
      <x:c r="F432" s="66" t="n">
        <x:v>11</x:v>
      </x:c>
      <x:c r="G432" s="60" t="n">
        <x:v>98433.60849918699</x:v>
      </x:c>
      <x:c r="H432" s="60" t="n">
        <x:v>98433.60849918699</x:v>
      </x:c>
      <x:c r="I432" s="62" t="n">
        <x:v>0</x:v>
      </x:c>
      <x:c r="J432" s="64" t="n">
        <x:v>1</x:v>
      </x:c>
      <x:c r="K432" s="62" t="n">
        <x:v>18.782888117001765</x:v>
      </x:c>
      <x:c r="L432" s="60" t="n">
        <x:v>1848867.455392983</x:v>
      </x:c>
      <x:c r="M432" s="62" t="n">
        <x:v>2.234866944948067</x:v>
      </x:c>
      <x:c r="N432" s="62" t="n">
        <x:v>17.173821511858513</x:v>
      </x:c>
      <x:c r="O432" s="60" t="n">
        <x:v>1690481.2231331964</x:v>
      </x:c>
      <x:c r="P432" s="60" t="n">
        <x:v>158386.2322597867</x:v>
      </x:c>
      <x:c r="Q432" s="62" t="n">
        <x:v>1.093692985223597</x:v>
      </x:c>
      <x:c r="R432" s="64" t="n">
        <x:v>0.09369298522359697</x:v>
      </x:c>
    </x:row>
    <x:row r="433" ht="18" customHeight="1">
      <x:c r="A433" s="46" t="str">
        <x:v>LME_032</x:v>
      </x:c>
      <x:c r="B433" s="46" t="str">
        <x:v>Arabian Sea</x:v>
      </x:c>
      <x:c r="C433" s="46" t="str">
        <x:v>commercial</x:v>
      </x:c>
      <x:c r="D433" s="46" t="str">
        <x:v>Other fishes &amp; inverts</x:v>
      </x:c>
      <x:c r="E433" s="66" t="n">
        <x:v>51</x:v>
      </x:c>
      <x:c r="F433" s="66" t="n">
        <x:v>51</x:v>
      </x:c>
      <x:c r="G433" s="60" t="n">
        <x:v>1316006.2278018282</x:v>
      </x:c>
      <x:c r="H433" s="60" t="n">
        <x:v>1316006.2278018282</x:v>
      </x:c>
      <x:c r="I433" s="62" t="n">
        <x:v>0</x:v>
      </x:c>
      <x:c r="J433" s="64" t="n">
        <x:v>1</x:v>
      </x:c>
      <x:c r="K433" s="62" t="n">
        <x:v>520.5152188208093</x:v>
      </x:c>
      <x:c r="L433" s="60" t="n">
        <x:v>685001269.6338165</x:v>
      </x:c>
      <x:c r="M433" s="62" t="n">
        <x:v>3.5162648445986204</x:v>
      </x:c>
      <x:c r="N433" s="62" t="n">
        <x:v>328.29543557512807</x:v>
      </x:c>
      <x:c r="O433" s="60" t="n">
        <x:v>432038837.7757824</x:v>
      </x:c>
      <x:c r="P433" s="60" t="n">
        <x:v>252962431.85803407</x:v>
      </x:c>
      <x:c r="Q433" s="62" t="n">
        <x:v>1.585508546315726</x:v>
      </x:c>
      <x:c r="R433" s="64" t="n">
        <x:v>0.5855085463157259</x:v>
      </x:c>
    </x:row>
    <x:row r="434" ht="18" customHeight="1">
      <x:c r="A434" s="46" t="str">
        <x:v>LME_032</x:v>
      </x:c>
      <x:c r="B434" s="46" t="str">
        <x:v>Arabian Sea</x:v>
      </x:c>
      <x:c r="C434" s="46" t="str">
        <x:v>commercial</x:v>
      </x:c>
      <x:c r="D434" s="46" t="str">
        <x:v>Perch-likes</x:v>
      </x:c>
      <x:c r="E434" s="66" t="n">
        <x:v>210</x:v>
      </x:c>
      <x:c r="F434" s="66" t="n">
        <x:v>210</x:v>
      </x:c>
      <x:c r="G434" s="60" t="n">
        <x:v>1866208.644586389</x:v>
      </x:c>
      <x:c r="H434" s="60" t="n">
        <x:v>1866208.644586389</x:v>
      </x:c>
      <x:c r="I434" s="62" t="n">
        <x:v>0</x:v>
      </x:c>
      <x:c r="J434" s="64" t="n">
        <x:v>1</x:v>
      </x:c>
      <x:c r="K434" s="62" t="n">
        <x:v>1008.0171418695277</x:v>
      </x:c>
      <x:c r="L434" s="60" t="n">
        <x:v>1881170304.048177</x:v>
      </x:c>
      <x:c r="M434" s="62" t="n">
        <x:v>3.7570012670475315</x:v>
      </x:c>
      <x:c r="N434" s="62" t="n">
        <x:v>571.4803039545112</x:v>
      </x:c>
      <x:c r="O434" s="60" t="n">
        <x:v>1066501483.450766</x:v>
      </x:c>
      <x:c r="P434" s="60" t="n">
        <x:v>814668820.597411</x:v>
      </x:c>
      <x:c r="Q434" s="62" t="n">
        <x:v>1.7638703117050276</x:v>
      </x:c>
      <x:c r="R434" s="64" t="n">
        <x:v>0.7638703117050277</x:v>
      </x:c>
    </x:row>
    <x:row r="435" ht="18" customHeight="1">
      <x:c r="A435" s="46" t="str">
        <x:v>LME_032</x:v>
      </x:c>
      <x:c r="B435" s="46" t="str">
        <x:v>Arabian Sea</x:v>
      </x:c>
      <x:c r="C435" s="46" t="str">
        <x:v>commercial</x:v>
      </x:c>
      <x:c r="D435" s="46" t="str">
        <x:v>Scorpionfishes</x:v>
      </x:c>
      <x:c r="E435" s="66" t="n">
        <x:v>5</x:v>
      </x:c>
      <x:c r="F435" s="66" t="n">
        <x:v>5</x:v>
      </x:c>
      <x:c r="G435" s="60" t="n">
        <x:v>6146.9328882121</x:v>
      </x:c>
      <x:c r="H435" s="60" t="n">
        <x:v>6146.9328882121</x:v>
      </x:c>
      <x:c r="I435" s="62" t="n">
        <x:v>0</x:v>
      </x:c>
      <x:c r="J435" s="64" t="n">
        <x:v>1</x:v>
      </x:c>
      <x:c r="K435" s="62" t="n">
        <x:v>493.2626590692029</x:v>
      </x:c>
      <x:c r="L435" s="60" t="n">
        <x:v>3032052.461559436</x:v>
      </x:c>
      <x:c r="M435" s="62" t="n">
        <x:v>3.668495018494844</x:v>
      </x:c>
      <x:c r="N435" s="62" t="n">
        <x:v>466.1170814500468</x:v>
      </x:c>
      <x:c r="O435" s="60" t="n">
        <x:v>2865190.417722731</x:v>
      </x:c>
      <x:c r="P435" s="60" t="n">
        <x:v>166862.04383670492</x:v>
      </x:c>
      <x:c r="Q435" s="62" t="n">
        <x:v>1.058237680401475</x:v>
      </x:c>
      <x:c r="R435" s="64" t="n">
        <x:v>0.05823768040147495</x:v>
      </x:c>
    </x:row>
    <x:row r="436" ht="18" customHeight="1">
      <x:c r="A436" s="46" t="str">
        <x:v>LME_032</x:v>
      </x:c>
      <x:c r="B436" s="46" t="str">
        <x:v>Arabian Sea</x:v>
      </x:c>
      <x:c r="C436" s="46" t="str">
        <x:v>commercial</x:v>
      </x:c>
      <x:c r="D436" s="46" t="str">
        <x:v>Sharks &amp; rays</x:v>
      </x:c>
      <x:c r="E436" s="66" t="n">
        <x:v>47</x:v>
      </x:c>
      <x:c r="F436" s="66" t="n">
        <x:v>47</x:v>
      </x:c>
      <x:c r="G436" s="60" t="n">
        <x:v>189617.2160872809</x:v>
      </x:c>
      <x:c r="H436" s="60" t="n">
        <x:v>189617.2160872809</x:v>
      </x:c>
      <x:c r="I436" s="62" t="n">
        <x:v>0</x:v>
      </x:c>
      <x:c r="J436" s="64" t="n">
        <x:v>1</x:v>
      </x:c>
      <x:c r="K436" s="62" t="n">
        <x:v>1827.9007434661653</x:v>
      </x:c>
      <x:c r="L436" s="60" t="n">
        <x:v>346601450.25992525</x:v>
      </x:c>
      <x:c r="M436" s="62" t="n">
        <x:v>4.181657621521642</x:v>
      </x:c>
      <x:c r="N436" s="62" t="n">
        <x:v>1519.3492699915591</x:v>
      </x:c>
      <x:c r="O436" s="60" t="n">
        <x:v>288094778.84004194</x:v>
      </x:c>
      <x:c r="P436" s="60" t="n">
        <x:v>58506671.41988331</x:v>
      </x:c>
      <x:c r="Q436" s="62" t="n">
        <x:v>1.2030813319680735</x:v>
      </x:c>
      <x:c r="R436" s="64" t="n">
        <x:v>0.20308133196807363</x:v>
      </x:c>
    </x:row>
    <x:row r="437" ht="18" customHeight="1">
      <x:c r="A437" s="46" t="str">
        <x:v>LME_032</x:v>
      </x:c>
      <x:c r="B437" s="46" t="str">
        <x:v>Arabian Sea</x:v>
      </x:c>
      <x:c r="C437" s="46" t="str">
        <x:v>commercial</x:v>
      </x:c>
      <x:c r="D437" s="46" t="str">
        <x:v>Tuna &amp; billfishes</x:v>
      </x:c>
      <x:c r="E437" s="66" t="n">
        <x:v>21</x:v>
      </x:c>
      <x:c r="F437" s="66" t="n">
        <x:v>21</x:v>
      </x:c>
      <x:c r="G437" s="60" t="n">
        <x:v>589021.0528993668</x:v>
      </x:c>
      <x:c r="H437" s="60" t="n">
        <x:v>589021.0528993668</x:v>
      </x:c>
      <x:c r="I437" s="62" t="n">
        <x:v>0</x:v>
      </x:c>
      <x:c r="J437" s="64" t="n">
        <x:v>1</x:v>
      </x:c>
      <x:c r="K437" s="62" t="n">
        <x:v>2694.4458889549555</x:v>
      </x:c>
      <x:c r="L437" s="60" t="n">
        <x:v>1587085354.4926183</x:v>
      </x:c>
      <x:c r="M437" s="62" t="n">
        <x:v>4.428599880554818</x:v>
      </x:c>
      <x:c r="N437" s="62" t="n">
        <x:v>2682.871552789166</x:v>
      </x:c>
      <x:c r="O437" s="60" t="n">
        <x:v>1580267826.8176336</x:v>
      </x:c>
      <x:c r="P437" s="60" t="n">
        <x:v>6817527.6749846935</x:v>
      </x:c>
      <x:c r="Q437" s="62" t="n">
        <x:v>1.0043141596375558</x:v>
      </x:c>
      <x:c r="R437" s="64" t="n">
        <x:v>0.004314159637555825</x:v>
      </x:c>
    </x:row>
    <x:row r="438" ht="18" customHeight="1">
      <x:c r="A438" s="46" t="str">
        <x:v>LME_033</x:v>
      </x:c>
      <x:c r="B438" s="46" t="str">
        <x:v>Red Sea</x:v>
      </x:c>
      <x:c r="C438" s="46" t="str">
        <x:v>commercial</x:v>
      </x:c>
      <x:c r="D438" s="46" t="str">
        <x:v>Anchovies</x:v>
      </x:c>
      <x:c r="E438" s="66" t="n">
        <x:v>2</x:v>
      </x:c>
      <x:c r="F438" s="66" t="n">
        <x:v>2</x:v>
      </x:c>
      <x:c r="G438" s="60" t="n">
        <x:v>6709.3245443318</x:v>
      </x:c>
      <x:c r="H438" s="60" t="n">
        <x:v>6709.3245443318</x:v>
      </x:c>
      <x:c r="I438" s="62" t="n">
        <x:v>0</x:v>
      </x:c>
      <x:c r="J438" s="64" t="n">
        <x:v>1</x:v>
      </x:c>
      <x:c r="K438" s="62" t="n">
        <x:v>177.53846734728432</x:v>
      </x:c>
      <x:c r="L438" s="60" t="n">
        <x:v>1191163.1965361845</x:v>
      </x:c>
      <x:c r="M438" s="62" t="n">
        <x:v>3.249251565958956</x:v>
      </x:c>
      <x:c r="N438" s="62" t="n">
        <x:v>177.52174814502072</x:v>
      </x:c>
      <x:c r="O438" s="60" t="n">
        <x:v>1191051.0219820756</x:v>
      </x:c>
      <x:c r="P438" s="60" t="n">
        <x:v>112.17455410887487</x:v>
      </x:c>
      <x:c r="Q438" s="62" t="n">
        <x:v>1.0000941811492863</x:v>
      </x:c>
      <x:c r="R438" s="64" t="n">
        <x:v>0.0000941811492862839</x:v>
      </x:c>
    </x:row>
    <x:row r="439" ht="18" customHeight="1">
      <x:c r="A439" s="46" t="str">
        <x:v>LME_033</x:v>
      </x:c>
      <x:c r="B439" s="46" t="str">
        <x:v>Red Sea</x:v>
      </x:c>
      <x:c r="C439" s="46" t="str">
        <x:v>commercial</x:v>
      </x:c>
      <x:c r="D439" s="46" t="str">
        <x:v>Crustaceans</x:v>
      </x:c>
      <x:c r="E439" s="66" t="n">
        <x:v>13</x:v>
      </x:c>
      <x:c r="F439" s="66" t="n">
        <x:v>13</x:v>
      </x:c>
      <x:c r="G439" s="60" t="n">
        <x:v>4964.3887234192</x:v>
      </x:c>
      <x:c r="H439" s="60" t="n">
        <x:v>4964.3887234192</x:v>
      </x:c>
      <x:c r="I439" s="62" t="n">
        <x:v>0</x:v>
      </x:c>
      <x:c r="J439" s="64" t="n">
        <x:v>1</x:v>
      </x:c>
      <x:c r="K439" s="62" t="n">
        <x:v>128.02077892667026</x:v>
      </x:c>
      <x:c r="L439" s="60" t="n">
        <x:v>635544.9112669042</x:v>
      </x:c>
      <x:c r="M439" s="62" t="n">
        <x:v>2.8789998718295444</x:v>
      </x:c>
      <x:c r="N439" s="62" t="n">
        <x:v>75.6832671661925</x:v>
      </x:c>
      <x:c r="O439" s="60" t="n">
        <x:v>375721.1580713686</x:v>
      </x:c>
      <x:c r="P439" s="60" t="n">
        <x:v>259823.75319553562</x:v>
      </x:c>
      <x:c r="Q439" s="62" t="n">
        <x:v>1.6915334620207412</x:v>
      </x:c>
      <x:c r="R439" s="64" t="n">
        <x:v>0.6915334620207411</x:v>
      </x:c>
    </x:row>
    <x:row r="440" ht="18" customHeight="1">
      <x:c r="A440" s="46" t="str">
        <x:v>LME_033</x:v>
      </x:c>
      <x:c r="B440" s="46" t="str">
        <x:v>Red Sea</x:v>
      </x:c>
      <x:c r="C440" s="46" t="str">
        <x:v>commercial</x:v>
      </x:c>
      <x:c r="D440" s="46" t="str">
        <x:v>Flatfishes</x:v>
      </x:c>
      <x:c r="E440" s="66" t="n">
        <x:v>5</x:v>
      </x:c>
      <x:c r="F440" s="66" t="n">
        <x:v>5</x:v>
      </x:c>
      <x:c r="G440" s="60" t="n">
        <x:v>708.0938745324</x:v>
      </x:c>
      <x:c r="H440" s="60" t="n">
        <x:v>708.0938745324</x:v>
      </x:c>
      <x:c r="I440" s="62" t="n">
        <x:v>0</x:v>
      </x:c>
      <x:c r="J440" s="64" t="n">
        <x:v>1</x:v>
      </x:c>
      <x:c r="K440" s="62" t="n">
        <x:v>1456.5448100119254</x:v>
      </x:c>
      <x:c r="L440" s="60" t="n">
        <x:v>1031370.4579514028</x:v>
      </x:c>
      <x:c r="M440" s="62" t="n">
        <x:v>4.082583308070047</x:v>
      </x:c>
      <x:c r="N440" s="62" t="n">
        <x:v>1209.4371596703786</x:v>
      </x:c>
      <x:c r="O440" s="60" t="n">
        <x:v>856395.0443944593</x:v>
      </x:c>
      <x:c r="P440" s="60" t="n">
        <x:v>174975.41355694341</x:v>
      </x:c>
      <x:c r="Q440" s="62" t="n">
        <x:v>1.2043162378183367</x:v>
      </x:c>
      <x:c r="R440" s="64" t="n">
        <x:v>0.20431623781833674</x:v>
      </x:c>
    </x:row>
    <x:row r="441" ht="18" customHeight="1">
      <x:c r="A441" s="46" t="str">
        <x:v>LME_033</x:v>
      </x:c>
      <x:c r="B441" s="46" t="str">
        <x:v>Red Sea</x:v>
      </x:c>
      <x:c r="C441" s="46" t="str">
        <x:v>commercial</x:v>
      </x:c>
      <x:c r="D441" s="46" t="str">
        <x:v>Herring-likes</x:v>
      </x:c>
      <x:c r="E441" s="66" t="n">
        <x:v>4</x:v>
      </x:c>
      <x:c r="F441" s="66" t="n">
        <x:v>4</x:v>
      </x:c>
      <x:c r="G441" s="60" t="n">
        <x:v>12210.0528919653</x:v>
      </x:c>
      <x:c r="H441" s="60" t="n">
        <x:v>12210.0528919653</x:v>
      </x:c>
      <x:c r="I441" s="62" t="n">
        <x:v>0</x:v>
      </x:c>
      <x:c r="J441" s="64" t="n">
        <x:v>1</x:v>
      </x:c>
      <x:c r="K441" s="62" t="n">
        <x:v>58.694805624451384</x:v>
      </x:c>
      <x:c r="L441" s="60" t="n">
        <x:v>716666.6811581738</x:v>
      </x:c>
      <x:c r="M441" s="62" t="n">
        <x:v>2.727678058956271</x:v>
      </x:c>
      <x:c r="N441" s="62" t="n">
        <x:v>53.416823546995936</x:v>
      </x:c>
      <x:c r="O441" s="60" t="n">
        <x:v>652222.2408295979</x:v>
      </x:c>
      <x:c r="P441" s="60" t="n">
        <x:v>64444.4403285759</x:v>
      </x:c>
      <x:c r="Q441" s="62" t="n">
        <x:v>1.098807486611627</x:v>
      </x:c>
      <x:c r="R441" s="64" t="n">
        <x:v>0.09880748661162707</x:v>
      </x:c>
    </x:row>
    <x:row r="442" ht="18" customHeight="1">
      <x:c r="A442" s="46" t="str">
        <x:v>LME_033</x:v>
      </x:c>
      <x:c r="B442" s="46" t="str">
        <x:v>Red Sea</x:v>
      </x:c>
      <x:c r="C442" s="46" t="str">
        <x:v>commercial</x:v>
      </x:c>
      <x:c r="D442" s="46" t="str">
        <x:v>Molluscs</x:v>
      </x:c>
      <x:c r="E442" s="66" t="n">
        <x:v>3</x:v>
      </x:c>
      <x:c r="F442" s="66" t="n">
        <x:v>3</x:v>
      </x:c>
      <x:c r="G442" s="60" t="n">
        <x:v>54.2411958663</x:v>
      </x:c>
      <x:c r="H442" s="60" t="n">
        <x:v>54.2411958663</x:v>
      </x:c>
      <x:c r="I442" s="62" t="n">
        <x:v>0</x:v>
      </x:c>
      <x:c r="J442" s="64" t="n">
        <x:v>1</x:v>
      </x:c>
      <x:c r="K442" s="62" t="n">
        <x:v>100.77307135951393</x:v>
      </x:c>
      <x:c r="L442" s="60" t="n">
        <x:v>5466.051901660022</x:v>
      </x:c>
      <x:c r="M442" s="62" t="n">
        <x:v>2.929577439148401</x:v>
      </x:c>
      <x:c r="N442" s="62" t="n">
        <x:v>85.03102986944737</x:v>
      </x:c>
      <x:c r="O442" s="60" t="n">
        <x:v>4612.1847458619</x:v>
      </x:c>
      <x:c r="P442" s="60" t="n">
        <x:v>853.8671557981215</x:v>
      </x:c>
      <x:c r="Q442" s="62" t="n">
        <x:v>1.1851329040026464</x:v>
      </x:c>
      <x:c r="R442" s="64" t="n">
        <x:v>0.18513290400264645</x:v>
      </x:c>
    </x:row>
    <x:row r="443" ht="18" customHeight="1">
      <x:c r="A443" s="46" t="str">
        <x:v>LME_033</x:v>
      </x:c>
      <x:c r="B443" s="46" t="str">
        <x:v>Red Sea</x:v>
      </x:c>
      <x:c r="C443" s="46" t="str">
        <x:v>commercial</x:v>
      </x:c>
      <x:c r="D443" s="46" t="str">
        <x:v>Other fishes &amp; inverts</x:v>
      </x:c>
      <x:c r="E443" s="66" t="n">
        <x:v>29</x:v>
      </x:c>
      <x:c r="F443" s="66" t="n">
        <x:v>29</x:v>
      </x:c>
      <x:c r="G443" s="60" t="n">
        <x:v>29016.4258695959</x:v>
      </x:c>
      <x:c r="H443" s="60" t="n">
        <x:v>29016.4258695959</x:v>
      </x:c>
      <x:c r="I443" s="62" t="n">
        <x:v>0</x:v>
      </x:c>
      <x:c r="J443" s="64" t="n">
        <x:v>1</x:v>
      </x:c>
      <x:c r="K443" s="62" t="n">
        <x:v>678.6829495072392</x:v>
      </x:c>
      <x:c r="L443" s="60" t="n">
        <x:v>19692953.493335504</x:v>
      </x:c>
      <x:c r="M443" s="62" t="n">
        <x:v>3.4820950476467667</x:v>
      </x:c>
      <x:c r="N443" s="62" t="n">
        <x:v>303.4555240006493</x:v>
      </x:c>
      <x:c r="O443" s="60" t="n">
        <x:v>8805194.71688422</x:v>
      </x:c>
      <x:c r="P443" s="60" t="n">
        <x:v>10887758.776451284</x:v>
      </x:c>
      <x:c r="Q443" s="62" t="n">
        <x:v>2.2365153896680656</x:v>
      </x:c>
      <x:c r="R443" s="64" t="n">
        <x:v>1.2365153896680656</x:v>
      </x:c>
    </x:row>
    <x:row r="444" ht="18" customHeight="1">
      <x:c r="A444" s="46" t="str">
        <x:v>LME_033</x:v>
      </x:c>
      <x:c r="B444" s="46" t="str">
        <x:v>Red Sea</x:v>
      </x:c>
      <x:c r="C444" s="46" t="str">
        <x:v>commercial</x:v>
      </x:c>
      <x:c r="D444" s="46" t="str">
        <x:v>Perch-likes</x:v>
      </x:c>
      <x:c r="E444" s="66" t="n">
        <x:v>119</x:v>
      </x:c>
      <x:c r="F444" s="66" t="n">
        <x:v>119</x:v>
      </x:c>
      <x:c r="G444" s="60" t="n">
        <x:v>84241.85977552248</x:v>
      </x:c>
      <x:c r="H444" s="60" t="n">
        <x:v>84241.85977552248</x:v>
      </x:c>
      <x:c r="I444" s="62" t="n">
        <x:v>0</x:v>
      </x:c>
      <x:c r="J444" s="64" t="n">
        <x:v>1</x:v>
      </x:c>
      <x:c r="K444" s="62" t="n">
        <x:v>822.0292858394561</x:v>
      </x:c>
      <x:c r="L444" s="60" t="n">
        <x:v>69249275.82906035</x:v>
      </x:c>
      <x:c r="M444" s="62" t="n">
        <x:v>3.6916363554123293</x:v>
      </x:c>
      <x:c r="N444" s="62" t="n">
        <x:v>491.627712293403</x:v>
      </x:c>
      <x:c r="O444" s="60" t="n">
        <x:v>41415632.800781764</x:v>
      </x:c>
      <x:c r="P444" s="60" t="n">
        <x:v>27833643.02827858</x:v>
      </x:c>
      <x:c r="Q444" s="62" t="n">
        <x:v>1.6720564469499835</x:v>
      </x:c>
      <x:c r="R444" s="64" t="n">
        <x:v>0.6720564469499833</x:v>
      </x:c>
    </x:row>
    <x:row r="445" ht="18" customHeight="1">
      <x:c r="A445" s="46" t="str">
        <x:v>LME_033</x:v>
      </x:c>
      <x:c r="B445" s="46" t="str">
        <x:v>Red Sea</x:v>
      </x:c>
      <x:c r="C445" s="46" t="str">
        <x:v>commercial</x:v>
      </x:c>
      <x:c r="D445" s="46" t="str">
        <x:v>Scorpionfishes</x:v>
      </x:c>
      <x:c r="E445" s="66" t="n">
        <x:v>1</x:v>
      </x:c>
      <x:c r="F445" s="66" t="n">
        <x:v>1</x:v>
      </x:c>
      <x:c r="G445" s="60" t="n">
        <x:v>250.9686733924</x:v>
      </x:c>
      <x:c r="H445" s="60" t="n">
        <x:v>250.9686733924</x:v>
      </x:c>
      <x:c r="I445" s="62" t="n">
        <x:v>0</x:v>
      </x:c>
      <x:c r="J445" s="64" t="n">
        <x:v>1</x:v>
      </x:c>
      <x:c r="K445" s="62" t="n">
        <x:v>794.3282347242813</x:v>
      </x:c>
      <x:c r="L445" s="60" t="n">
        <x:v>199351.5033068798</x:v>
      </x:c>
      <x:c r="M445" s="62" t="n">
        <x:v>3.9</x:v>
      </x:c>
      <x:c r="N445" s="62" t="n">
        <x:v>794.3282347242813</x:v>
      </x:c>
      <x:c r="O445" s="60" t="n">
        <x:v>199351.5033068798</x:v>
      </x:c>
      <x:c r="P445" s="60" t="n">
        <x:v>0</x:v>
      </x:c>
      <x:c r="Q445" s="62" t="n">
        <x:v>1</x:v>
      </x:c>
      <x:c r="R445" s="64" t="n">
        <x:v>0</x:v>
      </x:c>
    </x:row>
    <x:row r="446" ht="18" customHeight="1">
      <x:c r="A446" s="46" t="str">
        <x:v>LME_033</x:v>
      </x:c>
      <x:c r="B446" s="46" t="str">
        <x:v>Red Sea</x:v>
      </x:c>
      <x:c r="C446" s="46" t="str">
        <x:v>commercial</x:v>
      </x:c>
      <x:c r="D446" s="46" t="str">
        <x:v>Sharks &amp; rays</x:v>
      </x:c>
      <x:c r="E446" s="66" t="n">
        <x:v>6</x:v>
      </x:c>
      <x:c r="F446" s="66" t="n">
        <x:v>6</x:v>
      </x:c>
      <x:c r="G446" s="60" t="n">
        <x:v>2672.3666291536997</x:v>
      </x:c>
      <x:c r="H446" s="60" t="n">
        <x:v>2672.3666291536997</x:v>
      </x:c>
      <x:c r="I446" s="62" t="n">
        <x:v>0</x:v>
      </x:c>
      <x:c r="J446" s="64" t="n">
        <x:v>1</x:v>
      </x:c>
      <x:c r="K446" s="62" t="n">
        <x:v>1240.292871728577</x:v>
      </x:c>
      <x:c r="L446" s="60" t="n">
        <x:v>3314517.2807846596</x:v>
      </x:c>
      <x:c r="M446" s="62" t="n">
        <x:v>4.084932438265851</x:v>
      </x:c>
      <x:c r="N446" s="62" t="n">
        <x:v>1215.996817389996</x:v>
      </x:c>
      <x:c r="O446" s="60" t="n">
        <x:v>3249589.3159501306</x:v>
      </x:c>
      <x:c r="P446" s="60" t="n">
        <x:v>64927.964834528975</x:v>
      </x:c>
      <x:c r="Q446" s="62" t="n">
        <x:v>1.0199803601383841</x:v>
      </x:c>
      <x:c r="R446" s="64" t="n">
        <x:v>0.01998036013838414</x:v>
      </x:c>
    </x:row>
    <x:row r="447" ht="18" customHeight="1">
      <x:c r="A447" s="46" t="str">
        <x:v>LME_033</x:v>
      </x:c>
      <x:c r="B447" s="46" t="str">
        <x:v>Red Sea</x:v>
      </x:c>
      <x:c r="C447" s="46" t="str">
        <x:v>commercial</x:v>
      </x:c>
      <x:c r="D447" s="46" t="str">
        <x:v>Tuna &amp; billfishes</x:v>
      </x:c>
      <x:c r="E447" s="66" t="n">
        <x:v>11</x:v>
      </x:c>
      <x:c r="F447" s="66" t="n">
        <x:v>11</x:v>
      </x:c>
      <x:c r="G447" s="60" t="n">
        <x:v>6272.619603667699</x:v>
      </x:c>
      <x:c r="H447" s="60" t="n">
        <x:v>6272.619603667699</x:v>
      </x:c>
      <x:c r="I447" s="62" t="n">
        <x:v>0</x:v>
      </x:c>
      <x:c r="J447" s="64" t="n">
        <x:v>1</x:v>
      </x:c>
      <x:c r="K447" s="62" t="n">
        <x:v>2875.167173608305</x:v>
      </x:c>
      <x:c r="L447" s="60" t="n">
        <x:v>18034829.976997305</x:v>
      </x:c>
      <x:c r="M447" s="62" t="n">
        <x:v>4.456006237488455</x:v>
      </x:c>
      <x:c r="N447" s="62" t="n">
        <x:v>2857.6315853793135</x:v>
      </x:c>
      <x:c r="O447" s="60" t="n">
        <x:v>17924835.90251029</x:v>
      </x:c>
      <x:c r="P447" s="60" t="n">
        <x:v>109994.0744870156</x:v>
      </x:c>
      <x:c r="Q447" s="62" t="n">
        <x:v>1.0061364062179008</x:v>
      </x:c>
      <x:c r="R447" s="64" t="n">
        <x:v>0.006136406217900799</x:v>
      </x:c>
    </x:row>
    <x:row r="448" ht="18" customHeight="1">
      <x:c r="A448" s="46" t="str">
        <x:v>LME_034</x:v>
      </x:c>
      <x:c r="B448" s="46" t="str">
        <x:v>Bay of Bengal</x:v>
      </x:c>
      <x:c r="C448" s="46" t="str">
        <x:v>commercial</x:v>
      </x:c>
      <x:c r="D448" s="46" t="str">
        <x:v>Anchovies</x:v>
      </x:c>
      <x:c r="E448" s="66" t="n">
        <x:v>7</x:v>
      </x:c>
      <x:c r="F448" s="66" t="n">
        <x:v>7</x:v>
      </x:c>
      <x:c r="G448" s="60" t="n">
        <x:v>258004.0042212866</x:v>
      </x:c>
      <x:c r="H448" s="60" t="n">
        <x:v>258004.0042212866</x:v>
      </x:c>
      <x:c r="I448" s="62" t="n">
        <x:v>0</x:v>
      </x:c>
      <x:c r="J448" s="64" t="n">
        <x:v>1</x:v>
      </x:c>
      <x:c r="K448" s="62" t="n">
        <x:v>212.02045281023896</x:v>
      </x:c>
      <x:c r="L448" s="60" t="n">
        <x:v>54702125.80185199</x:v>
      </x:c>
      <x:c r="M448" s="62" t="n">
        <x:v>3.3128601795390216</x:v>
      </x:c>
      <x:c r="N448" s="62" t="n">
        <x:v>205.52288116077634</x:v>
      </x:c>
      <x:c r="O448" s="60" t="n">
        <x:v>53025726.29857592</x:v>
      </x:c>
      <x:c r="P448" s="60" t="n">
        <x:v>1676399.503276065</x:v>
      </x:c>
      <x:c r="Q448" s="62" t="n">
        <x:v>1.031614833408158</x:v>
      </x:c>
      <x:c r="R448" s="64" t="n">
        <x:v>0.031614833408158086</x:v>
      </x:c>
    </x:row>
    <x:row r="449" ht="18" customHeight="1">
      <x:c r="A449" s="46" t="str">
        <x:v>LME_034</x:v>
      </x:c>
      <x:c r="B449" s="46" t="str">
        <x:v>Bay of Bengal</x:v>
      </x:c>
      <x:c r="C449" s="46" t="str">
        <x:v>commercial</x:v>
      </x:c>
      <x:c r="D449" s="46" t="str">
        <x:v>Cod-likes</x:v>
      </x:c>
      <x:c r="E449" s="66" t="n">
        <x:v>1</x:v>
      </x:c>
      <x:c r="F449" s="66" t="n">
        <x:v>1</x:v>
      </x:c>
      <x:c r="G449" s="60" t="n">
        <x:v>2.1549629116</x:v>
      </x:c>
      <x:c r="H449" s="60" t="n">
        <x:v>2.1549629116</x:v>
      </x:c>
      <x:c r="I449" s="62" t="n">
        <x:v>0</x:v>
      </x:c>
      <x:c r="J449" s="64" t="n">
        <x:v>1</x:v>
      </x:c>
      <x:c r="K449" s="62" t="n">
        <x:v>199.52623149688787</x:v>
      </x:c>
      <x:c r="L449" s="60" t="n">
        <x:v>429.97162876710917</x:v>
      </x:c>
      <x:c r="M449" s="62" t="n">
        <x:v>3.3</x:v>
      </x:c>
      <x:c r="N449" s="62" t="n">
        <x:v>199.52623149688787</x:v>
      </x:c>
      <x:c r="O449" s="60" t="n">
        <x:v>429.97162876710917</x:v>
      </x:c>
      <x:c r="P449" s="60" t="n">
        <x:v>0</x:v>
      </x:c>
      <x:c r="Q449" s="62" t="n">
        <x:v>1</x:v>
      </x:c>
      <x:c r="R449" s="64" t="n">
        <x:v>0</x:v>
      </x:c>
    </x:row>
    <x:row r="450" ht="18" customHeight="1">
      <x:c r="A450" s="46" t="str">
        <x:v>LME_034</x:v>
      </x:c>
      <x:c r="B450" s="46" t="str">
        <x:v>Bay of Bengal</x:v>
      </x:c>
      <x:c r="C450" s="46" t="str">
        <x:v>commercial</x:v>
      </x:c>
      <x:c r="D450" s="46" t="str">
        <x:v>Crustaceans</x:v>
      </x:c>
      <x:c r="E450" s="66" t="n">
        <x:v>35</x:v>
      </x:c>
      <x:c r="F450" s="66" t="n">
        <x:v>35</x:v>
      </x:c>
      <x:c r="G450" s="60" t="n">
        <x:v>547722.4458869903</x:v>
      </x:c>
      <x:c r="H450" s="60" t="n">
        <x:v>547722.4458869903</x:v>
      </x:c>
      <x:c r="I450" s="62" t="n">
        <x:v>0</x:v>
      </x:c>
      <x:c r="J450" s="64" t="n">
        <x:v>1</x:v>
      </x:c>
      <x:c r="K450" s="62" t="n">
        <x:v>154.0962154199388</x:v>
      </x:c>
      <x:c r="L450" s="60" t="n">
        <x:v>84401956.01173744</x:v>
      </x:c>
      <x:c r="M450" s="62" t="n">
        <x:v>3.0305021773551633</x:v>
      </x:c>
      <x:c r="N450" s="62" t="n">
        <x:v>107.27590261482797</x:v>
      </x:c>
      <x:c r="O450" s="60" t="n">
        <x:v>58757419.764928155</x:v>
      </x:c>
      <x:c r="P450" s="60" t="n">
        <x:v>25644536.24680928</x:v>
      </x:c>
      <x:c r="Q450" s="62" t="n">
        <x:v>1.4364476239665702</x:v>
      </x:c>
      <x:c r="R450" s="64" t="n">
        <x:v>0.43644762396657016</x:v>
      </x:c>
    </x:row>
    <x:row r="451" ht="18" customHeight="1">
      <x:c r="A451" s="46" t="str">
        <x:v>LME_034</x:v>
      </x:c>
      <x:c r="B451" s="46" t="str">
        <x:v>Bay of Bengal</x:v>
      </x:c>
      <x:c r="C451" s="46" t="str">
        <x:v>commercial</x:v>
      </x:c>
      <x:c r="D451" s="46" t="str">
        <x:v>Flatfishes</x:v>
      </x:c>
      <x:c r="E451" s="66" t="n">
        <x:v>7</x:v>
      </x:c>
      <x:c r="F451" s="66" t="n">
        <x:v>7</x:v>
      </x:c>
      <x:c r="G451" s="60" t="n">
        <x:v>34269.309511656895</x:v>
      </x:c>
      <x:c r="H451" s="60" t="n">
        <x:v>34269.309511656895</x:v>
      </x:c>
      <x:c r="I451" s="62" t="n">
        <x:v>0</x:v>
      </x:c>
      <x:c r="J451" s="64" t="n">
        <x:v>1</x:v>
      </x:c>
      <x:c r="K451" s="62" t="n">
        <x:v>585.9153664048254</x:v>
      </x:c>
      <x:c r="L451" s="60" t="n">
        <x:v>20078915.038962815</x:v>
      </x:c>
      <x:c r="M451" s="62" t="n">
        <x:v>3.563407256877345</x:v>
      </x:c>
      <x:c r="N451" s="62" t="n">
        <x:v>365.937786590102</x:v>
      </x:c>
      <x:c r="O451" s="60" t="n">
        <x:v>12540435.270666854</x:v>
      </x:c>
      <x:c r="P451" s="60" t="n">
        <x:v>7538479.7682959605</x:v>
      </x:c>
      <x:c r="Q451" s="62" t="n">
        <x:v>1.6011338207637105</x:v>
      </x:c>
      <x:c r="R451" s="64" t="n">
        <x:v>0.6011338207637104</x:v>
      </x:c>
    </x:row>
    <x:row r="452" ht="18" customHeight="1">
      <x:c r="A452" s="46" t="str">
        <x:v>LME_034</x:v>
      </x:c>
      <x:c r="B452" s="46" t="str">
        <x:v>Bay of Bengal</x:v>
      </x:c>
      <x:c r="C452" s="46" t="str">
        <x:v>commercial</x:v>
      </x:c>
      <x:c r="D452" s="46" t="str">
        <x:v>Herring-likes</x:v>
      </x:c>
      <x:c r="E452" s="66" t="n">
        <x:v>19</x:v>
      </x:c>
      <x:c r="F452" s="66" t="n">
        <x:v>19</x:v>
      </x:c>
      <x:c r="G452" s="60" t="n">
        <x:v>756166.3966125282</x:v>
      </x:c>
      <x:c r="H452" s="60" t="n">
        <x:v>756166.3966125282</x:v>
      </x:c>
      <x:c r="I452" s="62" t="n">
        <x:v>0</x:v>
      </x:c>
      <x:c r="J452" s="64" t="n">
        <x:v>1</x:v>
      </x:c>
      <x:c r="K452" s="62" t="n">
        <x:v>160.49728779707243</x:v>
      </x:c>
      <x:c r="L452" s="60" t="n">
        <x:v>121362655.77959616</x:v>
      </x:c>
      <x:c r="M452" s="62" t="n">
        <x:v>2.637161880334741</x:v>
      </x:c>
      <x:c r="N452" s="62" t="n">
        <x:v>43.367249675855895</x:v>
      </x:c>
      <x:c r="O452" s="60" t="n">
        <x:v>32792856.918387786</x:v>
      </x:c>
      <x:c r="P452" s="60" t="n">
        <x:v>88569798.86120838</x:v>
      </x:c>
      <x:c r="Q452" s="62" t="n">
        <x:v>3.7008869364945465</x:v>
      </x:c>
      <x:c r="R452" s="64" t="n">
        <x:v>2.7008869364945465</x:v>
      </x:c>
    </x:row>
    <x:row r="453" ht="18" customHeight="1">
      <x:c r="A453" s="46" t="str">
        <x:v>LME_034</x:v>
      </x:c>
      <x:c r="B453" s="46" t="str">
        <x:v>Bay of Bengal</x:v>
      </x:c>
      <x:c r="C453" s="46" t="str">
        <x:v>commercial</x:v>
      </x:c>
      <x:c r="D453" s="46" t="str">
        <x:v>Molluscs</x:v>
      </x:c>
      <x:c r="E453" s="66" t="n">
        <x:v>13</x:v>
      </x:c>
      <x:c r="F453" s="66" t="n">
        <x:v>13</x:v>
      </x:c>
      <x:c r="G453" s="60" t="n">
        <x:v>57095.1260846875</x:v>
      </x:c>
      <x:c r="H453" s="60" t="n">
        <x:v>57095.1260846875</x:v>
      </x:c>
      <x:c r="I453" s="62" t="n">
        <x:v>0</x:v>
      </x:c>
      <x:c r="J453" s="64" t="n">
        <x:v>1</x:v>
      </x:c>
      <x:c r="K453" s="62" t="n">
        <x:v>16.52440883190507</x:v>
      </x:c>
      <x:c r="L453" s="60" t="n">
        <x:v>943463.2057325436</x:v>
      </x:c>
      <x:c r="M453" s="62" t="n">
        <x:v>2.157431732703246</x:v>
      </x:c>
      <x:c r="N453" s="62" t="n">
        <x:v>14.36917164783576</x:v>
      </x:c>
      <x:c r="O453" s="60" t="n">
        <x:v>820409.6669656995</x:v>
      </x:c>
      <x:c r="P453" s="60" t="n">
        <x:v>123053.53876684408</x:v>
      </x:c>
      <x:c r="Q453" s="62" t="n">
        <x:v>1.1499903569176115</x:v>
      </x:c>
      <x:c r="R453" s="64" t="n">
        <x:v>0.14999035691761153</x:v>
      </x:c>
    </x:row>
    <x:row r="454" ht="18" customHeight="1">
      <x:c r="A454" s="46" t="str">
        <x:v>LME_034</x:v>
      </x:c>
      <x:c r="B454" s="46" t="str">
        <x:v>Bay of Bengal</x:v>
      </x:c>
      <x:c r="C454" s="46" t="str">
        <x:v>commercial</x:v>
      </x:c>
      <x:c r="D454" s="46" t="str">
        <x:v>Other fishes &amp; inverts</x:v>
      </x:c>
      <x:c r="E454" s="66" t="n">
        <x:v>45</x:v>
      </x:c>
      <x:c r="F454" s="66" t="n">
        <x:v>45</x:v>
      </x:c>
      <x:c r="G454" s="60" t="n">
        <x:v>2316823.122490286</x:v>
      </x:c>
      <x:c r="H454" s="60" t="n">
        <x:v>2316823.122490286</x:v>
      </x:c>
      <x:c r="I454" s="62" t="n">
        <x:v>0</x:v>
      </x:c>
      <x:c r="J454" s="64" t="n">
        <x:v>1</x:v>
      </x:c>
      <x:c r="K454" s="62" t="n">
        <x:v>438.1332749418069</x:v>
      </x:c>
      <x:c r="L454" s="60" t="n">
        <x:v>1015077302.1175721</x:v>
      </x:c>
      <x:c r="M454" s="62" t="n">
        <x:v>3.450262169495891</x:v>
      </x:c>
      <x:c r="N454" s="62" t="n">
        <x:v>282.0084811281778</x:v>
      </x:c>
      <x:c r="O454" s="60" t="n">
        <x:v>653363769.8161277</x:v>
      </x:c>
      <x:c r="P454" s="60" t="n">
        <x:v>361713532.3014444</x:v>
      </x:c>
      <x:c r="Q454" s="62" t="n">
        <x:v>1.553617370616126</x:v>
      </x:c>
      <x:c r="R454" s="64" t="n">
        <x:v>0.553617370616126</x:v>
      </x:c>
    </x:row>
    <x:row r="455" ht="18" customHeight="1">
      <x:c r="A455" s="46" t="str">
        <x:v>LME_034</x:v>
      </x:c>
      <x:c r="B455" s="46" t="str">
        <x:v>Bay of Bengal</x:v>
      </x:c>
      <x:c r="C455" s="46" t="str">
        <x:v>commercial</x:v>
      </x:c>
      <x:c r="D455" s="46" t="str">
        <x:v>Perch-likes</x:v>
      </x:c>
      <x:c r="E455" s="66" t="n">
        <x:v>108</x:v>
      </x:c>
      <x:c r="F455" s="66" t="n">
        <x:v>108</x:v>
      </x:c>
      <x:c r="G455" s="60" t="n">
        <x:v>2451760.3852236946</x:v>
      </x:c>
      <x:c r="H455" s="60" t="n">
        <x:v>2451760.3852236946</x:v>
      </x:c>
      <x:c r="I455" s="62" t="n">
        <x:v>0</x:v>
      </x:c>
      <x:c r="J455" s="64" t="n">
        <x:v>1</x:v>
      </x:c>
      <x:c r="K455" s="62" t="n">
        <x:v>687.0971878061076</x:v>
      </x:c>
      <x:c r="L455" s="60" t="n">
        <x:v>1684597665.8616197</x:v>
      </x:c>
      <x:c r="M455" s="62" t="n">
        <x:v>3.616569628417665</x:v>
      </x:c>
      <x:c r="N455" s="62" t="n">
        <x:v>413.5896179353574</x:v>
      </x:c>
      <x:c r="O455" s="60" t="n">
        <x:v>1014022640.9937125</x:v>
      </x:c>
      <x:c r="P455" s="60" t="n">
        <x:v>670575024.8679072</x:v>
      </x:c>
      <x:c r="Q455" s="62" t="n">
        <x:v>1.661301826762727</x:v>
      </x:c>
      <x:c r="R455" s="64" t="n">
        <x:v>0.6613018267627272</x:v>
      </x:c>
    </x:row>
    <x:row r="456" ht="18" customHeight="1">
      <x:c r="A456" s="46" t="str">
        <x:v>LME_034</x:v>
      </x:c>
      <x:c r="B456" s="46" t="str">
        <x:v>Bay of Bengal</x:v>
      </x:c>
      <x:c r="C456" s="46" t="str">
        <x:v>commercial</x:v>
      </x:c>
      <x:c r="D456" s="46" t="str">
        <x:v>Scorpionfishes</x:v>
      </x:c>
      <x:c r="E456" s="66" t="n">
        <x:v>3</x:v>
      </x:c>
      <x:c r="F456" s="66" t="n">
        <x:v>3</x:v>
      </x:c>
      <x:c r="G456" s="60" t="n">
        <x:v>17467.2757215736</x:v>
      </x:c>
      <x:c r="H456" s="60" t="n">
        <x:v>17467.2757215736</x:v>
      </x:c>
      <x:c r="I456" s="62" t="n">
        <x:v>0</x:v>
      </x:c>
      <x:c r="J456" s="64" t="n">
        <x:v>1</x:v>
      </x:c>
      <x:c r="K456" s="62" t="n">
        <x:v>785.124188543321</x:v>
      </x:c>
      <x:c r="L456" s="60" t="n">
        <x:v>13713980.676962923</x:v>
      </x:c>
      <x:c r="M456" s="62" t="n">
        <x:v>3.8923769708596736</x:v>
      </x:c>
      <x:c r="N456" s="62" t="n">
        <x:v>780.5073027553079</x:v>
      </x:c>
      <x:c r="O456" s="60" t="n">
        <x:v>13633336.259928685</x:v>
      </x:c>
      <x:c r="P456" s="60" t="n">
        <x:v>80644.41703423858</x:v>
      </x:c>
      <x:c r="Q456" s="62" t="n">
        <x:v>1.0059152371434767</x:v>
      </x:c>
      <x:c r="R456" s="64" t="n">
        <x:v>0.005915237143476752</x:v>
      </x:c>
    </x:row>
    <x:row r="457" ht="18" customHeight="1">
      <x:c r="A457" s="46" t="str">
        <x:v>LME_034</x:v>
      </x:c>
      <x:c r="B457" s="46" t="str">
        <x:v>Bay of Bengal</x:v>
      </x:c>
      <x:c r="C457" s="46" t="str">
        <x:v>commercial</x:v>
      </x:c>
      <x:c r="D457" s="46" t="str">
        <x:v>Sharks &amp; rays</x:v>
      </x:c>
      <x:c r="E457" s="66" t="n">
        <x:v>29</x:v>
      </x:c>
      <x:c r="F457" s="66" t="n">
        <x:v>29</x:v>
      </x:c>
      <x:c r="G457" s="60" t="n">
        <x:v>107071.935155713</x:v>
      </x:c>
      <x:c r="H457" s="60" t="n">
        <x:v>107071.935155713</x:v>
      </x:c>
      <x:c r="I457" s="62" t="n">
        <x:v>0</x:v>
      </x:c>
      <x:c r="J457" s="64" t="n">
        <x:v>1</x:v>
      </x:c>
      <x:c r="K457" s="62" t="n">
        <x:v>1151.9303370539033</x:v>
      </x:c>
      <x:c r="L457" s="60" t="n">
        <x:v>123339410.35293414</x:v>
      </x:c>
      <x:c r="M457" s="62" t="n">
        <x:v>4.005815942263769</x:v>
      </x:c>
      <x:c r="N457" s="62" t="n">
        <x:v>1013.481772415416</x:v>
      </x:c>
      <x:c r="O457" s="60" t="n">
        <x:v>108515454.6175605</x:v>
      </x:c>
      <x:c r="P457" s="60" t="n">
        <x:v>14823955.735373631</x:v>
      </x:c>
      <x:c r="Q457" s="62" t="n">
        <x:v>1.1366068620144245</x:v>
      </x:c>
      <x:c r="R457" s="64" t="n">
        <x:v>0.13660686201442448</x:v>
      </x:c>
    </x:row>
    <x:row r="458" ht="18" customHeight="1">
      <x:c r="A458" s="46" t="str">
        <x:v>LME_034</x:v>
      </x:c>
      <x:c r="B458" s="46" t="str">
        <x:v>Bay of Bengal</x:v>
      </x:c>
      <x:c r="C458" s="46" t="str">
        <x:v>commercial</x:v>
      </x:c>
      <x:c r="D458" s="46" t="str">
        <x:v>Tuna &amp; billfishes</x:v>
      </x:c>
      <x:c r="E458" s="66" t="n">
        <x:v>21</x:v>
      </x:c>
      <x:c r="F458" s="66" t="n">
        <x:v>21</x:v>
      </x:c>
      <x:c r="G458" s="60" t="n">
        <x:v>151343.629504538</x:v>
      </x:c>
      <x:c r="H458" s="60" t="n">
        <x:v>151343.629504538</x:v>
      </x:c>
      <x:c r="I458" s="62" t="n">
        <x:v>0</x:v>
      </x:c>
      <x:c r="J458" s="64" t="n">
        <x:v>1</x:v>
      </x:c>
      <x:c r="K458" s="62" t="n">
        <x:v>2690.8562330738</x:v>
      </x:c>
      <x:c r="L458" s="60" t="n">
        <x:v>407243948.78829795</x:v>
      </x:c>
      <x:c r="M458" s="62" t="n">
        <x:v>4.423139571559678</x:v>
      </x:c>
      <x:c r="N458" s="62" t="n">
        <x:v>2649.351438164902</x:v>
      </x:c>
      <x:c r="O458" s="60" t="n">
        <x:v>400962462.4849438</x:v>
      </x:c>
      <x:c r="P458" s="60" t="n">
        <x:v>6281486.303354144</x:v>
      </x:c>
      <x:c r="Q458" s="62" t="n">
        <x:v>1.0156660208649582</x:v>
      </x:c>
      <x:c r="R458" s="64" t="n">
        <x:v>0.015666020864958188</x:v>
      </x:c>
    </x:row>
    <x:row r="459" ht="18" customHeight="1">
      <x:c r="A459" s="46" t="str">
        <x:v>LME_035</x:v>
      </x:c>
      <x:c r="B459" s="46" t="str">
        <x:v>Gulf of Thailand</x:v>
      </x:c>
      <x:c r="C459" s="46" t="str">
        <x:v>commercial</x:v>
      </x:c>
      <x:c r="D459" s="46" t="str">
        <x:v>Anchovies</x:v>
      </x:c>
      <x:c r="E459" s="66" t="n">
        <x:v>3</x:v>
      </x:c>
      <x:c r="F459" s="66" t="n">
        <x:v>3</x:v>
      </x:c>
      <x:c r="G459" s="60" t="n">
        <x:v>178334.13182762708</x:v>
      </x:c>
      <x:c r="H459" s="60" t="n">
        <x:v>178334.13182762708</x:v>
      </x:c>
      <x:c r="I459" s="62" t="n">
        <x:v>0</x:v>
      </x:c>
      <x:c r="J459" s="64" t="n">
        <x:v>1</x:v>
      </x:c>
      <x:c r="K459" s="62" t="n">
        <x:v>172.53881083572432</x:v>
      </x:c>
      <x:c r="L459" s="60" t="n">
        <x:v>30769559.036960073</x:v>
      </x:c>
      <x:c r="M459" s="62" t="n">
        <x:v>3.2288408625927505</x:v>
      </x:c>
      <x:c r="N459" s="62" t="n">
        <x:v>169.37170623503474</x:v>
      </x:c>
      <x:c r="O459" s="60" t="n">
        <x:v>30204756.18758881</x:v>
      </x:c>
      <x:c r="P459" s="60" t="n">
        <x:v>564802.8493712619</x:v>
      </x:c>
      <x:c r="Q459" s="62" t="n">
        <x:v>1.0186991361844973</x:v>
      </x:c>
      <x:c r="R459" s="64" t="n">
        <x:v>0.018699136184497343</x:v>
      </x:c>
    </x:row>
    <x:row r="460" ht="18" customHeight="1">
      <x:c r="A460" s="46" t="str">
        <x:v>LME_035</x:v>
      </x:c>
      <x:c r="B460" s="46" t="str">
        <x:v>Gulf of Thailand</x:v>
      </x:c>
      <x:c r="C460" s="46" t="str">
        <x:v>commercial</x:v>
      </x:c>
      <x:c r="D460" s="46" t="str">
        <x:v>Crustaceans</x:v>
      </x:c>
      <x:c r="E460" s="66" t="n">
        <x:v>36</x:v>
      </x:c>
      <x:c r="F460" s="66" t="n">
        <x:v>36</x:v>
      </x:c>
      <x:c r="G460" s="60" t="n">
        <x:v>180985.92546550703</x:v>
      </x:c>
      <x:c r="H460" s="60" t="n">
        <x:v>180985.92546550703</x:v>
      </x:c>
      <x:c r="I460" s="62" t="n">
        <x:v>0</x:v>
      </x:c>
      <x:c r="J460" s="64" t="n">
        <x:v>1</x:v>
      </x:c>
      <x:c r="K460" s="62" t="n">
        <x:v>130.05854440981764</x:v>
      </x:c>
      <x:c r="L460" s="60" t="n">
        <x:v>23538766.02470759</x:v>
      </x:c>
      <x:c r="M460" s="62" t="n">
        <x:v>2.8892897354525533</x:v>
      </x:c>
      <x:c r="N460" s="62" t="n">
        <x:v>77.49786450455403</x:v>
      </x:c>
      <x:c r="O460" s="60" t="n">
        <x:v>14026022.728957178</x:v>
      </x:c>
      <x:c r="P460" s="60" t="n">
        <x:v>9512743.295750411</x:v>
      </x:c>
      <x:c r="Q460" s="62" t="n">
        <x:v>1.6782210095889154</x:v>
      </x:c>
      <x:c r="R460" s="64" t="n">
        <x:v>0.6782210095889154</x:v>
      </x:c>
    </x:row>
    <x:row r="461" ht="18" customHeight="1">
      <x:c r="A461" s="46" t="str">
        <x:v>LME_035</x:v>
      </x:c>
      <x:c r="B461" s="46" t="str">
        <x:v>Gulf of Thailand</x:v>
      </x:c>
      <x:c r="C461" s="46" t="str">
        <x:v>commercial</x:v>
      </x:c>
      <x:c r="D461" s="46" t="str">
        <x:v>Flatfishes</x:v>
      </x:c>
      <x:c r="E461" s="66" t="n">
        <x:v>5</x:v>
      </x:c>
      <x:c r="F461" s="66" t="n">
        <x:v>5</x:v>
      </x:c>
      <x:c r="G461" s="60" t="n">
        <x:v>3873.4020140164002</x:v>
      </x:c>
      <x:c r="H461" s="60" t="n">
        <x:v>3873.4020140164002</x:v>
      </x:c>
      <x:c r="I461" s="62" t="n">
        <x:v>0</x:v>
      </x:c>
      <x:c r="J461" s="64" t="n">
        <x:v>1</x:v>
      </x:c>
      <x:c r="K461" s="62" t="n">
        <x:v>1439.6034943649333</x:v>
      </x:c>
      <x:c r="L461" s="60" t="n">
        <x:v>5576163.07445818</x:v>
      </x:c>
      <x:c r="M461" s="62" t="n">
        <x:v>3.9970718562282848</x:v>
      </x:c>
      <x:c r="N461" s="62" t="n">
        <x:v>993.2803781104773</x:v>
      </x:c>
      <x:c r="O461" s="60" t="n">
        <x:v>3847374.217056094</x:v>
      </x:c>
      <x:c r="P461" s="60" t="n">
        <x:v>1728788.8574020858</x:v>
      </x:c>
      <x:c r="Q461" s="62" t="n">
        <x:v>1.4493425281424555</x:v>
      </x:c>
      <x:c r="R461" s="64" t="n">
        <x:v>0.4493425281424555</x:v>
      </x:c>
    </x:row>
    <x:row r="462" ht="18" customHeight="1">
      <x:c r="A462" s="46" t="str">
        <x:v>LME_035</x:v>
      </x:c>
      <x:c r="B462" s="46" t="str">
        <x:v>Gulf of Thailand</x:v>
      </x:c>
      <x:c r="C462" s="46" t="str">
        <x:v>commercial</x:v>
      </x:c>
      <x:c r="D462" s="46" t="str">
        <x:v>Herring-likes</x:v>
      </x:c>
      <x:c r="E462" s="66" t="n">
        <x:v>13</x:v>
      </x:c>
      <x:c r="F462" s="66" t="n">
        <x:v>13</x:v>
      </x:c>
      <x:c r="G462" s="60" t="n">
        <x:v>145650.54575638758</x:v>
      </x:c>
      <x:c r="H462" s="60" t="n">
        <x:v>145650.54575638758</x:v>
      </x:c>
      <x:c r="I462" s="62" t="n">
        <x:v>0</x:v>
      </x:c>
      <x:c r="J462" s="64" t="n">
        <x:v>1</x:v>
      </x:c>
      <x:c r="K462" s="62" t="n">
        <x:v>169.72941943373792</x:v>
      </x:c>
      <x:c r="L462" s="60" t="n">
        <x:v>24721182.571438745</x:v>
      </x:c>
      <x:c r="M462" s="62" t="n">
        <x:v>2.915875490557777</x:v>
      </x:c>
      <x:c r="N462" s="62" t="n">
        <x:v>82.39018737678225</x:v>
      </x:c>
      <x:c r="O462" s="60" t="n">
        <x:v>12000175.75639937</x:v>
      </x:c>
      <x:c r="P462" s="60" t="n">
        <x:v>12721006.815039374</x:v>
      </x:c>
      <x:c r="Q462" s="62" t="n">
        <x:v>2.0600683751032234</x:v>
      </x:c>
      <x:c r="R462" s="64" t="n">
        <x:v>1.0600683751032232</x:v>
      </x:c>
    </x:row>
    <x:row r="463" ht="18" customHeight="1">
      <x:c r="A463" s="46" t="str">
        <x:v>LME_035</x:v>
      </x:c>
      <x:c r="B463" s="46" t="str">
        <x:v>Gulf of Thailand</x:v>
      </x:c>
      <x:c r="C463" s="46" t="str">
        <x:v>commercial</x:v>
      </x:c>
      <x:c r="D463" s="46" t="str">
        <x:v>Molluscs</x:v>
      </x:c>
      <x:c r="E463" s="66" t="n">
        <x:v>5</x:v>
      </x:c>
      <x:c r="F463" s="66" t="n">
        <x:v>5</x:v>
      </x:c>
      <x:c r="G463" s="60" t="n">
        <x:v>51978.5152997877</x:v>
      </x:c>
      <x:c r="H463" s="60" t="n">
        <x:v>51978.5152997877</x:v>
      </x:c>
      <x:c r="I463" s="62" t="n">
        <x:v>0</x:v>
      </x:c>
      <x:c r="J463" s="64" t="n">
        <x:v>1</x:v>
      </x:c>
      <x:c r="K463" s="62" t="n">
        <x:v>11.179036220245562</x:v>
      </x:c>
      <x:c r="L463" s="60" t="n">
        <x:v>581069.7052109148</x:v>
      </x:c>
      <x:c r="M463" s="62" t="n">
        <x:v>2.0455357476145615</x:v>
      </x:c>
      <x:c r="N463" s="62" t="n">
        <x:v>11.105439425806791</x:v>
      </x:c>
      <x:c r="O463" s="60" t="n">
        <x:v>577244.2531051638</x:v>
      </x:c>
      <x:c r="P463" s="60" t="n">
        <x:v>3825.4521057510283</x:v>
      </x:c>
      <x:c r="Q463" s="62" t="n">
        <x:v>1.0066270943108966</x:v>
      </x:c>
      <x:c r="R463" s="64" t="n">
        <x:v>0.0066270943108966696</x:v>
      </x:c>
    </x:row>
    <x:row r="464" ht="18" customHeight="1">
      <x:c r="A464" s="46" t="str">
        <x:v>LME_035</x:v>
      </x:c>
      <x:c r="B464" s="46" t="str">
        <x:v>Gulf of Thailand</x:v>
      </x:c>
      <x:c r="C464" s="46" t="str">
        <x:v>commercial</x:v>
      </x:c>
      <x:c r="D464" s="46" t="str">
        <x:v>Other fishes &amp; inverts</x:v>
      </x:c>
      <x:c r="E464" s="66" t="n">
        <x:v>35</x:v>
      </x:c>
      <x:c r="F464" s="66" t="n">
        <x:v>35</x:v>
      </x:c>
      <x:c r="G464" s="60" t="n">
        <x:v>659450.0903866689</x:v>
      </x:c>
      <x:c r="H464" s="60" t="n">
        <x:v>659450.0903866689</x:v>
      </x:c>
      <x:c r="I464" s="62" t="n">
        <x:v>0</x:v>
      </x:c>
      <x:c r="J464" s="64" t="n">
        <x:v>1</x:v>
      </x:c>
      <x:c r="K464" s="62" t="n">
        <x:v>1157.0502667059627</x:v>
      </x:c>
      <x:c r="L464" s="60" t="n">
        <x:v>763016902.9611665</x:v>
      </x:c>
      <x:c r="M464" s="62" t="n">
        <x:v>3.907174996362343</x:v>
      </x:c>
      <x:c r="N464" s="62" t="n">
        <x:v>807.5603663148926</x:v>
      </x:c>
      <x:c r="O464" s="60" t="n">
        <x:v>532545756.5590474</x:v>
      </x:c>
      <x:c r="P464" s="60" t="n">
        <x:v>230471146.4021191</x:v>
      </x:c>
      <x:c r="Q464" s="62" t="n">
        <x:v>1.4327724774135253</x:v>
      </x:c>
      <x:c r="R464" s="64" t="n">
        <x:v>0.4327724774135253</x:v>
      </x:c>
    </x:row>
    <x:row r="465" ht="18" customHeight="1">
      <x:c r="A465" s="46" t="str">
        <x:v>LME_035</x:v>
      </x:c>
      <x:c r="B465" s="46" t="str">
        <x:v>Gulf of Thailand</x:v>
      </x:c>
      <x:c r="C465" s="46" t="str">
        <x:v>commercial</x:v>
      </x:c>
      <x:c r="D465" s="46" t="str">
        <x:v>Perch-likes</x:v>
      </x:c>
      <x:c r="E465" s="66" t="n">
        <x:v>91</x:v>
      </x:c>
      <x:c r="F465" s="66" t="n">
        <x:v>91</x:v>
      </x:c>
      <x:c r="G465" s="60" t="n">
        <x:v>1284066.5360903968</x:v>
      </x:c>
      <x:c r="H465" s="60" t="n">
        <x:v>1284066.5360903968</x:v>
      </x:c>
      <x:c r="I465" s="62" t="n">
        <x:v>0</x:v>
      </x:c>
      <x:c r="J465" s="64" t="n">
        <x:v>1</x:v>
      </x:c>
      <x:c r="K465" s="62" t="n">
        <x:v>663.6529942965583</x:v>
      </x:c>
      <x:c r="L465" s="60" t="n">
        <x:v>852174601.5524014</x:v>
      </x:c>
      <x:c r="M465" s="62" t="n">
        <x:v>3.6450477827589705</x:v>
      </x:c>
      <x:c r="N465" s="62" t="n">
        <x:v>441.6190333149076</x:v>
      </x:c>
      <x:c r="O465" s="60" t="n">
        <x:v>567068222.380263</x:v>
      </x:c>
      <x:c r="P465" s="60" t="n">
        <x:v>285106379.17213845</x:v>
      </x:c>
      <x:c r="Q465" s="62" t="n">
        <x:v>1.5027726257969587</x:v>
      </x:c>
      <x:c r="R465" s="64" t="n">
        <x:v>0.5027726257969586</x:v>
      </x:c>
    </x:row>
    <x:row r="466" ht="18" customHeight="1">
      <x:c r="A466" s="46" t="str">
        <x:v>LME_035</x:v>
      </x:c>
      <x:c r="B466" s="46" t="str">
        <x:v>Gulf of Thailand</x:v>
      </x:c>
      <x:c r="C466" s="46" t="str">
        <x:v>commercial</x:v>
      </x:c>
      <x:c r="D466" s="46" t="str">
        <x:v>Scorpionfishes</x:v>
      </x:c>
      <x:c r="E466" s="66" t="n">
        <x:v>3</x:v>
      </x:c>
      <x:c r="F466" s="66" t="n">
        <x:v>3</x:v>
      </x:c>
      <x:c r="G466" s="60" t="n">
        <x:v>41732.16241524059</x:v>
      </x:c>
      <x:c r="H466" s="60" t="n">
        <x:v>41732.16241524059</x:v>
      </x:c>
      <x:c r="I466" s="62" t="n">
        <x:v>0</x:v>
      </x:c>
      <x:c r="J466" s="64" t="n">
        <x:v>1</x:v>
      </x:c>
      <x:c r="K466" s="62" t="n">
        <x:v>794.6360883302515</x:v>
      </x:c>
      <x:c r="L466" s="60" t="n">
        <x:v>33161882.299209524</x:v>
      </x:c>
      <x:c r="M466" s="62" t="n">
        <x:v>3.9001500556995605</x:v>
      </x:c>
      <x:c r="N466" s="62" t="n">
        <x:v>794.602735271513</x:v>
      </x:c>
      <x:c r="O466" s="60" t="n">
        <x:v>33160490.403945204</x:v>
      </x:c>
      <x:c r="P466" s="60" t="n">
        <x:v>1391.8952643200755</x:v>
      </x:c>
      <x:c r="Q466" s="62" t="n">
        <x:v>1.0000419745078364</x:v>
      </x:c>
      <x:c r="R466" s="64" t="n">
        <x:v>0.000041974507836424444</x:v>
      </x:c>
    </x:row>
    <x:row r="467" ht="18" customHeight="1">
      <x:c r="A467" s="46" t="str">
        <x:v>LME_035</x:v>
      </x:c>
      <x:c r="B467" s="46" t="str">
        <x:v>Gulf of Thailand</x:v>
      </x:c>
      <x:c r="C467" s="46" t="str">
        <x:v>commercial</x:v>
      </x:c>
      <x:c r="D467" s="46" t="str">
        <x:v>Sharks &amp; rays</x:v>
      </x:c>
      <x:c r="E467" s="66" t="n">
        <x:v>9</x:v>
      </x:c>
      <x:c r="F467" s="66" t="n">
        <x:v>9</x:v>
      </x:c>
      <x:c r="G467" s="60" t="n">
        <x:v>10239.425192844801</x:v>
      </x:c>
      <x:c r="H467" s="60" t="n">
        <x:v>10239.425192844801</x:v>
      </x:c>
      <x:c r="I467" s="62" t="n">
        <x:v>0</x:v>
      </x:c>
      <x:c r="J467" s="64" t="n">
        <x:v>1</x:v>
      </x:c>
      <x:c r="K467" s="62" t="n">
        <x:v>955.0864840158623</x:v>
      </x:c>
      <x:c r="L467" s="60" t="n">
        <x:v>9779536.605777584</x:v>
      </x:c>
      <x:c r="M467" s="62" t="n">
        <x:v>3.9308456149631184</x:v>
      </x:c>
      <x:c r="N467" s="62" t="n">
        <x:v>852.7969038891781</x:v>
      </x:c>
      <x:c r="O467" s="60" t="n">
        <x:v>8732150.102062898</x:v>
      </x:c>
      <x:c r="P467" s="60" t="n">
        <x:v>1047386.5037146863</x:v>
      </x:c>
      <x:c r="Q467" s="62" t="n">
        <x:v>1.1199460031576014</x:v>
      </x:c>
      <x:c r="R467" s="64" t="n">
        <x:v>0.11994600315760146</x:v>
      </x:c>
    </x:row>
    <x:row r="468" ht="18" customHeight="1">
      <x:c r="A468" s="46" t="str">
        <x:v>LME_035</x:v>
      </x:c>
      <x:c r="B468" s="46" t="str">
        <x:v>Gulf of Thailand</x:v>
      </x:c>
      <x:c r="C468" s="46" t="str">
        <x:v>commercial</x:v>
      </x:c>
      <x:c r="D468" s="46" t="str">
        <x:v>Tuna &amp; billfishes</x:v>
      </x:c>
      <x:c r="E468" s="66" t="n">
        <x:v>14</x:v>
      </x:c>
      <x:c r="F468" s="66" t="n">
        <x:v>14</x:v>
      </x:c>
      <x:c r="G468" s="60" t="n">
        <x:v>59514.3224133451</x:v>
      </x:c>
      <x:c r="H468" s="60" t="n">
        <x:v>59514.3224133451</x:v>
      </x:c>
      <x:c r="I468" s="62" t="n">
        <x:v>0</x:v>
      </x:c>
      <x:c r="J468" s="64" t="n">
        <x:v>1</x:v>
      </x:c>
      <x:c r="K468" s="62" t="n">
        <x:v>2109.983461370835</x:v>
      </x:c>
      <x:c r="L468" s="60" t="n">
        <x:v>125574236.00684977</x:v>
      </x:c>
      <x:c r="M468" s="62" t="n">
        <x:v>4.301396934524649</x:v>
      </x:c>
      <x:c r="N468" s="62" t="n">
        <x:v>2001.6905299717675</x:v>
      </x:c>
      <x:c r="O468" s="60" t="n">
        <x:v>119129255.5724794</x:v>
      </x:c>
      <x:c r="P468" s="60" t="n">
        <x:v>6444980.434370369</x:v>
      </x:c>
      <x:c r="Q468" s="62" t="n">
        <x:v>1.0541007362414783</x:v>
      </x:c>
      <x:c r="R468" s="64" t="n">
        <x:v>0.05410073624147831</x:v>
      </x:c>
    </x:row>
    <x:row r="469" ht="18" customHeight="1">
      <x:c r="A469" s="46" t="str">
        <x:v>LME_036</x:v>
      </x:c>
      <x:c r="B469" s="46" t="str">
        <x:v>South China Sea</x:v>
      </x:c>
      <x:c r="C469" s="46" t="str">
        <x:v>commercial</x:v>
      </x:c>
      <x:c r="D469" s="46" t="str">
        <x:v>Anchovies</x:v>
      </x:c>
      <x:c r="E469" s="66" t="n">
        <x:v>5</x:v>
      </x:c>
      <x:c r="F469" s="66" t="n">
        <x:v>5</x:v>
      </x:c>
      <x:c r="G469" s="60" t="n">
        <x:v>545444.263923729</x:v>
      </x:c>
      <x:c r="H469" s="60" t="n">
        <x:v>545444.263923729</x:v>
      </x:c>
      <x:c r="I469" s="62" t="n">
        <x:v>0</x:v>
      </x:c>
      <x:c r="J469" s="64" t="n">
        <x:v>1</x:v>
      </x:c>
      <x:c r="K469" s="62" t="n">
        <x:v>147.97882974498742</x:v>
      </x:c>
      <x:c r="L469" s="60" t="n">
        <x:v>80714203.86654948</x:v>
      </x:c>
      <x:c r="M469" s="62" t="n">
        <x:v>3.163903243317686</x:v>
      </x:c>
      <x:c r="N469" s="62" t="n">
        <x:v>145.84892865270209</x:v>
      </x:c>
      <x:c r="O469" s="60" t="n">
        <x:v>79552461.53303754</x:v>
      </x:c>
      <x:c r="P469" s="60" t="n">
        <x:v>1161742.3335119337</x:v>
      </x:c>
      <x:c r="Q469" s="62" t="n">
        <x:v>1.0146034743755787</x:v>
      </x:c>
      <x:c r="R469" s="64" t="n">
        <x:v>0.014603474375578821</x:v>
      </x:c>
    </x:row>
    <x:row r="470" ht="18" customHeight="1">
      <x:c r="A470" s="46" t="str">
        <x:v>LME_036</x:v>
      </x:c>
      <x:c r="B470" s="46" t="str">
        <x:v>South China Sea</x:v>
      </x:c>
      <x:c r="C470" s="46" t="str">
        <x:v>commercial</x:v>
      </x:c>
      <x:c r="D470" s="46" t="str">
        <x:v>Crustaceans</x:v>
      </x:c>
      <x:c r="E470" s="66" t="n">
        <x:v>40</x:v>
      </x:c>
      <x:c r="F470" s="66" t="n">
        <x:v>40</x:v>
      </x:c>
      <x:c r="G470" s="60" t="n">
        <x:v>1246425.6303822605</x:v>
      </x:c>
      <x:c r="H470" s="60" t="n">
        <x:v>1246425.6303822605</x:v>
      </x:c>
      <x:c r="I470" s="62" t="n">
        <x:v>0</x:v>
      </x:c>
      <x:c r="J470" s="64" t="n">
        <x:v>1</x:v>
      </x:c>
      <x:c r="K470" s="62" t="n">
        <x:v>174.52256684198744</x:v>
      </x:c>
      <x:c r="L470" s="60" t="n">
        <x:v>217529400.3919544</x:v>
      </x:c>
      <x:c r="M470" s="62" t="n">
        <x:v>2.9491454167392144</x:v>
      </x:c>
      <x:c r="N470" s="62" t="n">
        <x:v>88.94989028464904</x:v>
      </x:c>
      <x:c r="O470" s="60" t="n">
        <x:v>110869423.07047659</x:v>
      </x:c>
      <x:c r="P470" s="60" t="n">
        <x:v>106659977.3214778</x:v>
      </x:c>
      <x:c r="Q470" s="62" t="n">
        <x:v>1.9620324014284536</x:v>
      </x:c>
      <x:c r="R470" s="64" t="n">
        <x:v>0.9620324014284537</x:v>
      </x:c>
    </x:row>
    <x:row r="471" ht="18" customHeight="1">
      <x:c r="A471" s="46" t="str">
        <x:v>LME_036</x:v>
      </x:c>
      <x:c r="B471" s="46" t="str">
        <x:v>South China Sea</x:v>
      </x:c>
      <x:c r="C471" s="46" t="str">
        <x:v>commercial</x:v>
      </x:c>
      <x:c r="D471" s="46" t="str">
        <x:v>Flatfishes</x:v>
      </x:c>
      <x:c r="E471" s="66" t="n">
        <x:v>7</x:v>
      </x:c>
      <x:c r="F471" s="66" t="n">
        <x:v>7</x:v>
      </x:c>
      <x:c r="G471" s="60" t="n">
        <x:v>9930.529804765201</x:v>
      </x:c>
      <x:c r="H471" s="60" t="n">
        <x:v>9930.529804765201</x:v>
      </x:c>
      <x:c r="I471" s="62" t="n">
        <x:v>0</x:v>
      </x:c>
      <x:c r="J471" s="64" t="n">
        <x:v>1</x:v>
      </x:c>
      <x:c r="K471" s="62" t="n">
        <x:v>1464.1284778678778</x:v>
      </x:c>
      <x:c r="L471" s="60" t="n">
        <x:v>14539571.487472467</x:v>
      </x:c>
      <x:c r="M471" s="62" t="n">
        <x:v>4.032882586321807</x:v>
      </x:c>
      <x:c r="N471" s="62" t="n">
        <x:v>1078.6550630323295</x:v>
      </x:c>
      <x:c r="O471" s="60" t="n">
        <x:v>10711616.252503434</x:v>
      </x:c>
      <x:c r="P471" s="60" t="n">
        <x:v>3827955.234969033</x:v>
      </x:c>
      <x:c r="Q471" s="62" t="n">
        <x:v>1.3573648593016383</x:v>
      </x:c>
      <x:c r="R471" s="64" t="n">
        <x:v>0.3573648593016384</x:v>
      </x:c>
    </x:row>
    <x:row r="472" ht="18" customHeight="1">
      <x:c r="A472" s="46" t="str">
        <x:v>LME_036</x:v>
      </x:c>
      <x:c r="B472" s="46" t="str">
        <x:v>South China Sea</x:v>
      </x:c>
      <x:c r="C472" s="46" t="str">
        <x:v>commercial</x:v>
      </x:c>
      <x:c r="D472" s="46" t="str">
        <x:v>Herring-likes</x:v>
      </x:c>
      <x:c r="E472" s="66" t="n">
        <x:v>19</x:v>
      </x:c>
      <x:c r="F472" s="66" t="n">
        <x:v>19</x:v>
      </x:c>
      <x:c r="G472" s="60" t="n">
        <x:v>419429.9129495481</x:v>
      </x:c>
      <x:c r="H472" s="60" t="n">
        <x:v>419429.9129495481</x:v>
      </x:c>
      <x:c r="I472" s="62" t="n">
        <x:v>0</x:v>
      </x:c>
      <x:c r="J472" s="64" t="n">
        <x:v>1</x:v>
      </x:c>
      <x:c r="K472" s="62" t="n">
        <x:v>179.31483027856666</x:v>
      </x:c>
      <x:c r="L472" s="60" t="n">
        <x:v>75210003.65430221</x:v>
      </x:c>
      <x:c r="M472" s="62" t="n">
        <x:v>3.019485346819521</x:v>
      </x:c>
      <x:c r="N472" s="62" t="n">
        <x:v>104.58884013892978</x:v>
      </x:c>
      <x:c r="O472" s="60" t="n">
        <x:v>43867688.11496552</x:v>
      </x:c>
      <x:c r="P472" s="60" t="n">
        <x:v>31342315.53933669</x:v>
      </x:c>
      <x:c r="Q472" s="62" t="n">
        <x:v>1.7144738390862275</x:v>
      </x:c>
      <x:c r="R472" s="64" t="n">
        <x:v>0.7144738390862275</x:v>
      </x:c>
    </x:row>
    <x:row r="473" ht="18" customHeight="1">
      <x:c r="A473" s="46" t="str">
        <x:v>LME_036</x:v>
      </x:c>
      <x:c r="B473" s="46" t="str">
        <x:v>South China Sea</x:v>
      </x:c>
      <x:c r="C473" s="46" t="str">
        <x:v>commercial</x:v>
      </x:c>
      <x:c r="D473" s="46" t="str">
        <x:v>Molluscs</x:v>
      </x:c>
      <x:c r="E473" s="66" t="n">
        <x:v>16</x:v>
      </x:c>
      <x:c r="F473" s="66" t="n">
        <x:v>16</x:v>
      </x:c>
      <x:c r="G473" s="60" t="n">
        <x:v>62245.0342281736</x:v>
      </x:c>
      <x:c r="H473" s="60" t="n">
        <x:v>62245.0342281736</x:v>
      </x:c>
      <x:c r="I473" s="62" t="n">
        <x:v>0</x:v>
      </x:c>
      <x:c r="J473" s="64" t="n">
        <x:v>1</x:v>
      </x:c>
      <x:c r="K473" s="62" t="n">
        <x:v>21.993978743772708</x:v>
      </x:c>
      <x:c r="L473" s="60" t="n">
        <x:v>1369015.9597198549</x:v>
      </x:c>
      <x:c r="M473" s="62" t="n">
        <x:v>2.1837012100784827</x:v>
      </x:c>
      <x:c r="N473" s="62" t="n">
        <x:v>15.265154706962454</x:v>
      </x:c>
      <x:c r="O473" s="60" t="n">
        <x:v>950180.0772332433</x:v>
      </x:c>
      <x:c r="P473" s="60" t="n">
        <x:v>418835.8824866116</x:v>
      </x:c>
      <x:c r="Q473" s="62" t="n">
        <x:v>1.4407963211628134</x:v>
      </x:c>
      <x:c r="R473" s="64" t="n">
        <x:v>0.4407963211628135</x:v>
      </x:c>
    </x:row>
    <x:row r="474" ht="18" customHeight="1">
      <x:c r="A474" s="46" t="str">
        <x:v>LME_036</x:v>
      </x:c>
      <x:c r="B474" s="46" t="str">
        <x:v>South China Sea</x:v>
      </x:c>
      <x:c r="C474" s="46" t="str">
        <x:v>commercial</x:v>
      </x:c>
      <x:c r="D474" s="46" t="str">
        <x:v>Other fishes &amp; inverts</x:v>
      </x:c>
      <x:c r="E474" s="66" t="n">
        <x:v>65</x:v>
      </x:c>
      <x:c r="F474" s="66" t="n">
        <x:v>65</x:v>
      </x:c>
      <x:c r="G474" s="60" t="n">
        <x:v>3282188.1577782994</x:v>
      </x:c>
      <x:c r="H474" s="60" t="n">
        <x:v>3282188.1577782994</x:v>
      </x:c>
      <x:c r="I474" s="62" t="n">
        <x:v>0</x:v>
      </x:c>
      <x:c r="J474" s="64" t="n">
        <x:v>1</x:v>
      </x:c>
      <x:c r="K474" s="62" t="n">
        <x:v>789.6831273989628</x:v>
      </x:c>
      <x:c r="L474" s="60" t="n">
        <x:v>2591888609.146208</x:v>
      </x:c>
      <x:c r="M474" s="62" t="n">
        <x:v>3.6716030320809496</x:v>
      </x:c>
      <x:c r="N474" s="62" t="n">
        <x:v>469.464796998029</x:v>
      </x:c>
      <x:c r="O474" s="60" t="n">
        <x:v>1540871797.2007241</x:v>
      </x:c>
      <x:c r="P474" s="60" t="n">
        <x:v>1051016811.9454837</x:v>
      </x:c>
      <x:c r="Q474" s="62" t="n">
        <x:v>1.6820923154378244</x:v>
      </x:c>
      <x:c r="R474" s="64" t="n">
        <x:v>0.6820923154378243</x:v>
      </x:c>
    </x:row>
    <x:row r="475" ht="18" customHeight="1">
      <x:c r="A475" s="46" t="str">
        <x:v>LME_036</x:v>
      </x:c>
      <x:c r="B475" s="46" t="str">
        <x:v>South China Sea</x:v>
      </x:c>
      <x:c r="C475" s="46" t="str">
        <x:v>commercial</x:v>
      </x:c>
      <x:c r="D475" s="46" t="str">
        <x:v>Perch-likes</x:v>
      </x:c>
      <x:c r="E475" s="66" t="n">
        <x:v>148</x:v>
      </x:c>
      <x:c r="F475" s="66" t="n">
        <x:v>148</x:v>
      </x:c>
      <x:c r="G475" s="60" t="n">
        <x:v>5012048.169253562</x:v>
      </x:c>
      <x:c r="H475" s="60" t="n">
        <x:v>5012048.169253562</x:v>
      </x:c>
      <x:c r="I475" s="62" t="n">
        <x:v>0</x:v>
      </x:c>
      <x:c r="J475" s="64" t="n">
        <x:v>1</x:v>
      </x:c>
      <x:c r="K475" s="62" t="n">
        <x:v>841.7269619628329</x:v>
      </x:c>
      <x:c r="L475" s="60" t="n">
        <x:v>4218776078.717179</x:v>
      </x:c>
      <x:c r="M475" s="62" t="n">
        <x:v>3.6991967077459487</x:v>
      </x:c>
      <x:c r="N475" s="62" t="n">
        <x:v>500.26107007998843</x:v>
      </x:c>
      <x:c r="O475" s="60" t="n">
        <x:v>2507332580.4432335</x:v>
      </x:c>
      <x:c r="P475" s="60" t="n">
        <x:v>1711443498.2739453</x:v>
      </x:c>
      <x:c r="Q475" s="62" t="n">
        <x:v>1.6825753837456239</x:v>
      </x:c>
      <x:c r="R475" s="64" t="n">
        <x:v>0.6825753837456239</x:v>
      </x:c>
    </x:row>
    <x:row r="476" ht="18" customHeight="1">
      <x:c r="A476" s="46" t="str">
        <x:v>LME_036</x:v>
      </x:c>
      <x:c r="B476" s="46" t="str">
        <x:v>South China Sea</x:v>
      </x:c>
      <x:c r="C476" s="46" t="str">
        <x:v>commercial</x:v>
      </x:c>
      <x:c r="D476" s="46" t="str">
        <x:v>Scorpionfishes</x:v>
      </x:c>
      <x:c r="E476" s="66" t="n">
        <x:v>4</x:v>
      </x:c>
      <x:c r="F476" s="66" t="n">
        <x:v>4</x:v>
      </x:c>
      <x:c r="G476" s="60" t="n">
        <x:v>5068.518552928899</x:v>
      </x:c>
      <x:c r="H476" s="60" t="n">
        <x:v>5068.518552928899</x:v>
      </x:c>
      <x:c r="I476" s="62" t="n">
        <x:v>0</x:v>
      </x:c>
      <x:c r="J476" s="64" t="n">
        <x:v>1</x:v>
      </x:c>
      <x:c r="K476" s="62" t="n">
        <x:v>589.6200215249593</x:v>
      </x:c>
      <x:c r="L476" s="60" t="n">
        <x:v>2988500.018277593</x:v>
      </x:c>
      <x:c r="M476" s="62" t="n">
        <x:v>3.7492836554725497</x:v>
      </x:c>
      <x:c r="N476" s="62" t="n">
        <x:v>561.4145390871421</x:v>
      </x:c>
      <x:c r="O476" s="60" t="n">
        <x:v>2845540.0072472063</x:v>
      </x:c>
      <x:c r="P476" s="60" t="n">
        <x:v>142960.01103038667</x:v>
      </x:c>
      <x:c r="Q476" s="62" t="n">
        <x:v>1.0502400284888938</x:v>
      </x:c>
      <x:c r="R476" s="64" t="n">
        <x:v>0.050240028488893786</x:v>
      </x:c>
    </x:row>
    <x:row r="477" ht="18" customHeight="1">
      <x:c r="A477" s="46" t="str">
        <x:v>LME_036</x:v>
      </x:c>
      <x:c r="B477" s="46" t="str">
        <x:v>South China Sea</x:v>
      </x:c>
      <x:c r="C477" s="46" t="str">
        <x:v>commercial</x:v>
      </x:c>
      <x:c r="D477" s="46" t="str">
        <x:v>Sharks &amp; rays</x:v>
      </x:c>
      <x:c r="E477" s="66" t="n">
        <x:v>16</x:v>
      </x:c>
      <x:c r="F477" s="66" t="n">
        <x:v>16</x:v>
      </x:c>
      <x:c r="G477" s="60" t="n">
        <x:v>103896.66345671899</x:v>
      </x:c>
      <x:c r="H477" s="60" t="n">
        <x:v>103896.66345671899</x:v>
      </x:c>
      <x:c r="I477" s="62" t="n">
        <x:v>0</x:v>
      </x:c>
      <x:c r="J477" s="64" t="n">
        <x:v>1</x:v>
      </x:c>
      <x:c r="K477" s="62" t="n">
        <x:v>927.5279274867171</x:v>
      </x:c>
      <x:c r="L477" s="60" t="n">
        <x:v>96367056.9287955</x:v>
      </x:c>
      <x:c r="M477" s="62" t="n">
        <x:v>3.848487624980062</x:v>
      </x:c>
      <x:c r="N477" s="62" t="n">
        <x:v>705.4847413035797</x:v>
      </x:c>
      <x:c r="O477" s="60" t="n">
        <x:v>73297510.74106847</x:v>
      </x:c>
      <x:c r="P477" s="60" t="n">
        <x:v>23069546.187727034</x:v>
      </x:c>
      <x:c r="Q477" s="62" t="n">
        <x:v>1.3147384673024265</x:v>
      </x:c>
      <x:c r="R477" s="64" t="n">
        <x:v>0.3147384673024265</x:v>
      </x:c>
    </x:row>
    <x:row r="478" ht="18" customHeight="1">
      <x:c r="A478" s="46" t="str">
        <x:v>LME_036</x:v>
      </x:c>
      <x:c r="B478" s="46" t="str">
        <x:v>South China Sea</x:v>
      </x:c>
      <x:c r="C478" s="46" t="str">
        <x:v>commercial</x:v>
      </x:c>
      <x:c r="D478" s="46" t="str">
        <x:v>Tuna &amp; billfishes</x:v>
      </x:c>
      <x:c r="E478" s="66" t="n">
        <x:v>20</x:v>
      </x:c>
      <x:c r="F478" s="66" t="n">
        <x:v>20</x:v>
      </x:c>
      <x:c r="G478" s="60" t="n">
        <x:v>414989.2074489901</x:v>
      </x:c>
      <x:c r="H478" s="60" t="n">
        <x:v>414989.2074489901</x:v>
      </x:c>
      <x:c r="I478" s="62" t="n">
        <x:v>0</x:v>
      </x:c>
      <x:c r="J478" s="64" t="n">
        <x:v>1</x:v>
      </x:c>
      <x:c r="K478" s="62" t="n">
        <x:v>1859.3453975956897</x:v>
      </x:c>
      <x:c r="L478" s="60" t="n">
        <x:v>771608272.9221627</x:v>
      </x:c>
      <x:c r="M478" s="62" t="n">
        <x:v>4.2575689862877155</x:v>
      </x:c>
      <x:c r="N478" s="62" t="n">
        <x:v>1809.5433275884684</x:v>
      </x:c>
      <x:c r="O478" s="60" t="n">
        <x:v>750940951.3605467</x:v>
      </x:c>
      <x:c r="P478" s="60" t="n">
        <x:v>20667321.561615944</x:v>
      </x:c>
      <x:c r="Q478" s="62" t="n">
        <x:v>1.0275218997235016</x:v>
      </x:c>
      <x:c r="R478" s="64" t="n">
        <x:v>0.027521899723501712</x:v>
      </x:c>
    </x:row>
    <x:row r="479" ht="18" customHeight="1">
      <x:c r="A479" s="46" t="str">
        <x:v>LME_037</x:v>
      </x:c>
      <x:c r="B479" s="46" t="str">
        <x:v>Sulu-Celebes Sea</x:v>
      </x:c>
      <x:c r="C479" s="46" t="str">
        <x:v>commercial</x:v>
      </x:c>
      <x:c r="D479" s="46" t="str">
        <x:v>Anchovies</x:v>
      </x:c>
      <x:c r="E479" s="66" t="n">
        <x:v>2</x:v>
      </x:c>
      <x:c r="F479" s="66" t="n">
        <x:v>2</x:v>
      </x:c>
      <x:c r="G479" s="60" t="n">
        <x:v>33530.9538191622</x:v>
      </x:c>
      <x:c r="H479" s="60" t="n">
        <x:v>33530.9538191622</x:v>
      </x:c>
      <x:c r="I479" s="62" t="n">
        <x:v>0</x:v>
      </x:c>
      <x:c r="J479" s="64" t="n">
        <x:v>1</x:v>
      </x:c>
      <x:c r="K479" s="62" t="n">
        <x:v>190.71324102680094</x:v>
      </x:c>
      <x:c r="L479" s="60" t="n">
        <x:v>6394796.877572412</x:v>
      </x:c>
      <x:c r="M479" s="62" t="n">
        <x:v>3.266137914699647</x:v>
      </x:c>
      <x:c r="N479" s="62" t="n">
        <x:v>184.560141592737</x:v>
      </x:c>
      <x:c r="O479" s="60" t="n">
        <x:v>6188477.584604101</x:v>
      </x:c>
      <x:c r="P479" s="60" t="n">
        <x:v>206319.29296831042</x:v>
      </x:c>
      <x:c r="Q479" s="62" t="n">
        <x:v>1.0333392648107182</x:v>
      </x:c>
      <x:c r="R479" s="64" t="n">
        <x:v>0.033339264810718285</x:v>
      </x:c>
    </x:row>
    <x:row r="480" ht="18" customHeight="1">
      <x:c r="A480" s="46" t="str">
        <x:v>LME_037</x:v>
      </x:c>
      <x:c r="B480" s="46" t="str">
        <x:v>Sulu-Celebes Sea</x:v>
      </x:c>
      <x:c r="C480" s="46" t="str">
        <x:v>commercial</x:v>
      </x:c>
      <x:c r="D480" s="46" t="str">
        <x:v>Crustaceans</x:v>
      </x:c>
      <x:c r="E480" s="66" t="n">
        <x:v>26</x:v>
      </x:c>
      <x:c r="F480" s="66" t="n">
        <x:v>26</x:v>
      </x:c>
      <x:c r="G480" s="60" t="n">
        <x:v>67008.13643156929</x:v>
      </x:c>
      <x:c r="H480" s="60" t="n">
        <x:v>67008.13643156929</x:v>
      </x:c>
      <x:c r="I480" s="62" t="n">
        <x:v>0</x:v>
      </x:c>
      <x:c r="J480" s="64" t="n">
        <x:v>1</x:v>
      </x:c>
      <x:c r="K480" s="62" t="n">
        <x:v>129.83690147038297</x:v>
      </x:c>
      <x:c r="L480" s="60" t="n">
        <x:v>8700128.807579642</x:v>
      </x:c>
      <x:c r="M480" s="62" t="n">
        <x:v>2.8492751178418447</x:v>
      </x:c>
      <x:c r="N480" s="62" t="n">
        <x:v>70.67651356428708</x:v>
      </x:c>
      <x:c r="O480" s="60" t="n">
        <x:v>4735901.463423406</x:v>
      </x:c>
      <x:c r="P480" s="60" t="n">
        <x:v>3964227.3441562364</x:v>
      </x:c>
      <x:c r="Q480" s="62" t="n">
        <x:v>1.8370586623841292</x:v>
      </x:c>
      <x:c r="R480" s="64" t="n">
        <x:v>0.8370586623841293</x:v>
      </x:c>
    </x:row>
    <x:row r="481" ht="18" customHeight="1">
      <x:c r="A481" s="46" t="str">
        <x:v>LME_037</x:v>
      </x:c>
      <x:c r="B481" s="46" t="str">
        <x:v>Sulu-Celebes Sea</x:v>
      </x:c>
      <x:c r="C481" s="46" t="str">
        <x:v>commercial</x:v>
      </x:c>
      <x:c r="D481" s="46" t="str">
        <x:v>Flatfishes</x:v>
      </x:c>
      <x:c r="E481" s="66" t="n">
        <x:v>4</x:v>
      </x:c>
      <x:c r="F481" s="66" t="n">
        <x:v>4</x:v>
      </x:c>
      <x:c r="G481" s="60" t="n">
        <x:v>1340.2892292950999</x:v>
      </x:c>
      <x:c r="H481" s="60" t="n">
        <x:v>1340.2892292950999</x:v>
      </x:c>
      <x:c r="I481" s="62" t="n">
        <x:v>0</x:v>
      </x:c>
      <x:c r="J481" s="64" t="n">
        <x:v>1</x:v>
      </x:c>
      <x:c r="K481" s="62" t="n">
        <x:v>896.4967703029266</x:v>
      </x:c>
      <x:c r="L481" s="60" t="n">
        <x:v>1201564.9653348557</x:v>
      </x:c>
      <x:c r="M481" s="62" t="n">
        <x:v>3.9009441942373977</x:v>
      </x:c>
      <x:c r="N481" s="62" t="n">
        <x:v>796.0570524902527</x:v>
      </x:c>
      <x:c r="O481" s="60" t="n">
        <x:v>1066946.6933570895</x:v>
      </x:c>
      <x:c r="P481" s="60" t="n">
        <x:v>134618.27197776618</x:v>
      </x:c>
      <x:c r="Q481" s="62" t="n">
        <x:v>1.1261715068015228</x:v>
      </x:c>
      <x:c r="R481" s="64" t="n">
        <x:v>0.1261715068015227</x:v>
      </x:c>
    </x:row>
    <x:row r="482" ht="18" customHeight="1">
      <x:c r="A482" s="46" t="str">
        <x:v>LME_037</x:v>
      </x:c>
      <x:c r="B482" s="46" t="str">
        <x:v>Sulu-Celebes Sea</x:v>
      </x:c>
      <x:c r="C482" s="46" t="str">
        <x:v>commercial</x:v>
      </x:c>
      <x:c r="D482" s="46" t="str">
        <x:v>Herring-likes</x:v>
      </x:c>
      <x:c r="E482" s="66" t="n">
        <x:v>12</x:v>
      </x:c>
      <x:c r="F482" s="66" t="n">
        <x:v>12</x:v>
      </x:c>
      <x:c r="G482" s="60" t="n">
        <x:v>226202.59380444844</x:v>
      </x:c>
      <x:c r="H482" s="60" t="n">
        <x:v>226202.59380444844</x:v>
      </x:c>
      <x:c r="I482" s="62" t="n">
        <x:v>0</x:v>
      </x:c>
      <x:c r="J482" s="64" t="n">
        <x:v>1</x:v>
      </x:c>
      <x:c r="K482" s="62" t="n">
        <x:v>85.54421378087572</x:v>
      </x:c>
      <x:c r="L482" s="60" t="n">
        <x:v>19350323.04219633</x:v>
      </x:c>
      <x:c r="M482" s="62" t="n">
        <x:v>2.793851916290945</x:v>
      </x:c>
      <x:c r="N482" s="62" t="n">
        <x:v>62.208813228873446</x:v>
      </x:c>
      <x:c r="O482" s="60" t="n">
        <x:v>14071794.90986766</x:v>
      </x:c>
      <x:c r="P482" s="60" t="n">
        <x:v>5278528.1323286705</x:v>
      </x:c>
      <x:c r="Q482" s="62" t="n">
        <x:v>1.375114060867045</x:v>
      </x:c>
      <x:c r="R482" s="64" t="n">
        <x:v>0.37511406086704496</x:v>
      </x:c>
    </x:row>
    <x:row r="483" ht="18" customHeight="1">
      <x:c r="A483" s="46" t="str">
        <x:v>LME_037</x:v>
      </x:c>
      <x:c r="B483" s="46" t="str">
        <x:v>Sulu-Celebes Sea</x:v>
      </x:c>
      <x:c r="C483" s="46" t="str">
        <x:v>commercial</x:v>
      </x:c>
      <x:c r="D483" s="46" t="str">
        <x:v>Molluscs</x:v>
      </x:c>
      <x:c r="E483" s="66" t="n">
        <x:v>10</x:v>
      </x:c>
      <x:c r="F483" s="66" t="n">
        <x:v>10</x:v>
      </x:c>
      <x:c r="G483" s="60" t="n">
        <x:v>7502.4002337182</x:v>
      </x:c>
      <x:c r="H483" s="60" t="n">
        <x:v>7502.4002337182</x:v>
      </x:c>
      <x:c r="I483" s="62" t="n">
        <x:v>0</x:v>
      </x:c>
      <x:c r="J483" s="64" t="n">
        <x:v>1</x:v>
      </x:c>
      <x:c r="K483" s="62" t="n">
        <x:v>13.146148371269707</x:v>
      </x:c>
      <x:c r="L483" s="60" t="n">
        <x:v>98627.66661310798</x:v>
      </x:c>
      <x:c r="M483" s="62" t="n">
        <x:v>2.1096869950131234</x:v>
      </x:c>
      <x:c r="N483" s="62" t="n">
        <x:v>12.873214181842794</x:v>
      </x:c>
      <x:c r="O483" s="60" t="n">
        <x:v>96580.00508656183</x:v>
      </x:c>
      <x:c r="P483" s="60" t="n">
        <x:v>2047.6615265461587</x:v>
      </x:c>
      <x:c r="Q483" s="62" t="n">
        <x:v>1.0212017127635362</x:v>
      </x:c>
      <x:c r="R483" s="64" t="n">
        <x:v>0.0212017127635363</x:v>
      </x:c>
    </x:row>
    <x:row r="484" ht="18" customHeight="1">
      <x:c r="A484" s="46" t="str">
        <x:v>LME_037</x:v>
      </x:c>
      <x:c r="B484" s="46" t="str">
        <x:v>Sulu-Celebes Sea</x:v>
      </x:c>
      <x:c r="C484" s="46" t="str">
        <x:v>commercial</x:v>
      </x:c>
      <x:c r="D484" s="46" t="str">
        <x:v>Other fishes &amp; inverts</x:v>
      </x:c>
      <x:c r="E484" s="66" t="n">
        <x:v>39</x:v>
      </x:c>
      <x:c r="F484" s="66" t="n">
        <x:v>39</x:v>
      </x:c>
      <x:c r="G484" s="60" t="n">
        <x:v>537683.6033805659</x:v>
      </x:c>
      <x:c r="H484" s="60" t="n">
        <x:v>537683.6033805659</x:v>
      </x:c>
      <x:c r="I484" s="62" t="n">
        <x:v>0</x:v>
      </x:c>
      <x:c r="J484" s="64" t="n">
        <x:v>1</x:v>
      </x:c>
      <x:c r="K484" s="62" t="n">
        <x:v>220.2652273679294</x:v>
      </x:c>
      <x:c r="L484" s="60" t="n">
        <x:v>118433001.15062793</x:v>
      </x:c>
      <x:c r="M484" s="62" t="n">
        <x:v>3.0816730101308587</x:v>
      </x:c>
      <x:c r="N484" s="62" t="n">
        <x:v>120.6904787764359</x:v>
      </x:c>
      <x:c r="O484" s="60" t="n">
        <x:v>64893291.52223976</x:v>
      </x:c>
      <x:c r="P484" s="60" t="n">
        <x:v>53539709.62838817</x:v>
      </x:c>
      <x:c r="Q484" s="62" t="n">
        <x:v>1.8250422866905962</x:v>
      </x:c>
      <x:c r="R484" s="64" t="n">
        <x:v>0.8250422866905961</x:v>
      </x:c>
    </x:row>
    <x:row r="485" ht="18" customHeight="1">
      <x:c r="A485" s="46" t="str">
        <x:v>LME_037</x:v>
      </x:c>
      <x:c r="B485" s="46" t="str">
        <x:v>Sulu-Celebes Sea</x:v>
      </x:c>
      <x:c r="C485" s="46" t="str">
        <x:v>commercial</x:v>
      </x:c>
      <x:c r="D485" s="46" t="str">
        <x:v>Perch-likes</x:v>
      </x:c>
      <x:c r="E485" s="66" t="n">
        <x:v>95</x:v>
      </x:c>
      <x:c r="F485" s="66" t="n">
        <x:v>95</x:v>
      </x:c>
      <x:c r="G485" s="60" t="n">
        <x:v>734473.3643727307</x:v>
      </x:c>
      <x:c r="H485" s="60" t="n">
        <x:v>734473.3643727307</x:v>
      </x:c>
      <x:c r="I485" s="62" t="n">
        <x:v>0</x:v>
      </x:c>
      <x:c r="J485" s="64" t="n">
        <x:v>1</x:v>
      </x:c>
      <x:c r="K485" s="62" t="n">
        <x:v>724.0680721737193</x:v>
      </x:c>
      <x:c r="L485" s="60" t="n">
        <x:v>531808713.0043088</x:v>
      </x:c>
      <x:c r="M485" s="62" t="n">
        <x:v>3.575063032464219</x:v>
      </x:c>
      <x:c r="N485" s="62" t="n">
        <x:v>375.89195639067043</x:v>
      </x:c>
      <x:c r="O485" s="60" t="n">
        <x:v>276082629.8509035</x:v>
      </x:c>
      <x:c r="P485" s="60" t="n">
        <x:v>255726083.1534053</x:v>
      </x:c>
      <x:c r="Q485" s="62" t="n">
        <x:v>1.9262664706269583</x:v>
      </x:c>
      <x:c r="R485" s="64" t="n">
        <x:v>0.9262664706269582</x:v>
      </x:c>
    </x:row>
    <x:row r="486" ht="18" customHeight="1">
      <x:c r="A486" s="46" t="str">
        <x:v>LME_037</x:v>
      </x:c>
      <x:c r="B486" s="46" t="str">
        <x:v>Sulu-Celebes Sea</x:v>
      </x:c>
      <x:c r="C486" s="46" t="str">
        <x:v>commercial</x:v>
      </x:c>
      <x:c r="D486" s="46" t="str">
        <x:v>Scorpionfishes</x:v>
      </x:c>
      <x:c r="E486" s="66" t="n">
        <x:v>2</x:v>
      </x:c>
      <x:c r="F486" s="66" t="n">
        <x:v>2</x:v>
      </x:c>
      <x:c r="G486" s="60" t="n">
        <x:v>993.3378832231001</x:v>
      </x:c>
      <x:c r="H486" s="60" t="n">
        <x:v>993.3378832231001</x:v>
      </x:c>
      <x:c r="I486" s="62" t="n">
        <x:v>0</x:v>
      </x:c>
      <x:c r="J486" s="64" t="n">
        <x:v>1</x:v>
      </x:c>
      <x:c r="K486" s="62" t="n">
        <x:v>715.3931046321094</x:v>
      </x:c>
      <x:c r="L486" s="60" t="n">
        <x:v>710627.0722276613</x:v>
      </x:c>
      <x:c r="M486" s="62" t="n">
        <x:v>3.840234022950772</x:v>
      </x:c>
      <x:c r="N486" s="62" t="n">
        <x:v>692.2038698654703</x:v>
      </x:c>
      <x:c r="O486" s="60" t="n">
        <x:v>687592.3268510045</x:v>
      </x:c>
      <x:c r="P486" s="60" t="n">
        <x:v>23034.745376656763</x:v>
      </x:c>
      <x:c r="Q486" s="62" t="n">
        <x:v>1.033500585269981</x:v>
      </x:c>
      <x:c r="R486" s="64" t="n">
        <x:v>0.03350058526998106</x:v>
      </x:c>
    </x:row>
    <x:row r="487" ht="18" customHeight="1">
      <x:c r="A487" s="46" t="str">
        <x:v>LME_037</x:v>
      </x:c>
      <x:c r="B487" s="46" t="str">
        <x:v>Sulu-Celebes Sea</x:v>
      </x:c>
      <x:c r="C487" s="46" t="str">
        <x:v>commercial</x:v>
      </x:c>
      <x:c r="D487" s="46" t="str">
        <x:v>Sharks &amp; rays</x:v>
      </x:c>
      <x:c r="E487" s="66" t="n">
        <x:v>13</x:v>
      </x:c>
      <x:c r="F487" s="66" t="n">
        <x:v>13</x:v>
      </x:c>
      <x:c r="G487" s="60" t="n">
        <x:v>10888.7986531216</x:v>
      </x:c>
      <x:c r="H487" s="60" t="n">
        <x:v>10888.7986531216</x:v>
      </x:c>
      <x:c r="I487" s="62" t="n">
        <x:v>0</x:v>
      </x:c>
      <x:c r="J487" s="64" t="n">
        <x:v>1</x:v>
      </x:c>
      <x:c r="K487" s="62" t="n">
        <x:v>1349.8047270327668</x:v>
      </x:c>
      <x:c r="L487" s="60" t="n">
        <x:v>14697751.893691558</x:v>
      </x:c>
      <x:c r="M487" s="62" t="n">
        <x:v>4.092599935508087</x:v>
      </x:c>
      <x:c r="N487" s="62" t="n">
        <x:v>1237.6559541960014</x:v>
      </x:c>
      <x:c r="O487" s="60" t="n">
        <x:v>13476586.487077348</x:v>
      </x:c>
      <x:c r="P487" s="60" t="n">
        <x:v>1221165.4066142105</x:v>
      </x:c>
      <x:c r="Q487" s="62" t="n">
        <x:v>1.090613851496088</x:v>
      </x:c>
      <x:c r="R487" s="64" t="n">
        <x:v>0.0906138514960878</x:v>
      </x:c>
    </x:row>
    <x:row r="488" ht="18" customHeight="1">
      <x:c r="A488" s="46" t="str">
        <x:v>LME_037</x:v>
      </x:c>
      <x:c r="B488" s="46" t="str">
        <x:v>Sulu-Celebes Sea</x:v>
      </x:c>
      <x:c r="C488" s="46" t="str">
        <x:v>commercial</x:v>
      </x:c>
      <x:c r="D488" s="46" t="str">
        <x:v>Tuna &amp; billfishes</x:v>
      </x:c>
      <x:c r="E488" s="66" t="n">
        <x:v>16</x:v>
      </x:c>
      <x:c r="F488" s="66" t="n">
        <x:v>16</x:v>
      </x:c>
      <x:c r="G488" s="60" t="n">
        <x:v>112348.4895149271</x:v>
      </x:c>
      <x:c r="H488" s="60" t="n">
        <x:v>112348.4895149271</x:v>
      </x:c>
      <x:c r="I488" s="62" t="n">
        <x:v>0</x:v>
      </x:c>
      <x:c r="J488" s="64" t="n">
        <x:v>1</x:v>
      </x:c>
      <x:c r="K488" s="62" t="n">
        <x:v>2570.602040464269</x:v>
      </x:c>
      <x:c r="L488" s="60" t="n">
        <x:v>288803256.3901501</x:v>
      </x:c>
      <x:c r="M488" s="62" t="n">
        <x:v>4.407200496775251</x:v>
      </x:c>
      <x:c r="N488" s="62" t="n">
        <x:v>2553.8800570775034</x:v>
      </x:c>
      <x:c r="O488" s="60" t="n">
        <x:v>286924566.8149533</x:v>
      </x:c>
      <x:c r="P488" s="60" t="n">
        <x:v>1878689.5751968026</x:v>
      </x:c>
      <x:c r="Q488" s="62" t="n">
        <x:v>1.0065476776563662</x:v>
      </x:c>
      <x:c r="R488" s="64" t="n">
        <x:v>0.006547677656366137</x:v>
      </x:c>
    </x:row>
    <x:row r="489" ht="18" customHeight="1">
      <x:c r="A489" s="46" t="str">
        <x:v>LME_038</x:v>
      </x:c>
      <x:c r="B489" s="46" t="str">
        <x:v>Indonesian Sea</x:v>
      </x:c>
      <x:c r="C489" s="46" t="str">
        <x:v>commercial</x:v>
      </x:c>
      <x:c r="D489" s="46" t="str">
        <x:v>Anchovies</x:v>
      </x:c>
      <x:c r="E489" s="66" t="n">
        <x:v>2</x:v>
      </x:c>
      <x:c r="F489" s="66" t="n">
        <x:v>2</x:v>
      </x:c>
      <x:c r="G489" s="60" t="n">
        <x:v>108278.4843033502</x:v>
      </x:c>
      <x:c r="H489" s="60" t="n">
        <x:v>108278.4843033502</x:v>
      </x:c>
      <x:c r="I489" s="62" t="n">
        <x:v>0</x:v>
      </x:c>
      <x:c r="J489" s="64" t="n">
        <x:v>1</x:v>
      </x:c>
      <x:c r="K489" s="62" t="n">
        <x:v>271.79751789593195</x:v>
      </x:c>
      <x:c r="L489" s="60" t="n">
        <x:v>29429823.27518421</x:v>
      </x:c>
      <x:c r="M489" s="62" t="n">
        <x:v>3.432559153664634</x:v>
      </x:c>
      <x:c r="N489" s="62" t="n">
        <x:v>270.7441949584031</x:v>
      </x:c>
      <x:c r="O489" s="60" t="n">
        <x:v>29315771.064026635</x:v>
      </x:c>
      <x:c r="P489" s="60" t="n">
        <x:v>114052.21115757525</x:v>
      </x:c>
      <x:c r="Q489" s="62" t="n">
        <x:v>1.0038904728416824</x:v>
      </x:c>
      <x:c r="R489" s="64" t="n">
        <x:v>0.0038904728416824298</x:v>
      </x:c>
    </x:row>
    <x:row r="490" ht="18" customHeight="1">
      <x:c r="A490" s="46" t="str">
        <x:v>LME_038</x:v>
      </x:c>
      <x:c r="B490" s="46" t="str">
        <x:v>Indonesian Sea</x:v>
      </x:c>
      <x:c r="C490" s="46" t="str">
        <x:v>commercial</x:v>
      </x:c>
      <x:c r="D490" s="46" t="str">
        <x:v>Crustaceans</x:v>
      </x:c>
      <x:c r="E490" s="66" t="n">
        <x:v>18</x:v>
      </x:c>
      <x:c r="F490" s="66" t="n">
        <x:v>18</x:v>
      </x:c>
      <x:c r="G490" s="60" t="n">
        <x:v>196692.34557599464</x:v>
      </x:c>
      <x:c r="H490" s="60" t="n">
        <x:v>196692.34557599464</x:v>
      </x:c>
      <x:c r="I490" s="62" t="n">
        <x:v>0</x:v>
      </x:c>
      <x:c r="J490" s="64" t="n">
        <x:v>1</x:v>
      </x:c>
      <x:c r="K490" s="62" t="n">
        <x:v>115.51023472693596</x:v>
      </x:c>
      <x:c r="L490" s="60" t="n">
        <x:v>22719979.006474745</x:v>
      </x:c>
      <x:c r="M490" s="62" t="n">
        <x:v>2.9155877311109033</x:v>
      </x:c>
      <x:c r="N490" s="62" t="n">
        <x:v>82.33561449378114</x:v>
      </x:c>
      <x:c r="O490" s="60" t="n">
        <x:v>16194785.139222672</x:v>
      </x:c>
      <x:c r="P490" s="60" t="n">
        <x:v>6525193.867252072</x:v>
      </x:c>
      <x:c r="Q490" s="62" t="n">
        <x:v>1.4029194466710457</x:v>
      </x:c>
      <x:c r="R490" s="64" t="n">
        <x:v>0.4029194466710457</x:v>
      </x:c>
    </x:row>
    <x:row r="491" ht="18" customHeight="1">
      <x:c r="A491" s="46" t="str">
        <x:v>LME_038</x:v>
      </x:c>
      <x:c r="B491" s="46" t="str">
        <x:v>Indonesian Sea</x:v>
      </x:c>
      <x:c r="C491" s="46" t="str">
        <x:v>commercial</x:v>
      </x:c>
      <x:c r="D491" s="46" t="str">
        <x:v>Flatfishes</x:v>
      </x:c>
      <x:c r="E491" s="66" t="n">
        <x:v>3</x:v>
      </x:c>
      <x:c r="F491" s="66" t="n">
        <x:v>3</x:v>
      </x:c>
      <x:c r="G491" s="60" t="n">
        <x:v>32.4174983669</x:v>
      </x:c>
      <x:c r="H491" s="60" t="n">
        <x:v>32.4174983669</x:v>
      </x:c>
      <x:c r="I491" s="62" t="n">
        <x:v>0</x:v>
      </x:c>
      <x:c r="J491" s="64" t="n">
        <x:v>1</x:v>
      </x:c>
      <x:c r="K491" s="62" t="n">
        <x:v>474.89129473164724</x:v>
      </x:c>
      <x:c r="L491" s="60" t="n">
        <x:v>15394.7877714182</x:v>
      </x:c>
      <x:c r="M491" s="62" t="n">
        <x:v>3.497153973387496</x:v>
      </x:c>
      <x:c r="N491" s="62" t="n">
        <x:v>314.16223172615605</x:v>
      </x:c>
      <x:c r="O491" s="60" t="n">
        <x:v>10184.353633924322</x:v>
      </x:c>
      <x:c r="P491" s="60" t="n">
        <x:v>5210.434137493878</x:v>
      </x:c>
      <x:c r="Q491" s="62" t="n">
        <x:v>1.5116116667569162</x:v>
      </x:c>
      <x:c r="R491" s="64" t="n">
        <x:v>0.511611666756916</x:v>
      </x:c>
    </x:row>
    <x:row r="492" ht="18" customHeight="1">
      <x:c r="A492" s="46" t="str">
        <x:v>LME_038</x:v>
      </x:c>
      <x:c r="B492" s="46" t="str">
        <x:v>Indonesian Sea</x:v>
      </x:c>
      <x:c r="C492" s="46" t="str">
        <x:v>commercial</x:v>
      </x:c>
      <x:c r="D492" s="46" t="str">
        <x:v>Herring-likes</x:v>
      </x:c>
      <x:c r="E492" s="66" t="n">
        <x:v>8</x:v>
      </x:c>
      <x:c r="F492" s="66" t="n">
        <x:v>8</x:v>
      </x:c>
      <x:c r="G492" s="60" t="n">
        <x:v>259663.43393970423</x:v>
      </x:c>
      <x:c r="H492" s="60" t="n">
        <x:v>259663.43393970423</x:v>
      </x:c>
      <x:c r="I492" s="62" t="n">
        <x:v>0</x:v>
      </x:c>
      <x:c r="J492" s="64" t="n">
        <x:v>1</x:v>
      </x:c>
      <x:c r="K492" s="62" t="n">
        <x:v>117.8851326505397</x:v>
      </x:c>
      <x:c r="L492" s="60" t="n">
        <x:v>30610458.354476687</x:v>
      </x:c>
      <x:c r="M492" s="62" t="n">
        <x:v>2.7354176251647835</x:v>
      </x:c>
      <x:c r="N492" s="62" t="n">
        <x:v>54.37729817611509</x:v>
      </x:c>
      <x:c r="O492" s="60" t="n">
        <x:v>14119795.97277326</x:v>
      </x:c>
      <x:c r="P492" s="60" t="n">
        <x:v>16490662.381703427</x:v>
      </x:c>
      <x:c r="Q492" s="62" t="n">
        <x:v>2.1679108121322597</x:v>
      </x:c>
      <x:c r="R492" s="64" t="n">
        <x:v>1.1679108121322597</x:v>
      </x:c>
    </x:row>
    <x:row r="493" ht="18" customHeight="1">
      <x:c r="A493" s="46" t="str">
        <x:v>LME_038</x:v>
      </x:c>
      <x:c r="B493" s="46" t="str">
        <x:v>Indonesian Sea</x:v>
      </x:c>
      <x:c r="C493" s="46" t="str">
        <x:v>commercial</x:v>
      </x:c>
      <x:c r="D493" s="46" t="str">
        <x:v>Molluscs</x:v>
      </x:c>
      <x:c r="E493" s="66" t="n">
        <x:v>3</x:v>
      </x:c>
      <x:c r="F493" s="66" t="n">
        <x:v>3</x:v>
      </x:c>
      <x:c r="G493" s="60" t="n">
        <x:v>43131.0947721268</x:v>
      </x:c>
      <x:c r="H493" s="60" t="n">
        <x:v>43131.0947721268</x:v>
      </x:c>
      <x:c r="I493" s="62" t="n">
        <x:v>0</x:v>
      </x:c>
      <x:c r="J493" s="64" t="n">
        <x:v>1</x:v>
      </x:c>
      <x:c r="K493" s="62" t="n">
        <x:v>11.842886152697295</x:v>
      </x:c>
      <x:c r="L493" s="60" t="n">
        <x:v>510796.6450274952</x:v>
      </x:c>
      <x:c r="M493" s="62" t="n">
        <x:v>2.0711744026948695</x:v>
      </x:c>
      <x:c r="N493" s="62" t="n">
        <x:v>11.780789680137902</x:v>
      </x:c>
      <x:c r="O493" s="60" t="n">
        <x:v>508118.3561845212</x:v>
      </x:c>
      <x:c r="P493" s="60" t="n">
        <x:v>2678.288842973998</x:v>
      </x:c>
      <x:c r="Q493" s="62" t="n">
        <x:v>1.0052709940713132</x:v>
      </x:c>
      <x:c r="R493" s="64" t="n">
        <x:v>0.005270994071313156</x:v>
      </x:c>
    </x:row>
    <x:row r="494" ht="18" customHeight="1">
      <x:c r="A494" s="46" t="str">
        <x:v>LME_038</x:v>
      </x:c>
      <x:c r="B494" s="46" t="str">
        <x:v>Indonesian Sea</x:v>
      </x:c>
      <x:c r="C494" s="46" t="str">
        <x:v>commercial</x:v>
      </x:c>
      <x:c r="D494" s="46" t="str">
        <x:v>Other fishes &amp; inverts</x:v>
      </x:c>
      <x:c r="E494" s="66" t="n">
        <x:v>27</x:v>
      </x:c>
      <x:c r="F494" s="66" t="n">
        <x:v>27</x:v>
      </x:c>
      <x:c r="G494" s="60" t="n">
        <x:v>771129.6258108524</x:v>
      </x:c>
      <x:c r="H494" s="60" t="n">
        <x:v>771129.6258108524</x:v>
      </x:c>
      <x:c r="I494" s="62" t="n">
        <x:v>0</x:v>
      </x:c>
      <x:c r="J494" s="64" t="n">
        <x:v>1</x:v>
      </x:c>
      <x:c r="K494" s="62" t="n">
        <x:v>208.0703800700039</x:v>
      </x:c>
      <x:c r="L494" s="60" t="n">
        <x:v>160449234.32570395</x:v>
      </x:c>
      <x:c r="M494" s="62" t="n">
        <x:v>3.3009039913918</x:v>
      </x:c>
      <x:c r="N494" s="62" t="n">
        <x:v>199.94198130529466</x:v>
      </x:c>
      <x:c r="O494" s="60" t="n">
        <x:v>154181185.22783232</x:v>
      </x:c>
      <x:c r="P494" s="60" t="n">
        <x:v>6268049.097871631</x:v>
      </x:c>
      <x:c r="Q494" s="62" t="n">
        <x:v>1.0406537872218935</x:v>
      </x:c>
      <x:c r="R494" s="64" t="n">
        <x:v>0.04065378722189342</x:v>
      </x:c>
    </x:row>
    <x:row r="495" ht="18" customHeight="1">
      <x:c r="A495" s="46" t="str">
        <x:v>LME_038</x:v>
      </x:c>
      <x:c r="B495" s="46" t="str">
        <x:v>Indonesian Sea</x:v>
      </x:c>
      <x:c r="C495" s="46" t="str">
        <x:v>commercial</x:v>
      </x:c>
      <x:c r="D495" s="46" t="str">
        <x:v>Perch-likes</x:v>
      </x:c>
      <x:c r="E495" s="66" t="n">
        <x:v>53</x:v>
      </x:c>
      <x:c r="F495" s="66" t="n">
        <x:v>53</x:v>
      </x:c>
      <x:c r="G495" s="60" t="n">
        <x:v>1381863.1542589585</x:v>
      </x:c>
      <x:c r="H495" s="60" t="n">
        <x:v>1381863.1542589585</x:v>
      </x:c>
      <x:c r="I495" s="62" t="n">
        <x:v>0</x:v>
      </x:c>
      <x:c r="J495" s="64" t="n">
        <x:v>1</x:v>
      </x:c>
      <x:c r="K495" s="62" t="n">
        <x:v>832.6737299297712</x:v>
      </x:c>
      <x:c r="L495" s="60" t="n">
        <x:v>1150641146.9093258</x:v>
      </x:c>
      <x:c r="M495" s="62" t="n">
        <x:v>3.6478454410074685</x:v>
      </x:c>
      <x:c r="N495" s="62" t="n">
        <x:v>444.47305792113673</x:v>
      </x:c>
      <x:c r="O495" s="60" t="n">
        <x:v>614200941.8020267</x:v>
      </x:c>
      <x:c r="P495" s="60" t="n">
        <x:v>536440205.1072991</x:v>
      </x:c>
      <x:c r="Q495" s="62" t="n">
        <x:v>1.873395282549417</x:v>
      </x:c>
      <x:c r="R495" s="64" t="n">
        <x:v>0.8733952825494169</x:v>
      </x:c>
    </x:row>
    <x:row r="496" ht="18" customHeight="1">
      <x:c r="A496" s="46" t="str">
        <x:v>LME_038</x:v>
      </x:c>
      <x:c r="B496" s="46" t="str">
        <x:v>Indonesian Sea</x:v>
      </x:c>
      <x:c r="C496" s="46" t="str">
        <x:v>commercial</x:v>
      </x:c>
      <x:c r="D496" s="46" t="str">
        <x:v>Scorpionfishes</x:v>
      </x:c>
      <x:c r="E496" s="66" t="n">
        <x:v>1</x:v>
      </x:c>
      <x:c r="F496" s="66" t="n">
        <x:v>1</x:v>
      </x:c>
      <x:c r="G496" s="60" t="n">
        <x:v>688.9524313477</x:v>
      </x:c>
      <x:c r="H496" s="60" t="n">
        <x:v>688.9524313477</x:v>
      </x:c>
      <x:c r="I496" s="62" t="n">
        <x:v>0</x:v>
      </x:c>
      <x:c r="J496" s="64" t="n">
        <x:v>1</x:v>
      </x:c>
      <x:c r="K496" s="62" t="n">
        <x:v>794.3282347242812</x:v>
      </x:c>
      <x:c r="L496" s="60" t="n">
        <x:v>547254.3686014201</x:v>
      </x:c>
      <x:c r="M496" s="62" t="n">
        <x:v>3.8999999999999995</x:v>
      </x:c>
      <x:c r="N496" s="62" t="n">
        <x:v>794.3282347242805</x:v>
      </x:c>
      <x:c r="O496" s="60" t="n">
        <x:v>547254.3686014196</x:v>
      </x:c>
      <x:c r="P496" s="60" t="n">
        <x:v>4.656612873077393e-10</x:v>
      </x:c>
      <x:c r="Q496" s="62" t="n">
        <x:v>1.0000000000000009</x:v>
      </x:c>
      <x:c r="R496" s="64" t="n">
        <x:v>8.509046506066234e-16</x:v>
      </x:c>
    </x:row>
    <x:row r="497" ht="18" customHeight="1">
      <x:c r="A497" s="46" t="str">
        <x:v>LME_038</x:v>
      </x:c>
      <x:c r="B497" s="46" t="str">
        <x:v>Indonesian Sea</x:v>
      </x:c>
      <x:c r="C497" s="46" t="str">
        <x:v>commercial</x:v>
      </x:c>
      <x:c r="D497" s="46" t="str">
        <x:v>Sharks &amp; rays</x:v>
      </x:c>
      <x:c r="E497" s="66" t="n">
        <x:v>11</x:v>
      </x:c>
      <x:c r="F497" s="66" t="n">
        <x:v>11</x:v>
      </x:c>
      <x:c r="G497" s="60" t="n">
        <x:v>19674.054461119704</x:v>
      </x:c>
      <x:c r="H497" s="60" t="n">
        <x:v>19674.054461119704</x:v>
      </x:c>
      <x:c r="I497" s="62" t="n">
        <x:v>0</x:v>
      </x:c>
      <x:c r="J497" s="64" t="n">
        <x:v>1</x:v>
      </x:c>
      <x:c r="K497" s="62" t="n">
        <x:v>1740.4852764564139</x:v>
      </x:c>
      <x:c r="L497" s="60" t="n">
        <x:v>34242402.11778047</x:v>
      </x:c>
      <x:c r="M497" s="62" t="n">
        <x:v>4.2342217192978335</x:v>
      </x:c>
      <x:c r="N497" s="62" t="n">
        <x:v>1714.8325533330105</x:v>
      </x:c>
      <x:c r="O497" s="60" t="n">
        <x:v>33737709.045974605</x:v>
      </x:c>
      <x:c r="P497" s="60" t="n">
        <x:v>504693.0718058646</x:v>
      </x:c>
      <x:c r="Q497" s="62" t="n">
        <x:v>1.0149593166245554</x:v>
      </x:c>
      <x:c r="R497" s="64" t="n">
        <x:v>0.014959316624555505</x:v>
      </x:c>
    </x:row>
    <x:row r="498" ht="18" customHeight="1">
      <x:c r="A498" s="46" t="str">
        <x:v>LME_038</x:v>
      </x:c>
      <x:c r="B498" s="46" t="str">
        <x:v>Indonesian Sea</x:v>
      </x:c>
      <x:c r="C498" s="46" t="str">
        <x:v>commercial</x:v>
      </x:c>
      <x:c r="D498" s="46" t="str">
        <x:v>Tuna &amp; billfishes</x:v>
      </x:c>
      <x:c r="E498" s="66" t="n">
        <x:v>16</x:v>
      </x:c>
      <x:c r="F498" s="66" t="n">
        <x:v>16</x:v>
      </x:c>
      <x:c r="G498" s="60" t="n">
        <x:v>102388.39070227002</x:v>
      </x:c>
      <x:c r="H498" s="60" t="n">
        <x:v>102388.39070227002</x:v>
      </x:c>
      <x:c r="I498" s="62" t="n">
        <x:v>0</x:v>
      </x:c>
      <x:c r="J498" s="64" t="n">
        <x:v>1</x:v>
      </x:c>
      <x:c r="K498" s="62" t="n">
        <x:v>2432.362920669899</x:v>
      </x:c>
      <x:c r="L498" s="60" t="n">
        <x:v>249045725.0512642</x:v>
      </x:c>
      <x:c r="M498" s="62" t="n">
        <x:v>4.384457906168813</x:v>
      </x:c>
      <x:c r="N498" s="62" t="n">
        <x:v>2423.58304828437</x:v>
      </x:c>
      <x:c r="O498" s="60" t="n">
        <x:v>248146768.0471386</x:v>
      </x:c>
      <x:c r="P498" s="60" t="n">
        <x:v>898957.0041255951</x:v>
      </x:c>
      <x:c r="Q498" s="62" t="n">
        <x:v>1.003622682701855</x:v>
      </x:c>
      <x:c r="R498" s="64" t="n">
        <x:v>0.003622682701855004</x:v>
      </x:c>
    </x:row>
    <x:row r="499" ht="18" customHeight="1">
      <x:c r="A499" s="46" t="str">
        <x:v>LME_039</x:v>
      </x:c>
      <x:c r="B499" s="46" t="str">
        <x:v>North Australian Shelf</x:v>
      </x:c>
      <x:c r="C499" s="46" t="str">
        <x:v>commercial</x:v>
      </x:c>
      <x:c r="D499" s="46" t="str">
        <x:v>Anchovies</x:v>
      </x:c>
      <x:c r="E499" s="66" t="n">
        <x:v>3</x:v>
      </x:c>
      <x:c r="F499" s="66" t="n">
        <x:v>3</x:v>
      </x:c>
      <x:c r="G499" s="60" t="n">
        <x:v>162.3237991113</x:v>
      </x:c>
      <x:c r="H499" s="60" t="n">
        <x:v>162.3237991113</x:v>
      </x:c>
      <x:c r="I499" s="62" t="n">
        <x:v>0</x:v>
      </x:c>
      <x:c r="J499" s="64" t="n">
        <x:v>1</x:v>
      </x:c>
      <x:c r="K499" s="62" t="n">
        <x:v>207.97794107317776</x:v>
      </x:c>
      <x:c r="L499" s="60" t="n">
        <x:v>33759.769526344295</x:v>
      </x:c>
      <x:c r="M499" s="62" t="n">
        <x:v>3.3015184389741647</x:v>
      </x:c>
      <x:c r="N499" s="62" t="n">
        <x:v>200.2250629954185</x:v>
      </x:c>
      <x:c r="O499" s="60" t="n">
        <x:v>32501.2929027157</x:v>
      </x:c>
      <x:c r="P499" s="60" t="n">
        <x:v>1258.476623628594</x:v>
      </x:c>
      <x:c r="Q499" s="62" t="n">
        <x:v>1.0387208172731934</x:v>
      </x:c>
      <x:c r="R499" s="64" t="n">
        <x:v>0.03872081727319346</x:v>
      </x:c>
    </x:row>
    <x:row r="500" ht="18" customHeight="1">
      <x:c r="A500" s="46" t="str">
        <x:v>LME_039</x:v>
      </x:c>
      <x:c r="B500" s="46" t="str">
        <x:v>North Australian Shelf</x:v>
      </x:c>
      <x:c r="C500" s="46" t="str">
        <x:v>commercial</x:v>
      </x:c>
      <x:c r="D500" s="46" t="str">
        <x:v>Cod-likes</x:v>
      </x:c>
      <x:c r="E500" s="66" t="n">
        <x:v>3</x:v>
      </x:c>
      <x:c r="F500" s="66" t="n">
        <x:v>3</x:v>
      </x:c>
      <x:c r="G500" s="60" t="n">
        <x:v>0.0029815033999999996</x:v>
      </x:c>
      <x:c r="H500" s="60" t="n">
        <x:v>0.0029815033999999996</x:v>
      </x:c>
      <x:c r="I500" s="62" t="n">
        <x:v>0</x:v>
      </x:c>
      <x:c r="J500" s="64" t="n">
        <x:v>1</x:v>
      </x:c>
      <x:c r="K500" s="62" t="n">
        <x:v>749.0036393459255</x:v>
      </x:c>
      <x:c r="L500" s="60" t="n">
        <x:v>2.2331568973222504</x:v>
      </x:c>
      <x:c r="M500" s="62" t="n">
        <x:v>3.874301112988837</x:v>
      </x:c>
      <x:c r="N500" s="62" t="n">
        <x:v>748.6884149361701</x:v>
      </x:c>
      <x:c r="O500" s="60" t="n">
        <x:v>2.2322170546728017</x:v>
      </x:c>
      <x:c r="P500" s="60" t="n">
        <x:v>0.0009398426494486856</x:v>
      </x:c>
      <x:c r="Q500" s="62" t="n">
        <x:v>1.0004210355115248</x:v>
      </x:c>
      <x:c r="R500" s="64" t="n">
        <x:v>0.0004210355115248627</x:v>
      </x:c>
    </x:row>
    <x:row r="501" ht="18" customHeight="1">
      <x:c r="A501" s="46" t="str">
        <x:v>LME_039</x:v>
      </x:c>
      <x:c r="B501" s="46" t="str">
        <x:v>North Australian Shelf</x:v>
      </x:c>
      <x:c r="C501" s="46" t="str">
        <x:v>commercial</x:v>
      </x:c>
      <x:c r="D501" s="46" t="str">
        <x:v>Crustaceans</x:v>
      </x:c>
      <x:c r="E501" s="66" t="n">
        <x:v>34</x:v>
      </x:c>
      <x:c r="F501" s="66" t="n">
        <x:v>34</x:v>
      </x:c>
      <x:c r="G501" s="60" t="n">
        <x:v>9562.6943585574</x:v>
      </x:c>
      <x:c r="H501" s="60" t="n">
        <x:v>9562.6943585574</x:v>
      </x:c>
      <x:c r="I501" s="62" t="n">
        <x:v>0</x:v>
      </x:c>
      <x:c r="J501" s="64" t="n">
        <x:v>1</x:v>
      </x:c>
      <x:c r="K501" s="62" t="n">
        <x:v>186.5362436829022</x:v>
      </x:c>
      <x:c r="L501" s="60" t="n">
        <x:v>1783789.0851329775</x:v>
      </x:c>
      <x:c r="M501" s="62" t="n">
        <x:v>3.1152629416158146</x:v>
      </x:c>
      <x:c r="N501" s="62" t="n">
        <x:v>130.3956013737607</x:v>
      </x:c>
      <x:c r="O501" s="60" t="n">
        <x:v>1246933.2816375613</x:v>
      </x:c>
      <x:c r="P501" s="60" t="n">
        <x:v>536855.8034954162</x:v>
      </x:c>
      <x:c r="Q501" s="62" t="n">
        <x:v>1.43054092099489</x:v>
      </x:c>
      <x:c r="R501" s="64" t="n">
        <x:v>0.43054092099489</x:v>
      </x:c>
    </x:row>
    <x:row r="502" ht="18" customHeight="1">
      <x:c r="A502" s="46" t="str">
        <x:v>LME_039</x:v>
      </x:c>
      <x:c r="B502" s="46" t="str">
        <x:v>North Australian Shelf</x:v>
      </x:c>
      <x:c r="C502" s="46" t="str">
        <x:v>commercial</x:v>
      </x:c>
      <x:c r="D502" s="46" t="str">
        <x:v>Flatfishes</x:v>
      </x:c>
      <x:c r="E502" s="66" t="n">
        <x:v>6</x:v>
      </x:c>
      <x:c r="F502" s="66" t="n">
        <x:v>6</x:v>
      </x:c>
      <x:c r="G502" s="60" t="n">
        <x:v>89.0071116168</x:v>
      </x:c>
      <x:c r="H502" s="60" t="n">
        <x:v>89.0071116168</x:v>
      </x:c>
      <x:c r="I502" s="62" t="n">
        <x:v>0</x:v>
      </x:c>
      <x:c r="J502" s="64" t="n">
        <x:v>1</x:v>
      </x:c>
      <x:c r="K502" s="62" t="n">
        <x:v>602.2314771798999</x:v>
      </x:c>
      <x:c r="L502" s="60" t="n">
        <x:v>53602.88430850169</x:v>
      </x:c>
      <x:c r="M502" s="62" t="n">
        <x:v>3.764498878083259</x:v>
      </x:c>
      <x:c r="N502" s="62" t="n">
        <x:v>581.4319302883064</x:v>
      </x:c>
      <x:c r="O502" s="60" t="n">
        <x:v>51751.57671674276</x:v>
      </x:c>
      <x:c r="P502" s="60" t="n">
        <x:v>1851.3075917589304</x:v>
      </x:c>
      <x:c r="Q502" s="62" t="n">
        <x:v>1.03577296981485</x:v>
      </x:c>
      <x:c r="R502" s="64" t="n">
        <x:v>0.03577296981484995</x:v>
      </x:c>
    </x:row>
    <x:row r="503" ht="18" customHeight="1">
      <x:c r="A503" s="46" t="str">
        <x:v>LME_039</x:v>
      </x:c>
      <x:c r="B503" s="46" t="str">
        <x:v>North Australian Shelf</x:v>
      </x:c>
      <x:c r="C503" s="46" t="str">
        <x:v>commercial</x:v>
      </x:c>
      <x:c r="D503" s="46" t="str">
        <x:v>Herring-likes</x:v>
      </x:c>
      <x:c r="E503" s="66" t="n">
        <x:v>11</x:v>
      </x:c>
      <x:c r="F503" s="66" t="n">
        <x:v>11</x:v>
      </x:c>
      <x:c r="G503" s="60" t="n">
        <x:v>8126.3838744744</x:v>
      </x:c>
      <x:c r="H503" s="60" t="n">
        <x:v>8126.3838744744</x:v>
      </x:c>
      <x:c r="I503" s="62" t="n">
        <x:v>0</x:v>
      </x:c>
      <x:c r="J503" s="64" t="n">
        <x:v>1</x:v>
      </x:c>
      <x:c r="K503" s="62" t="n">
        <x:v>73.64125036399398</x:v>
      </x:c>
      <x:c r="L503" s="60" t="n">
        <x:v>598437.0694540926</x:v>
      </x:c>
      <x:c r="M503" s="62" t="n">
        <x:v>2.845612895134718</x:v>
      </x:c>
      <x:c r="N503" s="62" t="n">
        <x:v>70.08303404939342</x:v>
      </x:c>
      <x:c r="O503" s="60" t="n">
        <x:v>569521.637773231</x:v>
      </x:c>
      <x:c r="P503" s="60" t="n">
        <x:v>28915.431680861628</x:v>
      </x:c>
      <x:c r="Q503" s="62" t="n">
        <x:v>1.0507714365233214</x:v>
      </x:c>
      <x:c r="R503" s="64" t="n">
        <x:v>0.050771436523321375</x:v>
      </x:c>
    </x:row>
    <x:row r="504" ht="18" customHeight="1">
      <x:c r="A504" s="46" t="str">
        <x:v>LME_039</x:v>
      </x:c>
      <x:c r="B504" s="46" t="str">
        <x:v>North Australian Shelf</x:v>
      </x:c>
      <x:c r="C504" s="46" t="str">
        <x:v>commercial</x:v>
      </x:c>
      <x:c r="D504" s="46" t="str">
        <x:v>Molluscs</x:v>
      </x:c>
      <x:c r="E504" s="66" t="n">
        <x:v>17</x:v>
      </x:c>
      <x:c r="F504" s="66" t="n">
        <x:v>17</x:v>
      </x:c>
      <x:c r="G504" s="60" t="n">
        <x:v>536.0909585622</x:v>
      </x:c>
      <x:c r="H504" s="60" t="n">
        <x:v>536.0909585622</x:v>
      </x:c>
      <x:c r="I504" s="62" t="n">
        <x:v>0</x:v>
      </x:c>
      <x:c r="J504" s="64" t="n">
        <x:v>1</x:v>
      </x:c>
      <x:c r="K504" s="62" t="n">
        <x:v>10.905095334418055</x:v>
      </x:c>
      <x:c r="L504" s="60" t="n">
        <x:v>5846.123011040349</x:v>
      </x:c>
      <x:c r="M504" s="62" t="n">
        <x:v>2.0182409552191425</x:v>
      </x:c>
      <x:c r="N504" s="62" t="n">
        <x:v>10.428958882961574</x:v>
      </x:c>
      <x:c r="O504" s="60" t="n">
        <x:v>5590.87056437264</x:v>
      </x:c>
      <x:c r="P504" s="60" t="n">
        <x:v>255.2524466677096</x:v>
      </x:c>
      <x:c r="Q504" s="62" t="n">
        <x:v>1.0456552237668109</x:v>
      </x:c>
      <x:c r="R504" s="64" t="n">
        <x:v>0.04565522376681097</x:v>
      </x:c>
    </x:row>
    <x:row r="505" ht="18" customHeight="1">
      <x:c r="A505" s="46" t="str">
        <x:v>LME_039</x:v>
      </x:c>
      <x:c r="B505" s="46" t="str">
        <x:v>North Australian Shelf</x:v>
      </x:c>
      <x:c r="C505" s="46" t="str">
        <x:v>commercial</x:v>
      </x:c>
      <x:c r="D505" s="46" t="str">
        <x:v>Other fishes &amp; inverts</x:v>
      </x:c>
      <x:c r="E505" s="66" t="n">
        <x:v>66</x:v>
      </x:c>
      <x:c r="F505" s="66" t="n">
        <x:v>66</x:v>
      </x:c>
      <x:c r="G505" s="60" t="n">
        <x:v>5789.581704746001</x:v>
      </x:c>
      <x:c r="H505" s="60" t="n">
        <x:v>5789.581704746001</x:v>
      </x:c>
      <x:c r="I505" s="62" t="n">
        <x:v>0</x:v>
      </x:c>
      <x:c r="J505" s="64" t="n">
        <x:v>1</x:v>
      </x:c>
      <x:c r="K505" s="62" t="n">
        <x:v>402.30954233475836</x:v>
      </x:c>
      <x:c r="L505" s="60" t="n">
        <x:v>2329203.965946054</x:v>
      </x:c>
      <x:c r="M505" s="62" t="n">
        <x:v>3.4043282859095334</x:v>
      </x:c>
      <x:c r="N505" s="62" t="n">
        <x:v>253.70456745142727</x:v>
      </x:c>
      <x:c r="O505" s="60" t="n">
        <x:v>1468843.3221272812</x:v>
      </x:c>
      <x:c r="P505" s="60" t="n">
        <x:v>860360.6438187729</x:v>
      </x:c>
      <x:c r="Q505" s="62" t="n">
        <x:v>1.585740242582673</x:v>
      </x:c>
      <x:c r="R505" s="64" t="n">
        <x:v>0.5857402425826729</x:v>
      </x:c>
    </x:row>
    <x:row r="506" ht="18" customHeight="1">
      <x:c r="A506" s="46" t="str">
        <x:v>LME_039</x:v>
      </x:c>
      <x:c r="B506" s="46" t="str">
        <x:v>North Australian Shelf</x:v>
      </x:c>
      <x:c r="C506" s="46" t="str">
        <x:v>commercial</x:v>
      </x:c>
      <x:c r="D506" s="46" t="str">
        <x:v>Perch-likes</x:v>
      </x:c>
      <x:c r="E506" s="66" t="n">
        <x:v>235</x:v>
      </x:c>
      <x:c r="F506" s="66" t="n">
        <x:v>235</x:v>
      </x:c>
      <x:c r="G506" s="60" t="n">
        <x:v>17993.354565951</x:v>
      </x:c>
      <x:c r="H506" s="60" t="n">
        <x:v>17993.354565951</x:v>
      </x:c>
      <x:c r="I506" s="62" t="n">
        <x:v>0</x:v>
      </x:c>
      <x:c r="J506" s="64" t="n">
        <x:v>1</x:v>
      </x:c>
      <x:c r="K506" s="62" t="n">
        <x:v>1367.706411041412</x:v>
      </x:c>
      <x:c r="L506" s="60" t="n">
        <x:v>24609626.395992443</x:v>
      </x:c>
      <x:c r="M506" s="62" t="n">
        <x:v>3.915804505699747</x:v>
      </x:c>
      <x:c r="N506" s="62" t="n">
        <x:v>823.7672191023239</x:v>
      </x:c>
      <x:c r="O506" s="60" t="n">
        <x:v>14822335.653115556</x:v>
      </x:c>
      <x:c r="P506" s="60" t="n">
        <x:v>9787290.742876887</x:v>
      </x:c>
      <x:c r="Q506" s="62" t="n">
        <x:v>1.6603069159899684</x:v>
      </x:c>
      <x:c r="R506" s="64" t="n">
        <x:v>0.6603069159899685</x:v>
      </x:c>
    </x:row>
    <x:row r="507" ht="18" customHeight="1">
      <x:c r="A507" s="46" t="str">
        <x:v>LME_039</x:v>
      </x:c>
      <x:c r="B507" s="46" t="str">
        <x:v>North Australian Shelf</x:v>
      </x:c>
      <x:c r="C507" s="46" t="str">
        <x:v>commercial</x:v>
      </x:c>
      <x:c r="D507" s="46" t="str">
        <x:v>Scorpionfishes</x:v>
      </x:c>
      <x:c r="E507" s="66" t="n">
        <x:v>7</x:v>
      </x:c>
      <x:c r="F507" s="66" t="n">
        <x:v>7</x:v>
      </x:c>
      <x:c r="G507" s="60" t="n">
        <x:v>1787.1674925151995</x:v>
      </x:c>
      <x:c r="H507" s="60" t="n">
        <x:v>1787.1674925151995</x:v>
      </x:c>
      <x:c r="I507" s="62" t="n">
        <x:v>0</x:v>
      </x:c>
      <x:c r="J507" s="64" t="n">
        <x:v>1</x:v>
      </x:c>
      <x:c r="K507" s="62" t="n">
        <x:v>794.3612197334073</x:v>
      </x:c>
      <x:c r="L507" s="60" t="n">
        <x:v>1419656.5492222689</x:v>
      </x:c>
      <x:c r="M507" s="62" t="n">
        <x:v>3.900004567776379</x:v>
      </x:c>
      <x:c r="N507" s="62" t="n">
        <x:v>794.3365892693646</x:v>
      </x:c>
      <x:c r="O507" s="60" t="n">
        <x:v>1419612.5304576063</x:v>
      </x:c>
      <x:c r="P507" s="60" t="n">
        <x:v>44.01876466255635</x:v>
      </x:c>
      <x:c r="Q507" s="62" t="n">
        <x:v>1.0000310075909575</x:v>
      </x:c>
      <x:c r="R507" s="64" t="n">
        <x:v>0.000031007590957489707</x:v>
      </x:c>
    </x:row>
    <x:row r="508" ht="18" customHeight="1">
      <x:c r="A508" s="46" t="str">
        <x:v>LME_039</x:v>
      </x:c>
      <x:c r="B508" s="46" t="str">
        <x:v>North Australian Shelf</x:v>
      </x:c>
      <x:c r="C508" s="46" t="str">
        <x:v>commercial</x:v>
      </x:c>
      <x:c r="D508" s="46" t="str">
        <x:v>Sharks &amp; rays</x:v>
      </x:c>
      <x:c r="E508" s="66" t="n">
        <x:v>53</x:v>
      </x:c>
      <x:c r="F508" s="66" t="n">
        <x:v>53</x:v>
      </x:c>
      <x:c r="G508" s="60" t="n">
        <x:v>371.03246496730003</x:v>
      </x:c>
      <x:c r="H508" s="60" t="n">
        <x:v>371.03246496730003</x:v>
      </x:c>
      <x:c r="I508" s="62" t="n">
        <x:v>0</x:v>
      </x:c>
      <x:c r="J508" s="64" t="n">
        <x:v>1</x:v>
      </x:c>
      <x:c r="K508" s="62" t="n">
        <x:v>1796.9272306719545</x:v>
      </x:c>
      <x:c r="L508" s="60" t="n">
        <x:v>666718.3397630794</x:v>
      </x:c>
      <x:c r="M508" s="62" t="n">
        <x:v>4.195390814591317</x:v>
      </x:c>
      <x:c r="N508" s="62" t="n">
        <x:v>1568.161598657131</x:v>
      </x:c>
      <x:c r="O508" s="60" t="n">
        <x:v>581838.8634168172</x:v>
      </x:c>
      <x:c r="P508" s="60" t="n">
        <x:v>84879.47634626226</x:v>
      </x:c>
      <x:c r="Q508" s="62" t="n">
        <x:v>1.1458814143967835</x:v>
      </x:c>
      <x:c r="R508" s="64" t="n">
        <x:v>0.1458814143967836</x:v>
      </x:c>
    </x:row>
    <x:row r="509" ht="18" customHeight="1">
      <x:c r="A509" s="46" t="str">
        <x:v>LME_039</x:v>
      </x:c>
      <x:c r="B509" s="46" t="str">
        <x:v>North Australian Shelf</x:v>
      </x:c>
      <x:c r="C509" s="46" t="str">
        <x:v>commercial</x:v>
      </x:c>
      <x:c r="D509" s="46" t="str">
        <x:v>Tuna &amp; billfishes</x:v>
      </x:c>
      <x:c r="E509" s="66" t="n">
        <x:v>17</x:v>
      </x:c>
      <x:c r="F509" s="66" t="n">
        <x:v>17</x:v>
      </x:c>
      <x:c r="G509" s="60" t="n">
        <x:v>454.80512832889985</x:v>
      </x:c>
      <x:c r="H509" s="60" t="n">
        <x:v>454.80512832889985</x:v>
      </x:c>
      <x:c r="I509" s="62" t="n">
        <x:v>0</x:v>
      </x:c>
      <x:c r="J509" s="64" t="n">
        <x:v>1</x:v>
      </x:c>
      <x:c r="K509" s="62" t="n">
        <x:v>2439.0153423601087</x:v>
      </x:c>
      <x:c r="L509" s="60" t="n">
        <x:v>1109276.6857782449</x:v>
      </x:c>
      <x:c r="M509" s="62" t="n">
        <x:v>4.386440457492074</x:v>
      </x:c>
      <x:c r="N509" s="62" t="n">
        <x:v>2434.671979423093</x:v>
      </x:c>
      <x:c r="O509" s="60" t="n">
        <x:v>1107301.3020402964</x:v>
      </x:c>
      <x:c r="P509" s="60" t="n">
        <x:v>1975.3837379484903</x:v>
      </x:c>
      <x:c r="Q509" s="62" t="n">
        <x:v>1.0017839622642082</x:v>
      </x:c>
      <x:c r="R509" s="64" t="n">
        <x:v>0.0017839622642081957</x:v>
      </x:c>
    </x:row>
    <x:row r="510" ht="18" customHeight="1">
      <x:c r="A510" s="46" t="str">
        <x:v>LME_040</x:v>
      </x:c>
      <x:c r="B510" s="46" t="str">
        <x:v>Northeast Australian Shelf-Great Barrier Reef</x:v>
      </x:c>
      <x:c r="C510" s="46" t="str">
        <x:v>commercial</x:v>
      </x:c>
      <x:c r="D510" s="46" t="str">
        <x:v>Anchovies</x:v>
      </x:c>
      <x:c r="E510" s="66" t="n">
        <x:v>2</x:v>
      </x:c>
      <x:c r="F510" s="66" t="n">
        <x:v>2</x:v>
      </x:c>
      <x:c r="G510" s="60" t="n">
        <x:v>100.3644261542</x:v>
      </x:c>
      <x:c r="H510" s="60" t="n">
        <x:v>100.3644261542</x:v>
      </x:c>
      <x:c r="I510" s="62" t="n">
        <x:v>0</x:v>
      </x:c>
      <x:c r="J510" s="64" t="n">
        <x:v>1</x:v>
      </x:c>
      <x:c r="K510" s="62" t="n">
        <x:v>158.6662019548588</x:v>
      </x:c>
      <x:c r="L510" s="60" t="n">
        <x:v>15924.442309265809</x:v>
      </x:c>
      <x:c r="M510" s="62" t="n">
        <x:v>3.200299208472342</x:v>
      </x:c>
      <x:c r="N510" s="62" t="n">
        <x:v>158.59854855562796</x:v>
      </x:c>
      <x:c r="O510" s="60" t="n">
        <x:v>15917.652314674626</x:v>
      </x:c>
      <x:c r="P510" s="60" t="n">
        <x:v>6.789994591183131</x:v>
      </x:c>
      <x:c r="Q510" s="62" t="n">
        <x:v>1.0004265701032384</x:v>
      </x:c>
      <x:c r="R510" s="64" t="n">
        <x:v>0.0004265701032383635</x:v>
      </x:c>
    </x:row>
    <x:row r="511" ht="18" customHeight="1">
      <x:c r="A511" s="46" t="str">
        <x:v>LME_040</x:v>
      </x:c>
      <x:c r="B511" s="46" t="str">
        <x:v>Northeast Australian Shelf-Great Barrier Reef</x:v>
      </x:c>
      <x:c r="C511" s="46" t="str">
        <x:v>commercial</x:v>
      </x:c>
      <x:c r="D511" s="46" t="str">
        <x:v>Cod-likes</x:v>
      </x:c>
      <x:c r="E511" s="66" t="n">
        <x:v>2</x:v>
      </x:c>
      <x:c r="F511" s="66" t="n">
        <x:v>2</x:v>
      </x:c>
      <x:c r="G511" s="60" t="n">
        <x:v>0.34639648</x:v>
      </x:c>
      <x:c r="H511" s="60" t="n">
        <x:v>0.34639648</x:v>
      </x:c>
      <x:c r="I511" s="62" t="n">
        <x:v>0</x:v>
      </x:c>
      <x:c r="J511" s="64" t="n">
        <x:v>1</x:v>
      </x:c>
      <x:c r="K511" s="62" t="n">
        <x:v>801.6912804002775</x:v>
      </x:c>
      <x:c r="L511" s="60" t="n">
        <x:v>277.7030375773491</x:v>
      </x:c>
      <x:c r="M511" s="62" t="n">
        <x:v>3.903770026312046</x:v>
      </x:c>
      <x:c r="N511" s="62" t="n">
        <x:v>801.253659985484</x:v>
      </x:c>
      <x:c r="O511" s="60" t="n">
        <x:v>277.5514474060885</x:v>
      </x:c>
      <x:c r="P511" s="60" t="n">
        <x:v>0.1515901712605796</x:v>
      </x:c>
      <x:c r="Q511" s="62" t="n">
        <x:v>1.000546169629729</x:v>
      </x:c>
      <x:c r="R511" s="64" t="n">
        <x:v>0.0005461696297291737</x:v>
      </x:c>
    </x:row>
    <x:row r="512" ht="18" customHeight="1">
      <x:c r="A512" s="46" t="str">
        <x:v>LME_040</x:v>
      </x:c>
      <x:c r="B512" s="46" t="str">
        <x:v>Northeast Australian Shelf-Great Barrier Reef</x:v>
      </x:c>
      <x:c r="C512" s="46" t="str">
        <x:v>commercial</x:v>
      </x:c>
      <x:c r="D512" s="46" t="str">
        <x:v>Crustaceans</x:v>
      </x:c>
      <x:c r="E512" s="66" t="n">
        <x:v>28</x:v>
      </x:c>
      <x:c r="F512" s="66" t="n">
        <x:v>28</x:v>
      </x:c>
      <x:c r="G512" s="60" t="n">
        <x:v>5654.4760225532</x:v>
      </x:c>
      <x:c r="H512" s="60" t="n">
        <x:v>5654.4760225532</x:v>
      </x:c>
      <x:c r="I512" s="62" t="n">
        <x:v>0</x:v>
      </x:c>
      <x:c r="J512" s="64" t="n">
        <x:v>1</x:v>
      </x:c>
      <x:c r="K512" s="62" t="n">
        <x:v>288.0524398867901</x:v>
      </x:c>
      <x:c r="L512" s="60" t="n">
        <x:v>1628785.614577802</x:v>
      </x:c>
      <x:c r="M512" s="62" t="n">
        <x:v>3.3378967073109655</x:v>
      </x:c>
      <x:c r="N512" s="62" t="n">
        <x:v>217.71918870017453</x:v>
      </x:c>
      <x:c r="O512" s="60" t="n">
        <x:v>1231087.9321548725</x:v>
      </x:c>
      <x:c r="P512" s="60" t="n">
        <x:v>397697.68242292944</x:v>
      </x:c>
      <x:c r="Q512" s="62" t="n">
        <x:v>1.3230457159358284</x:v>
      </x:c>
      <x:c r="R512" s="64" t="n">
        <x:v>0.3230457159358285</x:v>
      </x:c>
    </x:row>
    <x:row r="513" ht="18" customHeight="1">
      <x:c r="A513" s="46" t="str">
        <x:v>LME_040</x:v>
      </x:c>
      <x:c r="B513" s="46" t="str">
        <x:v>Northeast Australian Shelf-Great Barrier Reef</x:v>
      </x:c>
      <x:c r="C513" s="46" t="str">
        <x:v>commercial</x:v>
      </x:c>
      <x:c r="D513" s="46" t="str">
        <x:v>Flatfishes</x:v>
      </x:c>
      <x:c r="E513" s="66" t="n">
        <x:v>4</x:v>
      </x:c>
      <x:c r="F513" s="66" t="n">
        <x:v>4</x:v>
      </x:c>
      <x:c r="G513" s="60" t="n">
        <x:v>31.9597582211</x:v>
      </x:c>
      <x:c r="H513" s="60" t="n">
        <x:v>31.9597582211</x:v>
      </x:c>
      <x:c r="I513" s="62" t="n">
        <x:v>0</x:v>
      </x:c>
      <x:c r="J513" s="64" t="n">
        <x:v>1</x:v>
      </x:c>
      <x:c r="K513" s="62" t="n">
        <x:v>587.1585512585968</x:v>
      </x:c>
      <x:c r="L513" s="60" t="n">
        <x:v>18765.445335676108</x:v>
      </x:c>
      <x:c r="M513" s="62" t="n">
        <x:v>3.762931427283988</x:v>
      </x:c>
      <x:c r="N513" s="62" t="n">
        <x:v>579.3372150370443</x:v>
      </x:c>
      <x:c r="O513" s="60" t="n">
        <x:v>18515.477321069357</x:v>
      </x:c>
      <x:c r="P513" s="60" t="n">
        <x:v>249.96801460675124</x:v>
      </x:c>
      <x:c r="Q513" s="62" t="n">
        <x:v>1.0135004899021591</x:v>
      </x:c>
      <x:c r="R513" s="64" t="n">
        <x:v>0.013500489902159022</x:v>
      </x:c>
    </x:row>
    <x:row r="514" ht="18" customHeight="1">
      <x:c r="A514" s="46" t="str">
        <x:v>LME_040</x:v>
      </x:c>
      <x:c r="B514" s="46" t="str">
        <x:v>Northeast Australian Shelf-Great Barrier Reef</x:v>
      </x:c>
      <x:c r="C514" s="46" t="str">
        <x:v>commercial</x:v>
      </x:c>
      <x:c r="D514" s="46" t="str">
        <x:v>Herring-likes</x:v>
      </x:c>
      <x:c r="E514" s="66" t="n">
        <x:v>6</x:v>
      </x:c>
      <x:c r="F514" s="66" t="n">
        <x:v>6</x:v>
      </x:c>
      <x:c r="G514" s="60" t="n">
        <x:v>97.003867111</x:v>
      </x:c>
      <x:c r="H514" s="60" t="n">
        <x:v>97.003867111</x:v>
      </x:c>
      <x:c r="I514" s="62" t="n">
        <x:v>0</x:v>
      </x:c>
      <x:c r="J514" s="64" t="n">
        <x:v>1</x:v>
      </x:c>
      <x:c r="K514" s="62" t="n">
        <x:v>173.84855567434911</x:v>
      </x:c>
      <x:c r="L514" s="60" t="n">
        <x:v>16863.982192073847</x:v>
      </x:c>
      <x:c r="M514" s="62" t="n">
        <x:v>3.18055112156041</x:v>
      </x:c>
      <x:c r="N514" s="62" t="n">
        <x:v>151.54831833667018</x:v>
      </x:c>
      <x:c r="O514" s="60" t="n">
        <x:v>14700.77293282588</x:v>
      </x:c>
      <x:c r="P514" s="60" t="n">
        <x:v>2163.2092592479676</x:v>
      </x:c>
      <x:c r="Q514" s="62" t="n">
        <x:v>1.1471493552844192</x:v>
      </x:c>
      <x:c r="R514" s="64" t="n">
        <x:v>0.14714935528441914</x:v>
      </x:c>
    </x:row>
    <x:row r="515" ht="18" customHeight="1">
      <x:c r="A515" s="46" t="str">
        <x:v>LME_040</x:v>
      </x:c>
      <x:c r="B515" s="46" t="str">
        <x:v>Northeast Australian Shelf-Great Barrier Reef</x:v>
      </x:c>
      <x:c r="C515" s="46" t="str">
        <x:v>commercial</x:v>
      </x:c>
      <x:c r="D515" s="46" t="str">
        <x:v>Molluscs</x:v>
      </x:c>
      <x:c r="E515" s="66" t="n">
        <x:v>11</x:v>
      </x:c>
      <x:c r="F515" s="66" t="n">
        <x:v>11</x:v>
      </x:c>
      <x:c r="G515" s="60" t="n">
        <x:v>462.1570199328</x:v>
      </x:c>
      <x:c r="H515" s="60" t="n">
        <x:v>462.1570199328</x:v>
      </x:c>
      <x:c r="I515" s="62" t="n">
        <x:v>0</x:v>
      </x:c>
      <x:c r="J515" s="64" t="n">
        <x:v>1</x:v>
      </x:c>
      <x:c r="K515" s="62" t="n">
        <x:v>34.59356513749581</x:v>
      </x:c>
      <x:c r="L515" s="60" t="n">
        <x:v>15987.658972796266</x:v>
      </x:c>
      <x:c r="M515" s="62" t="n">
        <x:v>2.2774628302603808</x:v>
      </x:c>
      <x:c r="N515" s="62" t="n">
        <x:v>18.94361375680426</x:v>
      </x:c>
      <x:c r="O515" s="60" t="n">
        <x:v>8754.92408060265</x:v>
      </x:c>
      <x:c r="P515" s="60" t="n">
        <x:v>7232.734892193615</x:v>
      </x:c>
      <x:c r="Q515" s="62" t="n">
        <x:v>1.8261333651331613</x:v>
      </x:c>
      <x:c r="R515" s="64" t="n">
        <x:v>0.8261333651331613</x:v>
      </x:c>
    </x:row>
    <x:row r="516" ht="18" customHeight="1">
      <x:c r="A516" s="46" t="str">
        <x:v>LME_040</x:v>
      </x:c>
      <x:c r="B516" s="46" t="str">
        <x:v>Northeast Australian Shelf-Great Barrier Reef</x:v>
      </x:c>
      <x:c r="C516" s="46" t="str">
        <x:v>commercial</x:v>
      </x:c>
      <x:c r="D516" s="46" t="str">
        <x:v>Other fishes &amp; inverts</x:v>
      </x:c>
      <x:c r="E516" s="66" t="n">
        <x:v>38</x:v>
      </x:c>
      <x:c r="F516" s="66" t="n">
        <x:v>38</x:v>
      </x:c>
      <x:c r="G516" s="60" t="n">
        <x:v>1836.5253804433003</x:v>
      </x:c>
      <x:c r="H516" s="60" t="n">
        <x:v>1836.5253804433003</x:v>
      </x:c>
      <x:c r="I516" s="62" t="n">
        <x:v>0</x:v>
      </x:c>
      <x:c r="J516" s="64" t="n">
        <x:v>1</x:v>
      </x:c>
      <x:c r="K516" s="62" t="n">
        <x:v>391.20545805804863</x:v>
      </x:c>
      <x:c r="L516" s="60" t="n">
        <x:v>718458.7526915533</x:v>
      </x:c>
      <x:c r="M516" s="62" t="n">
        <x:v>3.3949901524960158</x:v>
      </x:c>
      <x:c r="N516" s="62" t="n">
        <x:v>248.307680159626</x:v>
      </x:c>
      <x:c r="O516" s="60" t="n">
        <x:v>456023.35677215044</x:v>
      </x:c>
      <x:c r="P516" s="60" t="n">
        <x:v>262435.3959194029</x:v>
      </x:c>
      <x:c r="Q516" s="62" t="n">
        <x:v>1.5754867421199377</x:v>
      </x:c>
      <x:c r="R516" s="64" t="n">
        <x:v>0.5754867421199377</x:v>
      </x:c>
    </x:row>
    <x:row r="517" ht="18" customHeight="1">
      <x:c r="A517" s="46" t="str">
        <x:v>LME_040</x:v>
      </x:c>
      <x:c r="B517" s="46" t="str">
        <x:v>Northeast Australian Shelf-Great Barrier Reef</x:v>
      </x:c>
      <x:c r="C517" s="46" t="str">
        <x:v>commercial</x:v>
      </x:c>
      <x:c r="D517" s="46" t="str">
        <x:v>Perch-likes</x:v>
      </x:c>
      <x:c r="E517" s="66" t="n">
        <x:v>180</x:v>
      </x:c>
      <x:c r="F517" s="66" t="n">
        <x:v>180</x:v>
      </x:c>
      <x:c r="G517" s="60" t="n">
        <x:v>9244.419483040998</x:v>
      </x:c>
      <x:c r="H517" s="60" t="n">
        <x:v>9244.419483040998</x:v>
      </x:c>
      <x:c r="I517" s="62" t="n">
        <x:v>0</x:v>
      </x:c>
      <x:c r="J517" s="64" t="n">
        <x:v>1</x:v>
      </x:c>
      <x:c r="K517" s="62" t="n">
        <x:v>1512.2266626018256</x:v>
      </x:c>
      <x:c r="L517" s="60" t="n">
        <x:v>13979657.622530382</x:v>
      </x:c>
      <x:c r="M517" s="62" t="n">
        <x:v>3.921933834337996</x:v>
      </x:c>
      <x:c r="N517" s="62" t="n">
        <x:v>835.4757220813925</x:v>
      </x:c>
      <x:c r="O517" s="60" t="n">
        <x:v>7723488.042816971</x:v>
      </x:c>
      <x:c r="P517" s="60" t="n">
        <x:v>6256169.579713411</x:v>
      </x:c>
      <x:c r="Q517" s="62" t="n">
        <x:v>1.810018678740857</x:v>
      </x:c>
      <x:c r="R517" s="64" t="n">
        <x:v>0.810018678740857</x:v>
      </x:c>
    </x:row>
    <x:row r="518" ht="18" customHeight="1">
      <x:c r="A518" s="46" t="str">
        <x:v>LME_040</x:v>
      </x:c>
      <x:c r="B518" s="46" t="str">
        <x:v>Northeast Australian Shelf-Great Barrier Reef</x:v>
      </x:c>
      <x:c r="C518" s="46" t="str">
        <x:v>commercial</x:v>
      </x:c>
      <x:c r="D518" s="46" t="str">
        <x:v>Scorpionfishes</x:v>
      </x:c>
      <x:c r="E518" s="66" t="n">
        <x:v>6</x:v>
      </x:c>
      <x:c r="F518" s="66" t="n">
        <x:v>6</x:v>
      </x:c>
      <x:c r="G518" s="60" t="n">
        <x:v>502.11808263539996</x:v>
      </x:c>
      <x:c r="H518" s="60" t="n">
        <x:v>502.11808263539996</x:v>
      </x:c>
      <x:c r="I518" s="62" t="n">
        <x:v>0</x:v>
      </x:c>
      <x:c r="J518" s="64" t="n">
        <x:v>1</x:v>
      </x:c>
      <x:c r="K518" s="62" t="n">
        <x:v>606.7691056682565</x:v>
      </x:c>
      <x:c r="L518" s="60" t="n">
        <x:v>304669.7399405414</x:v>
      </x:c>
      <x:c r="M518" s="62" t="n">
        <x:v>3.7776282702073005</x:v>
      </x:c>
      <x:c r="N518" s="62" t="n">
        <x:v>599.2779110445274</x:v>
      </x:c>
      <x:c r="O518" s="60" t="n">
        <x:v>300908.2756594259</x:v>
      </x:c>
      <x:c r="P518" s="60" t="n">
        <x:v>3761.4642811155063</x:v>
      </x:c>
      <x:c r="Q518" s="62" t="n">
        <x:v>1.0125003683360734</x:v>
      </x:c>
      <x:c r="R518" s="64" t="n">
        <x:v>0.01250036833607331</x:v>
      </x:c>
    </x:row>
    <x:row r="519" ht="18" customHeight="1">
      <x:c r="A519" s="46" t="str">
        <x:v>LME_040</x:v>
      </x:c>
      <x:c r="B519" s="46" t="str">
        <x:v>Northeast Australian Shelf-Great Barrier Reef</x:v>
      </x:c>
      <x:c r="C519" s="46" t="str">
        <x:v>commercial</x:v>
      </x:c>
      <x:c r="D519" s="46" t="str">
        <x:v>Sharks &amp; rays</x:v>
      </x:c>
      <x:c r="E519" s="66" t="n">
        <x:v>39</x:v>
      </x:c>
      <x:c r="F519" s="66" t="n">
        <x:v>39</x:v>
      </x:c>
      <x:c r="G519" s="60" t="n">
        <x:v>1990.0045688695996</x:v>
      </x:c>
      <x:c r="H519" s="60" t="n">
        <x:v>1990.0045688695996</x:v>
      </x:c>
      <x:c r="I519" s="62" t="n">
        <x:v>0</x:v>
      </x:c>
      <x:c r="J519" s="64" t="n">
        <x:v>1</x:v>
      </x:c>
      <x:c r="K519" s="62" t="n">
        <x:v>1776.238987097203</x:v>
      </x:c>
      <x:c r="L519" s="60" t="n">
        <x:v>3534723.699727744</x:v>
      </x:c>
      <x:c r="M519" s="62" t="n">
        <x:v>4.215239533704971</x:v>
      </x:c>
      <x:c r="N519" s="62" t="n">
        <x:v>1641.4948847206044</x:v>
      </x:c>
      <x:c r="O519" s="60" t="n">
        <x:v>3266582.3203700795</x:v>
      </x:c>
      <x:c r="P519" s="60" t="n">
        <x:v>268141.3793576644</x:v>
      </x:c>
      <x:c r="Q519" s="62" t="n">
        <x:v>1.0820862152120159</x:v>
      </x:c>
      <x:c r="R519" s="64" t="n">
        <x:v>0.08208621521201583</x:v>
      </x:c>
    </x:row>
    <x:row r="520" ht="18" customHeight="1">
      <x:c r="A520" s="46" t="str">
        <x:v>LME_040</x:v>
      </x:c>
      <x:c r="B520" s="46" t="str">
        <x:v>Northeast Australian Shelf-Great Barrier Reef</x:v>
      </x:c>
      <x:c r="C520" s="46" t="str">
        <x:v>commercial</x:v>
      </x:c>
      <x:c r="D520" s="46" t="str">
        <x:v>Tuna &amp; billfishes</x:v>
      </x:c>
      <x:c r="E520" s="66" t="n">
        <x:v>16</x:v>
      </x:c>
      <x:c r="F520" s="66" t="n">
        <x:v>16</x:v>
      </x:c>
      <x:c r="G520" s="60" t="n">
        <x:v>2923.1566922016</x:v>
      </x:c>
      <x:c r="H520" s="60" t="n">
        <x:v>2923.1566922016</x:v>
      </x:c>
      <x:c r="I520" s="62" t="n">
        <x:v>0</x:v>
      </x:c>
      <x:c r="J520" s="64" t="n">
        <x:v>1</x:v>
      </x:c>
      <x:c r="K520" s="62" t="n">
        <x:v>2540.947411776337</x:v>
      </x:c>
      <x:c r="L520" s="60" t="n">
        <x:v>7427587.431266335</x:v>
      </x:c>
      <x:c r="M520" s="62" t="n">
        <x:v>4.3982459982422215</x:v>
      </x:c>
      <x:c r="N520" s="62" t="n">
        <x:v>2501.762038221413</x:v>
      </x:c>
      <x:c r="O520" s="60" t="n">
        <x:v>7313042.444322838</x:v>
      </x:c>
      <x:c r="P520" s="60" t="n">
        <x:v>114544.98694349639</x:v>
      </x:c>
      <x:c r="Q520" s="62" t="n">
        <x:v>1.0156631098227002</x:v>
      </x:c>
      <x:c r="R520" s="64" t="n">
        <x:v>0.01566310982270018</x:v>
      </x:c>
    </x:row>
    <x:row r="521" ht="18" customHeight="1">
      <x:c r="A521" s="46" t="str">
        <x:v>LME_041</x:v>
      </x:c>
      <x:c r="B521" s="46" t="str">
        <x:v>East-Central Australian Shelf</x:v>
      </x:c>
      <x:c r="C521" s="46" t="str">
        <x:v>commercial</x:v>
      </x:c>
      <x:c r="D521" s="46" t="str">
        <x:v>Anchovies</x:v>
      </x:c>
      <x:c r="E521" s="66" t="n">
        <x:v>2</x:v>
      </x:c>
      <x:c r="F521" s="66" t="n">
        <x:v>2</x:v>
      </x:c>
      <x:c r="G521" s="60" t="n">
        <x:v>51.245668191</x:v>
      </x:c>
      <x:c r="H521" s="60" t="n">
        <x:v>51.245668191</x:v>
      </x:c>
      <x:c r="I521" s="62" t="n">
        <x:v>0</x:v>
      </x:c>
      <x:c r="J521" s="64" t="n">
        <x:v>1</x:v>
      </x:c>
      <x:c r="K521" s="62" t="n">
        <x:v>158.53735162714773</x:v>
      </x:c>
      <x:c r="L521" s="60" t="n">
        <x:v>8124.352517364706</x:v>
      </x:c>
      <x:c r="M521" s="62" t="n">
        <x:v>3.2000812498601734</x:v>
      </x:c>
      <x:c r="N521" s="62" t="n">
        <x:v>158.518972949316</x:v>
      </x:c>
      <x:c r="O521" s="60" t="n">
        <x:v>8123.410689738753</x:v>
      </x:c>
      <x:c r="P521" s="60" t="n">
        <x:v>0.9418276259530103</x:v>
      </x:c>
      <x:c r="Q521" s="62" t="n">
        <x:v>1.0001159399249804</x:v>
      </x:c>
      <x:c r="R521" s="64" t="n">
        <x:v>0.00011593992498036551</x:v>
      </x:c>
    </x:row>
    <x:row r="522" ht="18" customHeight="1">
      <x:c r="A522" s="46" t="str">
        <x:v>LME_041</x:v>
      </x:c>
      <x:c r="B522" s="46" t="str">
        <x:v>East-Central Australian Shelf</x:v>
      </x:c>
      <x:c r="C522" s="46" t="str">
        <x:v>commercial</x:v>
      </x:c>
      <x:c r="D522" s="46" t="str">
        <x:v>Cod-likes</x:v>
      </x:c>
      <x:c r="E522" s="66" t="n">
        <x:v>8</x:v>
      </x:c>
      <x:c r="F522" s="66" t="n">
        <x:v>8</x:v>
      </x:c>
      <x:c r="G522" s="60" t="n">
        <x:v>301.4954787495</x:v>
      </x:c>
      <x:c r="H522" s="60" t="n">
        <x:v>301.4954787495</x:v>
      </x:c>
      <x:c r="I522" s="62" t="n">
        <x:v>0</x:v>
      </x:c>
      <x:c r="J522" s="64" t="n">
        <x:v>1</x:v>
      </x:c>
      <x:c r="K522" s="62" t="n">
        <x:v>2553.017560422201</x:v>
      </x:c>
      <x:c r="L522" s="60" t="n">
        <x:v>769723.251635372</x:v>
      </x:c>
      <x:c r="M522" s="62" t="n">
        <x:v>4.311432975738857</x:v>
      </x:c>
      <x:c r="N522" s="62" t="n">
        <x:v>2048.4858846510065</x:v>
      </x:c>
      <x:c r="O522" s="60" t="n">
        <x:v>617609.2325044483</x:v>
      </x:c>
      <x:c r="P522" s="60" t="n">
        <x:v>152114.01913092379</x:v>
      </x:c>
      <x:c r="Q522" s="62" t="n">
        <x:v>1.246294924242131</x:v>
      </x:c>
      <x:c r="R522" s="64" t="n">
        <x:v>0.24629492424213104</x:v>
      </x:c>
    </x:row>
    <x:row r="523" ht="18" customHeight="1">
      <x:c r="A523" s="46" t="str">
        <x:v>LME_041</x:v>
      </x:c>
      <x:c r="B523" s="46" t="str">
        <x:v>East-Central Australian Shelf</x:v>
      </x:c>
      <x:c r="C523" s="46" t="str">
        <x:v>commercial</x:v>
      </x:c>
      <x:c r="D523" s="46" t="str">
        <x:v>Crustaceans</x:v>
      </x:c>
      <x:c r="E523" s="66" t="n">
        <x:v>27</x:v>
      </x:c>
      <x:c r="F523" s="66" t="n">
        <x:v>27</x:v>
      </x:c>
      <x:c r="G523" s="60" t="n">
        <x:v>3235.434564526001</x:v>
      </x:c>
      <x:c r="H523" s="60" t="n">
        <x:v>3235.434564526001</x:v>
      </x:c>
      <x:c r="I523" s="62" t="n">
        <x:v>0</x:v>
      </x:c>
      <x:c r="J523" s="64" t="n">
        <x:v>1</x:v>
      </x:c>
      <x:c r="K523" s="62" t="n">
        <x:v>206.57214437805902</x:v>
      </x:c>
      <x:c r="L523" s="60" t="n">
        <x:v>668350.6559890276</x:v>
      </x:c>
      <x:c r="M523" s="62" t="n">
        <x:v>3.0828210979910677</x:v>
      </x:c>
      <x:c r="N523" s="62" t="n">
        <x:v>121.00995459678569</x:v>
      </x:c>
      <x:c r="O523" s="60" t="n">
        <x:v>391519.7897541624</x:v>
      </x:c>
      <x:c r="P523" s="60" t="n">
        <x:v>276830.86623486516</x:v>
      </x:c>
      <x:c r="Q523" s="62" t="n">
        <x:v>1.7070673653781048</x:v>
      </x:c>
      <x:c r="R523" s="64" t="n">
        <x:v>0.7070673653781049</x:v>
      </x:c>
    </x:row>
    <x:row r="524" ht="18" customHeight="1">
      <x:c r="A524" s="46" t="str">
        <x:v>LME_041</x:v>
      </x:c>
      <x:c r="B524" s="46" t="str">
        <x:v>East-Central Australian Shelf</x:v>
      </x:c>
      <x:c r="C524" s="46" t="str">
        <x:v>commercial</x:v>
      </x:c>
      <x:c r="D524" s="46" t="str">
        <x:v>Flatfishes</x:v>
      </x:c>
      <x:c r="E524" s="66" t="n">
        <x:v>3</x:v>
      </x:c>
      <x:c r="F524" s="66" t="n">
        <x:v>3</x:v>
      </x:c>
      <x:c r="G524" s="60" t="n">
        <x:v>28.976482422600004</x:v>
      </x:c>
      <x:c r="H524" s="60" t="n">
        <x:v>28.976482422600004</x:v>
      </x:c>
      <x:c r="I524" s="62" t="n">
        <x:v>0</x:v>
      </x:c>
      <x:c r="J524" s="64" t="n">
        <x:v>1</x:v>
      </x:c>
      <x:c r="K524" s="62" t="n">
        <x:v>422.285352559009</x:v>
      </x:c>
      <x:c r="L524" s="60" t="n">
        <x:v>12236.34409574757</x:v>
      </x:c>
      <x:c r="M524" s="62" t="n">
        <x:v>3.5695898990764063</x:v>
      </x:c>
      <x:c r="N524" s="62" t="n">
        <x:v>371.1845568456874</x:v>
      </x:c>
      <x:c r="O524" s="60" t="n">
        <x:v>10755.622786979633</x:v>
      </x:c>
      <x:c r="P524" s="60" t="n">
        <x:v>1480.7213087679374</x:v>
      </x:c>
      <x:c r="Q524" s="62" t="n">
        <x:v>1.1376695090646396</x:v>
      </x:c>
      <x:c r="R524" s="64" t="n">
        <x:v>0.13766950906463965</x:v>
      </x:c>
    </x:row>
    <x:row r="525" ht="18" customHeight="1">
      <x:c r="A525" s="46" t="str">
        <x:v>LME_041</x:v>
      </x:c>
      <x:c r="B525" s="46" t="str">
        <x:v>East-Central Australian Shelf</x:v>
      </x:c>
      <x:c r="C525" s="46" t="str">
        <x:v>commercial</x:v>
      </x:c>
      <x:c r="D525" s="46" t="str">
        <x:v>Herring-likes</x:v>
      </x:c>
      <x:c r="E525" s="66" t="n">
        <x:v>5</x:v>
      </x:c>
      <x:c r="F525" s="66" t="n">
        <x:v>5</x:v>
      </x:c>
      <x:c r="G525" s="60" t="n">
        <x:v>456.0842746052</x:v>
      </x:c>
      <x:c r="H525" s="60" t="n">
        <x:v>456.0842746052</x:v>
      </x:c>
      <x:c r="I525" s="62" t="n">
        <x:v>0</x:v>
      </x:c>
      <x:c r="J525" s="64" t="n">
        <x:v>1</x:v>
      </x:c>
      <x:c r="K525" s="62" t="n">
        <x:v>78.83929752131567</x:v>
      </x:c>
      <x:c r="L525" s="60" t="n">
        <x:v>35957.3638203928</x:v>
      </x:c>
      <x:c r="M525" s="62" t="n">
        <x:v>2.8799223688774696</x:v>
      </x:c>
      <x:c r="N525" s="62" t="n">
        <x:v>75.84419896875511</x:v>
      </x:c>
      <x:c r="O525" s="60" t="n">
        <x:v>34591.34646967713</x:v>
      </x:c>
      <x:c r="P525" s="60" t="n">
        <x:v>1366.017350715665</x:v>
      </x:c>
      <x:c r="Q525" s="62" t="n">
        <x:v>1.0394901468178788</x:v>
      </x:c>
      <x:c r="R525" s="64" t="n">
        <x:v>0.039490146817878845</x:v>
      </x:c>
    </x:row>
    <x:row r="526" ht="18" customHeight="1">
      <x:c r="A526" s="46" t="str">
        <x:v>LME_041</x:v>
      </x:c>
      <x:c r="B526" s="46" t="str">
        <x:v>East-Central Australian Shelf</x:v>
      </x:c>
      <x:c r="C526" s="46" t="str">
        <x:v>commercial</x:v>
      </x:c>
      <x:c r="D526" s="46" t="str">
        <x:v>Molluscs</x:v>
      </x:c>
      <x:c r="E526" s="66" t="n">
        <x:v>10</x:v>
      </x:c>
      <x:c r="F526" s="66" t="n">
        <x:v>10</x:v>
      </x:c>
      <x:c r="G526" s="60" t="n">
        <x:v>440.2643180439</x:v>
      </x:c>
      <x:c r="H526" s="60" t="n">
        <x:v>440.2643180439</x:v>
      </x:c>
      <x:c r="I526" s="62" t="n">
        <x:v>0</x:v>
      </x:c>
      <x:c r="J526" s="64" t="n">
        <x:v>1</x:v>
      </x:c>
      <x:c r="K526" s="62" t="n">
        <x:v>13.783417308304417</x:v>
      </x:c>
      <x:c r="L526" s="60" t="n">
        <x:v>6068.346821555132</x:v>
      </x:c>
      <x:c r="M526" s="62" t="n">
        <x:v>2.0683353218068063</x:v>
      </x:c>
      <x:c r="N526" s="62" t="n">
        <x:v>11.704027183666193</x:v>
      </x:c>
      <x:c r="O526" s="60" t="n">
        <x:v>5152.865546384064</x:v>
      </x:c>
      <x:c r="P526" s="60" t="n">
        <x:v>915.4812751710679</x:v>
      </x:c>
      <x:c r="Q526" s="62" t="n">
        <x:v>1.1776644988948899</x:v>
      </x:c>
      <x:c r="R526" s="64" t="n">
        <x:v>0.17766449889488992</x:v>
      </x:c>
    </x:row>
    <x:row r="527" ht="18" customHeight="1">
      <x:c r="A527" s="46" t="str">
        <x:v>LME_041</x:v>
      </x:c>
      <x:c r="B527" s="46" t="str">
        <x:v>East-Central Australian Shelf</x:v>
      </x:c>
      <x:c r="C527" s="46" t="str">
        <x:v>commercial</x:v>
      </x:c>
      <x:c r="D527" s="46" t="str">
        <x:v>Other fishes &amp; inverts</x:v>
      </x:c>
      <x:c r="E527" s="66" t="n">
        <x:v>59</x:v>
      </x:c>
      <x:c r="F527" s="66" t="n">
        <x:v>59</x:v>
      </x:c>
      <x:c r="G527" s="60" t="n">
        <x:v>8493.3726855333</x:v>
      </x:c>
      <x:c r="H527" s="60" t="n">
        <x:v>8493.3726855333</x:v>
      </x:c>
      <x:c r="I527" s="62" t="n">
        <x:v>0</x:v>
      </x:c>
      <x:c r="J527" s="64" t="n">
        <x:v>1</x:v>
      </x:c>
      <x:c r="K527" s="62" t="n">
        <x:v>362.4024410612166</x:v>
      </x:c>
      <x:c r="L527" s="60" t="n">
        <x:v>3078018.9940799293</x:v>
      </x:c>
      <x:c r="M527" s="62" t="n">
        <x:v>3.417957631897125</x:v>
      </x:c>
      <x:c r="N527" s="62" t="n">
        <x:v>261.792760079152</x:v>
      </x:c>
      <x:c r="O527" s="60" t="n">
        <x:v>2223503.4777266425</x:v>
      </x:c>
      <x:c r="P527" s="60" t="n">
        <x:v>854515.5163532868</x:v>
      </x:c>
      <x:c r="Q527" s="62" t="n">
        <x:v>1.3843104024406392</x:v>
      </x:c>
      <x:c r="R527" s="64" t="n">
        <x:v>0.3843104024406392</x:v>
      </x:c>
    </x:row>
    <x:row r="528" ht="18" customHeight="1">
      <x:c r="A528" s="46" t="str">
        <x:v>LME_041</x:v>
      </x:c>
      <x:c r="B528" s="46" t="str">
        <x:v>East-Central Australian Shelf</x:v>
      </x:c>
      <x:c r="C528" s="46" t="str">
        <x:v>commercial</x:v>
      </x:c>
      <x:c r="D528" s="46" t="str">
        <x:v>Perch-likes</x:v>
      </x:c>
      <x:c r="E528" s="66" t="n">
        <x:v>182</x:v>
      </x:c>
      <x:c r="F528" s="66" t="n">
        <x:v>182</x:v>
      </x:c>
      <x:c r="G528" s="60" t="n">
        <x:v>20189.6612335067</x:v>
      </x:c>
      <x:c r="H528" s="60" t="n">
        <x:v>20189.6612335067</x:v>
      </x:c>
      <x:c r="I528" s="62" t="n">
        <x:v>0</x:v>
      </x:c>
      <x:c r="J528" s="64" t="n">
        <x:v>1</x:v>
      </x:c>
      <x:c r="K528" s="62" t="n">
        <x:v>751.3588947649376</x:v>
      </x:c>
      <x:c r="L528" s="60" t="n">
        <x:v>15169681.550086102</x:v>
      </x:c>
      <x:c r="M528" s="62" t="n">
        <x:v>3.4908719369292736</x:v>
      </x:c>
      <x:c r="N528" s="62" t="n">
        <x:v>309.65060788890423</x:v>
      </x:c>
      <x:c r="O528" s="60" t="n">
        <x:v>6251740.8740263935</x:v>
      </x:c>
      <x:c r="P528" s="60" t="n">
        <x:v>8917940.676059708</x:v>
      </x:c>
      <x:c r="Q528" s="62" t="n">
        <x:v>2.426473178552611</x:v>
      </x:c>
      <x:c r="R528" s="64" t="n">
        <x:v>1.426473178552611</x:v>
      </x:c>
    </x:row>
    <x:row r="529" ht="18" customHeight="1">
      <x:c r="A529" s="46" t="str">
        <x:v>LME_041</x:v>
      </x:c>
      <x:c r="B529" s="46" t="str">
        <x:v>East-Central Australian Shelf</x:v>
      </x:c>
      <x:c r="C529" s="46" t="str">
        <x:v>commercial</x:v>
      </x:c>
      <x:c r="D529" s="46" t="str">
        <x:v>Scorpionfishes</x:v>
      </x:c>
      <x:c r="E529" s="66" t="n">
        <x:v>10</x:v>
      </x:c>
      <x:c r="F529" s="66" t="n">
        <x:v>10</x:v>
      </x:c>
      <x:c r="G529" s="60" t="n">
        <x:v>511.38436659109993</x:v>
      </x:c>
      <x:c r="H529" s="60" t="n">
        <x:v>511.38436659109993</x:v>
      </x:c>
      <x:c r="I529" s="62" t="n">
        <x:v>0</x:v>
      </x:c>
      <x:c r="J529" s="64" t="n">
        <x:v>1</x:v>
      </x:c>
      <x:c r="K529" s="62" t="n">
        <x:v>580.1161587288226</x:v>
      </x:c>
      <x:c r="L529" s="60" t="n">
        <x:v>296662.33438080095</x:v>
      </x:c>
      <x:c r="M529" s="62" t="n">
        <x:v>3.750043720991571</x:v>
      </x:c>
      <x:c r="N529" s="62" t="n">
        <x:v>562.3979396742147</x:v>
      </x:c>
      <x:c r="O529" s="60" t="n">
        <x:v>287601.5141524379</x:v>
      </x:c>
      <x:c r="P529" s="60" t="n">
        <x:v>9060.820228363038</x:v>
      </x:c>
      <x:c r="Q529" s="62" t="n">
        <x:v>1.0315047723412212</x:v>
      </x:c>
      <x:c r="R529" s="64" t="n">
        <x:v>0.031504772341221114</x:v>
      </x:c>
    </x:row>
    <x:row r="530" ht="18" customHeight="1">
      <x:c r="A530" s="46" t="str">
        <x:v>LME_041</x:v>
      </x:c>
      <x:c r="B530" s="46" t="str">
        <x:v>East-Central Australian Shelf</x:v>
      </x:c>
      <x:c r="C530" s="46" t="str">
        <x:v>commercial</x:v>
      </x:c>
      <x:c r="D530" s="46" t="str">
        <x:v>Sharks &amp; rays</x:v>
      </x:c>
      <x:c r="E530" s="66" t="n">
        <x:v>60</x:v>
      </x:c>
      <x:c r="F530" s="66" t="n">
        <x:v>60</x:v>
      </x:c>
      <x:c r="G530" s="60" t="n">
        <x:v>2780.3577577378005</x:v>
      </x:c>
      <x:c r="H530" s="60" t="n">
        <x:v>2780.3577577378005</x:v>
      </x:c>
      <x:c r="I530" s="62" t="n">
        <x:v>0</x:v>
      </x:c>
      <x:c r="J530" s="64" t="n">
        <x:v>1</x:v>
      </x:c>
      <x:c r="K530" s="62" t="n">
        <x:v>1764.7015257383891</x:v>
      </x:c>
      <x:c r="L530" s="60" t="n">
        <x:v>4906501.577178463</x:v>
      </x:c>
      <x:c r="M530" s="62" t="n">
        <x:v>4.201956523485957</x:v>
      </x:c>
      <x:c r="N530" s="62" t="n">
        <x:v>1592.0493416038619</x:v>
      </x:c>
      <x:c r="O530" s="60" t="n">
        <x:v>4426466.737629655</x:v>
      </x:c>
      <x:c r="P530" s="60" t="n">
        <x:v>480034.8395488085</x:v>
      </x:c>
      <x:c r="Q530" s="62" t="n">
        <x:v>1.1084465032726902</x:v>
      </x:c>
      <x:c r="R530" s="64" t="n">
        <x:v>0.10844650327269016</x:v>
      </x:c>
    </x:row>
    <x:row r="531" ht="18" customHeight="1">
      <x:c r="A531" s="46" t="str">
        <x:v>LME_041</x:v>
      </x:c>
      <x:c r="B531" s="46" t="str">
        <x:v>East-Central Australian Shelf</x:v>
      </x:c>
      <x:c r="C531" s="46" t="str">
        <x:v>commercial</x:v>
      </x:c>
      <x:c r="D531" s="46" t="str">
        <x:v>Tuna &amp; billfishes</x:v>
      </x:c>
      <x:c r="E531" s="66" t="n">
        <x:v>16</x:v>
      </x:c>
      <x:c r="F531" s="66" t="n">
        <x:v>16</x:v>
      </x:c>
      <x:c r="G531" s="60" t="n">
        <x:v>2792.7479037959997</x:v>
      </x:c>
      <x:c r="H531" s="60" t="n">
        <x:v>2792.7479037959997</x:v>
      </x:c>
      <x:c r="I531" s="62" t="n">
        <x:v>0</x:v>
      </x:c>
      <x:c r="J531" s="64" t="n">
        <x:v>1</x:v>
      </x:c>
      <x:c r="K531" s="62" t="n">
        <x:v>2579.1908408594113</x:v>
      </x:c>
      <x:c r="L531" s="60" t="n">
        <x:v>7203029.8142999625</x:v>
      </x:c>
      <x:c r="M531" s="62" t="n">
        <x:v>4.3972129944084415</x:v>
      </x:c>
      <x:c r="N531" s="62" t="n">
        <x:v>2495.8184704278924</x:v>
      </x:c>
      <x:c r="O531" s="60" t="n">
        <x:v>6970191.801542834</x:v>
      </x:c>
      <x:c r="P531" s="60" t="n">
        <x:v>232838.0127571281</x:v>
      </x:c>
      <x:c r="Q531" s="62" t="n">
        <x:v>1.0334048214721423</x:v>
      </x:c>
      <x:c r="R531" s="64" t="n">
        <x:v>0.03340482147214227</x:v>
      </x:c>
    </x:row>
    <x:row r="532" ht="18" customHeight="1">
      <x:c r="A532" s="46" t="str">
        <x:v>LME_042</x:v>
      </x:c>
      <x:c r="B532" s="46" t="str">
        <x:v>Southeast Australian Shelf</x:v>
      </x:c>
      <x:c r="C532" s="46" t="str">
        <x:v>commercial</x:v>
      </x:c>
      <x:c r="D532" s="46" t="str">
        <x:v>Anchovies</x:v>
      </x:c>
      <x:c r="E532" s="66" t="n">
        <x:v>1</x:v>
      </x:c>
      <x:c r="F532" s="66" t="n">
        <x:v>1</x:v>
      </x:c>
      <x:c r="G532" s="60" t="n">
        <x:v>10.9019322023</x:v>
      </x:c>
      <x:c r="H532" s="60" t="n">
        <x:v>10.9019322023</x:v>
      </x:c>
      <x:c r="I532" s="62" t="n">
        <x:v>0</x:v>
      </x:c>
      <x:c r="J532" s="64" t="n">
        <x:v>1</x:v>
      </x:c>
      <x:c r="K532" s="62" t="n">
        <x:v>158.48931924611142</x:v>
      </x:c>
      <x:c r="L532" s="60" t="n">
        <x:v>1727.839813209787</x:v>
      </x:c>
      <x:c r="M532" s="62" t="n">
        <x:v>3.2</x:v>
      </x:c>
      <x:c r="N532" s="62" t="n">
        <x:v>158.48931924611142</x:v>
      </x:c>
      <x:c r="O532" s="60" t="n">
        <x:v>1727.839813209787</x:v>
      </x:c>
      <x:c r="P532" s="60" t="n">
        <x:v>0</x:v>
      </x:c>
      <x:c r="Q532" s="62" t="n">
        <x:v>1</x:v>
      </x:c>
      <x:c r="R532" s="64" t="n">
        <x:v>0</x:v>
      </x:c>
    </x:row>
    <x:row r="533" ht="18" customHeight="1">
      <x:c r="A533" s="46" t="str">
        <x:v>LME_042</x:v>
      </x:c>
      <x:c r="B533" s="46" t="str">
        <x:v>Southeast Australian Shelf</x:v>
      </x:c>
      <x:c r="C533" s="46" t="str">
        <x:v>commercial</x:v>
      </x:c>
      <x:c r="D533" s="46" t="str">
        <x:v>Cod-likes</x:v>
      </x:c>
      <x:c r="E533" s="66" t="n">
        <x:v>8</x:v>
      </x:c>
      <x:c r="F533" s="66" t="n">
        <x:v>8</x:v>
      </x:c>
      <x:c r="G533" s="60" t="n">
        <x:v>800.8725831586</x:v>
      </x:c>
      <x:c r="H533" s="60" t="n">
        <x:v>800.8725831586</x:v>
      </x:c>
      <x:c r="I533" s="62" t="n">
        <x:v>0</x:v>
      </x:c>
      <x:c r="J533" s="64" t="n">
        <x:v>1</x:v>
      </x:c>
      <x:c r="K533" s="62" t="n">
        <x:v>2635.228436848436</x:v>
      </x:c>
      <x:c r="L533" s="60" t="n">
        <x:v>2110482.205431807</x:v>
      </x:c>
      <x:c r="M533" s="62" t="n">
        <x:v>4.337117910632963</x:v>
      </x:c>
      <x:c r="N533" s="62" t="n">
        <x:v>2173.2911457226955</x:v>
      </x:c>
      <x:c r="O533" s="60" t="n">
        <x:v>1740529.2938306485</x:v>
      </x:c>
      <x:c r="P533" s="60" t="n">
        <x:v>369952.9116011583</x:v>
      </x:c>
      <x:c r="Q533" s="62" t="n">
        <x:v>1.2125519592875948</x:v>
      </x:c>
      <x:c r="R533" s="64" t="n">
        <x:v>0.2125519592875949</x:v>
      </x:c>
    </x:row>
    <x:row r="534" ht="18" customHeight="1">
      <x:c r="A534" s="46" t="str">
        <x:v>LME_042</x:v>
      </x:c>
      <x:c r="B534" s="46" t="str">
        <x:v>Southeast Australian Shelf</x:v>
      </x:c>
      <x:c r="C534" s="46" t="str">
        <x:v>commercial</x:v>
      </x:c>
      <x:c r="D534" s="46" t="str">
        <x:v>Crustaceans</x:v>
      </x:c>
      <x:c r="E534" s="66" t="n">
        <x:v>18</x:v>
      </x:c>
      <x:c r="F534" s="66" t="n">
        <x:v>18</x:v>
      </x:c>
      <x:c r="G534" s="60" t="n">
        <x:v>3146.2989588931</x:v>
      </x:c>
      <x:c r="H534" s="60" t="n">
        <x:v>3146.2989588931</x:v>
      </x:c>
      <x:c r="I534" s="62" t="n">
        <x:v>0</x:v>
      </x:c>
      <x:c r="J534" s="64" t="n">
        <x:v>1</x:v>
      </x:c>
      <x:c r="K534" s="62" t="n">
        <x:v>98.53066632664661</x:v>
      </x:c>
      <x:c r="L534" s="60" t="n">
        <x:v>310006.93288257165</x:v>
      </x:c>
      <x:c r="M534" s="62" t="n">
        <x:v>2.778247477051639</x:v>
      </x:c>
      <x:c r="N534" s="62" t="n">
        <x:v>60.01329567838442</x:v>
      </x:c>
      <x:c r="O534" s="60" t="n">
        <x:v>188819.76971264466</x:v>
      </x:c>
      <x:c r="P534" s="60" t="n">
        <x:v>121187.163169927</x:v>
      </x:c>
      <x:c r="Q534" s="62" t="n">
        <x:v>1.6418139549389117</x:v>
      </x:c>
      <x:c r="R534" s="64" t="n">
        <x:v>0.6418139549389117</x:v>
      </x:c>
    </x:row>
    <x:row r="535" ht="18" customHeight="1">
      <x:c r="A535" s="46" t="str">
        <x:v>LME_042</x:v>
      </x:c>
      <x:c r="B535" s="46" t="str">
        <x:v>Southeast Australian Shelf</x:v>
      </x:c>
      <x:c r="C535" s="46" t="str">
        <x:v>commercial</x:v>
      </x:c>
      <x:c r="D535" s="46" t="str">
        <x:v>Flatfishes</x:v>
      </x:c>
      <x:c r="E535" s="66" t="n">
        <x:v>3</x:v>
      </x:c>
      <x:c r="F535" s="66" t="n">
        <x:v>3</x:v>
      </x:c>
      <x:c r="G535" s="60" t="n">
        <x:v>6.196614375099999</x:v>
      </x:c>
      <x:c r="H535" s="60" t="n">
        <x:v>6.196614375099999</x:v>
      </x:c>
      <x:c r="I535" s="62" t="n">
        <x:v>0</x:v>
      </x:c>
      <x:c r="J535" s="64" t="n">
        <x:v>1</x:v>
      </x:c>
      <x:c r="K535" s="62" t="n">
        <x:v>371.5245091103497</x:v>
      </x:c>
      <x:c r="L535" s="60" t="n">
        <x:v>2302.194113855164</x:v>
      </x:c>
      <x:c r="M535" s="62" t="n">
        <x:v>3.5699194948867556</x:v>
      </x:c>
      <x:c r="N535" s="62" t="n">
        <x:v>371.46636404164275</x:v>
      </x:c>
      <x:c r="O535" s="60" t="n">
        <x:v>2301.833811286573</x:v>
      </x:c>
      <x:c r="P535" s="60" t="n">
        <x:v>0.36030256859066867</x:v>
      </x:c>
      <x:c r="Q535" s="62" t="n">
        <x:v>1.0001565284890785</x:v>
      </x:c>
      <x:c r="R535" s="64" t="n">
        <x:v>0.0001565284890785766</x:v>
      </x:c>
    </x:row>
    <x:row r="536" ht="18" customHeight="1">
      <x:c r="A536" s="46" t="str">
        <x:v>LME_042</x:v>
      </x:c>
      <x:c r="B536" s="46" t="str">
        <x:v>Southeast Australian Shelf</x:v>
      </x:c>
      <x:c r="C536" s="46" t="str">
        <x:v>commercial</x:v>
      </x:c>
      <x:c r="D536" s="46" t="str">
        <x:v>Herring-likes</x:v>
      </x:c>
      <x:c r="E536" s="66" t="n">
        <x:v>2</x:v>
      </x:c>
      <x:c r="F536" s="66" t="n">
        <x:v>2</x:v>
      </x:c>
      <x:c r="G536" s="60" t="n">
        <x:v>2339.8883862917996</x:v>
      </x:c>
      <x:c r="H536" s="60" t="n">
        <x:v>2339.8883862917996</x:v>
      </x:c>
      <x:c r="I536" s="62" t="n">
        <x:v>0</x:v>
      </x:c>
      <x:c r="J536" s="64" t="n">
        <x:v>1</x:v>
      </x:c>
      <x:c r="K536" s="62" t="n">
        <x:v>69.80815343747905</x:v>
      </x:c>
      <x:c r="L536" s="60" t="n">
        <x:v>163343.2874968332</x:v>
      </x:c>
      <x:c r="M536" s="62" t="n">
        <x:v>2.8426541360800623</x:v>
      </x:c>
      <x:c r="N536" s="62" t="n">
        <x:v>69.60719547664176</x:v>
      </x:c>
      <x:c r="O536" s="60" t="n">
        <x:v>162873.06829813716</x:v>
      </x:c>
      <x:c r="P536" s="60" t="n">
        <x:v>470.21919869602425</x:v>
      </x:c>
      <x:c r="Q536" s="62" t="n">
        <x:v>1.0028870285530282</x:v>
      </x:c>
      <x:c r="R536" s="64" t="n">
        <x:v>0.002887028553028139</x:v>
      </x:c>
    </x:row>
    <x:row r="537" ht="18" customHeight="1">
      <x:c r="A537" s="46" t="str">
        <x:v>LME_042</x:v>
      </x:c>
      <x:c r="B537" s="46" t="str">
        <x:v>Southeast Australian Shelf</x:v>
      </x:c>
      <x:c r="C537" s="46" t="str">
        <x:v>commercial</x:v>
      </x:c>
      <x:c r="D537" s="46" t="str">
        <x:v>Molluscs</x:v>
      </x:c>
      <x:c r="E537" s="66" t="n">
        <x:v>13</x:v>
      </x:c>
      <x:c r="F537" s="66" t="n">
        <x:v>13</x:v>
      </x:c>
      <x:c r="G537" s="60" t="n">
        <x:v>1327.7949143572</x:v>
      </x:c>
      <x:c r="H537" s="60" t="n">
        <x:v>1327.7949143572</x:v>
      </x:c>
      <x:c r="I537" s="62" t="n">
        <x:v>0</x:v>
      </x:c>
      <x:c r="J537" s="64" t="n">
        <x:v>1</x:v>
      </x:c>
      <x:c r="K537" s="62" t="n">
        <x:v>10.403884962517553</x:v>
      </x:c>
      <x:c r="L537" s="60" t="n">
        <x:v>13814.225542788156</x:v>
      </x:c>
      <x:c r="M537" s="62" t="n">
        <x:v>2.0078545494464795</x:v>
      </x:c>
      <x:c r="N537" s="62" t="n">
        <x:v>10.182503064131225</x:v>
      </x:c>
      <x:c r="O537" s="60" t="n">
        <x:v>13520.275783980047</x:v>
      </x:c>
      <x:c r="P537" s="60" t="n">
        <x:v>293.9497588081085</x:v>
      </x:c>
      <x:c r="Q537" s="62" t="n">
        <x:v>1.0217414025797023</x:v>
      </x:c>
      <x:c r="R537" s="64" t="n">
        <x:v>0.021741402579702168</x:v>
      </x:c>
    </x:row>
    <x:row r="538" ht="18" customHeight="1">
      <x:c r="A538" s="46" t="str">
        <x:v>LME_042</x:v>
      </x:c>
      <x:c r="B538" s="46" t="str">
        <x:v>Southeast Australian Shelf</x:v>
      </x:c>
      <x:c r="C538" s="46" t="str">
        <x:v>commercial</x:v>
      </x:c>
      <x:c r="D538" s="46" t="str">
        <x:v>Other fishes &amp; inverts</x:v>
      </x:c>
      <x:c r="E538" s="66" t="n">
        <x:v>48</x:v>
      </x:c>
      <x:c r="F538" s="66" t="n">
        <x:v>48</x:v>
      </x:c>
      <x:c r="G538" s="60" t="n">
        <x:v>6048.3309105019</x:v>
      </x:c>
      <x:c r="H538" s="60" t="n">
        <x:v>6048.3309105019</x:v>
      </x:c>
      <x:c r="I538" s="62" t="n">
        <x:v>0</x:v>
      </x:c>
      <x:c r="J538" s="64" t="n">
        <x:v>1</x:v>
      </x:c>
      <x:c r="K538" s="62" t="n">
        <x:v>549.8816748274384</x:v>
      </x:c>
      <x:c r="L538" s="60" t="n">
        <x:v>3325866.3309773495</x:v>
      </x:c>
      <x:c r="M538" s="62" t="n">
        <x:v>3.526081528192571</x:v>
      </x:c>
      <x:c r="N538" s="62" t="n">
        <x:v>335.80064670454226</x:v>
      </x:c>
      <x:c r="O538" s="60" t="n">
        <x:v>2031033.431229611</x:v>
      </x:c>
      <x:c r="P538" s="60" t="n">
        <x:v>1294832.8997477386</x:v>
      </x:c>
      <x:c r="Q538" s="62" t="n">
        <x:v>1.637524168651341</x:v>
      </x:c>
      <x:c r="R538" s="64" t="n">
        <x:v>0.6375241686513412</x:v>
      </x:c>
    </x:row>
    <x:row r="539" ht="18" customHeight="1">
      <x:c r="A539" s="46" t="str">
        <x:v>LME_042</x:v>
      </x:c>
      <x:c r="B539" s="46" t="str">
        <x:v>Southeast Australian Shelf</x:v>
      </x:c>
      <x:c r="C539" s="46" t="str">
        <x:v>commercial</x:v>
      </x:c>
      <x:c r="D539" s="46" t="str">
        <x:v>Perch-likes</x:v>
      </x:c>
      <x:c r="E539" s="66" t="n">
        <x:v>80</x:v>
      </x:c>
      <x:c r="F539" s="66" t="n">
        <x:v>80</x:v>
      </x:c>
      <x:c r="G539" s="60" t="n">
        <x:v>10912.0424039854</x:v>
      </x:c>
      <x:c r="H539" s="60" t="n">
        <x:v>10912.0424039854</x:v>
      </x:c>
      <x:c r="I539" s="62" t="n">
        <x:v>0</x:v>
      </x:c>
      <x:c r="J539" s="64" t="n">
        <x:v>1</x:v>
      </x:c>
      <x:c r="K539" s="62" t="n">
        <x:v>773.3505911757294</x:v>
      </x:c>
      <x:c r="L539" s="60" t="n">
        <x:v>8438834.444056736</x:v>
      </x:c>
      <x:c r="M539" s="62" t="n">
        <x:v>3.7086907448590667</x:v>
      </x:c>
      <x:c r="N539" s="62" t="n">
        <x:v>511.3176036244671</x:v>
      </x:c>
      <x:c r="O539" s="60" t="n">
        <x:v>5579519.372654384</x:v>
      </x:c>
      <x:c r="P539" s="60" t="n">
        <x:v>2859315.0714023523</x:v>
      </x:c>
      <x:c r="Q539" s="62" t="n">
        <x:v>1.5124661965358623</x:v>
      </x:c>
      <x:c r="R539" s="64" t="n">
        <x:v>0.5124661965358622</x:v>
      </x:c>
    </x:row>
    <x:row r="540" ht="18" customHeight="1">
      <x:c r="A540" s="46" t="str">
        <x:v>LME_042</x:v>
      </x:c>
      <x:c r="B540" s="46" t="str">
        <x:v>Southeast Australian Shelf</x:v>
      </x:c>
      <x:c r="C540" s="46" t="str">
        <x:v>commercial</x:v>
      </x:c>
      <x:c r="D540" s="46" t="str">
        <x:v>Scorpionfishes</x:v>
      </x:c>
      <x:c r="E540" s="66" t="n">
        <x:v>8</x:v>
      </x:c>
      <x:c r="F540" s="66" t="n">
        <x:v>8</x:v>
      </x:c>
      <x:c r="G540" s="60" t="n">
        <x:v>464.5850969659</x:v>
      </x:c>
      <x:c r="H540" s="60" t="n">
        <x:v>464.5850969659</x:v>
      </x:c>
      <x:c r="I540" s="62" t="n">
        <x:v>0</x:v>
      </x:c>
      <x:c r="J540" s="64" t="n">
        <x:v>1</x:v>
      </x:c>
      <x:c r="K540" s="62" t="n">
        <x:v>572.795953489293</x:v>
      </x:c>
      <x:c r="L540" s="60" t="n">
        <x:v>266112.46359349834</x:v>
      </x:c>
      <x:c r="M540" s="62" t="n">
        <x:v>3.724675011804336</x:v>
      </x:c>
      <x:c r="N540" s="62" t="n">
        <x:v>530.4873251165097</x:v>
      </x:c>
      <x:c r="O540" s="60" t="n">
        <x:v>246456.50537843458</x:v>
      </x:c>
      <x:c r="P540" s="60" t="n">
        <x:v>19655.958215063758</x:v>
      </x:c>
      <x:c r="Q540" s="62" t="n">
        <x:v>1.0797542681410741</x:v>
      </x:c>
      <x:c r="R540" s="64" t="n">
        <x:v>0.07975426814107416</x:v>
      </x:c>
    </x:row>
    <x:row r="541" ht="18" customHeight="1">
      <x:c r="A541" s="46" t="str">
        <x:v>LME_042</x:v>
      </x:c>
      <x:c r="B541" s="46" t="str">
        <x:v>Southeast Australian Shelf</x:v>
      </x:c>
      <x:c r="C541" s="46" t="str">
        <x:v>commercial</x:v>
      </x:c>
      <x:c r="D541" s="46" t="str">
        <x:v>Sharks &amp; rays</x:v>
      </x:c>
      <x:c r="E541" s="66" t="n">
        <x:v>51</x:v>
      </x:c>
      <x:c r="F541" s="66" t="n">
        <x:v>51</x:v>
      </x:c>
      <x:c r="G541" s="60" t="n">
        <x:v>2577.322081483</x:v>
      </x:c>
      <x:c r="H541" s="60" t="n">
        <x:v>2577.322081483</x:v>
      </x:c>
      <x:c r="I541" s="62" t="n">
        <x:v>0</x:v>
      </x:c>
      <x:c r="J541" s="64" t="n">
        <x:v>1</x:v>
      </x:c>
      <x:c r="K541" s="62" t="n">
        <x:v>1158.7169373611355</x:v>
      </x:c>
      <x:c r="L541" s="60" t="n">
        <x:v>2986386.748849209</x:v>
      </x:c>
      <x:c r="M541" s="62" t="n">
        <x:v>4.009631376066695</x:v>
      </x:c>
      <x:c r="N541" s="62" t="n">
        <x:v>1022.4248020021413</x:v>
      </x:c>
      <x:c r="O541" s="60" t="n">
        <x:v>2635118.018856003</x:v>
      </x:c>
      <x:c r="P541" s="60" t="n">
        <x:v>351268.729993206</x:v>
      </x:c>
      <x:c r="Q541" s="62" t="n">
        <x:v>1.1333028454435996</x:v>
      </x:c>
      <x:c r="R541" s="64" t="n">
        <x:v>0.13330284544359955</x:v>
      </x:c>
    </x:row>
    <x:row r="542" ht="18" customHeight="1">
      <x:c r="A542" s="46" t="str">
        <x:v>LME_042</x:v>
      </x:c>
      <x:c r="B542" s="46" t="str">
        <x:v>Southeast Australian Shelf</x:v>
      </x:c>
      <x:c r="C542" s="46" t="str">
        <x:v>commercial</x:v>
      </x:c>
      <x:c r="D542" s="46" t="str">
        <x:v>Tuna &amp; billfishes</x:v>
      </x:c>
      <x:c r="E542" s="66" t="n">
        <x:v>14</x:v>
      </x:c>
      <x:c r="F542" s="66" t="n">
        <x:v>14</x:v>
      </x:c>
      <x:c r="G542" s="60" t="n">
        <x:v>5011.520475691801</x:v>
      </x:c>
      <x:c r="H542" s="60" t="n">
        <x:v>5011.520475691801</x:v>
      </x:c>
      <x:c r="I542" s="62" t="n">
        <x:v>0</x:v>
      </x:c>
      <x:c r="J542" s="64" t="n">
        <x:v>1</x:v>
      </x:c>
      <x:c r="K542" s="62" t="n">
        <x:v>898.7208226123528</x:v>
      </x:c>
      <x:c r="L542" s="60" t="n">
        <x:v>4503957.804452385</x:v>
      </x:c>
      <x:c r="M542" s="62" t="n">
        <x:v>3.942746478406454</x:v>
      </x:c>
      <x:c r="N542" s="62" t="n">
        <x:v>876.4890168910998</x:v>
      </x:c>
      <x:c r="O542" s="60" t="n">
        <x:v>4392542.654868724</x:v>
      </x:c>
      <x:c r="P542" s="60" t="n">
        <x:v>111415.149583661</x:v>
      </x:c>
      <x:c r="Q542" s="62" t="n">
        <x:v>1.025364614151252</x:v>
      </x:c>
      <x:c r="R542" s="64" t="n">
        <x:v>0.02536461415125194</x:v>
      </x:c>
    </x:row>
    <x:row r="543" ht="18" customHeight="1">
      <x:c r="A543" s="46" t="str">
        <x:v>LME_043</x:v>
      </x:c>
      <x:c r="B543" s="46" t="str">
        <x:v>Southwest Australian Shelf</x:v>
      </x:c>
      <x:c r="C543" s="46" t="str">
        <x:v>commercial</x:v>
      </x:c>
      <x:c r="D543" s="46" t="str">
        <x:v>Anchovies</x:v>
      </x:c>
      <x:c r="E543" s="66" t="n">
        <x:v>1</x:v>
      </x:c>
      <x:c r="F543" s="66" t="n">
        <x:v>1</x:v>
      </x:c>
      <x:c r="G543" s="60" t="n">
        <x:v>18.3246204329</x:v>
      </x:c>
      <x:c r="H543" s="60" t="n">
        <x:v>18.3246204329</x:v>
      </x:c>
      <x:c r="I543" s="62" t="n">
        <x:v>0</x:v>
      </x:c>
      <x:c r="J543" s="64" t="n">
        <x:v>1</x:v>
      </x:c>
      <x:c r="K543" s="62" t="n">
        <x:v>158.48931924611142</x:v>
      </x:c>
      <x:c r="L543" s="60" t="n">
        <x:v>2904.256617853705</x:v>
      </x:c>
      <x:c r="M543" s="62" t="n">
        <x:v>3.2</x:v>
      </x:c>
      <x:c r="N543" s="62" t="n">
        <x:v>158.48931924611142</x:v>
      </x:c>
      <x:c r="O543" s="60" t="n">
        <x:v>2904.256617853705</x:v>
      </x:c>
      <x:c r="P543" s="60" t="n">
        <x:v>0</x:v>
      </x:c>
      <x:c r="Q543" s="62" t="n">
        <x:v>1</x:v>
      </x:c>
      <x:c r="R543" s="64" t="n">
        <x:v>0</x:v>
      </x:c>
    </x:row>
    <x:row r="544" ht="18" customHeight="1">
      <x:c r="A544" s="46" t="str">
        <x:v>LME_043</x:v>
      </x:c>
      <x:c r="B544" s="46" t="str">
        <x:v>Southwest Australian Shelf</x:v>
      </x:c>
      <x:c r="C544" s="46" t="str">
        <x:v>commercial</x:v>
      </x:c>
      <x:c r="D544" s="46" t="str">
        <x:v>Cod-likes</x:v>
      </x:c>
      <x:c r="E544" s="66" t="n">
        <x:v>8</x:v>
      </x:c>
      <x:c r="F544" s="66" t="n">
        <x:v>8</x:v>
      </x:c>
      <x:c r="G544" s="60" t="n">
        <x:v>966.1741424876</x:v>
      </x:c>
      <x:c r="H544" s="60" t="n">
        <x:v>966.1741424876</x:v>
      </x:c>
      <x:c r="I544" s="62" t="n">
        <x:v>0</x:v>
      </x:c>
      <x:c r="J544" s="64" t="n">
        <x:v>1</x:v>
      </x:c>
      <x:c r="K544" s="62" t="n">
        <x:v>2645.7003612860863</x:v>
      </x:c>
      <x:c r="L544" s="60" t="n">
        <x:v>2556207.2778447177</x:v>
      </x:c>
      <x:c r="M544" s="62" t="n">
        <x:v>4.338080033306443</x:v>
      </x:c>
      <x:c r="N544" s="62" t="n">
        <x:v>2178.1111253086438</x:v>
      </x:c>
      <x:c r="O544" s="60" t="n">
        <x:v>2104434.6487377803</x:v>
      </x:c>
      <x:c r="P544" s="60" t="n">
        <x:v>451772.62910693744</x:v>
      </x:c>
      <x:c r="Q544" s="62" t="n">
        <x:v>1.2146764830059733</x:v>
      </x:c>
      <x:c r="R544" s="64" t="n">
        <x:v>0.21467648300597328</x:v>
      </x:c>
    </x:row>
    <x:row r="545" ht="18" customHeight="1">
      <x:c r="A545" s="46" t="str">
        <x:v>LME_043</x:v>
      </x:c>
      <x:c r="B545" s="46" t="str">
        <x:v>Southwest Australian Shelf</x:v>
      </x:c>
      <x:c r="C545" s="46" t="str">
        <x:v>commercial</x:v>
      </x:c>
      <x:c r="D545" s="46" t="str">
        <x:v>Crustaceans</x:v>
      </x:c>
      <x:c r="E545" s="66" t="n">
        <x:v>12</x:v>
      </x:c>
      <x:c r="F545" s="66" t="n">
        <x:v>12</x:v>
      </x:c>
      <x:c r="G545" s="60" t="n">
        <x:v>1765.5320593504</x:v>
      </x:c>
      <x:c r="H545" s="60" t="n">
        <x:v>1765.5320593504</x:v>
      </x:c>
      <x:c r="I545" s="62" t="n">
        <x:v>0</x:v>
      </x:c>
      <x:c r="J545" s="64" t="n">
        <x:v>1</x:v>
      </x:c>
      <x:c r="K545" s="62" t="n">
        <x:v>108.40982478278336</x:v>
      </x:c>
      <x:c r="L545" s="60" t="n">
        <x:v>191401.02120256354</x:v>
      </x:c>
      <x:c r="M545" s="62" t="n">
        <x:v>2.8864540690634133</x:v>
      </x:c>
      <x:c r="N545" s="62" t="n">
        <x:v>76.99350118087266</x:v>
      </x:c>
      <x:c r="O545" s="60" t="n">
        <x:v>135934.49469646355</x:v>
      </x:c>
      <x:c r="P545" s="60" t="n">
        <x:v>55466.526506099995</x:v>
      </x:c>
      <x:c r="Q545" s="62" t="n">
        <x:v>1.4080386411848929</x:v>
      </x:c>
      <x:c r="R545" s="64" t="n">
        <x:v>0.40803864118489275</x:v>
      </x:c>
    </x:row>
    <x:row r="546" ht="18" customHeight="1">
      <x:c r="A546" s="46" t="str">
        <x:v>LME_043</x:v>
      </x:c>
      <x:c r="B546" s="46" t="str">
        <x:v>Southwest Australian Shelf</x:v>
      </x:c>
      <x:c r="C546" s="46" t="str">
        <x:v>commercial</x:v>
      </x:c>
      <x:c r="D546" s="46" t="str">
        <x:v>Flatfishes</x:v>
      </x:c>
      <x:c r="E546" s="66" t="n">
        <x:v>5</x:v>
      </x:c>
      <x:c r="F546" s="66" t="n">
        <x:v>5</x:v>
      </x:c>
      <x:c r="G546" s="60" t="n">
        <x:v>5.206877030600001</x:v>
      </x:c>
      <x:c r="H546" s="60" t="n">
        <x:v>5.206877030600001</x:v>
      </x:c>
      <x:c r="I546" s="62" t="n">
        <x:v>0</x:v>
      </x:c>
      <x:c r="J546" s="64" t="n">
        <x:v>1</x:v>
      </x:c>
      <x:c r="K546" s="62" t="n">
        <x:v>407.6031897796331</x:v>
      </x:c>
      <x:c r="L546" s="60" t="n">
        <x:v>2122.339686462865</x:v>
      </x:c>
      <x:c r="M546" s="62" t="n">
        <x:v>3.599586581407751</x:v>
      </x:c>
      <x:c r="N546" s="62" t="n">
        <x:v>397.72838012224986</x:v>
      </x:c>
      <x:c r="O546" s="60" t="n">
        <x:v>2070.9227668762887</x:v>
      </x:c>
      <x:c r="P546" s="60" t="n">
        <x:v>51.416919586576114</x:v>
      </x:c>
      <x:c r="Q546" s="62" t="n">
        <x:v>1.024828023724</x:v>
      </x:c>
      <x:c r="R546" s="64" t="n">
        <x:v>0.02482802372399995</x:v>
      </x:c>
    </x:row>
    <x:row r="547" ht="18" customHeight="1">
      <x:c r="A547" s="46" t="str">
        <x:v>LME_043</x:v>
      </x:c>
      <x:c r="B547" s="46" t="str">
        <x:v>Southwest Australian Shelf</x:v>
      </x:c>
      <x:c r="C547" s="46" t="str">
        <x:v>commercial</x:v>
      </x:c>
      <x:c r="D547" s="46" t="str">
        <x:v>Herring-likes</x:v>
      </x:c>
      <x:c r="E547" s="66" t="n">
        <x:v>3</x:v>
      </x:c>
      <x:c r="F547" s="66" t="n">
        <x:v>3</x:v>
      </x:c>
      <x:c r="G547" s="60" t="n">
        <x:v>4287.285023541599</x:v>
      </x:c>
      <x:c r="H547" s="60" t="n">
        <x:v>4287.285023541599</x:v>
      </x:c>
      <x:c r="I547" s="62" t="n">
        <x:v>0</x:v>
      </x:c>
      <x:c r="J547" s="64" t="n">
        <x:v>1</x:v>
      </x:c>
      <x:c r="K547" s="62" t="n">
        <x:v>69.37833316322752</x:v>
      </x:c>
      <x:c r="L547" s="60" t="n">
        <x:v>297444.6887289848</x:v>
      </x:c>
      <x:c r="M547" s="62" t="n">
        <x:v>2.8408290180430034</x:v>
      </x:c>
      <x:c r="N547" s="62" t="n">
        <x:v>69.31528576597952</x:v>
      </x:c>
      <x:c r="O547" s="60" t="n">
        <x:v>297174.3865669902</x:v>
      </x:c>
      <x:c r="P547" s="60" t="n">
        <x:v>270.302161994623</x:v>
      </x:c>
      <x:c r="Q547" s="62" t="n">
        <x:v>1.000909574223799</x:v>
      </x:c>
      <x:c r="R547" s="64" t="n">
        <x:v>0.0009095742237990302</x:v>
      </x:c>
    </x:row>
    <x:row r="548" ht="18" customHeight="1">
      <x:c r="A548" s="46" t="str">
        <x:v>LME_043</x:v>
      </x:c>
      <x:c r="B548" s="46" t="str">
        <x:v>Southwest Australian Shelf</x:v>
      </x:c>
      <x:c r="C548" s="46" t="str">
        <x:v>commercial</x:v>
      </x:c>
      <x:c r="D548" s="46" t="str">
        <x:v>Molluscs</x:v>
      </x:c>
      <x:c r="E548" s="66" t="n">
        <x:v>13</x:v>
      </x:c>
      <x:c r="F548" s="66" t="n">
        <x:v>13</x:v>
      </x:c>
      <x:c r="G548" s="60" t="n">
        <x:v>1499.4380720012002</x:v>
      </x:c>
      <x:c r="H548" s="60" t="n">
        <x:v>1499.4380720012002</x:v>
      </x:c>
      <x:c r="I548" s="62" t="n">
        <x:v>0</x:v>
      </x:c>
      <x:c r="J548" s="64" t="n">
        <x:v>1</x:v>
      </x:c>
      <x:c r="K548" s="62" t="n">
        <x:v>10.225654631855146</x:v>
      </x:c>
      <x:c r="L548" s="60" t="n">
        <x:v>15332.735866139024</x:v>
      </x:c>
      <x:c r="M548" s="62" t="n">
        <x:v>2.0036000511626075</x:v>
      </x:c>
      <x:c r="N548" s="62" t="n">
        <x:v>10.083238765484065</x:v>
      </x:c>
      <x:c r="O548" s="60" t="n">
        <x:v>15119.19209404519</x:v>
      </x:c>
      <x:c r="P548" s="60" t="n">
        <x:v>213.5437720938353</x:v>
      </x:c>
      <x:c r="Q548" s="62" t="n">
        <x:v>1.014124020037945</x:v>
      </x:c>
      <x:c r="R548" s="64" t="n">
        <x:v>0.014124020037945093</x:v>
      </x:c>
    </x:row>
    <x:row r="549" ht="18" customHeight="1">
      <x:c r="A549" s="46" t="str">
        <x:v>LME_043</x:v>
      </x:c>
      <x:c r="B549" s="46" t="str">
        <x:v>Southwest Australian Shelf</x:v>
      </x:c>
      <x:c r="C549" s="46" t="str">
        <x:v>commercial</x:v>
      </x:c>
      <x:c r="D549" s="46" t="str">
        <x:v>Other fishes &amp; inverts</x:v>
      </x:c>
      <x:c r="E549" s="66" t="n">
        <x:v>43</x:v>
      </x:c>
      <x:c r="F549" s="66" t="n">
        <x:v>43</x:v>
      </x:c>
      <x:c r="G549" s="60" t="n">
        <x:v>4415.972470619399</x:v>
      </x:c>
      <x:c r="H549" s="60" t="n">
        <x:v>4415.972470619399</x:v>
      </x:c>
      <x:c r="I549" s="62" t="n">
        <x:v>0</x:v>
      </x:c>
      <x:c r="J549" s="64" t="n">
        <x:v>1</x:v>
      </x:c>
      <x:c r="K549" s="62" t="n">
        <x:v>597.7558109138059</x:v>
      </x:c>
      <x:c r="L549" s="60" t="n">
        <x:v>2639673.205148142</x:v>
      </x:c>
      <x:c r="M549" s="62" t="n">
        <x:v>3.5508575319060625</x:v>
      </x:c>
      <x:c r="N549" s="62" t="n">
        <x:v>355.51467465859776</x:v>
      </x:c>
      <x:c r="O549" s="60" t="n">
        <x:v>1569943.0161935799</x:v>
      </x:c>
      <x:c r="P549" s="60" t="n">
        <x:v>1069730.188954562</x:v>
      </x:c>
      <x:c r="Q549" s="62" t="n">
        <x:v>1.6813815392791684</x:v>
      </x:c>
      <x:c r="R549" s="64" t="n">
        <x:v>0.6813815392791684</x:v>
      </x:c>
    </x:row>
    <x:row r="550" ht="18" customHeight="1">
      <x:c r="A550" s="46" t="str">
        <x:v>LME_043</x:v>
      </x:c>
      <x:c r="B550" s="46" t="str">
        <x:v>Southwest Australian Shelf</x:v>
      </x:c>
      <x:c r="C550" s="46" t="str">
        <x:v>commercial</x:v>
      </x:c>
      <x:c r="D550" s="46" t="str">
        <x:v>Perch-likes</x:v>
      </x:c>
      <x:c r="E550" s="66" t="n">
        <x:v>90</x:v>
      </x:c>
      <x:c r="F550" s="66" t="n">
        <x:v>90</x:v>
      </x:c>
      <x:c r="G550" s="60" t="n">
        <x:v>9855.316704808398</x:v>
      </x:c>
      <x:c r="H550" s="60" t="n">
        <x:v>9855.316704808398</x:v>
      </x:c>
      <x:c r="I550" s="62" t="n">
        <x:v>0</x:v>
      </x:c>
      <x:c r="J550" s="64" t="n">
        <x:v>1</x:v>
      </x:c>
      <x:c r="K550" s="62" t="n">
        <x:v>879.1230514917735</x:v>
      </x:c>
      <x:c r="L550" s="60" t="n">
        <x:v>8664036.094949009</x:v>
      </x:c>
      <x:c r="M550" s="62" t="n">
        <x:v>3.832325916194215</x:v>
      </x:c>
      <x:c r="N550" s="62" t="n">
        <x:v>679.7135321303693</x:v>
      </x:c>
      <x:c r="O550" s="60" t="n">
        <x:v>6698792.127688749</x:v>
      </x:c>
      <x:c r="P550" s="60" t="n">
        <x:v>1965243.9672602601</x:v>
      </x:c>
      <x:c r="Q550" s="62" t="n">
        <x:v>1.2933728842155188</x:v>
      </x:c>
      <x:c r="R550" s="64" t="n">
        <x:v>0.2933728842155188</x:v>
      </x:c>
    </x:row>
    <x:row r="551" ht="18" customHeight="1">
      <x:c r="A551" s="46" t="str">
        <x:v>LME_043</x:v>
      </x:c>
      <x:c r="B551" s="46" t="str">
        <x:v>Southwest Australian Shelf</x:v>
      </x:c>
      <x:c r="C551" s="46" t="str">
        <x:v>commercial</x:v>
      </x:c>
      <x:c r="D551" s="46" t="str">
        <x:v>Scorpionfishes</x:v>
      </x:c>
      <x:c r="E551" s="66" t="n">
        <x:v>7</x:v>
      </x:c>
      <x:c r="F551" s="66" t="n">
        <x:v>7</x:v>
      </x:c>
      <x:c r="G551" s="60" t="n">
        <x:v>487.75275148949993</x:v>
      </x:c>
      <x:c r="H551" s="60" t="n">
        <x:v>487.75275148949993</x:v>
      </x:c>
      <x:c r="I551" s="62" t="n">
        <x:v>0</x:v>
      </x:c>
      <x:c r="J551" s="64" t="n">
        <x:v>1</x:v>
      </x:c>
      <x:c r="K551" s="62" t="n">
        <x:v>474.2662298185824</x:v>
      </x:c>
      <x:c r="L551" s="60" t="n">
        <x:v>231324.65853256508</x:v>
      </x:c>
      <x:c r="M551" s="62" t="n">
        <x:v>3.6243864950118856</x:v>
      </x:c>
      <x:c r="N551" s="62" t="n">
        <x:v>421.1012155074846</x:v>
      </x:c>
      <x:c r="O551" s="60" t="n">
        <x:v>205393.2765193485</x:v>
      </x:c>
      <x:c r="P551" s="60" t="n">
        <x:v>25931.382013216586</x:v>
      </x:c>
      <x:c r="Q551" s="62" t="n">
        <x:v>1.1262523411313992</x:v>
      </x:c>
      <x:c r="R551" s="64" t="n">
        <x:v>0.12625234113139916</x:v>
      </x:c>
    </x:row>
    <x:row r="552" ht="18" customHeight="1">
      <x:c r="A552" s="46" t="str">
        <x:v>LME_043</x:v>
      </x:c>
      <x:c r="B552" s="46" t="str">
        <x:v>Southwest Australian Shelf</x:v>
      </x:c>
      <x:c r="C552" s="46" t="str">
        <x:v>commercial</x:v>
      </x:c>
      <x:c r="D552" s="46" t="str">
        <x:v>Sharks &amp; rays</x:v>
      </x:c>
      <x:c r="E552" s="66" t="n">
        <x:v>47</x:v>
      </x:c>
      <x:c r="F552" s="66" t="n">
        <x:v>47</x:v>
      </x:c>
      <x:c r="G552" s="60" t="n">
        <x:v>1474.6757560822</x:v>
      </x:c>
      <x:c r="H552" s="60" t="n">
        <x:v>1474.6757560822</x:v>
      </x:c>
      <x:c r="I552" s="62" t="n">
        <x:v>0</x:v>
      </x:c>
      <x:c r="J552" s="64" t="n">
        <x:v>1</x:v>
      </x:c>
      <x:c r="K552" s="62" t="n">
        <x:v>1407.800827951097</x:v>
      </x:c>
      <x:c r="L552" s="60" t="n">
        <x:v>2076049.7503719314</x:v>
      </x:c>
      <x:c r="M552" s="62" t="n">
        <x:v>4.084724493849844</x:v>
      </x:c>
      <x:c r="N552" s="62" t="n">
        <x:v>1215.4147256702029</x:v>
      </x:c>
      <x:c r="O552" s="60" t="n">
        <x:v>1792342.629531146</x:v>
      </x:c>
      <x:c r="P552" s="60" t="n">
        <x:v>283707.1208407853</x:v>
      </x:c>
      <x:c r="Q552" s="62" t="n">
        <x:v>1.1582884411531291</x:v>
      </x:c>
      <x:c r="R552" s="64" t="n">
        <x:v>0.158288441153129</x:v>
      </x:c>
    </x:row>
    <x:row r="553" ht="18" customHeight="1">
      <x:c r="A553" s="46" t="str">
        <x:v>LME_043</x:v>
      </x:c>
      <x:c r="B553" s="46" t="str">
        <x:v>Southwest Australian Shelf</x:v>
      </x:c>
      <x:c r="C553" s="46" t="str">
        <x:v>commercial</x:v>
      </x:c>
      <x:c r="D553" s="46" t="str">
        <x:v>Tuna &amp; billfishes</x:v>
      </x:c>
      <x:c r="E553" s="66" t="n">
        <x:v>16</x:v>
      </x:c>
      <x:c r="F553" s="66" t="n">
        <x:v>16</x:v>
      </x:c>
      <x:c r="G553" s="60" t="n">
        <x:v>5675.238947068399</x:v>
      </x:c>
      <x:c r="H553" s="60" t="n">
        <x:v>5675.238947068399</x:v>
      </x:c>
      <x:c r="I553" s="62" t="n">
        <x:v>0</x:v>
      </x:c>
      <x:c r="J553" s="64" t="n">
        <x:v>1</x:v>
      </x:c>
      <x:c r="K553" s="62" t="n">
        <x:v>870.3452871066422</x:v>
      </x:c>
      <x:c r="L553" s="60" t="n">
        <x:v>4939417.470785044</x:v>
      </x:c>
      <x:c r="M553" s="62" t="n">
        <x:v>3.9348170118190784</x:v>
      </x:c>
      <x:c r="N553" s="62" t="n">
        <x:v>860.6310524500931</x:v>
      </x:c>
      <x:c r="O553" s="60" t="n">
        <x:v>4884286.867921234</x:v>
      </x:c>
      <x:c r="P553" s="60" t="n">
        <x:v>55130.602863810025</x:v>
      </x:c>
      <x:c r="Q553" s="62" t="n">
        <x:v>1.0112873392482111</x:v>
      </x:c>
      <x:c r="R553" s="64" t="n">
        <x:v>0.011287339248211226</x:v>
      </x:c>
    </x:row>
    <x:row r="554" ht="18" customHeight="1">
      <x:c r="A554" s="46" t="str">
        <x:v>LME_044</x:v>
      </x:c>
      <x:c r="B554" s="46" t="str">
        <x:v>West-Central Australian Shelf</x:v>
      </x:c>
      <x:c r="C554" s="46" t="str">
        <x:v>commercial</x:v>
      </x:c>
      <x:c r="D554" s="46" t="str">
        <x:v>Anchovies</x:v>
      </x:c>
      <x:c r="E554" s="66" t="n">
        <x:v>1</x:v>
      </x:c>
      <x:c r="F554" s="66" t="n">
        <x:v>1</x:v>
      </x:c>
      <x:c r="G554" s="60" t="n">
        <x:v>16.7233293824</x:v>
      </x:c>
      <x:c r="H554" s="60" t="n">
        <x:v>16.7233293824</x:v>
      </x:c>
      <x:c r="I554" s="62" t="n">
        <x:v>0</x:v>
      </x:c>
      <x:c r="J554" s="64" t="n">
        <x:v>1</x:v>
      </x:c>
      <x:c r="K554" s="62" t="n">
        <x:v>158.48931924611142</x:v>
      </x:c>
      <x:c r="L554" s="60" t="n">
        <x:v>2650.469089345069</x:v>
      </x:c>
      <x:c r="M554" s="62" t="n">
        <x:v>3.2</x:v>
      </x:c>
      <x:c r="N554" s="62" t="n">
        <x:v>158.48931924611142</x:v>
      </x:c>
      <x:c r="O554" s="60" t="n">
        <x:v>2650.469089345069</x:v>
      </x:c>
      <x:c r="P554" s="60" t="n">
        <x:v>0</x:v>
      </x:c>
      <x:c r="Q554" s="62" t="n">
        <x:v>1</x:v>
      </x:c>
      <x:c r="R554" s="64" t="n">
        <x:v>0</x:v>
      </x:c>
    </x:row>
    <x:row r="555" ht="18" customHeight="1">
      <x:c r="A555" s="46" t="str">
        <x:v>LME_044</x:v>
      </x:c>
      <x:c r="B555" s="46" t="str">
        <x:v>West-Central Australian Shelf</x:v>
      </x:c>
      <x:c r="C555" s="46" t="str">
        <x:v>commercial</x:v>
      </x:c>
      <x:c r="D555" s="46" t="str">
        <x:v>Cod-likes</x:v>
      </x:c>
      <x:c r="E555" s="66" t="n">
        <x:v>7</x:v>
      </x:c>
      <x:c r="F555" s="66" t="n">
        <x:v>7</x:v>
      </x:c>
      <x:c r="G555" s="60" t="n">
        <x:v>299.7700453006</x:v>
      </x:c>
      <x:c r="H555" s="60" t="n">
        <x:v>299.7700453006</x:v>
      </x:c>
      <x:c r="I555" s="62" t="n">
        <x:v>0</x:v>
      </x:c>
      <x:c r="J555" s="64" t="n">
        <x:v>1</x:v>
      </x:c>
      <x:c r="K555" s="62" t="n">
        <x:v>2787.380422590081</x:v>
      </x:c>
      <x:c r="L555" s="60" t="n">
        <x:v>835573.155549834</x:v>
      </x:c>
      <x:c r="M555" s="62" t="n">
        <x:v>4.369869208572479</x:v>
      </x:c>
      <x:c r="N555" s="62" t="n">
        <x:v>2343.5229374369164</x:v>
      </x:c>
      <x:c r="O555" s="60" t="n">
        <x:v>702517.9771184595</x:v>
      </x:c>
      <x:c r="P555" s="60" t="n">
        <x:v>133055.1784313745</x:v>
      </x:c>
      <x:c r="Q555" s="62" t="n">
        <x:v>1.1893975425043657</x:v>
      </x:c>
      <x:c r="R555" s="64" t="n">
        <x:v>0.18939754250436575</x:v>
      </x:c>
    </x:row>
    <x:row r="556" ht="18" customHeight="1">
      <x:c r="A556" s="46" t="str">
        <x:v>LME_044</x:v>
      </x:c>
      <x:c r="B556" s="46" t="str">
        <x:v>West-Central Australian Shelf</x:v>
      </x:c>
      <x:c r="C556" s="46" t="str">
        <x:v>commercial</x:v>
      </x:c>
      <x:c r="D556" s="46" t="str">
        <x:v>Crustaceans</x:v>
      </x:c>
      <x:c r="E556" s="66" t="n">
        <x:v>20</x:v>
      </x:c>
      <x:c r="F556" s="66" t="n">
        <x:v>20</x:v>
      </x:c>
      <x:c r="G556" s="60" t="n">
        <x:v>8303.244350224102</x:v>
      </x:c>
      <x:c r="H556" s="60" t="n">
        <x:v>8303.244350224102</x:v>
      </x:c>
      <x:c r="I556" s="62" t="n">
        <x:v>0</x:v>
      </x:c>
      <x:c r="J556" s="64" t="n">
        <x:v>1</x:v>
      </x:c>
      <x:c r="K556" s="62" t="n">
        <x:v>50.94792289985258</x:v>
      </x:c>
      <x:c r="L556" s="60" t="n">
        <x:v>423033.05297385406</x:v>
      </x:c>
      <x:c r="M556" s="62" t="n">
        <x:v>2.6472879494058033</x:v>
      </x:c>
      <x:c r="N556" s="62" t="n">
        <x:v>44.39028664156395</x:v>
      </x:c>
      <x:c r="O556" s="60" t="n">
        <x:v>368583.3967613943</x:v>
      </x:c>
      <x:c r="P556" s="60" t="n">
        <x:v>54449.656212459784</x:v>
      </x:c>
      <x:c r="Q556" s="62" t="n">
        <x:v>1.1477268284217053</x:v>
      </x:c>
      <x:c r="R556" s="64" t="n">
        <x:v>0.1477268284217052</x:v>
      </x:c>
    </x:row>
    <x:row r="557" ht="18" customHeight="1">
      <x:c r="A557" s="46" t="str">
        <x:v>LME_044</x:v>
      </x:c>
      <x:c r="B557" s="46" t="str">
        <x:v>West-Central Australian Shelf</x:v>
      </x:c>
      <x:c r="C557" s="46" t="str">
        <x:v>commercial</x:v>
      </x:c>
      <x:c r="D557" s="46" t="str">
        <x:v>Flatfishes</x:v>
      </x:c>
      <x:c r="E557" s="66" t="n">
        <x:v>5</x:v>
      </x:c>
      <x:c r="F557" s="66" t="n">
        <x:v>5</x:v>
      </x:c>
      <x:c r="G557" s="60" t="n">
        <x:v>6.600109388900001</x:v>
      </x:c>
      <x:c r="H557" s="60" t="n">
        <x:v>6.600109388900001</x:v>
      </x:c>
      <x:c r="I557" s="62" t="n">
        <x:v>0</x:v>
      </x:c>
      <x:c r="J557" s="64" t="n">
        <x:v>1</x:v>
      </x:c>
      <x:c r="K557" s="62" t="n">
        <x:v>487.05761833707885</x:v>
      </x:c>
      <x:c r="L557" s="60" t="n">
        <x:v>3214.633559721827</x:v>
      </x:c>
      <x:c r="M557" s="62" t="n">
        <x:v>3.6471237299001547</x:v>
      </x:c>
      <x:c r="N557" s="62" t="n">
        <x:v>443.7350454284808</x:v>
      </x:c>
      <x:c r="O557" s="60" t="n">
        <x:v>2928.6998395164846</x:v>
      </x:c>
      <x:c r="P557" s="60" t="n">
        <x:v>285.9337202053425</x:v>
      </x:c>
      <x:c r="Q557" s="62" t="n">
        <x:v>1.097631623544101</x:v>
      </x:c>
      <x:c r="R557" s="64" t="n">
        <x:v>0.09763162354410103</x:v>
      </x:c>
    </x:row>
    <x:row r="558" ht="18" customHeight="1">
      <x:c r="A558" s="46" t="str">
        <x:v>LME_044</x:v>
      </x:c>
      <x:c r="B558" s="46" t="str">
        <x:v>West-Central Australian Shelf</x:v>
      </x:c>
      <x:c r="C558" s="46" t="str">
        <x:v>commercial</x:v>
      </x:c>
      <x:c r="D558" s="46" t="str">
        <x:v>Herring-likes</x:v>
      </x:c>
      <x:c r="E558" s="66" t="n">
        <x:v>6</x:v>
      </x:c>
      <x:c r="F558" s="66" t="n">
        <x:v>6</x:v>
      </x:c>
      <x:c r="G558" s="60" t="n">
        <x:v>2740.813190664501</x:v>
      </x:c>
      <x:c r="H558" s="60" t="n">
        <x:v>2740.813190664501</x:v>
      </x:c>
      <x:c r="I558" s="62" t="n">
        <x:v>0</x:v>
      </x:c>
      <x:c r="J558" s="64" t="n">
        <x:v>1</x:v>
      </x:c>
      <x:c r="K558" s="62" t="n">
        <x:v>67.14250586438654</x:v>
      </x:c>
      <x:c r="L558" s="60" t="n">
        <x:v>184025.06572737923</x:v>
      </x:c>
      <x:c r="M558" s="62" t="n">
        <x:v>2.8194916073060963</x:v>
      </x:c>
      <x:c r="N558" s="62" t="n">
        <x:v>65.99204812483947</x:v>
      </x:c>
      <x:c r="O558" s="60" t="n">
        <x:v>180871.87597952655</x:v>
      </x:c>
      <x:c r="P558" s="60" t="n">
        <x:v>3153.1897478526807</x:v>
      </x:c>
      <x:c r="Q558" s="62" t="n">
        <x:v>1.017433278284843</x:v>
      </x:c>
      <x:c r="R558" s="64" t="n">
        <x:v>0.017433278284842913</x:v>
      </x:c>
    </x:row>
    <x:row r="559" ht="18" customHeight="1">
      <x:c r="A559" s="46" t="str">
        <x:v>LME_044</x:v>
      </x:c>
      <x:c r="B559" s="46" t="str">
        <x:v>West-Central Australian Shelf</x:v>
      </x:c>
      <x:c r="C559" s="46" t="str">
        <x:v>commercial</x:v>
      </x:c>
      <x:c r="D559" s="46" t="str">
        <x:v>Molluscs</x:v>
      </x:c>
      <x:c r="E559" s="66" t="n">
        <x:v>13</x:v>
      </x:c>
      <x:c r="F559" s="66" t="n">
        <x:v>13</x:v>
      </x:c>
      <x:c r="G559" s="60" t="n">
        <x:v>682.8001080967002</x:v>
      </x:c>
      <x:c r="H559" s="60" t="n">
        <x:v>682.8001080967002</x:v>
      </x:c>
      <x:c r="I559" s="62" t="n">
        <x:v>0</x:v>
      </x:c>
      <x:c r="J559" s="64" t="n">
        <x:v>1</x:v>
      </x:c>
      <x:c r="K559" s="62" t="n">
        <x:v>10.254205867736113</x:v>
      </x:c>
      <x:c r="L559" s="60" t="n">
        <x:v>7001.572874936036</x:v>
      </x:c>
      <x:c r="M559" s="62" t="n">
        <x:v>2.0041271882623057</x:v>
      </x:c>
      <x:c r="N559" s="62" t="n">
        <x:v>10.095485009753576</x:v>
      </x:c>
      <x:c r="O559" s="60" t="n">
        <x:v>6893.198255948359</x:v>
      </x:c>
      <x:c r="P559" s="60" t="n">
        <x:v>108.37461898767742</x:v>
      </x:c>
      <x:c r="Q559" s="62" t="n">
        <x:v>1.0157219646038989</x:v>
      </x:c>
      <x:c r="R559" s="64" t="n">
        <x:v>0.015721964603898856</x:v>
      </x:c>
    </x:row>
    <x:row r="560" ht="18" customHeight="1">
      <x:c r="A560" s="46" t="str">
        <x:v>LME_044</x:v>
      </x:c>
      <x:c r="B560" s="46" t="str">
        <x:v>West-Central Australian Shelf</x:v>
      </x:c>
      <x:c r="C560" s="46" t="str">
        <x:v>commercial</x:v>
      </x:c>
      <x:c r="D560" s="46" t="str">
        <x:v>Other fishes &amp; inverts</x:v>
      </x:c>
      <x:c r="E560" s="66" t="n">
        <x:v>64</x:v>
      </x:c>
      <x:c r="F560" s="66" t="n">
        <x:v>64</x:v>
      </x:c>
      <x:c r="G560" s="60" t="n">
        <x:v>2319.7789823148996</x:v>
      </x:c>
      <x:c r="H560" s="60" t="n">
        <x:v>2319.7789823148996</x:v>
      </x:c>
      <x:c r="I560" s="62" t="n">
        <x:v>0</x:v>
      </x:c>
      <x:c r="J560" s="64" t="n">
        <x:v>1</x:v>
      </x:c>
      <x:c r="K560" s="62" t="n">
        <x:v>476.97189555202254</x:v>
      </x:c>
      <x:c r="L560" s="60" t="n">
        <x:v>1106469.3784564794</x:v>
      </x:c>
      <x:c r="M560" s="62" t="n">
        <x:v>3.4837660360624527</x:v>
      </x:c>
      <x:c r="N560" s="62" t="n">
        <x:v>304.62534641272373</x:v>
      </x:c>
      <x:c r="O560" s="60" t="n">
        <x:v>706663.476088632</x:v>
      </x:c>
      <x:c r="P560" s="60" t="n">
        <x:v>399805.9023678474</x:v>
      </x:c>
      <x:c r="Q560" s="62" t="n">
        <x:v>1.5657656238026691</x:v>
      </x:c>
      <x:c r="R560" s="64" t="n">
        <x:v>0.565765623802669</x:v>
      </x:c>
    </x:row>
    <x:row r="561" ht="18" customHeight="1">
      <x:c r="A561" s="46" t="str">
        <x:v>LME_044</x:v>
      </x:c>
      <x:c r="B561" s="46" t="str">
        <x:v>West-Central Australian Shelf</x:v>
      </x:c>
      <x:c r="C561" s="46" t="str">
        <x:v>commercial</x:v>
      </x:c>
      <x:c r="D561" s="46" t="str">
        <x:v>Perch-likes</x:v>
      </x:c>
      <x:c r="E561" s="66" t="n">
        <x:v>209</x:v>
      </x:c>
      <x:c r="F561" s="66" t="n">
        <x:v>209</x:v>
      </x:c>
      <x:c r="G561" s="60" t="n">
        <x:v>4494.3240666384</x:v>
      </x:c>
      <x:c r="H561" s="60" t="n">
        <x:v>4494.3240666384</x:v>
      </x:c>
      <x:c r="I561" s="62" t="n">
        <x:v>0</x:v>
      </x:c>
      <x:c r="J561" s="64" t="n">
        <x:v>1</x:v>
      </x:c>
      <x:c r="K561" s="62" t="n">
        <x:v>895.5410063290709</x:v>
      </x:c>
      <x:c r="L561" s="60" t="n">
        <x:v>4024851.497406315</x:v>
      </x:c>
      <x:c r="M561" s="62" t="n">
        <x:v>3.7764066308958695</x:v>
      </x:c>
      <x:c r="N561" s="62" t="n">
        <x:v>597.5945538402696</x:v>
      </x:c>
      <x:c r="O561" s="60" t="n">
        <x:v>2685783.5854163603</x:v>
      </x:c>
      <x:c r="P561" s="60" t="n">
        <x:v>1339067.9119899548</x:v>
      </x:c>
      <x:c r="Q561" s="62" t="n">
        <x:v>1.4985762513632934</x:v>
      </x:c>
      <x:c r="R561" s="64" t="n">
        <x:v>0.4985762513632934</x:v>
      </x:c>
    </x:row>
    <x:row r="562" ht="18" customHeight="1">
      <x:c r="A562" s="46" t="str">
        <x:v>LME_044</x:v>
      </x:c>
      <x:c r="B562" s="46" t="str">
        <x:v>West-Central Australian Shelf</x:v>
      </x:c>
      <x:c r="C562" s="46" t="str">
        <x:v>commercial</x:v>
      </x:c>
      <x:c r="D562" s="46" t="str">
        <x:v>Scorpionfishes</x:v>
      </x:c>
      <x:c r="E562" s="66" t="n">
        <x:v>8</x:v>
      </x:c>
      <x:c r="F562" s="66" t="n">
        <x:v>8</x:v>
      </x:c>
      <x:c r="G562" s="60" t="n">
        <x:v>167.98048317740003</x:v>
      </x:c>
      <x:c r="H562" s="60" t="n">
        <x:v>167.98048317740003</x:v>
      </x:c>
      <x:c r="I562" s="62" t="n">
        <x:v>0</x:v>
      </x:c>
      <x:c r="J562" s="64" t="n">
        <x:v>1</x:v>
      </x:c>
      <x:c r="K562" s="62" t="n">
        <x:v>514.3516698647683</x:v>
      </x:c>
      <x:c r="L562" s="60" t="n">
        <x:v>86401.04202698632</x:v>
      </x:c>
      <x:c r="M562" s="62" t="n">
        <x:v>3.6885012361928373</x:v>
      </x:c>
      <x:c r="N562" s="62" t="n">
        <x:v>488.0914905683503</x:v>
      </x:c>
      <x:c r="O562" s="60" t="n">
        <x:v>81989.84442044888</x:v>
      </x:c>
      <x:c r="P562" s="60" t="n">
        <x:v>4411.197606537447</x:v>
      </x:c>
      <x:c r="Q562" s="62" t="n">
        <x:v>1.0538017560311075</x:v>
      </x:c>
      <x:c r="R562" s="64" t="n">
        <x:v>0.053801756031107456</x:v>
      </x:c>
    </x:row>
    <x:row r="563" ht="18" customHeight="1">
      <x:c r="A563" s="46" t="str">
        <x:v>LME_044</x:v>
      </x:c>
      <x:c r="B563" s="46" t="str">
        <x:v>West-Central Australian Shelf</x:v>
      </x:c>
      <x:c r="C563" s="46" t="str">
        <x:v>commercial</x:v>
      </x:c>
      <x:c r="D563" s="46" t="str">
        <x:v>Sharks &amp; rays</x:v>
      </x:c>
      <x:c r="E563" s="66" t="n">
        <x:v>61</x:v>
      </x:c>
      <x:c r="F563" s="66" t="n">
        <x:v>61</x:v>
      </x:c>
      <x:c r="G563" s="60" t="n">
        <x:v>546.1459464901001</x:v>
      </x:c>
      <x:c r="H563" s="60" t="n">
        <x:v>546.1459464901001</x:v>
      </x:c>
      <x:c r="I563" s="62" t="n">
        <x:v>0</x:v>
      </x:c>
      <x:c r="J563" s="64" t="n">
        <x:v>1</x:v>
      </x:c>
      <x:c r="K563" s="62" t="n">
        <x:v>1527.4351857982347</x:v>
      </x:c>
      <x:c r="L563" s="60" t="n">
        <x:v>834202.5352500587</x:v>
      </x:c>
      <x:c r="M563" s="62" t="n">
        <x:v>4.1201110106149414</x:v>
      </x:c>
      <x:c r="N563" s="62" t="n">
        <x:v>1318.5937430592</x:v>
      </x:c>
      <x:c r="O563" s="60" t="n">
        <x:v>720144.6278389907</x:v>
      </x:c>
      <x:c r="P563" s="60" t="n">
        <x:v>114057.9074110681</x:v>
      </x:c>
      <x:c r="Q563" s="62" t="n">
        <x:v>1.1583819457951563</x:v>
      </x:c>
      <x:c r="R563" s="64" t="n">
        <x:v>0.1583819457951564</x:v>
      </x:c>
    </x:row>
    <x:row r="564" ht="18" customHeight="1">
      <x:c r="A564" s="46" t="str">
        <x:v>LME_044</x:v>
      </x:c>
      <x:c r="B564" s="46" t="str">
        <x:v>West-Central Australian Shelf</x:v>
      </x:c>
      <x:c r="C564" s="46" t="str">
        <x:v>commercial</x:v>
      </x:c>
      <x:c r="D564" s="46" t="str">
        <x:v>Tuna &amp; billfishes</x:v>
      </x:c>
      <x:c r="E564" s="66" t="n">
        <x:v>17</x:v>
      </x:c>
      <x:c r="F564" s="66" t="n">
        <x:v>17</x:v>
      </x:c>
      <x:c r="G564" s="60" t="n">
        <x:v>260.8923196096</x:v>
      </x:c>
      <x:c r="H564" s="60" t="n">
        <x:v>260.8923196096</x:v>
      </x:c>
      <x:c r="I564" s="62" t="n">
        <x:v>0</x:v>
      </x:c>
      <x:c r="J564" s="64" t="n">
        <x:v>1</x:v>
      </x:c>
      <x:c r="K564" s="62" t="n">
        <x:v>2920.06448688585</x:v>
      </x:c>
      <x:c r="L564" s="60" t="n">
        <x:v>761822.3973932659</x:v>
      </x:c>
      <x:c r="M564" s="62" t="n">
        <x:v>4.445696249555483</x:v>
      </x:c>
      <x:c r="N564" s="62" t="n">
        <x:v>2790.5913875347546</x:v>
      </x:c>
      <x:c r="O564" s="60" t="n">
        <x:v>728043.8601765144</x:v>
      </x:c>
      <x:c r="P564" s="60" t="n">
        <x:v>33778.53721675149</x:v>
      </x:c>
      <x:c r="Q564" s="62" t="n">
        <x:v>1.0463962943229297</x:v>
      </x:c>
      <x:c r="R564" s="64" t="n">
        <x:v>0.04639629432292977</x:v>
      </x:c>
    </x:row>
    <x:row r="565" ht="18" customHeight="1">
      <x:c r="A565" s="46" t="str">
        <x:v>LME_045</x:v>
      </x:c>
      <x:c r="B565" s="46" t="str">
        <x:v>Northwest Australian Shelf</x:v>
      </x:c>
      <x:c r="C565" s="46" t="str">
        <x:v>commercial</x:v>
      </x:c>
      <x:c r="D565" s="46" t="str">
        <x:v>Anchovies</x:v>
      </x:c>
      <x:c r="E565" s="66" t="n">
        <x:v>1</x:v>
      </x:c>
      <x:c r="F565" s="66" t="n">
        <x:v>1</x:v>
      </x:c>
      <x:c r="G565" s="60" t="n">
        <x:v>99.5253381446</x:v>
      </x:c>
      <x:c r="H565" s="60" t="n">
        <x:v>99.5253381446</x:v>
      </x:c>
      <x:c r="I565" s="62" t="n">
        <x:v>0</x:v>
      </x:c>
      <x:c r="J565" s="64" t="n">
        <x:v>1</x:v>
      </x:c>
      <x:c r="K565" s="62" t="n">
        <x:v>158.48931924611142</x:v>
      </x:c>
      <x:c r="L565" s="60" t="n">
        <x:v>15773.7030902767</x:v>
      </x:c>
      <x:c r="M565" s="62" t="n">
        <x:v>3.2</x:v>
      </x:c>
      <x:c r="N565" s="62" t="n">
        <x:v>158.48931924611142</x:v>
      </x:c>
      <x:c r="O565" s="60" t="n">
        <x:v>15773.7030902767</x:v>
      </x:c>
      <x:c r="P565" s="60" t="n">
        <x:v>0</x:v>
      </x:c>
      <x:c r="Q565" s="62" t="n">
        <x:v>1</x:v>
      </x:c>
      <x:c r="R565" s="64" t="n">
        <x:v>0</x:v>
      </x:c>
    </x:row>
    <x:row r="566" ht="18" customHeight="1">
      <x:c r="A566" s="46" t="str">
        <x:v>LME_045</x:v>
      </x:c>
      <x:c r="B566" s="46" t="str">
        <x:v>Northwest Australian Shelf</x:v>
      </x:c>
      <x:c r="C566" s="46" t="str">
        <x:v>commercial</x:v>
      </x:c>
      <x:c r="D566" s="46" t="str">
        <x:v>Cod-likes</x:v>
      </x:c>
      <x:c r="E566" s="66" t="n">
        <x:v>4</x:v>
      </x:c>
      <x:c r="F566" s="66" t="n">
        <x:v>4</x:v>
      </x:c>
      <x:c r="G566" s="60" t="n">
        <x:v>21.399933033399996</x:v>
      </x:c>
      <x:c r="H566" s="60" t="n">
        <x:v>21.399933033399996</x:v>
      </x:c>
      <x:c r="I566" s="62" t="n">
        <x:v>0</x:v>
      </x:c>
      <x:c r="J566" s="64" t="n">
        <x:v>1</x:v>
      </x:c>
      <x:c r="K566" s="62" t="n">
        <x:v>1340.4425121241986</x:v>
      </x:c>
      <x:c r="L566" s="60" t="n">
        <x:v>28685.379994580315</x:v>
      </x:c>
      <x:c r="M566" s="62" t="n">
        <x:v>3.841402155823019</x:v>
      </x:c>
      <x:c r="N566" s="62" t="n">
        <x:v>694.0682143167667</x:v>
      </x:c>
      <x:c r="O566" s="60" t="n">
        <x:v>14853.013306990324</x:v>
      </x:c>
      <x:c r="P566" s="60" t="n">
        <x:v>13832.36668758999</x:v>
      </x:c>
      <x:c r="Q566" s="62" t="n">
        <x:v>1.931283531610385</x:v>
      </x:c>
      <x:c r="R566" s="64" t="n">
        <x:v>0.9312835316103849</x:v>
      </x:c>
    </x:row>
    <x:row r="567" ht="18" customHeight="1">
      <x:c r="A567" s="46" t="str">
        <x:v>LME_045</x:v>
      </x:c>
      <x:c r="B567" s="46" t="str">
        <x:v>Northwest Australian Shelf</x:v>
      </x:c>
      <x:c r="C567" s="46" t="str">
        <x:v>commercial</x:v>
      </x:c>
      <x:c r="D567" s="46" t="str">
        <x:v>Crustaceans</x:v>
      </x:c>
      <x:c r="E567" s="66" t="n">
        <x:v>25</x:v>
      </x:c>
      <x:c r="F567" s="66" t="n">
        <x:v>25</x:v>
      </x:c>
      <x:c r="G567" s="60" t="n">
        <x:v>4237.1469547132</x:v>
      </x:c>
      <x:c r="H567" s="60" t="n">
        <x:v>4237.1469547132</x:v>
      </x:c>
      <x:c r="I567" s="62" t="n">
        <x:v>0</x:v>
      </x:c>
      <x:c r="J567" s="64" t="n">
        <x:v>1</x:v>
      </x:c>
      <x:c r="K567" s="62" t="n">
        <x:v>117.5080899612114</x:v>
      </x:c>
      <x:c r="L567" s="60" t="n">
        <x:v>497899.0455333116</x:v>
      </x:c>
      <x:c r="M567" s="62" t="n">
        <x:v>2.944941481175547</x:v>
      </x:c>
      <x:c r="N567" s="62" t="n">
        <x:v>88.09301644518115</x:v>
      </x:c>
      <x:c r="O567" s="60" t="n">
        <x:v>373263.0563621992</x:v>
      </x:c>
      <x:c r="P567" s="60" t="n">
        <x:v>124635.98917111242</x:v>
      </x:c>
      <x:c r="Q567" s="62" t="n">
        <x:v>1.333909255273768</x:v>
      </x:c>
      <x:c r="R567" s="64" t="n">
        <x:v>0.333909255273768</x:v>
      </x:c>
    </x:row>
    <x:row r="568" ht="18" customHeight="1">
      <x:c r="A568" s="46" t="str">
        <x:v>LME_045</x:v>
      </x:c>
      <x:c r="B568" s="46" t="str">
        <x:v>Northwest Australian Shelf</x:v>
      </x:c>
      <x:c r="C568" s="46" t="str">
        <x:v>commercial</x:v>
      </x:c>
      <x:c r="D568" s="46" t="str">
        <x:v>Flatfishes</x:v>
      </x:c>
      <x:c r="E568" s="66" t="n">
        <x:v>6</x:v>
      </x:c>
      <x:c r="F568" s="66" t="n">
        <x:v>6</x:v>
      </x:c>
      <x:c r="G568" s="60" t="n">
        <x:v>25.893980348800003</x:v>
      </x:c>
      <x:c r="H568" s="60" t="n">
        <x:v>25.893980348800003</x:v>
      </x:c>
      <x:c r="I568" s="62" t="n">
        <x:v>0</x:v>
      </x:c>
      <x:c r="J568" s="64" t="n">
        <x:v>1</x:v>
      </x:c>
      <x:c r="K568" s="62" t="n">
        <x:v>501.02669329914414</x:v>
      </x:c>
      <x:c r="L568" s="60" t="n">
        <x:v>12973.575350512285</x:v>
      </x:c>
      <x:c r="M568" s="62" t="n">
        <x:v>3.6220591275378204</x:v>
      </x:c>
      <x:c r="N568" s="62" t="n">
        <x:v>418.8505861465306</x:v>
      </x:c>
      <x:c r="O568" s="60" t="n">
        <x:v>10845.708846761627</x:v>
      </x:c>
      <x:c r="P568" s="60" t="n">
        <x:v>2127.866503750658</x:v>
      </x:c>
      <x:c r="Q568" s="62" t="n">
        <x:v>1.1961943229174927</x:v>
      </x:c>
      <x:c r="R568" s="64" t="n">
        <x:v>0.1961943229174927</x:v>
      </x:c>
    </x:row>
    <x:row r="569" ht="18" customHeight="1">
      <x:c r="A569" s="46" t="str">
        <x:v>LME_045</x:v>
      </x:c>
      <x:c r="B569" s="46" t="str">
        <x:v>Northwest Australian Shelf</x:v>
      </x:c>
      <x:c r="C569" s="46" t="str">
        <x:v>commercial</x:v>
      </x:c>
      <x:c r="D569" s="46" t="str">
        <x:v>Herring-likes</x:v>
      </x:c>
      <x:c r="E569" s="66" t="n">
        <x:v>9</x:v>
      </x:c>
      <x:c r="F569" s="66" t="n">
        <x:v>9</x:v>
      </x:c>
      <x:c r="G569" s="60" t="n">
        <x:v>18967.374714154503</x:v>
      </x:c>
      <x:c r="H569" s="60" t="n">
        <x:v>18967.374714154503</x:v>
      </x:c>
      <x:c r="I569" s="62" t="n">
        <x:v>0</x:v>
      </x:c>
      <x:c r="J569" s="64" t="n">
        <x:v>1</x:v>
      </x:c>
      <x:c r="K569" s="62" t="n">
        <x:v>68.30493236179478</x:v>
      </x:c>
      <x:c r="L569" s="60" t="n">
        <x:v>1295565.24693114</x:v>
      </x:c>
      <x:c r="M569" s="62" t="n">
        <x:v>2.8299688231511797</x:v>
      </x:c>
      <x:c r="N569" s="62" t="n">
        <x:v>67.60344429306257</x:v>
      </x:c>
      <x:c r="O569" s="60" t="n">
        <x:v>1282259.8598739875</x:v>
      </x:c>
      <x:c r="P569" s="60" t="n">
        <x:v>13305.387057152577</x:v>
      </x:c>
      <x:c r="Q569" s="62" t="n">
        <x:v>1.0103765137422769</x:v>
      </x:c>
      <x:c r="R569" s="64" t="n">
        <x:v>0.010376513742276973</x:v>
      </x:c>
    </x:row>
    <x:row r="570" ht="18" customHeight="1">
      <x:c r="A570" s="46" t="str">
        <x:v>LME_045</x:v>
      </x:c>
      <x:c r="B570" s="46" t="str">
        <x:v>Northwest Australian Shelf</x:v>
      </x:c>
      <x:c r="C570" s="46" t="str">
        <x:v>commercial</x:v>
      </x:c>
      <x:c r="D570" s="46" t="str">
        <x:v>Molluscs</x:v>
      </x:c>
      <x:c r="E570" s="66" t="n">
        <x:v>14</x:v>
      </x:c>
      <x:c r="F570" s="66" t="n">
        <x:v>14</x:v>
      </x:c>
      <x:c r="G570" s="60" t="n">
        <x:v>1429.4506559047002</x:v>
      </x:c>
      <x:c r="H570" s="60" t="n">
        <x:v>1429.4506559047002</x:v>
      </x:c>
      <x:c r="I570" s="62" t="n">
        <x:v>0</x:v>
      </x:c>
      <x:c r="J570" s="64" t="n">
        <x:v>1</x:v>
      </x:c>
      <x:c r="K570" s="62" t="n">
        <x:v>10.642289529225984</x:v>
      </x:c>
      <x:c r="L570" s="60" t="n">
        <x:v>15212.627747879806</x:v>
      </x:c>
      <x:c r="M570" s="62" t="n">
        <x:v>2.0085863884095922</x:v>
      </x:c>
      <x:c r="N570" s="62" t="n">
        <x:v>10.19967628425269</x:v>
      </x:c>
      <x:c r="O570" s="60" t="n">
        <x:v>14579.933954540622</x:v>
      </x:c>
      <x:c r="P570" s="60" t="n">
        <x:v>632.6937933391837</x:v>
      </x:c>
      <x:c r="Q570" s="62" t="n">
        <x:v>1.0433948326043099</x:v>
      </x:c>
      <x:c r="R570" s="64" t="n">
        <x:v>0.04339483260430985</x:v>
      </x:c>
    </x:row>
    <x:row r="571" ht="18" customHeight="1">
      <x:c r="A571" s="46" t="str">
        <x:v>LME_045</x:v>
      </x:c>
      <x:c r="B571" s="46" t="str">
        <x:v>Northwest Australian Shelf</x:v>
      </x:c>
      <x:c r="C571" s="46" t="str">
        <x:v>commercial</x:v>
      </x:c>
      <x:c r="D571" s="46" t="str">
        <x:v>Other fishes &amp; inverts</x:v>
      </x:c>
      <x:c r="E571" s="66" t="n">
        <x:v>59</x:v>
      </x:c>
      <x:c r="F571" s="66" t="n">
        <x:v>59</x:v>
      </x:c>
      <x:c r="G571" s="60" t="n">
        <x:v>5798.912713981399</x:v>
      </x:c>
      <x:c r="H571" s="60" t="n">
        <x:v>5798.912713981399</x:v>
      </x:c>
      <x:c r="I571" s="62" t="n">
        <x:v>0</x:v>
      </x:c>
      <x:c r="J571" s="64" t="n">
        <x:v>1</x:v>
      </x:c>
      <x:c r="K571" s="62" t="n">
        <x:v>425.6754958206504</x:v>
      </x:c>
      <x:c r="L571" s="60" t="n">
        <x:v>2468455.0447447053</x:v>
      </x:c>
      <x:c r="M571" s="62" t="n">
        <x:v>3.4428974551536236</x:v>
      </x:c>
      <x:c r="N571" s="62" t="n">
        <x:v>277.2665350507405</x:v>
      </x:c>
      <x:c r="O571" s="60" t="n">
        <x:v>1607844.4352673085</x:v>
      </x:c>
      <x:c r="P571" s="60" t="n">
        <x:v>860610.6094773968</x:v>
      </x:c>
      <x:c r="Q571" s="62" t="n">
        <x:v>1.5352573859760992</x:v>
      </x:c>
      <x:c r="R571" s="64" t="n">
        <x:v>0.5352573859760991</x:v>
      </x:c>
    </x:row>
    <x:row r="572" ht="18" customHeight="1">
      <x:c r="A572" s="46" t="str">
        <x:v>LME_045</x:v>
      </x:c>
      <x:c r="B572" s="46" t="str">
        <x:v>Northwest Australian Shelf</x:v>
      </x:c>
      <x:c r="C572" s="46" t="str">
        <x:v>commercial</x:v>
      </x:c>
      <x:c r="D572" s="46" t="str">
        <x:v>Perch-likes</x:v>
      </x:c>
      <x:c r="E572" s="66" t="n">
        <x:v>215</x:v>
      </x:c>
      <x:c r="F572" s="66" t="n">
        <x:v>215</x:v>
      </x:c>
      <x:c r="G572" s="60" t="n">
        <x:v>9529.268047826</x:v>
      </x:c>
      <x:c r="H572" s="60" t="n">
        <x:v>9529.268047826</x:v>
      </x:c>
      <x:c r="I572" s="62" t="n">
        <x:v>0</x:v>
      </x:c>
      <x:c r="J572" s="64" t="n">
        <x:v>1</x:v>
      </x:c>
      <x:c r="K572" s="62" t="n">
        <x:v>869.6899971825</x:v>
      </x:c>
      <x:c r="L572" s="60" t="n">
        <x:v>8287509.101665081</x:v>
      </x:c>
      <x:c r="M572" s="62" t="n">
        <x:v>3.7183577305224422</x:v>
      </x:c>
      <x:c r="N572" s="62" t="n">
        <x:v>522.8266666043428</x:v>
      </x:c>
      <x:c r="O572" s="60" t="n">
        <x:v>4982155.448624141</x:v>
      </x:c>
      <x:c r="P572" s="60" t="n">
        <x:v>3305353.653040941</x:v>
      </x:c>
      <x:c r="Q572" s="62" t="n">
        <x:v>1.6634384830272084</x:v>
      </x:c>
      <x:c r="R572" s="64" t="n">
        <x:v>0.6634384830272084</x:v>
      </x:c>
    </x:row>
    <x:row r="573" ht="18" customHeight="1">
      <x:c r="A573" s="46" t="str">
        <x:v>LME_045</x:v>
      </x:c>
      <x:c r="B573" s="46" t="str">
        <x:v>Northwest Australian Shelf</x:v>
      </x:c>
      <x:c r="C573" s="46" t="str">
        <x:v>commercial</x:v>
      </x:c>
      <x:c r="D573" s="46" t="str">
        <x:v>Scorpionfishes</x:v>
      </x:c>
      <x:c r="E573" s="66" t="n">
        <x:v>6</x:v>
      </x:c>
      <x:c r="F573" s="66" t="n">
        <x:v>6</x:v>
      </x:c>
      <x:c r="G573" s="60" t="n">
        <x:v>2594.3482630696003</x:v>
      </x:c>
      <x:c r="H573" s="60" t="n">
        <x:v>2594.3482630696003</x:v>
      </x:c>
      <x:c r="I573" s="62" t="n">
        <x:v>0</x:v>
      </x:c>
      <x:c r="J573" s="64" t="n">
        <x:v>1</x:v>
      </x:c>
      <x:c r="K573" s="62" t="n">
        <x:v>793.5424146110179</x:v>
      </x:c>
      <x:c r="L573" s="60" t="n">
        <x:v>2058725.3850181508</x:v>
      </x:c>
      <x:c r="M573" s="62" t="n">
        <x:v>3.8994952909723617</x:v>
      </x:c>
      <x:c r="N573" s="62" t="n">
        <x:v>793.4056538830893</x:v>
      </x:c>
      <x:c r="O573" s="60" t="n">
        <x:v>2058370.580061193</x:v>
      </x:c>
      <x:c r="P573" s="60" t="n">
        <x:v>354.80495695769787</x:v>
      </x:c>
      <x:c r="Q573" s="62" t="n">
        <x:v>1.0001723717587079</x:v>
      </x:c>
      <x:c r="R573" s="64" t="n">
        <x:v>0.00017237175870787557</x:v>
      </x:c>
    </x:row>
    <x:row r="574" ht="18" customHeight="1">
      <x:c r="A574" s="46" t="str">
        <x:v>LME_045</x:v>
      </x:c>
      <x:c r="B574" s="46" t="str">
        <x:v>Northwest Australian Shelf</x:v>
      </x:c>
      <x:c r="C574" s="46" t="str">
        <x:v>commercial</x:v>
      </x:c>
      <x:c r="D574" s="46" t="str">
        <x:v>Sharks &amp; rays</x:v>
      </x:c>
      <x:c r="E574" s="66" t="n">
        <x:v>54</x:v>
      </x:c>
      <x:c r="F574" s="66" t="n">
        <x:v>54</x:v>
      </x:c>
      <x:c r="G574" s="60" t="n">
        <x:v>1067.5962278661998</x:v>
      </x:c>
      <x:c r="H574" s="60" t="n">
        <x:v>1067.5962278661998</x:v>
      </x:c>
      <x:c r="I574" s="62" t="n">
        <x:v>0</x:v>
      </x:c>
      <x:c r="J574" s="64" t="n">
        <x:v>1</x:v>
      </x:c>
      <x:c r="K574" s="62" t="n">
        <x:v>1921.4936242282852</x:v>
      </x:c>
      <x:c r="L574" s="60" t="n">
        <x:v>2051379.3450950703</x:v>
      </x:c>
      <x:c r="M574" s="62" t="n">
        <x:v>4.203621014716759</x:v>
      </x:c>
      <x:c r="N574" s="62" t="n">
        <x:v>1598.1627897805633</x:v>
      </x:c>
      <x:c r="O574" s="60" t="n">
        <x:v>1706192.5658858519</x:v>
      </x:c>
      <x:c r="P574" s="60" t="n">
        <x:v>345186.77920921845</x:v>
      </x:c>
      <x:c r="Q574" s="62" t="n">
        <x:v>1.202314079964355</x:v>
      </x:c>
      <x:c r="R574" s="64" t="n">
        <x:v>0.2023140799643551</x:v>
      </x:c>
    </x:row>
    <x:row r="575" ht="18" customHeight="1">
      <x:c r="A575" s="46" t="str">
        <x:v>LME_045</x:v>
      </x:c>
      <x:c r="B575" s="46" t="str">
        <x:v>Northwest Australian Shelf</x:v>
      </x:c>
      <x:c r="C575" s="46" t="str">
        <x:v>commercial</x:v>
      </x:c>
      <x:c r="D575" s="46" t="str">
        <x:v>Tuna &amp; billfishes</x:v>
      </x:c>
      <x:c r="E575" s="66" t="n">
        <x:v>17</x:v>
      </x:c>
      <x:c r="F575" s="66" t="n">
        <x:v>17</x:v>
      </x:c>
      <x:c r="G575" s="60" t="n">
        <x:v>877.0281523868999</x:v>
      </x:c>
      <x:c r="H575" s="60" t="n">
        <x:v>877.0281523868999</x:v>
      </x:c>
      <x:c r="I575" s="62" t="n">
        <x:v>0</x:v>
      </x:c>
      <x:c r="J575" s="64" t="n">
        <x:v>1</x:v>
      </x:c>
      <x:c r="K575" s="62" t="n">
        <x:v>2812.5080608736216</x:v>
      </x:c>
      <x:c r="L575" s="60" t="n">
        <x:v>2466648.748201255</x:v>
      </x:c>
      <x:c r="M575" s="62" t="n">
        <x:v>4.441145498127297</x:v>
      </x:c>
      <x:c r="N575" s="62" t="n">
        <x:v>2761.5028649755604</x:v>
      </x:c>
      <x:c r="O575" s="60" t="n">
        <x:v>2421915.7554806466</x:v>
      </x:c>
      <x:c r="P575" s="60" t="n">
        <x:v>44732.9927206086</x:v>
      </x:c>
      <x:c r="Q575" s="62" t="n">
        <x:v>1.0184700861784233</x:v>
      </x:c>
      <x:c r="R575" s="64" t="n">
        <x:v>0.018470086178423252</x:v>
      </x:c>
    </x:row>
    <x:row r="576" ht="18" customHeight="1">
      <x:c r="A576" s="46" t="str">
        <x:v>LME_046</x:v>
      </x:c>
      <x:c r="B576" s="46" t="str">
        <x:v>New Zealand Shelf</x:v>
      </x:c>
      <x:c r="C576" s="46" t="str">
        <x:v>commercial</x:v>
      </x:c>
      <x:c r="D576" s="46" t="str">
        <x:v>Cod-likes</x:v>
      </x:c>
      <x:c r="E576" s="66" t="n">
        <x:v>14</x:v>
      </x:c>
      <x:c r="F576" s="66" t="n">
        <x:v>14</x:v>
      </x:c>
      <x:c r="G576" s="60" t="n">
        <x:v>178685.88119714794</x:v>
      </x:c>
      <x:c r="H576" s="60" t="n">
        <x:v>178685.88119714794</x:v>
      </x:c>
      <x:c r="I576" s="62" t="n">
        <x:v>0</x:v>
      </x:c>
      <x:c r="J576" s="64" t="n">
        <x:v>1</x:v>
      </x:c>
      <x:c r="K576" s="62" t="n">
        <x:v>2979.722973930649</x:v>
      </x:c>
      <x:c r="L576" s="60" t="n">
        <x:v>532434425.3201843</x:v>
      </x:c>
      <x:c r="M576" s="62" t="n">
        <x:v>4.431326458589486</x:v>
      </x:c>
      <x:c r="N576" s="62" t="n">
        <x:v>2699.7680819907405</x:v>
      </x:c>
      <x:c r="O576" s="60" t="n">
        <x:v>482410438.75844944</x:v>
      </x:c>
      <x:c r="P576" s="60" t="n">
        <x:v>50023986.561734855</x:v>
      </x:c>
      <x:c r="Q576" s="62" t="n">
        <x:v>1.1036959040324221</x:v>
      </x:c>
      <x:c r="R576" s="64" t="n">
        <x:v>0.1036959040324222</x:v>
      </x:c>
    </x:row>
    <x:row r="577" ht="18" customHeight="1">
      <x:c r="A577" s="46" t="str">
        <x:v>LME_046</x:v>
      </x:c>
      <x:c r="B577" s="46" t="str">
        <x:v>New Zealand Shelf</x:v>
      </x:c>
      <x:c r="C577" s="46" t="str">
        <x:v>commercial</x:v>
      </x:c>
      <x:c r="D577" s="46" t="str">
        <x:v>Crustaceans</x:v>
      </x:c>
      <x:c r="E577" s="66" t="n">
        <x:v>12</x:v>
      </x:c>
      <x:c r="F577" s="66" t="n">
        <x:v>12</x:v>
      </x:c>
      <x:c r="G577" s="60" t="n">
        <x:v>4940.7829048258</x:v>
      </x:c>
      <x:c r="H577" s="60" t="n">
        <x:v>4940.7829048258</x:v>
      </x:c>
      <x:c r="I577" s="62" t="n">
        <x:v>0</x:v>
      </x:c>
      <x:c r="J577" s="64" t="n">
        <x:v>1</x:v>
      </x:c>
      <x:c r="K577" s="62" t="n">
        <x:v>82.7166655233807</x:v>
      </x:c>
      <x:c r="L577" s="60" t="n">
        <x:v>408685.086962113</x:v>
      </x:c>
      <x:c r="M577" s="62" t="n">
        <x:v>2.7333120575458705</x:v>
      </x:c>
      <x:c r="N577" s="62" t="n">
        <x:v>54.114301567357494</x:v>
      </x:c>
      <x:c r="O577" s="60" t="n">
        <x:v>267367.0160905879</x:v>
      </x:c>
      <x:c r="P577" s="60" t="n">
        <x:v>141318.0708715251</x:v>
      </x:c>
      <x:c r="Q577" s="62" t="n">
        <x:v>1.5285546173116749</x:v>
      </x:c>
      <x:c r="R577" s="64" t="n">
        <x:v>0.5285546173116749</x:v>
      </x:c>
    </x:row>
    <x:row r="578" ht="18" customHeight="1">
      <x:c r="A578" s="46" t="str">
        <x:v>LME_046</x:v>
      </x:c>
      <x:c r="B578" s="46" t="str">
        <x:v>New Zealand Shelf</x:v>
      </x:c>
      <x:c r="C578" s="46" t="str">
        <x:v>commercial</x:v>
      </x:c>
      <x:c r="D578" s="46" t="str">
        <x:v>Flatfishes</x:v>
      </x:c>
      <x:c r="E578" s="66" t="n">
        <x:v>3</x:v>
      </x:c>
      <x:c r="F578" s="66" t="n">
        <x:v>3</x:v>
      </x:c>
      <x:c r="G578" s="60" t="n">
        <x:v>1744.1310341793</x:v>
      </x:c>
      <x:c r="H578" s="60" t="n">
        <x:v>1744.1310341793</x:v>
      </x:c>
      <x:c r="I578" s="62" t="n">
        <x:v>0</x:v>
      </x:c>
      <x:c r="J578" s="64" t="n">
        <x:v>1</x:v>
      </x:c>
      <x:c r="K578" s="62" t="n">
        <x:v>376.73595209215324</x:v>
      </x:c>
      <x:c r="L578" s="60" t="n">
        <x:v>657076.8657350105</x:v>
      </x:c>
      <x:c r="M578" s="62" t="n">
        <x:v>3.5747846248444746</x:v>
      </x:c>
      <x:c r="N578" s="62" t="n">
        <x:v>375.6510653531689</x:v>
      </x:c>
      <x:c r="O578" s="60" t="n">
        <x:v>655184.6811049783</x:v>
      </x:c>
      <x:c r="P578" s="60" t="n">
        <x:v>1892.184630032163</x:v>
      </x:c>
      <x:c r="Q578" s="62" t="n">
        <x:v>1.0028880172027848</x:v>
      </x:c>
      <x:c r="R578" s="64" t="n">
        <x:v>0.0028880172027846663</x:v>
      </x:c>
    </x:row>
    <x:row r="579" ht="18" customHeight="1">
      <x:c r="A579" s="46" t="str">
        <x:v>LME_046</x:v>
      </x:c>
      <x:c r="B579" s="46" t="str">
        <x:v>New Zealand Shelf</x:v>
      </x:c>
      <x:c r="C579" s="46" t="str">
        <x:v>commercial</x:v>
      </x:c>
      <x:c r="D579" s="46" t="str">
        <x:v>Herring-likes</x:v>
      </x:c>
      <x:c r="E579" s="66" t="n">
        <x:v>2</x:v>
      </x:c>
      <x:c r="F579" s="66" t="n">
        <x:v>2</x:v>
      </x:c>
      <x:c r="G579" s="60" t="n">
        <x:v>430.4141602298</x:v>
      </x:c>
      <x:c r="H579" s="60" t="n">
        <x:v>430.4141602298</x:v>
      </x:c>
      <x:c r="I579" s="62" t="n">
        <x:v>0</x:v>
      </x:c>
      <x:c r="J579" s="64" t="n">
        <x:v>1</x:v>
      </x:c>
      <x:c r="K579" s="62" t="n">
        <x:v>69.30805759719638</x:v>
      </x:c>
      <x:c r="L579" s="60" t="n">
        <x:v>29831.169407855894</x:v>
      </x:c>
      <x:c r="M579" s="62" t="n">
        <x:v>2.8405306116609315</x:v>
      </x:c>
      <x:c r="N579" s="62" t="n">
        <x:v>69.26767516984502</x:v>
      </x:c>
      <x:c r="O579" s="60" t="n">
        <x:v>29813.788239299414</x:v>
      </x:c>
      <x:c r="P579" s="60" t="n">
        <x:v>17.38116855647968</x:v>
      </x:c>
      <x:c r="Q579" s="62" t="n">
        <x:v>1.0005829909442225</x:v>
      </x:c>
      <x:c r="R579" s="64" t="n">
        <x:v>0.0005829909442225284</x:v>
      </x:c>
    </x:row>
    <x:row r="580" ht="18" customHeight="1">
      <x:c r="A580" s="46" t="str">
        <x:v>LME_046</x:v>
      </x:c>
      <x:c r="B580" s="46" t="str">
        <x:v>New Zealand Shelf</x:v>
      </x:c>
      <x:c r="C580" s="46" t="str">
        <x:v>commercial</x:v>
      </x:c>
      <x:c r="D580" s="46" t="str">
        <x:v>Molluscs</x:v>
      </x:c>
      <x:c r="E580" s="66" t="n">
        <x:v>13</x:v>
      </x:c>
      <x:c r="F580" s="66" t="n">
        <x:v>13</x:v>
      </x:c>
      <x:c r="G580" s="60" t="n">
        <x:v>4651.5542577126</x:v>
      </x:c>
      <x:c r="H580" s="60" t="n">
        <x:v>4651.5542577126</x:v>
      </x:c>
      <x:c r="I580" s="62" t="n">
        <x:v>0</x:v>
      </x:c>
      <x:c r="J580" s="64" t="n">
        <x:v>1</x:v>
      </x:c>
      <x:c r="K580" s="62" t="n">
        <x:v>12.587303669716999</x:v>
      </x:c>
      <x:c r="L580" s="60" t="n">
        <x:v>58550.52597799354</x:v>
      </x:c>
      <x:c r="M580" s="62" t="n">
        <x:v>2.0837896634611974</x:v>
      </x:c>
      <x:c r="N580" s="62" t="n">
        <x:v>12.128013269576737</x:v>
      </x:c>
      <x:c r="O580" s="60" t="n">
        <x:v>56414.11176169458</x:v>
      </x:c>
      <x:c r="P580" s="60" t="n">
        <x:v>2136.414216298959</x:v>
      </x:c>
      <x:c r="Q580" s="62" t="n">
        <x:v>1.0378702092363634</x:v>
      </x:c>
      <x:c r="R580" s="64" t="n">
        <x:v>0.037870209236363334</x:v>
      </x:c>
    </x:row>
    <x:row r="581" ht="18" customHeight="1">
      <x:c r="A581" s="46" t="str">
        <x:v>LME_046</x:v>
      </x:c>
      <x:c r="B581" s="46" t="str">
        <x:v>New Zealand Shelf</x:v>
      </x:c>
      <x:c r="C581" s="46" t="str">
        <x:v>commercial</x:v>
      </x:c>
      <x:c r="D581" s="46" t="str">
        <x:v>Other fishes &amp; inverts</x:v>
      </x:c>
      <x:c r="E581" s="66" t="n">
        <x:v>41</x:v>
      </x:c>
      <x:c r="F581" s="66" t="n">
        <x:v>41</x:v>
      </x:c>
      <x:c r="G581" s="60" t="n">
        <x:v>68173.86640999098</x:v>
      </x:c>
      <x:c r="H581" s="60" t="n">
        <x:v>68173.86640999098</x:v>
      </x:c>
      <x:c r="I581" s="62" t="n">
        <x:v>0</x:v>
      </x:c>
      <x:c r="J581" s="64" t="n">
        <x:v>1</x:v>
      </x:c>
      <x:c r="K581" s="62" t="n">
        <x:v>840.3882379362565</x:v>
      </x:c>
      <x:c r="L581" s="60" t="n">
        <x:v>57292515.46559406</x:v>
      </x:c>
      <x:c r="M581" s="62" t="n">
        <x:v>3.6740758984782547</x:v>
      </x:c>
      <x:c r="N581" s="62" t="n">
        <x:v>472.1455474867236</x:v>
      </x:c>
      <x:c r="O581" s="60" t="n">
        <x:v>32187987.480431948</x:v>
      </x:c>
      <x:c r="P581" s="60" t="n">
        <x:v>25104527.985162113</x:v>
      </x:c>
      <x:c r="Q581" s="62" t="n">
        <x:v>1.7799346883809966</x:v>
      </x:c>
      <x:c r="R581" s="64" t="n">
        <x:v>0.7799346883809967</x:v>
      </x:c>
    </x:row>
    <x:row r="582" ht="18" customHeight="1">
      <x:c r="A582" s="46" t="str">
        <x:v>LME_046</x:v>
      </x:c>
      <x:c r="B582" s="46" t="str">
        <x:v>New Zealand Shelf</x:v>
      </x:c>
      <x:c r="C582" s="46" t="str">
        <x:v>commercial</x:v>
      </x:c>
      <x:c r="D582" s="46" t="str">
        <x:v>Perch-likes</x:v>
      </x:c>
      <x:c r="E582" s="66" t="n">
        <x:v>54</x:v>
      </x:c>
      <x:c r="F582" s="66" t="n">
        <x:v>54</x:v>
      </x:c>
      <x:c r="G582" s="60" t="n">
        <x:v>135109.09544216798</x:v>
      </x:c>
      <x:c r="H582" s="60" t="n">
        <x:v>135109.09544216798</x:v>
      </x:c>
      <x:c r="I582" s="62" t="n">
        <x:v>0</x:v>
      </x:c>
      <x:c r="J582" s="64" t="n">
        <x:v>1</x:v>
      </x:c>
      <x:c r="K582" s="62" t="n">
        <x:v>554.0857037169033</x:v>
      </x:c>
      <x:c r="L582" s="60" t="n">
        <x:v>74862018.22662789</x:v>
      </x:c>
      <x:c r="M582" s="62" t="n">
        <x:v>3.6702864170866945</x:v>
      </x:c>
      <x:c r="N582" s="62" t="n">
        <x:v>468.0437142198953</x:v>
      </x:c>
      <x:c r="O582" s="60" t="n">
        <x:v>63236962.85564263</x:v>
      </x:c>
      <x:c r="P582" s="60" t="n">
        <x:v>11625055.370985255</x:v>
      </x:c>
      <x:c r="Q582" s="62" t="n">
        <x:v>1.183833233697876</x:v>
      </x:c>
      <x:c r="R582" s="64" t="n">
        <x:v>0.183833233697876</x:v>
      </x:c>
    </x:row>
    <x:row r="583" ht="18" customHeight="1">
      <x:c r="A583" s="46" t="str">
        <x:v>LME_046</x:v>
      </x:c>
      <x:c r="B583" s="46" t="str">
        <x:v>New Zealand Shelf</x:v>
      </x:c>
      <x:c r="C583" s="46" t="str">
        <x:v>commercial</x:v>
      </x:c>
      <x:c r="D583" s="46" t="str">
        <x:v>Salmon, smelts, etc</x:v>
      </x:c>
      <x:c r="E583" s="66" t="n">
        <x:v>1</x:v>
      </x:c>
      <x:c r="F583" s="66" t="n">
        <x:v>1</x:v>
      </x:c>
      <x:c r="G583" s="60" t="n">
        <x:v>53.5137165605</x:v>
      </x:c>
      <x:c r="H583" s="60" t="n">
        <x:v>53.5137165605</x:v>
      </x:c>
      <x:c r="I583" s="62" t="n">
        <x:v>0</x:v>
      </x:c>
      <x:c r="J583" s="64" t="n">
        <x:v>1</x:v>
      </x:c>
      <x:c r="K583" s="62" t="n">
        <x:v>251.18864315095797</x:v>
      </x:c>
      <x:c r="L583" s="60" t="n">
        <x:v>13442.037852796944</x:v>
      </x:c>
      <x:c r="M583" s="62" t="n">
        <x:v>3.4</x:v>
      </x:c>
      <x:c r="N583" s="62" t="n">
        <x:v>251.18864315095797</x:v>
      </x:c>
      <x:c r="O583" s="60" t="n">
        <x:v>13442.037852796944</x:v>
      </x:c>
      <x:c r="P583" s="60" t="n">
        <x:v>0</x:v>
      </x:c>
      <x:c r="Q583" s="62" t="n">
        <x:v>1</x:v>
      </x:c>
      <x:c r="R583" s="64" t="n">
        <x:v>0</x:v>
      </x:c>
    </x:row>
    <x:row r="584" ht="18" customHeight="1">
      <x:c r="A584" s="46" t="str">
        <x:v>LME_046</x:v>
      </x:c>
      <x:c r="B584" s="46" t="str">
        <x:v>New Zealand Shelf</x:v>
      </x:c>
      <x:c r="C584" s="46" t="str">
        <x:v>commercial</x:v>
      </x:c>
      <x:c r="D584" s="46" t="str">
        <x:v>Scorpionfishes</x:v>
      </x:c>
      <x:c r="E584" s="66" t="n">
        <x:v>4</x:v>
      </x:c>
      <x:c r="F584" s="66" t="n">
        <x:v>4</x:v>
      </x:c>
      <x:c r="G584" s="60" t="n">
        <x:v>4646.585393527099</x:v>
      </x:c>
      <x:c r="H584" s="60" t="n">
        <x:v>4646.585393527099</x:v>
      </x:c>
      <x:c r="I584" s="62" t="n">
        <x:v>0</x:v>
      </x:c>
      <x:c r="J584" s="64" t="n">
        <x:v>1</x:v>
      </x:c>
      <x:c r="K584" s="62" t="n">
        <x:v>477.126397749934</x:v>
      </x:c>
      <x:c r="L584" s="60" t="n">
        <x:v>2217008.550651044</x:v>
      </x:c>
      <x:c r="M584" s="62" t="n">
        <x:v>3.678091057377281</x:v>
      </x:c>
      <x:c r="N584" s="62" t="n">
        <x:v>476.53088930520016</x:v>
      </x:c>
      <x:c r="O584" s="60" t="n">
        <x:v>2214241.469810022</x:v>
      </x:c>
      <x:c r="P584" s="60" t="n">
        <x:v>2767.080841022078</x:v>
      </x:c>
      <x:c r="Q584" s="62" t="n">
        <x:v>1.0012496743822883</x:v>
      </x:c>
      <x:c r="R584" s="64" t="n">
        <x:v>0.0012496743822883456</x:v>
      </x:c>
    </x:row>
    <x:row r="585" ht="18" customHeight="1">
      <x:c r="A585" s="46" t="str">
        <x:v>LME_046</x:v>
      </x:c>
      <x:c r="B585" s="46" t="str">
        <x:v>New Zealand Shelf</x:v>
      </x:c>
      <x:c r="C585" s="46" t="str">
        <x:v>commercial</x:v>
      </x:c>
      <x:c r="D585" s="46" t="str">
        <x:v>Sharks &amp; rays</x:v>
      </x:c>
      <x:c r="E585" s="66" t="n">
        <x:v>41</x:v>
      </x:c>
      <x:c r="F585" s="66" t="n">
        <x:v>41</x:v>
      </x:c>
      <x:c r="G585" s="60" t="n">
        <x:v>25831.5340325295</x:v>
      </x:c>
      <x:c r="H585" s="60" t="n">
        <x:v>25831.5340325295</x:v>
      </x:c>
      <x:c r="I585" s="62" t="n">
        <x:v>0</x:v>
      </x:c>
      <x:c r="J585" s="64" t="n">
        <x:v>1</x:v>
      </x:c>
      <x:c r="K585" s="62" t="n">
        <x:v>1475.1678763631205</x:v>
      </x:c>
      <x:c r="L585" s="60" t="n">
        <x:v>38105849.201968215</x:v>
      </x:c>
      <x:c r="M585" s="62" t="n">
        <x:v>4.0545931631543155</x:v>
      </x:c>
      <x:c r="N585" s="62" t="n">
        <x:v>1133.948062121684</x:v>
      </x:c>
      <x:c r="O585" s="60" t="n">
        <x:v>29291617.957817156</x:v>
      </x:c>
      <x:c r="P585" s="60" t="n">
        <x:v>8814231.24415106</x:v>
      </x:c>
      <x:c r="Q585" s="62" t="n">
        <x:v>1.300913089090689</x:v>
      </x:c>
      <x:c r="R585" s="64" t="n">
        <x:v>0.300913089090689</x:v>
      </x:c>
    </x:row>
    <x:row r="586" ht="18" customHeight="1">
      <x:c r="A586" s="46" t="str">
        <x:v>LME_046</x:v>
      </x:c>
      <x:c r="B586" s="46" t="str">
        <x:v>New Zealand Shelf</x:v>
      </x:c>
      <x:c r="C586" s="46" t="str">
        <x:v>commercial</x:v>
      </x:c>
      <x:c r="D586" s="46" t="str">
        <x:v>Tuna &amp; billfishes</x:v>
      </x:c>
      <x:c r="E586" s="66" t="n">
        <x:v>12</x:v>
      </x:c>
      <x:c r="F586" s="66" t="n">
        <x:v>12</x:v>
      </x:c>
      <x:c r="G586" s="60" t="n">
        <x:v>6860.4186178615</x:v>
      </x:c>
      <x:c r="H586" s="60" t="n">
        <x:v>6860.4186178615</x:v>
      </x:c>
      <x:c r="I586" s="62" t="n">
        <x:v>0</x:v>
      </x:c>
      <x:c r="J586" s="64" t="n">
        <x:v>1</x:v>
      </x:c>
      <x:c r="K586" s="62" t="n">
        <x:v>2409.6035687390245</x:v>
      </x:c>
      <x:c r="L586" s="60" t="n">
        <x:v>16530889.184642715</x:v>
      </x:c>
      <x:c r="M586" s="62" t="n">
        <x:v>4.357214532525149</x:v>
      </x:c>
      <x:c r="N586" s="62" t="n">
        <x:v>2276.2215596484502</x:v>
      </x:c>
      <x:c r="O586" s="60" t="n">
        <x:v>15615832.766189968</x:v>
      </x:c>
      <x:c r="P586" s="60" t="n">
        <x:v>915056.4184527472</x:v>
      </x:c>
      <x:c r="Q586" s="62" t="n">
        <x:v>1.0585979903956162</x:v>
      </x:c>
      <x:c r="R586" s="64" t="n">
        <x:v>0.05859799039561611</x:v>
      </x:c>
    </x:row>
    <x:row r="587" ht="18" customHeight="1">
      <x:c r="A587" s="46" t="str">
        <x:v>LME_047</x:v>
      </x:c>
      <x:c r="B587" s="46" t="str">
        <x:v>East China Sea</x:v>
      </x:c>
      <x:c r="C587" s="46" t="str">
        <x:v>commercial</x:v>
      </x:c>
      <x:c r="D587" s="46" t="str">
        <x:v>Anchovies</x:v>
      </x:c>
      <x:c r="E587" s="66" t="n">
        <x:v>3</x:v>
      </x:c>
      <x:c r="F587" s="66" t="n">
        <x:v>3</x:v>
      </x:c>
      <x:c r="G587" s="60" t="n">
        <x:v>454628.9630161339</x:v>
      </x:c>
      <x:c r="H587" s="60" t="n">
        <x:v>454628.9630161339</x:v>
      </x:c>
      <x:c r="I587" s="62" t="n">
        <x:v>0</x:v>
      </x:c>
      <x:c r="J587" s="64" t="n">
        <x:v>1</x:v>
      </x:c>
      <x:c r="K587" s="62" t="n">
        <x:v>138.0588241329305</x:v>
      </x:c>
      <x:c r="L587" s="60" t="n">
        <x:v>62765540.05078099</x:v>
      </x:c>
      <x:c r="M587" s="62" t="n">
        <x:v>3.140059778697121</x:v>
      </x:c>
      <x:c r="N587" s="62" t="n">
        <x:v>138.0574281413255</x:v>
      </x:c>
      <x:c r="O587" s="60" t="n">
        <x:v>62764905.39256523</x:v>
      </x:c>
      <x:c r="P587" s="60" t="n">
        <x:v>634.6582157611847</x:v>
      </x:c>
      <x:c r="Q587" s="62" t="n">
        <x:v>1.0000101116732638</x:v>
      </x:c>
      <x:c r="R587" s="64" t="n">
        <x:v>0.000010111673263772061</x:v>
      </x:c>
    </x:row>
    <x:row r="588" ht="18" customHeight="1">
      <x:c r="A588" s="46" t="str">
        <x:v>LME_047</x:v>
      </x:c>
      <x:c r="B588" s="46" t="str">
        <x:v>East China Sea</x:v>
      </x:c>
      <x:c r="C588" s="46" t="str">
        <x:v>commercial</x:v>
      </x:c>
      <x:c r="D588" s="46" t="str">
        <x:v>Cod-likes</x:v>
      </x:c>
      <x:c r="E588" s="66" t="n">
        <x:v>3</x:v>
      </x:c>
      <x:c r="F588" s="66" t="n">
        <x:v>3</x:v>
      </x:c>
      <x:c r="G588" s="60" t="n">
        <x:v>38524.95924793061</x:v>
      </x:c>
      <x:c r="H588" s="60" t="n">
        <x:v>38524.95924793061</x:v>
      </x:c>
      <x:c r="I588" s="62" t="n">
        <x:v>0</x:v>
      </x:c>
      <x:c r="J588" s="64" t="n">
        <x:v>1</x:v>
      </x:c>
      <x:c r="K588" s="62" t="n">
        <x:v>1419.3137191859473</x:v>
      </x:c>
      <x:c r="L588" s="60" t="n">
        <x:v>54679003.191667445</x:v>
      </x:c>
      <x:c r="M588" s="62" t="n">
        <x:v>4.147533967293153</x:v>
      </x:c>
      <x:c r="N588" s="62" t="n">
        <x:v>1404.5395319466575</x:v>
      </x:c>
      <x:c r="O588" s="60" t="n">
        <x:v>54109828.230352506</x:v>
      </x:c>
      <x:c r="P588" s="60" t="n">
        <x:v>569174.961314939</x:v>
      </x:c>
      <x:c r="Q588" s="62" t="n">
        <x:v>1.0105188831665088</x:v>
      </x:c>
      <x:c r="R588" s="64" t="n">
        <x:v>0.010518883166508826</x:v>
      </x:c>
    </x:row>
    <x:row r="589" ht="18" customHeight="1">
      <x:c r="A589" s="46" t="str">
        <x:v>LME_047</x:v>
      </x:c>
      <x:c r="B589" s="46" t="str">
        <x:v>East China Sea</x:v>
      </x:c>
      <x:c r="C589" s="46" t="str">
        <x:v>commercial</x:v>
      </x:c>
      <x:c r="D589" s="46" t="str">
        <x:v>Crustaceans</x:v>
      </x:c>
      <x:c r="E589" s="66" t="n">
        <x:v>31</x:v>
      </x:c>
      <x:c r="F589" s="66" t="n">
        <x:v>31</x:v>
      </x:c>
      <x:c r="G589" s="60" t="n">
        <x:v>675289.6548110644</x:v>
      </x:c>
      <x:c r="H589" s="60" t="n">
        <x:v>675289.6548110644</x:v>
      </x:c>
      <x:c r="I589" s="62" t="n">
        <x:v>0</x:v>
      </x:c>
      <x:c r="J589" s="64" t="n">
        <x:v>1</x:v>
      </x:c>
      <x:c r="K589" s="62" t="n">
        <x:v>156.52912937187233</x:v>
      </x:c>
      <x:c r="L589" s="60" t="n">
        <x:v>105702501.74140811</x:v>
      </x:c>
      <x:c r="M589" s="62" t="n">
        <x:v>2.849226881082793</x:v>
      </x:c>
      <x:c r="N589" s="62" t="n">
        <x:v>70.66866401340513</x:v>
      </x:c>
      <x:c r="O589" s="60" t="n">
        <x:v>47721817.72757144</x:v>
      </x:c>
      <x:c r="P589" s="60" t="n">
        <x:v>57980684.01383667</x:v>
      </x:c>
      <x:c r="Q589" s="62" t="n">
        <x:v>2.2149722448719324</x:v>
      </x:c>
      <x:c r="R589" s="64" t="n">
        <x:v>1.2149722448719327</x:v>
      </x:c>
    </x:row>
    <x:row r="590" ht="18" customHeight="1">
      <x:c r="A590" s="46" t="str">
        <x:v>LME_047</x:v>
      </x:c>
      <x:c r="B590" s="46" t="str">
        <x:v>East China Sea</x:v>
      </x:c>
      <x:c r="C590" s="46" t="str">
        <x:v>commercial</x:v>
      </x:c>
      <x:c r="D590" s="46" t="str">
        <x:v>Flatfishes</x:v>
      </x:c>
      <x:c r="E590" s="66" t="n">
        <x:v>6</x:v>
      </x:c>
      <x:c r="F590" s="66" t="n">
        <x:v>6</x:v>
      </x:c>
      <x:c r="G590" s="60" t="n">
        <x:v>23310.9932568192</x:v>
      </x:c>
      <x:c r="H590" s="60" t="n">
        <x:v>23310.9932568192</x:v>
      </x:c>
      <x:c r="I590" s="62" t="n">
        <x:v>0</x:v>
      </x:c>
      <x:c r="J590" s="64" t="n">
        <x:v>1</x:v>
      </x:c>
      <x:c r="K590" s="62" t="n">
        <x:v>790.7689902126689</x:v>
      </x:c>
      <x:c r="L590" s="60" t="n">
        <x:v>18433610.598549254</x:v>
      </x:c>
      <x:c r="M590" s="62" t="n">
        <x:v>3.7539228886580993</x:v>
      </x:c>
      <x:c r="N590" s="62" t="n">
        <x:v>567.4438437298109</x:v>
      </x:c>
      <x:c r="O590" s="60" t="n">
        <x:v>13227679.614809189</x:v>
      </x:c>
      <x:c r="P590" s="60" t="n">
        <x:v>5205930.983740065</x:v>
      </x:c>
      <x:c r="Q590" s="62" t="n">
        <x:v>1.3935634317837355</x:v>
      </x:c>
      <x:c r="R590" s="64" t="n">
        <x:v>0.39356343178373554</x:v>
      </x:c>
    </x:row>
    <x:row r="591" ht="18" customHeight="1">
      <x:c r="A591" s="46" t="str">
        <x:v>LME_047</x:v>
      </x:c>
      <x:c r="B591" s="46" t="str">
        <x:v>East China Sea</x:v>
      </x:c>
      <x:c r="C591" s="46" t="str">
        <x:v>commercial</x:v>
      </x:c>
      <x:c r="D591" s="46" t="str">
        <x:v>Herring-likes</x:v>
      </x:c>
      <x:c r="E591" s="66" t="n">
        <x:v>10</x:v>
      </x:c>
      <x:c r="F591" s="66" t="n">
        <x:v>10</x:v>
      </x:c>
      <x:c r="G591" s="60" t="n">
        <x:v>531385.4480865031</x:v>
      </x:c>
      <x:c r="H591" s="60" t="n">
        <x:v>531385.4480865031</x:v>
      </x:c>
      <x:c r="I591" s="62" t="n">
        <x:v>0</x:v>
      </x:c>
      <x:c r="J591" s="64" t="n">
        <x:v>1</x:v>
      </x:c>
      <x:c r="K591" s="62" t="n">
        <x:v>107.95428447905492</x:v>
      </x:c>
      <x:c r="L591" s="60" t="n">
        <x:v>57365335.83076042</x:v>
      </x:c>
      <x:c r="M591" s="62" t="n">
        <x:v>2.9353863811764684</x:v>
      </x:c>
      <x:c r="N591" s="62" t="n">
        <x:v>86.17600981126223</x:v>
      </x:c>
      <x:c r="O591" s="60" t="n">
        <x:v>45792677.587864466</x:v>
      </x:c>
      <x:c r="P591" s="60" t="n">
        <x:v>11572658.242895953</x:v>
      </x:c>
      <x:c r="Q591" s="62" t="n">
        <x:v>1.2527185317061003</x:v>
      </x:c>
      <x:c r="R591" s="64" t="n">
        <x:v>0.25271853170610026</x:v>
      </x:c>
    </x:row>
    <x:row r="592" ht="18" customHeight="1">
      <x:c r="A592" s="46" t="str">
        <x:v>LME_047</x:v>
      </x:c>
      <x:c r="B592" s="46" t="str">
        <x:v>East China Sea</x:v>
      </x:c>
      <x:c r="C592" s="46" t="str">
        <x:v>commercial</x:v>
      </x:c>
      <x:c r="D592" s="46" t="str">
        <x:v>Molluscs</x:v>
      </x:c>
      <x:c r="E592" s="66" t="n">
        <x:v>20</x:v>
      </x:c>
      <x:c r="F592" s="66" t="n">
        <x:v>20</x:v>
      </x:c>
      <x:c r="G592" s="60" t="n">
        <x:v>237555.4154648459</x:v>
      </x:c>
      <x:c r="H592" s="60" t="n">
        <x:v>237555.4154648459</x:v>
      </x:c>
      <x:c r="I592" s="62" t="n">
        <x:v>0</x:v>
      </x:c>
      <x:c r="J592" s="64" t="n">
        <x:v>1</x:v>
      </x:c>
      <x:c r="K592" s="62" t="n">
        <x:v>13.437349585521806</x:v>
      </x:c>
      <x:c r="L592" s="60" t="n">
        <x:v>3192115.1635350073</x:v>
      </x:c>
      <x:c r="M592" s="62" t="n">
        <x:v>2.0462365377571445</x:v>
      </x:c>
      <x:c r="N592" s="62" t="n">
        <x:v>11.12337395014937</x:v>
      </x:c>
      <x:c r="O592" s="60" t="n">
        <x:v>2642417.7200985774</x:v>
      </x:c>
      <x:c r="P592" s="60" t="n">
        <x:v>549697.4434364298</x:v>
      </x:c>
      <x:c r="Q592" s="62" t="n">
        <x:v>1.2080282156963142</x:v>
      </x:c>
      <x:c r="R592" s="64" t="n">
        <x:v>0.20802821569631427</x:v>
      </x:c>
    </x:row>
    <x:row r="593" ht="18" customHeight="1">
      <x:c r="A593" s="46" t="str">
        <x:v>LME_047</x:v>
      </x:c>
      <x:c r="B593" s="46" t="str">
        <x:v>East China Sea</x:v>
      </x:c>
      <x:c r="C593" s="46" t="str">
        <x:v>commercial</x:v>
      </x:c>
      <x:c r="D593" s="46" t="str">
        <x:v>Other fishes &amp; inverts</x:v>
      </x:c>
      <x:c r="E593" s="66" t="n">
        <x:v>53</x:v>
      </x:c>
      <x:c r="F593" s="66" t="n">
        <x:v>53</x:v>
      </x:c>
      <x:c r="G593" s="60" t="n">
        <x:v>1467729.6398684385</x:v>
      </x:c>
      <x:c r="H593" s="60" t="n">
        <x:v>1467729.6398684385</x:v>
      </x:c>
      <x:c r="I593" s="62" t="n">
        <x:v>0</x:v>
      </x:c>
      <x:c r="J593" s="64" t="n">
        <x:v>1</x:v>
      </x:c>
      <x:c r="K593" s="62" t="n">
        <x:v>610.5855126260799</x:v>
      </x:c>
      <x:c r="L593" s="60" t="n">
        <x:v>896174454.5555621</x:v>
      </x:c>
      <x:c r="M593" s="62" t="n">
        <x:v>3.562752273323506</x:v>
      </x:c>
      <x:c r="N593" s="62" t="n">
        <x:v>365.3863115127634</x:v>
      </x:c>
      <x:c r="O593" s="60" t="n">
        <x:v>536288319.40948534</x:v>
      </x:c>
      <x:c r="P593" s="60" t="n">
        <x:v>359886135.1460768</x:v>
      </x:c>
      <x:c r="Q593" s="62" t="n">
        <x:v>1.6710683826609398</x:v>
      </x:c>
      <x:c r="R593" s="64" t="n">
        <x:v>0.6710683826609397</x:v>
      </x:c>
    </x:row>
    <x:row r="594" ht="18" customHeight="1">
      <x:c r="A594" s="46" t="str">
        <x:v>LME_047</x:v>
      </x:c>
      <x:c r="B594" s="46" t="str">
        <x:v>East China Sea</x:v>
      </x:c>
      <x:c r="C594" s="46" t="str">
        <x:v>commercial</x:v>
      </x:c>
      <x:c r="D594" s="46" t="str">
        <x:v>Perch-likes</x:v>
      </x:c>
      <x:c r="E594" s="66" t="n">
        <x:v>91</x:v>
      </x:c>
      <x:c r="F594" s="66" t="n">
        <x:v>91</x:v>
      </x:c>
      <x:c r="G594" s="60" t="n">
        <x:v>2114850.9149905555</x:v>
      </x:c>
      <x:c r="H594" s="60" t="n">
        <x:v>2114850.9149905555</x:v>
      </x:c>
      <x:c r="I594" s="62" t="n">
        <x:v>0</x:v>
      </x:c>
      <x:c r="J594" s="64" t="n">
        <x:v>1</x:v>
      </x:c>
      <x:c r="K594" s="62" t="n">
        <x:v>945.7892890757943</x:v>
      </x:c>
      <x:c r="L594" s="60" t="n">
        <x:v>2000203343.3902106</x:v>
      </x:c>
      <x:c r="M594" s="62" t="n">
        <x:v>3.6997918258146196</x:v>
      </x:c>
      <x:c r="N594" s="62" t="n">
        <x:v>500.9470527207667</x:v>
      </x:c>
      <x:c r="O594" s="60" t="n">
        <x:v>1059428332.8083354</x:v>
      </x:c>
      <x:c r="P594" s="60" t="n">
        <x:v>940775010.5818752</x:v>
      </x:c>
      <x:c r="Q594" s="62" t="n">
        <x:v>1.8880025023382812</x:v>
      </x:c>
      <x:c r="R594" s="64" t="n">
        <x:v>0.8880025023382812</x:v>
      </x:c>
    </x:row>
    <x:row r="595" ht="18" customHeight="1">
      <x:c r="A595" s="46" t="str">
        <x:v>LME_047</x:v>
      </x:c>
      <x:c r="B595" s="46" t="str">
        <x:v>East China Sea</x:v>
      </x:c>
      <x:c r="C595" s="46" t="str">
        <x:v>commercial</x:v>
      </x:c>
      <x:c r="D595" s="46" t="str">
        <x:v>Salmon, smelts, etc</x:v>
      </x:c>
      <x:c r="E595" s="66" t="n">
        <x:v>3</x:v>
      </x:c>
      <x:c r="F595" s="66" t="n">
        <x:v>3</x:v>
      </x:c>
      <x:c r="G595" s="60" t="n">
        <x:v>25523.5132571323</x:v>
      </x:c>
      <x:c r="H595" s="60" t="n">
        <x:v>25523.5132571323</x:v>
      </x:c>
      <x:c r="I595" s="62" t="n">
        <x:v>0</x:v>
      </x:c>
      <x:c r="J595" s="64" t="n">
        <x:v>1</x:v>
      </x:c>
      <x:c r="K595" s="62" t="n">
        <x:v>847.2358837733796</x:v>
      </x:c>
      <x:c r="L595" s="60" t="n">
        <x:v>21624436.311408054</x:v>
      </x:c>
      <x:c r="M595" s="62" t="n">
        <x:v>3.9030115137737282</x:v>
      </x:c>
      <x:c r="N595" s="62" t="n">
        <x:v>799.8554600489769</x:v>
      </x:c>
      <x:c r="O595" s="60" t="n">
        <x:v>20415121.438349716</x:v>
      </x:c>
      <x:c r="P595" s="60" t="n">
        <x:v>1209314.8730583377</x:v>
      </x:c>
      <x:c r="Q595" s="62" t="n">
        <x:v>1.0592362321581221</x:v>
      </x:c>
      <x:c r="R595" s="64" t="n">
        <x:v>0.05923623215812202</x:v>
      </x:c>
    </x:row>
    <x:row r="596" ht="18" customHeight="1">
      <x:c r="A596" s="46" t="str">
        <x:v>LME_047</x:v>
      </x:c>
      <x:c r="B596" s="46" t="str">
        <x:v>East China Sea</x:v>
      </x:c>
      <x:c r="C596" s="46" t="str">
        <x:v>commercial</x:v>
      </x:c>
      <x:c r="D596" s="46" t="str">
        <x:v>Scorpionfishes</x:v>
      </x:c>
      <x:c r="E596" s="66" t="n">
        <x:v>9</x:v>
      </x:c>
      <x:c r="F596" s="66" t="n">
        <x:v>9</x:v>
      </x:c>
      <x:c r="G596" s="60" t="n">
        <x:v>11817.8142094672</x:v>
      </x:c>
      <x:c r="H596" s="60" t="n">
        <x:v>11817.8142094672</x:v>
      </x:c>
      <x:c r="I596" s="62" t="n">
        <x:v>0</x:v>
      </x:c>
      <x:c r="J596" s="64" t="n">
        <x:v>1</x:v>
      </x:c>
      <x:c r="K596" s="62" t="n">
        <x:v>527.1294066812211</x:v>
      </x:c>
      <x:c r="L596" s="60" t="n">
        <x:v>6229517.392505349</x:v>
      </x:c>
      <x:c r="M596" s="62" t="n">
        <x:v>3.702939803774302</x:v>
      </x:c>
      <x:c r="N596" s="62" t="n">
        <x:v>504.5913528569234</x:v>
      </x:c>
      <x:c r="O596" s="60" t="n">
        <x:v>5963166.859766827</x:v>
      </x:c>
      <x:c r="P596" s="60" t="n">
        <x:v>266350.5327385217</x:v>
      </x:c>
      <x:c r="Q596" s="62" t="n">
        <x:v>1.0446659533436125</x:v>
      </x:c>
      <x:c r="R596" s="64" t="n">
        <x:v>0.044665953343612556</x:v>
      </x:c>
    </x:row>
    <x:row r="597" ht="18" customHeight="1">
      <x:c r="A597" s="46" t="str">
        <x:v>LME_047</x:v>
      </x:c>
      <x:c r="B597" s="46" t="str">
        <x:v>East China Sea</x:v>
      </x:c>
      <x:c r="C597" s="46" t="str">
        <x:v>commercial</x:v>
      </x:c>
      <x:c r="D597" s="46" t="str">
        <x:v>Sharks &amp; rays</x:v>
      </x:c>
      <x:c r="E597" s="66" t="n">
        <x:v>11</x:v>
      </x:c>
      <x:c r="F597" s="66" t="n">
        <x:v>11</x:v>
      </x:c>
      <x:c r="G597" s="60" t="n">
        <x:v>3093.6794243219</x:v>
      </x:c>
      <x:c r="H597" s="60" t="n">
        <x:v>3093.6794243219</x:v>
      </x:c>
      <x:c r="I597" s="62" t="n">
        <x:v>0</x:v>
      </x:c>
      <x:c r="J597" s="64" t="n">
        <x:v>1</x:v>
      </x:c>
      <x:c r="K597" s="62" t="n">
        <x:v>1120.9056697104777</x:v>
      </x:c>
      <x:c r="L597" s="60" t="n">
        <x:v>3467722.8069890644</x:v>
      </x:c>
      <x:c r="M597" s="62" t="n">
        <x:v>4.039746465292913</x:v>
      </x:c>
      <x:c r="N597" s="62" t="n">
        <x:v>1095.838275165863</x:v>
      </x:c>
      <x:c r="O597" s="60" t="n">
        <x:v>3390172.324265031</x:v>
      </x:c>
      <x:c r="P597" s="60" t="n">
        <x:v>77550.4827240333</x:v>
      </x:c>
      <x:c r="Q597" s="62" t="n">
        <x:v>1.0228750857792592</x:v>
      </x:c>
      <x:c r="R597" s="64" t="n">
        <x:v>0.02287508577925925</x:v>
      </x:c>
    </x:row>
    <x:row r="598" ht="18" customHeight="1">
      <x:c r="A598" s="46" t="str">
        <x:v>LME_047</x:v>
      </x:c>
      <x:c r="B598" s="46" t="str">
        <x:v>East China Sea</x:v>
      </x:c>
      <x:c r="C598" s="46" t="str">
        <x:v>commercial</x:v>
      </x:c>
      <x:c r="D598" s="46" t="str">
        <x:v>Tuna &amp; billfishes</x:v>
      </x:c>
      <x:c r="E598" s="66" t="n">
        <x:v>14</x:v>
      </x:c>
      <x:c r="F598" s="66" t="n">
        <x:v>14</x:v>
      </x:c>
      <x:c r="G598" s="60" t="n">
        <x:v>66118.98857698057</x:v>
      </x:c>
      <x:c r="H598" s="60" t="n">
        <x:v>66118.98857698057</x:v>
      </x:c>
      <x:c r="I598" s="62" t="n">
        <x:v>0</x:v>
      </x:c>
      <x:c r="J598" s="64" t="n">
        <x:v>1</x:v>
      </x:c>
      <x:c r="K598" s="62" t="n">
        <x:v>2522.8346366436963</x:v>
      </x:c>
      <x:c r="L598" s="60" t="n">
        <x:v>166807274.52185547</x:v>
      </x:c>
      <x:c r="M598" s="62" t="n">
        <x:v>4.395223895578804</x:v>
      </x:c>
      <x:c r="N598" s="62" t="n">
        <x:v>2484.413586355626</x:v>
      </x:c>
      <x:c r="O598" s="60" t="n">
        <x:v>164266913.536743</x:v>
      </x:c>
      <x:c r="P598" s="60" t="n">
        <x:v>2540360.9851124883</x:v>
      </x:c>
      <x:c r="Q598" s="62" t="n">
        <x:v>1.015464836651626</x:v>
      </x:c>
      <x:c r="R598" s="64" t="n">
        <x:v>0.015464836651625916</x:v>
      </x:c>
    </x:row>
    <x:row r="599" ht="18" customHeight="1">
      <x:c r="A599" s="46" t="str">
        <x:v>LME_048</x:v>
      </x:c>
      <x:c r="B599" s="46" t="str">
        <x:v>Yellow Sea</x:v>
      </x:c>
      <x:c r="C599" s="46" t="str">
        <x:v>commercial</x:v>
      </x:c>
      <x:c r="D599" s="46" t="str">
        <x:v>Anchovies</x:v>
      </x:c>
      <x:c r="E599" s="66" t="n">
        <x:v>2</x:v>
      </x:c>
      <x:c r="F599" s="66" t="n">
        <x:v>2</x:v>
      </x:c>
      <x:c r="G599" s="60" t="n">
        <x:v>187682.1619667398</x:v>
      </x:c>
      <x:c r="H599" s="60" t="n">
        <x:v>187682.1619667398</x:v>
      </x:c>
      <x:c r="I599" s="62" t="n">
        <x:v>0</x:v>
      </x:c>
      <x:c r="J599" s="64" t="n">
        <x:v>1</x:v>
      </x:c>
      <x:c r="K599" s="62" t="n">
        <x:v>138.06496794328456</x:v>
      </x:c>
      <x:c r="L599" s="60" t="n">
        <x:v>25912331.675464272</x:v>
      </x:c>
      <x:c r="M599" s="62" t="n">
        <x:v>3.1400778689222246</x:v>
      </x:c>
      <x:c r="N599" s="62" t="n">
        <x:v>138.06317894423154</x:v>
      </x:c>
      <x:c r="O599" s="60" t="n">
        <x:v>25911995.912254244</x:v>
      </x:c>
      <x:c r="P599" s="60" t="n">
        <x:v>335.76321002840996</x:v>
      </x:c>
      <x:c r="Q599" s="62" t="n">
        <x:v>1.0000129578289207</x:v>
      </x:c>
      <x:c r="R599" s="64" t="n">
        <x:v>0.000012957828920836683</x:v>
      </x:c>
    </x:row>
    <x:row r="600" ht="18" customHeight="1">
      <x:c r="A600" s="46" t="str">
        <x:v>LME_048</x:v>
      </x:c>
      <x:c r="B600" s="46" t="str">
        <x:v>Yellow Sea</x:v>
      </x:c>
      <x:c r="C600" s="46" t="str">
        <x:v>commercial</x:v>
      </x:c>
      <x:c r="D600" s="46" t="str">
        <x:v>Cod-likes</x:v>
      </x:c>
      <x:c r="E600" s="66" t="n">
        <x:v>2</x:v>
      </x:c>
      <x:c r="F600" s="66" t="n">
        <x:v>2</x:v>
      </x:c>
      <x:c r="G600" s="60" t="n">
        <x:v>19978.729052350303</x:v>
      </x:c>
      <x:c r="H600" s="60" t="n">
        <x:v>19978.729052350303</x:v>
      </x:c>
      <x:c r="I600" s="62" t="n">
        <x:v>0</x:v>
      </x:c>
      <x:c r="J600" s="64" t="n">
        <x:v>1</x:v>
      </x:c>
      <x:c r="K600" s="62" t="n">
        <x:v>1444.75324882946</x:v>
      </x:c>
      <x:c r="L600" s="60" t="n">
        <x:v>28864333.70586662</x:v>
      </x:c>
      <x:c r="M600" s="62" t="n">
        <x:v>4.159708486666664</x:v>
      </x:c>
      <x:c r="N600" s="62" t="n">
        <x:v>1444.4698676097014</x:v>
      </x:c>
      <x:c r="O600" s="60" t="n">
        <x:v>28858672.109258536</x:v>
      </x:c>
      <x:c r="P600" s="60" t="n">
        <x:v>5661.596608083695</x:v>
      </x:c>
      <x:c r="Q600" s="62" t="n">
        <x:v>1.000196183545336</x:v>
      </x:c>
      <x:c r="R600" s="64" t="n">
        <x:v>0.00019618354533600742</x:v>
      </x:c>
    </x:row>
    <x:row r="601" ht="18" customHeight="1">
      <x:c r="A601" s="46" t="str">
        <x:v>LME_048</x:v>
      </x:c>
      <x:c r="B601" s="46" t="str">
        <x:v>Yellow Sea</x:v>
      </x:c>
      <x:c r="C601" s="46" t="str">
        <x:v>commercial</x:v>
      </x:c>
      <x:c r="D601" s="46" t="str">
        <x:v>Crustaceans</x:v>
      </x:c>
      <x:c r="E601" s="66" t="n">
        <x:v>25</x:v>
      </x:c>
      <x:c r="F601" s="66" t="n">
        <x:v>25</x:v>
      </x:c>
      <x:c r="G601" s="60" t="n">
        <x:v>484135.21438304894</x:v>
      </x:c>
      <x:c r="H601" s="60" t="n">
        <x:v>484135.21438304894</x:v>
      </x:c>
      <x:c r="I601" s="62" t="n">
        <x:v>0</x:v>
      </x:c>
      <x:c r="J601" s="64" t="n">
        <x:v>1</x:v>
      </x:c>
      <x:c r="K601" s="62" t="n">
        <x:v>186.46544439797577</x:v>
      </x:c>
      <x:c r="L601" s="60" t="n">
        <x:v>90274487.89864449</x:v>
      </x:c>
      <x:c r="M601" s="62" t="n">
        <x:v>2.964334889738201</x:v>
      </x:c>
      <x:c r="N601" s="62" t="n">
        <x:v>92.11596152992666</x:v>
      </x:c>
      <x:c r="O601" s="60" t="n">
        <x:v>44596580.78339174</x:v>
      </x:c>
      <x:c r="P601" s="60" t="n">
        <x:v>45677907.115252756</x:v>
      </x:c>
      <x:c r="Q601" s="62" t="n">
        <x:v>2.024246843880545</x:v>
      </x:c>
      <x:c r="R601" s="64" t="n">
        <x:v>1.0242468438805452</x:v>
      </x:c>
    </x:row>
    <x:row r="602" ht="18" customHeight="1">
      <x:c r="A602" s="46" t="str">
        <x:v>LME_048</x:v>
      </x:c>
      <x:c r="B602" s="46" t="str">
        <x:v>Yellow Sea</x:v>
      </x:c>
      <x:c r="C602" s="46" t="str">
        <x:v>commercial</x:v>
      </x:c>
      <x:c r="D602" s="46" t="str">
        <x:v>Flatfishes</x:v>
      </x:c>
      <x:c r="E602" s="66" t="n">
        <x:v>5</x:v>
      </x:c>
      <x:c r="F602" s="66" t="n">
        <x:v>5</x:v>
      </x:c>
      <x:c r="G602" s="60" t="n">
        <x:v>46660.932750606094</x:v>
      </x:c>
      <x:c r="H602" s="60" t="n">
        <x:v>46660.932750606094</x:v>
      </x:c>
      <x:c r="I602" s="62" t="n">
        <x:v>0</x:v>
      </x:c>
      <x:c r="J602" s="64" t="n">
        <x:v>1</x:v>
      </x:c>
      <x:c r="K602" s="62" t="n">
        <x:v>351.8405918673869</x:v>
      </x:c>
      <x:c r="L602" s="60" t="n">
        <x:v>16417210.196057584</x:v>
      </x:c>
      <x:c r="M602" s="62" t="n">
        <x:v>3.332067180923202</x:v>
      </x:c>
      <x:c r="N602" s="62" t="n">
        <x:v>214.81627472794395</x:v>
      </x:c>
      <x:c r="O602" s="60" t="n">
        <x:v>10023527.748816317</x:v>
      </x:c>
      <x:c r="P602" s="60" t="n">
        <x:v>6393682.447241267</x:v>
      </x:c>
      <x:c r="Q602" s="62" t="n">
        <x:v>1.6378674861249622</x:v>
      </x:c>
      <x:c r="R602" s="64" t="n">
        <x:v>0.6378674861249624</x:v>
      </x:c>
    </x:row>
    <x:row r="603" ht="18" customHeight="1">
      <x:c r="A603" s="46" t="str">
        <x:v>LME_048</x:v>
      </x:c>
      <x:c r="B603" s="46" t="str">
        <x:v>Yellow Sea</x:v>
      </x:c>
      <x:c r="C603" s="46" t="str">
        <x:v>commercial</x:v>
      </x:c>
      <x:c r="D603" s="46" t="str">
        <x:v>Herring-likes</x:v>
      </x:c>
      <x:c r="E603" s="66" t="n">
        <x:v>8</x:v>
      </x:c>
      <x:c r="F603" s="66" t="n">
        <x:v>8</x:v>
      </x:c>
      <x:c r="G603" s="60" t="n">
        <x:v>64539.287668388795</x:v>
      </x:c>
      <x:c r="H603" s="60" t="n">
        <x:v>64539.287668388795</x:v>
      </x:c>
      <x:c r="I603" s="62" t="n">
        <x:v>0</x:v>
      </x:c>
      <x:c r="J603" s="64" t="n">
        <x:v>1</x:v>
      </x:c>
      <x:c r="K603" s="62" t="n">
        <x:v>151.67968081545112</x:v>
      </x:c>
      <x:c r="L603" s="60" t="n">
        <x:v>9789298.553597793</x:v>
      </x:c>
      <x:c r="M603" s="62" t="n">
        <x:v>3.076729052839942</x:v>
      </x:c>
      <x:c r="N603" s="62" t="n">
        <x:v>119.32434328055292</x:v>
      </x:c>
      <x:c r="O603" s="60" t="n">
        <x:v>7701108.116825181</x:v>
      </x:c>
      <x:c r="P603" s="60" t="n">
        <x:v>2088190.436772612</x:v>
      </x:c>
      <x:c r="Q603" s="62" t="n">
        <x:v>1.2711545410212315</x:v>
      </x:c>
      <x:c r="R603" s="64" t="n">
        <x:v>0.27115454102123143</x:v>
      </x:c>
    </x:row>
    <x:row r="604" ht="18" customHeight="1">
      <x:c r="A604" s="46" t="str">
        <x:v>LME_048</x:v>
      </x:c>
      <x:c r="B604" s="46" t="str">
        <x:v>Yellow Sea</x:v>
      </x:c>
      <x:c r="C604" s="46" t="str">
        <x:v>commercial</x:v>
      </x:c>
      <x:c r="D604" s="46" t="str">
        <x:v>Molluscs</x:v>
      </x:c>
      <x:c r="E604" s="66" t="n">
        <x:v>19</x:v>
      </x:c>
      <x:c r="F604" s="66" t="n">
        <x:v>19</x:v>
      </x:c>
      <x:c r="G604" s="60" t="n">
        <x:v>52124.8411629886</x:v>
      </x:c>
      <x:c r="H604" s="60" t="n">
        <x:v>52124.8411629886</x:v>
      </x:c>
      <x:c r="I604" s="62" t="n">
        <x:v>0</x:v>
      </x:c>
      <x:c r="J604" s="64" t="n">
        <x:v>1</x:v>
      </x:c>
      <x:c r="K604" s="62" t="n">
        <x:v>19.401185441039367</x:v>
      </x:c>
      <x:c r="L604" s="60" t="n">
        <x:v>1011283.709487864</x:v>
      </x:c>
      <x:c r="M604" s="62" t="n">
        <x:v>2.106265028030594</x:v>
      </x:c>
      <x:c r="N604" s="62" t="n">
        <x:v>12.772179927984096</x:v>
      </x:c>
      <x:c r="O604" s="60" t="n">
        <x:v>665747.8500512822</x:v>
      </x:c>
      <x:c r="P604" s="60" t="n">
        <x:v>345535.85943658184</x:v>
      </x:c>
      <x:c r="Q604" s="62" t="n">
        <x:v>1.5190191142336629</x:v>
      </x:c>
      <x:c r="R604" s="64" t="n">
        <x:v>0.5190191142336628</x:v>
      </x:c>
    </x:row>
    <x:row r="605" ht="18" customHeight="1">
      <x:c r="A605" s="46" t="str">
        <x:v>LME_048</x:v>
      </x:c>
      <x:c r="B605" s="46" t="str">
        <x:v>Yellow Sea</x:v>
      </x:c>
      <x:c r="C605" s="46" t="str">
        <x:v>commercial</x:v>
      </x:c>
      <x:c r="D605" s="46" t="str">
        <x:v>Other fishes &amp; inverts</x:v>
      </x:c>
      <x:c r="E605" s="66" t="n">
        <x:v>37</x:v>
      </x:c>
      <x:c r="F605" s="66" t="n">
        <x:v>37</x:v>
      </x:c>
      <x:c r="G605" s="60" t="n">
        <x:v>1045454.0903021037</x:v>
      </x:c>
      <x:c r="H605" s="60" t="n">
        <x:v>1045454.0903021037</x:v>
      </x:c>
      <x:c r="I605" s="62" t="n">
        <x:v>0</x:v>
      </x:c>
      <x:c r="J605" s="64" t="n">
        <x:v>1</x:v>
      </x:c>
      <x:c r="K605" s="62" t="n">
        <x:v>521.1105005559538</x:v>
      </x:c>
      <x:c r="L605" s="60" t="n">
        <x:v>544797104.3055985</x:v>
      </x:c>
      <x:c r="M605" s="62" t="n">
        <x:v>3.5572331632747782</x:v>
      </x:c>
      <x:c r="N605" s="62" t="n">
        <x:v>360.77228183916526</x:v>
      </x:c>
      <x:c r="O605" s="60" t="n">
        <x:v>377170857.7163787</x:v>
      </x:c>
      <x:c r="P605" s="60" t="n">
        <x:v>167626246.5892198</x:v>
      </x:c>
      <x:c r="Q605" s="62" t="n">
        <x:v>1.4444305363466596</x:v>
      </x:c>
      <x:c r="R605" s="64" t="n">
        <x:v>0.4444305363466596</x:v>
      </x:c>
    </x:row>
    <x:row r="606" ht="18" customHeight="1">
      <x:c r="A606" s="46" t="str">
        <x:v>LME_048</x:v>
      </x:c>
      <x:c r="B606" s="46" t="str">
        <x:v>Yellow Sea</x:v>
      </x:c>
      <x:c r="C606" s="46" t="str">
        <x:v>commercial</x:v>
      </x:c>
      <x:c r="D606" s="46" t="str">
        <x:v>Perch-likes</x:v>
      </x:c>
      <x:c r="E606" s="66" t="n">
        <x:v>59</x:v>
      </x:c>
      <x:c r="F606" s="66" t="n">
        <x:v>59</x:v>
      </x:c>
      <x:c r="G606" s="60" t="n">
        <x:v>748570.7103791169</x:v>
      </x:c>
      <x:c r="H606" s="60" t="n">
        <x:v>748570.7103791169</x:v>
      </x:c>
      <x:c r="I606" s="62" t="n">
        <x:v>0</x:v>
      </x:c>
      <x:c r="J606" s="64" t="n">
        <x:v>1</x:v>
      </x:c>
      <x:c r="K606" s="62" t="n">
        <x:v>1109.6441772181113</x:v>
      </x:c>
      <x:c r="L606" s="60" t="n">
        <x:v>830647130.0082123</x:v>
      </x:c>
      <x:c r="M606" s="62" t="n">
        <x:v>3.767996098077302</x:v>
      </x:c>
      <x:c r="N606" s="62" t="n">
        <x:v>586.1328983740488</x:v>
      </x:c>
      <x:c r="O606" s="60" t="n">
        <x:v>438761920.1124324</x:v>
      </x:c>
      <x:c r="P606" s="60" t="n">
        <x:v>391885209.8957799</x:v>
      </x:c>
      <x:c r="Q606" s="62" t="n">
        <x:v>1.893161397860962</x:v>
      </x:c>
      <x:c r="R606" s="64" t="n">
        <x:v>0.893161397860962</x:v>
      </x:c>
    </x:row>
    <x:row r="607" ht="18" customHeight="1">
      <x:c r="A607" s="46" t="str">
        <x:v>LME_048</x:v>
      </x:c>
      <x:c r="B607" s="46" t="str">
        <x:v>Yellow Sea</x:v>
      </x:c>
      <x:c r="C607" s="46" t="str">
        <x:v>commercial</x:v>
      </x:c>
      <x:c r="D607" s="46" t="str">
        <x:v>Salmon, smelts, etc</x:v>
      </x:c>
      <x:c r="E607" s="66" t="n">
        <x:v>1</x:v>
      </x:c>
      <x:c r="F607" s="66" t="n">
        <x:v>1</x:v>
      </x:c>
      <x:c r="G607" s="60" t="n">
        <x:v>1.5035095232</x:v>
      </x:c>
      <x:c r="H607" s="60" t="n">
        <x:v>1.5035095232</x:v>
      </x:c>
      <x:c r="I607" s="62" t="n">
        <x:v>0</x:v>
      </x:c>
      <x:c r="J607" s="64" t="n">
        <x:v>1</x:v>
      </x:c>
      <x:c r="K607" s="62" t="n">
        <x:v>199.52623149688787</x:v>
      </x:c>
      <x:c r="L607" s="60" t="n">
        <x:v>299.9895891837787</x:v>
      </x:c>
      <x:c r="M607" s="62" t="n">
        <x:v>3.3</x:v>
      </x:c>
      <x:c r="N607" s="62" t="n">
        <x:v>199.52623149688787</x:v>
      </x:c>
      <x:c r="O607" s="60" t="n">
        <x:v>299.9895891837787</x:v>
      </x:c>
      <x:c r="P607" s="60" t="n">
        <x:v>0</x:v>
      </x:c>
      <x:c r="Q607" s="62" t="n">
        <x:v>1</x:v>
      </x:c>
      <x:c r="R607" s="64" t="n">
        <x:v>0</x:v>
      </x:c>
    </x:row>
    <x:row r="608" ht="18" customHeight="1">
      <x:c r="A608" s="46" t="str">
        <x:v>LME_048</x:v>
      </x:c>
      <x:c r="B608" s="46" t="str">
        <x:v>Yellow Sea</x:v>
      </x:c>
      <x:c r="C608" s="46" t="str">
        <x:v>commercial</x:v>
      </x:c>
      <x:c r="D608" s="46" t="str">
        <x:v>Scorpionfishes</x:v>
      </x:c>
      <x:c r="E608" s="66" t="n">
        <x:v>6</x:v>
      </x:c>
      <x:c r="F608" s="66" t="n">
        <x:v>6</x:v>
      </x:c>
      <x:c r="G608" s="60" t="n">
        <x:v>9348.579593122402</x:v>
      </x:c>
      <x:c r="H608" s="60" t="n">
        <x:v>9348.579593122402</x:v>
      </x:c>
      <x:c r="I608" s="62" t="n">
        <x:v>0</x:v>
      </x:c>
      <x:c r="J608" s="64" t="n">
        <x:v>1</x:v>
      </x:c>
      <x:c r="K608" s="62" t="n">
        <x:v>570.7690429342895</x:v>
      </x:c>
      <x:c r="L608" s="60" t="n">
        <x:v>5335879.827161503</x:v>
      </x:c>
      <x:c r="M608" s="62" t="n">
        <x:v>3.7379441413843826</x:v>
      </x:c>
      <x:c r="N608" s="62" t="n">
        <x:v>546.9456106543057</x:v>
      </x:c>
      <x:c r="O608" s="60" t="n">
        <x:v>5113164.5743107125</x:v>
      </x:c>
      <x:c r="P608" s="60" t="n">
        <x:v>222715.2528507905</x:v>
      </x:c>
      <x:c r="Q608" s="62" t="n">
        <x:v>1.0435572236359738</x:v>
      </x:c>
      <x:c r="R608" s="64" t="n">
        <x:v>0.04355722363597381</x:v>
      </x:c>
    </x:row>
    <x:row r="609" ht="18" customHeight="1">
      <x:c r="A609" s="46" t="str">
        <x:v>LME_048</x:v>
      </x:c>
      <x:c r="B609" s="46" t="str">
        <x:v>Yellow Sea</x:v>
      </x:c>
      <x:c r="C609" s="46" t="str">
        <x:v>commercial</x:v>
      </x:c>
      <x:c r="D609" s="46" t="str">
        <x:v>Sharks &amp; rays</x:v>
      </x:c>
      <x:c r="E609" s="66" t="n">
        <x:v>5</x:v>
      </x:c>
      <x:c r="F609" s="66" t="n">
        <x:v>5</x:v>
      </x:c>
      <x:c r="G609" s="60" t="n">
        <x:v>58.2602215919</x:v>
      </x:c>
      <x:c r="H609" s="60" t="n">
        <x:v>58.2602215919</x:v>
      </x:c>
      <x:c r="I609" s="62" t="n">
        <x:v>0</x:v>
      </x:c>
      <x:c r="J609" s="64" t="n">
        <x:v>1</x:v>
      </x:c>
      <x:c r="K609" s="62" t="n">
        <x:v>1127.0772886118848</x:v>
      </x:c>
      <x:c r="L609" s="60" t="n">
        <x:v>65663.77258572624</x:v>
      </x:c>
      <x:c r="M609" s="62" t="n">
        <x:v>4.051094666688289</x:v>
      </x:c>
      <x:c r="N609" s="62" t="n">
        <x:v>1124.8501399477532</x:v>
      </x:c>
      <x:c r="O609" s="60" t="n">
        <x:v>65534.018411035824</x:v>
      </x:c>
      <x:c r="P609" s="60" t="n">
        <x:v>129.75417469041713</x:v>
      </x:c>
      <x:c r="Q609" s="62" t="n">
        <x:v>1.001979951448675</x:v>
      </x:c>
      <x:c r="R609" s="64" t="n">
        <x:v>0.0019799514486748874</x:v>
      </x:c>
    </x:row>
    <x:row r="610" ht="18" customHeight="1">
      <x:c r="A610" s="46" t="str">
        <x:v>LME_048</x:v>
      </x:c>
      <x:c r="B610" s="46" t="str">
        <x:v>Yellow Sea</x:v>
      </x:c>
      <x:c r="C610" s="46" t="str">
        <x:v>commercial</x:v>
      </x:c>
      <x:c r="D610" s="46" t="str">
        <x:v>Tuna &amp; billfishes</x:v>
      </x:c>
      <x:c r="E610" s="66" t="n">
        <x:v>6</x:v>
      </x:c>
      <x:c r="F610" s="66" t="n">
        <x:v>6</x:v>
      </x:c>
      <x:c r="G610" s="60" t="n">
        <x:v>423.65790972630003</x:v>
      </x:c>
      <x:c r="H610" s="60" t="n">
        <x:v>423.65790972630003</x:v>
      </x:c>
      <x:c r="I610" s="62" t="n">
        <x:v>0</x:v>
      </x:c>
      <x:c r="J610" s="64" t="n">
        <x:v>1</x:v>
      </x:c>
      <x:c r="K610" s="62" t="n">
        <x:v>2595.221142625787</x:v>
      </x:c>
      <x:c r="L610" s="60" t="n">
        <x:v>1099485.9645623409</x:v>
      </x:c>
      <x:c r="M610" s="62" t="n">
        <x:v>4.413836020294272</x:v>
      </x:c>
      <x:c r="N610" s="62" t="n">
        <x:v>2593.2000439673648</x:v>
      </x:c>
      <x:c r="O610" s="60" t="n">
        <x:v>1098629.710129363</x:v>
      </x:c>
      <x:c r="P610" s="60" t="n">
        <x:v>856.2544329778757</x:v>
      </x:c>
      <x:c r="Q610" s="62" t="n">
        <x:v>1.0007793840136336</x:v>
      </x:c>
      <x:c r="R610" s="64" t="n">
        <x:v>0.0007793840136337221</x:v>
      </x:c>
    </x:row>
    <x:row r="611" ht="18" customHeight="1">
      <x:c r="A611" s="46" t="str">
        <x:v>LME_049</x:v>
      </x:c>
      <x:c r="B611" s="46" t="str">
        <x:v>Kuroshio Current</x:v>
      </x:c>
      <x:c r="C611" s="46" t="str">
        <x:v>commercial</x:v>
      </x:c>
      <x:c r="D611" s="46" t="str">
        <x:v>Anchovies</x:v>
      </x:c>
      <x:c r="E611" s="66" t="n">
        <x:v>2</x:v>
      </x:c>
      <x:c r="F611" s="66" t="n">
        <x:v>2</x:v>
      </x:c>
      <x:c r="G611" s="60" t="n">
        <x:v>240679.5806049622</x:v>
      </x:c>
      <x:c r="H611" s="60" t="n">
        <x:v>240679.5806049622</x:v>
      </x:c>
      <x:c r="I611" s="62" t="n">
        <x:v>0</x:v>
      </x:c>
      <x:c r="J611" s="64" t="n">
        <x:v>1</x:v>
      </x:c>
      <x:c r="K611" s="62" t="n">
        <x:v>138.03850163327192</x:v>
      </x:c>
      <x:c r="L611" s="60" t="n">
        <x:v>33223048.680433277</x:v>
      </x:c>
      <x:c r="M611" s="62" t="n">
        <x:v>3.1400002078192784</x:v>
      </x:c>
      <x:c r="N611" s="62" t="n">
        <x:v>138.03849251466917</x:v>
      </x:c>
      <x:c r="O611" s="60" t="n">
        <x:v>33223046.48577179</x:v>
      </x:c>
      <x:c r="P611" s="60" t="n">
        <x:v>2.1946614868938923</x:v>
      </x:c>
      <x:c r="Q611" s="62" t="n">
        <x:v>1.0000000660584059</x:v>
      </x:c>
      <x:c r="R611" s="64" t="n">
        <x:v>6.605840580675782e-8</x:v>
      </x:c>
    </x:row>
    <x:row r="612" ht="18" customHeight="1">
      <x:c r="A612" s="46" t="str">
        <x:v>LME_049</x:v>
      </x:c>
      <x:c r="B612" s="46" t="str">
        <x:v>Kuroshio Current</x:v>
      </x:c>
      <x:c r="C612" s="46" t="str">
        <x:v>commercial</x:v>
      </x:c>
      <x:c r="D612" s="46" t="str">
        <x:v>Cod-likes</x:v>
      </x:c>
      <x:c r="E612" s="66" t="n">
        <x:v>3</x:v>
      </x:c>
      <x:c r="F612" s="66" t="n">
        <x:v>3</x:v>
      </x:c>
      <x:c r="G612" s="60" t="n">
        <x:v>30392.2229727308</x:v>
      </x:c>
      <x:c r="H612" s="60" t="n">
        <x:v>30392.2229727308</x:v>
      </x:c>
      <x:c r="I612" s="62" t="n">
        <x:v>0</x:v>
      </x:c>
      <x:c r="J612" s="64" t="n">
        <x:v>1</x:v>
      </x:c>
      <x:c r="K612" s="62" t="n">
        <x:v>355.0252934959906</x:v>
      </x:c>
      <x:c r="L612" s="60" t="n">
        <x:v>10790007.88088934</x:v>
      </x:c>
      <x:c r="M612" s="62" t="n">
        <x:v>3.53900896042688</x:v>
      </x:c>
      <x:c r="N612" s="62" t="n">
        <x:v>345.9465153712826</x:v>
      </x:c>
      <x:c r="O612" s="60" t="n">
        <x:v>10514083.631803265</x:v>
      </x:c>
      <x:c r="P612" s="60" t="n">
        <x:v>275924.24908607453</x:v>
      </x:c>
      <x:c r="Q612" s="62" t="n">
        <x:v>1.0262432998203905</x:v>
      </x:c>
      <x:c r="R612" s="64" t="n">
        <x:v>0.026243299820390614</x:v>
      </x:c>
    </x:row>
    <x:row r="613" ht="18" customHeight="1">
      <x:c r="A613" s="46" t="str">
        <x:v>LME_049</x:v>
      </x:c>
      <x:c r="B613" s="46" t="str">
        <x:v>Kuroshio Current</x:v>
      </x:c>
      <x:c r="C613" s="46" t="str">
        <x:v>commercial</x:v>
      </x:c>
      <x:c r="D613" s="46" t="str">
        <x:v>Crustaceans</x:v>
      </x:c>
      <x:c r="E613" s="66" t="n">
        <x:v>28</x:v>
      </x:c>
      <x:c r="F613" s="66" t="n">
        <x:v>28</x:v>
      </x:c>
      <x:c r="G613" s="60" t="n">
        <x:v>180527.1950286043</x:v>
      </x:c>
      <x:c r="H613" s="60" t="n">
        <x:v>180527.1950286043</x:v>
      </x:c>
      <x:c r="I613" s="62" t="n">
        <x:v>0</x:v>
      </x:c>
      <x:c r="J613" s="64" t="n">
        <x:v>1</x:v>
      </x:c>
      <x:c r="K613" s="62" t="n">
        <x:v>216.6487652268167</x:v>
      </x:c>
      <x:c r="L613" s="60" t="n">
        <x:v>39110993.89280784</x:v>
      </x:c>
      <x:c r="M613" s="62" t="n">
        <x:v>2.998093077028352</x:v>
      </x:c>
      <x:c r="N613" s="62" t="n">
        <x:v>99.56187732909353</x:v>
      </x:c>
      <x:c r="O613" s="60" t="n">
        <x:v>17973626.446003247</x:v>
      </x:c>
      <x:c r="P613" s="60" t="n">
        <x:v>21137367.446804594</x:v>
      </x:c>
      <x:c r="Q613" s="62" t="n">
        <x:v>2.1760212948848094</x:v>
      </x:c>
      <x:c r="R613" s="64" t="n">
        <x:v>1.1760212948848094</x:v>
      </x:c>
    </x:row>
    <x:row r="614" ht="18" customHeight="1">
      <x:c r="A614" s="46" t="str">
        <x:v>LME_049</x:v>
      </x:c>
      <x:c r="B614" s="46" t="str">
        <x:v>Kuroshio Current</x:v>
      </x:c>
      <x:c r="C614" s="46" t="str">
        <x:v>commercial</x:v>
      </x:c>
      <x:c r="D614" s="46" t="str">
        <x:v>Flatfishes</x:v>
      </x:c>
      <x:c r="E614" s="66" t="n">
        <x:v>4</x:v>
      </x:c>
      <x:c r="F614" s="66" t="n">
        <x:v>4</x:v>
      </x:c>
      <x:c r="G614" s="60" t="n">
        <x:v>20886.805897635903</x:v>
      </x:c>
      <x:c r="H614" s="60" t="n">
        <x:v>20886.805897635903</x:v>
      </x:c>
      <x:c r="I614" s="62" t="n">
        <x:v>0</x:v>
      </x:c>
      <x:c r="J614" s="64" t="n">
        <x:v>1</x:v>
      </x:c>
      <x:c r="K614" s="62" t="n">
        <x:v>520.0871899845356</x:v>
      </x:c>
      <x:c r="L614" s="60" t="n">
        <x:v>10862960.187053882</x:v>
      </x:c>
      <x:c r="M614" s="62" t="n">
        <x:v>3.6007825206015145</x:v>
      </x:c>
      <x:c r="N614" s="62" t="n">
        <x:v>398.82513475081237</x:v>
      </x:c>
      <x:c r="O614" s="60" t="n">
        <x:v>8330183.176638701</x:v>
      </x:c>
      <x:c r="P614" s="60" t="n">
        <x:v>2532777.0104151806</x:v>
      </x:c>
      <x:c r="Q614" s="62" t="n">
        <x:v>1.304048177177921</x:v>
      </x:c>
      <x:c r="R614" s="64" t="n">
        <x:v>0.304048177177921</x:v>
      </x:c>
    </x:row>
    <x:row r="615" ht="18" customHeight="1">
      <x:c r="A615" s="46" t="str">
        <x:v>LME_049</x:v>
      </x:c>
      <x:c r="B615" s="46" t="str">
        <x:v>Kuroshio Current</x:v>
      </x:c>
      <x:c r="C615" s="46" t="str">
        <x:v>commercial</x:v>
      </x:c>
      <x:c r="D615" s="46" t="str">
        <x:v>Herring-likes</x:v>
      </x:c>
      <x:c r="E615" s="66" t="n">
        <x:v>10</x:v>
      </x:c>
      <x:c r="F615" s="66" t="n">
        <x:v>10</x:v>
      </x:c>
      <x:c r="G615" s="60" t="n">
        <x:v>403803.7293577029</x:v>
      </x:c>
      <x:c r="H615" s="60" t="n">
        <x:v>403803.7293577029</x:v>
      </x:c>
      <x:c r="I615" s="62" t="n">
        <x:v>0</x:v>
      </x:c>
      <x:c r="J615" s="64" t="n">
        <x:v>1</x:v>
      </x:c>
      <x:c r="K615" s="62" t="n">
        <x:v>92.01421770137897</x:v>
      </x:c>
      <x:c r="L615" s="60" t="n">
        <x:v>37155684.26174839</x:v>
      </x:c>
      <x:c r="M615" s="62" t="n">
        <x:v>2.904801222234728</x:v>
      </x:c>
      <x:c r="N615" s="62" t="n">
        <x:v>80.31584302478164</x:v>
      </x:c>
      <x:c r="O615" s="60" t="n">
        <x:v>32431836.939914677</x:v>
      </x:c>
      <x:c r="P615" s="60" t="n">
        <x:v>4723847.321833711</x:v>
      </x:c>
      <x:c r="Q615" s="62" t="n">
        <x:v>1.1456546334574085</x:v>
      </x:c>
      <x:c r="R615" s="64" t="n">
        <x:v>0.14565463345740842</x:v>
      </x:c>
    </x:row>
    <x:row r="616" ht="18" customHeight="1">
      <x:c r="A616" s="46" t="str">
        <x:v>LME_049</x:v>
      </x:c>
      <x:c r="B616" s="46" t="str">
        <x:v>Kuroshio Current</x:v>
      </x:c>
      <x:c r="C616" s="46" t="str">
        <x:v>commercial</x:v>
      </x:c>
      <x:c r="D616" s="46" t="str">
        <x:v>Molluscs</x:v>
      </x:c>
      <x:c r="E616" s="66" t="n">
        <x:v>13</x:v>
      </x:c>
      <x:c r="F616" s="66" t="n">
        <x:v>13</x:v>
      </x:c>
      <x:c r="G616" s="60" t="n">
        <x:v>165025.63806698707</x:v>
      </x:c>
      <x:c r="H616" s="60" t="n">
        <x:v>165025.63806698707</x:v>
      </x:c>
      <x:c r="I616" s="62" t="n">
        <x:v>0</x:v>
      </x:c>
      <x:c r="J616" s="64" t="n">
        <x:v>1</x:v>
      </x:c>
      <x:c r="K616" s="62" t="n">
        <x:v>11.662161689863048</x:v>
      </x:c>
      <x:c r="L616" s="60" t="n">
        <x:v>1924555.6741100217</x:v>
      </x:c>
      <x:c r="M616" s="62" t="n">
        <x:v>2.038600699062376</x:v>
      </x:c>
      <x:c r="N616" s="62" t="n">
        <x:v>10.929510183525956</x:v>
      </x:c>
      <x:c r="O616" s="60" t="n">
        <x:v>1803649.3917960038</x:v>
      </x:c>
      <x:c r="P616" s="60" t="n">
        <x:v>120906.28231401788</x:v>
      </x:c>
      <x:c r="Q616" s="62" t="n">
        <x:v>1.0670342489310654</x:v>
      </x:c>
      <x:c r="R616" s="64" t="n">
        <x:v>0.06703424893106531</x:v>
      </x:c>
    </x:row>
    <x:row r="617" ht="18" customHeight="1">
      <x:c r="A617" s="46" t="str">
        <x:v>LME_049</x:v>
      </x:c>
      <x:c r="B617" s="46" t="str">
        <x:v>Kuroshio Current</x:v>
      </x:c>
      <x:c r="C617" s="46" t="str">
        <x:v>commercial</x:v>
      </x:c>
      <x:c r="D617" s="46" t="str">
        <x:v>Other fishes &amp; inverts</x:v>
      </x:c>
      <x:c r="E617" s="66" t="n">
        <x:v>49</x:v>
      </x:c>
      <x:c r="F617" s="66" t="n">
        <x:v>49</x:v>
      </x:c>
      <x:c r="G617" s="60" t="n">
        <x:v>986307.7976116333</x:v>
      </x:c>
      <x:c r="H617" s="60" t="n">
        <x:v>986307.7976116333</x:v>
      </x:c>
      <x:c r="I617" s="62" t="n">
        <x:v>0</x:v>
      </x:c>
      <x:c r="J617" s="64" t="n">
        <x:v>1</x:v>
      </x:c>
      <x:c r="K617" s="62" t="n">
        <x:v>556.6029491886956</x:v>
      </x:c>
      <x:c r="L617" s="60" t="n">
        <x:v>548981828.9584422</x:v>
      </x:c>
      <x:c r="M617" s="62" t="n">
        <x:v>3.5664044116830467</x:v>
      </x:c>
      <x:c r="N617" s="62" t="n">
        <x:v>368.4719321683014</x:v>
      </x:c>
      <x:c r="O617" s="60" t="n">
        <x:v>363426739.8986205</x:v>
      </x:c>
      <x:c r="P617" s="60" t="n">
        <x:v>185555089.05982172</x:v>
      </x:c>
      <x:c r="Q617" s="62" t="n">
        <x:v>1.5105708212653344</x:v>
      </x:c>
      <x:c r="R617" s="64" t="n">
        <x:v>0.5105708212653344</x:v>
      </x:c>
    </x:row>
    <x:row r="618" ht="18" customHeight="1">
      <x:c r="A618" s="46" t="str">
        <x:v>LME_049</x:v>
      </x:c>
      <x:c r="B618" s="46" t="str">
        <x:v>Kuroshio Current</x:v>
      </x:c>
      <x:c r="C618" s="46" t="str">
        <x:v>commercial</x:v>
      </x:c>
      <x:c r="D618" s="46" t="str">
        <x:v>Perch-likes</x:v>
      </x:c>
      <x:c r="E618" s="66" t="n">
        <x:v>85</x:v>
      </x:c>
      <x:c r="F618" s="66" t="n">
        <x:v>85</x:v>
      </x:c>
      <x:c r="G618" s="60" t="n">
        <x:v>853826.9145858468</x:v>
      </x:c>
      <x:c r="H618" s="60" t="n">
        <x:v>853826.9145858468</x:v>
      </x:c>
      <x:c r="I618" s="62" t="n">
        <x:v>0</x:v>
      </x:c>
      <x:c r="J618" s="64" t="n">
        <x:v>1</x:v>
      </x:c>
      <x:c r="K618" s="62" t="n">
        <x:v>711.0883932995446</x:v>
      </x:c>
      <x:c r="L618" s="60" t="n">
        <x:v>607146408.8487573</x:v>
      </x:c>
      <x:c r="M618" s="62" t="n">
        <x:v>3.6396258701028463</x:v>
      </x:c>
      <x:c r="N618" s="62" t="n">
        <x:v>436.1399506532269</x:v>
      </x:c>
      <x:c r="O618" s="60" t="n">
        <x:v>372388028.3938682</x:v>
      </x:c>
      <x:c r="P618" s="60" t="n">
        <x:v>234758380.45488906</x:v>
      </x:c>
      <x:c r="Q618" s="62" t="n">
        <x:v>1.6304133391919604</x:v>
      </x:c>
      <x:c r="R618" s="64" t="n">
        <x:v>0.6304133391919605</x:v>
      </x:c>
    </x:row>
    <x:row r="619" ht="18" customHeight="1">
      <x:c r="A619" s="46" t="str">
        <x:v>LME_049</x:v>
      </x:c>
      <x:c r="B619" s="46" t="str">
        <x:v>Kuroshio Current</x:v>
      </x:c>
      <x:c r="C619" s="46" t="str">
        <x:v>commercial</x:v>
      </x:c>
      <x:c r="D619" s="46" t="str">
        <x:v>Salmon, smelts, etc</x:v>
      </x:c>
      <x:c r="E619" s="66" t="n">
        <x:v>3</x:v>
      </x:c>
      <x:c r="F619" s="66" t="n">
        <x:v>3</x:v>
      </x:c>
      <x:c r="G619" s="60" t="n">
        <x:v>39493.351675243</x:v>
      </x:c>
      <x:c r="H619" s="60" t="n">
        <x:v>39493.351675243</x:v>
      </x:c>
      <x:c r="I619" s="62" t="n">
        <x:v>0</x:v>
      </x:c>
      <x:c r="J619" s="64" t="n">
        <x:v>1</x:v>
      </x:c>
      <x:c r="K619" s="62" t="n">
        <x:v>872.3703082432618</x:v>
      </x:c>
      <x:c r="L619" s="60" t="n">
        <x:v>34452827.374491274</x:v>
      </x:c>
      <x:c r="M619" s="62" t="n">
        <x:v>3.930911205749056</x:v>
      </x:c>
      <x:c r="N619" s="62" t="n">
        <x:v>852.9257101385033</x:v>
      </x:c>
      <x:c r="O619" s="60" t="n">
        <x:v>33684895.02335628</x:v>
      </x:c>
      <x:c r="P619" s="60" t="n">
        <x:v>767932.3511349931</x:v>
      </x:c>
      <x:c r="Q619" s="62" t="n">
        <x:v>1.022797528405611</x:v>
      </x:c>
      <x:c r="R619" s="64" t="n">
        <x:v>0.02279752840561111</x:v>
      </x:c>
    </x:row>
    <x:row r="620" ht="18" customHeight="1">
      <x:c r="A620" s="46" t="str">
        <x:v>LME_049</x:v>
      </x:c>
      <x:c r="B620" s="46" t="str">
        <x:v>Kuroshio Current</x:v>
      </x:c>
      <x:c r="C620" s="46" t="str">
        <x:v>commercial</x:v>
      </x:c>
      <x:c r="D620" s="46" t="str">
        <x:v>Scorpionfishes</x:v>
      </x:c>
      <x:c r="E620" s="66" t="n">
        <x:v>7</x:v>
      </x:c>
      <x:c r="F620" s="66" t="n">
        <x:v>7</x:v>
      </x:c>
      <x:c r="G620" s="60" t="n">
        <x:v>11308.673196414898</x:v>
      </x:c>
      <x:c r="H620" s="60" t="n">
        <x:v>11308.673196414898</x:v>
      </x:c>
      <x:c r="I620" s="62" t="n">
        <x:v>0</x:v>
      </x:c>
      <x:c r="J620" s="64" t="n">
        <x:v>1</x:v>
      </x:c>
      <x:c r="K620" s="62" t="n">
        <x:v>436.7901648083453</x:v>
      </x:c>
      <x:c r="L620" s="60" t="n">
        <x:v>4939517.229225781</x:v>
      </x:c>
      <x:c r="M620" s="62" t="n">
        <x:v>3.6342830449163377</x:v>
      </x:c>
      <x:c r="N620" s="62" t="n">
        <x:v>430.80729120914435</x:v>
      </x:c>
      <x:c r="O620" s="60" t="n">
        <x:v>4871858.866916958</x:v>
      </x:c>
      <x:c r="P620" s="60" t="n">
        <x:v>67658.36230882257</x:v>
      </x:c>
      <x:c r="Q620" s="62" t="n">
        <x:v>1.0138875866803667</x:v>
      </x:c>
      <x:c r="R620" s="64" t="n">
        <x:v>0.013887586680366744</x:v>
      </x:c>
    </x:row>
    <x:row r="621" ht="18" customHeight="1">
      <x:c r="A621" s="46" t="str">
        <x:v>LME_049</x:v>
      </x:c>
      <x:c r="B621" s="46" t="str">
        <x:v>Kuroshio Current</x:v>
      </x:c>
      <x:c r="C621" s="46" t="str">
        <x:v>commercial</x:v>
      </x:c>
      <x:c r="D621" s="46" t="str">
        <x:v>Sharks &amp; rays</x:v>
      </x:c>
      <x:c r="E621" s="66" t="n">
        <x:v>11</x:v>
      </x:c>
      <x:c r="F621" s="66" t="n">
        <x:v>11</x:v>
      </x:c>
      <x:c r="G621" s="60" t="n">
        <x:v>36149.8968426868</x:v>
      </x:c>
      <x:c r="H621" s="60" t="n">
        <x:v>36149.8968426868</x:v>
      </x:c>
      <x:c r="I621" s="62" t="n">
        <x:v>0</x:v>
      </x:c>
      <x:c r="J621" s="64" t="n">
        <x:v>1</x:v>
      </x:c>
      <x:c r="K621" s="62" t="n">
        <x:v>1097.8684680770336</x:v>
      </x:c>
      <x:c r="L621" s="60" t="n">
        <x:v>39687831.867823355</x:v>
      </x:c>
      <x:c r="M621" s="62" t="n">
        <x:v>4.035428482760538</x:v>
      </x:c>
      <x:c r="N621" s="62" t="n">
        <x:v>1084.996863572669</x:v>
      </x:c>
      <x:c r="O621" s="60" t="n">
        <x:v>39222524.69279071</x:v>
      </x:c>
      <x:c r="P621" s="60" t="n">
        <x:v>465307.17503264546</x:v>
      </x:c>
      <x:c r="Q621" s="62" t="n">
        <x:v>1.0118632642512728</x:v>
      </x:c>
      <x:c r="R621" s="64" t="n">
        <x:v>0.011863264251272718</x:v>
      </x:c>
    </x:row>
    <x:row r="622" ht="18" customHeight="1">
      <x:c r="A622" s="46" t="str">
        <x:v>LME_049</x:v>
      </x:c>
      <x:c r="B622" s="46" t="str">
        <x:v>Kuroshio Current</x:v>
      </x:c>
      <x:c r="C622" s="46" t="str">
        <x:v>commercial</x:v>
      </x:c>
      <x:c r="D622" s="46" t="str">
        <x:v>Tuna &amp; billfishes</x:v>
      </x:c>
      <x:c r="E622" s="66" t="n">
        <x:v>14</x:v>
      </x:c>
      <x:c r="F622" s="66" t="n">
        <x:v>14</x:v>
      </x:c>
      <x:c r="G622" s="60" t="n">
        <x:v>122054.45928402629</x:v>
      </x:c>
      <x:c r="H622" s="60" t="n">
        <x:v>122054.45928402629</x:v>
      </x:c>
      <x:c r="I622" s="62" t="n">
        <x:v>0</x:v>
      </x:c>
      <x:c r="J622" s="64" t="n">
        <x:v>1</x:v>
      </x:c>
      <x:c r="K622" s="62" t="n">
        <x:v>2574.3468740734716</x:v>
      </x:c>
      <x:c r="L622" s="60" t="n">
        <x:v>314210515.7245609</x:v>
      </x:c>
      <x:c r="M622" s="62" t="n">
        <x:v>4.40698663622917</x:v>
      </x:c>
      <x:c r="N622" s="62" t="n">
        <x:v>2552.6227541376675</x:v>
      </x:c>
      <x:c r="O622" s="60" t="n">
        <x:v>311558990.012375</x:v>
      </x:c>
      <x:c r="P622" s="60" t="n">
        <x:v>2651525.7121859193</x:v>
      </x:c>
      <x:c r="Q622" s="62" t="n">
        <x:v>1.0085105093968902</x:v>
      </x:c>
      <x:c r="R622" s="64" t="n">
        <x:v>0.008510509396890142</x:v>
      </x:c>
    </x:row>
    <x:row r="623" ht="18" customHeight="1">
      <x:c r="A623" s="46" t="str">
        <x:v>LME_050</x:v>
      </x:c>
      <x:c r="B623" s="46" t="str">
        <x:v>Sea of Japan / East Sea</x:v>
      </x:c>
      <x:c r="C623" s="46" t="str">
        <x:v>commercial</x:v>
      </x:c>
      <x:c r="D623" s="46" t="str">
        <x:v>Anchovies</x:v>
      </x:c>
      <x:c r="E623" s="66" t="n">
        <x:v>2</x:v>
      </x:c>
      <x:c r="F623" s="66" t="n">
        <x:v>2</x:v>
      </x:c>
      <x:c r="G623" s="60" t="n">
        <x:v>141852.1463813778</x:v>
      </x:c>
      <x:c r="H623" s="60" t="n">
        <x:v>141852.1463813778</x:v>
      </x:c>
      <x:c r="I623" s="62" t="n">
        <x:v>0</x:v>
      </x:c>
      <x:c r="J623" s="64" t="n">
        <x:v>1</x:v>
      </x:c>
      <x:c r="K623" s="62" t="n">
        <x:v>138.071418105118</x:v>
      </x:c>
      <x:c r="L623" s="60" t="n">
        <x:v>19585727.012131616</x:v>
      </x:c>
      <x:c r="M623" s="62" t="n">
        <x:v>3.1400967927762617</x:v>
      </x:c>
      <x:c r="N623" s="62" t="n">
        <x:v>138.06919501046835</x:v>
      </x:c>
      <x:c r="O623" s="60" t="n">
        <x:v>19585411.661383953</x:v>
      </x:c>
      <x:c r="P623" s="60" t="n">
        <x:v>315.3507476635277</x:v>
      </x:c>
      <x:c r="Q623" s="62" t="n">
        <x:v>1.0000161013081121</x:v>
      </x:c>
      <x:c r="R623" s="64" t="n">
        <x:v>0.00001610130811216476</x:v>
      </x:c>
    </x:row>
    <x:row r="624" ht="18" customHeight="1">
      <x:c r="A624" s="46" t="str">
        <x:v>LME_050</x:v>
      </x:c>
      <x:c r="B624" s="46" t="str">
        <x:v>Sea of Japan / East Sea</x:v>
      </x:c>
      <x:c r="C624" s="46" t="str">
        <x:v>commercial</x:v>
      </x:c>
      <x:c r="D624" s="46" t="str">
        <x:v>Cod-likes</x:v>
      </x:c>
      <x:c r="E624" s="66" t="n">
        <x:v>6</x:v>
      </x:c>
      <x:c r="F624" s="66" t="n">
        <x:v>6</x:v>
      </x:c>
      <x:c r="G624" s="60" t="n">
        <x:v>596826.0046843071</x:v>
      </x:c>
      <x:c r="H624" s="60" t="n">
        <x:v>596826.0046843071</x:v>
      </x:c>
      <x:c r="I624" s="62" t="n">
        <x:v>0</x:v>
      </x:c>
      <x:c r="J624" s="64" t="n">
        <x:v>1</x:v>
      </x:c>
      <x:c r="K624" s="62" t="n">
        <x:v>533.54258415695</x:v>
      </x:c>
      <x:c r="L624" s="60" t="n">
        <x:v>318432088.8313332</x:v>
      </x:c>
      <x:c r="M624" s="62" t="n">
        <x:v>3.6577169765155637</x:v>
      </x:c>
      <x:c r="N624" s="62" t="n">
        <x:v>454.6916475519024</x:v>
      </x:c>
      <x:c r="O624" s="60" t="n">
        <x:v>271371799.37172705</x:v>
      </x:c>
      <x:c r="P624" s="60" t="n">
        <x:v>47060289.45960617</x:v>
      </x:c>
      <x:c r="Q624" s="62" t="n">
        <x:v>1.17341628558516</x:v>
      </x:c>
      <x:c r="R624" s="64" t="n">
        <x:v>0.17341628558516003</x:v>
      </x:c>
    </x:row>
    <x:row r="625" ht="18" customHeight="1">
      <x:c r="A625" s="46" t="str">
        <x:v>LME_050</x:v>
      </x:c>
      <x:c r="B625" s="46" t="str">
        <x:v>Sea of Japan / East Sea</x:v>
      </x:c>
      <x:c r="C625" s="46" t="str">
        <x:v>commercial</x:v>
      </x:c>
      <x:c r="D625" s="46" t="str">
        <x:v>Crustaceans</x:v>
      </x:c>
      <x:c r="E625" s="66" t="n">
        <x:v>34</x:v>
      </x:c>
      <x:c r="F625" s="66" t="n">
        <x:v>34</x:v>
      </x:c>
      <x:c r="G625" s="60" t="n">
        <x:v>111252.0260931627</x:v>
      </x:c>
      <x:c r="H625" s="60" t="n">
        <x:v>111252.0260931627</x:v>
      </x:c>
      <x:c r="I625" s="62" t="n">
        <x:v>0</x:v>
      </x:c>
      <x:c r="J625" s="64" t="n">
        <x:v>1</x:v>
      </x:c>
      <x:c r="K625" s="62" t="n">
        <x:v>217.18841153636336</x:v>
      </x:c>
      <x:c r="L625" s="60" t="n">
        <x:v>24162650.827376056</x:v>
      </x:c>
      <x:c r="M625" s="62" t="n">
        <x:v>3.0235508786399423</x:v>
      </x:c>
      <x:c r="N625" s="62" t="n">
        <x:v>105.57251767074217</x:v>
      </x:c>
      <x:c r="O625" s="60" t="n">
        <x:v>11745156.490626289</x:v>
      </x:c>
      <x:c r="P625" s="60" t="n">
        <x:v>12417494.336749768</x:v>
      </x:c>
      <x:c r="Q625" s="62" t="n">
        <x:v>2.057243838910113</x:v>
      </x:c>
      <x:c r="R625" s="64" t="n">
        <x:v>1.057243838910113</x:v>
      </x:c>
    </x:row>
    <x:row r="626" ht="18" customHeight="1">
      <x:c r="A626" s="46" t="str">
        <x:v>LME_050</x:v>
      </x:c>
      <x:c r="B626" s="46" t="str">
        <x:v>Sea of Japan / East Sea</x:v>
      </x:c>
      <x:c r="C626" s="46" t="str">
        <x:v>commercial</x:v>
      </x:c>
      <x:c r="D626" s="46" t="str">
        <x:v>Flatfishes</x:v>
      </x:c>
      <x:c r="E626" s="66" t="n">
        <x:v>8</x:v>
      </x:c>
      <x:c r="F626" s="66" t="n">
        <x:v>8</x:v>
      </x:c>
      <x:c r="G626" s="60" t="n">
        <x:v>50128.853597192705</x:v>
      </x:c>
      <x:c r="H626" s="60" t="n">
        <x:v>50128.853597192705</x:v>
      </x:c>
      <x:c r="I626" s="62" t="n">
        <x:v>0</x:v>
      </x:c>
      <x:c r="J626" s="64" t="n">
        <x:v>1</x:v>
      </x:c>
      <x:c r="K626" s="62" t="n">
        <x:v>485.8552938433996</x:v>
      </x:c>
      <x:c r="L626" s="60" t="n">
        <x:v>24355368.89449682</x:v>
      </x:c>
      <x:c r="M626" s="62" t="n">
        <x:v>3.560568869554084</x:v>
      </x:c>
      <x:c r="N626" s="62" t="n">
        <x:v>363.55395163684733</x:v>
      </x:c>
      <x:c r="O626" s="60" t="n">
        <x:v>18224542.816284396</x:v>
      </x:c>
      <x:c r="P626" s="60" t="n">
        <x:v>6130826.078212425</x:v>
      </x:c>
      <x:c r="Q626" s="62" t="n">
        <x:v>1.336404931526418</x:v>
      </x:c>
      <x:c r="R626" s="64" t="n">
        <x:v>0.336404931526418</x:v>
      </x:c>
    </x:row>
    <x:row r="627" ht="18" customHeight="1">
      <x:c r="A627" s="46" t="str">
        <x:v>LME_050</x:v>
      </x:c>
      <x:c r="B627" s="46" t="str">
        <x:v>Sea of Japan / East Sea</x:v>
      </x:c>
      <x:c r="C627" s="46" t="str">
        <x:v>commercial</x:v>
      </x:c>
      <x:c r="D627" s="46" t="str">
        <x:v>Herring-likes</x:v>
      </x:c>
      <x:c r="E627" s="66" t="n">
        <x:v>8</x:v>
      </x:c>
      <x:c r="F627" s="66" t="n">
        <x:v>8</x:v>
      </x:c>
      <x:c r="G627" s="60" t="n">
        <x:v>353856.04911560967</x:v>
      </x:c>
      <x:c r="H627" s="60" t="n">
        <x:v>353856.04911560967</x:v>
      </x:c>
      <x:c r="I627" s="62" t="n">
        <x:v>0</x:v>
      </x:c>
      <x:c r="J627" s="64" t="n">
        <x:v>1</x:v>
      </x:c>
      <x:c r="K627" s="62" t="n">
        <x:v>99.03980111334822</x:v>
      </x:c>
      <x:c r="L627" s="60" t="n">
        <x:v>35045832.72716516</x:v>
      </x:c>
      <x:c r="M627" s="62" t="n">
        <x:v>2.961990838367617</x:v>
      </x:c>
      <x:c r="N627" s="62" t="n">
        <x:v>91.62011622531814</x:v>
      </x:c>
      <x:c r="O627" s="60" t="n">
        <x:v>32420332.34700404</x:v>
      </x:c>
      <x:c r="P627" s="60" t="n">
        <x:v>2625500.3801611215</x:v>
      </x:c>
      <x:c r="Q627" s="62" t="n">
        <x:v>1.0809831420621987</x:v>
      </x:c>
      <x:c r="R627" s="64" t="n">
        <x:v>0.08098314206219862</x:v>
      </x:c>
    </x:row>
    <x:row r="628" ht="18" customHeight="1">
      <x:c r="A628" s="46" t="str">
        <x:v>LME_050</x:v>
      </x:c>
      <x:c r="B628" s="46" t="str">
        <x:v>Sea of Japan / East Sea</x:v>
      </x:c>
      <x:c r="C628" s="46" t="str">
        <x:v>commercial</x:v>
      </x:c>
      <x:c r="D628" s="46" t="str">
        <x:v>Molluscs</x:v>
      </x:c>
      <x:c r="E628" s="66" t="n">
        <x:v>21</x:v>
      </x:c>
      <x:c r="F628" s="66" t="n">
        <x:v>21</x:v>
      </x:c>
      <x:c r="G628" s="60" t="n">
        <x:v>113565.3152188947</x:v>
      </x:c>
      <x:c r="H628" s="60" t="n">
        <x:v>113565.3152188947</x:v>
      </x:c>
      <x:c r="I628" s="62" t="n">
        <x:v>0</x:v>
      </x:c>
      <x:c r="J628" s="64" t="n">
        <x:v>1</x:v>
      </x:c>
      <x:c r="K628" s="62" t="n">
        <x:v>13.009796924976168</x:v>
      </x:c>
      <x:c r="L628" s="60" t="n">
        <x:v>1477461.6887187255</x:v>
      </x:c>
      <x:c r="M628" s="62" t="n">
        <x:v>2.0455215049885984</x:v>
      </x:c>
      <x:c r="N628" s="62" t="n">
        <x:v>11.105075230467166</x:v>
      </x:c>
      <x:c r="O628" s="60" t="n">
        <x:v>1261151.3690775435</x:v>
      </x:c>
      <x:c r="P628" s="60" t="n">
        <x:v>216310.31964118197</x:v>
      </x:c>
      <x:c r="Q628" s="62" t="n">
        <x:v>1.1715181261702154</x:v>
      </x:c>
      <x:c r="R628" s="64" t="n">
        <x:v>0.1715181261702154</x:v>
      </x:c>
    </x:row>
    <x:row r="629" ht="18" customHeight="1">
      <x:c r="A629" s="46" t="str">
        <x:v>LME_050</x:v>
      </x:c>
      <x:c r="B629" s="46" t="str">
        <x:v>Sea of Japan / East Sea</x:v>
      </x:c>
      <x:c r="C629" s="46" t="str">
        <x:v>commercial</x:v>
      </x:c>
      <x:c r="D629" s="46" t="str">
        <x:v>Other fishes &amp; inverts</x:v>
      </x:c>
      <x:c r="E629" s="66" t="n">
        <x:v>42</x:v>
      </x:c>
      <x:c r="F629" s="66" t="n">
        <x:v>42</x:v>
      </x:c>
      <x:c r="G629" s="60" t="n">
        <x:v>550734.5641887597</x:v>
      </x:c>
      <x:c r="H629" s="60" t="n">
        <x:v>550734.5641887597</x:v>
      </x:c>
      <x:c r="I629" s="62" t="n">
        <x:v>0</x:v>
      </x:c>
      <x:c r="J629" s="64" t="n">
        <x:v>1</x:v>
      </x:c>
      <x:c r="K629" s="62" t="n">
        <x:v>612.8421976408198</x:v>
      </x:c>
      <x:c r="L629" s="60" t="n">
        <x:v>337513380.6341986</x:v>
      </x:c>
      <x:c r="M629" s="62" t="n">
        <x:v>3.553575149774097</x:v>
      </x:c>
      <x:c r="N629" s="62" t="n">
        <x:v>357.7462991931697</x:v>
      </x:c>
      <x:c r="O629" s="60" t="n">
        <x:v>197023252.17629194</x:v>
      </x:c>
      <x:c r="P629" s="60" t="n">
        <x:v>140490128.45790666</x:v>
      </x:c>
      <x:c r="Q629" s="62" t="n">
        <x:v>1.7130636963204693</x:v>
      </x:c>
      <x:c r="R629" s="64" t="n">
        <x:v>0.7130636963204692</x:v>
      </x:c>
    </x:row>
    <x:row r="630" ht="18" customHeight="1">
      <x:c r="A630" s="46" t="str">
        <x:v>LME_050</x:v>
      </x:c>
      <x:c r="B630" s="46" t="str">
        <x:v>Sea of Japan / East Sea</x:v>
      </x:c>
      <x:c r="C630" s="46" t="str">
        <x:v>commercial</x:v>
      </x:c>
      <x:c r="D630" s="46" t="str">
        <x:v>Perch-likes</x:v>
      </x:c>
      <x:c r="E630" s="66" t="n">
        <x:v>56</x:v>
      </x:c>
      <x:c r="F630" s="66" t="n">
        <x:v>56</x:v>
      </x:c>
      <x:c r="G630" s="60" t="n">
        <x:v>421263.907784064</x:v>
      </x:c>
      <x:c r="H630" s="60" t="n">
        <x:v>421263.907784064</x:v>
      </x:c>
      <x:c r="I630" s="62" t="n">
        <x:v>0</x:v>
      </x:c>
      <x:c r="J630" s="64" t="n">
        <x:v>1</x:v>
      </x:c>
      <x:c r="K630" s="62" t="n">
        <x:v>659.9318271440369</x:v>
      </x:c>
      <x:c r="L630" s="60" t="n">
        <x:v>278005460.3737744</x:v>
      </x:c>
      <x:c r="M630" s="62" t="n">
        <x:v>3.5806151560915995</x:v>
      </x:c>
      <x:c r="N630" s="62" t="n">
        <x:v>380.72829687700425</x:v>
      </x:c>
      <x:c r="O630" s="60" t="n">
        <x:v>160387090.14637807</x:v>
      </x:c>
      <x:c r="P630" s="60" t="n">
        <x:v>117618370.22739634</x:v>
      </x:c>
      <x:c r="Q630" s="62" t="n">
        <x:v>1.7333406330899286</x:v>
      </x:c>
      <x:c r="R630" s="64" t="n">
        <x:v>0.7333406330899286</x:v>
      </x:c>
    </x:row>
    <x:row r="631" ht="18" customHeight="1">
      <x:c r="A631" s="46" t="str">
        <x:v>LME_050</x:v>
      </x:c>
      <x:c r="B631" s="46" t="str">
        <x:v>Sea of Japan / East Sea</x:v>
      </x:c>
      <x:c r="C631" s="46" t="str">
        <x:v>commercial</x:v>
      </x:c>
      <x:c r="D631" s="46" t="str">
        <x:v>Salmon, smelts, etc</x:v>
      </x:c>
      <x:c r="E631" s="66" t="n">
        <x:v>13</x:v>
      </x:c>
      <x:c r="F631" s="66" t="n">
        <x:v>13</x:v>
      </x:c>
      <x:c r="G631" s="60" t="n">
        <x:v>167095.21109560822</x:v>
      </x:c>
      <x:c r="H631" s="60" t="n">
        <x:v>167095.21109560822</x:v>
      </x:c>
      <x:c r="I631" s="62" t="n">
        <x:v>0</x:v>
      </x:c>
      <x:c r="J631" s="64" t="n">
        <x:v>1</x:v>
      </x:c>
      <x:c r="K631" s="62" t="n">
        <x:v>1619.092524388859</x:v>
      </x:c>
      <x:c r="L631" s="60" t="n">
        <x:v>270542607.1460776</x:v>
      </x:c>
      <x:c r="M631" s="62" t="n">
        <x:v>4.072173073766581</x:v>
      </x:c>
      <x:c r="N631" s="62" t="n">
        <x:v>1180.7911073181833</x:v>
      </x:c>
      <x:c r="O631" s="60" t="n">
        <x:v>197304539.33714882</x:v>
      </x:c>
      <x:c r="P631" s="60" t="n">
        <x:v>73238067.80892876</x:v>
      </x:c>
      <x:c r="Q631" s="62" t="n">
        <x:v>1.3711930199628173</x:v>
      </x:c>
      <x:c r="R631" s="64" t="n">
        <x:v>0.37119301996281734</x:v>
      </x:c>
    </x:row>
    <x:row r="632" ht="18" customHeight="1">
      <x:c r="A632" s="46" t="str">
        <x:v>LME_050</x:v>
      </x:c>
      <x:c r="B632" s="46" t="str">
        <x:v>Sea of Japan / East Sea</x:v>
      </x:c>
      <x:c r="C632" s="46" t="str">
        <x:v>commercial</x:v>
      </x:c>
      <x:c r="D632" s="46" t="str">
        <x:v>Scorpionfishes</x:v>
      </x:c>
      <x:c r="E632" s="66" t="n">
        <x:v>11</x:v>
      </x:c>
      <x:c r="F632" s="66" t="n">
        <x:v>11</x:v>
      </x:c>
      <x:c r="G632" s="60" t="n">
        <x:v>30500.490921092605</x:v>
      </x:c>
      <x:c r="H632" s="60" t="n">
        <x:v>30500.490921092605</x:v>
      </x:c>
      <x:c r="I632" s="62" t="n">
        <x:v>0</x:v>
      </x:c>
      <x:c r="J632" s="64" t="n">
        <x:v>1</x:v>
      </x:c>
      <x:c r="K632" s="62" t="n">
        <x:v>371.0433210694315</x:v>
      </x:c>
      <x:c r="L632" s="60" t="n">
        <x:v>11317003.445610244</x:v>
      </x:c>
      <x:c r="M632" s="62" t="n">
        <x:v>3.5539653111846787</x:v>
      </x:c>
      <x:c r="N632" s="62" t="n">
        <x:v>358.067835668333</x:v>
      </x:c>
      <x:c r="O632" s="60" t="n">
        <x:v>10921244.77093727</x:v>
      </x:c>
      <x:c r="P632" s="60" t="n">
        <x:v>395758.6746729743</x:v>
      </x:c>
      <x:c r="Q632" s="62" t="n">
        <x:v>1.0362375061610316</x:v>
      </x:c>
      <x:c r="R632" s="64" t="n">
        <x:v>0.03623750616103168</x:v>
      </x:c>
    </x:row>
    <x:row r="633" ht="18" customHeight="1">
      <x:c r="A633" s="46" t="str">
        <x:v>LME_050</x:v>
      </x:c>
      <x:c r="B633" s="46" t="str">
        <x:v>Sea of Japan / East Sea</x:v>
      </x:c>
      <x:c r="C633" s="46" t="str">
        <x:v>commercial</x:v>
      </x:c>
      <x:c r="D633" s="46" t="str">
        <x:v>Sharks &amp; rays</x:v>
      </x:c>
      <x:c r="E633" s="66" t="n">
        <x:v>6</x:v>
      </x:c>
      <x:c r="F633" s="66" t="n">
        <x:v>6</x:v>
      </x:c>
      <x:c r="G633" s="60" t="n">
        <x:v>3761.2066651512</x:v>
      </x:c>
      <x:c r="H633" s="60" t="n">
        <x:v>3761.2066651512</x:v>
      </x:c>
      <x:c r="I633" s="62" t="n">
        <x:v>0</x:v>
      </x:c>
      <x:c r="J633" s="64" t="n">
        <x:v>1</x:v>
      </x:c>
      <x:c r="K633" s="62" t="n">
        <x:v>749.299126392002</x:v>
      </x:c>
      <x:c r="L633" s="60" t="n">
        <x:v>2818268.868377569</x:v>
      </x:c>
      <x:c r="M633" s="62" t="n">
        <x:v>3.847899954225771</x:v>
      </x:c>
      <x:c r="N633" s="62" t="n">
        <x:v>704.5307518143121</x:v>
      </x:c>
      <x:c r="O633" s="60" t="n">
        <x:v>2649885.7595279766</x:v>
      </x:c>
      <x:c r="P633" s="60" t="n">
        <x:v>168383.1088495925</x:v>
      </x:c>
      <x:c r="Q633" s="62" t="n">
        <x:v>1.0635435351294489</x:v>
      </x:c>
      <x:c r="R633" s="64" t="n">
        <x:v>0.06354353512944895</x:v>
      </x:c>
    </x:row>
    <x:row r="634" ht="18" customHeight="1">
      <x:c r="A634" s="46" t="str">
        <x:v>LME_050</x:v>
      </x:c>
      <x:c r="B634" s="46" t="str">
        <x:v>Sea of Japan / East Sea</x:v>
      </x:c>
      <x:c r="C634" s="46" t="str">
        <x:v>commercial</x:v>
      </x:c>
      <x:c r="D634" s="46" t="str">
        <x:v>Tuna &amp; billfishes</x:v>
      </x:c>
      <x:c r="E634" s="66" t="n">
        <x:v>11</x:v>
      </x:c>
      <x:c r="F634" s="66" t="n">
        <x:v>11</x:v>
      </x:c>
      <x:c r="G634" s="60" t="n">
        <x:v>46106.0609505495</x:v>
      </x:c>
      <x:c r="H634" s="60" t="n">
        <x:v>46106.0609505495</x:v>
      </x:c>
      <x:c r="I634" s="62" t="n">
        <x:v>0</x:v>
      </x:c>
      <x:c r="J634" s="64" t="n">
        <x:v>1</x:v>
      </x:c>
      <x:c r="K634" s="62" t="n">
        <x:v>2514.6308584762332</x:v>
      </x:c>
      <x:c r="L634" s="60" t="n">
        <x:v>115939723.62903783</x:v>
      </x:c>
      <x:c r="M634" s="62" t="n">
        <x:v>4.390377176867989</x:v>
      </x:c>
      <x:c r="N634" s="62" t="n">
        <x:v>2456.8417117984914</x:v>
      </x:c>
      <x:c r="O634" s="60" t="n">
        <x:v>113275293.71003361</x:v>
      </x:c>
      <x:c r="P634" s="60" t="n">
        <x:v>2664429.919004217</x:v>
      </x:c>
      <x:c r="Q634" s="62" t="n">
        <x:v>1.0235217215664407</x:v>
      </x:c>
      <x:c r="R634" s="64" t="n">
        <x:v>0.02352172156644083</x:v>
      </x:c>
    </x:row>
    <x:row r="635" ht="18" customHeight="1">
      <x:c r="A635" s="46" t="str">
        <x:v>LME_051</x:v>
      </x:c>
      <x:c r="B635" s="46" t="str">
        <x:v>Oyashio Current</x:v>
      </x:c>
      <x:c r="C635" s="46" t="str">
        <x:v>commercial</x:v>
      </x:c>
      <x:c r="D635" s="46" t="str">
        <x:v>Anchovies</x:v>
      </x:c>
      <x:c r="E635" s="66" t="n">
        <x:v>1</x:v>
      </x:c>
      <x:c r="F635" s="66" t="n">
        <x:v>1</x:v>
      </x:c>
      <x:c r="G635" s="60" t="n">
        <x:v>12229.50159158</x:v>
      </x:c>
      <x:c r="H635" s="60" t="n">
        <x:v>12229.50159158</x:v>
      </x:c>
      <x:c r="I635" s="62" t="n">
        <x:v>0</x:v>
      </x:c>
      <x:c r="J635" s="64" t="n">
        <x:v>1</x:v>
      </x:c>
      <x:c r="K635" s="62" t="n">
        <x:v>138.03842646028852</x:v>
      </x:c>
      <x:c r="L635" s="60" t="n">
        <x:v>1688141.156095297</x:v>
      </x:c>
      <x:c r="M635" s="62" t="n">
        <x:v>3.1400000000000006</x:v>
      </x:c>
      <x:c r="N635" s="62" t="n">
        <x:v>138.03842646028866</x:v>
      </x:c>
      <x:c r="O635" s="60" t="n">
        <x:v>1688141.156095299</x:v>
      </x:c>
      <x:c r="P635" s="60" t="n">
        <x:v>-1.862645149230957e-9</x:v>
      </x:c>
      <x:c r="Q635" s="62" t="n">
        <x:v>0.9999999999999989</x:v>
      </x:c>
      <x:c r="R635" s="64" t="n">
        <x:v>-1.103370498672806e-15</x:v>
      </x:c>
    </x:row>
    <x:row r="636" ht="18" customHeight="1">
      <x:c r="A636" s="46" t="str">
        <x:v>LME_051</x:v>
      </x:c>
      <x:c r="B636" s="46" t="str">
        <x:v>Oyashio Current</x:v>
      </x:c>
      <x:c r="C636" s="46" t="str">
        <x:v>commercial</x:v>
      </x:c>
      <x:c r="D636" s="46" t="str">
        <x:v>Cod-likes</x:v>
      </x:c>
      <x:c r="E636" s="66" t="n">
        <x:v>6</x:v>
      </x:c>
      <x:c r="F636" s="66" t="n">
        <x:v>6</x:v>
      </x:c>
      <x:c r="G636" s="60" t="n">
        <x:v>374319.0605663674</x:v>
      </x:c>
      <x:c r="H636" s="60" t="n">
        <x:v>374319.0605663674</x:v>
      </x:c>
      <x:c r="I636" s="62" t="n">
        <x:v>0</x:v>
      </x:c>
      <x:c r="J636" s="64" t="n">
        <x:v>1</x:v>
      </x:c>
      <x:c r="K636" s="62" t="n">
        <x:v>433.60361995435943</x:v>
      </x:c>
      <x:c r="L636" s="60" t="n">
        <x:v>162306099.67949203</x:v>
      </x:c>
      <x:c r="M636" s="62" t="n">
        <x:v>3.6034063494232687</x:v>
      </x:c>
      <x:c r="N636" s="62" t="n">
        <x:v>401.24196574890215</x:v>
      </x:c>
      <x:c r="O636" s="60" t="n">
        <x:v>150192515.67893162</x:v>
      </x:c>
      <x:c r="P636" s="60" t="n">
        <x:v>12113584.000560403</x:v>
      </x:c>
      <x:c r="Q636" s="62" t="n">
        <x:v>1.080653712642085</x:v>
      </x:c>
      <x:c r="R636" s="64" t="n">
        <x:v>0.08065371264208504</x:v>
      </x:c>
    </x:row>
    <x:row r="637" ht="18" customHeight="1">
      <x:c r="A637" s="46" t="str">
        <x:v>LME_051</x:v>
      </x:c>
      <x:c r="B637" s="46" t="str">
        <x:v>Oyashio Current</x:v>
      </x:c>
      <x:c r="C637" s="46" t="str">
        <x:v>commercial</x:v>
      </x:c>
      <x:c r="D637" s="46" t="str">
        <x:v>Crustaceans</x:v>
      </x:c>
      <x:c r="E637" s="66" t="n">
        <x:v>18</x:v>
      </x:c>
      <x:c r="F637" s="66" t="n">
        <x:v>18</x:v>
      </x:c>
      <x:c r="G637" s="60" t="n">
        <x:v>44741.9125685151</x:v>
      </x:c>
      <x:c r="H637" s="60" t="n">
        <x:v>44741.9125685151</x:v>
      </x:c>
      <x:c r="I637" s="62" t="n">
        <x:v>0</x:v>
      </x:c>
      <x:c r="J637" s="64" t="n">
        <x:v>1</x:v>
      </x:c>
      <x:c r="K637" s="62" t="n">
        <x:v>285.2208436383072</x:v>
      </x:c>
      <x:c r="L637" s="60" t="n">
        <x:v>12761326.048783258</x:v>
      </x:c>
      <x:c r="M637" s="62" t="n">
        <x:v>3.160905009984291</x:v>
      </x:c>
      <x:c r="N637" s="62" t="n">
        <x:v>144.84550090584023</x:v>
      </x:c>
      <x:c r="O637" s="60" t="n">
        <x:v>6480664.7374718785</x:v>
      </x:c>
      <x:c r="P637" s="60" t="n">
        <x:v>6280661.311311379</x:v>
      </x:c>
      <x:c r="Q637" s="62" t="n">
        <x:v>1.96913843961036</x:v>
      </x:c>
      <x:c r="R637" s="64" t="n">
        <x:v>0.96913843961036</x:v>
      </x:c>
    </x:row>
    <x:row r="638" ht="18" customHeight="1">
      <x:c r="A638" s="46" t="str">
        <x:v>LME_051</x:v>
      </x:c>
      <x:c r="B638" s="46" t="str">
        <x:v>Oyashio Current</x:v>
      </x:c>
      <x:c r="C638" s="46" t="str">
        <x:v>commercial</x:v>
      </x:c>
      <x:c r="D638" s="46" t="str">
        <x:v>Flatfishes</x:v>
      </x:c>
      <x:c r="E638" s="66" t="n">
        <x:v>6</x:v>
      </x:c>
      <x:c r="F638" s="66" t="n">
        <x:v>6</x:v>
      </x:c>
      <x:c r="G638" s="60" t="n">
        <x:v>29641.917731650698</x:v>
      </x:c>
      <x:c r="H638" s="60" t="n">
        <x:v>29641.917731650698</x:v>
      </x:c>
      <x:c r="I638" s="62" t="n">
        <x:v>0</x:v>
      </x:c>
      <x:c r="J638" s="64" t="n">
        <x:v>1</x:v>
      </x:c>
      <x:c r="K638" s="62" t="n">
        <x:v>490.6927432796432</x:v>
      </x:c>
      <x:c r="L638" s="60" t="n">
        <x:v>14545073.92781318</x:v>
      </x:c>
      <x:c r="M638" s="62" t="n">
        <x:v>3.6119888849416903</x:v>
      </x:c>
      <x:c r="N638" s="62" t="n">
        <x:v>409.2501855055497</x:v>
      </x:c>
      <x:c r="O638" s="60" t="n">
        <x:v>12130960.330418292</x:v>
      </x:c>
      <x:c r="P638" s="60" t="n">
        <x:v>2414113.5973948874</x:v>
      </x:c>
      <x:c r="Q638" s="62" t="n">
        <x:v>1.1990043270804798</x:v>
      </x:c>
      <x:c r="R638" s="64" t="n">
        <x:v>0.19900432708047983</x:v>
      </x:c>
    </x:row>
    <x:row r="639" ht="18" customHeight="1">
      <x:c r="A639" s="46" t="str">
        <x:v>LME_051</x:v>
      </x:c>
      <x:c r="B639" s="46" t="str">
        <x:v>Oyashio Current</x:v>
      </x:c>
      <x:c r="C639" s="46" t="str">
        <x:v>commercial</x:v>
      </x:c>
      <x:c r="D639" s="46" t="str">
        <x:v>Herring-likes</x:v>
      </x:c>
      <x:c r="E639" s="66" t="n">
        <x:v>3</x:v>
      </x:c>
      <x:c r="F639" s="66" t="n">
        <x:v>3</x:v>
      </x:c>
      <x:c r="G639" s="60" t="n">
        <x:v>162978.4358911092</x:v>
      </x:c>
      <x:c r="H639" s="60" t="n">
        <x:v>162978.4358911092</x:v>
      </x:c>
      <x:c r="I639" s="62" t="n">
        <x:v>0</x:v>
      </x:c>
      <x:c r="J639" s="64" t="n">
        <x:v>1</x:v>
      </x:c>
      <x:c r="K639" s="62" t="n">
        <x:v>108.06125423434588</x:v>
      </x:c>
      <x:c r="L639" s="60" t="n">
        <x:v>17611654.195545193</x:v>
      </x:c>
      <x:c r="M639" s="62" t="n">
        <x:v>3.0050857883883633</x:v>
      </x:c>
      <x:c r="N639" s="62" t="n">
        <x:v>101.17792964096024</x:v>
      </x:c>
      <x:c r="O639" s="60" t="n">
        <x:v>16489820.719584396</x:v>
      </x:c>
      <x:c r="P639" s="60" t="n">
        <x:v>1121833.4759607967</x:v>
      </x:c>
      <x:c r="Q639" s="62" t="n">
        <x:v>1.0680318782743607</x:v>
      </x:c>
      <x:c r="R639" s="64" t="n">
        <x:v>0.0680318782743607</x:v>
      </x:c>
    </x:row>
    <x:row r="640" ht="18" customHeight="1">
      <x:c r="A640" s="46" t="str">
        <x:v>LME_051</x:v>
      </x:c>
      <x:c r="B640" s="46" t="str">
        <x:v>Oyashio Current</x:v>
      </x:c>
      <x:c r="C640" s="46" t="str">
        <x:v>commercial</x:v>
      </x:c>
      <x:c r="D640" s="46" t="str">
        <x:v>Molluscs</x:v>
      </x:c>
      <x:c r="E640" s="66" t="n">
        <x:v>12</x:v>
      </x:c>
      <x:c r="F640" s="66" t="n">
        <x:v>12</x:v>
      </x:c>
      <x:c r="G640" s="60" t="n">
        <x:v>31339.5880689663</x:v>
      </x:c>
      <x:c r="H640" s="60" t="n">
        <x:v>31339.5880689663</x:v>
      </x:c>
      <x:c r="I640" s="62" t="n">
        <x:v>0</x:v>
      </x:c>
      <x:c r="J640" s="64" t="n">
        <x:v>1</x:v>
      </x:c>
      <x:c r="K640" s="62" t="n">
        <x:v>17.155084489419526</x:v>
      </x:c>
      <x:c r="L640" s="60" t="n">
        <x:v>537633.2811867209</x:v>
      </x:c>
      <x:c r="M640" s="62" t="n">
        <x:v>2.0982549320996355</x:v>
      </x:c>
      <x:c r="N640" s="62" t="n">
        <x:v>12.53876988326649</x:v>
      </x:c>
      <x:c r="O640" s="60" t="n">
        <x:v>392959.8830331324</x:v>
      </x:c>
      <x:c r="P640" s="60" t="n">
        <x:v>144673.39815358853</x:v>
      </x:c>
      <x:c r="Q640" s="62" t="n">
        <x:v>1.3681632767113543</x:v>
      </x:c>
      <x:c r="R640" s="64" t="n">
        <x:v>0.36816327671135424</x:v>
      </x:c>
    </x:row>
    <x:row r="641" ht="18" customHeight="1">
      <x:c r="A641" s="46" t="str">
        <x:v>LME_051</x:v>
      </x:c>
      <x:c r="B641" s="46" t="str">
        <x:v>Oyashio Current</x:v>
      </x:c>
      <x:c r="C641" s="46" t="str">
        <x:v>commercial</x:v>
      </x:c>
      <x:c r="D641" s="46" t="str">
        <x:v>Other fishes &amp; inverts</x:v>
      </x:c>
      <x:c r="E641" s="66" t="n">
        <x:v>30</x:v>
      </x:c>
      <x:c r="F641" s="66" t="n">
        <x:v>30</x:v>
      </x:c>
      <x:c r="G641" s="60" t="n">
        <x:v>216477.2879670446</x:v>
      </x:c>
      <x:c r="H641" s="60" t="n">
        <x:v>216477.2879670446</x:v>
      </x:c>
      <x:c r="I641" s="62" t="n">
        <x:v>0</x:v>
      </x:c>
      <x:c r="J641" s="64" t="n">
        <x:v>1</x:v>
      </x:c>
      <x:c r="K641" s="62" t="n">
        <x:v>470.6139543593979</x:v>
      </x:c>
      <x:c r="L641" s="60" t="n">
        <x:v>101877232.51916896</x:v>
      </x:c>
      <x:c r="M641" s="62" t="n">
        <x:v>3.4724941833870764</x:v>
      </x:c>
      <x:c r="N641" s="62" t="n">
        <x:v>296.8206989270015</x:v>
      </x:c>
      <x:c r="O641" s="60" t="n">
        <x:v>64254939.91619995</x:v>
      </x:c>
      <x:c r="P641" s="60" t="n">
        <x:v>37622292.602969006</x:v>
      </x:c>
      <x:c r="Q641" s="62" t="n">
        <x:v>1.5855159564701993</x:v>
      </x:c>
      <x:c r="R641" s="64" t="n">
        <x:v>0.5855159564701994</x:v>
      </x:c>
    </x:row>
    <x:row r="642" ht="18" customHeight="1">
      <x:c r="A642" s="46" t="str">
        <x:v>LME_051</x:v>
      </x:c>
      <x:c r="B642" s="46" t="str">
        <x:v>Oyashio Current</x:v>
      </x:c>
      <x:c r="C642" s="46" t="str">
        <x:v>commercial</x:v>
      </x:c>
      <x:c r="D642" s="46" t="str">
        <x:v>Perch-likes</x:v>
      </x:c>
      <x:c r="E642" s="66" t="n">
        <x:v>32</x:v>
      </x:c>
      <x:c r="F642" s="66" t="n">
        <x:v>32</x:v>
      </x:c>
      <x:c r="G642" s="60" t="n">
        <x:v>111659.1254779884</x:v>
      </x:c>
      <x:c r="H642" s="60" t="n">
        <x:v>111659.1254779884</x:v>
      </x:c>
      <x:c r="I642" s="62" t="n">
        <x:v>0</x:v>
      </x:c>
      <x:c r="J642" s="64" t="n">
        <x:v>1</x:v>
      </x:c>
      <x:c r="K642" s="62" t="n">
        <x:v>508.9617933039956</x:v>
      </x:c>
      <x:c r="L642" s="60" t="n">
        <x:v>56830228.74203284</x:v>
      </x:c>
      <x:c r="M642" s="62" t="n">
        <x:v>3.472704093279304</x:v>
      </x:c>
      <x:c r="N642" s="62" t="n">
        <x:v>296.9641975510842</x:v>
      </x:c>
      <x:c r="O642" s="60" t="n">
        <x:v>33158762.59682665</x:v>
      </x:c>
      <x:c r="P642" s="60" t="n">
        <x:v>23671466.14520619</x:v>
      </x:c>
      <x:c r="Q642" s="62" t="n">
        <x:v>1.713882675087266</x:v>
      </x:c>
      <x:c r="R642" s="64" t="n">
        <x:v>0.7138826750872661</x:v>
      </x:c>
    </x:row>
    <x:row r="643" ht="18" customHeight="1">
      <x:c r="A643" s="46" t="str">
        <x:v>LME_051</x:v>
      </x:c>
      <x:c r="B643" s="46" t="str">
        <x:v>Oyashio Current</x:v>
      </x:c>
      <x:c r="C643" s="46" t="str">
        <x:v>commercial</x:v>
      </x:c>
      <x:c r="D643" s="46" t="str">
        <x:v>Salmon, smelts, etc</x:v>
      </x:c>
      <x:c r="E643" s="66" t="n">
        <x:v>13</x:v>
      </x:c>
      <x:c r="F643" s="66" t="n">
        <x:v>13</x:v>
      </x:c>
      <x:c r="G643" s="60" t="n">
        <x:v>81954.5067683821</x:v>
      </x:c>
      <x:c r="H643" s="60" t="n">
        <x:v>81954.5067683821</x:v>
      </x:c>
      <x:c r="I643" s="62" t="n">
        <x:v>0</x:v>
      </x:c>
      <x:c r="J643" s="64" t="n">
        <x:v>1</x:v>
      </x:c>
      <x:c r="K643" s="62" t="n">
        <x:v>1740.8809019770983</x:v>
      </x:c>
      <x:c r="L643" s="60" t="n">
        <x:v>142673035.66402924</x:v>
      </x:c>
      <x:c r="M643" s="62" t="n">
        <x:v>4.101785673511753</x:v>
      </x:c>
      <x:c r="N643" s="62" t="n">
        <x:v>1264.1123477753854</x:v>
      </x:c>
      <x:c r="O643" s="60" t="n">
        <x:v>103599703.9617532</x:v>
      </x:c>
      <x:c r="P643" s="60" t="n">
        <x:v>39073331.702276036</x:v>
      </x:c>
      <x:c r="Q643" s="62" t="n">
        <x:v>1.3771567891419947</x:v>
      </x:c>
      <x:c r="R643" s="64" t="n">
        <x:v>0.3771567891419948</x:v>
      </x:c>
    </x:row>
    <x:row r="644" ht="18" customHeight="1">
      <x:c r="A644" s="46" t="str">
        <x:v>LME_051</x:v>
      </x:c>
      <x:c r="B644" s="46" t="str">
        <x:v>Oyashio Current</x:v>
      </x:c>
      <x:c r="C644" s="46" t="str">
        <x:v>commercial</x:v>
      </x:c>
      <x:c r="D644" s="46" t="str">
        <x:v>Scorpionfishes</x:v>
      </x:c>
      <x:c r="E644" s="66" t="n">
        <x:v>9</x:v>
      </x:c>
      <x:c r="F644" s="66" t="n">
        <x:v>9</x:v>
      </x:c>
      <x:c r="G644" s="60" t="n">
        <x:v>17285.062605307605</x:v>
      </x:c>
      <x:c r="H644" s="60" t="n">
        <x:v>17285.062605307605</x:v>
      </x:c>
      <x:c r="I644" s="62" t="n">
        <x:v>0</x:v>
      </x:c>
      <x:c r="J644" s="64" t="n">
        <x:v>1</x:v>
      </x:c>
      <x:c r="K644" s="62" t="n">
        <x:v>355.7185254218318</x:v>
      </x:c>
      <x:c r="L644" s="60" t="n">
        <x:v>6148616.981784068</x:v>
      </x:c>
      <x:c r="M644" s="62" t="n">
        <x:v>3.537701447470487</x:v>
      </x:c>
      <x:c r="N644" s="62" t="n">
        <x:v>344.9065543598258</x:v>
      </x:c>
      <x:c r="O644" s="60" t="n">
        <x:v>5961731.38509052</x:v>
      </x:c>
      <x:c r="P644" s="60" t="n">
        <x:v>186885.59669354837</x:v>
      </x:c>
      <x:c r="Q644" s="62" t="n">
        <x:v>1.0313475372541816</x:v>
      </x:c>
      <x:c r="R644" s="64" t="n">
        <x:v>0.03134753725418154</x:v>
      </x:c>
    </x:row>
    <x:row r="645" ht="18" customHeight="1">
      <x:c r="A645" s="46" t="str">
        <x:v>LME_051</x:v>
      </x:c>
      <x:c r="B645" s="46" t="str">
        <x:v>Oyashio Current</x:v>
      </x:c>
      <x:c r="C645" s="46" t="str">
        <x:v>commercial</x:v>
      </x:c>
      <x:c r="D645" s="46" t="str">
        <x:v>Sharks &amp; rays</x:v>
      </x:c>
      <x:c r="E645" s="66" t="n">
        <x:v>5</x:v>
      </x:c>
      <x:c r="F645" s="66" t="n">
        <x:v>5</x:v>
      </x:c>
      <x:c r="G645" s="60" t="n">
        <x:v>6198.8197115845</x:v>
      </x:c>
      <x:c r="H645" s="60" t="n">
        <x:v>6198.8197115845</x:v>
      </x:c>
      <x:c r="I645" s="62" t="n">
        <x:v>0</x:v>
      </x:c>
      <x:c r="J645" s="64" t="n">
        <x:v>1</x:v>
      </x:c>
      <x:c r="K645" s="62" t="n">
        <x:v>736.154028558616</x:v>
      </x:c>
      <x:c r="L645" s="60" t="n">
        <x:v>4563286.102991488</x:v>
      </x:c>
      <x:c r="M645" s="62" t="n">
        <x:v>3.8426978650048658</x:v>
      </x:c>
      <x:c r="N645" s="62" t="n">
        <x:v>696.1420454811429</x:v>
      </x:c>
      <x:c r="O645" s="60" t="n">
        <x:v>4315259.033591262</x:v>
      </x:c>
      <x:c r="P645" s="60" t="n">
        <x:v>248027.06940022577</x:v>
      </x:c>
      <x:c r="Q645" s="62" t="n">
        <x:v>1.0574767510987195</x:v>
      </x:c>
      <x:c r="R645" s="64" t="n">
        <x:v>0.05747675109871949</x:v>
      </x:c>
    </x:row>
    <x:row r="646" ht="18" customHeight="1">
      <x:c r="A646" s="46" t="str">
        <x:v>LME_051</x:v>
      </x:c>
      <x:c r="B646" s="46" t="str">
        <x:v>Oyashio Current</x:v>
      </x:c>
      <x:c r="C646" s="46" t="str">
        <x:v>commercial</x:v>
      </x:c>
      <x:c r="D646" s="46" t="str">
        <x:v>Tuna &amp; billfishes</x:v>
      </x:c>
      <x:c r="E646" s="66" t="n">
        <x:v>8</x:v>
      </x:c>
      <x:c r="F646" s="66" t="n">
        <x:v>8</x:v>
      </x:c>
      <x:c r="G646" s="60" t="n">
        <x:v>3196.6185013270997</x:v>
      </x:c>
      <x:c r="H646" s="60" t="n">
        <x:v>3196.6185013270997</x:v>
      </x:c>
      <x:c r="I646" s="62" t="n">
        <x:v>0</x:v>
      </x:c>
      <x:c r="J646" s="64" t="n">
        <x:v>1</x:v>
      </x:c>
      <x:c r="K646" s="62" t="n">
        <x:v>2152.1676556602933</x:v>
      </x:c>
      <x:c r="L646" s="60" t="n">
        <x:v>6879658.946041465</x:v>
      </x:c>
      <x:c r="M646" s="62" t="n">
        <x:v>4.319108817805623</x:v>
      </x:c>
      <x:c r="N646" s="62" t="n">
        <x:v>2085.013243276961</x:v>
      </x:c>
      <x:c r="O646" s="60" t="n">
        <x:v>6664991.908971155</x:v>
      </x:c>
      <x:c r="P646" s="60" t="n">
        <x:v>214667.03707030974</x:v>
      </x:c>
      <x:c r="Q646" s="62" t="n">
        <x:v>1.0322081466867747</x:v>
      </x:c>
      <x:c r="R646" s="64" t="n">
        <x:v>0.03220814668677474</x:v>
      </x:c>
    </x:row>
    <x:row r="647" ht="18" customHeight="1">
      <x:c r="A647" s="46" t="str">
        <x:v>LME_052</x:v>
      </x:c>
      <x:c r="B647" s="46" t="str">
        <x:v>Sea of Okhotsk</x:v>
      </x:c>
      <x:c r="C647" s="46" t="str">
        <x:v>commercial</x:v>
      </x:c>
      <x:c r="D647" s="46" t="str">
        <x:v>Anchovies</x:v>
      </x:c>
      <x:c r="E647" s="66" t="n">
        <x:v>1</x:v>
      </x:c>
      <x:c r="F647" s="66" t="n">
        <x:v>1</x:v>
      </x:c>
      <x:c r="G647" s="60" t="n">
        <x:v>10377.7610720746</x:v>
      </x:c>
      <x:c r="H647" s="60" t="n">
        <x:v>10377.7610720746</x:v>
      </x:c>
      <x:c r="I647" s="62" t="n">
        <x:v>0</x:v>
      </x:c>
      <x:c r="J647" s="64" t="n">
        <x:v>1</x:v>
      </x:c>
      <x:c r="K647" s="62" t="n">
        <x:v>138.03842646028852</x:v>
      </x:c>
      <x:c r="L647" s="60" t="n">
        <x:v>1432529.8085700145</x:v>
      </x:c>
      <x:c r="M647" s="62" t="n">
        <x:v>3.14</x:v>
      </x:c>
      <x:c r="N647" s="62" t="n">
        <x:v>138.03842646028852</x:v>
      </x:c>
      <x:c r="O647" s="60" t="n">
        <x:v>1432529.8085700145</x:v>
      </x:c>
      <x:c r="P647" s="60" t="n">
        <x:v>0</x:v>
      </x:c>
      <x:c r="Q647" s="62" t="n">
        <x:v>1</x:v>
      </x:c>
      <x:c r="R647" s="64" t="n">
        <x:v>0</x:v>
      </x:c>
    </x:row>
    <x:row r="648" ht="18" customHeight="1">
      <x:c r="A648" s="46" t="str">
        <x:v>LME_052</x:v>
      </x:c>
      <x:c r="B648" s="46" t="str">
        <x:v>Sea of Okhotsk</x:v>
      </x:c>
      <x:c r="C648" s="46" t="str">
        <x:v>commercial</x:v>
      </x:c>
      <x:c r="D648" s="46" t="str">
        <x:v>Cod-likes</x:v>
      </x:c>
      <x:c r="E648" s="66" t="n">
        <x:v>6</x:v>
      </x:c>
      <x:c r="F648" s="66" t="n">
        <x:v>6</x:v>
      </x:c>
      <x:c r="G648" s="60" t="n">
        <x:v>2807898.5137336077</x:v>
      </x:c>
      <x:c r="H648" s="60" t="n">
        <x:v>2807898.5137336077</x:v>
      </x:c>
      <x:c r="I648" s="62" t="n">
        <x:v>0</x:v>
      </x:c>
      <x:c r="J648" s="64" t="n">
        <x:v>1</x:v>
      </x:c>
      <x:c r="K648" s="62" t="n">
        <x:v>432.60017989156296</x:v>
      </x:c>
      <x:c r="L648" s="60" t="n">
        <x:v>1214697402.158411</x:v>
      </x:c>
      <x:c r="M648" s="62" t="n">
        <x:v>3.6041390194670493</x:v>
      </x:c>
      <x:c r="N648" s="62" t="n">
        <x:v>401.91944634319395</x:v>
      </x:c>
      <x:c r="O648" s="60" t="n">
        <x:v>1128549016.0276887</x:v>
      </x:c>
      <x:c r="P648" s="60" t="n">
        <x:v>86148386.13072228</x:v>
      </x:c>
      <x:c r="Q648" s="62" t="n">
        <x:v>1.0763355289909788</x:v>
      </x:c>
      <x:c r="R648" s="64" t="n">
        <x:v>0.07633552899097884</x:v>
      </x:c>
    </x:row>
    <x:row r="649" ht="18" customHeight="1">
      <x:c r="A649" s="46" t="str">
        <x:v>LME_052</x:v>
      </x:c>
      <x:c r="B649" s="46" t="str">
        <x:v>Sea of Okhotsk</x:v>
      </x:c>
      <x:c r="C649" s="46" t="str">
        <x:v>commercial</x:v>
      </x:c>
      <x:c r="D649" s="46" t="str">
        <x:v>Crustaceans</x:v>
      </x:c>
      <x:c r="E649" s="66" t="n">
        <x:v>19</x:v>
      </x:c>
      <x:c r="F649" s="66" t="n">
        <x:v>19</x:v>
      </x:c>
      <x:c r="G649" s="60" t="n">
        <x:v>106203.98264767599</x:v>
      </x:c>
      <x:c r="H649" s="60" t="n">
        <x:v>106203.98264767599</x:v>
      </x:c>
      <x:c r="I649" s="62" t="n">
        <x:v>0</x:v>
      </x:c>
      <x:c r="J649" s="64" t="n">
        <x:v>1</x:v>
      </x:c>
      <x:c r="K649" s="62" t="n">
        <x:v>175.83275577140932</x:v>
      </x:c>
      <x:c r="L649" s="60" t="n">
        <x:v>18674138.942839805</x:v>
      </x:c>
      <x:c r="M649" s="62" t="n">
        <x:v>2.920984088401038</x:v>
      </x:c>
      <x:c r="N649" s="62" t="n">
        <x:v>83.36506409258419</x:v>
      </x:c>
      <x:c r="O649" s="60" t="n">
        <x:v>8853701.82031121</x:v>
      </x:c>
      <x:c r="P649" s="60" t="n">
        <x:v>9820437.122528596</x:v>
      </x:c>
      <x:c r="Q649" s="62" t="n">
        <x:v>2.1091899548728428</x:v>
      </x:c>
      <x:c r="R649" s="64" t="n">
        <x:v>1.1091899548728428</x:v>
      </x:c>
    </x:row>
    <x:row r="650" ht="18" customHeight="1">
      <x:c r="A650" s="46" t="str">
        <x:v>LME_052</x:v>
      </x:c>
      <x:c r="B650" s="46" t="str">
        <x:v>Sea of Okhotsk</x:v>
      </x:c>
      <x:c r="C650" s="46" t="str">
        <x:v>commercial</x:v>
      </x:c>
      <x:c r="D650" s="46" t="str">
        <x:v>Flatfishes</x:v>
      </x:c>
      <x:c r="E650" s="66" t="n">
        <x:v>6</x:v>
      </x:c>
      <x:c r="F650" s="66" t="n">
        <x:v>6</x:v>
      </x:c>
      <x:c r="G650" s="60" t="n">
        <x:v>73198.9612905884</x:v>
      </x:c>
      <x:c r="H650" s="60" t="n">
        <x:v>73198.9612905884</x:v>
      </x:c>
      <x:c r="I650" s="62" t="n">
        <x:v>0</x:v>
      </x:c>
      <x:c r="J650" s="64" t="n">
        <x:v>1</x:v>
      </x:c>
      <x:c r="K650" s="62" t="n">
        <x:v>692.5409875912391</x:v>
      </x:c>
      <x:c r="L650" s="60" t="n">
        <x:v>50693280.94283697</x:v>
      </x:c>
      <x:c r="M650" s="62" t="n">
        <x:v>3.702983851787518</x:v>
      </x:c>
      <x:c r="N650" s="62" t="n">
        <x:v>504.64253327639534</x:v>
      </x:c>
      <x:c r="O650" s="60" t="n">
        <x:v>36939309.25888333</x:v>
      </x:c>
      <x:c r="P650" s="60" t="n">
        <x:v>13753971.683953643</x:v>
      </x:c>
      <x:c r="Q650" s="62" t="n">
        <x:v>1.3723397096453835</x:v>
      </x:c>
      <x:c r="R650" s="64" t="n">
        <x:v>0.37233970964538343</x:v>
      </x:c>
    </x:row>
    <x:row r="651" ht="18" customHeight="1">
      <x:c r="A651" s="46" t="str">
        <x:v>LME_052</x:v>
      </x:c>
      <x:c r="B651" s="46" t="str">
        <x:v>Sea of Okhotsk</x:v>
      </x:c>
      <x:c r="C651" s="46" t="str">
        <x:v>commercial</x:v>
      </x:c>
      <x:c r="D651" s="46" t="str">
        <x:v>Herring-likes</x:v>
      </x:c>
      <x:c r="E651" s="66" t="n">
        <x:v>3</x:v>
      </x:c>
      <x:c r="F651" s="66" t="n">
        <x:v>3</x:v>
      </x:c>
      <x:c r="G651" s="60" t="n">
        <x:v>557600.6076072942</x:v>
      </x:c>
      <x:c r="H651" s="60" t="n">
        <x:v>557600.6076072942</x:v>
      </x:c>
      <x:c r="I651" s="62" t="n">
        <x:v>0</x:v>
      </x:c>
      <x:c r="J651" s="64" t="n">
        <x:v>1</x:v>
      </x:c>
      <x:c r="K651" s="62" t="n">
        <x:v>133.5802264500883</x:v>
      </x:c>
      <x:c r="L651" s="60" t="n">
        <x:v>74484415.4328892</x:v>
      </x:c>
      <x:c r="M651" s="62" t="n">
        <x:v>3.1134453392708945</x:v>
      </x:c>
      <x:c r="N651" s="62" t="n">
        <x:v>129.851012178741</x:v>
      </x:c>
      <x:c r="O651" s="60" t="n">
        <x:v>72405003.28928815</x:v>
      </x:c>
      <x:c r="P651" s="60" t="n">
        <x:v>2079412.143601045</x:v>
      </x:c>
      <x:c r="Q651" s="62" t="n">
        <x:v>1.028719177531046</x:v>
      </x:c>
      <x:c r="R651" s="64" t="n">
        <x:v>0.028719177531046126</x:v>
      </x:c>
    </x:row>
    <x:row r="652" ht="18" customHeight="1">
      <x:c r="A652" s="46" t="str">
        <x:v>LME_052</x:v>
      </x:c>
      <x:c r="B652" s="46" t="str">
        <x:v>Sea of Okhotsk</x:v>
      </x:c>
      <x:c r="C652" s="46" t="str">
        <x:v>commercial</x:v>
      </x:c>
      <x:c r="D652" s="46" t="str">
        <x:v>Molluscs</x:v>
      </x:c>
      <x:c r="E652" s="66" t="n">
        <x:v>11</x:v>
      </x:c>
      <x:c r="F652" s="66" t="n">
        <x:v>11</x:v>
      </x:c>
      <x:c r="G652" s="60" t="n">
        <x:v>34538.13871137079</x:v>
      </x:c>
      <x:c r="H652" s="60" t="n">
        <x:v>34538.13871137079</x:v>
      </x:c>
      <x:c r="I652" s="62" t="n">
        <x:v>0</x:v>
      </x:c>
      <x:c r="J652" s="64" t="n">
        <x:v>1</x:v>
      </x:c>
      <x:c r="K652" s="62" t="n">
        <x:v>25.954343376999006</x:v>
      </x:c>
      <x:c r="L652" s="60" t="n">
        <x:v>896414.7117173395</x:v>
      </x:c>
      <x:c r="M652" s="62" t="n">
        <x:v>2.18881543169166</x:v>
      </x:c>
      <x:c r="N652" s="62" t="n">
        <x:v>15.44597870287566</x:v>
      </x:c>
      <x:c r="O652" s="60" t="n">
        <x:v>533475.3549727986</x:v>
      </x:c>
      <x:c r="P652" s="60" t="n">
        <x:v>362939.35674454086</x:v>
      </x:c>
      <x:c r="Q652" s="62" t="n">
        <x:v>1.680330128395616</x:v>
      </x:c>
      <x:c r="R652" s="64" t="n">
        <x:v>0.6803301283956159</x:v>
      </x:c>
    </x:row>
    <x:row r="653" ht="18" customHeight="1">
      <x:c r="A653" s="46" t="str">
        <x:v>LME_052</x:v>
      </x:c>
      <x:c r="B653" s="46" t="str">
        <x:v>Sea of Okhotsk</x:v>
      </x:c>
      <x:c r="C653" s="46" t="str">
        <x:v>commercial</x:v>
      </x:c>
      <x:c r="D653" s="46" t="str">
        <x:v>Other fishes &amp; inverts</x:v>
      </x:c>
      <x:c r="E653" s="66" t="n">
        <x:v>29</x:v>
      </x:c>
      <x:c r="F653" s="66" t="n">
        <x:v>29</x:v>
      </x:c>
      <x:c r="G653" s="60" t="n">
        <x:v>472257.4960411431</x:v>
      </x:c>
      <x:c r="H653" s="60" t="n">
        <x:v>472257.4960411431</x:v>
      </x:c>
      <x:c r="I653" s="62" t="n">
        <x:v>0</x:v>
      </x:c>
      <x:c r="J653" s="64" t="n">
        <x:v>1</x:v>
      </x:c>
      <x:c r="K653" s="62" t="n">
        <x:v>372.1344875742611</x:v>
      </x:c>
      <x:c r="L653" s="60" t="n">
        <x:v>175743301.2923744</x:v>
      </x:c>
      <x:c r="M653" s="62" t="n">
        <x:v>3.397722319680472</x:v>
      </x:c>
      <x:c r="N653" s="62" t="n">
        <x:v>249.87471954415403</x:v>
      </x:c>
      <x:c r="O653" s="60" t="n">
        <x:v>118005209.37590507</x:v>
      </x:c>
      <x:c r="P653" s="60" t="n">
        <x:v>57738091.916469336</x:v>
      </x:c>
      <x:c r="Q653" s="62" t="n">
        <x:v>1.4892842631425272</x:v>
      </x:c>
      <x:c r="R653" s="64" t="n">
        <x:v>0.48928426314252704</x:v>
      </x:c>
    </x:row>
    <x:row r="654" ht="18" customHeight="1">
      <x:c r="A654" s="46" t="str">
        <x:v>LME_052</x:v>
      </x:c>
      <x:c r="B654" s="46" t="str">
        <x:v>Sea of Okhotsk</x:v>
      </x:c>
      <x:c r="C654" s="46" t="str">
        <x:v>commercial</x:v>
      </x:c>
      <x:c r="D654" s="46" t="str">
        <x:v>Perch-likes</x:v>
      </x:c>
      <x:c r="E654" s="66" t="n">
        <x:v>26</x:v>
      </x:c>
      <x:c r="F654" s="66" t="n">
        <x:v>26</x:v>
      </x:c>
      <x:c r="G654" s="60" t="n">
        <x:v>77348.54861944108</x:v>
      </x:c>
      <x:c r="H654" s="60" t="n">
        <x:v>77348.54861944108</x:v>
      </x:c>
      <x:c r="I654" s="62" t="n">
        <x:v>0</x:v>
      </x:c>
      <x:c r="J654" s="64" t="n">
        <x:v>1</x:v>
      </x:c>
      <x:c r="K654" s="62" t="n">
        <x:v>467.4506453437309</x:v>
      </x:c>
      <x:c r="L654" s="60" t="n">
        <x:v>36156628.96855868</x:v>
      </x:c>
      <x:c r="M654" s="62" t="n">
        <x:v>3.4051167376169893</x:v>
      </x:c>
      <x:c r="N654" s="62" t="n">
        <x:v>254.16558064885163</x:v>
      </x:c>
      <x:c r="O654" s="60" t="n">
        <x:v>19659338.772206172</x:v>
      </x:c>
      <x:c r="P654" s="60" t="n">
        <x:v>16497290.196352504</x:v>
      </x:c>
      <x:c r="Q654" s="62" t="n">
        <x:v>1.839157938499738</x:v>
      </x:c>
      <x:c r="R654" s="64" t="n">
        <x:v>0.8391579384997381</x:v>
      </x:c>
    </x:row>
    <x:row r="655" ht="18" customHeight="1">
      <x:c r="A655" s="46" t="str">
        <x:v>LME_052</x:v>
      </x:c>
      <x:c r="B655" s="46" t="str">
        <x:v>Sea of Okhotsk</x:v>
      </x:c>
      <x:c r="C655" s="46" t="str">
        <x:v>commercial</x:v>
      </x:c>
      <x:c r="D655" s="46" t="str">
        <x:v>Salmon, smelts, etc</x:v>
      </x:c>
      <x:c r="E655" s="66" t="n">
        <x:v>13</x:v>
      </x:c>
      <x:c r="F655" s="66" t="n">
        <x:v>13</x:v>
      </x:c>
      <x:c r="G655" s="60" t="n">
        <x:v>622434.0821785933</x:v>
      </x:c>
      <x:c r="H655" s="60" t="n">
        <x:v>622434.0821785933</x:v>
      </x:c>
      <x:c r="I655" s="62" t="n">
        <x:v>0</x:v>
      </x:c>
      <x:c r="J655" s="64" t="n">
        <x:v>1</x:v>
      </x:c>
      <x:c r="K655" s="62" t="n">
        <x:v>1944.4509561567168</x:v>
      </x:c>
      <x:c r="L655" s="60" t="n">
        <x:v>1210292546.236694</x:v>
      </x:c>
      <x:c r="M655" s="62" t="n">
        <x:v>4.1303859967766385</x:v>
      </x:c>
      <x:c r="N655" s="62" t="n">
        <x:v>1350.1623608472385</x:v>
      </x:c>
      <x:c r="O655" s="60" t="n">
        <x:v>840387069.8660336</x:v>
      </x:c>
      <x:c r="P655" s="60" t="n">
        <x:v>369905476.37066054</x:v>
      </x:c>
      <x:c r="Q655" s="62" t="n">
        <x:v>1.440160837350374</x:v>
      </x:c>
      <x:c r="R655" s="64" t="n">
        <x:v>0.4401608373503739</x:v>
      </x:c>
    </x:row>
    <x:row r="656" ht="18" customHeight="1">
      <x:c r="A656" s="46" t="str">
        <x:v>LME_052</x:v>
      </x:c>
      <x:c r="B656" s="46" t="str">
        <x:v>Sea of Okhotsk</x:v>
      </x:c>
      <x:c r="C656" s="46" t="str">
        <x:v>commercial</x:v>
      </x:c>
      <x:c r="D656" s="46" t="str">
        <x:v>Scorpionfishes</x:v>
      </x:c>
      <x:c r="E656" s="66" t="n">
        <x:v>9</x:v>
      </x:c>
      <x:c r="F656" s="66" t="n">
        <x:v>9</x:v>
      </x:c>
      <x:c r="G656" s="60" t="n">
        <x:v>29857.6864427241</x:v>
      </x:c>
      <x:c r="H656" s="60" t="n">
        <x:v>29857.6864427241</x:v>
      </x:c>
      <x:c r="I656" s="62" t="n">
        <x:v>0</x:v>
      </x:c>
      <x:c r="J656" s="64" t="n">
        <x:v>1</x:v>
      </x:c>
      <x:c r="K656" s="62" t="n">
        <x:v>302.9530884431721</x:v>
      </x:c>
      <x:c r="L656" s="60" t="n">
        <x:v>9045478.321591094</x:v>
      </x:c>
      <x:c r="M656" s="62" t="n">
        <x:v>3.4656234349996193</x:v>
      </x:c>
      <x:c r="N656" s="62" t="n">
        <x:v>292.1618023289985</x:v>
      </x:c>
      <x:c r="O656" s="60" t="n">
        <x:v>8723275.484480377</x:v>
      </x:c>
      <x:c r="P656" s="60" t="n">
        <x:v>322202.83711071685</x:v>
      </x:c>
      <x:c r="Q656" s="62" t="n">
        <x:v>1.036935992412936</x:v>
      </x:c>
      <x:c r="R656" s="64" t="n">
        <x:v>0.03693599241293589</x:v>
      </x:c>
    </x:row>
    <x:row r="657" ht="18" customHeight="1">
      <x:c r="A657" s="46" t="str">
        <x:v>LME_052</x:v>
      </x:c>
      <x:c r="B657" s="46" t="str">
        <x:v>Sea of Okhotsk</x:v>
      </x:c>
      <x:c r="C657" s="46" t="str">
        <x:v>commercial</x:v>
      </x:c>
      <x:c r="D657" s="46" t="str">
        <x:v>Sharks &amp; rays</x:v>
      </x:c>
      <x:c r="E657" s="66" t="n">
        <x:v>5</x:v>
      </x:c>
      <x:c r="F657" s="66" t="n">
        <x:v>5</x:v>
      </x:c>
      <x:c r="G657" s="60" t="n">
        <x:v>7343.1527317368</x:v>
      </x:c>
      <x:c r="H657" s="60" t="n">
        <x:v>7343.1527317368</x:v>
      </x:c>
      <x:c r="I657" s="62" t="n">
        <x:v>0</x:v>
      </x:c>
      <x:c r="J657" s="64" t="n">
        <x:v>1</x:v>
      </x:c>
      <x:c r="K657" s="62" t="n">
        <x:v>557.6103012801336</x:v>
      </x:c>
      <x:c r="L657" s="60" t="n">
        <x:v>4094617.6070897933</x:v>
      </x:c>
      <x:c r="M657" s="62" t="n">
        <x:v>3.7390942589079392</x:v>
      </x:c>
      <x:c r="N657" s="62" t="n">
        <x:v>548.3959754052407</x:v>
      </x:c>
      <x:c r="O657" s="60" t="n">
        <x:v>4026955.4048704603</x:v>
      </x:c>
      <x:c r="P657" s="60" t="n">
        <x:v>67662.20221933303</x:v>
      </x:c>
      <x:c r="Q657" s="62" t="n">
        <x:v>1.0168023222053808</x:v>
      </x:c>
      <x:c r="R657" s="64" t="n">
        <x:v>0.016802322205380766</x:v>
      </x:c>
    </x:row>
    <x:row r="658" ht="18" customHeight="1">
      <x:c r="A658" s="46" t="str">
        <x:v>LME_052</x:v>
      </x:c>
      <x:c r="B658" s="46" t="str">
        <x:v>Sea of Okhotsk</x:v>
      </x:c>
      <x:c r="C658" s="46" t="str">
        <x:v>commercial</x:v>
      </x:c>
      <x:c r="D658" s="46" t="str">
        <x:v>Tuna &amp; billfishes</x:v>
      </x:c>
      <x:c r="E658" s="66" t="n">
        <x:v>3</x:v>
      </x:c>
      <x:c r="F658" s="66" t="n">
        <x:v>3</x:v>
      </x:c>
      <x:c r="G658" s="60" t="n">
        <x:v>1793.1945488683</x:v>
      </x:c>
      <x:c r="H658" s="60" t="n">
        <x:v>1793.1945488683</x:v>
      </x:c>
      <x:c r="I658" s="62" t="n">
        <x:v>0</x:v>
      </x:c>
      <x:c r="J658" s="64" t="n">
        <x:v>1</x:v>
      </x:c>
      <x:c r="K658" s="62" t="n">
        <x:v>1858.5192330272637</x:v>
      </x:c>
      <x:c r="L658" s="60" t="n">
        <x:v>3332686.557631383</x:v>
      </x:c>
      <x:c r="M658" s="62" t="n">
        <x:v>4.26082910551169</x:v>
      </x:c>
      <x:c r="N658" s="62" t="n">
        <x:v>1823.178142188881</x:v>
      </x:c>
      <x:c r="O658" s="60" t="n">
        <x:v>3269313.106188936</x:v>
      </x:c>
      <x:c r="P658" s="60" t="n">
        <x:v>63373.451442447025</x:v>
      </x:c>
      <x:c r="Q658" s="62" t="n">
        <x:v>1.0193843322386218</x:v>
      </x:c>
      <x:c r="R658" s="64" t="n">
        <x:v>0.019384332238621817</x:v>
      </x:c>
    </x:row>
    <x:row r="659" ht="18" customHeight="1">
      <x:c r="A659" s="46" t="str">
        <x:v>LME_053</x:v>
      </x:c>
      <x:c r="B659" s="46" t="str">
        <x:v>West Bering Sea</x:v>
      </x:c>
      <x:c r="C659" s="46" t="str">
        <x:v>commercial</x:v>
      </x:c>
      <x:c r="D659" s="46" t="str">
        <x:v>Cod-likes</x:v>
      </x:c>
      <x:c r="E659" s="66" t="n">
        <x:v>4</x:v>
      </x:c>
      <x:c r="F659" s="66" t="n">
        <x:v>4</x:v>
      </x:c>
      <x:c r="G659" s="60" t="n">
        <x:v>271904.6345030085</x:v>
      </x:c>
      <x:c r="H659" s="60" t="n">
        <x:v>271904.6345030085</x:v>
      </x:c>
      <x:c r="I659" s="62" t="n">
        <x:v>0</x:v>
      </x:c>
      <x:c r="J659" s="64" t="n">
        <x:v>1</x:v>
      </x:c>
      <x:c r="K659" s="62" t="n">
        <x:v>497.1515854521037</x:v>
      </x:c>
      <x:c r="L659" s="60" t="n">
        <x:v>135177820.13494545</x:v>
      </x:c>
      <x:c r="M659" s="62" t="n">
        <x:v>3.6415103063886156</x:v>
      </x:c>
      <x:c r="N659" s="62" t="n">
        <x:v>438.0365062388709</x:v>
      </x:c>
      <x:c r="O659" s="60" t="n">
        <x:v>119104156.127855</x:v>
      </x:c>
      <x:c r="P659" s="60" t="n">
        <x:v>16073664.00709045</x:v>
      </x:c>
      <x:c r="Q659" s="62" t="n">
        <x:v>1.1349546861306488</x:v>
      </x:c>
      <x:c r="R659" s="64" t="n">
        <x:v>0.13495468613064868</x:v>
      </x:c>
    </x:row>
    <x:row r="660" ht="18" customHeight="1">
      <x:c r="A660" s="46" t="str">
        <x:v>LME_053</x:v>
      </x:c>
      <x:c r="B660" s="46" t="str">
        <x:v>West Bering Sea</x:v>
      </x:c>
      <x:c r="C660" s="46" t="str">
        <x:v>commercial</x:v>
      </x:c>
      <x:c r="D660" s="46" t="str">
        <x:v>Crustaceans</x:v>
      </x:c>
      <x:c r="E660" s="66" t="n">
        <x:v>12</x:v>
      </x:c>
      <x:c r="F660" s="66" t="n">
        <x:v>12</x:v>
      </x:c>
      <x:c r="G660" s="60" t="n">
        <x:v>35246.880677885</x:v>
      </x:c>
      <x:c r="H660" s="60" t="n">
        <x:v>35246.880677885</x:v>
      </x:c>
      <x:c r="I660" s="62" t="n">
        <x:v>0</x:v>
      </x:c>
      <x:c r="J660" s="64" t="n">
        <x:v>1</x:v>
      </x:c>
      <x:c r="K660" s="62" t="n">
        <x:v>94.8498551779494</x:v>
      </x:c>
      <x:c r="L660" s="60" t="n">
        <x:v>3343161.527771855</x:v>
      </x:c>
      <x:c r="M660" s="62" t="n">
        <x:v>2.662621330940856</x:v>
      </x:c>
      <x:c r="N660" s="62" t="n">
        <x:v>45.98554426161638</x:v>
      </x:c>
      <x:c r="O660" s="60" t="n">
        <x:v>1620846.9914967918</x:v>
      </x:c>
      <x:c r="P660" s="60" t="n">
        <x:v>1722314.536275063</x:v>
      </x:c>
      <x:c r="Q660" s="62" t="n">
        <x:v>2.0626015566617855</x:v>
      </x:c>
      <x:c r="R660" s="64" t="n">
        <x:v>1.0626015566617857</x:v>
      </x:c>
    </x:row>
    <x:row r="661" ht="18" customHeight="1">
      <x:c r="A661" s="46" t="str">
        <x:v>LME_053</x:v>
      </x:c>
      <x:c r="B661" s="46" t="str">
        <x:v>West Bering Sea</x:v>
      </x:c>
      <x:c r="C661" s="46" t="str">
        <x:v>commercial</x:v>
      </x:c>
      <x:c r="D661" s="46" t="str">
        <x:v>Flatfishes</x:v>
      </x:c>
      <x:c r="E661" s="66" t="n">
        <x:v>5</x:v>
      </x:c>
      <x:c r="F661" s="66" t="n">
        <x:v>5</x:v>
      </x:c>
      <x:c r="G661" s="60" t="n">
        <x:v>24676.2482151331</x:v>
      </x:c>
      <x:c r="H661" s="60" t="n">
        <x:v>24676.2482151331</x:v>
      </x:c>
      <x:c r="I661" s="62" t="n">
        <x:v>0</x:v>
      </x:c>
      <x:c r="J661" s="64" t="n">
        <x:v>1</x:v>
      </x:c>
      <x:c r="K661" s="62" t="n">
        <x:v>528.2678265253086</x:v>
      </x:c>
      <x:c r="L661" s="60" t="n">
        <x:v>13035668.011407387</x:v>
      </x:c>
      <x:c r="M661" s="62" t="n">
        <x:v>3.6357089795205257</x:v>
      </x:c>
      <x:c r="N661" s="62" t="n">
        <x:v>432.22410085349907</x:v>
      </x:c>
      <x:c r="O661" s="60" t="n">
        <x:v>10665669.197223665</x:v>
      </x:c>
      <x:c r="P661" s="60" t="n">
        <x:v>2369998.8141837213</x:v>
      </x:c>
      <x:c r="Q661" s="62" t="n">
        <x:v>1.2222081681288828</x:v>
      </x:c>
      <x:c r="R661" s="64" t="n">
        <x:v>0.22220816812888267</x:v>
      </x:c>
    </x:row>
    <x:row r="662" ht="18" customHeight="1">
      <x:c r="A662" s="46" t="str">
        <x:v>LME_053</x:v>
      </x:c>
      <x:c r="B662" s="46" t="str">
        <x:v>West Bering Sea</x:v>
      </x:c>
      <x:c r="C662" s="46" t="str">
        <x:v>commercial</x:v>
      </x:c>
      <x:c r="D662" s="46" t="str">
        <x:v>Herring-likes</x:v>
      </x:c>
      <x:c r="E662" s="66" t="n">
        <x:v>2</x:v>
      </x:c>
      <x:c r="F662" s="66" t="n">
        <x:v>2</x:v>
      </x:c>
      <x:c r="G662" s="60" t="n">
        <x:v>61033.7583750854</x:v>
      </x:c>
      <x:c r="H662" s="60" t="n">
        <x:v>61033.7583750854</x:v>
      </x:c>
      <x:c r="I662" s="62" t="n">
        <x:v>0</x:v>
      </x:c>
      <x:c r="J662" s="64" t="n">
        <x:v>1</x:v>
      </x:c>
      <x:c r="K662" s="62" t="n">
        <x:v>134.3532375398449</x:v>
      </x:c>
      <x:c r="L662" s="60" t="n">
        <x:v>8200083.036917348</x:v>
      </x:c>
      <x:c r="M662" s="62" t="n">
        <x:v>3.1167277259518733</x:v>
      </x:c>
      <x:c r="N662" s="62" t="n">
        <x:v>130.8361409355323</x:v>
      </x:c>
      <x:c r="O662" s="60" t="n">
        <x:v>7985421.4125879</x:v>
      </x:c>
      <x:c r="P662" s="60" t="n">
        <x:v>214661.62432944868</x:v>
      </x:c>
      <x:c r="Q662" s="62" t="n">
        <x:v>1.0268816901749311</x:v>
      </x:c>
      <x:c r="R662" s="64" t="n">
        <x:v>0.026881690174931114</x:v>
      </x:c>
    </x:row>
    <x:row r="663" ht="18" customHeight="1">
      <x:c r="A663" s="46" t="str">
        <x:v>LME_053</x:v>
      </x:c>
      <x:c r="B663" s="46" t="str">
        <x:v>West Bering Sea</x:v>
      </x:c>
      <x:c r="C663" s="46" t="str">
        <x:v>commercial</x:v>
      </x:c>
      <x:c r="D663" s="46" t="str">
        <x:v>Molluscs</x:v>
      </x:c>
      <x:c r="E663" s="66" t="n">
        <x:v>5</x:v>
      </x:c>
      <x:c r="F663" s="66" t="n">
        <x:v>5</x:v>
      </x:c>
      <x:c r="G663" s="60" t="n">
        <x:v>1532.7958462053002</x:v>
      </x:c>
      <x:c r="H663" s="60" t="n">
        <x:v>1532.7958462053002</x:v>
      </x:c>
      <x:c r="I663" s="62" t="n">
        <x:v>0</x:v>
      </x:c>
      <x:c r="J663" s="64" t="n">
        <x:v>1</x:v>
      </x:c>
      <x:c r="K663" s="62" t="n">
        <x:v>106.53715199660675</x:v>
      </x:c>
      <x:c r="L663" s="60" t="n">
        <x:v>163299.70404694154</x:v>
      </x:c>
      <x:c r="M663" s="62" t="n">
        <x:v>2.9786090855046687</x:v>
      </x:c>
      <x:c r="N663" s="62" t="n">
        <x:v>95.1938924826803</x:v>
      </x:c>
      <x:c r="O663" s="60" t="n">
        <x:v>145912.80298156632</x:v>
      </x:c>
      <x:c r="P663" s="60" t="n">
        <x:v>17386.90106537522</x:v>
      </x:c>
      <x:c r="Q663" s="62" t="n">
        <x:v>1.1191595302817379</x:v>
      </x:c>
      <x:c r="R663" s="64" t="n">
        <x:v>0.11915953028173798</x:v>
      </x:c>
    </x:row>
    <x:row r="664" ht="18" customHeight="1">
      <x:c r="A664" s="46" t="str">
        <x:v>LME_053</x:v>
      </x:c>
      <x:c r="B664" s="46" t="str">
        <x:v>West Bering Sea</x:v>
      </x:c>
      <x:c r="C664" s="46" t="str">
        <x:v>commercial</x:v>
      </x:c>
      <x:c r="D664" s="46" t="str">
        <x:v>Other fishes &amp; inverts</x:v>
      </x:c>
      <x:c r="E664" s="66" t="n">
        <x:v>12</x:v>
      </x:c>
      <x:c r="F664" s="66" t="n">
        <x:v>12</x:v>
      </x:c>
      <x:c r="G664" s="60" t="n">
        <x:v>162277.8940945458</x:v>
      </x:c>
      <x:c r="H664" s="60" t="n">
        <x:v>162277.8940945458</x:v>
      </x:c>
      <x:c r="I664" s="62" t="n">
        <x:v>0</x:v>
      </x:c>
      <x:c r="J664" s="64" t="n">
        <x:v>1</x:v>
      </x:c>
      <x:c r="K664" s="62" t="n">
        <x:v>389.17705843608917</x:v>
      </x:c>
      <x:c r="L664" s="60" t="n">
        <x:v>63154833.47291854</x:v>
      </x:c>
      <x:c r="M664" s="62" t="n">
        <x:v>3.421514408470513</x:v>
      </x:c>
      <x:c r="N664" s="62" t="n">
        <x:v>263.9455889426977</x:v>
      </x:c>
      <x:c r="O664" s="60" t="n">
        <x:v>42832534.32916562</x:v>
      </x:c>
      <x:c r="P664" s="60" t="n">
        <x:v>20322299.143752918</x:v>
      </x:c>
      <x:c r="Q664" s="62" t="n">
        <x:v>1.4744594141354603</x:v>
      </x:c>
      <x:c r="R664" s="64" t="n">
        <x:v>0.47445941413546044</x:v>
      </x:c>
    </x:row>
    <x:row r="665" ht="18" customHeight="1">
      <x:c r="A665" s="46" t="str">
        <x:v>LME_053</x:v>
      </x:c>
      <x:c r="B665" s="46" t="str">
        <x:v>West Bering Sea</x:v>
      </x:c>
      <x:c r="C665" s="46" t="str">
        <x:v>commercial</x:v>
      </x:c>
      <x:c r="D665" s="46" t="str">
        <x:v>Perch-likes</x:v>
      </x:c>
      <x:c r="E665" s="66" t="n">
        <x:v>5</x:v>
      </x:c>
      <x:c r="F665" s="66" t="n">
        <x:v>5</x:v>
      </x:c>
      <x:c r="G665" s="60" t="n">
        <x:v>3629.0430120916003</x:v>
      </x:c>
      <x:c r="H665" s="60" t="n">
        <x:v>3629.0430120916003</x:v>
      </x:c>
      <x:c r="I665" s="62" t="n">
        <x:v>0</x:v>
      </x:c>
      <x:c r="J665" s="64" t="n">
        <x:v>1</x:v>
      </x:c>
      <x:c r="K665" s="62" t="n">
        <x:v>90.36688765829669</x:v>
      </x:c>
      <x:c r="L665" s="60" t="n">
        <x:v>327945.3221808083</x:v>
      </x:c>
      <x:c r="M665" s="62" t="n">
        <x:v>2.8809935904598714</x:v>
      </x:c>
      <x:c r="N665" s="62" t="n">
        <x:v>76.03150557388437</x:v>
      </x:c>
      <x:c r="O665" s="60" t="n">
        <x:v>275921.6040017086</x:v>
      </x:c>
      <x:c r="P665" s="60" t="n">
        <x:v>52023.71817909967</x:v>
      </x:c>
      <x:c r="Q665" s="62" t="n">
        <x:v>1.1885452875910996</x:v>
      </x:c>
      <x:c r="R665" s="64" t="n">
        <x:v>0.18854528759109968</x:v>
      </x:c>
    </x:row>
    <x:row r="666" ht="18" customHeight="1">
      <x:c r="A666" s="46" t="str">
        <x:v>LME_053</x:v>
      </x:c>
      <x:c r="B666" s="46" t="str">
        <x:v>West Bering Sea</x:v>
      </x:c>
      <x:c r="C666" s="46" t="str">
        <x:v>commercial</x:v>
      </x:c>
      <x:c r="D666" s="46" t="str">
        <x:v>Salmon, smelts, etc</x:v>
      </x:c>
      <x:c r="E666" s="66" t="n">
        <x:v>12</x:v>
      </x:c>
      <x:c r="F666" s="66" t="n">
        <x:v>12</x:v>
      </x:c>
      <x:c r="G666" s="60" t="n">
        <x:v>137570.5777422875</x:v>
      </x:c>
      <x:c r="H666" s="60" t="n">
        <x:v>137570.5777422875</x:v>
      </x:c>
      <x:c r="I666" s="62" t="n">
        <x:v>0</x:v>
      </x:c>
      <x:c r="J666" s="64" t="n">
        <x:v>1</x:v>
      </x:c>
      <x:c r="K666" s="62" t="n">
        <x:v>2073.101904888471</x:v>
      </x:c>
      <x:c r="L666" s="60" t="n">
        <x:v>285197826.7741437</x:v>
      </x:c>
      <x:c r="M666" s="62" t="n">
        <x:v>4.177659651085678</x:v>
      </x:c>
      <x:c r="N666" s="62" t="n">
        <x:v>1505.4268273674356</x:v>
      </x:c>
      <x:c r="O666" s="60" t="n">
        <x:v>207102438.38967705</x:v>
      </x:c>
      <x:c r="P666" s="60" t="n">
        <x:v>78095388.38446665</x:v>
      </x:c>
      <x:c r="Q666" s="62" t="n">
        <x:v>1.3770857986593328</x:v>
      </x:c>
      <x:c r="R666" s="64" t="n">
        <x:v>0.37708579865933284</x:v>
      </x:c>
    </x:row>
    <x:row r="667" ht="18" customHeight="1">
      <x:c r="A667" s="46" t="str">
        <x:v>LME_053</x:v>
      </x:c>
      <x:c r="B667" s="46" t="str">
        <x:v>West Bering Sea</x:v>
      </x:c>
      <x:c r="C667" s="46" t="str">
        <x:v>commercial</x:v>
      </x:c>
      <x:c r="D667" s="46" t="str">
        <x:v>Scorpionfishes</x:v>
      </x:c>
      <x:c r="E667" s="66" t="n">
        <x:v>4</x:v>
      </x:c>
      <x:c r="F667" s="66" t="n">
        <x:v>4</x:v>
      </x:c>
      <x:c r="G667" s="60" t="n">
        <x:v>4586.616250962499</x:v>
      </x:c>
      <x:c r="H667" s="60" t="n">
        <x:v>4586.616250962499</x:v>
      </x:c>
      <x:c r="I667" s="62" t="n">
        <x:v>0</x:v>
      </x:c>
      <x:c r="J667" s="64" t="n">
        <x:v>1</x:v>
      </x:c>
      <x:c r="K667" s="62" t="n">
        <x:v>250.49903326170173</x:v>
      </x:c>
      <x:c r="L667" s="60" t="n">
        <x:v>1148942.9368085167</x:v>
      </x:c>
      <x:c r="M667" s="62" t="n">
        <x:v>3.395585892631976</x:v>
      </x:c>
      <x:c r="N667" s="62" t="n">
        <x:v>248.6485280462049</x:v>
      </x:c>
      <x:c r="O667" s="60" t="n">
        <x:v>1140455.379514628</x:v>
      </x:c>
      <x:c r="P667" s="60" t="n">
        <x:v>8487.557293888647</x:v>
      </x:c>
      <x:c r="Q667" s="62" t="n">
        <x:v>1.0074422528459648</x:v>
      </x:c>
      <x:c r="R667" s="64" t="n">
        <x:v>0.007442252845964835</x:v>
      </x:c>
    </x:row>
    <x:row r="668" ht="18" customHeight="1">
      <x:c r="A668" s="46" t="str">
        <x:v>LME_053</x:v>
      </x:c>
      <x:c r="B668" s="46" t="str">
        <x:v>West Bering Sea</x:v>
      </x:c>
      <x:c r="C668" s="46" t="str">
        <x:v>commercial</x:v>
      </x:c>
      <x:c r="D668" s="46" t="str">
        <x:v>Sharks &amp; rays</x:v>
      </x:c>
      <x:c r="E668" s="66" t="n">
        <x:v>2</x:v>
      </x:c>
      <x:c r="F668" s="66" t="n">
        <x:v>2</x:v>
      </x:c>
      <x:c r="G668" s="60" t="n">
        <x:v>3229.0733603991</x:v>
      </x:c>
      <x:c r="H668" s="60" t="n">
        <x:v>3229.0733603991</x:v>
      </x:c>
      <x:c r="I668" s="62" t="n">
        <x:v>0</x:v>
      </x:c>
      <x:c r="J668" s="64" t="n">
        <x:v>1</x:v>
      </x:c>
      <x:c r="K668" s="62" t="n">
        <x:v>525.3058523370458</x:v>
      </x:c>
      <x:c r="L668" s="60" t="n">
        <x:v>1696251.1338432978</x:v>
      </x:c>
      <x:c r="M668" s="62" t="n">
        <x:v>3.720275395782125</x:v>
      </x:c>
      <x:c r="N668" s="62" t="n">
        <x:v>525.1403578606314</x:v>
      </x:c>
      <x:c r="O668" s="60" t="n">
        <x:v>1695716.740038215</x:v>
      </x:c>
      <x:c r="P668" s="60" t="n">
        <x:v>534.3938050828874</x:v>
      </x:c>
      <x:c r="Q668" s="62" t="n">
        <x:v>1.0003151433210895</x:v>
      </x:c>
      <x:c r="R668" s="64" t="n">
        <x:v>0.00031514332108960856</x:v>
      </x:c>
    </x:row>
    <x:row r="669" ht="18" customHeight="1">
      <x:c r="A669" s="46" t="str">
        <x:v>LME_054</x:v>
      </x:c>
      <x:c r="B669" s="46" t="str">
        <x:v>Northern Bering - Chukchi Seas</x:v>
      </x:c>
      <x:c r="C669" s="46" t="str">
        <x:v>commercial</x:v>
      </x:c>
      <x:c r="D669" s="46" t="str">
        <x:v>Cod-likes</x:v>
      </x:c>
      <x:c r="E669" s="66" t="n">
        <x:v>7</x:v>
      </x:c>
      <x:c r="F669" s="66" t="n">
        <x:v>7</x:v>
      </x:c>
      <x:c r="G669" s="60" t="n">
        <x:v>200276.10190649677</x:v>
      </x:c>
      <x:c r="H669" s="60" t="n">
        <x:v>200276.10190649677</x:v>
      </x:c>
      <x:c r="I669" s="62" t="n">
        <x:v>0</x:v>
      </x:c>
      <x:c r="J669" s="64" t="n">
        <x:v>1</x:v>
      </x:c>
      <x:c r="K669" s="62" t="n">
        <x:v>396.2125262953041</x:v>
      </x:c>
      <x:c r="L669" s="60" t="n">
        <x:v>79351900.29294886</x:v>
      </x:c>
      <x:c r="M669" s="62" t="n">
        <x:v>3.584648284917926</x:v>
      </x:c>
      <x:c r="N669" s="62" t="n">
        <x:v>384.2804449746344</x:v>
      </x:c>
      <x:c r="O669" s="60" t="n">
        <x:v>76962189.5584138</x:v>
      </x:c>
      <x:c r="P669" s="60" t="n">
        <x:v>2389710.7345350534</x:v>
      </x:c>
      <x:c r="Q669" s="62" t="n">
        <x:v>1.0310504515041283</x:v>
      </x:c>
      <x:c r="R669" s="64" t="n">
        <x:v>0.03105045150412825</x:v>
      </x:c>
    </x:row>
    <x:row r="670" ht="18" customHeight="1">
      <x:c r="A670" s="46" t="str">
        <x:v>LME_054</x:v>
      </x:c>
      <x:c r="B670" s="46" t="str">
        <x:v>Northern Bering - Chukchi Seas</x:v>
      </x:c>
      <x:c r="C670" s="46" t="str">
        <x:v>commercial</x:v>
      </x:c>
      <x:c r="D670" s="46" t="str">
        <x:v>Crustaceans</x:v>
      </x:c>
      <x:c r="E670" s="66" t="n">
        <x:v>16</x:v>
      </x:c>
      <x:c r="F670" s="66" t="n">
        <x:v>16</x:v>
      </x:c>
      <x:c r="G670" s="60" t="n">
        <x:v>23318.0299817247</x:v>
      </x:c>
      <x:c r="H670" s="60" t="n">
        <x:v>23318.0299817247</x:v>
      </x:c>
      <x:c r="I670" s="62" t="n">
        <x:v>0</x:v>
      </x:c>
      <x:c r="J670" s="64" t="n">
        <x:v>1</x:v>
      </x:c>
      <x:c r="K670" s="62" t="n">
        <x:v>253.0424811000166</x:v>
      </x:c>
      <x:c r="L670" s="60" t="n">
        <x:v>5900452.160940193</x:v>
      </x:c>
      <x:c r="M670" s="62" t="n">
        <x:v>3.1944701814354675</x:v>
      </x:c>
      <x:c r="N670" s="62" t="n">
        <x:v>156.48408739027664</x:v>
      </x:c>
      <x:c r="O670" s="60" t="n">
        <x:v>3648900.6414292986</x:v>
      </x:c>
      <x:c r="P670" s="60" t="n">
        <x:v>2251551.519510894</x:v>
      </x:c>
      <x:c r="Q670" s="62" t="n">
        <x:v>1.6170492816238884</x:v>
      </x:c>
      <x:c r="R670" s="64" t="n">
        <x:v>0.6170492816238884</x:v>
      </x:c>
    </x:row>
    <x:row r="671" ht="18" customHeight="1">
      <x:c r="A671" s="46" t="str">
        <x:v>LME_054</x:v>
      </x:c>
      <x:c r="B671" s="46" t="str">
        <x:v>Northern Bering - Chukchi Seas</x:v>
      </x:c>
      <x:c r="C671" s="46" t="str">
        <x:v>commercial</x:v>
      </x:c>
      <x:c r="D671" s="46" t="str">
        <x:v>Flatfishes</x:v>
      </x:c>
      <x:c r="E671" s="66" t="n">
        <x:v>13</x:v>
      </x:c>
      <x:c r="F671" s="66" t="n">
        <x:v>13</x:v>
      </x:c>
      <x:c r="G671" s="60" t="n">
        <x:v>11306.619373535501</x:v>
      </x:c>
      <x:c r="H671" s="60" t="n">
        <x:v>11306.619373535501</x:v>
      </x:c>
      <x:c r="I671" s="62" t="n">
        <x:v>0</x:v>
      </x:c>
      <x:c r="J671" s="64" t="n">
        <x:v>1</x:v>
      </x:c>
      <x:c r="K671" s="62" t="n">
        <x:v>661.8456208601732</x:v>
      </x:c>
      <x:c r="L671" s="60" t="n">
        <x:v>7483236.519107266</x:v>
      </x:c>
      <x:c r="M671" s="62" t="n">
        <x:v>3.7188540499725566</x:v>
      </x:c>
      <x:c r="N671" s="62" t="n">
        <x:v>523.4245037524935</x:v>
      </x:c>
      <x:c r="O671" s="60" t="n">
        <x:v>5918161.634711148</x:v>
      </x:c>
      <x:c r="P671" s="60" t="n">
        <x:v>1565074.884396118</x:v>
      </x:c>
      <x:c r="Q671" s="62" t="n">
        <x:v>1.2644528792888412</x:v>
      </x:c>
      <x:c r="R671" s="64" t="n">
        <x:v>0.26445287928884115</x:v>
      </x:c>
    </x:row>
    <x:row r="672" ht="18" customHeight="1">
      <x:c r="A672" s="46" t="str">
        <x:v>LME_054</x:v>
      </x:c>
      <x:c r="B672" s="46" t="str">
        <x:v>Northern Bering - Chukchi Seas</x:v>
      </x:c>
      <x:c r="C672" s="46" t="str">
        <x:v>commercial</x:v>
      </x:c>
      <x:c r="D672" s="46" t="str">
        <x:v>Herring-likes</x:v>
      </x:c>
      <x:c r="E672" s="66" t="n">
        <x:v>1</x:v>
      </x:c>
      <x:c r="F672" s="66" t="n">
        <x:v>1</x:v>
      </x:c>
      <x:c r="G672" s="60" t="n">
        <x:v>8514.7772658086</x:v>
      </x:c>
      <x:c r="H672" s="60" t="n">
        <x:v>8514.7772658086</x:v>
      </x:c>
      <x:c r="I672" s="62" t="n">
        <x:v>0</x:v>
      </x:c>
      <x:c r="J672" s="64" t="n">
        <x:v>1</x:v>
      </x:c>
      <x:c r="K672" s="62" t="n">
        <x:v>144.5439770745928</x:v>
      </x:c>
      <x:c r="L672" s="60" t="n">
        <x:v>1230759.7699043022</x:v>
      </x:c>
      <x:c r="M672" s="62" t="n">
        <x:v>3.16</x:v>
      </x:c>
      <x:c r="N672" s="62" t="n">
        <x:v>144.5439770745928</x:v>
      </x:c>
      <x:c r="O672" s="60" t="n">
        <x:v>1230759.7699043022</x:v>
      </x:c>
      <x:c r="P672" s="60" t="n">
        <x:v>0</x:v>
      </x:c>
      <x:c r="Q672" s="62" t="n">
        <x:v>1</x:v>
      </x:c>
      <x:c r="R672" s="64" t="n">
        <x:v>0</x:v>
      </x:c>
    </x:row>
    <x:row r="673" ht="18" customHeight="1">
      <x:c r="A673" s="46" t="str">
        <x:v>LME_054</x:v>
      </x:c>
      <x:c r="B673" s="46" t="str">
        <x:v>Northern Bering - Chukchi Seas</x:v>
      </x:c>
      <x:c r="C673" s="46" t="str">
        <x:v>commercial</x:v>
      </x:c>
      <x:c r="D673" s="46" t="str">
        <x:v>Molluscs</x:v>
      </x:c>
      <x:c r="E673" s="66" t="n">
        <x:v>7</x:v>
      </x:c>
      <x:c r="F673" s="66" t="n">
        <x:v>7</x:v>
      </x:c>
      <x:c r="G673" s="60" t="n">
        <x:v>282.46470645500006</x:v>
      </x:c>
      <x:c r="H673" s="60" t="n">
        <x:v>282.46470645500006</x:v>
      </x:c>
      <x:c r="I673" s="62" t="n">
        <x:v>0</x:v>
      </x:c>
      <x:c r="J673" s="64" t="n">
        <x:v>1</x:v>
      </x:c>
      <x:c r="K673" s="62" t="n">
        <x:v>106.763692430507</x:v>
      </x:c>
      <x:c r="L673" s="60" t="n">
        <x:v>30156.975042435075</x:v>
      </x:c>
      <x:c r="M673" s="62" t="n">
        <x:v>2.9813779976041115</x:v>
      </x:c>
      <x:c r="N673" s="62" t="n">
        <x:v>95.8027548541396</x:v>
      </x:c>
      <x:c r="O673" s="60" t="n">
        <x:v>27060.89702745487</x:v>
      </x:c>
      <x:c r="P673" s="60" t="n">
        <x:v>3096.078014980205</x:v>
      </x:c>
      <x:c r="Q673" s="62" t="n">
        <x:v>1.1144115071957539</x:v>
      </x:c>
      <x:c r="R673" s="64" t="n">
        <x:v>0.11441150719575378</x:v>
      </x:c>
    </x:row>
    <x:row r="674" ht="18" customHeight="1">
      <x:c r="A674" s="46" t="str">
        <x:v>LME_054</x:v>
      </x:c>
      <x:c r="B674" s="46" t="str">
        <x:v>Northern Bering - Chukchi Seas</x:v>
      </x:c>
      <x:c r="C674" s="46" t="str">
        <x:v>commercial</x:v>
      </x:c>
      <x:c r="D674" s="46" t="str">
        <x:v>Other fishes &amp; inverts</x:v>
      </x:c>
      <x:c r="E674" s="66" t="n">
        <x:v>13</x:v>
      </x:c>
      <x:c r="F674" s="66" t="n">
        <x:v>13</x:v>
      </x:c>
      <x:c r="G674" s="60" t="n">
        <x:v>59397.5617525959</x:v>
      </x:c>
      <x:c r="H674" s="60" t="n">
        <x:v>59397.5617525959</x:v>
      </x:c>
      <x:c r="I674" s="62" t="n">
        <x:v>0</x:v>
      </x:c>
      <x:c r="J674" s="64" t="n">
        <x:v>1</x:v>
      </x:c>
      <x:c r="K674" s="62" t="n">
        <x:v>266.55623812005905</x:v>
      </x:c>
      <x:c r="L674" s="60" t="n">
        <x:v>15832790.614275865</x:v>
      </x:c>
      <x:c r="M674" s="62" t="n">
        <x:v>3.2906381612414046</x:v>
      </x:c>
      <x:c r="N674" s="62" t="n">
        <x:v>195.2711847584978</x:v>
      </x:c>
      <x:c r="O674" s="60" t="n">
        <x:v>11598632.255195437</x:v>
      </x:c>
      <x:c r="P674" s="60" t="n">
        <x:v>4234158.359080428</x:v>
      </x:c>
      <x:c r="Q674" s="62" t="n">
        <x:v>1.365056695127462</x:v>
      </x:c>
      <x:c r="R674" s="64" t="n">
        <x:v>0.365056695127462</x:v>
      </x:c>
    </x:row>
    <x:row r="675" ht="18" customHeight="1">
      <x:c r="A675" s="46" t="str">
        <x:v>LME_054</x:v>
      </x:c>
      <x:c r="B675" s="46" t="str">
        <x:v>Northern Bering - Chukchi Seas</x:v>
      </x:c>
      <x:c r="C675" s="46" t="str">
        <x:v>commercial</x:v>
      </x:c>
      <x:c r="D675" s="46" t="str">
        <x:v>Perch-likes</x:v>
      </x:c>
      <x:c r="E675" s="66" t="n">
        <x:v>3</x:v>
      </x:c>
      <x:c r="F675" s="66" t="n">
        <x:v>3</x:v>
      </x:c>
      <x:c r="G675" s="60" t="n">
        <x:v>4.3244705095</x:v>
      </x:c>
      <x:c r="H675" s="60" t="n">
        <x:v>4.3244705095</x:v>
      </x:c>
      <x:c r="I675" s="62" t="n">
        <x:v>0</x:v>
      </x:c>
      <x:c r="J675" s="64" t="n">
        <x:v>1</x:v>
      </x:c>
      <x:c r="K675" s="62" t="n">
        <x:v>147.4457095155932</x:v>
      </x:c>
      <x:c r="L675" s="60" t="n">
        <x:v>637.6246225524864</x:v>
      </x:c>
      <x:c r="M675" s="62" t="n">
        <x:v>3.002595906797916</x:v>
      </x:c>
      <x:c r="N675" s="62" t="n">
        <x:v>100.59951959773157</x:v>
      </x:c>
      <x:c r="O675" s="60" t="n">
        <x:v>435.0396557702575</x:v>
      </x:c>
      <x:c r="P675" s="60" t="n">
        <x:v>202.58496678222883</x:v>
      </x:c>
      <x:c r="Q675" s="62" t="n">
        <x:v>1.465670115574965</x:v>
      </x:c>
      <x:c r="R675" s="64" t="n">
        <x:v>0.46567011557496507</x:v>
      </x:c>
    </x:row>
    <x:row r="676" ht="18" customHeight="1">
      <x:c r="A676" s="46" t="str">
        <x:v>LME_054</x:v>
      </x:c>
      <x:c r="B676" s="46" t="str">
        <x:v>Northern Bering - Chukchi Seas</x:v>
      </x:c>
      <x:c r="C676" s="46" t="str">
        <x:v>commercial</x:v>
      </x:c>
      <x:c r="D676" s="46" t="str">
        <x:v>Salmon, smelts, etc</x:v>
      </x:c>
      <x:c r="E676" s="66" t="n">
        <x:v>20</x:v>
      </x:c>
      <x:c r="F676" s="66" t="n">
        <x:v>20</x:v>
      </x:c>
      <x:c r="G676" s="60" t="n">
        <x:v>41697.9768565027</x:v>
      </x:c>
      <x:c r="H676" s="60" t="n">
        <x:v>41697.9768565027</x:v>
      </x:c>
      <x:c r="I676" s="62" t="n">
        <x:v>0</x:v>
      </x:c>
      <x:c r="J676" s="64" t="n">
        <x:v>1</x:v>
      </x:c>
      <x:c r="K676" s="62" t="n">
        <x:v>1854.6200420452458</x:v>
      </x:c>
      <x:c r="L676" s="60" t="n">
        <x:v>77333903.59080872</x:v>
      </x:c>
      <x:c r="M676" s="62" t="n">
        <x:v>4.088864597959732</x:v>
      </x:c>
      <x:c r="N676" s="62" t="n">
        <x:v>1227.056606285911</x:v>
      </x:c>
      <x:c r="O676" s="60" t="n">
        <x:v>51165777.970528655</x:v>
      </x:c>
      <x:c r="P676" s="60" t="n">
        <x:v>26168125.620280065</x:v>
      </x:c>
      <x:c r="Q676" s="62" t="n">
        <x:v>1.5114380482077852</x:v>
      </x:c>
      <x:c r="R676" s="64" t="n">
        <x:v>0.5114380482077852</x:v>
      </x:c>
    </x:row>
    <x:row r="677" ht="18" customHeight="1">
      <x:c r="A677" s="46" t="str">
        <x:v>LME_054</x:v>
      </x:c>
      <x:c r="B677" s="46" t="str">
        <x:v>Northern Bering - Chukchi Seas</x:v>
      </x:c>
      <x:c r="C677" s="46" t="str">
        <x:v>commercial</x:v>
      </x:c>
      <x:c r="D677" s="46" t="str">
        <x:v>Scorpionfishes</x:v>
      </x:c>
      <x:c r="E677" s="66" t="n">
        <x:v>8</x:v>
      </x:c>
      <x:c r="F677" s="66" t="n">
        <x:v>8</x:v>
      </x:c>
      <x:c r="G677" s="60" t="n">
        <x:v>3510.7418449308</x:v>
      </x:c>
      <x:c r="H677" s="60" t="n">
        <x:v>3510.7418449308</x:v>
      </x:c>
      <x:c r="I677" s="62" t="n">
        <x:v>0</x:v>
      </x:c>
      <x:c r="J677" s="64" t="n">
        <x:v>1</x:v>
      </x:c>
      <x:c r="K677" s="62" t="n">
        <x:v>380.4185653965691</x:v>
      </x:c>
      <x:c r="L677" s="60" t="n">
        <x:v>1335551.3761262791</x:v>
      </x:c>
      <x:c r="M677" s="62" t="n">
        <x:v>3.5374528829207876</x:v>
      </x:c>
      <x:c r="N677" s="62" t="n">
        <x:v>344.7092066688359</x:v>
      </x:c>
      <x:c r="O677" s="60" t="n">
        <x:v>1210185.0361851815</x:v>
      </x:c>
      <x:c r="P677" s="60" t="n">
        <x:v>125366.33994109766</x:v>
      </x:c>
      <x:c r="Q677" s="62" t="n">
        <x:v>1.103592703754035</x:v>
      </x:c>
      <x:c r="R677" s="64" t="n">
        <x:v>0.10359270375403502</x:v>
      </x:c>
    </x:row>
    <x:row r="678" ht="18" customHeight="1">
      <x:c r="A678" s="46" t="str">
        <x:v>LME_054</x:v>
      </x:c>
      <x:c r="B678" s="46" t="str">
        <x:v>Northern Bering - Chukchi Seas</x:v>
      </x:c>
      <x:c r="C678" s="46" t="str">
        <x:v>commercial</x:v>
      </x:c>
      <x:c r="D678" s="46" t="str">
        <x:v>Sharks &amp; rays</x:v>
      </x:c>
      <x:c r="E678" s="66" t="n">
        <x:v>5</x:v>
      </x:c>
      <x:c r="F678" s="66" t="n">
        <x:v>5</x:v>
      </x:c>
      <x:c r="G678" s="60" t="n">
        <x:v>519.6231148365</x:v>
      </x:c>
      <x:c r="H678" s="60" t="n">
        <x:v>519.6231148365</x:v>
      </x:c>
      <x:c r="I678" s="62" t="n">
        <x:v>0</x:v>
      </x:c>
      <x:c r="J678" s="64" t="n">
        <x:v>1</x:v>
      </x:c>
      <x:c r="K678" s="62" t="n">
        <x:v>537.9030494078553</x:v>
      </x:c>
      <x:c r="L678" s="60" t="n">
        <x:v>279506.8580133615</x:v>
      </x:c>
      <x:c r="M678" s="62" t="n">
        <x:v>3.7296465636746863</x:v>
      </x:c>
      <x:c r="N678" s="62" t="n">
        <x:v>536.5949284393392</x:v>
      </x:c>
      <x:c r="O678" s="60" t="n">
        <x:v>278827.1281211183</x:v>
      </x:c>
      <x:c r="P678" s="60" t="n">
        <x:v>679.7298922432237</x:v>
      </x:c>
      <x:c r="Q678" s="62" t="n">
        <x:v>1.0024378183601559</x:v>
      </x:c>
      <x:c r="R678" s="64" t="n">
        <x:v>0.002437818360155972</x:v>
      </x:c>
    </x:row>
    <x:row r="679" ht="18" customHeight="1">
      <x:c r="A679" s="46" t="str">
        <x:v>LME_055</x:v>
      </x:c>
      <x:c r="B679" s="46" t="str">
        <x:v>Beaufort Sea</x:v>
      </x:c>
      <x:c r="C679" s="46" t="str">
        <x:v>commercial</x:v>
      </x:c>
      <x:c r="D679" s="46" t="str">
        <x:v>Cod-likes</x:v>
      </x:c>
      <x:c r="E679" s="66" t="n">
        <x:v>3</x:v>
      </x:c>
      <x:c r="F679" s="66" t="n">
        <x:v>3</x:v>
      </x:c>
      <x:c r="G679" s="60" t="n">
        <x:v>4.99502564</x:v>
      </x:c>
      <x:c r="H679" s="60" t="n">
        <x:v>4.99502564</x:v>
      </x:c>
      <x:c r="I679" s="62" t="n">
        <x:v>0</x:v>
      </x:c>
      <x:c r="J679" s="64" t="n">
        <x:v>1</x:v>
      </x:c>
      <x:c r="K679" s="62" t="n">
        <x:v>697.512132403766</x:v>
      </x:c>
      <x:c r="L679" s="60" t="n">
        <x:v>3484.090985567886</x:v>
      </x:c>
      <x:c r="M679" s="62" t="n">
        <x:v>3.832461155285281</x:v>
      </x:c>
      <x:c r="N679" s="62" t="n">
        <x:v>679.9252275538823</x:v>
      </x:c>
      <x:c r="O679" s="60" t="n">
        <x:v>3396.2439449144767</x:v>
      </x:c>
      <x:c r="P679" s="60" t="n">
        <x:v>87.8470406534093</x:v>
      </x:c>
      <x:c r="Q679" s="62" t="n">
        <x:v>1.0258659395727303</x:v>
      </x:c>
      <x:c r="R679" s="64" t="n">
        <x:v>0.025865939572730378</x:v>
      </x:c>
    </x:row>
    <x:row r="680" ht="18" customHeight="1">
      <x:c r="A680" s="46" t="str">
        <x:v>LME_055</x:v>
      </x:c>
      <x:c r="B680" s="46" t="str">
        <x:v>Beaufort Sea</x:v>
      </x:c>
      <x:c r="C680" s="46" t="str">
        <x:v>commercial</x:v>
      </x:c>
      <x:c r="D680" s="46" t="str">
        <x:v>Herring-likes</x:v>
      </x:c>
      <x:c r="E680" s="66" t="n">
        <x:v>1</x:v>
      </x:c>
      <x:c r="F680" s="66" t="n">
        <x:v>1</x:v>
      </x:c>
      <x:c r="G680" s="60" t="n">
        <x:v>3.2151142473</x:v>
      </x:c>
      <x:c r="H680" s="60" t="n">
        <x:v>3.2151142473</x:v>
      </x:c>
      <x:c r="I680" s="62" t="n">
        <x:v>0</x:v>
      </x:c>
      <x:c r="J680" s="64" t="n">
        <x:v>1</x:v>
      </x:c>
      <x:c r="K680" s="62" t="n">
        <x:v>144.5439770745928</x:v>
      </x:c>
      <x:c r="L680" s="60" t="n">
        <x:v>464.72540005392784</x:v>
      </x:c>
      <x:c r="M680" s="62" t="n">
        <x:v>3.16</x:v>
      </x:c>
      <x:c r="N680" s="62" t="n">
        <x:v>144.5439770745928</x:v>
      </x:c>
      <x:c r="O680" s="60" t="n">
        <x:v>464.72540005392784</x:v>
      </x:c>
      <x:c r="P680" s="60" t="n">
        <x:v>0</x:v>
      </x:c>
      <x:c r="Q680" s="62" t="n">
        <x:v>1</x:v>
      </x:c>
      <x:c r="R680" s="64" t="n">
        <x:v>0</x:v>
      </x:c>
    </x:row>
    <x:row r="681" ht="18" customHeight="1">
      <x:c r="A681" s="46" t="str">
        <x:v>LME_055</x:v>
      </x:c>
      <x:c r="B681" s="46" t="str">
        <x:v>Beaufort Sea</x:v>
      </x:c>
      <x:c r="C681" s="46" t="str">
        <x:v>commercial</x:v>
      </x:c>
      <x:c r="D681" s="46" t="str">
        <x:v>Other fishes &amp; inverts</x:v>
      </x:c>
      <x:c r="E681" s="66" t="n">
        <x:v>1</x:v>
      </x:c>
      <x:c r="F681" s="66" t="n">
        <x:v>1</x:v>
      </x:c>
      <x:c r="G681" s="60" t="n">
        <x:v>0.11589701059999999</x:v>
      </x:c>
      <x:c r="H681" s="60" t="n">
        <x:v>0.11589701059999999</x:v>
      </x:c>
      <x:c r="I681" s="62" t="n">
        <x:v>0</x:v>
      </x:c>
      <x:c r="J681" s="64" t="n">
        <x:v>1</x:v>
      </x:c>
      <x:c r="K681" s="62" t="n">
        <x:v>190.54607179632464</x:v>
      </x:c>
      <x:c r="L681" s="60" t="n">
        <x:v>22.083720102766996</x:v>
      </x:c>
      <x:c r="M681" s="62" t="n">
        <x:v>3.28</x:v>
      </x:c>
      <x:c r="N681" s="62" t="n">
        <x:v>190.54607179632464</x:v>
      </x:c>
      <x:c r="O681" s="60" t="n">
        <x:v>22.083720102766996</x:v>
      </x:c>
      <x:c r="P681" s="60" t="n">
        <x:v>0</x:v>
      </x:c>
      <x:c r="Q681" s="62" t="n">
        <x:v>1</x:v>
      </x:c>
      <x:c r="R681" s="64" t="n">
        <x:v>0</x:v>
      </x:c>
    </x:row>
    <x:row r="682" ht="18" customHeight="1">
      <x:c r="A682" s="46" t="str">
        <x:v>LME_055</x:v>
      </x:c>
      <x:c r="B682" s="46" t="str">
        <x:v>Beaufort Sea</x:v>
      </x:c>
      <x:c r="C682" s="46" t="str">
        <x:v>commercial</x:v>
      </x:c>
      <x:c r="D682" s="46" t="str">
        <x:v>Salmon, smelts, etc</x:v>
      </x:c>
      <x:c r="E682" s="66" t="n">
        <x:v>12</x:v>
      </x:c>
      <x:c r="F682" s="66" t="n">
        <x:v>12</x:v>
      </x:c>
      <x:c r="G682" s="60" t="n">
        <x:v>204.41712619240002</x:v>
      </x:c>
      <x:c r="H682" s="60" t="n">
        <x:v>204.41712619240002</x:v>
      </x:c>
      <x:c r="I682" s="62" t="n">
        <x:v>0</x:v>
      </x:c>
      <x:c r="J682" s="64" t="n">
        <x:v>1</x:v>
      </x:c>
      <x:c r="K682" s="62" t="n">
        <x:v>2132.295256842899</x:v>
      </x:c>
      <x:c r="L682" s="60" t="n">
        <x:v>435877.66859751096</x:v>
      </x:c>
      <x:c r="M682" s="62" t="n">
        <x:v>4.266741798624357</x:v>
      </x:c>
      <x:c r="N682" s="62" t="n">
        <x:v>1848.1694988878553</x:v>
      </x:c>
      <x:c r="O682" s="60" t="n">
        <x:v>377797.4976791034</x:v>
      </x:c>
      <x:c r="P682" s="60" t="n">
        <x:v>58080.17091840756</x:v>
      </x:c>
      <x:c r="Q682" s="62" t="n">
        <x:v>1.1537336040476904</x:v>
      </x:c>
      <x:c r="R682" s="64" t="n">
        <x:v>0.15373360404769051</x:v>
      </x:c>
    </x:row>
    <x:row r="683" ht="18" customHeight="1">
      <x:c r="A683" s="46" t="str">
        <x:v>LME_055</x:v>
      </x:c>
      <x:c r="B683" s="46" t="str">
        <x:v>Beaufort Sea</x:v>
      </x:c>
      <x:c r="C683" s="46" t="str">
        <x:v>commercial</x:v>
      </x:c>
      <x:c r="D683" s="46" t="str">
        <x:v>Scorpionfishes</x:v>
      </x:c>
      <x:c r="E683" s="66" t="n">
        <x:v>2</x:v>
      </x:c>
      <x:c r="F683" s="66" t="n">
        <x:v>2</x:v>
      </x:c>
      <x:c r="G683" s="60" t="n">
        <x:v>0.045359937700000005</x:v>
      </x:c>
      <x:c r="H683" s="60" t="n">
        <x:v>0.045359937700000005</x:v>
      </x:c>
      <x:c r="I683" s="62" t="n">
        <x:v>0</x:v>
      </x:c>
      <x:c r="J683" s="64" t="n">
        <x:v>1</x:v>
      </x:c>
      <x:c r="K683" s="62" t="n">
        <x:v>571.9042982625242</x:v>
      </x:c>
      <x:c r="L683" s="60" t="n">
        <x:v>25.94154333955032</x:v>
      </x:c>
      <x:c r="M683" s="62" t="n">
        <x:v>3.7532239394808515</x:v>
      </x:c>
      <x:c r="N683" s="62" t="n">
        <x:v>566.5313397912489</x:v>
      </x:c>
      <x:c r="O683" s="60" t="n">
        <x:v>25.697826278028586</x:v>
      </x:c>
      <x:c r="P683" s="60" t="n">
        <x:v>0.24371706152173545</x:v>
      </x:c>
      <x:c r="Q683" s="62" t="n">
        <x:v>1.0094839563037326</x:v>
      </x:c>
      <x:c r="R683" s="64" t="n">
        <x:v>0.009483956303732638</x:v>
      </x:c>
    </x:row>
    <x:row r="684" ht="18" customHeight="1">
      <x:c r="A684" s="46" t="str">
        <x:v>LME_056</x:v>
      </x:c>
      <x:c r="B684" s="46" t="str">
        <x:v>East Siberian Sea</x:v>
      </x:c>
      <x:c r="C684" s="46" t="str">
        <x:v>commercial</x:v>
      </x:c>
      <x:c r="D684" s="46" t="str">
        <x:v>Other fishes &amp; inverts</x:v>
      </x:c>
      <x:c r="E684" s="66" t="n">
        <x:v>1</x:v>
      </x:c>
      <x:c r="F684" s="66" t="n">
        <x:v>1</x:v>
      </x:c>
      <x:c r="G684" s="60" t="n">
        <x:v>343.3194620341</x:v>
      </x:c>
      <x:c r="H684" s="60" t="n">
        <x:v>343.3194620341</x:v>
      </x:c>
      <x:c r="I684" s="62" t="n">
        <x:v>0</x:v>
      </x:c>
      <x:c r="J684" s="64" t="n">
        <x:v>1</x:v>
      </x:c>
      <x:c r="K684" s="62" t="n">
        <x:v>190.54607179632464</x:v>
      </x:c>
      <x:c r="L684" s="60" t="n">
        <x:v>65418.17486182517</x:v>
      </x:c>
      <x:c r="M684" s="62" t="n">
        <x:v>3.28</x:v>
      </x:c>
      <x:c r="N684" s="62" t="n">
        <x:v>190.54607179632464</x:v>
      </x:c>
      <x:c r="O684" s="60" t="n">
        <x:v>65418.17486182517</x:v>
      </x:c>
      <x:c r="P684" s="60" t="n">
        <x:v>0</x:v>
      </x:c>
      <x:c r="Q684" s="62" t="n">
        <x:v>1</x:v>
      </x:c>
      <x:c r="R684" s="64" t="n">
        <x:v>0</x:v>
      </x:c>
    </x:row>
    <x:row r="685" ht="18" customHeight="1">
      <x:c r="A685" s="46" t="str">
        <x:v>LME_056</x:v>
      </x:c>
      <x:c r="B685" s="46" t="str">
        <x:v>East Siberian Sea</x:v>
      </x:c>
      <x:c r="C685" s="46" t="str">
        <x:v>commercial</x:v>
      </x:c>
      <x:c r="D685" s="46" t="str">
        <x:v>Salmon, smelts, etc</x:v>
      </x:c>
      <x:c r="E685" s="66" t="n">
        <x:v>3</x:v>
      </x:c>
      <x:c r="F685" s="66" t="n">
        <x:v>3</x:v>
      </x:c>
      <x:c r="G685" s="60" t="n">
        <x:v>960.7493124575999</x:v>
      </x:c>
      <x:c r="H685" s="60" t="n">
        <x:v>960.7493124575999</x:v>
      </x:c>
      <x:c r="I685" s="62" t="n">
        <x:v>0</x:v>
      </x:c>
      <x:c r="J685" s="64" t="n">
        <x:v>1</x:v>
      </x:c>
      <x:c r="K685" s="62" t="n">
        <x:v>218.59072388840198</x:v>
      </x:c>
      <x:c r="L685" s="60" t="n">
        <x:v>210010.88768539127</x:v>
      </x:c>
      <x:c r="M685" s="62" t="n">
        <x:v>3.2999178833080554</x:v>
      </x:c>
      <x:c r="N685" s="62" t="n">
        <x:v>199.48850850965903</x:v>
      </x:c>
      <x:c r="O685" s="60" t="n">
        <x:v>191658.447393847</x:v>
      </x:c>
      <x:c r="P685" s="60" t="n">
        <x:v>18352.440291544277</x:v>
      </x:c>
      <x:c r="Q685" s="62" t="n">
        <x:v>1.0957559687094358</x:v>
      </x:c>
      <x:c r="R685" s="64" t="n">
        <x:v>0.0957559687094359</x:v>
      </x:c>
    </x:row>
    <x:row r="686" ht="18" customHeight="1">
      <x:c r="A686" s="46" t="str">
        <x:v>LME_057</x:v>
      </x:c>
      <x:c r="B686" s="46" t="str">
        <x:v>Laptev Sea</x:v>
      </x:c>
      <x:c r="C686" s="46" t="str">
        <x:v>commercial</x:v>
      </x:c>
      <x:c r="D686" s="46" t="str">
        <x:v>Other fishes &amp; inverts</x:v>
      </x:c>
      <x:c r="E686" s="66" t="n">
        <x:v>1</x:v>
      </x:c>
      <x:c r="F686" s="66" t="n">
        <x:v>1</x:v>
      </x:c>
      <x:c r="G686" s="60" t="n">
        <x:v>1128.8195392729</x:v>
      </x:c>
      <x:c r="H686" s="60" t="n">
        <x:v>1128.8195392729</x:v>
      </x:c>
      <x:c r="I686" s="62" t="n">
        <x:v>0</x:v>
      </x:c>
      <x:c r="J686" s="64" t="n">
        <x:v>1</x:v>
      </x:c>
      <x:c r="K686" s="62" t="n">
        <x:v>190.54607179632464</x:v>
      </x:c>
      <x:c r="L686" s="60" t="n">
        <x:v>215092.12897538813</x:v>
      </x:c>
      <x:c r="M686" s="62" t="n">
        <x:v>3.28</x:v>
      </x:c>
      <x:c r="N686" s="62" t="n">
        <x:v>190.54607179632464</x:v>
      </x:c>
      <x:c r="O686" s="60" t="n">
        <x:v>215092.12897538813</x:v>
      </x:c>
      <x:c r="P686" s="60" t="n">
        <x:v>0</x:v>
      </x:c>
      <x:c r="Q686" s="62" t="n">
        <x:v>1</x:v>
      </x:c>
      <x:c r="R686" s="64" t="n">
        <x:v>0</x:v>
      </x:c>
    </x:row>
    <x:row r="687" ht="18" customHeight="1">
      <x:c r="A687" s="46" t="str">
        <x:v>LME_057</x:v>
      </x:c>
      <x:c r="B687" s="46" t="str">
        <x:v>Laptev Sea</x:v>
      </x:c>
      <x:c r="C687" s="46" t="str">
        <x:v>commercial</x:v>
      </x:c>
      <x:c r="D687" s="46" t="str">
        <x:v>Salmon, smelts, etc</x:v>
      </x:c>
      <x:c r="E687" s="66" t="n">
        <x:v>4</x:v>
      </x:c>
      <x:c r="F687" s="66" t="n">
        <x:v>4</x:v>
      </x:c>
      <x:c r="G687" s="60" t="n">
        <x:v>1487.3638769628003</x:v>
      </x:c>
      <x:c r="H687" s="60" t="n">
        <x:v>1487.3638769628003</x:v>
      </x:c>
      <x:c r="I687" s="62" t="n">
        <x:v>0</x:v>
      </x:c>
      <x:c r="J687" s="64" t="n">
        <x:v>1</x:v>
      </x:c>
      <x:c r="K687" s="62" t="n">
        <x:v>196.32912701219442</x:v>
      </x:c>
      <x:c r="L687" s="60" t="n">
        <x:v>292012.85151357955</x:v>
      </x:c>
      <x:c r="M687" s="62" t="n">
        <x:v>3.27331885114682</x:v>
      </x:c>
      <x:c r="N687" s="62" t="n">
        <x:v>187.6371600549579</x:v>
      </x:c>
      <x:c r="O687" s="60" t="n">
        <x:v>279084.7338416317</x:v>
      </x:c>
      <x:c r="P687" s="60" t="n">
        <x:v>12928.117671947868</x:v>
      </x:c>
      <x:c r="Q687" s="62" t="n">
        <x:v>1.0463232706927066</x:v>
      </x:c>
      <x:c r="R687" s="64" t="n">
        <x:v>0.046323270692706565</x:v>
      </x:c>
    </x:row>
    <x:row r="688" ht="18" customHeight="1">
      <x:c r="A688" s="46" t="str">
        <x:v>LME_058</x:v>
      </x:c>
      <x:c r="B688" s="46" t="str">
        <x:v>Kara Sea</x:v>
      </x:c>
      <x:c r="C688" s="46" t="str">
        <x:v>commercial</x:v>
      </x:c>
      <x:c r="D688" s="46" t="str">
        <x:v>Other fishes &amp; inverts</x:v>
      </x:c>
      <x:c r="E688" s="66" t="n">
        <x:v>1</x:v>
      </x:c>
      <x:c r="F688" s="66" t="n">
        <x:v>1</x:v>
      </x:c>
      <x:c r="G688" s="60" t="n">
        <x:v>291.6251263832</x:v>
      </x:c>
      <x:c r="H688" s="60" t="n">
        <x:v>291.6251263832</x:v>
      </x:c>
      <x:c r="I688" s="62" t="n">
        <x:v>0</x:v>
      </x:c>
      <x:c r="J688" s="64" t="n">
        <x:v>1</x:v>
      </x:c>
      <x:c r="K688" s="62" t="n">
        <x:v>190.54607179632464</x:v>
      </x:c>
      <x:c r="L688" s="60" t="n">
        <x:v>55568.02226942547</x:v>
      </x:c>
      <x:c r="M688" s="62" t="n">
        <x:v>3.28</x:v>
      </x:c>
      <x:c r="N688" s="62" t="n">
        <x:v>190.54607179632464</x:v>
      </x:c>
      <x:c r="O688" s="60" t="n">
        <x:v>55568.02226942547</x:v>
      </x:c>
      <x:c r="P688" s="60" t="n">
        <x:v>0</x:v>
      </x:c>
      <x:c r="Q688" s="62" t="n">
        <x:v>1</x:v>
      </x:c>
      <x:c r="R688" s="64" t="n">
        <x:v>0</x:v>
      </x:c>
    </x:row>
    <x:row r="689" ht="18" customHeight="1">
      <x:c r="A689" s="46" t="str">
        <x:v>LME_058</x:v>
      </x:c>
      <x:c r="B689" s="46" t="str">
        <x:v>Kara Sea</x:v>
      </x:c>
      <x:c r="C689" s="46" t="str">
        <x:v>commercial</x:v>
      </x:c>
      <x:c r="D689" s="46" t="str">
        <x:v>Salmon, smelts, etc</x:v>
      </x:c>
      <x:c r="E689" s="66" t="n">
        <x:v>4</x:v>
      </x:c>
      <x:c r="F689" s="66" t="n">
        <x:v>4</x:v>
      </x:c>
      <x:c r="G689" s="60" t="n">
        <x:v>427.6640755245999</x:v>
      </x:c>
      <x:c r="H689" s="60" t="n">
        <x:v>427.6640755245999</x:v>
      </x:c>
      <x:c r="I689" s="62" t="n">
        <x:v>0</x:v>
      </x:c>
      <x:c r="J689" s="64" t="n">
        <x:v>1</x:v>
      </x:c>
      <x:c r="K689" s="62" t="n">
        <x:v>190.73592560285107</x:v>
      </x:c>
      <x:c r="L689" s="60" t="n">
        <x:v>81570.90329227217</x:v>
      </x:c>
      <x:c r="M689" s="62" t="n">
        <x:v>3.272438009423462</x:v>
      </x:c>
      <x:c r="N689" s="62" t="n">
        <x:v>187.25697759945038</x:v>
      </x:c>
      <x:c r="O689" s="60" t="n">
        <x:v>80083.08221059966</x:v>
      </x:c>
      <x:c r="P689" s="60" t="n">
        <x:v>1487.821081672504</x:v>
      </x:c>
      <x:c r="Q689" s="62" t="n">
        <x:v>1.0185784692672029</x:v>
      </x:c>
      <x:c r="R689" s="64" t="n">
        <x:v>0.018578469267202836</x:v>
      </x:c>
    </x:row>
    <x:row r="690" ht="18" customHeight="1">
      <x:c r="A690" s="46" t="str">
        <x:v>LME_059</x:v>
      </x:c>
      <x:c r="B690" s="46" t="str">
        <x:v>Iceland Shelf and Sea</x:v>
      </x:c>
      <x:c r="C690" s="46" t="str">
        <x:v>commercial</x:v>
      </x:c>
      <x:c r="D690" s="46" t="str">
        <x:v>Cod-likes</x:v>
      </x:c>
      <x:c r="E690" s="66" t="n">
        <x:v>15</x:v>
      </x:c>
      <x:c r="F690" s="66" t="n">
        <x:v>15</x:v>
      </x:c>
      <x:c r="G690" s="60" t="n">
        <x:v>404565.19717789046</x:v>
      </x:c>
      <x:c r="H690" s="60" t="n">
        <x:v>404565.19717789046</x:v>
      </x:c>
      <x:c r="I690" s="62" t="n">
        <x:v>0</x:v>
      </x:c>
      <x:c r="J690" s="64" t="n">
        <x:v>1</x:v>
      </x:c>
      <x:c r="K690" s="62" t="n">
        <x:v>1368.628254559516</x:v>
      </x:c>
      <x:c r="L690" s="60" t="n">
        <x:v>553699359.6691027</x:v>
      </x:c>
      <x:c r="M690" s="62" t="n">
        <x:v>4.122044568618954</x:v>
      </x:c>
      <x:c r="N690" s="62" t="n">
        <x:v>1324.4774501197344</x:v>
      </x:c>
      <x:c r="O690" s="60" t="n">
        <x:v>535837480.76535994</x:v>
      </x:c>
      <x:c r="P690" s="60" t="n">
        <x:v>17861878.90374273</x:v>
      </x:c>
      <x:c r="Q690" s="62" t="n">
        <x:v>1.0333345082136283</x:v>
      </x:c>
      <x:c r="R690" s="64" t="n">
        <x:v>0.0333345082136282</x:v>
      </x:c>
    </x:row>
    <x:row r="691" ht="18" customHeight="1">
      <x:c r="A691" s="46" t="str">
        <x:v>LME_059</x:v>
      </x:c>
      <x:c r="B691" s="46" t="str">
        <x:v>Iceland Shelf and Sea</x:v>
      </x:c>
      <x:c r="C691" s="46" t="str">
        <x:v>commercial</x:v>
      </x:c>
      <x:c r="D691" s="46" t="str">
        <x:v>Crustaceans</x:v>
      </x:c>
      <x:c r="E691" s="66" t="n">
        <x:v>4</x:v>
      </x:c>
      <x:c r="F691" s="66" t="n">
        <x:v>4</x:v>
      </x:c>
      <x:c r="G691" s="60" t="n">
        <x:v>3097.8508756825</x:v>
      </x:c>
      <x:c r="H691" s="60" t="n">
        <x:v>3097.8508756825</x:v>
      </x:c>
      <x:c r="I691" s="62" t="n">
        <x:v>0</x:v>
      </x:c>
      <x:c r="J691" s="64" t="n">
        <x:v>1</x:v>
      </x:c>
      <x:c r="K691" s="62" t="n">
        <x:v>115.37667031415857</x:v>
      </x:c>
      <x:c r="L691" s="60" t="n">
        <x:v>357419.71916604723</x:v>
      </x:c>
      <x:c r="M691" s="62" t="n">
        <x:v>3.06011925527543</x:v>
      </x:c>
      <x:c r="N691" s="62" t="n">
        <x:v>114.8468942513061</x:v>
      </x:c>
      <x:c r="O691" s="60" t="n">
        <x:v>355778.5519258241</x:v>
      </x:c>
      <x:c r="P691" s="60" t="n">
        <x:v>1641.1672402231488</x:v>
      </x:c>
      <x:c r="Q691" s="62" t="n">
        <x:v>1.0046128897634203</x:v>
      </x:c>
      <x:c r="R691" s="64" t="n">
        <x:v>0.004612889763420349</x:v>
      </x:c>
    </x:row>
    <x:row r="692" ht="18" customHeight="1">
      <x:c r="A692" s="46" t="str">
        <x:v>LME_059</x:v>
      </x:c>
      <x:c r="B692" s="46" t="str">
        <x:v>Iceland Shelf and Sea</x:v>
      </x:c>
      <x:c r="C692" s="46" t="str">
        <x:v>commercial</x:v>
      </x:c>
      <x:c r="D692" s="46" t="str">
        <x:v>Flatfishes</x:v>
      </x:c>
      <x:c r="E692" s="66" t="n">
        <x:v>10</x:v>
      </x:c>
      <x:c r="F692" s="66" t="n">
        <x:v>10</x:v>
      </x:c>
      <x:c r="G692" s="60" t="n">
        <x:v>21678.4779067092</x:v>
      </x:c>
      <x:c r="H692" s="60" t="n">
        <x:v>21678.4779067092</x:v>
      </x:c>
      <x:c r="I692" s="62" t="n">
        <x:v>0</x:v>
      </x:c>
      <x:c r="J692" s="64" t="n">
        <x:v>1</x:v>
      </x:c>
      <x:c r="K692" s="62" t="n">
        <x:v>1495.5656790727671</x:v>
      </x:c>
      <x:c r="L692" s="60" t="n">
        <x:v>32421587.531811524</x:v>
      </x:c>
      <x:c r="M692" s="62" t="n">
        <x:v>3.925383617929358</x:v>
      </x:c>
      <x:c r="N692" s="62" t="n">
        <x:v>842.1386851917683</x:v>
      </x:c>
      <x:c r="O692" s="60" t="n">
        <x:v>18256284.88131488</x:v>
      </x:c>
      <x:c r="P692" s="60" t="n">
        <x:v>14165302.650496643</x:v>
      </x:c>
      <x:c r="Q692" s="62" t="n">
        <x:v>1.7759137602522124</x:v>
      </x:c>
      <x:c r="R692" s="64" t="n">
        <x:v>0.7759137602522123</x:v>
      </x:c>
    </x:row>
    <x:row r="693" ht="18" customHeight="1">
      <x:c r="A693" s="46" t="str">
        <x:v>LME_059</x:v>
      </x:c>
      <x:c r="B693" s="46" t="str">
        <x:v>Iceland Shelf and Sea</x:v>
      </x:c>
      <x:c r="C693" s="46" t="str">
        <x:v>commercial</x:v>
      </x:c>
      <x:c r="D693" s="46" t="str">
        <x:v>Molluscs</x:v>
      </x:c>
      <x:c r="E693" s="66" t="n">
        <x:v>3</x:v>
      </x:c>
      <x:c r="F693" s="66" t="n">
        <x:v>3</x:v>
      </x:c>
      <x:c r="G693" s="60" t="n">
        <x:v>322.84687694080003</x:v>
      </x:c>
      <x:c r="H693" s="60" t="n">
        <x:v>322.84687694080003</x:v>
      </x:c>
      <x:c r="I693" s="62" t="n">
        <x:v>0</x:v>
      </x:c>
      <x:c r="J693" s="64" t="n">
        <x:v>1</x:v>
      </x:c>
      <x:c r="K693" s="62" t="n">
        <x:v>541.8214661764143</x:v>
      </x:c>
      <x:c r="L693" s="60" t="n">
        <x:v>174925.36821454068</x:v>
      </x:c>
      <x:c r="M693" s="62" t="n">
        <x:v>3.689062219113915</x:v>
      </x:c>
      <x:c r="N693" s="62" t="n">
        <x:v>488.722371042403</x:v>
      </x:c>
      <x:c r="O693" s="60" t="n">
        <x:v>157782.4911821427</x:v>
      </x:c>
      <x:c r="P693" s="60" t="n">
        <x:v>17142.877032397984</x:v>
      </x:c>
      <x:c r="Q693" s="62" t="n">
        <x:v>1.1086487917889978</x:v>
      </x:c>
      <x:c r="R693" s="64" t="n">
        <x:v>0.10864879178899768</x:v>
      </x:c>
    </x:row>
    <x:row r="694" ht="18" customHeight="1">
      <x:c r="A694" s="46" t="str">
        <x:v>LME_059</x:v>
      </x:c>
      <x:c r="B694" s="46" t="str">
        <x:v>Iceland Shelf and Sea</x:v>
      </x:c>
      <x:c r="C694" s="46" t="str">
        <x:v>commercial</x:v>
      </x:c>
      <x:c r="D694" s="46" t="str">
        <x:v>Other fishes &amp; inverts</x:v>
      </x:c>
      <x:c r="E694" s="66" t="n">
        <x:v>9</x:v>
      </x:c>
      <x:c r="F694" s="66" t="n">
        <x:v>9</x:v>
      </x:c>
      <x:c r="G694" s="60" t="n">
        <x:v>121966.45587182412</x:v>
      </x:c>
      <x:c r="H694" s="60" t="n">
        <x:v>121966.45587182412</x:v>
      </x:c>
      <x:c r="I694" s="62" t="n">
        <x:v>0</x:v>
      </x:c>
      <x:c r="J694" s="64" t="n">
        <x:v>1</x:v>
      </x:c>
      <x:c r="K694" s="62" t="n">
        <x:v>203.0139743721679</x:v>
      </x:c>
      <x:c r="L694" s="60" t="n">
        <x:v>24760894.94662665</x:v>
      </x:c>
      <x:c r="M694" s="62" t="n">
        <x:v>3.2839192245944604</x:v>
      </x:c>
      <x:c r="N694" s="62" t="n">
        <x:v>192.2734082023585</x:v>
      </x:c>
      <x:c r="O694" s="60" t="n">
        <x:v>23450906.156838182</x:v>
      </x:c>
      <x:c r="P694" s="60" t="n">
        <x:v>1309988.789788466</x:v>
      </x:c>
      <x:c r="Q694" s="62" t="n">
        <x:v>1.0558609028166053</x:v>
      </x:c>
      <x:c r="R694" s="64" t="n">
        <x:v>0.05586090281660519</x:v>
      </x:c>
    </x:row>
    <x:row r="695" ht="18" customHeight="1">
      <x:c r="A695" s="46" t="str">
        <x:v>LME_059</x:v>
      </x:c>
      <x:c r="B695" s="46" t="str">
        <x:v>Iceland Shelf and Sea</x:v>
      </x:c>
      <x:c r="C695" s="46" t="str">
        <x:v>commercial</x:v>
      </x:c>
      <x:c r="D695" s="46" t="str">
        <x:v>Perch-likes</x:v>
      </x:c>
      <x:c r="E695" s="66" t="n">
        <x:v>8</x:v>
      </x:c>
      <x:c r="F695" s="66" t="n">
        <x:v>8</x:v>
      </x:c>
      <x:c r="G695" s="60" t="n">
        <x:v>77157.874521916</x:v>
      </x:c>
      <x:c r="H695" s="60" t="n">
        <x:v>77157.874521916</x:v>
      </x:c>
      <x:c r="I695" s="62" t="n">
        <x:v>0</x:v>
      </x:c>
      <x:c r="J695" s="64" t="n">
        <x:v>1</x:v>
      </x:c>
      <x:c r="K695" s="62" t="n">
        <x:v>417.25278764118</x:v>
      </x:c>
      <x:c r="L695" s="60" t="n">
        <x:v>32194338.23273783</x:v>
      </x:c>
      <x:c r="M695" s="62" t="n">
        <x:v>3.617034079648006</x:v>
      </x:c>
      <x:c r="N695" s="62" t="n">
        <x:v>414.03216318274</x:v>
      </x:c>
      <x:c r="O695" s="60" t="n">
        <x:v>31945841.694891308</x:v>
      </x:c>
      <x:c r="P695" s="60" t="n">
        <x:v>248496.53784652427</x:v>
      </x:c>
      <x:c r="Q695" s="62" t="n">
        <x:v>1.0077786818146746</x:v>
      </x:c>
      <x:c r="R695" s="64" t="n">
        <x:v>0.007778681814674589</x:v>
      </x:c>
    </x:row>
    <x:row r="696" ht="18" customHeight="1">
      <x:c r="A696" s="46" t="str">
        <x:v>LME_059</x:v>
      </x:c>
      <x:c r="B696" s="46" t="str">
        <x:v>Iceland Shelf and Sea</x:v>
      </x:c>
      <x:c r="C696" s="46" t="str">
        <x:v>commercial</x:v>
      </x:c>
      <x:c r="D696" s="46" t="str">
        <x:v>Salmon, smelts, etc</x:v>
      </x:c>
      <x:c r="E696" s="66" t="n">
        <x:v>3</x:v>
      </x:c>
      <x:c r="F696" s="66" t="n">
        <x:v>3</x:v>
      </x:c>
      <x:c r="G696" s="60" t="n">
        <x:v>4241.317822804699</x:v>
      </x:c>
      <x:c r="H696" s="60" t="n">
        <x:v>4241.317822804699</x:v>
      </x:c>
      <x:c r="I696" s="62" t="n">
        <x:v>0</x:v>
      </x:c>
      <x:c r="J696" s="64" t="n">
        <x:v>1</x:v>
      </x:c>
      <x:c r="K696" s="62" t="n">
        <x:v>193.93281629932557</x:v>
      </x:c>
      <x:c r="L696" s="60" t="n">
        <x:v>822530.7101970392</x:v>
      </x:c>
      <x:c r="M696" s="62" t="n">
        <x:v>3.2819940313122644</x:v>
      </x:c>
      <x:c r="N696" s="62" t="n">
        <x:v>191.4229616795157</x:v>
      </x:c>
      <x:c r="O696" s="60" t="n">
        <x:v>811885.6190653909</x:v>
      </x:c>
      <x:c r="P696" s="60" t="n">
        <x:v>10645.091131648282</x:v>
      </x:c>
      <x:c r="Q696" s="62" t="n">
        <x:v>1.0131115650796998</x:v>
      </x:c>
      <x:c r="R696" s="64" t="n">
        <x:v>0.01311156507969986</x:v>
      </x:c>
    </x:row>
    <x:row r="697" ht="18" customHeight="1">
      <x:c r="A697" s="46" t="str">
        <x:v>LME_059</x:v>
      </x:c>
      <x:c r="B697" s="46" t="str">
        <x:v>Iceland Shelf and Sea</x:v>
      </x:c>
      <x:c r="C697" s="46" t="str">
        <x:v>commercial</x:v>
      </x:c>
      <x:c r="D697" s="46" t="str">
        <x:v>Scorpionfishes</x:v>
      </x:c>
      <x:c r="E697" s="66" t="n">
        <x:v>7</x:v>
      </x:c>
      <x:c r="F697" s="66" t="n">
        <x:v>7</x:v>
      </x:c>
      <x:c r="G697" s="60" t="n">
        <x:v>63593.299997339105</x:v>
      </x:c>
      <x:c r="H697" s="60" t="n">
        <x:v>63593.299997339105</x:v>
      </x:c>
      <x:c r="I697" s="62" t="n">
        <x:v>0</x:v>
      </x:c>
      <x:c r="J697" s="64" t="n">
        <x:v>1</x:v>
      </x:c>
      <x:c r="K697" s="62" t="n">
        <x:v>959.0829355093163</x:v>
      </x:c>
      <x:c r="L697" s="60" t="n">
        <x:v>60991248.84017258</x:v>
      </x:c>
      <x:c r="M697" s="62" t="n">
        <x:v>3.961845408535497</x:v>
      </x:c>
      <x:c r="N697" s="62" t="n">
        <x:v>915.8944103139343</x:v>
      </x:c>
      <x:c r="O697" s="60" t="n">
        <x:v>58244748.00098002</x:v>
      </x:c>
      <x:c r="P697" s="60" t="n">
        <x:v>2746500.839192562</x:v>
      </x:c>
      <x:c r="Q697" s="62" t="n">
        <x:v>1.0471544805919042</x:v>
      </x:c>
      <x:c r="R697" s="64" t="n">
        <x:v>0.04715448059190418</x:v>
      </x:c>
    </x:row>
    <x:row r="698" ht="18" customHeight="1">
      <x:c r="A698" s="46" t="str">
        <x:v>LME_059</x:v>
      </x:c>
      <x:c r="B698" s="46" t="str">
        <x:v>Iceland Shelf and Sea</x:v>
      </x:c>
      <x:c r="C698" s="46" t="str">
        <x:v>commercial</x:v>
      </x:c>
      <x:c r="D698" s="46" t="str">
        <x:v>Sharks &amp; rays</x:v>
      </x:c>
      <x:c r="E698" s="66" t="n">
        <x:v>15</x:v>
      </x:c>
      <x:c r="F698" s="66" t="n">
        <x:v>15</x:v>
      </x:c>
      <x:c r="G698" s="60" t="n">
        <x:v>1351.5906345044998</x:v>
      </x:c>
      <x:c r="H698" s="60" t="n">
        <x:v>1351.5906345044998</x:v>
      </x:c>
      <x:c r="I698" s="62" t="n">
        <x:v>0</x:v>
      </x:c>
      <x:c r="J698" s="64" t="n">
        <x:v>1</x:v>
      </x:c>
      <x:c r="K698" s="62" t="n">
        <x:v>1267.326699015311</x:v>
      </x:c>
      <x:c r="L698" s="60" t="n">
        <x:v>1712906.8972465976</x:v>
      </x:c>
      <x:c r="M698" s="62" t="n">
        <x:v>4.032401949284038</x:v>
      </x:c>
      <x:c r="N698" s="62" t="n">
        <x:v>1077.4619675175857</x:v>
      </x:c>
      <x:c r="O698" s="60" t="n">
        <x:v>1456287.5043315603</x:v>
      </x:c>
      <x:c r="P698" s="60" t="n">
        <x:v>256619.39291503723</x:v>
      </x:c>
      <x:c r="Q698" s="62" t="n">
        <x:v>1.176214787362902</x:v>
      </x:c>
      <x:c r="R698" s="64" t="n">
        <x:v>0.17621478736290205</x:v>
      </x:c>
    </x:row>
    <x:row r="699" ht="18" customHeight="1">
      <x:c r="A699" s="46" t="str">
        <x:v>LME_060</x:v>
      </x:c>
      <x:c r="B699" s="46" t="str">
        <x:v>Faroe Plateau</x:v>
      </x:c>
      <x:c r="C699" s="46" t="str">
        <x:v>commercial</x:v>
      </x:c>
      <x:c r="D699" s="46" t="str">
        <x:v>Cod-likes</x:v>
      </x:c>
      <x:c r="E699" s="66" t="n">
        <x:v>18</x:v>
      </x:c>
      <x:c r="F699" s="66" t="n">
        <x:v>18</x:v>
      </x:c>
      <x:c r="G699" s="60" t="n">
        <x:v>317786.93108064664</x:v>
      </x:c>
      <x:c r="H699" s="60" t="n">
        <x:v>317786.93108064664</x:v>
      </x:c>
      <x:c r="I699" s="62" t="n">
        <x:v>0</x:v>
      </x:c>
      <x:c r="J699" s="64" t="n">
        <x:v>1</x:v>
      </x:c>
      <x:c r="K699" s="62" t="n">
        <x:v>1358.6369132854943</x:v>
      </x:c>
      <x:c r="L699" s="60" t="n">
        <x:v>431757055.1258799</x:v>
      </x:c>
      <x:c r="M699" s="62" t="n">
        <x:v>4.129416217806036</x:v>
      </x:c>
      <x:c r="N699" s="62" t="n">
        <x:v>1347.1508138255751</x:v>
      </x:c>
      <x:c r="O699" s="60" t="n">
        <x:v>428106922.82842505</x:v>
      </x:c>
      <x:c r="P699" s="60" t="n">
        <x:v>3650132.297454834</x:v>
      </x:c>
      <x:c r="Q699" s="62" t="n">
        <x:v>1.0085262164726023</x:v>
      </x:c>
      <x:c r="R699" s="64" t="n">
        <x:v>0.00852621647260238</x:v>
      </x:c>
    </x:row>
    <x:row r="700" ht="18" customHeight="1">
      <x:c r="A700" s="46" t="str">
        <x:v>LME_060</x:v>
      </x:c>
      <x:c r="B700" s="46" t="str">
        <x:v>Faroe Plateau</x:v>
      </x:c>
      <x:c r="C700" s="46" t="str">
        <x:v>commercial</x:v>
      </x:c>
      <x:c r="D700" s="46" t="str">
        <x:v>Crustaceans</x:v>
      </x:c>
      <x:c r="E700" s="66" t="n">
        <x:v>11</x:v>
      </x:c>
      <x:c r="F700" s="66" t="n">
        <x:v>11</x:v>
      </x:c>
      <x:c r="G700" s="60" t="n">
        <x:v>73.3302854791</x:v>
      </x:c>
      <x:c r="H700" s="60" t="n">
        <x:v>73.3302854791</x:v>
      </x:c>
      <x:c r="I700" s="62" t="n">
        <x:v>0</x:v>
      </x:c>
      <x:c r="J700" s="64" t="n">
        <x:v>1</x:v>
      </x:c>
      <x:c r="K700" s="62" t="n">
        <x:v>56.85220024775642</x:v>
      </x:c>
      <x:c r="L700" s="60" t="n">
        <x:v>4168.988074282938</x:v>
      </x:c>
      <x:c r="M700" s="62" t="n">
        <x:v>2.7362925720867066</x:v>
      </x:c>
      <x:c r="N700" s="62" t="n">
        <x:v>54.48695926865842</x:v>
      </x:c>
      <x:c r="O700" s="60" t="n">
        <x:v>3995.5442780588155</x:v>
      </x:c>
      <x:c r="P700" s="60" t="n">
        <x:v>173.4437962241227</x:v>
      </x:c>
      <x:c r="Q700" s="62" t="n">
        <x:v>1.0434093040031052</x:v>
      </x:c>
      <x:c r="R700" s="64" t="n">
        <x:v>0.04340930400310522</x:v>
      </x:c>
    </x:row>
    <x:row r="701" ht="18" customHeight="1">
      <x:c r="A701" s="46" t="str">
        <x:v>LME_060</x:v>
      </x:c>
      <x:c r="B701" s="46" t="str">
        <x:v>Faroe Plateau</x:v>
      </x:c>
      <x:c r="C701" s="46" t="str">
        <x:v>commercial</x:v>
      </x:c>
      <x:c r="D701" s="46" t="str">
        <x:v>Flatfishes</x:v>
      </x:c>
      <x:c r="E701" s="66" t="n">
        <x:v>13</x:v>
      </x:c>
      <x:c r="F701" s="66" t="n">
        <x:v>13</x:v>
      </x:c>
      <x:c r="G701" s="60" t="n">
        <x:v>2915.9286303268</x:v>
      </x:c>
      <x:c r="H701" s="60" t="n">
        <x:v>2915.9286303268</x:v>
      </x:c>
      <x:c r="I701" s="62" t="n">
        <x:v>0</x:v>
      </x:c>
      <x:c r="J701" s="64" t="n">
        <x:v>1</x:v>
      </x:c>
      <x:c r="K701" s="62" t="n">
        <x:v>1805.3631387530058</x:v>
      </x:c>
      <x:c r="L701" s="60" t="n">
        <x:v>5264310.064426545</x:v>
      </x:c>
      <x:c r="M701" s="62" t="n">
        <x:v>4.081767562561537</x:v>
      </x:c>
      <x:c r="N701" s="62" t="n">
        <x:v>1207.1675776668267</x:v>
      </x:c>
      <x:c r="O701" s="60" t="n">
        <x:v>3520014.5013209507</x:v>
      </x:c>
      <x:c r="P701" s="60" t="n">
        <x:v>1744295.5631055944</x:v>
      </x:c>
      <x:c r="Q701" s="62" t="n">
        <x:v>1.4955364707875536</x:v>
      </x:c>
      <x:c r="R701" s="64" t="n">
        <x:v>0.4955364707875536</x:v>
      </x:c>
    </x:row>
    <x:row r="702" ht="18" customHeight="1">
      <x:c r="A702" s="46" t="str">
        <x:v>LME_060</x:v>
      </x:c>
      <x:c r="B702" s="46" t="str">
        <x:v>Faroe Plateau</x:v>
      </x:c>
      <x:c r="C702" s="46" t="str">
        <x:v>commercial</x:v>
      </x:c>
      <x:c r="D702" s="46" t="str">
        <x:v>Herring-likes</x:v>
      </x:c>
      <x:c r="E702" s="66" t="n">
        <x:v>1</x:v>
      </x:c>
      <x:c r="F702" s="66" t="n">
        <x:v>1</x:v>
      </x:c>
      <x:c r="G702" s="60" t="n">
        <x:v>26.9654504448</x:v>
      </x:c>
      <x:c r="H702" s="60" t="n">
        <x:v>26.9654504448</x:v>
      </x:c>
      <x:c r="I702" s="62" t="n">
        <x:v>0</x:v>
      </x:c>
      <x:c r="J702" s="64" t="n">
        <x:v>1</x:v>
      </x:c>
      <x:c r="K702" s="62" t="n">
        <x:v>144.5439770745928</x:v>
      </x:c>
      <x:c r="L702" s="60" t="n">
        <x:v>3897.693450899239</x:v>
      </x:c>
      <x:c r="M702" s="62" t="n">
        <x:v>3.16</x:v>
      </x:c>
      <x:c r="N702" s="62" t="n">
        <x:v>144.5439770745928</x:v>
      </x:c>
      <x:c r="O702" s="60" t="n">
        <x:v>3897.693450899239</x:v>
      </x:c>
      <x:c r="P702" s="60" t="n">
        <x:v>0</x:v>
      </x:c>
      <x:c r="Q702" s="62" t="n">
        <x:v>1</x:v>
      </x:c>
      <x:c r="R702" s="64" t="n">
        <x:v>0</x:v>
      </x:c>
    </x:row>
    <x:row r="703" ht="18" customHeight="1">
      <x:c r="A703" s="46" t="str">
        <x:v>LME_060</x:v>
      </x:c>
      <x:c r="B703" s="46" t="str">
        <x:v>Faroe Plateau</x:v>
      </x:c>
      <x:c r="C703" s="46" t="str">
        <x:v>commercial</x:v>
      </x:c>
      <x:c r="D703" s="46" t="str">
        <x:v>Molluscs</x:v>
      </x:c>
      <x:c r="E703" s="66" t="n">
        <x:v>11</x:v>
      </x:c>
      <x:c r="F703" s="66" t="n">
        <x:v>11</x:v>
      </x:c>
      <x:c r="G703" s="60" t="n">
        <x:v>5382.748381211001</x:v>
      </x:c>
      <x:c r="H703" s="60" t="n">
        <x:v>5382.748381211001</x:v>
      </x:c>
      <x:c r="I703" s="62" t="n">
        <x:v>0</x:v>
      </x:c>
      <x:c r="J703" s="64" t="n">
        <x:v>1</x:v>
      </x:c>
      <x:c r="K703" s="62" t="n">
        <x:v>10.186893562272111</x:v>
      </x:c>
      <x:c r="L703" s="60" t="n">
        <x:v>54833.48483188898</x:v>
      </x:c>
      <x:c r="M703" s="62" t="n">
        <x:v>2.0021704273605287</x:v>
      </x:c>
      <x:c r="N703" s="62" t="n">
        <x:v>10.050101024863904</x:v>
      </x:c>
      <x:c r="O703" s="60" t="n">
        <x:v>54097.16502259321</x:v>
      </x:c>
      <x:c r="P703" s="60" t="n">
        <x:v>736.3198092957682</x:v>
      </x:c>
      <x:c r="Q703" s="62" t="n">
        <x:v>1.0136110609306097</x:v>
      </x:c>
      <x:c r="R703" s="64" t="n">
        <x:v>0.013611060930609776</x:v>
      </x:c>
    </x:row>
    <x:row r="704" ht="18" customHeight="1">
      <x:c r="A704" s="46" t="str">
        <x:v>LME_060</x:v>
      </x:c>
      <x:c r="B704" s="46" t="str">
        <x:v>Faroe Plateau</x:v>
      </x:c>
      <x:c r="C704" s="46" t="str">
        <x:v>commercial</x:v>
      </x:c>
      <x:c r="D704" s="46" t="str">
        <x:v>Other fishes &amp; inverts</x:v>
      </x:c>
      <x:c r="E704" s="66" t="n">
        <x:v>15</x:v>
      </x:c>
      <x:c r="F704" s="66" t="n">
        <x:v>15</x:v>
      </x:c>
      <x:c r="G704" s="60" t="n">
        <x:v>23369.3204811083</x:v>
      </x:c>
      <x:c r="H704" s="60" t="n">
        <x:v>23369.3204811083</x:v>
      </x:c>
      <x:c r="I704" s="62" t="n">
        <x:v>0</x:v>
      </x:c>
      <x:c r="J704" s="64" t="n">
        <x:v>1</x:v>
      </x:c>
      <x:c r="K704" s="62" t="n">
        <x:v>474.8828234411633</x:v>
      </x:c>
      <x:c r="L704" s="60" t="n">
        <x:v>11097688.891970115</x:v>
      </x:c>
      <x:c r="M704" s="62" t="n">
        <x:v>3.406678115158531</x:v>
      </x:c>
      <x:c r="N704" s="62" t="n">
        <x:v>255.08100250513448</x:v>
      </x:c>
      <x:c r="O704" s="60" t="n">
        <x:v>5961069.696184877</x:v>
      </x:c>
      <x:c r="P704" s="60" t="n">
        <x:v>5136619.1957852375</x:v>
      </x:c>
      <x:c r="Q704" s="62" t="n">
        <x:v>1.8616942021450793</x:v>
      </x:c>
      <x:c r="R704" s="64" t="n">
        <x:v>0.8616942021450792</x:v>
      </x:c>
    </x:row>
    <x:row r="705" ht="18" customHeight="1">
      <x:c r="A705" s="46" t="str">
        <x:v>LME_060</x:v>
      </x:c>
      <x:c r="B705" s="46" t="str">
        <x:v>Faroe Plateau</x:v>
      </x:c>
      <x:c r="C705" s="46" t="str">
        <x:v>commercial</x:v>
      </x:c>
      <x:c r="D705" s="46" t="str">
        <x:v>Perch-likes</x:v>
      </x:c>
      <x:c r="E705" s="66" t="n">
        <x:v>16</x:v>
      </x:c>
      <x:c r="F705" s="66" t="n">
        <x:v>16</x:v>
      </x:c>
      <x:c r="G705" s="60" t="n">
        <x:v>50453.40687292501</x:v>
      </x:c>
      <x:c r="H705" s="60" t="n">
        <x:v>50453.40687292501</x:v>
      </x:c>
      <x:c r="I705" s="62" t="n">
        <x:v>0</x:v>
      </x:c>
      <x:c r="J705" s="64" t="n">
        <x:v>1</x:v>
      </x:c>
      <x:c r="K705" s="62" t="n">
        <x:v>454.1311599542589</x:v>
      </x:c>
      <x:c r="L705" s="60" t="n">
        <x:v>22912464.18684561</x:v>
      </x:c>
      <x:c r="M705" s="62" t="n">
        <x:v>3.6389931151159995</x:v>
      </x:c>
      <x:c r="N705" s="62" t="n">
        <x:v>435.50496955694393</x:v>
      </x:c>
      <x:c r="O705" s="60" t="n">
        <x:v>21972709.42423731</x:v>
      </x:c>
      <x:c r="P705" s="60" t="n">
        <x:v>939754.7626083009</x:v>
      </x:c>
      <x:c r="Q705" s="62" t="n">
        <x:v>1.0427691799160503</x:v>
      </x:c>
      <x:c r="R705" s="64" t="n">
        <x:v>0.04276917991605036</x:v>
      </x:c>
    </x:row>
    <x:row r="706" ht="18" customHeight="1">
      <x:c r="A706" s="46" t="str">
        <x:v>LME_060</x:v>
      </x:c>
      <x:c r="B706" s="46" t="str">
        <x:v>Faroe Plateau</x:v>
      </x:c>
      <x:c r="C706" s="46" t="str">
        <x:v>commercial</x:v>
      </x:c>
      <x:c r="D706" s="46" t="str">
        <x:v>Salmon, smelts, etc</x:v>
      </x:c>
      <x:c r="E706" s="66" t="n">
        <x:v>3</x:v>
      </x:c>
      <x:c r="F706" s="66" t="n">
        <x:v>3</x:v>
      </x:c>
      <x:c r="G706" s="60" t="n">
        <x:v>18402.121408367</x:v>
      </x:c>
      <x:c r="H706" s="60" t="n">
        <x:v>18402.121408367</x:v>
      </x:c>
      <x:c r="I706" s="62" t="n">
        <x:v>0</x:v>
      </x:c>
      <x:c r="J706" s="64" t="n">
        <x:v>1</x:v>
      </x:c>
      <x:c r="K706" s="62" t="n">
        <x:v>223.8651442340627</x:v>
      </x:c>
      <x:c r="L706" s="60" t="n">
        <x:v>4119593.563296811</x:v>
      </x:c>
      <x:c r="M706" s="62" t="n">
        <x:v>3.349984466079881</x:v>
      </x:c>
      <x:c r="N706" s="62" t="n">
        <x:v>223.86410650356268</x:v>
      </x:c>
      <x:c r="O706" s="60" t="n">
        <x:v>4119574.4668541607</x:v>
      </x:c>
      <x:c r="P706" s="60" t="n">
        <x:v>19.096442650537938</x:v>
      </x:c>
      <x:c r="Q706" s="62" t="n">
        <x:v>1.0000046355376762</x:v>
      </x:c>
      <x:c r="R706" s="64" t="n">
        <x:v>0.000004635537676084441</x:v>
      </x:c>
    </x:row>
    <x:row r="707" ht="18" customHeight="1">
      <x:c r="A707" s="46" t="str">
        <x:v>LME_060</x:v>
      </x:c>
      <x:c r="B707" s="46" t="str">
        <x:v>Faroe Plateau</x:v>
      </x:c>
      <x:c r="C707" s="46" t="str">
        <x:v>commercial</x:v>
      </x:c>
      <x:c r="D707" s="46" t="str">
        <x:v>Scorpionfishes</x:v>
      </x:c>
      <x:c r="E707" s="66" t="n">
        <x:v>9</x:v>
      </x:c>
      <x:c r="F707" s="66" t="n">
        <x:v>9</x:v>
      </x:c>
      <x:c r="G707" s="60" t="n">
        <x:v>1551.6530363375002</x:v>
      </x:c>
      <x:c r="H707" s="60" t="n">
        <x:v>1551.6530363375002</x:v>
      </x:c>
      <x:c r="I707" s="62" t="n">
        <x:v>0</x:v>
      </x:c>
      <x:c r="J707" s="64" t="n">
        <x:v>1</x:v>
      </x:c>
      <x:c r="K707" s="62" t="n">
        <x:v>617.458880686645</x:v>
      </x:c>
      <x:c r="L707" s="60" t="n">
        <x:v>958081.9470309869</x:v>
      </x:c>
      <x:c r="M707" s="62" t="n">
        <x:v>3.7902431660637848</x:v>
      </x:c>
      <x:c r="N707" s="62" t="n">
        <x:v>616.9403365795717</x:v>
      </x:c>
      <x:c r="O707" s="60" t="n">
        <x:v>957277.3464927719</x:v>
      </x:c>
      <x:c r="P707" s="60" t="n">
        <x:v>804.6005382150179</x:v>
      </x:c>
      <x:c r="Q707" s="62" t="n">
        <x:v>1.0008405093269603</x:v>
      </x:c>
      <x:c r="R707" s="64" t="n">
        <x:v>0.000840509326960338</x:v>
      </x:c>
    </x:row>
    <x:row r="708" ht="18" customHeight="1">
      <x:c r="A708" s="46" t="str">
        <x:v>LME_060</x:v>
      </x:c>
      <x:c r="B708" s="46" t="str">
        <x:v>Faroe Plateau</x:v>
      </x:c>
      <x:c r="C708" s="46" t="str">
        <x:v>commercial</x:v>
      </x:c>
      <x:c r="D708" s="46" t="str">
        <x:v>Sharks &amp; rays</x:v>
      </x:c>
      <x:c r="E708" s="66" t="n">
        <x:v>17</x:v>
      </x:c>
      <x:c r="F708" s="66" t="n">
        <x:v>17</x:v>
      </x:c>
      <x:c r="G708" s="60" t="n">
        <x:v>259.7953877278</x:v>
      </x:c>
      <x:c r="H708" s="60" t="n">
        <x:v>259.7953877278</x:v>
      </x:c>
      <x:c r="I708" s="62" t="n">
        <x:v>0</x:v>
      </x:c>
      <x:c r="J708" s="64" t="n">
        <x:v>1</x:v>
      </x:c>
      <x:c r="K708" s="62" t="n">
        <x:v>1075.24571588581</x:v>
      </x:c>
      <x:c r="L708" s="60" t="n">
        <x:v>279343.87766120984</x:v>
      </x:c>
      <x:c r="M708" s="62" t="n">
        <x:v>3.9313217264676643</x:v>
      </x:c>
      <x:c r="N708" s="62" t="n">
        <x:v>853.732326916769</x:v>
      </x:c>
      <x:c r="O708" s="60" t="n">
        <x:v>221795.72088709893</x:v>
      </x:c>
      <x:c r="P708" s="60" t="n">
        <x:v>57548.15677411092</x:v>
      </x:c>
      <x:c r="Q708" s="62" t="n">
        <x:v>1.2594646846383695</x:v>
      </x:c>
      <x:c r="R708" s="64" t="n">
        <x:v>0.25946468463836936</x:v>
      </x:c>
    </x:row>
    <x:row r="709" ht="18" customHeight="1">
      <x:c r="A709" s="46" t="str">
        <x:v>LME_061</x:v>
      </x:c>
      <x:c r="B709" s="46" t="str">
        <x:v>Antarctic</x:v>
      </x:c>
      <x:c r="C709" s="46" t="str">
        <x:v>commercial</x:v>
      </x:c>
      <x:c r="D709" s="46" t="str">
        <x:v>Cod-likes</x:v>
      </x:c>
      <x:c r="E709" s="66" t="n">
        <x:v>1</x:v>
      </x:c>
      <x:c r="F709" s="66" t="n">
        <x:v>1</x:v>
      </x:c>
      <x:c r="G709" s="60" t="n">
        <x:v>0.0276479012</x:v>
      </x:c>
      <x:c r="H709" s="60" t="n">
        <x:v>0.0276479012</x:v>
      </x:c>
      <x:c r="I709" s="62" t="n">
        <x:v>0</x:v>
      </x:c>
      <x:c r="J709" s="64" t="n">
        <x:v>1</x:v>
      </x:c>
      <x:c r="K709" s="62" t="n">
        <x:v>295.1209226666387</x:v>
      </x:c>
      <x:c r="L709" s="60" t="n">
        <x:v>8.159474111940067</x:v>
      </x:c>
      <x:c r="M709" s="62" t="n">
        <x:v>3.47</x:v>
      </x:c>
      <x:c r="N709" s="62" t="n">
        <x:v>295.1209226666387</x:v>
      </x:c>
      <x:c r="O709" s="60" t="n">
        <x:v>8.159474111940067</x:v>
      </x:c>
      <x:c r="P709" s="60" t="n">
        <x:v>0</x:v>
      </x:c>
      <x:c r="Q709" s="62" t="n">
        <x:v>1</x:v>
      </x:c>
      <x:c r="R709" s="64" t="n">
        <x:v>0</x:v>
      </x:c>
    </x:row>
    <x:row r="710" ht="18" customHeight="1">
      <x:c r="A710" s="46" t="str">
        <x:v>LME_061</x:v>
      </x:c>
      <x:c r="B710" s="46" t="str">
        <x:v>Antarctic</x:v>
      </x:c>
      <x:c r="C710" s="46" t="str">
        <x:v>commercial</x:v>
      </x:c>
      <x:c r="D710" s="46" t="str">
        <x:v>Molluscs</x:v>
      </x:c>
      <x:c r="E710" s="66" t="n">
        <x:v>1</x:v>
      </x:c>
      <x:c r="F710" s="66" t="n">
        <x:v>1</x:v>
      </x:c>
      <x:c r="G710" s="60" t="n">
        <x:v>0.0000046147</x:v>
      </x:c>
      <x:c r="H710" s="60" t="n">
        <x:v>0.0000046147</x:v>
      </x:c>
      <x:c r="I710" s="62" t="n">
        <x:v>0</x:v>
      </x:c>
      <x:c r="J710" s="64" t="n">
        <x:v>1</x:v>
      </x:c>
      <x:c r="K710" s="62" t="n">
        <x:v>12.589254117941675</x:v>
      </x:c>
      <x:c r="L710" s="60" t="n">
        <x:v>0.00005809563097806545</x:v>
      </x:c>
      <x:c r="M710" s="62" t="n">
        <x:v>2.1</x:v>
      </x:c>
      <x:c r="N710" s="62" t="n">
        <x:v>12.589254117941675</x:v>
      </x:c>
      <x:c r="O710" s="60" t="n">
        <x:v>0.00005809563097806545</x:v>
      </x:c>
      <x:c r="P710" s="60" t="n">
        <x:v>0</x:v>
      </x:c>
      <x:c r="Q710" s="62" t="n">
        <x:v>1</x:v>
      </x:c>
      <x:c r="R710" s="64" t="n">
        <x:v>0</x:v>
      </x:c>
    </x:row>
    <x:row r="711" ht="18" customHeight="1">
      <x:c r="A711" s="46" t="str">
        <x:v>LME_061</x:v>
      </x:c>
      <x:c r="B711" s="46" t="str">
        <x:v>Antarctic</x:v>
      </x:c>
      <x:c r="C711" s="46" t="str">
        <x:v>commercial</x:v>
      </x:c>
      <x:c r="D711" s="46" t="str">
        <x:v>Other fishes &amp; inverts</x:v>
      </x:c>
      <x:c r="E711" s="66" t="n">
        <x:v>1</x:v>
      </x:c>
      <x:c r="F711" s="66" t="n">
        <x:v>1</x:v>
      </x:c>
      <x:c r="G711" s="60" t="n">
        <x:v>0.1829741856</x:v>
      </x:c>
      <x:c r="H711" s="60" t="n">
        <x:v>0.1829741856</x:v>
      </x:c>
      <x:c r="I711" s="62" t="n">
        <x:v>0</x:v>
      </x:c>
      <x:c r="J711" s="64" t="n">
        <x:v>1</x:v>
      </x:c>
      <x:c r="K711" s="62" t="n">
        <x:v>190.54607179632464</x:v>
      </x:c>
      <x:c r="L711" s="60" t="n">
        <x:v>34.86501230621163</x:v>
      </x:c>
      <x:c r="M711" s="62" t="n">
        <x:v>3.2799999999999994</x:v>
      </x:c>
      <x:c r="N711" s="62" t="n">
        <x:v>190.54607179632444</x:v>
      </x:c>
      <x:c r="O711" s="60" t="n">
        <x:v>34.8650123062116</x:v>
      </x:c>
      <x:c r="P711" s="60" t="n">
        <x:v>3.552713678800501e-14</x:v>
      </x:c>
      <x:c r="Q711" s="62" t="n">
        <x:v>1.000000000000001</x:v>
      </x:c>
      <x:c r="R711" s="64" t="n">
        <x:v>1.0189910869951263e-15</x:v>
      </x:c>
    </x:row>
    <x:row r="712" ht="18" customHeight="1">
      <x:c r="A712" s="46" t="str">
        <x:v>LME_061</x:v>
      </x:c>
      <x:c r="B712" s="46" t="str">
        <x:v>Antarctic</x:v>
      </x:c>
      <x:c r="C712" s="46" t="str">
        <x:v>commercial</x:v>
      </x:c>
      <x:c r="D712" s="46" t="str">
        <x:v>Perch-likes</x:v>
      </x:c>
      <x:c r="E712" s="66" t="n">
        <x:v>6</x:v>
      </x:c>
      <x:c r="F712" s="66" t="n">
        <x:v>6</x:v>
      </x:c>
      <x:c r="G712" s="60" t="n">
        <x:v>0.006798166499999999</x:v>
      </x:c>
      <x:c r="H712" s="60" t="n">
        <x:v>0.006798166499999999</x:v>
      </x:c>
      <x:c r="I712" s="62" t="n">
        <x:v>0</x:v>
      </x:c>
      <x:c r="J712" s="64" t="n">
        <x:v>1</x:v>
      </x:c>
      <x:c r="K712" s="62" t="n">
        <x:v>234.61827932568917</x:v>
      </x:c>
      <x:c r="L712" s="60" t="n">
        <x:v>1.5949741267995425</x:v>
      </x:c>
      <x:c r="M712" s="62" t="n">
        <x:v>3.3274964018607074</x:v>
      </x:c>
      <x:c r="N712" s="62" t="n">
        <x:v>212.56727338990044</x:v>
      </x:c>
      <x:c r="O712" s="60" t="n">
        <x:v>1.4450677169555624</x:v>
      </x:c>
      <x:c r="P712" s="60" t="n">
        <x:v>0.14990640984398018</x:v>
      </x:c>
      <x:c r="Q712" s="62" t="n">
        <x:v>1.1037365986971184</x:v>
      </x:c>
      <x:c r="R712" s="64" t="n">
        <x:v>0.10373659869711835</x:v>
      </x:c>
    </x:row>
    <x:row r="713" ht="18" customHeight="1">
      <x:c r="A713" s="46" t="str">
        <x:v>LME_061</x:v>
      </x:c>
      <x:c r="B713" s="46" t="str">
        <x:v>Antarctic</x:v>
      </x:c>
      <x:c r="C713" s="46" t="str">
        <x:v>commercial</x:v>
      </x:c>
      <x:c r="D713" s="46" t="str">
        <x:v>Sharks &amp; rays</x:v>
      </x:c>
      <x:c r="E713" s="66" t="n">
        <x:v>1</x:v>
      </x:c>
      <x:c r="F713" s="66" t="n">
        <x:v>1</x:v>
      </x:c>
      <x:c r="G713" s="60" t="n">
        <x:v>0.0321891454</x:v>
      </x:c>
      <x:c r="H713" s="60" t="n">
        <x:v>0.0321891454</x:v>
      </x:c>
      <x:c r="I713" s="62" t="n">
        <x:v>0</x:v>
      </x:c>
      <x:c r="J713" s="64" t="n">
        <x:v>1</x:v>
      </x:c>
      <x:c r="K713" s="62" t="n">
        <x:v>407.3802778041126</x:v>
      </x:c>
      <x:c r="L713" s="60" t="n">
        <x:v>13.113222995328973</x:v>
      </x:c>
      <x:c r="M713" s="62" t="n">
        <x:v>3.61</x:v>
      </x:c>
      <x:c r="N713" s="62" t="n">
        <x:v>407.3802778041126</x:v>
      </x:c>
      <x:c r="O713" s="60" t="n">
        <x:v>13.113222995328973</x:v>
      </x:c>
      <x:c r="P713" s="60" t="n">
        <x:v>0</x:v>
      </x:c>
      <x:c r="Q713" s="62" t="n">
        <x:v>1</x:v>
      </x:c>
      <x:c r="R713" s="64" t="n">
        <x:v>0</x:v>
      </x:c>
    </x:row>
    <x:row r="714" ht="18" customHeight="1">
      <x:c r="A714" s="46" t="str">
        <x:v>LME_062</x:v>
      </x:c>
      <x:c r="B714" s="46" t="str">
        <x:v>Black Sea</x:v>
      </x:c>
      <x:c r="C714" s="46" t="str">
        <x:v>commercial</x:v>
      </x:c>
      <x:c r="D714" s="46" t="str">
        <x:v>Anchovies</x:v>
      </x:c>
      <x:c r="E714" s="66" t="n">
        <x:v>1</x:v>
      </x:c>
      <x:c r="F714" s="66" t="n">
        <x:v>1</x:v>
      </x:c>
      <x:c r="G714" s="60" t="n">
        <x:v>629767.6866500932</x:v>
      </x:c>
      <x:c r="H714" s="60" t="n">
        <x:v>629767.6866500932</x:v>
      </x:c>
      <x:c r="I714" s="62" t="n">
        <x:v>0</x:v>
      </x:c>
      <x:c r="J714" s="64" t="n">
        <x:v>1</x:v>
      </x:c>
      <x:c r="K714" s="62" t="n">
        <x:v>128.82495516931337</x:v>
      </x:c>
      <x:c r="L714" s="60" t="n">
        <x:v>81129793.99978045</x:v>
      </x:c>
      <x:c r="M714" s="62" t="n">
        <x:v>3.11</x:v>
      </x:c>
      <x:c r="N714" s="62" t="n">
        <x:v>128.82495516931337</x:v>
      </x:c>
      <x:c r="O714" s="60" t="n">
        <x:v>81129793.99978045</x:v>
      </x:c>
      <x:c r="P714" s="60" t="n">
        <x:v>0</x:v>
      </x:c>
      <x:c r="Q714" s="62" t="n">
        <x:v>1</x:v>
      </x:c>
      <x:c r="R714" s="64" t="n">
        <x:v>0</x:v>
      </x:c>
    </x:row>
    <x:row r="715" ht="18" customHeight="1">
      <x:c r="A715" s="46" t="str">
        <x:v>LME_062</x:v>
      </x:c>
      <x:c r="B715" s="46" t="str">
        <x:v>Black Sea</x:v>
      </x:c>
      <x:c r="C715" s="46" t="str">
        <x:v>commercial</x:v>
      </x:c>
      <x:c r="D715" s="46" t="str">
        <x:v>Cod-likes</x:v>
      </x:c>
      <x:c r="E715" s="66" t="n">
        <x:v>3</x:v>
      </x:c>
      <x:c r="F715" s="66" t="n">
        <x:v>3</x:v>
      </x:c>
      <x:c r="G715" s="60" t="n">
        <x:v>20128.465154674403</x:v>
      </x:c>
      <x:c r="H715" s="60" t="n">
        <x:v>20128.465154674403</x:v>
      </x:c>
      <x:c r="I715" s="62" t="n">
        <x:v>0</x:v>
      </x:c>
      <x:c r="J715" s="64" t="n">
        <x:v>1</x:v>
      </x:c>
      <x:c r="K715" s="62" t="n">
        <x:v>2290.831207034165</x:v>
      </x:c>
      <x:c r="L715" s="60" t="n">
        <x:v>46110916.12602789</x:v>
      </x:c>
      <x:c r="M715" s="62" t="n">
        <x:v>4.3599923934032025</x:v>
      </x:c>
      <x:c r="N715" s="62" t="n">
        <x:v>2290.827528947016</x:v>
      </x:c>
      <x:c r="O715" s="60" t="n">
        <x:v>46110842.09177888</x:v>
      </x:c>
      <x:c r="P715" s="60" t="n">
        <x:v>74.03424900770187</x:v>
      </x:c>
      <x:c r="Q715" s="62" t="n">
        <x:v>1.0000016055713938</x:v>
      </x:c>
      <x:c r="R715" s="64" t="n">
        <x:v>0.000001605571393824132</x:v>
      </x:c>
    </x:row>
    <x:row r="716" ht="18" customHeight="1">
      <x:c r="A716" s="46" t="str">
        <x:v>LME_062</x:v>
      </x:c>
      <x:c r="B716" s="46" t="str">
        <x:v>Black Sea</x:v>
      </x:c>
      <x:c r="C716" s="46" t="str">
        <x:v>commercial</x:v>
      </x:c>
      <x:c r="D716" s="46" t="str">
        <x:v>Crustaceans</x:v>
      </x:c>
      <x:c r="E716" s="66" t="n">
        <x:v>13</x:v>
      </x:c>
      <x:c r="F716" s="66" t="n">
        <x:v>13</x:v>
      </x:c>
      <x:c r="G716" s="60" t="n">
        <x:v>5749.8679557221985</x:v>
      </x:c>
      <x:c r="H716" s="60" t="n">
        <x:v>5749.8679557221985</x:v>
      </x:c>
      <x:c r="I716" s="62" t="n">
        <x:v>0</x:v>
      </x:c>
      <x:c r="J716" s="64" t="n">
        <x:v>1</x:v>
      </x:c>
      <x:c r="K716" s="62" t="n">
        <x:v>91.46621474522463</x:v>
      </x:c>
      <x:c r="L716" s="60" t="n">
        <x:v>525918.6571947724</x:v>
      </x:c>
      <x:c r="M716" s="62" t="n">
        <x:v>2.8633714178799647</x:v>
      </x:c>
      <x:c r="N716" s="62" t="n">
        <x:v>73.00816246755079</x:v>
      </x:c>
      <x:c r="O716" s="60" t="n">
        <x:v>419787.2938783304</x:v>
      </x:c>
      <x:c r="P716" s="60" t="n">
        <x:v>106131.363316442</x:v>
      </x:c>
      <x:c r="Q716" s="62" t="n">
        <x:v>1.2528217620307553</x:v>
      </x:c>
      <x:c r="R716" s="64" t="n">
        <x:v>0.25282176203075535</x:v>
      </x:c>
    </x:row>
    <x:row r="717" ht="18" customHeight="1">
      <x:c r="A717" s="46" t="str">
        <x:v>LME_062</x:v>
      </x:c>
      <x:c r="B717" s="46" t="str">
        <x:v>Black Sea</x:v>
      </x:c>
      <x:c r="C717" s="46" t="str">
        <x:v>commercial</x:v>
      </x:c>
      <x:c r="D717" s="46" t="str">
        <x:v>Flatfishes</x:v>
      </x:c>
      <x:c r="E717" s="66" t="n">
        <x:v>5</x:v>
      </x:c>
      <x:c r="F717" s="66" t="n">
        <x:v>5</x:v>
      </x:c>
      <x:c r="G717" s="60" t="n">
        <x:v>3280.3830240253</x:v>
      </x:c>
      <x:c r="H717" s="60" t="n">
        <x:v>3280.3830240253</x:v>
      </x:c>
      <x:c r="I717" s="62" t="n">
        <x:v>0</x:v>
      </x:c>
      <x:c r="J717" s="64" t="n">
        <x:v>1</x:v>
      </x:c>
      <x:c r="K717" s="62" t="n">
        <x:v>1971.3186850819677</x:v>
      </x:c>
      <x:c r="L717" s="60" t="n">
        <x:v>6466680.349486764</x:v>
      </x:c>
      <x:c r="M717" s="62" t="n">
        <x:v>4.22719502324964</x:v>
      </x:c>
      <x:c r="N717" s="62" t="n">
        <x:v>1687.3105549633058</x:v>
      </x:c>
      <x:c r="O717" s="60" t="n">
        <x:v>5535024.900760336</x:v>
      </x:c>
      <x:c r="P717" s="60" t="n">
        <x:v>931655.4487264277</x:v>
      </x:c>
      <x:c r="Q717" s="62" t="n">
        <x:v>1.1683200103758247</x:v>
      </x:c>
      <x:c r="R717" s="64" t="n">
        <x:v>0.1683200103758247</x:v>
      </x:c>
    </x:row>
    <x:row r="718" ht="18" customHeight="1">
      <x:c r="A718" s="46" t="str">
        <x:v>LME_062</x:v>
      </x:c>
      <x:c r="B718" s="46" t="str">
        <x:v>Black Sea</x:v>
      </x:c>
      <x:c r="C718" s="46" t="str">
        <x:v>commercial</x:v>
      </x:c>
      <x:c r="D718" s="46" t="str">
        <x:v>Herring-likes</x:v>
      </x:c>
      <x:c r="E718" s="66" t="n">
        <x:v>7</x:v>
      </x:c>
      <x:c r="F718" s="66" t="n">
        <x:v>7</x:v>
      </x:c>
      <x:c r="G718" s="60" t="n">
        <x:v>233142.2889312629</x:v>
      </x:c>
      <x:c r="H718" s="60" t="n">
        <x:v>233142.2889312629</x:v>
      </x:c>
      <x:c r="I718" s="62" t="n">
        <x:v>0</x:v>
      </x:c>
      <x:c r="J718" s="64" t="n">
        <x:v>1</x:v>
      </x:c>
      <x:c r="K718" s="62" t="n">
        <x:v>106.532385693371</x:v>
      </x:c>
      <x:c r="L718" s="60" t="n">
        <x:v>24837204.24586064</x:v>
      </x:c>
      <x:c r="M718" s="62" t="n">
        <x:v>3.014214635162702</x:v>
      </x:c>
      <x:c r="N718" s="62" t="n">
        <x:v>103.32719388357484</x:v>
      </x:c>
      <x:c r="O718" s="60" t="n">
        <x:v>24089938.490861025</x:v>
      </x:c>
      <x:c r="P718" s="60" t="n">
        <x:v>747265.7549996153</x:v>
      </x:c>
      <x:c r="Q718" s="62" t="n">
        <x:v>1.0310198282690968</x:v>
      </x:c>
      <x:c r="R718" s="64" t="n">
        <x:v>0.031019828269096855</x:v>
      </x:c>
    </x:row>
    <x:row r="719" ht="18" customHeight="1">
      <x:c r="A719" s="46" t="str">
        <x:v>LME_062</x:v>
      </x:c>
      <x:c r="B719" s="46" t="str">
        <x:v>Black Sea</x:v>
      </x:c>
      <x:c r="C719" s="46" t="str">
        <x:v>commercial</x:v>
      </x:c>
      <x:c r="D719" s="46" t="str">
        <x:v>Molluscs</x:v>
      </x:c>
      <x:c r="E719" s="66" t="n">
        <x:v>7</x:v>
      </x:c>
      <x:c r="F719" s="66" t="n">
        <x:v>7</x:v>
      </x:c>
      <x:c r="G719" s="60" t="n">
        <x:v>65960.8961278659</x:v>
      </x:c>
      <x:c r="H719" s="60" t="n">
        <x:v>65960.8961278659</x:v>
      </x:c>
      <x:c r="I719" s="62" t="n">
        <x:v>0</x:v>
      </x:c>
      <x:c r="J719" s="64" t="n">
        <x:v>1</x:v>
      </x:c>
      <x:c r="K719" s="62" t="n">
        <x:v>23.888132309048853</x:v>
      </x:c>
      <x:c r="L719" s="60" t="n">
        <x:v>1575682.6139258887</x:v>
      </x:c>
      <x:c r="M719" s="62" t="n">
        <x:v>2.2829224197910443</x:v>
      </x:c>
      <x:c r="N719" s="62" t="n">
        <x:v>19.183260298281425</x:v>
      </x:c>
      <x:c r="O719" s="60" t="n">
        <x:v>1265345.0399287548</x:v>
      </x:c>
      <x:c r="P719" s="60" t="n">
        <x:v>310337.5739971339</x:v>
      </x:c>
      <x:c r="Q719" s="62" t="n">
        <x:v>1.2452592488248164</x:v>
      </x:c>
      <x:c r="R719" s="64" t="n">
        <x:v>0.24525924882481653</x:v>
      </x:c>
    </x:row>
    <x:row r="720" ht="18" customHeight="1">
      <x:c r="A720" s="46" t="str">
        <x:v>LME_062</x:v>
      </x:c>
      <x:c r="B720" s="46" t="str">
        <x:v>Black Sea</x:v>
      </x:c>
      <x:c r="C720" s="46" t="str">
        <x:v>commercial</x:v>
      </x:c>
      <x:c r="D720" s="46" t="str">
        <x:v>Other fishes &amp; inverts</x:v>
      </x:c>
      <x:c r="E720" s="66" t="n">
        <x:v>23</x:v>
      </x:c>
      <x:c r="F720" s="66" t="n">
        <x:v>23</x:v>
      </x:c>
      <x:c r="G720" s="60" t="n">
        <x:v>77293.2708614382</x:v>
      </x:c>
      <x:c r="H720" s="60" t="n">
        <x:v>77293.2708614382</x:v>
      </x:c>
      <x:c r="I720" s="62" t="n">
        <x:v>0</x:v>
      </x:c>
      <x:c r="J720" s="64" t="n">
        <x:v>1</x:v>
      </x:c>
      <x:c r="K720" s="62" t="n">
        <x:v>188.67609078391757</x:v>
      </x:c>
      <x:c r="L720" s="60" t="n">
        <x:v>14583392.190038644</x:v>
      </x:c>
      <x:c r="M720" s="62" t="n">
        <x:v>3.2588242420536733</x:v>
      </x:c>
      <x:c r="N720" s="62" t="n">
        <x:v>181.47810765449677</x:v>
      </x:c>
      <x:c r="O720" s="60" t="n">
        <x:v>14027036.53036026</x:v>
      </x:c>
      <x:c r="P720" s="60" t="n">
        <x:v>556355.6596783847</x:v>
      </x:c>
      <x:c r="Q720" s="62" t="n">
        <x:v>1.0396630933750122</x:v>
      </x:c>
      <x:c r="R720" s="64" t="n">
        <x:v>0.039663093375012094</x:v>
      </x:c>
    </x:row>
    <x:row r="721" ht="18" customHeight="1">
      <x:c r="A721" s="46" t="str">
        <x:v>LME_062</x:v>
      </x:c>
      <x:c r="B721" s="46" t="str">
        <x:v>Black Sea</x:v>
      </x:c>
      <x:c r="C721" s="46" t="str">
        <x:v>commercial</x:v>
      </x:c>
      <x:c r="D721" s="46" t="str">
        <x:v>Perch-likes</x:v>
      </x:c>
      <x:c r="E721" s="66" t="n">
        <x:v>38</x:v>
      </x:c>
      <x:c r="F721" s="66" t="n">
        <x:v>38</x:v>
      </x:c>
      <x:c r="G721" s="60" t="n">
        <x:v>75898.83315232559</x:v>
      </x:c>
      <x:c r="H721" s="60" t="n">
        <x:v>75898.83315232559</x:v>
      </x:c>
      <x:c r="I721" s="62" t="n">
        <x:v>0</x:v>
      </x:c>
      <x:c r="J721" s="64" t="n">
        <x:v>1</x:v>
      </x:c>
      <x:c r="K721" s="62" t="n">
        <x:v>523.1531093263895</x:v>
      </x:c>
      <x:c r="L721" s="60" t="n">
        <x:v>39706710.557883985</x:v>
      </x:c>
      <x:c r="M721" s="62" t="n">
        <x:v>3.39927225927357</x:v>
      </x:c>
      <x:c r="N721" s="62" t="n">
        <x:v>250.76808258437453</x:v>
      </x:c>
      <x:c r="O721" s="60" t="n">
        <x:v>19033004.860000048</x:v>
      </x:c>
      <x:c r="P721" s="60" t="n">
        <x:v>20673705.697883938</x:v>
      </x:c>
      <x:c r="Q721" s="62" t="n">
        <x:v>2.0862029327451075</x:v>
      </x:c>
      <x:c r="R721" s="64" t="n">
        <x:v>1.0862029327451075</x:v>
      </x:c>
    </x:row>
    <x:row r="722" ht="18" customHeight="1">
      <x:c r="A722" s="46" t="str">
        <x:v>LME_062</x:v>
      </x:c>
      <x:c r="B722" s="46" t="str">
        <x:v>Black Sea</x:v>
      </x:c>
      <x:c r="C722" s="46" t="str">
        <x:v>commercial</x:v>
      </x:c>
      <x:c r="D722" s="46" t="str">
        <x:v>Salmon, smelts, etc</x:v>
      </x:c>
      <x:c r="E722" s="66" t="n">
        <x:v>1</x:v>
      </x:c>
      <x:c r="F722" s="66" t="n">
        <x:v>1</x:v>
      </x:c>
      <x:c r="G722" s="60" t="n">
        <x:v>47.4484653934</x:v>
      </x:c>
      <x:c r="H722" s="60" t="n">
        <x:v>47.4484653934</x:v>
      </x:c>
      <x:c r="I722" s="62" t="n">
        <x:v>0</x:v>
      </x:c>
      <x:c r="J722" s="64" t="n">
        <x:v>1</x:v>
      </x:c>
      <x:c r="K722" s="62" t="n">
        <x:v>1174.8975549395302</x:v>
      </x:c>
      <x:c r="L722" s="60" t="n">
        <x:v>55747.085976338574</x:v>
      </x:c>
      <x:c r="M722" s="62" t="n">
        <x:v>4.07</x:v>
      </x:c>
      <x:c r="N722" s="62" t="n">
        <x:v>1174.8975549395302</x:v>
      </x:c>
      <x:c r="O722" s="60" t="n">
        <x:v>55747.085976338574</x:v>
      </x:c>
      <x:c r="P722" s="60" t="n">
        <x:v>0</x:v>
      </x:c>
      <x:c r="Q722" s="62" t="n">
        <x:v>1</x:v>
      </x:c>
      <x:c r="R722" s="64" t="n">
        <x:v>0</x:v>
      </x:c>
    </x:row>
    <x:row r="723" ht="18" customHeight="1">
      <x:c r="A723" s="46" t="str">
        <x:v>LME_062</x:v>
      </x:c>
      <x:c r="B723" s="46" t="str">
        <x:v>Black Sea</x:v>
      </x:c>
      <x:c r="C723" s="46" t="str">
        <x:v>commercial</x:v>
      </x:c>
      <x:c r="D723" s="46" t="str">
        <x:v>Scorpionfishes</x:v>
      </x:c>
      <x:c r="E723" s="66" t="n">
        <x:v>4</x:v>
      </x:c>
      <x:c r="F723" s="66" t="n">
        <x:v>4</x:v>
      </x:c>
      <x:c r="G723" s="60" t="n">
        <x:v>1508.0014840970998</x:v>
      </x:c>
      <x:c r="H723" s="60" t="n">
        <x:v>1508.0014840970998</x:v>
      </x:c>
      <x:c r="I723" s="62" t="n">
        <x:v>0</x:v>
      </x:c>
      <x:c r="J723" s="64" t="n">
        <x:v>1</x:v>
      </x:c>
      <x:c r="K723" s="62" t="n">
        <x:v>800.8609632004274</x:v>
      </x:c>
      <x:c r="L723" s="60" t="n">
        <x:v>1207699.5210616773</x:v>
      </x:c>
      <x:c r="M723" s="62" t="n">
        <x:v>3.9029175863648238</x:v>
      </x:c>
      <x:c r="N723" s="62" t="n">
        <x:v>799.6824893335929</x:v>
      </x:c>
      <x:c r="O723" s="60" t="n">
        <x:v>1205922.3807215213</x:v>
      </x:c>
      <x:c r="P723" s="60" t="n">
        <x:v>1777.1403401559219</x:v>
      </x:c>
      <x:c r="Q723" s="62" t="n">
        <x:v>1.0014736772188377</x:v>
      </x:c>
      <x:c r="R723" s="64" t="n">
        <x:v>0.0014736772188377765</x:v>
      </x:c>
    </x:row>
    <x:row r="724" ht="18" customHeight="1">
      <x:c r="A724" s="46" t="str">
        <x:v>LME_062</x:v>
      </x:c>
      <x:c r="B724" s="46" t="str">
        <x:v>Black Sea</x:v>
      </x:c>
      <x:c r="C724" s="46" t="str">
        <x:v>commercial</x:v>
      </x:c>
      <x:c r="D724" s="46" t="str">
        <x:v>Sharks &amp; rays</x:v>
      </x:c>
      <x:c r="E724" s="66" t="n">
        <x:v>13</x:v>
      </x:c>
      <x:c r="F724" s="66" t="n">
        <x:v>13</x:v>
      </x:c>
      <x:c r="G724" s="60" t="n">
        <x:v>15929.7151227925</x:v>
      </x:c>
      <x:c r="H724" s="60" t="n">
        <x:v>15929.7151227925</x:v>
      </x:c>
      <x:c r="I724" s="62" t="n">
        <x:v>0</x:v>
      </x:c>
      <x:c r="J724" s="64" t="n">
        <x:v>1</x:v>
      </x:c>
      <x:c r="K724" s="62" t="n">
        <x:v>1215.2058481759407</x:v>
      </x:c>
      <x:c r="L724" s="60" t="n">
        <x:v>19357882.976994168</x:v>
      </x:c>
      <x:c r="M724" s="62" t="n">
        <x:v>3.9105550004646594</x:v>
      </x:c>
      <x:c r="N724" s="62" t="n">
        <x:v>813.8699253848855</x:v>
      </x:c>
      <x:c r="O724" s="60" t="n">
        <x:v>12964716.058389615</x:v>
      </x:c>
      <x:c r="P724" s="60" t="n">
        <x:v>6393166.918604553</x:v>
      </x:c>
      <x:c r="Q724" s="62" t="n">
        <x:v>1.4931204732761936</x:v>
      </x:c>
      <x:c r="R724" s="64" t="n">
        <x:v>0.49312047327619346</x:v>
      </x:c>
    </x:row>
    <x:row r="725" ht="18" customHeight="1">
      <x:c r="A725" s="46" t="str">
        <x:v>LME_062</x:v>
      </x:c>
      <x:c r="B725" s="46" t="str">
        <x:v>Black Sea</x:v>
      </x:c>
      <x:c r="C725" s="46" t="str">
        <x:v>commercial</x:v>
      </x:c>
      <x:c r="D725" s="46" t="str">
        <x:v>Tuna &amp; billfishes</x:v>
      </x:c>
      <x:c r="E725" s="66" t="n">
        <x:v>5</x:v>
      </x:c>
      <x:c r="F725" s="66" t="n">
        <x:v>5</x:v>
      </x:c>
      <x:c r="G725" s="60" t="n">
        <x:v>16461.3290250333</x:v>
      </x:c>
      <x:c r="H725" s="60" t="n">
        <x:v>16461.3290250333</x:v>
      </x:c>
      <x:c r="I725" s="62" t="n">
        <x:v>0</x:v>
      </x:c>
      <x:c r="J725" s="64" t="n">
        <x:v>1</x:v>
      </x:c>
      <x:c r="K725" s="62" t="n">
        <x:v>3162.062933226974</x:v>
      </x:c>
      <x:c r="L725" s="60" t="n">
        <x:v>52051758.341711126</x:v>
      </x:c>
      <x:c r="M725" s="62" t="n">
        <x:v>4.499956892636837</x:v>
      </x:c>
      <x:c r="N725" s="62" t="n">
        <x:v>3161.9637932138185</x:v>
      </x:c>
      <x:c r="O725" s="60" t="n">
        <x:v>52050126.365335025</x:v>
      </x:c>
      <x:c r="P725" s="60" t="n">
        <x:v>1631.9763761013746</x:v>
      </x:c>
      <x:c r="Q725" s="62" t="n">
        <x:v>1.0000313539368693</x:v>
      </x:c>
      <x:c r="R725" s="64" t="n">
        <x:v>0.00003135393686936864</x:v>
      </x:c>
    </x:row>
    <x:row r="726" ht="18" customHeight="1">
      <x:c r="A726" s="46" t="str">
        <x:v>LME_063</x:v>
      </x:c>
      <x:c r="B726" s="46" t="str">
        <x:v>Hudson Bay Complex</x:v>
      </x:c>
      <x:c r="C726" s="46" t="str">
        <x:v>commercial</x:v>
      </x:c>
      <x:c r="D726" s="46" t="str">
        <x:v>Cod-likes</x:v>
      </x:c>
      <x:c r="E726" s="66" t="n">
        <x:v>5</x:v>
      </x:c>
      <x:c r="F726" s="66" t="n">
        <x:v>5</x:v>
      </x:c>
      <x:c r="G726" s="60" t="n">
        <x:v>37.405491737</x:v>
      </x:c>
      <x:c r="H726" s="60" t="n">
        <x:v>37.405491737</x:v>
      </x:c>
      <x:c r="I726" s="62" t="n">
        <x:v>0</x:v>
      </x:c>
      <x:c r="J726" s="64" t="n">
        <x:v>1</x:v>
      </x:c>
      <x:c r="K726" s="62" t="n">
        <x:v>711.1707950697381</x:v>
      </x:c>
      <x:c r="L726" s="60" t="n">
        <x:v>26601.693298576807</x:v>
      </x:c>
      <x:c r="M726" s="62" t="n">
        <x:v>3.8482493175021353</x:v>
      </x:c>
      <x:c r="N726" s="62" t="n">
        <x:v>705.0977316164873</x:v>
      </x:c>
      <x:c r="O726" s="60" t="n">
        <x:v>26374.52737375796</x:v>
      </x:c>
      <x:c r="P726" s="60" t="n">
        <x:v>227.165924818848</x:v>
      </x:c>
      <x:c r="Q726" s="62" t="n">
        <x:v>1.0086130804013904</x:v>
      </x:c>
      <x:c r="R726" s="64" t="n">
        <x:v>0.00861308040139035</x:v>
      </x:c>
    </x:row>
    <x:row r="727" ht="18" customHeight="1">
      <x:c r="A727" s="46" t="str">
        <x:v>LME_063</x:v>
      </x:c>
      <x:c r="B727" s="46" t="str">
        <x:v>Hudson Bay Complex</x:v>
      </x:c>
      <x:c r="C727" s="46" t="str">
        <x:v>commercial</x:v>
      </x:c>
      <x:c r="D727" s="46" t="str">
        <x:v>Crustaceans</x:v>
      </x:c>
      <x:c r="E727" s="66" t="n">
        <x:v>3</x:v>
      </x:c>
      <x:c r="F727" s="66" t="n">
        <x:v>3</x:v>
      </x:c>
      <x:c r="G727" s="60" t="n">
        <x:v>0.039521334799999995</x:v>
      </x:c>
      <x:c r="H727" s="60" t="n">
        <x:v>0.039521334799999995</x:v>
      </x:c>
      <x:c r="I727" s="62" t="n">
        <x:v>0</x:v>
      </x:c>
      <x:c r="J727" s="64" t="n">
        <x:v>1</x:v>
      </x:c>
      <x:c r="K727" s="62" t="n">
        <x:v>37.483397077959516</x:v>
      </x:c>
      <x:c r="L727" s="60" t="n">
        <x:v>1.4813938853593795</x:v>
      </x:c>
      <x:c r="M727" s="62" t="n">
        <x:v>2.5648186470159406</x:v>
      </x:c>
      <x:c r="N727" s="62" t="n">
        <x:v>36.71289625238641</x:v>
      </x:c>
      <x:c r="O727" s="60" t="n">
        <x:v>1.4509426642682284</x:v>
      </x:c>
      <x:c r="P727" s="60" t="n">
        <x:v>0.03045122109115117</x:v>
      </x:c>
      <x:c r="Q727" s="62" t="n">
        <x:v>1.0209871980754726</x:v>
      </x:c>
      <x:c r="R727" s="64" t="n">
        <x:v>0.020987198075472547</x:v>
      </x:c>
    </x:row>
    <x:row r="728" ht="18" customHeight="1">
      <x:c r="A728" s="46" t="str">
        <x:v>LME_063</x:v>
      </x:c>
      <x:c r="B728" s="46" t="str">
        <x:v>Hudson Bay Complex</x:v>
      </x:c>
      <x:c r="C728" s="46" t="str">
        <x:v>commercial</x:v>
      </x:c>
      <x:c r="D728" s="46" t="str">
        <x:v>Flatfishes</x:v>
      </x:c>
      <x:c r="E728" s="66" t="n">
        <x:v>3</x:v>
      </x:c>
      <x:c r="F728" s="66" t="n">
        <x:v>3</x:v>
      </x:c>
      <x:c r="G728" s="60" t="n">
        <x:v>330.90189610809995</x:v>
      </x:c>
      <x:c r="H728" s="60" t="n">
        <x:v>330.90189610809995</x:v>
      </x:c>
      <x:c r="I728" s="62" t="n">
        <x:v>0</x:v>
      </x:c>
      <x:c r="J728" s="64" t="n">
        <x:v>1</x:v>
      </x:c>
      <x:c r="K728" s="62" t="n">
        <x:v>2396.980930206325</x:v>
      </x:c>
      <x:c r="L728" s="60" t="n">
        <x:v>793165.5347402302</x:v>
      </x:c>
      <x:c r="M728" s="62" t="n">
        <x:v>4.379277945164669</x:v>
      </x:c>
      <x:c r="N728" s="62" t="n">
        <x:v>2394.847950527138</x:v>
      </x:c>
      <x:c r="O728" s="60" t="n">
        <x:v>792459.7277200271</x:v>
      </x:c>
      <x:c r="P728" s="60" t="n">
        <x:v>705.807020203094</x:v>
      </x:c>
      <x:c r="Q728" s="62" t="n">
        <x:v>1.0008906534875075</x:v>
      </x:c>
      <x:c r="R728" s="64" t="n">
        <x:v>0.0008906534875075101</x:v>
      </x:c>
    </x:row>
    <x:row r="729" ht="18" customHeight="1">
      <x:c r="A729" s="46" t="str">
        <x:v>LME_063</x:v>
      </x:c>
      <x:c r="B729" s="46" t="str">
        <x:v>Hudson Bay Complex</x:v>
      </x:c>
      <x:c r="C729" s="46" t="str">
        <x:v>commercial</x:v>
      </x:c>
      <x:c r="D729" s="46" t="str">
        <x:v>Herring-likes</x:v>
      </x:c>
      <x:c r="E729" s="66" t="n">
        <x:v>1</x:v>
      </x:c>
      <x:c r="F729" s="66" t="n">
        <x:v>1</x:v>
      </x:c>
      <x:c r="G729" s="60" t="n">
        <x:v>0.0014391964000000001</x:v>
      </x:c>
      <x:c r="H729" s="60" t="n">
        <x:v>0.0014391964000000001</x:v>
      </x:c>
      <x:c r="I729" s="62" t="n">
        <x:v>0</x:v>
      </x:c>
      <x:c r="J729" s="64" t="n">
        <x:v>1</x:v>
      </x:c>
      <x:c r="K729" s="62" t="n">
        <x:v>239.88329190194898</x:v>
      </x:c>
      <x:c r="L729" s="60" t="n">
        <x:v>0.34523917012543415</x:v>
      </x:c>
      <x:c r="M729" s="62" t="n">
        <x:v>3.38</x:v>
      </x:c>
      <x:c r="N729" s="62" t="n">
        <x:v>239.88329190194898</x:v>
      </x:c>
      <x:c r="O729" s="60" t="n">
        <x:v>0.34523917012543415</x:v>
      </x:c>
      <x:c r="P729" s="60" t="n">
        <x:v>0</x:v>
      </x:c>
      <x:c r="Q729" s="62" t="n">
        <x:v>1</x:v>
      </x:c>
      <x:c r="R729" s="64" t="n">
        <x:v>0</x:v>
      </x:c>
    </x:row>
    <x:row r="730" ht="18" customHeight="1">
      <x:c r="A730" s="46" t="str">
        <x:v>LME_063</x:v>
      </x:c>
      <x:c r="B730" s="46" t="str">
        <x:v>Hudson Bay Complex</x:v>
      </x:c>
      <x:c r="C730" s="46" t="str">
        <x:v>commercial</x:v>
      </x:c>
      <x:c r="D730" s="46" t="str">
        <x:v>Molluscs</x:v>
      </x:c>
      <x:c r="E730" s="66" t="n">
        <x:v>2</x:v>
      </x:c>
      <x:c r="F730" s="66" t="n">
        <x:v>2</x:v>
      </x:c>
      <x:c r="G730" s="60" t="n">
        <x:v>0.4989456176</x:v>
      </x:c>
      <x:c r="H730" s="60" t="n">
        <x:v>0.4989456176</x:v>
      </x:c>
      <x:c r="I730" s="62" t="n">
        <x:v>0</x:v>
      </x:c>
      <x:c r="J730" s="64" t="n">
        <x:v>1</x:v>
      </x:c>
      <x:c r="K730" s="62" t="n">
        <x:v>19.66458718394281</x:v>
      </x:c>
      <x:c r="L730" s="60" t="n">
        <x:v>9.81155959734139</x:v>
      </x:c>
      <x:c r="M730" s="62" t="n">
        <x:v>2.121235571766249</x:v>
      </x:c>
      <x:c r="N730" s="62" t="n">
        <x:v>13.220125311124162</x:v>
      </x:c>
      <x:c r="O730" s="60" t="n">
        <x:v>6.596123588108237</x:v>
      </x:c>
      <x:c r="P730" s="60" t="n">
        <x:v>3.2154360092331524</x:v>
      </x:c>
      <x:c r="Q730" s="62" t="n">
        <x:v>1.4874735844898468</x:v>
      </x:c>
      <x:c r="R730" s="64" t="n">
        <x:v>0.48747358448984685</x:v>
      </x:c>
    </x:row>
    <x:row r="731" ht="18" customHeight="1">
      <x:c r="A731" s="46" t="str">
        <x:v>LME_063</x:v>
      </x:c>
      <x:c r="B731" s="46" t="str">
        <x:v>Hudson Bay Complex</x:v>
      </x:c>
      <x:c r="C731" s="46" t="str">
        <x:v>commercial</x:v>
      </x:c>
      <x:c r="D731" s="46" t="str">
        <x:v>Other fishes &amp; inverts</x:v>
      </x:c>
      <x:c r="E731" s="66" t="n">
        <x:v>5</x:v>
      </x:c>
      <x:c r="F731" s="66" t="n">
        <x:v>5</x:v>
      </x:c>
      <x:c r="G731" s="60" t="n">
        <x:v>6.9472549449</x:v>
      </x:c>
      <x:c r="H731" s="60" t="n">
        <x:v>6.9472549449</x:v>
      </x:c>
      <x:c r="I731" s="62" t="n">
        <x:v>0</x:v>
      </x:c>
      <x:c r="J731" s="64" t="n">
        <x:v>1</x:v>
      </x:c>
      <x:c r="K731" s="62" t="n">
        <x:v>190.62678210304708</x:v>
      </x:c>
      <x:c r="L731" s="60" t="n">
        <x:v>1324.3328545957686</x:v>
      </x:c>
      <x:c r="M731" s="62" t="n">
        <x:v>3.2799829169685086</x:v>
      </x:c>
      <x:c r="N731" s="62" t="n">
        <x:v>190.53857678853268</x:v>
      </x:c>
      <x:c r="O731" s="60" t="n">
        <x:v>1323.720069788342</x:v>
      </x:c>
      <x:c r="P731" s="60" t="n">
        <x:v>0.6127848074265785</x:v>
      </x:c>
      <x:c r="Q731" s="62" t="n">
        <x:v>1.0004629262798173</x:v>
      </x:c>
      <x:c r="R731" s="64" t="n">
        <x:v>0.00046292627981727325</x:v>
      </x:c>
    </x:row>
    <x:row r="732" ht="18" customHeight="1">
      <x:c r="A732" s="46" t="str">
        <x:v>LME_063</x:v>
      </x:c>
      <x:c r="B732" s="46" t="str">
        <x:v>Hudson Bay Complex</x:v>
      </x:c>
      <x:c r="C732" s="46" t="str">
        <x:v>commercial</x:v>
      </x:c>
      <x:c r="D732" s="46" t="str">
        <x:v>Perch-likes</x:v>
      </x:c>
      <x:c r="E732" s="66" t="n">
        <x:v>5</x:v>
      </x:c>
      <x:c r="F732" s="66" t="n">
        <x:v>5</x:v>
      </x:c>
      <x:c r="G732" s="60" t="n">
        <x:v>2.5346428208000007</x:v>
      </x:c>
      <x:c r="H732" s="60" t="n">
        <x:v>2.5346428208000007</x:v>
      </x:c>
      <x:c r="I732" s="62" t="n">
        <x:v>0</x:v>
      </x:c>
      <x:c r="J732" s="64" t="n">
        <x:v>1</x:v>
      </x:c>
      <x:c r="K732" s="62" t="n">
        <x:v>277.8099871341104</x:v>
      </x:c>
      <x:c r="L732" s="60" t="n">
        <x:v>704.1490894360134</x:v>
      </x:c>
      <x:c r="M732" s="62" t="n">
        <x:v>3.413541223465231</x:v>
      </x:c>
      <x:c r="N732" s="62" t="n">
        <x:v>259.1440390592954</x:v>
      </x:c>
      <x:c r="O732" s="60" t="n">
        <x:v>656.837578154758</x:v>
      </x:c>
      <x:c r="P732" s="60" t="n">
        <x:v>47.31151128125532</x:v>
      </x:c>
      <x:c r="Q732" s="62" t="n">
        <x:v>1.072029239578781</x:v>
      </x:c>
      <x:c r="R732" s="64" t="n">
        <x:v>0.07202923957878095</x:v>
      </x:c>
    </x:row>
    <x:row r="733" ht="18" customHeight="1">
      <x:c r="A733" s="46" t="str">
        <x:v>LME_063</x:v>
      </x:c>
      <x:c r="B733" s="46" t="str">
        <x:v>Hudson Bay Complex</x:v>
      </x:c>
      <x:c r="C733" s="46" t="str">
        <x:v>commercial</x:v>
      </x:c>
      <x:c r="D733" s="46" t="str">
        <x:v>Salmon, smelts, etc</x:v>
      </x:c>
      <x:c r="E733" s="66" t="n">
        <x:v>10</x:v>
      </x:c>
      <x:c r="F733" s="66" t="n">
        <x:v>10</x:v>
      </x:c>
      <x:c r="G733" s="60" t="n">
        <x:v>885.9440098595002</x:v>
      </x:c>
      <x:c r="H733" s="60" t="n">
        <x:v>885.9440098595002</x:v>
      </x:c>
      <x:c r="I733" s="62" t="n">
        <x:v>0</x:v>
      </x:c>
      <x:c r="J733" s="64" t="n">
        <x:v>1</x:v>
      </x:c>
      <x:c r="K733" s="62" t="n">
        <x:v>2360.7348376058503</x:v>
      </x:c>
      <x:c r="L733" s="60" t="n">
        <x:v>2091478.888243543</x:v>
      </x:c>
      <x:c r="M733" s="62" t="n">
        <x:v>4.34054750700178</x:v>
      </x:c>
      <x:c r="N733" s="62" t="n">
        <x:v>2190.5214337240877</x:v>
      </x:c>
      <x:c r="O733" s="60" t="n">
        <x:v>1940679.3426766996</x:v>
      </x:c>
      <x:c r="P733" s="60" t="n">
        <x:v>150799.54556684336</x:v>
      </x:c>
      <x:c r="Q733" s="62" t="n">
        <x:v>1.0777045142134876</x:v>
      </x:c>
      <x:c r="R733" s="64" t="n">
        <x:v>0.07770451421348759</x:v>
      </x:c>
    </x:row>
    <x:row r="734" ht="18" customHeight="1">
      <x:c r="A734" s="46" t="str">
        <x:v>LME_063</x:v>
      </x:c>
      <x:c r="B734" s="46" t="str">
        <x:v>Hudson Bay Complex</x:v>
      </x:c>
      <x:c r="C734" s="46" t="str">
        <x:v>commercial</x:v>
      </x:c>
      <x:c r="D734" s="46" t="str">
        <x:v>Scorpionfishes</x:v>
      </x:c>
      <x:c r="E734" s="66" t="n">
        <x:v>6</x:v>
      </x:c>
      <x:c r="F734" s="66" t="n">
        <x:v>6</x:v>
      </x:c>
      <x:c r="G734" s="60" t="n">
        <x:v>2.3894261478999996</x:v>
      </x:c>
      <x:c r="H734" s="60" t="n">
        <x:v>2.3894261478999996</x:v>
      </x:c>
      <x:c r="I734" s="62" t="n">
        <x:v>0</x:v>
      </x:c>
      <x:c r="J734" s="64" t="n">
        <x:v>1</x:v>
      </x:c>
      <x:c r="K734" s="62" t="n">
        <x:v>633.8377229762244</x:v>
      </x:c>
      <x:c r="L734" s="60" t="n">
        <x:v>1514.508428804787</x:v>
      </x:c>
      <x:c r="M734" s="62" t="n">
        <x:v>3.798335377685352</x:v>
      </x:c>
      <x:c r="N734" s="62" t="n">
        <x:v>628.5435551926709</x:v>
      </x:c>
      <x:c r="O734" s="60" t="n">
        <x:v>1501.8584058713943</x:v>
      </x:c>
      <x:c r="P734" s="60" t="n">
        <x:v>12.65002293339262</x:v>
      </x:c>
      <x:c r="Q734" s="62" t="n">
        <x:v>1.0084229131614129</x:v>
      </x:c>
      <x:c r="R734" s="64" t="n">
        <x:v>0.008422913161412804</x:v>
      </x:c>
    </x:row>
    <x:row r="735" ht="18" customHeight="1">
      <x:c r="A735" s="46" t="str">
        <x:v>LME_063</x:v>
      </x:c>
      <x:c r="B735" s="46" t="str">
        <x:v>Hudson Bay Complex</x:v>
      </x:c>
      <x:c r="C735" s="46" t="str">
        <x:v>commercial</x:v>
      </x:c>
      <x:c r="D735" s="46" t="str">
        <x:v>Sharks &amp; rays</x:v>
      </x:c>
      <x:c r="E735" s="66" t="n">
        <x:v>4</x:v>
      </x:c>
      <x:c r="F735" s="66" t="n">
        <x:v>4</x:v>
      </x:c>
      <x:c r="G735" s="60" t="n">
        <x:v>3.073002841</x:v>
      </x:c>
      <x:c r="H735" s="60" t="n">
        <x:v>3.073002841</x:v>
      </x:c>
      <x:c r="I735" s="62" t="n">
        <x:v>0</x:v>
      </x:c>
      <x:c r="J735" s="64" t="n">
        <x:v>1</x:v>
      </x:c>
      <x:c r="K735" s="62" t="n">
        <x:v>1638.8534608288765</x:v>
      </x:c>
      <x:c r="L735" s="60" t="n">
        <x:v>5036.20134110982</x:v>
      </x:c>
      <x:c r="M735" s="62" t="n">
        <x:v>4.206976096233294</x:v>
      </x:c>
      <x:c r="N735" s="62" t="n">
        <x:v>1610.5569869462756</x:v>
      </x:c>
      <x:c r="O735" s="60" t="n">
        <x:v>4949.246196478305</x:v>
      </x:c>
      <x:c r="P735" s="60" t="n">
        <x:v>86.95514463151449</x:v>
      </x:c>
      <x:c r="Q735" s="62" t="n">
        <x:v>1.017569371411224</x:v>
      </x:c>
      <x:c r="R735" s="64" t="n">
        <x:v>0.017569371411223885</x:v>
      </x:c>
    </x:row>
    <x:row r="736" ht="18" customHeight="1">
      <x:c r="A736" s="46" t="str">
        <x:v>LME_065</x:v>
      </x:c>
      <x:c r="B736" s="46" t="str">
        <x:v>Aleutian Islands</x:v>
      </x:c>
      <x:c r="C736" s="46" t="str">
        <x:v>commercial</x:v>
      </x:c>
      <x:c r="D736" s="46" t="str">
        <x:v>Cod-likes</x:v>
      </x:c>
      <x:c r="E736" s="66" t="n">
        <x:v>3</x:v>
      </x:c>
      <x:c r="F736" s="66" t="n">
        <x:v>3</x:v>
      </x:c>
      <x:c r="G736" s="60" t="n">
        <x:v>100689.8457528625</x:v>
      </x:c>
      <x:c r="H736" s="60" t="n">
        <x:v>100689.8457528625</x:v>
      </x:c>
      <x:c r="I736" s="62" t="n">
        <x:v>0</x:v>
      </x:c>
      <x:c r="J736" s="64" t="n">
        <x:v>1</x:v>
      </x:c>
      <x:c r="K736" s="62" t="n">
        <x:v>527.7645551450106</x:v>
      </x:c>
      <x:c r="L736" s="60" t="n">
        <x:v>53140531.65137921</x:v>
      </x:c>
      <x:c r="M736" s="62" t="n">
        <x:v>3.6558319845007223</x:v>
      </x:c>
      <x:c r="N736" s="62" t="n">
        <x:v>452.72240131197117</x:v>
      </x:c>
      <x:c r="O736" s="60" t="n">
        <x:v>45584548.756967895</x:v>
      </x:c>
      <x:c r="P736" s="60" t="n">
        <x:v>7555982.894411318</x:v>
      </x:c>
      <x:c r="Q736" s="62" t="n">
        <x:v>1.165757545055359</x:v>
      </x:c>
      <x:c r="R736" s="64" t="n">
        <x:v>0.16575754505535906</x:v>
      </x:c>
    </x:row>
    <x:row r="737" ht="18" customHeight="1">
      <x:c r="A737" s="46" t="str">
        <x:v>LME_065</x:v>
      </x:c>
      <x:c r="B737" s="46" t="str">
        <x:v>Aleutian Islands</x:v>
      </x:c>
      <x:c r="C737" s="46" t="str">
        <x:v>commercial</x:v>
      </x:c>
      <x:c r="D737" s="46" t="str">
        <x:v>Crustaceans</x:v>
      </x:c>
      <x:c r="E737" s="66" t="n">
        <x:v>9</x:v>
      </x:c>
      <x:c r="F737" s="66" t="n">
        <x:v>9</x:v>
      </x:c>
      <x:c r="G737" s="60" t="n">
        <x:v>285.28013557659995</x:v>
      </x:c>
      <x:c r="H737" s="60" t="n">
        <x:v>285.28013557659995</x:v>
      </x:c>
      <x:c r="I737" s="62" t="n">
        <x:v>0</x:v>
      </x:c>
      <x:c r="J737" s="64" t="n">
        <x:v>1</x:v>
      </x:c>
      <x:c r="K737" s="62" t="n">
        <x:v>189.222055832339</x:v>
      </x:c>
      <x:c r="L737" s="60" t="n">
        <x:v>53981.29374193264</x:v>
      </x:c>
      <x:c r="M737" s="62" t="n">
        <x:v>3.1498775103647882</x:v>
      </x:c>
      <x:c r="N737" s="62" t="n">
        <x:v>141.2139204744233</x:v>
      </x:c>
      <x:c r="O737" s="60" t="n">
        <x:v>40285.52637824669</x:v>
      </x:c>
      <x:c r="P737" s="60" t="n">
        <x:v>13695.767363685954</x:v>
      </x:c>
      <x:c r="Q737" s="62" t="n">
        <x:v>1.3399674422792542</x:v>
      </x:c>
      <x:c r="R737" s="64" t="n">
        <x:v>0.33996744227925424</x:v>
      </x:c>
    </x:row>
    <x:row r="738" ht="18" customHeight="1">
      <x:c r="A738" s="46" t="str">
        <x:v>LME_065</x:v>
      </x:c>
      <x:c r="B738" s="46" t="str">
        <x:v>Aleutian Islands</x:v>
      </x:c>
      <x:c r="C738" s="46" t="str">
        <x:v>commercial</x:v>
      </x:c>
      <x:c r="D738" s="46" t="str">
        <x:v>Flatfishes</x:v>
      </x:c>
      <x:c r="E738" s="66" t="n">
        <x:v>13</x:v>
      </x:c>
      <x:c r="F738" s="66" t="n">
        <x:v>13</x:v>
      </x:c>
      <x:c r="G738" s="60" t="n">
        <x:v>17715.895105419095</x:v>
      </x:c>
      <x:c r="H738" s="60" t="n">
        <x:v>17715.895105419095</x:v>
      </x:c>
      <x:c r="I738" s="62" t="n">
        <x:v>0</x:v>
      </x:c>
      <x:c r="J738" s="64" t="n">
        <x:v>1</x:v>
      </x:c>
      <x:c r="K738" s="62" t="n">
        <x:v>462.1698715572886</x:v>
      </x:c>
      <x:c r="L738" s="60" t="n">
        <x:v>8187752.965393941</x:v>
      </x:c>
      <x:c r="M738" s="62" t="n">
        <x:v>3.580980472489051</x:v>
      </x:c>
      <x:c r="N738" s="62" t="n">
        <x:v>381.0486896284189</x:v>
      </x:c>
      <x:c r="O738" s="60" t="n">
        <x:v>6750618.615514467</x:v>
      </x:c>
      <x:c r="P738" s="60" t="n">
        <x:v>1437134.3498794744</x:v>
      </x:c>
      <x:c r="Q738" s="62" t="n">
        <x:v>1.21288928196545</x:v>
      </x:c>
      <x:c r="R738" s="64" t="n">
        <x:v>0.2128892819654499</x:v>
      </x:c>
    </x:row>
    <x:row r="739" ht="18" customHeight="1">
      <x:c r="A739" s="46" t="str">
        <x:v>LME_065</x:v>
      </x:c>
      <x:c r="B739" s="46" t="str">
        <x:v>Aleutian Islands</x:v>
      </x:c>
      <x:c r="C739" s="46" t="str">
        <x:v>commercial</x:v>
      </x:c>
      <x:c r="D739" s="46" t="str">
        <x:v>Herring-likes</x:v>
      </x:c>
      <x:c r="E739" s="66" t="n">
        <x:v>1</x:v>
      </x:c>
      <x:c r="F739" s="66" t="n">
        <x:v>1</x:v>
      </x:c>
      <x:c r="G739" s="60" t="n">
        <x:v>239.8291587181</x:v>
      </x:c>
      <x:c r="H739" s="60" t="n">
        <x:v>239.8291587181</x:v>
      </x:c>
      <x:c r="I739" s="62" t="n">
        <x:v>0</x:v>
      </x:c>
      <x:c r="J739" s="64" t="n">
        <x:v>1</x:v>
      </x:c>
      <x:c r="K739" s="62" t="n">
        <x:v>144.5439770745928</x:v>
      </x:c>
      <x:c r="L739" s="60" t="n">
        <x:v>34665.86041956792</x:v>
      </x:c>
      <x:c r="M739" s="62" t="n">
        <x:v>3.16</x:v>
      </x:c>
      <x:c r="N739" s="62" t="n">
        <x:v>144.5439770745928</x:v>
      </x:c>
      <x:c r="O739" s="60" t="n">
        <x:v>34665.86041956792</x:v>
      </x:c>
      <x:c r="P739" s="60" t="n">
        <x:v>0</x:v>
      </x:c>
      <x:c r="Q739" s="62" t="n">
        <x:v>1</x:v>
      </x:c>
      <x:c r="R739" s="64" t="n">
        <x:v>0</x:v>
      </x:c>
    </x:row>
    <x:row r="740" ht="18" customHeight="1">
      <x:c r="A740" s="46" t="str">
        <x:v>LME_065</x:v>
      </x:c>
      <x:c r="B740" s="46" t="str">
        <x:v>Aleutian Islands</x:v>
      </x:c>
      <x:c r="C740" s="46" t="str">
        <x:v>commercial</x:v>
      </x:c>
      <x:c r="D740" s="46" t="str">
        <x:v>Molluscs</x:v>
      </x:c>
      <x:c r="E740" s="66" t="n">
        <x:v>7</x:v>
      </x:c>
      <x:c r="F740" s="66" t="n">
        <x:v>7</x:v>
      </x:c>
      <x:c r="G740" s="60" t="n">
        <x:v>66.69448667099999</x:v>
      </x:c>
      <x:c r="H740" s="60" t="n">
        <x:v>66.69448667099999</x:v>
      </x:c>
      <x:c r="I740" s="62" t="n">
        <x:v>0</x:v>
      </x:c>
      <x:c r="J740" s="64" t="n">
        <x:v>1</x:v>
      </x:c>
      <x:c r="K740" s="62" t="n">
        <x:v>12.58229426561697</x:v>
      </x:c>
      <x:c r="L740" s="60" t="n">
        <x:v>839.1696571887907</x:v>
      </x:c>
      <x:c r="M740" s="62" t="n">
        <x:v>2.098142441151288</x:v>
      </x:c>
      <x:c r="N740" s="62" t="n">
        <x:v>12.53552251191774</x:v>
      </x:c>
      <x:c r="O740" s="60" t="n">
        <x:v>836.050239085118</x:v>
      </x:c>
      <x:c r="P740" s="60" t="n">
        <x:v>3.119418103672615</x:v>
      </x:c>
      <x:c r="Q740" s="62" t="n">
        <x:v>1.0037311371468371</x:v>
      </x:c>
      <x:c r="R740" s="64" t="n">
        <x:v>0.00373113714683721</x:v>
      </x:c>
    </x:row>
    <x:row r="741" ht="18" customHeight="1">
      <x:c r="A741" s="46" t="str">
        <x:v>LME_065</x:v>
      </x:c>
      <x:c r="B741" s="46" t="str">
        <x:v>Aleutian Islands</x:v>
      </x:c>
      <x:c r="C741" s="46" t="str">
        <x:v>commercial</x:v>
      </x:c>
      <x:c r="D741" s="46" t="str">
        <x:v>Other fishes &amp; inverts</x:v>
      </x:c>
      <x:c r="E741" s="66" t="n">
        <x:v>7</x:v>
      </x:c>
      <x:c r="F741" s="66" t="n">
        <x:v>7</x:v>
      </x:c>
      <x:c r="G741" s="60" t="n">
        <x:v>6686.6063139682</x:v>
      </x:c>
      <x:c r="H741" s="60" t="n">
        <x:v>6686.6063139682</x:v>
      </x:c>
      <x:c r="I741" s="62" t="n">
        <x:v>0</x:v>
      </x:c>
      <x:c r="J741" s="64" t="n">
        <x:v>1</x:v>
      </x:c>
      <x:c r="K741" s="62" t="n">
        <x:v>216.3116950983436</x:v>
      </x:c>
      <x:c r="L741" s="60" t="n">
        <x:v>1446391.1462297484</x:v>
      </x:c>
      <x:c r="M741" s="62" t="n">
        <x:v>3.301121733500416</x:v>
      </x:c>
      <x:c r="N741" s="62" t="n">
        <x:v>200.04225129722957</x:v>
      </x:c>
      <x:c r="O741" s="60" t="n">
        <x:v>1337603.7805844685</x:v>
      </x:c>
      <x:c r="P741" s="60" t="n">
        <x:v>108787.36564527988</x:v>
      </x:c>
      <x:c r="Q741" s="62" t="n">
        <x:v>1.081330037507628</x:v>
      </x:c>
      <x:c r="R741" s="64" t="n">
        <x:v>0.08133003750762803</x:v>
      </x:c>
    </x:row>
    <x:row r="742" ht="18" customHeight="1">
      <x:c r="A742" s="46" t="str">
        <x:v>LME_065</x:v>
      </x:c>
      <x:c r="B742" s="46" t="str">
        <x:v>Aleutian Islands</x:v>
      </x:c>
      <x:c r="C742" s="46" t="str">
        <x:v>commercial</x:v>
      </x:c>
      <x:c r="D742" s="46" t="str">
        <x:v>Perch-likes</x:v>
      </x:c>
      <x:c r="E742" s="66" t="n">
        <x:v>1</x:v>
      </x:c>
      <x:c r="F742" s="66" t="n">
        <x:v>1</x:v>
      </x:c>
      <x:c r="G742" s="60" t="n">
        <x:v>0.0000247632</x:v>
      </x:c>
      <x:c r="H742" s="60" t="n">
        <x:v>0.0000247632</x:v>
      </x:c>
      <x:c r="I742" s="62" t="n">
        <x:v>0</x:v>
      </x:c>
      <x:c r="J742" s="64" t="n">
        <x:v>1</x:v>
      </x:c>
      <x:c r="K742" s="62" t="n">
        <x:v>1819.7008586099826</x:v>
      </x:c>
      <x:c r="L742" s="60" t="n">
        <x:v>0.04506161630193072</x:v>
      </x:c>
      <x:c r="M742" s="62" t="n">
        <x:v>4.26</x:v>
      </x:c>
      <x:c r="N742" s="62" t="n">
        <x:v>1819.7008586099826</x:v>
      </x:c>
      <x:c r="O742" s="60" t="n">
        <x:v>0.04506161630193072</x:v>
      </x:c>
      <x:c r="P742" s="60" t="n">
        <x:v>0</x:v>
      </x:c>
      <x:c r="Q742" s="62" t="n">
        <x:v>1</x:v>
      </x:c>
      <x:c r="R742" s="64" t="n">
        <x:v>0</x:v>
      </x:c>
    </x:row>
    <x:row r="743" ht="18" customHeight="1">
      <x:c r="A743" s="46" t="str">
        <x:v>LME_065</x:v>
      </x:c>
      <x:c r="B743" s="46" t="str">
        <x:v>Aleutian Islands</x:v>
      </x:c>
      <x:c r="C743" s="46" t="str">
        <x:v>commercial</x:v>
      </x:c>
      <x:c r="D743" s="46" t="str">
        <x:v>Salmon, smelts, etc</x:v>
      </x:c>
      <x:c r="E743" s="66" t="n">
        <x:v>12</x:v>
      </x:c>
      <x:c r="F743" s="66" t="n">
        <x:v>12</x:v>
      </x:c>
      <x:c r="G743" s="60" t="n">
        <x:v>9125.9345836157</x:v>
      </x:c>
      <x:c r="H743" s="60" t="n">
        <x:v>9125.9345836157</x:v>
      </x:c>
      <x:c r="I743" s="62" t="n">
        <x:v>0</x:v>
      </x:c>
      <x:c r="J743" s="64" t="n">
        <x:v>1</x:v>
      </x:c>
      <x:c r="K743" s="62" t="n">
        <x:v>1766.0951355080383</x:v>
      </x:c>
      <x:c r="L743" s="60" t="n">
        <x:v>16117268.675088264</x:v>
      </x:c>
      <x:c r="M743" s="62" t="n">
        <x:v>4.0663965726882</x:v>
      </x:c>
      <x:c r="N743" s="62" t="n">
        <x:v>1165.1895276892515</x:v>
      </x:c>
      <x:c r="O743" s="60" t="n">
        <x:v>10633443.407206183</x:v>
      </x:c>
      <x:c r="P743" s="60" t="n">
        <x:v>5483825.267882081</x:v>
      </x:c>
      <x:c r="Q743" s="62" t="n">
        <x:v>1.5157149060638009</x:v>
      </x:c>
      <x:c r="R743" s="64" t="n">
        <x:v>0.515714906063801</x:v>
      </x:c>
    </x:row>
    <x:row r="744" ht="18" customHeight="1">
      <x:c r="A744" s="46" t="str">
        <x:v>LME_065</x:v>
      </x:c>
      <x:c r="B744" s="46" t="str">
        <x:v>Aleutian Islands</x:v>
      </x:c>
      <x:c r="C744" s="46" t="str">
        <x:v>commercial</x:v>
      </x:c>
      <x:c r="D744" s="46" t="str">
        <x:v>Scorpionfishes</x:v>
      </x:c>
      <x:c r="E744" s="66" t="n">
        <x:v>10</x:v>
      </x:c>
      <x:c r="F744" s="66" t="n">
        <x:v>10</x:v>
      </x:c>
      <x:c r="G744" s="60" t="n">
        <x:v>16014.8201058068</x:v>
      </x:c>
      <x:c r="H744" s="60" t="n">
        <x:v>16014.8201058068</x:v>
      </x:c>
      <x:c r="I744" s="62" t="n">
        <x:v>0</x:v>
      </x:c>
      <x:c r="J744" s="64" t="n">
        <x:v>1</x:v>
      </x:c>
      <x:c r="K744" s="62" t="n">
        <x:v>379.8807139275464</x:v>
      </x:c>
      <x:c r="L744" s="60" t="n">
        <x:v>6083721.295215112</x:v>
      </x:c>
      <x:c r="M744" s="62" t="n">
        <x:v>3.5389562827029932</x:v>
      </x:c>
      <x:c r="N744" s="62" t="n">
        <x:v>345.90455635361</x:v>
      </x:c>
      <x:c r="O744" s="60" t="n">
        <x:v>5539599.2437819755</x:v>
      </x:c>
      <x:c r="P744" s="60" t="n">
        <x:v>544122.0514331367</x:v>
      </x:c>
      <x:c r="Q744" s="62" t="n">
        <x:v>1.0982240821922085</x:v>
      </x:c>
      <x:c r="R744" s="64" t="n">
        <x:v>0.09822408219220848</x:v>
      </x:c>
    </x:row>
    <x:row r="745" ht="18" customHeight="1">
      <x:c r="A745" s="46" t="str">
        <x:v>LME_065</x:v>
      </x:c>
      <x:c r="B745" s="46" t="str">
        <x:v>Aleutian Islands</x:v>
      </x:c>
      <x:c r="C745" s="46" t="str">
        <x:v>commercial</x:v>
      </x:c>
      <x:c r="D745" s="46" t="str">
        <x:v>Sharks &amp; rays</x:v>
      </x:c>
      <x:c r="E745" s="66" t="n">
        <x:v>5</x:v>
      </x:c>
      <x:c r="F745" s="66" t="n">
        <x:v>5</x:v>
      </x:c>
      <x:c r="G745" s="60" t="n">
        <x:v>682.7661235784</x:v>
      </x:c>
      <x:c r="H745" s="60" t="n">
        <x:v>682.7661235784</x:v>
      </x:c>
      <x:c r="I745" s="62" t="n">
        <x:v>0</x:v>
      </x:c>
      <x:c r="J745" s="64" t="n">
        <x:v>1</x:v>
      </x:c>
      <x:c r="K745" s="62" t="n">
        <x:v>675.5304427973132</x:v>
      </x:c>
      <x:c r="L745" s="60" t="n">
        <x:v>461229.3017879216</x:v>
      </x:c>
      <x:c r="M745" s="62" t="n">
        <x:v>3.826126814277985</x:v>
      </x:c>
      <x:c r="N745" s="62" t="n">
        <x:v>670.0802447300949</x:v>
      </x:c>
      <x:c r="O745" s="60" t="n">
        <x:v>457508.0911808325</x:v>
      </x:c>
      <x:c r="P745" s="60" t="n">
        <x:v>3721.2106070891023</x:v>
      </x:c>
      <x:c r="Q745" s="62" t="n">
        <x:v>1.0081336498278852</x:v>
      </x:c>
      <x:c r="R745" s="64" t="n">
        <x:v>0.008133649827885283</x:v>
      </x:c>
    </x:row>
    <x:row r="746" ht="18" customHeight="1">
      <x:c r="A746" s="46" t="str">
        <x:v>LME_066</x:v>
      </x:c>
      <x:c r="B746" s="46" t="str">
        <x:v>Canadian High Arctic - North Greenland</x:v>
      </x:c>
      <x:c r="C746" s="46" t="str">
        <x:v>commercial</x:v>
      </x:c>
      <x:c r="D746" s="46" t="str">
        <x:v>Cod-likes</x:v>
      </x:c>
      <x:c r="E746" s="66" t="n">
        <x:v>1</x:v>
      </x:c>
      <x:c r="F746" s="66" t="n">
        <x:v>1</x:v>
      </x:c>
      <x:c r="G746" s="60" t="n">
        <x:v>0.0000800172</x:v>
      </x:c>
      <x:c r="H746" s="60" t="n">
        <x:v>0.0000800172</x:v>
      </x:c>
      <x:c r="I746" s="62" t="n">
        <x:v>0</x:v>
      </x:c>
      <x:c r="J746" s="64" t="n">
        <x:v>1</x:v>
      </x:c>
      <x:c r="K746" s="62" t="n">
        <x:v>691.8309709189363</x:v>
      </x:c>
      <x:c r="L746" s="60" t="n">
        <x:v>0.05535837716621471</x:v>
      </x:c>
      <x:c r="M746" s="62" t="n">
        <x:v>3.8400000000000003</x:v>
      </x:c>
      <x:c r="N746" s="62" t="n">
        <x:v>691.8309709189369</x:v>
      </x:c>
      <x:c r="O746" s="60" t="n">
        <x:v>0.055358377166214764</x:v>
      </x:c>
      <x:c r="P746" s="60" t="n">
        <x:v>-5.551115123125783e-17</x:v>
      </x:c>
      <x:c r="Q746" s="62" t="n">
        <x:v>0.999999999999999</x:v>
      </x:c>
      <x:c r="R746" s="64" t="n">
        <x:v>-1.002759728027871e-15</x:v>
      </x:c>
    </x:row>
    <x:row r="747" ht="18" customHeight="1">
      <x:c r="A747" s="46" t="str">
        <x:v>LME_066</x:v>
      </x:c>
      <x:c r="B747" s="46" t="str">
        <x:v>Canadian High Arctic - North Greenland</x:v>
      </x:c>
      <x:c r="C747" s="46" t="str">
        <x:v>commercial</x:v>
      </x:c>
      <x:c r="D747" s="46" t="str">
        <x:v>Crustaceans</x:v>
      </x:c>
      <x:c r="E747" s="66" t="n">
        <x:v>2</x:v>
      </x:c>
      <x:c r="F747" s="66" t="n">
        <x:v>2</x:v>
      </x:c>
      <x:c r="G747" s="60" t="n">
        <x:v>0.0052418418</x:v>
      </x:c>
      <x:c r="H747" s="60" t="n">
        <x:v>0.0052418418</x:v>
      </x:c>
      <x:c r="I747" s="62" t="n">
        <x:v>0</x:v>
      </x:c>
      <x:c r="J747" s="64" t="n">
        <x:v>1</x:v>
      </x:c>
      <x:c r="K747" s="62" t="n">
        <x:v>21.55952594583917</x:v>
      </x:c>
      <x:c r="L747" s="60" t="n">
        <x:v>0.1130116242910843</x:v>
      </x:c>
      <x:c r="M747" s="62" t="n">
        <x:v>2.3242757860414636</x:v>
      </x:c>
      <x:c r="N747" s="62" t="n">
        <x:v>21.09967597970546</x:v>
      </x:c>
      <x:c r="O747" s="60" t="n">
        <x:v>0.11060116351687603</x:v>
      </x:c>
      <x:c r="P747" s="60" t="n">
        <x:v>0.00241046077420827</x:v>
      </x:c>
      <x:c r="Q747" s="62" t="n">
        <x:v>1.0217941719378067</x:v>
      </x:c>
      <x:c r="R747" s="64" t="n">
        <x:v>0.0217941719378067</x:v>
      </x:c>
    </x:row>
    <x:row r="748" ht="18" customHeight="1">
      <x:c r="A748" s="46" t="str">
        <x:v>LME_066</x:v>
      </x:c>
      <x:c r="B748" s="46" t="str">
        <x:v>Canadian High Arctic - North Greenland</x:v>
      </x:c>
      <x:c r="C748" s="46" t="str">
        <x:v>commercial</x:v>
      </x:c>
      <x:c r="D748" s="46" t="str">
        <x:v>Molluscs</x:v>
      </x:c>
      <x:c r="E748" s="66" t="n">
        <x:v>2</x:v>
      </x:c>
      <x:c r="F748" s="66" t="n">
        <x:v>2</x:v>
      </x:c>
      <x:c r="G748" s="60" t="n">
        <x:v>0.0041846633000000005</x:v>
      </x:c>
      <x:c r="H748" s="60" t="n">
        <x:v>0.0041846633000000005</x:v>
      </x:c>
      <x:c r="I748" s="62" t="n">
        <x:v>0</x:v>
      </x:c>
      <x:c r="J748" s="64" t="n">
        <x:v>1</x:v>
      </x:c>
      <x:c r="K748" s="62" t="n">
        <x:v>141.6967707624348</x:v>
      </x:c>
      <x:c r="L748" s="60" t="n">
        <x:v>0.5929532763380739</x:v>
      </x:c>
      <x:c r="M748" s="62" t="n">
        <x:v>2.4874972258819485</x:v>
      </x:c>
      <x:c r="N748" s="62" t="n">
        <x:v>30.725377389309784</x:v>
      </x:c>
      <x:c r="O748" s="60" t="n">
        <x:v>0.12857535913969448</x:v>
      </x:c>
      <x:c r="P748" s="60" t="n">
        <x:v>0.46437791719837945</x:v>
      </x:c>
      <x:c r="Q748" s="62" t="n">
        <x:v>4.611717830738022</x:v>
      </x:c>
      <x:c r="R748" s="64" t="n">
        <x:v>3.611717830738022</x:v>
      </x:c>
    </x:row>
    <x:row r="749" ht="18" customHeight="1">
      <x:c r="A749" s="46" t="str">
        <x:v>LME_066</x:v>
      </x:c>
      <x:c r="B749" s="46" t="str">
        <x:v>Canadian High Arctic - North Greenland</x:v>
      </x:c>
      <x:c r="C749" s="46" t="str">
        <x:v>commercial</x:v>
      </x:c>
      <x:c r="D749" s="46" t="str">
        <x:v>Other fishes &amp; inverts</x:v>
      </x:c>
      <x:c r="E749" s="66" t="n">
        <x:v>4</x:v>
      </x:c>
      <x:c r="F749" s="66" t="n">
        <x:v>4</x:v>
      </x:c>
      <x:c r="G749" s="60" t="n">
        <x:v>53.2939986254</x:v>
      </x:c>
      <x:c r="H749" s="60" t="n">
        <x:v>53.2939986254</x:v>
      </x:c>
      <x:c r="I749" s="62" t="n">
        <x:v>0</x:v>
      </x:c>
      <x:c r="J749" s="64" t="n">
        <x:v>1</x:v>
      </x:c>
      <x:c r="K749" s="62" t="n">
        <x:v>190.54424126904757</x:v>
      </x:c>
      <x:c r="L749" s="60" t="n">
        <x:v>10154.864532270507</x:v>
      </x:c>
      <x:c r="M749" s="62" t="n">
        <x:v>3.27998988936524</x:v>
      </x:c>
      <x:c r="N749" s="62" t="n">
        <x:v>190.54163582167666</x:v>
      </x:c>
      <x:c r="O749" s="60" t="n">
        <x:v>10154.725677561904</x:v>
      </x:c>
      <x:c r="P749" s="60" t="n">
        <x:v>0.13885470860259375</x:v>
      </x:c>
      <x:c r="Q749" s="62" t="n">
        <x:v>1.000013673900508</x:v>
      </x:c>
      <x:c r="R749" s="64" t="n">
        <x:v>0.00001367390050815553</x:v>
      </x:c>
    </x:row>
    <x:row r="750" ht="18" customHeight="1">
      <x:c r="A750" s="46" t="str">
        <x:v>LME_066</x:v>
      </x:c>
      <x:c r="B750" s="46" t="str">
        <x:v>Canadian High Arctic - North Greenland</x:v>
      </x:c>
      <x:c r="C750" s="46" t="str">
        <x:v>commercial</x:v>
      </x:c>
      <x:c r="D750" s="46" t="str">
        <x:v>Perch-likes</x:v>
      </x:c>
      <x:c r="E750" s="66" t="n">
        <x:v>3</x:v>
      </x:c>
      <x:c r="F750" s="66" t="n">
        <x:v>3</x:v>
      </x:c>
      <x:c r="G750" s="60" t="n">
        <x:v>0.08363277170000001</x:v>
      </x:c>
      <x:c r="H750" s="60" t="n">
        <x:v>0.08363277170000001</x:v>
      </x:c>
      <x:c r="I750" s="62" t="n">
        <x:v>0</x:v>
      </x:c>
      <x:c r="J750" s="64" t="n">
        <x:v>1</x:v>
      </x:c>
      <x:c r="K750" s="62" t="n">
        <x:v>285.787935194008</x:v>
      </x:c>
      <x:c r="L750" s="60" t="n">
        <x:v>23.90123713869487</x:v>
      </x:c>
      <x:c r="M750" s="62" t="n">
        <x:v>3.4542181488168953</x:v>
      </x:c>
      <x:c r="N750" s="62" t="n">
        <x:v>284.5890256842467</x:v>
      </x:c>
      <x:c r="O750" s="60" t="n">
        <x:v>23.80096901337604</x:v>
      </x:c>
      <x:c r="P750" s="60" t="n">
        <x:v>0.10026812531883067</x:v>
      </x:c>
      <x:c r="Q750" s="62" t="n">
        <x:v>1.0042127749194782</x:v>
      </x:c>
      <x:c r="R750" s="64" t="n">
        <x:v>0.004212774919478296</x:v>
      </x:c>
    </x:row>
    <x:row r="751" ht="18" customHeight="1">
      <x:c r="A751" s="46" t="str">
        <x:v>LME_066</x:v>
      </x:c>
      <x:c r="B751" s="46" t="str">
        <x:v>Canadian High Arctic - North Greenland</x:v>
      </x:c>
      <x:c r="C751" s="46" t="str">
        <x:v>commercial</x:v>
      </x:c>
      <x:c r="D751" s="46" t="str">
        <x:v>Salmon, smelts, etc</x:v>
      </x:c>
      <x:c r="E751" s="66" t="n">
        <x:v>1</x:v>
      </x:c>
      <x:c r="F751" s="66" t="n">
        <x:v>1</x:v>
      </x:c>
      <x:c r="G751" s="60" t="n">
        <x:v>0.1267809772</x:v>
      </x:c>
      <x:c r="H751" s="60" t="n">
        <x:v>0.1267809772</x:v>
      </x:c>
      <x:c r="I751" s="62" t="n">
        <x:v>0</x:v>
      </x:c>
      <x:c r="J751" s="64" t="n">
        <x:v>1</x:v>
      </x:c>
      <x:c r="K751" s="62" t="n">
        <x:v>2454.7089156850284</x:v>
      </x:c>
      <x:c r="L751" s="60" t="n">
        <x:v>311.2103950721003</x:v>
      </x:c>
      <x:c r="M751" s="62" t="n">
        <x:v>4.39</x:v>
      </x:c>
      <x:c r="N751" s="62" t="n">
        <x:v>2454.7089156850284</x:v>
      </x:c>
      <x:c r="O751" s="60" t="n">
        <x:v>311.2103950721003</x:v>
      </x:c>
      <x:c r="P751" s="60" t="n">
        <x:v>0</x:v>
      </x:c>
      <x:c r="Q751" s="62" t="n">
        <x:v>1</x:v>
      </x:c>
      <x:c r="R751" s="64" t="n">
        <x:v>0</x:v>
      </x:c>
    </x:row>
    <x:row r="752" ht="18" customHeight="1">
      <x:c r="A752" s="46" t="str">
        <x:v>LME_066</x:v>
      </x:c>
      <x:c r="B752" s="46" t="str">
        <x:v>Canadian High Arctic - North Greenland</x:v>
      </x:c>
      <x:c r="C752" s="46" t="str">
        <x:v>commercial</x:v>
      </x:c>
      <x:c r="D752" s="46" t="str">
        <x:v>Scorpionfishes</x:v>
      </x:c>
      <x:c r="E752" s="66" t="n">
        <x:v>5</x:v>
      </x:c>
      <x:c r="F752" s="66" t="n">
        <x:v>5</x:v>
      </x:c>
      <x:c r="G752" s="60" t="n">
        <x:v>0.0477826447</x:v>
      </x:c>
      <x:c r="H752" s="60" t="n">
        <x:v>0.0477826447</x:v>
      </x:c>
      <x:c r="I752" s="62" t="n">
        <x:v>0</x:v>
      </x:c>
      <x:c r="J752" s="64" t="n">
        <x:v>1</x:v>
      </x:c>
      <x:c r="K752" s="62" t="n">
        <x:v>530.6488947587427</x:v>
      </x:c>
      <x:c r="L752" s="60" t="n">
        <x:v>25.355807598704697</x:v>
      </x:c>
      <x:c r="M752" s="62" t="n">
        <x:v>3.7236509884309514</x:v>
      </x:c>
      <x:c r="N752" s="62" t="n">
        <x:v>529.2379620623118</x:v>
      </x:c>
      <x:c r="O752" s="60" t="n">
        <x:v>25.288389502975523</x:v>
      </x:c>
      <x:c r="P752" s="60" t="n">
        <x:v>0.0674180957291739</x:v>
      </x:c>
      <x:c r="Q752" s="62" t="n">
        <x:v>1.0026659703150034</x:v>
      </x:c>
      <x:c r="R752" s="64" t="n">
        <x:v>0.002665970315003304</x:v>
      </x:c>
    </x:row>
    <x:row r="753" ht="18" customHeight="1">
      <x:c r="A753" s="46" t="str">
        <x:v>LME_066</x:v>
      </x:c>
      <x:c r="B753" s="46" t="str">
        <x:v>Canadian High Arctic - North Greenland</x:v>
      </x:c>
      <x:c r="C753" s="46" t="str">
        <x:v>commercial</x:v>
      </x:c>
      <x:c r="D753" s="46" t="str">
        <x:v>Sharks &amp; rays</x:v>
      </x:c>
      <x:c r="E753" s="66" t="n">
        <x:v>3</x:v>
      </x:c>
      <x:c r="F753" s="66" t="n">
        <x:v>3</x:v>
      </x:c>
      <x:c r="G753" s="60" t="n">
        <x:v>0.0302325426</x:v>
      </x:c>
      <x:c r="H753" s="60" t="n">
        <x:v>0.0302325426</x:v>
      </x:c>
      <x:c r="I753" s="62" t="n">
        <x:v>0</x:v>
      </x:c>
      <x:c r="J753" s="64" t="n">
        <x:v>1</x:v>
      </x:c>
      <x:c r="K753" s="62" t="n">
        <x:v>1657.6099883176064</x:v>
      </x:c>
      <x:c r="L753" s="60" t="n">
        <x:v>50.11376458599754</x:v>
      </x:c>
      <x:c r="M753" s="62" t="n">
        <x:v>4.219372069387243</x:v>
      </x:c>
      <x:c r="N753" s="62" t="n">
        <x:v>1657.1891048891134</x:v>
      </x:c>
      <x:c r="O753" s="60" t="n">
        <x:v>50.101040209815984</x:v>
      </x:c>
      <x:c r="P753" s="60" t="n">
        <x:v>0.012724376181552088</x:v>
      </x:c>
      <x:c r="Q753" s="62" t="n">
        <x:v>1.0002539742913175</x:v>
      </x:c>
      <x:c r="R753" s="64" t="n">
        <x:v>0.00025397429131739026</x:v>
      </x:c>
    </x:row>
    <x:row r="754" ht="18" customHeight="1">
      <x:c r="A754" s="46" t="str">
        <x:v>HS_021</x:v>
      </x:c>
      <x:c r="B754" s="46" t="str">
        <x:v>Atlantic, Northwest</x:v>
      </x:c>
      <x:c r="C754" s="46" t="str">
        <x:v>functional</x:v>
      </x:c>
      <x:c r="D754" s="46" t="str">
        <x:v>Cephalopods</x:v>
      </x:c>
      <x:c r="E754" s="66" t="n">
        <x:v>2</x:v>
      </x:c>
      <x:c r="F754" s="66" t="n">
        <x:v>2</x:v>
      </x:c>
      <x:c r="G754" s="60" t="n">
        <x:v>171.17425699109998</x:v>
      </x:c>
      <x:c r="H754" s="60" t="n">
        <x:v>171.17425699109998</x:v>
      </x:c>
      <x:c r="I754" s="62" t="n">
        <x:v>0</x:v>
      </x:c>
      <x:c r="J754" s="64" t="n">
        <x:v>1</x:v>
      </x:c>
      <x:c r="K754" s="62" t="n">
        <x:v>1005.2757956796951</x:v>
      </x:c>
      <x:c r="L754" s="60" t="n">
        <x:v>172077.33739660864</x:v>
      </x:c>
      <x:c r="M754" s="62" t="n">
        <x:v>3.9991447972458873</x:v>
      </x:c>
      <x:c r="N754" s="62" t="n">
        <x:v>998.0327604441377</x:v>
      </x:c>
      <x:c r="O754" s="60" t="n">
        <x:v>170837.51622180175</x:v>
      </x:c>
      <x:c r="P754" s="60" t="n">
        <x:v>1239.8211748068861</x:v>
      </x:c>
      <x:c r="Q754" s="62" t="n">
        <x:v>1.0072573121070034</x:v>
      </x:c>
      <x:c r="R754" s="64" t="n">
        <x:v>0.007257312107003485</x:v>
      </x:c>
    </x:row>
    <x:row r="755" ht="18" customHeight="1">
      <x:c r="A755" s="46" t="str">
        <x:v>HS_021</x:v>
      </x:c>
      <x:c r="B755" s="46" t="str">
        <x:v>Atlantic, Northwest</x:v>
      </x:c>
      <x:c r="C755" s="46" t="str">
        <x:v>functional</x:v>
      </x:c>
      <x:c r="D755" s="46" t="str">
        <x:v>Large bathydemersals (&gt;=90 cm)</x:v>
      </x:c>
      <x:c r="E755" s="66" t="n">
        <x:v>1</x:v>
      </x:c>
      <x:c r="F755" s="66" t="n">
        <x:v>1</x:v>
      </x:c>
      <x:c r="G755" s="60" t="n">
        <x:v>0.004492981900000001</x:v>
      </x:c>
      <x:c r="H755" s="60" t="n">
        <x:v>0.004492981900000001</x:v>
      </x:c>
      <x:c r="I755" s="62" t="n">
        <x:v>0</x:v>
      </x:c>
      <x:c r="J755" s="64" t="n">
        <x:v>1</x:v>
      </x:c>
      <x:c r="K755" s="62" t="n">
        <x:v>489.77881936844614</x:v>
      </x:c>
      <x:c r="L755" s="60" t="n">
        <x:v>2.2005673704257984</x:v>
      </x:c>
      <x:c r="M755" s="62" t="n">
        <x:v>3.69</x:v>
      </x:c>
      <x:c r="N755" s="62" t="n">
        <x:v>489.77881936844614</x:v>
      </x:c>
      <x:c r="O755" s="60" t="n">
        <x:v>2.2005673704257984</x:v>
      </x:c>
      <x:c r="P755" s="60" t="n">
        <x:v>0</x:v>
      </x:c>
      <x:c r="Q755" s="62" t="n">
        <x:v>1</x:v>
      </x:c>
      <x:c r="R755" s="64" t="n">
        <x:v>0</x:v>
      </x:c>
    </x:row>
    <x:row r="756" ht="18" customHeight="1">
      <x:c r="A756" s="46" t="str">
        <x:v>HS_021</x:v>
      </x:c>
      <x:c r="B756" s="46" t="str">
        <x:v>Atlantic, Northwest</x:v>
      </x:c>
      <x:c r="C756" s="46" t="str">
        <x:v>functional</x:v>
      </x:c>
      <x:c r="D756" s="46" t="str">
        <x:v>Large bathypelagics (&gt;=90 cm)</x:v>
      </x:c>
      <x:c r="E756" s="66" t="n">
        <x:v>1</x:v>
      </x:c>
      <x:c r="F756" s="66" t="n">
        <x:v>1</x:v>
      </x:c>
      <x:c r="G756" s="60" t="n">
        <x:v>72.5693858215</x:v>
      </x:c>
      <x:c r="H756" s="60" t="n">
        <x:v>72.5693858215</x:v>
      </x:c>
      <x:c r="I756" s="62" t="n">
        <x:v>0</x:v>
      </x:c>
      <x:c r="J756" s="64" t="n">
        <x:v>1</x:v>
      </x:c>
      <x:c r="K756" s="62" t="n">
        <x:v>346.73685045253166</x:v>
      </x:c>
      <x:c r="L756" s="60" t="n">
        <x:v>25162.480279021518</x:v>
      </x:c>
      <x:c r="M756" s="62" t="n">
        <x:v>3.54</x:v>
      </x:c>
      <x:c r="N756" s="62" t="n">
        <x:v>346.73685045253166</x:v>
      </x:c>
      <x:c r="O756" s="60" t="n">
        <x:v>25162.480279021518</x:v>
      </x:c>
      <x:c r="P756" s="60" t="n">
        <x:v>0</x:v>
      </x:c>
      <x:c r="Q756" s="62" t="n">
        <x:v>1</x:v>
      </x:c>
      <x:c r="R756" s="64" t="n">
        <x:v>0</x:v>
      </x:c>
    </x:row>
    <x:row r="757" ht="18" customHeight="1">
      <x:c r="A757" s="46" t="str">
        <x:v>HS_021</x:v>
      </x:c>
      <x:c r="B757" s="46" t="str">
        <x:v>Atlantic, Northwest</x:v>
      </x:c>
      <x:c r="C757" s="46" t="str">
        <x:v>functional</x:v>
      </x:c>
      <x:c r="D757" s="46" t="str">
        <x:v>Large benthopelagics (&gt;=90 cm)</x:v>
      </x:c>
      <x:c r="E757" s="66" t="n">
        <x:v>3</x:v>
      </x:c>
      <x:c r="F757" s="66" t="n">
        <x:v>3</x:v>
      </x:c>
      <x:c r="G757" s="60" t="n">
        <x:v>28431.3727779727</x:v>
      </x:c>
      <x:c r="H757" s="60" t="n">
        <x:v>28431.3727779727</x:v>
      </x:c>
      <x:c r="I757" s="62" t="n">
        <x:v>0</x:v>
      </x:c>
      <x:c r="J757" s="64" t="n">
        <x:v>1</x:v>
      </x:c>
      <x:c r="K757" s="62" t="n">
        <x:v>1235.6537269800697</x:v>
      </x:c>
      <x:c r="L757" s="60" t="n">
        <x:v>35131331.736261666</x:v>
      </x:c>
      <x:c r="M757" s="62" t="n">
        <x:v>4.091173619761276</x:v>
      </x:c>
      <x:c r="N757" s="62" t="n">
        <x:v>1233.597895368792</x:v>
      </x:c>
      <x:c r="O757" s="60" t="n">
        <x:v>35072881.62135269</x:v>
      </x:c>
      <x:c r="P757" s="60" t="n">
        <x:v>58450.11490897834</x:v>
      </x:c>
      <x:c r="Q757" s="62" t="n">
        <x:v>1.0016665330080377</x:v>
      </x:c>
      <x:c r="R757" s="64" t="n">
        <x:v>0.0016665330080375656</x:v>
      </x:c>
    </x:row>
    <x:row r="758" ht="18" customHeight="1">
      <x:c r="A758" s="46" t="str">
        <x:v>HS_021</x:v>
      </x:c>
      <x:c r="B758" s="46" t="str">
        <x:v>Atlantic, Northwest</x:v>
      </x:c>
      <x:c r="C758" s="46" t="str">
        <x:v>functional</x:v>
      </x:c>
      <x:c r="D758" s="46" t="str">
        <x:v>Large demersals (&gt;=90 cm)</x:v>
      </x:c>
      <x:c r="E758" s="66" t="n">
        <x:v>7</x:v>
      </x:c>
      <x:c r="F758" s="66" t="n">
        <x:v>7</x:v>
      </x:c>
      <x:c r="G758" s="60" t="n">
        <x:v>169.35419098810002</x:v>
      </x:c>
      <x:c r="H758" s="60" t="n">
        <x:v>169.35419098810002</x:v>
      </x:c>
      <x:c r="I758" s="62" t="n">
        <x:v>0</x:v>
      </x:c>
      <x:c r="J758" s="64" t="n">
        <x:v>1</x:v>
      </x:c>
      <x:c r="K758" s="62" t="n">
        <x:v>1003.4815188652593</x:v>
      </x:c>
      <x:c r="L758" s="60" t="n">
        <x:v>169943.80079893582</x:v>
      </x:c>
      <x:c r="M758" s="62" t="n">
        <x:v>3.7416530378783994</x:v>
      </x:c>
      <x:c r="N758" s="62" t="n">
        <x:v>551.6365553358751</x:v>
      </x:c>
      <x:c r="O758" s="60" t="n">
        <x:v>93421.9625483694</x:v>
      </x:c>
      <x:c r="P758" s="60" t="n">
        <x:v>76521.83825056642</x:v>
      </x:c>
      <x:c r="Q758" s="62" t="n">
        <x:v>1.8190990230048645</x:v>
      </x:c>
      <x:c r="R758" s="64" t="n">
        <x:v>0.8190990230048646</x:v>
      </x:c>
    </x:row>
    <x:row r="759" ht="18" customHeight="1">
      <x:c r="A759" s="46" t="str">
        <x:v>HS_021</x:v>
      </x:c>
      <x:c r="B759" s="46" t="str">
        <x:v>Atlantic, Northwest</x:v>
      </x:c>
      <x:c r="C759" s="46" t="str">
        <x:v>functional</x:v>
      </x:c>
      <x:c r="D759" s="46" t="str">
        <x:v>Large flatfishes (&gt;=90 cm)</x:v>
      </x:c>
      <x:c r="E759" s="66" t="n">
        <x:v>1</x:v>
      </x:c>
      <x:c r="F759" s="66" t="n">
        <x:v>1</x:v>
      </x:c>
      <x:c r="G759" s="60" t="n">
        <x:v>1027.7270369283</x:v>
      </x:c>
      <x:c r="H759" s="60" t="n">
        <x:v>1027.7270369283</x:v>
      </x:c>
      <x:c r="I759" s="62" t="n">
        <x:v>0</x:v>
      </x:c>
      <x:c r="J759" s="64" t="n">
        <x:v>1</x:v>
      </x:c>
      <x:c r="K759" s="62" t="n">
        <x:v>1000</x:v>
      </x:c>
      <x:c r="L759" s="60" t="n">
        <x:v>1027727.0369283</x:v>
      </x:c>
      <x:c r="M759" s="62" t="n">
        <x:v>4</x:v>
      </x:c>
      <x:c r="N759" s="62" t="n">
        <x:v>1000</x:v>
      </x:c>
      <x:c r="O759" s="60" t="n">
        <x:v>1027727.0369283</x:v>
      </x:c>
      <x:c r="P759" s="60" t="n">
        <x:v>0</x:v>
      </x:c>
      <x:c r="Q759" s="62" t="n">
        <x:v>1</x:v>
      </x:c>
      <x:c r="R759" s="64" t="n">
        <x:v>0</x:v>
      </x:c>
    </x:row>
    <x:row r="760" ht="18" customHeight="1">
      <x:c r="A760" s="46" t="str">
        <x:v>HS_021</x:v>
      </x:c>
      <x:c r="B760" s="46" t="str">
        <x:v>Atlantic, Northwest</x:v>
      </x:c>
      <x:c r="C760" s="46" t="str">
        <x:v>functional</x:v>
      </x:c>
      <x:c r="D760" s="46" t="str">
        <x:v>Large pelagics (&gt;=90 cm)</x:v>
      </x:c>
      <x:c r="E760" s="66" t="n">
        <x:v>13</x:v>
      </x:c>
      <x:c r="F760" s="66" t="n">
        <x:v>13</x:v>
      </x:c>
      <x:c r="G760" s="60" t="n">
        <x:v>1430.4836735423</x:v>
      </x:c>
      <x:c r="H760" s="60" t="n">
        <x:v>1430.4836735423</x:v>
      </x:c>
      <x:c r="I760" s="62" t="n">
        <x:v>0</x:v>
      </x:c>
      <x:c r="J760" s="64" t="n">
        <x:v>1</x:v>
      </x:c>
      <x:c r="K760" s="62" t="n">
        <x:v>3314.4355949675814</x:v>
      </x:c>
      <x:c r="L760" s="60" t="n">
        <x:v>4741246.005608585</x:v>
      </x:c>
      <x:c r="M760" s="62" t="n">
        <x:v>4.519005422774407</x:v>
      </x:c>
      <x:c r="N760" s="62" t="n">
        <x:v>3303.7366618864526</x:v>
      </x:c>
      <x:c r="O760" s="60" t="n">
        <x:v>4725941.356511708</x:v>
      </x:c>
      <x:c r="P760" s="60" t="n">
        <x:v>15304.649096876383</x:v>
      </x:c>
      <x:c r="Q760" s="62" t="n">
        <x:v>1.0032384339843297</x:v>
      </x:c>
      <x:c r="R760" s="64" t="n">
        <x:v>0.003238433984329629</x:v>
      </x:c>
    </x:row>
    <x:row r="761" ht="18" customHeight="1">
      <x:c r="A761" s="46" t="str">
        <x:v>HS_021</x:v>
      </x:c>
      <x:c r="B761" s="46" t="str">
        <x:v>Atlantic, Northwest</x:v>
      </x:c>
      <x:c r="C761" s="46" t="str">
        <x:v>functional</x:v>
      </x:c>
      <x:c r="D761" s="46" t="str">
        <x:v>Large rays (&gt;=90 cm)</x:v>
      </x:c>
      <x:c r="E761" s="66" t="n">
        <x:v>1</x:v>
      </x:c>
      <x:c r="F761" s="66" t="n">
        <x:v>1</x:v>
      </x:c>
      <x:c r="G761" s="60" t="n">
        <x:v>12.933121725</x:v>
      </x:c>
      <x:c r="H761" s="60" t="n">
        <x:v>12.933121725</x:v>
      </x:c>
      <x:c r="I761" s="62" t="n">
        <x:v>0</x:v>
      </x:c>
      <x:c r="J761" s="64" t="n">
        <x:v>1</x:v>
      </x:c>
      <x:c r="K761" s="62" t="n">
        <x:v>660.6934480075957</x:v>
      </x:c>
      <x:c r="L761" s="60" t="n">
        <x:v>8544.828785992195</x:v>
      </x:c>
      <x:c r="M761" s="62" t="n">
        <x:v>3.82</x:v>
      </x:c>
      <x:c r="N761" s="62" t="n">
        <x:v>660.6934480075957</x:v>
      </x:c>
      <x:c r="O761" s="60" t="n">
        <x:v>8544.828785992195</x:v>
      </x:c>
      <x:c r="P761" s="60" t="n">
        <x:v>0</x:v>
      </x:c>
      <x:c r="Q761" s="62" t="n">
        <x:v>1</x:v>
      </x:c>
      <x:c r="R761" s="64" t="n">
        <x:v>0</x:v>
      </x:c>
    </x:row>
    <x:row r="762" ht="18" customHeight="1">
      <x:c r="A762" s="46" t="str">
        <x:v>HS_021</x:v>
      </x:c>
      <x:c r="B762" s="46" t="str">
        <x:v>Atlantic, Northwest</x:v>
      </x:c>
      <x:c r="C762" s="46" t="str">
        <x:v>functional</x:v>
      </x:c>
      <x:c r="D762" s="46" t="str">
        <x:v>Large reef assoc. fish (&gt;=90 cm)</x:v>
      </x:c>
      <x:c r="E762" s="66" t="n">
        <x:v>1</x:v>
      </x:c>
      <x:c r="F762" s="66" t="n">
        <x:v>1</x:v>
      </x:c>
      <x:c r="G762" s="60" t="n">
        <x:v>32742.6339197331</x:v>
      </x:c>
      <x:c r="H762" s="60" t="n">
        <x:v>32742.6339197331</x:v>
      </x:c>
      <x:c r="I762" s="62" t="n">
        <x:v>0</x:v>
      </x:c>
      <x:c r="J762" s="64" t="n">
        <x:v>1</x:v>
      </x:c>
      <x:c r="K762" s="62" t="n">
        <x:v>616.5950018614822</x:v>
      </x:c>
      <x:c r="L762" s="60" t="n">
        <x:v>20188944.42268766</x:v>
      </x:c>
      <x:c r="M762" s="62" t="n">
        <x:v>3.79</x:v>
      </x:c>
      <x:c r="N762" s="62" t="n">
        <x:v>616.5950018614822</x:v>
      </x:c>
      <x:c r="O762" s="60" t="n">
        <x:v>20188944.42268766</x:v>
      </x:c>
      <x:c r="P762" s="60" t="n">
        <x:v>0</x:v>
      </x:c>
      <x:c r="Q762" s="62" t="n">
        <x:v>1</x:v>
      </x:c>
      <x:c r="R762" s="64" t="n">
        <x:v>0</x:v>
      </x:c>
    </x:row>
    <x:row r="763" ht="18" customHeight="1">
      <x:c r="A763" s="46" t="str">
        <x:v>HS_021</x:v>
      </x:c>
      <x:c r="B763" s="46" t="str">
        <x:v>Atlantic, Northwest</x:v>
      </x:c>
      <x:c r="C763" s="46" t="str">
        <x:v>functional</x:v>
      </x:c>
      <x:c r="D763" s="46" t="str">
        <x:v>Large sharks (&gt;=90 cm)</x:v>
      </x:c>
      <x:c r="E763" s="66" t="n">
        <x:v>9</x:v>
      </x:c>
      <x:c r="F763" s="66" t="n">
        <x:v>9</x:v>
      </x:c>
      <x:c r="G763" s="60" t="n">
        <x:v>4199.053559259</x:v>
      </x:c>
      <x:c r="H763" s="60" t="n">
        <x:v>4199.053559259</x:v>
      </x:c>
      <x:c r="I763" s="62" t="n">
        <x:v>0</x:v>
      </x:c>
      <x:c r="J763" s="64" t="n">
        <x:v>1</x:v>
      </x:c>
      <x:c r="K763" s="62" t="n">
        <x:v>2339.721715691939</x:v>
      </x:c>
      <x:c r="L763" s="60" t="n">
        <x:v>9824616.797951812</x:v>
      </x:c>
      <x:c r="M763" s="62" t="n">
        <x:v>4.365606792430694</x:v>
      </x:c>
      <x:c r="N763" s="62" t="n">
        <x:v>2320.6347563899917</x:v>
      </x:c>
      <x:c r="O763" s="60" t="n">
        <x:v>9744469.633559538</x:v>
      </x:c>
      <x:c r="P763" s="60" t="n">
        <x:v>80147.16439227387</x:v>
      </x:c>
      <x:c r="Q763" s="62" t="n">
        <x:v>1.008224887285425</x:v>
      </x:c>
      <x:c r="R763" s="64" t="n">
        <x:v>0.008224887285425002</x:v>
      </x:c>
    </x:row>
    <x:row r="764" ht="18" customHeight="1">
      <x:c r="A764" s="46" t="str">
        <x:v>HS_021</x:v>
      </x:c>
      <x:c r="B764" s="46" t="str">
        <x:v>Atlantic, Northwest</x:v>
      </x:c>
      <x:c r="C764" s="46" t="str">
        <x:v>functional</x:v>
      </x:c>
      <x:c r="D764" s="46" t="str">
        <x:v>Lobsters, crabs</x:v>
      </x:c>
      <x:c r="E764" s="66" t="n">
        <x:v>1</x:v>
      </x:c>
      <x:c r="F764" s="66" t="n">
        <x:v>1</x:v>
      </x:c>
      <x:c r="G764" s="60" t="n">
        <x:v>1.5710905816</x:v>
      </x:c>
      <x:c r="H764" s="60" t="n">
        <x:v>1.5710905816</x:v>
      </x:c>
      <x:c r="I764" s="62" t="n">
        <x:v>0</x:v>
      </x:c>
      <x:c r="J764" s="64" t="n">
        <x:v>1</x:v>
      </x:c>
      <x:c r="K764" s="62" t="n">
        <x:v>346.73685045253166</x:v>
      </x:c>
      <x:c r="L764" s="60" t="n">
        <x:v>544.7550000396202</x:v>
      </x:c>
      <x:c r="M764" s="62" t="n">
        <x:v>3.54</x:v>
      </x:c>
      <x:c r="N764" s="62" t="n">
        <x:v>346.73685045253166</x:v>
      </x:c>
      <x:c r="O764" s="60" t="n">
        <x:v>544.7550000396202</x:v>
      </x:c>
      <x:c r="P764" s="60" t="n">
        <x:v>0</x:v>
      </x:c>
      <x:c r="Q764" s="62" t="n">
        <x:v>1</x:v>
      </x:c>
      <x:c r="R764" s="64" t="n">
        <x:v>0</x:v>
      </x:c>
    </x:row>
    <x:row r="765" ht="18" customHeight="1">
      <x:c r="A765" s="46" t="str">
        <x:v>HS_021</x:v>
      </x:c>
      <x:c r="B765" s="46" t="str">
        <x:v>Atlantic, Northwest</x:v>
      </x:c>
      <x:c r="C765" s="46" t="str">
        <x:v>functional</x:v>
      </x:c>
      <x:c r="D765" s="46" t="str">
        <x:v>Medium bathydemersals (30 - 89 cm)</x:v>
      </x:c>
      <x:c r="E765" s="66" t="n">
        <x:v>2</x:v>
      </x:c>
      <x:c r="F765" s="66" t="n">
        <x:v>2</x:v>
      </x:c>
      <x:c r="G765" s="60" t="n">
        <x:v>2.3075275959</x:v>
      </x:c>
      <x:c r="H765" s="60" t="n">
        <x:v>2.3075275959</x:v>
      </x:c>
      <x:c r="I765" s="62" t="n">
        <x:v>0</x:v>
      </x:c>
      <x:c r="J765" s="64" t="n">
        <x:v>1</x:v>
      </x:c>
      <x:c r="K765" s="62" t="n">
        <x:v>1438.377992995489</x:v>
      </x:c>
      <x:c r="L765" s="60" t="n">
        <x:v>3319.0969121723474</x:v>
      </x:c>
      <x:c r="M765" s="62" t="n">
        <x:v>3.8353195087845586</x:v>
      </x:c>
      <x:c r="N765" s="62" t="n">
        <x:v>684.4149835857181</x:v>
      </x:c>
      <x:c r="O765" s="60" t="n">
        <x:v>1579.30646167149</x:v>
      </x:c>
      <x:c r="P765" s="60" t="n">
        <x:v>1739.7904505008573</x:v>
      </x:c>
      <x:c r="Q765" s="62" t="n">
        <x:v>2.101616749329016</x:v>
      </x:c>
      <x:c r="R765" s="64" t="n">
        <x:v>1.101616749329016</x:v>
      </x:c>
    </x:row>
    <x:row r="766" ht="18" customHeight="1">
      <x:c r="A766" s="46" t="str">
        <x:v>HS_021</x:v>
      </x:c>
      <x:c r="B766" s="46" t="str">
        <x:v>Atlantic, Northwest</x:v>
      </x:c>
      <x:c r="C766" s="46" t="str">
        <x:v>functional</x:v>
      </x:c>
      <x:c r="D766" s="46" t="str">
        <x:v>Medium bathypelagics (30 - 89 cm)</x:v>
      </x:c>
      <x:c r="E766" s="66" t="n">
        <x:v>3</x:v>
      </x:c>
      <x:c r="F766" s="66" t="n">
        <x:v>3</x:v>
      </x:c>
      <x:c r="G766" s="60" t="n">
        <x:v>90.69893942220001</x:v>
      </x:c>
      <x:c r="H766" s="60" t="n">
        <x:v>90.69893942220001</x:v>
      </x:c>
      <x:c r="I766" s="62" t="n">
        <x:v>0</x:v>
      </x:c>
      <x:c r="J766" s="64" t="n">
        <x:v>1</x:v>
      </x:c>
      <x:c r="K766" s="62" t="n">
        <x:v>445.7200211645965</x:v>
      </x:c>
      <x:c r="L766" s="60" t="n">
        <x:v>40426.33319886945</x:v>
      </x:c>
      <x:c r="M766" s="62" t="n">
        <x:v>3.6487505032538525</x:v>
      </x:c>
      <x:c r="N766" s="62" t="n">
        <x:v>445.4002979858524</x:v>
      </x:c>
      <x:c r="O766" s="60" t="n">
        <x:v>40397.33464564866</x:v>
      </x:c>
      <x:c r="P766" s="60" t="n">
        <x:v>28.99855322078656</x:v>
      </x:c>
      <x:c r="Q766" s="62" t="n">
        <x:v>1.0007178333292321</x:v>
      </x:c>
      <x:c r="R766" s="64" t="n">
        <x:v>0.0007178333292320339</x:v>
      </x:c>
    </x:row>
    <x:row r="767" ht="18" customHeight="1">
      <x:c r="A767" s="46" t="str">
        <x:v>HS_021</x:v>
      </x:c>
      <x:c r="B767" s="46" t="str">
        <x:v>Atlantic, Northwest</x:v>
      </x:c>
      <x:c r="C767" s="46" t="str">
        <x:v>functional</x:v>
      </x:c>
      <x:c r="D767" s="46" t="str">
        <x:v>Medium benthopelagics (30 - 89 cm)</x:v>
      </x:c>
      <x:c r="E767" s="66" t="n">
        <x:v>4</x:v>
      </x:c>
      <x:c r="F767" s="66" t="n">
        <x:v>4</x:v>
      </x:c>
      <x:c r="G767" s="60" t="n">
        <x:v>6.2992838815</x:v>
      </x:c>
      <x:c r="H767" s="60" t="n">
        <x:v>6.2992838815</x:v>
      </x:c>
      <x:c r="I767" s="62" t="n">
        <x:v>0</x:v>
      </x:c>
      <x:c r="J767" s="64" t="n">
        <x:v>1</x:v>
      </x:c>
      <x:c r="K767" s="62" t="n">
        <x:v>924.4608738052497</x:v>
      </x:c>
      <x:c r="L767" s="60" t="n">
        <x:v>5823.441481438815</x:v>
      </x:c>
      <x:c r="M767" s="62" t="n">
        <x:v>3.907720606611147</x:v>
      </x:c>
      <x:c r="N767" s="62" t="n">
        <x:v>808.5755532928116</x:v>
      </x:c>
      <x:c r="O767" s="60" t="n">
        <x:v>5093.446949832352</x:v>
      </x:c>
      <x:c r="P767" s="60" t="n">
        <x:v>729.9945316064623</x:v>
      </x:c>
      <x:c r="Q767" s="62" t="n">
        <x:v>1.1433203366593403</x:v>
      </x:c>
      <x:c r="R767" s="64" t="n">
        <x:v>0.14332033665934021</x:v>
      </x:c>
    </x:row>
    <x:row r="768" ht="18" customHeight="1">
      <x:c r="A768" s="46" t="str">
        <x:v>HS_021</x:v>
      </x:c>
      <x:c r="B768" s="46" t="str">
        <x:v>Atlantic, Northwest</x:v>
      </x:c>
      <x:c r="C768" s="46" t="str">
        <x:v>functional</x:v>
      </x:c>
      <x:c r="D768" s="46" t="str">
        <x:v>Medium demersals (30 - 89 cm)</x:v>
      </x:c>
      <x:c r="E768" s="66" t="n">
        <x:v>5</x:v>
      </x:c>
      <x:c r="F768" s="66" t="n">
        <x:v>5</x:v>
      </x:c>
      <x:c r="G768" s="60" t="n">
        <x:v>4558.9808774374</x:v>
      </x:c>
      <x:c r="H768" s="60" t="n">
        <x:v>4558.9808774374</x:v>
      </x:c>
      <x:c r="I768" s="62" t="n">
        <x:v>0</x:v>
      </x:c>
      <x:c r="J768" s="64" t="n">
        <x:v>1</x:v>
      </x:c>
      <x:c r="K768" s="62" t="n">
        <x:v>492.3805120931354</x:v>
      </x:c>
      <x:c r="L768" s="60" t="n">
        <x:v>2244753.3390554385</x:v>
      </x:c>
      <x:c r="M768" s="62" t="n">
        <x:v>3.411609220948551</x:v>
      </x:c>
      <x:c r="N768" s="62" t="n">
        <x:v>257.99377127445615</x:v>
      </x:c>
      <x:c r="O768" s="60" t="n">
        <x:v>1176188.669738204</x:v>
      </x:c>
      <x:c r="P768" s="60" t="n">
        <x:v>1068564.6693172345</x:v>
      </x:c>
      <x:c r="Q768" s="62" t="n">
        <x:v>1.9084976728734138</x:v>
      </x:c>
      <x:c r="R768" s="64" t="n">
        <x:v>0.9084976728734138</x:v>
      </x:c>
    </x:row>
    <x:row r="769" ht="18" customHeight="1">
      <x:c r="A769" s="46" t="str">
        <x:v>HS_021</x:v>
      </x:c>
      <x:c r="B769" s="46" t="str">
        <x:v>Atlantic, Northwest</x:v>
      </x:c>
      <x:c r="C769" s="46" t="str">
        <x:v>functional</x:v>
      </x:c>
      <x:c r="D769" s="46" t="str">
        <x:v>Medium pelagics (30 - 89 cm)</x:v>
      </x:c>
      <x:c r="E769" s="66" t="n">
        <x:v>4</x:v>
      </x:c>
      <x:c r="F769" s="66" t="n">
        <x:v>4</x:v>
      </x:c>
      <x:c r="G769" s="60" t="n">
        <x:v>41.4455481935</x:v>
      </x:c>
      <x:c r="H769" s="60" t="n">
        <x:v>41.4455481935</x:v>
      </x:c>
      <x:c r="I769" s="62" t="n">
        <x:v>0</x:v>
      </x:c>
      <x:c r="J769" s="64" t="n">
        <x:v>1</x:v>
      </x:c>
      <x:c r="K769" s="62" t="n">
        <x:v>283.9215717375757</x:v>
      </x:c>
      <x:c r="L769" s="60" t="n">
        <x:v>11767.285184623961</x:v>
      </x:c>
      <x:c r="M769" s="62" t="n">
        <x:v>3.418446162863106</x:v>
      </x:c>
      <x:c r="N769" s="62" t="n">
        <x:v>262.0874122913532</x:v>
      </x:c>
      <x:c r="O769" s="60" t="n">
        <x:v>10862.356477030984</x:v>
      </x:c>
      <x:c r="P769" s="60" t="n">
        <x:v>904.9287075929769</x:v>
      </x:c>
      <x:c r="Q769" s="62" t="n">
        <x:v>1.0833086917655939</x:v>
      </x:c>
      <x:c r="R769" s="64" t="n">
        <x:v>0.08330869176559393</x:v>
      </x:c>
    </x:row>
    <x:row r="770" ht="18" customHeight="1">
      <x:c r="A770" s="46" t="str">
        <x:v>HS_021</x:v>
      </x:c>
      <x:c r="B770" s="46" t="str">
        <x:v>Atlantic, Northwest</x:v>
      </x:c>
      <x:c r="C770" s="46" t="str">
        <x:v>functional</x:v>
      </x:c>
      <x:c r="D770" s="46" t="str">
        <x:v>Other demersal invertebrates</x:v>
      </x:c>
      <x:c r="E770" s="66" t="n">
        <x:v>1</x:v>
      </x:c>
      <x:c r="F770" s="66" t="n">
        <x:v>1</x:v>
      </x:c>
      <x:c r="G770" s="60" t="n">
        <x:v>3.4029850746</x:v>
      </x:c>
      <x:c r="H770" s="60" t="n">
        <x:v>3.4029850746</x:v>
      </x:c>
      <x:c r="I770" s="62" t="n">
        <x:v>0</x:v>
      </x:c>
      <x:c r="J770" s="64" t="n">
        <x:v>1</x:v>
      </x:c>
      <x:c r="K770" s="62" t="n">
        <x:v>12.589254117941673</x:v>
      </x:c>
      <x:c r="L770" s="60" t="n">
        <x:v>42.841043863702104</x:v>
      </x:c>
      <x:c r="M770" s="62" t="n">
        <x:v>2.1</x:v>
      </x:c>
      <x:c r="N770" s="62" t="n">
        <x:v>12.589254117941675</x:v>
      </x:c>
      <x:c r="O770" s="60" t="n">
        <x:v>42.841043863702104</x:v>
      </x:c>
      <x:c r="P770" s="60" t="n">
        <x:v>0</x:v>
      </x:c>
      <x:c r="Q770" s="62" t="n">
        <x:v>1</x:v>
      </x:c>
      <x:c r="R770" s="64" t="n">
        <x:v>0</x:v>
      </x:c>
    </x:row>
    <x:row r="771" ht="18" customHeight="1">
      <x:c r="A771" s="46" t="str">
        <x:v>HS_021</x:v>
      </x:c>
      <x:c r="B771" s="46" t="str">
        <x:v>Atlantic, Northwest</x:v>
      </x:c>
      <x:c r="C771" s="46" t="str">
        <x:v>functional</x:v>
      </x:c>
      <x:c r="D771" s="46" t="str">
        <x:v>Shrimps</x:v>
      </x:c>
      <x:c r="E771" s="66" t="n">
        <x:v>2</x:v>
      </x:c>
      <x:c r="F771" s="66" t="n">
        <x:v>2</x:v>
      </x:c>
      <x:c r="G771" s="60" t="n">
        <x:v>7.230835736</x:v>
      </x:c>
      <x:c r="H771" s="60" t="n">
        <x:v>7.230835736</x:v>
      </x:c>
      <x:c r="I771" s="62" t="n">
        <x:v>0</x:v>
      </x:c>
      <x:c r="J771" s="64" t="n">
        <x:v>1</x:v>
      </x:c>
      <x:c r="K771" s="62" t="n">
        <x:v>117.46031460556223</x:v>
      </x:c>
      <x:c r="L771" s="60" t="n">
        <x:v>849.3362404117022</x:v>
      </x:c>
      <x:c r="M771" s="62" t="n">
        <x:v>3.0698383113875507</x:v>
      </x:c>
      <x:c r="N771" s="62" t="n">
        <x:v>117.44602198936094</x:v>
      </x:c>
      <x:c r="O771" s="60" t="n">
        <x:v>849.232892851713</x:v>
      </x:c>
      <x:c r="P771" s="60" t="n">
        <x:v>0.10334755998917444</x:v>
      </x:c>
      <x:c r="Q771" s="62" t="n">
        <x:v>1.0001216951920482</x:v>
      </x:c>
      <x:c r="R771" s="64" t="n">
        <x:v>0.00012169519204812555</x:v>
      </x:c>
    </x:row>
    <x:row r="772" ht="18" customHeight="1">
      <x:c r="A772" s="46" t="str">
        <x:v>HS_021</x:v>
      </x:c>
      <x:c r="B772" s="46" t="str">
        <x:v>Atlantic, Northwest</x:v>
      </x:c>
      <x:c r="C772" s="46" t="str">
        <x:v>functional</x:v>
      </x:c>
      <x:c r="D772" s="46" t="str">
        <x:v>Small pelagics (&lt;30 cm)</x:v>
      </x:c>
      <x:c r="E772" s="66" t="n">
        <x:v>1</x:v>
      </x:c>
      <x:c r="F772" s="66" t="n">
        <x:v>1</x:v>
      </x:c>
      <x:c r="G772" s="60" t="n">
        <x:v>13.7906267014</x:v>
      </x:c>
      <x:c r="H772" s="60" t="n">
        <x:v>13.7906267014</x:v>
      </x:c>
      <x:c r="I772" s="62" t="n">
        <x:v>0</x:v>
      </x:c>
      <x:c r="J772" s="64" t="n">
        <x:v>1</x:v>
      </x:c>
      <x:c r="K772" s="62" t="n">
        <x:v>141.2537544622754</x:v>
      </x:c>
      <x:c r="L772" s="60" t="n">
        <x:v>1947.9777979604546</x:v>
      </x:c>
      <x:c r="M772" s="62" t="n">
        <x:v>3.1500000000000004</x:v>
      </x:c>
      <x:c r="N772" s="62" t="n">
        <x:v>141.25375446227554</x:v>
      </x:c>
      <x:c r="O772" s="60" t="n">
        <x:v>1947.9777979604564</x:v>
      </x:c>
      <x:c r="P772" s="60" t="n">
        <x:v>-1.8189894035458565e-12</x:v>
      </x:c>
      <x:c r="Q772" s="62" t="n">
        <x:v>0.9999999999999991</x:v>
      </x:c>
      <x:c r="R772" s="64" t="n">
        <x:v>-9.337834370855502e-16</x:v>
      </x:c>
    </x:row>
    <x:row r="773" ht="18" customHeight="1">
      <x:c r="A773" s="46" t="str">
        <x:v>HS_021</x:v>
      </x:c>
      <x:c r="B773" s="46" t="str">
        <x:v>Atlantic, Northwest</x:v>
      </x:c>
      <x:c r="C773" s="46" t="str">
        <x:v>functional</x:v>
      </x:c>
      <x:c r="D773" s="46" t="str">
        <x:v>Small to medium flatfishes (&lt;90 cm)</x:v>
      </x:c>
      <x:c r="E773" s="66" t="n">
        <x:v>4</x:v>
      </x:c>
      <x:c r="F773" s="66" t="n">
        <x:v>4</x:v>
      </x:c>
      <x:c r="G773" s="60" t="n">
        <x:v>14761.9377188538</x:v>
      </x:c>
      <x:c r="H773" s="60" t="n">
        <x:v>14761.9377188538</x:v>
      </x:c>
      <x:c r="I773" s="62" t="n">
        <x:v>0</x:v>
      </x:c>
      <x:c r="J773" s="64" t="n">
        <x:v>1</x:v>
      </x:c>
      <x:c r="K773" s="62" t="n">
        <x:v>1893.5648937251644</x:v>
      </x:c>
      <x:c r="L773" s="60" t="n">
        <x:v>27952687.027778894</x:v>
      </x:c>
      <x:c r="M773" s="62" t="n">
        <x:v>4.168986732912251</x:v>
      </x:c>
      <x:c r="N773" s="62" t="n">
        <x:v>1475.6614531981083</x:v>
      </x:c>
      <x:c r="O773" s="60" t="n">
        <x:v>21783622.46622377</x:v>
      </x:c>
      <x:c r="P773" s="60" t="n">
        <x:v>6169064.561555125</x:v>
      </x:c>
      <x:c r="Q773" s="62" t="n">
        <x:v>1.2831973686250056</x:v>
      </x:c>
      <x:c r="R773" s="64" t="n">
        <x:v>0.28319736862500555</x:v>
      </x:c>
    </x:row>
    <x:row r="774" ht="18" customHeight="1">
      <x:c r="A774" s="46" t="str">
        <x:v>HS_021</x:v>
      </x:c>
      <x:c r="B774" s="46" t="str">
        <x:v>Atlantic, Northwest</x:v>
      </x:c>
      <x:c r="C774" s="46" t="str">
        <x:v>functional</x:v>
      </x:c>
      <x:c r="D774" s="46" t="str">
        <x:v>Small to medium sharks (&lt;90 cm)</x:v>
      </x:c>
      <x:c r="E774" s="66" t="n">
        <x:v>1</x:v>
      </x:c>
      <x:c r="F774" s="66" t="n">
        <x:v>1</x:v>
      </x:c>
      <x:c r="G774" s="60" t="n">
        <x:v>0.1276234665</x:v>
      </x:c>
      <x:c r="H774" s="60" t="n">
        <x:v>0.1276234665</x:v>
      </x:c>
      <x:c r="I774" s="62" t="n">
        <x:v>0</x:v>
      </x:c>
      <x:c r="J774" s="64" t="n">
        <x:v>1</x:v>
      </x:c>
      <x:c r="K774" s="62" t="n">
        <x:v>691.8309709189363</x:v>
      </x:c>
      <x:c r="L774" s="60" t="n">
        <x:v>88.29386674073534</x:v>
      </x:c>
      <x:c r="M774" s="62" t="n">
        <x:v>3.84</x:v>
      </x:c>
      <x:c r="N774" s="62" t="n">
        <x:v>691.8309709189363</x:v>
      </x:c>
      <x:c r="O774" s="60" t="n">
        <x:v>88.29386674073534</x:v>
      </x:c>
      <x:c r="P774" s="60" t="n">
        <x:v>0</x:v>
      </x:c>
      <x:c r="Q774" s="62" t="n">
        <x:v>1</x:v>
      </x:c>
      <x:c r="R774" s="64" t="n">
        <x:v>0</x:v>
      </x:c>
    </x:row>
    <x:row r="775" ht="18" customHeight="1">
      <x:c r="A775" s="46" t="str">
        <x:v>HS_027</x:v>
      </x:c>
      <x:c r="B775" s="46" t="str">
        <x:v>Atlantic, Northeast</x:v>
      </x:c>
      <x:c r="C775" s="46" t="str">
        <x:v>functional</x:v>
      </x:c>
      <x:c r="D775" s="46" t="str">
        <x:v>Cephalopods</x:v>
      </x:c>
      <x:c r="E775" s="66" t="n">
        <x:v>6</x:v>
      </x:c>
      <x:c r="F775" s="66" t="n">
        <x:v>6</x:v>
      </x:c>
      <x:c r="G775" s="60" t="n">
        <x:v>34.8408420766</x:v>
      </x:c>
      <x:c r="H775" s="60" t="n">
        <x:v>34.8408420766</x:v>
      </x:c>
      <x:c r="I775" s="62" t="n">
        <x:v>0</x:v>
      </x:c>
      <x:c r="J775" s="64" t="n">
        <x:v>1</x:v>
      </x:c>
      <x:c r="K775" s="62" t="n">
        <x:v>904.7068547161857</x:v>
      </x:c>
      <x:c r="L775" s="60" t="n">
        <x:v>31520.748650784124</x:v>
      </x:c>
      <x:c r="M775" s="62" t="n">
        <x:v>3.9466581725229544</x:v>
      </x:c>
      <x:c r="N775" s="62" t="n">
        <x:v>884.4192210661059</x:v>
      </x:c>
      <x:c r="O775" s="60" t="n">
        <x:v>30813.91041067378</x:v>
      </x:c>
      <x:c r="P775" s="60" t="n">
        <x:v>706.8382401103445</x:v>
      </x:c>
      <x:c r="Q775" s="62" t="n">
        <x:v>1.0229389334456396</x:v>
      </x:c>
      <x:c r="R775" s="64" t="n">
        <x:v>0.022938933445639517</x:v>
      </x:c>
    </x:row>
    <x:row r="776" ht="18" customHeight="1">
      <x:c r="A776" s="46" t="str">
        <x:v>HS_027</x:v>
      </x:c>
      <x:c r="B776" s="46" t="str">
        <x:v>Atlantic, Northeast</x:v>
      </x:c>
      <x:c r="C776" s="46" t="str">
        <x:v>functional</x:v>
      </x:c>
      <x:c r="D776" s="46" t="str">
        <x:v>Large bathydemersals (&gt;=90 cm)</x:v>
      </x:c>
      <x:c r="E776" s="66" t="n">
        <x:v>2</x:v>
      </x:c>
      <x:c r="F776" s="66" t="n">
        <x:v>2</x:v>
      </x:c>
      <x:c r="G776" s="60" t="n">
        <x:v>2.2832826661</x:v>
      </x:c>
      <x:c r="H776" s="60" t="n">
        <x:v>2.2832826661</x:v>
      </x:c>
      <x:c r="I776" s="62" t="n">
        <x:v>0</x:v>
      </x:c>
      <x:c r="J776" s="64" t="n">
        <x:v>1</x:v>
      </x:c>
      <x:c r="K776" s="62" t="n">
        <x:v>2063.069206233082</x:v>
      </x:c>
      <x:c r="L776" s="60" t="n">
        <x:v>4710.570157556682</x:v>
      </x:c>
      <x:c r="M776" s="62" t="n">
        <x:v>4.203483888441455</x:v>
      </x:c>
      <x:c r="N776" s="62" t="n">
        <x:v>1597.6582576584722</x:v>
      </x:c>
      <x:c r="O776" s="60" t="n">
        <x:v>3647.905406063117</x:v>
      </x:c>
      <x:c r="P776" s="60" t="n">
        <x:v>1062.6647514935648</x:v>
      </x:c>
      <x:c r="Q776" s="62" t="n">
        <x:v>1.2913081983231607</x:v>
      </x:c>
      <x:c r="R776" s="64" t="n">
        <x:v>0.2913081983231608</x:v>
      </x:c>
    </x:row>
    <x:row r="777" ht="18" customHeight="1">
      <x:c r="A777" s="46" t="str">
        <x:v>HS_027</x:v>
      </x:c>
      <x:c r="B777" s="46" t="str">
        <x:v>Atlantic, Northeast</x:v>
      </x:c>
      <x:c r="C777" s="46" t="str">
        <x:v>functional</x:v>
      </x:c>
      <x:c r="D777" s="46" t="str">
        <x:v>Large bathypelagics (&gt;=90 cm)</x:v>
      </x:c>
      <x:c r="E777" s="66" t="n">
        <x:v>1</x:v>
      </x:c>
      <x:c r="F777" s="66" t="n">
        <x:v>1</x:v>
      </x:c>
      <x:c r="G777" s="60" t="n">
        <x:v>3.06399439</x:v>
      </x:c>
      <x:c r="H777" s="60" t="n">
        <x:v>3.06399439</x:v>
      </x:c>
      <x:c r="I777" s="62" t="n">
        <x:v>0</x:v>
      </x:c>
      <x:c r="J777" s="64" t="n">
        <x:v>1</x:v>
      </x:c>
      <x:c r="K777" s="62" t="n">
        <x:v>346.73685045253166</x:v>
      </x:c>
      <x:c r="L777" s="60" t="n">
        <x:v>1062.399764592826</x:v>
      </x:c>
      <x:c r="M777" s="62" t="n">
        <x:v>3.54</x:v>
      </x:c>
      <x:c r="N777" s="62" t="n">
        <x:v>346.73685045253166</x:v>
      </x:c>
      <x:c r="O777" s="60" t="n">
        <x:v>1062.399764592826</x:v>
      </x:c>
      <x:c r="P777" s="60" t="n">
        <x:v>0</x:v>
      </x:c>
      <x:c r="Q777" s="62" t="n">
        <x:v>1</x:v>
      </x:c>
      <x:c r="R777" s="64" t="n">
        <x:v>0</x:v>
      </x:c>
    </x:row>
    <x:row r="778" ht="18" customHeight="1">
      <x:c r="A778" s="46" t="str">
        <x:v>HS_027</x:v>
      </x:c>
      <x:c r="B778" s="46" t="str">
        <x:v>Atlantic, Northeast</x:v>
      </x:c>
      <x:c r="C778" s="46" t="str">
        <x:v>functional</x:v>
      </x:c>
      <x:c r="D778" s="46" t="str">
        <x:v>Large benthopelagics (&gt;=90 cm)</x:v>
      </x:c>
      <x:c r="E778" s="66" t="n">
        <x:v>5</x:v>
      </x:c>
      <x:c r="F778" s="66" t="n">
        <x:v>5</x:v>
      </x:c>
      <x:c r="G778" s="60" t="n">
        <x:v>10502.0326970513</x:v>
      </x:c>
      <x:c r="H778" s="60" t="n">
        <x:v>10502.0326970513</x:v>
      </x:c>
      <x:c r="I778" s="62" t="n">
        <x:v>0</x:v>
      </x:c>
      <x:c r="J778" s="64" t="n">
        <x:v>1</x:v>
      </x:c>
      <x:c r="K778" s="62" t="n">
        <x:v>1226.2107363346452</x:v>
      </x:c>
      <x:c r="L778" s="60" t="n">
        <x:v>12877705.246461794</x:v>
      </x:c>
      <x:c r="M778" s="62" t="n">
        <x:v>4.087882237396377</x:v>
      </x:c>
      <x:c r="N778" s="62" t="n">
        <x:v>1224.2841792937586</x:v>
      </x:c>
      <x:c r="O778" s="60" t="n">
        <x:v>12857472.481425669</x:v>
      </x:c>
      <x:c r="P778" s="60" t="n">
        <x:v>20232.765036124736</x:v>
      </x:c>
      <x:c r="Q778" s="62" t="n">
        <x:v>1.0015736191592364</x:v>
      </x:c>
      <x:c r="R778" s="64" t="n">
        <x:v>0.0015736191592362852</x:v>
      </x:c>
    </x:row>
    <x:row r="779" ht="18" customHeight="1">
      <x:c r="A779" s="46" t="str">
        <x:v>HS_027</x:v>
      </x:c>
      <x:c r="B779" s="46" t="str">
        <x:v>Atlantic, Northeast</x:v>
      </x:c>
      <x:c r="C779" s="46" t="str">
        <x:v>functional</x:v>
      </x:c>
      <x:c r="D779" s="46" t="str">
        <x:v>Large demersals (&gt;=90 cm)</x:v>
      </x:c>
      <x:c r="E779" s="66" t="n">
        <x:v>8</x:v>
      </x:c>
      <x:c r="F779" s="66" t="n">
        <x:v>8</x:v>
      </x:c>
      <x:c r="G779" s="60" t="n">
        <x:v>137.77031109429998</x:v>
      </x:c>
      <x:c r="H779" s="60" t="n">
        <x:v>137.77031109429998</x:v>
      </x:c>
      <x:c r="I779" s="62" t="n">
        <x:v>0</x:v>
      </x:c>
      <x:c r="J779" s="64" t="n">
        <x:v>1</x:v>
      </x:c>
      <x:c r="K779" s="62" t="n">
        <x:v>2277.252060708137</x:v>
      </x:c>
      <x:c r="L779" s="60" t="n">
        <x:v>313737.72484389576</x:v>
      </x:c>
      <x:c r="M779" s="62" t="n">
        <x:v>4.3257987707290075</x:v>
      </x:c>
      <x:c r="N779" s="62" t="n">
        <x:v>2117.3798252320753</x:v>
      </x:c>
      <x:c r="O779" s="60" t="n">
        <x:v>291712.07722701755</x:v>
      </x:c>
      <x:c r="P779" s="60" t="n">
        <x:v>22025.64761687821</x:v>
      </x:c>
      <x:c r="Q779" s="62" t="n">
        <x:v>1.0755047505274775</x:v>
      </x:c>
      <x:c r="R779" s="64" t="n">
        <x:v>0.0755047505274775</x:v>
      </x:c>
    </x:row>
    <x:row r="780" ht="18" customHeight="1">
      <x:c r="A780" s="46" t="str">
        <x:v>HS_027</x:v>
      </x:c>
      <x:c r="B780" s="46" t="str">
        <x:v>Atlantic, Northeast</x:v>
      </x:c>
      <x:c r="C780" s="46" t="str">
        <x:v>functional</x:v>
      </x:c>
      <x:c r="D780" s="46" t="str">
        <x:v>Large flatfishes (&gt;=90 cm)</x:v>
      </x:c>
      <x:c r="E780" s="66" t="n">
        <x:v>2</x:v>
      </x:c>
      <x:c r="F780" s="66" t="n">
        <x:v>2</x:v>
      </x:c>
      <x:c r="G780" s="60" t="n">
        <x:v>23.5301886455</x:v>
      </x:c>
      <x:c r="H780" s="60" t="n">
        <x:v>23.5301886455</x:v>
      </x:c>
      <x:c r="I780" s="62" t="n">
        <x:v>0</x:v>
      </x:c>
      <x:c r="J780" s="64" t="n">
        <x:v>1</x:v>
      </x:c>
      <x:c r="K780" s="62" t="n">
        <x:v>181.99613627540336</x:v>
      </x:c>
      <x:c r="L780" s="60" t="n">
        <x:v>4282.403419312367</x:v>
      </x:c>
      <x:c r="M780" s="62" t="n">
        <x:v>3.260023565527771</x:v>
      </x:c>
      <x:c r="N780" s="62" t="n">
        <x:v>181.9799601229004</x:v>
      </x:c>
      <x:c r="O780" s="60" t="n">
        <x:v>4282.022791392414</x:v>
      </x:c>
      <x:c r="P780" s="60" t="n">
        <x:v>0.38062791995344014</x:v>
      </x:c>
      <x:c r="Q780" s="62" t="n">
        <x:v>1.0000888897463878</x:v>
      </x:c>
      <x:c r="R780" s="64" t="n">
        <x:v>0.00008888974638775074</x:v>
      </x:c>
    </x:row>
    <x:row r="781" ht="18" customHeight="1">
      <x:c r="A781" s="46" t="str">
        <x:v>HS_027</x:v>
      </x:c>
      <x:c r="B781" s="46" t="str">
        <x:v>Atlantic, Northeast</x:v>
      </x:c>
      <x:c r="C781" s="46" t="str">
        <x:v>functional</x:v>
      </x:c>
      <x:c r="D781" s="46" t="str">
        <x:v>Large pelagics (&gt;=90 cm)</x:v>
      </x:c>
      <x:c r="E781" s="66" t="n">
        <x:v>11</x:v>
      </x:c>
      <x:c r="F781" s="66" t="n">
        <x:v>11</x:v>
      </x:c>
      <x:c r="G781" s="60" t="n">
        <x:v>3351.7616588766996</x:v>
      </x:c>
      <x:c r="H781" s="60" t="n">
        <x:v>3351.7616588766996</x:v>
      </x:c>
      <x:c r="I781" s="62" t="n">
        <x:v>0</x:v>
      </x:c>
      <x:c r="J781" s="64" t="n">
        <x:v>1</x:v>
      </x:c>
      <x:c r="K781" s="62" t="n">
        <x:v>3229.5059349348435</x:v>
      </x:c>
      <x:c r="L781" s="60" t="n">
        <x:v>10824534.169829357</x:v>
      </x:c>
      <x:c r="M781" s="62" t="n">
        <x:v>4.5066114059922855</x:v>
      </x:c>
      <x:c r="N781" s="62" t="n">
        <x:v>3210.7863351959736</x:v>
      </x:c>
      <x:c r="O781" s="60" t="n">
        <x:v>10761790.533155095</x:v>
      </x:c>
      <x:c r="P781" s="60" t="n">
        <x:v>62743.63667426258</x:v>
      </x:c>
      <x:c r="Q781" s="62" t="n">
        <x:v>1.0058302228129194</x:v>
      </x:c>
      <x:c r="R781" s="64" t="n">
        <x:v>0.005830222812919559</x:v>
      </x:c>
    </x:row>
    <x:row r="782" ht="18" customHeight="1">
      <x:c r="A782" s="46" t="str">
        <x:v>HS_027</x:v>
      </x:c>
      <x:c r="B782" s="46" t="str">
        <x:v>Atlantic, Northeast</x:v>
      </x:c>
      <x:c r="C782" s="46" t="str">
        <x:v>functional</x:v>
      </x:c>
      <x:c r="D782" s="46" t="str">
        <x:v>Large rays (&gt;=90 cm)</x:v>
      </x:c>
      <x:c r="E782" s="66" t="n">
        <x:v>4</x:v>
      </x:c>
      <x:c r="F782" s="66" t="n">
        <x:v>4</x:v>
      </x:c>
      <x:c r="G782" s="60" t="n">
        <x:v>0.7321454007999999</x:v>
      </x:c>
      <x:c r="H782" s="60" t="n">
        <x:v>0.7321454007999999</x:v>
      </x:c>
      <x:c r="I782" s="62" t="n">
        <x:v>0</x:v>
      </x:c>
      <x:c r="J782" s="64" t="n">
        <x:v>1</x:v>
      </x:c>
      <x:c r="K782" s="62" t="n">
        <x:v>401.7441419086158</x:v>
      </x:c>
      <x:c r="L782" s="60" t="n">
        <x:v>294.13512579673557</x:v>
      </x:c>
      <x:c r="M782" s="62" t="n">
        <x:v>3.6022111886904313</x:v>
      </x:c>
      <x:c r="N782" s="62" t="n">
        <x:v>400.13928216094115</x:v>
      </x:c>
      <x:c r="O782" s="60" t="n">
        <x:v>292.9601351135465</x:v>
      </x:c>
      <x:c r="P782" s="60" t="n">
        <x:v>1.174990683189037</x:v>
      </x:c>
      <x:c r="Q782" s="62" t="n">
        <x:v>1.004010752803393</x:v>
      </x:c>
      <x:c r="R782" s="64" t="n">
        <x:v>0.00401075280339296</x:v>
      </x:c>
    </x:row>
    <x:row r="783" ht="18" customHeight="1">
      <x:c r="A783" s="46" t="str">
        <x:v>HS_027</x:v>
      </x:c>
      <x:c r="B783" s="46" t="str">
        <x:v>Atlantic, Northeast</x:v>
      </x:c>
      <x:c r="C783" s="46" t="str">
        <x:v>functional</x:v>
      </x:c>
      <x:c r="D783" s="46" t="str">
        <x:v>Large reef assoc. fish (&gt;=90 cm)</x:v>
      </x:c>
      <x:c r="E783" s="66" t="n">
        <x:v>1</x:v>
      </x:c>
      <x:c r="F783" s="66" t="n">
        <x:v>1</x:v>
      </x:c>
      <x:c r="G783" s="60" t="n">
        <x:v>0.010525861999999999</x:v>
      </x:c>
      <x:c r="H783" s="60" t="n">
        <x:v>0.010525861999999999</x:v>
      </x:c>
      <x:c r="I783" s="62" t="n">
        <x:v>0</x:v>
      </x:c>
      <x:c r="J783" s="64" t="n">
        <x:v>1</x:v>
      </x:c>
      <x:c r="K783" s="62" t="n">
        <x:v>363.0780547701014</x:v>
      </x:c>
      <x:c r="L783" s="60" t="n">
        <x:v>3.8217094997385286</x:v>
      </x:c>
      <x:c r="M783" s="62" t="n">
        <x:v>3.56</x:v>
      </x:c>
      <x:c r="N783" s="62" t="n">
        <x:v>363.0780547701014</x:v>
      </x:c>
      <x:c r="O783" s="60" t="n">
        <x:v>3.8217094997385286</x:v>
      </x:c>
      <x:c r="P783" s="60" t="n">
        <x:v>0</x:v>
      </x:c>
      <x:c r="Q783" s="62" t="n">
        <x:v>1</x:v>
      </x:c>
      <x:c r="R783" s="64" t="n">
        <x:v>0</x:v>
      </x:c>
    </x:row>
    <x:row r="784" ht="18" customHeight="1">
      <x:c r="A784" s="46" t="str">
        <x:v>HS_027</x:v>
      </x:c>
      <x:c r="B784" s="46" t="str">
        <x:v>Atlantic, Northeast</x:v>
      </x:c>
      <x:c r="C784" s="46" t="str">
        <x:v>functional</x:v>
      </x:c>
      <x:c r="D784" s="46" t="str">
        <x:v>Large sharks (&gt;=90 cm)</x:v>
      </x:c>
      <x:c r="E784" s="66" t="n">
        <x:v>10</x:v>
      </x:c>
      <x:c r="F784" s="66" t="n">
        <x:v>10</x:v>
      </x:c>
      <x:c r="G784" s="60" t="n">
        <x:v>4610.862586613201</x:v>
      </x:c>
      <x:c r="H784" s="60" t="n">
        <x:v>4610.862586613201</x:v>
      </x:c>
      <x:c r="I784" s="62" t="n">
        <x:v>0</x:v>
      </x:c>
      <x:c r="J784" s="64" t="n">
        <x:v>1</x:v>
      </x:c>
      <x:c r="K784" s="62" t="n">
        <x:v>2248.317961440126</x:v>
      </x:c>
      <x:c r="L784" s="60" t="n">
        <x:v>10366685.171214739</x:v>
      </x:c>
      <x:c r="M784" s="62" t="n">
        <x:v>4.347249520246441</x:v>
      </x:c>
      <x:c r="N784" s="62" t="n">
        <x:v>2224.5876416983697</x:v>
      </x:c>
      <x:c r="O784" s="60" t="n">
        <x:v>10257267.927749105</x:v>
      </x:c>
      <x:c r="P784" s="60" t="n">
        <x:v>109417.24346563406</x:v>
      </x:c>
      <x:c r="Q784" s="62" t="n">
        <x:v>1.0106672892076483</x:v>
      </x:c>
      <x:c r="R784" s="64" t="n">
        <x:v>0.010667289207648202</x:v>
      </x:c>
    </x:row>
    <x:row r="785" ht="18" customHeight="1">
      <x:c r="A785" s="46" t="str">
        <x:v>HS_027</x:v>
      </x:c>
      <x:c r="B785" s="46" t="str">
        <x:v>Atlantic, Northeast</x:v>
      </x:c>
      <x:c r="C785" s="46" t="str">
        <x:v>functional</x:v>
      </x:c>
      <x:c r="D785" s="46" t="str">
        <x:v>Lobsters, crabs</x:v>
      </x:c>
      <x:c r="E785" s="66" t="n">
        <x:v>7</x:v>
      </x:c>
      <x:c r="F785" s="66" t="n">
        <x:v>7</x:v>
      </x:c>
      <x:c r="G785" s="60" t="n">
        <x:v>183.55478841680002</x:v>
      </x:c>
      <x:c r="H785" s="60" t="n">
        <x:v>183.55478841680002</x:v>
      </x:c>
      <x:c r="I785" s="62" t="n">
        <x:v>0</x:v>
      </x:c>
      <x:c r="J785" s="64" t="n">
        <x:v>1</x:v>
      </x:c>
      <x:c r="K785" s="62" t="n">
        <x:v>254.53066720991404</x:v>
      </x:c>
      <x:c r="L785" s="60" t="n">
        <x:v>46720.32276530271</x:v>
      </x:c>
      <x:c r="M785" s="62" t="n">
        <x:v>3.3106818070735304</x:v>
      </x:c>
      <x:c r="N785" s="62" t="n">
        <x:v>204.49458248581738</x:v>
      </x:c>
      <x:c r="O785" s="60" t="n">
        <x:v>37535.959820566066</x:v>
      </x:c>
      <x:c r="P785" s="60" t="n">
        <x:v>9184.362944736647</x:v>
      </x:c>
      <x:c r="Q785" s="62" t="n">
        <x:v>1.2446817129131864</x:v>
      </x:c>
      <x:c r="R785" s="64" t="n">
        <x:v>0.24468171291318644</x:v>
      </x:c>
    </x:row>
    <x:row r="786" ht="18" customHeight="1">
      <x:c r="A786" s="46" t="str">
        <x:v>HS_027</x:v>
      </x:c>
      <x:c r="B786" s="46" t="str">
        <x:v>Atlantic, Northeast</x:v>
      </x:c>
      <x:c r="C786" s="46" t="str">
        <x:v>functional</x:v>
      </x:c>
      <x:c r="D786" s="46" t="str">
        <x:v>Medium bathydemersals (30 - 89 cm)</x:v>
      </x:c>
      <x:c r="E786" s="66" t="n">
        <x:v>5</x:v>
      </x:c>
      <x:c r="F786" s="66" t="n">
        <x:v>5</x:v>
      </x:c>
      <x:c r="G786" s="60" t="n">
        <x:v>770.1112416077</x:v>
      </x:c>
      <x:c r="H786" s="60" t="n">
        <x:v>770.1112416077</x:v>
      </x:c>
      <x:c r="I786" s="62" t="n">
        <x:v>0</x:v>
      </x:c>
      <x:c r="J786" s="64" t="n">
        <x:v>1</x:v>
      </x:c>
      <x:c r="K786" s="62" t="n">
        <x:v>2883.5694759504036</x:v>
      </x:c>
      <x:c r="L786" s="60" t="n">
        <x:v>2220669.26938623</x:v>
      </x:c>
      <x:c r="M786" s="62" t="n">
        <x:v>4.459815799657054</x:v>
      </x:c>
      <x:c r="N786" s="62" t="n">
        <x:v>2882.8085381320543</x:v>
      </x:c>
      <x:c r="O786" s="60" t="n">
        <x:v>2220083.2626181548</x:v>
      </x:c>
      <x:c r="P786" s="60" t="n">
        <x:v>586.0067680752836</x:v>
      </x:c>
      <x:c r="Q786" s="62" t="n">
        <x:v>1.0002639571127545</x:v>
      </x:c>
      <x:c r="R786" s="64" t="n">
        <x:v>0.0002639571127545023</x:v>
      </x:c>
    </x:row>
    <x:row r="787" ht="18" customHeight="1">
      <x:c r="A787" s="46" t="str">
        <x:v>HS_027</x:v>
      </x:c>
      <x:c r="B787" s="46" t="str">
        <x:v>Atlantic, Northeast</x:v>
      </x:c>
      <x:c r="C787" s="46" t="str">
        <x:v>functional</x:v>
      </x:c>
      <x:c r="D787" s="46" t="str">
        <x:v>Medium bathypelagics (30 - 89 cm)</x:v>
      </x:c>
      <x:c r="E787" s="66" t="n">
        <x:v>4</x:v>
      </x:c>
      <x:c r="F787" s="66" t="n">
        <x:v>4</x:v>
      </x:c>
      <x:c r="G787" s="60" t="n">
        <x:v>9.893085539999998</x:v>
      </x:c>
      <x:c r="H787" s="60" t="n">
        <x:v>9.893085539999998</x:v>
      </x:c>
      <x:c r="I787" s="62" t="n">
        <x:v>0</x:v>
      </x:c>
      <x:c r="J787" s="64" t="n">
        <x:v>1</x:v>
      </x:c>
      <x:c r="K787" s="62" t="n">
        <x:v>1053.496945489255</x:v>
      </x:c>
      <x:c r="L787" s="60" t="n">
        <x:v>10422.335397853914</x:v>
      </x:c>
      <x:c r="M787" s="62" t="n">
        <x:v>3.9959083906462416</x:v>
      </x:c>
      <x:c r="N787" s="62" t="n">
        <x:v>990.6229624966537</x:v>
      </x:c>
      <x:c r="O787" s="60" t="n">
        <x:v>9800.317705867605</x:v>
      </x:c>
      <x:c r="P787" s="60" t="n">
        <x:v>622.0176919863097</x:v>
      </x:c>
      <x:c r="Q787" s="62" t="n">
        <x:v>1.063469135456078</x:v>
      </x:c>
      <x:c r="R787" s="64" t="n">
        <x:v>0.06346913545607791</x:v>
      </x:c>
    </x:row>
    <x:row r="788" ht="18" customHeight="1">
      <x:c r="A788" s="46" t="str">
        <x:v>HS_027</x:v>
      </x:c>
      <x:c r="B788" s="46" t="str">
        <x:v>Atlantic, Northeast</x:v>
      </x:c>
      <x:c r="C788" s="46" t="str">
        <x:v>functional</x:v>
      </x:c>
      <x:c r="D788" s="46" t="str">
        <x:v>Medium benthopelagics (30 - 89 cm)</x:v>
      </x:c>
      <x:c r="E788" s="66" t="n">
        <x:v>10</x:v>
      </x:c>
      <x:c r="F788" s="66" t="n">
        <x:v>10</x:v>
      </x:c>
      <x:c r="G788" s="60" t="n">
        <x:v>16317.0543874085</x:v>
      </x:c>
      <x:c r="H788" s="60" t="n">
        <x:v>16317.0543874085</x:v>
      </x:c>
      <x:c r="I788" s="62" t="n">
        <x:v>0</x:v>
      </x:c>
      <x:c r="J788" s="64" t="n">
        <x:v>1</x:v>
      </x:c>
      <x:c r="K788" s="62" t="n">
        <x:v>1348.6681586746643</x:v>
      </x:c>
      <x:c r="L788" s="60" t="n">
        <x:v>22006291.695660572</x:v>
      </x:c>
      <x:c r="M788" s="62" t="n">
        <x:v>4.129873127254639</x:v>
      </x:c>
      <x:c r="N788" s="62" t="n">
        <x:v>1348.5688604824973</x:v>
      </x:c>
      <x:c r="O788" s="60" t="n">
        <x:v>22004671.44165841</x:v>
      </x:c>
      <x:c r="P788" s="60" t="n">
        <x:v>1620.254002161324</x:v>
      </x:c>
      <x:c r="Q788" s="62" t="n">
        <x:v>1.0000736322742403</x:v>
      </x:c>
      <x:c r="R788" s="64" t="n">
        <x:v>0.00007363227424036519</x:v>
      </x:c>
    </x:row>
    <x:row r="789" ht="18" customHeight="1">
      <x:c r="A789" s="46" t="str">
        <x:v>HS_027</x:v>
      </x:c>
      <x:c r="B789" s="46" t="str">
        <x:v>Atlantic, Northeast</x:v>
      </x:c>
      <x:c r="C789" s="46" t="str">
        <x:v>functional</x:v>
      </x:c>
      <x:c r="D789" s="46" t="str">
        <x:v>Medium demersals (30 - 89 cm)</x:v>
      </x:c>
      <x:c r="E789" s="66" t="n">
        <x:v>7</x:v>
      </x:c>
      <x:c r="F789" s="66" t="n">
        <x:v>7</x:v>
      </x:c>
      <x:c r="G789" s="60" t="n">
        <x:v>697406.4219323833</x:v>
      </x:c>
      <x:c r="H789" s="60" t="n">
        <x:v>697406.4219323833</x:v>
      </x:c>
      <x:c r="I789" s="62" t="n">
        <x:v>0</x:v>
      </x:c>
      <x:c r="J789" s="64" t="n">
        <x:v>1</x:v>
      </x:c>
      <x:c r="K789" s="62" t="n">
        <x:v>190.5794118020898</x:v>
      </x:c>
      <x:c r="L789" s="60" t="n">
        <x:v>132911305.67887367</x:v>
      </x:c>
      <x:c r="M789" s="62" t="n">
        <x:v>3.2800466769016055</x:v>
      </x:c>
      <x:c r="N789" s="62" t="n">
        <x:v>190.56655231954178</x:v>
      </x:c>
      <x:c r="O789" s="60" t="n">
        <x:v>132902337.39316197</x:v>
      </x:c>
      <x:c r="P789" s="60" t="n">
        <x:v>8968.285711705685</x:v>
      </x:c>
      <x:c r="Q789" s="62" t="n">
        <x:v>1.0000674802707583</x:v>
      </x:c>
      <x:c r="R789" s="64" t="n">
        <x:v>0.00006748027075833143</x:v>
      </x:c>
    </x:row>
    <x:row r="790" ht="18" customHeight="1">
      <x:c r="A790" s="46" t="str">
        <x:v>HS_027</x:v>
      </x:c>
      <x:c r="B790" s="46" t="str">
        <x:v>Atlantic, Northeast</x:v>
      </x:c>
      <x:c r="C790" s="46" t="str">
        <x:v>functional</x:v>
      </x:c>
      <x:c r="D790" s="46" t="str">
        <x:v>Medium pelagics (30 - 89 cm)</x:v>
      </x:c>
      <x:c r="E790" s="66" t="n">
        <x:v>15</x:v>
      </x:c>
      <x:c r="F790" s="66" t="n">
        <x:v>15</x:v>
      </x:c>
      <x:c r="G790" s="60" t="n">
        <x:v>1443.9948900258</x:v>
      </x:c>
      <x:c r="H790" s="60" t="n">
        <x:v>1443.9948900258</x:v>
      </x:c>
      <x:c r="I790" s="62" t="n">
        <x:v>0</x:v>
      </x:c>
      <x:c r="J790" s="64" t="n">
        <x:v>1</x:v>
      </x:c>
      <x:c r="K790" s="62" t="n">
        <x:v>333.5786954371946</x:v>
      </x:c>
      <x:c r="L790" s="60" t="n">
        <x:v>481685.9316327817</x:v>
      </x:c>
      <x:c r="M790" s="62" t="n">
        <x:v>3.4184490729567605</x:v>
      </x:c>
      <x:c r="N790" s="62" t="n">
        <x:v>262.08916847639017</x:v>
      </x:c>
      <x:c r="O790" s="60" t="n">
        <x:v>378455.4200110184</x:v>
      </x:c>
      <x:c r="P790" s="60" t="n">
        <x:v>103230.51162176329</x:v>
      </x:c>
      <x:c r="Q790" s="62" t="n">
        <x:v>1.272767956708766</x:v>
      </x:c>
      <x:c r="R790" s="64" t="n">
        <x:v>0.2727679567087659</x:v>
      </x:c>
    </x:row>
    <x:row r="791" ht="18" customHeight="1">
      <x:c r="A791" s="46" t="str">
        <x:v>HS_027</x:v>
      </x:c>
      <x:c r="B791" s="46" t="str">
        <x:v>Atlantic, Northeast</x:v>
      </x:c>
      <x:c r="C791" s="46" t="str">
        <x:v>functional</x:v>
      </x:c>
      <x:c r="D791" s="46" t="str">
        <x:v>Medium reef assoc. fish (30 - 89 cm)</x:v>
      </x:c>
      <x:c r="E791" s="66" t="n">
        <x:v>2</x:v>
      </x:c>
      <x:c r="F791" s="66" t="n">
        <x:v>2</x:v>
      </x:c>
      <x:c r="G791" s="60" t="n">
        <x:v>0.7478108564</x:v>
      </x:c>
      <x:c r="H791" s="60" t="n">
        <x:v>0.7478108564</x:v>
      </x:c>
      <x:c r="I791" s="62" t="n">
        <x:v>0</x:v>
      </x:c>
      <x:c r="J791" s="64" t="n">
        <x:v>1</x:v>
      </x:c>
      <x:c r="K791" s="62" t="n">
        <x:v>34.51936506289869</x:v>
      </x:c>
      <x:c r="L791" s="60" t="n">
        <x:v>25.81395595007051</x:v>
      </x:c>
      <x:c r="M791" s="62" t="n">
        <x:v>2.5323921822272166</x:v>
      </x:c>
      <x:c r="N791" s="62" t="n">
        <x:v>34.07157283506617</x:v>
      </x:c>
      <x:c r="O791" s="60" t="n">
        <x:v>25.479092060685808</x:v>
      </x:c>
      <x:c r="P791" s="60" t="n">
        <x:v>0.33486388938470313</x:v>
      </x:c>
      <x:c r="Q791" s="62" t="n">
        <x:v>1.013142693177101</x:v>
      </x:c>
      <x:c r="R791" s="64" t="n">
        <x:v>0.01314269317710098</x:v>
      </x:c>
    </x:row>
    <x:row r="792" ht="18" customHeight="1">
      <x:c r="A792" s="46" t="str">
        <x:v>HS_027</x:v>
      </x:c>
      <x:c r="B792" s="46" t="str">
        <x:v>Atlantic, Northeast</x:v>
      </x:c>
      <x:c r="C792" s="46" t="str">
        <x:v>functional</x:v>
      </x:c>
      <x:c r="D792" s="46" t="str">
        <x:v>Other demersal invertebrates</x:v>
      </x:c>
      <x:c r="E792" s="66" t="n">
        <x:v>13</x:v>
      </x:c>
      <x:c r="F792" s="66" t="n">
        <x:v>13</x:v>
      </x:c>
      <x:c r="G792" s="60" t="n">
        <x:v>29.482190523900005</x:v>
      </x:c>
      <x:c r="H792" s="60" t="n">
        <x:v>29.482190523900005</x:v>
      </x:c>
      <x:c r="I792" s="62" t="n">
        <x:v>0</x:v>
      </x:c>
      <x:c r="J792" s="64" t="n">
        <x:v>1</x:v>
      </x:c>
      <x:c r="K792" s="62" t="n">
        <x:v>18.364347325818073</x:v>
      </x:c>
      <x:c r="L792" s="60" t="n">
        <x:v>541.421186706842</x:v>
      </x:c>
      <x:c r="M792" s="62" t="n">
        <x:v>2.2313869744953934</x:v>
      </x:c>
      <x:c r="N792" s="62" t="n">
        <x:v>17.03675878533178</x:v>
      </x:c>
      <x:c r="O792" s="60" t="n">
        <x:v>502.2809684188788</x:v>
      </x:c>
      <x:c r="P792" s="60" t="n">
        <x:v>39.14021828796325</x:v>
      </x:c>
      <x:c r="Q792" s="62" t="n">
        <x:v>1.0779249478855868</x:v>
      </x:c>
      <x:c r="R792" s="64" t="n">
        <x:v>0.0779249478855869</x:v>
      </x:c>
    </x:row>
    <x:row r="793" ht="18" customHeight="1">
      <x:c r="A793" s="46" t="str">
        <x:v>HS_027</x:v>
      </x:c>
      <x:c r="B793" s="46" t="str">
        <x:v>Atlantic, Northeast</x:v>
      </x:c>
      <x:c r="C793" s="46" t="str">
        <x:v>functional</x:v>
      </x:c>
      <x:c r="D793" s="46" t="str">
        <x:v>Shrimps</x:v>
      </x:c>
      <x:c r="E793" s="66" t="n">
        <x:v>6</x:v>
      </x:c>
      <x:c r="F793" s="66" t="n">
        <x:v>6</x:v>
      </x:c>
      <x:c r="G793" s="60" t="n">
        <x:v>79.1296216783</x:v>
      </x:c>
      <x:c r="H793" s="60" t="n">
        <x:v>79.1296216783</x:v>
      </x:c>
      <x:c r="I793" s="62" t="n">
        <x:v>0</x:v>
      </x:c>
      <x:c r="J793" s="64" t="n">
        <x:v>1</x:v>
      </x:c>
      <x:c r="K793" s="62" t="n">
        <x:v>53.50898503321627</x:v>
      </x:c>
      <x:c r="L793" s="60" t="n">
        <x:v>4234.14574206822</x:v>
      </x:c>
      <x:c r="M793" s="62" t="n">
        <x:v>2.7158525128135804</x:v>
      </x:c>
      <x:c r="N793" s="62" t="n">
        <x:v>51.981943494074855</x:v>
      </x:c>
      <x:c r="O793" s="60" t="n">
        <x:v>4113.311522788911</x:v>
      </x:c>
      <x:c r="P793" s="60" t="n">
        <x:v>120.83421927930885</x:v>
      </x:c>
      <x:c r="Q793" s="62" t="n">
        <x:v>1.0293763841152932</x:v>
      </x:c>
      <x:c r="R793" s="64" t="n">
        <x:v>0.02937638411529325</x:v>
      </x:c>
    </x:row>
    <x:row r="794" ht="18" customHeight="1">
      <x:c r="A794" s="46" t="str">
        <x:v>HS_027</x:v>
      </x:c>
      <x:c r="B794" s="46" t="str">
        <x:v>Atlantic, Northeast</x:v>
      </x:c>
      <x:c r="C794" s="46" t="str">
        <x:v>functional</x:v>
      </x:c>
      <x:c r="D794" s="46" t="str">
        <x:v>Small pelagics (&lt;30 cm)</x:v>
      </x:c>
      <x:c r="E794" s="66" t="n">
        <x:v>5</x:v>
      </x:c>
      <x:c r="F794" s="66" t="n">
        <x:v>5</x:v>
      </x:c>
      <x:c r="G794" s="60" t="n">
        <x:v>11.4417240566</x:v>
      </x:c>
      <x:c r="H794" s="60" t="n">
        <x:v>11.4417240566</x:v>
      </x:c>
      <x:c r="I794" s="62" t="n">
        <x:v>0</x:v>
      </x:c>
      <x:c r="J794" s="64" t="n">
        <x:v>1</x:v>
      </x:c>
      <x:c r="K794" s="62" t="n">
        <x:v>133.50625095375906</x:v>
      </x:c>
      <x:c r="L794" s="60" t="n">
        <x:v>1527.5416832441017</x:v>
      </x:c>
      <x:c r="M794" s="62" t="n">
        <x:v>3.1199022605710938</x:v>
      </x:c>
      <x:c r="N794" s="62" t="n">
        <x:v>131.7960093840298</x:v>
      </x:c>
      <x:c r="O794" s="60" t="n">
        <x:v>1507.973571133133</x:v>
      </x:c>
      <x:c r="P794" s="60" t="n">
        <x:v>19.56811211096874</x:v>
      </x:c>
      <x:c r="Q794" s="62" t="n">
        <x:v>1.0129764290870593</x:v>
      </x:c>
      <x:c r="R794" s="64" t="n">
        <x:v>0.012976429087059345</x:v>
      </x:c>
    </x:row>
    <x:row r="795" ht="18" customHeight="1">
      <x:c r="A795" s="46" t="str">
        <x:v>HS_027</x:v>
      </x:c>
      <x:c r="B795" s="46" t="str">
        <x:v>Atlantic, Northeast</x:v>
      </x:c>
      <x:c r="C795" s="46" t="str">
        <x:v>functional</x:v>
      </x:c>
      <x:c r="D795" s="46" t="str">
        <x:v>Small to medium flatfishes (&lt;90 cm)</x:v>
      </x:c>
      <x:c r="E795" s="66" t="n">
        <x:v>7</x:v>
      </x:c>
      <x:c r="F795" s="66" t="n">
        <x:v>7</x:v>
      </x:c>
      <x:c r="G795" s="60" t="n">
        <x:v>13.570555868099998</x:v>
      </x:c>
      <x:c r="H795" s="60" t="n">
        <x:v>13.570555868099998</x:v>
      </x:c>
      <x:c r="I795" s="62" t="n">
        <x:v>0</x:v>
      </x:c>
      <x:c r="J795" s="64" t="n">
        <x:v>1</x:v>
      </x:c>
      <x:c r="K795" s="62" t="n">
        <x:v>224.67396205460275</x:v>
      </x:c>
      <x:c r="L795" s="60" t="n">
        <x:v>3048.9505541693657</x:v>
      </x:c>
      <x:c r="M795" s="62" t="n">
        <x:v>3.2613229822768135</x:v>
      </x:c>
      <x:c r="N795" s="62" t="n">
        <x:v>182.5252627437</x:v>
      </x:c>
      <x:c r="O795" s="60" t="n">
        <x:v>2476.969275403012</x:v>
      </x:c>
      <x:c r="P795" s="60" t="n">
        <x:v>571.9812787663536</x:v>
      </x:c>
      <x:c r="Q795" s="62" t="n">
        <x:v>1.2309198117418272</x:v>
      </x:c>
      <x:c r="R795" s="64" t="n">
        <x:v>0.23091981174182719</x:v>
      </x:c>
    </x:row>
    <x:row r="796" ht="18" customHeight="1">
      <x:c r="A796" s="46" t="str">
        <x:v>HS_031</x:v>
      </x:c>
      <x:c r="B796" s="46" t="str">
        <x:v>Atlantic, Western Central</x:v>
      </x:c>
      <x:c r="C796" s="46" t="str">
        <x:v>functional</x:v>
      </x:c>
      <x:c r="D796" s="46" t="str">
        <x:v>Large pelagics (&gt;=90 cm)</x:v>
      </x:c>
      <x:c r="E796" s="66" t="n">
        <x:v>16</x:v>
      </x:c>
      <x:c r="F796" s="66" t="n">
        <x:v>16</x:v>
      </x:c>
      <x:c r="G796" s="60" t="n">
        <x:v>12023.375190387502</x:v>
      </x:c>
      <x:c r="H796" s="60" t="n">
        <x:v>12023.375190387502</x:v>
      </x:c>
      <x:c r="I796" s="62" t="n">
        <x:v>0</x:v>
      </x:c>
      <x:c r="J796" s="64" t="n">
        <x:v>1</x:v>
      </x:c>
      <x:c r="K796" s="62" t="n">
        <x:v>2515.912754143413</x:v>
      </x:c>
      <x:c r="L796" s="60" t="n">
        <x:v>30249762.989347406</x:v>
      </x:c>
      <x:c r="M796" s="62" t="n">
        <x:v>4.394120367877951</x:v>
      </x:c>
      <x:c r="N796" s="62" t="n">
        <x:v>2478.1087883575874</x:v>
      </x:c>
      <x:c r="O796" s="60" t="n">
        <x:v>29795231.72501985</x:v>
      </x:c>
      <x:c r="P796" s="60" t="n">
        <x:v>454531.2643275559</x:v>
      </x:c>
      <x:c r="Q796" s="62" t="n">
        <x:v>1.0152551679584982</x:v>
      </x:c>
      <x:c r="R796" s="64" t="n">
        <x:v>0.015255167958498335</x:v>
      </x:c>
    </x:row>
    <x:row r="797" ht="18" customHeight="1">
      <x:c r="A797" s="46" t="str">
        <x:v>HS_031</x:v>
      </x:c>
      <x:c r="B797" s="46" t="str">
        <x:v>Atlantic, Western Central</x:v>
      </x:c>
      <x:c r="C797" s="46" t="str">
        <x:v>functional</x:v>
      </x:c>
      <x:c r="D797" s="46" t="str">
        <x:v>Large reef assoc. fish (&gt;=90 cm)</x:v>
      </x:c>
      <x:c r="E797" s="66" t="n">
        <x:v>1</x:v>
      </x:c>
      <x:c r="F797" s="66" t="n">
        <x:v>1</x:v>
      </x:c>
      <x:c r="G797" s="60" t="n">
        <x:v>0.0206110207</x:v>
      </x:c>
      <x:c r="H797" s="60" t="n">
        <x:v>0.0206110207</x:v>
      </x:c>
      <x:c r="I797" s="62" t="n">
        <x:v>0</x:v>
      </x:c>
      <x:c r="J797" s="64" t="n">
        <x:v>1</x:v>
      </x:c>
      <x:c r="K797" s="62" t="n">
        <x:v>363.0780547701014</x:v>
      </x:c>
      <x:c r="L797" s="60" t="n">
        <x:v>7.483409302582293</x:v>
      </x:c>
      <x:c r="M797" s="62" t="n">
        <x:v>3.56</x:v>
      </x:c>
      <x:c r="N797" s="62" t="n">
        <x:v>363.0780547701014</x:v>
      </x:c>
      <x:c r="O797" s="60" t="n">
        <x:v>7.483409302582293</x:v>
      </x:c>
      <x:c r="P797" s="60" t="n">
        <x:v>0</x:v>
      </x:c>
      <x:c r="Q797" s="62" t="n">
        <x:v>1</x:v>
      </x:c>
      <x:c r="R797" s="64" t="n">
        <x:v>0</x:v>
      </x:c>
    </x:row>
    <x:row r="798" ht="18" customHeight="1">
      <x:c r="A798" s="46" t="str">
        <x:v>HS_031</x:v>
      </x:c>
      <x:c r="B798" s="46" t="str">
        <x:v>Atlantic, Western Central</x:v>
      </x:c>
      <x:c r="C798" s="46" t="str">
        <x:v>functional</x:v>
      </x:c>
      <x:c r="D798" s="46" t="str">
        <x:v>Large sharks (&gt;=90 cm)</x:v>
      </x:c>
      <x:c r="E798" s="66" t="n">
        <x:v>9</x:v>
      </x:c>
      <x:c r="F798" s="66" t="n">
        <x:v>9</x:v>
      </x:c>
      <x:c r="G798" s="60" t="n">
        <x:v>757.0219326704</x:v>
      </x:c>
      <x:c r="H798" s="60" t="n">
        <x:v>757.0219326704</x:v>
      </x:c>
      <x:c r="I798" s="62" t="n">
        <x:v>0</x:v>
      </x:c>
      <x:c r="J798" s="64" t="n">
        <x:v>1</x:v>
      </x:c>
      <x:c r="K798" s="62" t="n">
        <x:v>1865.8178354020285</x:v>
      </x:c>
      <x:c r="L798" s="60" t="n">
        <x:v>1412465.023766946</x:v>
      </x:c>
      <x:c r="M798" s="62" t="n">
        <x:v>4.248051555732182</x:v>
      </x:c>
      <x:c r="N798" s="62" t="n">
        <x:v>1770.319103009942</x:v>
      </x:c>
      <x:c r="O798" s="60" t="n">
        <x:v>1340170.3888039151</x:v>
      </x:c>
      <x:c r="P798" s="60" t="n">
        <x:v>72294.63496303093</x:v>
      </x:c>
      <x:c r="Q798" s="62" t="n">
        <x:v>1.0539443607820294</x:v>
      </x:c>
      <x:c r="R798" s="64" t="n">
        <x:v>0.053944360782029334</x:v>
      </x:c>
    </x:row>
    <x:row r="799" ht="18" customHeight="1">
      <x:c r="A799" s="46" t="str">
        <x:v>HS_031</x:v>
      </x:c>
      <x:c r="B799" s="46" t="str">
        <x:v>Atlantic, Western Central</x:v>
      </x:c>
      <x:c r="C799" s="46" t="str">
        <x:v>functional</x:v>
      </x:c>
      <x:c r="D799" s="46" t="str">
        <x:v>Medium bathypelagics (30 - 89 cm)</x:v>
      </x:c>
      <x:c r="E799" s="66" t="n">
        <x:v>1</x:v>
      </x:c>
      <x:c r="F799" s="66" t="n">
        <x:v>1</x:v>
      </x:c>
      <x:c r="G799" s="60" t="n">
        <x:v>0.0074160617</x:v>
      </x:c>
      <x:c r="H799" s="60" t="n">
        <x:v>0.0074160617</x:v>
      </x:c>
      <x:c r="I799" s="62" t="n">
        <x:v>0</x:v>
      </x:c>
      <x:c r="J799" s="64" t="n">
        <x:v>1</x:v>
      </x:c>
      <x:c r="K799" s="62" t="n">
        <x:v>1202.2644346174131</x:v>
      </x:c>
      <x:c r="L799" s="60" t="n">
        <x:v>8.91606722683835</x:v>
      </x:c>
      <x:c r="M799" s="62" t="n">
        <x:v>4.08</x:v>
      </x:c>
      <x:c r="N799" s="62" t="n">
        <x:v>1202.2644346174131</x:v>
      </x:c>
      <x:c r="O799" s="60" t="n">
        <x:v>8.91606722683835</x:v>
      </x:c>
      <x:c r="P799" s="60" t="n">
        <x:v>0</x:v>
      </x:c>
      <x:c r="Q799" s="62" t="n">
        <x:v>1</x:v>
      </x:c>
      <x:c r="R799" s="64" t="n">
        <x:v>0</x:v>
      </x:c>
    </x:row>
    <x:row r="800" ht="18" customHeight="1">
      <x:c r="A800" s="46" t="str">
        <x:v>HS_031</x:v>
      </x:c>
      <x:c r="B800" s="46" t="str">
        <x:v>Atlantic, Western Central</x:v>
      </x:c>
      <x:c r="C800" s="46" t="str">
        <x:v>functional</x:v>
      </x:c>
      <x:c r="D800" s="46" t="str">
        <x:v>Medium demersals (30 - 89 cm)</x:v>
      </x:c>
      <x:c r="E800" s="66" t="n">
        <x:v>1</x:v>
      </x:c>
      <x:c r="F800" s="66" t="n">
        <x:v>1</x:v>
      </x:c>
      <x:c r="G800" s="60" t="n">
        <x:v>3177.2183309122</x:v>
      </x:c>
      <x:c r="H800" s="60" t="n">
        <x:v>3177.2183309122</x:v>
      </x:c>
      <x:c r="I800" s="62" t="n">
        <x:v>0</x:v>
      </x:c>
      <x:c r="J800" s="64" t="n">
        <x:v>1</x:v>
      </x:c>
      <x:c r="K800" s="62" t="n">
        <x:v>190.54607179632464</x:v>
      </x:c>
      <x:c r="L800" s="60" t="n">
        <x:v>605406.4721945948</x:v>
      </x:c>
      <x:c r="M800" s="62" t="n">
        <x:v>3.28</x:v>
      </x:c>
      <x:c r="N800" s="62" t="n">
        <x:v>190.54607179632464</x:v>
      </x:c>
      <x:c r="O800" s="60" t="n">
        <x:v>605406.4721945948</x:v>
      </x:c>
      <x:c r="P800" s="60" t="n">
        <x:v>0</x:v>
      </x:c>
      <x:c r="Q800" s="62" t="n">
        <x:v>1</x:v>
      </x:c>
      <x:c r="R800" s="64" t="n">
        <x:v>0</x:v>
      </x:c>
    </x:row>
    <x:row r="801" ht="18" customHeight="1">
      <x:c r="A801" s="46" t="str">
        <x:v>HS_031</x:v>
      </x:c>
      <x:c r="B801" s="46" t="str">
        <x:v>Atlantic, Western Central</x:v>
      </x:c>
      <x:c r="C801" s="46" t="str">
        <x:v>functional</x:v>
      </x:c>
      <x:c r="D801" s="46" t="str">
        <x:v>Medium pelagics (30 - 89 cm)</x:v>
      </x:c>
      <x:c r="E801" s="66" t="n">
        <x:v>4</x:v>
      </x:c>
      <x:c r="F801" s="66" t="n">
        <x:v>4</x:v>
      </x:c>
      <x:c r="G801" s="60" t="n">
        <x:v>901.3677221762</x:v>
      </x:c>
      <x:c r="H801" s="60" t="n">
        <x:v>901.3677221762</x:v>
      </x:c>
      <x:c r="I801" s="62" t="n">
        <x:v>0</x:v>
      </x:c>
      <x:c r="J801" s="64" t="n">
        <x:v>1</x:v>
      </x:c>
      <x:c r="K801" s="62" t="n">
        <x:v>641.3226625455584</x:v>
      </x:c>
      <x:c r="L801" s="60" t="n">
        <x:v>578067.5475186658</x:v>
      </x:c>
      <x:c r="M801" s="62" t="n">
        <x:v>3.582818991610967</x:v>
      </x:c>
      <x:c r="N801" s="62" t="n">
        <x:v>382.6652201028891</x:v>
      </x:c>
      <x:c r="O801" s="60" t="n">
        <x:v>344922.0778001954</x:v>
      </x:c>
      <x:c r="P801" s="60" t="n">
        <x:v>233145.4697184704</x:v>
      </x:c>
      <x:c r="Q801" s="62" t="n">
        <x:v>1.6759366382268104</x:v>
      </x:c>
      <x:c r="R801" s="64" t="n">
        <x:v>0.6759366382268104</x:v>
      </x:c>
    </x:row>
    <x:row r="802" ht="18" customHeight="1">
      <x:c r="A802" s="46" t="str">
        <x:v>HS_034</x:v>
      </x:c>
      <x:c r="B802" s="46" t="str">
        <x:v>Atlantic, Eastern Central</x:v>
      </x:c>
      <x:c r="C802" s="46" t="str">
        <x:v>functional</x:v>
      </x:c>
      <x:c r="D802" s="46" t="str">
        <x:v>Large pelagics (&gt;=90 cm)</x:v>
      </x:c>
      <x:c r="E802" s="66" t="n">
        <x:v>16</x:v>
      </x:c>
      <x:c r="F802" s="66" t="n">
        <x:v>16</x:v>
      </x:c>
      <x:c r="G802" s="60" t="n">
        <x:v>194976.038241492</x:v>
      </x:c>
      <x:c r="H802" s="60" t="n">
        <x:v>194976.038241492</x:v>
      </x:c>
      <x:c r="I802" s="62" t="n">
        <x:v>0</x:v>
      </x:c>
      <x:c r="J802" s="64" t="n">
        <x:v>1</x:v>
      </x:c>
      <x:c r="K802" s="62" t="n">
        <x:v>2735.458603210711</x:v>
      </x:c>
      <x:c r="L802" s="60" t="n">
        <x:v>533348881.2276299</x:v>
      </x:c>
      <x:c r="M802" s="62" t="n">
        <x:v>4.435549851535446</x:v>
      </x:c>
      <x:c r="N802" s="62" t="n">
        <x:v>2726.150648720601</x:v>
      </x:c>
      <x:c r="O802" s="60" t="n">
        <x:v>531534053.1370162</x:v>
      </x:c>
      <x:c r="P802" s="60" t="n">
        <x:v>1814828.0906137228</x:v>
      </x:c>
      <x:c r="Q802" s="62" t="n">
        <x:v>1.003414321396537</x:v>
      </x:c>
      <x:c r="R802" s="64" t="n">
        <x:v>0.0034143213965369505</x:v>
      </x:c>
    </x:row>
    <x:row r="803" ht="18" customHeight="1">
      <x:c r="A803" s="46" t="str">
        <x:v>HS_034</x:v>
      </x:c>
      <x:c r="B803" s="46" t="str">
        <x:v>Atlantic, Eastern Central</x:v>
      </x:c>
      <x:c r="C803" s="46" t="str">
        <x:v>functional</x:v>
      </x:c>
      <x:c r="D803" s="46" t="str">
        <x:v>Large sharks (&gt;=90 cm)</x:v>
      </x:c>
      <x:c r="E803" s="66" t="n">
        <x:v>14</x:v>
      </x:c>
      <x:c r="F803" s="66" t="n">
        <x:v>14</x:v>
      </x:c>
      <x:c r="G803" s="60" t="n">
        <x:v>14724.0785045723</x:v>
      </x:c>
      <x:c r="H803" s="60" t="n">
        <x:v>14724.0785045723</x:v>
      </x:c>
      <x:c r="I803" s="62" t="n">
        <x:v>0</x:v>
      </x:c>
      <x:c r="J803" s="64" t="n">
        <x:v>1</x:v>
      </x:c>
      <x:c r="K803" s="62" t="n">
        <x:v>2191.5718104516695</x:v>
      </x:c>
      <x:c r="L803" s="60" t="n">
        <x:v>32268875.385498025</x:v>
      </x:c>
      <x:c r="M803" s="62" t="n">
        <x:v>4.3350642171340255</x:v>
      </x:c>
      <x:c r="N803" s="62" t="n">
        <x:v>2163.038338644388</x:v>
      </x:c>
      <x:c r="O803" s="60" t="n">
        <x:v>31848746.306599617</x:v>
      </x:c>
      <x:c r="P803" s="60" t="n">
        <x:v>420129.0788984075</x:v>
      </x:c>
      <x:c r="Q803" s="62" t="n">
        <x:v>1.0131913851444554</x:v>
      </x:c>
      <x:c r="R803" s="64" t="n">
        <x:v>0.013191385144455416</x:v>
      </x:c>
    </x:row>
    <x:row r="804" ht="18" customHeight="1">
      <x:c r="A804" s="46" t="str">
        <x:v>HS_034</x:v>
      </x:c>
      <x:c r="B804" s="46" t="str">
        <x:v>Atlantic, Eastern Central</x:v>
      </x:c>
      <x:c r="C804" s="46" t="str">
        <x:v>functional</x:v>
      </x:c>
      <x:c r="D804" s="46" t="str">
        <x:v>Medium bathypelagics (30 - 89 cm)</x:v>
      </x:c>
      <x:c r="E804" s="66" t="n">
        <x:v>1</x:v>
      </x:c>
      <x:c r="F804" s="66" t="n">
        <x:v>1</x:v>
      </x:c>
      <x:c r="G804" s="60" t="n">
        <x:v>0.0826889846</x:v>
      </x:c>
      <x:c r="H804" s="60" t="n">
        <x:v>0.0826889846</x:v>
      </x:c>
      <x:c r="I804" s="62" t="n">
        <x:v>0</x:v>
      </x:c>
      <x:c r="J804" s="64" t="n">
        <x:v>1</x:v>
      </x:c>
      <x:c r="K804" s="62" t="n">
        <x:v>1202.2644346174131</x:v>
      </x:c>
      <x:c r="L804" s="60" t="n">
        <x:v>99.41402531920698</x:v>
      </x:c>
      <x:c r="M804" s="62" t="n">
        <x:v>4.08</x:v>
      </x:c>
      <x:c r="N804" s="62" t="n">
        <x:v>1202.2644346174131</x:v>
      </x:c>
      <x:c r="O804" s="60" t="n">
        <x:v>99.41402531920698</x:v>
      </x:c>
      <x:c r="P804" s="60" t="n">
        <x:v>0</x:v>
      </x:c>
      <x:c r="Q804" s="62" t="n">
        <x:v>1</x:v>
      </x:c>
      <x:c r="R804" s="64" t="n">
        <x:v>0</x:v>
      </x:c>
    </x:row>
    <x:row r="805" ht="18" customHeight="1">
      <x:c r="A805" s="46" t="str">
        <x:v>HS_034</x:v>
      </x:c>
      <x:c r="B805" s="46" t="str">
        <x:v>Atlantic, Eastern Central</x:v>
      </x:c>
      <x:c r="C805" s="46" t="str">
        <x:v>functional</x:v>
      </x:c>
      <x:c r="D805" s="46" t="str">
        <x:v>Medium demersals (30 - 89 cm)</x:v>
      </x:c>
      <x:c r="E805" s="66" t="n">
        <x:v>1</x:v>
      </x:c>
      <x:c r="F805" s="66" t="n">
        <x:v>1</x:v>
      </x:c>
      <x:c r="G805" s="60" t="n">
        <x:v>18465.6431074972</x:v>
      </x:c>
      <x:c r="H805" s="60" t="n">
        <x:v>18465.6431074972</x:v>
      </x:c>
      <x:c r="I805" s="62" t="n">
        <x:v>0</x:v>
      </x:c>
      <x:c r="J805" s="64" t="n">
        <x:v>1</x:v>
      </x:c>
      <x:c r="K805" s="62" t="n">
        <x:v>190.54607179632464</x:v>
      </x:c>
      <x:c r="L805" s="60" t="n">
        <x:v>3518555.7573264684</x:v>
      </x:c>
      <x:c r="M805" s="62" t="n">
        <x:v>3.28</x:v>
      </x:c>
      <x:c r="N805" s="62" t="n">
        <x:v>190.54607179632464</x:v>
      </x:c>
      <x:c r="O805" s="60" t="n">
        <x:v>3518555.7573264684</x:v>
      </x:c>
      <x:c r="P805" s="60" t="n">
        <x:v>0</x:v>
      </x:c>
      <x:c r="Q805" s="62" t="n">
        <x:v>1</x:v>
      </x:c>
      <x:c r="R805" s="64" t="n">
        <x:v>0</x:v>
      </x:c>
    </x:row>
    <x:row r="806" ht="18" customHeight="1">
      <x:c r="A806" s="46" t="str">
        <x:v>HS_034</x:v>
      </x:c>
      <x:c r="B806" s="46" t="str">
        <x:v>Atlantic, Eastern Central</x:v>
      </x:c>
      <x:c r="C806" s="46" t="str">
        <x:v>functional</x:v>
      </x:c>
      <x:c r="D806" s="46" t="str">
        <x:v>Medium pelagics (30 - 89 cm)</x:v>
      </x:c>
      <x:c r="E806" s="66" t="n">
        <x:v>5</x:v>
      </x:c>
      <x:c r="F806" s="66" t="n">
        <x:v>5</x:v>
      </x:c>
      <x:c r="G806" s="60" t="n">
        <x:v>7153.612730139999</x:v>
      </x:c>
      <x:c r="H806" s="60" t="n">
        <x:v>7153.612730139999</x:v>
      </x:c>
      <x:c r="I806" s="62" t="n">
        <x:v>0</x:v>
      </x:c>
      <x:c r="J806" s="64" t="n">
        <x:v>1</x:v>
      </x:c>
      <x:c r="K806" s="62" t="n">
        <x:v>1539.7015130634184</x:v>
      </x:c>
      <x:c r="L806" s="60" t="n">
        <x:v>11014428.344466288</x:v>
      </x:c>
      <x:c r="M806" s="62" t="n">
        <x:v>3.978507259066117</x:v>
      </x:c>
      <x:c r="N806" s="62" t="n">
        <x:v>951.7157555447561</x:v>
      </x:c>
      <x:c r="O806" s="60" t="n">
        <x:v>6808205.944339775</x:v>
      </x:c>
      <x:c r="P806" s="60" t="n">
        <x:v>4206222.400126513</x:v>
      </x:c>
      <x:c r="Q806" s="62" t="n">
        <x:v>1.6178165634991541</x:v>
      </x:c>
      <x:c r="R806" s="64" t="n">
        <x:v>0.6178165634991541</x:v>
      </x:c>
    </x:row>
    <x:row r="807" ht="18" customHeight="1">
      <x:c r="A807" s="46" t="str">
        <x:v>HS_041</x:v>
      </x:c>
      <x:c r="B807" s="46" t="str">
        <x:v>Atlantic, Southwest</x:v>
      </x:c>
      <x:c r="C807" s="46" t="str">
        <x:v>functional</x:v>
      </x:c>
      <x:c r="D807" s="46" t="str">
        <x:v>Large pelagics (&gt;=90 cm)</x:v>
      </x:c>
      <x:c r="E807" s="66" t="n">
        <x:v>17</x:v>
      </x:c>
      <x:c r="F807" s="66" t="n">
        <x:v>17</x:v>
      </x:c>
      <x:c r="G807" s="60" t="n">
        <x:v>48028.64077196299</x:v>
      </x:c>
      <x:c r="H807" s="60" t="n">
        <x:v>48028.64077196299</x:v>
      </x:c>
      <x:c r="I807" s="62" t="n">
        <x:v>0</x:v>
      </x:c>
      <x:c r="J807" s="64" t="n">
        <x:v>1</x:v>
      </x:c>
      <x:c r="K807" s="62" t="n">
        <x:v>2667.0342577670785</x:v>
      </x:c>
      <x:c r="L807" s="60" t="n">
        <x:v>128094030.29281397</x:v>
      </x:c>
      <x:c r="M807" s="62" t="n">
        <x:v>4.421422597948468</x:v>
      </x:c>
      <x:c r="N807" s="62" t="n">
        <x:v>2638.897963363959</x:v>
      </x:c>
      <x:c r="O807" s="60" t="n">
        <x:v>126742682.31627236</x:v>
      </x:c>
      <x:c r="P807" s="60" t="n">
        <x:v>1351347.9765416086</x:v>
      </x:c>
      <x:c r="Q807" s="62" t="n">
        <x:v>1.0106621380567713</x:v>
      </x:c>
      <x:c r="R807" s="64" t="n">
        <x:v>0.010662138056771348</x:v>
      </x:c>
    </x:row>
    <x:row r="808" ht="18" customHeight="1">
      <x:c r="A808" s="46" t="str">
        <x:v>HS_041</x:v>
      </x:c>
      <x:c r="B808" s="46" t="str">
        <x:v>Atlantic, Southwest</x:v>
      </x:c>
      <x:c r="C808" s="46" t="str">
        <x:v>functional</x:v>
      </x:c>
      <x:c r="D808" s="46" t="str">
        <x:v>Large reef assoc. fish (&gt;=90 cm)</x:v>
      </x:c>
      <x:c r="E808" s="66" t="n">
        <x:v>1</x:v>
      </x:c>
      <x:c r="F808" s="66" t="n">
        <x:v>1</x:v>
      </x:c>
      <x:c r="G808" s="60" t="n">
        <x:v>2.1461092799</x:v>
      </x:c>
      <x:c r="H808" s="60" t="n">
        <x:v>2.1461092799</x:v>
      </x:c>
      <x:c r="I808" s="62" t="n">
        <x:v>0</x:v>
      </x:c>
      <x:c r="J808" s="64" t="n">
        <x:v>1</x:v>
      </x:c>
      <x:c r="K808" s="62" t="n">
        <x:v>363.0780547701014</x:v>
      </x:c>
      <x:c r="L808" s="60" t="n">
        <x:v>779.2051826701551</x:v>
      </x:c>
      <x:c r="M808" s="62" t="n">
        <x:v>3.56</x:v>
      </x:c>
      <x:c r="N808" s="62" t="n">
        <x:v>363.0780547701014</x:v>
      </x:c>
      <x:c r="O808" s="60" t="n">
        <x:v>779.2051826701551</x:v>
      </x:c>
      <x:c r="P808" s="60" t="n">
        <x:v>0</x:v>
      </x:c>
      <x:c r="Q808" s="62" t="n">
        <x:v>1</x:v>
      </x:c>
      <x:c r="R808" s="64" t="n">
        <x:v>0</x:v>
      </x:c>
    </x:row>
    <x:row r="809" ht="18" customHeight="1">
      <x:c r="A809" s="46" t="str">
        <x:v>HS_041</x:v>
      </x:c>
      <x:c r="B809" s="46" t="str">
        <x:v>Atlantic, Southwest</x:v>
      </x:c>
      <x:c r="C809" s="46" t="str">
        <x:v>functional</x:v>
      </x:c>
      <x:c r="D809" s="46" t="str">
        <x:v>Large sharks (&gt;=90 cm)</x:v>
      </x:c>
      <x:c r="E809" s="66" t="n">
        <x:v>9</x:v>
      </x:c>
      <x:c r="F809" s="66" t="n">
        <x:v>9</x:v>
      </x:c>
      <x:c r="G809" s="60" t="n">
        <x:v>8355.589598736598</x:v>
      </x:c>
      <x:c r="H809" s="60" t="n">
        <x:v>8355.589598736598</x:v>
      </x:c>
      <x:c r="I809" s="62" t="n">
        <x:v>0</x:v>
      </x:c>
      <x:c r="J809" s="64" t="n">
        <x:v>1</x:v>
      </x:c>
      <x:c r="K809" s="62" t="n">
        <x:v>2287.269500531835</x:v>
      </x:c>
      <x:c r="L809" s="60" t="n">
        <x:v>19111485.248151258</x:v>
      </x:c>
      <x:c r="M809" s="62" t="n">
        <x:v>4.357798503130919</x:v>
      </x:c>
      <x:c r="N809" s="62" t="n">
        <x:v>2279.2843214828904</x:v>
      </x:c>
      <x:c r="O809" s="60" t="n">
        <x:v>19044764.369145844</x:v>
      </x:c>
      <x:c r="P809" s="60" t="n">
        <x:v>66720.8790054135</x:v>
      </x:c>
      <x:c r="Q809" s="62" t="n">
        <x:v>1.0035033712001975</x:v>
      </x:c>
      <x:c r="R809" s="64" t="n">
        <x:v>0.0035033712001975234</x:v>
      </x:c>
    </x:row>
    <x:row r="810" ht="18" customHeight="1">
      <x:c r="A810" s="46" t="str">
        <x:v>HS_041</x:v>
      </x:c>
      <x:c r="B810" s="46" t="str">
        <x:v>Atlantic, Southwest</x:v>
      </x:c>
      <x:c r="C810" s="46" t="str">
        <x:v>functional</x:v>
      </x:c>
      <x:c r="D810" s="46" t="str">
        <x:v>Medium bathypelagics (30 - 89 cm)</x:v>
      </x:c>
      <x:c r="E810" s="66" t="n">
        <x:v>1</x:v>
      </x:c>
      <x:c r="F810" s="66" t="n">
        <x:v>1</x:v>
      </x:c>
      <x:c r="G810" s="60" t="n">
        <x:v>0.0030415779</x:v>
      </x:c>
      <x:c r="H810" s="60" t="n">
        <x:v>0.0030415779</x:v>
      </x:c>
      <x:c r="I810" s="62" t="n">
        <x:v>0</x:v>
      </x:c>
      <x:c r="J810" s="64" t="n">
        <x:v>1</x:v>
      </x:c>
      <x:c r="K810" s="62" t="n">
        <x:v>1202.2644346174131</x:v>
      </x:c>
      <x:c r="L810" s="60" t="n">
        <x:v>3.6567809342883186</x:v>
      </x:c>
      <x:c r="M810" s="62" t="n">
        <x:v>4.08</x:v>
      </x:c>
      <x:c r="N810" s="62" t="n">
        <x:v>1202.2644346174131</x:v>
      </x:c>
      <x:c r="O810" s="60" t="n">
        <x:v>3.6567809342883186</x:v>
      </x:c>
      <x:c r="P810" s="60" t="n">
        <x:v>0</x:v>
      </x:c>
      <x:c r="Q810" s="62" t="n">
        <x:v>1</x:v>
      </x:c>
      <x:c r="R810" s="64" t="n">
        <x:v>0</x:v>
      </x:c>
    </x:row>
    <x:row r="811" ht="18" customHeight="1">
      <x:c r="A811" s="46" t="str">
        <x:v>HS_041</x:v>
      </x:c>
      <x:c r="B811" s="46" t="str">
        <x:v>Atlantic, Southwest</x:v>
      </x:c>
      <x:c r="C811" s="46" t="str">
        <x:v>functional</x:v>
      </x:c>
      <x:c r="D811" s="46" t="str">
        <x:v>Medium demersals (30 - 89 cm)</x:v>
      </x:c>
      <x:c r="E811" s="66" t="n">
        <x:v>1</x:v>
      </x:c>
      <x:c r="F811" s="66" t="n">
        <x:v>1</x:v>
      </x:c>
      <x:c r="G811" s="60" t="n">
        <x:v>4930.3777470704</x:v>
      </x:c>
      <x:c r="H811" s="60" t="n">
        <x:v>4930.3777470704</x:v>
      </x:c>
      <x:c r="I811" s="62" t="n">
        <x:v>0</x:v>
      </x:c>
      <x:c r="J811" s="64" t="n">
        <x:v>1</x:v>
      </x:c>
      <x:c r="K811" s="62" t="n">
        <x:v>190.54607179632464</x:v>
      </x:c>
      <x:c r="L811" s="60" t="n">
        <x:v>939464.1121762778</x:v>
      </x:c>
      <x:c r="M811" s="62" t="n">
        <x:v>3.28</x:v>
      </x:c>
      <x:c r="N811" s="62" t="n">
        <x:v>190.54607179632464</x:v>
      </x:c>
      <x:c r="O811" s="60" t="n">
        <x:v>939464.1121762778</x:v>
      </x:c>
      <x:c r="P811" s="60" t="n">
        <x:v>0</x:v>
      </x:c>
      <x:c r="Q811" s="62" t="n">
        <x:v>1</x:v>
      </x:c>
      <x:c r="R811" s="64" t="n">
        <x:v>0</x:v>
      </x:c>
    </x:row>
    <x:row r="812" ht="18" customHeight="1">
      <x:c r="A812" s="46" t="str">
        <x:v>HS_041</x:v>
      </x:c>
      <x:c r="B812" s="46" t="str">
        <x:v>Atlantic, Southwest</x:v>
      </x:c>
      <x:c r="C812" s="46" t="str">
        <x:v>functional</x:v>
      </x:c>
      <x:c r="D812" s="46" t="str">
        <x:v>Medium pelagics (30 - 89 cm)</x:v>
      </x:c>
      <x:c r="E812" s="66" t="n">
        <x:v>4</x:v>
      </x:c>
      <x:c r="F812" s="66" t="n">
        <x:v>4</x:v>
      </x:c>
      <x:c r="G812" s="60" t="n">
        <x:v>921.6079446673</x:v>
      </x:c>
      <x:c r="H812" s="60" t="n">
        <x:v>921.6079446673</x:v>
      </x:c>
      <x:c r="I812" s="62" t="n">
        <x:v>0</x:v>
      </x:c>
      <x:c r="J812" s="64" t="n">
        <x:v>1</x:v>
      </x:c>
      <x:c r="K812" s="62" t="n">
        <x:v>1306.0802642684891</x:v>
      </x:c>
      <x:c r="L812" s="60" t="n">
        <x:v>1203693.9479230063</x:v>
      </x:c>
      <x:c r="M812" s="62" t="n">
        <x:v>3.9143737775036853</x:v>
      </x:c>
      <x:c r="N812" s="62" t="n">
        <x:v>821.0578874997742</x:v>
      </x:c>
      <x:c r="O812" s="60" t="n">
        <x:v>756693.4721515421</x:v>
      </x:c>
      <x:c r="P812" s="60" t="n">
        <x:v>447000.4757714642</x:v>
      </x:c>
      <x:c r="Q812" s="62" t="n">
        <x:v>1.5907286004470036</x:v>
      </x:c>
      <x:c r="R812" s="64" t="n">
        <x:v>0.5907286004470036</x:v>
      </x:c>
    </x:row>
    <x:row r="813" ht="18" customHeight="1">
      <x:c r="A813" s="46" t="str">
        <x:v>HS_047</x:v>
      </x:c>
      <x:c r="B813" s="46" t="str">
        <x:v>Atlantic, Southeast</x:v>
      </x:c>
      <x:c r="C813" s="46" t="str">
        <x:v>functional</x:v>
      </x:c>
      <x:c r="D813" s="46" t="str">
        <x:v>Large pelagics (&gt;=90 cm)</x:v>
      </x:c>
      <x:c r="E813" s="66" t="n">
        <x:v>20</x:v>
      </x:c>
      <x:c r="F813" s="66" t="n">
        <x:v>20</x:v>
      </x:c>
      <x:c r="G813" s="60" t="n">
        <x:v>30618.3568805263</x:v>
      </x:c>
      <x:c r="H813" s="60" t="n">
        <x:v>30618.3568805263</x:v>
      </x:c>
      <x:c r="I813" s="62" t="n">
        <x:v>0</x:v>
      </x:c>
      <x:c r="J813" s="64" t="n">
        <x:v>1</x:v>
      </x:c>
      <x:c r="K813" s="62" t="n">
        <x:v>2494.051531963845</x:v>
      </x:c>
      <x:c r="L813" s="60" t="n">
        <x:v>76363759.88409235</x:v>
      </x:c>
      <x:c r="M813" s="62" t="n">
        <x:v>4.3633140860034905</x:v>
      </x:c>
      <x:c r="N813" s="62" t="n">
        <x:v>2308.4160541738547</x:v>
      </x:c>
      <x:c r="O813" s="60" t="n">
        <x:v>70679906.5754314</x:v>
      </x:c>
      <x:c r="P813" s="60" t="n">
        <x:v>5683853.308660939</x:v>
      </x:c>
      <x:c r="Q813" s="62" t="n">
        <x:v>1.0804168197731696</x:v>
      </x:c>
      <x:c r="R813" s="64" t="n">
        <x:v>0.0804168197731697</x:v>
      </x:c>
    </x:row>
    <x:row r="814" ht="18" customHeight="1">
      <x:c r="A814" s="46" t="str">
        <x:v>HS_047</x:v>
      </x:c>
      <x:c r="B814" s="46" t="str">
        <x:v>Atlantic, Southeast</x:v>
      </x:c>
      <x:c r="C814" s="46" t="str">
        <x:v>functional</x:v>
      </x:c>
      <x:c r="D814" s="46" t="str">
        <x:v>Large sharks (&gt;=90 cm)</x:v>
      </x:c>
      <x:c r="E814" s="66" t="n">
        <x:v>8</x:v>
      </x:c>
      <x:c r="F814" s="66" t="n">
        <x:v>8</x:v>
      </x:c>
      <x:c r="G814" s="60" t="n">
        <x:v>5486.885765556901</x:v>
      </x:c>
      <x:c r="H814" s="60" t="n">
        <x:v>5486.885765556901</x:v>
      </x:c>
      <x:c r="I814" s="62" t="n">
        <x:v>0</x:v>
      </x:c>
      <x:c r="J814" s="64" t="n">
        <x:v>1</x:v>
      </x:c>
      <x:c r="K814" s="62" t="n">
        <x:v>1764.6428031204132</x:v>
      </x:c>
      <x:c r="L814" s="60" t="n">
        <x:v>9682393.477733824</x:v>
      </x:c>
      <x:c r="M814" s="62" t="n">
        <x:v>4.219965651641608</x:v>
      </x:c>
      <x:c r="N814" s="62" t="n">
        <x:v>1659.4556558695895</x:v>
      </x:c>
      <x:c r="O814" s="60" t="n">
        <x:v>9105243.61676374</x:v>
      </x:c>
      <x:c r="P814" s="60" t="n">
        <x:v>577149.8609700836</x:v>
      </x:c>
      <x:c r="Q814" s="62" t="n">
        <x:v>1.063386536951904</x:v>
      </x:c>
      <x:c r="R814" s="64" t="n">
        <x:v>0.06338653695190408</x:v>
      </x:c>
    </x:row>
    <x:row r="815" ht="18" customHeight="1">
      <x:c r="A815" s="46" t="str">
        <x:v>HS_047</x:v>
      </x:c>
      <x:c r="B815" s="46" t="str">
        <x:v>Atlantic, Southeast</x:v>
      </x:c>
      <x:c r="C815" s="46" t="str">
        <x:v>functional</x:v>
      </x:c>
      <x:c r="D815" s="46" t="str">
        <x:v>Medium bathypelagics (30 - 89 cm)</x:v>
      </x:c>
      <x:c r="E815" s="66" t="n">
        <x:v>1</x:v>
      </x:c>
      <x:c r="F815" s="66" t="n">
        <x:v>1</x:v>
      </x:c>
      <x:c r="G815" s="60" t="n">
        <x:v>0.057205364700000004</x:v>
      </x:c>
      <x:c r="H815" s="60" t="n">
        <x:v>0.057205364700000004</x:v>
      </x:c>
      <x:c r="I815" s="62" t="n">
        <x:v>0</x:v>
      </x:c>
      <x:c r="J815" s="64" t="n">
        <x:v>1</x:v>
      </x:c>
      <x:c r="K815" s="62" t="n">
        <x:v>1202.2644346174131</x:v>
      </x:c>
      <x:c r="L815" s="60" t="n">
        <x:v>68.77597544812843</x:v>
      </x:c>
      <x:c r="M815" s="62" t="n">
        <x:v>4.08</x:v>
      </x:c>
      <x:c r="N815" s="62" t="n">
        <x:v>1202.2644346174131</x:v>
      </x:c>
      <x:c r="O815" s="60" t="n">
        <x:v>68.77597544812843</x:v>
      </x:c>
      <x:c r="P815" s="60" t="n">
        <x:v>0</x:v>
      </x:c>
      <x:c r="Q815" s="62" t="n">
        <x:v>1</x:v>
      </x:c>
      <x:c r="R815" s="64" t="n">
        <x:v>0</x:v>
      </x:c>
    </x:row>
    <x:row r="816" ht="18" customHeight="1">
      <x:c r="A816" s="46" t="str">
        <x:v>HS_047</x:v>
      </x:c>
      <x:c r="B816" s="46" t="str">
        <x:v>Atlantic, Southeast</x:v>
      </x:c>
      <x:c r="C816" s="46" t="str">
        <x:v>functional</x:v>
      </x:c>
      <x:c r="D816" s="46" t="str">
        <x:v>Medium demersals (30 - 89 cm)</x:v>
      </x:c>
      <x:c r="E816" s="66" t="n">
        <x:v>1</x:v>
      </x:c>
      <x:c r="F816" s="66" t="n">
        <x:v>1</x:v>
      </x:c>
      <x:c r="G816" s="60" t="n">
        <x:v>5191.868409070001</x:v>
      </x:c>
      <x:c r="H816" s="60" t="n">
        <x:v>5191.868409070001</x:v>
      </x:c>
      <x:c r="I816" s="62" t="n">
        <x:v>0</x:v>
      </x:c>
      <x:c r="J816" s="64" t="n">
        <x:v>1</x:v>
      </x:c>
      <x:c r="K816" s="62" t="n">
        <x:v>190.54607179632464</x:v>
      </x:c>
      <x:c r="L816" s="60" t="n">
        <x:v>989290.1306317222</x:v>
      </x:c>
      <x:c r="M816" s="62" t="n">
        <x:v>3.28</x:v>
      </x:c>
      <x:c r="N816" s="62" t="n">
        <x:v>190.54607179632464</x:v>
      </x:c>
      <x:c r="O816" s="60" t="n">
        <x:v>989290.1306317222</x:v>
      </x:c>
      <x:c r="P816" s="60" t="n">
        <x:v>0</x:v>
      </x:c>
      <x:c r="Q816" s="62" t="n">
        <x:v>1</x:v>
      </x:c>
      <x:c r="R816" s="64" t="n">
        <x:v>0</x:v>
      </x:c>
    </x:row>
    <x:row r="817" ht="18" customHeight="1">
      <x:c r="A817" s="46" t="str">
        <x:v>HS_047</x:v>
      </x:c>
      <x:c r="B817" s="46" t="str">
        <x:v>Atlantic, Southeast</x:v>
      </x:c>
      <x:c r="C817" s="46" t="str">
        <x:v>functional</x:v>
      </x:c>
      <x:c r="D817" s="46" t="str">
        <x:v>Medium pelagics (30 - 89 cm)</x:v>
      </x:c>
      <x:c r="E817" s="66" t="n">
        <x:v>5</x:v>
      </x:c>
      <x:c r="F817" s="66" t="n">
        <x:v>5</x:v>
      </x:c>
      <x:c r="G817" s="60" t="n">
        <x:v>533.5585200158</x:v>
      </x:c>
      <x:c r="H817" s="60" t="n">
        <x:v>533.5585200158</x:v>
      </x:c>
      <x:c r="I817" s="62" t="n">
        <x:v>0</x:v>
      </x:c>
      <x:c r="J817" s="64" t="n">
        <x:v>1</x:v>
      </x:c>
      <x:c r="K817" s="62" t="n">
        <x:v>1548.0160487677406</x:v>
      </x:c>
      <x:c r="L817" s="60" t="n">
        <x:v>825957.1519412221</x:v>
      </x:c>
      <x:c r="M817" s="62" t="n">
        <x:v>3.993813160604534</x:v>
      </x:c>
      <x:c r="N817" s="62" t="n">
        <x:v>985.8552660354641</x:v>
      </x:c>
      <x:c r="O817" s="60" t="n">
        <x:v>526011.476695665</x:v>
      </x:c>
      <x:c r="P817" s="60" t="n">
        <x:v>299945.6752455571</x:v>
      </x:c>
      <x:c r="Q817" s="62" t="n">
        <x:v>1.5702264846572862</x:v>
      </x:c>
      <x:c r="R817" s="64" t="n">
        <x:v>0.5702264846572862</x:v>
      </x:c>
    </x:row>
    <x:row r="818" ht="18" customHeight="1">
      <x:c r="A818" s="46" t="str">
        <x:v>HS_048</x:v>
      </x:c>
      <x:c r="B818" s="46" t="str">
        <x:v>Atlantic, Antarctic</x:v>
      </x:c>
      <x:c r="C818" s="46" t="str">
        <x:v>functional</x:v>
      </x:c>
      <x:c r="D818" s="46" t="str">
        <x:v>Cephalopods</x:v>
      </x:c>
      <x:c r="E818" s="66" t="n">
        <x:v>1</x:v>
      </x:c>
      <x:c r="F818" s="66" t="n">
        <x:v>1</x:v>
      </x:c>
      <x:c r="G818" s="60" t="n">
        <x:v>0.00152</x:v>
      </x:c>
      <x:c r="H818" s="60" t="n">
        <x:v>0.00152</x:v>
      </x:c>
      <x:c r="I818" s="62" t="n">
        <x:v>0</x:v>
      </x:c>
      <x:c r="J818" s="64" t="n">
        <x:v>1</x:v>
      </x:c>
      <x:c r="K818" s="62" t="n">
        <x:v>645.6542290346556</x:v>
      </x:c>
      <x:c r="L818" s="60" t="n">
        <x:v>0.9813944281326765</x:v>
      </x:c>
      <x:c r="M818" s="62" t="n">
        <x:v>3.81</x:v>
      </x:c>
      <x:c r="N818" s="62" t="n">
        <x:v>645.6542290346556</x:v>
      </x:c>
      <x:c r="O818" s="60" t="n">
        <x:v>0.9813944281326765</x:v>
      </x:c>
      <x:c r="P818" s="60" t="n">
        <x:v>0</x:v>
      </x:c>
      <x:c r="Q818" s="62" t="n">
        <x:v>1</x:v>
      </x:c>
      <x:c r="R818" s="64" t="n">
        <x:v>0</x:v>
      </x:c>
    </x:row>
    <x:row r="819" ht="18" customHeight="1">
      <x:c r="A819" s="46" t="str">
        <x:v>HS_048</x:v>
      </x:c>
      <x:c r="B819" s="46" t="str">
        <x:v>Atlantic, Antarctic</x:v>
      </x:c>
      <x:c r="C819" s="46" t="str">
        <x:v>functional</x:v>
      </x:c>
      <x:c r="D819" s="46" t="str">
        <x:v>Jellyfish</x:v>
      </x:c>
      <x:c r="E819" s="66" t="n">
        <x:v>1</x:v>
      </x:c>
      <x:c r="F819" s="66" t="n">
        <x:v>1</x:v>
      </x:c>
      <x:c r="G819" s="60" t="n">
        <x:v>0.0000035281</x:v>
      </x:c>
      <x:c r="H819" s="60" t="n">
        <x:v>0.0000035281</x:v>
      </x:c>
      <x:c r="I819" s="62" t="n">
        <x:v>0</x:v>
      </x:c>
      <x:c r="J819" s="64" t="n">
        <x:v>1</x:v>
      </x:c>
      <x:c r="K819" s="62" t="n">
        <x:v>31.622776601683793</x:v>
      </x:c>
      <x:c r="L819" s="60" t="n">
        <x:v>0.00011156831812840059</x:v>
      </x:c>
      <x:c r="M819" s="62" t="n">
        <x:v>2.5</x:v>
      </x:c>
      <x:c r="N819" s="62" t="n">
        <x:v>31.622776601683793</x:v>
      </x:c>
      <x:c r="O819" s="60" t="n">
        <x:v>0.00011156831812840059</x:v>
      </x:c>
      <x:c r="P819" s="60" t="n">
        <x:v>0</x:v>
      </x:c>
      <x:c r="Q819" s="62" t="n">
        <x:v>1</x:v>
      </x:c>
      <x:c r="R819" s="64" t="n">
        <x:v>0</x:v>
      </x:c>
    </x:row>
    <x:row r="820" ht="18" customHeight="1">
      <x:c r="A820" s="46" t="str">
        <x:v>HS_048</x:v>
      </x:c>
      <x:c r="B820" s="46" t="str">
        <x:v>Atlantic, Antarctic</x:v>
      </x:c>
      <x:c r="C820" s="46" t="str">
        <x:v>functional</x:v>
      </x:c>
      <x:c r="D820" s="46" t="str">
        <x:v>Large rays (&gt;=90 cm)</x:v>
      </x:c>
      <x:c r="E820" s="66" t="n">
        <x:v>1</x:v>
      </x:c>
      <x:c r="F820" s="66" t="n">
        <x:v>1</x:v>
      </x:c>
      <x:c r="G820" s="60" t="n">
        <x:v>0.0286972066</x:v>
      </x:c>
      <x:c r="H820" s="60" t="n">
        <x:v>0.0286972066</x:v>
      </x:c>
      <x:c r="I820" s="62" t="n">
        <x:v>0</x:v>
      </x:c>
      <x:c r="J820" s="64" t="n">
        <x:v>1</x:v>
      </x:c>
      <x:c r="K820" s="62" t="n">
        <x:v>407.3802778041126</x:v>
      </x:c>
      <x:c r="L820" s="60" t="n">
        <x:v>11.690675996910015</x:v>
      </x:c>
      <x:c r="M820" s="62" t="n">
        <x:v>3.61</x:v>
      </x:c>
      <x:c r="N820" s="62" t="n">
        <x:v>407.3802778041126</x:v>
      </x:c>
      <x:c r="O820" s="60" t="n">
        <x:v>11.690675996910015</x:v>
      </x:c>
      <x:c r="P820" s="60" t="n">
        <x:v>0</x:v>
      </x:c>
      <x:c r="Q820" s="62" t="n">
        <x:v>1</x:v>
      </x:c>
      <x:c r="R820" s="64" t="n">
        <x:v>0</x:v>
      </x:c>
    </x:row>
    <x:row r="821" ht="18" customHeight="1">
      <x:c r="A821" s="46" t="str">
        <x:v>HS_048</x:v>
      </x:c>
      <x:c r="B821" s="46" t="str">
        <x:v>Atlantic, Antarctic</x:v>
      </x:c>
      <x:c r="C821" s="46" t="str">
        <x:v>functional</x:v>
      </x:c>
      <x:c r="D821" s="46" t="str">
        <x:v>Medium bathydemersals (30 - 89 cm)</x:v>
      </x:c>
      <x:c r="E821" s="66" t="n">
        <x:v>1</x:v>
      </x:c>
      <x:c r="F821" s="66" t="n">
        <x:v>1</x:v>
      </x:c>
      <x:c r="G821" s="60" t="n">
        <x:v>0.0000800001</x:v>
      </x:c>
      <x:c r="H821" s="60" t="n">
        <x:v>0.0000800001</x:v>
      </x:c>
      <x:c r="I821" s="62" t="n">
        <x:v>0</x:v>
      </x:c>
      <x:c r="J821" s="64" t="n">
        <x:v>1</x:v>
      </x:c>
      <x:c r="K821" s="62" t="n">
        <x:v>575.4399373371566</x:v>
      </x:c>
      <x:c r="L821" s="60" t="n">
        <x:v>0.04603525253096626</x:v>
      </x:c>
      <x:c r="M821" s="62" t="n">
        <x:v>3.7600000000000002</x:v>
      </x:c>
      <x:c r="N821" s="62" t="n">
        <x:v>575.4399373371573</x:v>
      </x:c>
      <x:c r="O821" s="60" t="n">
        <x:v>0.04603525253096632</x:v>
      </x:c>
      <x:c r="P821" s="60" t="n">
        <x:v>-5.551115123125783e-17</x:v>
      </x:c>
      <x:c r="Q821" s="62" t="n">
        <x:v>0.9999999999999988</x:v>
      </x:c>
      <x:c r="R821" s="64" t="n">
        <x:v>-1.2058400503813333e-15</x:v>
      </x:c>
    </x:row>
    <x:row r="822" ht="18" customHeight="1">
      <x:c r="A822" s="46" t="str">
        <x:v>HS_048</x:v>
      </x:c>
      <x:c r="B822" s="46" t="str">
        <x:v>Atlantic, Antarctic</x:v>
      </x:c>
      <x:c r="C822" s="46" t="str">
        <x:v>functional</x:v>
      </x:c>
      <x:c r="D822" s="46" t="str">
        <x:v>Medium demersals (30 - 89 cm)</x:v>
      </x:c>
      <x:c r="E822" s="66" t="n">
        <x:v>1</x:v>
      </x:c>
      <x:c r="F822" s="66" t="n">
        <x:v>1</x:v>
      </x:c>
      <x:c r="G822" s="60" t="n">
        <x:v>154127.5378022161</x:v>
      </x:c>
      <x:c r="H822" s="60" t="n">
        <x:v>154127.5378022161</x:v>
      </x:c>
      <x:c r="I822" s="62" t="n">
        <x:v>0</x:v>
      </x:c>
      <x:c r="J822" s="64" t="n">
        <x:v>1</x:v>
      </x:c>
      <x:c r="K822" s="62" t="n">
        <x:v>190.54607179632464</x:v>
      </x:c>
      <x:c r="L822" s="60" t="n">
        <x:v>29368396.883851808</x:v>
      </x:c>
      <x:c r="M822" s="62" t="n">
        <x:v>3.28</x:v>
      </x:c>
      <x:c r="N822" s="62" t="n">
        <x:v>190.54607179632464</x:v>
      </x:c>
      <x:c r="O822" s="60" t="n">
        <x:v>29368396.883851808</x:v>
      </x:c>
      <x:c r="P822" s="60" t="n">
        <x:v>0</x:v>
      </x:c>
      <x:c r="Q822" s="62" t="n">
        <x:v>1</x:v>
      </x:c>
      <x:c r="R822" s="64" t="n">
        <x:v>0</x:v>
      </x:c>
    </x:row>
    <x:row r="823" ht="18" customHeight="1">
      <x:c r="A823" s="46" t="str">
        <x:v>HS_048</x:v>
      </x:c>
      <x:c r="B823" s="46" t="str">
        <x:v>Atlantic, Antarctic</x:v>
      </x:c>
      <x:c r="C823" s="46" t="str">
        <x:v>functional</x:v>
      </x:c>
      <x:c r="D823" s="46" t="str">
        <x:v>Small demersals (&lt;30 cm)</x:v>
      </x:c>
      <x:c r="E823" s="66" t="n">
        <x:v>1</x:v>
      </x:c>
      <x:c r="F823" s="66" t="n">
        <x:v>1</x:v>
      </x:c>
      <x:c r="G823" s="60" t="n">
        <x:v>0.0472999999</x:v>
      </x:c>
      <x:c r="H823" s="60" t="n">
        <x:v>0.0472999999</x:v>
      </x:c>
      <x:c r="I823" s="62" t="n">
        <x:v>0</x:v>
      </x:c>
      <x:c r="J823" s="64" t="n">
        <x:v>1</x:v>
      </x:c>
      <x:c r="K823" s="62" t="n">
        <x:v>223.872113856834</x:v>
      </x:c>
      <x:c r="L823" s="60" t="n">
        <x:v>10.589150963041037</x:v>
      </x:c>
      <x:c r="M823" s="62" t="n">
        <x:v>3.35</x:v>
      </x:c>
      <x:c r="N823" s="62" t="n">
        <x:v>223.872113856834</x:v>
      </x:c>
      <x:c r="O823" s="60" t="n">
        <x:v>10.589150963041037</x:v>
      </x:c>
      <x:c r="P823" s="60" t="n">
        <x:v>0</x:v>
      </x:c>
      <x:c r="Q823" s="62" t="n">
        <x:v>1</x:v>
      </x:c>
      <x:c r="R823" s="64" t="n">
        <x:v>0</x:v>
      </x:c>
    </x:row>
    <x:row r="824" ht="18" customHeight="1">
      <x:c r="A824" s="46" t="str">
        <x:v>HS_051</x:v>
      </x:c>
      <x:c r="B824" s="46" t="str">
        <x:v>Indian Ocean, Western</x:v>
      </x:c>
      <x:c r="C824" s="46" t="str">
        <x:v>functional</x:v>
      </x:c>
      <x:c r="D824" s="46" t="str">
        <x:v>Large benthopelagics (&gt;=90 cm)</x:v>
      </x:c>
      <x:c r="E824" s="66" t="n">
        <x:v>1</x:v>
      </x:c>
      <x:c r="F824" s="66" t="n">
        <x:v>1</x:v>
      </x:c>
      <x:c r="G824" s="60" t="n">
        <x:v>0.0267831636</x:v>
      </x:c>
      <x:c r="H824" s="60" t="n">
        <x:v>0.0267831636</x:v>
      </x:c>
      <x:c r="I824" s="62" t="n">
        <x:v>0</x:v>
      </x:c>
      <x:c r="J824" s="64" t="n">
        <x:v>1</x:v>
      </x:c>
      <x:c r="K824" s="62" t="n">
        <x:v>1513.5612484362073</x:v>
      </x:c>
      <x:c r="L824" s="60" t="n">
        <x:v>40.537958535487185</x:v>
      </x:c>
      <x:c r="M824" s="62" t="n">
        <x:v>4.18</x:v>
      </x:c>
      <x:c r="N824" s="62" t="n">
        <x:v>1513.5612484362073</x:v>
      </x:c>
      <x:c r="O824" s="60" t="n">
        <x:v>40.537958535487185</x:v>
      </x:c>
      <x:c r="P824" s="60" t="n">
        <x:v>0</x:v>
      </x:c>
      <x:c r="Q824" s="62" t="n">
        <x:v>1</x:v>
      </x:c>
      <x:c r="R824" s="64" t="n">
        <x:v>0</x:v>
      </x:c>
    </x:row>
    <x:row r="825" ht="18" customHeight="1">
      <x:c r="A825" s="46" t="str">
        <x:v>HS_051</x:v>
      </x:c>
      <x:c r="B825" s="46" t="str">
        <x:v>Indian Ocean, Western</x:v>
      </x:c>
      <x:c r="C825" s="46" t="str">
        <x:v>functional</x:v>
      </x:c>
      <x:c r="D825" s="46" t="str">
        <x:v>Large pelagics (&gt;=90 cm)</x:v>
      </x:c>
      <x:c r="E825" s="66" t="n">
        <x:v>19</x:v>
      </x:c>
      <x:c r="F825" s="66" t="n">
        <x:v>19</x:v>
      </x:c>
      <x:c r="G825" s="60" t="n">
        <x:v>327895.1162137338</x:v>
      </x:c>
      <x:c r="H825" s="60" t="n">
        <x:v>327895.1162137338</x:v>
      </x:c>
      <x:c r="I825" s="62" t="n">
        <x:v>0</x:v>
      </x:c>
      <x:c r="J825" s="64" t="n">
        <x:v>1</x:v>
      </x:c>
      <x:c r="K825" s="62" t="n">
        <x:v>2676.6644615435594</x:v>
      </x:c>
      <x:c r="L825" s="60" t="n">
        <x:v>877665204.6829966</x:v>
      </x:c>
      <x:c r="M825" s="62" t="n">
        <x:v>4.424306053536078</x:v>
      </x:c>
      <x:c r="N825" s="62" t="n">
        <x:v>2656.476959824997</x:v>
      </x:c>
      <x:c r="O825" s="60" t="n">
        <x:v>871045821.4609236</x:v>
      </x:c>
      <x:c r="P825" s="60" t="n">
        <x:v>6619383.222073078</x:v>
      </x:c>
      <x:c r="Q825" s="62" t="n">
        <x:v>1.007599351330302</x:v>
      </x:c>
      <x:c r="R825" s="64" t="n">
        <x:v>0.007599351330302012</x:v>
      </x:c>
    </x:row>
    <x:row r="826" ht="18" customHeight="1">
      <x:c r="A826" s="46" t="str">
        <x:v>HS_051</x:v>
      </x:c>
      <x:c r="B826" s="46" t="str">
        <x:v>Indian Ocean, Western</x:v>
      </x:c>
      <x:c r="C826" s="46" t="str">
        <x:v>functional</x:v>
      </x:c>
      <x:c r="D826" s="46" t="str">
        <x:v>Large rays (&gt;=90 cm)</x:v>
      </x:c>
      <x:c r="E826" s="66" t="n">
        <x:v>1</x:v>
      </x:c>
      <x:c r="F826" s="66" t="n">
        <x:v>1</x:v>
      </x:c>
      <x:c r="G826" s="60" t="n">
        <x:v>2.4930363256</x:v>
      </x:c>
      <x:c r="H826" s="60" t="n">
        <x:v>2.4930363256</x:v>
      </x:c>
      <x:c r="I826" s="62" t="n">
        <x:v>0</x:v>
      </x:c>
      <x:c r="J826" s="64" t="n">
        <x:v>1</x:v>
      </x:c>
      <x:c r="K826" s="62" t="n">
        <x:v>407.3802778041126</x:v>
      </x:c>
      <x:c r="L826" s="60" t="n">
        <x:v>1015.6138308986721</x:v>
      </x:c>
      <x:c r="M826" s="62" t="n">
        <x:v>3.61</x:v>
      </x:c>
      <x:c r="N826" s="62" t="n">
        <x:v>407.3802778041126</x:v>
      </x:c>
      <x:c r="O826" s="60" t="n">
        <x:v>1015.6138308986721</x:v>
      </x:c>
      <x:c r="P826" s="60" t="n">
        <x:v>0</x:v>
      </x:c>
      <x:c r="Q826" s="62" t="n">
        <x:v>1</x:v>
      </x:c>
      <x:c r="R826" s="64" t="n">
        <x:v>0</x:v>
      </x:c>
    </x:row>
    <x:row r="827" ht="18" customHeight="1">
      <x:c r="A827" s="46" t="str">
        <x:v>HS_051</x:v>
      </x:c>
      <x:c r="B827" s="46" t="str">
        <x:v>Indian Ocean, Western</x:v>
      </x:c>
      <x:c r="C827" s="46" t="str">
        <x:v>functional</x:v>
      </x:c>
      <x:c r="D827" s="46" t="str">
        <x:v>Large sharks (&gt;=90 cm)</x:v>
      </x:c>
      <x:c r="E827" s="66" t="n">
        <x:v>9</x:v>
      </x:c>
      <x:c r="F827" s="66" t="n">
        <x:v>9</x:v>
      </x:c>
      <x:c r="G827" s="60" t="n">
        <x:v>2873.3027424523</x:v>
      </x:c>
      <x:c r="H827" s="60" t="n">
        <x:v>2873.3027424523</x:v>
      </x:c>
      <x:c r="I827" s="62" t="n">
        <x:v>0</x:v>
      </x:c>
      <x:c r="J827" s="64" t="n">
        <x:v>1</x:v>
      </x:c>
      <x:c r="K827" s="62" t="n">
        <x:v>2287.734160924436</x:v>
      </x:c>
      <x:c r="L827" s="60" t="n">
        <x:v>6573352.838585993</x:v>
      </x:c>
      <x:c r="M827" s="62" t="n">
        <x:v>4.35665945328341</x:v>
      </x:c>
      <x:c r="N827" s="62" t="n">
        <x:v>2273.3141401578046</x:v>
      </x:c>
      <x:c r="O827" s="60" t="n">
        <x:v>6531919.753371012</x:v>
      </x:c>
      <x:c r="P827" s="60" t="n">
        <x:v>41433.08521498088</x:v>
      </x:c>
      <x:c r="Q827" s="62" t="n">
        <x:v>1.0063431711930628</x:v>
      </x:c>
      <x:c r="R827" s="64" t="n">
        <x:v>0.006343171193062801</x:v>
      </x:c>
    </x:row>
    <x:row r="828" ht="18" customHeight="1">
      <x:c r="A828" s="46" t="str">
        <x:v>HS_051</x:v>
      </x:c>
      <x:c r="B828" s="46" t="str">
        <x:v>Indian Ocean, Western</x:v>
      </x:c>
      <x:c r="C828" s="46" t="str">
        <x:v>functional</x:v>
      </x:c>
      <x:c r="D828" s="46" t="str">
        <x:v>Medium demersals (30 - 89 cm)</x:v>
      </x:c>
      <x:c r="E828" s="66" t="n">
        <x:v>1</x:v>
      </x:c>
      <x:c r="F828" s="66" t="n">
        <x:v>1</x:v>
      </x:c>
      <x:c r="G828" s="60" t="n">
        <x:v>14385.8709648595</x:v>
      </x:c>
      <x:c r="H828" s="60" t="n">
        <x:v>14385.8709648595</x:v>
      </x:c>
      <x:c r="I828" s="62" t="n">
        <x:v>0</x:v>
      </x:c>
      <x:c r="J828" s="64" t="n">
        <x:v>1</x:v>
      </x:c>
      <x:c r="K828" s="62" t="n">
        <x:v>190.54607179632464</x:v>
      </x:c>
      <x:c r="L828" s="60" t="n">
        <x:v>2741171.2017227802</x:v>
      </x:c>
      <x:c r="M828" s="62" t="n">
        <x:v>3.28</x:v>
      </x:c>
      <x:c r="N828" s="62" t="n">
        <x:v>190.54607179632464</x:v>
      </x:c>
      <x:c r="O828" s="60" t="n">
        <x:v>2741171.2017227802</x:v>
      </x:c>
      <x:c r="P828" s="60" t="n">
        <x:v>0</x:v>
      </x:c>
      <x:c r="Q828" s="62" t="n">
        <x:v>1</x:v>
      </x:c>
      <x:c r="R828" s="64" t="n">
        <x:v>0</x:v>
      </x:c>
    </x:row>
    <x:row r="829" ht="18" customHeight="1">
      <x:c r="A829" s="46" t="str">
        <x:v>HS_051</x:v>
      </x:c>
      <x:c r="B829" s="46" t="str">
        <x:v>Indian Ocean, Western</x:v>
      </x:c>
      <x:c r="C829" s="46" t="str">
        <x:v>functional</x:v>
      </x:c>
      <x:c r="D829" s="46" t="str">
        <x:v>Medium pelagics (30 - 89 cm)</x:v>
      </x:c>
      <x:c r="E829" s="66" t="n">
        <x:v>5</x:v>
      </x:c>
      <x:c r="F829" s="66" t="n">
        <x:v>5</x:v>
      </x:c>
      <x:c r="G829" s="60" t="n">
        <x:v>32697.198588009298</x:v>
      </x:c>
      <x:c r="H829" s="60" t="n">
        <x:v>32697.198588009298</x:v>
      </x:c>
      <x:c r="I829" s="62" t="n">
        <x:v>0</x:v>
      </x:c>
      <x:c r="J829" s="64" t="n">
        <x:v>1</x:v>
      </x:c>
      <x:c r="K829" s="62" t="n">
        <x:v>626.9984233258302</x:v>
      </x:c>
      <x:c r="L829" s="60" t="n">
        <x:v>20501091.961853392</x:v>
      </x:c>
      <x:c r="M829" s="62" t="n">
        <x:v>3.5830000909551445</x:v>
      </x:c>
      <x:c r="N829" s="62" t="n">
        <x:v>382.8248234925673</x:v>
      </x:c>
      <x:c r="O829" s="60" t="n">
        <x:v>12517299.278156081</x:v>
      </x:c>
      <x:c r="P829" s="60" t="n">
        <x:v>7983792.683697311</x:v>
      </x:c>
      <x:c r="Q829" s="62" t="n">
        <x:v>1.637820707668931</x:v>
      </x:c>
      <x:c r="R829" s="64" t="n">
        <x:v>0.6378207076689311</x:v>
      </x:c>
    </x:row>
    <x:row r="830" ht="18" customHeight="1">
      <x:c r="A830" s="46" t="str">
        <x:v>HS_057</x:v>
      </x:c>
      <x:c r="B830" s="46" t="str">
        <x:v>Indian Ocean, Eastern</x:v>
      </x:c>
      <x:c r="C830" s="46" t="str">
        <x:v>functional</x:v>
      </x:c>
      <x:c r="D830" s="46" t="str">
        <x:v>Large pelagics (&gt;=90 cm)</x:v>
      </x:c>
      <x:c r="E830" s="66" t="n">
        <x:v>18</x:v>
      </x:c>
      <x:c r="F830" s="66" t="n">
        <x:v>18</x:v>
      </x:c>
      <x:c r="G830" s="60" t="n">
        <x:v>218823.94711883733</x:v>
      </x:c>
      <x:c r="H830" s="60" t="n">
        <x:v>218823.94711883733</x:v>
      </x:c>
      <x:c r="I830" s="62" t="n">
        <x:v>0</x:v>
      </x:c>
      <x:c r="J830" s="64" t="n">
        <x:v>1</x:v>
      </x:c>
      <x:c r="K830" s="62" t="n">
        <x:v>2534.7761043902387</x:v>
      </x:c>
      <x:c r="L830" s="60" t="n">
        <x:v>554669712.225182</x:v>
      </x:c>
      <x:c r="M830" s="62" t="n">
        <x:v>4.391922031754247</x:v>
      </x:c>
      <x:c r="N830" s="62" t="n">
        <x:v>2465.596652579334</x:v>
      </x:c>
      <x:c r="O830" s="60" t="n">
        <x:v>539531591.5204026</x:v>
      </x:c>
      <x:c r="P830" s="60" t="n">
        <x:v>15138120.704779506</x:v>
      </x:c>
      <x:c r="Q830" s="62" t="n">
        <x:v>1.0280578949271908</x:v>
      </x:c>
      <x:c r="R830" s="64" t="n">
        <x:v>0.028057894927190845</x:v>
      </x:c>
    </x:row>
    <x:row r="831" ht="18" customHeight="1">
      <x:c r="A831" s="46" t="str">
        <x:v>HS_057</x:v>
      </x:c>
      <x:c r="B831" s="46" t="str">
        <x:v>Indian Ocean, Eastern</x:v>
      </x:c>
      <x:c r="C831" s="46" t="str">
        <x:v>functional</x:v>
      </x:c>
      <x:c r="D831" s="46" t="str">
        <x:v>Large rays (&gt;=90 cm)</x:v>
      </x:c>
      <x:c r="E831" s="66" t="n">
        <x:v>1</x:v>
      </x:c>
      <x:c r="F831" s="66" t="n">
        <x:v>1</x:v>
      </x:c>
      <x:c r="G831" s="60" t="n">
        <x:v>0.0037337253</x:v>
      </x:c>
      <x:c r="H831" s="60" t="n">
        <x:v>0.0037337253</x:v>
      </x:c>
      <x:c r="I831" s="62" t="n">
        <x:v>0</x:v>
      </x:c>
      <x:c r="J831" s="64" t="n">
        <x:v>1</x:v>
      </x:c>
      <x:c r="K831" s="62" t="n">
        <x:v>407.3802778041126</x:v>
      </x:c>
      <x:c r="L831" s="60" t="n">
        <x:v>1.5210460499582437</x:v>
      </x:c>
      <x:c r="M831" s="62" t="n">
        <x:v>3.61</x:v>
      </x:c>
      <x:c r="N831" s="62" t="n">
        <x:v>407.3802778041126</x:v>
      </x:c>
      <x:c r="O831" s="60" t="n">
        <x:v>1.5210460499582437</x:v>
      </x:c>
      <x:c r="P831" s="60" t="n">
        <x:v>0</x:v>
      </x:c>
      <x:c r="Q831" s="62" t="n">
        <x:v>1</x:v>
      </x:c>
      <x:c r="R831" s="64" t="n">
        <x:v>0</x:v>
      </x:c>
    </x:row>
    <x:row r="832" ht="18" customHeight="1">
      <x:c r="A832" s="46" t="str">
        <x:v>HS_057</x:v>
      </x:c>
      <x:c r="B832" s="46" t="str">
        <x:v>Indian Ocean, Eastern</x:v>
      </x:c>
      <x:c r="C832" s="46" t="str">
        <x:v>functional</x:v>
      </x:c>
      <x:c r="D832" s="46" t="str">
        <x:v>Large sharks (&gt;=90 cm)</x:v>
      </x:c>
      <x:c r="E832" s="66" t="n">
        <x:v>9</x:v>
      </x:c>
      <x:c r="F832" s="66" t="n">
        <x:v>9</x:v>
      </x:c>
      <x:c r="G832" s="60" t="n">
        <x:v>7718.8043395602</x:v>
      </x:c>
      <x:c r="H832" s="60" t="n">
        <x:v>7718.8043395602</x:v>
      </x:c>
      <x:c r="I832" s="62" t="n">
        <x:v>0</x:v>
      </x:c>
      <x:c r="J832" s="64" t="n">
        <x:v>1</x:v>
      </x:c>
      <x:c r="K832" s="62" t="n">
        <x:v>2315.1735763395027</x:v>
      </x:c>
      <x:c r="L832" s="60" t="n">
        <x:v>17870371.84788446</x:v>
      </x:c>
      <x:c r="M832" s="62" t="n">
        <x:v>4.35221532923534</x:v>
      </x:c>
      <x:c r="N832" s="62" t="n">
        <x:v>2250.169994832655</x:v>
      </x:c>
      <x:c r="O832" s="60" t="n">
        <x:v>17368621.92086245</x:v>
      </x:c>
      <x:c r="P832" s="60" t="n">
        <x:v>501749.9270220101</x:v>
      </x:c>
      <x:c r="Q832" s="62" t="n">
        <x:v>1.0288882980646454</x:v>
      </x:c>
      <x:c r="R832" s="64" t="n">
        <x:v>0.028888298064645497</x:v>
      </x:c>
    </x:row>
    <x:row r="833" ht="18" customHeight="1">
      <x:c r="A833" s="46" t="str">
        <x:v>HS_057</x:v>
      </x:c>
      <x:c r="B833" s="46" t="str">
        <x:v>Indian Ocean, Eastern</x:v>
      </x:c>
      <x:c r="C833" s="46" t="str">
        <x:v>functional</x:v>
      </x:c>
      <x:c r="D833" s="46" t="str">
        <x:v>Medium demersals (30 - 89 cm)</x:v>
      </x:c>
      <x:c r="E833" s="66" t="n">
        <x:v>1</x:v>
      </x:c>
      <x:c r="F833" s="66" t="n">
        <x:v>1</x:v>
      </x:c>
      <x:c r="G833" s="60" t="n">
        <x:v>18676.0058537108</x:v>
      </x:c>
      <x:c r="H833" s="60" t="n">
        <x:v>18676.0058537108</x:v>
      </x:c>
      <x:c r="I833" s="62" t="n">
        <x:v>0</x:v>
      </x:c>
      <x:c r="J833" s="64" t="n">
        <x:v>1</x:v>
      </x:c>
      <x:c r="K833" s="62" t="n">
        <x:v>190.54607179632464</x:v>
      </x:c>
      <x:c r="L833" s="60" t="n">
        <x:v>3558639.5522697577</x:v>
      </x:c>
      <x:c r="M833" s="62" t="n">
        <x:v>3.28</x:v>
      </x:c>
      <x:c r="N833" s="62" t="n">
        <x:v>190.54607179632464</x:v>
      </x:c>
      <x:c r="O833" s="60" t="n">
        <x:v>3558639.5522697577</x:v>
      </x:c>
      <x:c r="P833" s="60" t="n">
        <x:v>0</x:v>
      </x:c>
      <x:c r="Q833" s="62" t="n">
        <x:v>1</x:v>
      </x:c>
      <x:c r="R833" s="64" t="n">
        <x:v>0</x:v>
      </x:c>
    </x:row>
    <x:row r="834" ht="18" customHeight="1">
      <x:c r="A834" s="46" t="str">
        <x:v>HS_057</x:v>
      </x:c>
      <x:c r="B834" s="46" t="str">
        <x:v>Indian Ocean, Eastern</x:v>
      </x:c>
      <x:c r="C834" s="46" t="str">
        <x:v>functional</x:v>
      </x:c>
      <x:c r="D834" s="46" t="str">
        <x:v>Medium pelagics (30 - 89 cm)</x:v>
      </x:c>
      <x:c r="E834" s="66" t="n">
        <x:v>5</x:v>
      </x:c>
      <x:c r="F834" s="66" t="n">
        <x:v>5</x:v>
      </x:c>
      <x:c r="G834" s="60" t="n">
        <x:v>4240.762900499199</x:v>
      </x:c>
      <x:c r="H834" s="60" t="n">
        <x:v>4240.762900499199</x:v>
      </x:c>
      <x:c r="I834" s="62" t="n">
        <x:v>0</x:v>
      </x:c>
      <x:c r="J834" s="64" t="n">
        <x:v>1</x:v>
      </x:c>
      <x:c r="K834" s="62" t="n">
        <x:v>295.5722484057796</x:v>
      </x:c>
      <x:c r="L834" s="60" t="n">
        <x:v>1253451.8254563634</x:v>
      </x:c>
      <x:c r="M834" s="62" t="n">
        <x:v>3.3870735866338135</x:v>
      </x:c>
      <x:c r="N834" s="62" t="n">
        <x:v>243.8223914777368</x:v>
      </x:c>
      <x:c r="O834" s="60" t="n">
        <x:v>1033992.9520897781</x:v>
      </x:c>
      <x:c r="P834" s="60" t="n">
        <x:v>219458.87336658523</x:v>
      </x:c>
      <x:c r="Q834" s="62" t="n">
        <x:v>1.2122440708353401</x:v>
      </x:c>
      <x:c r="R834" s="64" t="n">
        <x:v>0.21224407083534005</x:v>
      </x:c>
    </x:row>
    <x:row r="835" ht="18" customHeight="1">
      <x:c r="A835" s="46" t="str">
        <x:v>HS_058</x:v>
      </x:c>
      <x:c r="B835" s="46" t="str">
        <x:v>Indian Ocean, Antarctic</x:v>
      </x:c>
      <x:c r="C835" s="46" t="str">
        <x:v>functional</x:v>
      </x:c>
      <x:c r="D835" s="46" t="str">
        <x:v>Large bathydemersals (&gt;=90 cm)</x:v>
      </x:c>
      <x:c r="E835" s="66" t="n">
        <x:v>1</x:v>
      </x:c>
      <x:c r="F835" s="66" t="n">
        <x:v>1</x:v>
      </x:c>
      <x:c r="G835" s="60" t="n">
        <x:v>10.60277</x:v>
      </x:c>
      <x:c r="H835" s="60" t="n">
        <x:v>10.60277</x:v>
      </x:c>
      <x:c r="I835" s="62" t="n">
        <x:v>0</x:v>
      </x:c>
      <x:c r="J835" s="64" t="n">
        <x:v>1</x:v>
      </x:c>
      <x:c r="K835" s="62" t="n">
        <x:v>912.0108393559096</x:v>
      </x:c>
      <x:c r="L835" s="60" t="n">
        <x:v>9669.841167197657</x:v>
      </x:c>
      <x:c r="M835" s="62" t="n">
        <x:v>3.96</x:v>
      </x:c>
      <x:c r="N835" s="62" t="n">
        <x:v>912.0108393559096</x:v>
      </x:c>
      <x:c r="O835" s="60" t="n">
        <x:v>9669.841167197657</x:v>
      </x:c>
      <x:c r="P835" s="60" t="n">
        <x:v>0</x:v>
      </x:c>
      <x:c r="Q835" s="62" t="n">
        <x:v>1</x:v>
      </x:c>
      <x:c r="R835" s="64" t="n">
        <x:v>0</x:v>
      </x:c>
    </x:row>
    <x:row r="836" ht="18" customHeight="1">
      <x:c r="A836" s="46" t="str">
        <x:v>HS_058</x:v>
      </x:c>
      <x:c r="B836" s="46" t="str">
        <x:v>Indian Ocean, Antarctic</x:v>
      </x:c>
      <x:c r="C836" s="46" t="str">
        <x:v>functional</x:v>
      </x:c>
      <x:c r="D836" s="46" t="str">
        <x:v>Large rays (&gt;=90 cm)</x:v>
      </x:c>
      <x:c r="E836" s="66" t="n">
        <x:v>1</x:v>
      </x:c>
      <x:c r="F836" s="66" t="n">
        <x:v>1</x:v>
      </x:c>
      <x:c r="G836" s="60" t="n">
        <x:v>0.02267</x:v>
      </x:c>
      <x:c r="H836" s="60" t="n">
        <x:v>0.02267</x:v>
      </x:c>
      <x:c r="I836" s="62" t="n">
        <x:v>0</x:v>
      </x:c>
      <x:c r="J836" s="64" t="n">
        <x:v>1</x:v>
      </x:c>
      <x:c r="K836" s="62" t="n">
        <x:v>407.3802778041126</x:v>
      </x:c>
      <x:c r="L836" s="60" t="n">
        <x:v>9.235310897819232</x:v>
      </x:c>
      <x:c r="M836" s="62" t="n">
        <x:v>3.6100000000000003</x:v>
      </x:c>
      <x:c r="N836" s="62" t="n">
        <x:v>407.380277804113</x:v>
      </x:c>
      <x:c r="O836" s="60" t="n">
        <x:v>9.235310897819241</x:v>
      </x:c>
      <x:c r="P836" s="60" t="n">
        <x:v>-8.881784197001252e-15</x:v>
      </x:c>
      <x:c r="Q836" s="62" t="n">
        <x:v>0.999999999999999</x:v>
      </x:c>
      <x:c r="R836" s="64" t="n">
        <x:v>-9.617201083180136e-16</x:v>
      </x:c>
    </x:row>
    <x:row r="837" ht="18" customHeight="1">
      <x:c r="A837" s="46" t="str">
        <x:v>HS_058</x:v>
      </x:c>
      <x:c r="B837" s="46" t="str">
        <x:v>Indian Ocean, Antarctic</x:v>
      </x:c>
      <x:c r="C837" s="46" t="str">
        <x:v>functional</x:v>
      </x:c>
      <x:c r="D837" s="46" t="str">
        <x:v>Medium bathydemersals (30 - 89 cm)</x:v>
      </x:c>
      <x:c r="E837" s="66" t="n">
        <x:v>1</x:v>
      </x:c>
      <x:c r="F837" s="66" t="n">
        <x:v>1</x:v>
      </x:c>
      <x:c r="G837" s="60" t="n">
        <x:v>0.05056</x:v>
      </x:c>
      <x:c r="H837" s="60" t="n">
        <x:v>0.05056</x:v>
      </x:c>
      <x:c r="I837" s="62" t="n">
        <x:v>0</x:v>
      </x:c>
      <x:c r="J837" s="64" t="n">
        <x:v>1</x:v>
      </x:c>
      <x:c r="K837" s="62" t="n">
        <x:v>575.4399373371566</x:v>
      </x:c>
      <x:c r="L837" s="60" t="n">
        <x:v>29.09424323176664</x:v>
      </x:c>
      <x:c r="M837" s="62" t="n">
        <x:v>3.76</x:v>
      </x:c>
      <x:c r="N837" s="62" t="n">
        <x:v>575.4399373371566</x:v>
      </x:c>
      <x:c r="O837" s="60" t="n">
        <x:v>29.09424323176664</x:v>
      </x:c>
      <x:c r="P837" s="60" t="n">
        <x:v>0</x:v>
      </x:c>
      <x:c r="Q837" s="62" t="n">
        <x:v>1</x:v>
      </x:c>
      <x:c r="R837" s="64" t="n">
        <x:v>0</x:v>
      </x:c>
    </x:row>
    <x:row r="838" ht="18" customHeight="1">
      <x:c r="A838" s="46" t="str">
        <x:v>HS_058</x:v>
      </x:c>
      <x:c r="B838" s="46" t="str">
        <x:v>Indian Ocean, Antarctic</x:v>
      </x:c>
      <x:c r="C838" s="46" t="str">
        <x:v>functional</x:v>
      </x:c>
      <x:c r="D838" s="46" t="str">
        <x:v>Medium demersals (30 - 89 cm)</x:v>
      </x:c>
      <x:c r="E838" s="66" t="n">
        <x:v>1</x:v>
      </x:c>
      <x:c r="F838" s="66" t="n">
        <x:v>1</x:v>
      </x:c>
      <x:c r="G838" s="60" t="n">
        <x:v>1610.6000393135002</x:v>
      </x:c>
      <x:c r="H838" s="60" t="n">
        <x:v>1610.6000393135002</x:v>
      </x:c>
      <x:c r="I838" s="62" t="n">
        <x:v>0</x:v>
      </x:c>
      <x:c r="J838" s="64" t="n">
        <x:v>1</x:v>
      </x:c>
      <x:c r="K838" s="62" t="n">
        <x:v>190.54607179632464</x:v>
      </x:c>
      <x:c r="L838" s="60" t="n">
        <x:v>306893.5107261935</x:v>
      </x:c>
      <x:c r="M838" s="62" t="n">
        <x:v>3.28</x:v>
      </x:c>
      <x:c r="N838" s="62" t="n">
        <x:v>190.54607179632464</x:v>
      </x:c>
      <x:c r="O838" s="60" t="n">
        <x:v>306893.5107261935</x:v>
      </x:c>
      <x:c r="P838" s="60" t="n">
        <x:v>0</x:v>
      </x:c>
      <x:c r="Q838" s="62" t="n">
        <x:v>1</x:v>
      </x:c>
      <x:c r="R838" s="64" t="n">
        <x:v>0</x:v>
      </x:c>
    </x:row>
    <x:row r="839" ht="18" customHeight="1">
      <x:c r="A839" s="46" t="str">
        <x:v>HS_058</x:v>
      </x:c>
      <x:c r="B839" s="46" t="str">
        <x:v>Indian Ocean, Antarctic</x:v>
      </x:c>
      <x:c r="C839" s="46" t="str">
        <x:v>functional</x:v>
      </x:c>
      <x:c r="D839" s="46" t="str">
        <x:v>Small demersals (&lt;30 cm)</x:v>
      </x:c>
      <x:c r="E839" s="66" t="n">
        <x:v>2</x:v>
      </x:c>
      <x:c r="F839" s="66" t="n">
        <x:v>2</x:v>
      </x:c>
      <x:c r="G839" s="60" t="n">
        <x:v>1.00392</x:v>
      </x:c>
      <x:c r="H839" s="60" t="n">
        <x:v>1.00392</x:v>
      </x:c>
      <x:c r="I839" s="62" t="n">
        <x:v>0</x:v>
      </x:c>
      <x:c r="J839" s="64" t="n">
        <x:v>1</x:v>
      </x:c>
      <x:c r="K839" s="62" t="n">
        <x:v>223.4895336463636</x:v>
      </x:c>
      <x:c r="L839" s="60" t="n">
        <x:v>224.36561261825733</x:v>
      </x:c>
      <x:c r="M839" s="62" t="n">
        <x:v>3.3490238265997294</x:v>
      </x:c>
      <x:c r="N839" s="62" t="n">
        <x:v>223.36947661586646</x:v>
      </x:c>
      <x:c r="O839" s="60" t="n">
        <x:v>224.24508496420063</x:v>
      </x:c>
      <x:c r="P839" s="60" t="n">
        <x:v>0.1205276540567013</x:v>
      </x:c>
      <x:c r="Q839" s="62" t="n">
        <x:v>1.0005374818095831</x:v>
      </x:c>
      <x:c r="R839" s="64" t="n">
        <x:v>0.0005374818095832192</x:v>
      </x:c>
    </x:row>
    <x:row r="840" ht="18" customHeight="1">
      <x:c r="A840" s="46" t="str">
        <x:v>HS_061</x:v>
      </x:c>
      <x:c r="B840" s="46" t="str">
        <x:v>Pacific, Northwest</x:v>
      </x:c>
      <x:c r="C840" s="46" t="str">
        <x:v>functional</x:v>
      </x:c>
      <x:c r="D840" s="46" t="str">
        <x:v>Large pelagics (&gt;=90 cm)</x:v>
      </x:c>
      <x:c r="E840" s="66" t="n">
        <x:v>11</x:v>
      </x:c>
      <x:c r="F840" s="66" t="n">
        <x:v>11</x:v>
      </x:c>
      <x:c r="G840" s="60" t="n">
        <x:v>100297.2096274776</x:v>
      </x:c>
      <x:c r="H840" s="60" t="n">
        <x:v>100297.2096274776</x:v>
      </x:c>
      <x:c r="I840" s="62" t="n">
        <x:v>0</x:v>
      </x:c>
      <x:c r="J840" s="64" t="n">
        <x:v>1</x:v>
      </x:c>
      <x:c r="K840" s="62" t="n">
        <x:v>2639.6682928496257</x:v>
      </x:c>
      <x:c r="L840" s="60" t="n">
        <x:v>264751364.11494482</x:v>
      </x:c>
      <x:c r="M840" s="62" t="n">
        <x:v>4.418795303922495</x:v>
      </x:c>
      <x:c r="N840" s="62" t="n">
        <x:v>2622.981961541809</x:v>
      </x:c>
      <x:c r="O840" s="60" t="n">
        <x:v>263077771.64585122</x:v>
      </x:c>
      <x:c r="P840" s="60" t="n">
        <x:v>1673592.469093591</x:v>
      </x:c>
      <x:c r="Q840" s="62" t="n">
        <x:v>1.006361588280999</x:v>
      </x:c>
      <x:c r="R840" s="64" t="n">
        <x:v>0.006361588280999048</x:v>
      </x:c>
    </x:row>
    <x:row r="841" ht="18" customHeight="1">
      <x:c r="A841" s="46" t="str">
        <x:v>HS_061</x:v>
      </x:c>
      <x:c r="B841" s="46" t="str">
        <x:v>Pacific, Northwest</x:v>
      </x:c>
      <x:c r="C841" s="46" t="str">
        <x:v>functional</x:v>
      </x:c>
      <x:c r="D841" s="46" t="str">
        <x:v>Large sharks (&gt;=90 cm)</x:v>
      </x:c>
      <x:c r="E841" s="66" t="n">
        <x:v>7</x:v>
      </x:c>
      <x:c r="F841" s="66" t="n">
        <x:v>7</x:v>
      </x:c>
      <x:c r="G841" s="60" t="n">
        <x:v>5742.7680373349</x:v>
      </x:c>
      <x:c r="H841" s="60" t="n">
        <x:v>5742.7680373349</x:v>
      </x:c>
      <x:c r="I841" s="62" t="n">
        <x:v>0</x:v>
      </x:c>
      <x:c r="J841" s="64" t="n">
        <x:v>1</x:v>
      </x:c>
      <x:c r="K841" s="62" t="n">
        <x:v>2292.0258225138004</x:v>
      </x:c>
      <x:c r="L841" s="60" t="n">
        <x:v>13162572.634278487</x:v>
      </x:c>
      <x:c r="M841" s="62" t="n">
        <x:v>4.356368871775674</x:v>
      </x:c>
      <x:c r="N841" s="62" t="n">
        <x:v>2271.7936002179868</x:v>
      </x:c>
      <x:c r="O841" s="60" t="n">
        <x:v>13046383.674753835</x:v>
      </x:c>
      <x:c r="P841" s="60" t="n">
        <x:v>116188.95952465199</x:v>
      </x:c>
      <x:c r="Q841" s="62" t="n">
        <x:v>1.0089058364694188</x:v>
      </x:c>
      <x:c r="R841" s="64" t="n">
        <x:v>0.00890583646941874</x:v>
      </x:c>
    </x:row>
    <x:row r="842" ht="18" customHeight="1">
      <x:c r="A842" s="46" t="str">
        <x:v>HS_061</x:v>
      </x:c>
      <x:c r="B842" s="46" t="str">
        <x:v>Pacific, Northwest</x:v>
      </x:c>
      <x:c r="C842" s="46" t="str">
        <x:v>functional</x:v>
      </x:c>
      <x:c r="D842" s="46" t="str">
        <x:v>Medium demersals (30 - 89 cm)</x:v>
      </x:c>
      <x:c r="E842" s="66" t="n">
        <x:v>1</x:v>
      </x:c>
      <x:c r="F842" s="66" t="n">
        <x:v>1</x:v>
      </x:c>
      <x:c r="G842" s="60" t="n">
        <x:v>1273.5882444248</x:v>
      </x:c>
      <x:c r="H842" s="60" t="n">
        <x:v>1273.5882444248</x:v>
      </x:c>
      <x:c r="I842" s="62" t="n">
        <x:v>0</x:v>
      </x:c>
      <x:c r="J842" s="64" t="n">
        <x:v>1</x:v>
      </x:c>
      <x:c r="K842" s="62" t="n">
        <x:v>190.54607179632464</x:v>
      </x:c>
      <x:c r="L842" s="60" t="n">
        <x:v>242677.23706112299</x:v>
      </x:c>
      <x:c r="M842" s="62" t="n">
        <x:v>3.28</x:v>
      </x:c>
      <x:c r="N842" s="62" t="n">
        <x:v>190.54607179632464</x:v>
      </x:c>
      <x:c r="O842" s="60" t="n">
        <x:v>242677.23706112299</x:v>
      </x:c>
      <x:c r="P842" s="60" t="n">
        <x:v>0</x:v>
      </x:c>
      <x:c r="Q842" s="62" t="n">
        <x:v>1</x:v>
      </x:c>
      <x:c r="R842" s="64" t="n">
        <x:v>0</x:v>
      </x:c>
    </x:row>
    <x:row r="843" ht="18" customHeight="1">
      <x:c r="A843" s="46" t="str">
        <x:v>HS_061</x:v>
      </x:c>
      <x:c r="B843" s="46" t="str">
        <x:v>Pacific, Northwest</x:v>
      </x:c>
      <x:c r="C843" s="46" t="str">
        <x:v>functional</x:v>
      </x:c>
      <x:c r="D843" s="46" t="str">
        <x:v>Medium pelagics (30 - 89 cm)</x:v>
      </x:c>
      <x:c r="E843" s="66" t="n">
        <x:v>2</x:v>
      </x:c>
      <x:c r="F843" s="66" t="n">
        <x:v>2</x:v>
      </x:c>
      <x:c r="G843" s="60" t="n">
        <x:v>25682.1134280295</x:v>
      </x:c>
      <x:c r="H843" s="60" t="n">
        <x:v>25682.1134280295</x:v>
      </x:c>
      <x:c r="I843" s="62" t="n">
        <x:v>0</x:v>
      </x:c>
      <x:c r="J843" s="64" t="n">
        <x:v>1</x:v>
      </x:c>
      <x:c r="K843" s="62" t="n">
        <x:v>242.51306630983703</x:v>
      </x:c>
      <x:c r="L843" s="60" t="n">
        <x:v>6228248.0767484745</x:v>
      </x:c>
      <x:c r="M843" s="62" t="n">
        <x:v>3.3606297538429515</x:v>
      </x:c>
      <x:c r="N843" s="62" t="n">
        <x:v>229.41919621097048</x:v>
      </x:c>
      <x:c r="O843" s="60" t="n">
        <x:v>5891969.8196575</x:v>
      </x:c>
      <x:c r="P843" s="60" t="n">
        <x:v>336278.2570909746</x:v>
      </x:c>
      <x:c r="Q843" s="62" t="n">
        <x:v>1.0570739951805324</x:v>
      </x:c>
      <x:c r="R843" s="64" t="n">
        <x:v>0.05707399518053242</x:v>
      </x:c>
    </x:row>
    <x:row r="844" ht="18" customHeight="1">
      <x:c r="A844" s="46" t="str">
        <x:v>HS_067</x:v>
      </x:c>
      <x:c r="B844" s="46" t="str">
        <x:v>Pacific, Northeast</x:v>
      </x:c>
      <x:c r="C844" s="46" t="str">
        <x:v>functional</x:v>
      </x:c>
      <x:c r="D844" s="46" t="str">
        <x:v>Large pelagics (&gt;=90 cm)</x:v>
      </x:c>
      <x:c r="E844" s="66" t="n">
        <x:v>8</x:v>
      </x:c>
      <x:c r="F844" s="66" t="n">
        <x:v>8</x:v>
      </x:c>
      <x:c r="G844" s="60" t="n">
        <x:v>267.5030001535</x:v>
      </x:c>
      <x:c r="H844" s="60" t="n">
        <x:v>267.5030001535</x:v>
      </x:c>
      <x:c r="I844" s="62" t="n">
        <x:v>0</x:v>
      </x:c>
      <x:c r="J844" s="64" t="n">
        <x:v>1</x:v>
      </x:c>
      <x:c r="K844" s="62" t="n">
        <x:v>2137.8231036774</x:v>
      </x:c>
      <x:c r="L844" s="60" t="n">
        <x:v>571874.0940311714</x:v>
      </x:c>
      <x:c r="M844" s="62" t="n">
        <x:v>4.324231070841645</x:v>
      </x:c>
      <x:c r="N844" s="62" t="n">
        <x:v>2109.7503657241996</x:v>
      </x:c>
      <x:c r="O844" s="60" t="n">
        <x:v>564364.5524061673</x:v>
      </x:c>
      <x:c r="P844" s="60" t="n">
        <x:v>7509.541625004145</x:v>
      </x:c>
      <x:c r="Q844" s="62" t="n">
        <x:v>1.0133061894000734</x:v>
      </x:c>
      <x:c r="R844" s="64" t="n">
        <x:v>0.01330618940007346</x:v>
      </x:c>
    </x:row>
    <x:row r="845" ht="18" customHeight="1">
      <x:c r="A845" s="46" t="str">
        <x:v>HS_067</x:v>
      </x:c>
      <x:c r="B845" s="46" t="str">
        <x:v>Pacific, Northeast</x:v>
      </x:c>
      <x:c r="C845" s="46" t="str">
        <x:v>functional</x:v>
      </x:c>
      <x:c r="D845" s="46" t="str">
        <x:v>Large sharks (&gt;=90 cm)</x:v>
      </x:c>
      <x:c r="E845" s="66" t="n">
        <x:v>4</x:v>
      </x:c>
      <x:c r="F845" s="66" t="n">
        <x:v>4</x:v>
      </x:c>
      <x:c r="G845" s="60" t="n">
        <x:v>96.97994071950001</x:v>
      </x:c>
      <x:c r="H845" s="60" t="n">
        <x:v>96.97994071950001</x:v>
      </x:c>
      <x:c r="I845" s="62" t="n">
        <x:v>0</x:v>
      </x:c>
      <x:c r="J845" s="64" t="n">
        <x:v>1</x:v>
      </x:c>
      <x:c r="K845" s="62" t="n">
        <x:v>1769.048461604668</x:v>
      </x:c>
      <x:c r="L845" s="60" t="n">
        <x:v>171562.2149363434</x:v>
      </x:c>
      <x:c r="M845" s="62" t="n">
        <x:v>4.2183549350025755</x:v>
      </x:c>
      <x:c r="N845" s="62" t="n">
        <x:v>1653.3124456650928</x:v>
      </x:c>
      <x:c r="O845" s="60" t="n">
        <x:v>160338.14297141228</x:v>
      </x:c>
      <x:c r="P845" s="60" t="n">
        <x:v>11224.071964931121</x:v>
      </x:c>
      <x:c r="Q845" s="62" t="n">
        <x:v>1.0700025069326913</x:v>
      </x:c>
      <x:c r="R845" s="64" t="n">
        <x:v>0.07000250693269121</x:v>
      </x:c>
    </x:row>
    <x:row r="846" ht="18" customHeight="1">
      <x:c r="A846" s="46" t="str">
        <x:v>HS_067</x:v>
      </x:c>
      <x:c r="B846" s="46" t="str">
        <x:v>Pacific, Northeast</x:v>
      </x:c>
      <x:c r="C846" s="46" t="str">
        <x:v>functional</x:v>
      </x:c>
      <x:c r="D846" s="46" t="str">
        <x:v>Medium demersals (30 - 89 cm)</x:v>
      </x:c>
      <x:c r="E846" s="66" t="n">
        <x:v>1</x:v>
      </x:c>
      <x:c r="F846" s="66" t="n">
        <x:v>1</x:v>
      </x:c>
      <x:c r="G846" s="60" t="n">
        <x:v>20.615099850300002</x:v>
      </x:c>
      <x:c r="H846" s="60" t="n">
        <x:v>20.615099850300002</x:v>
      </x:c>
      <x:c r="I846" s="62" t="n">
        <x:v>0</x:v>
      </x:c>
      <x:c r="J846" s="64" t="n">
        <x:v>1</x:v>
      </x:c>
      <x:c r="K846" s="62" t="n">
        <x:v>190.54607179632464</x:v>
      </x:c>
      <x:c r="L846" s="60" t="n">
        <x:v>3928.1262961636653</x:v>
      </x:c>
      <x:c r="M846" s="62" t="n">
        <x:v>3.2799999999999994</x:v>
      </x:c>
      <x:c r="N846" s="62" t="n">
        <x:v>190.54607179632444</x:v>
      </x:c>
      <x:c r="O846" s="60" t="n">
        <x:v>3928.126296163661</x:v>
      </x:c>
      <x:c r="P846" s="60" t="n">
        <x:v>4.092726157978177e-12</x:v>
      </x:c>
      <x:c r="Q846" s="62" t="n">
        <x:v>1.000000000000001</x:v>
      </x:c>
      <x:c r="R846" s="64" t="n">
        <x:v>1.0419028945111235e-15</x:v>
      </x:c>
    </x:row>
    <x:row r="847" ht="18" customHeight="1">
      <x:c r="A847" s="46" t="str">
        <x:v>HS_067</x:v>
      </x:c>
      <x:c r="B847" s="46" t="str">
        <x:v>Pacific, Northeast</x:v>
      </x:c>
      <x:c r="C847" s="46" t="str">
        <x:v>functional</x:v>
      </x:c>
      <x:c r="D847" s="46" t="str">
        <x:v>Medium pelagics (30 - 89 cm)</x:v>
      </x:c>
      <x:c r="E847" s="66" t="n">
        <x:v>3</x:v>
      </x:c>
      <x:c r="F847" s="66" t="n">
        <x:v>3</x:v>
      </x:c>
      <x:c r="G847" s="60" t="n">
        <x:v>17.1933546854</x:v>
      </x:c>
      <x:c r="H847" s="60" t="n">
        <x:v>17.1933546854</x:v>
      </x:c>
      <x:c r="I847" s="62" t="n">
        <x:v>0</x:v>
      </x:c>
      <x:c r="J847" s="64" t="n">
        <x:v>1</x:v>
      </x:c>
      <x:c r="K847" s="62" t="n">
        <x:v>724.2384445380819</x:v>
      </x:c>
      <x:c r="L847" s="60" t="n">
        <x:v>12452.088453745639</x:v>
      </x:c>
      <x:c r="M847" s="62" t="n">
        <x:v>3.6353403750732816</x:v>
      </x:c>
      <x:c r="N847" s="62" t="n">
        <x:v>431.8574092633886</x:v>
      </x:c>
      <x:c r="O847" s="60" t="n">
        <x:v>7425.077610983388</x:v>
      </x:c>
      <x:c r="P847" s="60" t="n">
        <x:v>5027.010842762251</x:v>
      </x:c>
      <x:c r="Q847" s="62" t="n">
        <x:v>1.677031420564029</x:v>
      </x:c>
      <x:c r="R847" s="64" t="n">
        <x:v>0.6770314205640291</x:v>
      </x:c>
    </x:row>
    <x:row r="848" ht="18" customHeight="1">
      <x:c r="A848" s="46" t="str">
        <x:v>HS_071</x:v>
      </x:c>
      <x:c r="B848" s="46" t="str">
        <x:v>Pacific, Western Central</x:v>
      </x:c>
      <x:c r="C848" s="46" t="str">
        <x:v>functional</x:v>
      </x:c>
      <x:c r="D848" s="46" t="str">
        <x:v>Large pelagics (&gt;=90 cm)</x:v>
      </x:c>
      <x:c r="E848" s="66" t="n">
        <x:v>12</x:v>
      </x:c>
      <x:c r="F848" s="66" t="n">
        <x:v>12</x:v>
      </x:c>
      <x:c r="G848" s="60" t="n">
        <x:v>533623.7347764968</x:v>
      </x:c>
      <x:c r="H848" s="60" t="n">
        <x:v>533623.7347764968</x:v>
      </x:c>
      <x:c r="I848" s="62" t="n">
        <x:v>0</x:v>
      </x:c>
      <x:c r="J848" s="64" t="n">
        <x:v>1</x:v>
      </x:c>
      <x:c r="K848" s="62" t="n">
        <x:v>2671.7724830904954</x:v>
      </x:c>
      <x:c r="L848" s="60" t="n">
        <x:v>1425721210.8998246</x:v>
      </x:c>
      <x:c r="M848" s="62" t="n">
        <x:v>4.425823715639559</x:v>
      </x:c>
      <x:c r="N848" s="62" t="n">
        <x:v>2665.776380282783</x:v>
      </x:c>
      <x:c r="O848" s="60" t="n">
        <x:v>1422521548.1254694</x:v>
      </x:c>
      <x:c r="P848" s="60" t="n">
        <x:v>3199662.774355173</x:v>
      </x:c>
      <x:c r="Q848" s="62" t="n">
        <x:v>1.002249289494821</x:v>
      </x:c>
      <x:c r="R848" s="64" t="n">
        <x:v>0.0022492894948210346</x:v>
      </x:c>
    </x:row>
    <x:row r="849" ht="18" customHeight="1">
      <x:c r="A849" s="46" t="str">
        <x:v>HS_071</x:v>
      </x:c>
      <x:c r="B849" s="46" t="str">
        <x:v>Pacific, Western Central</x:v>
      </x:c>
      <x:c r="C849" s="46" t="str">
        <x:v>functional</x:v>
      </x:c>
      <x:c r="D849" s="46" t="str">
        <x:v>Large sharks (&gt;=90 cm)</x:v>
      </x:c>
      <x:c r="E849" s="66" t="n">
        <x:v>7</x:v>
      </x:c>
      <x:c r="F849" s="66" t="n">
        <x:v>7</x:v>
      </x:c>
      <x:c r="G849" s="60" t="n">
        <x:v>22977.887308863603</x:v>
      </x:c>
      <x:c r="H849" s="60" t="n">
        <x:v>22977.887308863603</x:v>
      </x:c>
      <x:c r="I849" s="62" t="n">
        <x:v>0</x:v>
      </x:c>
      <x:c r="J849" s="64" t="n">
        <x:v>1</x:v>
      </x:c>
      <x:c r="K849" s="62" t="n">
        <x:v>2081.3799999334074</x:v>
      </x:c>
      <x:c r="L849" s="60" t="n">
        <x:v>47825715.08539236</x:v>
      </x:c>
      <x:c r="M849" s="62" t="n">
        <x:v>4.299497131294167</x:v>
      </x:c>
      <x:c r="N849" s="62" t="n">
        <x:v>1992.9533417889393</x:v>
      </x:c>
      <x:c r="O849" s="60" t="n">
        <x:v>45793857.29944938</x:v>
      </x:c>
      <x:c r="P849" s="60" t="n">
        <x:v>2031857.7859429866</x:v>
      </x:c>
      <x:c r="Q849" s="62" t="n">
        <x:v>1.0443696579795958</x:v>
      </x:c>
      <x:c r="R849" s="64" t="n">
        <x:v>0.04436965797959583</x:v>
      </x:c>
    </x:row>
    <x:row r="850" ht="18" customHeight="1">
      <x:c r="A850" s="46" t="str">
        <x:v>HS_071</x:v>
      </x:c>
      <x:c r="B850" s="46" t="str">
        <x:v>Pacific, Western Central</x:v>
      </x:c>
      <x:c r="C850" s="46" t="str">
        <x:v>functional</x:v>
      </x:c>
      <x:c r="D850" s="46" t="str">
        <x:v>Medium demersals (30 - 89 cm)</x:v>
      </x:c>
      <x:c r="E850" s="66" t="n">
        <x:v>1</x:v>
      </x:c>
      <x:c r="F850" s="66" t="n">
        <x:v>1</x:v>
      </x:c>
      <x:c r="G850" s="60" t="n">
        <x:v>7263.5041104633</x:v>
      </x:c>
      <x:c r="H850" s="60" t="n">
        <x:v>7263.5041104633</x:v>
      </x:c>
      <x:c r="I850" s="62" t="n">
        <x:v>0</x:v>
      </x:c>
      <x:c r="J850" s="64" t="n">
        <x:v>1</x:v>
      </x:c>
      <x:c r="K850" s="62" t="n">
        <x:v>190.54607179632464</x:v>
      </x:c>
      <x:c r="L850" s="60" t="n">
        <x:v>1384032.175725239</x:v>
      </x:c>
      <x:c r="M850" s="62" t="n">
        <x:v>3.28</x:v>
      </x:c>
      <x:c r="N850" s="62" t="n">
        <x:v>190.54607179632464</x:v>
      </x:c>
      <x:c r="O850" s="60" t="n">
        <x:v>1384032.175725239</x:v>
      </x:c>
      <x:c r="P850" s="60" t="n">
        <x:v>0</x:v>
      </x:c>
      <x:c r="Q850" s="62" t="n">
        <x:v>1</x:v>
      </x:c>
      <x:c r="R850" s="64" t="n">
        <x:v>0</x:v>
      </x:c>
    </x:row>
    <x:row r="851" ht="18" customHeight="1">
      <x:c r="A851" s="46" t="str">
        <x:v>HS_071</x:v>
      </x:c>
      <x:c r="B851" s="46" t="str">
        <x:v>Pacific, Western Central</x:v>
      </x:c>
      <x:c r="C851" s="46" t="str">
        <x:v>functional</x:v>
      </x:c>
      <x:c r="D851" s="46" t="str">
        <x:v>Medium pelagics (30 - 89 cm)</x:v>
      </x:c>
      <x:c r="E851" s="66" t="n">
        <x:v>3</x:v>
      </x:c>
      <x:c r="F851" s="66" t="n">
        <x:v>3</x:v>
      </x:c>
      <x:c r="G851" s="60" t="n">
        <x:v>7952.6603594222</x:v>
      </x:c>
      <x:c r="H851" s="60" t="n">
        <x:v>7952.6603594222</x:v>
      </x:c>
      <x:c r="I851" s="62" t="n">
        <x:v>0</x:v>
      </x:c>
      <x:c r="J851" s="64" t="n">
        <x:v>1</x:v>
      </x:c>
      <x:c r="K851" s="62" t="n">
        <x:v>907.4072486524204</x:v>
      </x:c>
      <x:c r="L851" s="60" t="n">
        <x:v>7216301.656210467</x:v>
      </x:c>
      <x:c r="M851" s="62" t="n">
        <x:v>3.7593664423159696</x:v>
      </x:c>
      <x:c r="N851" s="62" t="n">
        <x:v>574.6010857879266</x:v>
      </x:c>
      <x:c r="O851" s="60" t="n">
        <x:v>4569607.277426599</x:v>
      </x:c>
      <x:c r="P851" s="60" t="n">
        <x:v>2646694.3787838686</x:v>
      </x:c>
      <x:c r="Q851" s="62" t="n">
        <x:v>1.5791951513772908</x:v>
      </x:c>
      <x:c r="R851" s="64" t="n">
        <x:v>0.5791951513772908</x:v>
      </x:c>
    </x:row>
    <x:row r="852" ht="18" customHeight="1">
      <x:c r="A852" s="46" t="str">
        <x:v>HS_077</x:v>
      </x:c>
      <x:c r="B852" s="46" t="str">
        <x:v>Pacific, Eastern Central</x:v>
      </x:c>
      <x:c r="C852" s="46" t="str">
        <x:v>functional</x:v>
      </x:c>
      <x:c r="D852" s="46" t="str">
        <x:v>Large pelagics (&gt;=90 cm)</x:v>
      </x:c>
      <x:c r="E852" s="66" t="n">
        <x:v>15</x:v>
      </x:c>
      <x:c r="F852" s="66" t="n">
        <x:v>15</x:v>
      </x:c>
      <x:c r="G852" s="60" t="n">
        <x:v>747251.7462502093</x:v>
      </x:c>
      <x:c r="H852" s="60" t="n">
        <x:v>747251.7462502093</x:v>
      </x:c>
      <x:c r="I852" s="62" t="n">
        <x:v>0</x:v>
      </x:c>
      <x:c r="J852" s="64" t="n">
        <x:v>1</x:v>
      </x:c>
      <x:c r="K852" s="62" t="n">
        <x:v>2712.5023373180375</x:v>
      </x:c>
      <x:c r="L852" s="60" t="n">
        <x:v>2026922108.2686777</x:v>
      </x:c>
      <x:c r="M852" s="62" t="n">
        <x:v>4.430738145572962</x:v>
      </x:c>
      <x:c r="N852" s="62" t="n">
        <x:v>2696.113342034091</x:v>
      </x:c>
      <x:c r="O852" s="60" t="n">
        <x:v>2014675402.9234624</x:v>
      </x:c>
      <x:c r="P852" s="60" t="n">
        <x:v>12246705.34521532</x:v>
      </x:c>
      <x:c r="Q852" s="62" t="n">
        <x:v>1.0060787486299005</x:v>
      </x:c>
      <x:c r="R852" s="64" t="n">
        <x:v>0.0060787486299005425</x:v>
      </x:c>
    </x:row>
    <x:row r="853" ht="18" customHeight="1">
      <x:c r="A853" s="46" t="str">
        <x:v>HS_077</x:v>
      </x:c>
      <x:c r="B853" s="46" t="str">
        <x:v>Pacific, Eastern Central</x:v>
      </x:c>
      <x:c r="C853" s="46" t="str">
        <x:v>functional</x:v>
      </x:c>
      <x:c r="D853" s="46" t="str">
        <x:v>Large sharks (&gt;=90 cm)</x:v>
      </x:c>
      <x:c r="E853" s="66" t="n">
        <x:v>7</x:v>
      </x:c>
      <x:c r="F853" s="66" t="n">
        <x:v>7</x:v>
      </x:c>
      <x:c r="G853" s="60" t="n">
        <x:v>69815.97612667471</x:v>
      </x:c>
      <x:c r="H853" s="60" t="n">
        <x:v>69815.97612667471</x:v>
      </x:c>
      <x:c r="I853" s="62" t="n">
        <x:v>0</x:v>
      </x:c>
      <x:c r="J853" s="64" t="n">
        <x:v>1</x:v>
      </x:c>
      <x:c r="K853" s="62" t="n">
        <x:v>2083.5948316686536</x:v>
      </x:c>
      <x:c r="L853" s="60" t="n">
        <x:v>145468207.02544153</x:v>
      </x:c>
      <x:c r="M853" s="62" t="n">
        <x:v>4.301341671050433</x:v>
      </x:c>
      <x:c r="N853" s="62" t="n">
        <x:v>2001.435833355204</x:v>
      </x:c>
      <x:c r="O853" s="60" t="n">
        <x:v>139732196.36059824</x:v>
      </x:c>
      <x:c r="P853" s="60" t="n">
        <x:v>5736010.664843291</x:v>
      </x:c>
      <x:c r="Q853" s="62" t="n">
        <x:v>1.041050028656536</x:v>
      </x:c>
      <x:c r="R853" s="64" t="n">
        <x:v>0.041050028656536126</x:v>
      </x:c>
    </x:row>
    <x:row r="854" ht="18" customHeight="1">
      <x:c r="A854" s="46" t="str">
        <x:v>HS_077</x:v>
      </x:c>
      <x:c r="B854" s="46" t="str">
        <x:v>Pacific, Eastern Central</x:v>
      </x:c>
      <x:c r="C854" s="46" t="str">
        <x:v>functional</x:v>
      </x:c>
      <x:c r="D854" s="46" t="str">
        <x:v>Medium demersals (30 - 89 cm)</x:v>
      </x:c>
      <x:c r="E854" s="66" t="n">
        <x:v>1</x:v>
      </x:c>
      <x:c r="F854" s="66" t="n">
        <x:v>1</x:v>
      </x:c>
      <x:c r="G854" s="60" t="n">
        <x:v>21675.0954158329</x:v>
      </x:c>
      <x:c r="H854" s="60" t="n">
        <x:v>21675.0954158329</x:v>
      </x:c>
      <x:c r="I854" s="62" t="n">
        <x:v>0</x:v>
      </x:c>
      <x:c r="J854" s="64" t="n">
        <x:v>1</x:v>
      </x:c>
      <x:c r="K854" s="62" t="n">
        <x:v>190.54607179632464</x:v>
      </x:c>
      <x:c r="L854" s="60" t="n">
        <x:v>4130104.287297483</x:v>
      </x:c>
      <x:c r="M854" s="62" t="n">
        <x:v>3.28</x:v>
      </x:c>
      <x:c r="N854" s="62" t="n">
        <x:v>190.54607179632464</x:v>
      </x:c>
      <x:c r="O854" s="60" t="n">
        <x:v>4130104.287297483</x:v>
      </x:c>
      <x:c r="P854" s="60" t="n">
        <x:v>0</x:v>
      </x:c>
      <x:c r="Q854" s="62" t="n">
        <x:v>1</x:v>
      </x:c>
      <x:c r="R854" s="64" t="n">
        <x:v>0</x:v>
      </x:c>
    </x:row>
    <x:row r="855" ht="18" customHeight="1">
      <x:c r="A855" s="46" t="str">
        <x:v>HS_077</x:v>
      </x:c>
      <x:c r="B855" s="46" t="str">
        <x:v>Pacific, Eastern Central</x:v>
      </x:c>
      <x:c r="C855" s="46" t="str">
        <x:v>functional</x:v>
      </x:c>
      <x:c r="D855" s="46" t="str">
        <x:v>Medium pelagics (30 - 89 cm)</x:v>
      </x:c>
      <x:c r="E855" s="66" t="n">
        <x:v>3</x:v>
      </x:c>
      <x:c r="F855" s="66" t="n">
        <x:v>3</x:v>
      </x:c>
      <x:c r="G855" s="60" t="n">
        <x:v>21928.3898157755</x:v>
      </x:c>
      <x:c r="H855" s="60" t="n">
        <x:v>21928.3898157755</x:v>
      </x:c>
      <x:c r="I855" s="62" t="n">
        <x:v>0</x:v>
      </x:c>
      <x:c r="J855" s="64" t="n">
        <x:v>1</x:v>
      </x:c>
      <x:c r="K855" s="62" t="n">
        <x:v>896.505699298346</x:v>
      </x:c>
      <x:c r="L855" s="60" t="n">
        <x:v>19658926.446278542</x:v>
      </x:c>
      <x:c r="M855" s="62" t="n">
        <x:v>3.7482187771203637</x:v>
      </x:c>
      <x:c r="N855" s="62" t="n">
        <x:v>560.0396520662697</x:v>
      </x:c>
      <x:c r="O855" s="60" t="n">
        <x:v>12280767.802800443</x:v>
      </x:c>
      <x:c r="P855" s="60" t="n">
        <x:v>7378158.643478099</x:v>
      </x:c>
      <x:c r="Q855" s="62" t="n">
        <x:v>1.60078968692785</x:v>
      </x:c>
      <x:c r="R855" s="64" t="n">
        <x:v>0.6007896869278501</x:v>
      </x:c>
    </x:row>
    <x:row r="856" ht="18" customHeight="1">
      <x:c r="A856" s="46" t="str">
        <x:v>HS_081</x:v>
      </x:c>
      <x:c r="B856" s="46" t="str">
        <x:v>Pacific, Southwest</x:v>
      </x:c>
      <x:c r="C856" s="46" t="str">
        <x:v>functional</x:v>
      </x:c>
      <x:c r="D856" s="46" t="str">
        <x:v>Large pelagics (&gt;=90 cm)</x:v>
      </x:c>
      <x:c r="E856" s="66" t="n">
        <x:v>15</x:v>
      </x:c>
      <x:c r="F856" s="66" t="n">
        <x:v>15</x:v>
      </x:c>
      <x:c r="G856" s="60" t="n">
        <x:v>27964.925305575995</x:v>
      </x:c>
      <x:c r="H856" s="60" t="n">
        <x:v>27964.925305575995</x:v>
      </x:c>
      <x:c r="I856" s="62" t="n">
        <x:v>0</x:v>
      </x:c>
      <x:c r="J856" s="64" t="n">
        <x:v>1</x:v>
      </x:c>
      <x:c r="K856" s="62" t="n">
        <x:v>2168.205739213404</x:v>
      </x:c>
      <x:c r="L856" s="60" t="n">
        <x:v>60633711.544224024</x:v>
      </x:c>
      <x:c r="M856" s="62" t="n">
        <x:v>4.312848702477923</x:v>
      </x:c>
      <x:c r="N856" s="62" t="n">
        <x:v>2055.1744989790063</x:v>
      </x:c>
      <x:c r="O856" s="60" t="n">
        <x:v>57472801.35387248</x:v>
      </x:c>
      <x:c r="P856" s="60" t="n">
        <x:v>3160910.190351546</x:v>
      </x:c>
      <x:c r="Q856" s="62" t="n">
        <x:v>1.0549983664601477</x:v>
      </x:c>
      <x:c r="R856" s="64" t="n">
        <x:v>0.0549983664601476</x:v>
      </x:c>
    </x:row>
    <x:row r="857" ht="18" customHeight="1">
      <x:c r="A857" s="46" t="str">
        <x:v>HS_081</x:v>
      </x:c>
      <x:c r="B857" s="46" t="str">
        <x:v>Pacific, Southwest</x:v>
      </x:c>
      <x:c r="C857" s="46" t="str">
        <x:v>functional</x:v>
      </x:c>
      <x:c r="D857" s="46" t="str">
        <x:v>Large sharks (&gt;=90 cm)</x:v>
      </x:c>
      <x:c r="E857" s="66" t="n">
        <x:v>8</x:v>
      </x:c>
      <x:c r="F857" s="66" t="n">
        <x:v>8</x:v>
      </x:c>
      <x:c r="G857" s="60" t="n">
        <x:v>13144.3799647761</x:v>
      </x:c>
      <x:c r="H857" s="60" t="n">
        <x:v>13144.3799647761</x:v>
      </x:c>
      <x:c r="I857" s="62" t="n">
        <x:v>0</x:v>
      </x:c>
      <x:c r="J857" s="64" t="n">
        <x:v>1</x:v>
      </x:c>
      <x:c r="K857" s="62" t="n">
        <x:v>2196.2300994140164</x:v>
      </x:c>
      <x:c r="L857" s="60" t="n">
        <x:v>28868082.91677582</x:v>
      </x:c>
      <x:c r="M857" s="62" t="n">
        <x:v>4.329759704970958</x:v>
      </x:c>
      <x:c r="N857" s="62" t="n">
        <x:v>2136.779482806935</x:v>
      </x:c>
      <x:c r="O857" s="60" t="n">
        <x:v>28086641.422952116</x:v>
      </x:c>
      <x:c r="P857" s="60" t="n">
        <x:v>781441.4938237034</x:v>
      </x:c>
      <x:c r="Q857" s="62" t="n">
        <x:v>1.0278225325006327</x:v>
      </x:c>
      <x:c r="R857" s="64" t="n">
        <x:v>0.02782253250063275</x:v>
      </x:c>
    </x:row>
    <x:row r="858" ht="18" customHeight="1">
      <x:c r="A858" s="46" t="str">
        <x:v>HS_081</x:v>
      </x:c>
      <x:c r="B858" s="46" t="str">
        <x:v>Pacific, Southwest</x:v>
      </x:c>
      <x:c r="C858" s="46" t="str">
        <x:v>functional</x:v>
      </x:c>
      <x:c r="D858" s="46" t="str">
        <x:v>Medium demersals (30 - 89 cm)</x:v>
      </x:c>
      <x:c r="E858" s="66" t="n">
        <x:v>1</x:v>
      </x:c>
      <x:c r="F858" s="66" t="n">
        <x:v>1</x:v>
      </x:c>
      <x:c r="G858" s="60" t="n">
        <x:v>2429.5427242088</x:v>
      </x:c>
      <x:c r="H858" s="60" t="n">
        <x:v>2429.5427242088</x:v>
      </x:c>
      <x:c r="I858" s="62" t="n">
        <x:v>0</x:v>
      </x:c>
      <x:c r="J858" s="64" t="n">
        <x:v>1</x:v>
      </x:c>
      <x:c r="K858" s="62" t="n">
        <x:v>190.54607179632464</x:v>
      </x:c>
      <x:c r="L858" s="60" t="n">
        <x:v>462939.82235932816</x:v>
      </x:c>
      <x:c r="M858" s="62" t="n">
        <x:v>3.28</x:v>
      </x:c>
      <x:c r="N858" s="62" t="n">
        <x:v>190.54607179632464</x:v>
      </x:c>
      <x:c r="O858" s="60" t="n">
        <x:v>462939.82235932816</x:v>
      </x:c>
      <x:c r="P858" s="60" t="n">
        <x:v>0</x:v>
      </x:c>
      <x:c r="Q858" s="62" t="n">
        <x:v>1</x:v>
      </x:c>
      <x:c r="R858" s="64" t="n">
        <x:v>0</x:v>
      </x:c>
    </x:row>
    <x:row r="859" ht="18" customHeight="1">
      <x:c r="A859" s="46" t="str">
        <x:v>HS_081</x:v>
      </x:c>
      <x:c r="B859" s="46" t="str">
        <x:v>Pacific, Southwest</x:v>
      </x:c>
      <x:c r="C859" s="46" t="str">
        <x:v>functional</x:v>
      </x:c>
      <x:c r="D859" s="46" t="str">
        <x:v>Medium pelagics (30 - 89 cm)</x:v>
      </x:c>
      <x:c r="E859" s="66" t="n">
        <x:v>3</x:v>
      </x:c>
      <x:c r="F859" s="66" t="n">
        <x:v>3</x:v>
      </x:c>
      <x:c r="G859" s="60" t="n">
        <x:v>1713.6188281562</x:v>
      </x:c>
      <x:c r="H859" s="60" t="n">
        <x:v>1713.6188281562</x:v>
      </x:c>
      <x:c r="I859" s="62" t="n">
        <x:v>0</x:v>
      </x:c>
      <x:c r="J859" s="64" t="n">
        <x:v>1</x:v>
      </x:c>
      <x:c r="K859" s="62" t="n">
        <x:v>829.5614905499718</x:v>
      </x:c>
      <x:c r="L859" s="60" t="n">
        <x:v>1421552.1893197533</x:v>
      </x:c>
      <x:c r="M859" s="62" t="n">
        <x:v>3.69546156453712</x:v>
      </x:c>
      <x:c r="N859" s="62" t="n">
        <x:v>495.9770310281046</x:v>
      </x:c>
      <x:c r="O859" s="60" t="n">
        <x:v>849915.5787027718</x:v>
      </x:c>
      <x:c r="P859" s="60" t="n">
        <x:v>571636.6106169815</x:v>
      </x:c>
      <x:c r="Q859" s="62" t="n">
        <x:v>1.6725804596845628</x:v>
      </x:c>
      <x:c r="R859" s="64" t="n">
        <x:v>0.6725804596845628</x:v>
      </x:c>
    </x:row>
    <x:row r="860" ht="18" customHeight="1">
      <x:c r="A860" s="46" t="str">
        <x:v>HS_087</x:v>
      </x:c>
      <x:c r="B860" s="46" t="str">
        <x:v>Pacific, Southeast</x:v>
      </x:c>
      <x:c r="C860" s="46" t="str">
        <x:v>functional</x:v>
      </x:c>
      <x:c r="D860" s="46" t="str">
        <x:v>Large pelagics (&gt;=90 cm)</x:v>
      </x:c>
      <x:c r="E860" s="66" t="n">
        <x:v>15</x:v>
      </x:c>
      <x:c r="F860" s="66" t="n">
        <x:v>15</x:v>
      </x:c>
      <x:c r="G860" s="60" t="n">
        <x:v>236557.1475302183</x:v>
      </x:c>
      <x:c r="H860" s="60" t="n">
        <x:v>236557.1475302183</x:v>
      </x:c>
      <x:c r="I860" s="62" t="n">
        <x:v>0</x:v>
      </x:c>
      <x:c r="J860" s="64" t="n">
        <x:v>1</x:v>
      </x:c>
      <x:c r="K860" s="62" t="n">
        <x:v>2729.0269182361762</x:v>
      </x:c>
      <x:c r="L860" s="60" t="n">
        <x:v>645570823.3111321</x:v>
      </x:c>
      <x:c r="M860" s="62" t="n">
        <x:v>4.434705693139511</x:v>
      </x:c>
      <x:c r="N860" s="62" t="n">
        <x:v>2720.856849402218</x:v>
      </x:c>
      <x:c r="O860" s="60" t="n">
        <x:v>643638135.1326454</x:v>
      </x:c>
      <x:c r="P860" s="60" t="n">
        <x:v>1932688.1784867048</x:v>
      </x:c>
      <x:c r="Q860" s="62" t="n">
        <x:v>1.0030027558545587</x:v>
      </x:c>
      <x:c r="R860" s="64" t="n">
        <x:v>0.0030027558545585604</x:v>
      </x:c>
    </x:row>
    <x:row r="861" ht="18" customHeight="1">
      <x:c r="A861" s="46" t="str">
        <x:v>HS_087</x:v>
      </x:c>
      <x:c r="B861" s="46" t="str">
        <x:v>Pacific, Southeast</x:v>
      </x:c>
      <x:c r="C861" s="46" t="str">
        <x:v>functional</x:v>
      </x:c>
      <x:c r="D861" s="46" t="str">
        <x:v>Large sharks (&gt;=90 cm)</x:v>
      </x:c>
      <x:c r="E861" s="66" t="n">
        <x:v>6</x:v>
      </x:c>
      <x:c r="F861" s="66" t="n">
        <x:v>6</x:v>
      </x:c>
      <x:c r="G861" s="60" t="n">
        <x:v>5079.5806851539</x:v>
      </x:c>
      <x:c r="H861" s="60" t="n">
        <x:v>5079.5806851539</x:v>
      </x:c>
      <x:c r="I861" s="62" t="n">
        <x:v>0</x:v>
      </x:c>
      <x:c r="J861" s="64" t="n">
        <x:v>1</x:v>
      </x:c>
      <x:c r="K861" s="62" t="n">
        <x:v>1802.8361345683602</x:v>
      </x:c>
      <x:c r="L861" s="60" t="n">
        <x:v>9157651.60765096</x:v>
      </x:c>
      <x:c r="M861" s="62" t="n">
        <x:v>4.226346799779315</x:v>
      </x:c>
      <x:c r="N861" s="62" t="n">
        <x:v>1684.0182735176274</x:v>
      </x:c>
      <x:c r="O861" s="60" t="n">
        <x:v>8554106.695606358</x:v>
      </x:c>
      <x:c r="P861" s="60" t="n">
        <x:v>603544.9120446015</x:v>
      </x:c>
      <x:c r="Q861" s="62" t="n">
        <x:v>1.0705561589914</x:v>
      </x:c>
      <x:c r="R861" s="64" t="n">
        <x:v>0.0705561589914</x:v>
      </x:c>
    </x:row>
    <x:row r="862" ht="18" customHeight="1">
      <x:c r="A862" s="46" t="str">
        <x:v>HS_087</x:v>
      </x:c>
      <x:c r="B862" s="46" t="str">
        <x:v>Pacific, Southeast</x:v>
      </x:c>
      <x:c r="C862" s="46" t="str">
        <x:v>functional</x:v>
      </x:c>
      <x:c r="D862" s="46" t="str">
        <x:v>Medium demersals (30 - 89 cm)</x:v>
      </x:c>
      <x:c r="E862" s="66" t="n">
        <x:v>1</x:v>
      </x:c>
      <x:c r="F862" s="66" t="n">
        <x:v>1</x:v>
      </x:c>
      <x:c r="G862" s="60" t="n">
        <x:v>2057.6531137176</x:v>
      </x:c>
      <x:c r="H862" s="60" t="n">
        <x:v>2057.6531137176</x:v>
      </x:c>
      <x:c r="I862" s="62" t="n">
        <x:v>0</x:v>
      </x:c>
      <x:c r="J862" s="64" t="n">
        <x:v>1</x:v>
      </x:c>
      <x:c r="K862" s="62" t="n">
        <x:v>190.54607179632464</x:v>
      </x:c>
      <x:c r="L862" s="60" t="n">
        <x:v>392077.7179383647</x:v>
      </x:c>
      <x:c r="M862" s="62" t="n">
        <x:v>3.28</x:v>
      </x:c>
      <x:c r="N862" s="62" t="n">
        <x:v>190.54607179632464</x:v>
      </x:c>
      <x:c r="O862" s="60" t="n">
        <x:v>392077.7179383647</x:v>
      </x:c>
      <x:c r="P862" s="60" t="n">
        <x:v>0</x:v>
      </x:c>
      <x:c r="Q862" s="62" t="n">
        <x:v>1</x:v>
      </x:c>
      <x:c r="R862" s="64" t="n">
        <x:v>0</x:v>
      </x:c>
    </x:row>
    <x:row r="863" ht="18" customHeight="1">
      <x:c r="A863" s="46" t="str">
        <x:v>HS_087</x:v>
      </x:c>
      <x:c r="B863" s="46" t="str">
        <x:v>Pacific, Southeast</x:v>
      </x:c>
      <x:c r="C863" s="46" t="str">
        <x:v>functional</x:v>
      </x:c>
      <x:c r="D863" s="46" t="str">
        <x:v>Medium pelagics (30 - 89 cm)</x:v>
      </x:c>
      <x:c r="E863" s="66" t="n">
        <x:v>3</x:v>
      </x:c>
      <x:c r="F863" s="66" t="n">
        <x:v>3</x:v>
      </x:c>
      <x:c r="G863" s="60" t="n">
        <x:v>2188.0363444528</x:v>
      </x:c>
      <x:c r="H863" s="60" t="n">
        <x:v>2188.0363444528</x:v>
      </x:c>
      <x:c r="I863" s="62" t="n">
        <x:v>0</x:v>
      </x:c>
      <x:c r="J863" s="64" t="n">
        <x:v>1</x:v>
      </x:c>
      <x:c r="K863" s="62" t="n">
        <x:v>982.7503607262003</x:v>
      </x:c>
      <x:c r="L863" s="60" t="n">
        <x:v>2150293.506793026</x:v>
      </x:c>
      <x:c r="M863" s="62" t="n">
        <x:v>3.8027029285536584</x:v>
      </x:c>
      <x:c r="N863" s="62" t="n">
        <x:v>634.8964935852359</x:v>
      </x:c>
      <x:c r="O863" s="60" t="n">
        <x:v>1389176.6029301404</x:v>
      </x:c>
      <x:c r="P863" s="60" t="n">
        <x:v>761116.9038628854</x:v>
      </x:c>
      <x:c r="Q863" s="62" t="n">
        <x:v>1.5478906729767035</x:v>
      </x:c>
      <x:c r="R863" s="64" t="n">
        <x:v>0.5478906729767035</x:v>
      </x:c>
    </x:row>
    <x:row r="864" ht="18" customHeight="1">
      <x:c r="A864" s="46" t="str">
        <x:v>HS_088</x:v>
      </x:c>
      <x:c r="B864" s="46" t="str">
        <x:v>Pacific, Antarctic</x:v>
      </x:c>
      <x:c r="C864" s="46" t="str">
        <x:v>functional</x:v>
      </x:c>
      <x:c r="D864" s="46" t="str">
        <x:v>Krill</x:v>
      </x:c>
      <x:c r="E864" s="66" t="n">
        <x:v>2</x:v>
      </x:c>
      <x:c r="F864" s="66" t="n">
        <x:v>2</x:v>
      </x:c>
      <x:c r="G864" s="60" t="n">
        <x:v>0.24526900000000004</x:v>
      </x:c>
      <x:c r="H864" s="60" t="n">
        <x:v>0.24526900000000004</x:v>
      </x:c>
      <x:c r="I864" s="62" t="n">
        <x:v>0</x:v>
      </x:c>
      <x:c r="J864" s="64" t="n">
        <x:v>1</x:v>
      </x:c>
      <x:c r="K864" s="62" t="n">
        <x:v>17.78269948449358</x:v>
      </x:c>
      <x:c r="L864" s="60" t="n">
        <x:v>4.361544919862257</x:v>
      </x:c>
      <x:c r="M864" s="62" t="n">
        <x:v>2.2499975537063386</x:v>
      </x:c>
      <x:c r="N864" s="62" t="n">
        <x:v>17.78269393376086</x:v>
      </x:c>
      <x:c r="O864" s="60" t="n">
        <x:v>4.361543558439593</x:v>
      </x:c>
      <x:c r="P864" s="60" t="n">
        <x:v>0.0000013614226634928173</x:v>
      </x:c>
      <x:c r="Q864" s="62" t="n">
        <x:v>1.0000003121423975</x:v>
      </x:c>
      <x:c r="R864" s="64" t="n">
        <x:v>3.121423975827233e-7</x:v>
      </x:c>
    </x:row>
    <x:row r="865" ht="18" customHeight="1">
      <x:c r="A865" s="46" t="str">
        <x:v>HS_088</x:v>
      </x:c>
      <x:c r="B865" s="46" t="str">
        <x:v>Pacific, Antarctic</x:v>
      </x:c>
      <x:c r="C865" s="46" t="str">
        <x:v>functional</x:v>
      </x:c>
      <x:c r="D865" s="46" t="str">
        <x:v>Large bathydemersals (&gt;=90 cm)</x:v>
      </x:c>
      <x:c r="E865" s="66" t="n">
        <x:v>1</x:v>
      </x:c>
      <x:c r="F865" s="66" t="n">
        <x:v>1</x:v>
      </x:c>
      <x:c r="G865" s="60" t="n">
        <x:v>0.263086</x:v>
      </x:c>
      <x:c r="H865" s="60" t="n">
        <x:v>0.263086</x:v>
      </x:c>
      <x:c r="I865" s="62" t="n">
        <x:v>0</x:v>
      </x:c>
      <x:c r="J865" s="64" t="n">
        <x:v>1</x:v>
      </x:c>
      <x:c r="K865" s="62" t="n">
        <x:v>269.1534803926917</x:v>
      </x:c>
      <x:c r="L865" s="60" t="n">
        <x:v>70.81051254259168</x:v>
      </x:c>
      <x:c r="M865" s="62" t="n">
        <x:v>3.43</x:v>
      </x:c>
      <x:c r="N865" s="62" t="n">
        <x:v>269.1534803926917</x:v>
      </x:c>
      <x:c r="O865" s="60" t="n">
        <x:v>70.81051254259168</x:v>
      </x:c>
      <x:c r="P865" s="60" t="n">
        <x:v>0</x:v>
      </x:c>
      <x:c r="Q865" s="62" t="n">
        <x:v>1</x:v>
      </x:c>
      <x:c r="R865" s="64" t="n">
        <x:v>0</x:v>
      </x:c>
    </x:row>
    <x:row r="866" ht="18" customHeight="1">
      <x:c r="A866" s="46" t="str">
        <x:v>HS_088</x:v>
      </x:c>
      <x:c r="B866" s="46" t="str">
        <x:v>Pacific, Antarctic</x:v>
      </x:c>
      <x:c r="C866" s="46" t="str">
        <x:v>functional</x:v>
      </x:c>
      <x:c r="D866" s="46" t="str">
        <x:v>Large benthopelagics (&gt;=90 cm)</x:v>
      </x:c>
      <x:c r="E866" s="66" t="n">
        <x:v>1</x:v>
      </x:c>
      <x:c r="F866" s="66" t="n">
        <x:v>1</x:v>
      </x:c>
      <x:c r="G866" s="60" t="n">
        <x:v>3332.822494</x:v>
      </x:c>
      <x:c r="H866" s="60" t="n">
        <x:v>3332.822494</x:v>
      </x:c>
      <x:c r="I866" s="62" t="n">
        <x:v>0</x:v>
      </x:c>
      <x:c r="J866" s="64" t="n">
        <x:v>1</x:v>
      </x:c>
      <x:c r="K866" s="62" t="n">
        <x:v>1621.8100973589299</x:v>
      </x:c>
      <x:c r="L866" s="60" t="n">
        <x:v>5405205.173474171</x:v>
      </x:c>
      <x:c r="M866" s="62" t="n">
        <x:v>4.21</x:v>
      </x:c>
      <x:c r="N866" s="62" t="n">
        <x:v>1621.8100973589299</x:v>
      </x:c>
      <x:c r="O866" s="60" t="n">
        <x:v>5405205.173474171</x:v>
      </x:c>
      <x:c r="P866" s="60" t="n">
        <x:v>0</x:v>
      </x:c>
      <x:c r="Q866" s="62" t="n">
        <x:v>1</x:v>
      </x:c>
      <x:c r="R866" s="64" t="n">
        <x:v>0</x:v>
      </x:c>
    </x:row>
    <x:row r="867" ht="18" customHeight="1">
      <x:c r="A867" s="46" t="str">
        <x:v>HS_088</x:v>
      </x:c>
      <x:c r="B867" s="46" t="str">
        <x:v>Pacific, Antarctic</x:v>
      </x:c>
      <x:c r="C867" s="46" t="str">
        <x:v>functional</x:v>
      </x:c>
      <x:c r="D867" s="46" t="str">
        <x:v>Large rays (&gt;=90 cm)</x:v>
      </x:c>
      <x:c r="E867" s="66" t="n">
        <x:v>1</x:v>
      </x:c>
      <x:c r="F867" s="66" t="n">
        <x:v>1</x:v>
      </x:c>
      <x:c r="G867" s="60" t="n">
        <x:v>1.59718</x:v>
      </x:c>
      <x:c r="H867" s="60" t="n">
        <x:v>1.59718</x:v>
      </x:c>
      <x:c r="I867" s="62" t="n">
        <x:v>0</x:v>
      </x:c>
      <x:c r="J867" s="64" t="n">
        <x:v>1</x:v>
      </x:c>
      <x:c r="K867" s="62" t="n">
        <x:v>407.3802778041126</x:v>
      </x:c>
      <x:c r="L867" s="60" t="n">
        <x:v>650.6596321031726</x:v>
      </x:c>
      <x:c r="M867" s="62" t="n">
        <x:v>3.61</x:v>
      </x:c>
      <x:c r="N867" s="62" t="n">
        <x:v>407.3802778041126</x:v>
      </x:c>
      <x:c r="O867" s="60" t="n">
        <x:v>650.6596321031726</x:v>
      </x:c>
      <x:c r="P867" s="60" t="n">
        <x:v>0</x:v>
      </x:c>
      <x:c r="Q867" s="62" t="n">
        <x:v>1</x:v>
      </x:c>
      <x:c r="R867" s="64" t="n">
        <x:v>0</x:v>
      </x:c>
    </x:row>
    <x:row r="868" ht="18" customHeight="1">
      <x:c r="A868" s="46" t="str">
        <x:v>HS_088</x:v>
      </x:c>
      <x:c r="B868" s="46" t="str">
        <x:v>Pacific, Antarctic</x:v>
      </x:c>
      <x:c r="C868" s="46" t="str">
        <x:v>functional</x:v>
      </x:c>
      <x:c r="D868" s="46" t="str">
        <x:v>Large reef assoc. fish (&gt;=90 cm)</x:v>
      </x:c>
      <x:c r="E868" s="66" t="n">
        <x:v>2</x:v>
      </x:c>
      <x:c r="F868" s="66" t="n">
        <x:v>2</x:v>
      </x:c>
      <x:c r="G868" s="60" t="n">
        <x:v>0.033862</x:v>
      </x:c>
      <x:c r="H868" s="60" t="n">
        <x:v>0.033862</x:v>
      </x:c>
      <x:c r="I868" s="62" t="n">
        <x:v>0</x:v>
      </x:c>
      <x:c r="J868" s="64" t="n">
        <x:v>1</x:v>
      </x:c>
      <x:c r="K868" s="62" t="n">
        <x:v>194.84758433725187</x:v>
      </x:c>
      <x:c r="L868" s="60" t="n">
        <x:v>6.597928900828023</x:v>
      </x:c>
      <x:c r="M868" s="62" t="n">
        <x:v>3.289662453487685</x:v>
      </x:c>
      <x:c r="N868" s="62" t="n">
        <x:v>194.83297116673515</x:v>
      </x:c>
      <x:c r="O868" s="60" t="n">
        <x:v>6.597434069647986</x:v>
      </x:c>
      <x:c r="P868" s="60" t="n">
        <x:v>0.0004948311800374583</x:v>
      </x:c>
      <x:c r="Q868" s="62" t="n">
        <x:v>1.0000750035809094</x:v>
      </x:c>
      <x:c r="R868" s="64" t="n">
        <x:v>0.0000750035809094278</x:v>
      </x:c>
    </x:row>
    <x:row r="869" ht="18" customHeight="1">
      <x:c r="A869" s="46" t="str">
        <x:v>HS_088</x:v>
      </x:c>
      <x:c r="B869" s="46" t="str">
        <x:v>Pacific, Antarctic</x:v>
      </x:c>
      <x:c r="C869" s="46" t="str">
        <x:v>functional</x:v>
      </x:c>
      <x:c r="D869" s="46" t="str">
        <x:v>Lobsters, crabs</x:v>
      </x:c>
      <x:c r="E869" s="66" t="n">
        <x:v>2</x:v>
      </x:c>
      <x:c r="F869" s="66" t="n">
        <x:v>2</x:v>
      </x:c>
      <x:c r="G869" s="60" t="n">
        <x:v>0.020435000000000002</x:v>
      </x:c>
      <x:c r="H869" s="60" t="n">
        <x:v>0.020435000000000002</x:v>
      </x:c>
      <x:c r="I869" s="62" t="n">
        <x:v>0</x:v>
      </x:c>
      <x:c r="J869" s="64" t="n">
        <x:v>1</x:v>
      </x:c>
      <x:c r="K869" s="62" t="n">
        <x:v>58.62206408392407</x:v>
      </x:c>
      <x:c r="L869" s="60" t="n">
        <x:v>1.1979418795549885</x:v>
      </x:c>
      <x:c r="M869" s="62" t="n">
        <x:v>2.736026425250795</x:v>
      </x:c>
      <x:c r="N869" s="62" t="n">
        <x:v>54.45357848703793</x:v>
      </x:c>
      <x:c r="O869" s="60" t="n">
        <x:v>1.1127588763826202</x:v>
      </x:c>
      <x:c r="P869" s="60" t="n">
        <x:v>0.08518300317236838</x:v>
      </x:c>
      <x:c r="Q869" s="62" t="n">
        <x:v>1.0765511783193167</x:v>
      </x:c>
      <x:c r="R869" s="64" t="n">
        <x:v>0.07655117831931664</x:v>
      </x:c>
    </x:row>
    <x:row r="870" ht="18" customHeight="1">
      <x:c r="A870" s="46" t="str">
        <x:v>HS_088</x:v>
      </x:c>
      <x:c r="B870" s="46" t="str">
        <x:v>Pacific, Antarctic</x:v>
      </x:c>
      <x:c r="C870" s="46" t="str">
        <x:v>functional</x:v>
      </x:c>
      <x:c r="D870" s="46" t="str">
        <x:v>Medium bathydemersals (30 - 89 cm)</x:v>
      </x:c>
      <x:c r="E870" s="66" t="n">
        <x:v>1</x:v>
      </x:c>
      <x:c r="F870" s="66" t="n">
        <x:v>1</x:v>
      </x:c>
      <x:c r="G870" s="60" t="n">
        <x:v>0.02568</x:v>
      </x:c>
      <x:c r="H870" s="60" t="n">
        <x:v>0.02568</x:v>
      </x:c>
      <x:c r="I870" s="62" t="n">
        <x:v>0</x:v>
      </x:c>
      <x:c r="J870" s="64" t="n">
        <x:v>1</x:v>
      </x:c>
      <x:c r="K870" s="62" t="n">
        <x:v>371.5352290971724</x:v>
      </x:c>
      <x:c r="L870" s="60" t="n">
        <x:v>9.541024683215388</x:v>
      </x:c>
      <x:c r="M870" s="62" t="n">
        <x:v>3.57</x:v>
      </x:c>
      <x:c r="N870" s="62" t="n">
        <x:v>371.5352290971724</x:v>
      </x:c>
      <x:c r="O870" s="60" t="n">
        <x:v>9.541024683215388</x:v>
      </x:c>
      <x:c r="P870" s="60" t="n">
        <x:v>0</x:v>
      </x:c>
      <x:c r="Q870" s="62" t="n">
        <x:v>1</x:v>
      </x:c>
      <x:c r="R870" s="64" t="n">
        <x:v>0</x:v>
      </x:c>
    </x:row>
    <x:row r="871" ht="18" customHeight="1">
      <x:c r="A871" s="46" t="str">
        <x:v>HS_088</x:v>
      </x:c>
      <x:c r="B871" s="46" t="str">
        <x:v>Pacific, Antarctic</x:v>
      </x:c>
      <x:c r="C871" s="46" t="str">
        <x:v>functional</x:v>
      </x:c>
      <x:c r="D871" s="46" t="str">
        <x:v>Medium bathypelagics (30 - 89 cm)</x:v>
      </x:c>
      <x:c r="E871" s="66" t="n">
        <x:v>1</x:v>
      </x:c>
      <x:c r="F871" s="66" t="n">
        <x:v>1</x:v>
      </x:c>
      <x:c r="G871" s="60" t="n">
        <x:v>0.057662</x:v>
      </x:c>
      <x:c r="H871" s="60" t="n">
        <x:v>0.057662</x:v>
      </x:c>
      <x:c r="I871" s="62" t="n">
        <x:v>0</x:v>
      </x:c>
      <x:c r="J871" s="64" t="n">
        <x:v>1</x:v>
      </x:c>
      <x:c r="K871" s="62" t="n">
        <x:v>295.1209226666387</x:v>
      </x:c>
      <x:c r="L871" s="60" t="n">
        <x:v>17.017262642803722</x:v>
      </x:c>
      <x:c r="M871" s="62" t="n">
        <x:v>3.47</x:v>
      </x:c>
      <x:c r="N871" s="62" t="n">
        <x:v>295.1209226666387</x:v>
      </x:c>
      <x:c r="O871" s="60" t="n">
        <x:v>17.017262642803722</x:v>
      </x:c>
      <x:c r="P871" s="60" t="n">
        <x:v>0</x:v>
      </x:c>
      <x:c r="Q871" s="62" t="n">
        <x:v>1</x:v>
      </x:c>
      <x:c r="R871" s="64" t="n">
        <x:v>0</x:v>
      </x:c>
    </x:row>
    <x:row r="872" ht="18" customHeight="1">
      <x:c r="A872" s="46" t="str">
        <x:v>HS_088</x:v>
      </x:c>
      <x:c r="B872" s="46" t="str">
        <x:v>Pacific, Antarctic</x:v>
      </x:c>
      <x:c r="C872" s="46" t="str">
        <x:v>functional</x:v>
      </x:c>
      <x:c r="D872" s="46" t="str">
        <x:v>Medium benthopelagics (30 - 89 cm)</x:v>
      </x:c>
      <x:c r="E872" s="66" t="n">
        <x:v>6</x:v>
      </x:c>
      <x:c r="F872" s="66" t="n">
        <x:v>6</x:v>
      </x:c>
      <x:c r="G872" s="60" t="n">
        <x:v>123.031462</x:v>
      </x:c>
      <x:c r="H872" s="60" t="n">
        <x:v>123.031462</x:v>
      </x:c>
      <x:c r="I872" s="62" t="n">
        <x:v>0</x:v>
      </x:c>
      <x:c r="J872" s="64" t="n">
        <x:v>1</x:v>
      </x:c>
      <x:c r="K872" s="62" t="n">
        <x:v>372.18578485144343</x:v>
      </x:c>
      <x:c r="L872" s="60" t="n">
        <x:v>45790.56124589054</x:v>
      </x:c>
      <x:c r="M872" s="62" t="n">
        <x:v>3.568778327124163</x:v>
      </x:c>
      <x:c r="N872" s="62" t="n">
        <x:v>370.4915669624988</x:v>
      </x:c>
      <x:c r="O872" s="60" t="n">
        <x:v>45582.119142067124</x:v>
      </x:c>
      <x:c r="P872" s="60" t="n">
        <x:v>208.44210382341407</x:v>
      </x:c>
      <x:c r="Q872" s="62" t="n">
        <x:v>1.0045728919090786</x:v>
      </x:c>
      <x:c r="R872" s="64" t="n">
        <x:v>0.0045728919090785684</x:v>
      </x:c>
    </x:row>
    <x:row r="873" ht="18" customHeight="1">
      <x:c r="A873" s="46" t="str">
        <x:v>HS_088</x:v>
      </x:c>
      <x:c r="B873" s="46" t="str">
        <x:v>Pacific, Antarctic</x:v>
      </x:c>
      <x:c r="C873" s="46" t="str">
        <x:v>functional</x:v>
      </x:c>
      <x:c r="D873" s="46" t="str">
        <x:v>Medium demersals (30 - 89 cm)</x:v>
      </x:c>
      <x:c r="E873" s="66" t="n">
        <x:v>4</x:v>
      </x:c>
      <x:c r="F873" s="66" t="n">
        <x:v>4</x:v>
      </x:c>
      <x:c r="G873" s="60" t="n">
        <x:v>100.48988800000002</x:v>
      </x:c>
      <x:c r="H873" s="60" t="n">
        <x:v>100.48988800000002</x:v>
      </x:c>
      <x:c r="I873" s="62" t="n">
        <x:v>0</x:v>
      </x:c>
      <x:c r="J873" s="64" t="n">
        <x:v>1</x:v>
      </x:c>
      <x:c r="K873" s="62" t="n">
        <x:v>195.06780727684153</x:v>
      </x:c>
      <x:c r="L873" s="60" t="n">
        <x:v>19602.342105655396</x:v>
      </x:c>
      <x:c r="M873" s="62" t="n">
        <x:v>3.2896090001612888</x:v>
      </x:c>
      <x:c r="N873" s="62" t="n">
        <x:v>194.80899243813067</x:v>
      </x:c>
      <x:c r="O873" s="60" t="n">
        <x:v>19576.333831500604</x:v>
      </x:c>
      <x:c r="P873" s="60" t="n">
        <x:v>26.00827415479216</x:v>
      </x:c>
      <x:c r="Q873" s="62" t="n">
        <x:v>1.0013285569391415</x:v>
      </x:c>
      <x:c r="R873" s="64" t="n">
        <x:v>0.001328556939141578</x:v>
      </x:c>
    </x:row>
    <x:row r="874" ht="18" customHeight="1">
      <x:c r="A874" s="46" t="str">
        <x:v>HS_088</x:v>
      </x:c>
      <x:c r="B874" s="46" t="str">
        <x:v>Pacific, Antarctic</x:v>
      </x:c>
      <x:c r="C874" s="46" t="str">
        <x:v>functional</x:v>
      </x:c>
      <x:c r="D874" s="46" t="str">
        <x:v>Medium pelagics (30 - 89 cm)</x:v>
      </x:c>
      <x:c r="E874" s="66" t="n">
        <x:v>1</x:v>
      </x:c>
      <x:c r="F874" s="66" t="n">
        <x:v>1</x:v>
      </x:c>
      <x:c r="G874" s="60" t="n">
        <x:v>0.39734</x:v>
      </x:c>
      <x:c r="H874" s="60" t="n">
        <x:v>0.39734</x:v>
      </x:c>
      <x:c r="I874" s="62" t="n">
        <x:v>0</x:v>
      </x:c>
      <x:c r="J874" s="64" t="n">
        <x:v>1</x:v>
      </x:c>
      <x:c r="K874" s="62" t="n">
        <x:v>251.18864315095794</x:v>
      </x:c>
      <x:c r="L874" s="60" t="n">
        <x:v>99.80729546960164</x:v>
      </x:c>
      <x:c r="M874" s="62" t="n">
        <x:v>3.4</x:v>
      </x:c>
      <x:c r="N874" s="62" t="n">
        <x:v>251.18864315095797</x:v>
      </x:c>
      <x:c r="O874" s="60" t="n">
        <x:v>99.80729546960164</x:v>
      </x:c>
      <x:c r="P874" s="60" t="n">
        <x:v>0</x:v>
      </x:c>
      <x:c r="Q874" s="62" t="n">
        <x:v>1</x:v>
      </x:c>
      <x:c r="R874" s="64" t="n">
        <x:v>0</x:v>
      </x:c>
    </x:row>
    <x:row r="875" ht="18" customHeight="1">
      <x:c r="A875" s="46" t="str">
        <x:v>HS_088</x:v>
      </x:c>
      <x:c r="B875" s="46" t="str">
        <x:v>Pacific, Antarctic</x:v>
      </x:c>
      <x:c r="C875" s="46" t="str">
        <x:v>functional</x:v>
      </x:c>
      <x:c r="D875" s="46" t="str">
        <x:v>Other demersal invertebrates</x:v>
      </x:c>
      <x:c r="E875" s="66" t="n">
        <x:v>1</x:v>
      </x:c>
      <x:c r="F875" s="66" t="n">
        <x:v>1</x:v>
      </x:c>
      <x:c r="G875" s="60" t="n">
        <x:v>0.000397</x:v>
      </x:c>
      <x:c r="H875" s="60" t="n">
        <x:v>0.000397</x:v>
      </x:c>
      <x:c r="I875" s="62" t="n">
        <x:v>0</x:v>
      </x:c>
      <x:c r="J875" s="64" t="n">
        <x:v>1</x:v>
      </x:c>
      <x:c r="K875" s="62" t="n">
        <x:v>12.589254117941675</x:v>
      </x:c>
      <x:c r="L875" s="60" t="n">
        <x:v>0.004997933884822845</x:v>
      </x:c>
      <x:c r="M875" s="62" t="n">
        <x:v>2.1</x:v>
      </x:c>
      <x:c r="N875" s="62" t="n">
        <x:v>12.589254117941675</x:v>
      </x:c>
      <x:c r="O875" s="60" t="n">
        <x:v>0.004997933884822845</x:v>
      </x:c>
      <x:c r="P875" s="60" t="n">
        <x:v>0</x:v>
      </x:c>
      <x:c r="Q875" s="62" t="n">
        <x:v>1</x:v>
      </x:c>
      <x:c r="R875" s="64" t="n">
        <x:v>0</x:v>
      </x:c>
    </x:row>
    <x:row r="876" ht="18" customHeight="1">
      <x:c r="A876" s="46" t="str">
        <x:v>HS_088</x:v>
      </x:c>
      <x:c r="B876" s="46" t="str">
        <x:v>Pacific, Antarctic</x:v>
      </x:c>
      <x:c r="C876" s="46" t="str">
        <x:v>functional</x:v>
      </x:c>
      <x:c r="D876" s="46" t="str">
        <x:v>Shrimps</x:v>
      </x:c>
      <x:c r="E876" s="66" t="n">
        <x:v>1</x:v>
      </x:c>
      <x:c r="F876" s="66" t="n">
        <x:v>1</x:v>
      </x:c>
      <x:c r="G876" s="60" t="n">
        <x:v>0.000065</x:v>
      </x:c>
      <x:c r="H876" s="60" t="n">
        <x:v>0.000065</x:v>
      </x:c>
      <x:c r="I876" s="62" t="n">
        <x:v>0</x:v>
      </x:c>
      <x:c r="J876" s="64" t="n">
        <x:v>1</x:v>
      </x:c>
      <x:c r="K876" s="62" t="n">
        <x:v>50.11872336272725</x:v>
      </x:c>
      <x:c r="L876" s="60" t="n">
        <x:v>0.003257717018577271</x:v>
      </x:c>
      <x:c r="M876" s="62" t="n">
        <x:v>2.7</x:v>
      </x:c>
      <x:c r="N876" s="62" t="n">
        <x:v>50.11872336272725</x:v>
      </x:c>
      <x:c r="O876" s="60" t="n">
        <x:v>0.003257717018577271</x:v>
      </x:c>
      <x:c r="P876" s="60" t="n">
        <x:v>0</x:v>
      </x:c>
      <x:c r="Q876" s="62" t="n">
        <x:v>1</x:v>
      </x:c>
      <x:c r="R876" s="64" t="n">
        <x:v>0</x:v>
      </x:c>
    </x:row>
    <x:row r="877" ht="18" customHeight="1">
      <x:c r="A877" s="46" t="str">
        <x:v>HS_088</x:v>
      </x:c>
      <x:c r="B877" s="46" t="str">
        <x:v>Pacific, Antarctic</x:v>
      </x:c>
      <x:c r="C877" s="46" t="str">
        <x:v>functional</x:v>
      </x:c>
      <x:c r="D877" s="46" t="str">
        <x:v>Small bathydemersals (&lt;30 cm)</x:v>
      </x:c>
      <x:c r="E877" s="66" t="n">
        <x:v>1</x:v>
      </x:c>
      <x:c r="F877" s="66" t="n">
        <x:v>1</x:v>
      </x:c>
      <x:c r="G877" s="60" t="n">
        <x:v>0.00157</x:v>
      </x:c>
      <x:c r="H877" s="60" t="n">
        <x:v>0.00157</x:v>
      </x:c>
      <x:c r="I877" s="62" t="n">
        <x:v>0</x:v>
      </x:c>
      <x:c r="J877" s="64" t="n">
        <x:v>1</x:v>
      </x:c>
      <x:c r="K877" s="62" t="n">
        <x:v>194.98445997580458</x:v>
      </x:c>
      <x:c r="L877" s="60" t="n">
        <x:v>0.3061256021620132</x:v>
      </x:c>
      <x:c r="M877" s="62" t="n">
        <x:v>3.29</x:v>
      </x:c>
      <x:c r="N877" s="62" t="n">
        <x:v>194.98445997580455</x:v>
      </x:c>
      <x:c r="O877" s="60" t="n">
        <x:v>0.3061256021620132</x:v>
      </x:c>
      <x:c r="P877" s="60" t="n">
        <x:v>0</x:v>
      </x:c>
      <x:c r="Q877" s="62" t="n">
        <x:v>1</x:v>
      </x:c>
      <x:c r="R877" s="64" t="n">
        <x:v>0</x:v>
      </x:c>
    </x:row>
    <x:row r="878" ht="18" customHeight="1">
      <x:c r="A878" s="46" t="str">
        <x:v>HS_088</x:v>
      </x:c>
      <x:c r="B878" s="46" t="str">
        <x:v>Pacific, Antarctic</x:v>
      </x:c>
      <x:c r="C878" s="46" t="str">
        <x:v>functional</x:v>
      </x:c>
      <x:c r="D878" s="46" t="str">
        <x:v>Small bathypelagics (&lt;30 cm)</x:v>
      </x:c>
      <x:c r="E878" s="66" t="n">
        <x:v>2</x:v>
      </x:c>
      <x:c r="F878" s="66" t="n">
        <x:v>2</x:v>
      </x:c>
      <x:c r="G878" s="60" t="n">
        <x:v>0.00089</x:v>
      </x:c>
      <x:c r="H878" s="60" t="n">
        <x:v>0.00089</x:v>
      </x:c>
      <x:c r="I878" s="62" t="n">
        <x:v>0</x:v>
      </x:c>
      <x:c r="J878" s="64" t="n">
        <x:v>1</x:v>
      </x:c>
      <x:c r="K878" s="62" t="n">
        <x:v>234.7496156460087</x:v>
      </x:c>
      <x:c r="L878" s="60" t="n">
        <x:v>0.20892715792494773</x:v>
      </x:c>
      <x:c r="M878" s="62" t="n">
        <x:v>3.3687640449438208</x:v>
      </x:c>
      <x:c r="N878" s="62" t="n">
        <x:v>233.75668780919045</x:v>
      </x:c>
      <x:c r="O878" s="60" t="n">
        <x:v>0.2080434521501795</x:v>
      </x:c>
      <x:c r="P878" s="60" t="n">
        <x:v>0.0008837057747682342</x:v>
      </x:c>
      <x:c r="Q878" s="62" t="n">
        <x:v>1.004247698092081</x:v>
      </x:c>
      <x:c r="R878" s="64" t="n">
        <x:v>0.004247698092080865</x:v>
      </x:c>
    </x:row>
    <x:row r="879" ht="18" customHeight="1">
      <x:c r="A879" s="46" t="str">
        <x:v>HS_088</x:v>
      </x:c>
      <x:c r="B879" s="46" t="str">
        <x:v>Pacific, Antarctic</x:v>
      </x:c>
      <x:c r="C879" s="46" t="str">
        <x:v>functional</x:v>
      </x:c>
      <x:c r="D879" s="46" t="str">
        <x:v>Small demersals (&lt;30 cm)</x:v>
      </x:c>
      <x:c r="E879" s="66" t="n">
        <x:v>2</x:v>
      </x:c>
      <x:c r="F879" s="66" t="n">
        <x:v>2</x:v>
      </x:c>
      <x:c r="G879" s="60" t="n">
        <x:v>0.041961000000000005</x:v>
      </x:c>
      <x:c r="H879" s="60" t="n">
        <x:v>0.041961000000000005</x:v>
      </x:c>
      <x:c r="I879" s="62" t="n">
        <x:v>0</x:v>
      </x:c>
      <x:c r="J879" s="64" t="n">
        <x:v>1</x:v>
      </x:c>
      <x:c r="K879" s="62" t="n">
        <x:v>126.44827479628064</x:v>
      </x:c>
      <x:c r="L879" s="60" t="n">
        <x:v>5.3058960587267325</x:v>
      </x:c>
      <x:c r="M879" s="62" t="n">
        <x:v>3.101417983365506</x:v>
      </x:c>
      <x:c r="N879" s="62" t="n">
        <x:v>126.3042555342911</x:v>
      </x:c>
      <x:c r="O879" s="60" t="n">
        <x:v>5.29985286647439</x:v>
      </x:c>
      <x:c r="P879" s="60" t="n">
        <x:v>0.006043192252342955</x:v>
      </x:c>
      <x:c r="Q879" s="62" t="n">
        <x:v>1.0011402566079846</x:v>
      </x:c>
      <x:c r="R879" s="64" t="n">
        <x:v>0.0011402566079844884</x:v>
      </x:c>
    </x:row>
    <x:row r="880" ht="18" customHeight="1">
      <x:c r="A880" s="46" t="str">
        <x:v>HS_088</x:v>
      </x:c>
      <x:c r="B880" s="46" t="str">
        <x:v>Pacific, Antarctic</x:v>
      </x:c>
      <x:c r="C880" s="46" t="str">
        <x:v>functional</x:v>
      </x:c>
      <x:c r="D880" s="46" t="str">
        <x:v>Small pelagics (&lt;30 cm)</x:v>
      </x:c>
      <x:c r="E880" s="66" t="n">
        <x:v>2</x:v>
      </x:c>
      <x:c r="F880" s="66" t="n">
        <x:v>2</x:v>
      </x:c>
      <x:c r="G880" s="60" t="n">
        <x:v>0.029945</x:v>
      </x:c>
      <x:c r="H880" s="60" t="n">
        <x:v>0.029945</x:v>
      </x:c>
      <x:c r="I880" s="62" t="n">
        <x:v>0</x:v>
      </x:c>
      <x:c r="J880" s="64" t="n">
        <x:v>1</x:v>
      </x:c>
      <x:c r="K880" s="62" t="n">
        <x:v>179.20259685079944</x:v>
      </x:c>
      <x:c r="L880" s="60" t="n">
        <x:v>5.366221762697189</x:v>
      </x:c>
      <x:c r="M880" s="62" t="n">
        <x:v>3.252102187343463</x:v>
      </x:c>
      <x:c r="N880" s="62" t="n">
        <x:v>178.6907975999215</x:v>
      </x:c>
      <x:c r="O880" s="60" t="n">
        <x:v>5.350895934129649</x:v>
      </x:c>
      <x:c r="P880" s="60" t="n">
        <x:v>0.015325828567540611</x:v>
      </x:c>
      <x:c r="Q880" s="62" t="n">
        <x:v>1.0028641612089273</x:v>
      </x:c>
      <x:c r="R880" s="64" t="n">
        <x:v>0.002864161208927237</x:v>
      </x:c>
    </x:row>
    <x:row r="881" ht="18" customHeight="1">
      <x:c r="A881" s="46" t="str">
        <x:v>HS_088</x:v>
      </x:c>
      <x:c r="B881" s="46" t="str">
        <x:v>Pacific, Antarctic</x:v>
      </x:c>
      <x:c r="C881" s="46" t="str">
        <x:v>functional</x:v>
      </x:c>
      <x:c r="D881" s="46" t="str">
        <x:v>Small to medium rays (&lt;90 cm)</x:v>
      </x:c>
      <x:c r="E881" s="66" t="n">
        <x:v>1</x:v>
      </x:c>
      <x:c r="F881" s="66" t="n">
        <x:v>1</x:v>
      </x:c>
      <x:c r="G881" s="60" t="n">
        <x:v>0.26867699999999994</x:v>
      </x:c>
      <x:c r="H881" s="60" t="n">
        <x:v>0.26867699999999994</x:v>
      </x:c>
      <x:c r="I881" s="62" t="n">
        <x:v>0</x:v>
      </x:c>
      <x:c r="J881" s="64" t="n">
        <x:v>1</x:v>
      </x:c>
      <x:c r="K881" s="62" t="n">
        <x:v>436.5158322401661</x:v>
      </x:c>
      <x:c r="L881" s="60" t="n">
        <x:v>117.28176425879109</x:v>
      </x:c>
      <x:c r="M881" s="62" t="n">
        <x:v>3.64</x:v>
      </x:c>
      <x:c r="N881" s="62" t="n">
        <x:v>436.5158322401661</x:v>
      </x:c>
      <x:c r="O881" s="60" t="n">
        <x:v>117.28176425879109</x:v>
      </x:c>
      <x:c r="P881" s="60" t="n">
        <x:v>0</x:v>
      </x:c>
      <x:c r="Q881" s="62" t="n">
        <x:v>1</x:v>
      </x:c>
      <x:c r="R881" s="64" t="n">
        <x:v>0</x:v>
      </x:c>
    </x:row>
    <x:row r="882" ht="18" customHeight="1">
      <x:c r="A882" s="46" t="str">
        <x:v>LME_001</x:v>
      </x:c>
      <x:c r="B882" s="46" t="str">
        <x:v>East Bering Sea</x:v>
      </x:c>
      <x:c r="C882" s="46" t="str">
        <x:v>functional</x:v>
      </x:c>
      <x:c r="D882" s="46" t="str">
        <x:v>Cephalopods</x:v>
      </x:c>
      <x:c r="E882" s="66" t="n">
        <x:v>3</x:v>
      </x:c>
      <x:c r="F882" s="66" t="n">
        <x:v>3</x:v>
      </x:c>
      <x:c r="G882" s="60" t="n">
        <x:v>382.3926802322</x:v>
      </x:c>
      <x:c r="H882" s="60" t="n">
        <x:v>382.3926802322</x:v>
      </x:c>
      <x:c r="I882" s="62" t="n">
        <x:v>0</x:v>
      </x:c>
      <x:c r="J882" s="64" t="n">
        <x:v>1</x:v>
      </x:c>
      <x:c r="K882" s="62" t="n">
        <x:v>811.0023994158408</x:v>
      </x:c>
      <x:c r="L882" s="60" t="n">
        <x:v>310121.3811873686</x:v>
      </x:c>
      <x:c r="M882" s="62" t="n">
        <x:v>3.8241421414785197</x:v>
      </x:c>
      <x:c r="N882" s="62" t="n">
        <x:v>667.025046019478</x:v>
      </x:c>
      <x:c r="O882" s="60" t="n">
        <x:v>255065.49512939475</x:v>
      </x:c>
      <x:c r="P882" s="60" t="n">
        <x:v>55055.88605797384</x:v>
      </x:c>
      <x:c r="Q882" s="62" t="n">
        <x:v>1.2158499958218338</x:v>
      </x:c>
      <x:c r="R882" s="64" t="n">
        <x:v>0.21584999582183384</x:v>
      </x:c>
    </x:row>
    <x:row r="883" ht="18" customHeight="1">
      <x:c r="A883" s="46" t="str">
        <x:v>LME_001</x:v>
      </x:c>
      <x:c r="B883" s="46" t="str">
        <x:v>East Bering Sea</x:v>
      </x:c>
      <x:c r="C883" s="46" t="str">
        <x:v>functional</x:v>
      </x:c>
      <x:c r="D883" s="46" t="str">
        <x:v>Large bathydemersals (&gt;=90 cm)</x:v>
      </x:c>
      <x:c r="E883" s="66" t="n">
        <x:v>1</x:v>
      </x:c>
      <x:c r="F883" s="66" t="n">
        <x:v>1</x:v>
      </x:c>
      <x:c r="G883" s="60" t="n">
        <x:v>6248.8065830297</x:v>
      </x:c>
      <x:c r="H883" s="60" t="n">
        <x:v>6248.8065830297</x:v>
      </x:c>
      <x:c r="I883" s="62" t="n">
        <x:v>0</x:v>
      </x:c>
      <x:c r="J883" s="64" t="n">
        <x:v>1</x:v>
      </x:c>
      <x:c r="K883" s="62" t="n">
        <x:v>691.8309709189363</x:v>
      </x:c>
      <x:c r="L883" s="60" t="n">
        <x:v>4323117.925422078</x:v>
      </x:c>
      <x:c r="M883" s="62" t="n">
        <x:v>3.84</x:v>
      </x:c>
      <x:c r="N883" s="62" t="n">
        <x:v>691.8309709189363</x:v>
      </x:c>
      <x:c r="O883" s="60" t="n">
        <x:v>4323117.925422078</x:v>
      </x:c>
      <x:c r="P883" s="60" t="n">
        <x:v>0</x:v>
      </x:c>
      <x:c r="Q883" s="62" t="n">
        <x:v>1</x:v>
      </x:c>
      <x:c r="R883" s="64" t="n">
        <x:v>0</x:v>
      </x:c>
    </x:row>
    <x:row r="884" ht="18" customHeight="1">
      <x:c r="A884" s="46" t="str">
        <x:v>LME_001</x:v>
      </x:c>
      <x:c r="B884" s="46" t="str">
        <x:v>East Bering Sea</x:v>
      </x:c>
      <x:c r="C884" s="46" t="str">
        <x:v>functional</x:v>
      </x:c>
      <x:c r="D884" s="46" t="str">
        <x:v>Large benthopelagics (&gt;=90 cm)</x:v>
      </x:c>
      <x:c r="E884" s="66" t="n">
        <x:v>6</x:v>
      </x:c>
      <x:c r="F884" s="66" t="n">
        <x:v>6</x:v>
      </x:c>
      <x:c r="G884" s="60" t="n">
        <x:v>22186.835590994</x:v>
      </x:c>
      <x:c r="H884" s="60" t="n">
        <x:v>22186.835590994</x:v>
      </x:c>
      <x:c r="I884" s="62" t="n">
        <x:v>0</x:v>
      </x:c>
      <x:c r="J884" s="64" t="n">
        <x:v>1</x:v>
      </x:c>
      <x:c r="K884" s="62" t="n">
        <x:v>694.5608061662866</x:v>
      </x:c>
      <x:c r="L884" s="60" t="n">
        <x:v>15410106.414359653</x:v>
      </x:c>
      <x:c r="M884" s="62" t="n">
        <x:v>3.7887656940132195</x:v>
      </x:c>
      <x:c r="N884" s="62" t="n">
        <x:v>614.8450684736767</x:v>
      </x:c>
      <x:c r="O884" s="60" t="n">
        <x:v>13641466.448158914</x:v>
      </x:c>
      <x:c r="P884" s="60" t="n">
        <x:v>1768639.9662007391</x:v>
      </x:c>
      <x:c r="Q884" s="62" t="n">
        <x:v>1.1296517477004415</x:v>
      </x:c>
      <x:c r="R884" s="64" t="n">
        <x:v>0.12965174770044163</x:v>
      </x:c>
    </x:row>
    <x:row r="885" ht="18" customHeight="1">
      <x:c r="A885" s="46" t="str">
        <x:v>LME_001</x:v>
      </x:c>
      <x:c r="B885" s="46" t="str">
        <x:v>East Bering Sea</x:v>
      </x:c>
      <x:c r="C885" s="46" t="str">
        <x:v>functional</x:v>
      </x:c>
      <x:c r="D885" s="46" t="str">
        <x:v>Large demersals (&gt;=90 cm)</x:v>
      </x:c>
      <x:c r="E885" s="66" t="n">
        <x:v>4</x:v>
      </x:c>
      <x:c r="F885" s="66" t="n">
        <x:v>4</x:v>
      </x:c>
      <x:c r="G885" s="60" t="n">
        <x:v>109639.96943592218</x:v>
      </x:c>
      <x:c r="H885" s="60" t="n">
        <x:v>109639.96943592218</x:v>
      </x:c>
      <x:c r="I885" s="62" t="n">
        <x:v>0</x:v>
      </x:c>
      <x:c r="J885" s="64" t="n">
        <x:v>1</x:v>
      </x:c>
      <x:c r="K885" s="62" t="n">
        <x:v>1457.1724809311481</x:v>
      </x:c>
      <x:c r="L885" s="60" t="n">
        <x:v>159764346.27215797</x:v>
      </x:c>
      <x:c r="M885" s="62" t="n">
        <x:v>4.163263706123264</x:v>
      </x:c>
      <x:c r="N885" s="62" t="n">
        <x:v>1456.3431121277877</x:v>
      </x:c>
      <x:c r="O885" s="60" t="n">
        <x:v>159673414.3019064</x:v>
      </x:c>
      <x:c r="P885" s="60" t="n">
        <x:v>90931.97025156021</x:v>
      </x:c>
      <x:c r="Q885" s="62" t="n">
        <x:v>1.0005694872289737</x:v>
      </x:c>
      <x:c r="R885" s="64" t="n">
        <x:v>0.0005694872289736873</x:v>
      </x:c>
    </x:row>
    <x:row r="886" ht="18" customHeight="1">
      <x:c r="A886" s="46" t="str">
        <x:v>LME_001</x:v>
      </x:c>
      <x:c r="B886" s="46" t="str">
        <x:v>East Bering Sea</x:v>
      </x:c>
      <x:c r="C886" s="46" t="str">
        <x:v>functional</x:v>
      </x:c>
      <x:c r="D886" s="46" t="str">
        <x:v>Large flatfishes (&gt;=90 cm)</x:v>
      </x:c>
      <x:c r="E886" s="66" t="n">
        <x:v>2</x:v>
      </x:c>
      <x:c r="F886" s="66" t="n">
        <x:v>2</x:v>
      </x:c>
      <x:c r="G886" s="60" t="n">
        <x:v>6797.1484749281</x:v>
      </x:c>
      <x:c r="H886" s="60" t="n">
        <x:v>6797.1484749281</x:v>
      </x:c>
      <x:c r="I886" s="62" t="n">
        <x:v>0</x:v>
      </x:c>
      <x:c r="J886" s="64" t="n">
        <x:v>1</x:v>
      </x:c>
      <x:c r="K886" s="62" t="n">
        <x:v>1387.7109761750658</x:v>
      </x:c>
      <x:c r="L886" s="60" t="n">
        <x:v>9432477.545349333</x:v>
      </x:c>
      <x:c r="M886" s="62" t="n">
        <x:v>4.141906514390701</x:v>
      </x:c>
      <x:c r="N886" s="62" t="n">
        <x:v>1386.4573499209268</x:v>
      </x:c>
      <x:c r="O886" s="60" t="n">
        <x:v>9423956.461567882</x:v>
      </x:c>
      <x:c r="P886" s="60" t="n">
        <x:v>8521.083781450987</x:v>
      </x:c>
      <x:c r="Q886" s="62" t="n">
        <x:v>1.0009041938824952</x:v>
      </x:c>
      <x:c r="R886" s="64" t="n">
        <x:v>0.0009041938824952209</x:v>
      </x:c>
    </x:row>
    <x:row r="887" ht="18" customHeight="1">
      <x:c r="A887" s="46" t="str">
        <x:v>LME_001</x:v>
      </x:c>
      <x:c r="B887" s="46" t="str">
        <x:v>East Bering Sea</x:v>
      </x:c>
      <x:c r="C887" s="46" t="str">
        <x:v>functional</x:v>
      </x:c>
      <x:c r="D887" s="46" t="str">
        <x:v>Large rays (&gt;=90 cm)</x:v>
      </x:c>
      <x:c r="E887" s="66" t="n">
        <x:v>1</x:v>
      </x:c>
      <x:c r="F887" s="66" t="n">
        <x:v>1</x:v>
      </x:c>
      <x:c r="G887" s="60" t="n">
        <x:v>13066.0632057037</x:v>
      </x:c>
      <x:c r="H887" s="60" t="n">
        <x:v>13066.0632057037</x:v>
      </x:c>
      <x:c r="I887" s="62" t="n">
        <x:v>0</x:v>
      </x:c>
      <x:c r="J887" s="64" t="n">
        <x:v>1</x:v>
      </x:c>
      <x:c r="K887" s="62" t="n">
        <x:v>660.6934480075957</x:v>
      </x:c>
      <x:c r="L887" s="60" t="n">
        <x:v>8632662.351261558</x:v>
      </x:c>
      <x:c r="M887" s="62" t="n">
        <x:v>3.82</x:v>
      </x:c>
      <x:c r="N887" s="62" t="n">
        <x:v>660.6934480075957</x:v>
      </x:c>
      <x:c r="O887" s="60" t="n">
        <x:v>8632662.351261558</x:v>
      </x:c>
      <x:c r="P887" s="60" t="n">
        <x:v>0</x:v>
      </x:c>
      <x:c r="Q887" s="62" t="n">
        <x:v>1</x:v>
      </x:c>
      <x:c r="R887" s="64" t="n">
        <x:v>0</x:v>
      </x:c>
    </x:row>
    <x:row r="888" ht="18" customHeight="1">
      <x:c r="A888" s="46" t="str">
        <x:v>LME_001</x:v>
      </x:c>
      <x:c r="B888" s="46" t="str">
        <x:v>East Bering Sea</x:v>
      </x:c>
      <x:c r="C888" s="46" t="str">
        <x:v>functional</x:v>
      </x:c>
      <x:c r="D888" s="46" t="str">
        <x:v>Large reef assoc. fish (&gt;=90 cm)</x:v>
      </x:c>
      <x:c r="E888" s="66" t="n">
        <x:v>2</x:v>
      </x:c>
      <x:c r="F888" s="66" t="n">
        <x:v>2</x:v>
      </x:c>
      <x:c r="G888" s="60" t="n">
        <x:v>12074.693525209099</x:v>
      </x:c>
      <x:c r="H888" s="60" t="n">
        <x:v>12074.693525209099</x:v>
      </x:c>
      <x:c r="I888" s="62" t="n">
        <x:v>0</x:v>
      </x:c>
      <x:c r="J888" s="64" t="n">
        <x:v>1</x:v>
      </x:c>
      <x:c r="K888" s="62" t="n">
        <x:v>619.3000563142128</x:v>
      </x:c>
      <x:c r="L888" s="60" t="n">
        <x:v>7477858.380138856</x:v>
      </x:c>
      <x:c r="M888" s="62" t="n">
        <x:v>3.7918617525074634</x:v>
      </x:c>
      <x:c r="N888" s="62" t="n">
        <x:v>619.2439218770965</x:v>
      </x:c>
      <x:c r="O888" s="60" t="n">
        <x:v>7477180.574014465</x:v>
      </x:c>
      <x:c r="P888" s="60" t="n">
        <x:v>677.8061243910342</x:v>
      </x:c>
      <x:c r="Q888" s="62" t="n">
        <x:v>1.0000906499605944</x:v>
      </x:c>
      <x:c r="R888" s="64" t="n">
        <x:v>0.00009064996059432107</x:v>
      </x:c>
    </x:row>
    <x:row r="889" ht="18" customHeight="1">
      <x:c r="A889" s="46" t="str">
        <x:v>LME_001</x:v>
      </x:c>
      <x:c r="B889" s="46" t="str">
        <x:v>East Bering Sea</x:v>
      </x:c>
      <x:c r="C889" s="46" t="str">
        <x:v>functional</x:v>
      </x:c>
      <x:c r="D889" s="46" t="str">
        <x:v>Large sharks (&gt;=90 cm)</x:v>
      </x:c>
      <x:c r="E889" s="66" t="n">
        <x:v>3</x:v>
      </x:c>
      <x:c r="F889" s="66" t="n">
        <x:v>3</x:v>
      </x:c>
      <x:c r="G889" s="60" t="n">
        <x:v>105.86179242360002</x:v>
      </x:c>
      <x:c r="H889" s="60" t="n">
        <x:v>105.86179242360002</x:v>
      </x:c>
      <x:c r="I889" s="62" t="n">
        <x:v>0</x:v>
      </x:c>
      <x:c r="J889" s="64" t="n">
        <x:v>1</x:v>
      </x:c>
      <x:c r="K889" s="62" t="n">
        <x:v>1120.8287397307522</x:v>
      </x:c>
      <x:c r="L889" s="60" t="n">
        <x:v>118652.93938778211</x:v>
      </x:c>
      <x:c r="M889" s="62" t="n">
        <x:v>4.0494093091210015</x:v>
      </x:c>
      <x:c r="N889" s="62" t="n">
        <x:v>1120.4934163852356</x:v>
      </x:c>
      <x:c r="O889" s="60" t="n">
        <x:v>118617.44145738424</x:v>
      </x:c>
      <x:c r="P889" s="60" t="n">
        <x:v>35.49793039787619</x:v>
      </x:c>
      <x:c r="Q889" s="62" t="n">
        <x:v>1.0002992640033517</x:v>
      </x:c>
      <x:c r="R889" s="64" t="n">
        <x:v>0.0002992640033517293</x:v>
      </x:c>
    </x:row>
    <x:row r="890" ht="18" customHeight="1">
      <x:c r="A890" s="46" t="str">
        <x:v>LME_001</x:v>
      </x:c>
      <x:c r="B890" s="46" t="str">
        <x:v>East Bering Sea</x:v>
      </x:c>
      <x:c r="C890" s="46" t="str">
        <x:v>functional</x:v>
      </x:c>
      <x:c r="D890" s="46" t="str">
        <x:v>Lobsters, crabs</x:v>
      </x:c>
      <x:c r="E890" s="66" t="n">
        <x:v>7</x:v>
      </x:c>
      <x:c r="F890" s="66" t="n">
        <x:v>7</x:v>
      </x:c>
      <x:c r="G890" s="60" t="n">
        <x:v>7562.4913625619</x:v>
      </x:c>
      <x:c r="H890" s="60" t="n">
        <x:v>7562.4913625619</x:v>
      </x:c>
      <x:c r="I890" s="62" t="n">
        <x:v>0</x:v>
      </x:c>
      <x:c r="J890" s="64" t="n">
        <x:v>1</x:v>
      </x:c>
      <x:c r="K890" s="62" t="n">
        <x:v>221.94421206414344</x:v>
      </x:c>
      <x:c r="L890" s="60" t="n">
        <x:v>1678451.1867056915</x:v>
      </x:c>
      <x:c r="M890" s="62" t="n">
        <x:v>3.2304063365326283</x:v>
      </x:c>
      <x:c r="N890" s="62" t="n">
        <x:v>169.98333142800263</x:v>
      </x:c>
      <x:c r="O890" s="60" t="n">
        <x:v>1285497.4757037666</x:v>
      </x:c>
      <x:c r="P890" s="60" t="n">
        <x:v>392953.71100192494</x:v>
      </x:c>
      <x:c r="Q890" s="62" t="n">
        <x:v>1.305682211306402</x:v>
      </x:c>
      <x:c r="R890" s="64" t="n">
        <x:v>0.30568221130640183</x:v>
      </x:c>
    </x:row>
    <x:row r="891" ht="18" customHeight="1">
      <x:c r="A891" s="46" t="str">
        <x:v>LME_001</x:v>
      </x:c>
      <x:c r="B891" s="46" t="str">
        <x:v>East Bering Sea</x:v>
      </x:c>
      <x:c r="C891" s="46" t="str">
        <x:v>functional</x:v>
      </x:c>
      <x:c r="D891" s="46" t="str">
        <x:v>Medium benthopelagics (30 - 89 cm)</x:v>
      </x:c>
      <x:c r="E891" s="66" t="n">
        <x:v>1</x:v>
      </x:c>
      <x:c r="F891" s="66" t="n">
        <x:v>1</x:v>
      </x:c>
      <x:c r="G891" s="60" t="n">
        <x:v>796581.615275561</x:v>
      </x:c>
      <x:c r="H891" s="60" t="n">
        <x:v>796581.615275561</x:v>
      </x:c>
      <x:c r="I891" s="62" t="n">
        <x:v>0</x:v>
      </x:c>
      <x:c r="J891" s="64" t="n">
        <x:v>1</x:v>
      </x:c>
      <x:c r="K891" s="62" t="n">
        <x:v>371.53522909717236</x:v>
      </x:c>
      <x:c r="L891" s="60" t="n">
        <x:v>295958132.9260012</x:v>
      </x:c>
      <x:c r="M891" s="62" t="n">
        <x:v>3.57</x:v>
      </x:c>
      <x:c r="N891" s="62" t="n">
        <x:v>371.5352290971724</x:v>
      </x:c>
      <x:c r="O891" s="60" t="n">
        <x:v>295958132.9260012</x:v>
      </x:c>
      <x:c r="P891" s="60" t="n">
        <x:v>0</x:v>
      </x:c>
      <x:c r="Q891" s="62" t="n">
        <x:v>1</x:v>
      </x:c>
      <x:c r="R891" s="64" t="n">
        <x:v>0</x:v>
      </x:c>
    </x:row>
    <x:row r="892" ht="18" customHeight="1">
      <x:c r="A892" s="46" t="str">
        <x:v>LME_001</x:v>
      </x:c>
      <x:c r="B892" s="46" t="str">
        <x:v>East Bering Sea</x:v>
      </x:c>
      <x:c r="C892" s="46" t="str">
        <x:v>functional</x:v>
      </x:c>
      <x:c r="D892" s="46" t="str">
        <x:v>Medium demersals (30 - 89 cm)</x:v>
      </x:c>
      <x:c r="E892" s="66" t="n">
        <x:v>10</x:v>
      </x:c>
      <x:c r="F892" s="66" t="n">
        <x:v>10</x:v>
      </x:c>
      <x:c r="G892" s="60" t="n">
        <x:v>149630.063438264</x:v>
      </x:c>
      <x:c r="H892" s="60" t="n">
        <x:v>149630.063438264</x:v>
      </x:c>
      <x:c r="I892" s="62" t="n">
        <x:v>0</x:v>
      </x:c>
      <x:c r="J892" s="64" t="n">
        <x:v>1</x:v>
      </x:c>
      <x:c r="K892" s="62" t="n">
        <x:v>1570.4887576808196</x:v>
      </x:c>
      <x:c r="L892" s="60" t="n">
        <x:v>234992332.4408615</x:v>
      </x:c>
      <x:c r="M892" s="62" t="n">
        <x:v>3.9132830331596735</x:v>
      </x:c>
      <x:c r="N892" s="62" t="n">
        <x:v>818.9983619794209</x:v>
      </x:c>
      <x:c r="O892" s="60" t="n">
        <x:v>122546776.85881506</x:v>
      </x:c>
      <x:c r="P892" s="60" t="n">
        <x:v>112445555.58204643</x:v>
      </x:c>
      <x:c r="Q892" s="62" t="n">
        <x:v>1.9175725258902065</x:v>
      </x:c>
      <x:c r="R892" s="64" t="n">
        <x:v>0.9175725258902064</x:v>
      </x:c>
    </x:row>
    <x:row r="893" ht="18" customHeight="1">
      <x:c r="A893" s="46" t="str">
        <x:v>LME_001</x:v>
      </x:c>
      <x:c r="B893" s="46" t="str">
        <x:v>East Bering Sea</x:v>
      </x:c>
      <x:c r="C893" s="46" t="str">
        <x:v>functional</x:v>
      </x:c>
      <x:c r="D893" s="46" t="str">
        <x:v>Medium pelagics (30 - 89 cm)</x:v>
      </x:c>
      <x:c r="E893" s="66" t="n">
        <x:v>6</x:v>
      </x:c>
      <x:c r="F893" s="66" t="n">
        <x:v>6</x:v>
      </x:c>
      <x:c r="G893" s="60" t="n">
        <x:v>63790.524122938</x:v>
      </x:c>
      <x:c r="H893" s="60" t="n">
        <x:v>63790.524122938</x:v>
      </x:c>
      <x:c r="I893" s="62" t="n">
        <x:v>0</x:v>
      </x:c>
      <x:c r="J893" s="64" t="n">
        <x:v>1</x:v>
      </x:c>
      <x:c r="K893" s="62" t="n">
        <x:v>316.16919808001</x:v>
      </x:c>
      <x:c r="L893" s="60" t="n">
        <x:v>20168598.85705284</x:v>
      </x:c>
      <x:c r="M893" s="62" t="n">
        <x:v>3.4825319053612556</x:v>
      </x:c>
      <x:c r="N893" s="62" t="n">
        <x:v>303.76092411325635</x:v>
      </x:c>
      <x:c r="O893" s="60" t="n">
        <x:v>19377068.55725262</x:v>
      </x:c>
      <x:c r="P893" s="60" t="n">
        <x:v>791530.2998002209</x:v>
      </x:c>
      <x:c r="Q893" s="62" t="n">
        <x:v>1.0408488155709166</x:v>
      </x:c>
      <x:c r="R893" s="64" t="n">
        <x:v>0.040848815570916686</x:v>
      </x:c>
    </x:row>
    <x:row r="894" ht="18" customHeight="1">
      <x:c r="A894" s="46" t="str">
        <x:v>LME_001</x:v>
      </x:c>
      <x:c r="B894" s="46" t="str">
        <x:v>East Bering Sea</x:v>
      </x:c>
      <x:c r="C894" s="46" t="str">
        <x:v>functional</x:v>
      </x:c>
      <x:c r="D894" s="46" t="str">
        <x:v>Medium reef assoc. fish (30 - 89 cm)</x:v>
      </x:c>
      <x:c r="E894" s="66" t="n">
        <x:v>1</x:v>
      </x:c>
      <x:c r="F894" s="66" t="n">
        <x:v>1</x:v>
      </x:c>
      <x:c r="G894" s="60" t="n">
        <x:v>7.1073953668</x:v>
      </x:c>
      <x:c r="H894" s="60" t="n">
        <x:v>7.1073953668</x:v>
      </x:c>
      <x:c r="I894" s="62" t="n">
        <x:v>0</x:v>
      </x:c>
      <x:c r="J894" s="64" t="n">
        <x:v>1</x:v>
      </x:c>
      <x:c r="K894" s="62" t="n">
        <x:v>2398.83291901949</x:v>
      </x:c>
      <x:c r="L894" s="60" t="n">
        <x:v>17049.453974366443</x:v>
      </x:c>
      <x:c r="M894" s="62" t="n">
        <x:v>4.38</x:v>
      </x:c>
      <x:c r="N894" s="62" t="n">
        <x:v>2398.83291901949</x:v>
      </x:c>
      <x:c r="O894" s="60" t="n">
        <x:v>17049.453974366443</x:v>
      </x:c>
      <x:c r="P894" s="60" t="n">
        <x:v>0</x:v>
      </x:c>
      <x:c r="Q894" s="62" t="n">
        <x:v>1</x:v>
      </x:c>
      <x:c r="R894" s="64" t="n">
        <x:v>0</x:v>
      </x:c>
    </x:row>
    <x:row r="895" ht="18" customHeight="1">
      <x:c r="A895" s="46" t="str">
        <x:v>LME_001</x:v>
      </x:c>
      <x:c r="B895" s="46" t="str">
        <x:v>East Bering Sea</x:v>
      </x:c>
      <x:c r="C895" s="46" t="str">
        <x:v>functional</x:v>
      </x:c>
      <x:c r="D895" s="46" t="str">
        <x:v>Other demersal invertebrates</x:v>
      </x:c>
      <x:c r="E895" s="66" t="n">
        <x:v>8</x:v>
      </x:c>
      <x:c r="F895" s="66" t="n">
        <x:v>8</x:v>
      </x:c>
      <x:c r="G895" s="60" t="n">
        <x:v>117.55580705100002</x:v>
      </x:c>
      <x:c r="H895" s="60" t="n">
        <x:v>117.55580705100002</x:v>
      </x:c>
      <x:c r="I895" s="62" t="n">
        <x:v>0</x:v>
      </x:c>
      <x:c r="J895" s="64" t="n">
        <x:v>1</x:v>
      </x:c>
      <x:c r="K895" s="62" t="n">
        <x:v>11.373026963749865</x:v>
      </x:c>
      <x:c r="L895" s="60" t="n">
        <x:v>1336.9653633363996</x:v>
      </x:c>
      <x:c r="M895" s="62" t="n">
        <x:v>2.0512731435360996</x:v>
      </x:c>
      <x:c r="N895" s="62" t="n">
        <x:v>11.253125012559721</x:v>
      </x:c>
      <x:c r="O895" s="60" t="n">
        <x:v>1322.8701926972526</x:v>
      </x:c>
      <x:c r="P895" s="60" t="n">
        <x:v>14.095170639147</x:v>
      </x:c>
      <x:c r="Q895" s="62" t="n">
        <x:v>1.0106549914851493</x:v>
      </x:c>
      <x:c r="R895" s="64" t="n">
        <x:v>0.010654991485149269</x:v>
      </x:c>
    </x:row>
    <x:row r="896" ht="18" customHeight="1">
      <x:c r="A896" s="46" t="str">
        <x:v>LME_001</x:v>
      </x:c>
      <x:c r="B896" s="46" t="str">
        <x:v>East Bering Sea</x:v>
      </x:c>
      <x:c r="C896" s="46" t="str">
        <x:v>functional</x:v>
      </x:c>
      <x:c r="D896" s="46" t="str">
        <x:v>Shrimps</x:v>
      </x:c>
      <x:c r="E896" s="66" t="n">
        <x:v>2</x:v>
      </x:c>
      <x:c r="F896" s="66" t="n">
        <x:v>2</x:v>
      </x:c>
      <x:c r="G896" s="60" t="n">
        <x:v>84.0972554467</x:v>
      </x:c>
      <x:c r="H896" s="60" t="n">
        <x:v>84.0972554467</x:v>
      </x:c>
      <x:c r="I896" s="62" t="n">
        <x:v>0</x:v>
      </x:c>
      <x:c r="J896" s="64" t="n">
        <x:v>1</x:v>
      </x:c>
      <x:c r="K896" s="62" t="n">
        <x:v>50.11872336272725</x:v>
      </x:c>
      <x:c r="L896" s="60" t="n">
        <x:v>4214.847081297765</x:v>
      </x:c>
      <x:c r="M896" s="62" t="n">
        <x:v>2.7</x:v>
      </x:c>
      <x:c r="N896" s="62" t="n">
        <x:v>50.11872336272725</x:v>
      </x:c>
      <x:c r="O896" s="60" t="n">
        <x:v>4214.847081297765</x:v>
      </x:c>
      <x:c r="P896" s="60" t="n">
        <x:v>0</x:v>
      </x:c>
      <x:c r="Q896" s="62" t="n">
        <x:v>1</x:v>
      </x:c>
      <x:c r="R896" s="64" t="n">
        <x:v>0</x:v>
      </x:c>
    </x:row>
    <x:row r="897" ht="18" customHeight="1">
      <x:c r="A897" s="46" t="str">
        <x:v>LME_001</x:v>
      </x:c>
      <x:c r="B897" s="46" t="str">
        <x:v>East Bering Sea</x:v>
      </x:c>
      <x:c r="C897" s="46" t="str">
        <x:v>functional</x:v>
      </x:c>
      <x:c r="D897" s="46" t="str">
        <x:v>Small pelagics (&lt;30 cm)</x:v>
      </x:c>
      <x:c r="E897" s="66" t="n">
        <x:v>2</x:v>
      </x:c>
      <x:c r="F897" s="66" t="n">
        <x:v>2</x:v>
      </x:c>
      <x:c r="G897" s="60" t="n">
        <x:v>16.125351453599997</x:v>
      </x:c>
      <x:c r="H897" s="60" t="n">
        <x:v>16.125351453599997</x:v>
      </x:c>
      <x:c r="I897" s="62" t="n">
        <x:v>0</x:v>
      </x:c>
      <x:c r="J897" s="64" t="n">
        <x:v>1</x:v>
      </x:c>
      <x:c r="K897" s="62" t="n">
        <x:v>281.12743409101427</x:v>
      </x:c>
      <x:c r="L897" s="60" t="n">
        <x:v>4533.278677966374</x:v>
      </x:c>
      <x:c r="M897" s="62" t="n">
        <x:v>3.44467223045208</x:v>
      </x:c>
      <x:c r="N897" s="62" t="n">
        <x:v>278.4019228138794</x:v>
      </x:c>
      <x:c r="O897" s="60" t="n">
        <x:v>4489.328850731825</x:v>
      </x:c>
      <x:c r="P897" s="60" t="n">
        <x:v>43.94982723454905</x:v>
      </x:c>
      <x:c r="Q897" s="62" t="n">
        <x:v>1.0097898435814932</x:v>
      </x:c>
      <x:c r="R897" s="64" t="n">
        <x:v>0.009789843581493166</x:v>
      </x:c>
    </x:row>
    <x:row r="898" ht="18" customHeight="1">
      <x:c r="A898" s="46" t="str">
        <x:v>LME_001</x:v>
      </x:c>
      <x:c r="B898" s="46" t="str">
        <x:v>East Bering Sea</x:v>
      </x:c>
      <x:c r="C898" s="46" t="str">
        <x:v>functional</x:v>
      </x:c>
      <x:c r="D898" s="46" t="str">
        <x:v>Small to medium flatfishes (&lt;90 cm)</x:v>
      </x:c>
      <x:c r="E898" s="66" t="n">
        <x:v>13</x:v>
      </x:c>
      <x:c r="F898" s="66" t="n">
        <x:v>13</x:v>
      </x:c>
      <x:c r="G898" s="60" t="n">
        <x:v>112018.74900535209</x:v>
      </x:c>
      <x:c r="H898" s="60" t="n">
        <x:v>112018.74900535209</x:v>
      </x:c>
      <x:c r="I898" s="62" t="n">
        <x:v>0</x:v>
      </x:c>
      <x:c r="J898" s="64" t="n">
        <x:v>1</x:v>
      </x:c>
      <x:c r="K898" s="62" t="n">
        <x:v>515.1529380870013</x:v>
      </x:c>
      <x:c r="L898" s="60" t="n">
        <x:v>57706787.67093748</x:v>
      </x:c>
      <x:c r="M898" s="62" t="n">
        <x:v>3.6174621085864986</x:v>
      </x:c>
      <x:c r="N898" s="62" t="n">
        <x:v>414.4404232779348</x:v>
      </x:c>
      <x:c r="O898" s="60" t="n">
        <x:v>46425097.75284286</x:v>
      </x:c>
      <x:c r="P898" s="60" t="n">
        <x:v>11281689.91809462</x:v>
      </x:c>
      <x:c r="Q898" s="62" t="n">
        <x:v>1.2430084257044731</x:v>
      </x:c>
      <x:c r="R898" s="64" t="n">
        <x:v>0.2430084257044732</x:v>
      </x:c>
    </x:row>
    <x:row r="899" ht="18" customHeight="1">
      <x:c r="A899" s="46" t="str">
        <x:v>LME_001</x:v>
      </x:c>
      <x:c r="B899" s="46" t="str">
        <x:v>East Bering Sea</x:v>
      </x:c>
      <x:c r="C899" s="46" t="str">
        <x:v>functional</x:v>
      </x:c>
      <x:c r="D899" s="46" t="str">
        <x:v>Small to medium rays (&lt;90 cm)</x:v>
      </x:c>
      <x:c r="E899" s="66" t="n">
        <x:v>1</x:v>
      </x:c>
      <x:c r="F899" s="66" t="n">
        <x:v>1</x:v>
      </x:c>
      <x:c r="G899" s="60" t="n">
        <x:v>689.6711486076999</x:v>
      </x:c>
      <x:c r="H899" s="60" t="n">
        <x:v>689.6711486076999</x:v>
      </x:c>
      <x:c r="I899" s="62" t="n">
        <x:v>0</x:v>
      </x:c>
      <x:c r="J899" s="64" t="n">
        <x:v>1</x:v>
      </x:c>
      <x:c r="K899" s="62" t="n">
        <x:v>630.957344480193</x:v>
      </x:c>
      <x:c r="L899" s="60" t="n">
        <x:v>435153.0764901189</x:v>
      </x:c>
      <x:c r="M899" s="62" t="n">
        <x:v>3.7999999999999994</x:v>
      </x:c>
      <x:c r="N899" s="62" t="n">
        <x:v>630.9573444801923</x:v>
      </x:c>
      <x:c r="O899" s="60" t="n">
        <x:v>435153.07649011846</x:v>
      </x:c>
      <x:c r="P899" s="60" t="n">
        <x:v>4.656612873077393e-10</x:v>
      </x:c>
      <x:c r="Q899" s="62" t="n">
        <x:v>1.000000000000001</x:v>
      </x:c>
      <x:c r="R899" s="64" t="n">
        <x:v>1.0701091465644586e-15</x:v>
      </x:c>
    </x:row>
    <x:row r="900" ht="18" customHeight="1">
      <x:c r="A900" s="46" t="str">
        <x:v>LME_002</x:v>
      </x:c>
      <x:c r="B900" s="46" t="str">
        <x:v>Gulf of Alaska</x:v>
      </x:c>
      <x:c r="C900" s="46" t="str">
        <x:v>functional</x:v>
      </x:c>
      <x:c r="D900" s="46" t="str">
        <x:v>Cephalopods</x:v>
      </x:c>
      <x:c r="E900" s="66" t="n">
        <x:v>7</x:v>
      </x:c>
      <x:c r="F900" s="66" t="n">
        <x:v>7</x:v>
      </x:c>
      <x:c r="G900" s="60" t="n">
        <x:v>493.24451055</x:v>
      </x:c>
      <x:c r="H900" s="60" t="n">
        <x:v>493.24451055</x:v>
      </x:c>
      <x:c r="I900" s="62" t="n">
        <x:v>0</x:v>
      </x:c>
      <x:c r="J900" s="64" t="n">
        <x:v>1</x:v>
      </x:c>
      <x:c r="K900" s="62" t="n">
        <x:v>831.9852753877884</x:v>
      </x:c>
      <x:c r="L900" s="60" t="n">
        <x:v>410372.16994345665</x:v>
      </x:c>
      <x:c r="M900" s="62" t="n">
        <x:v>3.8602334038632713</x:v>
      </x:c>
      <x:c r="N900" s="62" t="n">
        <x:v>724.8253999669032</x:v>
      </x:c>
      <x:c r="O900" s="60" t="n">
        <x:v>357516.14964088314</x:v>
      </x:c>
      <x:c r="P900" s="60" t="n">
        <x:v>52856.02030257351</x:v>
      </x:c>
      <x:c r="Q900" s="62" t="n">
        <x:v>1.1478423292365008</x:v>
      </x:c>
      <x:c r="R900" s="64" t="n">
        <x:v>0.14784232923650073</x:v>
      </x:c>
    </x:row>
    <x:row r="901" ht="18" customHeight="1">
      <x:c r="A901" s="46" t="str">
        <x:v>LME_002</x:v>
      </x:c>
      <x:c r="B901" s="46" t="str">
        <x:v>Gulf of Alaska</x:v>
      </x:c>
      <x:c r="C901" s="46" t="str">
        <x:v>functional</x:v>
      </x:c>
      <x:c r="D901" s="46" t="str">
        <x:v>Large bathydemersals (&gt;=90 cm)</x:v>
      </x:c>
      <x:c r="E901" s="66" t="n">
        <x:v>2</x:v>
      </x:c>
      <x:c r="F901" s="66" t="n">
        <x:v>2</x:v>
      </x:c>
      <x:c r="G901" s="60" t="n">
        <x:v>5301.587463686499</x:v>
      </x:c>
      <x:c r="H901" s="60" t="n">
        <x:v>5301.587463686499</x:v>
      </x:c>
      <x:c r="I901" s="62" t="n">
        <x:v>0</x:v>
      </x:c>
      <x:c r="J901" s="64" t="n">
        <x:v>1</x:v>
      </x:c>
      <x:c r="K901" s="62" t="n">
        <x:v>691.723675974055</x:v>
      </x:c>
      <x:c r="L901" s="60" t="n">
        <x:v>3667233.568879192</x:v>
      </x:c>
      <x:c r="M901" s="62" t="n">
        <x:v>3.839904811764087</x:v>
      </x:c>
      <x:c r="N901" s="62" t="n">
        <x:v>691.6793527059107</x:v>
      </x:c>
      <x:c r="O901" s="60" t="n">
        <x:v>3666998.5851964485</x:v>
      </x:c>
      <x:c r="P901" s="60" t="n">
        <x:v>234.98368274373934</x:v>
      </x:c>
      <x:c r="Q901" s="62" t="n">
        <x:v>1.0000640806581416</x:v>
      </x:c>
      <x:c r="R901" s="64" t="n">
        <x:v>0.00006408065814160951</x:v>
      </x:c>
    </x:row>
    <x:row r="902" ht="18" customHeight="1">
      <x:c r="A902" s="46" t="str">
        <x:v>LME_002</x:v>
      </x:c>
      <x:c r="B902" s="46" t="str">
        <x:v>Gulf of Alaska</x:v>
      </x:c>
      <x:c r="C902" s="46" t="str">
        <x:v>functional</x:v>
      </x:c>
      <x:c r="D902" s="46" t="str">
        <x:v>Large bathypelagics (&gt;=90 cm)</x:v>
      </x:c>
      <x:c r="E902" s="66" t="n">
        <x:v>2</x:v>
      </x:c>
      <x:c r="F902" s="66" t="n">
        <x:v>2</x:v>
      </x:c>
      <x:c r="G902" s="60" t="n">
        <x:v>0.0026627719000000003</x:v>
      </x:c>
      <x:c r="H902" s="60" t="n">
        <x:v>0.0026627719000000003</x:v>
      </x:c>
      <x:c r="I902" s="62" t="n">
        <x:v>0</x:v>
      </x:c>
      <x:c r="J902" s="64" t="n">
        <x:v>1</x:v>
      </x:c>
      <x:c r="K902" s="62" t="n">
        <x:v>1437.742909644825</x:v>
      </x:c>
      <x:c r="L902" s="60" t="n">
        <x:v>3.8283814192264796</x:v>
      </x:c>
      <x:c r="M902" s="62" t="n">
        <x:v>4.148323955574265</x:v>
      </x:c>
      <x:c r="N902" s="62" t="n">
        <x:v>1407.0967358513944</x:v>
      </x:c>
      <x:c r="O902" s="60" t="n">
        <x:v>3.746777648806816</x:v>
      </x:c>
      <x:c r="P902" s="60" t="n">
        <x:v>0.08160377041966349</x:v>
      </x:c>
      <x:c r="Q902" s="62" t="n">
        <x:v>1.021779720620905</x:v>
      </x:c>
      <x:c r="R902" s="64" t="n">
        <x:v>0.021779720620904927</x:v>
      </x:c>
    </x:row>
    <x:row r="903" ht="18" customHeight="1">
      <x:c r="A903" s="46" t="str">
        <x:v>LME_002</x:v>
      </x:c>
      <x:c r="B903" s="46" t="str">
        <x:v>Gulf of Alaska</x:v>
      </x:c>
      <x:c r="C903" s="46" t="str">
        <x:v>functional</x:v>
      </x:c>
      <x:c r="D903" s="46" t="str">
        <x:v>Large benthopelagics (&gt;=90 cm)</x:v>
      </x:c>
      <x:c r="E903" s="66" t="n">
        <x:v>6</x:v>
      </x:c>
      <x:c r="F903" s="66" t="n">
        <x:v>6</x:v>
      </x:c>
      <x:c r="G903" s="60" t="n">
        <x:v>30490.618922894202</x:v>
      </x:c>
      <x:c r="H903" s="60" t="n">
        <x:v>30490.618922894202</x:v>
      </x:c>
      <x:c r="I903" s="62" t="n">
        <x:v>0</x:v>
      </x:c>
      <x:c r="J903" s="64" t="n">
        <x:v>1</x:v>
      </x:c>
      <x:c r="K903" s="62" t="n">
        <x:v>980.9029306033051</x:v>
      </x:c>
      <x:c r="L903" s="60" t="n">
        <x:v>29908337.45737551</x:v>
      </x:c>
      <x:c r="M903" s="62" t="n">
        <x:v>3.8992867325900393</x:v>
      </x:c>
      <x:c r="N903" s="62" t="n">
        <x:v>793.0247333756201</x:v>
      </x:c>
      <x:c r="O903" s="60" t="n">
        <x:v>24179814.941785812</x:v>
      </x:c>
      <x:c r="P903" s="60" t="n">
        <x:v>5728522.515589699</x:v>
      </x:c>
      <x:c r="Q903" s="62" t="n">
        <x:v>1.2369134143243619</x:v>
      </x:c>
      <x:c r="R903" s="64" t="n">
        <x:v>0.23691341432436192</x:v>
      </x:c>
    </x:row>
    <x:row r="904" ht="18" customHeight="1">
      <x:c r="A904" s="46" t="str">
        <x:v>LME_002</x:v>
      </x:c>
      <x:c r="B904" s="46" t="str">
        <x:v>Gulf of Alaska</x:v>
      </x:c>
      <x:c r="C904" s="46" t="str">
        <x:v>functional</x:v>
      </x:c>
      <x:c r="D904" s="46" t="str">
        <x:v>Large demersals (&gt;=90 cm)</x:v>
      </x:c>
      <x:c r="E904" s="66" t="n">
        <x:v>6</x:v>
      </x:c>
      <x:c r="F904" s="66" t="n">
        <x:v>6</x:v>
      </x:c>
      <x:c r="G904" s="60" t="n">
        <x:v>74483.00532487142</x:v>
      </x:c>
      <x:c r="H904" s="60" t="n">
        <x:v>74483.00532487142</x:v>
      </x:c>
      <x:c r="I904" s="62" t="n">
        <x:v>0</x:v>
      </x:c>
      <x:c r="J904" s="64" t="n">
        <x:v>1</x:v>
      </x:c>
      <x:c r="K904" s="62" t="n">
        <x:v>1467.6535328630814</x:v>
      </x:c>
      <x:c r="L904" s="60" t="n">
        <x:v>109315245.90330726</x:v>
      </x:c>
      <x:c r="M904" s="62" t="n">
        <x:v>4.166107058533285</x:v>
      </x:c>
      <x:c r="N904" s="62" t="n">
        <x:v>1465.9091597135382</x:v>
      </x:c>
      <x:c r="O904" s="60" t="n">
        <x:v>109185319.74872126</x:v>
      </x:c>
      <x:c r="P904" s="60" t="n">
        <x:v>129926.15458600223</x:v>
      </x:c>
      <x:c r="Q904" s="62" t="n">
        <x:v>1.0011899599221308</x:v>
      </x:c>
      <x:c r="R904" s="64" t="n">
        <x:v>0.0011899599221306845</x:v>
      </x:c>
    </x:row>
    <x:row r="905" ht="18" customHeight="1">
      <x:c r="A905" s="46" t="str">
        <x:v>LME_002</x:v>
      </x:c>
      <x:c r="B905" s="46" t="str">
        <x:v>Gulf of Alaska</x:v>
      </x:c>
      <x:c r="C905" s="46" t="str">
        <x:v>functional</x:v>
      </x:c>
      <x:c r="D905" s="46" t="str">
        <x:v>Large flatfishes (&gt;=90 cm)</x:v>
      </x:c>
      <x:c r="E905" s="66" t="n">
        <x:v>3</x:v>
      </x:c>
      <x:c r="F905" s="66" t="n">
        <x:v>3</x:v>
      </x:c>
      <x:c r="G905" s="60" t="n">
        <x:v>12832.6754701182</x:v>
      </x:c>
      <x:c r="H905" s="60" t="n">
        <x:v>12832.6754701182</x:v>
      </x:c>
      <x:c r="I905" s="62" t="n">
        <x:v>0</x:v>
      </x:c>
      <x:c r="J905" s="64" t="n">
        <x:v>1</x:v>
      </x:c>
      <x:c r="K905" s="62" t="n">
        <x:v>1381.8335040344407</x:v>
      </x:c>
      <x:c r="L905" s="60" t="n">
        <x:v>17732620.911010247</x:v>
      </x:c>
      <x:c r="M905" s="62" t="n">
        <x:v>4.14037525998814</x:v>
      </x:c>
      <x:c r="N905" s="62" t="n">
        <x:v>1381.5775260044095</x:v>
      </x:c>
      <x:c r="O905" s="60" t="n">
        <x:v>17729336.028023373</x:v>
      </x:c>
      <x:c r="P905" s="60" t="n">
        <x:v>3284.8829868733883</x:v>
      </x:c>
      <x:c r="Q905" s="62" t="n">
        <x:v>1.0001852795266377</x:v>
      </x:c>
      <x:c r="R905" s="64" t="n">
        <x:v>0.00018527952663772805</x:v>
      </x:c>
    </x:row>
    <x:row r="906" ht="18" customHeight="1">
      <x:c r="A906" s="46" t="str">
        <x:v>LME_002</x:v>
      </x:c>
      <x:c r="B906" s="46" t="str">
        <x:v>Gulf of Alaska</x:v>
      </x:c>
      <x:c r="C906" s="46" t="str">
        <x:v>functional</x:v>
      </x:c>
      <x:c r="D906" s="46" t="str">
        <x:v>Large pelagics (&gt;=90 cm)</x:v>
      </x:c>
      <x:c r="E906" s="66" t="n">
        <x:v>5</x:v>
      </x:c>
      <x:c r="F906" s="66" t="n">
        <x:v>5</x:v>
      </x:c>
      <x:c r="G906" s="60" t="n">
        <x:v>873.6597137583</x:v>
      </x:c>
      <x:c r="H906" s="60" t="n">
        <x:v>873.6597137583</x:v>
      </x:c>
      <x:c r="I906" s="62" t="n">
        <x:v>0</x:v>
      </x:c>
      <x:c r="J906" s="64" t="n">
        <x:v>1</x:v>
      </x:c>
      <x:c r="K906" s="62" t="n">
        <x:v>2067.6080233622915</x:v>
      </x:c>
      <x:c r="L906" s="60" t="n">
        <x:v>1806385.833855064</x:v>
      </x:c>
      <x:c r="M906" s="62" t="n">
        <x:v>4.313832359245722</x:v>
      </x:c>
      <x:c r="N906" s="62" t="n">
        <x:v>2059.8346489880437</x:v>
      </x:c>
      <x:c r="O906" s="60" t="n">
        <x:v>1799594.5498243226</x:v>
      </x:c>
      <x:c r="P906" s="60" t="n">
        <x:v>6791.2840307413135</x:v>
      </x:c>
      <x:c r="Q906" s="62" t="n">
        <x:v>1.003773785618213</x:v>
      </x:c>
      <x:c r="R906" s="64" t="n">
        <x:v>0.0037737856182128815</x:v>
      </x:c>
    </x:row>
    <x:row r="907" ht="18" customHeight="1">
      <x:c r="A907" s="46" t="str">
        <x:v>LME_002</x:v>
      </x:c>
      <x:c r="B907" s="46" t="str">
        <x:v>Gulf of Alaska</x:v>
      </x:c>
      <x:c r="C907" s="46" t="str">
        <x:v>functional</x:v>
      </x:c>
      <x:c r="D907" s="46" t="str">
        <x:v>Large rays (&gt;=90 cm)</x:v>
      </x:c>
      <x:c r="E907" s="66" t="n">
        <x:v>2</x:v>
      </x:c>
      <x:c r="F907" s="66" t="n">
        <x:v>2</x:v>
      </x:c>
      <x:c r="G907" s="60" t="n">
        <x:v>8325.7695913457</x:v>
      </x:c>
      <x:c r="H907" s="60" t="n">
        <x:v>8325.7695913457</x:v>
      </x:c>
      <x:c r="I907" s="62" t="n">
        <x:v>0</x:v>
      </x:c>
      <x:c r="J907" s="64" t="n">
        <x:v>1</x:v>
      </x:c>
      <x:c r="K907" s="62" t="n">
        <x:v>650.9397095614249</x:v>
      </x:c>
      <x:c r="L907" s="60" t="n">
        <x:v>5419574.039665913</x:v>
      </x:c>
      <x:c r="M907" s="62" t="n">
        <x:v>3.8119140206091515</x:v>
      </x:c>
      <x:c r="N907" s="62" t="n">
        <x:v>648.5060329451487</x:v>
      </x:c>
      <x:c r="O907" s="60" t="n">
        <x:v>5399311.808898951</x:v>
      </x:c>
      <x:c r="P907" s="60" t="n">
        <x:v>20262.230766962282</x:v>
      </x:c>
      <x:c r="Q907" s="62" t="n">
        <x:v>1.0037527432169349</x:v>
      </x:c>
      <x:c r="R907" s="64" t="n">
        <x:v>0.003752743216934944</x:v>
      </x:c>
    </x:row>
    <x:row r="908" ht="18" customHeight="1">
      <x:c r="A908" s="46" t="str">
        <x:v>LME_002</x:v>
      </x:c>
      <x:c r="B908" s="46" t="str">
        <x:v>Gulf of Alaska</x:v>
      </x:c>
      <x:c r="C908" s="46" t="str">
        <x:v>functional</x:v>
      </x:c>
      <x:c r="D908" s="46" t="str">
        <x:v>Large reef assoc. fish (&gt;=90 cm)</x:v>
      </x:c>
      <x:c r="E908" s="66" t="n">
        <x:v>3</x:v>
      </x:c>
      <x:c r="F908" s="66" t="n">
        <x:v>3</x:v>
      </x:c>
      <x:c r="G908" s="60" t="n">
        <x:v>8553.7085129525</x:v>
      </x:c>
      <x:c r="H908" s="60" t="n">
        <x:v>8553.7085129525</x:v>
      </x:c>
      <x:c r="I908" s="62" t="n">
        <x:v>0</x:v>
      </x:c>
      <x:c r="J908" s="64" t="n">
        <x:v>1</x:v>
      </x:c>
      <x:c r="K908" s="62" t="n">
        <x:v>622.5001850468253</x:v>
      </x:c>
      <x:c r="L908" s="60" t="n">
        <x:v>5324685.132149536</x:v>
      </x:c>
      <x:c r="M908" s="62" t="n">
        <x:v>3.794063982577004</x:v>
      </x:c>
      <x:c r="N908" s="62" t="n">
        <x:v>622.3919725165681</x:v>
      </x:c>
      <x:c r="O908" s="60" t="n">
        <x:v>5323759.513708267</x:v>
      </x:c>
      <x:c r="P908" s="60" t="n">
        <x:v>925.6184412688017</x:v>
      </x:c>
      <x:c r="Q908" s="62" t="n">
        <x:v>1.0001738655622752</x:v>
      </x:c>
      <x:c r="R908" s="64" t="n">
        <x:v>0.0001738655622751941</x:v>
      </x:c>
    </x:row>
    <x:row r="909" ht="18" customHeight="1">
      <x:c r="A909" s="46" t="str">
        <x:v>LME_002</x:v>
      </x:c>
      <x:c r="B909" s="46" t="str">
        <x:v>Gulf of Alaska</x:v>
      </x:c>
      <x:c r="C909" s="46" t="str">
        <x:v>functional</x:v>
      </x:c>
      <x:c r="D909" s="46" t="str">
        <x:v>Large sharks (&gt;=90 cm)</x:v>
      </x:c>
      <x:c r="E909" s="66" t="n">
        <x:v>11</x:v>
      </x:c>
      <x:c r="F909" s="66" t="n">
        <x:v>11</x:v>
      </x:c>
      <x:c r="G909" s="60" t="n">
        <x:v>666.3689038295</x:v>
      </x:c>
      <x:c r="H909" s="60" t="n">
        <x:v>666.3689038295</x:v>
      </x:c>
      <x:c r="I909" s="62" t="n">
        <x:v>0</x:v>
      </x:c>
      <x:c r="J909" s="64" t="n">
        <x:v>1</x:v>
      </x:c>
      <x:c r="K909" s="62" t="n">
        <x:v>985.0004524710491</x:v>
      </x:c>
      <x:c r="L909" s="60" t="n">
        <x:v>656373.6717846945</x:v>
      </x:c>
      <x:c r="M909" s="62" t="n">
        <x:v>3.979221015718281</x:v>
      </x:c>
      <x:c r="N909" s="62" t="n">
        <x:v>953.2811725375761</x:v>
      </x:c>
      <x:c r="O909" s="60" t="n">
        <x:v>635236.9299851651</x:v>
      </x:c>
      <x:c r="P909" s="60" t="n">
        <x:v>21136.74179952941</x:v>
      </x:c>
      <x:c r="Q909" s="62" t="n">
        <x:v>1.0332737925045117</x:v>
      </x:c>
      <x:c r="R909" s="64" t="n">
        <x:v>0.0332737925045117</x:v>
      </x:c>
    </x:row>
    <x:row r="910" ht="18" customHeight="1">
      <x:c r="A910" s="46" t="str">
        <x:v>LME_002</x:v>
      </x:c>
      <x:c r="B910" s="46" t="str">
        <x:v>Gulf of Alaska</x:v>
      </x:c>
      <x:c r="C910" s="46" t="str">
        <x:v>functional</x:v>
      </x:c>
      <x:c r="D910" s="46" t="str">
        <x:v>Lobsters, crabs</x:v>
      </x:c>
      <x:c r="E910" s="66" t="n">
        <x:v>11</x:v>
      </x:c>
      <x:c r="F910" s="66" t="n">
        <x:v>11</x:v>
      </x:c>
      <x:c r="G910" s="60" t="n">
        <x:v>20702.9659039361</x:v>
      </x:c>
      <x:c r="H910" s="60" t="n">
        <x:v>20702.9659039361</x:v>
      </x:c>
      <x:c r="I910" s="62" t="n">
        <x:v>0</x:v>
      </x:c>
      <x:c r="J910" s="64" t="n">
        <x:v>1</x:v>
      </x:c>
      <x:c r="K910" s="62" t="n">
        <x:v>804.5212657236989</x:v>
      </x:c>
      <x:c r="L910" s="60" t="n">
        <x:v>16655976.333269253</x:v>
      </x:c>
      <x:c r="M910" s="62" t="n">
        <x:v>3.8297344526480313</x:v>
      </x:c>
      <x:c r="N910" s="62" t="n">
        <x:v>675.6697139404289</x:v>
      </x:c>
      <x:c r="O910" s="60" t="n">
        <x:v>13988367.050030958</x:v>
      </x:c>
      <x:c r="P910" s="60" t="n">
        <x:v>2667609.2832382955</x:v>
      </x:c>
      <x:c r="Q910" s="62" t="n">
        <x:v>1.1907019792730125</x:v>
      </x:c>
      <x:c r="R910" s="64" t="n">
        <x:v>0.19070197927301255</x:v>
      </x:c>
    </x:row>
    <x:row r="911" ht="18" customHeight="1">
      <x:c r="A911" s="46" t="str">
        <x:v>LME_002</x:v>
      </x:c>
      <x:c r="B911" s="46" t="str">
        <x:v>Gulf of Alaska</x:v>
      </x:c>
      <x:c r="C911" s="46" t="str">
        <x:v>functional</x:v>
      </x:c>
      <x:c r="D911" s="46" t="str">
        <x:v>Medium bathydemersals (30 - 89 cm)</x:v>
      </x:c>
      <x:c r="E911" s="66" t="n">
        <x:v>6</x:v>
      </x:c>
      <x:c r="F911" s="66" t="n">
        <x:v>6</x:v>
      </x:c>
      <x:c r="G911" s="60" t="n">
        <x:v>117.87170770549999</x:v>
      </x:c>
      <x:c r="H911" s="60" t="n">
        <x:v>117.87170770549999</x:v>
      </x:c>
      <x:c r="I911" s="62" t="n">
        <x:v>0</x:v>
      </x:c>
      <x:c r="J911" s="64" t="n">
        <x:v>1</x:v>
      </x:c>
      <x:c r="K911" s="62" t="n">
        <x:v>458.347482564733</x:v>
      </x:c>
      <x:c r="L911" s="60" t="n">
        <x:v>54026.20049242196</x:v>
      </x:c>
      <x:c r="M911" s="62" t="n">
        <x:v>3.6524753970591233</x:v>
      </x:c>
      <x:c r="N911" s="62" t="n">
        <x:v>449.2368745165491</x:v>
      </x:c>
      <x:c r="O911" s="60" t="n">
        <x:v>52952.317563547054</x:v>
      </x:c>
      <x:c r="P911" s="60" t="n">
        <x:v>1073.8829288749039</x:v>
      </x:c>
      <x:c r="Q911" s="62" t="n">
        <x:v>1.0202801875023912</x:v>
      </x:c>
      <x:c r="R911" s="64" t="n">
        <x:v>0.02028018750239133</x:v>
      </x:c>
    </x:row>
    <x:row r="912" ht="18" customHeight="1">
      <x:c r="A912" s="46" t="str">
        <x:v>LME_002</x:v>
      </x:c>
      <x:c r="B912" s="46" t="str">
        <x:v>Gulf of Alaska</x:v>
      </x:c>
      <x:c r="C912" s="46" t="str">
        <x:v>functional</x:v>
      </x:c>
      <x:c r="D912" s="46" t="str">
        <x:v>Medium benthopelagics (30 - 89 cm)</x:v>
      </x:c>
      <x:c r="E912" s="66" t="n">
        <x:v>3</x:v>
      </x:c>
      <x:c r="F912" s="66" t="n">
        <x:v>3</x:v>
      </x:c>
      <x:c r="G912" s="60" t="n">
        <x:v>639317.470404766</x:v>
      </x:c>
      <x:c r="H912" s="60" t="n">
        <x:v>639317.470404766</x:v>
      </x:c>
      <x:c r="I912" s="62" t="n">
        <x:v>0</x:v>
      </x:c>
      <x:c r="J912" s="64" t="n">
        <x:v>1</x:v>
      </x:c>
      <x:c r="K912" s="62" t="n">
        <x:v>756.5595391709155</x:v>
      </x:c>
      <x:c r="L912" s="60" t="n">
        <x:v>483681730.7933452</x:v>
      </x:c>
      <x:c r="M912" s="62" t="n">
        <x:v>3.7308403842677413</x:v>
      </x:c>
      <x:c r="N912" s="62" t="n">
        <x:v>538.0719892155666</x:v>
      </x:c>
      <x:c r="O912" s="60" t="n">
        <x:v>343998823.0409566</x:v>
      </x:c>
      <x:c r="P912" s="60" t="n">
        <x:v>139682907.7523886</x:v>
      </x:c>
      <x:c r="Q912" s="62" t="n">
        <x:v>1.406056353674669</x:v>
      </x:c>
      <x:c r="R912" s="64" t="n">
        <x:v>0.40605635367466913</x:v>
      </x:c>
    </x:row>
    <x:row r="913" ht="18" customHeight="1">
      <x:c r="A913" s="46" t="str">
        <x:v>LME_002</x:v>
      </x:c>
      <x:c r="B913" s="46" t="str">
        <x:v>Gulf of Alaska</x:v>
      </x:c>
      <x:c r="C913" s="46" t="str">
        <x:v>functional</x:v>
      </x:c>
      <x:c r="D913" s="46" t="str">
        <x:v>Medium demersals (30 - 89 cm)</x:v>
      </x:c>
      <x:c r="E913" s="66" t="n">
        <x:v>32</x:v>
      </x:c>
      <x:c r="F913" s="66" t="n">
        <x:v>32</x:v>
      </x:c>
      <x:c r="G913" s="60" t="n">
        <x:v>145566.1930088599</x:v>
      </x:c>
      <x:c r="H913" s="60" t="n">
        <x:v>145566.1930088599</x:v>
      </x:c>
      <x:c r="I913" s="62" t="n">
        <x:v>0</x:v>
      </x:c>
      <x:c r="J913" s="64" t="n">
        <x:v>1</x:v>
      </x:c>
      <x:c r="K913" s="62" t="n">
        <x:v>1590.9757338003626</x:v>
      </x:c>
      <x:c r="L913" s="60" t="n">
        <x:v>231592280.7387961</x:v>
      </x:c>
      <x:c r="M913" s="62" t="n">
        <x:v>3.913735768573696</x:v>
      </x:c>
      <x:c r="N913" s="62" t="n">
        <x:v>819.8525816670035</x:v>
      </x:c>
      <x:c r="O913" s="60" t="n">
        <x:v>119342819.14175111</x:v>
      </x:c>
      <x:c r="P913" s="60" t="n">
        <x:v>112249461.59704497</x:v>
      </x:c>
      <x:c r="Q913" s="62" t="n">
        <x:v>1.9405631809628956</x:v>
      </x:c>
      <x:c r="R913" s="64" t="n">
        <x:v>0.9405631809628956</x:v>
      </x:c>
    </x:row>
    <x:row r="914" ht="18" customHeight="1">
      <x:c r="A914" s="46" t="str">
        <x:v>LME_002</x:v>
      </x:c>
      <x:c r="B914" s="46" t="str">
        <x:v>Gulf of Alaska</x:v>
      </x:c>
      <x:c r="C914" s="46" t="str">
        <x:v>functional</x:v>
      </x:c>
      <x:c r="D914" s="46" t="str">
        <x:v>Medium pelagics (30 - 89 cm)</x:v>
      </x:c>
      <x:c r="E914" s="66" t="n">
        <x:v>11</x:v>
      </x:c>
      <x:c r="F914" s="66" t="n">
        <x:v>11</x:v>
      </x:c>
      <x:c r="G914" s="60" t="n">
        <x:v>82236.44918359928</x:v>
      </x:c>
      <x:c r="H914" s="60" t="n">
        <x:v>82236.44918359928</x:v>
      </x:c>
      <x:c r="I914" s="62" t="n">
        <x:v>0</x:v>
      </x:c>
      <x:c r="J914" s="64" t="n">
        <x:v>1</x:v>
      </x:c>
      <x:c r="K914" s="62" t="n">
        <x:v>281.02184281312185</x:v>
      </x:c>
      <x:c r="L914" s="60" t="n">
        <x:v>23110238.49598272</x:v>
      </x:c>
      <x:c r="M914" s="62" t="n">
        <x:v>3.4139646594065214</x:v>
      </x:c>
      <x:c r="N914" s="62" t="n">
        <x:v>259.39682700788325</x:v>
      </x:c>
      <x:c r="O914" s="60" t="n">
        <x:v>21331873.982620683</x:v>
      </x:c>
      <x:c r="P914" s="60" t="n">
        <x:v>1778364.5133620389</x:v>
      </x:c>
      <x:c r="Q914" s="62" t="n">
        <x:v>1.083366539424098</x:v>
      </x:c>
      <x:c r="R914" s="64" t="n">
        <x:v>0.08336653942409807</x:v>
      </x:c>
    </x:row>
    <x:row r="915" ht="18" customHeight="1">
      <x:c r="A915" s="46" t="str">
        <x:v>LME_002</x:v>
      </x:c>
      <x:c r="B915" s="46" t="str">
        <x:v>Gulf of Alaska</x:v>
      </x:c>
      <x:c r="C915" s="46" t="str">
        <x:v>functional</x:v>
      </x:c>
      <x:c r="D915" s="46" t="str">
        <x:v>Medium reef assoc. fish (30 - 89 cm)</x:v>
      </x:c>
      <x:c r="E915" s="66" t="n">
        <x:v>6</x:v>
      </x:c>
      <x:c r="F915" s="66" t="n">
        <x:v>6</x:v>
      </x:c>
      <x:c r="G915" s="60" t="n">
        <x:v>2016.284218024</x:v>
      </x:c>
      <x:c r="H915" s="60" t="n">
        <x:v>2016.284218024</x:v>
      </x:c>
      <x:c r="I915" s="62" t="n">
        <x:v>0</x:v>
      </x:c>
      <x:c r="J915" s="64" t="n">
        <x:v>1</x:v>
      </x:c>
      <x:c r="K915" s="62" t="n">
        <x:v>925.9756434177978</x:v>
      </x:c>
      <x:c r="L915" s="60" t="n">
        <x:v>1867030.0760979245</x:v>
      </x:c>
      <x:c r="M915" s="62" t="n">
        <x:v>3.912922583371901</x:v>
      </x:c>
      <x:c r="N915" s="62" t="n">
        <x:v>818.3189029356512</x:v>
      </x:c>
      <x:c r="O915" s="60" t="n">
        <x:v>1649963.489299867</x:v>
      </x:c>
      <x:c r="P915" s="60" t="n">
        <x:v>217066.58679805743</x:v>
      </x:c>
      <x:c r="Q915" s="62" t="n">
        <x:v>1.131558418235161</x:v>
      </x:c>
      <x:c r="R915" s="64" t="n">
        <x:v>0.13155841823516096</x:v>
      </x:c>
    </x:row>
    <x:row r="916" ht="18" customHeight="1">
      <x:c r="A916" s="46" t="str">
        <x:v>LME_002</x:v>
      </x:c>
      <x:c r="B916" s="46" t="str">
        <x:v>Gulf of Alaska</x:v>
      </x:c>
      <x:c r="C916" s="46" t="str">
        <x:v>functional</x:v>
      </x:c>
      <x:c r="D916" s="46" t="str">
        <x:v>Other demersal invertebrates</x:v>
      </x:c>
      <x:c r="E916" s="66" t="n">
        <x:v>18</x:v>
      </x:c>
      <x:c r="F916" s="66" t="n">
        <x:v>18</x:v>
      </x:c>
      <x:c r="G916" s="60" t="n">
        <x:v>6132.7974913529</x:v>
      </x:c>
      <x:c r="H916" s="60" t="n">
        <x:v>6132.7974913529</x:v>
      </x:c>
      <x:c r="I916" s="62" t="n">
        <x:v>0</x:v>
      </x:c>
      <x:c r="J916" s="64" t="n">
        <x:v>1</x:v>
      </x:c>
      <x:c r="K916" s="62" t="n">
        <x:v>19.814538322673446</x:v>
      </x:c>
      <x:c r="L916" s="60" t="n">
        <x:v>121518.5509176076</x:v>
      </x:c>
      <x:c r="M916" s="62" t="n">
        <x:v>2.275056781045531</x:v>
      </x:c>
      <x:c r="N916" s="62" t="n">
        <x:v>18.838953798787706</x:v>
      </x:c>
      <x:c r="O916" s="60" t="n">
        <x:v>115535.48859691843</x:v>
      </x:c>
      <x:c r="P916" s="60" t="n">
        <x:v>5983.062320689176</x:v>
      </x:c>
      <x:c r="Q916" s="62" t="n">
        <x:v>1.0517854937331244</x:v>
      </x:c>
      <x:c r="R916" s="64" t="n">
        <x:v>0.05178549373312433</x:v>
      </x:c>
    </x:row>
    <x:row r="917" ht="18" customHeight="1">
      <x:c r="A917" s="46" t="str">
        <x:v>LME_002</x:v>
      </x:c>
      <x:c r="B917" s="46" t="str">
        <x:v>Gulf of Alaska</x:v>
      </x:c>
      <x:c r="C917" s="46" t="str">
        <x:v>functional</x:v>
      </x:c>
      <x:c r="D917" s="46" t="str">
        <x:v>Shrimps</x:v>
      </x:c>
      <x:c r="E917" s="66" t="n">
        <x:v>6</x:v>
      </x:c>
      <x:c r="F917" s="66" t="n">
        <x:v>6</x:v>
      </x:c>
      <x:c r="G917" s="60" t="n">
        <x:v>6927.0840010150005</x:v>
      </x:c>
      <x:c r="H917" s="60" t="n">
        <x:v>6927.0840010150005</x:v>
      </x:c>
      <x:c r="I917" s="62" t="n">
        <x:v>0</x:v>
      </x:c>
      <x:c r="J917" s="64" t="n">
        <x:v>1</x:v>
      </x:c>
      <x:c r="K917" s="62" t="n">
        <x:v>167.4246350709069</x:v>
      </x:c>
      <x:c r="L917" s="60" t="n">
        <x:v>1159764.5109754542</x:v>
      </x:c>
      <x:c r="M917" s="62" t="n">
        <x:v>3.2162056498196683</x:v>
      </x:c>
      <x:c r="N917" s="62" t="n">
        <x:v>164.5150560708881</x:v>
      </x:c>
      <x:c r="O917" s="60" t="n">
        <x:v>1139609.6128347348</x:v>
      </x:c>
      <x:c r="P917" s="60" t="n">
        <x:v>20154.898140719393</x:v>
      </x:c>
      <x:c r="Q917" s="62" t="n">
        <x:v>1.0176857916199784</x:v>
      </x:c>
      <x:c r="R917" s="64" t="n">
        <x:v>0.017685791619978408</x:v>
      </x:c>
    </x:row>
    <x:row r="918" ht="18" customHeight="1">
      <x:c r="A918" s="46" t="str">
        <x:v>LME_002</x:v>
      </x:c>
      <x:c r="B918" s="46" t="str">
        <x:v>Gulf of Alaska</x:v>
      </x:c>
      <x:c r="C918" s="46" t="str">
        <x:v>functional</x:v>
      </x:c>
      <x:c r="D918" s="46" t="str">
        <x:v>Small benthopelagics (&lt;30 cm)</x:v>
      </x:c>
      <x:c r="E918" s="66" t="n">
        <x:v>1</x:v>
      </x:c>
      <x:c r="F918" s="66" t="n">
        <x:v>1</x:v>
      </x:c>
      <x:c r="G918" s="60" t="n">
        <x:v>0.0013604217</x:v>
      </x:c>
      <x:c r="H918" s="60" t="n">
        <x:v>0.0013604217</x:v>
      </x:c>
      <x:c r="I918" s="62" t="n">
        <x:v>0</x:v>
      </x:c>
      <x:c r="J918" s="64" t="n">
        <x:v>1</x:v>
      </x:c>
      <x:c r="K918" s="62" t="n">
        <x:v>416.86938347033555</x:v>
      </x:c>
      <x:c r="L918" s="60" t="n">
        <x:v>0.5671181553386657</x:v>
      </x:c>
      <x:c r="M918" s="62" t="n">
        <x:v>3.6199999999999997</x:v>
      </x:c>
      <x:c r="N918" s="62" t="n">
        <x:v>416.8693834703351</x:v>
      </x:c>
      <x:c r="O918" s="60" t="n">
        <x:v>0.5671181553386652</x:v>
      </x:c>
      <x:c r="P918" s="60" t="n">
        <x:v>5.551115123125783e-16</x:v>
      </x:c>
      <x:c r="Q918" s="62" t="n">
        <x:v>1.0000000000000009</x:v>
      </x:c>
      <x:c r="R918" s="64" t="n">
        <x:v>9.788286745662076e-16</x:v>
      </x:c>
    </x:row>
    <x:row r="919" ht="18" customHeight="1">
      <x:c r="A919" s="46" t="str">
        <x:v>LME_002</x:v>
      </x:c>
      <x:c r="B919" s="46" t="str">
        <x:v>Gulf of Alaska</x:v>
      </x:c>
      <x:c r="C919" s="46" t="str">
        <x:v>functional</x:v>
      </x:c>
      <x:c r="D919" s="46" t="str">
        <x:v>Small demersals (&lt;30 cm)</x:v>
      </x:c>
      <x:c r="E919" s="66" t="n">
        <x:v>2</x:v>
      </x:c>
      <x:c r="F919" s="66" t="n">
        <x:v>2</x:v>
      </x:c>
      <x:c r="G919" s="60" t="n">
        <x:v>0.6310344186</x:v>
      </x:c>
      <x:c r="H919" s="60" t="n">
        <x:v>0.6310344186</x:v>
      </x:c>
      <x:c r="I919" s="62" t="n">
        <x:v>0</x:v>
      </x:c>
      <x:c r="J919" s="64" t="n">
        <x:v>1</x:v>
      </x:c>
      <x:c r="K919" s="62" t="n">
        <x:v>202.58356096508925</x:v>
      </x:c>
      <x:c r="L919" s="60" t="n">
        <x:v>127.83719961152275</x:v>
      </x:c>
      <x:c r="M919" s="62" t="n">
        <x:v>3.3062055634535557</x:v>
      </x:c>
      <x:c r="N919" s="62" t="n">
        <x:v>202.3976955625743</x:v>
      </x:c>
      <x:c r="O919" s="60" t="n">
        <x:v>127.71991214530888</x:v>
      </x:c>
      <x:c r="P919" s="60" t="n">
        <x:v>0.11728746621386676</x:v>
      </x:c>
      <x:c r="Q919" s="62" t="n">
        <x:v>1.000918317780241</x:v>
      </x:c>
      <x:c r="R919" s="64" t="n">
        <x:v>0.0009183177802410875</x:v>
      </x:c>
    </x:row>
    <x:row r="920" ht="18" customHeight="1">
      <x:c r="A920" s="46" t="str">
        <x:v>LME_002</x:v>
      </x:c>
      <x:c r="B920" s="46" t="str">
        <x:v>Gulf of Alaska</x:v>
      </x:c>
      <x:c r="C920" s="46" t="str">
        <x:v>functional</x:v>
      </x:c>
      <x:c r="D920" s="46" t="str">
        <x:v>Small pelagics (&lt;30 cm)</x:v>
      </x:c>
      <x:c r="E920" s="66" t="n">
        <x:v>6</x:v>
      </x:c>
      <x:c r="F920" s="66" t="n">
        <x:v>6</x:v>
      </x:c>
      <x:c r="G920" s="60" t="n">
        <x:v>36.8865948226</x:v>
      </x:c>
      <x:c r="H920" s="60" t="n">
        <x:v>36.8865948226</x:v>
      </x:c>
      <x:c r="I920" s="62" t="n">
        <x:v>0</x:v>
      </x:c>
      <x:c r="J920" s="64" t="n">
        <x:v>1</x:v>
      </x:c>
      <x:c r="K920" s="62" t="n">
        <x:v>240.7088792704328</x:v>
      </x:c>
      <x:c r="L920" s="60" t="n">
        <x:v>8878.930899850595</x:v>
      </x:c>
      <x:c r="M920" s="62" t="n">
        <x:v>3.3687909070809465</x:v>
      </x:c>
      <x:c r="N920" s="62" t="n">
        <x:v>233.77114665833417</x:v>
      </x:c>
      <x:c r="O920" s="60" t="n">
        <x:v>8623.021568000575</x:v>
      </x:c>
      <x:c r="P920" s="60" t="n">
        <x:v>255.90933185001995</x:v>
      </x:c>
      <x:c r="Q920" s="62" t="n">
        <x:v>1.0296774546870764</x:v>
      </x:c>
      <x:c r="R920" s="64" t="n">
        <x:v>0.029677454687076447</x:v>
      </x:c>
    </x:row>
    <x:row r="921" ht="18" customHeight="1">
      <x:c r="A921" s="46" t="str">
        <x:v>LME_002</x:v>
      </x:c>
      <x:c r="B921" s="46" t="str">
        <x:v>Gulf of Alaska</x:v>
      </x:c>
      <x:c r="C921" s="46" t="str">
        <x:v>functional</x:v>
      </x:c>
      <x:c r="D921" s="46" t="str">
        <x:v>Small to medium flatfishes (&lt;90 cm)</x:v>
      </x:c>
      <x:c r="E921" s="66" t="n">
        <x:v>17</x:v>
      </x:c>
      <x:c r="F921" s="66" t="n">
        <x:v>17</x:v>
      </x:c>
      <x:c r="G921" s="60" t="n">
        <x:v>56935.361351501</x:v>
      </x:c>
      <x:c r="H921" s="60" t="n">
        <x:v>56935.361351501</x:v>
      </x:c>
      <x:c r="I921" s="62" t="n">
        <x:v>0</x:v>
      </x:c>
      <x:c r="J921" s="64" t="n">
        <x:v>1</x:v>
      </x:c>
      <x:c r="K921" s="62" t="n">
        <x:v>600.4750481252594</x:v>
      </x:c>
      <x:c r="L921" s="60" t="n">
        <x:v>34188263.8475716</x:v>
      </x:c>
      <x:c r="M921" s="62" t="n">
        <x:v>3.6568699587554367</x:v>
      </x:c>
      <x:c r="N921" s="62" t="n">
        <x:v>453.80571279175405</x:v>
      </x:c>
      <x:c r="O921" s="60" t="n">
        <x:v>25837592.241173998</x:v>
      </x:c>
      <x:c r="P921" s="60" t="n">
        <x:v>8350671.606397599</x:v>
      </x:c>
      <x:c r="Q921" s="62" t="n">
        <x:v>1.3231985213037856</x:v>
      </x:c>
      <x:c r="R921" s="64" t="n">
        <x:v>0.32319852130378557</x:v>
      </x:c>
    </x:row>
    <x:row r="922" ht="18" customHeight="1">
      <x:c r="A922" s="46" t="str">
        <x:v>LME_002</x:v>
      </x:c>
      <x:c r="B922" s="46" t="str">
        <x:v>Gulf of Alaska</x:v>
      </x:c>
      <x:c r="C922" s="46" t="str">
        <x:v>functional</x:v>
      </x:c>
      <x:c r="D922" s="46" t="str">
        <x:v>Small to medium rays (&lt;90 cm)</x:v>
      </x:c>
      <x:c r="E922" s="66" t="n">
        <x:v>3</x:v>
      </x:c>
      <x:c r="F922" s="66" t="n">
        <x:v>3</x:v>
      </x:c>
      <x:c r="G922" s="60" t="n">
        <x:v>855.762664568</x:v>
      </x:c>
      <x:c r="H922" s="60" t="n">
        <x:v>855.762664568</x:v>
      </x:c>
      <x:c r="I922" s="62" t="n">
        <x:v>0</x:v>
      </x:c>
      <x:c r="J922" s="64" t="n">
        <x:v>1</x:v>
      </x:c>
      <x:c r="K922" s="62" t="n">
        <x:v>628.6699729430537</x:v>
      </x:c>
      <x:c r="L922" s="60" t="n">
        <x:v>537992.2911796401</x:v>
      </x:c>
      <x:c r="M922" s="62" t="n">
        <x:v>3.7981975870753293</x:v>
      </x:c>
      <x:c r="N922" s="62" t="n">
        <x:v>628.344165916977</x:v>
      </x:c>
      <x:c r="O922" s="60" t="n">
        <x:v>537713.4776908697</x:v>
      </x:c>
      <x:c r="P922" s="60" t="n">
        <x:v>278.8134887703927</x:v>
      </x:c>
      <x:c r="Q922" s="62" t="n">
        <x:v>1.0005185168316177</x:v>
      </x:c>
      <x:c r="R922" s="64" t="n">
        <x:v>0.0005185168316176779</x:v>
      </x:c>
    </x:row>
    <x:row r="923" ht="18" customHeight="1">
      <x:c r="A923" s="46" t="str">
        <x:v>LME_002</x:v>
      </x:c>
      <x:c r="B923" s="46" t="str">
        <x:v>Gulf of Alaska</x:v>
      </x:c>
      <x:c r="C923" s="46" t="str">
        <x:v>functional</x:v>
      </x:c>
      <x:c r="D923" s="46" t="str">
        <x:v>Small to medium sharks (&lt;90 cm)</x:v>
      </x:c>
      <x:c r="E923" s="66" t="n">
        <x:v>1</x:v>
      </x:c>
      <x:c r="F923" s="66" t="n">
        <x:v>1</x:v>
      </x:c>
      <x:c r="G923" s="60" t="n">
        <x:v>0.2258423545</x:v>
      </x:c>
      <x:c r="H923" s="60" t="n">
        <x:v>0.2258423545</x:v>
      </x:c>
      <x:c r="I923" s="62" t="n">
        <x:v>0</x:v>
      </x:c>
      <x:c r="J923" s="64" t="n">
        <x:v>1</x:v>
      </x:c>
      <x:c r="K923" s="62" t="n">
        <x:v>380.1893963205613</x:v>
      </x:c>
      <x:c r="L923" s="60" t="n">
        <x:v>85.8628684209692</x:v>
      </x:c>
      <x:c r="M923" s="62" t="n">
        <x:v>3.58</x:v>
      </x:c>
      <x:c r="N923" s="62" t="n">
        <x:v>380.1893963205613</x:v>
      </x:c>
      <x:c r="O923" s="60" t="n">
        <x:v>85.8628684209692</x:v>
      </x:c>
      <x:c r="P923" s="60" t="n">
        <x:v>0</x:v>
      </x:c>
      <x:c r="Q923" s="62" t="n">
        <x:v>1</x:v>
      </x:c>
      <x:c r="R923" s="64" t="n">
        <x:v>0</x:v>
      </x:c>
    </x:row>
    <x:row r="924" ht="18" customHeight="1">
      <x:c r="A924" s="46" t="str">
        <x:v>LME_003</x:v>
      </x:c>
      <x:c r="B924" s="46" t="str">
        <x:v>California Current</x:v>
      </x:c>
      <x:c r="C924" s="46" t="str">
        <x:v>functional</x:v>
      </x:c>
      <x:c r="D924" s="46" t="str">
        <x:v>Cephalopods</x:v>
      </x:c>
      <x:c r="E924" s="66" t="n">
        <x:v>7</x:v>
      </x:c>
      <x:c r="F924" s="66" t="n">
        <x:v>7</x:v>
      </x:c>
      <x:c r="G924" s="60" t="n">
        <x:v>20812.934995008804</x:v>
      </x:c>
      <x:c r="H924" s="60" t="n">
        <x:v>20812.934995008804</x:v>
      </x:c>
      <x:c r="I924" s="62" t="n">
        <x:v>0</x:v>
      </x:c>
      <x:c r="J924" s="64" t="n">
        <x:v>1</x:v>
      </x:c>
      <x:c r="K924" s="62" t="n">
        <x:v>778.7740973939915</x:v>
      </x:c>
      <x:c r="L924" s="60" t="n">
        <x:v>16208574.6648578</x:v>
      </x:c>
      <x:c r="M924" s="62" t="n">
        <x:v>3.883211871210261</x:v>
      </x:c>
      <x:c r="N924" s="62" t="n">
        <x:v>764.2085129140046</x:v>
      </x:c>
      <x:c r="O924" s="60" t="n">
        <x:v>15905422.101911522</x:v>
      </x:c>
      <x:c r="P924" s="60" t="n">
        <x:v>303152.56294627674</x:v>
      </x:c>
      <x:c r="Q924" s="62" t="n">
        <x:v>1.019059699327932</x:v>
      </x:c>
      <x:c r="R924" s="64" t="n">
        <x:v>0.01905969932793193</x:v>
      </x:c>
    </x:row>
    <x:row r="925" ht="18" customHeight="1">
      <x:c r="A925" s="46" t="str">
        <x:v>LME_003</x:v>
      </x:c>
      <x:c r="B925" s="46" t="str">
        <x:v>California Current</x:v>
      </x:c>
      <x:c r="C925" s="46" t="str">
        <x:v>functional</x:v>
      </x:c>
      <x:c r="D925" s="46" t="str">
        <x:v>Jellyfish</x:v>
      </x:c>
      <x:c r="E925" s="66" t="n">
        <x:v>2</x:v>
      </x:c>
      <x:c r="F925" s="66" t="n">
        <x:v>2</x:v>
      </x:c>
      <x:c r="G925" s="60" t="n">
        <x:v>50676.829383063</x:v>
      </x:c>
      <x:c r="H925" s="60" t="n">
        <x:v>50676.829383063</x:v>
      </x:c>
      <x:c r="I925" s="62" t="n">
        <x:v>0</x:v>
      </x:c>
      <x:c r="J925" s="64" t="n">
        <x:v>1</x:v>
      </x:c>
      <x:c r="K925" s="62" t="n">
        <x:v>275.59656174451646</x:v>
      </x:c>
      <x:c r="L925" s="60" t="n">
        <x:v>13966359.938085647</x:v>
      </x:c>
      <x:c r="M925" s="62" t="n">
        <x:v>3.437928233374196</x:v>
      </x:c>
      <x:c r="N925" s="62" t="n">
        <x:v>274.11211676182126</x:v>
      </x:c>
      <x:c r="O925" s="60" t="n">
        <x:v>13891132.972969059</x:v>
      </x:c>
      <x:c r="P925" s="60" t="n">
        <x:v>75226.9651165884</x:v>
      </x:c>
      <x:c r="Q925" s="62" t="n">
        <x:v>1.0054154664895205</x:v>
      </x:c>
      <x:c r="R925" s="64" t="n">
        <x:v>0.005415466489520585</x:v>
      </x:c>
    </x:row>
    <x:row r="926" ht="18" customHeight="1">
      <x:c r="A926" s="46" t="str">
        <x:v>LME_003</x:v>
      </x:c>
      <x:c r="B926" s="46" t="str">
        <x:v>California Current</x:v>
      </x:c>
      <x:c r="C926" s="46" t="str">
        <x:v>functional</x:v>
      </x:c>
      <x:c r="D926" s="46" t="str">
        <x:v>Large bathydemersals (&gt;=90 cm)</x:v>
      </x:c>
      <x:c r="E926" s="66" t="n">
        <x:v>4</x:v>
      </x:c>
      <x:c r="F926" s="66" t="n">
        <x:v>4</x:v>
      </x:c>
      <x:c r="G926" s="60" t="n">
        <x:v>5160.2323106803</x:v>
      </x:c>
      <x:c r="H926" s="60" t="n">
        <x:v>5160.2323106803</x:v>
      </x:c>
      <x:c r="I926" s="62" t="n">
        <x:v>0</x:v>
      </x:c>
      <x:c r="J926" s="64" t="n">
        <x:v>1</x:v>
      </x:c>
      <x:c r="K926" s="62" t="n">
        <x:v>697.0490514027704</x:v>
      </x:c>
      <x:c r="L926" s="60" t="n">
        <x:v>3596935.037177629</x:v>
      </x:c>
      <x:c r="M926" s="62" t="n">
        <x:v>3.834137920209619</x:v>
      </x:c>
      <x:c r="N926" s="62" t="n">
        <x:v>682.5554209120037</x:v>
      </x:c>
      <x:c r="O926" s="60" t="n">
        <x:v>3522144.536820113</x:v>
      </x:c>
      <x:c r="P926" s="60" t="n">
        <x:v>74790.50035751564</x:v>
      </x:c>
      <x:c r="Q926" s="62" t="n">
        <x:v>1.021234364341288</x:v>
      </x:c>
      <x:c r="R926" s="64" t="n">
        <x:v>0.021234364341288083</x:v>
      </x:c>
    </x:row>
    <x:row r="927" ht="18" customHeight="1">
      <x:c r="A927" s="46" t="str">
        <x:v>LME_003</x:v>
      </x:c>
      <x:c r="B927" s="46" t="str">
        <x:v>California Current</x:v>
      </x:c>
      <x:c r="C927" s="46" t="str">
        <x:v>functional</x:v>
      </x:c>
      <x:c r="D927" s="46" t="str">
        <x:v>Large bathypelagics (&gt;=90 cm)</x:v>
      </x:c>
      <x:c r="E927" s="66" t="n">
        <x:v>2</x:v>
      </x:c>
      <x:c r="F927" s="66" t="n">
        <x:v>2</x:v>
      </x:c>
      <x:c r="G927" s="60" t="n">
        <x:v>0.0366913061</x:v>
      </x:c>
      <x:c r="H927" s="60" t="n">
        <x:v>0.0366913061</x:v>
      </x:c>
      <x:c r="I927" s="62" t="n">
        <x:v>0</x:v>
      </x:c>
      <x:c r="J927" s="64" t="n">
        <x:v>1</x:v>
      </x:c>
      <x:c r="K927" s="62" t="n">
        <x:v>1487.3617544372028</x:v>
      </x:c>
      <x:c r="L927" s="60" t="n">
        <x:v>54.57324541348844</x:v>
      </x:c>
      <x:c r="M927" s="62" t="n">
        <x:v>4.164355412630023</x:v>
      </x:c>
      <x:c r="N927" s="62" t="n">
        <x:v>1460.0085955629183</x:v>
      </x:c>
      <x:c r="O927" s="60" t="n">
        <x:v>53.56962228843014</x:v>
      </x:c>
      <x:c r="P927" s="60" t="n">
        <x:v>1.0036231250583043</x:v>
      </x:c>
      <x:c r="Q927" s="62" t="n">
        <x:v>1.0187349300253525</x:v>
      </x:c>
      <x:c r="R927" s="64" t="n">
        <x:v>0.018734930025352536</x:v>
      </x:c>
    </x:row>
    <x:row r="928" ht="18" customHeight="1">
      <x:c r="A928" s="46" t="str">
        <x:v>LME_003</x:v>
      </x:c>
      <x:c r="B928" s="46" t="str">
        <x:v>California Current</x:v>
      </x:c>
      <x:c r="C928" s="46" t="str">
        <x:v>functional</x:v>
      </x:c>
      <x:c r="D928" s="46" t="str">
        <x:v>Large benthopelagics (&gt;=90 cm)</x:v>
      </x:c>
      <x:c r="E928" s="66" t="n">
        <x:v>10</x:v>
      </x:c>
      <x:c r="F928" s="66" t="n">
        <x:v>10</x:v>
      </x:c>
      <x:c r="G928" s="60" t="n">
        <x:v>11357.61045494</x:v>
      </x:c>
      <x:c r="H928" s="60" t="n">
        <x:v>11357.61045494</x:v>
      </x:c>
      <x:c r="I928" s="62" t="n">
        <x:v>0</x:v>
      </x:c>
      <x:c r="J928" s="64" t="n">
        <x:v>1</x:v>
      </x:c>
      <x:c r="K928" s="62" t="n">
        <x:v>1197.9727924419276</x:v>
      </x:c>
      <x:c r="L928" s="60" t="n">
        <x:v>13606108.312172104</x:v>
      </x:c>
      <x:c r="M928" s="62" t="n">
        <x:v>3.272762782954974</x:v>
      </x:c>
      <x:c r="N928" s="62" t="n">
        <x:v>187.397064240731</x:v>
      </x:c>
      <x:c r="O928" s="60" t="n">
        <x:v>2128382.8560455893</x:v>
      </x:c>
      <x:c r="P928" s="60" t="n">
        <x:v>11477725.456126515</x:v>
      </x:c>
      <x:c r="Q928" s="62" t="n">
        <x:v>6.392697758076973</x:v>
      </x:c>
      <x:c r="R928" s="64" t="n">
        <x:v>5.392697758076973</x:v>
      </x:c>
    </x:row>
    <x:row r="929" ht="18" customHeight="1">
      <x:c r="A929" s="46" t="str">
        <x:v>LME_003</x:v>
      </x:c>
      <x:c r="B929" s="46" t="str">
        <x:v>California Current</x:v>
      </x:c>
      <x:c r="C929" s="46" t="str">
        <x:v>functional</x:v>
      </x:c>
      <x:c r="D929" s="46" t="str">
        <x:v>Large demersals (&gt;=90 cm)</x:v>
      </x:c>
      <x:c r="E929" s="66" t="n">
        <x:v>8</x:v>
      </x:c>
      <x:c r="F929" s="66" t="n">
        <x:v>8</x:v>
      </x:c>
      <x:c r="G929" s="60" t="n">
        <x:v>4920.998222732401</x:v>
      </x:c>
      <x:c r="H929" s="60" t="n">
        <x:v>4920.998222732401</x:v>
      </x:c>
      <x:c r="I929" s="62" t="n">
        <x:v>0</x:v>
      </x:c>
      <x:c r="J929" s="64" t="n">
        <x:v>1</x:v>
      </x:c>
      <x:c r="K929" s="62" t="n">
        <x:v>1892.0298503379954</x:v>
      </x:c>
      <x:c r="L929" s="60" t="n">
        <x:v>9310675.530869925</x:v>
      </x:c>
      <x:c r="M929" s="62" t="n">
        <x:v>4.255084376846237</x:v>
      </x:c>
      <x:c r="N929" s="62" t="n">
        <x:v>1799.220442480531</x:v>
      </x:c>
      <x:c r="O929" s="60" t="n">
        <x:v>8853960.599750496</x:v>
      </x:c>
      <x:c r="P929" s="60" t="n">
        <x:v>456714.93111942895</x:v>
      </x:c>
      <x:c r="Q929" s="62" t="n">
        <x:v>1.0515831221490075</x:v>
      </x:c>
      <x:c r="R929" s="64" t="n">
        <x:v>0.051583122149007433</x:v>
      </x:c>
    </x:row>
    <x:row r="930" ht="18" customHeight="1">
      <x:c r="A930" s="46" t="str">
        <x:v>LME_003</x:v>
      </x:c>
      <x:c r="B930" s="46" t="str">
        <x:v>California Current</x:v>
      </x:c>
      <x:c r="C930" s="46" t="str">
        <x:v>functional</x:v>
      </x:c>
      <x:c r="D930" s="46" t="str">
        <x:v>Large flatfishes (&gt;=90 cm)</x:v>
      </x:c>
      <x:c r="E930" s="66" t="n">
        <x:v>2</x:v>
      </x:c>
      <x:c r="F930" s="66" t="n">
        <x:v>2</x:v>
      </x:c>
      <x:c r="G930" s="60" t="n">
        <x:v>1065.284680887</x:v>
      </x:c>
      <x:c r="H930" s="60" t="n">
        <x:v>1065.284680887</x:v>
      </x:c>
      <x:c r="I930" s="62" t="n">
        <x:v>0</x:v>
      </x:c>
      <x:c r="J930" s="64" t="n">
        <x:v>1</x:v>
      </x:c>
      <x:c r="K930" s="62" t="n">
        <x:v>2064.4607726062954</x:v>
      </x:c>
      <x:c r="L930" s="60" t="n">
        <x:v>2199238.435349627</x:v>
      </x:c>
      <x:c r="M930" s="62" t="n">
        <x:v>4.2782055422025245</x:v>
      </x:c>
      <x:c r="N930" s="62" t="n">
        <x:v>1897.60380363407</x:v>
      </x:c>
      <x:c r="O930" s="60" t="n">
        <x:v>2021488.2624042775</x:v>
      </x:c>
      <x:c r="P930" s="60" t="n">
        <x:v>177750.17294534948</x:v>
      </x:c>
      <x:c r="Q930" s="62" t="n">
        <x:v>1.0879303512422775</x:v>
      </x:c>
      <x:c r="R930" s="64" t="n">
        <x:v>0.08793035124227756</x:v>
      </x:c>
    </x:row>
    <x:row r="931" ht="18" customHeight="1">
      <x:c r="A931" s="46" t="str">
        <x:v>LME_003</x:v>
      </x:c>
      <x:c r="B931" s="46" t="str">
        <x:v>California Current</x:v>
      </x:c>
      <x:c r="C931" s="46" t="str">
        <x:v>functional</x:v>
      </x:c>
      <x:c r="D931" s="46" t="str">
        <x:v>Large pelagics (&gt;=90 cm)</x:v>
      </x:c>
      <x:c r="E931" s="66" t="n">
        <x:v>17</x:v>
      </x:c>
      <x:c r="F931" s="66" t="n">
        <x:v>17</x:v>
      </x:c>
      <x:c r="G931" s="60" t="n">
        <x:v>35591.609171308104</x:v>
      </x:c>
      <x:c r="H931" s="60" t="n">
        <x:v>35591.609171308104</x:v>
      </x:c>
      <x:c r="I931" s="62" t="n">
        <x:v>0</x:v>
      </x:c>
      <x:c r="J931" s="64" t="n">
        <x:v>1</x:v>
      </x:c>
      <x:c r="K931" s="62" t="n">
        <x:v>2308.9485562730383</x:v>
      </x:c>
      <x:c r="L931" s="60" t="n">
        <x:v>82179194.61152607</x:v>
      </x:c>
      <x:c r="M931" s="62" t="n">
        <x:v>4.349851633821059</x:v>
      </x:c>
      <x:c r="N931" s="62" t="n">
        <x:v>2237.956464399636</x:v>
      </x:c>
      <x:c r="O931" s="60" t="n">
        <x:v>79652471.82331434</x:v>
      </x:c>
      <x:c r="P931" s="60" t="n">
        <x:v>2526722.788211733</x:v>
      </x:c>
      <x:c r="Q931" s="62" t="n">
        <x:v>1.0317218377581117</x:v>
      </x:c>
      <x:c r="R931" s="64" t="n">
        <x:v>0.0317218377581116</x:v>
      </x:c>
    </x:row>
    <x:row r="932" ht="18" customHeight="1">
      <x:c r="A932" s="46" t="str">
        <x:v>LME_003</x:v>
      </x:c>
      <x:c r="B932" s="46" t="str">
        <x:v>California Current</x:v>
      </x:c>
      <x:c r="C932" s="46" t="str">
        <x:v>functional</x:v>
      </x:c>
      <x:c r="D932" s="46" t="str">
        <x:v>Large rays (&gt;=90 cm)</x:v>
      </x:c>
      <x:c r="E932" s="66" t="n">
        <x:v>6</x:v>
      </x:c>
      <x:c r="F932" s="66" t="n">
        <x:v>6</x:v>
      </x:c>
      <x:c r="G932" s="60" t="n">
        <x:v>1643.2937593865</x:v>
      </x:c>
      <x:c r="H932" s="60" t="n">
        <x:v>1643.2937593865</x:v>
      </x:c>
      <x:c r="I932" s="62" t="n">
        <x:v>0</x:v>
      </x:c>
      <x:c r="J932" s="64" t="n">
        <x:v>1</x:v>
      </x:c>
      <x:c r="K932" s="62" t="n">
        <x:v>475.38251811031887</x:v>
      </x:c>
      <x:c r="L932" s="60" t="n">
        <x:v>781193.1253321267</x:v>
      </x:c>
      <x:c r="M932" s="62" t="n">
        <x:v>3.632870611938951</x:v>
      </x:c>
      <x:c r="N932" s="62" t="n">
        <x:v>429.4084753180726</x:v>
      </x:c>
      <x:c r="O932" s="60" t="n">
        <x:v>705644.2677178605</x:v>
      </x:c>
      <x:c r="P932" s="60" t="n">
        <x:v>75548.85761426622</x:v>
      </x:c>
      <x:c r="Q932" s="62" t="n">
        <x:v>1.1070636595101955</x:v>
      </x:c>
      <x:c r="R932" s="64" t="n">
        <x:v>0.10706365951019545</x:v>
      </x:c>
    </x:row>
    <x:row r="933" ht="18" customHeight="1">
      <x:c r="A933" s="46" t="str">
        <x:v>LME_003</x:v>
      </x:c>
      <x:c r="B933" s="46" t="str">
        <x:v>California Current</x:v>
      </x:c>
      <x:c r="C933" s="46" t="str">
        <x:v>functional</x:v>
      </x:c>
      <x:c r="D933" s="46" t="str">
        <x:v>Large reef assoc. fish (&gt;=90 cm)</x:v>
      </x:c>
      <x:c r="E933" s="66" t="n">
        <x:v>8</x:v>
      </x:c>
      <x:c r="F933" s="66" t="n">
        <x:v>8</x:v>
      </x:c>
      <x:c r="G933" s="60" t="n">
        <x:v>3813.6161532003</x:v>
      </x:c>
      <x:c r="H933" s="60" t="n">
        <x:v>3813.6161532003</x:v>
      </x:c>
      <x:c r="I933" s="62" t="n">
        <x:v>0</x:v>
      </x:c>
      <x:c r="J933" s="64" t="n">
        <x:v>1</x:v>
      </x:c>
      <x:c r="K933" s="62" t="n">
        <x:v>426.96313463755365</x:v>
      </x:c>
      <x:c r="L933" s="60" t="n">
        <x:v>1628273.507074809</x:v>
      </x:c>
      <x:c r="M933" s="62" t="n">
        <x:v>3.5944170918858465</x:v>
      </x:c>
      <x:c r="N933" s="62" t="n">
        <x:v>393.0222086314954</x:v>
      </x:c>
      <x:c r="O933" s="60" t="n">
        <x:v>1498835.8434035291</x:v>
      </x:c>
      <x:c r="P933" s="60" t="n">
        <x:v>129437.66367127979</x:v>
      </x:c>
      <x:c r="Q933" s="62" t="n">
        <x:v>1.086358799224707</x:v>
      </x:c>
      <x:c r="R933" s="64" t="n">
        <x:v>0.08635879922470703</x:v>
      </x:c>
    </x:row>
    <x:row r="934" ht="18" customHeight="1">
      <x:c r="A934" s="46" t="str">
        <x:v>LME_003</x:v>
      </x:c>
      <x:c r="B934" s="46" t="str">
        <x:v>California Current</x:v>
      </x:c>
      <x:c r="C934" s="46" t="str">
        <x:v>functional</x:v>
      </x:c>
      <x:c r="D934" s="46" t="str">
        <x:v>Large sharks (&gt;=90 cm)</x:v>
      </x:c>
      <x:c r="E934" s="66" t="n">
        <x:v>20</x:v>
      </x:c>
      <x:c r="F934" s="66" t="n">
        <x:v>20</x:v>
      </x:c>
      <x:c r="G934" s="60" t="n">
        <x:v>14198.3966801304</x:v>
      </x:c>
      <x:c r="H934" s="60" t="n">
        <x:v>14198.3966801304</x:v>
      </x:c>
      <x:c r="I934" s="62" t="n">
        <x:v>0</x:v>
      </x:c>
      <x:c r="J934" s="64" t="n">
        <x:v>1</x:v>
      </x:c>
      <x:c r="K934" s="62" t="n">
        <x:v>1414.3229861775535</x:v>
      </x:c>
      <x:c r="L934" s="60" t="n">
        <x:v>20081118.791575488</x:v>
      </x:c>
      <x:c r="M934" s="62" t="n">
        <x:v>4.123326419006599</x:v>
      </x:c>
      <x:c r="N934" s="62" t="n">
        <x:v>1328.3925124366867</x:v>
      </x:c>
      <x:c r="O934" s="60" t="n">
        <x:v>18861043.838491134</x:v>
      </x:c>
      <x:c r="P934" s="60" t="n">
        <x:v>1220074.9530843534</x:v>
      </x:c>
      <x:c r="Q934" s="62" t="n">
        <x:v>1.0646875625512549</x:v>
      </x:c>
      <x:c r="R934" s="64" t="n">
        <x:v>0.06468756255125475</x:v>
      </x:c>
    </x:row>
    <x:row r="935" ht="18" customHeight="1">
      <x:c r="A935" s="46" t="str">
        <x:v>LME_003</x:v>
      </x:c>
      <x:c r="B935" s="46" t="str">
        <x:v>California Current</x:v>
      </x:c>
      <x:c r="C935" s="46" t="str">
        <x:v>functional</x:v>
      </x:c>
      <x:c r="D935" s="46" t="str">
        <x:v>Lobsters, crabs</x:v>
      </x:c>
      <x:c r="E935" s="66" t="n">
        <x:v>15</x:v>
      </x:c>
      <x:c r="F935" s="66" t="n">
        <x:v>15</x:v>
      </x:c>
      <x:c r="G935" s="60" t="n">
        <x:v>40370.8004359025</x:v>
      </x:c>
      <x:c r="H935" s="60" t="n">
        <x:v>40370.8004359025</x:v>
      </x:c>
      <x:c r="I935" s="62" t="n">
        <x:v>0</x:v>
      </x:c>
      <x:c r="J935" s="64" t="n">
        <x:v>1</x:v>
      </x:c>
      <x:c r="K935" s="62" t="n">
        <x:v>761.114770234555</x:v>
      </x:c>
      <x:c r="L935" s="60" t="n">
        <x:v>30726812.497957002</x:v>
      </x:c>
      <x:c r="M935" s="62" t="n">
        <x:v>3.793639180330657</x:v>
      </x:c>
      <x:c r="N935" s="62" t="n">
        <x:v>621.7834816104582</x:v>
      </x:c>
      <x:c r="O935" s="60" t="n">
        <x:v>25101896.85043646</x:v>
      </x:c>
      <x:c r="P935" s="60" t="n">
        <x:v>5624915.647520542</x:v>
      </x:c>
      <x:c r="Q935" s="62" t="n">
        <x:v>1.2240832906387606</x:v>
      </x:c>
      <x:c r="R935" s="64" t="n">
        <x:v>0.2240832906387606</x:v>
      </x:c>
    </x:row>
    <x:row r="936" ht="18" customHeight="1">
      <x:c r="A936" s="46" t="str">
        <x:v>LME_003</x:v>
      </x:c>
      <x:c r="B936" s="46" t="str">
        <x:v>California Current</x:v>
      </x:c>
      <x:c r="C936" s="46" t="str">
        <x:v>functional</x:v>
      </x:c>
      <x:c r="D936" s="46" t="str">
        <x:v>Medium bathydemersals (30 - 89 cm)</x:v>
      </x:c>
      <x:c r="E936" s="66" t="n">
        <x:v>7</x:v>
      </x:c>
      <x:c r="F936" s="66" t="n">
        <x:v>7</x:v>
      </x:c>
      <x:c r="G936" s="60" t="n">
        <x:v>988.9755804001999</x:v>
      </x:c>
      <x:c r="H936" s="60" t="n">
        <x:v>988.9755804001999</x:v>
      </x:c>
      <x:c r="I936" s="62" t="n">
        <x:v>0</x:v>
      </x:c>
      <x:c r="J936" s="64" t="n">
        <x:v>1</x:v>
      </x:c>
      <x:c r="K936" s="62" t="n">
        <x:v>384.7236351046485</x:v>
      </x:c>
      <x:c r="L936" s="60" t="n">
        <x:v>380482.28032129444</x:v>
      </x:c>
      <x:c r="M936" s="62" t="n">
        <x:v>3.5633543523440574</x:v>
      </x:c>
      <x:c r="N936" s="62" t="n">
        <x:v>365.89321179237805</x:v>
      </x:c>
      <x:c r="O936" s="60" t="n">
        <x:v>361859.45149686036</x:v>
      </x:c>
      <x:c r="P936" s="60" t="n">
        <x:v>18622.82882443408</x:v>
      </x:c>
      <x:c r="Q936" s="62" t="n">
        <x:v>1.0514642598041843</x:v>
      </x:c>
      <x:c r="R936" s="64" t="n">
        <x:v>0.051464259804184384</x:v>
      </x:c>
    </x:row>
    <x:row r="937" ht="18" customHeight="1">
      <x:c r="A937" s="46" t="str">
        <x:v>LME_003</x:v>
      </x:c>
      <x:c r="B937" s="46" t="str">
        <x:v>California Current</x:v>
      </x:c>
      <x:c r="C937" s="46" t="str">
        <x:v>functional</x:v>
      </x:c>
      <x:c r="D937" s="46" t="str">
        <x:v>Medium benthopelagics (30 - 89 cm)</x:v>
      </x:c>
      <x:c r="E937" s="66" t="n">
        <x:v>5</x:v>
      </x:c>
      <x:c r="F937" s="66" t="n">
        <x:v>5</x:v>
      </x:c>
      <x:c r="G937" s="60" t="n">
        <x:v>296620.78710831696</x:v>
      </x:c>
      <x:c r="H937" s="60" t="n">
        <x:v>296620.78710831696</x:v>
      </x:c>
      <x:c r="I937" s="62" t="n">
        <x:v>0</x:v>
      </x:c>
      <x:c r="J937" s="64" t="n">
        <x:v>1</x:v>
      </x:c>
      <x:c r="K937" s="62" t="n">
        <x:v>2237.8611075271833</x:v>
      </x:c>
      <x:c r="L937" s="60" t="n">
        <x:v>663796123.153803</x:v>
      </x:c>
      <x:c r="M937" s="62" t="n">
        <x:v>4.349693255803573</x:v>
      </x:c>
      <x:c r="N937" s="62" t="n">
        <x:v>2237.140477778303</x:v>
      </x:c>
      <x:c r="O937" s="60" t="n">
        <x:v>663582369.3904766</x:v>
      </x:c>
      <x:c r="P937" s="60" t="n">
        <x:v>213753.76332640648</x:v>
      </x:c>
      <x:c r="Q937" s="62" t="n">
        <x:v>1.000322120920004</x:v>
      </x:c>
      <x:c r="R937" s="64" t="n">
        <x:v>0.00032212092000386737</x:v>
      </x:c>
    </x:row>
    <x:row r="938" ht="18" customHeight="1">
      <x:c r="A938" s="46" t="str">
        <x:v>LME_003</x:v>
      </x:c>
      <x:c r="B938" s="46" t="str">
        <x:v>California Current</x:v>
      </x:c>
      <x:c r="C938" s="46" t="str">
        <x:v>functional</x:v>
      </x:c>
      <x:c r="D938" s="46" t="str">
        <x:v>Medium demersals (30 - 89 cm)</x:v>
      </x:c>
      <x:c r="E938" s="66" t="n">
        <x:v>49</x:v>
      </x:c>
      <x:c r="F938" s="66" t="n">
        <x:v>49</x:v>
      </x:c>
      <x:c r="G938" s="60" t="n">
        <x:v>196220.2209344742</x:v>
      </x:c>
      <x:c r="H938" s="60" t="n">
        <x:v>196220.2209344742</x:v>
      </x:c>
      <x:c r="I938" s="62" t="n">
        <x:v>0</x:v>
      </x:c>
      <x:c r="J938" s="64" t="n">
        <x:v>1</x:v>
      </x:c>
      <x:c r="K938" s="62" t="n">
        <x:v>369.74963497566296</x:v>
      </x:c>
      <x:c r="L938" s="60" t="n">
        <x:v>72552355.06536578</x:v>
      </x:c>
      <x:c r="M938" s="62" t="n">
        <x:v>3.473882762746042</x:v>
      </x:c>
      <x:c r="N938" s="62" t="n">
        <x:v>297.77124911483105</x:v>
      </x:c>
      <x:c r="O938" s="60" t="n">
        <x:v>58428740.28924651</x:v>
      </x:c>
      <x:c r="P938" s="60" t="n">
        <x:v>14123614.77611927</x:v>
      </x:c>
      <x:c r="Q938" s="62" t="n">
        <x:v>1.2417237596806214</x:v>
      </x:c>
      <x:c r="R938" s="64" t="n">
        <x:v>0.24172375968062149</x:v>
      </x:c>
    </x:row>
    <x:row r="939" ht="18" customHeight="1">
      <x:c r="A939" s="46" t="str">
        <x:v>LME_003</x:v>
      </x:c>
      <x:c r="B939" s="46" t="str">
        <x:v>California Current</x:v>
      </x:c>
      <x:c r="C939" s="46" t="str">
        <x:v>functional</x:v>
      </x:c>
      <x:c r="D939" s="46" t="str">
        <x:v>Medium pelagics (30 - 89 cm)</x:v>
      </x:c>
      <x:c r="E939" s="66" t="n">
        <x:v>14</x:v>
      </x:c>
      <x:c r="F939" s="66" t="n">
        <x:v>14</x:v>
      </x:c>
      <x:c r="G939" s="60" t="n">
        <x:v>96936.796505461</x:v>
      </x:c>
      <x:c r="H939" s="60" t="n">
        <x:v>96936.796505461</x:v>
      </x:c>
      <x:c r="I939" s="62" t="n">
        <x:v>0</x:v>
      </x:c>
      <x:c r="J939" s="64" t="n">
        <x:v>1</x:v>
      </x:c>
      <x:c r="K939" s="62" t="n">
        <x:v>398.2333402122218</x:v>
      </x:c>
      <x:c r="L939" s="60" t="n">
        <x:v>38603464.26184216</x:v>
      </x:c>
      <x:c r="M939" s="62" t="n">
        <x:v>3.3215329331459094</x:v>
      </x:c>
      <x:c r="N939" s="62" t="n">
        <x:v>209.66837686681174</x:v>
      </x:c>
      <x:c r="O939" s="60" t="n">
        <x:v>20324580.781968437</x:v>
      </x:c>
      <x:c r="P939" s="60" t="n">
        <x:v>18278883.479873724</x:v>
      </x:c>
      <x:c r="Q939" s="62" t="n">
        <x:v>1.8993486102350698</x:v>
      </x:c>
      <x:c r="R939" s="64" t="n">
        <x:v>0.89934861023507</x:v>
      </x:c>
    </x:row>
    <x:row r="940" ht="18" customHeight="1">
      <x:c r="A940" s="46" t="str">
        <x:v>LME_003</x:v>
      </x:c>
      <x:c r="B940" s="46" t="str">
        <x:v>California Current</x:v>
      </x:c>
      <x:c r="C940" s="46" t="str">
        <x:v>functional</x:v>
      </x:c>
      <x:c r="D940" s="46" t="str">
        <x:v>Medium reef assoc. fish (30 - 89 cm)</x:v>
      </x:c>
      <x:c r="E940" s="66" t="n">
        <x:v>20</x:v>
      </x:c>
      <x:c r="F940" s="66" t="n">
        <x:v>20</x:v>
      </x:c>
      <x:c r="G940" s="60" t="n">
        <x:v>15196.408052597602</x:v>
      </x:c>
      <x:c r="H940" s="60" t="n">
        <x:v>15196.408052597602</x:v>
      </x:c>
      <x:c r="I940" s="62" t="n">
        <x:v>0</x:v>
      </x:c>
      <x:c r="J940" s="64" t="n">
        <x:v>1</x:v>
      </x:c>
      <x:c r="K940" s="62" t="n">
        <x:v>1023.5990796115196</x:v>
      </x:c>
      <x:c r="L940" s="60" t="n">
        <x:v>15555029.296039991</x:v>
      </x:c>
      <x:c r="M940" s="62" t="n">
        <x:v>3.9179086095006173</x:v>
      </x:c>
      <x:c r="N940" s="62" t="n">
        <x:v>827.7679545290657</x:v>
      </x:c>
      <x:c r="O940" s="60" t="n">
        <x:v>12579099.60988774</x:v>
      </x:c>
      <x:c r="P940" s="60" t="n">
        <x:v>2975929.6861522514</x:v>
      </x:c>
      <x:c r="Q940" s="62" t="n">
        <x:v>1.2365773209883033</x:v>
      </x:c>
      <x:c r="R940" s="64" t="n">
        <x:v>0.2365773209883032</x:v>
      </x:c>
    </x:row>
    <x:row r="941" ht="18" customHeight="1">
      <x:c r="A941" s="46" t="str">
        <x:v>LME_003</x:v>
      </x:c>
      <x:c r="B941" s="46" t="str">
        <x:v>California Current</x:v>
      </x:c>
      <x:c r="C941" s="46" t="str">
        <x:v>functional</x:v>
      </x:c>
      <x:c r="D941" s="46" t="str">
        <x:v>Other demersal invertebrates</x:v>
      </x:c>
      <x:c r="E941" s="66" t="n">
        <x:v>24</x:v>
      </x:c>
      <x:c r="F941" s="66" t="n">
        <x:v>24</x:v>
      </x:c>
      <x:c r="G941" s="60" t="n">
        <x:v>23788.7611625672</x:v>
      </x:c>
      <x:c r="H941" s="60" t="n">
        <x:v>23788.7611625672</x:v>
      </x:c>
      <x:c r="I941" s="62" t="n">
        <x:v>0</x:v>
      </x:c>
      <x:c r="J941" s="64" t="n">
        <x:v>1</x:v>
      </x:c>
      <x:c r="K941" s="62" t="n">
        <x:v>27.02109144520213</x:v>
      </x:c>
      <x:c r="L941" s="60" t="n">
        <x:v>642798.2907418013</x:v>
      </x:c>
      <x:c r="M941" s="62" t="n">
        <x:v>2.259597050777358</x:v>
      </x:c>
      <x:c r="N941" s="62" t="n">
        <x:v>18.180132779021626</x:v>
      </x:c>
      <x:c r="O941" s="60" t="n">
        <x:v>432482.8365839046</x:v>
      </x:c>
      <x:c r="P941" s="60" t="n">
        <x:v>210315.4541578967</x:v>
      </x:c>
      <x:c r="Q941" s="62" t="n">
        <x:v>1.4862978050623614</x:v>
      </x:c>
      <x:c r="R941" s="64" t="n">
        <x:v>0.4862978050623613</x:v>
      </x:c>
    </x:row>
    <x:row r="942" ht="18" customHeight="1">
      <x:c r="A942" s="46" t="str">
        <x:v>LME_003</x:v>
      </x:c>
      <x:c r="B942" s="46" t="str">
        <x:v>California Current</x:v>
      </x:c>
      <x:c r="C942" s="46" t="str">
        <x:v>functional</x:v>
      </x:c>
      <x:c r="D942" s="46" t="str">
        <x:v>Shrimps</x:v>
      </x:c>
      <x:c r="E942" s="66" t="n">
        <x:v>12</x:v>
      </x:c>
      <x:c r="F942" s="66" t="n">
        <x:v>12</x:v>
      </x:c>
      <x:c r="G942" s="60" t="n">
        <x:v>28771.1951542897</x:v>
      </x:c>
      <x:c r="H942" s="60" t="n">
        <x:v>28771.1951542897</x:v>
      </x:c>
      <x:c r="I942" s="62" t="n">
        <x:v>0</x:v>
      </x:c>
      <x:c r="J942" s="64" t="n">
        <x:v>1</x:v>
      </x:c>
      <x:c r="K942" s="62" t="n">
        <x:v>107.98611390596174</x:v>
      </x:c>
      <x:c r="L942" s="60" t="n">
        <x:v>3106889.5571417823</x:v>
      </x:c>
      <x:c r="M942" s="62" t="n">
        <x:v>2.9555543334449332</x:v>
      </x:c>
      <x:c r="N942" s="62" t="n">
        <x:v>90.27226376710128</x:v>
      </x:c>
      <x:c r="O942" s="60" t="n">
        <x:v>2597240.917862786</x:v>
      </x:c>
      <x:c r="P942" s="60" t="n">
        <x:v>509648.63927899627</x:v>
      </x:c>
      <x:c r="Q942" s="62" t="n">
        <x:v>1.196226940586773</x:v>
      </x:c>
      <x:c r="R942" s="64" t="n">
        <x:v>0.19622694058677284</x:v>
      </x:c>
    </x:row>
    <x:row r="943" ht="18" customHeight="1">
      <x:c r="A943" s="46" t="str">
        <x:v>LME_003</x:v>
      </x:c>
      <x:c r="B943" s="46" t="str">
        <x:v>California Current</x:v>
      </x:c>
      <x:c r="C943" s="46" t="str">
        <x:v>functional</x:v>
      </x:c>
      <x:c r="D943" s="46" t="str">
        <x:v>Small benthopelagics (&lt;30 cm)</x:v>
      </x:c>
      <x:c r="E943" s="66" t="n">
        <x:v>3</x:v>
      </x:c>
      <x:c r="F943" s="66" t="n">
        <x:v>3</x:v>
      </x:c>
      <x:c r="G943" s="60" t="n">
        <x:v>1478.4967141666</x:v>
      </x:c>
      <x:c r="H943" s="60" t="n">
        <x:v>1478.4967141666</x:v>
      </x:c>
      <x:c r="I943" s="62" t="n">
        <x:v>0</x:v>
      </x:c>
      <x:c r="J943" s="64" t="n">
        <x:v>1</x:v>
      </x:c>
      <x:c r="K943" s="62" t="n">
        <x:v>467.6286550548868</x:v>
      </x:c>
      <x:c r="L943" s="60" t="n">
        <x:v>691387.4299487965</x:v>
      </x:c>
      <x:c r="M943" s="62" t="n">
        <x:v>3.575727967598953</x:v>
      </x:c>
      <x:c r="N943" s="62" t="n">
        <x:v>376.4679139896027</x:v>
      </x:c>
      <x:c r="O943" s="60" t="n">
        <x:v>556606.5738227818</x:v>
      </x:c>
      <x:c r="P943" s="60" t="n">
        <x:v>134780.85612601473</x:v>
      </x:c>
      <x:c r="Q943" s="62" t="n">
        <x:v>1.2421474385405438</x:v>
      </x:c>
      <x:c r="R943" s="64" t="n">
        <x:v>0.24214743854054382</x:v>
      </x:c>
    </x:row>
    <x:row r="944" ht="18" customHeight="1">
      <x:c r="A944" s="46" t="str">
        <x:v>LME_003</x:v>
      </x:c>
      <x:c r="B944" s="46" t="str">
        <x:v>California Current</x:v>
      </x:c>
      <x:c r="C944" s="46" t="str">
        <x:v>functional</x:v>
      </x:c>
      <x:c r="D944" s="46" t="str">
        <x:v>Small demersals (&lt;30 cm)</x:v>
      </x:c>
      <x:c r="E944" s="66" t="n">
        <x:v>4</x:v>
      </x:c>
      <x:c r="F944" s="66" t="n">
        <x:v>4</x:v>
      </x:c>
      <x:c r="G944" s="60" t="n">
        <x:v>7052.469495210999</x:v>
      </x:c>
      <x:c r="H944" s="60" t="n">
        <x:v>7052.469495210999</x:v>
      </x:c>
      <x:c r="I944" s="62" t="n">
        <x:v>0</x:v>
      </x:c>
      <x:c r="J944" s="64" t="n">
        <x:v>1</x:v>
      </x:c>
      <x:c r="K944" s="62" t="n">
        <x:v>728.2796941008893</x:v>
      </x:c>
      <x:c r="L944" s="60" t="n">
        <x:v>5136170.32662812</x:v>
      </x:c>
      <x:c r="M944" s="62" t="n">
        <x:v>3.8286995928003447</x:v>
      </x:c>
      <x:c r="N944" s="62" t="n">
        <x:v>674.0616091305536</x:v>
      </x:c>
      <x:c r="O944" s="60" t="n">
        <x:v>4753798.936286069</x:v>
      </x:c>
      <x:c r="P944" s="60" t="n">
        <x:v>382371.39034205023</x:v>
      </x:c>
      <x:c r="Q944" s="62" t="n">
        <x:v>1.080434910156461</x:v>
      </x:c>
      <x:c r="R944" s="64" t="n">
        <x:v>0.08043491015646108</x:v>
      </x:c>
    </x:row>
    <x:row r="945" ht="18" customHeight="1">
      <x:c r="A945" s="46" t="str">
        <x:v>LME_003</x:v>
      </x:c>
      <x:c r="B945" s="46" t="str">
        <x:v>California Current</x:v>
      </x:c>
      <x:c r="C945" s="46" t="str">
        <x:v>functional</x:v>
      </x:c>
      <x:c r="D945" s="46" t="str">
        <x:v>Small pelagics (&lt;30 cm)</x:v>
      </x:c>
      <x:c r="E945" s="66" t="n">
        <x:v>15</x:v>
      </x:c>
      <x:c r="F945" s="66" t="n">
        <x:v>15</x:v>
      </x:c>
      <x:c r="G945" s="60" t="n">
        <x:v>165493.7171602589</x:v>
      </x:c>
      <x:c r="H945" s="60" t="n">
        <x:v>165493.7171602589</x:v>
      </x:c>
      <x:c r="I945" s="62" t="n">
        <x:v>0</x:v>
      </x:c>
      <x:c r="J945" s="64" t="n">
        <x:v>1</x:v>
      </x:c>
      <x:c r="K945" s="62" t="n">
        <x:v>149.42143198843956</x:v>
      </x:c>
      <x:c r="L945" s="60" t="n">
        <x:v>24728308.20317568</x:v>
      </x:c>
      <x:c r="M945" s="62" t="n">
        <x:v>2.922079423396063</x:v>
      </x:c>
      <x:c r="N945" s="62" t="n">
        <x:v>83.57558465565471</x:v>
      </x:c>
      <x:c r="O945" s="60" t="n">
        <x:v>13831234.168506194</x:v>
      </x:c>
      <x:c r="P945" s="60" t="n">
        <x:v>10897074.034669485</x:v>
      </x:c>
      <x:c r="Q945" s="62" t="n">
        <x:v>1.7878598469167841</x:v>
      </x:c>
      <x:c r="R945" s="64" t="n">
        <x:v>0.7878598469167842</x:v>
      </x:c>
    </x:row>
    <x:row r="946" ht="18" customHeight="1">
      <x:c r="A946" s="46" t="str">
        <x:v>LME_003</x:v>
      </x:c>
      <x:c r="B946" s="46" t="str">
        <x:v>California Current</x:v>
      </x:c>
      <x:c r="C946" s="46" t="str">
        <x:v>functional</x:v>
      </x:c>
      <x:c r="D946" s="46" t="str">
        <x:v>Small to medium flatfishes (&lt;90 cm)</x:v>
      </x:c>
      <x:c r="E946" s="66" t="n">
        <x:v>18</x:v>
      </x:c>
      <x:c r="F946" s="66" t="n">
        <x:v>18</x:v>
      </x:c>
      <x:c r="G946" s="60" t="n">
        <x:v>15130.773216357999</x:v>
      </x:c>
      <x:c r="H946" s="60" t="n">
        <x:v>15130.773216357999</x:v>
      </x:c>
      <x:c r="I946" s="62" t="n">
        <x:v>0</x:v>
      </x:c>
      <x:c r="J946" s="64" t="n">
        <x:v>1</x:v>
      </x:c>
      <x:c r="K946" s="62" t="n">
        <x:v>614.7207378382373</x:v>
      </x:c>
      <x:c r="L946" s="60" t="n">
        <x:v>9301200.075622628</x:v>
      </x:c>
      <x:c r="M946" s="62" t="n">
        <x:v>3.628023403535823</x:v>
      </x:c>
      <x:c r="N946" s="62" t="n">
        <x:v>424.64244673059125</x:v>
      </x:c>
      <x:c r="O946" s="60" t="n">
        <x:v>6425168.559519958</x:v>
      </x:c>
      <x:c r="P946" s="60" t="n">
        <x:v>2876031.5161026698</x:v>
      </x:c>
      <x:c r="Q946" s="62" t="n">
        <x:v>1.4476196210979322</x:v>
      </x:c>
      <x:c r="R946" s="64" t="n">
        <x:v>0.44761962109793213</x:v>
      </x:c>
    </x:row>
    <x:row r="947" ht="18" customHeight="1">
      <x:c r="A947" s="46" t="str">
        <x:v>LME_003</x:v>
      </x:c>
      <x:c r="B947" s="46" t="str">
        <x:v>California Current</x:v>
      </x:c>
      <x:c r="C947" s="46" t="str">
        <x:v>functional</x:v>
      </x:c>
      <x:c r="D947" s="46" t="str">
        <x:v>Small to medium rays (&lt;90 cm)</x:v>
      </x:c>
      <x:c r="E947" s="66" t="n">
        <x:v>4</x:v>
      </x:c>
      <x:c r="F947" s="66" t="n">
        <x:v>4</x:v>
      </x:c>
      <x:c r="G947" s="60" t="n">
        <x:v>246.2148993012</x:v>
      </x:c>
      <x:c r="H947" s="60" t="n">
        <x:v>246.2148993012</x:v>
      </x:c>
      <x:c r="I947" s="62" t="n">
        <x:v>0</x:v>
      </x:c>
      <x:c r="J947" s="64" t="n">
        <x:v>1</x:v>
      </x:c>
      <x:c r="K947" s="62" t="n">
        <x:v>587.1526366454979</x:v>
      </x:c>
      <x:c r="L947" s="60" t="n">
        <x:v>144565.72730610534</x:v>
      </x:c>
      <x:c r="M947" s="62" t="n">
        <x:v>3.7628667497145343</x:v>
      </x:c>
      <x:c r="N947" s="62" t="n">
        <x:v>579.2509433146713</x:v>
      </x:c>
      <x:c r="O947" s="60" t="n">
        <x:v>142620.2126783469</x:v>
      </x:c>
      <x:c r="P947" s="60" t="n">
        <x:v>1945.5146277584427</x:v>
      </x:c>
      <x:c r="Q947" s="62" t="n">
        <x:v>1.013641226521981</x:v>
      </x:c>
      <x:c r="R947" s="64" t="n">
        <x:v>0.013641226521981043</x:v>
      </x:c>
    </x:row>
    <x:row r="948" ht="18" customHeight="1">
      <x:c r="A948" s="46" t="str">
        <x:v>LME_003</x:v>
      </x:c>
      <x:c r="B948" s="46" t="str">
        <x:v>California Current</x:v>
      </x:c>
      <x:c r="C948" s="46" t="str">
        <x:v>functional</x:v>
      </x:c>
      <x:c r="D948" s="46" t="str">
        <x:v>Small to medium sharks (&lt;90 cm)</x:v>
      </x:c>
      <x:c r="E948" s="66" t="n">
        <x:v>1</x:v>
      </x:c>
      <x:c r="F948" s="66" t="n">
        <x:v>1</x:v>
      </x:c>
      <x:c r="G948" s="60" t="n">
        <x:v>1.1601356049</x:v>
      </x:c>
      <x:c r="H948" s="60" t="n">
        <x:v>1.1601356049</x:v>
      </x:c>
      <x:c r="I948" s="62" t="n">
        <x:v>0</x:v>
      </x:c>
      <x:c r="J948" s="64" t="n">
        <x:v>1</x:v>
      </x:c>
      <x:c r="K948" s="62" t="n">
        <x:v>380.1893963205613</x:v>
      </x:c>
      <x:c r="L948" s="60" t="n">
        <x:v>441.0712552769202</x:v>
      </x:c>
      <x:c r="M948" s="62" t="n">
        <x:v>3.58</x:v>
      </x:c>
      <x:c r="N948" s="62" t="n">
        <x:v>380.1893963205613</x:v>
      </x:c>
      <x:c r="O948" s="60" t="n">
        <x:v>441.0712552769202</x:v>
      </x:c>
      <x:c r="P948" s="60" t="n">
        <x:v>0</x:v>
      </x:c>
      <x:c r="Q948" s="62" t="n">
        <x:v>1</x:v>
      </x:c>
      <x:c r="R948" s="64" t="n">
        <x:v>0</x:v>
      </x:c>
    </x:row>
    <x:row r="949" ht="18" customHeight="1">
      <x:c r="A949" s="46" t="str">
        <x:v>LME_004</x:v>
      </x:c>
      <x:c r="B949" s="46" t="str">
        <x:v>Gulf of California</x:v>
      </x:c>
      <x:c r="C949" s="46" t="str">
        <x:v>functional</x:v>
      </x:c>
      <x:c r="D949" s="46" t="str">
        <x:v>Cephalopods</x:v>
      </x:c>
      <x:c r="E949" s="66" t="n">
        <x:v>2</x:v>
      </x:c>
      <x:c r="F949" s="66" t="n">
        <x:v>2</x:v>
      </x:c>
      <x:c r="G949" s="60" t="n">
        <x:v>5106.4303403527</x:v>
      </x:c>
      <x:c r="H949" s="60" t="n">
        <x:v>5106.4303403527</x:v>
      </x:c>
      <x:c r="I949" s="62" t="n">
        <x:v>0</x:v>
      </x:c>
      <x:c r="J949" s="64" t="n">
        <x:v>1</x:v>
      </x:c>
      <x:c r="K949" s="62" t="n">
        <x:v>910.2165827679049</x:v>
      </x:c>
      <x:c r="L949" s="60" t="n">
        <x:v>4647957.574538184</x:v>
      </x:c>
      <x:c r="M949" s="62" t="n">
        <x:v>3.9393028566351056</x:v>
      </x:c>
      <x:c r="N949" s="62" t="n">
        <x:v>869.5666129366246</x:v>
      </x:c>
      <x:c r="O949" s="60" t="n">
        <x:v>4440381.335257312</x:v>
      </x:c>
      <x:c r="P949" s="60" t="n">
        <x:v>207576.23928087205</x:v>
      </x:c>
      <x:c r="Q949" s="62" t="n">
        <x:v>1.0467473902821554</x:v>
      </x:c>
      <x:c r="R949" s="64" t="n">
        <x:v>0.04674739028215543</x:v>
      </x:c>
    </x:row>
    <x:row r="950" ht="18" customHeight="1">
      <x:c r="A950" s="46" t="str">
        <x:v>LME_004</x:v>
      </x:c>
      <x:c r="B950" s="46" t="str">
        <x:v>Gulf of California</x:v>
      </x:c>
      <x:c r="C950" s="46" t="str">
        <x:v>functional</x:v>
      </x:c>
      <x:c r="D950" s="46" t="str">
        <x:v>Jellyfish</x:v>
      </x:c>
      <x:c r="E950" s="66" t="n">
        <x:v>2</x:v>
      </x:c>
      <x:c r="F950" s="66" t="n">
        <x:v>2</x:v>
      </x:c>
      <x:c r="G950" s="60" t="n">
        <x:v>40139.1634272116</x:v>
      </x:c>
      <x:c r="H950" s="60" t="n">
        <x:v>40139.1634272116</x:v>
      </x:c>
      <x:c r="I950" s="62" t="n">
        <x:v>0</x:v>
      </x:c>
      <x:c r="J950" s="64" t="n">
        <x:v>1</x:v>
      </x:c>
      <x:c r="K950" s="62" t="n">
        <x:v>264.99122245886787</x:v>
      </x:c>
      <x:c r="L950" s="60" t="n">
        <x:v>10636525.985053083</x:v>
      </x:c>
      <x:c r="M950" s="62" t="n">
        <x:v>3.4196502530631414</x:v>
      </x:c>
      <x:c r="N950" s="62" t="n">
        <x:v>262.81506316898555</x:v>
      </x:c>
      <x:c r="O950" s="60" t="n">
        <x:v>10549176.77167285</x:v>
      </x:c>
      <x:c r="P950" s="60" t="n">
        <x:v>87349.21338023245</x:v>
      </x:c>
      <x:c r="Q950" s="62" t="n">
        <x:v>1.0082801924046612</x:v>
      </x:c>
      <x:c r="R950" s="64" t="n">
        <x:v>0.008280192404661064</x:v>
      </x:c>
    </x:row>
    <x:row r="951" ht="18" customHeight="1">
      <x:c r="A951" s="46" t="str">
        <x:v>LME_004</x:v>
      </x:c>
      <x:c r="B951" s="46" t="str">
        <x:v>Gulf of California</x:v>
      </x:c>
      <x:c r="C951" s="46" t="str">
        <x:v>functional</x:v>
      </x:c>
      <x:c r="D951" s="46" t="str">
        <x:v>Large bathydemersals (&gt;=90 cm)</x:v>
      </x:c>
      <x:c r="E951" s="66" t="n">
        <x:v>1</x:v>
      </x:c>
      <x:c r="F951" s="66" t="n">
        <x:v>1</x:v>
      </x:c>
      <x:c r="G951" s="60" t="n">
        <x:v>64.343582759</x:v>
      </x:c>
      <x:c r="H951" s="60" t="n">
        <x:v>64.343582759</x:v>
      </x:c>
      <x:c r="I951" s="62" t="n">
        <x:v>0</x:v>
      </x:c>
      <x:c r="J951" s="64" t="n">
        <x:v>1</x:v>
      </x:c>
      <x:c r="K951" s="62" t="n">
        <x:v>2238.7211385683377</x:v>
      </x:c>
      <x:c r="L951" s="60" t="n">
        <x:v>144047.33885379453</x:v>
      </x:c>
      <x:c r="M951" s="62" t="n">
        <x:v>4.35</x:v>
      </x:c>
      <x:c r="N951" s="62" t="n">
        <x:v>2238.7211385683377</x:v>
      </x:c>
      <x:c r="O951" s="60" t="n">
        <x:v>144047.33885379453</x:v>
      </x:c>
      <x:c r="P951" s="60" t="n">
        <x:v>0</x:v>
      </x:c>
      <x:c r="Q951" s="62" t="n">
        <x:v>1</x:v>
      </x:c>
      <x:c r="R951" s="64" t="n">
        <x:v>0</x:v>
      </x:c>
    </x:row>
    <x:row r="952" ht="18" customHeight="1">
      <x:c r="A952" s="46" t="str">
        <x:v>LME_004</x:v>
      </x:c>
      <x:c r="B952" s="46" t="str">
        <x:v>Gulf of California</x:v>
      </x:c>
      <x:c r="C952" s="46" t="str">
        <x:v>functional</x:v>
      </x:c>
      <x:c r="D952" s="46" t="str">
        <x:v>Large benthopelagics (&gt;=90 cm)</x:v>
      </x:c>
      <x:c r="E952" s="66" t="n">
        <x:v>6</x:v>
      </x:c>
      <x:c r="F952" s="66" t="n">
        <x:v>6</x:v>
      </x:c>
      <x:c r="G952" s="60" t="n">
        <x:v>7457.1659083084</x:v>
      </x:c>
      <x:c r="H952" s="60" t="n">
        <x:v>7457.1659083084</x:v>
      </x:c>
      <x:c r="I952" s="62" t="n">
        <x:v>0</x:v>
      </x:c>
      <x:c r="J952" s="64" t="n">
        <x:v>1</x:v>
      </x:c>
      <x:c r="K952" s="62" t="n">
        <x:v>27.919443836923477</x:v>
      </x:c>
      <x:c r="L952" s="60" t="n">
        <x:v>208199.9247596368</x:v>
      </x:c>
      <x:c r="M952" s="62" t="n">
        <x:v>2.0882696099426026</x:v>
      </x:c>
      <x:c r="N952" s="62" t="n">
        <x:v>12.253766768269454</x:v>
      </x:c>
      <x:c r="O952" s="60" t="n">
        <x:v>91378.37179270136</x:v>
      </x:c>
      <x:c r="P952" s="60" t="n">
        <x:v>116821.55296693544</x:v>
      </x:c>
      <x:c r="Q952" s="62" t="n">
        <x:v>2.2784376726689093</x:v>
      </x:c>
      <x:c r="R952" s="64" t="n">
        <x:v>1.2784376726689093</x:v>
      </x:c>
    </x:row>
    <x:row r="953" ht="18" customHeight="1">
      <x:c r="A953" s="46" t="str">
        <x:v>LME_004</x:v>
      </x:c>
      <x:c r="B953" s="46" t="str">
        <x:v>Gulf of California</x:v>
      </x:c>
      <x:c r="C953" s="46" t="str">
        <x:v>functional</x:v>
      </x:c>
      <x:c r="D953" s="46" t="str">
        <x:v>Large demersals (&gt;=90 cm)</x:v>
      </x:c>
      <x:c r="E953" s="66" t="n">
        <x:v>2</x:v>
      </x:c>
      <x:c r="F953" s="66" t="n">
        <x:v>2</x:v>
      </x:c>
      <x:c r="G953" s="60" t="n">
        <x:v>237.0216149664</x:v>
      </x:c>
      <x:c r="H953" s="60" t="n">
        <x:v>237.0216149664</x:v>
      </x:c>
      <x:c r="I953" s="62" t="n">
        <x:v>0</x:v>
      </x:c>
      <x:c r="J953" s="64" t="n">
        <x:v>1</x:v>
      </x:c>
      <x:c r="K953" s="62" t="n">
        <x:v>2315.1625112670963</x:v>
      </x:c>
      <x:c r="L953" s="60" t="n">
        <x:v>548743.5573301933</x:v>
      </x:c>
      <x:c r="M953" s="62" t="n">
        <x:v>4.362415272521652</x:v>
      </x:c>
      <x:c r="N953" s="62" t="n">
        <x:v>2303.6435092673833</x:v>
      </x:c>
      <x:c r="O953" s="60" t="n">
        <x:v>546013.3048734202</x:v>
      </x:c>
      <x:c r="P953" s="60" t="n">
        <x:v>2730.252456773189</x:v>
      </x:c>
      <x:c r="Q953" s="62" t="n">
        <x:v>1.0050003405272443</x:v>
      </x:c>
      <x:c r="R953" s="64" t="n">
        <x:v>0.005000340527244352</x:v>
      </x:c>
    </x:row>
    <x:row r="954" ht="18" customHeight="1">
      <x:c r="A954" s="46" t="str">
        <x:v>LME_004</x:v>
      </x:c>
      <x:c r="B954" s="46" t="str">
        <x:v>Gulf of California</x:v>
      </x:c>
      <x:c r="C954" s="46" t="str">
        <x:v>functional</x:v>
      </x:c>
      <x:c r="D954" s="46" t="str">
        <x:v>Large pelagics (&gt;=90 cm)</x:v>
      </x:c>
      <x:c r="E954" s="66" t="n">
        <x:v>14</x:v>
      </x:c>
      <x:c r="F954" s="66" t="n">
        <x:v>14</x:v>
      </x:c>
      <x:c r="G954" s="60" t="n">
        <x:v>16039.875947143697</x:v>
      </x:c>
      <x:c r="H954" s="60" t="n">
        <x:v>16039.875947143697</x:v>
      </x:c>
      <x:c r="I954" s="62" t="n">
        <x:v>0</x:v>
      </x:c>
      <x:c r="J954" s="64" t="n">
        <x:v>1</x:v>
      </x:c>
      <x:c r="K954" s="62" t="n">
        <x:v>2443.8682852196066</x:v>
      </x:c>
      <x:c r="L954" s="60" t="n">
        <x:v>39199344.12608128</x:v>
      </x:c>
      <x:c r="M954" s="62" t="n">
        <x:v>4.384756950679143</x:v>
      </x:c>
      <x:c r="N954" s="62" t="n">
        <x:v>2425.2524427139606</x:v>
      </x:c>
      <x:c r="O954" s="60" t="n">
        <x:v>38900748.32163915</x:v>
      </x:c>
      <x:c r="P954" s="60" t="n">
        <x:v>298595.80444213003</x:v>
      </x:c>
      <x:c r="Q954" s="62" t="n">
        <x:v>1.0076758370294905</x:v>
      </x:c>
      <x:c r="R954" s="64" t="n">
        <x:v>0.007675837029490547</x:v>
      </x:c>
    </x:row>
    <x:row r="955" ht="18" customHeight="1">
      <x:c r="A955" s="46" t="str">
        <x:v>LME_004</x:v>
      </x:c>
      <x:c r="B955" s="46" t="str">
        <x:v>Gulf of California</x:v>
      </x:c>
      <x:c r="C955" s="46" t="str">
        <x:v>functional</x:v>
      </x:c>
      <x:c r="D955" s="46" t="str">
        <x:v>Large rays (&gt;=90 cm)</x:v>
      </x:c>
      <x:c r="E955" s="66" t="n">
        <x:v>3</x:v>
      </x:c>
      <x:c r="F955" s="66" t="n">
        <x:v>3</x:v>
      </x:c>
      <x:c r="G955" s="60" t="n">
        <x:v>1758.8844647772999</x:v>
      </x:c>
      <x:c r="H955" s="60" t="n">
        <x:v>1758.8844647772999</x:v>
      </x:c>
      <x:c r="I955" s="62" t="n">
        <x:v>0</x:v>
      </x:c>
      <x:c r="J955" s="64" t="n">
        <x:v>1</x:v>
      </x:c>
      <x:c r="K955" s="62" t="n">
        <x:v>294.7903143102413</x:v>
      </x:c>
      <x:c r="L955" s="60" t="n">
        <x:v>518502.1042071007</x:v>
      </x:c>
      <x:c r="M955" s="62" t="n">
        <x:v>3.4383298745066844</x:v>
      </x:c>
      <x:c r="N955" s="62" t="n">
        <x:v>274.36573643646824</x:v>
      </x:c>
      <x:c r="O955" s="60" t="n">
        <x:v>482577.63148528716</x:v>
      </x:c>
      <x:c r="P955" s="60" t="n">
        <x:v>35924.47272181354</x:v>
      </x:c>
      <x:c r="Q955" s="62" t="n">
        <x:v>1.074442888310518</x:v>
      </x:c>
      <x:c r="R955" s="64" t="n">
        <x:v>0.07444288831051799</x:v>
      </x:c>
    </x:row>
    <x:row r="956" ht="18" customHeight="1">
      <x:c r="A956" s="46" t="str">
        <x:v>LME_004</x:v>
      </x:c>
      <x:c r="B956" s="46" t="str">
        <x:v>Gulf of California</x:v>
      </x:c>
      <x:c r="C956" s="46" t="str">
        <x:v>functional</x:v>
      </x:c>
      <x:c r="D956" s="46" t="str">
        <x:v>Large reef assoc. fish (&gt;=90 cm)</x:v>
      </x:c>
      <x:c r="E956" s="66" t="n">
        <x:v>4</x:v>
      </x:c>
      <x:c r="F956" s="66" t="n">
        <x:v>4</x:v>
      </x:c>
      <x:c r="G956" s="60" t="n">
        <x:v>3550.1292126048</x:v>
      </x:c>
      <x:c r="H956" s="60" t="n">
        <x:v>3550.1292126048</x:v>
      </x:c>
      <x:c r="I956" s="62" t="n">
        <x:v>0</x:v>
      </x:c>
      <x:c r="J956" s="64" t="n">
        <x:v>1</x:v>
      </x:c>
      <x:c r="K956" s="62" t="n">
        <x:v>395.6151805317917</x:v>
      </x:c>
      <x:c r="L956" s="60" t="n">
        <x:v>1404485.0093558354</x:v>
      </x:c>
      <x:c r="M956" s="62" t="n">
        <x:v>3.5564726701695224</x:v>
      </x:c>
      <x:c r="N956" s="62" t="n">
        <x:v>360.1410862694715</x:v>
      </x:c>
      <x:c r="O956" s="60" t="n">
        <x:v>1278547.3910244762</x:v>
      </x:c>
      <x:c r="P956" s="60" t="n">
        <x:v>125937.61833135923</x:v>
      </x:c>
      <x:c r="Q956" s="62" t="n">
        <x:v>1.0985005477430507</x:v>
      </x:c>
      <x:c r="R956" s="64" t="n">
        <x:v>0.09850054774305063</x:v>
      </x:c>
    </x:row>
    <x:row r="957" ht="18" customHeight="1">
      <x:c r="A957" s="46" t="str">
        <x:v>LME_004</x:v>
      </x:c>
      <x:c r="B957" s="46" t="str">
        <x:v>Gulf of California</x:v>
      </x:c>
      <x:c r="C957" s="46" t="str">
        <x:v>functional</x:v>
      </x:c>
      <x:c r="D957" s="46" t="str">
        <x:v>Large sharks (&gt;=90 cm)</x:v>
      </x:c>
      <x:c r="E957" s="66" t="n">
        <x:v>7</x:v>
      </x:c>
      <x:c r="F957" s="66" t="n">
        <x:v>7</x:v>
      </x:c>
      <x:c r="G957" s="60" t="n">
        <x:v>7543.8364159836</x:v>
      </x:c>
      <x:c r="H957" s="60" t="n">
        <x:v>7543.8364159836</x:v>
      </x:c>
      <x:c r="I957" s="62" t="n">
        <x:v>0</x:v>
      </x:c>
      <x:c r="J957" s="64" t="n">
        <x:v>1</x:v>
      </x:c>
      <x:c r="K957" s="62" t="n">
        <x:v>1426.0116782202895</x:v>
      </x:c>
      <x:c r="L957" s="60" t="n">
        <x:v>10757598.827776108</x:v>
      </x:c>
      <x:c r="M957" s="62" t="n">
        <x:v>4.119821550697144</x:v>
      </x:c>
      <x:c r="N957" s="62" t="n">
        <x:v>1317.7151851115564</x:v>
      </x:c>
      <x:c r="O957" s="60" t="n">
        <x:v>9940627.799339129</x:v>
      </x:c>
      <x:c r="P957" s="60" t="n">
        <x:v>816971.0284369793</x:v>
      </x:c>
      <x:c r="Q957" s="62" t="n">
        <x:v>1.0821850535930229</x:v>
      </x:c>
      <x:c r="R957" s="64" t="n">
        <x:v>0.08218505359302287</x:v>
      </x:c>
    </x:row>
    <x:row r="958" ht="18" customHeight="1">
      <x:c r="A958" s="46" t="str">
        <x:v>LME_004</x:v>
      </x:c>
      <x:c r="B958" s="46" t="str">
        <x:v>Gulf of California</x:v>
      </x:c>
      <x:c r="C958" s="46" t="str">
        <x:v>functional</x:v>
      </x:c>
      <x:c r="D958" s="46" t="str">
        <x:v>Lobsters, crabs</x:v>
      </x:c>
      <x:c r="E958" s="66" t="n">
        <x:v>11</x:v>
      </x:c>
      <x:c r="F958" s="66" t="n">
        <x:v>11</x:v>
      </x:c>
      <x:c r="G958" s="60" t="n">
        <x:v>20330.6246877903</x:v>
      </x:c>
      <x:c r="H958" s="60" t="n">
        <x:v>20330.6246877903</x:v>
      </x:c>
      <x:c r="I958" s="62" t="n">
        <x:v>0</x:v>
      </x:c>
      <x:c r="J958" s="64" t="n">
        <x:v>1</x:v>
      </x:c>
      <x:c r="K958" s="62" t="n">
        <x:v>500.623377144885</x:v>
      </x:c>
      <x:c r="L958" s="60" t="n">
        <x:v>10177985.990666753</x:v>
      </x:c>
      <x:c r="M958" s="62" t="n">
        <x:v>3.534668781701106</x:v>
      </x:c>
      <x:c r="N958" s="62" t="n">
        <x:v>342.5064715027609</x:v>
      </x:c>
      <x:c r="O958" s="60" t="n">
        <x:v>6963370.525261976</x:v>
      </x:c>
      <x:c r="P958" s="60" t="n">
        <x:v>3214615.465404777</x:v>
      </x:c>
      <x:c r="Q958" s="62" t="n">
        <x:v>1.461646476191763</x:v>
      </x:c>
      <x:c r="R958" s="64" t="n">
        <x:v>0.46164647619176297</x:v>
      </x:c>
    </x:row>
    <x:row r="959" ht="18" customHeight="1">
      <x:c r="A959" s="46" t="str">
        <x:v>LME_004</x:v>
      </x:c>
      <x:c r="B959" s="46" t="str">
        <x:v>Gulf of California</x:v>
      </x:c>
      <x:c r="C959" s="46" t="str">
        <x:v>functional</x:v>
      </x:c>
      <x:c r="D959" s="46" t="str">
        <x:v>Medium benthopelagics (30 - 89 cm)</x:v>
      </x:c>
      <x:c r="E959" s="66" t="n">
        <x:v>3</x:v>
      </x:c>
      <x:c r="F959" s="66" t="n">
        <x:v>3</x:v>
      </x:c>
      <x:c r="G959" s="60" t="n">
        <x:v>8046.0923318461</x:v>
      </x:c>
      <x:c r="H959" s="60" t="n">
        <x:v>8046.0923318461</x:v>
      </x:c>
      <x:c r="I959" s="62" t="n">
        <x:v>0</x:v>
      </x:c>
      <x:c r="J959" s="64" t="n">
        <x:v>1</x:v>
      </x:c>
      <x:c r="K959" s="62" t="n">
        <x:v>1813.6171813478115</x:v>
      </x:c>
      <x:c r="L959" s="60" t="n">
        <x:v>14592531.295746963</x:v>
      </x:c>
      <x:c r="M959" s="62" t="n">
        <x:v>3.914033255518334</x:v>
      </x:c>
      <x:c r="N959" s="62" t="n">
        <x:v>820.414364055828</x:v>
      </x:c>
      <x:c r="O959" s="60" t="n">
        <x:v>6601129.723565992</x:v>
      </x:c>
      <x:c r="P959" s="60" t="n">
        <x:v>7991401.5721809715</x:v>
      </x:c>
      <x:c r="Q959" s="62" t="n">
        <x:v>2.2106111994211712</x:v>
      </x:c>
      <x:c r="R959" s="64" t="n">
        <x:v>1.2106111994211715</x:v>
      </x:c>
    </x:row>
    <x:row r="960" ht="18" customHeight="1">
      <x:c r="A960" s="46" t="str">
        <x:v>LME_004</x:v>
      </x:c>
      <x:c r="B960" s="46" t="str">
        <x:v>Gulf of California</x:v>
      </x:c>
      <x:c r="C960" s="46" t="str">
        <x:v>functional</x:v>
      </x:c>
      <x:c r="D960" s="46" t="str">
        <x:v>Medium demersals (30 - 89 cm)</x:v>
      </x:c>
      <x:c r="E960" s="66" t="n">
        <x:v>10</x:v>
      </x:c>
      <x:c r="F960" s="66" t="n">
        <x:v>10</x:v>
      </x:c>
      <x:c r="G960" s="60" t="n">
        <x:v>202312.708264898</x:v>
      </x:c>
      <x:c r="H960" s="60" t="n">
        <x:v>202312.708264898</x:v>
      </x:c>
      <x:c r="I960" s="62" t="n">
        <x:v>0</x:v>
      </x:c>
      <x:c r="J960" s="64" t="n">
        <x:v>1</x:v>
      </x:c>
      <x:c r="K960" s="62" t="n">
        <x:v>324.88295683769013</x:v>
      </x:c>
      <x:c r="L960" s="60" t="n">
        <x:v>65727950.86694106</x:v>
      </x:c>
      <x:c r="M960" s="62" t="n">
        <x:v>3.4033307855857986</x:v>
      </x:c>
      <x:c r="N960" s="62" t="n">
        <x:v>253.12252003583853</x:v>
      </x:c>
      <x:c r="O960" s="60" t="n">
        <x:v>51209902.55128641</x:v>
      </x:c>
      <x:c r="P960" s="60" t="n">
        <x:v>14518048.31565465</x:v>
      </x:c>
      <x:c r="Q960" s="62" t="n">
        <x:v>1.2835007995009347</x:v>
      </x:c>
      <x:c r="R960" s="64" t="n">
        <x:v>0.28350079950093465</x:v>
      </x:c>
    </x:row>
    <x:row r="961" ht="18" customHeight="1">
      <x:c r="A961" s="46" t="str">
        <x:v>LME_004</x:v>
      </x:c>
      <x:c r="B961" s="46" t="str">
        <x:v>Gulf of California</x:v>
      </x:c>
      <x:c r="C961" s="46" t="str">
        <x:v>functional</x:v>
      </x:c>
      <x:c r="D961" s="46" t="str">
        <x:v>Medium pelagics (30 - 89 cm)</x:v>
      </x:c>
      <x:c r="E961" s="66" t="n">
        <x:v>9</x:v>
      </x:c>
      <x:c r="F961" s="66" t="n">
        <x:v>9</x:v>
      </x:c>
      <x:c r="G961" s="60" t="n">
        <x:v>83202.2185875804</x:v>
      </x:c>
      <x:c r="H961" s="60" t="n">
        <x:v>83202.2185875804</x:v>
      </x:c>
      <x:c r="I961" s="62" t="n">
        <x:v>0</x:v>
      </x:c>
      <x:c r="J961" s="64" t="n">
        <x:v>1</x:v>
      </x:c>
      <x:c r="K961" s="62" t="n">
        <x:v>204.8217031239283</x:v>
      </x:c>
      <x:c r="L961" s="60" t="n">
        <x:v>17041620.11479758</x:v>
      </x:c>
      <x:c r="M961" s="62" t="n">
        <x:v>3.0642112935009482</x:v>
      </x:c>
      <x:c r="N961" s="62" t="n">
        <x:v>115.93412631461582</x:v>
      </x:c>
      <x:c r="O961" s="60" t="n">
        <x:v>9645976.519388823</x:v>
      </x:c>
      <x:c r="P961" s="60" t="n">
        <x:v>7395643.595408758</x:v>
      </x:c>
      <x:c r="Q961" s="62" t="n">
        <x:v>1.7667076091822533</x:v>
      </x:c>
      <x:c r="R961" s="64" t="n">
        <x:v>0.7667076091822533</x:v>
      </x:c>
    </x:row>
    <x:row r="962" ht="18" customHeight="1">
      <x:c r="A962" s="46" t="str">
        <x:v>LME_004</x:v>
      </x:c>
      <x:c r="B962" s="46" t="str">
        <x:v>Gulf of California</x:v>
      </x:c>
      <x:c r="C962" s="46" t="str">
        <x:v>functional</x:v>
      </x:c>
      <x:c r="D962" s="46" t="str">
        <x:v>Medium reef assoc. fish (30 - 89 cm)</x:v>
      </x:c>
      <x:c r="E962" s="66" t="n">
        <x:v>15</x:v>
      </x:c>
      <x:c r="F962" s="66" t="n">
        <x:v>15</x:v>
      </x:c>
      <x:c r="G962" s="60" t="n">
        <x:v>15593.484553020098</x:v>
      </x:c>
      <x:c r="H962" s="60" t="n">
        <x:v>15593.484553020098</x:v>
      </x:c>
      <x:c r="I962" s="62" t="n">
        <x:v>0</x:v>
      </x:c>
      <x:c r="J962" s="64" t="n">
        <x:v>1</x:v>
      </x:c>
      <x:c r="K962" s="62" t="n">
        <x:v>883.4137492920577</x:v>
      </x:c>
      <x:c r="L962" s="60" t="n">
        <x:v>13775498.65351127</x:v>
      </x:c>
      <x:c r="M962" s="62" t="n">
        <x:v>3.8357793112385026</x:v>
      </x:c>
      <x:c r="N962" s="62" t="n">
        <x:v>685.1399809100038</x:v>
      </x:c>
      <x:c r="O962" s="60" t="n">
        <x:v>10683719.70897663</x:v>
      </x:c>
      <x:c r="P962" s="60" t="n">
        <x:v>3091778.9445346408</x:v>
      </x:c>
      <x:c r="Q962" s="62" t="n">
        <x:v>1.2893916190946941</x:v>
      </x:c>
      <x:c r="R962" s="64" t="n">
        <x:v>0.2893916190946941</x:v>
      </x:c>
    </x:row>
    <x:row r="963" ht="18" customHeight="1">
      <x:c r="A963" s="46" t="str">
        <x:v>LME_004</x:v>
      </x:c>
      <x:c r="B963" s="46" t="str">
        <x:v>Gulf of California</x:v>
      </x:c>
      <x:c r="C963" s="46" t="str">
        <x:v>functional</x:v>
      </x:c>
      <x:c r="D963" s="46" t="str">
        <x:v>Other demersal invertebrates</x:v>
      </x:c>
      <x:c r="E963" s="66" t="n">
        <x:v>12</x:v>
      </x:c>
      <x:c r="F963" s="66" t="n">
        <x:v>12</x:v>
      </x:c>
      <x:c r="G963" s="60" t="n">
        <x:v>14833.2768384021</x:v>
      </x:c>
      <x:c r="H963" s="60" t="n">
        <x:v>14833.2768384021</x:v>
      </x:c>
      <x:c r="I963" s="62" t="n">
        <x:v>0</x:v>
      </x:c>
      <x:c r="J963" s="64" t="n">
        <x:v>1</x:v>
      </x:c>
      <x:c r="K963" s="62" t="n">
        <x:v>41.00215073768439</x:v>
      </x:c>
      <x:c r="L963" s="60" t="n">
        <x:v>608196.2528619654</x:v>
      </x:c>
      <x:c r="M963" s="62" t="n">
        <x:v>2.329080184410073</x:v>
      </x:c>
      <x:c r="N963" s="62" t="n">
        <x:v>21.334387766321072</x:v>
      </x:c>
      <x:c r="O963" s="60" t="n">
        <x:v>316458.8799156595</x:v>
      </x:c>
      <x:c r="P963" s="60" t="n">
        <x:v>291737.37294630596</x:v>
      </x:c>
      <x:c r="Q963" s="62" t="n">
        <x:v>1.9218808238974296</x:v>
      </x:c>
      <x:c r="R963" s="64" t="n">
        <x:v>0.9218808238974298</x:v>
      </x:c>
    </x:row>
    <x:row r="964" ht="18" customHeight="1">
      <x:c r="A964" s="46" t="str">
        <x:v>LME_004</x:v>
      </x:c>
      <x:c r="B964" s="46" t="str">
        <x:v>Gulf of California</x:v>
      </x:c>
      <x:c r="C964" s="46" t="str">
        <x:v>functional</x:v>
      </x:c>
      <x:c r="D964" s="46" t="str">
        <x:v>Shrimps</x:v>
      </x:c>
      <x:c r="E964" s="66" t="n">
        <x:v>9</x:v>
      </x:c>
      <x:c r="F964" s="66" t="n">
        <x:v>9</x:v>
      </x:c>
      <x:c r="G964" s="60" t="n">
        <x:v>26997.0704384966</x:v>
      </x:c>
      <x:c r="H964" s="60" t="n">
        <x:v>26997.0704384966</x:v>
      </x:c>
      <x:c r="I964" s="62" t="n">
        <x:v>0</x:v>
      </x:c>
      <x:c r="J964" s="64" t="n">
        <x:v>1</x:v>
      </x:c>
      <x:c r="K964" s="62" t="n">
        <x:v>85.32711361414708</x:v>
      </x:c>
      <x:c r="L964" s="60" t="n">
        <x:v>2303582.096554731</x:v>
      </x:c>
      <x:c r="M964" s="62" t="n">
        <x:v>2.8023696708991848</x:v>
      </x:c>
      <x:c r="N964" s="62" t="n">
        <x:v>63.44094900291485</x:v>
      </x:c>
      <x:c r="O964" s="60" t="n">
        <x:v>1712719.768916763</x:v>
      </x:c>
      <x:c r="P964" s="60" t="n">
        <x:v>590862.3276379681</x:v>
      </x:c>
      <x:c r="Q964" s="62" t="n">
        <x:v>1.3449848237646422</x:v>
      </x:c>
      <x:c r="R964" s="64" t="n">
        <x:v>0.3449848237646422</x:v>
      </x:c>
    </x:row>
    <x:row r="965" ht="18" customHeight="1">
      <x:c r="A965" s="46" t="str">
        <x:v>LME_004</x:v>
      </x:c>
      <x:c r="B965" s="46" t="str">
        <x:v>Gulf of California</x:v>
      </x:c>
      <x:c r="C965" s="46" t="str">
        <x:v>functional</x:v>
      </x:c>
      <x:c r="D965" s="46" t="str">
        <x:v>Small benthopelagics (&lt;30 cm)</x:v>
      </x:c>
      <x:c r="E965" s="66" t="n">
        <x:v>2</x:v>
      </x:c>
      <x:c r="F965" s="66" t="n">
        <x:v>2</x:v>
      </x:c>
      <x:c r="G965" s="60" t="n">
        <x:v>2348.5580010139</x:v>
      </x:c>
      <x:c r="H965" s="60" t="n">
        <x:v>2348.5580010139</x:v>
      </x:c>
      <x:c r="I965" s="62" t="n">
        <x:v>0</x:v>
      </x:c>
      <x:c r="J965" s="64" t="n">
        <x:v>1</x:v>
      </x:c>
      <x:c r="K965" s="62" t="n">
        <x:v>485.14068253890304</x:v>
      </x:c>
      <x:c r="L965" s="60" t="n">
        <x:v>1139381.0315940853</x:v>
      </x:c>
      <x:c r="M965" s="62" t="n">
        <x:v>3.602238964891012</x:v>
      </x:c>
      <x:c r="N965" s="62" t="n">
        <x:v>400.16487471358164</x:v>
      </x:c>
      <x:c r="O965" s="60" t="n">
        <x:v>939810.4182333071</x:v>
      </x:c>
      <x:c r="P965" s="60" t="n">
        <x:v>199570.6133607782</x:v>
      </x:c>
      <x:c r="Q965" s="62" t="n">
        <x:v>1.212351990879117</x:v>
      </x:c>
      <x:c r="R965" s="64" t="n">
        <x:v>0.21235199087911683</x:v>
      </x:c>
    </x:row>
    <x:row r="966" ht="18" customHeight="1">
      <x:c r="A966" s="46" t="str">
        <x:v>LME_004</x:v>
      </x:c>
      <x:c r="B966" s="46" t="str">
        <x:v>Gulf of California</x:v>
      </x:c>
      <x:c r="C966" s="46" t="str">
        <x:v>functional</x:v>
      </x:c>
      <x:c r="D966" s="46" t="str">
        <x:v>Small demersals (&lt;30 cm)</x:v>
      </x:c>
      <x:c r="E966" s="66" t="n">
        <x:v>2</x:v>
      </x:c>
      <x:c r="F966" s="66" t="n">
        <x:v>2</x:v>
      </x:c>
      <x:c r="G966" s="60" t="n">
        <x:v>25100.8600549294</x:v>
      </x:c>
      <x:c r="H966" s="60" t="n">
        <x:v>25100.8600549294</x:v>
      </x:c>
      <x:c r="I966" s="62" t="n">
        <x:v>0</x:v>
      </x:c>
      <x:c r="J966" s="64" t="n">
        <x:v>1</x:v>
      </x:c>
      <x:c r="K966" s="62" t="n">
        <x:v>612.3343621224348</x:v>
      </x:c>
      <x:c r="L966" s="60" t="n">
        <x:v>15370119.130459696</x:v>
      </x:c>
      <x:c r="M966" s="62" t="n">
        <x:v>3.7538044226527814</x:v>
      </x:c>
      <x:c r="N966" s="62" t="n">
        <x:v>567.2890786093911</x:v>
      </x:c>
      <x:c r="O966" s="60" t="n">
        <x:v>14239443.77286417</x:v>
      </x:c>
      <x:c r="P966" s="60" t="n">
        <x:v>1130675.3575955257</x:v>
      </x:c>
      <x:c r="Q966" s="62" t="n">
        <x:v>1.0794044609909716</x:v>
      </x:c>
      <x:c r="R966" s="64" t="n">
        <x:v>0.07940446099097154</x:v>
      </x:c>
    </x:row>
    <x:row r="967" ht="18" customHeight="1">
      <x:c r="A967" s="46" t="str">
        <x:v>LME_004</x:v>
      </x:c>
      <x:c r="B967" s="46" t="str">
        <x:v>Gulf of California</x:v>
      </x:c>
      <x:c r="C967" s="46" t="str">
        <x:v>functional</x:v>
      </x:c>
      <x:c r="D967" s="46" t="str">
        <x:v>Small pelagics (&lt;30 cm)</x:v>
      </x:c>
      <x:c r="E967" s="66" t="n">
        <x:v>11</x:v>
      </x:c>
      <x:c r="F967" s="66" t="n">
        <x:v>11</x:v>
      </x:c>
      <x:c r="G967" s="60" t="n">
        <x:v>169941.1704139635</x:v>
      </x:c>
      <x:c r="H967" s="60" t="n">
        <x:v>169941.1704139635</x:v>
      </x:c>
      <x:c r="I967" s="62" t="n">
        <x:v>0</x:v>
      </x:c>
      <x:c r="J967" s="64" t="n">
        <x:v>1</x:v>
      </x:c>
      <x:c r="K967" s="62" t="n">
        <x:v>200.70229012066466</x:v>
      </x:c>
      <x:c r="L967" s="60" t="n">
        <x:v>34107582.087868616</x:v>
      </x:c>
      <x:c r="M967" s="62" t="n">
        <x:v>2.956951847802666</x:v>
      </x:c>
      <x:c r="N967" s="62" t="n">
        <x:v>90.5632183787114</x:v>
      </x:c>
      <x:c r="O967" s="60" t="n">
        <x:v>15390419.327733584</x:v>
      </x:c>
      <x:c r="P967" s="60" t="n">
        <x:v>18717162.760135032</x:v>
      </x:c>
      <x:c r="Q967" s="62" t="n">
        <x:v>2.216156776599754</x:v>
      </x:c>
      <x:c r="R967" s="64" t="n">
        <x:v>1.2161567765997543</x:v>
      </x:c>
    </x:row>
    <x:row r="968" ht="18" customHeight="1">
      <x:c r="A968" s="46" t="str">
        <x:v>LME_004</x:v>
      </x:c>
      <x:c r="B968" s="46" t="str">
        <x:v>Gulf of California</x:v>
      </x:c>
      <x:c r="C968" s="46" t="str">
        <x:v>functional</x:v>
      </x:c>
      <x:c r="D968" s="46" t="str">
        <x:v>Small to medium flatfishes (&lt;90 cm)</x:v>
      </x:c>
      <x:c r="E968" s="66" t="n">
        <x:v>4</x:v>
      </x:c>
      <x:c r="F968" s="66" t="n">
        <x:v>4</x:v>
      </x:c>
      <x:c r="G968" s="60" t="n">
        <x:v>14274.9401417047</x:v>
      </x:c>
      <x:c r="H968" s="60" t="n">
        <x:v>14274.9401417047</x:v>
      </x:c>
      <x:c r="I968" s="62" t="n">
        <x:v>0</x:v>
      </x:c>
      <x:c r="J968" s="64" t="n">
        <x:v>1</x:v>
      </x:c>
      <x:c r="K968" s="62" t="n">
        <x:v>794.9222719799703</x:v>
      </x:c>
      <x:c r="L968" s="60" t="n">
        <x:v>11347467.84982198</x:v>
      </x:c>
      <x:c r="M968" s="62" t="n">
        <x:v>3.8015535776013145</x:v>
      </x:c>
      <x:c r="N968" s="62" t="n">
        <x:v>633.2184751472323</x:v>
      </x:c>
      <x:c r="O968" s="60" t="n">
        <x:v>9039155.829348266</x:v>
      </x:c>
      <x:c r="P968" s="60" t="n">
        <x:v>2308312.020473713</x:v>
      </x:c>
      <x:c r="Q968" s="62" t="n">
        <x:v>1.2553680967617686</x:v>
      </x:c>
      <x:c r="R968" s="64" t="n">
        <x:v>0.25536809676176864</x:v>
      </x:c>
    </x:row>
    <x:row r="969" ht="18" customHeight="1">
      <x:c r="A969" s="46" t="str">
        <x:v>LME_005</x:v>
      </x:c>
      <x:c r="B969" s="46" t="str">
        <x:v>Gulf of Mexico</x:v>
      </x:c>
      <x:c r="C969" s="46" t="str">
        <x:v>functional</x:v>
      </x:c>
      <x:c r="D969" s="46" t="str">
        <x:v>Cephalopods</x:v>
      </x:c>
      <x:c r="E969" s="66" t="n">
        <x:v>9</x:v>
      </x:c>
      <x:c r="F969" s="66" t="n">
        <x:v>9</x:v>
      </x:c>
      <x:c r="G969" s="60" t="n">
        <x:v>32439.960181065304</x:v>
      </x:c>
      <x:c r="H969" s="60" t="n">
        <x:v>32439.960181065304</x:v>
      </x:c>
      <x:c r="I969" s="62" t="n">
        <x:v>0</x:v>
      </x:c>
      <x:c r="J969" s="64" t="n">
        <x:v>1</x:v>
      </x:c>
      <x:c r="K969" s="62" t="n">
        <x:v>349.8435975007398</x:v>
      </x:c>
      <x:c r="L969" s="60" t="n">
        <x:v>11348912.372524636</x:v>
      </x:c>
      <x:c r="M969" s="62" t="n">
        <x:v>3.5405091820996764</x:v>
      </x:c>
      <x:c r="N969" s="62" t="n">
        <x:v>347.143615316852</x:v>
      </x:c>
      <x:c r="O969" s="60" t="n">
        <x:v>11261325.05798973</x:v>
      </x:c>
      <x:c r="P969" s="60" t="n">
        <x:v>87587.3145349063</x:v>
      </x:c>
      <x:c r="Q969" s="62" t="n">
        <x:v>1.007777709468813</x:v>
      </x:c>
      <x:c r="R969" s="64" t="n">
        <x:v>0.007777709468812864</x:v>
      </x:c>
    </x:row>
    <x:row r="970" ht="18" customHeight="1">
      <x:c r="A970" s="46" t="str">
        <x:v>LME_005</x:v>
      </x:c>
      <x:c r="B970" s="46" t="str">
        <x:v>Gulf of Mexico</x:v>
      </x:c>
      <x:c r="C970" s="46" t="str">
        <x:v>functional</x:v>
      </x:c>
      <x:c r="D970" s="46" t="str">
        <x:v>Jellyfish</x:v>
      </x:c>
      <x:c r="E970" s="66" t="n">
        <x:v>4</x:v>
      </x:c>
      <x:c r="F970" s="66" t="n">
        <x:v>4</x:v>
      </x:c>
      <x:c r="G970" s="60" t="n">
        <x:v>1391.1674149021</x:v>
      </x:c>
      <x:c r="H970" s="60" t="n">
        <x:v>1391.1674149021</x:v>
      </x:c>
      <x:c r="I970" s="62" t="n">
        <x:v>0</x:v>
      </x:c>
      <x:c r="J970" s="64" t="n">
        <x:v>1</x:v>
      </x:c>
      <x:c r="K970" s="62" t="n">
        <x:v>222.9629964329004</x:v>
      </x:c>
      <x:c r="L970" s="60" t="n">
        <x:v>310178.8553663842</x:v>
      </x:c>
      <x:c r="M970" s="62" t="n">
        <x:v>3.347215881364094</x:v>
      </x:c>
      <x:c r="N970" s="62" t="n">
        <x:v>222.44153398455717</x:v>
      </x:c>
      <x:c r="O970" s="60" t="n">
        <x:v>309453.41380015406</x:v>
      </x:c>
      <x:c r="P970" s="60" t="n">
        <x:v>725.4415662301471</x:v>
      </x:c>
      <x:c r="Q970" s="62" t="n">
        <x:v>1.002344267453125</x:v>
      </x:c>
      <x:c r="R970" s="64" t="n">
        <x:v>0.0023442674531250754</x:v>
      </x:c>
    </x:row>
    <x:row r="971" ht="18" customHeight="1">
      <x:c r="A971" s="46" t="str">
        <x:v>LME_005</x:v>
      </x:c>
      <x:c r="B971" s="46" t="str">
        <x:v>Gulf of Mexico</x:v>
      </x:c>
      <x:c r="C971" s="46" t="str">
        <x:v>functional</x:v>
      </x:c>
      <x:c r="D971" s="46" t="str">
        <x:v>Large bathydemersals (&gt;=90 cm)</x:v>
      </x:c>
      <x:c r="E971" s="66" t="n">
        <x:v>2</x:v>
      </x:c>
      <x:c r="F971" s="66" t="n">
        <x:v>2</x:v>
      </x:c>
      <x:c r="G971" s="60" t="n">
        <x:v>11.260100452</x:v>
      </x:c>
      <x:c r="H971" s="60" t="n">
        <x:v>11.260100452</x:v>
      </x:c>
      <x:c r="I971" s="62" t="n">
        <x:v>0</x:v>
      </x:c>
      <x:c r="J971" s="64" t="n">
        <x:v>1</x:v>
      </x:c>
      <x:c r="K971" s="62" t="n">
        <x:v>470.1192408717304</x:v>
      </x:c>
      <x:c r="L971" s="60" t="n">
        <x:v>5293.589876633669</x:v>
      </x:c>
      <x:c r="M971" s="62" t="n">
        <x:v>3.6706506980434352</x:v>
      </x:c>
      <x:c r="N971" s="62" t="n">
        <x:v>468.4364683200258</x:v>
      </x:c>
      <x:c r="O971" s="60" t="n">
        <x:v>5274.641688663606</x:v>
      </x:c>
      <x:c r="P971" s="60" t="n">
        <x:v>18.948187970062463</x:v>
      </x:c>
      <x:c r="Q971" s="62" t="n">
        <x:v>1.003592317561738</x:v>
      </x:c>
      <x:c r="R971" s="64" t="n">
        <x:v>0.0035923175617381536</x:v>
      </x:c>
    </x:row>
    <x:row r="972" ht="18" customHeight="1">
      <x:c r="A972" s="46" t="str">
        <x:v>LME_005</x:v>
      </x:c>
      <x:c r="B972" s="46" t="str">
        <x:v>Gulf of Mexico</x:v>
      </x:c>
      <x:c r="C972" s="46" t="str">
        <x:v>functional</x:v>
      </x:c>
      <x:c r="D972" s="46" t="str">
        <x:v>Large bathypelagics (&gt;=90 cm)</x:v>
      </x:c>
      <x:c r="E972" s="66" t="n">
        <x:v>1</x:v>
      </x:c>
      <x:c r="F972" s="66" t="n">
        <x:v>1</x:v>
      </x:c>
      <x:c r="G972" s="60" t="n">
        <x:v>10.901996807</x:v>
      </x:c>
      <x:c r="H972" s="60" t="n">
        <x:v>10.901996807</x:v>
      </x:c>
      <x:c r="I972" s="62" t="n">
        <x:v>0</x:v>
      </x:c>
      <x:c r="J972" s="64" t="n">
        <x:v>1</x:v>
      </x:c>
      <x:c r="K972" s="62" t="n">
        <x:v>2187.761623949552</x:v>
      </x:c>
      <x:c r="L972" s="60" t="n">
        <x:v>23850.97023877515</x:v>
      </x:c>
      <x:c r="M972" s="62" t="n">
        <x:v>4.34</x:v>
      </x:c>
      <x:c r="N972" s="62" t="n">
        <x:v>2187.761623949552</x:v>
      </x:c>
      <x:c r="O972" s="60" t="n">
        <x:v>23850.97023877515</x:v>
      </x:c>
      <x:c r="P972" s="60" t="n">
        <x:v>0</x:v>
      </x:c>
      <x:c r="Q972" s="62" t="n">
        <x:v>1</x:v>
      </x:c>
      <x:c r="R972" s="64" t="n">
        <x:v>0</x:v>
      </x:c>
    </x:row>
    <x:row r="973" ht="18" customHeight="1">
      <x:c r="A973" s="46" t="str">
        <x:v>LME_005</x:v>
      </x:c>
      <x:c r="B973" s="46" t="str">
        <x:v>Gulf of Mexico</x:v>
      </x:c>
      <x:c r="C973" s="46" t="str">
        <x:v>functional</x:v>
      </x:c>
      <x:c r="D973" s="46" t="str">
        <x:v>Large benthopelagics (&gt;=90 cm)</x:v>
      </x:c>
      <x:c r="E973" s="66" t="n">
        <x:v>10</x:v>
      </x:c>
      <x:c r="F973" s="66" t="n">
        <x:v>10</x:v>
      </x:c>
      <x:c r="G973" s="60" t="n">
        <x:v>12792.292512708698</x:v>
      </x:c>
      <x:c r="H973" s="60" t="n">
        <x:v>12792.292512708698</x:v>
      </x:c>
      <x:c r="I973" s="62" t="n">
        <x:v>0</x:v>
      </x:c>
      <x:c r="J973" s="64" t="n">
        <x:v>1</x:v>
      </x:c>
      <x:c r="K973" s="62" t="n">
        <x:v>366.543932894664</x:v>
      </x:c>
      <x:c r="L973" s="60" t="n">
        <x:v>4688937.20834721</x:v>
      </x:c>
      <x:c r="M973" s="62" t="n">
        <x:v>2.6281367607736374</x:v>
      </x:c>
      <x:c r="N973" s="62" t="n">
        <x:v>42.475329911189625</x:v>
      </x:c>
      <x:c r="O973" s="60" t="n">
        <x:v>543356.8447977429</x:v>
      </x:c>
      <x:c r="P973" s="60" t="n">
        <x:v>4145580.3635494667</x:v>
      </x:c>
      <x:c r="Q973" s="62" t="n">
        <x:v>8.629572357908922</x:v>
      </x:c>
      <x:c r="R973" s="64" t="n">
        <x:v>7.629572357908921</x:v>
      </x:c>
    </x:row>
    <x:row r="974" ht="18" customHeight="1">
      <x:c r="A974" s="46" t="str">
        <x:v>LME_005</x:v>
      </x:c>
      <x:c r="B974" s="46" t="str">
        <x:v>Gulf of Mexico</x:v>
      </x:c>
      <x:c r="C974" s="46" t="str">
        <x:v>functional</x:v>
      </x:c>
      <x:c r="D974" s="46" t="str">
        <x:v>Large demersals (&gt;=90 cm)</x:v>
      </x:c>
      <x:c r="E974" s="66" t="n">
        <x:v>14</x:v>
      </x:c>
      <x:c r="F974" s="66" t="n">
        <x:v>14</x:v>
      </x:c>
      <x:c r="G974" s="60" t="n">
        <x:v>29039.2386792929</x:v>
      </x:c>
      <x:c r="H974" s="60" t="n">
        <x:v>29039.2386792929</x:v>
      </x:c>
      <x:c r="I974" s="62" t="n">
        <x:v>0</x:v>
      </x:c>
      <x:c r="J974" s="64" t="n">
        <x:v>1</x:v>
      </x:c>
      <x:c r="K974" s="62" t="n">
        <x:v>1004.9158795595082</x:v>
      </x:c>
      <x:c r="L974" s="60" t="n">
        <x:v>29181992.079140116</x:v>
      </x:c>
      <x:c r="M974" s="62" t="n">
        <x:v>3.986509227552068</x:v>
      </x:c>
      <x:c r="N974" s="62" t="n">
        <x:v>969.4138664348496</x:v>
      </x:c>
      <x:c r="O974" s="60" t="n">
        <x:v>28151040.646417767</x:v>
      </x:c>
      <x:c r="P974" s="60" t="n">
        <x:v>1030951.4327223487</x:v>
      </x:c>
      <x:c r="Q974" s="62" t="n">
        <x:v>1.0366221428781723</x:v>
      </x:c>
      <x:c r="R974" s="64" t="n">
        <x:v>0.03662214287817235</x:v>
      </x:c>
    </x:row>
    <x:row r="975" ht="18" customHeight="1">
      <x:c r="A975" s="46" t="str">
        <x:v>LME_005</x:v>
      </x:c>
      <x:c r="B975" s="46" t="str">
        <x:v>Gulf of Mexico</x:v>
      </x:c>
      <x:c r="C975" s="46" t="str">
        <x:v>functional</x:v>
      </x:c>
      <x:c r="D975" s="46" t="str">
        <x:v>Large pelagics (&gt;=90 cm)</x:v>
      </x:c>
      <x:c r="E975" s="66" t="n">
        <x:v>31</x:v>
      </x:c>
      <x:c r="F975" s="66" t="n">
        <x:v>31</x:v>
      </x:c>
      <x:c r="G975" s="60" t="n">
        <x:v>24928.092757163</x:v>
      </x:c>
      <x:c r="H975" s="60" t="n">
        <x:v>24928.092757163</x:v>
      </x:c>
      <x:c r="I975" s="62" t="n">
        <x:v>0</x:v>
      </x:c>
      <x:c r="J975" s="64" t="n">
        <x:v>1</x:v>
      </x:c>
      <x:c r="K975" s="62" t="n">
        <x:v>2480.8942248416593</x:v>
      </x:c>
      <x:c r="L975" s="60" t="n">
        <x:v>61843961.357562885</x:v>
      </x:c>
      <x:c r="M975" s="62" t="n">
        <x:v>4.3806574245623775</x:v>
      </x:c>
      <x:c r="N975" s="62" t="n">
        <x:v>2402.46696458487</x:v>
      </x:c>
      <x:c r="O975" s="60" t="n">
        <x:v>59888919.339191474</x:v>
      </x:c>
      <x:c r="P975" s="60" t="n">
        <x:v>1955042.0183714107</x:v>
      </x:c>
      <x:c r="Q975" s="62" t="n">
        <x:v>1.0326444697941315</x:v>
      </x:c>
      <x:c r="R975" s="64" t="n">
        <x:v>0.032644469794131444</x:v>
      </x:c>
    </x:row>
    <x:row r="976" ht="18" customHeight="1">
      <x:c r="A976" s="46" t="str">
        <x:v>LME_005</x:v>
      </x:c>
      <x:c r="B976" s="46" t="str">
        <x:v>Gulf of Mexico</x:v>
      </x:c>
      <x:c r="C976" s="46" t="str">
        <x:v>functional</x:v>
      </x:c>
      <x:c r="D976" s="46" t="str">
        <x:v>Large rays (&gt;=90 cm)</x:v>
      </x:c>
      <x:c r="E976" s="66" t="n">
        <x:v>7</x:v>
      </x:c>
      <x:c r="F976" s="66" t="n">
        <x:v>7</x:v>
      </x:c>
      <x:c r="G976" s="60" t="n">
        <x:v>3484.9321812237995</x:v>
      </x:c>
      <x:c r="H976" s="60" t="n">
        <x:v>3484.9321812237995</x:v>
      </x:c>
      <x:c r="I976" s="62" t="n">
        <x:v>0</x:v>
      </x:c>
      <x:c r="J976" s="64" t="n">
        <x:v>1</x:v>
      </x:c>
      <x:c r="K976" s="62" t="n">
        <x:v>274.9286644209958</x:v>
      </x:c>
      <x:c r="L976" s="60" t="n">
        <x:v>958107.7501816069</x:v>
      </x:c>
      <x:c r="M976" s="62" t="n">
        <x:v>3.4184697903790666</x:v>
      </x:c>
      <x:c r="N976" s="62" t="n">
        <x:v>262.1016713787396</x:v>
      </x:c>
      <x:c r="O976" s="60" t="n">
        <x:v>913406.5493403145</x:v>
      </x:c>
      <x:c r="P976" s="60" t="n">
        <x:v>44701.20084129239</x:v>
      </x:c>
      <x:c r="Q976" s="62" t="n">
        <x:v>1.048938997507273</x:v>
      </x:c>
      <x:c r="R976" s="64" t="n">
        <x:v>0.0489389975072729</x:v>
      </x:c>
    </x:row>
    <x:row r="977" ht="18" customHeight="1">
      <x:c r="A977" s="46" t="str">
        <x:v>LME_005</x:v>
      </x:c>
      <x:c r="B977" s="46" t="str">
        <x:v>Gulf of Mexico</x:v>
      </x:c>
      <x:c r="C977" s="46" t="str">
        <x:v>functional</x:v>
      </x:c>
      <x:c r="D977" s="46" t="str">
        <x:v>Large reef assoc. fish (&gt;=90 cm)</x:v>
      </x:c>
      <x:c r="E977" s="66" t="n">
        <x:v>26</x:v>
      </x:c>
      <x:c r="F977" s="66" t="n">
        <x:v>26</x:v>
      </x:c>
      <x:c r="G977" s="60" t="n">
        <x:v>16556.7907055644</x:v>
      </x:c>
      <x:c r="H977" s="60" t="n">
        <x:v>16556.7907055644</x:v>
      </x:c>
      <x:c r="I977" s="62" t="n">
        <x:v>0</x:v>
      </x:c>
      <x:c r="J977" s="64" t="n">
        <x:v>1</x:v>
      </x:c>
      <x:c r="K977" s="62" t="n">
        <x:v>779.4179418351936</x:v>
      </x:c>
      <x:c r="L977" s="60" t="n">
        <x:v>12904659.735127067</x:v>
      </x:c>
      <x:c r="M977" s="62" t="n">
        <x:v>3.7851445408324302</x:v>
      </x:c>
      <x:c r="N977" s="62" t="n">
        <x:v>609.7397955889408</x:v>
      </x:c>
      <x:c r="O977" s="60" t="n">
        <x:v>10095334.180419711</x:v>
      </x:c>
      <x:c r="P977" s="60" t="n">
        <x:v>2809325.554707356</x:v>
      </x:c>
      <x:c r="Q977" s="62" t="n">
        <x:v>1.2782795997141085</x:v>
      </x:c>
      <x:c r="R977" s="64" t="n">
        <x:v>0.2782795997141086</x:v>
      </x:c>
    </x:row>
    <x:row r="978" ht="18" customHeight="1">
      <x:c r="A978" s="46" t="str">
        <x:v>LME_005</x:v>
      </x:c>
      <x:c r="B978" s="46" t="str">
        <x:v>Gulf of Mexico</x:v>
      </x:c>
      <x:c r="C978" s="46" t="str">
        <x:v>functional</x:v>
      </x:c>
      <x:c r="D978" s="46" t="str">
        <x:v>Large sharks (&gt;=90 cm)</x:v>
      </x:c>
      <x:c r="E978" s="66" t="n">
        <x:v>27</x:v>
      </x:c>
      <x:c r="F978" s="66" t="n">
        <x:v>27</x:v>
      </x:c>
      <x:c r="G978" s="60" t="n">
        <x:v>8627.445655075198</x:v>
      </x:c>
      <x:c r="H978" s="60" t="n">
        <x:v>8627.445655075198</x:v>
      </x:c>
      <x:c r="I978" s="62" t="n">
        <x:v>0</x:v>
      </x:c>
      <x:c r="J978" s="64" t="n">
        <x:v>1</x:v>
      </x:c>
      <x:c r="K978" s="62" t="n">
        <x:v>1590.7969587432551</x:v>
      </x:c>
      <x:c r="L978" s="60" t="n">
        <x:v>13724514.309816336</x:v>
      </x:c>
      <x:c r="M978" s="62" t="n">
        <x:v>4.174993932455778</x:v>
      </x:c>
      <x:c r="N978" s="62" t="n">
        <x:v>1496.2147522769305</x:v>
      </x:c>
      <x:c r="O978" s="60" t="n">
        <x:v>12908511.463591019</x:v>
      </x:c>
      <x:c r="P978" s="60" t="n">
        <x:v>816002.8462253176</x:v>
      </x:c>
      <x:c r="Q978" s="62" t="n">
        <x:v>1.0632143255654911</x:v>
      </x:c>
      <x:c r="R978" s="64" t="n">
        <x:v>0.06321432556549117</x:v>
      </x:c>
    </x:row>
    <x:row r="979" ht="18" customHeight="1">
      <x:c r="A979" s="46" t="str">
        <x:v>LME_005</x:v>
      </x:c>
      <x:c r="B979" s="46" t="str">
        <x:v>Gulf of Mexico</x:v>
      </x:c>
      <x:c r="C979" s="46" t="str">
        <x:v>functional</x:v>
      </x:c>
      <x:c r="D979" s="46" t="str">
        <x:v>Lobsters, crabs</x:v>
      </x:c>
      <x:c r="E979" s="66" t="n">
        <x:v>21</x:v>
      </x:c>
      <x:c r="F979" s="66" t="n">
        <x:v>21</x:v>
      </x:c>
      <x:c r="G979" s="60" t="n">
        <x:v>49996.9489793575</x:v>
      </x:c>
      <x:c r="H979" s="60" t="n">
        <x:v>49996.9489793575</x:v>
      </x:c>
      <x:c r="I979" s="62" t="n">
        <x:v>0</x:v>
      </x:c>
      <x:c r="J979" s="64" t="n">
        <x:v>1</x:v>
      </x:c>
      <x:c r="K979" s="62" t="n">
        <x:v>887.8635687342039</x:v>
      </x:c>
      <x:c r="L979" s="60" t="n">
        <x:v>44390469.546634264</x:v>
      </x:c>
      <x:c r="M979" s="62" t="n">
        <x:v>3.9044725864610355</x:v>
      </x:c>
      <x:c r="N979" s="62" t="n">
        <x:v>802.5509006508571</x:v>
      </x:c>
      <x:c r="O979" s="60" t="n">
        <x:v>40125096.43317831</x:v>
      </x:c>
      <x:c r="P979" s="60" t="n">
        <x:v>4265373.113455951</x:v>
      </x:c>
      <x:c r="Q979" s="62" t="n">
        <x:v>1.1063018781913514</x:v>
      </x:c>
      <x:c r="R979" s="64" t="n">
        <x:v>0.10630187819135144</x:v>
      </x:c>
    </x:row>
    <x:row r="980" ht="18" customHeight="1">
      <x:c r="A980" s="46" t="str">
        <x:v>LME_005</x:v>
      </x:c>
      <x:c r="B980" s="46" t="str">
        <x:v>Gulf of Mexico</x:v>
      </x:c>
      <x:c r="C980" s="46" t="str">
        <x:v>functional</x:v>
      </x:c>
      <x:c r="D980" s="46" t="str">
        <x:v>Medium bathydemersals (30 - 89 cm)</x:v>
      </x:c>
      <x:c r="E980" s="66" t="n">
        <x:v>3</x:v>
      </x:c>
      <x:c r="F980" s="66" t="n">
        <x:v>3</x:v>
      </x:c>
      <x:c r="G980" s="60" t="n">
        <x:v>49.2032225372</x:v>
      </x:c>
      <x:c r="H980" s="60" t="n">
        <x:v>49.2032225372</x:v>
      </x:c>
      <x:c r="I980" s="62" t="n">
        <x:v>0</x:v>
      </x:c>
      <x:c r="J980" s="64" t="n">
        <x:v>1</x:v>
      </x:c>
      <x:c r="K980" s="62" t="n">
        <x:v>1081.3875015935057</x:v>
      </x:c>
      <x:c r="L980" s="60" t="n">
        <x:v>53207.74988985198</x:v>
      </x:c>
      <x:c r="M980" s="62" t="n">
        <x:v>3.942727996963339</x:v>
      </x:c>
      <x:c r="N980" s="62" t="n">
        <x:v>876.4517186109786</x:v>
      </x:c>
      <x:c r="O980" s="60" t="n">
        <x:v>43124.248953927374</x:v>
      </x:c>
      <x:c r="P980" s="60" t="n">
        <x:v>10083.500935924603</x:v>
      </x:c>
      <x:c r="Q980" s="62" t="n">
        <x:v>1.2338243837405147</x:v>
      </x:c>
      <x:c r="R980" s="64" t="n">
        <x:v>0.23382438374051467</x:v>
      </x:c>
    </x:row>
    <x:row r="981" ht="18" customHeight="1">
      <x:c r="A981" s="46" t="str">
        <x:v>LME_005</x:v>
      </x:c>
      <x:c r="B981" s="46" t="str">
        <x:v>Gulf of Mexico</x:v>
      </x:c>
      <x:c r="C981" s="46" t="str">
        <x:v>functional</x:v>
      </x:c>
      <x:c r="D981" s="46" t="str">
        <x:v>Medium benthopelagics (30 - 89 cm)</x:v>
      </x:c>
      <x:c r="E981" s="66" t="n">
        <x:v>12</x:v>
      </x:c>
      <x:c r="F981" s="66" t="n">
        <x:v>12</x:v>
      </x:c>
      <x:c r="G981" s="60" t="n">
        <x:v>20945.236180438496</x:v>
      </x:c>
      <x:c r="H981" s="60" t="n">
        <x:v>20945.236180438496</x:v>
      </x:c>
      <x:c r="I981" s="62" t="n">
        <x:v>0</x:v>
      </x:c>
      <x:c r="J981" s="64" t="n">
        <x:v>1</x:v>
      </x:c>
      <x:c r="K981" s="62" t="n">
        <x:v>211.1565281196557</x:v>
      </x:c>
      <x:c r="L981" s="60" t="n">
        <x:v>4422723.352507591</x:v>
      </x:c>
      <x:c r="M981" s="62" t="n">
        <x:v>3.027603966506247</x:v>
      </x:c>
      <x:c r="N981" s="62" t="n">
        <x:v>106.56239346899419</x:v>
      </x:c>
      <x:c r="O981" s="60" t="n">
        <x:v>2231974.4991609</x:v>
      </x:c>
      <x:c r="P981" s="60" t="n">
        <x:v>2190748.8533466915</x:v>
      </x:c>
      <x:c r="Q981" s="62" t="n">
        <x:v>1.9815295175506231</x:v>
      </x:c>
      <x:c r="R981" s="64" t="n">
        <x:v>0.981529517550623</x:v>
      </x:c>
    </x:row>
    <x:row r="982" ht="18" customHeight="1">
      <x:c r="A982" s="46" t="str">
        <x:v>LME_005</x:v>
      </x:c>
      <x:c r="B982" s="46" t="str">
        <x:v>Gulf of Mexico</x:v>
      </x:c>
      <x:c r="C982" s="46" t="str">
        <x:v>functional</x:v>
      </x:c>
      <x:c r="D982" s="46" t="str">
        <x:v>Medium demersals (30 - 89 cm)</x:v>
      </x:c>
      <x:c r="E982" s="66" t="n">
        <x:v>33</x:v>
      </x:c>
      <x:c r="F982" s="66" t="n">
        <x:v>33</x:v>
      </x:c>
      <x:c r="G982" s="60" t="n">
        <x:v>364107.47405114747</x:v>
      </x:c>
      <x:c r="H982" s="60" t="n">
        <x:v>364107.47405114747</x:v>
      </x:c>
      <x:c r="I982" s="62" t="n">
        <x:v>0</x:v>
      </x:c>
      <x:c r="J982" s="64" t="n">
        <x:v>1</x:v>
      </x:c>
      <x:c r="K982" s="62" t="n">
        <x:v>369.9793196436499</x:v>
      </x:c>
      <x:c r="L982" s="60" t="n">
        <x:v>134712235.52661145</x:v>
      </x:c>
      <x:c r="M982" s="62" t="n">
        <x:v>3.427953755440533</x:v>
      </x:c>
      <x:c r="N982" s="62" t="n">
        <x:v>267.88830567165894</x:v>
      </x:c>
      <x:c r="O982" s="60" t="n">
        <x:v>97540134.30594942</x:v>
      </x:c>
      <x:c r="P982" s="60" t="n">
        <x:v>37172101.22066203</x:v>
      </x:c>
      <x:c r="Q982" s="62" t="n">
        <x:v>1.3810954484034859</x:v>
      </x:c>
      <x:c r="R982" s="64" t="n">
        <x:v>0.38109544840348586</x:v>
      </x:c>
    </x:row>
    <x:row r="983" ht="18" customHeight="1">
      <x:c r="A983" s="46" t="str">
        <x:v>LME_005</x:v>
      </x:c>
      <x:c r="B983" s="46" t="str">
        <x:v>Gulf of Mexico</x:v>
      </x:c>
      <x:c r="C983" s="46" t="str">
        <x:v>functional</x:v>
      </x:c>
      <x:c r="D983" s="46" t="str">
        <x:v>Medium pelagics (30 - 89 cm)</x:v>
      </x:c>
      <x:c r="E983" s="66" t="n">
        <x:v>19</x:v>
      </x:c>
      <x:c r="F983" s="66" t="n">
        <x:v>19</x:v>
      </x:c>
      <x:c r="G983" s="60" t="n">
        <x:v>174280.20743844478</x:v>
      </x:c>
      <x:c r="H983" s="60" t="n">
        <x:v>174280.20743844478</x:v>
      </x:c>
      <x:c r="I983" s="62" t="n">
        <x:v>0</x:v>
      </x:c>
      <x:c r="J983" s="64" t="n">
        <x:v>1</x:v>
      </x:c>
      <x:c r="K983" s="62" t="n">
        <x:v>367.44321696477556</x:v>
      </x:c>
      <x:c r="L983" s="60" t="n">
        <x:v>64038080.07447056</x:v>
      </x:c>
      <x:c r="M983" s="62" t="n">
        <x:v>2.510154524963431</x:v>
      </x:c>
      <x:c r="N983" s="62" t="n">
        <x:v>32.37088142638826</x:v>
      </x:c>
      <x:c r="O983" s="60" t="n">
        <x:v>5641603.929956245</x:v>
      </x:c>
      <x:c r="P983" s="60" t="n">
        <x:v>58396476.144514315</x:v>
      </x:c>
      <x:c r="Q983" s="62" t="n">
        <x:v>11.351041453731975</x:v>
      </x:c>
      <x:c r="R983" s="64" t="n">
        <x:v>10.351041453731975</x:v>
      </x:c>
    </x:row>
    <x:row r="984" ht="18" customHeight="1">
      <x:c r="A984" s="46" t="str">
        <x:v>LME_005</x:v>
      </x:c>
      <x:c r="B984" s="46" t="str">
        <x:v>Gulf of Mexico</x:v>
      </x:c>
      <x:c r="C984" s="46" t="str">
        <x:v>functional</x:v>
      </x:c>
      <x:c r="D984" s="46" t="str">
        <x:v>Medium reef assoc. fish (30 - 89 cm)</x:v>
      </x:c>
      <x:c r="E984" s="66" t="n">
        <x:v>66</x:v>
      </x:c>
      <x:c r="F984" s="66" t="n">
        <x:v>66</x:v>
      </x:c>
      <x:c r="G984" s="60" t="n">
        <x:v>73891.01690089628</x:v>
      </x:c>
      <x:c r="H984" s="60" t="n">
        <x:v>73891.01690089628</x:v>
      </x:c>
      <x:c r="I984" s="62" t="n">
        <x:v>0</x:v>
      </x:c>
      <x:c r="J984" s="64" t="n">
        <x:v>1</x:v>
      </x:c>
      <x:c r="K984" s="62" t="n">
        <x:v>1104.8227187621533</x:v>
      </x:c>
      <x:c r="L984" s="60" t="n">
        <x:v>81636474.18454845</x:v>
      </x:c>
      <x:c r="M984" s="62" t="n">
        <x:v>3.95915492333414</x:v>
      </x:c>
      <x:c r="N984" s="62" t="n">
        <x:v>910.2379185809588</x:v>
      </x:c>
      <x:c r="O984" s="60" t="n">
        <x:v>67258405.42570227</x:v>
      </x:c>
      <x:c r="P984" s="60" t="n">
        <x:v>14378068.758846179</x:v>
      </x:c>
      <x:c r="Q984" s="62" t="n">
        <x:v>1.2137735598672357</x:v>
      </x:c>
      <x:c r="R984" s="64" t="n">
        <x:v>0.21377355986723576</x:v>
      </x:c>
    </x:row>
    <x:row r="985" ht="18" customHeight="1">
      <x:c r="A985" s="46" t="str">
        <x:v>LME_005</x:v>
      </x:c>
      <x:c r="B985" s="46" t="str">
        <x:v>Gulf of Mexico</x:v>
      </x:c>
      <x:c r="C985" s="46" t="str">
        <x:v>functional</x:v>
      </x:c>
      <x:c r="D985" s="46" t="str">
        <x:v>Other demersal invertebrates</x:v>
      </x:c>
      <x:c r="E985" s="66" t="n">
        <x:v>45</x:v>
      </x:c>
      <x:c r="F985" s="66" t="n">
        <x:v>45</x:v>
      </x:c>
      <x:c r="G985" s="60" t="n">
        <x:v>96781.75823547189</x:v>
      </x:c>
      <x:c r="H985" s="60" t="n">
        <x:v>96781.75823547189</x:v>
      </x:c>
      <x:c r="I985" s="62" t="n">
        <x:v>0</x:v>
      </x:c>
      <x:c r="J985" s="64" t="n">
        <x:v>1</x:v>
      </x:c>
      <x:c r="K985" s="62" t="n">
        <x:v>19.292051648078733</x:v>
      </x:c>
      <x:c r="L985" s="60" t="n">
        <x:v>1867118.678470593</x:v>
      </x:c>
      <x:c r="M985" s="62" t="n">
        <x:v>2.1345278277135655</x:v>
      </x:c>
      <x:c r="N985" s="62" t="n">
        <x:v>13.631003449890223</x:v>
      </x:c>
      <x:c r="O985" s="60" t="n">
        <x:v>1319232.4803941587</x:v>
      </x:c>
      <x:c r="P985" s="60" t="n">
        <x:v>547886.1980764342</x:v>
      </x:c>
      <x:c r="Q985" s="62" t="n">
        <x:v>1.415306783466048</x:v>
      </x:c>
      <x:c r="R985" s="64" t="n">
        <x:v>0.41530678346604794</x:v>
      </x:c>
    </x:row>
    <x:row r="986" ht="18" customHeight="1">
      <x:c r="A986" s="46" t="str">
        <x:v>LME_005</x:v>
      </x:c>
      <x:c r="B986" s="46" t="str">
        <x:v>Gulf of Mexico</x:v>
      </x:c>
      <x:c r="C986" s="46" t="str">
        <x:v>functional</x:v>
      </x:c>
      <x:c r="D986" s="46" t="str">
        <x:v>Shrimps</x:v>
      </x:c>
      <x:c r="E986" s="66" t="n">
        <x:v>14</x:v>
      </x:c>
      <x:c r="F986" s="66" t="n">
        <x:v>14</x:v>
      </x:c>
      <x:c r="G986" s="60" t="n">
        <x:v>141753.4705708743</x:v>
      </x:c>
      <x:c r="H986" s="60" t="n">
        <x:v>141753.4705708743</x:v>
      </x:c>
      <x:c r="I986" s="62" t="n">
        <x:v>0</x:v>
      </x:c>
      <x:c r="J986" s="64" t="n">
        <x:v>1</x:v>
      </x:c>
      <x:c r="K986" s="62" t="n">
        <x:v>74.62034735223908</x:v>
      </x:c>
      <x:c r="L986" s="60" t="n">
        <x:v>10577693.212384041</x:v>
      </x:c>
      <x:c r="M986" s="62" t="n">
        <x:v>2.833538302065758</x:v>
      </x:c>
      <x:c r="N986" s="62" t="n">
        <x:v>68.16136861536363</x:v>
      </x:c>
      <x:c r="O986" s="60" t="n">
        <x:v>9662110.560088465</x:v>
      </x:c>
      <x:c r="P986" s="60" t="n">
        <x:v>915582.6522955764</x:v>
      </x:c>
      <x:c r="Q986" s="62" t="n">
        <x:v>1.0947601092537274</x:v>
      </x:c>
      <x:c r="R986" s="64" t="n">
        <x:v>0.09476010925372742</x:v>
      </x:c>
    </x:row>
    <x:row r="987" ht="18" customHeight="1">
      <x:c r="A987" s="46" t="str">
        <x:v>LME_005</x:v>
      </x:c>
      <x:c r="B987" s="46" t="str">
        <x:v>Gulf of Mexico</x:v>
      </x:c>
      <x:c r="C987" s="46" t="str">
        <x:v>functional</x:v>
      </x:c>
      <x:c r="D987" s="46" t="str">
        <x:v>Small benthopelagics (&lt;30 cm)</x:v>
      </x:c>
      <x:c r="E987" s="66" t="n">
        <x:v>4</x:v>
      </x:c>
      <x:c r="F987" s="66" t="n">
        <x:v>4</x:v>
      </x:c>
      <x:c r="G987" s="60" t="n">
        <x:v>2209.0179212141</x:v>
      </x:c>
      <x:c r="H987" s="60" t="n">
        <x:v>2209.0179212141</x:v>
      </x:c>
      <x:c r="I987" s="62" t="n">
        <x:v>0</x:v>
      </x:c>
      <x:c r="J987" s="64" t="n">
        <x:v>1</x:v>
      </x:c>
      <x:c r="K987" s="62" t="n">
        <x:v>195.90120176754004</x:v>
      </x:c>
      <x:c r="L987" s="60" t="n">
        <x:v>432749.2654918753</x:v>
      </x:c>
      <x:c r="M987" s="62" t="n">
        <x:v>3.148026664296793</x:v>
      </x:c>
      <x:c r="N987" s="62" t="n">
        <x:v>140.6133853616003</x:v>
      </x:c>
      <x:c r="O987" s="60" t="n">
        <x:v>310617.4882263595</x:v>
      </x:c>
      <x:c r="P987" s="60" t="n">
        <x:v>122131.77726551582</x:v>
      </x:c>
      <x:c r="Q987" s="62" t="n">
        <x:v>1.3931902803119491</x:v>
      </x:c>
      <x:c r="R987" s="64" t="n">
        <x:v>0.3931902803119491</x:v>
      </x:c>
    </x:row>
    <x:row r="988" ht="18" customHeight="1">
      <x:c r="A988" s="46" t="str">
        <x:v>LME_005</x:v>
      </x:c>
      <x:c r="B988" s="46" t="str">
        <x:v>Gulf of Mexico</x:v>
      </x:c>
      <x:c r="C988" s="46" t="str">
        <x:v>functional</x:v>
      </x:c>
      <x:c r="D988" s="46" t="str">
        <x:v>Small demersals (&lt;30 cm)</x:v>
      </x:c>
      <x:c r="E988" s="66" t="n">
        <x:v>5</x:v>
      </x:c>
      <x:c r="F988" s="66" t="n">
        <x:v>5</x:v>
      </x:c>
      <x:c r="G988" s="60" t="n">
        <x:v>671.1049766717</x:v>
      </x:c>
      <x:c r="H988" s="60" t="n">
        <x:v>671.1049766717</x:v>
      </x:c>
      <x:c r="I988" s="62" t="n">
        <x:v>0</x:v>
      </x:c>
      <x:c r="J988" s="64" t="n">
        <x:v>1</x:v>
      </x:c>
      <x:c r="K988" s="62" t="n">
        <x:v>1300.1601197908958</x:v>
      </x:c>
      <x:c r="L988" s="60" t="n">
        <x:v>872543.9268617438</x:v>
      </x:c>
      <x:c r="M988" s="62" t="n">
        <x:v>3.8751328870935824</x:v>
      </x:c>
      <x:c r="N988" s="62" t="n">
        <x:v>750.1236999511916</x:v>
      </x:c>
      <x:c r="O988" s="60" t="n">
        <x:v>503411.74815663375</x:v>
      </x:c>
      <x:c r="P988" s="60" t="n">
        <x:v>369132.17870511004</x:v>
      </x:c>
      <x:c r="Q988" s="62" t="n">
        <x:v>1.7332609539939792</x:v>
      </x:c>
      <x:c r="R988" s="64" t="n">
        <x:v>0.7332609539939792</x:v>
      </x:c>
    </x:row>
    <x:row r="989" ht="18" customHeight="1">
      <x:c r="A989" s="46" t="str">
        <x:v>LME_005</x:v>
      </x:c>
      <x:c r="B989" s="46" t="str">
        <x:v>Gulf of Mexico</x:v>
      </x:c>
      <x:c r="C989" s="46" t="str">
        <x:v>functional</x:v>
      </x:c>
      <x:c r="D989" s="46" t="str">
        <x:v>Small pelagics (&lt;30 cm)</x:v>
      </x:c>
      <x:c r="E989" s="66" t="n">
        <x:v>9</x:v>
      </x:c>
      <x:c r="F989" s="66" t="n">
        <x:v>9</x:v>
      </x:c>
      <x:c r="G989" s="60" t="n">
        <x:v>492587.18340061203</x:v>
      </x:c>
      <x:c r="H989" s="60" t="n">
        <x:v>492587.18340061203</x:v>
      </x:c>
      <x:c r="I989" s="62" t="n">
        <x:v>0</x:v>
      </x:c>
      <x:c r="J989" s="64" t="n">
        <x:v>1</x:v>
      </x:c>
      <x:c r="K989" s="62" t="n">
        <x:v>161.3893296587264</x:v>
      </x:c>
      <x:c r="L989" s="60" t="n">
        <x:v>79498315.3275049</x:v>
      </x:c>
      <x:c r="M989" s="62" t="n">
        <x:v>3.1675854190951394</x:v>
      </x:c>
      <x:c r="N989" s="62" t="n">
        <x:v>147.09076920452813</x:v>
      </x:c>
      <x:c r="O989" s="60" t="n">
        <x:v>72455027.70668799</x:v>
      </x:c>
      <x:c r="P989" s="60" t="n">
        <x:v>7043287.620816916</x:v>
      </x:c>
      <x:c r="Q989" s="62" t="n">
        <x:v>1.0972090942995634</x:v>
      </x:c>
      <x:c r="R989" s="64" t="n">
        <x:v>0.09720909429956347</x:v>
      </x:c>
    </x:row>
    <x:row r="990" ht="18" customHeight="1">
      <x:c r="A990" s="46" t="str">
        <x:v>LME_005</x:v>
      </x:c>
      <x:c r="B990" s="46" t="str">
        <x:v>Gulf of Mexico</x:v>
      </x:c>
      <x:c r="C990" s="46" t="str">
        <x:v>functional</x:v>
      </x:c>
      <x:c r="D990" s="46" t="str">
        <x:v>Small reef assoc. fish (&lt;30 cm)</x:v>
      </x:c>
      <x:c r="E990" s="66" t="n">
        <x:v>52</x:v>
      </x:c>
      <x:c r="F990" s="66" t="n">
        <x:v>52</x:v>
      </x:c>
      <x:c r="G990" s="60" t="n">
        <x:v>2251.6567992402</x:v>
      </x:c>
      <x:c r="H990" s="60" t="n">
        <x:v>2251.6567992402</x:v>
      </x:c>
      <x:c r="I990" s="62" t="n">
        <x:v>0</x:v>
      </x:c>
      <x:c r="J990" s="64" t="n">
        <x:v>1</x:v>
      </x:c>
      <x:c r="K990" s="62" t="n">
        <x:v>273.5638519800743</x:v>
      </x:c>
      <x:c r="L990" s="60" t="n">
        <x:v>615971.9073372739</x:v>
      </x:c>
      <x:c r="M990" s="62" t="n">
        <x:v>3.3012322257398483</x:v>
      </x:c>
      <x:c r="N990" s="62" t="n">
        <x:v>200.09315207814993</x:v>
      </x:c>
      <x:c r="O990" s="60" t="n">
        <x:v>450541.1063581697</x:v>
      </x:c>
      <x:c r="P990" s="60" t="n">
        <x:v>165430.80097910424</x:v>
      </x:c>
      <x:c r="Q990" s="62" t="n">
        <x:v>1.3671824804540489</x:v>
      </x:c>
      <x:c r="R990" s="64" t="n">
        <x:v>0.367182480454049</x:v>
      </x:c>
    </x:row>
    <x:row r="991" ht="18" customHeight="1">
      <x:c r="A991" s="46" t="str">
        <x:v>LME_005</x:v>
      </x:c>
      <x:c r="B991" s="46" t="str">
        <x:v>Gulf of Mexico</x:v>
      </x:c>
      <x:c r="C991" s="46" t="str">
        <x:v>functional</x:v>
      </x:c>
      <x:c r="D991" s="46" t="str">
        <x:v>Small to medium flatfishes (&lt;90 cm)</x:v>
      </x:c>
      <x:c r="E991" s="66" t="n">
        <x:v>2</x:v>
      </x:c>
      <x:c r="F991" s="66" t="n">
        <x:v>2</x:v>
      </x:c>
      <x:c r="G991" s="60" t="n">
        <x:v>462.7281089285</x:v>
      </x:c>
      <x:c r="H991" s="60" t="n">
        <x:v>462.7281089285</x:v>
      </x:c>
      <x:c r="I991" s="62" t="n">
        <x:v>0</x:v>
      </x:c>
      <x:c r="J991" s="64" t="n">
        <x:v>1</x:v>
      </x:c>
      <x:c r="K991" s="62" t="n">
        <x:v>543.1083421687077</x:v>
      </x:c>
      <x:c r="L991" s="60" t="n">
        <x:v>251311.49611501885</x:v>
      </x:c>
      <x:c r="M991" s="62" t="n">
        <x:v>3.7279074645430508</x:v>
      </x:c>
      <x:c r="N991" s="62" t="n">
        <x:v>534.4504714941663</x:v>
      </x:c>
      <x:c r="O991" s="60" t="n">
        <x:v>247305.25599044075</x:v>
      </x:c>
      <x:c r="P991" s="60" t="n">
        <x:v>4006.240124578093</x:v>
      </x:c>
      <x:c r="Q991" s="62" t="n">
        <x:v>1.0161995753326527</x:v>
      </x:c>
      <x:c r="R991" s="64" t="n">
        <x:v>0.01619957533265265</x:v>
      </x:c>
    </x:row>
    <x:row r="992" ht="18" customHeight="1">
      <x:c r="A992" s="46" t="str">
        <x:v>LME_005</x:v>
      </x:c>
      <x:c r="B992" s="46" t="str">
        <x:v>Gulf of Mexico</x:v>
      </x:c>
      <x:c r="C992" s="46" t="str">
        <x:v>functional</x:v>
      </x:c>
      <x:c r="D992" s="46" t="str">
        <x:v>Small to medium rays (&lt;90 cm)</x:v>
      </x:c>
      <x:c r="E992" s="66" t="n">
        <x:v>2</x:v>
      </x:c>
      <x:c r="F992" s="66" t="n">
        <x:v>2</x:v>
      </x:c>
      <x:c r="G992" s="60" t="n">
        <x:v>6.7364556287</x:v>
      </x:c>
      <x:c r="H992" s="60" t="n">
        <x:v>6.7364556287</x:v>
      </x:c>
      <x:c r="I992" s="62" t="n">
        <x:v>0</x:v>
      </x:c>
      <x:c r="J992" s="64" t="n">
        <x:v>1</x:v>
      </x:c>
      <x:c r="K992" s="62" t="n">
        <x:v>363.00551987244444</x:v>
      </x:c>
      <x:c r="L992" s="60" t="n">
        <x:v>2445.370577593898</x:v>
      </x:c>
      <x:c r="M992" s="62" t="n">
        <x:v>3.5599122349267054</x:v>
      </x:c>
      <x:c r="N992" s="62" t="n">
        <x:v>363.0046889921986</x:v>
      </x:c>
      <x:c r="O992" s="60" t="n">
        <x:v>2445.364980405989</x:v>
      </x:c>
      <x:c r="P992" s="60" t="n">
        <x:v>0.005597187908733758</x:v>
      </x:c>
      <x:c r="Q992" s="62" t="n">
        <x:v>1.0000022888967306</x:v>
      </x:c>
      <x:c r="R992" s="64" t="n">
        <x:v>0.000002288896730583134</x:v>
      </x:c>
    </x:row>
    <x:row r="993" ht="18" customHeight="1">
      <x:c r="A993" s="46" t="str">
        <x:v>LME_006</x:v>
      </x:c>
      <x:c r="B993" s="46" t="str">
        <x:v>Southeast U.S. Continental Shelf</x:v>
      </x:c>
      <x:c r="C993" s="46" t="str">
        <x:v>functional</x:v>
      </x:c>
      <x:c r="D993" s="46" t="str">
        <x:v>Cephalopods</x:v>
      </x:c>
      <x:c r="E993" s="66" t="n">
        <x:v>5</x:v>
      </x:c>
      <x:c r="F993" s="66" t="n">
        <x:v>5</x:v>
      </x:c>
      <x:c r="G993" s="60" t="n">
        <x:v>26.551646836799996</x:v>
      </x:c>
      <x:c r="H993" s="60" t="n">
        <x:v>26.551646836799996</x:v>
      </x:c>
      <x:c r="I993" s="62" t="n">
        <x:v>0</x:v>
      </x:c>
      <x:c r="J993" s="64" t="n">
        <x:v>1</x:v>
      </x:c>
      <x:c r="K993" s="62" t="n">
        <x:v>1091.0030224963725</x:v>
      </x:c>
      <x:c r="L993" s="60" t="n">
        <x:v>28967.926951205045</x:v>
      </x:c>
      <x:c r="M993" s="62" t="n">
        <x:v>4.022435646432423</x:v>
      </x:c>
      <x:c r="N993" s="62" t="n">
        <x:v>1053.0176398722763</x:v>
      </x:c>
      <x:c r="O993" s="60" t="n">
        <x:v>27959.352486809323</x:v>
      </x:c>
      <x:c r="P993" s="60" t="n">
        <x:v>1008.5744643957223</x:v>
      </x:c>
      <x:c r="Q993" s="62" t="n">
        <x:v>1.0360728834786694</x:v>
      </x:c>
      <x:c r="R993" s="64" t="n">
        <x:v>0.03607288347866955</x:v>
      </x:c>
    </x:row>
    <x:row r="994" ht="18" customHeight="1">
      <x:c r="A994" s="46" t="str">
        <x:v>LME_006</x:v>
      </x:c>
      <x:c r="B994" s="46" t="str">
        <x:v>Southeast U.S. Continental Shelf</x:v>
      </x:c>
      <x:c r="C994" s="46" t="str">
        <x:v>functional</x:v>
      </x:c>
      <x:c r="D994" s="46" t="str">
        <x:v>Jellyfish</x:v>
      </x:c>
      <x:c r="E994" s="66" t="n">
        <x:v>3</x:v>
      </x:c>
      <x:c r="F994" s="66" t="n">
        <x:v>3</x:v>
      </x:c>
      <x:c r="G994" s="60" t="n">
        <x:v>2620.5628722214</x:v>
      </x:c>
      <x:c r="H994" s="60" t="n">
        <x:v>2620.5628722214</x:v>
      </x:c>
      <x:c r="I994" s="62" t="n">
        <x:v>0</x:v>
      </x:c>
      <x:c r="J994" s="64" t="n">
        <x:v>1</x:v>
      </x:c>
      <x:c r="K994" s="62" t="n">
        <x:v>227.06278108550978</x:v>
      </x:c>
      <x:c r="L994" s="60" t="n">
        <x:v>595032.2937760225</x:v>
      </x:c>
      <x:c r="M994" s="62" t="n">
        <x:v>3.3542817357551336</x:v>
      </x:c>
      <x:c r="N994" s="62" t="n">
        <x:v>226.09019881678122</x:v>
      </x:c>
      <x:c r="O994" s="60" t="n">
        <x:v>592483.5807924116</x:v>
      </x:c>
      <x:c r="P994" s="60" t="n">
        <x:v>2548.7129836109234</x:v>
      </x:c>
      <x:c r="Q994" s="62" t="n">
        <x:v>1.0043017444976319</x:v>
      </x:c>
      <x:c r="R994" s="64" t="n">
        <x:v>0.004301744497631768</x:v>
      </x:c>
    </x:row>
    <x:row r="995" ht="18" customHeight="1">
      <x:c r="A995" s="46" t="str">
        <x:v>LME_006</x:v>
      </x:c>
      <x:c r="B995" s="46" t="str">
        <x:v>Southeast U.S. Continental Shelf</x:v>
      </x:c>
      <x:c r="C995" s="46" t="str">
        <x:v>functional</x:v>
      </x:c>
      <x:c r="D995" s="46" t="str">
        <x:v>Large bathydemersals (&gt;=90 cm)</x:v>
      </x:c>
      <x:c r="E995" s="66" t="n">
        <x:v>3</x:v>
      </x:c>
      <x:c r="F995" s="66" t="n">
        <x:v>3</x:v>
      </x:c>
      <x:c r="G995" s="60" t="n">
        <x:v>11.834365251000001</x:v>
      </x:c>
      <x:c r="H995" s="60" t="n">
        <x:v>11.834365251000001</x:v>
      </x:c>
      <x:c r="I995" s="62" t="n">
        <x:v>0</x:v>
      </x:c>
      <x:c r="J995" s="64" t="n">
        <x:v>1</x:v>
      </x:c>
      <x:c r="K995" s="62" t="n">
        <x:v>3526.026477454633</x:v>
      </x:c>
      <x:c r="L995" s="60" t="n">
        <x:v>41728.28521889505</x:v>
      </x:c>
      <x:c r="M995" s="62" t="n">
        <x:v>4.528609495753174</x:v>
      </x:c>
      <x:c r="N995" s="62" t="n">
        <x:v>3377.609953208889</x:v>
      </x:c>
      <x:c r="O995" s="60" t="n">
        <x:v>39971.86986168702</x:v>
      </x:c>
      <x:c r="P995" s="60" t="n">
        <x:v>1756.4153572080322</x:v>
      </x:c>
      <x:c r="Q995" s="62" t="n">
        <x:v>1.0439412857913748</x:v>
      </x:c>
      <x:c r="R995" s="64" t="n">
        <x:v>0.04394128579137485</x:v>
      </x:c>
    </x:row>
    <x:row r="996" ht="18" customHeight="1">
      <x:c r="A996" s="46" t="str">
        <x:v>LME_006</x:v>
      </x:c>
      <x:c r="B996" s="46" t="str">
        <x:v>Southeast U.S. Continental Shelf</x:v>
      </x:c>
      <x:c r="C996" s="46" t="str">
        <x:v>functional</x:v>
      </x:c>
      <x:c r="D996" s="46" t="str">
        <x:v>Large bathypelagics (&gt;=90 cm)</x:v>
      </x:c>
      <x:c r="E996" s="66" t="n">
        <x:v>1</x:v>
      </x:c>
      <x:c r="F996" s="66" t="n">
        <x:v>1</x:v>
      </x:c>
      <x:c r="G996" s="60" t="n">
        <x:v>6.0252607273</x:v>
      </x:c>
      <x:c r="H996" s="60" t="n">
        <x:v>6.0252607273</x:v>
      </x:c>
      <x:c r="I996" s="62" t="n">
        <x:v>0</x:v>
      </x:c>
      <x:c r="J996" s="64" t="n">
        <x:v>1</x:v>
      </x:c>
      <x:c r="K996" s="62" t="n">
        <x:v>2187.761623949552</x:v>
      </x:c>
      <x:c r="L996" s="60" t="n">
        <x:v>13181.834193477307</x:v>
      </x:c>
      <x:c r="M996" s="62" t="n">
        <x:v>4.34</x:v>
      </x:c>
      <x:c r="N996" s="62" t="n">
        <x:v>2187.761623949552</x:v>
      </x:c>
      <x:c r="O996" s="60" t="n">
        <x:v>13181.834193477307</x:v>
      </x:c>
      <x:c r="P996" s="60" t="n">
        <x:v>0</x:v>
      </x:c>
      <x:c r="Q996" s="62" t="n">
        <x:v>1</x:v>
      </x:c>
      <x:c r="R996" s="64" t="n">
        <x:v>0</x:v>
      </x:c>
    </x:row>
    <x:row r="997" ht="18" customHeight="1">
      <x:c r="A997" s="46" t="str">
        <x:v>LME_006</x:v>
      </x:c>
      <x:c r="B997" s="46" t="str">
        <x:v>Southeast U.S. Continental Shelf</x:v>
      </x:c>
      <x:c r="C997" s="46" t="str">
        <x:v>functional</x:v>
      </x:c>
      <x:c r="D997" s="46" t="str">
        <x:v>Large benthopelagics (&gt;=90 cm)</x:v>
      </x:c>
      <x:c r="E997" s="66" t="n">
        <x:v>8</x:v>
      </x:c>
      <x:c r="F997" s="66" t="n">
        <x:v>8</x:v>
      </x:c>
      <x:c r="G997" s="60" t="n">
        <x:v>1252.1202815591</x:v>
      </x:c>
      <x:c r="H997" s="60" t="n">
        <x:v>1252.1202815591</x:v>
      </x:c>
      <x:c r="I997" s="62" t="n">
        <x:v>0</x:v>
      </x:c>
      <x:c r="J997" s="64" t="n">
        <x:v>1</x:v>
      </x:c>
      <x:c r="K997" s="62" t="n">
        <x:v>587.324218720758</x:v>
      </x:c>
      <x:c r="L997" s="60" t="n">
        <x:v>735400.566111114</x:v>
      </x:c>
      <x:c r="M997" s="62" t="n">
        <x:v>2.699123318920969</x:v>
      </x:c>
      <x:c r="N997" s="62" t="n">
        <x:v>50.01765410983474</x:v>
      </x:c>
      <x:c r="O997" s="60" t="n">
        <x:v>62628.119146931946</x:v>
      </x:c>
      <x:c r="P997" s="60" t="n">
        <x:v>672772.4469641821</x:v>
      </x:c>
      <x:c r="Q997" s="62" t="n">
        <x:v>11.74233836379134</x:v>
      </x:c>
      <x:c r="R997" s="64" t="n">
        <x:v>10.74233836379134</x:v>
      </x:c>
    </x:row>
    <x:row r="998" ht="18" customHeight="1">
      <x:c r="A998" s="46" t="str">
        <x:v>LME_006</x:v>
      </x:c>
      <x:c r="B998" s="46" t="str">
        <x:v>Southeast U.S. Continental Shelf</x:v>
      </x:c>
      <x:c r="C998" s="46" t="str">
        <x:v>functional</x:v>
      </x:c>
      <x:c r="D998" s="46" t="str">
        <x:v>Large demersals (&gt;=90 cm)</x:v>
      </x:c>
      <x:c r="E998" s="66" t="n">
        <x:v>9</x:v>
      </x:c>
      <x:c r="F998" s="66" t="n">
        <x:v>9</x:v>
      </x:c>
      <x:c r="G998" s="60" t="n">
        <x:v>4971.268331687601</x:v>
      </x:c>
      <x:c r="H998" s="60" t="n">
        <x:v>4971.268331687601</x:v>
      </x:c>
      <x:c r="I998" s="62" t="n">
        <x:v>0</x:v>
      </x:c>
      <x:c r="J998" s="64" t="n">
        <x:v>1</x:v>
      </x:c>
      <x:c r="K998" s="62" t="n">
        <x:v>1124.0185938480556</x:v>
      </x:c>
      <x:c r="L998" s="60" t="n">
        <x:v>5587798.039824867</x:v>
      </x:c>
      <x:c r="M998" s="62" t="n">
        <x:v>4.021949544341666</x:v>
      </x:c>
      <x:c r="N998" s="62" t="n">
        <x:v>1051.8396656258126</x:v>
      </x:c>
      <x:c r="O998" s="60" t="n">
        <x:v>5228977.219738477</x:v>
      </x:c>
      <x:c r="P998" s="60" t="n">
        <x:v>358820.8200863898</x:v>
      </x:c>
      <x:c r="Q998" s="62" t="n">
        <x:v>1.0686216070576677</x:v>
      </x:c>
      <x:c r="R998" s="64" t="n">
        <x:v>0.06862160705766776</x:v>
      </x:c>
    </x:row>
    <x:row r="999" ht="18" customHeight="1">
      <x:c r="A999" s="46" t="str">
        <x:v>LME_006</x:v>
      </x:c>
      <x:c r="B999" s="46" t="str">
        <x:v>Southeast U.S. Continental Shelf</x:v>
      </x:c>
      <x:c r="C999" s="46" t="str">
        <x:v>functional</x:v>
      </x:c>
      <x:c r="D999" s="46" t="str">
        <x:v>Large pelagics (&gt;=90 cm)</x:v>
      </x:c>
      <x:c r="E999" s="66" t="n">
        <x:v>24</x:v>
      </x:c>
      <x:c r="F999" s="66" t="n">
        <x:v>24</x:v>
      </x:c>
      <x:c r="G999" s="60" t="n">
        <x:v>16751.9163155047</x:v>
      </x:c>
      <x:c r="H999" s="60" t="n">
        <x:v>16751.9163155047</x:v>
      </x:c>
      <x:c r="I999" s="62" t="n">
        <x:v>0</x:v>
      </x:c>
      <x:c r="J999" s="64" t="n">
        <x:v>1</x:v>
      </x:c>
      <x:c r="K999" s="62" t="n">
        <x:v>2703.385509778679</x:v>
      </x:c>
      <x:c r="L999" s="60" t="n">
        <x:v>45286887.82836044</x:v>
      </x:c>
      <x:c r="M999" s="62" t="n">
        <x:v>4.42091845849817</x:v>
      </x:c>
      <x:c r="N999" s="62" t="n">
        <x:v>2635.836444605256</x:v>
      </x:c>
      <x:c r="O999" s="60" t="n">
        <x:v>44155311.54138469</x:v>
      </x:c>
      <x:c r="P999" s="60" t="n">
        <x:v>1131576.2869757488</x:v>
      </x:c>
      <x:c r="Q999" s="62" t="n">
        <x:v>1.025627183853412</x:v>
      </x:c>
      <x:c r="R999" s="64" t="n">
        <x:v>0.025627183853411967</x:v>
      </x:c>
    </x:row>
    <x:row r="1000" ht="18" customHeight="1">
      <x:c r="A1000" s="46" t="str">
        <x:v>LME_006</x:v>
      </x:c>
      <x:c r="B1000" s="46" t="str">
        <x:v>Southeast U.S. Continental Shelf</x:v>
      </x:c>
      <x:c r="C1000" s="46" t="str">
        <x:v>functional</x:v>
      </x:c>
      <x:c r="D1000" s="46" t="str">
        <x:v>Large rays (&gt;=90 cm)</x:v>
      </x:c>
      <x:c r="E1000" s="66" t="n">
        <x:v>6</x:v>
      </x:c>
      <x:c r="F1000" s="66" t="n">
        <x:v>6</x:v>
      </x:c>
      <x:c r="G1000" s="60" t="n">
        <x:v>121.58843417170002</x:v>
      </x:c>
      <x:c r="H1000" s="60" t="n">
        <x:v>121.58843417170002</x:v>
      </x:c>
      <x:c r="I1000" s="62" t="n">
        <x:v>0</x:v>
      </x:c>
      <x:c r="J1000" s="64" t="n">
        <x:v>1</x:v>
      </x:c>
      <x:c r="K1000" s="62" t="n">
        <x:v>441.99002859747776</x:v>
      </x:c>
      <x:c r="L1000" s="60" t="n">
        <x:v>53740.87549667223</x:v>
      </x:c>
      <x:c r="M1000" s="62" t="n">
        <x:v>3.609359713686656</x:v>
      </x:c>
      <x:c r="N1000" s="62" t="n">
        <x:v>406.78011399472354</x:v>
      </x:c>
      <x:c r="O1000" s="60" t="n">
        <x:v>49459.75711280407</x:v>
      </x:c>
      <x:c r="P1000" s="60" t="n">
        <x:v>4281.118383868161</x:v>
      </x:c>
      <x:c r="Q1000" s="62" t="n">
        <x:v>1.0865576103437813</x:v>
      </x:c>
      <x:c r="R1000" s="64" t="n">
        <x:v>0.0865576103437813</x:v>
      </x:c>
    </x:row>
    <x:row r="1001" ht="18" customHeight="1">
      <x:c r="A1001" s="46" t="str">
        <x:v>LME_006</x:v>
      </x:c>
      <x:c r="B1001" s="46" t="str">
        <x:v>Southeast U.S. Continental Shelf</x:v>
      </x:c>
      <x:c r="C1001" s="46" t="str">
        <x:v>functional</x:v>
      </x:c>
      <x:c r="D1001" s="46" t="str">
        <x:v>Large reef assoc. fish (&gt;=90 cm)</x:v>
      </x:c>
      <x:c r="E1001" s="66" t="n">
        <x:v>13</x:v>
      </x:c>
      <x:c r="F1001" s="66" t="n">
        <x:v>13</x:v>
      </x:c>
      <x:c r="G1001" s="60" t="n">
        <x:v>1329.0887395217997</x:v>
      </x:c>
      <x:c r="H1001" s="60" t="n">
        <x:v>1329.0887395217997</x:v>
      </x:c>
      <x:c r="I1001" s="62" t="n">
        <x:v>0</x:v>
      </x:c>
      <x:c r="J1001" s="64" t="n">
        <x:v>1</x:v>
      </x:c>
      <x:c r="K1001" s="62" t="n">
        <x:v>2255.189317213753</x:v>
      </x:c>
      <x:c r="L1001" s="60" t="n">
        <x:v>2997346.7269986547</x:v>
      </x:c>
      <x:c r="M1001" s="62" t="n">
        <x:v>4.200518969498025</x:v>
      </x:c>
      <x:c r="N1001" s="62" t="n">
        <x:v>1586.7882265758112</x:v>
      </x:c>
      <x:c r="O1001" s="60" t="n">
        <x:v>2108982.363947677</x:v>
      </x:c>
      <x:c r="P1001" s="60" t="n">
        <x:v>888364.3630509777</x:v>
      </x:c>
      <x:c r="Q1001" s="62" t="n">
        <x:v>1.4212289198038157</x:v>
      </x:c>
      <x:c r="R1001" s="64" t="n">
        <x:v>0.4212289198038157</x:v>
      </x:c>
    </x:row>
    <x:row r="1002" ht="18" customHeight="1">
      <x:c r="A1002" s="46" t="str">
        <x:v>LME_006</x:v>
      </x:c>
      <x:c r="B1002" s="46" t="str">
        <x:v>Southeast U.S. Continental Shelf</x:v>
      </x:c>
      <x:c r="C1002" s="46" t="str">
        <x:v>functional</x:v>
      </x:c>
      <x:c r="D1002" s="46" t="str">
        <x:v>Large sharks (&gt;=90 cm)</x:v>
      </x:c>
      <x:c r="E1002" s="66" t="n">
        <x:v>22</x:v>
      </x:c>
      <x:c r="F1002" s="66" t="n">
        <x:v>22</x:v>
      </x:c>
      <x:c r="G1002" s="60" t="n">
        <x:v>1094.3045552505998</x:v>
      </x:c>
      <x:c r="H1002" s="60" t="n">
        <x:v>1094.3045552505998</x:v>
      </x:c>
      <x:c r="I1002" s="62" t="n">
        <x:v>0</x:v>
      </x:c>
      <x:c r="J1002" s="64" t="n">
        <x:v>1</x:v>
      </x:c>
      <x:c r="K1002" s="62" t="n">
        <x:v>2085.979513667002</x:v>
      </x:c>
      <x:c r="L1002" s="60" t="n">
        <x:v>2282696.883965231</x:v>
      </x:c>
      <x:c r="M1002" s="62" t="n">
        <x:v>4.292318934299441</x:v>
      </x:c>
      <x:c r="N1002" s="62" t="n">
        <x:v>1960.2837251934607</x:v>
      </x:c>
      <x:c r="O1002" s="60" t="n">
        <x:v>2145147.4100628193</x:v>
      </x:c>
      <x:c r="P1002" s="60" t="n">
        <x:v>137549.47390241176</x:v>
      </x:c>
      <x:c r="Q1002" s="62" t="n">
        <x:v>1.0641212222792575</x:v>
      </x:c>
      <x:c r="R1002" s="64" t="n">
        <x:v>0.0641212222792576</x:v>
      </x:c>
    </x:row>
    <x:row r="1003" ht="18" customHeight="1">
      <x:c r="A1003" s="46" t="str">
        <x:v>LME_006</x:v>
      </x:c>
      <x:c r="B1003" s="46" t="str">
        <x:v>Southeast U.S. Continental Shelf</x:v>
      </x:c>
      <x:c r="C1003" s="46" t="str">
        <x:v>functional</x:v>
      </x:c>
      <x:c r="D1003" s="46" t="str">
        <x:v>Lobsters, crabs</x:v>
      </x:c>
      <x:c r="E1003" s="66" t="n">
        <x:v>11</x:v>
      </x:c>
      <x:c r="F1003" s="66" t="n">
        <x:v>11</x:v>
      </x:c>
      <x:c r="G1003" s="60" t="n">
        <x:v>13890.3964873802</x:v>
      </x:c>
      <x:c r="H1003" s="60" t="n">
        <x:v>13890.3964873802</x:v>
      </x:c>
      <x:c r="I1003" s="62" t="n">
        <x:v>0</x:v>
      </x:c>
      <x:c r="J1003" s="64" t="n">
        <x:v>1</x:v>
      </x:c>
      <x:c r="K1003" s="62" t="n">
        <x:v>950.462730557912</x:v>
      </x:c>
      <x:c r="L1003" s="60" t="n">
        <x:v>13202304.173927413</x:v>
      </x:c>
      <x:c r="M1003" s="62" t="n">
        <x:v>3.95152067756734</x:v>
      </x:c>
      <x:c r="N1003" s="62" t="n">
        <x:v>894.3771138752749</x:v>
      </x:c>
      <x:c r="O1003" s="60" t="n">
        <x:v>12423252.72096636</x:v>
      </x:c>
      <x:c r="P1003" s="60" t="n">
        <x:v>779051.4529610537</x:v>
      </x:c>
      <x:c r="Q1003" s="62" t="n">
        <x:v>1.0627091366857788</x:v>
      </x:c>
      <x:c r="R1003" s="64" t="n">
        <x:v>0.06270913668577886</x:v>
      </x:c>
    </x:row>
    <x:row r="1004" ht="18" customHeight="1">
      <x:c r="A1004" s="46" t="str">
        <x:v>LME_006</x:v>
      </x:c>
      <x:c r="B1004" s="46" t="str">
        <x:v>Southeast U.S. Continental Shelf</x:v>
      </x:c>
      <x:c r="C1004" s="46" t="str">
        <x:v>functional</x:v>
      </x:c>
      <x:c r="D1004" s="46" t="str">
        <x:v>Medium bathydemersals (30 - 89 cm)</x:v>
      </x:c>
      <x:c r="E1004" s="66" t="n">
        <x:v>3</x:v>
      </x:c>
      <x:c r="F1004" s="66" t="n">
        <x:v>3</x:v>
      </x:c>
      <x:c r="G1004" s="60" t="n">
        <x:v>12.6000007764</x:v>
      </x:c>
      <x:c r="H1004" s="60" t="n">
        <x:v>12.6000007764</x:v>
      </x:c>
      <x:c r="I1004" s="62" t="n">
        <x:v>0</x:v>
      </x:c>
      <x:c r="J1004" s="64" t="n">
        <x:v>1</x:v>
      </x:c>
      <x:c r="K1004" s="62" t="n">
        <x:v>557.5003109247342</x:v>
      </x:c>
      <x:c r="L1004" s="60" t="n">
        <x:v>7024.504350494893</x:v>
      </x:c>
      <x:c r="M1004" s="62" t="n">
        <x:v>3.6166606269667216</x:v>
      </x:c>
      <x:c r="N1004" s="62" t="n">
        <x:v>413.67628723454936</x:v>
      </x:c>
      <x:c r="O1004" s="60" t="n">
        <x:v>5212.321540333592</x:v>
      </x:c>
      <x:c r="P1004" s="60" t="n">
        <x:v>1812.182810161301</x:v>
      </x:c>
      <x:c r="Q1004" s="62" t="n">
        <x:v>1.3476728740041084</x:v>
      </x:c>
      <x:c r="R1004" s="64" t="n">
        <x:v>0.3476728740041084</x:v>
      </x:c>
    </x:row>
    <x:row r="1005" ht="18" customHeight="1">
      <x:c r="A1005" s="46" t="str">
        <x:v>LME_006</x:v>
      </x:c>
      <x:c r="B1005" s="46" t="str">
        <x:v>Southeast U.S. Continental Shelf</x:v>
      </x:c>
      <x:c r="C1005" s="46" t="str">
        <x:v>functional</x:v>
      </x:c>
      <x:c r="D1005" s="46" t="str">
        <x:v>Medium benthopelagics (30 - 89 cm)</x:v>
      </x:c>
      <x:c r="E1005" s="66" t="n">
        <x:v>12</x:v>
      </x:c>
      <x:c r="F1005" s="66" t="n">
        <x:v>12</x:v>
      </x:c>
      <x:c r="G1005" s="60" t="n">
        <x:v>2563.2686812825</x:v>
      </x:c>
      <x:c r="H1005" s="60" t="n">
        <x:v>2563.2686812825</x:v>
      </x:c>
      <x:c r="I1005" s="62" t="n">
        <x:v>0</x:v>
      </x:c>
      <x:c r="J1005" s="64" t="n">
        <x:v>1</x:v>
      </x:c>
      <x:c r="K1005" s="62" t="n">
        <x:v>453.3841280990916</x:v>
      </x:c>
      <x:c r="L1005" s="60" t="n">
        <x:v>1162145.3361469745</x:v>
      </x:c>
      <x:c r="M1005" s="62" t="n">
        <x:v>3.525872460635581</x:v>
      </x:c>
      <x:c r="N1005" s="62" t="n">
        <x:v>335.63903257340394</x:v>
      </x:c>
      <x:c r="O1005" s="60" t="n">
        <x:v>860333.0204113632</x:v>
      </x:c>
      <x:c r="P1005" s="60" t="n">
        <x:v>301812.31573561125</x:v>
      </x:c>
      <x:c r="Q1005" s="62" t="n">
        <x:v>1.3508087084595468</x:v>
      </x:c>
      <x:c r="R1005" s="64" t="n">
        <x:v>0.3508087084595468</x:v>
      </x:c>
    </x:row>
    <x:row r="1006" ht="18" customHeight="1">
      <x:c r="A1006" s="46" t="str">
        <x:v>LME_006</x:v>
      </x:c>
      <x:c r="B1006" s="46" t="str">
        <x:v>Southeast U.S. Continental Shelf</x:v>
      </x:c>
      <x:c r="C1006" s="46" t="str">
        <x:v>functional</x:v>
      </x:c>
      <x:c r="D1006" s="46" t="str">
        <x:v>Medium demersals (30 - 89 cm)</x:v>
      </x:c>
      <x:c r="E1006" s="66" t="n">
        <x:v>32</x:v>
      </x:c>
      <x:c r="F1006" s="66" t="n">
        <x:v>32</x:v>
      </x:c>
      <x:c r="G1006" s="60" t="n">
        <x:v>36683.613978719695</x:v>
      </x:c>
      <x:c r="H1006" s="60" t="n">
        <x:v>36683.613978719695</x:v>
      </x:c>
      <x:c r="I1006" s="62" t="n">
        <x:v>0</x:v>
      </x:c>
      <x:c r="J1006" s="64" t="n">
        <x:v>1</x:v>
      </x:c>
      <x:c r="K1006" s="62" t="n">
        <x:v>348.99329870039656</x:v>
      </x:c>
      <x:c r="L1006" s="60" t="n">
        <x:v>12802335.450685365</x:v>
      </x:c>
      <x:c r="M1006" s="62" t="n">
        <x:v>3.414044906824188</x:v>
      </x:c>
      <x:c r="N1006" s="62" t="n">
        <x:v>259.44476187616084</x:v>
      </x:c>
      <x:c r="O1006" s="60" t="n">
        <x:v>9517371.493465936</x:v>
      </x:c>
      <x:c r="P1006" s="60" t="n">
        <x:v>3284963.9572194293</x:v>
      </x:c>
      <x:c r="Q1006" s="62" t="n">
        <x:v>1.3451545376236171</x:v>
      </x:c>
      <x:c r="R1006" s="64" t="n">
        <x:v>0.3451545376236171</x:v>
      </x:c>
    </x:row>
    <x:row r="1007" ht="18" customHeight="1">
      <x:c r="A1007" s="46" t="str">
        <x:v>LME_006</x:v>
      </x:c>
      <x:c r="B1007" s="46" t="str">
        <x:v>Southeast U.S. Continental Shelf</x:v>
      </x:c>
      <x:c r="C1007" s="46" t="str">
        <x:v>functional</x:v>
      </x:c>
      <x:c r="D1007" s="46" t="str">
        <x:v>Medium pelagics (30 - 89 cm)</x:v>
      </x:c>
      <x:c r="E1007" s="66" t="n">
        <x:v>18</x:v>
      </x:c>
      <x:c r="F1007" s="66" t="n">
        <x:v>18</x:v>
      </x:c>
      <x:c r="G1007" s="60" t="n">
        <x:v>2538.9393308454996</x:v>
      </x:c>
      <x:c r="H1007" s="60" t="n">
        <x:v>2538.9393308454996</x:v>
      </x:c>
      <x:c r="I1007" s="62" t="n">
        <x:v>0</x:v>
      </x:c>
      <x:c r="J1007" s="64" t="n">
        <x:v>1</x:v>
      </x:c>
      <x:c r="K1007" s="62" t="n">
        <x:v>2368.956026066154</x:v>
      </x:c>
      <x:c r="L1007" s="60" t="n">
        <x:v>6014635.627622816</x:v>
      </x:c>
      <x:c r="M1007" s="62" t="n">
        <x:v>4.109915122374676</x:v>
      </x:c>
      <x:c r="N1007" s="62" t="n">
        <x:v>1287.997803436862</x:v>
      </x:c>
      <x:c r="O1007" s="60" t="n">
        <x:v>3270148.2811884596</x:v>
      </x:c>
      <x:c r="P1007" s="60" t="n">
        <x:v>2744487.346434356</x:v>
      </x:c>
      <x:c r="Q1007" s="62" t="n">
        <x:v>1.839254709709046</x:v>
      </x:c>
      <x:c r="R1007" s="64" t="n">
        <x:v>0.8392547097090459</x:v>
      </x:c>
    </x:row>
    <x:row r="1008" ht="18" customHeight="1">
      <x:c r="A1008" s="46" t="str">
        <x:v>LME_006</x:v>
      </x:c>
      <x:c r="B1008" s="46" t="str">
        <x:v>Southeast U.S. Continental Shelf</x:v>
      </x:c>
      <x:c r="C1008" s="46" t="str">
        <x:v>functional</x:v>
      </x:c>
      <x:c r="D1008" s="46" t="str">
        <x:v>Medium reef assoc. fish (30 - 89 cm)</x:v>
      </x:c>
      <x:c r="E1008" s="66" t="n">
        <x:v>48</x:v>
      </x:c>
      <x:c r="F1008" s="66" t="n">
        <x:v>48</x:v>
      </x:c>
      <x:c r="G1008" s="60" t="n">
        <x:v>4955.269112202101</x:v>
      </x:c>
      <x:c r="H1008" s="60" t="n">
        <x:v>4955.269112202101</x:v>
      </x:c>
      <x:c r="I1008" s="62" t="n">
        <x:v>0</x:v>
      </x:c>
      <x:c r="J1008" s="64" t="n">
        <x:v>1</x:v>
      </x:c>
      <x:c r="K1008" s="62" t="n">
        <x:v>1003.0451412770885</x:v>
      </x:c>
      <x:c r="L1008" s="60" t="n">
        <x:v>4970358.606714749</x:v>
      </x:c>
      <x:c r="M1008" s="62" t="n">
        <x:v>3.8222826319025724</x:v>
      </x:c>
      <x:c r="N1008" s="62" t="n">
        <x:v>664.1751643606678</x:v>
      </x:c>
      <x:c r="O1008" s="60" t="n">
        <x:v>3291166.677048171</x:v>
      </x:c>
      <x:c r="P1008" s="60" t="n">
        <x:v>1679191.9296665778</x:v>
      </x:c>
      <x:c r="Q1008" s="62" t="n">
        <x:v>1.5102117560246555</x:v>
      </x:c>
      <x:c r="R1008" s="64" t="n">
        <x:v>0.5102117560246556</x:v>
      </x:c>
    </x:row>
    <x:row r="1009" ht="18" customHeight="1">
      <x:c r="A1009" s="46" t="str">
        <x:v>LME_006</x:v>
      </x:c>
      <x:c r="B1009" s="46" t="str">
        <x:v>Southeast U.S. Continental Shelf</x:v>
      </x:c>
      <x:c r="C1009" s="46" t="str">
        <x:v>functional</x:v>
      </x:c>
      <x:c r="D1009" s="46" t="str">
        <x:v>Other demersal invertebrates</x:v>
      </x:c>
      <x:c r="E1009" s="66" t="n">
        <x:v>23</x:v>
      </x:c>
      <x:c r="F1009" s="66" t="n">
        <x:v>23</x:v>
      </x:c>
      <x:c r="G1009" s="60" t="n">
        <x:v>6189.757676640102</x:v>
      </x:c>
      <x:c r="H1009" s="60" t="n">
        <x:v>6189.757676640102</x:v>
      </x:c>
      <x:c r="I1009" s="62" t="n">
        <x:v>0</x:v>
      </x:c>
      <x:c r="J1009" s="64" t="n">
        <x:v>1</x:v>
      </x:c>
      <x:c r="K1009" s="62" t="n">
        <x:v>65.28629223444483</x:v>
      </x:c>
      <x:c r="L1009" s="60" t="n">
        <x:v>404106.3285375239</x:v>
      </x:c>
      <x:c r="M1009" s="62" t="n">
        <x:v>2.625448084192466</x:v>
      </x:c>
      <x:c r="N1009" s="62" t="n">
        <x:v>42.213181415952654</x:v>
      </x:c>
      <x:c r="O1009" s="60" t="n">
        <x:v>261289.3637247942</x:v>
      </x:c>
      <x:c r="P1009" s="60" t="n">
        <x:v>142816.9648127297</x:v>
      </x:c>
      <x:c r="Q1009" s="62" t="n">
        <x:v>1.5465854513816077</x:v>
      </x:c>
      <x:c r="R1009" s="64" t="n">
        <x:v>0.5465854513816076</x:v>
      </x:c>
    </x:row>
    <x:row r="1010" ht="18" customHeight="1">
      <x:c r="A1010" s="46" t="str">
        <x:v>LME_006</x:v>
      </x:c>
      <x:c r="B1010" s="46" t="str">
        <x:v>Southeast U.S. Continental Shelf</x:v>
      </x:c>
      <x:c r="C1010" s="46" t="str">
        <x:v>functional</x:v>
      </x:c>
      <x:c r="D1010" s="46" t="str">
        <x:v>Shrimps</x:v>
      </x:c>
      <x:c r="E1010" s="66" t="n">
        <x:v>9</x:v>
      </x:c>
      <x:c r="F1010" s="66" t="n">
        <x:v>9</x:v>
      </x:c>
      <x:c r="G1010" s="60" t="n">
        <x:v>16603.2723072148</x:v>
      </x:c>
      <x:c r="H1010" s="60" t="n">
        <x:v>16603.2723072148</x:v>
      </x:c>
      <x:c r="I1010" s="62" t="n">
        <x:v>0</x:v>
      </x:c>
      <x:c r="J1010" s="64" t="n">
        <x:v>1</x:v>
      </x:c>
      <x:c r="K1010" s="62" t="n">
        <x:v>117.19616789491602</x:v>
      </x:c>
      <x:c r="L1010" s="60" t="n">
        <x:v>1945839.8889213554</x:v>
      </x:c>
      <x:c r="M1010" s="62" t="n">
        <x:v>3.0355488658390666</x:v>
      </x:c>
      <x:c r="N1010" s="62" t="n">
        <x:v>108.5297658016344</x:v>
      </x:c>
      <x:c r="O1010" s="60" t="n">
        <x:v>1801949.2550427841</x:v>
      </x:c>
      <x:c r="P1010" s="60" t="n">
        <x:v>143890.6338785712</x:v>
      </x:c>
      <x:c r="Q1010" s="62" t="n">
        <x:v>1.079852766927754</x:v>
      </x:c>
      <x:c r="R1010" s="64" t="n">
        <x:v>0.07985276692775391</x:v>
      </x:c>
    </x:row>
    <x:row r="1011" ht="18" customHeight="1">
      <x:c r="A1011" s="46" t="str">
        <x:v>LME_006</x:v>
      </x:c>
      <x:c r="B1011" s="46" t="str">
        <x:v>Southeast U.S. Continental Shelf</x:v>
      </x:c>
      <x:c r="C1011" s="46" t="str">
        <x:v>functional</x:v>
      </x:c>
      <x:c r="D1011" s="46" t="str">
        <x:v>Small benthopelagics (&lt;30 cm)</x:v>
      </x:c>
      <x:c r="E1011" s="66" t="n">
        <x:v>5</x:v>
      </x:c>
      <x:c r="F1011" s="66" t="n">
        <x:v>5</x:v>
      </x:c>
      <x:c r="G1011" s="60" t="n">
        <x:v>143.24254142169997</x:v>
      </x:c>
      <x:c r="H1011" s="60" t="n">
        <x:v>143.24254142169997</x:v>
      </x:c>
      <x:c r="I1011" s="62" t="n">
        <x:v>0</x:v>
      </x:c>
      <x:c r="J1011" s="64" t="n">
        <x:v>1</x:v>
      </x:c>
      <x:c r="K1011" s="62" t="n">
        <x:v>781.185125380532</x:v>
      </x:c>
      <x:c r="L1011" s="60" t="n">
        <x:v>111898.94268033674</x:v>
      </x:c>
      <x:c r="M1011" s="62" t="n">
        <x:v>3.412352338297839</x:v>
      </x:c>
      <x:c r="N1011" s="62" t="n">
        <x:v>258.4355999734307</x:v>
      </x:c>
      <x:c r="O1011" s="60" t="n">
        <x:v>37018.972134036034</x:v>
      </x:c>
      <x:c r="P1011" s="60" t="n">
        <x:v>74879.9705463007</x:v>
      </x:c>
      <x:c r="Q1011" s="62" t="n">
        <x:v>3.0227458038321506</x:v>
      </x:c>
      <x:c r="R1011" s="64" t="n">
        <x:v>2.0227458038321506</x:v>
      </x:c>
    </x:row>
    <x:row r="1012" ht="18" customHeight="1">
      <x:c r="A1012" s="46" t="str">
        <x:v>LME_006</x:v>
      </x:c>
      <x:c r="B1012" s="46" t="str">
        <x:v>Southeast U.S. Continental Shelf</x:v>
      </x:c>
      <x:c r="C1012" s="46" t="str">
        <x:v>functional</x:v>
      </x:c>
      <x:c r="D1012" s="46" t="str">
        <x:v>Small demersals (&lt;30 cm)</x:v>
      </x:c>
      <x:c r="E1012" s="66" t="n">
        <x:v>1</x:v>
      </x:c>
      <x:c r="F1012" s="66" t="n">
        <x:v>1</x:v>
      </x:c>
      <x:c r="G1012" s="60" t="n">
        <x:v>3.1560096309</x:v>
      </x:c>
      <x:c r="H1012" s="60" t="n">
        <x:v>3.1560096309</x:v>
      </x:c>
      <x:c r="I1012" s="62" t="n">
        <x:v>0</x:v>
      </x:c>
      <x:c r="J1012" s="64" t="n">
        <x:v>1</x:v>
      </x:c>
      <x:c r="K1012" s="62" t="n">
        <x:v>3090.295432513592</x:v>
      </x:c>
      <x:c r="L1012" s="60" t="n">
        <x:v>9753.002147339177</x:v>
      </x:c>
      <x:c r="M1012" s="62" t="n">
        <x:v>4.49</x:v>
      </x:c>
      <x:c r="N1012" s="62" t="n">
        <x:v>3090.295432513592</x:v>
      </x:c>
      <x:c r="O1012" s="60" t="n">
        <x:v>9753.002147339177</x:v>
      </x:c>
      <x:c r="P1012" s="60" t="n">
        <x:v>0</x:v>
      </x:c>
      <x:c r="Q1012" s="62" t="n">
        <x:v>1</x:v>
      </x:c>
      <x:c r="R1012" s="64" t="n">
        <x:v>0</x:v>
      </x:c>
    </x:row>
    <x:row r="1013" ht="18" customHeight="1">
      <x:c r="A1013" s="46" t="str">
        <x:v>LME_006</x:v>
      </x:c>
      <x:c r="B1013" s="46" t="str">
        <x:v>Southeast U.S. Continental Shelf</x:v>
      </x:c>
      <x:c r="C1013" s="46" t="str">
        <x:v>functional</x:v>
      </x:c>
      <x:c r="D1013" s="46" t="str">
        <x:v>Small pelagics (&lt;30 cm)</x:v>
      </x:c>
      <x:c r="E1013" s="66" t="n">
        <x:v>6</x:v>
      </x:c>
      <x:c r="F1013" s="66" t="n">
        <x:v>6</x:v>
      </x:c>
      <x:c r="G1013" s="60" t="n">
        <x:v>773.9682329659998</x:v>
      </x:c>
      <x:c r="H1013" s="60" t="n">
        <x:v>773.9682329659998</x:v>
      </x:c>
      <x:c r="I1013" s="62" t="n">
        <x:v>0</x:v>
      </x:c>
      <x:c r="J1013" s="64" t="n">
        <x:v>1</x:v>
      </x:c>
      <x:c r="K1013" s="62" t="n">
        <x:v>2109.83085846267</x:v>
      </x:c>
      <x:c r="L1013" s="60" t="n">
        <x:v>1632942.0613814914</x:v>
      </x:c>
      <x:c r="M1013" s="62" t="n">
        <x:v>4.013512835730921</x:v>
      </x:c>
      <x:c r="N1013" s="62" t="n">
        <x:v>1031.603568406556</x:v>
      </x:c>
      <x:c r="O1013" s="60" t="n">
        <x:v>798428.390961042</x:v>
      </x:c>
      <x:c r="P1013" s="60" t="n">
        <x:v>834513.6704204493</x:v>
      </x:c>
      <x:c r="Q1013" s="62" t="n">
        <x:v>2.045195386171041</x:v>
      </x:c>
      <x:c r="R1013" s="64" t="n">
        <x:v>1.0451953861710412</x:v>
      </x:c>
    </x:row>
    <x:row r="1014" ht="18" customHeight="1">
      <x:c r="A1014" s="46" t="str">
        <x:v>LME_006</x:v>
      </x:c>
      <x:c r="B1014" s="46" t="str">
        <x:v>Southeast U.S. Continental Shelf</x:v>
      </x:c>
      <x:c r="C1014" s="46" t="str">
        <x:v>functional</x:v>
      </x:c>
      <x:c r="D1014" s="46" t="str">
        <x:v>Small reef assoc. fish (&lt;30 cm)</x:v>
      </x:c>
      <x:c r="E1014" s="66" t="n">
        <x:v>14</x:v>
      </x:c>
      <x:c r="F1014" s="66" t="n">
        <x:v>14</x:v>
      </x:c>
      <x:c r="G1014" s="60" t="n">
        <x:v>53.9488271063</x:v>
      </x:c>
      <x:c r="H1014" s="60" t="n">
        <x:v>53.9488271063</x:v>
      </x:c>
      <x:c r="I1014" s="62" t="n">
        <x:v>0</x:v>
      </x:c>
      <x:c r="J1014" s="64" t="n">
        <x:v>1</x:v>
      </x:c>
      <x:c r="K1014" s="62" t="n">
        <x:v>2028.1909425505414</x:v>
      </x:c>
      <x:c r="L1014" s="60" t="n">
        <x:v>109418.5224982228</x:v>
      </x:c>
      <x:c r="M1014" s="62" t="n">
        <x:v>4.242455203741149</x:v>
      </x:c>
      <x:c r="N1014" s="62" t="n">
        <x:v>1747.6529876124673</x:v>
      </x:c>
      <x:c r="O1014" s="60" t="n">
        <x:v>94283.82887051365</x:v>
      </x:c>
      <x:c r="P1014" s="60" t="n">
        <x:v>15134.693627709144</x:v>
      </x:c>
      <x:c r="Q1014" s="62" t="n">
        <x:v>1.1605226878142023</x:v>
      </x:c>
      <x:c r="R1014" s="64" t="n">
        <x:v>0.16052268781420237</x:v>
      </x:c>
    </x:row>
    <x:row r="1015" ht="18" customHeight="1">
      <x:c r="A1015" s="46" t="str">
        <x:v>LME_006</x:v>
      </x:c>
      <x:c r="B1015" s="46" t="str">
        <x:v>Southeast U.S. Continental Shelf</x:v>
      </x:c>
      <x:c r="C1015" s="46" t="str">
        <x:v>functional</x:v>
      </x:c>
      <x:c r="D1015" s="46" t="str">
        <x:v>Small to medium flatfishes (&lt;90 cm)</x:v>
      </x:c>
      <x:c r="E1015" s="66" t="n">
        <x:v>5</x:v>
      </x:c>
      <x:c r="F1015" s="66" t="n">
        <x:v>5</x:v>
      </x:c>
      <x:c r="G1015" s="60" t="n">
        <x:v>2975.3840267695996</x:v>
      </x:c>
      <x:c r="H1015" s="60" t="n">
        <x:v>2975.3840267695996</x:v>
      </x:c>
      <x:c r="I1015" s="62" t="n">
        <x:v>0</x:v>
      </x:c>
      <x:c r="J1015" s="64" t="n">
        <x:v>1</x:v>
      </x:c>
      <x:c r="K1015" s="62" t="n">
        <x:v>1489.975291903449</x:v>
      </x:c>
      <x:c r="L1015" s="60" t="n">
        <x:v>4433248.683810893</x:v>
      </x:c>
      <x:c r="M1015" s="62" t="n">
        <x:v>4.162072344773832</x:v>
      </x:c>
      <x:c r="N1015" s="62" t="n">
        <x:v>1452.353530486144</x:v>
      </x:c>
      <x:c r="O1015" s="60" t="n">
        <x:v>4321309.4958309075</x:v>
      </x:c>
      <x:c r="P1015" s="60" t="n">
        <x:v>111939.18797998596</x:v>
      </x:c>
      <x:c r="Q1015" s="62" t="n">
        <x:v>1.0259039969453663</x:v>
      </x:c>
      <x:c r="R1015" s="64" t="n">
        <x:v>0.025903996945366242</x:v>
      </x:c>
    </x:row>
    <x:row r="1016" ht="18" customHeight="1">
      <x:c r="A1016" s="46" t="str">
        <x:v>LME_006</x:v>
      </x:c>
      <x:c r="B1016" s="46" t="str">
        <x:v>Southeast U.S. Continental Shelf</x:v>
      </x:c>
      <x:c r="C1016" s="46" t="str">
        <x:v>functional</x:v>
      </x:c>
      <x:c r="D1016" s="46" t="str">
        <x:v>Small to medium rays (&lt;90 cm)</x:v>
      </x:c>
      <x:c r="E1016" s="66" t="n">
        <x:v>2</x:v>
      </x:c>
      <x:c r="F1016" s="66" t="n">
        <x:v>2</x:v>
      </x:c>
      <x:c r="G1016" s="60" t="n">
        <x:v>27.492019123200002</x:v>
      </x:c>
      <x:c r="H1016" s="60" t="n">
        <x:v>27.492019123200002</x:v>
      </x:c>
      <x:c r="I1016" s="62" t="n">
        <x:v>0</x:v>
      </x:c>
      <x:c r="J1016" s="64" t="n">
        <x:v>1</x:v>
      </x:c>
      <x:c r="K1016" s="62" t="n">
        <x:v>363.07678603209126</x:v>
      </x:c>
      <x:c r="L1016" s="60" t="n">
        <x:v>9981.71394478425</x:v>
      </x:c>
      <x:c r="M1016" s="62" t="n">
        <x:v>3.5599984648646643</x:v>
      </x:c>
      <x:c r="N1016" s="62" t="n">
        <x:v>363.0767713714177</x:v>
      </x:c>
      <x:c r="O1016" s="60" t="n">
        <x:v>9981.71354173273</x:v>
      </x:c>
      <x:c r="P1016" s="60" t="n">
        <x:v>0.000403051519242581</x:v>
      </x:c>
      <x:c r="Q1016" s="62" t="n">
        <x:v>1.0000000403789908</x:v>
      </x:c>
      <x:c r="R1016" s="64" t="n">
        <x:v>4.0378990797266966e-8</x:v>
      </x:c>
    </x:row>
    <x:row r="1017" ht="18" customHeight="1">
      <x:c r="A1017" s="46" t="str">
        <x:v>LME_007</x:v>
      </x:c>
      <x:c r="B1017" s="46" t="str">
        <x:v>Northeast U.S. Continental Shelf</x:v>
      </x:c>
      <x:c r="C1017" s="46" t="str">
        <x:v>functional</x:v>
      </x:c>
      <x:c r="D1017" s="46" t="str">
        <x:v>Cephalopods</x:v>
      </x:c>
      <x:c r="E1017" s="66" t="n">
        <x:v>6</x:v>
      </x:c>
      <x:c r="F1017" s="66" t="n">
        <x:v>6</x:v>
      </x:c>
      <x:c r="G1017" s="60" t="n">
        <x:v>19509.115412387902</x:v>
      </x:c>
      <x:c r="H1017" s="60" t="n">
        <x:v>19509.115412387902</x:v>
      </x:c>
      <x:c r="I1017" s="62" t="n">
        <x:v>0</x:v>
      </x:c>
      <x:c r="J1017" s="64" t="n">
        <x:v>1</x:v>
      </x:c>
      <x:c r="K1017" s="62" t="n">
        <x:v>288.1720822178836</x:v>
      </x:c>
      <x:c r="L1017" s="60" t="n">
        <x:v>5621982.410616826</x:v>
      </x:c>
      <x:c r="M1017" s="62" t="n">
        <x:v>3.4351580965661377</x:v>
      </x:c>
      <x:c r="N1017" s="62" t="n">
        <x:v>272.36926356294975</x:v>
      </x:c>
      <x:c r="O1017" s="60" t="n">
        <x:v>5313683.3976366855</x:v>
      </x:c>
      <x:c r="P1017" s="60" t="n">
        <x:v>308299.01298014075</x:v>
      </x:c>
      <x:c r="Q1017" s="62" t="n">
        <x:v>1.0580198310492606</x:v>
      </x:c>
      <x:c r="R1017" s="64" t="n">
        <x:v>0.05801983104926045</x:v>
      </x:c>
    </x:row>
    <x:row r="1018" ht="18" customHeight="1">
      <x:c r="A1018" s="46" t="str">
        <x:v>LME_007</x:v>
      </x:c>
      <x:c r="B1018" s="46" t="str">
        <x:v>Northeast U.S. Continental Shelf</x:v>
      </x:c>
      <x:c r="C1018" s="46" t="str">
        <x:v>functional</x:v>
      </x:c>
      <x:c r="D1018" s="46" t="str">
        <x:v>Jellyfish</x:v>
      </x:c>
      <x:c r="E1018" s="66" t="n">
        <x:v>1</x:v>
      </x:c>
      <x:c r="F1018" s="66" t="n">
        <x:v>1</x:v>
      </x:c>
      <x:c r="G1018" s="60" t="n">
        <x:v>8.7949411823</x:v>
      </x:c>
      <x:c r="H1018" s="60" t="n">
        <x:v>8.7949411823</x:v>
      </x:c>
      <x:c r="I1018" s="62" t="n">
        <x:v>0</x:v>
      </x:c>
      <x:c r="J1018" s="64" t="n">
        <x:v>1</x:v>
      </x:c>
      <x:c r="K1018" s="62" t="n">
        <x:v>288.40315031266056</x:v>
      </x:c>
      <x:c r="L1018" s="60" t="n">
        <x:v>2536.4887437898756</x:v>
      </x:c>
      <x:c r="M1018" s="62" t="n">
        <x:v>3.46</x:v>
      </x:c>
      <x:c r="N1018" s="62" t="n">
        <x:v>288.40315031266056</x:v>
      </x:c>
      <x:c r="O1018" s="60" t="n">
        <x:v>2536.4887437898756</x:v>
      </x:c>
      <x:c r="P1018" s="60" t="n">
        <x:v>0</x:v>
      </x:c>
      <x:c r="Q1018" s="62" t="n">
        <x:v>1</x:v>
      </x:c>
      <x:c r="R1018" s="64" t="n">
        <x:v>0</x:v>
      </x:c>
    </x:row>
    <x:row r="1019" ht="18" customHeight="1">
      <x:c r="A1019" s="46" t="str">
        <x:v>LME_007</x:v>
      </x:c>
      <x:c r="B1019" s="46" t="str">
        <x:v>Northeast U.S. Continental Shelf</x:v>
      </x:c>
      <x:c r="C1019" s="46" t="str">
        <x:v>functional</x:v>
      </x:c>
      <x:c r="D1019" s="46" t="str">
        <x:v>Large bathypelagics (&gt;=90 cm)</x:v>
      </x:c>
      <x:c r="E1019" s="66" t="n">
        <x:v>1</x:v>
      </x:c>
      <x:c r="F1019" s="66" t="n">
        <x:v>1</x:v>
      </x:c>
      <x:c r="G1019" s="60" t="n">
        <x:v>318.4148023216</x:v>
      </x:c>
      <x:c r="H1019" s="60" t="n">
        <x:v>318.4148023216</x:v>
      </x:c>
      <x:c r="I1019" s="62" t="n">
        <x:v>0</x:v>
      </x:c>
      <x:c r="J1019" s="64" t="n">
        <x:v>1</x:v>
      </x:c>
      <x:c r="K1019" s="62" t="n">
        <x:v>933.2543007969914</x:v>
      </x:c>
      <x:c r="L1019" s="60" t="n">
        <x:v>297161.98370405706</x:v>
      </x:c>
      <x:c r="M1019" s="62" t="n">
        <x:v>3.97</x:v>
      </x:c>
      <x:c r="N1019" s="62" t="n">
        <x:v>933.2543007969915</x:v>
      </x:c>
      <x:c r="O1019" s="60" t="n">
        <x:v>297161.98370405706</x:v>
      </x:c>
      <x:c r="P1019" s="60" t="n">
        <x:v>0</x:v>
      </x:c>
      <x:c r="Q1019" s="62" t="n">
        <x:v>1</x:v>
      </x:c>
      <x:c r="R1019" s="64" t="n">
        <x:v>0</x:v>
      </x:c>
    </x:row>
    <x:row r="1020" ht="18" customHeight="1">
      <x:c r="A1020" s="46" t="str">
        <x:v>LME_007</x:v>
      </x:c>
      <x:c r="B1020" s="46" t="str">
        <x:v>Northeast U.S. Continental Shelf</x:v>
      </x:c>
      <x:c r="C1020" s="46" t="str">
        <x:v>functional</x:v>
      </x:c>
      <x:c r="D1020" s="46" t="str">
        <x:v>Large benthopelagics (&gt;=90 cm)</x:v>
      </x:c>
      <x:c r="E1020" s="66" t="n">
        <x:v>8</x:v>
      </x:c>
      <x:c r="F1020" s="66" t="n">
        <x:v>8</x:v>
      </x:c>
      <x:c r="G1020" s="60" t="n">
        <x:v>3532.9632334027</x:v>
      </x:c>
      <x:c r="H1020" s="60" t="n">
        <x:v>3532.9632334027</x:v>
      </x:c>
      <x:c r="I1020" s="62" t="n">
        <x:v>0</x:v>
      </x:c>
      <x:c r="J1020" s="64" t="n">
        <x:v>1</x:v>
      </x:c>
      <x:c r="K1020" s="62" t="n">
        <x:v>1233.7668979810312</x:v>
      </x:c>
      <x:c r="L1020" s="60" t="n">
        <x:v>4358853.089156283</x:v>
      </x:c>
      <x:c r="M1020" s="62" t="n">
        <x:v>4.072715718035424</x:v>
      </x:c>
      <x:c r="N1020" s="62" t="n">
        <x:v>1182.2674097441045</x:v>
      </x:c>
      <x:c r="O1020" s="60" t="n">
        <x:v>4176907.2906761663</x:v>
      </x:c>
      <x:c r="P1020" s="60" t="n">
        <x:v>181945.79848011676</x:v>
      </x:c>
      <x:c r="Q1020" s="62" t="n">
        <x:v>1.043559932222164</x:v>
      </x:c>
      <x:c r="R1020" s="64" t="n">
        <x:v>0.04355993222216407</x:v>
      </x:c>
    </x:row>
    <x:row r="1021" ht="18" customHeight="1">
      <x:c r="A1021" s="46" t="str">
        <x:v>LME_007</x:v>
      </x:c>
      <x:c r="B1021" s="46" t="str">
        <x:v>Northeast U.S. Continental Shelf</x:v>
      </x:c>
      <x:c r="C1021" s="46" t="str">
        <x:v>functional</x:v>
      </x:c>
      <x:c r="D1021" s="46" t="str">
        <x:v>Large demersals (&gt;=90 cm)</x:v>
      </x:c>
      <x:c r="E1021" s="66" t="n">
        <x:v>17</x:v>
      </x:c>
      <x:c r="F1021" s="66" t="n">
        <x:v>17</x:v>
      </x:c>
      <x:c r="G1021" s="60" t="n">
        <x:v>33990.336118616295</x:v>
      </x:c>
      <x:c r="H1021" s="60" t="n">
        <x:v>33990.336118616295</x:v>
      </x:c>
      <x:c r="I1021" s="62" t="n">
        <x:v>0</x:v>
      </x:c>
      <x:c r="J1021" s="64" t="n">
        <x:v>1</x:v>
      </x:c>
      <x:c r="K1021" s="62" t="n">
        <x:v>3223.2796943194426</x:v>
      </x:c>
      <x:c r="L1021" s="60" t="n">
        <x:v>109560360.21422864</x:v>
      </x:c>
      <x:c r="M1021" s="62" t="n">
        <x:v>4.469526671786154</x:v>
      </x:c>
      <x:c r="N1021" s="62" t="n">
        <x:v>2947.9945193512194</x:v>
      </x:c>
      <x:c r="O1021" s="60" t="n">
        <x:v>100203324.58858664</x:v>
      </x:c>
      <x:c r="P1021" s="60" t="n">
        <x:v>9357035.625642002</x:v>
      </x:c>
      <x:c r="Q1021" s="62" t="n">
        <x:v>1.0933804907577667</x:v>
      </x:c>
      <x:c r="R1021" s="64" t="n">
        <x:v>0.0933804907577666</x:v>
      </x:c>
    </x:row>
    <x:row r="1022" ht="18" customHeight="1">
      <x:c r="A1022" s="46" t="str">
        <x:v>LME_007</x:v>
      </x:c>
      <x:c r="B1022" s="46" t="str">
        <x:v>Northeast U.S. Continental Shelf</x:v>
      </x:c>
      <x:c r="C1022" s="46" t="str">
        <x:v>functional</x:v>
      </x:c>
      <x:c r="D1022" s="46" t="str">
        <x:v>Large flatfishes (&gt;=90 cm)</x:v>
      </x:c>
      <x:c r="E1022" s="66" t="n">
        <x:v>1</x:v>
      </x:c>
      <x:c r="F1022" s="66" t="n">
        <x:v>1</x:v>
      </x:c>
      <x:c r="G1022" s="60" t="n">
        <x:v>3017.4145464633</x:v>
      </x:c>
      <x:c r="H1022" s="60" t="n">
        <x:v>3017.4145464633</x:v>
      </x:c>
      <x:c r="I1022" s="62" t="n">
        <x:v>0</x:v>
      </x:c>
      <x:c r="J1022" s="64" t="n">
        <x:v>1</x:v>
      </x:c>
      <x:c r="K1022" s="62" t="n">
        <x:v>999.9999999999999</x:v>
      </x:c>
      <x:c r="L1022" s="60" t="n">
        <x:v>3017414.5464633</x:v>
      </x:c>
      <x:c r="M1022" s="62" t="n">
        <x:v>4</x:v>
      </x:c>
      <x:c r="N1022" s="62" t="n">
        <x:v>1000</x:v>
      </x:c>
      <x:c r="O1022" s="60" t="n">
        <x:v>3017414.5464633</x:v>
      </x:c>
      <x:c r="P1022" s="60" t="n">
        <x:v>0</x:v>
      </x:c>
      <x:c r="Q1022" s="62" t="n">
        <x:v>1</x:v>
      </x:c>
      <x:c r="R1022" s="64" t="n">
        <x:v>0</x:v>
      </x:c>
    </x:row>
    <x:row r="1023" ht="18" customHeight="1">
      <x:c r="A1023" s="46" t="str">
        <x:v>LME_007</x:v>
      </x:c>
      <x:c r="B1023" s="46" t="str">
        <x:v>Northeast U.S. Continental Shelf</x:v>
      </x:c>
      <x:c r="C1023" s="46" t="str">
        <x:v>functional</x:v>
      </x:c>
      <x:c r="D1023" s="46" t="str">
        <x:v>Large pelagics (&gt;=90 cm)</x:v>
      </x:c>
      <x:c r="E1023" s="66" t="n">
        <x:v>26</x:v>
      </x:c>
      <x:c r="F1023" s="66" t="n">
        <x:v>26</x:v>
      </x:c>
      <x:c r="G1023" s="60" t="n">
        <x:v>15164.232690875198</x:v>
      </x:c>
      <x:c r="H1023" s="60" t="n">
        <x:v>15164.232690875198</x:v>
      </x:c>
      <x:c r="I1023" s="62" t="n">
        <x:v>0</x:v>
      </x:c>
      <x:c r="J1023" s="64" t="n">
        <x:v>1</x:v>
      </x:c>
      <x:c r="K1023" s="62" t="n">
        <x:v>2883.77834123726</x:v>
      </x:c>
      <x:c r="L1023" s="60" t="n">
        <x:v>43730285.79542791</x:v>
      </x:c>
      <x:c r="M1023" s="62" t="n">
        <x:v>4.444886134797497</x:v>
      </x:c>
      <x:c r="N1023" s="62" t="n">
        <x:v>2785.3907871030783</x:v>
      </x:c>
      <x:c r="O1023" s="60" t="n">
        <x:v>42238314.0306511</x:v>
      </x:c>
      <x:c r="P1023" s="60" t="n">
        <x:v>1491971.764776811</x:v>
      </x:c>
      <x:c r="Q1023" s="62" t="n">
        <x:v>1.035322711121806</x:v>
      </x:c>
      <x:c r="R1023" s="64" t="n">
        <x:v>0.035322711121805926</x:v>
      </x:c>
    </x:row>
    <x:row r="1024" ht="18" customHeight="1">
      <x:c r="A1024" s="46" t="str">
        <x:v>LME_007</x:v>
      </x:c>
      <x:c r="B1024" s="46" t="str">
        <x:v>Northeast U.S. Continental Shelf</x:v>
      </x:c>
      <x:c r="C1024" s="46" t="str">
        <x:v>functional</x:v>
      </x:c>
      <x:c r="D1024" s="46" t="str">
        <x:v>Large rays (&gt;=90 cm)</x:v>
      </x:c>
      <x:c r="E1024" s="66" t="n">
        <x:v>5</x:v>
      </x:c>
      <x:c r="F1024" s="66" t="n">
        <x:v>5</x:v>
      </x:c>
      <x:c r="G1024" s="60" t="n">
        <x:v>10079.880202088298</x:v>
      </x:c>
      <x:c r="H1024" s="60" t="n">
        <x:v>10079.880202088298</x:v>
      </x:c>
      <x:c r="I1024" s="62" t="n">
        <x:v>0</x:v>
      </x:c>
      <x:c r="J1024" s="64" t="n">
        <x:v>1</x:v>
      </x:c>
      <x:c r="K1024" s="62" t="n">
        <x:v>604.5338468767171</x:v>
      </x:c>
      <x:c r="L1024" s="60" t="n">
        <x:v>6093628.7546248995</x:v>
      </x:c>
      <x:c r="M1024" s="62" t="n">
        <x:v>3.7675272637088315</x:v>
      </x:c>
      <x:c r="N1024" s="62" t="n">
        <x:v>585.5004911368013</x:v>
      </x:c>
      <x:c r="O1024" s="60" t="n">
        <x:v>5901774.808922818</x:v>
      </x:c>
      <x:c r="P1024" s="60" t="n">
        <x:v>191853.94570208155</x:v>
      </x:c>
      <x:c r="Q1024" s="62" t="n">
        <x:v>1.0325078390676683</x:v>
      </x:c>
      <x:c r="R1024" s="64" t="n">
        <x:v>0.03250783906766826</x:v>
      </x:c>
    </x:row>
    <x:row r="1025" ht="18" customHeight="1">
      <x:c r="A1025" s="46" t="str">
        <x:v>LME_007</x:v>
      </x:c>
      <x:c r="B1025" s="46" t="str">
        <x:v>Northeast U.S. Continental Shelf</x:v>
      </x:c>
      <x:c r="C1025" s="46" t="str">
        <x:v>functional</x:v>
      </x:c>
      <x:c r="D1025" s="46" t="str">
        <x:v>Large reef assoc. fish (&gt;=90 cm)</x:v>
      </x:c>
      <x:c r="E1025" s="66" t="n">
        <x:v>7</x:v>
      </x:c>
      <x:c r="F1025" s="66" t="n">
        <x:v>7</x:v>
      </x:c>
      <x:c r="G1025" s="60" t="n">
        <x:v>9417.149687220199</x:v>
      </x:c>
      <x:c r="H1025" s="60" t="n">
        <x:v>9417.149687220199</x:v>
      </x:c>
      <x:c r="I1025" s="62" t="n">
        <x:v>0</x:v>
      </x:c>
      <x:c r="J1025" s="64" t="n">
        <x:v>1</x:v>
      </x:c>
      <x:c r="K1025" s="62" t="n">
        <x:v>614.9379854852858</x:v>
      </x:c>
      <x:c r="L1025" s="60" t="n">
        <x:v>5790963.057672579</x:v>
      </x:c>
      <x:c r="M1025" s="62" t="n">
        <x:v>3.785454837965581</x:v>
      </x:c>
      <x:c r="N1025" s="62" t="n">
        <x:v>610.1756015340815</x:v>
      </x:c>
      <x:c r="O1025" s="60" t="n">
        <x:v>5746114.975136071</x:v>
      </x:c>
      <x:c r="P1025" s="60" t="n">
        <x:v>44848.0825365074</x:v>
      </x:c>
      <x:c r="Q1025" s="62" t="n">
        <x:v>1.0078049399865072</x:v>
      </x:c>
      <x:c r="R1025" s="64" t="n">
        <x:v>0.007804939986507209</x:v>
      </x:c>
    </x:row>
    <x:row r="1026" ht="18" customHeight="1">
      <x:c r="A1026" s="46" t="str">
        <x:v>LME_007</x:v>
      </x:c>
      <x:c r="B1026" s="46" t="str">
        <x:v>Northeast U.S. Continental Shelf</x:v>
      </x:c>
      <x:c r="C1026" s="46" t="str">
        <x:v>functional</x:v>
      </x:c>
      <x:c r="D1026" s="46" t="str">
        <x:v>Large sharks (&gt;=90 cm)</x:v>
      </x:c>
      <x:c r="E1026" s="66" t="n">
        <x:v>20</x:v>
      </x:c>
      <x:c r="F1026" s="66" t="n">
        <x:v>20</x:v>
      </x:c>
      <x:c r="G1026" s="60" t="n">
        <x:v>17613.1412782589</x:v>
      </x:c>
      <x:c r="H1026" s="60" t="n">
        <x:v>17613.1412782589</x:v>
      </x:c>
      <x:c r="I1026" s="62" t="n">
        <x:v>0</x:v>
      </x:c>
      <x:c r="J1026" s="64" t="n">
        <x:v>1</x:v>
      </x:c>
      <x:c r="K1026" s="62" t="n">
        <x:v>2306.4585332868774</x:v>
      </x:c>
      <x:c r="L1026" s="60" t="n">
        <x:v>40623979.999227576</x:v>
      </x:c>
      <x:c r="M1026" s="62" t="n">
        <x:v>4.361596088367995</x:v>
      </x:c>
      <x:c r="N1026" s="62" t="n">
        <x:v>2299.302377420602</x:v>
      </x:c>
      <x:c r="O1026" s="60" t="n">
        <x:v>40497937.614945635</x:v>
      </x:c>
      <x:c r="P1026" s="60" t="n">
        <x:v>126042.38428194076</x:v>
      </x:c>
      <x:c r="Q1026" s="62" t="n">
        <x:v>1.0031123161253384</x:v>
      </x:c>
      <x:c r="R1026" s="64" t="n">
        <x:v>0.003112316125338324</x:v>
      </x:c>
    </x:row>
    <x:row r="1027" ht="18" customHeight="1">
      <x:c r="A1027" s="46" t="str">
        <x:v>LME_007</x:v>
      </x:c>
      <x:c r="B1027" s="46" t="str">
        <x:v>Northeast U.S. Continental Shelf</x:v>
      </x:c>
      <x:c r="C1027" s="46" t="str">
        <x:v>functional</x:v>
      </x:c>
      <x:c r="D1027" s="46" t="str">
        <x:v>Lobsters, crabs</x:v>
      </x:c>
      <x:c r="E1027" s="66" t="n">
        <x:v>12</x:v>
      </x:c>
      <x:c r="F1027" s="66" t="n">
        <x:v>12</x:v>
      </x:c>
      <x:c r="G1027" s="60" t="n">
        <x:v>99172.00918992714</x:v>
      </x:c>
      <x:c r="H1027" s="60" t="n">
        <x:v>99172.00918992714</x:v>
      </x:c>
      <x:c r="I1027" s="62" t="n">
        <x:v>0</x:v>
      </x:c>
      <x:c r="J1027" s="64" t="n">
        <x:v>1</x:v>
      </x:c>
      <x:c r="K1027" s="62" t="n">
        <x:v>571.6421062658142</x:v>
      </x:c>
      <x:c r="L1027" s="60" t="n">
        <x:v>56690896.21594262</x:v>
      </x:c>
      <x:c r="M1027" s="62" t="n">
        <x:v>3.663902474935884</x:v>
      </x:c>
      <x:c r="N1027" s="62" t="n">
        <x:v>461.21399282767345</x:v>
      </x:c>
      <x:c r="O1027" s="60" t="n">
        <x:v>45739518.33522902</x:v>
      </x:c>
      <x:c r="P1027" s="60" t="n">
        <x:v>10951377.880713604</x:v>
      </x:c>
      <x:c r="Q1027" s="62" t="n">
        <x:v>1.2394292349221951</x:v>
      </x:c>
      <x:c r="R1027" s="64" t="n">
        <x:v>0.23942923492219523</x:v>
      </x:c>
    </x:row>
    <x:row r="1028" ht="18" customHeight="1">
      <x:c r="A1028" s="46" t="str">
        <x:v>LME_007</x:v>
      </x:c>
      <x:c r="B1028" s="46" t="str">
        <x:v>Northeast U.S. Continental Shelf</x:v>
      </x:c>
      <x:c r="C1028" s="46" t="str">
        <x:v>functional</x:v>
      </x:c>
      <x:c r="D1028" s="46" t="str">
        <x:v>Medium bathydemersals (30 - 89 cm)</x:v>
      </x:c>
      <x:c r="E1028" s="66" t="n">
        <x:v>5</x:v>
      </x:c>
      <x:c r="F1028" s="66" t="n">
        <x:v>5</x:v>
      </x:c>
      <x:c r="G1028" s="60" t="n">
        <x:v>1095.1165792192003</x:v>
      </x:c>
      <x:c r="H1028" s="60" t="n">
        <x:v>1095.1165792192003</x:v>
      </x:c>
      <x:c r="I1028" s="62" t="n">
        <x:v>0</x:v>
      </x:c>
      <x:c r="J1028" s="64" t="n">
        <x:v>1</x:v>
      </x:c>
      <x:c r="K1028" s="62" t="n">
        <x:v>2515.697546541587</x:v>
      </x:c>
      <x:c r="L1028" s="60" t="n">
        <x:v>2754982.091518758</x:v>
      </x:c>
      <x:c r="M1028" s="62" t="n">
        <x:v>4.3159754465759805</x:v>
      </x:c>
      <x:c r="N1028" s="62" t="n">
        <x:v>2070.024313867465</x:v>
      </x:c>
      <x:c r="O1028" s="60" t="n">
        <x:v>2266917.9455031105</x:v>
      </x:c>
      <x:c r="P1028" s="60" t="n">
        <x:v>488064.14601564733</x:v>
      </x:c>
      <x:c r="Q1028" s="62" t="n">
        <x:v>1.2152985497264341</x:v>
      </x:c>
      <x:c r="R1028" s="64" t="n">
        <x:v>0.21529854972643414</x:v>
      </x:c>
    </x:row>
    <x:row r="1029" ht="18" customHeight="1">
      <x:c r="A1029" s="46" t="str">
        <x:v>LME_007</x:v>
      </x:c>
      <x:c r="B1029" s="46" t="str">
        <x:v>Northeast U.S. Continental Shelf</x:v>
      </x:c>
      <x:c r="C1029" s="46" t="str">
        <x:v>functional</x:v>
      </x:c>
      <x:c r="D1029" s="46" t="str">
        <x:v>Medium benthopelagics (30 - 89 cm)</x:v>
      </x:c>
      <x:c r="E1029" s="66" t="n">
        <x:v>10</x:v>
      </x:c>
      <x:c r="F1029" s="66" t="n">
        <x:v>10</x:v>
      </x:c>
      <x:c r="G1029" s="60" t="n">
        <x:v>322.0998936029</x:v>
      </x:c>
      <x:c r="H1029" s="60" t="n">
        <x:v>322.0998936029</x:v>
      </x:c>
      <x:c r="I1029" s="62" t="n">
        <x:v>0</x:v>
      </x:c>
      <x:c r="J1029" s="64" t="n">
        <x:v>1</x:v>
      </x:c>
      <x:c r="K1029" s="62" t="n">
        <x:v>1264.0731565743076</x:v>
      </x:c>
      <x:c r="L1029" s="60" t="n">
        <x:v>407157.82923886646</x:v>
      </x:c>
      <x:c r="M1029" s="62" t="n">
        <x:v>3.893178173806338</x:v>
      </x:c>
      <x:c r="N1029" s="62" t="n">
        <x:v>781.9485412736243</x:v>
      </x:c>
      <x:c r="O1029" s="60" t="n">
        <x:v>251865.54194717726</x:v>
      </x:c>
      <x:c r="P1029" s="60" t="n">
        <x:v>155292.2872916892</x:v>
      </x:c>
      <x:c r="Q1029" s="62" t="n">
        <x:v>1.616568213702921</x:v>
      </x:c>
      <x:c r="R1029" s="64" t="n">
        <x:v>0.6165682137029209</x:v>
      </x:c>
    </x:row>
    <x:row r="1030" ht="18" customHeight="1">
      <x:c r="A1030" s="46" t="str">
        <x:v>LME_007</x:v>
      </x:c>
      <x:c r="B1030" s="46" t="str">
        <x:v>Northeast U.S. Continental Shelf</x:v>
      </x:c>
      <x:c r="C1030" s="46" t="str">
        <x:v>functional</x:v>
      </x:c>
      <x:c r="D1030" s="46" t="str">
        <x:v>Medium demersals (30 - 89 cm)</x:v>
      </x:c>
      <x:c r="E1030" s="66" t="n">
        <x:v>34</x:v>
      </x:c>
      <x:c r="F1030" s="66" t="n">
        <x:v>34</x:v>
      </x:c>
      <x:c r="G1030" s="60" t="n">
        <x:v>106581.0028539246</x:v>
      </x:c>
      <x:c r="H1030" s="60" t="n">
        <x:v>106581.0028539246</x:v>
      </x:c>
      <x:c r="I1030" s="62" t="n">
        <x:v>0</x:v>
      </x:c>
      <x:c r="J1030" s="64" t="n">
        <x:v>1</x:v>
      </x:c>
      <x:c r="K1030" s="62" t="n">
        <x:v>644.480923270121</x:v>
      </x:c>
      <x:c r="L1030" s="60" t="n">
        <x:v>68689423.12235273</x:v>
      </x:c>
      <x:c r="M1030" s="62" t="n">
        <x:v>3.5836081124658996</x:v>
      </x:c>
      <x:c r="N1030" s="62" t="n">
        <x:v>383.3611617418212</x:v>
      </x:c>
      <x:c r="O1030" s="60" t="n">
        <x:v>40859017.073688895</x:v>
      </x:c>
      <x:c r="P1030" s="60" t="n">
        <x:v>27830406.04866384</x:v>
      </x:c>
      <x:c r="Q1030" s="62" t="n">
        <x:v>1.6811325392011252</x:v>
      </x:c>
      <x:c r="R1030" s="64" t="n">
        <x:v>0.681132539201125</x:v>
      </x:c>
    </x:row>
    <x:row r="1031" ht="18" customHeight="1">
      <x:c r="A1031" s="46" t="str">
        <x:v>LME_007</x:v>
      </x:c>
      <x:c r="B1031" s="46" t="str">
        <x:v>Northeast U.S. Continental Shelf</x:v>
      </x:c>
      <x:c r="C1031" s="46" t="str">
        <x:v>functional</x:v>
      </x:c>
      <x:c r="D1031" s="46" t="str">
        <x:v>Medium pelagics (30 - 89 cm)</x:v>
      </x:c>
      <x:c r="E1031" s="66" t="n">
        <x:v>17</x:v>
      </x:c>
      <x:c r="F1031" s="66" t="n">
        <x:v>17</x:v>
      </x:c>
      <x:c r="G1031" s="60" t="n">
        <x:v>110810.3730409119</x:v>
      </x:c>
      <x:c r="H1031" s="60" t="n">
        <x:v>110810.3730409119</x:v>
      </x:c>
      <x:c r="I1031" s="62" t="n">
        <x:v>0</x:v>
      </x:c>
      <x:c r="J1031" s="64" t="n">
        <x:v>1</x:v>
      </x:c>
      <x:c r="K1031" s="62" t="n">
        <x:v>283.0579510978734</x:v>
      </x:c>
      <x:c r="L1031" s="60" t="n">
        <x:v>31365757.15335155</x:v>
      </x:c>
      <x:c r="M1031" s="62" t="n">
        <x:v>3.34058635960199</x:v>
      </x:c>
      <x:c r="N1031" s="62" t="n">
        <x:v>219.07174096438672</x:v>
      </x:c>
      <x:c r="O1031" s="60" t="n">
        <x:v>24275421.338985715</x:v>
      </x:c>
      <x:c r="P1031" s="60" t="n">
        <x:v>7090335.814365834</x:v>
      </x:c>
      <x:c r="Q1031" s="62" t="n">
        <x:v>1.2920787950641637</x:v>
      </x:c>
      <x:c r="R1031" s="64" t="n">
        <x:v>0.2920787950641637</x:v>
      </x:c>
    </x:row>
    <x:row r="1032" ht="18" customHeight="1">
      <x:c r="A1032" s="46" t="str">
        <x:v>LME_007</x:v>
      </x:c>
      <x:c r="B1032" s="46" t="str">
        <x:v>Northeast U.S. Continental Shelf</x:v>
      </x:c>
      <x:c r="C1032" s="46" t="str">
        <x:v>functional</x:v>
      </x:c>
      <x:c r="D1032" s="46" t="str">
        <x:v>Medium reef assoc. fish (30 - 89 cm)</x:v>
      </x:c>
      <x:c r="E1032" s="66" t="n">
        <x:v>12</x:v>
      </x:c>
      <x:c r="F1032" s="66" t="n">
        <x:v>12</x:v>
      </x:c>
      <x:c r="G1032" s="60" t="n">
        <x:v>8982.520159465801</x:v>
      </x:c>
      <x:c r="H1032" s="60" t="n">
        <x:v>8982.520159465801</x:v>
      </x:c>
      <x:c r="I1032" s="62" t="n">
        <x:v>0</x:v>
      </x:c>
      <x:c r="J1032" s="64" t="n">
        <x:v>1</x:v>
      </x:c>
      <x:c r="K1032" s="62" t="n">
        <x:v>544.1505427080197</x:v>
      </x:c>
      <x:c r="L1032" s="60" t="n">
        <x:v>4887843.219659043</x:v>
      </x:c>
      <x:c r="M1032" s="62" t="n">
        <x:v>3.6555993678152277</x:v>
      </x:c>
      <x:c r="N1032" s="62" t="n">
        <x:v>452.4799791984097</x:v>
      </x:c>
      <x:c r="O1032" s="60" t="n">
        <x:v>4064410.5349043813</x:v>
      </x:c>
      <x:c r="P1032" s="60" t="n">
        <x:v>823432.6847546613</x:v>
      </x:c>
      <x:c r="Q1032" s="62" t="n">
        <x:v>1.2025958445100904</x:v>
      </x:c>
      <x:c r="R1032" s="64" t="n">
        <x:v>0.20259584451009038</x:v>
      </x:c>
    </x:row>
    <x:row r="1033" ht="18" customHeight="1">
      <x:c r="A1033" s="46" t="str">
        <x:v>LME_007</x:v>
      </x:c>
      <x:c r="B1033" s="46" t="str">
        <x:v>Northeast U.S. Continental Shelf</x:v>
      </x:c>
      <x:c r="C1033" s="46" t="str">
        <x:v>functional</x:v>
      </x:c>
      <x:c r="D1033" s="46" t="str">
        <x:v>Other demersal invertebrates</x:v>
      </x:c>
      <x:c r="E1033" s="66" t="n">
        <x:v>22</x:v>
      </x:c>
      <x:c r="F1033" s="66" t="n">
        <x:v>22</x:v>
      </x:c>
      <x:c r="G1033" s="60" t="n">
        <x:v>150162.47231688007</x:v>
      </x:c>
      <x:c r="H1033" s="60" t="n">
        <x:v>150162.47231688007</x:v>
      </x:c>
      <x:c r="I1033" s="62" t="n">
        <x:v>0</x:v>
      </x:c>
      <x:c r="J1033" s="64" t="n">
        <x:v>1</x:v>
      </x:c>
      <x:c r="K1033" s="62" t="n">
        <x:v>11.782660160138676</x:v>
      </x:c>
      <x:c r="L1033" s="60" t="n">
        <x:v>1769313.3801160296</x:v>
      </x:c>
      <x:c r="M1033" s="62" t="n">
        <x:v>2.0281931979648005</x:v>
      </x:c>
      <x:c r="N1033" s="62" t="n">
        <x:v>10.670707071381866</x:v>
      </x:c>
      <x:c r="O1033" s="60" t="n">
        <x:v>1602339.7552079158</x:v>
      </x:c>
      <x:c r="P1033" s="60" t="n">
        <x:v>166973.62490811385</x:v>
      </x:c>
      <x:c r="Q1033" s="62" t="n">
        <x:v>1.104206130045402</x:v>
      </x:c>
      <x:c r="R1033" s="64" t="n">
        <x:v>0.1042061300454021</x:v>
      </x:c>
    </x:row>
    <x:row r="1034" ht="18" customHeight="1">
      <x:c r="A1034" s="46" t="str">
        <x:v>LME_007</x:v>
      </x:c>
      <x:c r="B1034" s="46" t="str">
        <x:v>Northeast U.S. Continental Shelf</x:v>
      </x:c>
      <x:c r="C1034" s="46" t="str">
        <x:v>functional</x:v>
      </x:c>
      <x:c r="D1034" s="46" t="str">
        <x:v>Shrimps</x:v>
      </x:c>
      <x:c r="E1034" s="66" t="n">
        <x:v>5</x:v>
      </x:c>
      <x:c r="F1034" s="66" t="n">
        <x:v>5</x:v>
      </x:c>
      <x:c r="G1034" s="60" t="n">
        <x:v>224.5302918049</x:v>
      </x:c>
      <x:c r="H1034" s="60" t="n">
        <x:v>224.5302918049</x:v>
      </x:c>
      <x:c r="I1034" s="62" t="n">
        <x:v>0</x:v>
      </x:c>
      <x:c r="J1034" s="64" t="n">
        <x:v>1</x:v>
      </x:c>
      <x:c r="K1034" s="62" t="n">
        <x:v>63.32351012832228</x:v>
      </x:c>
      <x:c r="L1034" s="60" t="n">
        <x:v>14218.046207222744</x:v>
      </x:c>
      <x:c r="M1034" s="62" t="n">
        <x:v>2.7522861652966983</x:v>
      </x:c>
      <x:c r="N1034" s="62" t="n">
        <x:v>56.53093457212511</x:v>
      </x:c>
      <x:c r="O1034" s="60" t="n">
        <x:v>12692.90723548296</x:v>
      </x:c>
      <x:c r="P1034" s="60" t="n">
        <x:v>1525.1389717397833</x:v>
      </x:c>
      <x:c r="Q1034" s="62" t="n">
        <x:v>1.1201567886257189</x:v>
      </x:c>
      <x:c r="R1034" s="64" t="n">
        <x:v>0.12015678862571884</x:v>
      </x:c>
    </x:row>
    <x:row r="1035" ht="18" customHeight="1">
      <x:c r="A1035" s="46" t="str">
        <x:v>LME_007</x:v>
      </x:c>
      <x:c r="B1035" s="46" t="str">
        <x:v>Northeast U.S. Continental Shelf</x:v>
      </x:c>
      <x:c r="C1035" s="46" t="str">
        <x:v>functional</x:v>
      </x:c>
      <x:c r="D1035" s="46" t="str">
        <x:v>Small benthopelagics (&lt;30 cm)</x:v>
      </x:c>
      <x:c r="E1035" s="66" t="n">
        <x:v>2</x:v>
      </x:c>
      <x:c r="F1035" s="66" t="n">
        <x:v>2</x:v>
      </x:c>
      <x:c r="G1035" s="60" t="n">
        <x:v>5920.564073972</x:v>
      </x:c>
      <x:c r="H1035" s="60" t="n">
        <x:v>5920.564073972</x:v>
      </x:c>
      <x:c r="I1035" s="62" t="n">
        <x:v>0</x:v>
      </x:c>
      <x:c r="J1035" s="64" t="n">
        <x:v>1</x:v>
      </x:c>
      <x:c r="K1035" s="62" t="n">
        <x:v>812.6670172986888</x:v>
      </x:c>
      <x:c r="L1035" s="60" t="n">
        <x:v>4811447.146720599</x:v>
      </x:c>
      <x:c r="M1035" s="62" t="n">
        <x:v>3.909898916828426</x:v>
      </x:c>
      <x:c r="N1035" s="62" t="n">
        <x:v>812.6413497601769</x:v>
      </x:c>
      <x:c r="O1035" s="60" t="n">
        <x:v>4811295.180414218</x:v>
      </x:c>
      <x:c r="P1035" s="60" t="n">
        <x:v>151.96630638092756</x:v>
      </x:c>
      <x:c r="Q1035" s="62" t="n">
        <x:v>1.0000315853217652</x:v>
      </x:c>
      <x:c r="R1035" s="64" t="n">
        <x:v>0.00003158532176523918</x:v>
      </x:c>
    </x:row>
    <x:row r="1036" ht="18" customHeight="1">
      <x:c r="A1036" s="46" t="str">
        <x:v>LME_007</x:v>
      </x:c>
      <x:c r="B1036" s="46" t="str">
        <x:v>Northeast U.S. Continental Shelf</x:v>
      </x:c>
      <x:c r="C1036" s="46" t="str">
        <x:v>functional</x:v>
      </x:c>
      <x:c r="D1036" s="46" t="str">
        <x:v>Small demersals (&lt;30 cm)</x:v>
      </x:c>
      <x:c r="E1036" s="66" t="n">
        <x:v>1</x:v>
      </x:c>
      <x:c r="F1036" s="66" t="n">
        <x:v>1</x:v>
      </x:c>
      <x:c r="G1036" s="60" t="n">
        <x:v>0.0018816443</x:v>
      </x:c>
      <x:c r="H1036" s="60" t="n">
        <x:v>0.0018816443</x:v>
      </x:c>
      <x:c r="I1036" s="62" t="n">
        <x:v>0</x:v>
      </x:c>
      <x:c r="J1036" s="64" t="n">
        <x:v>1</x:v>
      </x:c>
      <x:c r="K1036" s="62" t="n">
        <x:v>3090.295432513592</x:v>
      </x:c>
      <x:c r="L1036" s="60" t="n">
        <x:v>5.814836785905235</x:v>
      </x:c>
      <x:c r="M1036" s="62" t="n">
        <x:v>4.49</x:v>
      </x:c>
      <x:c r="N1036" s="62" t="n">
        <x:v>3090.295432513592</x:v>
      </x:c>
      <x:c r="O1036" s="60" t="n">
        <x:v>5.814836785905235</x:v>
      </x:c>
      <x:c r="P1036" s="60" t="n">
        <x:v>0</x:v>
      </x:c>
      <x:c r="Q1036" s="62" t="n">
        <x:v>1</x:v>
      </x:c>
      <x:c r="R1036" s="64" t="n">
        <x:v>0</x:v>
      </x:c>
    </x:row>
    <x:row r="1037" ht="18" customHeight="1">
      <x:c r="A1037" s="46" t="str">
        <x:v>LME_007</x:v>
      </x:c>
      <x:c r="B1037" s="46" t="str">
        <x:v>Northeast U.S. Continental Shelf</x:v>
      </x:c>
      <x:c r="C1037" s="46" t="str">
        <x:v>functional</x:v>
      </x:c>
      <x:c r="D1037" s="46" t="str">
        <x:v>Small pelagics (&lt;30 cm)</x:v>
      </x:c>
      <x:c r="E1037" s="66" t="n">
        <x:v>7</x:v>
      </x:c>
      <x:c r="F1037" s="66" t="n">
        <x:v>7</x:v>
      </x:c>
      <x:c r="G1037" s="60" t="n">
        <x:v>86185.1272344778</x:v>
      </x:c>
      <x:c r="H1037" s="60" t="n">
        <x:v>86185.1272344778</x:v>
      </x:c>
      <x:c r="I1037" s="62" t="n">
        <x:v>0</x:v>
      </x:c>
      <x:c r="J1037" s="64" t="n">
        <x:v>1</x:v>
      </x:c>
      <x:c r="K1037" s="62" t="n">
        <x:v>144.59435540492035</x:v>
      </x:c>
      <x:c r="L1037" s="60" t="n">
        <x:v>12461882.917960363</x:v>
      </x:c>
      <x:c r="M1037" s="62" t="n">
        <x:v>3.1600412758693044</x:v>
      </x:c>
      <x:c r="N1037" s="62" t="n">
        <x:v>144.55771536066464</x:v>
      </x:c>
      <x:c r="O1037" s="60" t="n">
        <x:v>12458725.091084307</x:v>
      </x:c>
      <x:c r="P1037" s="60" t="n">
        <x:v>3157.8268760554492</x:v>
      </x:c>
      <x:c r="Q1037" s="62" t="n">
        <x:v>1.0002534630833386</x:v>
      </x:c>
      <x:c r="R1037" s="64" t="n">
        <x:v>0.0002534630833386996</x:v>
      </x:c>
    </x:row>
    <x:row r="1038" ht="18" customHeight="1">
      <x:c r="A1038" s="46" t="str">
        <x:v>LME_007</x:v>
      </x:c>
      <x:c r="B1038" s="46" t="str">
        <x:v>Northeast U.S. Continental Shelf</x:v>
      </x:c>
      <x:c r="C1038" s="46" t="str">
        <x:v>functional</x:v>
      </x:c>
      <x:c r="D1038" s="46" t="str">
        <x:v>Small to medium flatfishes (&lt;90 cm)</x:v>
      </x:c>
      <x:c r="E1038" s="66" t="n">
        <x:v>9</x:v>
      </x:c>
      <x:c r="F1038" s="66" t="n">
        <x:v>9</x:v>
      </x:c>
      <x:c r="G1038" s="60" t="n">
        <x:v>14613.094720272902</x:v>
      </x:c>
      <x:c r="H1038" s="60" t="n">
        <x:v>14613.094720272902</x:v>
      </x:c>
      <x:c r="I1038" s="62" t="n">
        <x:v>0</x:v>
      </x:c>
      <x:c r="J1038" s="64" t="n">
        <x:v>1</x:v>
      </x:c>
      <x:c r="K1038" s="62" t="n">
        <x:v>1930.9273601618195</x:v>
      </x:c>
      <x:c r="L1038" s="60" t="n">
        <x:v>28216824.412011176</x:v>
      </x:c>
      <x:c r="M1038" s="62" t="n">
        <x:v>4.1035287486918</x:v>
      </x:c>
      <x:c r="N1038" s="62" t="n">
        <x:v>1269.1961577657457</x:v>
      </x:c>
      <x:c r="O1038" s="60" t="n">
        <x:v>18546883.672037274</x:v>
      </x:c>
      <x:c r="P1038" s="60" t="n">
        <x:v>9669940.739973903</x:v>
      </x:c>
      <x:c r="Q1038" s="62" t="n">
        <x:v>1.5213781954406205</x:v>
      </x:c>
      <x:c r="R1038" s="64" t="n">
        <x:v>0.5213781954406205</x:v>
      </x:c>
    </x:row>
    <x:row r="1039" ht="18" customHeight="1">
      <x:c r="A1039" s="46" t="str">
        <x:v>LME_007</x:v>
      </x:c>
      <x:c r="B1039" s="46" t="str">
        <x:v>Northeast U.S. Continental Shelf</x:v>
      </x:c>
      <x:c r="C1039" s="46" t="str">
        <x:v>functional</x:v>
      </x:c>
      <x:c r="D1039" s="46" t="str">
        <x:v>Small to medium rays (&lt;90 cm)</x:v>
      </x:c>
      <x:c r="E1039" s="66" t="n">
        <x:v>3</x:v>
      </x:c>
      <x:c r="F1039" s="66" t="n">
        <x:v>3</x:v>
      </x:c>
      <x:c r="G1039" s="60" t="n">
        <x:v>4152.1981413873</x:v>
      </x:c>
      <x:c r="H1039" s="60" t="n">
        <x:v>4152.1981413873</x:v>
      </x:c>
      <x:c r="I1039" s="62" t="n">
        <x:v>0</x:v>
      </x:c>
      <x:c r="J1039" s="64" t="n">
        <x:v>1</x:v>
      </x:c>
      <x:c r="K1039" s="62" t="n">
        <x:v>407.5909002305717</x:v>
      </x:c>
      <x:c r="L1039" s="60" t="n">
        <x:v>1692398.1783837564</x:v>
      </x:c>
      <x:c r="M1039" s="62" t="n">
        <x:v>3.610041685707785</x:v>
      </x:c>
      <x:c r="N1039" s="62" t="n">
        <x:v>407.4193820316732</x:v>
      </x:c>
      <x:c r="O1039" s="60" t="n">
        <x:v>1691686.0008370758</x:v>
      </x:c>
      <x:c r="P1039" s="60" t="n">
        <x:v>712.1775466806721</x:v>
      </x:c>
      <x:c r="Q1039" s="62" t="n">
        <x:v>1.0004209868417238</x:v>
      </x:c>
      <x:c r="R1039" s="64" t="n">
        <x:v>0.00042098684172374435</x:v>
      </x:c>
    </x:row>
    <x:row r="1040" ht="18" customHeight="1">
      <x:c r="A1040" s="46" t="str">
        <x:v>LME_007</x:v>
      </x:c>
      <x:c r="B1040" s="46" t="str">
        <x:v>Northeast U.S. Continental Shelf</x:v>
      </x:c>
      <x:c r="C1040" s="46" t="str">
        <x:v>functional</x:v>
      </x:c>
      <x:c r="D1040" s="46" t="str">
        <x:v>Small to medium sharks (&lt;90 cm)</x:v>
      </x:c>
      <x:c r="E1040" s="66" t="n">
        <x:v>1</x:v>
      </x:c>
      <x:c r="F1040" s="66" t="n">
        <x:v>1</x:v>
      </x:c>
      <x:c r="G1040" s="60" t="n">
        <x:v>6.1940139084</x:v>
      </x:c>
      <x:c r="H1040" s="60" t="n">
        <x:v>6.1940139084</x:v>
      </x:c>
      <x:c r="I1040" s="62" t="n">
        <x:v>0</x:v>
      </x:c>
      <x:c r="J1040" s="64" t="n">
        <x:v>1</x:v>
      </x:c>
      <x:c r="K1040" s="62" t="n">
        <x:v>691.8309709189363</x:v>
      </x:c>
      <x:c r="L1040" s="60" t="n">
        <x:v>4285.210656133767</x:v>
      </x:c>
      <x:c r="M1040" s="62" t="n">
        <x:v>3.84</x:v>
      </x:c>
      <x:c r="N1040" s="62" t="n">
        <x:v>691.8309709189363</x:v>
      </x:c>
      <x:c r="O1040" s="60" t="n">
        <x:v>4285.210656133767</x:v>
      </x:c>
      <x:c r="P1040" s="60" t="n">
        <x:v>0</x:v>
      </x:c>
      <x:c r="Q1040" s="62" t="n">
        <x:v>1</x:v>
      </x:c>
      <x:c r="R1040" s="64" t="n">
        <x:v>0</x:v>
      </x:c>
    </x:row>
    <x:row r="1041" ht="18" customHeight="1">
      <x:c r="A1041" s="46" t="str">
        <x:v>LME_008</x:v>
      </x:c>
      <x:c r="B1041" s="46" t="str">
        <x:v>Scotian Shelf</x:v>
      </x:c>
      <x:c r="C1041" s="46" t="str">
        <x:v>functional</x:v>
      </x:c>
      <x:c r="D1041" s="46" t="str">
        <x:v>Cephalopods</x:v>
      </x:c>
      <x:c r="E1041" s="66" t="n">
        <x:v>3</x:v>
      </x:c>
      <x:c r="F1041" s="66" t="n">
        <x:v>3</x:v>
      </x:c>
      <x:c r="G1041" s="60" t="n">
        <x:v>71.0488776626</x:v>
      </x:c>
      <x:c r="H1041" s="60" t="n">
        <x:v>71.0488776626</x:v>
      </x:c>
      <x:c r="I1041" s="62" t="n">
        <x:v>0</x:v>
      </x:c>
      <x:c r="J1041" s="64" t="n">
        <x:v>1</x:v>
      </x:c>
      <x:c r="K1041" s="62" t="n">
        <x:v>1035.7680399635399</x:v>
      </x:c>
      <x:c r="L1041" s="60" t="n">
        <x:v>73590.15675820054</x:v>
      </x:c>
      <x:c r="M1041" s="62" t="n">
        <x:v>3.958819357725236</x:v>
      </x:c>
      <x:c r="N1041" s="62" t="n">
        <x:v>909.5348781767223</x:v>
      </x:c>
      <x:c r="O1041" s="60" t="n">
        <x:v>64621.43228944574</x:v>
      </x:c>
      <x:c r="P1041" s="60" t="n">
        <x:v>8968.724468754801</x:v>
      </x:c>
      <x:c r="Q1041" s="62" t="n">
        <x:v>1.1387886982848507</x:v>
      </x:c>
      <x:c r="R1041" s="64" t="n">
        <x:v>0.13878869828485083</x:v>
      </x:c>
    </x:row>
    <x:row r="1042" ht="18" customHeight="1">
      <x:c r="A1042" s="46" t="str">
        <x:v>LME_008</x:v>
      </x:c>
      <x:c r="B1042" s="46" t="str">
        <x:v>Scotian Shelf</x:v>
      </x:c>
      <x:c r="C1042" s="46" t="str">
        <x:v>functional</x:v>
      </x:c>
      <x:c r="D1042" s="46" t="str">
        <x:v>Jellyfish</x:v>
      </x:c>
      <x:c r="E1042" s="66" t="n">
        <x:v>1</x:v>
      </x:c>
      <x:c r="F1042" s="66" t="n">
        <x:v>1</x:v>
      </x:c>
      <x:c r="G1042" s="60" t="n">
        <x:v>25.3455157838</x:v>
      </x:c>
      <x:c r="H1042" s="60" t="n">
        <x:v>25.3455157838</x:v>
      </x:c>
      <x:c r="I1042" s="62" t="n">
        <x:v>0</x:v>
      </x:c>
      <x:c r="J1042" s="64" t="n">
        <x:v>1</x:v>
      </x:c>
      <x:c r="K1042" s="62" t="n">
        <x:v>288.40315031266056</x:v>
      </x:c>
      <x:c r="L1042" s="60" t="n">
        <x:v>7309.726598347182</x:v>
      </x:c>
      <x:c r="M1042" s="62" t="n">
        <x:v>3.46</x:v>
      </x:c>
      <x:c r="N1042" s="62" t="n">
        <x:v>288.40315031266056</x:v>
      </x:c>
      <x:c r="O1042" s="60" t="n">
        <x:v>7309.726598347182</x:v>
      </x:c>
      <x:c r="P1042" s="60" t="n">
        <x:v>0</x:v>
      </x:c>
      <x:c r="Q1042" s="62" t="n">
        <x:v>1</x:v>
      </x:c>
      <x:c r="R1042" s="64" t="n">
        <x:v>0</x:v>
      </x:c>
    </x:row>
    <x:row r="1043" ht="18" customHeight="1">
      <x:c r="A1043" s="46" t="str">
        <x:v>LME_008</x:v>
      </x:c>
      <x:c r="B1043" s="46" t="str">
        <x:v>Scotian Shelf</x:v>
      </x:c>
      <x:c r="C1043" s="46" t="str">
        <x:v>functional</x:v>
      </x:c>
      <x:c r="D1043" s="46" t="str">
        <x:v>Large bathypelagics (&gt;=90 cm)</x:v>
      </x:c>
      <x:c r="E1043" s="66" t="n">
        <x:v>1</x:v>
      </x:c>
      <x:c r="F1043" s="66" t="n">
        <x:v>1</x:v>
      </x:c>
      <x:c r="G1043" s="60" t="n">
        <x:v>103.8183680719</x:v>
      </x:c>
      <x:c r="H1043" s="60" t="n">
        <x:v>103.8183680719</x:v>
      </x:c>
      <x:c r="I1043" s="62" t="n">
        <x:v>0</x:v>
      </x:c>
      <x:c r="J1043" s="64" t="n">
        <x:v>1</x:v>
      </x:c>
      <x:c r="K1043" s="62" t="n">
        <x:v>933.2543007969915</x:v>
      </x:c>
      <x:c r="L1043" s="60" t="n">
        <x:v>96888.93850482574</x:v>
      </x:c>
      <x:c r="M1043" s="62" t="n">
        <x:v>3.97</x:v>
      </x:c>
      <x:c r="N1043" s="62" t="n">
        <x:v>933.2543007969915</x:v>
      </x:c>
      <x:c r="O1043" s="60" t="n">
        <x:v>96888.93850482574</x:v>
      </x:c>
      <x:c r="P1043" s="60" t="n">
        <x:v>0</x:v>
      </x:c>
      <x:c r="Q1043" s="62" t="n">
        <x:v>1</x:v>
      </x:c>
      <x:c r="R1043" s="64" t="n">
        <x:v>0</x:v>
      </x:c>
    </x:row>
    <x:row r="1044" ht="18" customHeight="1">
      <x:c r="A1044" s="46" t="str">
        <x:v>LME_008</x:v>
      </x:c>
      <x:c r="B1044" s="46" t="str">
        <x:v>Scotian Shelf</x:v>
      </x:c>
      <x:c r="C1044" s="46" t="str">
        <x:v>functional</x:v>
      </x:c>
      <x:c r="D1044" s="46" t="str">
        <x:v>Large benthopelagics (&gt;=90 cm)</x:v>
      </x:c>
      <x:c r="E1044" s="66" t="n">
        <x:v>5</x:v>
      </x:c>
      <x:c r="F1044" s="66" t="n">
        <x:v>5</x:v>
      </x:c>
      <x:c r="G1044" s="60" t="n">
        <x:v>4421.1330587985</x:v>
      </x:c>
      <x:c r="H1044" s="60" t="n">
        <x:v>4421.1330587985</x:v>
      </x:c>
      <x:c r="I1044" s="62" t="n">
        <x:v>0</x:v>
      </x:c>
      <x:c r="J1044" s="64" t="n">
        <x:v>1</x:v>
      </x:c>
      <x:c r="K1044" s="62" t="n">
        <x:v>1391.6783802065866</x:v>
      </x:c>
      <x:c r="L1044" s="60" t="n">
        <x:v>6152795.293946488</x:v>
      </x:c>
      <x:c r="M1044" s="62" t="n">
        <x:v>4.119694969970281</x:v>
      </x:c>
      <x:c r="N1044" s="62" t="n">
        <x:v>1317.3311759941905</x:v>
      </x:c>
      <x:c r="O1044" s="60" t="n">
        <x:v>5824096.411573821</x:v>
      </x:c>
      <x:c r="P1044" s="60" t="n">
        <x:v>328698.8823726671</x:v>
      </x:c>
      <x:c r="Q1044" s="62" t="n">
        <x:v>1.0564377474451603</x:v>
      </x:c>
      <x:c r="R1044" s="64" t="n">
        <x:v>0.0564377474451602</x:v>
      </x:c>
    </x:row>
    <x:row r="1045" ht="18" customHeight="1">
      <x:c r="A1045" s="46" t="str">
        <x:v>LME_008</x:v>
      </x:c>
      <x:c r="B1045" s="46" t="str">
        <x:v>Scotian Shelf</x:v>
      </x:c>
      <x:c r="C1045" s="46" t="str">
        <x:v>functional</x:v>
      </x:c>
      <x:c r="D1045" s="46" t="str">
        <x:v>Large demersals (&gt;=90 cm)</x:v>
      </x:c>
      <x:c r="E1045" s="66" t="n">
        <x:v>10</x:v>
      </x:c>
      <x:c r="F1045" s="66" t="n">
        <x:v>10</x:v>
      </x:c>
      <x:c r="G1045" s="60" t="n">
        <x:v>1595.504206534</x:v>
      </x:c>
      <x:c r="H1045" s="60" t="n">
        <x:v>1595.504206534</x:v>
      </x:c>
      <x:c r="I1045" s="62" t="n">
        <x:v>0</x:v>
      </x:c>
      <x:c r="J1045" s="64" t="n">
        <x:v>1</x:v>
      </x:c>
      <x:c r="K1045" s="62" t="n">
        <x:v>2155.825479051664</x:v>
      </x:c>
      <x:c r="L1045" s="60" t="n">
        <x:v>3439628.620380106</x:v>
      </x:c>
      <x:c r="M1045" s="62" t="n">
        <x:v>4.122088698860845</x:v>
      </x:c>
      <x:c r="N1045" s="62" t="n">
        <x:v>1324.6120419288013</x:v>
      </x:c>
      <x:c r="O1045" s="60" t="n">
        <x:v>2113424.084922994</x:v>
      </x:c>
      <x:c r="P1045" s="60" t="n">
        <x:v>1326204.535457112</x:v>
      </x:c>
      <x:c r="Q1045" s="62" t="n">
        <x:v>1.6275146313123587</x:v>
      </x:c>
      <x:c r="R1045" s="64" t="n">
        <x:v>0.6275146313123589</x:v>
      </x:c>
    </x:row>
    <x:row r="1046" ht="18" customHeight="1">
      <x:c r="A1046" s="46" t="str">
        <x:v>LME_008</x:v>
      </x:c>
      <x:c r="B1046" s="46" t="str">
        <x:v>Scotian Shelf</x:v>
      </x:c>
      <x:c r="C1046" s="46" t="str">
        <x:v>functional</x:v>
      </x:c>
      <x:c r="D1046" s="46" t="str">
        <x:v>Large flatfishes (&gt;=90 cm)</x:v>
      </x:c>
      <x:c r="E1046" s="66" t="n">
        <x:v>1</x:v>
      </x:c>
      <x:c r="F1046" s="66" t="n">
        <x:v>1</x:v>
      </x:c>
      <x:c r="G1046" s="60" t="n">
        <x:v>3289.6729950748</x:v>
      </x:c>
      <x:c r="H1046" s="60" t="n">
        <x:v>3289.6729950748</x:v>
      </x:c>
      <x:c r="I1046" s="62" t="n">
        <x:v>0</x:v>
      </x:c>
      <x:c r="J1046" s="64" t="n">
        <x:v>1</x:v>
      </x:c>
      <x:c r="K1046" s="62" t="n">
        <x:v>1000</x:v>
      </x:c>
      <x:c r="L1046" s="60" t="n">
        <x:v>3289672.9950747998</x:v>
      </x:c>
      <x:c r="M1046" s="62" t="n">
        <x:v>4</x:v>
      </x:c>
      <x:c r="N1046" s="62" t="n">
        <x:v>1000</x:v>
      </x:c>
      <x:c r="O1046" s="60" t="n">
        <x:v>3289672.9950747998</x:v>
      </x:c>
      <x:c r="P1046" s="60" t="n">
        <x:v>0</x:v>
      </x:c>
      <x:c r="Q1046" s="62" t="n">
        <x:v>1</x:v>
      </x:c>
      <x:c r="R1046" s="64" t="n">
        <x:v>0</x:v>
      </x:c>
    </x:row>
    <x:row r="1047" ht="18" customHeight="1">
      <x:c r="A1047" s="46" t="str">
        <x:v>LME_008</x:v>
      </x:c>
      <x:c r="B1047" s="46" t="str">
        <x:v>Scotian Shelf</x:v>
      </x:c>
      <x:c r="C1047" s="46" t="str">
        <x:v>functional</x:v>
      </x:c>
      <x:c r="D1047" s="46" t="str">
        <x:v>Large pelagics (&gt;=90 cm)</x:v>
      </x:c>
      <x:c r="E1047" s="66" t="n">
        <x:v>7</x:v>
      </x:c>
      <x:c r="F1047" s="66" t="n">
        <x:v>7</x:v>
      </x:c>
      <x:c r="G1047" s="60" t="n">
        <x:v>802.2826971826</x:v>
      </x:c>
      <x:c r="H1047" s="60" t="n">
        <x:v>802.2826971826</x:v>
      </x:c>
      <x:c r="I1047" s="62" t="n">
        <x:v>0</x:v>
      </x:c>
      <x:c r="J1047" s="64" t="n">
        <x:v>1</x:v>
      </x:c>
      <x:c r="K1047" s="62" t="n">
        <x:v>2416.1784654785106</x:v>
      </x:c>
      <x:c r="L1047" s="60" t="n">
        <x:v>1938458.1761586152</x:v>
      </x:c>
      <x:c r="M1047" s="62" t="n">
        <x:v>4.363991824132674</x:v>
      </x:c>
      <x:c r="N1047" s="62" t="n">
        <x:v>2312.021264508492</x:v>
      </x:c>
      <x:c r="O1047" s="60" t="n">
        <x:v>1854894.6560333986</x:v>
      </x:c>
      <x:c r="P1047" s="60" t="n">
        <x:v>83563.52012521657</x:v>
      </x:c>
      <x:c r="Q1047" s="62" t="n">
        <x:v>1.0450502781133204</x:v>
      </x:c>
      <x:c r="R1047" s="64" t="n">
        <x:v>0.0450502781133205</x:v>
      </x:c>
    </x:row>
    <x:row r="1048" ht="18" customHeight="1">
      <x:c r="A1048" s="46" t="str">
        <x:v>LME_008</x:v>
      </x:c>
      <x:c r="B1048" s="46" t="str">
        <x:v>Scotian Shelf</x:v>
      </x:c>
      <x:c r="C1048" s="46" t="str">
        <x:v>functional</x:v>
      </x:c>
      <x:c r="D1048" s="46" t="str">
        <x:v>Large rays (&gt;=90 cm)</x:v>
      </x:c>
      <x:c r="E1048" s="66" t="n">
        <x:v>1</x:v>
      </x:c>
      <x:c r="F1048" s="66" t="n">
        <x:v>1</x:v>
      </x:c>
      <x:c r="G1048" s="60" t="n">
        <x:v>362.1165945089</x:v>
      </x:c>
      <x:c r="H1048" s="60" t="n">
        <x:v>362.1165945089</x:v>
      </x:c>
      <x:c r="I1048" s="62" t="n">
        <x:v>0</x:v>
      </x:c>
      <x:c r="J1048" s="64" t="n">
        <x:v>1</x:v>
      </x:c>
      <x:c r="K1048" s="62" t="n">
        <x:v>660.6934480075957</x:v>
      </x:c>
      <x:c r="L1048" s="60" t="n">
        <x:v>239248.06140685355</x:v>
      </x:c>
      <x:c r="M1048" s="62" t="n">
        <x:v>3.8199999999999994</x:v>
      </x:c>
      <x:c r="N1048" s="62" t="n">
        <x:v>660.6934480075951</x:v>
      </x:c>
      <x:c r="O1048" s="60" t="n">
        <x:v>239248.0614068533</x:v>
      </x:c>
      <x:c r="P1048" s="60" t="n">
        <x:v>2.6193447411060333e-10</x:v>
      </x:c>
      <x:c r="Q1048" s="62" t="n">
        <x:v>1.000000000000001</x:v>
      </x:c>
      <x:c r="R1048" s="64" t="n">
        <x:v>1.0948238099416432e-15</x:v>
      </x:c>
    </x:row>
    <x:row r="1049" ht="18" customHeight="1">
      <x:c r="A1049" s="46" t="str">
        <x:v>LME_008</x:v>
      </x:c>
      <x:c r="B1049" s="46" t="str">
        <x:v>Scotian Shelf</x:v>
      </x:c>
      <x:c r="C1049" s="46" t="str">
        <x:v>functional</x:v>
      </x:c>
      <x:c r="D1049" s="46" t="str">
        <x:v>Large reef assoc. fish (&gt;=90 cm)</x:v>
      </x:c>
      <x:c r="E1049" s="66" t="n">
        <x:v>4</x:v>
      </x:c>
      <x:c r="F1049" s="66" t="n">
        <x:v>4</x:v>
      </x:c>
      <x:c r="G1049" s="60" t="n">
        <x:v>2135.5358299666004</x:v>
      </x:c>
      <x:c r="H1049" s="60" t="n">
        <x:v>2135.5358299666004</x:v>
      </x:c>
      <x:c r="I1049" s="62" t="n">
        <x:v>0</x:v>
      </x:c>
      <x:c r="J1049" s="64" t="n">
        <x:v>1</x:v>
      </x:c>
      <x:c r="K1049" s="62" t="n">
        <x:v>600.4207799909312</x:v>
      </x:c>
      <x:c r="L1049" s="60" t="n">
        <x:v>1282220.0887271268</x:v>
      </x:c>
      <x:c r="M1049" s="62" t="n">
        <x:v>3.76928419961511</x:v>
      </x:c>
      <x:c r="N1049" s="62" t="n">
        <x:v>587.8739277360766</x:v>
      </x:c>
      <x:c r="O1049" s="60" t="n">
        <x:v>1255425.8361835876</x:v>
      </x:c>
      <x:c r="P1049" s="60" t="n">
        <x:v>26794.252543539274</x:v>
      </x:c>
      <x:c r="Q1049" s="62" t="n">
        <x:v>1.0213427601784841</x:v>
      </x:c>
      <x:c r="R1049" s="64" t="n">
        <x:v>0.021342760178484178</x:v>
      </x:c>
    </x:row>
    <x:row r="1050" ht="18" customHeight="1">
      <x:c r="A1050" s="46" t="str">
        <x:v>LME_008</x:v>
      </x:c>
      <x:c r="B1050" s="46" t="str">
        <x:v>Scotian Shelf</x:v>
      </x:c>
      <x:c r="C1050" s="46" t="str">
        <x:v>functional</x:v>
      </x:c>
      <x:c r="D1050" s="46" t="str">
        <x:v>Large sharks (&gt;=90 cm)</x:v>
      </x:c>
      <x:c r="E1050" s="66" t="n">
        <x:v>7</x:v>
      </x:c>
      <x:c r="F1050" s="66" t="n">
        <x:v>7</x:v>
      </x:c>
      <x:c r="G1050" s="60" t="n">
        <x:v>291.2502962491</x:v>
      </x:c>
      <x:c r="H1050" s="60" t="n">
        <x:v>291.2502962491</x:v>
      </x:c>
      <x:c r="I1050" s="62" t="n">
        <x:v>0</x:v>
      </x:c>
      <x:c r="J1050" s="64" t="n">
        <x:v>1</x:v>
      </x:c>
      <x:c r="K1050" s="62" t="n">
        <x:v>1601.5222248142502</x:v>
      </x:c>
      <x:c r="L1050" s="60" t="n">
        <x:v>466443.82242666814</x:v>
      </x:c>
      <x:c r="M1050" s="62" t="n">
        <x:v>4.176013118722517</x:v>
      </x:c>
      <x:c r="N1050" s="62" t="n">
        <x:v>1499.7301371287779</x:v>
      </x:c>
      <x:c r="O1050" s="60" t="n">
        <x:v>436796.84673245996</x:v>
      </x:c>
      <x:c r="P1050" s="60" t="n">
        <x:v>29646.975694208173</x:v>
      </x:c>
      <x:c r="Q1050" s="62" t="n">
        <x:v>1.0678736028338756</x:v>
      </x:c>
      <x:c r="R1050" s="64" t="n">
        <x:v>0.06787360283387549</x:v>
      </x:c>
    </x:row>
    <x:row r="1051" ht="18" customHeight="1">
      <x:c r="A1051" s="46" t="str">
        <x:v>LME_008</x:v>
      </x:c>
      <x:c r="B1051" s="46" t="str">
        <x:v>Scotian Shelf</x:v>
      </x:c>
      <x:c r="C1051" s="46" t="str">
        <x:v>functional</x:v>
      </x:c>
      <x:c r="D1051" s="46" t="str">
        <x:v>Lobsters, crabs</x:v>
      </x:c>
      <x:c r="E1051" s="66" t="n">
        <x:v>6</x:v>
      </x:c>
      <x:c r="F1051" s="66" t="n">
        <x:v>6</x:v>
      </x:c>
      <x:c r="G1051" s="60" t="n">
        <x:v>44781.415995160605</x:v>
      </x:c>
      <x:c r="H1051" s="60" t="n">
        <x:v>44781.415995160605</x:v>
      </x:c>
      <x:c r="I1051" s="62" t="n">
        <x:v>0</x:v>
      </x:c>
      <x:c r="J1051" s="64" t="n">
        <x:v>1</x:v>
      </x:c>
      <x:c r="K1051" s="62" t="n">
        <x:v>469.06011198106546</x:v>
      </x:c>
      <x:c r="L1051" s="60" t="n">
        <x:v>21005176.00136071</x:v>
      </x:c>
      <x:c r="M1051" s="62" t="n">
        <x:v>3.647461863790861</x:v>
      </x:c>
      <x:c r="N1051" s="62" t="n">
        <x:v>444.0806641013372</x:v>
      </x:c>
      <x:c r="O1051" s="60" t="n">
        <x:v>19886560.954529166</x:v>
      </x:c>
      <x:c r="P1051" s="60" t="n">
        <x:v>1118615.0468315445</x:v>
      </x:c>
      <x:c r="Q1051" s="62" t="n">
        <x:v>1.0562497985141457</x:v>
      </x:c>
      <x:c r="R1051" s="64" t="n">
        <x:v>0.0562497985141458</x:v>
      </x:c>
    </x:row>
    <x:row r="1052" ht="18" customHeight="1">
      <x:c r="A1052" s="46" t="str">
        <x:v>LME_008</x:v>
      </x:c>
      <x:c r="B1052" s="46" t="str">
        <x:v>Scotian Shelf</x:v>
      </x:c>
      <x:c r="C1052" s="46" t="str">
        <x:v>functional</x:v>
      </x:c>
      <x:c r="D1052" s="46" t="str">
        <x:v>Medium bathydemersals (30 - 89 cm)</x:v>
      </x:c>
      <x:c r="E1052" s="66" t="n">
        <x:v>3</x:v>
      </x:c>
      <x:c r="F1052" s="66" t="n">
        <x:v>3</x:v>
      </x:c>
      <x:c r="G1052" s="60" t="n">
        <x:v>187.4280566732</x:v>
      </x:c>
      <x:c r="H1052" s="60" t="n">
        <x:v>187.4280566732</x:v>
      </x:c>
      <x:c r="I1052" s="62" t="n">
        <x:v>0</x:v>
      </x:c>
      <x:c r="J1052" s="64" t="n">
        <x:v>1</x:v>
      </x:c>
      <x:c r="K1052" s="62" t="n">
        <x:v>732.1840368774068</x:v>
      </x:c>
      <x:c r="L1052" s="60" t="n">
        <x:v>137231.83115907095</x:v>
      </x:c>
      <x:c r="M1052" s="62" t="n">
        <x:v>3.662136373879024</x:v>
      </x:c>
      <x:c r="N1052" s="62" t="n">
        <x:v>459.3422293766368</x:v>
      </x:c>
      <x:c r="O1052" s="60" t="n">
        <x:v>86093.62139999832</x:v>
      </x:c>
      <x:c r="P1052" s="60" t="n">
        <x:v>51138.20975907263</x:v>
      </x:c>
      <x:c r="Q1052" s="62" t="n">
        <x:v>1.5939837229227487</x:v>
      </x:c>
      <x:c r="R1052" s="64" t="n">
        <x:v>0.5939837229227488</x:v>
      </x:c>
    </x:row>
    <x:row r="1053" ht="18" customHeight="1">
      <x:c r="A1053" s="46" t="str">
        <x:v>LME_008</x:v>
      </x:c>
      <x:c r="B1053" s="46" t="str">
        <x:v>Scotian Shelf</x:v>
      </x:c>
      <x:c r="C1053" s="46" t="str">
        <x:v>functional</x:v>
      </x:c>
      <x:c r="D1053" s="46" t="str">
        <x:v>Medium benthopelagics (30 - 89 cm)</x:v>
      </x:c>
      <x:c r="E1053" s="66" t="n">
        <x:v>3</x:v>
      </x:c>
      <x:c r="F1053" s="66" t="n">
        <x:v>3</x:v>
      </x:c>
      <x:c r="G1053" s="60" t="n">
        <x:v>211.149804848</x:v>
      </x:c>
      <x:c r="H1053" s="60" t="n">
        <x:v>211.149804848</x:v>
      </x:c>
      <x:c r="I1053" s="62" t="n">
        <x:v>0</x:v>
      </x:c>
      <x:c r="J1053" s="64" t="n">
        <x:v>1</x:v>
      </x:c>
      <x:c r="K1053" s="62" t="n">
        <x:v>794.1170810567824</x:v>
      </x:c>
      <x:c r="L1053" s="60" t="n">
        <x:v>167677.666691603</x:v>
      </x:c>
      <x:c r="M1053" s="62" t="n">
        <x:v>3.895905360625541</x:v>
      </x:c>
      <x:c r="N1053" s="62" t="n">
        <x:v>786.8742991302028</x:v>
      </x:c>
      <x:c r="O1053" s="60" t="n">
        <x:v>166148.3547012491</x:v>
      </x:c>
      <x:c r="P1053" s="60" t="n">
        <x:v>1529.31199035389</x:v>
      </x:c>
      <x:c r="Q1053" s="62" t="n">
        <x:v>1.0092044967469207</x:v>
      </x:c>
      <x:c r="R1053" s="64" t="n">
        <x:v>0.009204496746920797</x:v>
      </x:c>
    </x:row>
    <x:row r="1054" ht="18" customHeight="1">
      <x:c r="A1054" s="46" t="str">
        <x:v>LME_008</x:v>
      </x:c>
      <x:c r="B1054" s="46" t="str">
        <x:v>Scotian Shelf</x:v>
      </x:c>
      <x:c r="C1054" s="46" t="str">
        <x:v>functional</x:v>
      </x:c>
      <x:c r="D1054" s="46" t="str">
        <x:v>Medium demersals (30 - 89 cm)</x:v>
      </x:c>
      <x:c r="E1054" s="66" t="n">
        <x:v>9</x:v>
      </x:c>
      <x:c r="F1054" s="66" t="n">
        <x:v>9</x:v>
      </x:c>
      <x:c r="G1054" s="60" t="n">
        <x:v>15734.600353893</x:v>
      </x:c>
      <x:c r="H1054" s="60" t="n">
        <x:v>15734.600353893</x:v>
      </x:c>
      <x:c r="I1054" s="62" t="n">
        <x:v>0</x:v>
      </x:c>
      <x:c r="J1054" s="64" t="n">
        <x:v>1</x:v>
      </x:c>
      <x:c r="K1054" s="62" t="n">
        <x:v>1517.095720617592</x:v>
      </x:c>
      <x:c r="L1054" s="60" t="n">
        <x:v>23870894.86251912</x:v>
      </x:c>
      <x:c r="M1054" s="62" t="n">
        <x:v>3.942037429750279</x:v>
      </x:c>
      <x:c r="N1054" s="62" t="n">
        <x:v>875.0591891157327</x:v>
      </x:c>
      <x:c r="O1054" s="60" t="n">
        <x:v>13768706.626737729</x:v>
      </x:c>
      <x:c r="P1054" s="60" t="n">
        <x:v>10102188.23578139</x:v>
      </x:c>
      <x:c r="Q1054" s="62" t="n">
        <x:v>1.7337064046497837</x:v>
      </x:c>
      <x:c r="R1054" s="64" t="n">
        <x:v>0.7337064046497837</x:v>
      </x:c>
    </x:row>
    <x:row r="1055" ht="18" customHeight="1">
      <x:c r="A1055" s="46" t="str">
        <x:v>LME_008</x:v>
      </x:c>
      <x:c r="B1055" s="46" t="str">
        <x:v>Scotian Shelf</x:v>
      </x:c>
      <x:c r="C1055" s="46" t="str">
        <x:v>functional</x:v>
      </x:c>
      <x:c r="D1055" s="46" t="str">
        <x:v>Medium pelagics (30 - 89 cm)</x:v>
      </x:c>
      <x:c r="E1055" s="66" t="n">
        <x:v>5</x:v>
      </x:c>
      <x:c r="F1055" s="66" t="n">
        <x:v>5</x:v>
      </x:c>
      <x:c r="G1055" s="60" t="n">
        <x:v>42326.234585691396</x:v>
      </x:c>
      <x:c r="H1055" s="60" t="n">
        <x:v>42326.234585691396</x:v>
      </x:c>
      <x:c r="I1055" s="62" t="n">
        <x:v>0</x:v>
      </x:c>
      <x:c r="J1055" s="64" t="n">
        <x:v>1</x:v>
      </x:c>
      <x:c r="K1055" s="62" t="n">
        <x:v>253.60050408567002</x:v>
      </x:c>
      <x:c r="L1055" s="60" t="n">
        <x:v>10733954.42697966</x:v>
      </x:c>
      <x:c r="M1055" s="62" t="n">
        <x:v>3.3984256607792407</x:v>
      </x:c>
      <x:c r="N1055" s="62" t="n">
        <x:v>250.27972019575373</x:v>
      </x:c>
      <x:c r="O1055" s="60" t="n">
        <x:v>10593398.149046676</x:v>
      </x:c>
      <x:c r="P1055" s="60" t="n">
        <x:v>140556.2779329829</x:v>
      </x:c>
      <x:c r="Q1055" s="62" t="n">
        <x:v>1.0132682899250447</x:v>
      </x:c>
      <x:c r="R1055" s="64" t="n">
        <x:v>0.013268289925044672</x:v>
      </x:c>
    </x:row>
    <x:row r="1056" ht="18" customHeight="1">
      <x:c r="A1056" s="46" t="str">
        <x:v>LME_008</x:v>
      </x:c>
      <x:c r="B1056" s="46" t="str">
        <x:v>Scotian Shelf</x:v>
      </x:c>
      <x:c r="C1056" s="46" t="str">
        <x:v>functional</x:v>
      </x:c>
      <x:c r="D1056" s="46" t="str">
        <x:v>Medium reef assoc. fish (30 - 89 cm)</x:v>
      </x:c>
      <x:c r="E1056" s="66" t="n">
        <x:v>1</x:v>
      </x:c>
      <x:c r="F1056" s="66" t="n">
        <x:v>1</x:v>
      </x:c>
      <x:c r="G1056" s="60" t="n">
        <x:v>52.1538728215</x:v>
      </x:c>
      <x:c r="H1056" s="60" t="n">
        <x:v>52.1538728215</x:v>
      </x:c>
      <x:c r="I1056" s="62" t="n">
        <x:v>0</x:v>
      </x:c>
      <x:c r="J1056" s="64" t="n">
        <x:v>1</x:v>
      </x:c>
      <x:c r="K1056" s="62" t="n">
        <x:v>524.8074602497728</x:v>
      </x:c>
      <x:c r="L1056" s="60" t="n">
        <x:v>27370.741537641068</x:v>
      </x:c>
      <x:c r="M1056" s="62" t="n">
        <x:v>3.72</x:v>
      </x:c>
      <x:c r="N1056" s="62" t="n">
        <x:v>524.8074602497728</x:v>
      </x:c>
      <x:c r="O1056" s="60" t="n">
        <x:v>27370.741537641068</x:v>
      </x:c>
      <x:c r="P1056" s="60" t="n">
        <x:v>0</x:v>
      </x:c>
      <x:c r="Q1056" s="62" t="n">
        <x:v>1</x:v>
      </x:c>
      <x:c r="R1056" s="64" t="n">
        <x:v>0</x:v>
      </x:c>
    </x:row>
    <x:row r="1057" ht="18" customHeight="1">
      <x:c r="A1057" s="46" t="str">
        <x:v>LME_008</x:v>
      </x:c>
      <x:c r="B1057" s="46" t="str">
        <x:v>Scotian Shelf</x:v>
      </x:c>
      <x:c r="C1057" s="46" t="str">
        <x:v>functional</x:v>
      </x:c>
      <x:c r="D1057" s="46" t="str">
        <x:v>Other demersal invertebrates</x:v>
      </x:c>
      <x:c r="E1057" s="66" t="n">
        <x:v>10</x:v>
      </x:c>
      <x:c r="F1057" s="66" t="n">
        <x:v>10</x:v>
      </x:c>
      <x:c r="G1057" s="60" t="n">
        <x:v>25070.937343252797</x:v>
      </x:c>
      <x:c r="H1057" s="60" t="n">
        <x:v>25070.937343252797</x:v>
      </x:c>
      <x:c r="I1057" s="62" t="n">
        <x:v>0</x:v>
      </x:c>
      <x:c r="J1057" s="64" t="n">
        <x:v>1</x:v>
      </x:c>
      <x:c r="K1057" s="62" t="n">
        <x:v>14.71760932315617</x:v>
      </x:c>
      <x:c r="L1057" s="60" t="n">
        <x:v>368984.26118332153</x:v>
      </x:c>
      <x:c r="M1057" s="62" t="n">
        <x:v>2.1336004947783294</x:v>
      </x:c>
      <x:c r="N1057" s="62" t="n">
        <x:v>13.60192872480641</x:v>
      </x:c>
      <x:c r="O1057" s="60" t="n">
        <x:v>341013.1028070119</x:v>
      </x:c>
      <x:c r="P1057" s="60" t="n">
        <x:v>27971.158376309613</x:v>
      </x:c>
      <x:c r="Q1057" s="62" t="n">
        <x:v>1.0820237056760227</x:v>
      </x:c>
      <x:c r="R1057" s="64" t="n">
        <x:v>0.08202370567602268</x:v>
      </x:c>
    </x:row>
    <x:row r="1058" ht="18" customHeight="1">
      <x:c r="A1058" s="46" t="str">
        <x:v>LME_008</x:v>
      </x:c>
      <x:c r="B1058" s="46" t="str">
        <x:v>Scotian Shelf</x:v>
      </x:c>
      <x:c r="C1058" s="46" t="str">
        <x:v>functional</x:v>
      </x:c>
      <x:c r="D1058" s="46" t="str">
        <x:v>Shrimps</x:v>
      </x:c>
      <x:c r="E1058" s="66" t="n">
        <x:v>2</x:v>
      </x:c>
      <x:c r="F1058" s="66" t="n">
        <x:v>2</x:v>
      </x:c>
      <x:c r="G1058" s="60" t="n">
        <x:v>2592.9680232524997</x:v>
      </x:c>
      <x:c r="H1058" s="60" t="n">
        <x:v>2592.9680232524997</x:v>
      </x:c>
      <x:c r="I1058" s="62" t="n">
        <x:v>0</x:v>
      </x:c>
      <x:c r="J1058" s="64" t="n">
        <x:v>1</x:v>
      </x:c>
      <x:c r="K1058" s="62" t="n">
        <x:v>40.00719080577968</x:v>
      </x:c>
      <x:c r="L1058" s="60" t="n">
        <x:v>103737.36645954811</x:v>
      </x:c>
      <x:c r="M1058" s="62" t="n">
        <x:v>2.601906030560821</x:v>
      </x:c>
      <x:c r="N1058" s="62" t="n">
        <x:v>39.98582220252512</x:v>
      </x:c>
      <x:c r="O1058" s="60" t="n">
        <x:v>103681.95835460747</x:v>
      </x:c>
      <x:c r="P1058" s="60" t="n">
        <x:v>55.40810494063771</x:v>
      </x:c>
      <x:c r="Q1058" s="62" t="n">
        <x:v>1.0005344044983326</x:v>
      </x:c>
      <x:c r="R1058" s="64" t="n">
        <x:v>0.0005344044983326211</x:v>
      </x:c>
    </x:row>
    <x:row r="1059" ht="18" customHeight="1">
      <x:c r="A1059" s="46" t="str">
        <x:v>LME_008</x:v>
      </x:c>
      <x:c r="B1059" s="46" t="str">
        <x:v>Scotian Shelf</x:v>
      </x:c>
      <x:c r="C1059" s="46" t="str">
        <x:v>functional</x:v>
      </x:c>
      <x:c r="D1059" s="46" t="str">
        <x:v>Small pelagics (&lt;30 cm)</x:v>
      </x:c>
      <x:c r="E1059" s="66" t="n">
        <x:v>5</x:v>
      </x:c>
      <x:c r="F1059" s="66" t="n">
        <x:v>5</x:v>
      </x:c>
      <x:c r="G1059" s="60" t="n">
        <x:v>1004.4521800679</x:v>
      </x:c>
      <x:c r="H1059" s="60" t="n">
        <x:v>1004.4521800679</x:v>
      </x:c>
      <x:c r="I1059" s="62" t="n">
        <x:v>0</x:v>
      </x:c>
      <x:c r="J1059" s="64" t="n">
        <x:v>1</x:v>
      </x:c>
      <x:c r="K1059" s="62" t="n">
        <x:v>185.0236697010816</x:v>
      </x:c>
      <x:c r="L1059" s="60" t="n">
        <x:v>185847.42839541446</x:v>
      </x:c>
      <x:c r="M1059" s="62" t="n">
        <x:v>3.2388549849868733</x:v>
      </x:c>
      <x:c r="N1059" s="62" t="n">
        <x:v>173.32251609334594</x:v>
      </x:c>
      <x:c r="O1059" s="60" t="n">
        <x:v>174094.17914481502</x:v>
      </x:c>
      <x:c r="P1059" s="60" t="n">
        <x:v>11753.249250599445</x:v>
      </x:c>
      <x:c r="Q1059" s="62" t="n">
        <x:v>1.0675108685904016</x:v>
      </x:c>
      <x:c r="R1059" s="64" t="n">
        <x:v>0.06751086859040162</x:v>
      </x:c>
    </x:row>
    <x:row r="1060" ht="18" customHeight="1">
      <x:c r="A1060" s="46" t="str">
        <x:v>LME_008</x:v>
      </x:c>
      <x:c r="B1060" s="46" t="str">
        <x:v>Scotian Shelf</x:v>
      </x:c>
      <x:c r="C1060" s="46" t="str">
        <x:v>functional</x:v>
      </x:c>
      <x:c r="D1060" s="46" t="str">
        <x:v>Small to medium flatfishes (&lt;90 cm)</x:v>
      </x:c>
      <x:c r="E1060" s="66" t="n">
        <x:v>7</x:v>
      </x:c>
      <x:c r="F1060" s="66" t="n">
        <x:v>7</x:v>
      </x:c>
      <x:c r="G1060" s="60" t="n">
        <x:v>3558.9393611364</x:v>
      </x:c>
      <x:c r="H1060" s="60" t="n">
        <x:v>3558.9393611364</x:v>
      </x:c>
      <x:c r="I1060" s="62" t="n">
        <x:v>0</x:v>
      </x:c>
      <x:c r="J1060" s="64" t="n">
        <x:v>1</x:v>
      </x:c>
      <x:c r="K1060" s="62" t="n">
        <x:v>444.59896940046036</x:v>
      </x:c>
      <x:c r="L1060" s="60" t="n">
        <x:v>1582300.772119976</x:v>
      </x:c>
      <x:c r="M1060" s="62" t="n">
        <x:v>3.597989359822476</x:v>
      </x:c>
      <x:c r="N1060" s="62" t="n">
        <x:v>396.2683255965503</x:v>
      </x:c>
      <x:c r="O1060" s="60" t="n">
        <x:v>1410294.9415371777</x:v>
      </x:c>
      <x:c r="P1060" s="60" t="n">
        <x:v>172005.83058279846</x:v>
      </x:c>
      <x:c r="Q1060" s="62" t="n">
        <x:v>1.121964438442442</x:v>
      </x:c>
      <x:c r="R1060" s="64" t="n">
        <x:v>0.12196443844244201</x:v>
      </x:c>
    </x:row>
    <x:row r="1061" ht="18" customHeight="1">
      <x:c r="A1061" s="46" t="str">
        <x:v>LME_008</x:v>
      </x:c>
      <x:c r="B1061" s="46" t="str">
        <x:v>Scotian Shelf</x:v>
      </x:c>
      <x:c r="C1061" s="46" t="str">
        <x:v>functional</x:v>
      </x:c>
      <x:c r="D1061" s="46" t="str">
        <x:v>Small to medium sharks (&lt;90 cm)</x:v>
      </x:c>
      <x:c r="E1061" s="66" t="n">
        <x:v>1</x:v>
      </x:c>
      <x:c r="F1061" s="66" t="n">
        <x:v>1</x:v>
      </x:c>
      <x:c r="G1061" s="60" t="n">
        <x:v>62.2727141771</x:v>
      </x:c>
      <x:c r="H1061" s="60" t="n">
        <x:v>62.2727141771</x:v>
      </x:c>
      <x:c r="I1061" s="62" t="n">
        <x:v>0</x:v>
      </x:c>
      <x:c r="J1061" s="64" t="n">
        <x:v>1</x:v>
      </x:c>
      <x:c r="K1061" s="62" t="n">
        <x:v>691.8309709189363</x:v>
      </x:c>
      <x:c r="L1061" s="60" t="n">
        <x:v>43082.1923109005</x:v>
      </x:c>
      <x:c r="M1061" s="62" t="n">
        <x:v>3.8399999999999994</x:v>
      </x:c>
      <x:c r="N1061" s="62" t="n">
        <x:v>691.8309709189356</x:v>
      </x:c>
      <x:c r="O1061" s="60" t="n">
        <x:v>43082.19231090046</x:v>
      </x:c>
      <x:c r="P1061" s="60" t="n">
        <x:v>4.3655745685100555e-11</x:v>
      </x:c>
      <x:c r="Q1061" s="62" t="n">
        <x:v>1.000000000000001</x:v>
      </x:c>
      <x:c r="R1061" s="64" t="n">
        <x:v>1.0133130034344836e-15</x:v>
      </x:c>
    </x:row>
    <x:row r="1062" ht="18" customHeight="1">
      <x:c r="A1062" s="46" t="str">
        <x:v>LME_009</x:v>
      </x:c>
      <x:c r="B1062" s="46" t="str">
        <x:v>Newfoundland-Labrador Shelf</x:v>
      </x:c>
      <x:c r="C1062" s="46" t="str">
        <x:v>functional</x:v>
      </x:c>
      <x:c r="D1062" s="46" t="str">
        <x:v>Cephalopods</x:v>
      </x:c>
      <x:c r="E1062" s="66" t="n">
        <x:v>3</x:v>
      </x:c>
      <x:c r="F1062" s="66" t="n">
        <x:v>3</x:v>
      </x:c>
      <x:c r="G1062" s="60" t="n">
        <x:v>267.5489804552</x:v>
      </x:c>
      <x:c r="H1062" s="60" t="n">
        <x:v>267.5489804552</x:v>
      </x:c>
      <x:c r="I1062" s="62" t="n">
        <x:v>0</x:v>
      </x:c>
      <x:c r="J1062" s="64" t="n">
        <x:v>1</x:v>
      </x:c>
      <x:c r="K1062" s="62" t="n">
        <x:v>1179.1013453084042</x:v>
      </x:c>
      <x:c r="L1062" s="60" t="n">
        <x:v>315467.3627906183</x:v>
      </x:c>
      <x:c r="M1062" s="62" t="n">
        <x:v>4.036955380215779</x:v>
      </x:c>
      <x:c r="N1062" s="62" t="n">
        <x:v>1088.8182214770563</x:v>
      </x:c>
      <x:c r="O1062" s="60" t="n">
        <x:v>291312.2050572306</x:v>
      </x:c>
      <x:c r="P1062" s="60" t="n">
        <x:v>24155.15773338772</x:v>
      </x:c>
      <x:c r="Q1062" s="62" t="n">
        <x:v>1.0829184542015404</x:v>
      </x:c>
      <x:c r="R1062" s="64" t="n">
        <x:v>0.0829184542015404</x:v>
      </x:c>
    </x:row>
    <x:row r="1063" ht="18" customHeight="1">
      <x:c r="A1063" s="46" t="str">
        <x:v>LME_009</x:v>
      </x:c>
      <x:c r="B1063" s="46" t="str">
        <x:v>Newfoundland-Labrador Shelf</x:v>
      </x:c>
      <x:c r="C1063" s="46" t="str">
        <x:v>functional</x:v>
      </x:c>
      <x:c r="D1063" s="46" t="str">
        <x:v>Jellyfish</x:v>
      </x:c>
      <x:c r="E1063" s="66" t="n">
        <x:v>1</x:v>
      </x:c>
      <x:c r="F1063" s="66" t="n">
        <x:v>1</x:v>
      </x:c>
      <x:c r="G1063" s="60" t="n">
        <x:v>33.9163761684</x:v>
      </x:c>
      <x:c r="H1063" s="60" t="n">
        <x:v>33.9163761684</x:v>
      </x:c>
      <x:c r="I1063" s="62" t="n">
        <x:v>0</x:v>
      </x:c>
      <x:c r="J1063" s="64" t="n">
        <x:v>1</x:v>
      </x:c>
      <x:c r="K1063" s="62" t="n">
        <x:v>288.40315031266056</x:v>
      </x:c>
      <x:c r="L1063" s="60" t="n">
        <x:v>9781.589734155803</x:v>
      </x:c>
      <x:c r="M1063" s="62" t="n">
        <x:v>3.46</x:v>
      </x:c>
      <x:c r="N1063" s="62" t="n">
        <x:v>288.40315031266056</x:v>
      </x:c>
      <x:c r="O1063" s="60" t="n">
        <x:v>9781.589734155803</x:v>
      </x:c>
      <x:c r="P1063" s="60" t="n">
        <x:v>0</x:v>
      </x:c>
      <x:c r="Q1063" s="62" t="n">
        <x:v>1</x:v>
      </x:c>
      <x:c r="R1063" s="64" t="n">
        <x:v>0</x:v>
      </x:c>
    </x:row>
    <x:row r="1064" ht="18" customHeight="1">
      <x:c r="A1064" s="46" t="str">
        <x:v>LME_009</x:v>
      </x:c>
      <x:c r="B1064" s="46" t="str">
        <x:v>Newfoundland-Labrador Shelf</x:v>
      </x:c>
      <x:c r="C1064" s="46" t="str">
        <x:v>functional</x:v>
      </x:c>
      <x:c r="D1064" s="46" t="str">
        <x:v>Large bathydemersals (&gt;=90 cm)</x:v>
      </x:c>
      <x:c r="E1064" s="66" t="n">
        <x:v>1</x:v>
      </x:c>
      <x:c r="F1064" s="66" t="n">
        <x:v>1</x:v>
      </x:c>
      <x:c r="G1064" s="60" t="n">
        <x:v>0.0049572568</x:v>
      </x:c>
      <x:c r="H1064" s="60" t="n">
        <x:v>0.0049572568</x:v>
      </x:c>
      <x:c r="I1064" s="62" t="n">
        <x:v>0</x:v>
      </x:c>
      <x:c r="J1064" s="64" t="n">
        <x:v>1</x:v>
      </x:c>
      <x:c r="K1064" s="62" t="n">
        <x:v>489.7788193684462</x:v>
      </x:c>
      <x:c r="L1064" s="60" t="n">
        <x:v>2.4279593828102013</x:v>
      </x:c>
      <x:c r="M1064" s="62" t="n">
        <x:v>3.6899999999999995</x:v>
      </x:c>
      <x:c r="N1064" s="62" t="n">
        <x:v>489.7788193684456</x:v>
      </x:c>
      <x:c r="O1064" s="60" t="n">
        <x:v>2.4279593828101986</x:v>
      </x:c>
      <x:c r="P1064" s="60" t="n">
        <x:v>2.6645352591003757e-15</x:v>
      </x:c>
      <x:c r="Q1064" s="62" t="n">
        <x:v>1.000000000000001</x:v>
      </x:c>
      <x:c r="R1064" s="64" t="n">
        <x:v>1.0974381523698952e-15</x:v>
      </x:c>
    </x:row>
    <x:row r="1065" ht="18" customHeight="1">
      <x:c r="A1065" s="46" t="str">
        <x:v>LME_009</x:v>
      </x:c>
      <x:c r="B1065" s="46" t="str">
        <x:v>Newfoundland-Labrador Shelf</x:v>
      </x:c>
      <x:c r="C1065" s="46" t="str">
        <x:v>functional</x:v>
      </x:c>
      <x:c r="D1065" s="46" t="str">
        <x:v>Large bathypelagics (&gt;=90 cm)</x:v>
      </x:c>
      <x:c r="E1065" s="66" t="n">
        <x:v>2</x:v>
      </x:c>
      <x:c r="F1065" s="66" t="n">
        <x:v>2</x:v>
      </x:c>
      <x:c r="G1065" s="60" t="n">
        <x:v>85.9040196703</x:v>
      </x:c>
      <x:c r="H1065" s="60" t="n">
        <x:v>85.9040196703</x:v>
      </x:c>
      <x:c r="I1065" s="62" t="n">
        <x:v>0</x:v>
      </x:c>
      <x:c r="J1065" s="64" t="n">
        <x:v>1</x:v>
      </x:c>
      <x:c r="K1065" s="62" t="n">
        <x:v>360.27518810203804</x:v>
      </x:c>
      <x:c r="L1065" s="60" t="n">
        <x:v>30949.08684543851</x:v>
      </x:c>
      <x:c r="M1065" s="62" t="n">
        <x:v>3.549925510632069</x:v>
      </x:c>
      <x:c r="N1065" s="62" t="n">
        <x:v>354.7525375310293</x:v>
      </x:c>
      <x:c r="O1065" s="60" t="n">
        <x:v>30474.66896215438</x:v>
      </x:c>
      <x:c r="P1065" s="60" t="n">
        <x:v>474.41788328412804</x:v>
      </x:c>
      <x:c r="Q1065" s="62" t="n">
        <x:v>1.0155676140033971</x:v>
      </x:c>
      <x:c r="R1065" s="64" t="n">
        <x:v>0.015567614003397182</x:v>
      </x:c>
    </x:row>
    <x:row r="1066" ht="18" customHeight="1">
      <x:c r="A1066" s="46" t="str">
        <x:v>LME_009</x:v>
      </x:c>
      <x:c r="B1066" s="46" t="str">
        <x:v>Newfoundland-Labrador Shelf</x:v>
      </x:c>
      <x:c r="C1066" s="46" t="str">
        <x:v>functional</x:v>
      </x:c>
      <x:c r="D1066" s="46" t="str">
        <x:v>Large benthopelagics (&gt;=90 cm)</x:v>
      </x:c>
      <x:c r="E1066" s="66" t="n">
        <x:v>7</x:v>
      </x:c>
      <x:c r="F1066" s="66" t="n">
        <x:v>7</x:v>
      </x:c>
      <x:c r="G1066" s="60" t="n">
        <x:v>58889.131316878396</x:v>
      </x:c>
      <x:c r="H1066" s="60" t="n">
        <x:v>58889.131316878396</x:v>
      </x:c>
      <x:c r="I1066" s="62" t="n">
        <x:v>0</x:v>
      </x:c>
      <x:c r="J1066" s="64" t="n">
        <x:v>1</x:v>
      </x:c>
      <x:c r="K1066" s="62" t="n">
        <x:v>1375.7212295170664</x:v>
      </x:c>
      <x:c r="L1066" s="60" t="n">
        <x:v>81015028.14044793</x:v>
      </x:c>
      <x:c r="M1066" s="62" t="n">
        <x:v>4.119147239259997</x:v>
      </x:c>
      <x:c r="N1066" s="62" t="n">
        <x:v>1315.6708096797136</x:v>
      </x:c>
      <x:c r="O1066" s="60" t="n">
        <x:v>77478711.08101238</x:v>
      </x:c>
      <x:c r="P1066" s="60" t="n">
        <x:v>3536317.0594355464</x:v>
      </x:c>
      <x:c r="Q1066" s="62" t="n">
        <x:v>1.0456424353231424</x:v>
      </x:c>
      <x:c r="R1066" s="64" t="n">
        <x:v>0.04564243532314243</x:v>
      </x:c>
    </x:row>
    <x:row r="1067" ht="18" customHeight="1">
      <x:c r="A1067" s="46" t="str">
        <x:v>LME_009</x:v>
      </x:c>
      <x:c r="B1067" s="46" t="str">
        <x:v>Newfoundland-Labrador Shelf</x:v>
      </x:c>
      <x:c r="C1067" s="46" t="str">
        <x:v>functional</x:v>
      </x:c>
      <x:c r="D1067" s="46" t="str">
        <x:v>Large demersals (&gt;=90 cm)</x:v>
      </x:c>
      <x:c r="E1067" s="66" t="n">
        <x:v>13</x:v>
      </x:c>
      <x:c r="F1067" s="66" t="n">
        <x:v>13</x:v>
      </x:c>
      <x:c r="G1067" s="60" t="n">
        <x:v>1826.1607666757002</x:v>
      </x:c>
      <x:c r="H1067" s="60" t="n">
        <x:v>1826.1607666757002</x:v>
      </x:c>
      <x:c r="I1067" s="62" t="n">
        <x:v>0</x:v>
      </x:c>
      <x:c r="J1067" s="64" t="n">
        <x:v>1</x:v>
      </x:c>
      <x:c r="K1067" s="62" t="n">
        <x:v>1246.1285932938906</x:v>
      </x:c>
      <x:c r="L1067" s="60" t="n">
        <x:v>2275631.1473060832</x:v>
      </x:c>
      <x:c r="M1067" s="62" t="n">
        <x:v>3.9182843844083584</x:v>
      </x:c>
      <x:c r="N1067" s="62" t="n">
        <x:v>828.4844937646054</x:v>
      </x:c>
      <x:c r="O1067" s="60" t="n">
        <x:v>1512945.8783121011</x:v>
      </x:c>
      <x:c r="P1067" s="60" t="n">
        <x:v>762685.2689939821</x:v>
      </x:c>
      <x:c r="Q1067" s="62" t="n">
        <x:v>1.504106115048122</x:v>
      </x:c>
      <x:c r="R1067" s="64" t="n">
        <x:v>0.5041061150481221</x:v>
      </x:c>
    </x:row>
    <x:row r="1068" ht="18" customHeight="1">
      <x:c r="A1068" s="46" t="str">
        <x:v>LME_009</x:v>
      </x:c>
      <x:c r="B1068" s="46" t="str">
        <x:v>Newfoundland-Labrador Shelf</x:v>
      </x:c>
      <x:c r="C1068" s="46" t="str">
        <x:v>functional</x:v>
      </x:c>
      <x:c r="D1068" s="46" t="str">
        <x:v>Large flatfishes (&gt;=90 cm)</x:v>
      </x:c>
      <x:c r="E1068" s="66" t="n">
        <x:v>1</x:v>
      </x:c>
      <x:c r="F1068" s="66" t="n">
        <x:v>1</x:v>
      </x:c>
      <x:c r="G1068" s="60" t="n">
        <x:v>4039.2908569585</x:v>
      </x:c>
      <x:c r="H1068" s="60" t="n">
        <x:v>4039.2908569585</x:v>
      </x:c>
      <x:c r="I1068" s="62" t="n">
        <x:v>0</x:v>
      </x:c>
      <x:c r="J1068" s="64" t="n">
        <x:v>1</x:v>
      </x:c>
      <x:c r="K1068" s="62" t="n">
        <x:v>1000</x:v>
      </x:c>
      <x:c r="L1068" s="60" t="n">
        <x:v>4039290.8569585</x:v>
      </x:c>
      <x:c r="M1068" s="62" t="n">
        <x:v>4</x:v>
      </x:c>
      <x:c r="N1068" s="62" t="n">
        <x:v>1000</x:v>
      </x:c>
      <x:c r="O1068" s="60" t="n">
        <x:v>4039290.8569585</x:v>
      </x:c>
      <x:c r="P1068" s="60" t="n">
        <x:v>0</x:v>
      </x:c>
      <x:c r="Q1068" s="62" t="n">
        <x:v>1</x:v>
      </x:c>
      <x:c r="R1068" s="64" t="n">
        <x:v>0</x:v>
      </x:c>
    </x:row>
    <x:row r="1069" ht="18" customHeight="1">
      <x:c r="A1069" s="46" t="str">
        <x:v>LME_009</x:v>
      </x:c>
      <x:c r="B1069" s="46" t="str">
        <x:v>Newfoundland-Labrador Shelf</x:v>
      </x:c>
      <x:c r="C1069" s="46" t="str">
        <x:v>functional</x:v>
      </x:c>
      <x:c r="D1069" s="46" t="str">
        <x:v>Large pelagics (&gt;=90 cm)</x:v>
      </x:c>
      <x:c r="E1069" s="66" t="n">
        <x:v>9</x:v>
      </x:c>
      <x:c r="F1069" s="66" t="n">
        <x:v>9</x:v>
      </x:c>
      <x:c r="G1069" s="60" t="n">
        <x:v>110.7076849273</x:v>
      </x:c>
      <x:c r="H1069" s="60" t="n">
        <x:v>110.7076849273</x:v>
      </x:c>
      <x:c r="I1069" s="62" t="n">
        <x:v>0</x:v>
      </x:c>
      <x:c r="J1069" s="64" t="n">
        <x:v>1</x:v>
      </x:c>
      <x:c r="K1069" s="62" t="n">
        <x:v>3142.7553477231286</x:v>
      </x:c>
      <x:c r="L1069" s="60" t="n">
        <x:v>347927.16883931926</x:v>
      </x:c>
      <x:c r="M1069" s="62" t="n">
        <x:v>4.493684249704606</x:v>
      </x:c>
      <x:c r="N1069" s="62" t="n">
        <x:v>3116.6228447193384</x:v>
      </x:c>
      <x:c r="O1069" s="60" t="n">
        <x:v>345034.09993041394</x:v>
      </x:c>
      <x:c r="P1069" s="60" t="n">
        <x:v>2893.0689089053194</x:v>
      </x:c>
      <x:c r="Q1069" s="62" t="n">
        <x:v>1.0083848782178015</x:v>
      </x:c>
      <x:c r="R1069" s="64" t="n">
        <x:v>0.008384878217801633</x:v>
      </x:c>
    </x:row>
    <x:row r="1070" ht="18" customHeight="1">
      <x:c r="A1070" s="46" t="str">
        <x:v>LME_009</x:v>
      </x:c>
      <x:c r="B1070" s="46" t="str">
        <x:v>Newfoundland-Labrador Shelf</x:v>
      </x:c>
      <x:c r="C1070" s="46" t="str">
        <x:v>functional</x:v>
      </x:c>
      <x:c r="D1070" s="46" t="str">
        <x:v>Large rays (&gt;=90 cm)</x:v>
      </x:c>
      <x:c r="E1070" s="66" t="n">
        <x:v>1</x:v>
      </x:c>
      <x:c r="F1070" s="66" t="n">
        <x:v>1</x:v>
      </x:c>
      <x:c r="G1070" s="60" t="n">
        <x:v>120.7214059783</x:v>
      </x:c>
      <x:c r="H1070" s="60" t="n">
        <x:v>120.7214059783</x:v>
      </x:c>
      <x:c r="I1070" s="62" t="n">
        <x:v>0</x:v>
      </x:c>
      <x:c r="J1070" s="64" t="n">
        <x:v>1</x:v>
      </x:c>
      <x:c r="K1070" s="62" t="n">
        <x:v>660.6934480075956</x:v>
      </x:c>
      <x:c r="L1070" s="60" t="n">
        <x:v>79759.8419641278</x:v>
      </x:c>
      <x:c r="M1070" s="62" t="n">
        <x:v>3.82</x:v>
      </x:c>
      <x:c r="N1070" s="62" t="n">
        <x:v>660.6934480075957</x:v>
      </x:c>
      <x:c r="O1070" s="60" t="n">
        <x:v>79759.8419641278</x:v>
      </x:c>
      <x:c r="P1070" s="60" t="n">
        <x:v>0</x:v>
      </x:c>
      <x:c r="Q1070" s="62" t="n">
        <x:v>1</x:v>
      </x:c>
      <x:c r="R1070" s="64" t="n">
        <x:v>0</x:v>
      </x:c>
    </x:row>
    <x:row r="1071" ht="18" customHeight="1">
      <x:c r="A1071" s="46" t="str">
        <x:v>LME_009</x:v>
      </x:c>
      <x:c r="B1071" s="46" t="str">
        <x:v>Newfoundland-Labrador Shelf</x:v>
      </x:c>
      <x:c r="C1071" s="46" t="str">
        <x:v>functional</x:v>
      </x:c>
      <x:c r="D1071" s="46" t="str">
        <x:v>Large reef assoc. fish (&gt;=90 cm)</x:v>
      </x:c>
      <x:c r="E1071" s="66" t="n">
        <x:v>4</x:v>
      </x:c>
      <x:c r="F1071" s="66" t="n">
        <x:v>4</x:v>
      </x:c>
      <x:c r="G1071" s="60" t="n">
        <x:v>60944.306241924394</x:v>
      </x:c>
      <x:c r="H1071" s="60" t="n">
        <x:v>60944.306241924394</x:v>
      </x:c>
      <x:c r="I1071" s="62" t="n">
        <x:v>0</x:v>
      </x:c>
      <x:c r="J1071" s="64" t="n">
        <x:v>1</x:v>
      </x:c>
      <x:c r="K1071" s="62" t="n">
        <x:v>615.8156507608535</x:v>
      </x:c>
      <x:c r="L1071" s="60" t="n">
        <x:v>37530457.60853942</x:v>
      </x:c>
      <x:c r="M1071" s="62" t="n">
        <x:v>3.7890717343972193</x:v>
      </x:c>
      <x:c r="N1071" s="62" t="n">
        <x:v>615.2784926675442</x:v>
      </x:c>
      <x:c r="O1071" s="60" t="n">
        <x:v>37497720.88120045</x:v>
      </x:c>
      <x:c r="P1071" s="60" t="n">
        <x:v>32736.727338969707</x:v>
      </x:c>
      <x:c r="Q1071" s="62" t="n">
        <x:v>1.0008730324555641</x:v>
      </x:c>
      <x:c r="R1071" s="64" t="n">
        <x:v>0.0008730324555640481</x:v>
      </x:c>
    </x:row>
    <x:row r="1072" ht="18" customHeight="1">
      <x:c r="A1072" s="46" t="str">
        <x:v>LME_009</x:v>
      </x:c>
      <x:c r="B1072" s="46" t="str">
        <x:v>Newfoundland-Labrador Shelf</x:v>
      </x:c>
      <x:c r="C1072" s="46" t="str">
        <x:v>functional</x:v>
      </x:c>
      <x:c r="D1072" s="46" t="str">
        <x:v>Large sharks (&gt;=90 cm)</x:v>
      </x:c>
      <x:c r="E1072" s="66" t="n">
        <x:v>7</x:v>
      </x:c>
      <x:c r="F1072" s="66" t="n">
        <x:v>7</x:v>
      </x:c>
      <x:c r="G1072" s="60" t="n">
        <x:v>736.3614495224</x:v>
      </x:c>
      <x:c r="H1072" s="60" t="n">
        <x:v>736.3614495224</x:v>
      </x:c>
      <x:c r="I1072" s="62" t="n">
        <x:v>0</x:v>
      </x:c>
      <x:c r="J1072" s="64" t="n">
        <x:v>1</x:v>
      </x:c>
      <x:c r="K1072" s="62" t="n">
        <x:v>1656.0392736079211</x:v>
      </x:c>
      <x:c r="L1072" s="60" t="n">
        <x:v>1219443.4799799512</x:v>
      </x:c>
      <x:c r="M1072" s="62" t="n">
        <x:v>4.197083703494572</x:v>
      </x:c>
      <x:c r="N1072" s="62" t="n">
        <x:v>1574.2862543747553</x:v>
      </x:c>
      <x:c r="O1072" s="60" t="n">
        <x:v>1159243.7082345847</x:v>
      </x:c>
      <x:c r="P1072" s="60" t="n">
        <x:v>60199.77174536651</x:v>
      </x:c>
      <x:c r="Q1072" s="62" t="n">
        <x:v>1.0519302121872587</x:v>
      </x:c>
      <x:c r="R1072" s="64" t="n">
        <x:v>0.05193021218725862</x:v>
      </x:c>
    </x:row>
    <x:row r="1073" ht="18" customHeight="1">
      <x:c r="A1073" s="46" t="str">
        <x:v>LME_009</x:v>
      </x:c>
      <x:c r="B1073" s="46" t="str">
        <x:v>Newfoundland-Labrador Shelf</x:v>
      </x:c>
      <x:c r="C1073" s="46" t="str">
        <x:v>functional</x:v>
      </x:c>
      <x:c r="D1073" s="46" t="str">
        <x:v>Lobsters, crabs</x:v>
      </x:c>
      <x:c r="E1073" s="66" t="n">
        <x:v>6</x:v>
      </x:c>
      <x:c r="F1073" s="66" t="n">
        <x:v>6</x:v>
      </x:c>
      <x:c r="G1073" s="60" t="n">
        <x:v>142771.09240265752</x:v>
      </x:c>
      <x:c r="H1073" s="60" t="n">
        <x:v>142771.09240265752</x:v>
      </x:c>
      <x:c r="I1073" s="62" t="n">
        <x:v>0</x:v>
      </x:c>
      <x:c r="J1073" s="64" t="n">
        <x:v>1</x:v>
      </x:c>
      <x:c r="K1073" s="62" t="n">
        <x:v>422.4330254662115</x:v>
      </x:c>
      <x:c r="L1073" s="60" t="n">
        <x:v>60311224.51277066</x:v>
      </x:c>
      <x:c r="M1073" s="62" t="n">
        <x:v>3.605000956859004</x:v>
      </x:c>
      <x:c r="N1073" s="62" t="n">
        <x:v>402.71792161245196</x:v>
      </x:c>
      <x:c r="O1073" s="60" t="n">
        <x:v>57496477.59873757</x:v>
      </x:c>
      <x:c r="P1073" s="60" t="n">
        <x:v>2814746.9140330926</x:v>
      </x:c>
      <x:c r="Q1073" s="62" t="n">
        <x:v>1.0489551191931608</x:v>
      </x:c>
      <x:c r="R1073" s="64" t="n">
        <x:v>0.048955119193160715</x:v>
      </x:c>
    </x:row>
    <x:row r="1074" ht="18" customHeight="1">
      <x:c r="A1074" s="46" t="str">
        <x:v>LME_009</x:v>
      </x:c>
      <x:c r="B1074" s="46" t="str">
        <x:v>Newfoundland-Labrador Shelf</x:v>
      </x:c>
      <x:c r="C1074" s="46" t="str">
        <x:v>functional</x:v>
      </x:c>
      <x:c r="D1074" s="46" t="str">
        <x:v>Medium bathydemersals (30 - 89 cm)</x:v>
      </x:c>
      <x:c r="E1074" s="66" t="n">
        <x:v>4</x:v>
      </x:c>
      <x:c r="F1074" s="66" t="n">
        <x:v>4</x:v>
      </x:c>
      <x:c r="G1074" s="60" t="n">
        <x:v>340.45557078480005</x:v>
      </x:c>
      <x:c r="H1074" s="60" t="n">
        <x:v>340.45557078480005</x:v>
      </x:c>
      <x:c r="I1074" s="62" t="n">
        <x:v>0</x:v>
      </x:c>
      <x:c r="J1074" s="64" t="n">
        <x:v>1</x:v>
      </x:c>
      <x:c r="K1074" s="62" t="n">
        <x:v>720.2905507535982</x:v>
      </x:c>
      <x:c r="L1074" s="60" t="n">
        <x:v>245226.93058771425</x:v>
      </x:c>
      <x:c r="M1074" s="62" t="n">
        <x:v>3.612501625075562</x:v>
      </x:c>
      <x:c r="N1074" s="62" t="n">
        <x:v>409.73364298265165</x:v>
      </x:c>
      <x:c r="O1074" s="60" t="n">
        <x:v>139496.10129139415</x:v>
      </x:c>
      <x:c r="P1074" s="60" t="n">
        <x:v>105730.8292963201</x:v>
      </x:c>
      <x:c r="Q1074" s="62" t="n">
        <x:v>1.757948274665099</x:v>
      </x:c>
      <x:c r="R1074" s="64" t="n">
        <x:v>0.7579482746650991</x:v>
      </x:c>
    </x:row>
    <x:row r="1075" ht="18" customHeight="1">
      <x:c r="A1075" s="46" t="str">
        <x:v>LME_009</x:v>
      </x:c>
      <x:c r="B1075" s="46" t="str">
        <x:v>Newfoundland-Labrador Shelf</x:v>
      </x:c>
      <x:c r="C1075" s="46" t="str">
        <x:v>functional</x:v>
      </x:c>
      <x:c r="D1075" s="46" t="str">
        <x:v>Medium bathypelagics (30 - 89 cm)</x:v>
      </x:c>
      <x:c r="E1075" s="66" t="n">
        <x:v>3</x:v>
      </x:c>
      <x:c r="F1075" s="66" t="n">
        <x:v>3</x:v>
      </x:c>
      <x:c r="G1075" s="60" t="n">
        <x:v>210.71043061659998</x:v>
      </x:c>
      <x:c r="H1075" s="60" t="n">
        <x:v>210.71043061659998</x:v>
      </x:c>
      <x:c r="I1075" s="62" t="n">
        <x:v>0</x:v>
      </x:c>
      <x:c r="J1075" s="64" t="n">
        <x:v>1</x:v>
      </x:c>
      <x:c r="K1075" s="62" t="n">
        <x:v>446.0736961953154</x:v>
      </x:c>
      <x:c r="L1075" s="60" t="n">
        <x:v>93992.3806120533</x:v>
      </x:c>
      <x:c r="M1075" s="62" t="n">
        <x:v>3.6493574000829963</x:v>
      </x:c>
      <x:c r="N1075" s="62" t="n">
        <x:v>446.0231495280939</x:v>
      </x:c>
      <x:c r="O1075" s="60" t="n">
        <x:v>93981.72990203682</x:v>
      </x:c>
      <x:c r="P1075" s="60" t="n">
        <x:v>10.650710016474477</x:v>
      </x:c>
      <x:c r="Q1075" s="62" t="n">
        <x:v>1.0001133274523417</x:v>
      </x:c>
      <x:c r="R1075" s="64" t="n">
        <x:v>0.00011332745234181573</x:v>
      </x:c>
    </x:row>
    <x:row r="1076" ht="18" customHeight="1">
      <x:c r="A1076" s="46" t="str">
        <x:v>LME_009</x:v>
      </x:c>
      <x:c r="B1076" s="46" t="str">
        <x:v>Newfoundland-Labrador Shelf</x:v>
      </x:c>
      <x:c r="C1076" s="46" t="str">
        <x:v>functional</x:v>
      </x:c>
      <x:c r="D1076" s="46" t="str">
        <x:v>Medium benthopelagics (30 - 89 cm)</x:v>
      </x:c>
      <x:c r="E1076" s="66" t="n">
        <x:v>6</x:v>
      </x:c>
      <x:c r="F1076" s="66" t="n">
        <x:v>6</x:v>
      </x:c>
      <x:c r="G1076" s="60" t="n">
        <x:v>193.94157130879998</x:v>
      </x:c>
      <x:c r="H1076" s="60" t="n">
        <x:v>193.94157130879998</x:v>
      </x:c>
      <x:c r="I1076" s="62" t="n">
        <x:v>0</x:v>
      </x:c>
      <x:c r="J1076" s="64" t="n">
        <x:v>1</x:v>
      </x:c>
      <x:c r="K1076" s="62" t="n">
        <x:v>1469.8567762405648</x:v>
      </x:c>
      <x:c r="L1076" s="60" t="n">
        <x:v>285066.3327829824</x:v>
      </x:c>
      <x:c r="M1076" s="62" t="n">
        <x:v>4.091149670942344</x:v>
      </x:c>
      <x:c r="N1076" s="62" t="n">
        <x:v>1233.5298714833682</x:v>
      </x:c>
      <x:c r="O1076" s="60" t="n">
        <x:v>239232.72153182654</x:v>
      </x:c>
      <x:c r="P1076" s="60" t="n">
        <x:v>45833.611251155846</x:v>
      </x:c>
      <x:c r="Q1076" s="62" t="n">
        <x:v>1.1915858790456402</x:v>
      </x:c>
      <x:c r="R1076" s="64" t="n">
        <x:v>0.1915858790456402</x:v>
      </x:c>
    </x:row>
    <x:row r="1077" ht="18" customHeight="1">
      <x:c r="A1077" s="46" t="str">
        <x:v>LME_009</x:v>
      </x:c>
      <x:c r="B1077" s="46" t="str">
        <x:v>Newfoundland-Labrador Shelf</x:v>
      </x:c>
      <x:c r="C1077" s="46" t="str">
        <x:v>functional</x:v>
      </x:c>
      <x:c r="D1077" s="46" t="str">
        <x:v>Medium demersals (30 - 89 cm)</x:v>
      </x:c>
      <x:c r="E1077" s="66" t="n">
        <x:v>10</x:v>
      </x:c>
      <x:c r="F1077" s="66" t="n">
        <x:v>10</x:v>
      </x:c>
      <x:c r="G1077" s="60" t="n">
        <x:v>24603.176020165796</x:v>
      </x:c>
      <x:c r="H1077" s="60" t="n">
        <x:v>24603.176020165796</x:v>
      </x:c>
      <x:c r="I1077" s="62" t="n">
        <x:v>0</x:v>
      </x:c>
      <x:c r="J1077" s="64" t="n">
        <x:v>1</x:v>
      </x:c>
      <x:c r="K1077" s="62" t="n">
        <x:v>371.6137184872995</x:v>
      </x:c>
      <x:c r="L1077" s="60" t="n">
        <x:v>9142877.72745137</x:v>
      </x:c>
      <x:c r="M1077" s="62" t="n">
        <x:v>3.3728476035533577</x:v>
      </x:c>
      <x:c r="N1077" s="62" t="n">
        <x:v>235.96500730217977</x:v>
      </x:c>
      <x:c r="O1077" s="60" t="n">
        <x:v>5805488.609255237</x:v>
      </x:c>
      <x:c r="P1077" s="60" t="n">
        <x:v>3337389.1181961326</x:v>
      </x:c>
      <x:c r="Q1077" s="62" t="n">
        <x:v>1.574867912560468</x:v>
      </x:c>
      <x:c r="R1077" s="64" t="n">
        <x:v>0.5748679125604681</x:v>
      </x:c>
    </x:row>
    <x:row r="1078" ht="18" customHeight="1">
      <x:c r="A1078" s="46" t="str">
        <x:v>LME_009</x:v>
      </x:c>
      <x:c r="B1078" s="46" t="str">
        <x:v>Newfoundland-Labrador Shelf</x:v>
      </x:c>
      <x:c r="C1078" s="46" t="str">
        <x:v>functional</x:v>
      </x:c>
      <x:c r="D1078" s="46" t="str">
        <x:v>Medium pelagics (30 - 89 cm)</x:v>
      </x:c>
      <x:c r="E1078" s="66" t="n">
        <x:v>6</x:v>
      </x:c>
      <x:c r="F1078" s="66" t="n">
        <x:v>6</x:v>
      </x:c>
      <x:c r="G1078" s="60" t="n">
        <x:v>12174.462991273298</x:v>
      </x:c>
      <x:c r="H1078" s="60" t="n">
        <x:v>12174.462991273298</x:v>
      </x:c>
      <x:c r="I1078" s="62" t="n">
        <x:v>0</x:v>
      </x:c>
      <x:c r="J1078" s="64" t="n">
        <x:v>1</x:v>
      </x:c>
      <x:c r="K1078" s="62" t="n">
        <x:v>249.81250359619779</x:v>
      </x:c>
      <x:c r="L1078" s="60" t="n">
        <x:v>3041333.0797892376</x:v>
      </x:c>
      <x:c r="M1078" s="62" t="n">
        <x:v>3.3924570812985384</x:v>
      </x:c>
      <x:c r="N1078" s="62" t="n">
        <x:v>246.86361324474157</x:v>
      </x:c>
      <x:c r="O1078" s="60" t="n">
        <x:v>3005431.923340111</x:v>
      </x:c>
      <x:c r="P1078" s="60" t="n">
        <x:v>35901.156449126545</x:v>
      </x:c>
      <x:c r="Q1078" s="62" t="n">
        <x:v>1.01194542327521</x:v>
      </x:c>
      <x:c r="R1078" s="64" t="n">
        <x:v>0.011945423275210141</x:v>
      </x:c>
    </x:row>
    <x:row r="1079" ht="18" customHeight="1">
      <x:c r="A1079" s="46" t="str">
        <x:v>LME_009</x:v>
      </x:c>
      <x:c r="B1079" s="46" t="str">
        <x:v>Newfoundland-Labrador Shelf</x:v>
      </x:c>
      <x:c r="C1079" s="46" t="str">
        <x:v>functional</x:v>
      </x:c>
      <x:c r="D1079" s="46" t="str">
        <x:v>Medium reef assoc. fish (30 - 89 cm)</x:v>
      </x:c>
      <x:c r="E1079" s="66" t="n">
        <x:v>1</x:v>
      </x:c>
      <x:c r="F1079" s="66" t="n">
        <x:v>1</x:v>
      </x:c>
      <x:c r="G1079" s="60" t="n">
        <x:v>47.4953185185</x:v>
      </x:c>
      <x:c r="H1079" s="60" t="n">
        <x:v>47.4953185185</x:v>
      </x:c>
      <x:c r="I1079" s="62" t="n">
        <x:v>0</x:v>
      </x:c>
      <x:c r="J1079" s="64" t="n">
        <x:v>1</x:v>
      </x:c>
      <x:c r="K1079" s="62" t="n">
        <x:v>524.8074602497728</x:v>
      </x:c>
      <x:c r="L1079" s="60" t="n">
        <x:v>24925.897485447986</x:v>
      </x:c>
      <x:c r="M1079" s="62" t="n">
        <x:v>3.72</x:v>
      </x:c>
      <x:c r="N1079" s="62" t="n">
        <x:v>524.8074602497728</x:v>
      </x:c>
      <x:c r="O1079" s="60" t="n">
        <x:v>24925.897485447986</x:v>
      </x:c>
      <x:c r="P1079" s="60" t="n">
        <x:v>0</x:v>
      </x:c>
      <x:c r="Q1079" s="62" t="n">
        <x:v>1</x:v>
      </x:c>
      <x:c r="R1079" s="64" t="n">
        <x:v>0</x:v>
      </x:c>
    </x:row>
    <x:row r="1080" ht="18" customHeight="1">
      <x:c r="A1080" s="46" t="str">
        <x:v>LME_009</x:v>
      </x:c>
      <x:c r="B1080" s="46" t="str">
        <x:v>Newfoundland-Labrador Shelf</x:v>
      </x:c>
      <x:c r="C1080" s="46" t="str">
        <x:v>functional</x:v>
      </x:c>
      <x:c r="D1080" s="46" t="str">
        <x:v>Other demersal invertebrates</x:v>
      </x:c>
      <x:c r="E1080" s="66" t="n">
        <x:v>11</x:v>
      </x:c>
      <x:c r="F1080" s="66" t="n">
        <x:v>11</x:v>
      </x:c>
      <x:c r="G1080" s="60" t="n">
        <x:v>85685.4965240706</x:v>
      </x:c>
      <x:c r="H1080" s="60" t="n">
        <x:v>85685.4965240706</x:v>
      </x:c>
      <x:c r="I1080" s="62" t="n">
        <x:v>0</x:v>
      </x:c>
      <x:c r="J1080" s="64" t="n">
        <x:v>1</x:v>
      </x:c>
      <x:c r="K1080" s="62" t="n">
        <x:v>14.607127138866147</x:v>
      </x:c>
      <x:c r="L1080" s="60" t="n">
        <x:v>1251618.9416839725</x:v>
      </x:c>
      <x:c r="M1080" s="62" t="n">
        <x:v>2.0979400056395545</x:v>
      </x:c>
      <x:c r="N1080" s="62" t="n">
        <x:v>12.52968075319268</x:v>
      </x:c>
      <x:c r="O1080" s="60" t="n">
        <x:v>1073611.9166254057</x:v>
      </x:c>
      <x:c r="P1080" s="60" t="n">
        <x:v>178007.02505856683</x:v>
      </x:c>
      <x:c r="Q1080" s="62" t="n">
        <x:v>1.165802020545824</x:v>
      </x:c>
      <x:c r="R1080" s="64" t="n">
        <x:v>0.16580202054582385</x:v>
      </x:c>
    </x:row>
    <x:row r="1081" ht="18" customHeight="1">
      <x:c r="A1081" s="46" t="str">
        <x:v>LME_009</x:v>
      </x:c>
      <x:c r="B1081" s="46" t="str">
        <x:v>Newfoundland-Labrador Shelf</x:v>
      </x:c>
      <x:c r="C1081" s="46" t="str">
        <x:v>functional</x:v>
      </x:c>
      <x:c r="D1081" s="46" t="str">
        <x:v>Shrimps</x:v>
      </x:c>
      <x:c r="E1081" s="66" t="n">
        <x:v>3</x:v>
      </x:c>
      <x:c r="F1081" s="66" t="n">
        <x:v>3</x:v>
      </x:c>
      <x:c r="G1081" s="60" t="n">
        <x:v>56167.02114180541</x:v>
      </x:c>
      <x:c r="H1081" s="60" t="n">
        <x:v>56167.02114180541</x:v>
      </x:c>
      <x:c r="I1081" s="62" t="n">
        <x:v>0</x:v>
      </x:c>
      <x:c r="J1081" s="64" t="n">
        <x:v>1</x:v>
      </x:c>
      <x:c r="K1081" s="62" t="n">
        <x:v>40.26599554194346</x:v>
      </x:c>
      <x:c r="L1081" s="60" t="n">
        <x:v>2261621.022900181</x:v>
      </x:c>
      <x:c r="M1081" s="62" t="n">
        <x:v>2.6028039565176906</x:v>
      </x:c>
      <x:c r="N1081" s="62" t="n">
        <x:v>40.068580450087424</x:v>
      </x:c>
      <x:c r="O1081" s="60" t="n">
        <x:v>2250532.805262191</x:v>
      </x:c>
      <x:c r="P1081" s="60" t="n">
        <x:v>11088.21763798967</x:v>
      </x:c>
      <x:c r="Q1081" s="62" t="n">
        <x:v>1.0049269300194439</x:v>
      </x:c>
      <x:c r="R1081" s="64" t="n">
        <x:v>0.004926930019443939</x:v>
      </x:c>
    </x:row>
    <x:row r="1082" ht="18" customHeight="1">
      <x:c r="A1082" s="46" t="str">
        <x:v>LME_009</x:v>
      </x:c>
      <x:c r="B1082" s="46" t="str">
        <x:v>Newfoundland-Labrador Shelf</x:v>
      </x:c>
      <x:c r="C1082" s="46" t="str">
        <x:v>functional</x:v>
      </x:c>
      <x:c r="D1082" s="46" t="str">
        <x:v>Small pelagics (&lt;30 cm)</x:v>
      </x:c>
      <x:c r="E1082" s="66" t="n">
        <x:v>5</x:v>
      </x:c>
      <x:c r="F1082" s="66" t="n">
        <x:v>5</x:v>
      </x:c>
      <x:c r="G1082" s="60" t="n">
        <x:v>24581.992390420197</x:v>
      </x:c>
      <x:c r="H1082" s="60" t="n">
        <x:v>24581.992390420197</x:v>
      </x:c>
      <x:c r="I1082" s="62" t="n">
        <x:v>0</x:v>
      </x:c>
      <x:c r="J1082" s="64" t="n">
        <x:v>1</x:v>
      </x:c>
      <x:c r="K1082" s="62" t="n">
        <x:v>141.7934399140275</x:v>
      </x:c>
      <x:c r="L1082" s="60" t="n">
        <x:v>3485565.2609781274</x:v>
      </x:c>
      <x:c r="M1082" s="62" t="n">
        <x:v>3.1510251877861397</x:v>
      </x:c>
      <x:c r="N1082" s="62" t="n">
        <x:v>141.58758941596815</x:v>
      </x:c>
      <x:c r="O1082" s="60" t="n">
        <x:v>3480505.0456012683</x:v>
      </x:c>
      <x:c r="P1082" s="60" t="n">
        <x:v>5060.215376859065</x:v>
      </x:c>
      <x:c r="Q1082" s="62" t="n">
        <x:v>1.0014538738805319</x:v>
      </x:c>
      <x:c r="R1082" s="64" t="n">
        <x:v>0.0014538738805318688</x:v>
      </x:c>
    </x:row>
    <x:row r="1083" ht="18" customHeight="1">
      <x:c r="A1083" s="46" t="str">
        <x:v>LME_009</x:v>
      </x:c>
      <x:c r="B1083" s="46" t="str">
        <x:v>Newfoundland-Labrador Shelf</x:v>
      </x:c>
      <x:c r="C1083" s="46" t="str">
        <x:v>functional</x:v>
      </x:c>
      <x:c r="D1083" s="46" t="str">
        <x:v>Small to medium flatfishes (&lt;90 cm)</x:v>
      </x:c>
      <x:c r="E1083" s="66" t="n">
        <x:v>6</x:v>
      </x:c>
      <x:c r="F1083" s="66" t="n">
        <x:v>6</x:v>
      </x:c>
      <x:c r="G1083" s="60" t="n">
        <x:v>32527.780561093092</x:v>
      </x:c>
      <x:c r="H1083" s="60" t="n">
        <x:v>32527.780561093092</x:v>
      </x:c>
      <x:c r="I1083" s="62" t="n">
        <x:v>0</x:v>
      </x:c>
      <x:c r="J1083" s="64" t="n">
        <x:v>1</x:v>
      </x:c>
      <x:c r="K1083" s="62" t="n">
        <x:v>2001.0542382482276</x:v>
      </x:c>
      <x:c r="L1083" s="60" t="n">
        <x:v>65089853.152583644</x:v>
      </x:c>
      <x:c r="M1083" s="62" t="n">
        <x:v>4.207998610466769</x:v>
      </x:c>
      <x:c r="N1083" s="62" t="n">
        <x:v>1614.3533916646732</x:v>
      </x:c>
      <x:c r="O1083" s="60" t="n">
        <x:v>52511332.87212486</x:v>
      </x:c>
      <x:c r="P1083" s="60" t="n">
        <x:v>12578520.280458786</x:v>
      </x:c>
      <x:c r="Q1083" s="62" t="n">
        <x:v>1.23953915454955</x:v>
      </x:c>
      <x:c r="R1083" s="64" t="n">
        <x:v>0.23953915454955008</x:v>
      </x:c>
    </x:row>
    <x:row r="1084" ht="18" customHeight="1">
      <x:c r="A1084" s="46" t="str">
        <x:v>LME_009</x:v>
      </x:c>
      <x:c r="B1084" s="46" t="str">
        <x:v>Newfoundland-Labrador Shelf</x:v>
      </x:c>
      <x:c r="C1084" s="46" t="str">
        <x:v>functional</x:v>
      </x:c>
      <x:c r="D1084" s="46" t="str">
        <x:v>Small to medium sharks (&lt;90 cm)</x:v>
      </x:c>
      <x:c r="E1084" s="66" t="n">
        <x:v>1</x:v>
      </x:c>
      <x:c r="F1084" s="66" t="n">
        <x:v>1</x:v>
      </x:c>
      <x:c r="G1084" s="60" t="n">
        <x:v>332.3150818777</x:v>
      </x:c>
      <x:c r="H1084" s="60" t="n">
        <x:v>332.3150818777</x:v>
      </x:c>
      <x:c r="I1084" s="62" t="n">
        <x:v>0</x:v>
      </x:c>
      <x:c r="J1084" s="64" t="n">
        <x:v>1</x:v>
      </x:c>
      <x:c r="K1084" s="62" t="n">
        <x:v>691.8309709189363</x:v>
      </x:c>
      <x:c r="L1084" s="60" t="n">
        <x:v>229905.86574645498</x:v>
      </x:c>
      <x:c r="M1084" s="62" t="n">
        <x:v>3.8399999999999994</x:v>
      </x:c>
      <x:c r="N1084" s="62" t="n">
        <x:v>691.8309709189356</x:v>
      </x:c>
      <x:c r="O1084" s="60" t="n">
        <x:v>229905.86574645474</x:v>
      </x:c>
      <x:c r="P1084" s="60" t="n">
        <x:v>2.3283064365386963e-10</x:v>
      </x:c>
      <x:c r="Q1084" s="62" t="n">
        <x:v>1.000000000000001</x:v>
      </x:c>
      <x:c r="R1084" s="64" t="n">
        <x:v>1.0127216323860148e-15</x:v>
      </x:c>
    </x:row>
    <x:row r="1085" ht="18" customHeight="1">
      <x:c r="A1085" s="46" t="str">
        <x:v>LME_010</x:v>
      </x:c>
      <x:c r="B1085" s="46" t="str">
        <x:v>Insular Pacific-Hawaiian</x:v>
      </x:c>
      <x:c r="C1085" s="46" t="str">
        <x:v>functional</x:v>
      </x:c>
      <x:c r="D1085" s="46" t="str">
        <x:v>Cephalopods</x:v>
      </x:c>
      <x:c r="E1085" s="66" t="n">
        <x:v>3</x:v>
      </x:c>
      <x:c r="F1085" s="66" t="n">
        <x:v>3</x:v>
      </x:c>
      <x:c r="G1085" s="60" t="n">
        <x:v>5.7793089162</x:v>
      </x:c>
      <x:c r="H1085" s="60" t="n">
        <x:v>5.7793089162</x:v>
      </x:c>
      <x:c r="I1085" s="62" t="n">
        <x:v>0</x:v>
      </x:c>
      <x:c r="J1085" s="64" t="n">
        <x:v>1</x:v>
      </x:c>
      <x:c r="K1085" s="62" t="n">
        <x:v>464.05518772075834</x:v>
      </x:c>
      <x:c r="L1085" s="60" t="n">
        <x:v>2681.918284003443</x:v>
      </x:c>
      <x:c r="M1085" s="62" t="n">
        <x:v>3.656320534198926</x:v>
      </x:c>
      <x:c r="N1085" s="62" t="n">
        <x:v>453.2319676377073</x:v>
      </x:c>
      <x:c r="O1085" s="60" t="n">
        <x:v>2619.3675516754715</x:v>
      </x:c>
      <x:c r="P1085" s="60" t="n">
        <x:v>62.55073232797167</x:v>
      </x:c>
      <x:c r="Q1085" s="62" t="n">
        <x:v>1.0238800897903624</x:v>
      </x:c>
      <x:c r="R1085" s="64" t="n">
        <x:v>0.023880089790362283</x:v>
      </x:c>
    </x:row>
    <x:row r="1086" ht="18" customHeight="1">
      <x:c r="A1086" s="46" t="str">
        <x:v>LME_010</x:v>
      </x:c>
      <x:c r="B1086" s="46" t="str">
        <x:v>Insular Pacific-Hawaiian</x:v>
      </x:c>
      <x:c r="C1086" s="46" t="str">
        <x:v>functional</x:v>
      </x:c>
      <x:c r="D1086" s="46" t="str">
        <x:v>Large bathydemersals (&gt;=90 cm)</x:v>
      </x:c>
      <x:c r="E1086" s="66" t="n">
        <x:v>1</x:v>
      </x:c>
      <x:c r="F1086" s="66" t="n">
        <x:v>1</x:v>
      </x:c>
      <x:c r="G1086" s="60" t="n">
        <x:v>76.1312414689</x:v>
      </x:c>
      <x:c r="H1086" s="60" t="n">
        <x:v>76.1312414689</x:v>
      </x:c>
      <x:c r="I1086" s="62" t="n">
        <x:v>0</x:v>
      </x:c>
      <x:c r="J1086" s="64" t="n">
        <x:v>1</x:v>
      </x:c>
      <x:c r="K1086" s="62" t="n">
        <x:v>2630.2679918953813</x:v>
      </x:c>
      <x:c r="L1086" s="60" t="n">
        <x:v>200245.56761890597</x:v>
      </x:c>
      <x:c r="M1086" s="62" t="n">
        <x:v>4.42</x:v>
      </x:c>
      <x:c r="N1086" s="62" t="n">
        <x:v>2630.2679918953813</x:v>
      </x:c>
      <x:c r="O1086" s="60" t="n">
        <x:v>200245.56761890597</x:v>
      </x:c>
      <x:c r="P1086" s="60" t="n">
        <x:v>0</x:v>
      </x:c>
      <x:c r="Q1086" s="62" t="n">
        <x:v>1</x:v>
      </x:c>
      <x:c r="R1086" s="64" t="n">
        <x:v>0</x:v>
      </x:c>
    </x:row>
    <x:row r="1087" ht="18" customHeight="1">
      <x:c r="A1087" s="46" t="str">
        <x:v>LME_010</x:v>
      </x:c>
      <x:c r="B1087" s="46" t="str">
        <x:v>Insular Pacific-Hawaiian</x:v>
      </x:c>
      <x:c r="C1087" s="46" t="str">
        <x:v>functional</x:v>
      </x:c>
      <x:c r="D1087" s="46" t="str">
        <x:v>Large bathypelagics (&gt;=90 cm)</x:v>
      </x:c>
      <x:c r="E1087" s="66" t="n">
        <x:v>1</x:v>
      </x:c>
      <x:c r="F1087" s="66" t="n">
        <x:v>1</x:v>
      </x:c>
      <x:c r="G1087" s="60" t="n">
        <x:v>280.0678282609</x:v>
      </x:c>
      <x:c r="H1087" s="60" t="n">
        <x:v>280.0678282609</x:v>
      </x:c>
      <x:c r="I1087" s="62" t="n">
        <x:v>0</x:v>
      </x:c>
      <x:c r="J1087" s="64" t="n">
        <x:v>1</x:v>
      </x:c>
      <x:c r="K1087" s="62" t="n">
        <x:v>1659.5869074375596</x:v>
      </x:c>
      <x:c r="L1087" s="60" t="n">
        <x:v>464796.9009762606</x:v>
      </x:c>
      <x:c r="M1087" s="62" t="n">
        <x:v>4.22</x:v>
      </x:c>
      <x:c r="N1087" s="62" t="n">
        <x:v>1659.5869074375596</x:v>
      </x:c>
      <x:c r="O1087" s="60" t="n">
        <x:v>464796.9009762606</x:v>
      </x:c>
      <x:c r="P1087" s="60" t="n">
        <x:v>0</x:v>
      </x:c>
      <x:c r="Q1087" s="62" t="n">
        <x:v>1</x:v>
      </x:c>
      <x:c r="R1087" s="64" t="n">
        <x:v>0</x:v>
      </x:c>
    </x:row>
    <x:row r="1088" ht="18" customHeight="1">
      <x:c r="A1088" s="46" t="str">
        <x:v>LME_010</x:v>
      </x:c>
      <x:c r="B1088" s="46" t="str">
        <x:v>Insular Pacific-Hawaiian</x:v>
      </x:c>
      <x:c r="C1088" s="46" t="str">
        <x:v>functional</x:v>
      </x:c>
      <x:c r="D1088" s="46" t="str">
        <x:v>Large benthopelagics (&gt;=90 cm)</x:v>
      </x:c>
      <x:c r="E1088" s="66" t="n">
        <x:v>5</x:v>
      </x:c>
      <x:c r="F1088" s="66" t="n">
        <x:v>5</x:v>
      </x:c>
      <x:c r="G1088" s="60" t="n">
        <x:v>160.1700357622</x:v>
      </x:c>
      <x:c r="H1088" s="60" t="n">
        <x:v>160.1700357622</x:v>
      </x:c>
      <x:c r="I1088" s="62" t="n">
        <x:v>0</x:v>
      </x:c>
      <x:c r="J1088" s="64" t="n">
        <x:v>1</x:v>
      </x:c>
      <x:c r="K1088" s="62" t="n">
        <x:v>1027.871172781403</x:v>
      </x:c>
      <x:c r="L1088" s="60" t="n">
        <x:v>164634.16250333178</x:v>
      </x:c>
      <x:c r="M1088" s="62" t="n">
        <x:v>3.4828377069797303</x:v>
      </x:c>
      <x:c r="N1088" s="62" t="n">
        <x:v>303.97488790393913</x:v>
      </x:c>
      <x:c r="O1088" s="60" t="n">
        <x:v>48687.66866638467</x:v>
      </x:c>
      <x:c r="P1088" s="60" t="n">
        <x:v>115946.4938369471</x:v>
      </x:c>
      <x:c r="Q1088" s="62" t="n">
        <x:v>3.381434498978174</x:v>
      </x:c>
      <x:c r="R1088" s="64" t="n">
        <x:v>2.381434498978174</x:v>
      </x:c>
    </x:row>
    <x:row r="1089" ht="18" customHeight="1">
      <x:c r="A1089" s="46" t="str">
        <x:v>LME_010</x:v>
      </x:c>
      <x:c r="B1089" s="46" t="str">
        <x:v>Insular Pacific-Hawaiian</x:v>
      </x:c>
      <x:c r="C1089" s="46" t="str">
        <x:v>functional</x:v>
      </x:c>
      <x:c r="D1089" s="46" t="str">
        <x:v>Large demersals (&gt;=90 cm)</x:v>
      </x:c>
      <x:c r="E1089" s="66" t="n">
        <x:v>1</x:v>
      </x:c>
      <x:c r="F1089" s="66" t="n">
        <x:v>1</x:v>
      </x:c>
      <x:c r="G1089" s="60" t="n">
        <x:v>71.18616095189999</x:v>
      </x:c>
      <x:c r="H1089" s="60" t="n">
        <x:v>71.18616095189999</x:v>
      </x:c>
      <x:c r="I1089" s="62" t="n">
        <x:v>0</x:v>
      </x:c>
      <x:c r="J1089" s="64" t="n">
        <x:v>1</x:v>
      </x:c>
      <x:c r="K1089" s="62" t="n">
        <x:v>3090.295432513592</x:v>
      </x:c>
      <x:c r="L1089" s="60" t="n">
        <x:v>219986.26804783396</x:v>
      </x:c>
      <x:c r="M1089" s="62" t="n">
        <x:v>4.49</x:v>
      </x:c>
      <x:c r="N1089" s="62" t="n">
        <x:v>3090.295432513592</x:v>
      </x:c>
      <x:c r="O1089" s="60" t="n">
        <x:v>219986.26804783396</x:v>
      </x:c>
      <x:c r="P1089" s="60" t="n">
        <x:v>0</x:v>
      </x:c>
      <x:c r="Q1089" s="62" t="n">
        <x:v>1</x:v>
      </x:c>
      <x:c r="R1089" s="64" t="n">
        <x:v>0</x:v>
      </x:c>
    </x:row>
    <x:row r="1090" ht="18" customHeight="1">
      <x:c r="A1090" s="46" t="str">
        <x:v>LME_010</x:v>
      </x:c>
      <x:c r="B1090" s="46" t="str">
        <x:v>Insular Pacific-Hawaiian</x:v>
      </x:c>
      <x:c r="C1090" s="46" t="str">
        <x:v>functional</x:v>
      </x:c>
      <x:c r="D1090" s="46" t="str">
        <x:v>Large pelagics (&gt;=90 cm)</x:v>
      </x:c>
      <x:c r="E1090" s="66" t="n">
        <x:v>17</x:v>
      </x:c>
      <x:c r="F1090" s="66" t="n">
        <x:v>17</x:v>
      </x:c>
      <x:c r="G1090" s="60" t="n">
        <x:v>15276.5137031</x:v>
      </x:c>
      <x:c r="H1090" s="60" t="n">
        <x:v>15276.5137031</x:v>
      </x:c>
      <x:c r="I1090" s="62" t="n">
        <x:v>0</x:v>
      </x:c>
      <x:c r="J1090" s="64" t="n">
        <x:v>1</x:v>
      </x:c>
      <x:c r="K1090" s="62" t="n">
        <x:v>2358.5527658393726</x:v>
      </x:c>
      <x:c r="L1090" s="60" t="n">
        <x:v>36030463.64682958</x:v>
      </x:c>
      <x:c r="M1090" s="62" t="n">
        <x:v>4.363893245083446</x:v>
      </x:c>
      <x:c r="N1090" s="62" t="n">
        <x:v>2311.4965261052644</x:v>
      </x:c>
      <x:c r="O1090" s="60" t="n">
        <x:v>35311608.35571512</x:v>
      </x:c>
      <x:c r="P1090" s="60" t="n">
        <x:v>718855.2911144644</x:v>
      </x:c>
      <x:c r="Q1090" s="62" t="n">
        <x:v>1.0203574780245919</x:v>
      </x:c>
      <x:c r="R1090" s="64" t="n">
        <x:v>0.020357478024591848</x:v>
      </x:c>
    </x:row>
    <x:row r="1091" ht="18" customHeight="1">
      <x:c r="A1091" s="46" t="str">
        <x:v>LME_010</x:v>
      </x:c>
      <x:c r="B1091" s="46" t="str">
        <x:v>Insular Pacific-Hawaiian</x:v>
      </x:c>
      <x:c r="C1091" s="46" t="str">
        <x:v>functional</x:v>
      </x:c>
      <x:c r="D1091" s="46" t="str">
        <x:v>Large rays (&gt;=90 cm)</x:v>
      </x:c>
      <x:c r="E1091" s="66" t="n">
        <x:v>1</x:v>
      </x:c>
      <x:c r="F1091" s="66" t="n">
        <x:v>1</x:v>
      </x:c>
      <x:c r="G1091" s="60" t="n">
        <x:v>1.4475016023</x:v>
      </x:c>
      <x:c r="H1091" s="60" t="n">
        <x:v>1.4475016023</x:v>
      </x:c>
      <x:c r="I1091" s="62" t="n">
        <x:v>0</x:v>
      </x:c>
      <x:c r="J1091" s="64" t="n">
        <x:v>1</x:v>
      </x:c>
      <x:c r="K1091" s="62" t="n">
        <x:v>229.08676527677721</x:v>
      </x:c>
      <x:c r="L1091" s="60" t="n">
        <x:v>331.60345980385904</x:v>
      </x:c>
      <x:c r="M1091" s="62" t="n">
        <x:v>3.3600000000000003</x:v>
      </x:c>
      <x:c r="N1091" s="62" t="n">
        <x:v>229.08676527677747</x:v>
      </x:c>
      <x:c r="O1091" s="60" t="n">
        <x:v>331.6034598038594</x:v>
      </x:c>
      <x:c r="P1091" s="60" t="n">
        <x:v>-3.410605131648481e-13</x:v>
      </x:c>
      <x:c r="Q1091" s="62" t="n">
        <x:v>0.999999999999999</x:v>
      </x:c>
      <x:c r="R1091" s="64" t="n">
        <x:v>-1.0285191637221833e-15</x:v>
      </x:c>
    </x:row>
    <x:row r="1092" ht="18" customHeight="1">
      <x:c r="A1092" s="46" t="str">
        <x:v>LME_010</x:v>
      </x:c>
      <x:c r="B1092" s="46" t="str">
        <x:v>Insular Pacific-Hawaiian</x:v>
      </x:c>
      <x:c r="C1092" s="46" t="str">
        <x:v>functional</x:v>
      </x:c>
      <x:c r="D1092" s="46" t="str">
        <x:v>Large reef assoc. fish (&gt;=90 cm)</x:v>
      </x:c>
      <x:c r="E1092" s="66" t="n">
        <x:v>9</x:v>
      </x:c>
      <x:c r="F1092" s="66" t="n">
        <x:v>9</x:v>
      </x:c>
      <x:c r="G1092" s="60" t="n">
        <x:v>1699.1816940392998</x:v>
      </x:c>
      <x:c r="H1092" s="60" t="n">
        <x:v>1699.1816940392998</x:v>
      </x:c>
      <x:c r="I1092" s="62" t="n">
        <x:v>0</x:v>
      </x:c>
      <x:c r="J1092" s="64" t="n">
        <x:v>1</x:v>
      </x:c>
      <x:c r="K1092" s="62" t="n">
        <x:v>2889.0707232908344</x:v>
      </x:c>
      <x:c r="L1092" s="60" t="n">
        <x:v>4909056.085800665</x:v>
      </x:c>
      <x:c r="M1092" s="62" t="n">
        <x:v>4.45190723189423</x:v>
      </x:c>
      <x:c r="N1092" s="62" t="n">
        <x:v>2830.7872567758823</x:v>
      </x:c>
      <x:c r="O1092" s="60" t="n">
        <x:v>4810021.886433306</x:v>
      </x:c>
      <x:c r="P1092" s="60" t="n">
        <x:v>99034.19936735928</x:v>
      </x:c>
      <x:c r="Q1092" s="62" t="n">
        <x:v>1.0205891369531366</x:v>
      </x:c>
      <x:c r="R1092" s="64" t="n">
        <x:v>0.02058913695313649</x:v>
      </x:c>
    </x:row>
    <x:row r="1093" ht="18" customHeight="1">
      <x:c r="A1093" s="46" t="str">
        <x:v>LME_010</x:v>
      </x:c>
      <x:c r="B1093" s="46" t="str">
        <x:v>Insular Pacific-Hawaiian</x:v>
      </x:c>
      <x:c r="C1093" s="46" t="str">
        <x:v>functional</x:v>
      </x:c>
      <x:c r="D1093" s="46" t="str">
        <x:v>Large sharks (&gt;=90 cm)</x:v>
      </x:c>
      <x:c r="E1093" s="66" t="n">
        <x:v>6</x:v>
      </x:c>
      <x:c r="F1093" s="66" t="n">
        <x:v>6</x:v>
      </x:c>
      <x:c r="G1093" s="60" t="n">
        <x:v>206.48458765549998</x:v>
      </x:c>
      <x:c r="H1093" s="60" t="n">
        <x:v>206.48458765549998</x:v>
      </x:c>
      <x:c r="I1093" s="62" t="n">
        <x:v>0</x:v>
      </x:c>
      <x:c r="J1093" s="64" t="n">
        <x:v>1</x:v>
      </x:c>
      <x:c r="K1093" s="62" t="n">
        <x:v>1627.4855698344354</x:v>
      </x:c>
      <x:c r="L1093" s="60" t="n">
        <x:v>336050.6868025398</x:v>
      </x:c>
      <x:c r="M1093" s="62" t="n">
        <x:v>4.187973017938616</x:v>
      </x:c>
      <x:c r="N1093" s="62" t="n">
        <x:v>1541.6046724001894</x:v>
      </x:c>
      <x:c r="O1093" s="60" t="n">
        <x:v>318317.6051083452</x:v>
      </x:c>
      <x:c r="P1093" s="60" t="n">
        <x:v>17733.08169419458</x:v>
      </x:c>
      <x:c r="Q1093" s="62" t="n">
        <x:v>1.0557087682541428</x:v>
      </x:c>
      <x:c r="R1093" s="64" t="n">
        <x:v>0.055708768254142914</x:v>
      </x:c>
    </x:row>
    <x:row r="1094" ht="18" customHeight="1">
      <x:c r="A1094" s="46" t="str">
        <x:v>LME_010</x:v>
      </x:c>
      <x:c r="B1094" s="46" t="str">
        <x:v>Insular Pacific-Hawaiian</x:v>
      </x:c>
      <x:c r="C1094" s="46" t="str">
        <x:v>functional</x:v>
      </x:c>
      <x:c r="D1094" s="46" t="str">
        <x:v>Lobsters, crabs</x:v>
      </x:c>
      <x:c r="E1094" s="66" t="n">
        <x:v>3</x:v>
      </x:c>
      <x:c r="F1094" s="66" t="n">
        <x:v>3</x:v>
      </x:c>
      <x:c r="G1094" s="60" t="n">
        <x:v>2.6675878647999998</x:v>
      </x:c>
      <x:c r="H1094" s="60" t="n">
        <x:v>2.6675878647999998</x:v>
      </x:c>
      <x:c r="I1094" s="62" t="n">
        <x:v>0</x:v>
      </x:c>
      <x:c r="J1094" s="64" t="n">
        <x:v>1</x:v>
      </x:c>
      <x:c r="K1094" s="62" t="n">
        <x:v>555.4610496520164</x:v>
      </x:c>
      <x:c r="L1094" s="60" t="n">
        <x:v>1481.741155420789</x:v>
      </x:c>
      <x:c r="M1094" s="62" t="n">
        <x:v>3.6978166990077996</x:v>
      </x:c>
      <x:c r="N1094" s="62" t="n">
        <x:v>498.673969643335</x:v>
      </x:c>
      <x:c r="O1094" s="60" t="n">
        <x:v>1330.2566299122038</x:v>
      </x:c>
      <x:c r="P1094" s="60" t="n">
        <x:v>151.4845255085852</x:v>
      </x:c>
      <x:c r="Q1094" s="62" t="n">
        <x:v>1.1138761665247878</x:v>
      </x:c>
      <x:c r="R1094" s="64" t="n">
        <x:v>0.11387616652478784</x:v>
      </x:c>
    </x:row>
    <x:row r="1095" ht="18" customHeight="1">
      <x:c r="A1095" s="46" t="str">
        <x:v>LME_010</x:v>
      </x:c>
      <x:c r="B1095" s="46" t="str">
        <x:v>Insular Pacific-Hawaiian</x:v>
      </x:c>
      <x:c r="C1095" s="46" t="str">
        <x:v>functional</x:v>
      </x:c>
      <x:c r="D1095" s="46" t="str">
        <x:v>Medium bathydemersals (30 - 89 cm)</x:v>
      </x:c>
      <x:c r="E1095" s="66" t="n">
        <x:v>1</x:v>
      </x:c>
      <x:c r="F1095" s="66" t="n">
        <x:v>1</x:v>
      </x:c>
      <x:c r="G1095" s="60" t="n">
        <x:v>21.249301938000002</x:v>
      </x:c>
      <x:c r="H1095" s="60" t="n">
        <x:v>21.249301938000002</x:v>
      </x:c>
      <x:c r="I1095" s="62" t="n">
        <x:v>0</x:v>
      </x:c>
      <x:c r="J1095" s="64" t="n">
        <x:v>1</x:v>
      </x:c>
      <x:c r="K1095" s="62" t="n">
        <x:v>467.73514128719813</x:v>
      </x:c>
      <x:c r="L1095" s="60" t="n">
        <x:v>9939.045244224764</x:v>
      </x:c>
      <x:c r="M1095" s="62" t="n">
        <x:v>3.6699999999999995</x:v>
      </x:c>
      <x:c r="N1095" s="62" t="n">
        <x:v>467.7351412871976</x:v>
      </x:c>
      <x:c r="O1095" s="60" t="n">
        <x:v>9939.045244224753</x:v>
      </x:c>
      <x:c r="P1095" s="60" t="n">
        <x:v>1.0913936421275139e-11</x:v>
      </x:c>
      <x:c r="Q1095" s="62" t="n">
        <x:v>1.000000000000001</x:v>
      </x:c>
      <x:c r="R1095" s="64" t="n">
        <x:v>1.0980870046463328e-15</x:v>
      </x:c>
    </x:row>
    <x:row r="1096" ht="18" customHeight="1">
      <x:c r="A1096" s="46" t="str">
        <x:v>LME_010</x:v>
      </x:c>
      <x:c r="B1096" s="46" t="str">
        <x:v>Insular Pacific-Hawaiian</x:v>
      </x:c>
      <x:c r="C1096" s="46" t="str">
        <x:v>functional</x:v>
      </x:c>
      <x:c r="D1096" s="46" t="str">
        <x:v>Medium bathypelagics (30 - 89 cm)</x:v>
      </x:c>
      <x:c r="E1096" s="66" t="n">
        <x:v>2</x:v>
      </x:c>
      <x:c r="F1096" s="66" t="n">
        <x:v>2</x:v>
      </x:c>
      <x:c r="G1096" s="60" t="n">
        <x:v>0.0349836443</x:v>
      </x:c>
      <x:c r="H1096" s="60" t="n">
        <x:v>0.0349836443</x:v>
      </x:c>
      <x:c r="I1096" s="62" t="n">
        <x:v>0</x:v>
      </x:c>
      <x:c r="J1096" s="64" t="n">
        <x:v>1</x:v>
      </x:c>
      <x:c r="K1096" s="62" t="n">
        <x:v>362.81080619940997</x:v>
      </x:c>
      <x:c r="L1096" s="60" t="n">
        <x:v>12.692444192276392</x:v>
      </x:c>
      <x:c r="M1096" s="62" t="n">
        <x:v>3.490706156876858</x:v>
      </x:c>
      <x:c r="N1096" s="62" t="n">
        <x:v>309.53242978686575</x:v>
      </x:c>
      <x:c r="O1096" s="60" t="n">
        <x:v>10.828572422978436</x:v>
      </x:c>
      <x:c r="P1096" s="60" t="n">
        <x:v>1.8638717692979565</x:v>
      </x:c>
      <x:c r="Q1096" s="62" t="n">
        <x:v>1.1721253454742369</x:v>
      </x:c>
      <x:c r="R1096" s="64" t="n">
        <x:v>0.17212534547423677</x:v>
      </x:c>
    </x:row>
    <x:row r="1097" ht="18" customHeight="1">
      <x:c r="A1097" s="46" t="str">
        <x:v>LME_010</x:v>
      </x:c>
      <x:c r="B1097" s="46" t="str">
        <x:v>Insular Pacific-Hawaiian</x:v>
      </x:c>
      <x:c r="C1097" s="46" t="str">
        <x:v>functional</x:v>
      </x:c>
      <x:c r="D1097" s="46" t="str">
        <x:v>Medium benthopelagics (30 - 89 cm)</x:v>
      </x:c>
      <x:c r="E1097" s="66" t="n">
        <x:v>3</x:v>
      </x:c>
      <x:c r="F1097" s="66" t="n">
        <x:v>3</x:v>
      </x:c>
      <x:c r="G1097" s="60" t="n">
        <x:v>302.50416617279996</x:v>
      </x:c>
      <x:c r="H1097" s="60" t="n">
        <x:v>302.50416617279996</x:v>
      </x:c>
      <x:c r="I1097" s="62" t="n">
        <x:v>0</x:v>
      </x:c>
      <x:c r="J1097" s="64" t="n">
        <x:v>1</x:v>
      </x:c>
      <x:c r="K1097" s="62" t="n">
        <x:v>1227.8256519379836</x:v>
      </x:c>
      <x:c r="L1097" s="60" t="n">
        <x:v>371422.3750450742</x:v>
      </x:c>
      <x:c r="M1097" s="62" t="n">
        <x:v>4.088860151215629</x:v>
      </x:c>
      <x:c r="N1097" s="62" t="n">
        <x:v>1227.0440425094387</x:v>
      </x:c>
      <x:c r="O1097" s="60" t="n">
        <x:v>371185.9349366194</x:v>
      </x:c>
      <x:c r="P1097" s="60" t="n">
        <x:v>236.44010845478624</x:v>
      </x:c>
      <x:c r="Q1097" s="62" t="n">
        <x:v>1.0006369856349626</x:v>
      </x:c>
      <x:c r="R1097" s="64" t="n">
        <x:v>0.000636985634962593</x:v>
      </x:c>
    </x:row>
    <x:row r="1098" ht="18" customHeight="1">
      <x:c r="A1098" s="46" t="str">
        <x:v>LME_010</x:v>
      </x:c>
      <x:c r="B1098" s="46" t="str">
        <x:v>Insular Pacific-Hawaiian</x:v>
      </x:c>
      <x:c r="C1098" s="46" t="str">
        <x:v>functional</x:v>
      </x:c>
      <x:c r="D1098" s="46" t="str">
        <x:v>Medium demersals (30 - 89 cm)</x:v>
      </x:c>
      <x:c r="E1098" s="66" t="n">
        <x:v>10</x:v>
      </x:c>
      <x:c r="F1098" s="66" t="n">
        <x:v>10</x:v>
      </x:c>
      <x:c r="G1098" s="60" t="n">
        <x:v>1070.1442989993002</x:v>
      </x:c>
      <x:c r="H1098" s="60" t="n">
        <x:v>1070.1442989993002</x:v>
      </x:c>
      <x:c r="I1098" s="62" t="n">
        <x:v>0</x:v>
      </x:c>
      <x:c r="J1098" s="64" t="n">
        <x:v>1</x:v>
      </x:c>
      <x:c r="K1098" s="62" t="n">
        <x:v>526.9657306390193</x:v>
      </x:c>
      <x:c r="L1098" s="60" t="n">
        <x:v>563929.3724113473</x:v>
      </x:c>
      <x:c r="M1098" s="62" t="n">
        <x:v>3.5003437143019585</x:v>
      </x:c>
      <x:c r="N1098" s="62" t="n">
        <x:v>316.47813767218014</x:v>
      </x:c>
      <x:c r="O1098" s="60" t="n">
        <x:v>338677.2747877992</x:v>
      </x:c>
      <x:c r="P1098" s="60" t="n">
        <x:v>225252.09762354812</x:v>
      </x:c>
      <x:c r="Q1098" s="62" t="n">
        <x:v>1.665093628631214</x:v>
      </x:c>
      <x:c r="R1098" s="64" t="n">
        <x:v>0.6650936286312139</x:v>
      </x:c>
    </x:row>
    <x:row r="1099" ht="18" customHeight="1">
      <x:c r="A1099" s="46" t="str">
        <x:v>LME_010</x:v>
      </x:c>
      <x:c r="B1099" s="46" t="str">
        <x:v>Insular Pacific-Hawaiian</x:v>
      </x:c>
      <x:c r="C1099" s="46" t="str">
        <x:v>functional</x:v>
      </x:c>
      <x:c r="D1099" s="46" t="str">
        <x:v>Medium pelagics (30 - 89 cm)</x:v>
      </x:c>
      <x:c r="E1099" s="66" t="n">
        <x:v>7</x:v>
      </x:c>
      <x:c r="F1099" s="66" t="n">
        <x:v>7</x:v>
      </x:c>
      <x:c r="G1099" s="60" t="n">
        <x:v>927.0196539653999</x:v>
      </x:c>
      <x:c r="H1099" s="60" t="n">
        <x:v>927.0196539653999</x:v>
      </x:c>
      <x:c r="I1099" s="62" t="n">
        <x:v>0</x:v>
      </x:c>
      <x:c r="J1099" s="64" t="n">
        <x:v>1</x:v>
      </x:c>
      <x:c r="K1099" s="62" t="n">
        <x:v>1203.0003458954175</x:v>
      </x:c>
      <x:c r="L1099" s="60" t="n">
        <x:v>1115204.9643722263</x:v>
      </x:c>
      <x:c r="M1099" s="62" t="n">
        <x:v>3.9983529545390866</x:v>
      </x:c>
      <x:c r="N1099" s="62" t="n">
        <x:v>996.214719977057</x:v>
      </x:c>
      <x:c r="O1099" s="60" t="n">
        <x:v>923510.6249883692</x:v>
      </x:c>
      <x:c r="P1099" s="60" t="n">
        <x:v>191694.3393838571</x:v>
      </x:c>
      <x:c r="Q1099" s="62" t="n">
        <x:v>1.2075713415709444</x:v>
      </x:c>
      <x:c r="R1099" s="64" t="n">
        <x:v>0.20757134157094437</x:v>
      </x:c>
    </x:row>
    <x:row r="1100" ht="18" customHeight="1">
      <x:c r="A1100" s="46" t="str">
        <x:v>LME_010</x:v>
      </x:c>
      <x:c r="B1100" s="46" t="str">
        <x:v>Insular Pacific-Hawaiian</x:v>
      </x:c>
      <x:c r="C1100" s="46" t="str">
        <x:v>functional</x:v>
      </x:c>
      <x:c r="D1100" s="46" t="str">
        <x:v>Medium reef assoc. fish (30 - 89 cm)</x:v>
      </x:c>
      <x:c r="E1100" s="66" t="n">
        <x:v>44</x:v>
      </x:c>
      <x:c r="F1100" s="66" t="n">
        <x:v>44</x:v>
      </x:c>
      <x:c r="G1100" s="60" t="n">
        <x:v>856.8425045877001</x:v>
      </x:c>
      <x:c r="H1100" s="60" t="n">
        <x:v>856.8425045877001</x:v>
      </x:c>
      <x:c r="I1100" s="62" t="n">
        <x:v>0</x:v>
      </x:c>
      <x:c r="J1100" s="64" t="n">
        <x:v>1</x:v>
      </x:c>
      <x:c r="K1100" s="62" t="n">
        <x:v>443.5768048622963</x:v>
      </x:c>
      <x:c r="L1100" s="60" t="n">
        <x:v>380075.46045521944</x:v>
      </x:c>
      <x:c r="M1100" s="62" t="n">
        <x:v>3.3127508886372024</x:v>
      </x:c>
      <x:c r="N1100" s="62" t="n">
        <x:v>205.47116750580747</x:v>
      </x:c>
      <x:c r="O1100" s="60" t="n">
        <x:v>176056.42978623492</x:v>
      </x:c>
      <x:c r="P1100" s="60" t="n">
        <x:v>204019.03066898452</x:v>
      </x:c>
      <x:c r="Q1100" s="62" t="n">
        <x:v>2.158827490235383</x:v>
      </x:c>
      <x:c r="R1100" s="64" t="n">
        <x:v>1.1588274902353828</x:v>
      </x:c>
    </x:row>
    <x:row r="1101" ht="18" customHeight="1">
      <x:c r="A1101" s="46" t="str">
        <x:v>LME_010</x:v>
      </x:c>
      <x:c r="B1101" s="46" t="str">
        <x:v>Insular Pacific-Hawaiian</x:v>
      </x:c>
      <x:c r="C1101" s="46" t="str">
        <x:v>functional</x:v>
      </x:c>
      <x:c r="D1101" s="46" t="str">
        <x:v>Other demersal invertebrates</x:v>
      </x:c>
      <x:c r="E1101" s="66" t="n">
        <x:v>1</x:v>
      </x:c>
      <x:c r="F1101" s="66" t="n">
        <x:v>1</x:v>
      </x:c>
      <x:c r="G1101" s="60" t="n">
        <x:v>5.263133777899999</x:v>
      </x:c>
      <x:c r="H1101" s="60" t="n">
        <x:v>5.263133777899999</x:v>
      </x:c>
      <x:c r="I1101" s="62" t="n">
        <x:v>0</x:v>
      </x:c>
      <x:c r="J1101" s="64" t="n">
        <x:v>1</x:v>
      </x:c>
      <x:c r="K1101" s="62" t="n">
        <x:v>114.81536214968828</x:v>
      </x:c>
      <x:c r="L1101" s="60" t="n">
        <x:v>604.2886107518455</x:v>
      </x:c>
      <x:c r="M1101" s="62" t="n">
        <x:v>3.06</x:v>
      </x:c>
      <x:c r="N1101" s="62" t="n">
        <x:v>114.81536214968828</x:v>
      </x:c>
      <x:c r="O1101" s="60" t="n">
        <x:v>604.2886107518455</x:v>
      </x:c>
      <x:c r="P1101" s="60" t="n">
        <x:v>0</x:v>
      </x:c>
      <x:c r="Q1101" s="62" t="n">
        <x:v>1</x:v>
      </x:c>
      <x:c r="R1101" s="64" t="n">
        <x:v>0</x:v>
      </x:c>
    </x:row>
    <x:row r="1102" ht="18" customHeight="1">
      <x:c r="A1102" s="46" t="str">
        <x:v>LME_010</x:v>
      </x:c>
      <x:c r="B1102" s="46" t="str">
        <x:v>Insular Pacific-Hawaiian</x:v>
      </x:c>
      <x:c r="C1102" s="46" t="str">
        <x:v>functional</x:v>
      </x:c>
      <x:c r="D1102" s="46" t="str">
        <x:v>Shrimps</x:v>
      </x:c>
      <x:c r="E1102" s="66" t="n">
        <x:v>1</x:v>
      </x:c>
      <x:c r="F1102" s="66" t="n">
        <x:v>1</x:v>
      </x:c>
      <x:c r="G1102" s="60" t="n">
        <x:v>1.0031491007</x:v>
      </x:c>
      <x:c r="H1102" s="60" t="n">
        <x:v>1.0031491007</x:v>
      </x:c>
      <x:c r="I1102" s="62" t="n">
        <x:v>0</x:v>
      </x:c>
      <x:c r="J1102" s="64" t="n">
        <x:v>1</x:v>
      </x:c>
      <x:c r="K1102" s="62" t="n">
        <x:v>31.622776601683793</x:v>
      </x:c>
      <x:c r="L1102" s="60" t="n">
        <x:v>31.7223599096161</x:v>
      </x:c>
      <x:c r="M1102" s="62" t="n">
        <x:v>2.5</x:v>
      </x:c>
      <x:c r="N1102" s="62" t="n">
        <x:v>31.622776601683793</x:v>
      </x:c>
      <x:c r="O1102" s="60" t="n">
        <x:v>31.7223599096161</x:v>
      </x:c>
      <x:c r="P1102" s="60" t="n">
        <x:v>0</x:v>
      </x:c>
      <x:c r="Q1102" s="62" t="n">
        <x:v>1</x:v>
      </x:c>
      <x:c r="R1102" s="64" t="n">
        <x:v>0</x:v>
      </x:c>
    </x:row>
    <x:row r="1103" ht="18" customHeight="1">
      <x:c r="A1103" s="46" t="str">
        <x:v>LME_010</x:v>
      </x:c>
      <x:c r="B1103" s="46" t="str">
        <x:v>Insular Pacific-Hawaiian</x:v>
      </x:c>
      <x:c r="C1103" s="46" t="str">
        <x:v>functional</x:v>
      </x:c>
      <x:c r="D1103" s="46" t="str">
        <x:v>Small pelagics (&lt;30 cm)</x:v>
      </x:c>
      <x:c r="E1103" s="66" t="n">
        <x:v>2</x:v>
      </x:c>
      <x:c r="F1103" s="66" t="n">
        <x:v>2</x:v>
      </x:c>
      <x:c r="G1103" s="60" t="n">
        <x:v>40.2545498904</x:v>
      </x:c>
      <x:c r="H1103" s="60" t="n">
        <x:v>40.2545498904</x:v>
      </x:c>
      <x:c r="I1103" s="62" t="n">
        <x:v>0</x:v>
      </x:c>
      <x:c r="J1103" s="64" t="n">
        <x:v>1</x:v>
      </x:c>
      <x:c r="K1103" s="62" t="n">
        <x:v>369.8419001898986</x:v>
      </x:c>
      <x:c r="L1103" s="60" t="n">
        <x:v>14887.81922275461</x:v>
      </x:c>
      <x:c r="M1103" s="62" t="n">
        <x:v>3.566941446660185</x:v>
      </x:c>
      <x:c r="N1103" s="62" t="n">
        <x:v>368.92785487030903</x:v>
      </x:c>
      <x:c r="O1103" s="60" t="n">
        <x:v>14851.024739835106</x:v>
      </x:c>
      <x:c r="P1103" s="60" t="n">
        <x:v>36.794482919503935</x:v>
      </x:c>
      <x:c r="Q1103" s="62" t="n">
        <x:v>1.002477571990087</x:v>
      </x:c>
      <x:c r="R1103" s="64" t="n">
        <x:v>0.0024775719900869595</x:v>
      </x:c>
    </x:row>
    <x:row r="1104" ht="18" customHeight="1">
      <x:c r="A1104" s="46" t="str">
        <x:v>LME_010</x:v>
      </x:c>
      <x:c r="B1104" s="46" t="str">
        <x:v>Insular Pacific-Hawaiian</x:v>
      </x:c>
      <x:c r="C1104" s="46" t="str">
        <x:v>functional</x:v>
      </x:c>
      <x:c r="D1104" s="46" t="str">
        <x:v>Small reef assoc. fish (&lt;30 cm)</x:v>
      </x:c>
      <x:c r="E1104" s="66" t="n">
        <x:v>20</x:v>
      </x:c>
      <x:c r="F1104" s="66" t="n">
        <x:v>20</x:v>
      </x:c>
      <x:c r="G1104" s="60" t="n">
        <x:v>167.44098206660001</x:v>
      </x:c>
      <x:c r="H1104" s="60" t="n">
        <x:v>167.44098206660001</x:v>
      </x:c>
      <x:c r="I1104" s="62" t="n">
        <x:v>0</x:v>
      </x:c>
      <x:c r="J1104" s="64" t="n">
        <x:v>1</x:v>
      </x:c>
      <x:c r="K1104" s="62" t="n">
        <x:v>157.2039379187537</x:v>
      </x:c>
      <x:c r="L1104" s="60" t="n">
        <x:v>26322.38174985294</x:v>
      </x:c>
      <x:c r="M1104" s="62" t="n">
        <x:v>3.0240768363452584</x:v>
      </x:c>
      <x:c r="N1104" s="62" t="n">
        <x:v>105.70045002578448</x:v>
      </x:c>
      <x:c r="O1104" s="60" t="n">
        <x:v>17698.58715719893</x:v>
      </x:c>
      <x:c r="P1104" s="60" t="n">
        <x:v>8623.794592654009</x:v>
      </x:c>
      <x:c r="Q1104" s="62" t="n">
        <x:v>1.4872589272837107</x:v>
      </x:c>
      <x:c r="R1104" s="64" t="n">
        <x:v>0.4872589272837107</x:v>
      </x:c>
    </x:row>
    <x:row r="1105" ht="18" customHeight="1">
      <x:c r="A1105" s="46" t="str">
        <x:v>LME_010</x:v>
      </x:c>
      <x:c r="B1105" s="46" t="str">
        <x:v>Insular Pacific-Hawaiian</x:v>
      </x:c>
      <x:c r="C1105" s="46" t="str">
        <x:v>functional</x:v>
      </x:c>
      <x:c r="D1105" s="46" t="str">
        <x:v>Small to medium flatfishes (&lt;90 cm)</x:v>
      </x:c>
      <x:c r="E1105" s="66" t="n">
        <x:v>2</x:v>
      </x:c>
      <x:c r="F1105" s="66" t="n">
        <x:v>2</x:v>
      </x:c>
      <x:c r="G1105" s="60" t="n">
        <x:v>0.5670226334</x:v>
      </x:c>
      <x:c r="H1105" s="60" t="n">
        <x:v>0.5670226334</x:v>
      </x:c>
      <x:c r="I1105" s="62" t="n">
        <x:v>0</x:v>
      </x:c>
      <x:c r="J1105" s="64" t="n">
        <x:v>1</x:v>
      </x:c>
      <x:c r="K1105" s="62" t="n">
        <x:v>2355.7588696316698</x:v>
      </x:c>
      <x:c r="L1105" s="60" t="n">
        <x:v>1335.7685979139567</x:v>
      </x:c>
      <x:c r="M1105" s="62" t="n">
        <x:v>4.3654832453130785</x:v>
      </x:c>
      <x:c r="N1105" s="62" t="n">
        <x:v>2319.974681325683</x:v>
      </x:c>
      <x:c r="O1105" s="60" t="n">
        <x:v>1315.4781532266145</x:v>
      </x:c>
      <x:c r="P1105" s="60" t="n">
        <x:v>20.290444687342188</x:v>
      </x:c>
      <x:c r="Q1105" s="62" t="n">
        <x:v>1.0154243874271676</x:v>
      </x:c>
      <x:c r="R1105" s="64" t="n">
        <x:v>0.015424387427167556</x:v>
      </x:c>
    </x:row>
    <x:row r="1106" ht="18" customHeight="1">
      <x:c r="A1106" s="46" t="str">
        <x:v>LME_011</x:v>
      </x:c>
      <x:c r="B1106" s="46" t="str">
        <x:v>Pacific Central-American Coastal</x:v>
      </x:c>
      <x:c r="C1106" s="46" t="str">
        <x:v>functional</x:v>
      </x:c>
      <x:c r="D1106" s="46" t="str">
        <x:v>Cephalopods</x:v>
      </x:c>
      <x:c r="E1106" s="66" t="n">
        <x:v>4</x:v>
      </x:c>
      <x:c r="F1106" s="66" t="n">
        <x:v>4</x:v>
      </x:c>
      <x:c r="G1106" s="60" t="n">
        <x:v>25707.113905070502</x:v>
      </x:c>
      <x:c r="H1106" s="60" t="n">
        <x:v>25707.113905070502</x:v>
      </x:c>
      <x:c r="I1106" s="62" t="n">
        <x:v>0</x:v>
      </x:c>
      <x:c r="J1106" s="64" t="n">
        <x:v>1</x:v>
      </x:c>
      <x:c r="K1106" s="62" t="n">
        <x:v>1379.4057202424895</x:v>
      </x:c>
      <x:c r="L1106" s="60" t="n">
        <x:v>35460539.97157949</x:v>
      </x:c>
      <x:c r="M1106" s="62" t="n">
        <x:v>4.1395411021079855</x:v>
      </x:c>
      <x:c r="N1106" s="62" t="n">
        <x:v>1378.926449911181</x:v>
      </x:c>
      <x:c r="O1106" s="60" t="n">
        <x:v>35448219.31458122</x:v>
      </x:c>
      <x:c r="P1106" s="60" t="n">
        <x:v>12320.65699826926</x:v>
      </x:c>
      <x:c r="Q1106" s="62" t="n">
        <x:v>1.000347567726574</x:v>
      </x:c>
      <x:c r="R1106" s="64" t="n">
        <x:v>0.0003475677265741046</x:v>
      </x:c>
    </x:row>
    <x:row r="1107" ht="18" customHeight="1">
      <x:c r="A1107" s="46" t="str">
        <x:v>LME_011</x:v>
      </x:c>
      <x:c r="B1107" s="46" t="str">
        <x:v>Pacific Central-American Coastal</x:v>
      </x:c>
      <x:c r="C1107" s="46" t="str">
        <x:v>functional</x:v>
      </x:c>
      <x:c r="D1107" s="46" t="str">
        <x:v>Jellyfish</x:v>
      </x:c>
      <x:c r="E1107" s="66" t="n">
        <x:v>2</x:v>
      </x:c>
      <x:c r="F1107" s="66" t="n">
        <x:v>2</x:v>
      </x:c>
      <x:c r="G1107" s="60" t="n">
        <x:v>58254.8650368879</x:v>
      </x:c>
      <x:c r="H1107" s="60" t="n">
        <x:v>58254.8650368879</x:v>
      </x:c>
      <x:c r="I1107" s="62" t="n">
        <x:v>0</x:v>
      </x:c>
      <x:c r="J1107" s="64" t="n">
        <x:v>1</x:v>
      </x:c>
      <x:c r="K1107" s="62" t="n">
        <x:v>272.55720355745717</x:v>
      </x:c>
      <x:c r="L1107" s="60" t="n">
        <x:v>15877783.10807125</x:v>
      </x:c>
      <x:c r="M1107" s="62" t="n">
        <x:v>3.4326899918050184</x:v>
      </x:c>
      <x:c r="N1107" s="62" t="n">
        <x:v>270.82577325371386</x:v>
      </x:c>
      <x:c r="O1107" s="60" t="n">
        <x:v>15776918.869405907</x:v>
      </x:c>
      <x:c r="P1107" s="60" t="n">
        <x:v>100864.2386653442</x:v>
      </x:c>
      <x:c r="Q1107" s="62" t="n">
        <x:v>1.0063931518885438</x:v>
      </x:c>
      <x:c r="R1107" s="64" t="n">
        <x:v>0.006393151888543769</x:v>
      </x:c>
    </x:row>
    <x:row r="1108" ht="18" customHeight="1">
      <x:c r="A1108" s="46" t="str">
        <x:v>LME_011</x:v>
      </x:c>
      <x:c r="B1108" s="46" t="str">
        <x:v>Pacific Central-American Coastal</x:v>
      </x:c>
      <x:c r="C1108" s="46" t="str">
        <x:v>functional</x:v>
      </x:c>
      <x:c r="D1108" s="46" t="str">
        <x:v>Large bathydemersals (&gt;=90 cm)</x:v>
      </x:c>
      <x:c r="E1108" s="66" t="n">
        <x:v>1</x:v>
      </x:c>
      <x:c r="F1108" s="66" t="n">
        <x:v>1</x:v>
      </x:c>
      <x:c r="G1108" s="60" t="n">
        <x:v>72.9931752964</x:v>
      </x:c>
      <x:c r="H1108" s="60" t="n">
        <x:v>72.9931752964</x:v>
      </x:c>
      <x:c r="I1108" s="62" t="n">
        <x:v>0</x:v>
      </x:c>
      <x:c r="J1108" s="64" t="n">
        <x:v>1</x:v>
      </x:c>
      <x:c r="K1108" s="62" t="n">
        <x:v>2238.7211385683377</x:v>
      </x:c>
      <x:c r="L1108" s="60" t="n">
        <x:v>163411.36450727485</x:v>
      </x:c>
      <x:c r="M1108" s="62" t="n">
        <x:v>4.35</x:v>
      </x:c>
      <x:c r="N1108" s="62" t="n">
        <x:v>2238.7211385683377</x:v>
      </x:c>
      <x:c r="O1108" s="60" t="n">
        <x:v>163411.36450727485</x:v>
      </x:c>
      <x:c r="P1108" s="60" t="n">
        <x:v>0</x:v>
      </x:c>
      <x:c r="Q1108" s="62" t="n">
        <x:v>1</x:v>
      </x:c>
      <x:c r="R1108" s="64" t="n">
        <x:v>0</x:v>
      </x:c>
    </x:row>
    <x:row r="1109" ht="18" customHeight="1">
      <x:c r="A1109" s="46" t="str">
        <x:v>LME_011</x:v>
      </x:c>
      <x:c r="B1109" s="46" t="str">
        <x:v>Pacific Central-American Coastal</x:v>
      </x:c>
      <x:c r="C1109" s="46" t="str">
        <x:v>functional</x:v>
      </x:c>
      <x:c r="D1109" s="46" t="str">
        <x:v>Large bathypelagics (&gt;=90 cm)</x:v>
      </x:c>
      <x:c r="E1109" s="66" t="n">
        <x:v>2</x:v>
      </x:c>
      <x:c r="F1109" s="66" t="n">
        <x:v>2</x:v>
      </x:c>
      <x:c r="G1109" s="60" t="n">
        <x:v>47.7925885414</x:v>
      </x:c>
      <x:c r="H1109" s="60" t="n">
        <x:v>47.7925885414</x:v>
      </x:c>
      <x:c r="I1109" s="62" t="n">
        <x:v>0</x:v>
      </x:c>
      <x:c r="J1109" s="64" t="n">
        <x:v>1</x:v>
      </x:c>
      <x:c r="K1109" s="62" t="n">
        <x:v>1659.8091467926904</x:v>
      </x:c>
      <x:c r="L1109" s="60" t="n">
        <x:v>79326.57560991525</x:v>
      </x:c>
      <x:c r="M1109" s="62" t="n">
        <x:v>4.220050492236341</x:v>
      </x:c>
      <x:c r="N1109" s="62" t="n">
        <x:v>1659.7798666604563</x:v>
      </x:c>
      <x:c r="O1109" s="60" t="n">
        <x:v>79325.17623660294</x:v>
      </x:c>
      <x:c r="P1109" s="60" t="n">
        <x:v>1.3993733123061247</x:v>
      </x:c>
      <x:c r="Q1109" s="62" t="n">
        <x:v>1.0000176409732533</x:v>
      </x:c>
      <x:c r="R1109" s="64" t="n">
        <x:v>0.000017640973253336603</x:v>
      </x:c>
    </x:row>
    <x:row r="1110" ht="18" customHeight="1">
      <x:c r="A1110" s="46" t="str">
        <x:v>LME_011</x:v>
      </x:c>
      <x:c r="B1110" s="46" t="str">
        <x:v>Pacific Central-American Coastal</x:v>
      </x:c>
      <x:c r="C1110" s="46" t="str">
        <x:v>functional</x:v>
      </x:c>
      <x:c r="D1110" s="46" t="str">
        <x:v>Large benthopelagics (&gt;=90 cm)</x:v>
      </x:c>
      <x:c r="E1110" s="66" t="n">
        <x:v>12</x:v>
      </x:c>
      <x:c r="F1110" s="66" t="n">
        <x:v>12</x:v>
      </x:c>
      <x:c r="G1110" s="60" t="n">
        <x:v>13716.938450075098</x:v>
      </x:c>
      <x:c r="H1110" s="60" t="n">
        <x:v>13716.938450075098</x:v>
      </x:c>
      <x:c r="I1110" s="62" t="n">
        <x:v>0</x:v>
      </x:c>
      <x:c r="J1110" s="64" t="n">
        <x:v>1</x:v>
      </x:c>
      <x:c r="K1110" s="62" t="n">
        <x:v>744.0709157486727</x:v>
      </x:c>
      <x:c r="L1110" s="60" t="n">
        <x:v>10206374.953815559</x:v>
      </x:c>
      <x:c r="M1110" s="62" t="n">
        <x:v>2.899957877058834</x:v>
      </x:c>
      <x:c r="N1110" s="62" t="n">
        <x:v>79.42511952492225</x:v>
      </x:c>
      <x:c r="O1110" s="60" t="n">
        <x:v>1089469.4759132164</x:v>
      </x:c>
      <x:c r="P1110" s="60" t="n">
        <x:v>9116905.477902342</x:v>
      </x:c>
      <x:c r="Q1110" s="62" t="n">
        <x:v>9.36820643392543</x:v>
      </x:c>
      <x:c r="R1110" s="64" t="n">
        <x:v>8.368206433925428</x:v>
      </x:c>
    </x:row>
    <x:row r="1111" ht="18" customHeight="1">
      <x:c r="A1111" s="46" t="str">
        <x:v>LME_011</x:v>
      </x:c>
      <x:c r="B1111" s="46" t="str">
        <x:v>Pacific Central-American Coastal</x:v>
      </x:c>
      <x:c r="C1111" s="46" t="str">
        <x:v>functional</x:v>
      </x:c>
      <x:c r="D1111" s="46" t="str">
        <x:v>Large demersals (&gt;=90 cm)</x:v>
      </x:c>
      <x:c r="E1111" s="66" t="n">
        <x:v>5</x:v>
      </x:c>
      <x:c r="F1111" s="66" t="n">
        <x:v>5</x:v>
      </x:c>
      <x:c r="G1111" s="60" t="n">
        <x:v>1955.9487616674999</x:v>
      </x:c>
      <x:c r="H1111" s="60" t="n">
        <x:v>1955.9487616674999</x:v>
      </x:c>
      <x:c r="I1111" s="62" t="n">
        <x:v>0</x:v>
      </x:c>
      <x:c r="J1111" s="64" t="n">
        <x:v>1</x:v>
      </x:c>
      <x:c r="K1111" s="62" t="n">
        <x:v>1517.0962876620645</x:v>
      </x:c>
      <x:c r="L1111" s="60" t="n">
        <x:v>2967362.605182976</x:v>
      </x:c>
      <x:c r="M1111" s="62" t="n">
        <x:v>4.161181938663438</x:v>
      </x:c>
      <x:c r="N1111" s="62" t="n">
        <x:v>1449.3789136057067</x:v>
      </x:c>
      <x:c r="O1111" s="60" t="n">
        <x:v>2834910.8912540684</x:v>
      </x:c>
      <x:c r="P1111" s="60" t="n">
        <x:v>132451.71392890764</x:v>
      </x:c>
      <x:c r="Q1111" s="62" t="n">
        <x:v>1.046721649818882</x:v>
      </x:c>
      <x:c r="R1111" s="64" t="n">
        <x:v>0.04672164981888214</x:v>
      </x:c>
    </x:row>
    <x:row r="1112" ht="18" customHeight="1">
      <x:c r="A1112" s="46" t="str">
        <x:v>LME_011</x:v>
      </x:c>
      <x:c r="B1112" s="46" t="str">
        <x:v>Pacific Central-American Coastal</x:v>
      </x:c>
      <x:c r="C1112" s="46" t="str">
        <x:v>functional</x:v>
      </x:c>
      <x:c r="D1112" s="46" t="str">
        <x:v>Large pelagics (&gt;=90 cm)</x:v>
      </x:c>
      <x:c r="E1112" s="66" t="n">
        <x:v>24</x:v>
      </x:c>
      <x:c r="F1112" s="66" t="n">
        <x:v>24</x:v>
      </x:c>
      <x:c r="G1112" s="60" t="n">
        <x:v>86406.3842497922</x:v>
      </x:c>
      <x:c r="H1112" s="60" t="n">
        <x:v>86406.3842497922</x:v>
      </x:c>
      <x:c r="I1112" s="62" t="n">
        <x:v>0</x:v>
      </x:c>
      <x:c r="J1112" s="64" t="n">
        <x:v>1</x:v>
      </x:c>
      <x:c r="K1112" s="62" t="n">
        <x:v>2639.254717529511</x:v>
      </x:c>
      <x:c r="L1112" s="60" t="n">
        <x:v>228048457.25593168</x:v>
      </x:c>
      <x:c r="M1112" s="62" t="n">
        <x:v>4.4175727247792</x:v>
      </x:c>
      <x:c r="N1112" s="62" t="n">
        <x:v>2615.6084081539893</x:v>
      </x:c>
      <x:c r="O1112" s="60" t="n">
        <x:v>226005265.1619409</x:v>
      </x:c>
      <x:c r="P1112" s="60" t="n">
        <x:v>2043192.093990773</x:v>
      </x:c>
      <x:c r="Q1112" s="62" t="n">
        <x:v>1.0090404623650107</x:v>
      </x:c>
      <x:c r="R1112" s="64" t="n">
        <x:v>0.009040462365010622</x:v>
      </x:c>
    </x:row>
    <x:row r="1113" ht="18" customHeight="1">
      <x:c r="A1113" s="46" t="str">
        <x:v>LME_011</x:v>
      </x:c>
      <x:c r="B1113" s="46" t="str">
        <x:v>Pacific Central-American Coastal</x:v>
      </x:c>
      <x:c r="C1113" s="46" t="str">
        <x:v>functional</x:v>
      </x:c>
      <x:c r="D1113" s="46" t="str">
        <x:v>Large rays (&gt;=90 cm)</x:v>
      </x:c>
      <x:c r="E1113" s="66" t="n">
        <x:v>9</x:v>
      </x:c>
      <x:c r="F1113" s="66" t="n">
        <x:v>9</x:v>
      </x:c>
      <x:c r="G1113" s="60" t="n">
        <x:v>9350.659157833099</x:v>
      </x:c>
      <x:c r="H1113" s="60" t="n">
        <x:v>9350.659157833099</x:v>
      </x:c>
      <x:c r="I1113" s="62" t="n">
        <x:v>0</x:v>
      </x:c>
      <x:c r="J1113" s="64" t="n">
        <x:v>1</x:v>
      </x:c>
      <x:c r="K1113" s="62" t="n">
        <x:v>458.44243497831843</x:v>
      </x:c>
      <x:c r="L1113" s="60" t="n">
        <x:v>4286738.952969318</x:v>
      </x:c>
      <x:c r="M1113" s="62" t="n">
        <x:v>3.6410212273698592</x:v>
      </x:c>
      <x:c r="N1113" s="62" t="n">
        <x:v>437.543490809955</x:v>
      </x:c>
      <x:c r="O1113" s="60" t="n">
        <x:v>4091320.0492923683</x:v>
      </x:c>
      <x:c r="P1113" s="60" t="n">
        <x:v>195418.9036769499</x:v>
      </x:c>
      <x:c r="Q1113" s="62" t="n">
        <x:v>1.0477642671124567</x:v>
      </x:c>
      <x:c r="R1113" s="64" t="n">
        <x:v>0.047764267112456626</x:v>
      </x:c>
    </x:row>
    <x:row r="1114" ht="18" customHeight="1">
      <x:c r="A1114" s="46" t="str">
        <x:v>LME_011</x:v>
      </x:c>
      <x:c r="B1114" s="46" t="str">
        <x:v>Pacific Central-American Coastal</x:v>
      </x:c>
      <x:c r="C1114" s="46" t="str">
        <x:v>functional</x:v>
      </x:c>
      <x:c r="D1114" s="46" t="str">
        <x:v>Large reef assoc. fish (&gt;=90 cm)</x:v>
      </x:c>
      <x:c r="E1114" s="66" t="n">
        <x:v>8</x:v>
      </x:c>
      <x:c r="F1114" s="66" t="n">
        <x:v>8</x:v>
      </x:c>
      <x:c r="G1114" s="60" t="n">
        <x:v>5067.210416762</x:v>
      </x:c>
      <x:c r="H1114" s="60" t="n">
        <x:v>5067.210416762</x:v>
      </x:c>
      <x:c r="I1114" s="62" t="n">
        <x:v>0</x:v>
      </x:c>
      <x:c r="J1114" s="64" t="n">
        <x:v>1</x:v>
      </x:c>
      <x:c r="K1114" s="62" t="n">
        <x:v>524.9688029560178</x:v>
      </x:c>
      <x:c r="L1114" s="60" t="n">
        <x:v>2660127.3868138115</x:v>
      </x:c>
      <x:c r="M1114" s="62" t="n">
        <x:v>3.64308604783535</x:v>
      </x:c>
      <x:c r="N1114" s="62" t="n">
        <x:v>439.62871152866194</x:v>
      </x:c>
      <x:c r="O1114" s="60" t="n">
        <x:v>2227691.186565692</x:v>
      </x:c>
      <x:c r="P1114" s="60" t="n">
        <x:v>432436.2002481194</x:v>
      </x:c>
      <x:c r="Q1114" s="62" t="n">
        <x:v>1.194118557749821</x:v>
      </x:c>
      <x:c r="R1114" s="64" t="n">
        <x:v>0.19411855774982092</x:v>
      </x:c>
    </x:row>
    <x:row r="1115" ht="18" customHeight="1">
      <x:c r="A1115" s="46" t="str">
        <x:v>LME_011</x:v>
      </x:c>
      <x:c r="B1115" s="46" t="str">
        <x:v>Pacific Central-American Coastal</x:v>
      </x:c>
      <x:c r="C1115" s="46" t="str">
        <x:v>functional</x:v>
      </x:c>
      <x:c r="D1115" s="46" t="str">
        <x:v>Large sharks (&gt;=90 cm)</x:v>
      </x:c>
      <x:c r="E1115" s="66" t="n">
        <x:v>32</x:v>
      </x:c>
      <x:c r="F1115" s="66" t="n">
        <x:v>32</x:v>
      </x:c>
      <x:c r="G1115" s="60" t="n">
        <x:v>44508.2029548775</x:v>
      </x:c>
      <x:c r="H1115" s="60" t="n">
        <x:v>44508.2029548775</x:v>
      </x:c>
      <x:c r="I1115" s="62" t="n">
        <x:v>0</x:v>
      </x:c>
      <x:c r="J1115" s="64" t="n">
        <x:v>1</x:v>
      </x:c>
      <x:c r="K1115" s="62" t="n">
        <x:v>1962.477993694787</x:v>
      </x:c>
      <x:c r="L1115" s="60" t="n">
        <x:v>87346368.8378484</x:v>
      </x:c>
      <x:c r="M1115" s="62" t="n">
        <x:v>4.243912368904015</x:v>
      </x:c>
      <x:c r="N1115" s="62" t="n">
        <x:v>1753.5266429465546</x:v>
      </x:c>
      <x:c r="O1115" s="60" t="n">
        <x:v>78046319.71105027</x:v>
      </x:c>
      <x:c r="P1115" s="60" t="n">
        <x:v>9300049.126798123</x:v>
      </x:c>
      <x:c r="Q1115" s="62" t="n">
        <x:v>1.1191606364173168</x:v>
      </x:c>
      <x:c r="R1115" s="64" t="n">
        <x:v>0.11916063641731675</x:v>
      </x:c>
    </x:row>
    <x:row r="1116" ht="18" customHeight="1">
      <x:c r="A1116" s="46" t="str">
        <x:v>LME_011</x:v>
      </x:c>
      <x:c r="B1116" s="46" t="str">
        <x:v>Pacific Central-American Coastal</x:v>
      </x:c>
      <x:c r="C1116" s="46" t="str">
        <x:v>functional</x:v>
      </x:c>
      <x:c r="D1116" s="46" t="str">
        <x:v>Lobsters, crabs</x:v>
      </x:c>
      <x:c r="E1116" s="66" t="n">
        <x:v>13</x:v>
      </x:c>
      <x:c r="F1116" s="66" t="n">
        <x:v>13</x:v>
      </x:c>
      <x:c r="G1116" s="60" t="n">
        <x:v>25434.5537329542</x:v>
      </x:c>
      <x:c r="H1116" s="60" t="n">
        <x:v>25434.5537329542</x:v>
      </x:c>
      <x:c r="I1116" s="62" t="n">
        <x:v>0</x:v>
      </x:c>
      <x:c r="J1116" s="64" t="n">
        <x:v>1</x:v>
      </x:c>
      <x:c r="K1116" s="62" t="n">
        <x:v>346.4200580857678</x:v>
      </x:c>
      <x:c r="L1116" s="60" t="n">
        <x:v>8811039.581555575</x:v>
      </x:c>
      <x:c r="M1116" s="62" t="n">
        <x:v>3.4261326831021925</x:v>
      </x:c>
      <x:c r="N1116" s="62" t="n">
        <x:v>266.76735520082235</x:v>
      </x:c>
      <x:c r="O1116" s="60" t="n">
        <x:v>6785108.6300533945</x:v>
      </x:c>
      <x:c r="P1116" s="60" t="n">
        <x:v>2025930.9515021807</x:v>
      </x:c>
      <x:c r="Q1116" s="62" t="n">
        <x:v>1.2985848955355985</x:v>
      </x:c>
      <x:c r="R1116" s="64" t="n">
        <x:v>0.2985848955355985</x:v>
      </x:c>
    </x:row>
    <x:row r="1117" ht="18" customHeight="1">
      <x:c r="A1117" s="46" t="str">
        <x:v>LME_011</x:v>
      </x:c>
      <x:c r="B1117" s="46" t="str">
        <x:v>Pacific Central-American Coastal</x:v>
      </x:c>
      <x:c r="C1117" s="46" t="str">
        <x:v>functional</x:v>
      </x:c>
      <x:c r="D1117" s="46" t="str">
        <x:v>Medium bathydemersals (30 - 89 cm)</x:v>
      </x:c>
      <x:c r="E1117" s="66" t="n">
        <x:v>4</x:v>
      </x:c>
      <x:c r="F1117" s="66" t="n">
        <x:v>4</x:v>
      </x:c>
      <x:c r="G1117" s="60" t="n">
        <x:v>9832.47625501</x:v>
      </x:c>
      <x:c r="H1117" s="60" t="n">
        <x:v>9832.47625501</x:v>
      </x:c>
      <x:c r="I1117" s="62" t="n">
        <x:v>0</x:v>
      </x:c>
      <x:c r="J1117" s="64" t="n">
        <x:v>1</x:v>
      </x:c>
      <x:c r="K1117" s="62" t="n">
        <x:v>326.2568025245133</x:v>
      </x:c>
      <x:c r="L1117" s="60" t="n">
        <x:v>3207912.263857764</x:v>
      </x:c>
      <x:c r="M1117" s="62" t="n">
        <x:v>3.485308953604132</x:v>
      </x:c>
      <x:c r="N1117" s="62" t="n">
        <x:v>305.7095132742298</x:v>
      </x:c>
      <x:c r="O1117" s="60" t="n">
        <x:v>3005881.5301995287</x:v>
      </x:c>
      <x:c r="P1117" s="60" t="n">
        <x:v>202030.73365823552</x:v>
      </x:c>
      <x:c r="Q1117" s="62" t="n">
        <x:v>1.0672118084590063</x:v>
      </x:c>
      <x:c r="R1117" s="64" t="n">
        <x:v>0.06721180845900632</x:v>
      </x:c>
    </x:row>
    <x:row r="1118" ht="18" customHeight="1">
      <x:c r="A1118" s="46" t="str">
        <x:v>LME_011</x:v>
      </x:c>
      <x:c r="B1118" s="46" t="str">
        <x:v>Pacific Central-American Coastal</x:v>
      </x:c>
      <x:c r="C1118" s="46" t="str">
        <x:v>functional</x:v>
      </x:c>
      <x:c r="D1118" s="46" t="str">
        <x:v>Medium benthopelagics (30 - 89 cm)</x:v>
      </x:c>
      <x:c r="E1118" s="66" t="n">
        <x:v>10</x:v>
      </x:c>
      <x:c r="F1118" s="66" t="n">
        <x:v>10</x:v>
      </x:c>
      <x:c r="G1118" s="60" t="n">
        <x:v>2717.2235154881</x:v>
      </x:c>
      <x:c r="H1118" s="60" t="n">
        <x:v>2717.2235154881</x:v>
      </x:c>
      <x:c r="I1118" s="62" t="n">
        <x:v>0</x:v>
      </x:c>
      <x:c r="J1118" s="64" t="n">
        <x:v>1</x:v>
      </x:c>
      <x:c r="K1118" s="62" t="n">
        <x:v>539.9719687270443</x:v>
      </x:c>
      <x:c r="L1118" s="60" t="n">
        <x:v>1467224.53112953</x:v>
      </x:c>
      <x:c r="M1118" s="62" t="n">
        <x:v>3.111664462240755</x:v>
      </x:c>
      <x:c r="N1118" s="62" t="n">
        <x:v>129.31963264166572</x:v>
      </x:c>
      <x:c r="O1118" s="60" t="n">
        <x:v>351390.34682821657</x:v>
      </x:c>
      <x:c r="P1118" s="60" t="n">
        <x:v>1115834.1843013135</x:v>
      </x:c>
      <x:c r="Q1118" s="62" t="n">
        <x:v>4.175483317550578</x:v>
      </x:c>
      <x:c r="R1118" s="64" t="n">
        <x:v>3.175483317550578</x:v>
      </x:c>
    </x:row>
    <x:row r="1119" ht="18" customHeight="1">
      <x:c r="A1119" s="46" t="str">
        <x:v>LME_011</x:v>
      </x:c>
      <x:c r="B1119" s="46" t="str">
        <x:v>Pacific Central-American Coastal</x:v>
      </x:c>
      <x:c r="C1119" s="46" t="str">
        <x:v>functional</x:v>
      </x:c>
      <x:c r="D1119" s="46" t="str">
        <x:v>Medium demersals (30 - 89 cm)</x:v>
      </x:c>
      <x:c r="E1119" s="66" t="n">
        <x:v>25</x:v>
      </x:c>
      <x:c r="F1119" s="66" t="n">
        <x:v>25</x:v>
      </x:c>
      <x:c r="G1119" s="60" t="n">
        <x:v>334142.1217367177</x:v>
      </x:c>
      <x:c r="H1119" s="60" t="n">
        <x:v>334142.1217367177</x:v>
      </x:c>
      <x:c r="I1119" s="62" t="n">
        <x:v>0</x:v>
      </x:c>
      <x:c r="J1119" s="64" t="n">
        <x:v>1</x:v>
      </x:c>
      <x:c r="K1119" s="62" t="n">
        <x:v>448.07156259575515</x:v>
      </x:c>
      <x:c r="L1119" s="60" t="n">
        <x:v>149719582.61563215</x:v>
      </x:c>
      <x:c r="M1119" s="62" t="n">
        <x:v>3.5100528175814505</x:v>
      </x:c>
      <x:c r="N1119" s="62" t="n">
        <x:v>323.633013804722</x:v>
      </x:c>
      <x:c r="O1119" s="60" t="n">
        <x:v>108139421.89675826</x:v>
      </x:c>
      <x:c r="P1119" s="60" t="n">
        <x:v>41580160.71887389</x:v>
      </x:c>
      <x:c r="Q1119" s="62" t="n">
        <x:v>1.3845051137648106</x:v>
      </x:c>
      <x:c r="R1119" s="64" t="n">
        <x:v>0.3845051137648106</x:v>
      </x:c>
    </x:row>
    <x:row r="1120" ht="18" customHeight="1">
      <x:c r="A1120" s="46" t="str">
        <x:v>LME_011</x:v>
      </x:c>
      <x:c r="B1120" s="46" t="str">
        <x:v>Pacific Central-American Coastal</x:v>
      </x:c>
      <x:c r="C1120" s="46" t="str">
        <x:v>functional</x:v>
      </x:c>
      <x:c r="D1120" s="46" t="str">
        <x:v>Medium pelagics (30 - 89 cm)</x:v>
      </x:c>
      <x:c r="E1120" s="66" t="n">
        <x:v>16</x:v>
      </x:c>
      <x:c r="F1120" s="66" t="n">
        <x:v>16</x:v>
      </x:c>
      <x:c r="G1120" s="60" t="n">
        <x:v>123228.0613007832</x:v>
      </x:c>
      <x:c r="H1120" s="60" t="n">
        <x:v>123228.0613007832</x:v>
      </x:c>
      <x:c r="I1120" s="62" t="n">
        <x:v>0</x:v>
      </x:c>
      <x:c r="J1120" s="64" t="n">
        <x:v>1</x:v>
      </x:c>
      <x:c r="K1120" s="62" t="n">
        <x:v>521.06898253187</x:v>
      </x:c>
      <x:c r="L1120" s="60" t="n">
        <x:v>64210320.52137401</x:v>
      </x:c>
      <x:c r="M1120" s="62" t="n">
        <x:v>3.404320336651522</x:v>
      </x:c>
      <x:c r="N1120" s="62" t="n">
        <x:v>253.69992372535606</x:v>
      </x:c>
      <x:c r="O1120" s="60" t="n">
        <x:v>31262949.752832197</x:v>
      </x:c>
      <x:c r="P1120" s="60" t="n">
        <x:v>32947370.768541813</x:v>
      </x:c>
      <x:c r="Q1120" s="62" t="n">
        <x:v>2.0538791454109995</x:v>
      </x:c>
      <x:c r="R1120" s="64" t="n">
        <x:v>1.0538791454109995</x:v>
      </x:c>
    </x:row>
    <x:row r="1121" ht="18" customHeight="1">
      <x:c r="A1121" s="46" t="str">
        <x:v>LME_011</x:v>
      </x:c>
      <x:c r="B1121" s="46" t="str">
        <x:v>Pacific Central-American Coastal</x:v>
      </x:c>
      <x:c r="C1121" s="46" t="str">
        <x:v>functional</x:v>
      </x:c>
      <x:c r="D1121" s="46" t="str">
        <x:v>Medium reef assoc. fish (30 - 89 cm)</x:v>
      </x:c>
      <x:c r="E1121" s="66" t="n">
        <x:v>21</x:v>
      </x:c>
      <x:c r="F1121" s="66" t="n">
        <x:v>21</x:v>
      </x:c>
      <x:c r="G1121" s="60" t="n">
        <x:v>48258.5717191824</x:v>
      </x:c>
      <x:c r="H1121" s="60" t="n">
        <x:v>48258.5717191824</x:v>
      </x:c>
      <x:c r="I1121" s="62" t="n">
        <x:v>0</x:v>
      </x:c>
      <x:c r="J1121" s="64" t="n">
        <x:v>1</x:v>
      </x:c>
      <x:c r="K1121" s="62" t="n">
        <x:v>983.9977903342498</x:v>
      </x:c>
      <x:c r="L1121" s="60" t="n">
        <x:v>47486327.9363624</x:v>
      </x:c>
      <x:c r="M1121" s="62" t="n">
        <x:v>3.921976395507064</x:v>
      </x:c>
      <x:c r="N1121" s="62" t="n">
        <x:v>835.5576033103587</x:v>
      </x:c>
      <x:c r="O1121" s="60" t="n">
        <x:v>40322816.524861105</x:v>
      </x:c>
      <x:c r="P1121" s="60" t="n">
        <x:v>7163511.411501296</x:v>
      </x:c>
      <x:c r="Q1121" s="62" t="n">
        <x:v>1.1776540437616658</x:v>
      </x:c>
      <x:c r="R1121" s="64" t="n">
        <x:v>0.1776540437616658</x:v>
      </x:c>
    </x:row>
    <x:row r="1122" ht="18" customHeight="1">
      <x:c r="A1122" s="46" t="str">
        <x:v>LME_011</x:v>
      </x:c>
      <x:c r="B1122" s="46" t="str">
        <x:v>Pacific Central-American Coastal</x:v>
      </x:c>
      <x:c r="C1122" s="46" t="str">
        <x:v>functional</x:v>
      </x:c>
      <x:c r="D1122" s="46" t="str">
        <x:v>Other demersal invertebrates</x:v>
      </x:c>
      <x:c r="E1122" s="66" t="n">
        <x:v>16</x:v>
      </x:c>
      <x:c r="F1122" s="66" t="n">
        <x:v>16</x:v>
      </x:c>
      <x:c r="G1122" s="60" t="n">
        <x:v>13235.509640024298</x:v>
      </x:c>
      <x:c r="H1122" s="60" t="n">
        <x:v>13235.509640024298</x:v>
      </x:c>
      <x:c r="I1122" s="62" t="n">
        <x:v>0</x:v>
      </x:c>
      <x:c r="J1122" s="64" t="n">
        <x:v>1</x:v>
      </x:c>
      <x:c r="K1122" s="62" t="n">
        <x:v>32.793916754957685</x:v>
      </x:c>
      <x:c r="L1122" s="60" t="n">
        <x:v>434044.2013443968</x:v>
      </x:c>
      <x:c r="M1122" s="62" t="n">
        <x:v>2.2495905406778958</x:v>
      </x:c>
      <x:c r="N1122" s="62" t="n">
        <x:v>17.766036117671284</x:v>
      </x:c>
      <x:c r="O1122" s="60" t="n">
        <x:v>235142.54230045812</x:v>
      </x:c>
      <x:c r="P1122" s="60" t="n">
        <x:v>198901.65904393868</x:v>
      </x:c>
      <x:c r="Q1122" s="62" t="n">
        <x:v>1.8458769608341994</x:v>
      </x:c>
      <x:c r="R1122" s="64" t="n">
        <x:v>0.8458769608341994</x:v>
      </x:c>
    </x:row>
    <x:row r="1123" ht="18" customHeight="1">
      <x:c r="A1123" s="46" t="str">
        <x:v>LME_011</x:v>
      </x:c>
      <x:c r="B1123" s="46" t="str">
        <x:v>Pacific Central-American Coastal</x:v>
      </x:c>
      <x:c r="C1123" s="46" t="str">
        <x:v>functional</x:v>
      </x:c>
      <x:c r="D1123" s="46" t="str">
        <x:v>Shrimps</x:v>
      </x:c>
      <x:c r="E1123" s="66" t="n">
        <x:v>20</x:v>
      </x:c>
      <x:c r="F1123" s="66" t="n">
        <x:v>20</x:v>
      </x:c>
      <x:c r="G1123" s="60" t="n">
        <x:v>81978.6433365361</x:v>
      </x:c>
      <x:c r="H1123" s="60" t="n">
        <x:v>81978.6433365361</x:v>
      </x:c>
      <x:c r="I1123" s="62" t="n">
        <x:v>0</x:v>
      </x:c>
      <x:c r="J1123" s="64" t="n">
        <x:v>1</x:v>
      </x:c>
      <x:c r="K1123" s="62" t="n">
        <x:v>124.4453529387076</x:v>
      </x:c>
      <x:c r="L1123" s="60" t="n">
        <x:v>10201861.203451665</x:v>
      </x:c>
      <x:c r="M1123" s="62" t="n">
        <x:v>2.9033895394429727</x:v>
      </x:c>
      <x:c r="N1123" s="62" t="n">
        <x:v>80.05519863496784</x:v>
      </x:c>
      <x:c r="O1123" s="60" t="n">
        <x:v>6562816.57613158</x:v>
      </x:c>
      <x:c r="P1123" s="60" t="n">
        <x:v>3639044.6273200847</x:v>
      </x:c>
      <x:c r="Q1123" s="62" t="n">
        <x:v>1.5544943371653854</x:v>
      </x:c>
      <x:c r="R1123" s="64" t="n">
        <x:v>0.5544943371653854</x:v>
      </x:c>
    </x:row>
    <x:row r="1124" ht="18" customHeight="1">
      <x:c r="A1124" s="46" t="str">
        <x:v>LME_011</x:v>
      </x:c>
      <x:c r="B1124" s="46" t="str">
        <x:v>Pacific Central-American Coastal</x:v>
      </x:c>
      <x:c r="C1124" s="46" t="str">
        <x:v>functional</x:v>
      </x:c>
      <x:c r="D1124" s="46" t="str">
        <x:v>Small bathydemersals (&lt;30 cm)</x:v>
      </x:c>
      <x:c r="E1124" s="66" t="n">
        <x:v>1</x:v>
      </x:c>
      <x:c r="F1124" s="66" t="n">
        <x:v>1</x:v>
      </x:c>
      <x:c r="G1124" s="60" t="n">
        <x:v>11.8490594674</x:v>
      </x:c>
      <x:c r="H1124" s="60" t="n">
        <x:v>11.8490594674</x:v>
      </x:c>
      <x:c r="I1124" s="62" t="n">
        <x:v>0</x:v>
      </x:c>
      <x:c r="J1124" s="64" t="n">
        <x:v>1</x:v>
      </x:c>
      <x:c r="K1124" s="62" t="n">
        <x:v>316.22776601683796</x:v>
      </x:c>
      <x:c r="L1124" s="60" t="n">
        <x:v>3747.0016047765657</x:v>
      </x:c>
      <x:c r="M1124" s="62" t="n">
        <x:v>3.5</x:v>
      </x:c>
      <x:c r="N1124" s="62" t="n">
        <x:v>316.22776601683796</x:v>
      </x:c>
      <x:c r="O1124" s="60" t="n">
        <x:v>3747.0016047765657</x:v>
      </x:c>
      <x:c r="P1124" s="60" t="n">
        <x:v>0</x:v>
      </x:c>
      <x:c r="Q1124" s="62" t="n">
        <x:v>1</x:v>
      </x:c>
      <x:c r="R1124" s="64" t="n">
        <x:v>0</x:v>
      </x:c>
    </x:row>
    <x:row r="1125" ht="18" customHeight="1">
      <x:c r="A1125" s="46" t="str">
        <x:v>LME_011</x:v>
      </x:c>
      <x:c r="B1125" s="46" t="str">
        <x:v>Pacific Central-American Coastal</x:v>
      </x:c>
      <x:c r="C1125" s="46" t="str">
        <x:v>functional</x:v>
      </x:c>
      <x:c r="D1125" s="46" t="str">
        <x:v>Small benthopelagics (&lt;30 cm)</x:v>
      </x:c>
      <x:c r="E1125" s="66" t="n">
        <x:v>2</x:v>
      </x:c>
      <x:c r="F1125" s="66" t="n">
        <x:v>2</x:v>
      </x:c>
      <x:c r="G1125" s="60" t="n">
        <x:v>1186.8819890989998</x:v>
      </x:c>
      <x:c r="H1125" s="60" t="n">
        <x:v>1186.8819890989998</x:v>
      </x:c>
      <x:c r="I1125" s="62" t="n">
        <x:v>0</x:v>
      </x:c>
      <x:c r="J1125" s="64" t="n">
        <x:v>1</x:v>
      </x:c>
      <x:c r="K1125" s="62" t="n">
        <x:v>127.59930642298438</x:v>
      </x:c>
      <x:c r="L1125" s="60" t="n">
        <x:v>151445.3186149645</x:v>
      </x:c>
      <x:c r="M1125" s="62" t="n">
        <x:v>3.0609553793781683</x:v>
      </x:c>
      <x:c r="N1125" s="62" t="n">
        <x:v>115.0682158588543</x:v>
      </x:c>
      <x:c r="O1125" s="60" t="n">
        <x:v>136572.39292063008</x:v>
      </x:c>
      <x:c r="P1125" s="60" t="n">
        <x:v>14872.925694334408</x:v>
      </x:c>
      <x:c r="Q1125" s="62" t="n">
        <x:v>1.1089014066186706</x:v>
      </x:c>
      <x:c r="R1125" s="64" t="n">
        <x:v>0.10890140661867076</x:v>
      </x:c>
    </x:row>
    <x:row r="1126" ht="18" customHeight="1">
      <x:c r="A1126" s="46" t="str">
        <x:v>LME_011</x:v>
      </x:c>
      <x:c r="B1126" s="46" t="str">
        <x:v>Pacific Central-American Coastal</x:v>
      </x:c>
      <x:c r="C1126" s="46" t="str">
        <x:v>functional</x:v>
      </x:c>
      <x:c r="D1126" s="46" t="str">
        <x:v>Small demersals (&lt;30 cm)</x:v>
      </x:c>
      <x:c r="E1126" s="66" t="n">
        <x:v>11</x:v>
      </x:c>
      <x:c r="F1126" s="66" t="n">
        <x:v>11</x:v>
      </x:c>
      <x:c r="G1126" s="60" t="n">
        <x:v>19845.3961400907</x:v>
      </x:c>
      <x:c r="H1126" s="60" t="n">
        <x:v>19845.3961400907</x:v>
      </x:c>
      <x:c r="I1126" s="62" t="n">
        <x:v>0</x:v>
      </x:c>
      <x:c r="J1126" s="64" t="n">
        <x:v>1</x:v>
      </x:c>
      <x:c r="K1126" s="62" t="n">
        <x:v>765.7463113682487</x:v>
      </x:c>
      <x:c r="L1126" s="60" t="n">
        <x:v>15196538.891916133</x:v>
      </x:c>
      <x:c r="M1126" s="62" t="n">
        <x:v>3.691255770401221</x:v>
      </x:c>
      <x:c r="N1126" s="62" t="n">
        <x:v>491.1970732068433</x:v>
      </x:c>
      <x:c r="O1126" s="60" t="n">
        <x:v>9748000.500642937</x:v>
      </x:c>
      <x:c r="P1126" s="60" t="n">
        <x:v>5448538.391273197</x:v>
      </x:c>
      <x:c r="Q1126" s="62" t="n">
        <x:v>1.5589390758560009</x:v>
      </x:c>
      <x:c r="R1126" s="64" t="n">
        <x:v>0.5589390758560009</x:v>
      </x:c>
    </x:row>
    <x:row r="1127" ht="18" customHeight="1">
      <x:c r="A1127" s="46" t="str">
        <x:v>LME_011</x:v>
      </x:c>
      <x:c r="B1127" s="46" t="str">
        <x:v>Pacific Central-American Coastal</x:v>
      </x:c>
      <x:c r="C1127" s="46" t="str">
        <x:v>functional</x:v>
      </x:c>
      <x:c r="D1127" s="46" t="str">
        <x:v>Small pelagics (&lt;30 cm)</x:v>
      </x:c>
      <x:c r="E1127" s="66" t="n">
        <x:v>17</x:v>
      </x:c>
      <x:c r="F1127" s="66" t="n">
        <x:v>17</x:v>
      </x:c>
      <x:c r="G1127" s="60" t="n">
        <x:v>662108.3925196392</x:v>
      </x:c>
      <x:c r="H1127" s="60" t="n">
        <x:v>662108.3925196392</x:v>
      </x:c>
      <x:c r="I1127" s="62" t="n">
        <x:v>0</x:v>
      </x:c>
      <x:c r="J1127" s="64" t="n">
        <x:v>1</x:v>
      </x:c>
      <x:c r="K1127" s="62" t="n">
        <x:v>67.35021672282241</x:v>
      </x:c>
      <x:c r="L1127" s="60" t="n">
        <x:v>44593143.73019727</x:v>
      </x:c>
      <x:c r="M1127" s="62" t="n">
        <x:v>2.6698589557968115</x:v>
      </x:c>
      <x:c r="N1127" s="62" t="n">
        <x:v>46.75832613495465</x:v>
      </x:c>
      <x:c r="O1127" s="60" t="n">
        <x:v>30959080.154123858</x:v>
      </x:c>
      <x:c r="P1127" s="60" t="n">
        <x:v>13634063.576073416</x:v>
      </x:c>
      <x:c r="Q1127" s="62" t="n">
        <x:v>1.4403898148200411</x:v>
      </x:c>
      <x:c r="R1127" s="64" t="n">
        <x:v>0.44038981482004114</x:v>
      </x:c>
    </x:row>
    <x:row r="1128" ht="18" customHeight="1">
      <x:c r="A1128" s="46" t="str">
        <x:v>LME_011</x:v>
      </x:c>
      <x:c r="B1128" s="46" t="str">
        <x:v>Pacific Central-American Coastal</x:v>
      </x:c>
      <x:c r="C1128" s="46" t="str">
        <x:v>functional</x:v>
      </x:c>
      <x:c r="D1128" s="46" t="str">
        <x:v>Small reef assoc. fish (&lt;30 cm)</x:v>
      </x:c>
      <x:c r="E1128" s="66" t="n">
        <x:v>2</x:v>
      </x:c>
      <x:c r="F1128" s="66" t="n">
        <x:v>2</x:v>
      </x:c>
      <x:c r="G1128" s="60" t="n">
        <x:v>0.16633565919999999</x:v>
      </x:c>
      <x:c r="H1128" s="60" t="n">
        <x:v>0.16633565919999999</x:v>
      </x:c>
      <x:c r="I1128" s="62" t="n">
        <x:v>0</x:v>
      </x:c>
      <x:c r="J1128" s="64" t="n">
        <x:v>1</x:v>
      </x:c>
      <x:c r="K1128" s="62" t="n">
        <x:v>313.14369925812804</x:v>
      </x:c>
      <x:c r="L1128" s="60" t="n">
        <x:v>52.08696364042728</x:v>
      </x:c>
      <x:c r="M1128" s="62" t="n">
        <x:v>3.494881544672413</x:v>
      </x:c>
      <x:c r="N1128" s="62" t="n">
        <x:v>312.52268343953415</x:v>
      </x:c>
      <x:c r="O1128" s="60" t="n">
        <x:v>51.98366656486783</x:v>
      </x:c>
      <x:c r="P1128" s="60" t="n">
        <x:v>0.10329707555944623</x:v>
      </x:c>
      <x:c r="Q1128" s="62" t="n">
        <x:v>1.0019871063813968</x:v>
      </x:c>
      <x:c r="R1128" s="64" t="n">
        <x:v>0.0019871063813966822</x:v>
      </x:c>
    </x:row>
    <x:row r="1129" ht="18" customHeight="1">
      <x:c r="A1129" s="46" t="str">
        <x:v>LME_011</x:v>
      </x:c>
      <x:c r="B1129" s="46" t="str">
        <x:v>Pacific Central-American Coastal</x:v>
      </x:c>
      <x:c r="C1129" s="46" t="str">
        <x:v>functional</x:v>
      </x:c>
      <x:c r="D1129" s="46" t="str">
        <x:v>Small to medium flatfishes (&lt;90 cm)</x:v>
      </x:c>
      <x:c r="E1129" s="66" t="n">
        <x:v>10</x:v>
      </x:c>
      <x:c r="F1129" s="66" t="n">
        <x:v>10</x:v>
      </x:c>
      <x:c r="G1129" s="60" t="n">
        <x:v>20574.1526550974</x:v>
      </x:c>
      <x:c r="H1129" s="60" t="n">
        <x:v>20574.1526550974</x:v>
      </x:c>
      <x:c r="I1129" s="62" t="n">
        <x:v>0</x:v>
      </x:c>
      <x:c r="J1129" s="64" t="n">
        <x:v>1</x:v>
      </x:c>
      <x:c r="K1129" s="62" t="n">
        <x:v>786.3196931975451</x:v>
      </x:c>
      <x:c r="L1129" s="60" t="n">
        <x:v>16177861.403555647</x:v>
      </x:c>
      <x:c r="M1129" s="62" t="n">
        <x:v>3.7913005328144256</x:v>
      </x:c>
      <x:c r="N1129" s="62" t="n">
        <x:v>618.4442169652925</x:v>
      </x:c>
      <x:c r="O1129" s="60" t="n">
        <x:v>12723965.728506107</x:v>
      </x:c>
      <x:c r="P1129" s="60" t="n">
        <x:v>3453895.6750495397</x:v>
      </x:c>
      <x:c r="Q1129" s="62" t="n">
        <x:v>1.27144804919677</x:v>
      </x:c>
      <x:c r="R1129" s="64" t="n">
        <x:v>0.2714480491967699</x:v>
      </x:c>
    </x:row>
    <x:row r="1130" ht="18" customHeight="1">
      <x:c r="A1130" s="46" t="str">
        <x:v>LME_011</x:v>
      </x:c>
      <x:c r="B1130" s="46" t="str">
        <x:v>Pacific Central-American Coastal</x:v>
      </x:c>
      <x:c r="C1130" s="46" t="str">
        <x:v>functional</x:v>
      </x:c>
      <x:c r="D1130" s="46" t="str">
        <x:v>Small to medium rays (&lt;90 cm)</x:v>
      </x:c>
      <x:c r="E1130" s="66" t="n">
        <x:v>1</x:v>
      </x:c>
      <x:c r="F1130" s="66" t="n">
        <x:v>1</x:v>
      </x:c>
      <x:c r="G1130" s="60" t="n">
        <x:v>8.0586803357</x:v>
      </x:c>
      <x:c r="H1130" s="60" t="n">
        <x:v>8.0586803357</x:v>
      </x:c>
      <x:c r="I1130" s="62" t="n">
        <x:v>0</x:v>
      </x:c>
      <x:c r="J1130" s="64" t="n">
        <x:v>1</x:v>
      </x:c>
      <x:c r="K1130" s="62" t="n">
        <x:v>363.0780547701014</x:v>
      </x:c>
      <x:c r="L1130" s="60" t="n">
        <x:v>2925.929980300024</x:v>
      </x:c>
      <x:c r="M1130" s="62" t="n">
        <x:v>3.56</x:v>
      </x:c>
      <x:c r="N1130" s="62" t="n">
        <x:v>363.0780547701014</x:v>
      </x:c>
      <x:c r="O1130" s="60" t="n">
        <x:v>2925.929980300024</x:v>
      </x:c>
      <x:c r="P1130" s="60" t="n">
        <x:v>0</x:v>
      </x:c>
      <x:c r="Q1130" s="62" t="n">
        <x:v>1</x:v>
      </x:c>
      <x:c r="R1130" s="64" t="n">
        <x:v>0</x:v>
      </x:c>
    </x:row>
    <x:row r="1131" ht="18" customHeight="1">
      <x:c r="A1131" s="46" t="str">
        <x:v>LME_011</x:v>
      </x:c>
      <x:c r="B1131" s="46" t="str">
        <x:v>Pacific Central-American Coastal</x:v>
      </x:c>
      <x:c r="C1131" s="46" t="str">
        <x:v>functional</x:v>
      </x:c>
      <x:c r="D1131" s="46" t="str">
        <x:v>Small to medium sharks (&lt;90 cm)</x:v>
      </x:c>
      <x:c r="E1131" s="66" t="n">
        <x:v>2</x:v>
      </x:c>
      <x:c r="F1131" s="66" t="n">
        <x:v>2</x:v>
      </x:c>
      <x:c r="G1131" s="60" t="n">
        <x:v>20.5462070249</x:v>
      </x:c>
      <x:c r="H1131" s="60" t="n">
        <x:v>20.5462070249</x:v>
      </x:c>
      <x:c r="I1131" s="62" t="n">
        <x:v>0</x:v>
      </x:c>
      <x:c r="J1131" s="64" t="n">
        <x:v>1</x:v>
      </x:c>
      <x:c r="K1131" s="62" t="n">
        <x:v>411.70483385796126</x:v>
      </x:c>
      <x:c r="L1131" s="60" t="n">
        <x:v>8458.972749597731</x:v>
      </x:c>
      <x:c r="M1131" s="62" t="n">
        <x:v>3.6143499675366693</x:v>
      </x:c>
      <x:c r="N1131" s="62" t="n">
        <x:v>411.4811714262099</x:v>
      </x:c>
      <x:c r="O1131" s="60" t="n">
        <x:v>8454.377334971276</x:v>
      </x:c>
      <x:c r="P1131" s="60" t="n">
        <x:v>4.595414626455749</x:v>
      </x:c>
      <x:c r="Q1131" s="62" t="n">
        <x:v>1.0005435544741357</x:v>
      </x:c>
      <x:c r="R1131" s="64" t="n">
        <x:v>0.0005435544741357778</x:v>
      </x:c>
    </x:row>
    <x:row r="1132" ht="18" customHeight="1">
      <x:c r="A1132" s="46" t="str">
        <x:v>LME_012</x:v>
      </x:c>
      <x:c r="B1132" s="46" t="str">
        <x:v>Caribbean Sea</x:v>
      </x:c>
      <x:c r="C1132" s="46" t="str">
        <x:v>functional</x:v>
      </x:c>
      <x:c r="D1132" s="46" t="str">
        <x:v>Cephalopods</x:v>
      </x:c>
      <x:c r="E1132" s="66" t="n">
        <x:v>11</x:v>
      </x:c>
      <x:c r="F1132" s="66" t="n">
        <x:v>11</x:v>
      </x:c>
      <x:c r="G1132" s="60" t="n">
        <x:v>4477.9872574560995</x:v>
      </x:c>
      <x:c r="H1132" s="60" t="n">
        <x:v>4477.9872574560995</x:v>
      </x:c>
      <x:c r="I1132" s="62" t="n">
        <x:v>0</x:v>
      </x:c>
      <x:c r="J1132" s="64" t="n">
        <x:v>1</x:v>
      </x:c>
      <x:c r="K1132" s="62" t="n">
        <x:v>457.5530799171482</x:v>
      </x:c>
      <x:c r="L1132" s="60" t="n">
        <x:v>2048916.861478782</x:v>
      </x:c>
      <x:c r="M1132" s="62" t="n">
        <x:v>3.6363251800702017</x:v>
      </x:c>
      <x:c r="N1132" s="62" t="n">
        <x:v>432.8377991055428</x:v>
      </x:c>
      <x:c r="O1132" s="60" t="n">
        <x:v>1938242.1489399637</x:v>
      </x:c>
      <x:c r="P1132" s="60" t="n">
        <x:v>110674.71253881836</x:v>
      </x:c>
      <x:c r="Q1132" s="62" t="n">
        <x:v>1.0571005602160426</x:v>
      </x:c>
      <x:c r="R1132" s="64" t="n">
        <x:v>0.05710056021604268</x:v>
      </x:c>
    </x:row>
    <x:row r="1133" ht="18" customHeight="1">
      <x:c r="A1133" s="46" t="str">
        <x:v>LME_012</x:v>
      </x:c>
      <x:c r="B1133" s="46" t="str">
        <x:v>Caribbean Sea</x:v>
      </x:c>
      <x:c r="C1133" s="46" t="str">
        <x:v>functional</x:v>
      </x:c>
      <x:c r="D1133" s="46" t="str">
        <x:v>Jellyfish</x:v>
      </x:c>
      <x:c r="E1133" s="66" t="n">
        <x:v>4</x:v>
      </x:c>
      <x:c r="F1133" s="66" t="n">
        <x:v>4</x:v>
      </x:c>
      <x:c r="G1133" s="60" t="n">
        <x:v>4203.2244360552</x:v>
      </x:c>
      <x:c r="H1133" s="60" t="n">
        <x:v>4203.2244360552</x:v>
      </x:c>
      <x:c r="I1133" s="62" t="n">
        <x:v>0</x:v>
      </x:c>
      <x:c r="J1133" s="64" t="n">
        <x:v>1</x:v>
      </x:c>
      <x:c r="K1133" s="62" t="n">
        <x:v>285.60394533118966</x:v>
      </x:c>
      <x:c r="L1133" s="60" t="n">
        <x:v>1200457.48204983</x:v>
      </x:c>
      <x:c r="M1133" s="62" t="n">
        <x:v>3.45517565519029</x:v>
      </x:c>
      <x:c r="N1133" s="62" t="n">
        <x:v>285.2171626496688</x:v>
      </x:c>
      <x:c r="O1133" s="60" t="n">
        <x:v>1198831.7476314185</x:v>
      </x:c>
      <x:c r="P1133" s="60" t="n">
        <x:v>1625.7344184115063</x:v>
      </x:c>
      <x:c r="Q1133" s="62" t="n">
        <x:v>1.0013560989034729</x:v>
      </x:c>
      <x:c r="R1133" s="64" t="n">
        <x:v>0.0013560989034729328</x:v>
      </x:c>
    </x:row>
    <x:row r="1134" ht="18" customHeight="1">
      <x:c r="A1134" s="46" t="str">
        <x:v>LME_012</x:v>
      </x:c>
      <x:c r="B1134" s="46" t="str">
        <x:v>Caribbean Sea</x:v>
      </x:c>
      <x:c r="C1134" s="46" t="str">
        <x:v>functional</x:v>
      </x:c>
      <x:c r="D1134" s="46" t="str">
        <x:v>Large bathydemersals (&gt;=90 cm)</x:v>
      </x:c>
      <x:c r="E1134" s="66" t="n">
        <x:v>2</x:v>
      </x:c>
      <x:c r="F1134" s="66" t="n">
        <x:v>2</x:v>
      </x:c>
      <x:c r="G1134" s="60" t="n">
        <x:v>639.3276778385999</x:v>
      </x:c>
      <x:c r="H1134" s="60" t="n">
        <x:v>639.3276778385999</x:v>
      </x:c>
      <x:c r="I1134" s="62" t="n">
        <x:v>0</x:v>
      </x:c>
      <x:c r="J1134" s="64" t="n">
        <x:v>1</x:v>
      </x:c>
      <x:c r="K1134" s="62" t="n">
        <x:v>791.2641437252673</x:v>
      </x:c>
      <x:c r="L1134" s="60" t="n">
        <x:v>505877.0675648233</x:v>
      </x:c>
      <x:c r="M1134" s="62" t="n">
        <x:v>3.7583015500891</x:v>
      </x:c>
      <x:c r="N1134" s="62" t="n">
        <x:v>573.1938870056429</x:v>
      </x:c>
      <x:c r="O1134" s="60" t="n">
        <x:v>366458.7167305985</x:v>
      </x:c>
      <x:c r="P1134" s="60" t="n">
        <x:v>139418.35083422484</x:v>
      </x:c>
      <x:c r="Q1134" s="62" t="n">
        <x:v>1.3804476315314884</x:v>
      </x:c>
      <x:c r="R1134" s="64" t="n">
        <x:v>0.3804476315314885</x:v>
      </x:c>
    </x:row>
    <x:row r="1135" ht="18" customHeight="1">
      <x:c r="A1135" s="46" t="str">
        <x:v>LME_012</x:v>
      </x:c>
      <x:c r="B1135" s="46" t="str">
        <x:v>Caribbean Sea</x:v>
      </x:c>
      <x:c r="C1135" s="46" t="str">
        <x:v>functional</x:v>
      </x:c>
      <x:c r="D1135" s="46" t="str">
        <x:v>Large bathypelagics (&gt;=90 cm)</x:v>
      </x:c>
      <x:c r="E1135" s="66" t="n">
        <x:v>1</x:v>
      </x:c>
      <x:c r="F1135" s="66" t="n">
        <x:v>1</x:v>
      </x:c>
      <x:c r="G1135" s="60" t="n">
        <x:v>9.0055413643</x:v>
      </x:c>
      <x:c r="H1135" s="60" t="n">
        <x:v>9.0055413643</x:v>
      </x:c>
      <x:c r="I1135" s="62" t="n">
        <x:v>0</x:v>
      </x:c>
      <x:c r="J1135" s="64" t="n">
        <x:v>1</x:v>
      </x:c>
      <x:c r="K1135" s="62" t="n">
        <x:v>2187.761623949552</x:v>
      </x:c>
      <x:c r="L1135" s="60" t="n">
        <x:v>19701.977799705834</x:v>
      </x:c>
      <x:c r="M1135" s="62" t="n">
        <x:v>4.34</x:v>
      </x:c>
      <x:c r="N1135" s="62" t="n">
        <x:v>2187.761623949552</x:v>
      </x:c>
      <x:c r="O1135" s="60" t="n">
        <x:v>19701.977799705834</x:v>
      </x:c>
      <x:c r="P1135" s="60" t="n">
        <x:v>0</x:v>
      </x:c>
      <x:c r="Q1135" s="62" t="n">
        <x:v>1</x:v>
      </x:c>
      <x:c r="R1135" s="64" t="n">
        <x:v>0</x:v>
      </x:c>
    </x:row>
    <x:row r="1136" ht="18" customHeight="1">
      <x:c r="A1136" s="46" t="str">
        <x:v>LME_012</x:v>
      </x:c>
      <x:c r="B1136" s="46" t="str">
        <x:v>Caribbean Sea</x:v>
      </x:c>
      <x:c r="C1136" s="46" t="str">
        <x:v>functional</x:v>
      </x:c>
      <x:c r="D1136" s="46" t="str">
        <x:v>Large benthopelagics (&gt;=90 cm)</x:v>
      </x:c>
      <x:c r="E1136" s="66" t="n">
        <x:v>11</x:v>
      </x:c>
      <x:c r="F1136" s="66" t="n">
        <x:v>11</x:v>
      </x:c>
      <x:c r="G1136" s="60" t="n">
        <x:v>11773.2147231586</x:v>
      </x:c>
      <x:c r="H1136" s="60" t="n">
        <x:v>11773.2147231586</x:v>
      </x:c>
      <x:c r="I1136" s="62" t="n">
        <x:v>0</x:v>
      </x:c>
      <x:c r="J1136" s="64" t="n">
        <x:v>1</x:v>
      </x:c>
      <x:c r="K1136" s="62" t="n">
        <x:v>2291.288113419442</x:v>
      </x:c>
      <x:c r="L1136" s="60" t="n">
        <x:v>26975826.95190807</x:v>
      </x:c>
      <x:c r="M1136" s="62" t="n">
        <x:v>4.257927821864189</x:v>
      </x:c>
      <x:c r="N1136" s="62" t="n">
        <x:v>1811.0390796132829</x:v>
      </x:c>
      <x:c r="O1136" s="60" t="n">
        <x:v>21321751.956318703</x:v>
      </x:c>
      <x:c r="P1136" s="60" t="n">
        <x:v>5654074.995589368</x:v>
      </x:c>
      <x:c r="Q1136" s="62" t="n">
        <x:v>1.2651787248614803</x:v>
      </x:c>
      <x:c r="R1136" s="64" t="n">
        <x:v>0.26517872486148036</x:v>
      </x:c>
    </x:row>
    <x:row r="1137" ht="18" customHeight="1">
      <x:c r="A1137" s="46" t="str">
        <x:v>LME_012</x:v>
      </x:c>
      <x:c r="B1137" s="46" t="str">
        <x:v>Caribbean Sea</x:v>
      </x:c>
      <x:c r="C1137" s="46" t="str">
        <x:v>functional</x:v>
      </x:c>
      <x:c r="D1137" s="46" t="str">
        <x:v>Large demersals (&gt;=90 cm)</x:v>
      </x:c>
      <x:c r="E1137" s="66" t="n">
        <x:v>16</x:v>
      </x:c>
      <x:c r="F1137" s="66" t="n">
        <x:v>16</x:v>
      </x:c>
      <x:c r="G1137" s="60" t="n">
        <x:v>3441.4951984229</x:v>
      </x:c>
      <x:c r="H1137" s="60" t="n">
        <x:v>3441.4951984229</x:v>
      </x:c>
      <x:c r="I1137" s="62" t="n">
        <x:v>0</x:v>
      </x:c>
      <x:c r="J1137" s="64" t="n">
        <x:v>1</x:v>
      </x:c>
      <x:c r="K1137" s="62" t="n">
        <x:v>1074.071003312323</x:v>
      </x:c>
      <x:c r="L1137" s="60" t="n">
        <x:v>3696410.2006646264</x:v>
      </x:c>
      <x:c r="M1137" s="62" t="n">
        <x:v>4.025213862636227</x:v>
      </x:c>
      <x:c r="N1137" s="62" t="n">
        <x:v>1059.775469269711</x:v>
      </x:c>
      <x:c r="O1137" s="60" t="n">
        <x:v>3647212.188898086</x:v>
      </x:c>
      <x:c r="P1137" s="60" t="n">
        <x:v>49198.01176654035</x:v>
      </x:c>
      <x:c r="Q1137" s="62" t="n">
        <x:v>1.0134892101743618</x:v>
      </x:c>
      <x:c r="R1137" s="64" t="n">
        <x:v>0.013489210174361778</x:v>
      </x:c>
    </x:row>
    <x:row r="1138" ht="18" customHeight="1">
      <x:c r="A1138" s="46" t="str">
        <x:v>LME_012</x:v>
      </x:c>
      <x:c r="B1138" s="46" t="str">
        <x:v>Caribbean Sea</x:v>
      </x:c>
      <x:c r="C1138" s="46" t="str">
        <x:v>functional</x:v>
      </x:c>
      <x:c r="D1138" s="46" t="str">
        <x:v>Large pelagics (&gt;=90 cm)</x:v>
      </x:c>
      <x:c r="E1138" s="66" t="n">
        <x:v>36</x:v>
      </x:c>
      <x:c r="F1138" s="66" t="n">
        <x:v>36</x:v>
      </x:c>
      <x:c r="G1138" s="60" t="n">
        <x:v>41553.14948624139</x:v>
      </x:c>
      <x:c r="H1138" s="60" t="n">
        <x:v>41553.14948624139</x:v>
      </x:c>
      <x:c r="I1138" s="62" t="n">
        <x:v>0</x:v>
      </x:c>
      <x:c r="J1138" s="64" t="n">
        <x:v>1</x:v>
      </x:c>
      <x:c r="K1138" s="62" t="n">
        <x:v>2526.325578334685</x:v>
      </x:c>
      <x:c r="L1138" s="60" t="n">
        <x:v>104976784.4074564</x:v>
      </x:c>
      <x:c r="M1138" s="62" t="n">
        <x:v>4.377230619691275</x:v>
      </x:c>
      <x:c r="N1138" s="62" t="n">
        <x:v>2383.584868076516</x:v>
      </x:c>
      <x:c r="O1138" s="60" t="n">
        <x:v>99045458.33632644</x:v>
      </x:c>
      <x:c r="P1138" s="60" t="n">
        <x:v>5931326.071129963</x:v>
      </x:c>
      <x:c r="Q1138" s="62" t="n">
        <x:v>1.0598848869070714</x:v>
      </x:c>
      <x:c r="R1138" s="64" t="n">
        <x:v>0.05988488690707142</x:v>
      </x:c>
    </x:row>
    <x:row r="1139" ht="18" customHeight="1">
      <x:c r="A1139" s="46" t="str">
        <x:v>LME_012</x:v>
      </x:c>
      <x:c r="B1139" s="46" t="str">
        <x:v>Caribbean Sea</x:v>
      </x:c>
      <x:c r="C1139" s="46" t="str">
        <x:v>functional</x:v>
      </x:c>
      <x:c r="D1139" s="46" t="str">
        <x:v>Large rays (&gt;=90 cm)</x:v>
      </x:c>
      <x:c r="E1139" s="66" t="n">
        <x:v>11</x:v>
      </x:c>
      <x:c r="F1139" s="66" t="n">
        <x:v>11</x:v>
      </x:c>
      <x:c r="G1139" s="60" t="n">
        <x:v>11924.366342411098</x:v>
      </x:c>
      <x:c r="H1139" s="60" t="n">
        <x:v>11924.366342411098</x:v>
      </x:c>
      <x:c r="I1139" s="62" t="n">
        <x:v>0</x:v>
      </x:c>
      <x:c r="J1139" s="64" t="n">
        <x:v>1</x:v>
      </x:c>
      <x:c r="K1139" s="62" t="n">
        <x:v>487.6022726318891</x:v>
      </x:c>
      <x:c r="L1139" s="60" t="n">
        <x:v>5814348.128254859</x:v>
      </x:c>
      <x:c r="M1139" s="62" t="n">
        <x:v>3.670448542597901</x:v>
      </x:c>
      <x:c r="N1139" s="62" t="n">
        <x:v>468.2184711993147</x:v>
      </x:c>
      <x:c r="O1139" s="60" t="n">
        <x:v>5583208.5788642885</x:v>
      </x:c>
      <x:c r="P1139" s="60" t="n">
        <x:v>231139.54939057026</x:v>
      </x:c>
      <x:c r="Q1139" s="62" t="n">
        <x:v>1.0413990532729815</x:v>
      </x:c>
      <x:c r="R1139" s="64" t="n">
        <x:v>0.041399053272981545</x:v>
      </x:c>
    </x:row>
    <x:row r="1140" ht="18" customHeight="1">
      <x:c r="A1140" s="46" t="str">
        <x:v>LME_012</x:v>
      </x:c>
      <x:c r="B1140" s="46" t="str">
        <x:v>Caribbean Sea</x:v>
      </x:c>
      <x:c r="C1140" s="46" t="str">
        <x:v>functional</x:v>
      </x:c>
      <x:c r="D1140" s="46" t="str">
        <x:v>Large reef assoc. fish (&gt;=90 cm)</x:v>
      </x:c>
      <x:c r="E1140" s="66" t="n">
        <x:v>29</x:v>
      </x:c>
      <x:c r="F1140" s="66" t="n">
        <x:v>29</x:v>
      </x:c>
      <x:c r="G1140" s="60" t="n">
        <x:v>15020.612387018</x:v>
      </x:c>
      <x:c r="H1140" s="60" t="n">
        <x:v>15020.612387018</x:v>
      </x:c>
      <x:c r="I1140" s="62" t="n">
        <x:v>0</x:v>
      </x:c>
      <x:c r="J1140" s="64" t="n">
        <x:v>1</x:v>
      </x:c>
      <x:c r="K1140" s="62" t="n">
        <x:v>710.3208866479506</x:v>
      </x:c>
      <x:c r="L1140" s="60" t="n">
        <x:v>10669454.708741816</x:v>
      </x:c>
      <x:c r="M1140" s="62" t="n">
        <x:v>3.7291954109833316</x:v>
      </x:c>
      <x:c r="N1140" s="62" t="n">
        <x:v>536.0377936885315</x:v>
      </x:c>
      <x:c r="O1140" s="60" t="n">
        <x:v>8051615.923787755</x:v>
      </x:c>
      <x:c r="P1140" s="60" t="n">
        <x:v>2617838.784954061</x:v>
      </x:c>
      <x:c r="Q1140" s="62" t="n">
        <x:v>1.3251320989144426</x:v>
      </x:c>
      <x:c r="R1140" s="64" t="n">
        <x:v>0.3251320989144425</x:v>
      </x:c>
    </x:row>
    <x:row r="1141" ht="18" customHeight="1">
      <x:c r="A1141" s="46" t="str">
        <x:v>LME_012</x:v>
      </x:c>
      <x:c r="B1141" s="46" t="str">
        <x:v>Caribbean Sea</x:v>
      </x:c>
      <x:c r="C1141" s="46" t="str">
        <x:v>functional</x:v>
      </x:c>
      <x:c r="D1141" s="46" t="str">
        <x:v>Large sharks (&gt;=90 cm)</x:v>
      </x:c>
      <x:c r="E1141" s="66" t="n">
        <x:v>33</x:v>
      </x:c>
      <x:c r="F1141" s="66" t="n">
        <x:v>33</x:v>
      </x:c>
      <x:c r="G1141" s="60" t="n">
        <x:v>10968.525852209099</x:v>
      </x:c>
      <x:c r="H1141" s="60" t="n">
        <x:v>10968.525852209099</x:v>
      </x:c>
      <x:c r="I1141" s="62" t="n">
        <x:v>0</x:v>
      </x:c>
      <x:c r="J1141" s="64" t="n">
        <x:v>1</x:v>
      </x:c>
      <x:c r="K1141" s="62" t="n">
        <x:v>1561.3397026139505</x:v>
      </x:c>
      <x:c r="L1141" s="60" t="n">
        <x:v>17125594.892201584</x:v>
      </x:c>
      <x:c r="M1141" s="62" t="n">
        <x:v>4.177610532508236</x:v>
      </x:c>
      <x:c r="N1141" s="62" t="n">
        <x:v>1505.2565736665588</x:v>
      </x:c>
      <x:c r="O1141" s="60" t="n">
        <x:v>16510445.64246934</x:v>
      </x:c>
      <x:c r="P1141" s="60" t="n">
        <x:v>615149.2497322448</x:v>
      </x:c>
      <x:c r="Q1141" s="62" t="n">
        <x:v>1.0372581856997194</x:v>
      </x:c>
      <x:c r="R1141" s="64" t="n">
        <x:v>0.03725818569971935</x:v>
      </x:c>
    </x:row>
    <x:row r="1142" ht="18" customHeight="1">
      <x:c r="A1142" s="46" t="str">
        <x:v>LME_012</x:v>
      </x:c>
      <x:c r="B1142" s="46" t="str">
        <x:v>Caribbean Sea</x:v>
      </x:c>
      <x:c r="C1142" s="46" t="str">
        <x:v>functional</x:v>
      </x:c>
      <x:c r="D1142" s="46" t="str">
        <x:v>Lobsters, crabs</x:v>
      </x:c>
      <x:c r="E1142" s="66" t="n">
        <x:v>27</x:v>
      </x:c>
      <x:c r="F1142" s="66" t="n">
        <x:v>27</x:v>
      </x:c>
      <x:c r="G1142" s="60" t="n">
        <x:v>48571.9896267277</x:v>
      </x:c>
      <x:c r="H1142" s="60" t="n">
        <x:v>48571.9896267277</x:v>
      </x:c>
      <x:c r="I1142" s="62" t="n">
        <x:v>0</x:v>
      </x:c>
      <x:c r="J1142" s="64" t="n">
        <x:v>1</x:v>
      </x:c>
      <x:c r="K1142" s="62" t="n">
        <x:v>263.2371396482844</x:v>
      </x:c>
      <x:c r="L1142" s="60" t="n">
        <x:v>12785951.616365941</x:v>
      </x:c>
      <x:c r="M1142" s="62" t="n">
        <x:v>3.3109710229183023</x:v>
      </x:c>
      <x:c r="N1142" s="62" t="n">
        <x:v>204.6308097998924</x:v>
      </x:c>
      <x:c r="O1142" s="60" t="n">
        <x:v>9939325.570909264</x:v>
      </x:c>
      <x:c r="P1142" s="60" t="n">
        <x:v>2846626.0454566777</x:v>
      </x:c>
      <x:c r="Q1142" s="62" t="n">
        <x:v>1.2864003221494498</x:v>
      </x:c>
      <x:c r="R1142" s="64" t="n">
        <x:v>0.2864003221494499</x:v>
      </x:c>
    </x:row>
    <x:row r="1143" ht="18" customHeight="1">
      <x:c r="A1143" s="46" t="str">
        <x:v>LME_012</x:v>
      </x:c>
      <x:c r="B1143" s="46" t="str">
        <x:v>Caribbean Sea</x:v>
      </x:c>
      <x:c r="C1143" s="46" t="str">
        <x:v>functional</x:v>
      </x:c>
      <x:c r="D1143" s="46" t="str">
        <x:v>Medium bathydemersals (30 - 89 cm)</x:v>
      </x:c>
      <x:c r="E1143" s="66" t="n">
        <x:v>4</x:v>
      </x:c>
      <x:c r="F1143" s="66" t="n">
        <x:v>4</x:v>
      </x:c>
      <x:c r="G1143" s="60" t="n">
        <x:v>163.95572299799997</x:v>
      </x:c>
      <x:c r="H1143" s="60" t="n">
        <x:v>163.95572299799997</x:v>
      </x:c>
      <x:c r="I1143" s="62" t="n">
        <x:v>0</x:v>
      </x:c>
      <x:c r="J1143" s="64" t="n">
        <x:v>1</x:v>
      </x:c>
      <x:c r="K1143" s="62" t="n">
        <x:v>1929.8844786189359</x:v>
      </x:c>
      <x:c r="L1143" s="60" t="n">
        <x:v>316415.60499458585</x:v>
      </x:c>
      <x:c r="M1143" s="62" t="n">
        <x:v>4.26740861029453</x:v>
      </x:c>
      <x:c r="N1143" s="62" t="n">
        <x:v>1851.0093405602738</x:v>
      </x:c>
      <x:c r="O1143" s="60" t="n">
        <x:v>303483.5747076108</x:v>
      </x:c>
      <x:c r="P1143" s="60" t="n">
        <x:v>12932.03028697503</x:v>
      </x:c>
      <x:c r="Q1143" s="62" t="n">
        <x:v>1.042611961123215</x:v>
      </x:c>
      <x:c r="R1143" s="64" t="n">
        <x:v>0.04261196112321501</x:v>
      </x:c>
    </x:row>
    <x:row r="1144" ht="18" customHeight="1">
      <x:c r="A1144" s="46" t="str">
        <x:v>LME_012</x:v>
      </x:c>
      <x:c r="B1144" s="46" t="str">
        <x:v>Caribbean Sea</x:v>
      </x:c>
      <x:c r="C1144" s="46" t="str">
        <x:v>functional</x:v>
      </x:c>
      <x:c r="D1144" s="46" t="str">
        <x:v>Medium benthopelagics (30 - 89 cm)</x:v>
      </x:c>
      <x:c r="E1144" s="66" t="n">
        <x:v>15</x:v>
      </x:c>
      <x:c r="F1144" s="66" t="n">
        <x:v>15</x:v>
      </x:c>
      <x:c r="G1144" s="60" t="n">
        <x:v>10684.113235533601</x:v>
      </x:c>
      <x:c r="H1144" s="60" t="n">
        <x:v>10684.113235533601</x:v>
      </x:c>
      <x:c r="I1144" s="62" t="n">
        <x:v>0</x:v>
      </x:c>
      <x:c r="J1144" s="64" t="n">
        <x:v>1</x:v>
      </x:c>
      <x:c r="K1144" s="62" t="n">
        <x:v>859.5563657329163</x:v>
      </x:c>
      <x:c r="L1144" s="60" t="n">
        <x:v>9183597.543814212</x:v>
      </x:c>
      <x:c r="M1144" s="62" t="n">
        <x:v>3.77524888342043</x:v>
      </x:c>
      <x:c r="N1144" s="62" t="n">
        <x:v>596.00360059403</x:v>
      </x:c>
      <x:c r="O1144" s="60" t="n">
        <x:v>6367769.957532358</x:v>
      </x:c>
      <x:c r="P1144" s="60" t="n">
        <x:v>2815827.5862818537</x:v>
      </x:c>
      <x:c r="Q1144" s="62" t="n">
        <x:v>1.4421999546247812</x:v>
      </x:c>
      <x:c r="R1144" s="64" t="n">
        <x:v>0.4421999546247812</x:v>
      </x:c>
    </x:row>
    <x:row r="1145" ht="18" customHeight="1">
      <x:c r="A1145" s="46" t="str">
        <x:v>LME_012</x:v>
      </x:c>
      <x:c r="B1145" s="46" t="str">
        <x:v>Caribbean Sea</x:v>
      </x:c>
      <x:c r="C1145" s="46" t="str">
        <x:v>functional</x:v>
      </x:c>
      <x:c r="D1145" s="46" t="str">
        <x:v>Medium demersals (30 - 89 cm)</x:v>
      </x:c>
      <x:c r="E1145" s="66" t="n">
        <x:v>44</x:v>
      </x:c>
      <x:c r="F1145" s="66" t="n">
        <x:v>44</x:v>
      </x:c>
      <x:c r="G1145" s="60" t="n">
        <x:v>141437.6146310934</x:v>
      </x:c>
      <x:c r="H1145" s="60" t="n">
        <x:v>141437.6146310934</x:v>
      </x:c>
      <x:c r="I1145" s="62" t="n">
        <x:v>0</x:v>
      </x:c>
      <x:c r="J1145" s="64" t="n">
        <x:v>1</x:v>
      </x:c>
      <x:c r="K1145" s="62" t="n">
        <x:v>348.9055516649571</x:v>
      </x:c>
      <x:c r="L1145" s="60" t="n">
        <x:v>49348368.95903725</x:v>
      </x:c>
      <x:c r="M1145" s="62" t="n">
        <x:v>3.353409931573789</x:v>
      </x:c>
      <x:c r="N1145" s="62" t="n">
        <x:v>225.63679983243685</x:v>
      </x:c>
      <x:c r="O1145" s="60" t="n">
        <x:v>31913530.741293363</x:v>
      </x:c>
      <x:c r="P1145" s="60" t="n">
        <x:v>17434838.21774389</x:v>
      </x:c>
      <x:c r="Q1145" s="62" t="n">
        <x:v>1.5463149270157284</x:v>
      </x:c>
      <x:c r="R1145" s="64" t="n">
        <x:v>0.5463149270157284</x:v>
      </x:c>
    </x:row>
    <x:row r="1146" ht="18" customHeight="1">
      <x:c r="A1146" s="46" t="str">
        <x:v>LME_012</x:v>
      </x:c>
      <x:c r="B1146" s="46" t="str">
        <x:v>Caribbean Sea</x:v>
      </x:c>
      <x:c r="C1146" s="46" t="str">
        <x:v>functional</x:v>
      </x:c>
      <x:c r="D1146" s="46" t="str">
        <x:v>Medium pelagics (30 - 89 cm)</x:v>
      </x:c>
      <x:c r="E1146" s="66" t="n">
        <x:v>22</x:v>
      </x:c>
      <x:c r="F1146" s="66" t="n">
        <x:v>22</x:v>
      </x:c>
      <x:c r="G1146" s="60" t="n">
        <x:v>32358.604155239296</x:v>
      </x:c>
      <x:c r="H1146" s="60" t="n">
        <x:v>32358.604155239296</x:v>
      </x:c>
      <x:c r="I1146" s="62" t="n">
        <x:v>0</x:v>
      </x:c>
      <x:c r="J1146" s="64" t="n">
        <x:v>1</x:v>
      </x:c>
      <x:c r="K1146" s="62" t="n">
        <x:v>984.3165294463807</x:v>
      </x:c>
      <x:c r="L1146" s="60" t="n">
        <x:v>31851108.939814378</x:v>
      </x:c>
      <x:c r="M1146" s="62" t="n">
        <x:v>3.82498704372722</x:v>
      </x:c>
      <x:c r="N1146" s="62" t="n">
        <x:v>668.3239792150238</x:v>
      </x:c>
      <x:c r="O1146" s="60" t="n">
        <x:v>21626031.09087333</x:v>
      </x:c>
      <x:c r="P1146" s="60" t="n">
        <x:v>10225077.848941047</x:v>
      </x:c>
      <x:c r="Q1146" s="62" t="n">
        <x:v>1.4728134259113435</x:v>
      </x:c>
      <x:c r="R1146" s="64" t="n">
        <x:v>0.4728134259113434</x:v>
      </x:c>
    </x:row>
    <x:row r="1147" ht="18" customHeight="1">
      <x:c r="A1147" s="46" t="str">
        <x:v>LME_012</x:v>
      </x:c>
      <x:c r="B1147" s="46" t="str">
        <x:v>Caribbean Sea</x:v>
      </x:c>
      <x:c r="C1147" s="46" t="str">
        <x:v>functional</x:v>
      </x:c>
      <x:c r="D1147" s="46" t="str">
        <x:v>Medium reef assoc. fish (30 - 89 cm)</x:v>
      </x:c>
      <x:c r="E1147" s="66" t="n">
        <x:v>82</x:v>
      </x:c>
      <x:c r="F1147" s="66" t="n">
        <x:v>82</x:v>
      </x:c>
      <x:c r="G1147" s="60" t="n">
        <x:v>72235.1517058158</x:v>
      </x:c>
      <x:c r="H1147" s="60" t="n">
        <x:v>72235.1517058158</x:v>
      </x:c>
      <x:c r="I1147" s="62" t="n">
        <x:v>0</x:v>
      </x:c>
      <x:c r="J1147" s="64" t="n">
        <x:v>1</x:v>
      </x:c>
      <x:c r="K1147" s="62" t="n">
        <x:v>1086.6220659294527</x:v>
      </x:c>
      <x:c r="L1147" s="60" t="n">
        <x:v>78492309.779301</x:v>
      </x:c>
      <x:c r="M1147" s="62" t="n">
        <x:v>3.8810312380658245</x:v>
      </x:c>
      <x:c r="N1147" s="62" t="n">
        <x:v>760.3809678871921</x:v>
      </x:c>
      <x:c r="O1147" s="60" t="n">
        <x:v>54926234.56954638</x:v>
      </x:c>
      <x:c r="P1147" s="60" t="n">
        <x:v>23566075.209754623</x:v>
      </x:c>
      <x:c r="Q1147" s="62" t="n">
        <x:v>1.4290495315115</x:v>
      </x:c>
      <x:c r="R1147" s="64" t="n">
        <x:v>0.4290495315114999</x:v>
      </x:c>
    </x:row>
    <x:row r="1148" ht="18" customHeight="1">
      <x:c r="A1148" s="46" t="str">
        <x:v>LME_012</x:v>
      </x:c>
      <x:c r="B1148" s="46" t="str">
        <x:v>Caribbean Sea</x:v>
      </x:c>
      <x:c r="C1148" s="46" t="str">
        <x:v>functional</x:v>
      </x:c>
      <x:c r="D1148" s="46" t="str">
        <x:v>Other demersal invertebrates</x:v>
      </x:c>
      <x:c r="E1148" s="66" t="n">
        <x:v>55</x:v>
      </x:c>
      <x:c r="F1148" s="66" t="n">
        <x:v>55</x:v>
      </x:c>
      <x:c r="G1148" s="60" t="n">
        <x:v>69505.1369812113</x:v>
      </x:c>
      <x:c r="H1148" s="60" t="n">
        <x:v>69505.1369812113</x:v>
      </x:c>
      <x:c r="I1148" s="62" t="n">
        <x:v>0</x:v>
      </x:c>
      <x:c r="J1148" s="64" t="n">
        <x:v>1</x:v>
      </x:c>
      <x:c r="K1148" s="62" t="n">
        <x:v>13.272035650996726</x:v>
      </x:c>
      <x:c r="L1148" s="60" t="n">
        <x:v>922474.6559420472</x:v>
      </x:c>
      <x:c r="M1148" s="62" t="n">
        <x:v>2.0916251237224253</x:v>
      </x:c>
      <x:c r="N1148" s="62" t="n">
        <x:v>12.348810430540265</x:v>
      </x:c>
      <x:c r="O1148" s="60" t="n">
        <x:v>858305.760529712</x:v>
      </x:c>
      <x:c r="P1148" s="60" t="n">
        <x:v>64168.89541233529</x:v>
      </x:c>
      <x:c r="Q1148" s="62" t="n">
        <x:v>1.0747622797879544</x:v>
      </x:c>
      <x:c r="R1148" s="64" t="n">
        <x:v>0.07476227978795437</x:v>
      </x:c>
    </x:row>
    <x:row r="1149" ht="18" customHeight="1">
      <x:c r="A1149" s="46" t="str">
        <x:v>LME_012</x:v>
      </x:c>
      <x:c r="B1149" s="46" t="str">
        <x:v>Caribbean Sea</x:v>
      </x:c>
      <x:c r="C1149" s="46" t="str">
        <x:v>functional</x:v>
      </x:c>
      <x:c r="D1149" s="46" t="str">
        <x:v>Shrimps</x:v>
      </x:c>
      <x:c r="E1149" s="66" t="n">
        <x:v>17</x:v>
      </x:c>
      <x:c r="F1149" s="66" t="n">
        <x:v>17</x:v>
      </x:c>
      <x:c r="G1149" s="60" t="n">
        <x:v>11857.485199198602</x:v>
      </x:c>
      <x:c r="H1149" s="60" t="n">
        <x:v>11857.485199198602</x:v>
      </x:c>
      <x:c r="I1149" s="62" t="n">
        <x:v>0</x:v>
      </x:c>
      <x:c r="J1149" s="64" t="n">
        <x:v>1</x:v>
      </x:c>
      <x:c r="K1149" s="62" t="n">
        <x:v>81.04495677366829</x:v>
      </x:c>
      <x:c r="L1149" s="60" t="n">
        <x:v>960989.3754134622</x:v>
      </x:c>
      <x:c r="M1149" s="62" t="n">
        <x:v>2.8095204251769483</x:v>
      </x:c>
      <x:c r="N1149" s="62" t="n">
        <x:v>64.49416512172992</x:v>
      </x:c>
      <x:c r="O1149" s="60" t="n">
        <x:v>764738.6083655832</x:v>
      </x:c>
      <x:c r="P1149" s="60" t="n">
        <x:v>196250.76704787894</x:v>
      </x:c>
      <x:c r="Q1149" s="62" t="n">
        <x:v>1.2566246360535014</x:v>
      </x:c>
      <x:c r="R1149" s="64" t="n">
        <x:v>0.2566246360535014</x:v>
      </x:c>
    </x:row>
    <x:row r="1150" ht="18" customHeight="1">
      <x:c r="A1150" s="46" t="str">
        <x:v>LME_012</x:v>
      </x:c>
      <x:c r="B1150" s="46" t="str">
        <x:v>Caribbean Sea</x:v>
      </x:c>
      <x:c r="C1150" s="46" t="str">
        <x:v>functional</x:v>
      </x:c>
      <x:c r="D1150" s="46" t="str">
        <x:v>Small benthopelagics (&lt;30 cm)</x:v>
      </x:c>
      <x:c r="E1150" s="66" t="n">
        <x:v>5</x:v>
      </x:c>
      <x:c r="F1150" s="66" t="n">
        <x:v>5</x:v>
      </x:c>
      <x:c r="G1150" s="60" t="n">
        <x:v>3172.4059182854</x:v>
      </x:c>
      <x:c r="H1150" s="60" t="n">
        <x:v>3172.4059182854</x:v>
      </x:c>
      <x:c r="I1150" s="62" t="n">
        <x:v>0</x:v>
      </x:c>
      <x:c r="J1150" s="64" t="n">
        <x:v>1</x:v>
      </x:c>
      <x:c r="K1150" s="62" t="n">
        <x:v>113.55643423570626</x:v>
      </x:c>
      <x:c r="L1150" s="60" t="n">
        <x:v>360247.10402874136</x:v>
      </x:c>
      <x:c r="M1150" s="62" t="n">
        <x:v>3.0370091224659137</x:v>
      </x:c>
      <x:c r="N1150" s="62" t="n">
        <x:v>108.89529668268895</x:v>
      </x:c>
      <x:c r="O1150" s="60" t="n">
        <x:v>345460.0836696069</x:v>
      </x:c>
      <x:c r="P1150" s="60" t="n">
        <x:v>14787.020359134476</x:v>
      </x:c>
      <x:c r="Q1150" s="62" t="n">
        <x:v>1.0428038464011853</x:v>
      </x:c>
      <x:c r="R1150" s="64" t="n">
        <x:v>0.0428038464011853</x:v>
      </x:c>
    </x:row>
    <x:row r="1151" ht="18" customHeight="1">
      <x:c r="A1151" s="46" t="str">
        <x:v>LME_012</x:v>
      </x:c>
      <x:c r="B1151" s="46" t="str">
        <x:v>Caribbean Sea</x:v>
      </x:c>
      <x:c r="C1151" s="46" t="str">
        <x:v>functional</x:v>
      </x:c>
      <x:c r="D1151" s="46" t="str">
        <x:v>Small demersals (&lt;30 cm)</x:v>
      </x:c>
      <x:c r="E1151" s="66" t="n">
        <x:v>6</x:v>
      </x:c>
      <x:c r="F1151" s="66" t="n">
        <x:v>6</x:v>
      </x:c>
      <x:c r="G1151" s="60" t="n">
        <x:v>121.3638170169</x:v>
      </x:c>
      <x:c r="H1151" s="60" t="n">
        <x:v>121.3638170169</x:v>
      </x:c>
      <x:c r="I1151" s="62" t="n">
        <x:v>0</x:v>
      </x:c>
      <x:c r="J1151" s="64" t="n">
        <x:v>1</x:v>
      </x:c>
      <x:c r="K1151" s="62" t="n">
        <x:v>418.46956142280953</x:v>
      </x:c>
      <x:c r="L1151" s="60" t="n">
        <x:v>50787.06327966025</x:v>
      </x:c>
      <x:c r="M1151" s="62" t="n">
        <x:v>3.6128334327205622</x:v>
      </x:c>
      <x:c r="N1151" s="62" t="n">
        <x:v>410.04680538523013</x:v>
      </x:c>
      <x:c r="O1151" s="60" t="n">
        <x:v>49764.845457137475</x:v>
      </x:c>
      <x:c r="P1151" s="60" t="n">
        <x:v>1022.2178225227763</x:v>
      </x:c>
      <x:c r="Q1151" s="62" t="n">
        <x:v>1.0205409624632154</x:v>
      </x:c>
      <x:c r="R1151" s="64" t="n">
        <x:v>0.0205409624632154</x:v>
      </x:c>
    </x:row>
    <x:row r="1152" ht="18" customHeight="1">
      <x:c r="A1152" s="46" t="str">
        <x:v>LME_012</x:v>
      </x:c>
      <x:c r="B1152" s="46" t="str">
        <x:v>Caribbean Sea</x:v>
      </x:c>
      <x:c r="C1152" s="46" t="str">
        <x:v>functional</x:v>
      </x:c>
      <x:c r="D1152" s="46" t="str">
        <x:v>Small pelagics (&lt;30 cm)</x:v>
      </x:c>
      <x:c r="E1152" s="66" t="n">
        <x:v>13</x:v>
      </x:c>
      <x:c r="F1152" s="66" t="n">
        <x:v>13</x:v>
      </x:c>
      <x:c r="G1152" s="60" t="n">
        <x:v>123271.8966384046</x:v>
      </x:c>
      <x:c r="H1152" s="60" t="n">
        <x:v>123271.8966384046</x:v>
      </x:c>
      <x:c r="I1152" s="62" t="n">
        <x:v>0</x:v>
      </x:c>
      <x:c r="J1152" s="64" t="n">
        <x:v>1</x:v>
      </x:c>
      <x:c r="K1152" s="62" t="n">
        <x:v>308.01207321695966</x:v>
      </x:c>
      <x:c r="L1152" s="60" t="n">
        <x:v>37969232.45298176</x:v>
      </x:c>
      <x:c r="M1152" s="62" t="n">
        <x:v>3.411036151332193</x:v>
      </x:c>
      <x:c r="N1152" s="62" t="n">
        <x:v>257.6535622814191</x:v>
      </x:c>
      <x:c r="O1152" s="60" t="n">
        <x:v>31761443.298071843</x:v>
      </x:c>
      <x:c r="P1152" s="60" t="n">
        <x:v>6207789.15490992</x:v>
      </x:c>
      <x:c r="Q1152" s="62" t="n">
        <x:v>1.1954504742322833</x:v>
      </x:c>
      <x:c r="R1152" s="64" t="n">
        <x:v>0.19545047423228337</x:v>
      </x:c>
    </x:row>
    <x:row r="1153" ht="18" customHeight="1">
      <x:c r="A1153" s="46" t="str">
        <x:v>LME_012</x:v>
      </x:c>
      <x:c r="B1153" s="46" t="str">
        <x:v>Caribbean Sea</x:v>
      </x:c>
      <x:c r="C1153" s="46" t="str">
        <x:v>functional</x:v>
      </x:c>
      <x:c r="D1153" s="46" t="str">
        <x:v>Small reef assoc. fish (&lt;30 cm)</x:v>
      </x:c>
      <x:c r="E1153" s="66" t="n">
        <x:v>58</x:v>
      </x:c>
      <x:c r="F1153" s="66" t="n">
        <x:v>58</x:v>
      </x:c>
      <x:c r="G1153" s="60" t="n">
        <x:v>8126.201275137801</x:v>
      </x:c>
      <x:c r="H1153" s="60" t="n">
        <x:v>8126.201275137801</x:v>
      </x:c>
      <x:c r="I1153" s="62" t="n">
        <x:v>0</x:v>
      </x:c>
      <x:c r="J1153" s="64" t="n">
        <x:v>1</x:v>
      </x:c>
      <x:c r="K1153" s="62" t="n">
        <x:v>385.386364313892</x:v>
      </x:c>
      <x:c r="L1153" s="60" t="n">
        <x:v>3131727.16510827</x:v>
      </x:c>
      <x:c r="M1153" s="62" t="n">
        <x:v>3.324190020733796</x:v>
      </x:c>
      <x:c r="N1153" s="62" t="n">
        <x:v>210.9550958661136</x:v>
      </x:c>
      <x:c r="O1153" s="60" t="n">
        <x:v>1714263.5690240292</x:v>
      </x:c>
      <x:c r="P1153" s="60" t="n">
        <x:v>1417463.5960842408</x:v>
      </x:c>
      <x:c r="Q1153" s="62" t="n">
        <x:v>1.8268644458747008</x:v>
      </x:c>
      <x:c r="R1153" s="64" t="n">
        <x:v>0.8268644458747008</x:v>
      </x:c>
    </x:row>
    <x:row r="1154" ht="18" customHeight="1">
      <x:c r="A1154" s="46" t="str">
        <x:v>LME_012</x:v>
      </x:c>
      <x:c r="B1154" s="46" t="str">
        <x:v>Caribbean Sea</x:v>
      </x:c>
      <x:c r="C1154" s="46" t="str">
        <x:v>functional</x:v>
      </x:c>
      <x:c r="D1154" s="46" t="str">
        <x:v>Small to medium flatfishes (&lt;90 cm)</x:v>
      </x:c>
      <x:c r="E1154" s="66" t="n">
        <x:v>3</x:v>
      </x:c>
      <x:c r="F1154" s="66" t="n">
        <x:v>3</x:v>
      </x:c>
      <x:c r="G1154" s="60" t="n">
        <x:v>190.2980075253</x:v>
      </x:c>
      <x:c r="H1154" s="60" t="n">
        <x:v>190.2980075253</x:v>
      </x:c>
      <x:c r="I1154" s="62" t="n">
        <x:v>0</x:v>
      </x:c>
      <x:c r="J1154" s="64" t="n">
        <x:v>1</x:v>
      </x:c>
      <x:c r="K1154" s="62" t="n">
        <x:v>276.7480012475941</x:v>
      </x:c>
      <x:c r="L1154" s="60" t="n">
        <x:v>52664.5932240264</x:v>
      </x:c>
      <x:c r="M1154" s="62" t="n">
        <x:v>3.4089926358439953</x:v>
      </x:c>
      <x:c r="N1154" s="62" t="n">
        <x:v>256.44405519670505</x:v>
      </x:c>
      <x:c r="O1154" s="60" t="n">
        <x:v>48800.792745641025</x:v>
      </x:c>
      <x:c r="P1154" s="60" t="n">
        <x:v>3863.8004783853758</x:v>
      </x:c>
      <x:c r="Q1154" s="62" t="n">
        <x:v>1.079174953130869</x:v>
      </x:c>
      <x:c r="R1154" s="64" t="n">
        <x:v>0.0791749531308689</x:v>
      </x:c>
    </x:row>
    <x:row r="1155" ht="18" customHeight="1">
      <x:c r="A1155" s="46" t="str">
        <x:v>LME_012</x:v>
      </x:c>
      <x:c r="B1155" s="46" t="str">
        <x:v>Caribbean Sea</x:v>
      </x:c>
      <x:c r="C1155" s="46" t="str">
        <x:v>functional</x:v>
      </x:c>
      <x:c r="D1155" s="46" t="str">
        <x:v>Small to medium rays (&lt;90 cm)</x:v>
      </x:c>
      <x:c r="E1155" s="66" t="n">
        <x:v>2</x:v>
      </x:c>
      <x:c r="F1155" s="66" t="n">
        <x:v>2</x:v>
      </x:c>
      <x:c r="G1155" s="60" t="n">
        <x:v>0.8374037904</x:v>
      </x:c>
      <x:c r="H1155" s="60" t="n">
        <x:v>0.8374037904</x:v>
      </x:c>
      <x:c r="I1155" s="62" t="n">
        <x:v>0</x:v>
      </x:c>
      <x:c r="J1155" s="64" t="n">
        <x:v>1</x:v>
      </x:c>
      <x:c r="K1155" s="62" t="n">
        <x:v>363.06699103164925</x:v>
      </x:c>
      <x:c r="L1155" s="60" t="n">
        <x:v>304.0336744590259</x:v>
      </x:c>
      <x:c r="M1155" s="62" t="n">
        <x:v>3.5599866132048503</x:v>
      </x:c>
      <x:c r="N1155" s="62" t="n">
        <x:v>363.0668633393188</x:v>
      </x:c>
      <x:c r="O1155" s="60" t="n">
        <x:v>304.03356752898435</x:v>
      </x:c>
      <x:c r="P1155" s="60" t="n">
        <x:v>0.00010693004156792085</x:v>
      </x:c>
      <x:c r="Q1155" s="62" t="n">
        <x:v>1.0000003517047227</x:v>
      </x:c>
      <x:c r="R1155" s="64" t="n">
        <x:v>3.517047227284432e-7</x:v>
      </x:c>
    </x:row>
    <x:row r="1156" ht="18" customHeight="1">
      <x:c r="A1156" s="46" t="str">
        <x:v>LME_013</x:v>
      </x:c>
      <x:c r="B1156" s="46" t="str">
        <x:v>Humboldt Current</x:v>
      </x:c>
      <x:c r="C1156" s="46" t="str">
        <x:v>functional</x:v>
      </x:c>
      <x:c r="D1156" s="46" t="str">
        <x:v>Cephalopods</x:v>
      </x:c>
      <x:c r="E1156" s="66" t="n">
        <x:v>3</x:v>
      </x:c>
      <x:c r="F1156" s="66" t="n">
        <x:v>3</x:v>
      </x:c>
      <x:c r="G1156" s="60" t="n">
        <x:v>772235.6888825401</x:v>
      </x:c>
      <x:c r="H1156" s="60" t="n">
        <x:v>772235.6888825401</x:v>
      </x:c>
      <x:c r="I1156" s="62" t="n">
        <x:v>0</x:v>
      </x:c>
      <x:c r="J1156" s="64" t="n">
        <x:v>1</x:v>
      </x:c>
      <x:c r="K1156" s="62" t="n">
        <x:v>1361.2191217032794</x:v>
      </x:c>
      <x:c r="L1156" s="60" t="n">
        <x:v>1051181986.1686181</x:v>
      </x:c>
      <x:c r="M1156" s="62" t="n">
        <x:v>4.125498863940818</x:v>
      </x:c>
      <x:c r="N1156" s="62" t="n">
        <x:v>1335.0540972259207</x:v>
      </x:c>
      <x:c r="O1156" s="60" t="n">
        <x:v>1030976420.4667165</x:v>
      </x:c>
      <x:c r="P1156" s="60" t="n">
        <x:v>20205565.701901555</x:v>
      </x:c>
      <x:c r="Q1156" s="62" t="n">
        <x:v>1.0195984750967968</x:v>
      </x:c>
      <x:c r="R1156" s="64" t="n">
        <x:v>0.019598475096796707</x:v>
      </x:c>
    </x:row>
    <x:row r="1157" ht="18" customHeight="1">
      <x:c r="A1157" s="46" t="str">
        <x:v>LME_013</x:v>
      </x:c>
      <x:c r="B1157" s="46" t="str">
        <x:v>Humboldt Current</x:v>
      </x:c>
      <x:c r="C1157" s="46" t="str">
        <x:v>functional</x:v>
      </x:c>
      <x:c r="D1157" s="46" t="str">
        <x:v>Large bathydemersals (&gt;=90 cm)</x:v>
      </x:c>
      <x:c r="E1157" s="66" t="n">
        <x:v>3</x:v>
      </x:c>
      <x:c r="F1157" s="66" t="n">
        <x:v>3</x:v>
      </x:c>
      <x:c r="G1157" s="60" t="n">
        <x:v>3430.7812618647004</x:v>
      </x:c>
      <x:c r="H1157" s="60" t="n">
        <x:v>3430.7812618647004</x:v>
      </x:c>
      <x:c r="I1157" s="62" t="n">
        <x:v>0</x:v>
      </x:c>
      <x:c r="J1157" s="64" t="n">
        <x:v>1</x:v>
      </x:c>
      <x:c r="K1157" s="62" t="n">
        <x:v>1266.10478139547</x:v>
      </x:c>
      <x:c r="L1157" s="60" t="n">
        <x:v>4343728.559568881</x:v>
      </x:c>
      <x:c r="M1157" s="62" t="n">
        <x:v>4.084900556308515</x:v>
      </x:c>
      <x:c r="N1157" s="62" t="n">
        <x:v>1215.907553221804</x:v>
      </x:c>
      <x:c r="O1157" s="60" t="n">
        <x:v>4171512.849753121</x:v>
      </x:c>
      <x:c r="P1157" s="60" t="n">
        <x:v>172215.70981576014</x:v>
      </x:c>
      <x:c r="Q1157" s="62" t="n">
        <x:v>1.0412837538846254</x:v>
      </x:c>
      <x:c r="R1157" s="64" t="n">
        <x:v>0.04128375388462539</x:v>
      </x:c>
    </x:row>
    <x:row r="1158" ht="18" customHeight="1">
      <x:c r="A1158" s="46" t="str">
        <x:v>LME_013</x:v>
      </x:c>
      <x:c r="B1158" s="46" t="str">
        <x:v>Humboldt Current</x:v>
      </x:c>
      <x:c r="C1158" s="46" t="str">
        <x:v>functional</x:v>
      </x:c>
      <x:c r="D1158" s="46" t="str">
        <x:v>Large bathypelagics (&gt;=90 cm)</x:v>
      </x:c>
      <x:c r="E1158" s="66" t="n">
        <x:v>2</x:v>
      </x:c>
      <x:c r="F1158" s="66" t="n">
        <x:v>2</x:v>
      </x:c>
      <x:c r="G1158" s="60" t="n">
        <x:v>88.63360555339999</x:v>
      </x:c>
      <x:c r="H1158" s="60" t="n">
        <x:v>88.63360555339999</x:v>
      </x:c>
      <x:c r="I1158" s="62" t="n">
        <x:v>0</x:v>
      </x:c>
      <x:c r="J1158" s="64" t="n">
        <x:v>1</x:v>
      </x:c>
      <x:c r="K1158" s="62" t="n">
        <x:v>1661.7723969401518</x:v>
      </x:c>
      <x:c r="L1158" s="60" t="n">
        <x:v>147288.87914992144</x:v>
      </x:c>
      <x:c r="M1158" s="62" t="n">
        <x:v>4.22049653785407</x:v>
      </x:c>
      <x:c r="N1158" s="62" t="n">
        <x:v>1661.485432542055</x:v>
      </x:c>
      <x:c r="O1158" s="60" t="n">
        <x:v>147263.44446065265</x:v>
      </x:c>
      <x:c r="P1158" s="60" t="n">
        <x:v>25.434689268789953</x:v>
      </x:c>
      <x:c r="Q1158" s="62" t="n">
        <x:v>1.000172715566731</x:v>
      </x:c>
      <x:c r="R1158" s="64" t="n">
        <x:v>0.00017271556673106238</x:v>
      </x:c>
    </x:row>
    <x:row r="1159" ht="18" customHeight="1">
      <x:c r="A1159" s="46" t="str">
        <x:v>LME_013</x:v>
      </x:c>
      <x:c r="B1159" s="46" t="str">
        <x:v>Humboldt Current</x:v>
      </x:c>
      <x:c r="C1159" s="46" t="str">
        <x:v>functional</x:v>
      </x:c>
      <x:c r="D1159" s="46" t="str">
        <x:v>Large benthopelagics (&gt;=90 cm)</x:v>
      </x:c>
      <x:c r="E1159" s="66" t="n">
        <x:v>9</x:v>
      </x:c>
      <x:c r="F1159" s="66" t="n">
        <x:v>9</x:v>
      </x:c>
      <x:c r="G1159" s="60" t="n">
        <x:v>47013.6653487684</x:v>
      </x:c>
      <x:c r="H1159" s="60" t="n">
        <x:v>47013.6653487684</x:v>
      </x:c>
      <x:c r="I1159" s="62" t="n">
        <x:v>0</x:v>
      </x:c>
      <x:c r="J1159" s="64" t="n">
        <x:v>1</x:v>
      </x:c>
      <x:c r="K1159" s="62" t="n">
        <x:v>620.6153856614063</x:v>
      </x:c>
      <x:c r="L1159" s="60" t="n">
        <x:v>29177404.0517822</x:v>
      </x:c>
      <x:c r="M1159" s="62" t="n">
        <x:v>2.779723186894632</x:v>
      </x:c>
      <x:c r="N1159" s="62" t="n">
        <x:v>60.21756455648391</x:v>
      </x:c>
      <x:c r="O1159" s="60" t="n">
        <x:v>2831048.428176392</x:v>
      </x:c>
      <x:c r="P1159" s="60" t="n">
        <x:v>26346355.623605806</x:v>
      </x:c>
      <x:c r="Q1159" s="62" t="n">
        <x:v>10.30621862960384</x:v>
      </x:c>
      <x:c r="R1159" s="64" t="n">
        <x:v>9.30621862960384</x:v>
      </x:c>
    </x:row>
    <x:row r="1160" ht="18" customHeight="1">
      <x:c r="A1160" s="46" t="str">
        <x:v>LME_013</x:v>
      </x:c>
      <x:c r="B1160" s="46" t="str">
        <x:v>Humboldt Current</x:v>
      </x:c>
      <x:c r="C1160" s="46" t="str">
        <x:v>functional</x:v>
      </x:c>
      <x:c r="D1160" s="46" t="str">
        <x:v>Large pelagics (&gt;=90 cm)</x:v>
      </x:c>
      <x:c r="E1160" s="66" t="n">
        <x:v>17</x:v>
      </x:c>
      <x:c r="F1160" s="66" t="n">
        <x:v>17</x:v>
      </x:c>
      <x:c r="G1160" s="60" t="n">
        <x:v>134005.7971244533</x:v>
      </x:c>
      <x:c r="H1160" s="60" t="n">
        <x:v>134005.7971244533</x:v>
      </x:c>
      <x:c r="I1160" s="62" t="n">
        <x:v>0</x:v>
      </x:c>
      <x:c r="J1160" s="64" t="n">
        <x:v>1</x:v>
      </x:c>
      <x:c r="K1160" s="62" t="n">
        <x:v>2661.522197331598</x:v>
      </x:c>
      <x:c r="L1160" s="60" t="n">
        <x:v>356659403.61784726</x:v>
      </x:c>
      <x:c r="M1160" s="62" t="n">
        <x:v>4.422191197710235</x:v>
      </x:c>
      <x:c r="N1160" s="62" t="n">
        <x:v>2643.5723312404125</x:v>
      </x:c>
      <x:c r="O1160" s="60" t="n">
        <x:v>354254017.50402075</x:v>
      </x:c>
      <x:c r="P1160" s="60" t="n">
        <x:v>2405386.1138265133</x:v>
      </x:c>
      <x:c r="Q1160" s="62" t="n">
        <x:v>1.0067900037684094</x:v>
      </x:c>
      <x:c r="R1160" s="64" t="n">
        <x:v>0.006790003768409521</x:v>
      </x:c>
    </x:row>
    <x:row r="1161" ht="18" customHeight="1">
      <x:c r="A1161" s="46" t="str">
        <x:v>LME_013</x:v>
      </x:c>
      <x:c r="B1161" s="46" t="str">
        <x:v>Humboldt Current</x:v>
      </x:c>
      <x:c r="C1161" s="46" t="str">
        <x:v>functional</x:v>
      </x:c>
      <x:c r="D1161" s="46" t="str">
        <x:v>Large rays (&gt;=90 cm)</x:v>
      </x:c>
      <x:c r="E1161" s="66" t="n">
        <x:v>5</x:v>
      </x:c>
      <x:c r="F1161" s="66" t="n">
        <x:v>5</x:v>
      </x:c>
      <x:c r="G1161" s="60" t="n">
        <x:v>2407.6701515243003</x:v>
      </x:c>
      <x:c r="H1161" s="60" t="n">
        <x:v>2407.6701515243003</x:v>
      </x:c>
      <x:c r="I1161" s="62" t="n">
        <x:v>0</x:v>
      </x:c>
      <x:c r="J1161" s="64" t="n">
        <x:v>1</x:v>
      </x:c>
      <x:c r="K1161" s="62" t="n">
        <x:v>520.2562454772122</x:v>
      </x:c>
      <x:c r="L1161" s="60" t="n">
        <x:v>1252605.4333795833</x:v>
      </x:c>
      <x:c r="M1161" s="62" t="n">
        <x:v>3.703443792770811</x:v>
      </x:c>
      <x:c r="N1161" s="62" t="n">
        <x:v>505.17725969414874</x:v>
      </x:c>
      <x:c r="O1161" s="60" t="n">
        <x:v>1216300.209394442</x:v>
      </x:c>
      <x:c r="P1161" s="60" t="n">
        <x:v>36305.223985141376</x:v>
      </x:c>
      <x:c r="Q1161" s="62" t="n">
        <x:v>1.0298489005466969</x:v>
      </x:c>
      <x:c r="R1161" s="64" t="n">
        <x:v>0.029848900546696953</x:v>
      </x:c>
    </x:row>
    <x:row r="1162" ht="18" customHeight="1">
      <x:c r="A1162" s="46" t="str">
        <x:v>LME_013</x:v>
      </x:c>
      <x:c r="B1162" s="46" t="str">
        <x:v>Humboldt Current</x:v>
      </x:c>
      <x:c r="C1162" s="46" t="str">
        <x:v>functional</x:v>
      </x:c>
      <x:c r="D1162" s="46" t="str">
        <x:v>Large reef assoc. fish (&gt;=90 cm)</x:v>
      </x:c>
      <x:c r="E1162" s="66" t="n">
        <x:v>1</x:v>
      </x:c>
      <x:c r="F1162" s="66" t="n">
        <x:v>1</x:v>
      </x:c>
      <x:c r="G1162" s="60" t="n">
        <x:v>0.9583645265</x:v>
      </x:c>
      <x:c r="H1162" s="60" t="n">
        <x:v>0.9583645265</x:v>
      </x:c>
      <x:c r="I1162" s="62" t="n">
        <x:v>0</x:v>
      </x:c>
      <x:c r="J1162" s="64" t="n">
        <x:v>1</x:v>
      </x:c>
      <x:c r="K1162" s="62" t="n">
        <x:v>144.5439770745928</x:v>
      </x:c>
      <x:c r="L1162" s="60" t="n">
        <x:v>138.52582014751897</x:v>
      </x:c>
      <x:c r="M1162" s="62" t="n">
        <x:v>3.16</x:v>
      </x:c>
      <x:c r="N1162" s="62" t="n">
        <x:v>144.5439770745928</x:v>
      </x:c>
      <x:c r="O1162" s="60" t="n">
        <x:v>138.52582014751897</x:v>
      </x:c>
      <x:c r="P1162" s="60" t="n">
        <x:v>0</x:v>
      </x:c>
      <x:c r="Q1162" s="62" t="n">
        <x:v>1</x:v>
      </x:c>
      <x:c r="R1162" s="64" t="n">
        <x:v>0</x:v>
      </x:c>
    </x:row>
    <x:row r="1163" ht="18" customHeight="1">
      <x:c r="A1163" s="46" t="str">
        <x:v>LME_013</x:v>
      </x:c>
      <x:c r="B1163" s="46" t="str">
        <x:v>Humboldt Current</x:v>
      </x:c>
      <x:c r="C1163" s="46" t="str">
        <x:v>functional</x:v>
      </x:c>
      <x:c r="D1163" s="46" t="str">
        <x:v>Large sharks (&gt;=90 cm)</x:v>
      </x:c>
      <x:c r="E1163" s="66" t="n">
        <x:v>15</x:v>
      </x:c>
      <x:c r="F1163" s="66" t="n">
        <x:v>15</x:v>
      </x:c>
      <x:c r="G1163" s="60" t="n">
        <x:v>21410.421413411106</x:v>
      </x:c>
      <x:c r="H1163" s="60" t="n">
        <x:v>21410.421413411106</x:v>
      </x:c>
      <x:c r="I1163" s="62" t="n">
        <x:v>0</x:v>
      </x:c>
      <x:c r="J1163" s="64" t="n">
        <x:v>1</x:v>
      </x:c>
      <x:c r="K1163" s="62" t="n">
        <x:v>2386.2048965024815</x:v>
      </x:c>
      <x:c r="L1163" s="60" t="n">
        <x:v>51089652.41286316</x:v>
      </x:c>
      <x:c r="M1163" s="62" t="n">
        <x:v>4.2974018531274805</x:v>
      </x:c>
      <x:c r="N1163" s="62" t="n">
        <x:v>1983.3613833205977</x:v>
      </x:c>
      <x:c r="O1163" s="60" t="n">
        <x:v>42464603.03198</x:v>
      </x:c>
      <x:c r="P1163" s="60" t="n">
        <x:v>8625049.380883157</x:v>
      </x:c>
      <x:c r="Q1163" s="62" t="n">
        <x:v>1.2031115038185487</x:v>
      </x:c>
      <x:c r="R1163" s="64" t="n">
        <x:v>0.20311150381854862</x:v>
      </x:c>
    </x:row>
    <x:row r="1164" ht="18" customHeight="1">
      <x:c r="A1164" s="46" t="str">
        <x:v>LME_013</x:v>
      </x:c>
      <x:c r="B1164" s="46" t="str">
        <x:v>Humboldt Current</x:v>
      </x:c>
      <x:c r="C1164" s="46" t="str">
        <x:v>functional</x:v>
      </x:c>
      <x:c r="D1164" s="46" t="str">
        <x:v>Lobsters, crabs</x:v>
      </x:c>
      <x:c r="E1164" s="66" t="n">
        <x:v>14</x:v>
      </x:c>
      <x:c r="F1164" s="66" t="n">
        <x:v>14</x:v>
      </x:c>
      <x:c r="G1164" s="60" t="n">
        <x:v>22642.5299963914</x:v>
      </x:c>
      <x:c r="H1164" s="60" t="n">
        <x:v>22642.5299963914</x:v>
      </x:c>
      <x:c r="I1164" s="62" t="n">
        <x:v>0</x:v>
      </x:c>
      <x:c r="J1164" s="64" t="n">
        <x:v>1</x:v>
      </x:c>
      <x:c r="K1164" s="62" t="n">
        <x:v>104.42760986742633</x:v>
      </x:c>
      <x:c r="L1164" s="60" t="n">
        <x:v>2364505.288874659</x:v>
      </x:c>
      <x:c r="M1164" s="62" t="n">
        <x:v>2.7479539982273633</x:v>
      </x:c>
      <x:c r="N1164" s="62" t="n">
        <x:v>55.969831343300825</x:v>
      </x:c>
      <x:c r="O1164" s="60" t="n">
        <x:v>1267298.5850836565</x:v>
      </x:c>
      <x:c r="P1164" s="60" t="n">
        <x:v>1097206.7037910027</x:v>
      </x:c>
      <x:c r="Q1164" s="62" t="n">
        <x:v>1.86578389394996</x:v>
      </x:c>
      <x:c r="R1164" s="64" t="n">
        <x:v>0.8657838939499599</x:v>
      </x:c>
    </x:row>
    <x:row r="1165" ht="18" customHeight="1">
      <x:c r="A1165" s="46" t="str">
        <x:v>LME_013</x:v>
      </x:c>
      <x:c r="B1165" s="46" t="str">
        <x:v>Humboldt Current</x:v>
      </x:c>
      <x:c r="C1165" s="46" t="str">
        <x:v>functional</x:v>
      </x:c>
      <x:c r="D1165" s="46" t="str">
        <x:v>Medium bathydemersals (30 - 89 cm)</x:v>
      </x:c>
      <x:c r="E1165" s="66" t="n">
        <x:v>2</x:v>
      </x:c>
      <x:c r="F1165" s="66" t="n">
        <x:v>2</x:v>
      </x:c>
      <x:c r="G1165" s="60" t="n">
        <x:v>92289.99909944879</x:v>
      </x:c>
      <x:c r="H1165" s="60" t="n">
        <x:v>92289.99909944879</x:v>
      </x:c>
      <x:c r="I1165" s="62" t="n">
        <x:v>0</x:v>
      </x:c>
      <x:c r="J1165" s="64" t="n">
        <x:v>1</x:v>
      </x:c>
      <x:c r="K1165" s="62" t="n">
        <x:v>2297.7020004748683</x:v>
      </x:c>
      <x:c r="L1165" s="60" t="n">
        <x:v>212054915.5546273</x:v>
      </x:c>
      <x:c r="M1165" s="62" t="n">
        <x:v>4.356679506885347</x:v>
      </x:c>
      <x:c r="N1165" s="62" t="n">
        <x:v>2273.4191131456682</x:v>
      </x:c>
      <x:c r="O1165" s="60" t="n">
        <x:v>209813847.90488338</x:v>
      </x:c>
      <x:c r="P1165" s="60" t="n">
        <x:v>2241067.6497439146</x:v>
      </x:c>
      <x:c r="Q1165" s="62" t="n">
        <x:v>1.0106812189572916</x:v>
      </x:c>
      <x:c r="R1165" s="64" t="n">
        <x:v>0.010681218957291494</x:v>
      </x:c>
    </x:row>
    <x:row r="1166" ht="18" customHeight="1">
      <x:c r="A1166" s="46" t="str">
        <x:v>LME_013</x:v>
      </x:c>
      <x:c r="B1166" s="46" t="str">
        <x:v>Humboldt Current</x:v>
      </x:c>
      <x:c r="C1166" s="46" t="str">
        <x:v>functional</x:v>
      </x:c>
      <x:c r="D1166" s="46" t="str">
        <x:v>Medium bathypelagics (30 - 89 cm)</x:v>
      </x:c>
      <x:c r="E1166" s="66" t="n">
        <x:v>2</x:v>
      </x:c>
      <x:c r="F1166" s="66" t="n">
        <x:v>2</x:v>
      </x:c>
      <x:c r="G1166" s="60" t="n">
        <x:v>111.7859422966</x:v>
      </x:c>
      <x:c r="H1166" s="60" t="n">
        <x:v>111.7859422966</x:v>
      </x:c>
      <x:c r="I1166" s="62" t="n">
        <x:v>0</x:v>
      </x:c>
      <x:c r="J1166" s="64" t="n">
        <x:v>1</x:v>
      </x:c>
      <x:c r="K1166" s="62" t="n">
        <x:v>1079.660295607665</x:v>
      </x:c>
      <x:c r="L1166" s="60" t="n">
        <x:v>120690.84350472853</x:v>
      </x:c>
      <x:c r="M1166" s="62" t="n">
        <x:v>3.99384636997689</x:v>
      </x:c>
      <x:c r="N1166" s="62" t="n">
        <x:v>985.9306547124393</x:v>
      </x:c>
      <x:c r="O1166" s="60" t="n">
        <x:v>110213.18727613379</x:v>
      </x:c>
      <x:c r="P1166" s="60" t="n">
        <x:v>10477.656228594744</x:v>
      </x:c>
      <x:c r="Q1166" s="62" t="n">
        <x:v>1.0950671737887725</x:v>
      </x:c>
      <x:c r="R1166" s="64" t="n">
        <x:v>0.09506717378877252</x:v>
      </x:c>
    </x:row>
    <x:row r="1167" ht="18" customHeight="1">
      <x:c r="A1167" s="46" t="str">
        <x:v>LME_013</x:v>
      </x:c>
      <x:c r="B1167" s="46" t="str">
        <x:v>Humboldt Current</x:v>
      </x:c>
      <x:c r="C1167" s="46" t="str">
        <x:v>functional</x:v>
      </x:c>
      <x:c r="D1167" s="46" t="str">
        <x:v>Medium benthopelagics (30 - 89 cm)</x:v>
      </x:c>
      <x:c r="E1167" s="66" t="n">
        <x:v>5</x:v>
      </x:c>
      <x:c r="F1167" s="66" t="n">
        <x:v>5</x:v>
      </x:c>
      <x:c r="G1167" s="60" t="n">
        <x:v>5947.935259250001</x:v>
      </x:c>
      <x:c r="H1167" s="60" t="n">
        <x:v>5947.935259250001</x:v>
      </x:c>
      <x:c r="I1167" s="62" t="n">
        <x:v>0</x:v>
      </x:c>
      <x:c r="J1167" s="64" t="n">
        <x:v>1</x:v>
      </x:c>
      <x:c r="K1167" s="62" t="n">
        <x:v>741.1211863483297</x:v>
      </x:c>
      <x:c r="L1167" s="60" t="n">
        <x:v>4408140.835658421</x:v>
      </x:c>
      <x:c r="M1167" s="62" t="n">
        <x:v>3.58936558357239</x:v>
      </x:c>
      <x:c r="N1167" s="62" t="n">
        <x:v>388.47724359443305</x:v>
      </x:c>
      <x:c r="O1167" s="60" t="n">
        <x:v>2310637.49459158</x:v>
      </x:c>
      <x:c r="P1167" s="60" t="n">
        <x:v>2097503.341066841</x:v>
      </x:c>
      <x:c r="Q1167" s="62" t="n">
        <x:v>1.9077595884150527</x:v>
      </x:c>
      <x:c r="R1167" s="64" t="n">
        <x:v>0.9077595884150527</x:v>
      </x:c>
    </x:row>
    <x:row r="1168" ht="18" customHeight="1">
      <x:c r="A1168" s="46" t="str">
        <x:v>LME_013</x:v>
      </x:c>
      <x:c r="B1168" s="46" t="str">
        <x:v>Humboldt Current</x:v>
      </x:c>
      <x:c r="C1168" s="46" t="str">
        <x:v>functional</x:v>
      </x:c>
      <x:c r="D1168" s="46" t="str">
        <x:v>Medium demersals (30 - 89 cm)</x:v>
      </x:c>
      <x:c r="E1168" s="66" t="n">
        <x:v>20</x:v>
      </x:c>
      <x:c r="F1168" s="66" t="n">
        <x:v>20</x:v>
      </x:c>
      <x:c r="G1168" s="60" t="n">
        <x:v>205016.99627990994</x:v>
      </x:c>
      <x:c r="H1168" s="60" t="n">
        <x:v>205016.99627990994</x:v>
      </x:c>
      <x:c r="I1168" s="62" t="n">
        <x:v>0</x:v>
      </x:c>
      <x:c r="J1168" s="64" t="n">
        <x:v>1</x:v>
      </x:c>
      <x:c r="K1168" s="62" t="n">
        <x:v>286.50462090501196</x:v>
      </x:c>
      <x:c r="L1168" s="60" t="n">
        <x:v>58738316.79825985</x:v>
      </x:c>
      <x:c r="M1168" s="62" t="n">
        <x:v>3.3641767219502223</x:v>
      </x:c>
      <x:c r="N1168" s="62" t="n">
        <x:v>231.3005800846397</x:v>
      </x:c>
      <x:c r="O1168" s="60" t="n">
        <x:v>47420550.16675359</x:v>
      </x:c>
      <x:c r="P1168" s="60" t="n">
        <x:v>11317766.631506257</x:v>
      </x:c>
      <x:c r="Q1168" s="62" t="n">
        <x:v>1.2386679739418356</x:v>
      </x:c>
      <x:c r="R1168" s="64" t="n">
        <x:v>0.23866797394183567</x:v>
      </x:c>
    </x:row>
    <x:row r="1169" ht="18" customHeight="1">
      <x:c r="A1169" s="46" t="str">
        <x:v>LME_013</x:v>
      </x:c>
      <x:c r="B1169" s="46" t="str">
        <x:v>Humboldt Current</x:v>
      </x:c>
      <x:c r="C1169" s="46" t="str">
        <x:v>functional</x:v>
      </x:c>
      <x:c r="D1169" s="46" t="str">
        <x:v>Medium pelagics (30 - 89 cm)</x:v>
      </x:c>
      <x:c r="E1169" s="66" t="n">
        <x:v>13</x:v>
      </x:c>
      <x:c r="F1169" s="66" t="n">
        <x:v>13</x:v>
      </x:c>
      <x:c r="G1169" s="60" t="n">
        <x:v>906308.6454068447</x:v>
      </x:c>
      <x:c r="H1169" s="60" t="n">
        <x:v>906308.6454068447</x:v>
      </x:c>
      <x:c r="I1169" s="62" t="n">
        <x:v>0</x:v>
      </x:c>
      <x:c r="J1169" s="64" t="n">
        <x:v>1</x:v>
      </x:c>
      <x:c r="K1169" s="62" t="n">
        <x:v>639.7861271731928</x:v>
      </x:c>
      <x:c r="L1169" s="60" t="n">
        <x:v>579843698.2684276</x:v>
      </x:c>
      <x:c r="M1169" s="62" t="n">
        <x:v>3.532918474957145</x:v>
      </x:c>
      <x:c r="N1169" s="62" t="n">
        <x:v>341.128869463211</x:v>
      </x:c>
      <x:c r="O1169" s="60" t="n">
        <x:v>309168043.5923711</x:v>
      </x:c>
      <x:c r="P1169" s="60" t="n">
        <x:v>270675654.6760565</x:v>
      </x:c>
      <x:c r="Q1169" s="62" t="n">
        <x:v>1.8754968706692543</x:v>
      </x:c>
      <x:c r="R1169" s="64" t="n">
        <x:v>0.8754968706692543</x:v>
      </x:c>
    </x:row>
    <x:row r="1170" ht="18" customHeight="1">
      <x:c r="A1170" s="46" t="str">
        <x:v>LME_013</x:v>
      </x:c>
      <x:c r="B1170" s="46" t="str">
        <x:v>Humboldt Current</x:v>
      </x:c>
      <x:c r="C1170" s="46" t="str">
        <x:v>functional</x:v>
      </x:c>
      <x:c r="D1170" s="46" t="str">
        <x:v>Medium reef assoc. fish (30 - 89 cm)</x:v>
      </x:c>
      <x:c r="E1170" s="66" t="n">
        <x:v>6</x:v>
      </x:c>
      <x:c r="F1170" s="66" t="n">
        <x:v>6</x:v>
      </x:c>
      <x:c r="G1170" s="60" t="n">
        <x:v>578.6945306206</x:v>
      </x:c>
      <x:c r="H1170" s="60" t="n">
        <x:v>578.6945306206</x:v>
      </x:c>
      <x:c r="I1170" s="62" t="n">
        <x:v>0</x:v>
      </x:c>
      <x:c r="J1170" s="64" t="n">
        <x:v>1</x:v>
      </x:c>
      <x:c r="K1170" s="62" t="n">
        <x:v>822.9991390454502</x:v>
      </x:c>
      <x:c r="L1170" s="60" t="n">
        <x:v>476265.1004710647</x:v>
      </x:c>
      <x:c r="M1170" s="62" t="n">
        <x:v>3.8989408198833226</x:v>
      </x:c>
      <x:c r="N1170" s="62" t="n">
        <x:v>792.3933458575601</x:v>
      </x:c>
      <x:c r="O1170" s="60" t="n">
        <x:v>458553.69534792745</x:v>
      </x:c>
      <x:c r="P1170" s="60" t="n">
        <x:v>17711.40512313723</x:v>
      </x:c>
      <x:c r="Q1170" s="62" t="n">
        <x:v>1.03862449545783</x:v>
      </x:c>
      <x:c r="R1170" s="64" t="n">
        <x:v>0.038624495457830095</x:v>
      </x:c>
    </x:row>
    <x:row r="1171" ht="18" customHeight="1">
      <x:c r="A1171" s="46" t="str">
        <x:v>LME_013</x:v>
      </x:c>
      <x:c r="B1171" s="46" t="str">
        <x:v>Humboldt Current</x:v>
      </x:c>
      <x:c r="C1171" s="46" t="str">
        <x:v>functional</x:v>
      </x:c>
      <x:c r="D1171" s="46" t="str">
        <x:v>Other demersal invertebrates</x:v>
      </x:c>
      <x:c r="E1171" s="66" t="n">
        <x:v>33</x:v>
      </x:c>
      <x:c r="F1171" s="66" t="n">
        <x:v>33</x:v>
      </x:c>
      <x:c r="G1171" s="60" t="n">
        <x:v>185617.4712506701</x:v>
      </x:c>
      <x:c r="H1171" s="60" t="n">
        <x:v>185617.4712506701</x:v>
      </x:c>
      <x:c r="I1171" s="62" t="n">
        <x:v>0</x:v>
      </x:c>
      <x:c r="J1171" s="64" t="n">
        <x:v>1</x:v>
      </x:c>
      <x:c r="K1171" s="62" t="n">
        <x:v>15.595525798668282</x:v>
      </x:c>
      <x:c r="L1171" s="60" t="n">
        <x:v>2894802.0615733936</x:v>
      </x:c>
      <x:c r="M1171" s="62" t="n">
        <x:v>2.072045160328389</x:v>
      </x:c>
      <x:c r="N1171" s="62" t="n">
        <x:v>11.80443378263556</x:v>
      </x:c>
      <x:c r="O1171" s="60" t="n">
        <x:v>2191109.1482787947</x:v>
      </x:c>
      <x:c r="P1171" s="60" t="n">
        <x:v>703692.9132945989</x:v>
      </x:c>
      <x:c r="Q1171" s="62" t="n">
        <x:v>1.3211583110076366</x:v>
      </x:c>
      <x:c r="R1171" s="64" t="n">
        <x:v>0.3211583110076366</x:v>
      </x:c>
    </x:row>
    <x:row r="1172" ht="18" customHeight="1">
      <x:c r="A1172" s="46" t="str">
        <x:v>LME_013</x:v>
      </x:c>
      <x:c r="B1172" s="46" t="str">
        <x:v>Humboldt Current</x:v>
      </x:c>
      <x:c r="C1172" s="46" t="str">
        <x:v>functional</x:v>
      </x:c>
      <x:c r="D1172" s="46" t="str">
        <x:v>Shrimps</x:v>
      </x:c>
      <x:c r="E1172" s="66" t="n">
        <x:v>7</x:v>
      </x:c>
      <x:c r="F1172" s="66" t="n">
        <x:v>7</x:v>
      </x:c>
      <x:c r="G1172" s="60" t="n">
        <x:v>4233.6996095533</x:v>
      </x:c>
      <x:c r="H1172" s="60" t="n">
        <x:v>4233.6996095533</x:v>
      </x:c>
      <x:c r="I1172" s="62" t="n">
        <x:v>0</x:v>
      </x:c>
      <x:c r="J1172" s="64" t="n">
        <x:v>1</x:v>
      </x:c>
      <x:c r="K1172" s="62" t="n">
        <x:v>45.64777715107516</x:v>
      </x:c>
      <x:c r="L1172" s="60" t="n">
        <x:v>193258.97630148297</x:v>
      </x:c>
      <x:c r="M1172" s="62" t="n">
        <x:v>2.606102861315313</x:v>
      </x:c>
      <x:c r="N1172" s="62" t="n">
        <x:v>40.374100646269156</x:v>
      </x:c>
      <x:c r="O1172" s="60" t="n">
        <x:v>170931.81414217537</x:v>
      </x:c>
      <x:c r="P1172" s="60" t="n">
        <x:v>22327.162159307598</x:v>
      </x:c>
      <x:c r="Q1172" s="62" t="n">
        <x:v>1.1306202843008302</x:v>
      </x:c>
      <x:c r="R1172" s="64" t="n">
        <x:v>0.13062028430083011</x:v>
      </x:c>
    </x:row>
    <x:row r="1173" ht="18" customHeight="1">
      <x:c r="A1173" s="46" t="str">
        <x:v>LME_013</x:v>
      </x:c>
      <x:c r="B1173" s="46" t="str">
        <x:v>Humboldt Current</x:v>
      </x:c>
      <x:c r="C1173" s="46" t="str">
        <x:v>functional</x:v>
      </x:c>
      <x:c r="D1173" s="46" t="str">
        <x:v>Small benthopelagics (&lt;30 cm)</x:v>
      </x:c>
      <x:c r="E1173" s="66" t="n">
        <x:v>1</x:v>
      </x:c>
      <x:c r="F1173" s="66" t="n">
        <x:v>1</x:v>
      </x:c>
      <x:c r="G1173" s="60" t="n">
        <x:v>3079.5185024602</x:v>
      </x:c>
      <x:c r="H1173" s="60" t="n">
        <x:v>3079.5185024602</x:v>
      </x:c>
      <x:c r="I1173" s="62" t="n">
        <x:v>0</x:v>
      </x:c>
      <x:c r="J1173" s="64" t="n">
        <x:v>1</x:v>
      </x:c>
      <x:c r="K1173" s="62" t="n">
        <x:v>389.04514499428046</x:v>
      </x:c>
      <x:c r="L1173" s="60" t="n">
        <x:v>1198071.722302198</x:v>
      </x:c>
      <x:c r="M1173" s="62" t="n">
        <x:v>3.59</x:v>
      </x:c>
      <x:c r="N1173" s="62" t="n">
        <x:v>389.04514499428046</x:v>
      </x:c>
      <x:c r="O1173" s="60" t="n">
        <x:v>1198071.722302198</x:v>
      </x:c>
      <x:c r="P1173" s="60" t="n">
        <x:v>0</x:v>
      </x:c>
      <x:c r="Q1173" s="62" t="n">
        <x:v>1</x:v>
      </x:c>
      <x:c r="R1173" s="64" t="n">
        <x:v>0</x:v>
      </x:c>
    </x:row>
    <x:row r="1174" ht="18" customHeight="1">
      <x:c r="A1174" s="46" t="str">
        <x:v>LME_013</x:v>
      </x:c>
      <x:c r="B1174" s="46" t="str">
        <x:v>Humboldt Current</x:v>
      </x:c>
      <x:c r="C1174" s="46" t="str">
        <x:v>functional</x:v>
      </x:c>
      <x:c r="D1174" s="46" t="str">
        <x:v>Small demersals (&lt;30 cm)</x:v>
      </x:c>
      <x:c r="E1174" s="66" t="n">
        <x:v>4</x:v>
      </x:c>
      <x:c r="F1174" s="66" t="n">
        <x:v>4</x:v>
      </x:c>
      <x:c r="G1174" s="60" t="n">
        <x:v>12061.0102495401</x:v>
      </x:c>
      <x:c r="H1174" s="60" t="n">
        <x:v>12061.0102495401</x:v>
      </x:c>
      <x:c r="I1174" s="62" t="n">
        <x:v>0</x:v>
      </x:c>
      <x:c r="J1174" s="64" t="n">
        <x:v>1</x:v>
      </x:c>
      <x:c r="K1174" s="62" t="n">
        <x:v>66.50001825083464</x:v>
      </x:c>
      <x:c r="L1174" s="60" t="n">
        <x:v>802057.4017179203</x:v>
      </x:c>
      <x:c r="M1174" s="62" t="n">
        <x:v>2.7684558706443907</x:v>
      </x:c>
      <x:c r="N1174" s="62" t="n">
        <x:v>58.67537456048001</x:v>
      </x:c>
      <x:c r="O1174" s="60" t="n">
        <x:v>707684.2939695539</x:v>
      </x:c>
      <x:c r="P1174" s="60" t="n">
        <x:v>94373.10774836643</x:v>
      </x:c>
      <x:c r="Q1174" s="62" t="n">
        <x:v>1.1333548145021097</x:v>
      </x:c>
      <x:c r="R1174" s="64" t="n">
        <x:v>0.13335481450210984</x:v>
      </x:c>
    </x:row>
    <x:row r="1175" ht="18" customHeight="1">
      <x:c r="A1175" s="46" t="str">
        <x:v>LME_013</x:v>
      </x:c>
      <x:c r="B1175" s="46" t="str">
        <x:v>Humboldt Current</x:v>
      </x:c>
      <x:c r="C1175" s="46" t="str">
        <x:v>functional</x:v>
      </x:c>
      <x:c r="D1175" s="46" t="str">
        <x:v>Small pelagics (&lt;30 cm)</x:v>
      </x:c>
      <x:c r="E1175" s="66" t="n">
        <x:v>10</x:v>
      </x:c>
      <x:c r="F1175" s="66" t="n">
        <x:v>10</x:v>
      </x:c>
      <x:c r="G1175" s="60" t="n">
        <x:v>4968218.762643736</x:v>
      </x:c>
      <x:c r="H1175" s="60" t="n">
        <x:v>4968218.762643736</x:v>
      </x:c>
      <x:c r="I1175" s="62" t="n">
        <x:v>0</x:v>
      </x:c>
      <x:c r="J1175" s="64" t="n">
        <x:v>1</x:v>
      </x:c>
      <x:c r="K1175" s="62" t="n">
        <x:v>50.75501672138355</x:v>
      </x:c>
      <x:c r="L1175" s="60" t="n">
        <x:v>252162026.3734743</x:v>
      </x:c>
      <x:c r="M1175" s="62" t="n">
        <x:v>2.6601330639551874</x:v>
      </x:c>
      <x:c r="N1175" s="62" t="n">
        <x:v>45.722825881565804</x:v>
      </x:c>
      <x:c r="O1175" s="60" t="n">
        <x:v>227161001.42588785</x:v>
      </x:c>
      <x:c r="P1175" s="60" t="n">
        <x:v>25001024.947586447</x:v>
      </x:c>
      <x:c r="Q1175" s="62" t="n">
        <x:v>1.110058613893473</x:v>
      </x:c>
      <x:c r="R1175" s="64" t="n">
        <x:v>0.11005861389347293</x:v>
      </x:c>
    </x:row>
    <x:row r="1176" ht="18" customHeight="1">
      <x:c r="A1176" s="46" t="str">
        <x:v>LME_013</x:v>
      </x:c>
      <x:c r="B1176" s="46" t="str">
        <x:v>Humboldt Current</x:v>
      </x:c>
      <x:c r="C1176" s="46" t="str">
        <x:v>functional</x:v>
      </x:c>
      <x:c r="D1176" s="46" t="str">
        <x:v>Small reef assoc. fish (&lt;30 cm)</x:v>
      </x:c>
      <x:c r="E1176" s="66" t="n">
        <x:v>2</x:v>
      </x:c>
      <x:c r="F1176" s="66" t="n">
        <x:v>2</x:v>
      </x:c>
      <x:c r="G1176" s="60" t="n">
        <x:v>2.3318729875</x:v>
      </x:c>
      <x:c r="H1176" s="60" t="n">
        <x:v>2.3318729875</x:v>
      </x:c>
      <x:c r="I1176" s="62" t="n">
        <x:v>0</x:v>
      </x:c>
      <x:c r="J1176" s="64" t="n">
        <x:v>1</x:v>
      </x:c>
      <x:c r="K1176" s="62" t="n">
        <x:v>307.8000646239477</x:v>
      </x:c>
      <x:c r="L1176" s="60" t="n">
        <x:v>717.750656247338</x:v>
      </x:c>
      <x:c r="M1176" s="62" t="n">
        <x:v>3.4860130092930284</x:v>
      </x:c>
      <x:c r="N1176" s="62" t="n">
        <x:v>306.2055156191953</x:v>
      </x:c>
      <x:c r="O1176" s="60" t="n">
        <x:v>714.0323704959109</x:v>
      </x:c>
      <x:c r="P1176" s="60" t="n">
        <x:v>3.7182857514271745</x:v>
      </x:c>
      <x:c r="Q1176" s="62" t="n">
        <x:v>1.0052074470361123</x:v>
      </x:c>
      <x:c r="R1176" s="64" t="n">
        <x:v>0.0052074470361123055</x:v>
      </x:c>
    </x:row>
    <x:row r="1177" ht="18" customHeight="1">
      <x:c r="A1177" s="46" t="str">
        <x:v>LME_013</x:v>
      </x:c>
      <x:c r="B1177" s="46" t="str">
        <x:v>Humboldt Current</x:v>
      </x:c>
      <x:c r="C1177" s="46" t="str">
        <x:v>functional</x:v>
      </x:c>
      <x:c r="D1177" s="46" t="str">
        <x:v>Small to medium flatfishes (&lt;90 cm)</x:v>
      </x:c>
      <x:c r="E1177" s="66" t="n">
        <x:v>6</x:v>
      </x:c>
      <x:c r="F1177" s="66" t="n">
        <x:v>6</x:v>
      </x:c>
      <x:c r="G1177" s="60" t="n">
        <x:v>2102.1049634653</x:v>
      </x:c>
      <x:c r="H1177" s="60" t="n">
        <x:v>2102.1049634653</x:v>
      </x:c>
      <x:c r="I1177" s="62" t="n">
        <x:v>0</x:v>
      </x:c>
      <x:c r="J1177" s="64" t="n">
        <x:v>1</x:v>
      </x:c>
      <x:c r="K1177" s="62" t="n">
        <x:v>516.5369614030293</x:v>
      </x:c>
      <x:c r="L1177" s="60" t="n">
        <x:v>1085814.9103785919</x:v>
      </x:c>
      <x:c r="M1177" s="62" t="n">
        <x:v>3.639823474641467</x:v>
      </x:c>
      <x:c r="N1177" s="62" t="n">
        <x:v>436.33844003549865</x:v>
      </x:c>
      <x:c r="O1177" s="60" t="n">
        <x:v>917229.2005493279</x:v>
      </x:c>
      <x:c r="P1177" s="60" t="n">
        <x:v>168585.70982926397</x:v>
      </x:c>
      <x:c r="Q1177" s="62" t="n">
        <x:v>1.1837988909732684</x:v>
      </x:c>
      <x:c r="R1177" s="64" t="n">
        <x:v>0.18379889097326832</x:v>
      </x:c>
    </x:row>
    <x:row r="1178" ht="18" customHeight="1">
      <x:c r="A1178" s="46" t="str">
        <x:v>LME_013</x:v>
      </x:c>
      <x:c r="B1178" s="46" t="str">
        <x:v>Humboldt Current</x:v>
      </x:c>
      <x:c r="C1178" s="46" t="str">
        <x:v>functional</x:v>
      </x:c>
      <x:c r="D1178" s="46" t="str">
        <x:v>Small to medium rays (&lt;90 cm)</x:v>
      </x:c>
      <x:c r="E1178" s="66" t="n">
        <x:v>3</x:v>
      </x:c>
      <x:c r="F1178" s="66" t="n">
        <x:v>3</x:v>
      </x:c>
      <x:c r="G1178" s="60" t="n">
        <x:v>1440.9350347292</x:v>
      </x:c>
      <x:c r="H1178" s="60" t="n">
        <x:v>1440.9350347292</x:v>
      </x:c>
      <x:c r="I1178" s="62" t="n">
        <x:v>0</x:v>
      </x:c>
      <x:c r="J1178" s="64" t="n">
        <x:v>1</x:v>
      </x:c>
      <x:c r="K1178" s="62" t="n">
        <x:v>1246.05653338728</x:v>
      </x:c>
      <x:c r="L1178" s="60" t="n">
        <x:v>1795486.5142109469</x:v>
      </x:c>
      <x:c r="M1178" s="62" t="n">
        <x:v>3.7954249927649277</x:v>
      </x:c>
      <x:c r="N1178" s="62" t="n">
        <x:v>624.3455099171828</x:v>
      </x:c>
      <x:c r="O1178" s="60" t="n">
        <x:v>899641.3190155358</x:v>
      </x:c>
      <x:c r="P1178" s="60" t="n">
        <x:v>895845.1951954111</x:v>
      </x:c>
      <x:c r="Q1178" s="62" t="n">
        <x:v>1.9957804029896284</x:v>
      </x:c>
      <x:c r="R1178" s="64" t="n">
        <x:v>0.9957804029896284</x:v>
      </x:c>
    </x:row>
    <x:row r="1179" ht="18" customHeight="1">
      <x:c r="A1179" s="46" t="str">
        <x:v>LME_013</x:v>
      </x:c>
      <x:c r="B1179" s="46" t="str">
        <x:v>Humboldt Current</x:v>
      </x:c>
      <x:c r="C1179" s="46" t="str">
        <x:v>functional</x:v>
      </x:c>
      <x:c r="D1179" s="46" t="str">
        <x:v>Small to medium sharks (&lt;90 cm)</x:v>
      </x:c>
      <x:c r="E1179" s="66" t="n">
        <x:v>1</x:v>
      </x:c>
      <x:c r="F1179" s="66" t="n">
        <x:v>1</x:v>
      </x:c>
      <x:c r="G1179" s="60" t="n">
        <x:v>134.6438070681</x:v>
      </x:c>
      <x:c r="H1179" s="60" t="n">
        <x:v>134.6438070681</x:v>
      </x:c>
      <x:c r="I1179" s="62" t="n">
        <x:v>0</x:v>
      </x:c>
      <x:c r="J1179" s="64" t="n">
        <x:v>1</x:v>
      </x:c>
      <x:c r="K1179" s="62" t="n">
        <x:v>457.0881896148752</x:v>
      </x:c>
      <x:c r="L1179" s="60" t="n">
        <x:v>61544.09401561236</x:v>
      </x:c>
      <x:c r="M1179" s="62" t="n">
        <x:v>3.66</x:v>
      </x:c>
      <x:c r="N1179" s="62" t="n">
        <x:v>457.0881896148752</x:v>
      </x:c>
      <x:c r="O1179" s="60" t="n">
        <x:v>61544.09401561236</x:v>
      </x:c>
      <x:c r="P1179" s="60" t="n">
        <x:v>0</x:v>
      </x:c>
      <x:c r="Q1179" s="62" t="n">
        <x:v>1</x:v>
      </x:c>
      <x:c r="R1179" s="64" t="n">
        <x:v>0</x:v>
      </x:c>
    </x:row>
    <x:row r="1180" ht="18" customHeight="1">
      <x:c r="A1180" s="46" t="str">
        <x:v>LME_014</x:v>
      </x:c>
      <x:c r="B1180" s="46" t="str">
        <x:v>Patagonian Shelf</x:v>
      </x:c>
      <x:c r="C1180" s="46" t="str">
        <x:v>functional</x:v>
      </x:c>
      <x:c r="D1180" s="46" t="str">
        <x:v>Cephalopods</x:v>
      </x:c>
      <x:c r="E1180" s="66" t="n">
        <x:v>5</x:v>
      </x:c>
      <x:c r="F1180" s="66" t="n">
        <x:v>5</x:v>
      </x:c>
      <x:c r="G1180" s="60" t="n">
        <x:v>268132.43554690445</x:v>
      </x:c>
      <x:c r="H1180" s="60" t="n">
        <x:v>268132.43554690445</x:v>
      </x:c>
      <x:c r="I1180" s="62" t="n">
        <x:v>0</x:v>
      </x:c>
      <x:c r="J1180" s="64" t="n">
        <x:v>1</x:v>
      </x:c>
      <x:c r="K1180" s="62" t="n">
        <x:v>626.5934456574545</x:v>
      </x:c>
      <x:c r="L1180" s="60" t="n">
        <x:v>168010026.68186018</x:v>
      </x:c>
      <x:c r="M1180" s="62" t="n">
        <x:v>3.7771755783755268</x:v>
      </x:c>
      <x:c r="N1180" s="62" t="n">
        <x:v>598.6535722939468</x:v>
      </x:c>
      <x:c r="O1180" s="60" t="n">
        <x:v>160518440.3880308</x:v>
      </x:c>
      <x:c r="P1180" s="60" t="n">
        <x:v>7491586.2938293815</x:v>
      </x:c>
      <x:c r="Q1180" s="62" t="n">
        <x:v>1.0466711879066326</x:v>
      </x:c>
      <x:c r="R1180" s="64" t="n">
        <x:v>0.04667118790663256</x:v>
      </x:c>
    </x:row>
    <x:row r="1181" ht="18" customHeight="1">
      <x:c r="A1181" s="46" t="str">
        <x:v>LME_014</x:v>
      </x:c>
      <x:c r="B1181" s="46" t="str">
        <x:v>Patagonian Shelf</x:v>
      </x:c>
      <x:c r="C1181" s="46" t="str">
        <x:v>functional</x:v>
      </x:c>
      <x:c r="D1181" s="46" t="str">
        <x:v>Large bathydemersals (&gt;=90 cm)</x:v>
      </x:c>
      <x:c r="E1181" s="66" t="n">
        <x:v>5</x:v>
      </x:c>
      <x:c r="F1181" s="66" t="n">
        <x:v>5</x:v>
      </x:c>
      <x:c r="G1181" s="60" t="n">
        <x:v>8812.2845096176</x:v>
      </x:c>
      <x:c r="H1181" s="60" t="n">
        <x:v>8812.2845096176</x:v>
      </x:c>
      <x:c r="I1181" s="62" t="n">
        <x:v>0</x:v>
      </x:c>
      <x:c r="J1181" s="64" t="n">
        <x:v>1</x:v>
      </x:c>
      <x:c r="K1181" s="62" t="n">
        <x:v>1497.8348314085997</x:v>
      </x:c>
      <x:c r="L1181" s="60" t="n">
        <x:v>13199346.682787694</x:v>
      </x:c>
      <x:c r="M1181" s="62" t="n">
        <x:v>4.138979817841758</x:v>
      </x:c>
      <x:c r="N1181" s="62" t="n">
        <x:v>1377.1454698915</x:v>
      </x:c>
      <x:c r="O1181" s="60" t="n">
        <x:v>12135797.691814916</x:v>
      </x:c>
      <x:c r="P1181" s="60" t="n">
        <x:v>1063548.9909727778</x:v>
      </x:c>
      <x:c r="Q1181" s="62" t="n">
        <x:v>1.087637336908648</x:v>
      </x:c>
      <x:c r="R1181" s="64" t="n">
        <x:v>0.0876373369086481</x:v>
      </x:c>
    </x:row>
    <x:row r="1182" ht="18" customHeight="1">
      <x:c r="A1182" s="46" t="str">
        <x:v>LME_014</x:v>
      </x:c>
      <x:c r="B1182" s="46" t="str">
        <x:v>Patagonian Shelf</x:v>
      </x:c>
      <x:c r="C1182" s="46" t="str">
        <x:v>functional</x:v>
      </x:c>
      <x:c r="D1182" s="46" t="str">
        <x:v>Large bathypelagics (&gt;=90 cm)</x:v>
      </x:c>
      <x:c r="E1182" s="66" t="n">
        <x:v>2</x:v>
      </x:c>
      <x:c r="F1182" s="66" t="n">
        <x:v>2</x:v>
      </x:c>
      <x:c r="G1182" s="60" t="n">
        <x:v>111.70175488439999</x:v>
      </x:c>
      <x:c r="H1182" s="60" t="n">
        <x:v>111.70175488439999</x:v>
      </x:c>
      <x:c r="I1182" s="62" t="n">
        <x:v>0</x:v>
      </x:c>
      <x:c r="J1182" s="64" t="n">
        <x:v>1</x:v>
      </x:c>
      <x:c r="K1182" s="62" t="n">
        <x:v>2187.761623792568</x:v>
      </x:c>
      <x:c r="L1182" s="60" t="n">
        <x:v>244376.81264637434</x:v>
      </x:c>
      <x:c r="M1182" s="62" t="n">
        <x:v>4.339999999964333</x:v>
      </x:c>
      <x:c r="N1182" s="62" t="n">
        <x:v>2187.761623769881</x:v>
      </x:c>
      <x:c r="O1182" s="60" t="n">
        <x:v>244376.81264384018</x:v>
      </x:c>
      <x:c r="P1182" s="60" t="n">
        <x:v>0.0000025341578293591738</x:v>
      </x:c>
      <x:c r="Q1182" s="62" t="n">
        <x:v>1.00000000001037</x:v>
      </x:c>
      <x:c r="R1182" s="64" t="n">
        <x:v>1.0369878393710404e-11</x:v>
      </x:c>
    </x:row>
    <x:row r="1183" ht="18" customHeight="1">
      <x:c r="A1183" s="46" t="str">
        <x:v>LME_014</x:v>
      </x:c>
      <x:c r="B1183" s="46" t="str">
        <x:v>Patagonian Shelf</x:v>
      </x:c>
      <x:c r="C1183" s="46" t="str">
        <x:v>functional</x:v>
      </x:c>
      <x:c r="D1183" s="46" t="str">
        <x:v>Large benthopelagics (&gt;=90 cm)</x:v>
      </x:c>
      <x:c r="E1183" s="66" t="n">
        <x:v>9</x:v>
      </x:c>
      <x:c r="F1183" s="66" t="n">
        <x:v>9</x:v>
      </x:c>
      <x:c r="G1183" s="60" t="n">
        <x:v>56397.7267513365</x:v>
      </x:c>
      <x:c r="H1183" s="60" t="n">
        <x:v>56397.7267513365</x:v>
      </x:c>
      <x:c r="I1183" s="62" t="n">
        <x:v>0</x:v>
      </x:c>
      <x:c r="J1183" s="64" t="n">
        <x:v>1</x:v>
      </x:c>
      <x:c r="K1183" s="62" t="n">
        <x:v>920.4136556814083</x:v>
      </x:c>
      <x:c r="L1183" s="60" t="n">
        <x:v>51909237.851318784</x:v>
      </x:c>
      <x:c r="M1183" s="62" t="n">
        <x:v>3.9485210944384233</x:v>
      </x:c>
      <x:c r="N1183" s="62" t="n">
        <x:v>888.2211177162243</x:v>
      </x:c>
      <x:c r="O1183" s="60" t="n">
        <x:v>50093651.89172631</x:v>
      </x:c>
      <x:c r="P1183" s="60" t="n">
        <x:v>1815585.9595924765</x:v>
      </x:c>
      <x:c r="Q1183" s="62" t="n">
        <x:v>1.0362438331211454</x:v>
      </x:c>
      <x:c r="R1183" s="64" t="n">
        <x:v>0.036243833121145375</x:v>
      </x:c>
    </x:row>
    <x:row r="1184" ht="18" customHeight="1">
      <x:c r="A1184" s="46" t="str">
        <x:v>LME_014</x:v>
      </x:c>
      <x:c r="B1184" s="46" t="str">
        <x:v>Patagonian Shelf</x:v>
      </x:c>
      <x:c r="C1184" s="46" t="str">
        <x:v>functional</x:v>
      </x:c>
      <x:c r="D1184" s="46" t="str">
        <x:v>Large demersals (&gt;=90 cm)</x:v>
      </x:c>
      <x:c r="E1184" s="66" t="n">
        <x:v>5</x:v>
      </x:c>
      <x:c r="F1184" s="66" t="n">
        <x:v>5</x:v>
      </x:c>
      <x:c r="G1184" s="60" t="n">
        <x:v>1022.1082134011001</x:v>
      </x:c>
      <x:c r="H1184" s="60" t="n">
        <x:v>1022.1082134011001</x:v>
      </x:c>
      <x:c r="I1184" s="62" t="n">
        <x:v>0</x:v>
      </x:c>
      <x:c r="J1184" s="64" t="n">
        <x:v>1</x:v>
      </x:c>
      <x:c r="K1184" s="62" t="n">
        <x:v>763.119071125625</x:v>
      </x:c>
      <x:c r="L1184" s="60" t="n">
        <x:v>779990.2704005197</x:v>
      </x:c>
      <x:c r="M1184" s="62" t="n">
        <x:v>3.8810341173960365</x:v>
      </x:c>
      <x:c r="N1184" s="62" t="n">
        <x:v>760.38600915583</x:v>
      </x:c>
      <x:c r="O1184" s="60" t="n">
        <x:v>777196.785313458</x:v>
      </x:c>
      <x:c r="P1184" s="60" t="n">
        <x:v>2793.4850870617665</x:v>
      </x:c>
      <x:c r="Q1184" s="62" t="n">
        <x:v>1.003594308597063</x:v>
      </x:c>
      <x:c r="R1184" s="64" t="n">
        <x:v>0.003594308597062843</x:v>
      </x:c>
    </x:row>
    <x:row r="1185" ht="18" customHeight="1">
      <x:c r="A1185" s="46" t="str">
        <x:v>LME_014</x:v>
      </x:c>
      <x:c r="B1185" s="46" t="str">
        <x:v>Patagonian Shelf</x:v>
      </x:c>
      <x:c r="C1185" s="46" t="str">
        <x:v>functional</x:v>
      </x:c>
      <x:c r="D1185" s="46" t="str">
        <x:v>Large pelagics (&gt;=90 cm)</x:v>
      </x:c>
      <x:c r="E1185" s="66" t="n">
        <x:v>11</x:v>
      </x:c>
      <x:c r="F1185" s="66" t="n">
        <x:v>11</x:v>
      </x:c>
      <x:c r="G1185" s="60" t="n">
        <x:v>5935.954651133299</x:v>
      </x:c>
      <x:c r="H1185" s="60" t="n">
        <x:v>5935.954651133299</x:v>
      </x:c>
      <x:c r="I1185" s="62" t="n">
        <x:v>0</x:v>
      </x:c>
      <x:c r="J1185" s="64" t="n">
        <x:v>1</x:v>
      </x:c>
      <x:c r="K1185" s="62" t="n">
        <x:v>3336.7441302968946</x:v>
      </x:c>
      <x:c r="L1185" s="60" t="n">
        <x:v>19806761.839877587</x:v>
      </x:c>
      <x:c r="M1185" s="62" t="n">
        <x:v>4.522139846892052</x:v>
      </x:c>
      <x:c r="N1185" s="62" t="n">
        <x:v>3327.66690035424</x:v>
      </x:c>
      <x:c r="O1185" s="60" t="n">
        <x:v>19752879.81458008</x:v>
      </x:c>
      <x:c r="P1185" s="60" t="n">
        <x:v>53882.025297507644</x:v>
      </x:c>
      <x:c r="Q1185" s="62" t="n">
        <x:v>1.0027278060618652</x:v>
      </x:c>
      <x:c r="R1185" s="64" t="n">
        <x:v>0.0027278060618652687</x:v>
      </x:c>
    </x:row>
    <x:row r="1186" ht="18" customHeight="1">
      <x:c r="A1186" s="46" t="str">
        <x:v>LME_014</x:v>
      </x:c>
      <x:c r="B1186" s="46" t="str">
        <x:v>Patagonian Shelf</x:v>
      </x:c>
      <x:c r="C1186" s="46" t="str">
        <x:v>functional</x:v>
      </x:c>
      <x:c r="D1186" s="46" t="str">
        <x:v>Large rays (&gt;=90 cm)</x:v>
      </x:c>
      <x:c r="E1186" s="66" t="n">
        <x:v>10</x:v>
      </x:c>
      <x:c r="F1186" s="66" t="n">
        <x:v>10</x:v>
      </x:c>
      <x:c r="G1186" s="60" t="n">
        <x:v>43216.571585102996</x:v>
      </x:c>
      <x:c r="H1186" s="60" t="n">
        <x:v>43216.571585102996</x:v>
      </x:c>
      <x:c r="I1186" s="62" t="n">
        <x:v>0</x:v>
      </x:c>
      <x:c r="J1186" s="64" t="n">
        <x:v>1</x:v>
      </x:c>
      <x:c r="K1186" s="62" t="n">
        <x:v>409.6177812834235</x:v>
      </x:c>
      <x:c r="L1186" s="60" t="n">
        <x:v>17702276.167366132</x:v>
      </x:c>
      <x:c r="M1186" s="62" t="n">
        <x:v>3.611818612796608</x:v>
      </x:c>
      <x:c r="N1186" s="62" t="n">
        <x:v>409.0897638301645</x:v>
      </x:c>
      <x:c r="O1186" s="60" t="n">
        <x:v>17679457.063299183</x:v>
      </x:c>
      <x:c r="P1186" s="60" t="n">
        <x:v>22819.104066949338</x:v>
      </x:c>
      <x:c r="Q1186" s="62" t="n">
        <x:v>1.0012907129435733</x:v>
      </x:c>
      <x:c r="R1186" s="64" t="n">
        <x:v>0.0012907129435733385</x:v>
      </x:c>
    </x:row>
    <x:row r="1187" ht="18" customHeight="1">
      <x:c r="A1187" s="46" t="str">
        <x:v>LME_014</x:v>
      </x:c>
      <x:c r="B1187" s="46" t="str">
        <x:v>Patagonian Shelf</x:v>
      </x:c>
      <x:c r="C1187" s="46" t="str">
        <x:v>functional</x:v>
      </x:c>
      <x:c r="D1187" s="46" t="str">
        <x:v>Large reef assoc. fish (&gt;=90 cm)</x:v>
      </x:c>
      <x:c r="E1187" s="66" t="n">
        <x:v>1</x:v>
      </x:c>
      <x:c r="F1187" s="66" t="n">
        <x:v>1</x:v>
      </x:c>
      <x:c r="G1187" s="60" t="n">
        <x:v>0.00030940359999999997</x:v>
      </x:c>
      <x:c r="H1187" s="60" t="n">
        <x:v>0.00030940359999999997</x:v>
      </x:c>
      <x:c r="I1187" s="62" t="n">
        <x:v>0</x:v>
      </x:c>
      <x:c r="J1187" s="64" t="n">
        <x:v>1</x:v>
      </x:c>
      <x:c r="K1187" s="62" t="n">
        <x:v>831.7637711026708</x:v>
      </x:c>
      <x:c r="L1187" s="60" t="n">
        <x:v>0.2573507051287423</x:v>
      </x:c>
      <x:c r="M1187" s="62" t="n">
        <x:v>3.92</x:v>
      </x:c>
      <x:c r="N1187" s="62" t="n">
        <x:v>831.7637711026708</x:v>
      </x:c>
      <x:c r="O1187" s="60" t="n">
        <x:v>0.2573507051287423</x:v>
      </x:c>
      <x:c r="P1187" s="60" t="n">
        <x:v>0</x:v>
      </x:c>
      <x:c r="Q1187" s="62" t="n">
        <x:v>1</x:v>
      </x:c>
      <x:c r="R1187" s="64" t="n">
        <x:v>0</x:v>
      </x:c>
    </x:row>
    <x:row r="1188" ht="18" customHeight="1">
      <x:c r="A1188" s="46" t="str">
        <x:v>LME_014</x:v>
      </x:c>
      <x:c r="B1188" s="46" t="str">
        <x:v>Patagonian Shelf</x:v>
      </x:c>
      <x:c r="C1188" s="46" t="str">
        <x:v>functional</x:v>
      </x:c>
      <x:c r="D1188" s="46" t="str">
        <x:v>Large sharks (&gt;=90 cm)</x:v>
      </x:c>
      <x:c r="E1188" s="66" t="n">
        <x:v>26</x:v>
      </x:c>
      <x:c r="F1188" s="66" t="n">
        <x:v>26</x:v>
      </x:c>
      <x:c r="G1188" s="60" t="n">
        <x:v>4337.1856435953</x:v>
      </x:c>
      <x:c r="H1188" s="60" t="n">
        <x:v>4337.1856435953</x:v>
      </x:c>
      <x:c r="I1188" s="62" t="n">
        <x:v>0</x:v>
      </x:c>
      <x:c r="J1188" s="64" t="n">
        <x:v>1</x:v>
      </x:c>
      <x:c r="K1188" s="62" t="n">
        <x:v>1373.187923748631</x:v>
      </x:c>
      <x:c r="L1188" s="60" t="n">
        <x:v>5955770.948840999</x:v>
      </x:c>
      <x:c r="M1188" s="62" t="n">
        <x:v>4.12441133062097</x:v>
      </x:c>
      <x:c r="N1188" s="62" t="n">
        <x:v>1331.7151198899392</x:v>
      </x:c>
      <x:c r="O1188" s="60" t="n">
        <x:v>5775895.699345437</x:v>
      </x:c>
      <x:c r="P1188" s="60" t="n">
        <x:v>179875.24949556217</x:v>
      </x:c>
      <x:c r="Q1188" s="62" t="n">
        <x:v>1.0311423991807793</x:v>
      </x:c>
      <x:c r="R1188" s="64" t="n">
        <x:v>0.031142399180779327</x:v>
      </x:c>
    </x:row>
    <x:row r="1189" ht="18" customHeight="1">
      <x:c r="A1189" s="46" t="str">
        <x:v>LME_014</x:v>
      </x:c>
      <x:c r="B1189" s="46" t="str">
        <x:v>Patagonian Shelf</x:v>
      </x:c>
      <x:c r="C1189" s="46" t="str">
        <x:v>functional</x:v>
      </x:c>
      <x:c r="D1189" s="46" t="str">
        <x:v>Lobsters, crabs</x:v>
      </x:c>
      <x:c r="E1189" s="66" t="n">
        <x:v>8</x:v>
      </x:c>
      <x:c r="F1189" s="66" t="n">
        <x:v>8</x:v>
      </x:c>
      <x:c r="G1189" s="60" t="n">
        <x:v>3132.4864857304</x:v>
      </x:c>
      <x:c r="H1189" s="60" t="n">
        <x:v>3132.4864857304</x:v>
      </x:c>
      <x:c r="I1189" s="62" t="n">
        <x:v>0</x:v>
      </x:c>
      <x:c r="J1189" s="64" t="n">
        <x:v>1</x:v>
      </x:c>
      <x:c r="K1189" s="62" t="n">
        <x:v>112.52388453599129</x:v>
      </x:c>
      <x:c r="L1189" s="60" t="n">
        <x:v>352479.54763088067</x:v>
      </x:c>
      <x:c r="M1189" s="62" t="n">
        <x:v>2.635052228802838</x:v>
      </x:c>
      <x:c r="N1189" s="62" t="n">
        <x:v>43.157097497748985</x:v>
      </x:c>
      <x:c r="O1189" s="60" t="n">
        <x:v>135189.02467504796</x:v>
      </x:c>
      <x:c r="P1189" s="60" t="n">
        <x:v>217290.5229558327</x:v>
      </x:c>
      <x:c r="Q1189" s="62" t="n">
        <x:v>2.607308903057264</x:v>
      </x:c>
      <x:c r="R1189" s="64" t="n">
        <x:v>1.6073089030572638</x:v>
      </x:c>
    </x:row>
    <x:row r="1190" ht="18" customHeight="1">
      <x:c r="A1190" s="46" t="str">
        <x:v>LME_014</x:v>
      </x:c>
      <x:c r="B1190" s="46" t="str">
        <x:v>Patagonian Shelf</x:v>
      </x:c>
      <x:c r="C1190" s="46" t="str">
        <x:v>functional</x:v>
      </x:c>
      <x:c r="D1190" s="46" t="str">
        <x:v>Medium bathydemersals (30 - 89 cm)</x:v>
      </x:c>
      <x:c r="E1190" s="66" t="n">
        <x:v>2</x:v>
      </x:c>
      <x:c r="F1190" s="66" t="n">
        <x:v>2</x:v>
      </x:c>
      <x:c r="G1190" s="60" t="n">
        <x:v>1672.9610970957</x:v>
      </x:c>
      <x:c r="H1190" s="60" t="n">
        <x:v>1672.9610970957</x:v>
      </x:c>
      <x:c r="I1190" s="62" t="n">
        <x:v>0</x:v>
      </x:c>
      <x:c r="J1190" s="64" t="n">
        <x:v>1</x:v>
      </x:c>
      <x:c r="K1190" s="62" t="n">
        <x:v>1862.2345620258427</x:v>
      </x:c>
      <x:c r="L1190" s="60" t="n">
        <x:v>3115445.9759362843</x:v>
      </x:c>
      <x:c r="M1190" s="62" t="n">
        <x:v>4.270026407230731</x:v>
      </x:c>
      <x:c r="N1190" s="62" t="n">
        <x:v>1862.2003641195909</x:v>
      </x:c>
      <x:c r="O1190" s="60" t="n">
        <x:v>3115388.764169523</x:v>
      </x:c>
      <x:c r="P1190" s="60" t="n">
        <x:v>57.21176676126197</x:v>
      </x:c>
      <x:c r="Q1190" s="62" t="n">
        <x:v>1.0000183642463565</x:v>
      </x:c>
      <x:c r="R1190" s="64" t="n">
        <x:v>0.00001836424635642963</x:v>
      </x:c>
    </x:row>
    <x:row r="1191" ht="18" customHeight="1">
      <x:c r="A1191" s="46" t="str">
        <x:v>LME_014</x:v>
      </x:c>
      <x:c r="B1191" s="46" t="str">
        <x:v>Patagonian Shelf</x:v>
      </x:c>
      <x:c r="C1191" s="46" t="str">
        <x:v>functional</x:v>
      </x:c>
      <x:c r="D1191" s="46" t="str">
        <x:v>Medium benthopelagics (30 - 89 cm)</x:v>
      </x:c>
      <x:c r="E1191" s="66" t="n">
        <x:v>17</x:v>
      </x:c>
      <x:c r="F1191" s="66" t="n">
        <x:v>17</x:v>
      </x:c>
      <x:c r="G1191" s="60" t="n">
        <x:v>688220.2750522562</x:v>
      </x:c>
      <x:c r="H1191" s="60" t="n">
        <x:v>688220.2750522562</x:v>
      </x:c>
      <x:c r="I1191" s="62" t="n">
        <x:v>0</x:v>
      </x:c>
      <x:c r="J1191" s="64" t="n">
        <x:v>1</x:v>
      </x:c>
      <x:c r="K1191" s="62" t="n">
        <x:v>1533.303416498506</x:v>
      </x:c>
      <x:c r="L1191" s="60" t="n">
        <x:v>1055250499.041166</x:v>
      </x:c>
      <x:c r="M1191" s="62" t="n">
        <x:v>4.160328891440915</x:v>
      </x:c>
      <x:c r="N1191" s="62" t="n">
        <x:v>1446.534817636503</x:v>
      </x:c>
      <x:c r="O1191" s="60" t="n">
        <x:v>995534590.0664593</x:v>
      </x:c>
      <x:c r="P1191" s="60" t="n">
        <x:v>59715908.97470665</x:v>
      </x:c>
      <x:c r="Q1191" s="62" t="n">
        <x:v>1.0599837610571825</x:v>
      </x:c>
      <x:c r="R1191" s="64" t="n">
        <x:v>0.059983761057182526</x:v>
      </x:c>
    </x:row>
    <x:row r="1192" ht="18" customHeight="1">
      <x:c r="A1192" s="46" t="str">
        <x:v>LME_014</x:v>
      </x:c>
      <x:c r="B1192" s="46" t="str">
        <x:v>Patagonian Shelf</x:v>
      </x:c>
      <x:c r="C1192" s="46" t="str">
        <x:v>functional</x:v>
      </x:c>
      <x:c r="D1192" s="46" t="str">
        <x:v>Medium demersals (30 - 89 cm)</x:v>
      </x:c>
      <x:c r="E1192" s="66" t="n">
        <x:v>27</x:v>
      </x:c>
      <x:c r="F1192" s="66" t="n">
        <x:v>27</x:v>
      </x:c>
      <x:c r="G1192" s="60" t="n">
        <x:v>185519.60716435403</x:v>
      </x:c>
      <x:c r="H1192" s="60" t="n">
        <x:v>185519.60716435403</x:v>
      </x:c>
      <x:c r="I1192" s="62" t="n">
        <x:v>0</x:v>
      </x:c>
      <x:c r="J1192" s="64" t="n">
        <x:v>1</x:v>
      </x:c>
      <x:c r="K1192" s="62" t="n">
        <x:v>249.33955337478687</x:v>
      </x:c>
      <x:c r="L1192" s="60" t="n">
        <x:v>46257375.992625944</x:v>
      </x:c>
      <x:c r="M1192" s="62" t="n">
        <x:v>3.297844920109977</x:v>
      </x:c>
      <x:c r="N1192" s="62" t="n">
        <x:v>198.538583997072</x:v>
      </x:c>
      <x:c r="O1192" s="60" t="n">
        <x:v>36832800.110103905</x:v>
      </x:c>
      <x:c r="P1192" s="60" t="n">
        <x:v>9424575.88252204</x:v>
      </x:c>
      <x:c r="Q1192" s="62" t="n">
        <x:v>1.2558745426453937</x:v>
      </x:c>
      <x:c r="R1192" s="64" t="n">
        <x:v>0.25587454264539355</x:v>
      </x:c>
    </x:row>
    <x:row r="1193" ht="18" customHeight="1">
      <x:c r="A1193" s="46" t="str">
        <x:v>LME_014</x:v>
      </x:c>
      <x:c r="B1193" s="46" t="str">
        <x:v>Patagonian Shelf</x:v>
      </x:c>
      <x:c r="C1193" s="46" t="str">
        <x:v>functional</x:v>
      </x:c>
      <x:c r="D1193" s="46" t="str">
        <x:v>Medium pelagics (30 - 89 cm)</x:v>
      </x:c>
      <x:c r="E1193" s="66" t="n">
        <x:v>12</x:v>
      </x:c>
      <x:c r="F1193" s="66" t="n">
        <x:v>12</x:v>
      </x:c>
      <x:c r="G1193" s="60" t="n">
        <x:v>3196.074051204399</x:v>
      </x:c>
      <x:c r="H1193" s="60" t="n">
        <x:v>3196.074051204399</x:v>
      </x:c>
      <x:c r="I1193" s="62" t="n">
        <x:v>0</x:v>
      </x:c>
      <x:c r="J1193" s="64" t="n">
        <x:v>1</x:v>
      </x:c>
      <x:c r="K1193" s="62" t="n">
        <x:v>287.3622287631562</x:v>
      </x:c>
      <x:c r="L1193" s="60" t="n">
        <x:v>918430.962646186</x:v>
      </x:c>
      <x:c r="M1193" s="62" t="n">
        <x:v>3.418189460946705</x:v>
      </x:c>
      <x:c r="N1193" s="62" t="n">
        <x:v>261.93254396042687</x:v>
      </x:c>
      <x:c r="O1193" s="60" t="n">
        <x:v>837155.8069178759</x:v>
      </x:c>
      <x:c r="P1193" s="60" t="n">
        <x:v>81275.15572831011</x:v>
      </x:c>
      <x:c r="Q1193" s="62" t="n">
        <x:v>1.0970848616908455</x:v>
      </x:c>
      <x:c r="R1193" s="64" t="n">
        <x:v>0.09708486169084547</x:v>
      </x:c>
    </x:row>
    <x:row r="1194" ht="18" customHeight="1">
      <x:c r="A1194" s="46" t="str">
        <x:v>LME_014</x:v>
      </x:c>
      <x:c r="B1194" s="46" t="str">
        <x:v>Patagonian Shelf</x:v>
      </x:c>
      <x:c r="C1194" s="46" t="str">
        <x:v>functional</x:v>
      </x:c>
      <x:c r="D1194" s="46" t="str">
        <x:v>Medium reef assoc. fish (30 - 89 cm)</x:v>
      </x:c>
      <x:c r="E1194" s="66" t="n">
        <x:v>14</x:v>
      </x:c>
      <x:c r="F1194" s="66" t="n">
        <x:v>14</x:v>
      </x:c>
      <x:c r="G1194" s="60" t="n">
        <x:v>270.7946149653</x:v>
      </x:c>
      <x:c r="H1194" s="60" t="n">
        <x:v>270.7946149653</x:v>
      </x:c>
      <x:c r="I1194" s="62" t="n">
        <x:v>0</x:v>
      </x:c>
      <x:c r="J1194" s="64" t="n">
        <x:v>1</x:v>
      </x:c>
      <x:c r="K1194" s="62" t="n">
        <x:v>34.22420260394257</x:v>
      </x:c>
      <x:c r="L1194" s="60" t="n">
        <x:v>9267.729766629047</x:v>
      </x:c>
      <x:c r="M1194" s="62" t="n">
        <x:v>2.5305803990611033</x:v>
      </x:c>
      <x:c r="N1194" s="62" t="n">
        <x:v>33.92972963702581</x:v>
      </x:c>
      <x:c r="O1194" s="60" t="n">
        <x:v>9187.988072935132</x:v>
      </x:c>
      <x:c r="P1194" s="60" t="n">
        <x:v>79.7416936939153</x:v>
      </x:c>
      <x:c r="Q1194" s="62" t="n">
        <x:v>1.0086789069664563</x:v>
      </x:c>
      <x:c r="R1194" s="64" t="n">
        <x:v>0.008678906966456429</x:v>
      </x:c>
    </x:row>
    <x:row r="1195" ht="18" customHeight="1">
      <x:c r="A1195" s="46" t="str">
        <x:v>LME_014</x:v>
      </x:c>
      <x:c r="B1195" s="46" t="str">
        <x:v>Patagonian Shelf</x:v>
      </x:c>
      <x:c r="C1195" s="46" t="str">
        <x:v>functional</x:v>
      </x:c>
      <x:c r="D1195" s="46" t="str">
        <x:v>Other demersal invertebrates</x:v>
      </x:c>
      <x:c r="E1195" s="66" t="n">
        <x:v>11</x:v>
      </x:c>
      <x:c r="F1195" s="66" t="n">
        <x:v>11</x:v>
      </x:c>
      <x:c r="G1195" s="60" t="n">
        <x:v>23703.8202913302</x:v>
      </x:c>
      <x:c r="H1195" s="60" t="n">
        <x:v>23703.8202913302</x:v>
      </x:c>
      <x:c r="I1195" s="62" t="n">
        <x:v>0</x:v>
      </x:c>
      <x:c r="J1195" s="64" t="n">
        <x:v>1</x:v>
      </x:c>
      <x:c r="K1195" s="62" t="n">
        <x:v>10.000081017993296</x:v>
      </x:c>
      <x:c r="L1195" s="60" t="n">
        <x:v>237040.12334925545</x:v>
      </x:c>
      <x:c r="M1195" s="62" t="n">
        <x:v>2.000002667625962</x:v>
      </x:c>
      <x:c r="N1195" s="62" t="n">
        <x:v>10.000061424546384</x:v>
      </x:c>
      <x:c r="O1195" s="60" t="n">
        <x:v>237039.658909711</x:v>
      </x:c>
      <x:c r="P1195" s="60" t="n">
        <x:v>0.4644395444483962</x:v>
      </x:c>
      <x:c r="Q1195" s="62" t="n">
        <x:v>1.000001959332656</x:v>
      </x:c>
      <x:c r="R1195" s="64" t="n">
        <x:v>0.0000019593326559135085</x:v>
      </x:c>
    </x:row>
    <x:row r="1196" ht="18" customHeight="1">
      <x:c r="A1196" s="46" t="str">
        <x:v>LME_014</x:v>
      </x:c>
      <x:c r="B1196" s="46" t="str">
        <x:v>Patagonian Shelf</x:v>
      </x:c>
      <x:c r="C1196" s="46" t="str">
        <x:v>functional</x:v>
      </x:c>
      <x:c r="D1196" s="46" t="str">
        <x:v>Shrimps</x:v>
      </x:c>
      <x:c r="E1196" s="66" t="n">
        <x:v>6</x:v>
      </x:c>
      <x:c r="F1196" s="66" t="n">
        <x:v>6</x:v>
      </x:c>
      <x:c r="G1196" s="60" t="n">
        <x:v>282365.88009286043</x:v>
      </x:c>
      <x:c r="H1196" s="60" t="n">
        <x:v>282365.88009286043</x:v>
      </x:c>
      <x:c r="I1196" s="62" t="n">
        <x:v>0</x:v>
      </x:c>
      <x:c r="J1196" s="64" t="n">
        <x:v>1</x:v>
      </x:c>
      <x:c r="K1196" s="62" t="n">
        <x:v>15.874621167427978</x:v>
      </x:c>
      <x:c r="L1196" s="60" t="n">
        <x:v>4482451.3770815525</x:v>
      </x:c>
      <x:c r="M1196" s="62" t="n">
        <x:v>2.200286128196271</x:v>
      </x:c>
      <x:c r="N1196" s="62" t="n">
        <x:v>15.859377188531385</x:v>
      </x:c>
      <x:c r="O1196" s="60" t="n">
        <x:v>4478146.997564299</x:v>
      </x:c>
      <x:c r="P1196" s="60" t="n">
        <x:v>4304.379517253488</x:v>
      </x:c>
      <x:c r="Q1196" s="62" t="n">
        <x:v>1.000961196566257</x:v>
      </x:c>
      <x:c r="R1196" s="64" t="n">
        <x:v>0.0009611965662571318</x:v>
      </x:c>
    </x:row>
    <x:row r="1197" ht="18" customHeight="1">
      <x:c r="A1197" s="46" t="str">
        <x:v>LME_014</x:v>
      </x:c>
      <x:c r="B1197" s="46" t="str">
        <x:v>Patagonian Shelf</x:v>
      </x:c>
      <x:c r="C1197" s="46" t="str">
        <x:v>functional</x:v>
      </x:c>
      <x:c r="D1197" s="46" t="str">
        <x:v>Small benthopelagics (&lt;30 cm)</x:v>
      </x:c>
      <x:c r="E1197" s="66" t="n">
        <x:v>2</x:v>
      </x:c>
      <x:c r="F1197" s="66" t="n">
        <x:v>2</x:v>
      </x:c>
      <x:c r="G1197" s="60" t="n">
        <x:v>612.5453061119</x:v>
      </x:c>
      <x:c r="H1197" s="60" t="n">
        <x:v>612.5453061119</x:v>
      </x:c>
      <x:c r="I1197" s="62" t="n">
        <x:v>0</x:v>
      </x:c>
      <x:c r="J1197" s="64" t="n">
        <x:v>1</x:v>
      </x:c>
      <x:c r="K1197" s="62" t="n">
        <x:v>1689.8373778322737</x:v>
      </x:c>
      <x:c r="L1197" s="60" t="n">
        <x:v>1035101.9538836005</x:v>
      </x:c>
      <x:c r="M1197" s="62" t="n">
        <x:v>4.028031054814844</x:v>
      </x:c>
      <x:c r="N1197" s="62" t="n">
        <x:v>1066.6723923566865</x:v>
      </x:c>
      <x:c r="O1197" s="60" t="n">
        <x:v>653385.1670972392</x:v>
      </x:c>
      <x:c r="P1197" s="60" t="n">
        <x:v>381716.78678636136</x:v>
      </x:c>
      <x:c r="Q1197" s="62" t="n">
        <x:v>1.5842140379191572</x:v>
      </x:c>
      <x:c r="R1197" s="64" t="n">
        <x:v>0.5842140379191573</x:v>
      </x:c>
    </x:row>
    <x:row r="1198" ht="18" customHeight="1">
      <x:c r="A1198" s="46" t="str">
        <x:v>LME_014</x:v>
      </x:c>
      <x:c r="B1198" s="46" t="str">
        <x:v>Patagonian Shelf</x:v>
      </x:c>
      <x:c r="C1198" s="46" t="str">
        <x:v>functional</x:v>
      </x:c>
      <x:c r="D1198" s="46" t="str">
        <x:v>Small demersals (&lt;30 cm)</x:v>
      </x:c>
      <x:c r="E1198" s="66" t="n">
        <x:v>4</x:v>
      </x:c>
      <x:c r="F1198" s="66" t="n">
        <x:v>4</x:v>
      </x:c>
      <x:c r="G1198" s="60" t="n">
        <x:v>0.4739487329</x:v>
      </x:c>
      <x:c r="H1198" s="60" t="n">
        <x:v>0.4739487329</x:v>
      </x:c>
      <x:c r="I1198" s="62" t="n">
        <x:v>0</x:v>
      </x:c>
      <x:c r="J1198" s="64" t="n">
        <x:v>1</x:v>
      </x:c>
      <x:c r="K1198" s="62" t="n">
        <x:v>368.21273920323534</x:v>
      </x:c>
      <x:c r="L1198" s="60" t="n">
        <x:v>174.51396118301156</x:v>
      </x:c>
      <x:c r="M1198" s="62" t="n">
        <x:v>3.5412829895277484</x:v>
      </x:c>
      <x:c r="N1198" s="62" t="n">
        <x:v>347.7626923980412</x:v>
      </x:c>
      <x:c r="O1198" s="60" t="n">
        <x:v>164.8216874119441</x:v>
      </x:c>
      <x:c r="P1198" s="60" t="n">
        <x:v>9.692273771067448</x:v>
      </x:c>
      <x:c r="Q1198" s="62" t="n">
        <x:v>1.058804602253848</x:v>
      </x:c>
      <x:c r="R1198" s="64" t="n">
        <x:v>0.05880460225384806</x:v>
      </x:c>
    </x:row>
    <x:row r="1199" ht="18" customHeight="1">
      <x:c r="A1199" s="46" t="str">
        <x:v>LME_014</x:v>
      </x:c>
      <x:c r="B1199" s="46" t="str">
        <x:v>Patagonian Shelf</x:v>
      </x:c>
      <x:c r="C1199" s="46" t="str">
        <x:v>functional</x:v>
      </x:c>
      <x:c r="D1199" s="46" t="str">
        <x:v>Small pelagics (&lt;30 cm)</x:v>
      </x:c>
      <x:c r="E1199" s="66" t="n">
        <x:v>9</x:v>
      </x:c>
      <x:c r="F1199" s="66" t="n">
        <x:v>9</x:v>
      </x:c>
      <x:c r="G1199" s="60" t="n">
        <x:v>9766.286896612399</x:v>
      </x:c>
      <x:c r="H1199" s="60" t="n">
        <x:v>9766.286896612399</x:v>
      </x:c>
      <x:c r="I1199" s="62" t="n">
        <x:v>0</x:v>
      </x:c>
      <x:c r="J1199" s="64" t="n">
        <x:v>1</x:v>
      </x:c>
      <x:c r="K1199" s="62" t="n">
        <x:v>39.667468638975805</x:v>
      </x:c>
      <x:c r="L1199" s="60" t="n">
        <x:v>387403.8791906127</x:v>
      </x:c>
      <x:c r="M1199" s="62" t="n">
        <x:v>2.5815175267373656</x:v>
      </x:c>
      <x:c r="N1199" s="62" t="n">
        <x:v>38.15201909043947</x:v>
      </x:c>
      <x:c r="O1199" s="60" t="n">
        <x:v>372603.56412226503</x:v>
      </x:c>
      <x:c r="P1199" s="60" t="n">
        <x:v>14800.31506834767</x:v>
      </x:c>
      <x:c r="Q1199" s="62" t="n">
        <x:v>1.0397213459383097</x:v>
      </x:c>
      <x:c r="R1199" s="64" t="n">
        <x:v>0.039721345938309754</x:v>
      </x:c>
    </x:row>
    <x:row r="1200" ht="18" customHeight="1">
      <x:c r="A1200" s="46" t="str">
        <x:v>LME_014</x:v>
      </x:c>
      <x:c r="B1200" s="46" t="str">
        <x:v>Patagonian Shelf</x:v>
      </x:c>
      <x:c r="C1200" s="46" t="str">
        <x:v>functional</x:v>
      </x:c>
      <x:c r="D1200" s="46" t="str">
        <x:v>Small to medium flatfishes (&lt;90 cm)</x:v>
      </x:c>
      <x:c r="E1200" s="66" t="n">
        <x:v>2</x:v>
      </x:c>
      <x:c r="F1200" s="66" t="n">
        <x:v>2</x:v>
      </x:c>
      <x:c r="G1200" s="60" t="n">
        <x:v>0.084540174</x:v>
      </x:c>
      <x:c r="H1200" s="60" t="n">
        <x:v>0.084540174</x:v>
      </x:c>
      <x:c r="I1200" s="62" t="n">
        <x:v>0</x:v>
      </x:c>
      <x:c r="J1200" s="64" t="n">
        <x:v>1</x:v>
      </x:c>
      <x:c r="K1200" s="62" t="n">
        <x:v>321.2013445351274</x:v>
      </x:c>
      <x:c r="L1200" s="60" t="n">
        <x:v>27.154417556033618</x:v>
      </x:c>
      <x:c r="M1200" s="62" t="n">
        <x:v>3.4901731731472427</x:v>
      </x:c>
      <x:c r="N1200" s="62" t="n">
        <x:v>309.1527920878317</x:v>
      </x:c>
      <x:c r="O1200" s="60" t="n">
        <x:v>26.135830835691113</x:v>
      </x:c>
      <x:c r="P1200" s="60" t="n">
        <x:v>1.0185867203425047</x:v>
      </x:c>
      <x:c r="Q1200" s="62" t="n">
        <x:v>1.0389728081248337</x:v>
      </x:c>
      <x:c r="R1200" s="64" t="n">
        <x:v>0.038972808124833815</x:v>
      </x:c>
    </x:row>
    <x:row r="1201" ht="18" customHeight="1">
      <x:c r="A1201" s="46" t="str">
        <x:v>LME_014</x:v>
      </x:c>
      <x:c r="B1201" s="46" t="str">
        <x:v>Patagonian Shelf</x:v>
      </x:c>
      <x:c r="C1201" s="46" t="str">
        <x:v>functional</x:v>
      </x:c>
      <x:c r="D1201" s="46" t="str">
        <x:v>Small to medium rays (&lt;90 cm)</x:v>
      </x:c>
      <x:c r="E1201" s="66" t="n">
        <x:v>6</x:v>
      </x:c>
      <x:c r="F1201" s="66" t="n">
        <x:v>6</x:v>
      </x:c>
      <x:c r="G1201" s="60" t="n">
        <x:v>403.47464129570005</x:v>
      </x:c>
      <x:c r="H1201" s="60" t="n">
        <x:v>403.47464129570005</x:v>
      </x:c>
      <x:c r="I1201" s="62" t="n">
        <x:v>0</x:v>
      </x:c>
      <x:c r="J1201" s="64" t="n">
        <x:v>1</x:v>
      </x:c>
      <x:c r="K1201" s="62" t="n">
        <x:v>2016.6676812940002</x:v>
      </x:c>
      <x:c r="L1201" s="60" t="n">
        <x:v>813674.2693227279</x:v>
      </x:c>
      <x:c r="M1201" s="62" t="n">
        <x:v>4.183806243568228</x:v>
      </x:c>
      <x:c r="N1201" s="62" t="n">
        <x:v>1526.8847008930502</x:v>
      </x:c>
      <x:c r="O1201" s="60" t="n">
        <x:v>616059.2569927156</x:v>
      </x:c>
      <x:c r="P1201" s="60" t="n">
        <x:v>197615.01233001228</x:v>
      </x:c>
      <x:c r="Q1201" s="62" t="n">
        <x:v>1.3207727342571998</x:v>
      </x:c>
      <x:c r="R1201" s="64" t="n">
        <x:v>0.3207727342571997</x:v>
      </x:c>
    </x:row>
    <x:row r="1202" ht="18" customHeight="1">
      <x:c r="A1202" s="46" t="str">
        <x:v>LME_014</x:v>
      </x:c>
      <x:c r="B1202" s="46" t="str">
        <x:v>Patagonian Shelf</x:v>
      </x:c>
      <x:c r="C1202" s="46" t="str">
        <x:v>functional</x:v>
      </x:c>
      <x:c r="D1202" s="46" t="str">
        <x:v>Small to medium sharks (&lt;90 cm)</x:v>
      </x:c>
      <x:c r="E1202" s="66" t="n">
        <x:v>1</x:v>
      </x:c>
      <x:c r="F1202" s="66" t="n">
        <x:v>1</x:v>
      </x:c>
      <x:c r="G1202" s="60" t="n">
        <x:v>3060.2053885812998</x:v>
      </x:c>
      <x:c r="H1202" s="60" t="n">
        <x:v>3060.2053885812998</x:v>
      </x:c>
      <x:c r="I1202" s="62" t="n">
        <x:v>0</x:v>
      </x:c>
      <x:c r="J1202" s="64" t="n">
        <x:v>1</x:v>
      </x:c>
      <x:c r="K1202" s="62" t="n">
        <x:v>389.04514499428046</x:v>
      </x:c>
      <x:c r="L1202" s="60" t="n">
        <x:v>1190558.0491128901</x:v>
      </x:c>
      <x:c r="M1202" s="62" t="n">
        <x:v>3.59</x:v>
      </x:c>
      <x:c r="N1202" s="62" t="n">
        <x:v>389.04514499428046</x:v>
      </x:c>
      <x:c r="O1202" s="60" t="n">
        <x:v>1190558.0491128901</x:v>
      </x:c>
      <x:c r="P1202" s="60" t="n">
        <x:v>0</x:v>
      </x:c>
      <x:c r="Q1202" s="62" t="n">
        <x:v>1</x:v>
      </x:c>
      <x:c r="R1202" s="64" t="n">
        <x:v>0</x:v>
      </x:c>
    </x:row>
    <x:row r="1203" ht="18" customHeight="1">
      <x:c r="A1203" s="46" t="str">
        <x:v>LME_015</x:v>
      </x:c>
      <x:c r="B1203" s="46" t="str">
        <x:v>South Brazil Shelf</x:v>
      </x:c>
      <x:c r="C1203" s="46" t="str">
        <x:v>functional</x:v>
      </x:c>
      <x:c r="D1203" s="46" t="str">
        <x:v>Cephalopods</x:v>
      </x:c>
      <x:c r="E1203" s="66" t="n">
        <x:v>5</x:v>
      </x:c>
      <x:c r="F1203" s="66" t="n">
        <x:v>5</x:v>
      </x:c>
      <x:c r="G1203" s="60" t="n">
        <x:v>1128.9740678458002</x:v>
      </x:c>
      <x:c r="H1203" s="60" t="n">
        <x:v>1128.9740678458002</x:v>
      </x:c>
      <x:c r="I1203" s="62" t="n">
        <x:v>0</x:v>
      </x:c>
      <x:c r="J1203" s="64" t="n">
        <x:v>1</x:v>
      </x:c>
      <x:c r="K1203" s="62" t="n">
        <x:v>627.8381272040031</x:v>
      </x:c>
      <x:c r="L1203" s="60" t="n">
        <x:v>708812.9644181923</x:v>
      </x:c>
      <x:c r="M1203" s="62" t="n">
        <x:v>3.793678926867843</x:v>
      </x:c>
      <x:c r="N1203" s="62" t="n">
        <x:v>621.8403897044726</x:v>
      </x:c>
      <x:c r="O1203" s="60" t="n">
        <x:v>702041.6743154761</x:v>
      </x:c>
      <x:c r="P1203" s="60" t="n">
        <x:v>6771.290102716186</x:v>
      </x:c>
      <x:c r="Q1203" s="62" t="n">
        <x:v>1.0096451398121322</x:v>
      </x:c>
      <x:c r="R1203" s="64" t="n">
        <x:v>0.009645139812132256</x:v>
      </x:c>
    </x:row>
    <x:row r="1204" ht="18" customHeight="1">
      <x:c r="A1204" s="46" t="str">
        <x:v>LME_015</x:v>
      </x:c>
      <x:c r="B1204" s="46" t="str">
        <x:v>South Brazil Shelf</x:v>
      </x:c>
      <x:c r="C1204" s="46" t="str">
        <x:v>functional</x:v>
      </x:c>
      <x:c r="D1204" s="46" t="str">
        <x:v>Large bathydemersals (&gt;=90 cm)</x:v>
      </x:c>
      <x:c r="E1204" s="66" t="n">
        <x:v>5</x:v>
      </x:c>
      <x:c r="F1204" s="66" t="n">
        <x:v>5</x:v>
      </x:c>
      <x:c r="G1204" s="60" t="n">
        <x:v>608.7961961883999</x:v>
      </x:c>
      <x:c r="H1204" s="60" t="n">
        <x:v>608.7961961883999</x:v>
      </x:c>
      <x:c r="I1204" s="62" t="n">
        <x:v>0</x:v>
      </x:c>
      <x:c r="J1204" s="64" t="n">
        <x:v>1</x:v>
      </x:c>
      <x:c r="K1204" s="62" t="n">
        <x:v>1575.4792496787218</x:v>
      </x:c>
      <x:c r="L1204" s="60" t="n">
        <x:v>959145.7743781601</x:v>
      </x:c>
      <x:c r="M1204" s="62" t="n">
        <x:v>4.195511132253915</x:v>
      </x:c>
      <x:c r="N1204" s="62" t="n">
        <x:v>1568.5961049291946</x:v>
      </x:c>
      <x:c r="O1204" s="60" t="n">
        <x:v>954955.3420368339</x:v>
      </x:c>
      <x:c r="P1204" s="60" t="n">
        <x:v>4190.432341326261</x:v>
      </x:c>
      <x:c r="Q1204" s="62" t="n">
        <x:v>1.0043880924655475</x:v>
      </x:c>
      <x:c r="R1204" s="64" t="n">
        <x:v>0.004388092465547599</x:v>
      </x:c>
    </x:row>
    <x:row r="1205" ht="18" customHeight="1">
      <x:c r="A1205" s="46" t="str">
        <x:v>LME_015</x:v>
      </x:c>
      <x:c r="B1205" s="46" t="str">
        <x:v>South Brazil Shelf</x:v>
      </x:c>
      <x:c r="C1205" s="46" t="str">
        <x:v>functional</x:v>
      </x:c>
      <x:c r="D1205" s="46" t="str">
        <x:v>Large bathypelagics (&gt;=90 cm)</x:v>
      </x:c>
      <x:c r="E1205" s="66" t="n">
        <x:v>2</x:v>
      </x:c>
      <x:c r="F1205" s="66" t="n">
        <x:v>2</x:v>
      </x:c>
      <x:c r="G1205" s="60" t="n">
        <x:v>42.137356414900005</x:v>
      </x:c>
      <x:c r="H1205" s="60" t="n">
        <x:v>42.137356414900005</x:v>
      </x:c>
      <x:c r="I1205" s="62" t="n">
        <x:v>0</x:v>
      </x:c>
      <x:c r="J1205" s="64" t="n">
        <x:v>1</x:v>
      </x:c>
      <x:c r="K1205" s="62" t="n">
        <x:v>2187.7225223366663</x:v>
      </x:c>
      <x:c r="L1205" s="60" t="n">
        <x:v>92184.84366060415</x:v>
      </x:c>
      <x:c r="M1205" s="62" t="n">
        <x:v>4.339991116209467</x:v>
      </x:c>
      <x:c r="N1205" s="62" t="n">
        <x:v>2187.7168722475867</x:v>
      </x:c>
      <x:c r="O1205" s="60" t="n">
        <x:v>92184.60558078683</x:v>
      </x:c>
      <x:c r="P1205" s="60" t="n">
        <x:v>0.23807981732534245</x:v>
      </x:c>
      <x:c r="Q1205" s="62" t="n">
        <x:v>1.0000025826418177</x:v>
      </x:c>
      <x:c r="R1205" s="64" t="n">
        <x:v>0.000002582641817745795</x:v>
      </x:c>
    </x:row>
    <x:row r="1206" ht="18" customHeight="1">
      <x:c r="A1206" s="46" t="str">
        <x:v>LME_015</x:v>
      </x:c>
      <x:c r="B1206" s="46" t="str">
        <x:v>South Brazil Shelf</x:v>
      </x:c>
      <x:c r="C1206" s="46" t="str">
        <x:v>functional</x:v>
      </x:c>
      <x:c r="D1206" s="46" t="str">
        <x:v>Large benthopelagics (&gt;=90 cm)</x:v>
      </x:c>
      <x:c r="E1206" s="66" t="n">
        <x:v>9</x:v>
      </x:c>
      <x:c r="F1206" s="66" t="n">
        <x:v>9</x:v>
      </x:c>
      <x:c r="G1206" s="60" t="n">
        <x:v>6468.236210026399</x:v>
      </x:c>
      <x:c r="H1206" s="60" t="n">
        <x:v>6468.236210026399</x:v>
      </x:c>
      <x:c r="I1206" s="62" t="n">
        <x:v>0</x:v>
      </x:c>
      <x:c r="J1206" s="64" t="n">
        <x:v>1</x:v>
      </x:c>
      <x:c r="K1206" s="62" t="n">
        <x:v>2587.5555899583082</x:v>
      </x:c>
      <x:c r="L1206" s="60" t="n">
        <x:v>16736920.762424551</x:v>
      </x:c>
      <x:c r="M1206" s="62" t="n">
        <x:v>4.410887575217163</x:v>
      </x:c>
      <x:c r="N1206" s="62" t="n">
        <x:v>2575.654317168352</x:v>
      </x:c>
      <x:c r="O1206" s="60" t="n">
        <x:v>16659940.518819153</x:v>
      </x:c>
      <x:c r="P1206" s="60" t="n">
        <x:v>76980.24360539764</x:v>
      </x:c>
      <x:c r="Q1206" s="62" t="n">
        <x:v>1.0046206793786834</x:v>
      </x:c>
      <x:c r="R1206" s="64" t="n">
        <x:v>0.004620679378683277</x:v>
      </x:c>
    </x:row>
    <x:row r="1207" ht="18" customHeight="1">
      <x:c r="A1207" s="46" t="str">
        <x:v>LME_015</x:v>
      </x:c>
      <x:c r="B1207" s="46" t="str">
        <x:v>South Brazil Shelf</x:v>
      </x:c>
      <x:c r="C1207" s="46" t="str">
        <x:v>functional</x:v>
      </x:c>
      <x:c r="D1207" s="46" t="str">
        <x:v>Large demersals (&gt;=90 cm)</x:v>
      </x:c>
      <x:c r="E1207" s="66" t="n">
        <x:v>9</x:v>
      </x:c>
      <x:c r="F1207" s="66" t="n">
        <x:v>9</x:v>
      </x:c>
      <x:c r="G1207" s="60" t="n">
        <x:v>6006.0747995453</x:v>
      </x:c>
      <x:c r="H1207" s="60" t="n">
        <x:v>6006.0747995453</x:v>
      </x:c>
      <x:c r="I1207" s="62" t="n">
        <x:v>0</x:v>
      </x:c>
      <x:c r="J1207" s="64" t="n">
        <x:v>1</x:v>
      </x:c>
      <x:c r="K1207" s="62" t="n">
        <x:v>1105.6784224037895</x:v>
      </x:c>
      <x:c r="L1207" s="60" t="n">
        <x:v>6640787.309200404</x:v>
      </x:c>
      <x:c r="M1207" s="62" t="n">
        <x:v>4.041239092272968</x:v>
      </x:c>
      <x:c r="N1207" s="62" t="n">
        <x:v>1099.611042026845</x:v>
      </x:c>
      <x:c r="O1207" s="60" t="n">
        <x:v>6604346.168819183</x:v>
      </x:c>
      <x:c r="P1207" s="60" t="n">
        <x:v>36441.14038122166</x:v>
      </x:c>
      <x:c r="Q1207" s="62" t="n">
        <x:v>1.0055177514094082</x:v>
      </x:c>
      <x:c r="R1207" s="64" t="n">
        <x:v>0.005517751409408195</x:v>
      </x:c>
    </x:row>
    <x:row r="1208" ht="18" customHeight="1">
      <x:c r="A1208" s="46" t="str">
        <x:v>LME_015</x:v>
      </x:c>
      <x:c r="B1208" s="46" t="str">
        <x:v>South Brazil Shelf</x:v>
      </x:c>
      <x:c r="C1208" s="46" t="str">
        <x:v>functional</x:v>
      </x:c>
      <x:c r="D1208" s="46" t="str">
        <x:v>Large pelagics (&gt;=90 cm)</x:v>
      </x:c>
      <x:c r="E1208" s="66" t="n">
        <x:v>25</x:v>
      </x:c>
      <x:c r="F1208" s="66" t="n">
        <x:v>25</x:v>
      </x:c>
      <x:c r="G1208" s="60" t="n">
        <x:v>23408.2091660222</x:v>
      </x:c>
      <x:c r="H1208" s="60" t="n">
        <x:v>23408.2091660222</x:v>
      </x:c>
      <x:c r="I1208" s="62" t="n">
        <x:v>0</x:v>
      </x:c>
      <x:c r="J1208" s="64" t="n">
        <x:v>1</x:v>
      </x:c>
      <x:c r="K1208" s="62" t="n">
        <x:v>2643.306534226118</x:v>
      </x:c>
      <x:c r="L1208" s="60" t="n">
        <x:v>61875072.24307819</x:v>
      </x:c>
      <x:c r="M1208" s="62" t="n">
        <x:v>4.391522203883495</x:v>
      </x:c>
      <x:c r="N1208" s="62" t="n">
        <x:v>2463.3277759273474</x:v>
      </x:c>
      <x:c r="O1208" s="60" t="n">
        <x:v>57662091.82337961</x:v>
      </x:c>
      <x:c r="P1208" s="60" t="n">
        <x:v>4212980.419698574</x:v>
      </x:c>
      <x:c r="Q1208" s="62" t="n">
        <x:v>1.073063260219609</x:v>
      </x:c>
      <x:c r="R1208" s="64" t="n">
        <x:v>0.07306326021960902</x:v>
      </x:c>
    </x:row>
    <x:row r="1209" ht="18" customHeight="1">
      <x:c r="A1209" s="46" t="str">
        <x:v>LME_015</x:v>
      </x:c>
      <x:c r="B1209" s="46" t="str">
        <x:v>South Brazil Shelf</x:v>
      </x:c>
      <x:c r="C1209" s="46" t="str">
        <x:v>functional</x:v>
      </x:c>
      <x:c r="D1209" s="46" t="str">
        <x:v>Large rays (&gt;=90 cm)</x:v>
      </x:c>
      <x:c r="E1209" s="66" t="n">
        <x:v>10</x:v>
      </x:c>
      <x:c r="F1209" s="66" t="n">
        <x:v>10</x:v>
      </x:c>
      <x:c r="G1209" s="60" t="n">
        <x:v>9089.333247651499</x:v>
      </x:c>
      <x:c r="H1209" s="60" t="n">
        <x:v>9089.333247651499</x:v>
      </x:c>
      <x:c r="I1209" s="62" t="n">
        <x:v>0</x:v>
      </x:c>
      <x:c r="J1209" s="64" t="n">
        <x:v>1</x:v>
      </x:c>
      <x:c r="K1209" s="62" t="n">
        <x:v>527.5538098344539</x:v>
      </x:c>
      <x:c r="L1209" s="60" t="n">
        <x:v>4795112.383653518</x:v>
      </x:c>
      <x:c r="M1209" s="62" t="n">
        <x:v>3.714920149174662</x:v>
      </x:c>
      <x:c r="N1209" s="62" t="n">
        <x:v>518.70465940001</x:v>
      </x:c>
      <x:c r="O1209" s="60" t="n">
        <x:v>4714679.506396257</x:v>
      </x:c>
      <x:c r="P1209" s="60" t="n">
        <x:v>80432.8772572605</x:v>
      </x:c>
      <x:c r="Q1209" s="62" t="n">
        <x:v>1.0170600943602084</x:v>
      </x:c>
      <x:c r="R1209" s="64" t="n">
        <x:v>0.017060094360208312</x:v>
      </x:c>
    </x:row>
    <x:row r="1210" ht="18" customHeight="1">
      <x:c r="A1210" s="46" t="str">
        <x:v>LME_015</x:v>
      </x:c>
      <x:c r="B1210" s="46" t="str">
        <x:v>South Brazil Shelf</x:v>
      </x:c>
      <x:c r="C1210" s="46" t="str">
        <x:v>functional</x:v>
      </x:c>
      <x:c r="D1210" s="46" t="str">
        <x:v>Large reef assoc. fish (&gt;=90 cm)</x:v>
      </x:c>
      <x:c r="E1210" s="66" t="n">
        <x:v>14</x:v>
      </x:c>
      <x:c r="F1210" s="66" t="n">
        <x:v>14</x:v>
      </x:c>
      <x:c r="G1210" s="60" t="n">
        <x:v>1182.8073413186003</x:v>
      </x:c>
      <x:c r="H1210" s="60" t="n">
        <x:v>1182.8073413186003</x:v>
      </x:c>
      <x:c r="I1210" s="62" t="n">
        <x:v>0</x:v>
      </x:c>
      <x:c r="J1210" s="64" t="n">
        <x:v>1</x:v>
      </x:c>
      <x:c r="K1210" s="62" t="n">
        <x:v>451.71760612470075</x:v>
      </x:c>
      <x:c r="L1210" s="60" t="n">
        <x:v>534294.9007271599</x:v>
      </x:c>
      <x:c r="M1210" s="62" t="n">
        <x:v>3.560210243995016</x:v>
      </x:c>
      <x:c r="N1210" s="62" t="n">
        <x:v>363.25386511069297</x:v>
      </x:c>
      <x:c r="O1210" s="60" t="n">
        <x:v>429659.3384152842</x:v>
      </x:c>
      <x:c r="P1210" s="60" t="n">
        <x:v>104635.56231187575</x:v>
      </x:c>
      <x:c r="Q1210" s="62" t="n">
        <x:v>1.2435314514466365</x:v>
      </x:c>
      <x:c r="R1210" s="64" t="n">
        <x:v>0.24353145144663652</x:v>
      </x:c>
    </x:row>
    <x:row r="1211" ht="18" customHeight="1">
      <x:c r="A1211" s="46" t="str">
        <x:v>LME_015</x:v>
      </x:c>
      <x:c r="B1211" s="46" t="str">
        <x:v>South Brazil Shelf</x:v>
      </x:c>
      <x:c r="C1211" s="46" t="str">
        <x:v>functional</x:v>
      </x:c>
      <x:c r="D1211" s="46" t="str">
        <x:v>Large sharks (&gt;=90 cm)</x:v>
      </x:c>
      <x:c r="E1211" s="66" t="n">
        <x:v>27</x:v>
      </x:c>
      <x:c r="F1211" s="66" t="n">
        <x:v>27</x:v>
      </x:c>
      <x:c r="G1211" s="60" t="n">
        <x:v>21692.304022246804</x:v>
      </x:c>
      <x:c r="H1211" s="60" t="n">
        <x:v>21692.304022246804</x:v>
      </x:c>
      <x:c r="I1211" s="62" t="n">
        <x:v>0</x:v>
      </x:c>
      <x:c r="J1211" s="64" t="n">
        <x:v>1</x:v>
      </x:c>
      <x:c r="K1211" s="62" t="n">
        <x:v>1243.8703475491177</x:v>
      </x:c>
      <x:c r="L1211" s="60" t="n">
        <x:v>26982413.743293256</x:v>
      </x:c>
      <x:c r="M1211" s="62" t="n">
        <x:v>4.021397854759408</x:v>
      </x:c>
      <x:c r="N1211" s="62" t="n">
        <x:v>1050.5043491715999</x:v>
      </x:c>
      <x:c r="O1211" s="60" t="n">
        <x:v>22787859.718922857</x:v>
      </x:c>
      <x:c r="P1211" s="60" t="n">
        <x:v>4194554.024370398</x:v>
      </x:c>
      <x:c r="Q1211" s="62" t="n">
        <x:v>1.1840696790355996</x:v>
      </x:c>
      <x:c r="R1211" s="64" t="n">
        <x:v>0.18406967903559956</x:v>
      </x:c>
    </x:row>
    <x:row r="1212" ht="18" customHeight="1">
      <x:c r="A1212" s="46" t="str">
        <x:v>LME_015</x:v>
      </x:c>
      <x:c r="B1212" s="46" t="str">
        <x:v>South Brazil Shelf</x:v>
      </x:c>
      <x:c r="C1212" s="46" t="str">
        <x:v>functional</x:v>
      </x:c>
      <x:c r="D1212" s="46" t="str">
        <x:v>Lobsters, crabs</x:v>
      </x:c>
      <x:c r="E1212" s="66" t="n">
        <x:v>8</x:v>
      </x:c>
      <x:c r="F1212" s="66" t="n">
        <x:v>8</x:v>
      </x:c>
      <x:c r="G1212" s="60" t="n">
        <x:v>1015.2373884796</x:v>
      </x:c>
      <x:c r="H1212" s="60" t="n">
        <x:v>1015.2373884796</x:v>
      </x:c>
      <x:c r="I1212" s="62" t="n">
        <x:v>0</x:v>
      </x:c>
      <x:c r="J1212" s="64" t="n">
        <x:v>1</x:v>
      </x:c>
      <x:c r="K1212" s="62" t="n">
        <x:v>391.3723181621416</x:v>
      </x:c>
      <x:c r="L1212" s="60" t="n">
        <x:v>397335.81021413975</x:v>
      </x:c>
      <x:c r="M1212" s="62" t="n">
        <x:v>3.5564888179999388</x:v>
      </x:c>
      <x:c r="N1212" s="62" t="n">
        <x:v>360.1544771955502</x:v>
      </x:c>
      <x:c r="O1212" s="60" t="n">
        <x:v>365642.29087724607</x:v>
      </x:c>
      <x:c r="P1212" s="60" t="n">
        <x:v>31693.51933689369</x:v>
      </x:c>
      <x:c r="Q1212" s="62" t="n">
        <x:v>1.0866790306472889</x:v>
      </x:c>
      <x:c r="R1212" s="64" t="n">
        <x:v>0.08667903064728878</x:v>
      </x:c>
    </x:row>
    <x:row r="1213" ht="18" customHeight="1">
      <x:c r="A1213" s="46" t="str">
        <x:v>LME_015</x:v>
      </x:c>
      <x:c r="B1213" s="46" t="str">
        <x:v>South Brazil Shelf</x:v>
      </x:c>
      <x:c r="C1213" s="46" t="str">
        <x:v>functional</x:v>
      </x:c>
      <x:c r="D1213" s="46" t="str">
        <x:v>Medium bathydemersals (30 - 89 cm)</x:v>
      </x:c>
      <x:c r="E1213" s="66" t="n">
        <x:v>2</x:v>
      </x:c>
      <x:c r="F1213" s="66" t="n">
        <x:v>2</x:v>
      </x:c>
      <x:c r="G1213" s="60" t="n">
        <x:v>884.0317484727</x:v>
      </x:c>
      <x:c r="H1213" s="60" t="n">
        <x:v>884.0317484727</x:v>
      </x:c>
      <x:c r="I1213" s="62" t="n">
        <x:v>0</x:v>
      </x:c>
      <x:c r="J1213" s="64" t="n">
        <x:v>1</x:v>
      </x:c>
      <x:c r="K1213" s="62" t="n">
        <x:v>3081.9323536431166</x:v>
      </x:c>
      <x:c r="L1213" s="60" t="n">
        <x:v>2724526.047265708</x:v>
      </x:c>
      <x:c r="M1213" s="62" t="n">
        <x:v>4.488501982637864</x:v>
      </x:c>
      <x:c r="N1213" s="62" t="n">
        <x:v>3079.654400685135</x:v>
      </x:c>
      <x:c r="O1213" s="60" t="n">
        <x:v>2722512.2645293246</x:v>
      </x:c>
      <x:c r="P1213" s="60" t="n">
        <x:v>2013.7827363833785</x:v>
      </x:c>
      <x:c r="Q1213" s="62" t="n">
        <x:v>1.0007396781137115</x:v>
      </x:c>
      <x:c r="R1213" s="64" t="n">
        <x:v>0.0007396781137114645</x:v>
      </x:c>
    </x:row>
    <x:row r="1214" ht="18" customHeight="1">
      <x:c r="A1214" s="46" t="str">
        <x:v>LME_015</x:v>
      </x:c>
      <x:c r="B1214" s="46" t="str">
        <x:v>South Brazil Shelf</x:v>
      </x:c>
      <x:c r="C1214" s="46" t="str">
        <x:v>functional</x:v>
      </x:c>
      <x:c r="D1214" s="46" t="str">
        <x:v>Medium benthopelagics (30 - 89 cm)</x:v>
      </x:c>
      <x:c r="E1214" s="66" t="n">
        <x:v>14</x:v>
      </x:c>
      <x:c r="F1214" s="66" t="n">
        <x:v>14</x:v>
      </x:c>
      <x:c r="G1214" s="60" t="n">
        <x:v>3223.4317297621</x:v>
      </x:c>
      <x:c r="H1214" s="60" t="n">
        <x:v>3223.4317297621</x:v>
      </x:c>
      <x:c r="I1214" s="62" t="n">
        <x:v>0</x:v>
      </x:c>
      <x:c r="J1214" s="64" t="n">
        <x:v>1</x:v>
      </x:c>
      <x:c r="K1214" s="62" t="n">
        <x:v>1368.2673483645203</x:v>
      </x:c>
      <x:c r="L1214" s="60" t="n">
        <x:v>4410516.385515648</x:v>
      </x:c>
      <x:c r="M1214" s="62" t="n">
        <x:v>4.10872282449673</x:v>
      </x:c>
      <x:c r="N1214" s="62" t="n">
        <x:v>1284.4666257666345</x:v>
      </x:c>
      <x:c r="O1214" s="60" t="n">
        <x:v>4140390.4773166305</x:v>
      </x:c>
      <x:c r="P1214" s="60" t="n">
        <x:v>270125.9081990174</x:v>
      </x:c>
      <x:c r="Q1214" s="62" t="n">
        <x:v>1.065241650438266</x:v>
      </x:c>
      <x:c r="R1214" s="64" t="n">
        <x:v>0.06524165043826612</x:v>
      </x:c>
    </x:row>
    <x:row r="1215" ht="18" customHeight="1">
      <x:c r="A1215" s="46" t="str">
        <x:v>LME_015</x:v>
      </x:c>
      <x:c r="B1215" s="46" t="str">
        <x:v>South Brazil Shelf</x:v>
      </x:c>
      <x:c r="C1215" s="46" t="str">
        <x:v>functional</x:v>
      </x:c>
      <x:c r="D1215" s="46" t="str">
        <x:v>Medium demersals (30 - 89 cm)</x:v>
      </x:c>
      <x:c r="E1215" s="66" t="n">
        <x:v>37</x:v>
      </x:c>
      <x:c r="F1215" s="66" t="n">
        <x:v>37</x:v>
      </x:c>
      <x:c r="G1215" s="60" t="n">
        <x:v>152028.97673790538</x:v>
      </x:c>
      <x:c r="H1215" s="60" t="n">
        <x:v>152028.97673790538</x:v>
      </x:c>
      <x:c r="I1215" s="62" t="n">
        <x:v>0</x:v>
      </x:c>
      <x:c r="J1215" s="64" t="n">
        <x:v>1</x:v>
      </x:c>
      <x:c r="K1215" s="62" t="n">
        <x:v>521.0670871584366</x:v>
      </x:c>
      <x:c r="L1215" s="60" t="n">
        <x:v>79217296.07249807</x:v>
      </x:c>
      <x:c r="M1215" s="62" t="n">
        <x:v>3.5893890072029437</x:v>
      </x:c>
      <x:c r="N1215" s="62" t="n">
        <x:v>388.4981966417494</x:v>
      </x:c>
      <x:c r="O1215" s="60" t="n">
        <x:v>59062983.299966715</x:v>
      </x:c>
      <x:c r="P1215" s="60" t="n">
        <x:v>20154312.772531353</x:v>
      </x:c>
      <x:c r="Q1215" s="62" t="n">
        <x:v>1.341234249380402</x:v>
      </x:c>
      <x:c r="R1215" s="64" t="n">
        <x:v>0.34123424938040187</x:v>
      </x:c>
    </x:row>
    <x:row r="1216" ht="18" customHeight="1">
      <x:c r="A1216" s="46" t="str">
        <x:v>LME_015</x:v>
      </x:c>
      <x:c r="B1216" s="46" t="str">
        <x:v>South Brazil Shelf</x:v>
      </x:c>
      <x:c r="C1216" s="46" t="str">
        <x:v>functional</x:v>
      </x:c>
      <x:c r="D1216" s="46" t="str">
        <x:v>Medium pelagics (30 - 89 cm)</x:v>
      </x:c>
      <x:c r="E1216" s="66" t="n">
        <x:v>15</x:v>
      </x:c>
      <x:c r="F1216" s="66" t="n">
        <x:v>15</x:v>
      </x:c>
      <x:c r="G1216" s="60" t="n">
        <x:v>4261.2009268325</x:v>
      </x:c>
      <x:c r="H1216" s="60" t="n">
        <x:v>4261.2009268325</x:v>
      </x:c>
      <x:c r="I1216" s="62" t="n">
        <x:v>0</x:v>
      </x:c>
      <x:c r="J1216" s="64" t="n">
        <x:v>1</x:v>
      </x:c>
      <x:c r="K1216" s="62" t="n">
        <x:v>1168.2866410933132</x:v>
      </x:c>
      <x:c r="L1216" s="60" t="n">
        <x:v>4978304.117832854</x:v>
      </x:c>
      <x:c r="M1216" s="62" t="n">
        <x:v>3.9251654245522567</x:v>
      </x:c>
      <x:c r="N1216" s="62" t="n">
        <x:v>841.7156935570282</x:v>
      </x:c>
      <x:c r="O1216" s="60" t="n">
        <x:v>3586719.6935146693</x:v>
      </x:c>
      <x:c r="P1216" s="60" t="n">
        <x:v>1391584.424318185</x:v>
      </x:c>
      <x:c r="Q1216" s="62" t="n">
        <x:v>1.3879824862908523</x:v>
      </x:c>
      <x:c r="R1216" s="64" t="n">
        <x:v>0.3879824862908523</x:v>
      </x:c>
    </x:row>
    <x:row r="1217" ht="18" customHeight="1">
      <x:c r="A1217" s="46" t="str">
        <x:v>LME_015</x:v>
      </x:c>
      <x:c r="B1217" s="46" t="str">
        <x:v>South Brazil Shelf</x:v>
      </x:c>
      <x:c r="C1217" s="46" t="str">
        <x:v>functional</x:v>
      </x:c>
      <x:c r="D1217" s="46" t="str">
        <x:v>Medium reef assoc. fish (30 - 89 cm)</x:v>
      </x:c>
      <x:c r="E1217" s="66" t="n">
        <x:v>29</x:v>
      </x:c>
      <x:c r="F1217" s="66" t="n">
        <x:v>29</x:v>
      </x:c>
      <x:c r="G1217" s="60" t="n">
        <x:v>1547.1141481054</x:v>
      </x:c>
      <x:c r="H1217" s="60" t="n">
        <x:v>1547.1141481054</x:v>
      </x:c>
      <x:c r="I1217" s="62" t="n">
        <x:v>0</x:v>
      </x:c>
      <x:c r="J1217" s="64" t="n">
        <x:v>1</x:v>
      </x:c>
      <x:c r="K1217" s="62" t="n">
        <x:v>778.1490695420191</x:v>
      </x:c>
      <x:c r="L1217" s="60" t="n">
        <x:v>1203885.4348235107</x:v>
      </x:c>
      <x:c r="M1217" s="62" t="n">
        <x:v>3.7742523048833774</x:v>
      </x:c>
      <x:c r="N1217" s="62" t="n">
        <x:v>594.6375150116486</x:v>
      </x:c>
      <x:c r="O1217" s="60" t="n">
        <x:v>919972.1124687587</x:v>
      </x:c>
      <x:c r="P1217" s="60" t="n">
        <x:v>283913.322354752</x:v>
      </x:c>
      <x:c r="Q1217" s="62" t="n">
        <x:v>1.3086107921172376</x:v>
      </x:c>
      <x:c r="R1217" s="64" t="n">
        <x:v>0.3086107921172376</x:v>
      </x:c>
    </x:row>
    <x:row r="1218" ht="18" customHeight="1">
      <x:c r="A1218" s="46" t="str">
        <x:v>LME_015</x:v>
      </x:c>
      <x:c r="B1218" s="46" t="str">
        <x:v>South Brazil Shelf</x:v>
      </x:c>
      <x:c r="C1218" s="46" t="str">
        <x:v>functional</x:v>
      </x:c>
      <x:c r="D1218" s="46" t="str">
        <x:v>Other demersal invertebrates</x:v>
      </x:c>
      <x:c r="E1218" s="66" t="n">
        <x:v>7</x:v>
      </x:c>
      <x:c r="F1218" s="66" t="n">
        <x:v>7</x:v>
      </x:c>
      <x:c r="G1218" s="60" t="n">
        <x:v>3973.2032768271997</x:v>
      </x:c>
      <x:c r="H1218" s="60" t="n">
        <x:v>3973.2032768271997</x:v>
      </x:c>
      <x:c r="I1218" s="62" t="n">
        <x:v>0</x:v>
      </x:c>
      <x:c r="J1218" s="64" t="n">
        <x:v>1</x:v>
      </x:c>
      <x:c r="K1218" s="62" t="n">
        <x:v>12.381469033911099</x:v>
      </x:c>
      <x:c r="L1218" s="60" t="n">
        <x:v>49194.09333747008</x:v>
      </x:c>
      <x:c r="M1218" s="62" t="n">
        <x:v>2.0784048706608114</x:v>
      </x:c>
      <x:c r="N1218" s="62" t="n">
        <x:v>11.978567118464811</x:v>
      </x:c>
      <x:c r="O1218" s="60" t="n">
        <x:v>47593.28212677893</x:v>
      </x:c>
      <x:c r="P1218" s="60" t="n">
        <x:v>1600.8112106911503</x:v>
      </x:c>
      <x:c r="Q1218" s="62" t="n">
        <x:v>1.0336352346204432</x:v>
      </x:c>
      <x:c r="R1218" s="64" t="n">
        <x:v>0.03363523462044309</x:v>
      </x:c>
    </x:row>
    <x:row r="1219" ht="18" customHeight="1">
      <x:c r="A1219" s="46" t="str">
        <x:v>LME_015</x:v>
      </x:c>
      <x:c r="B1219" s="46" t="str">
        <x:v>South Brazil Shelf</x:v>
      </x:c>
      <x:c r="C1219" s="46" t="str">
        <x:v>functional</x:v>
      </x:c>
      <x:c r="D1219" s="46" t="str">
        <x:v>Shrimps</x:v>
      </x:c>
      <x:c r="E1219" s="66" t="n">
        <x:v>8</x:v>
      </x:c>
      <x:c r="F1219" s="66" t="n">
        <x:v>8</x:v>
      </x:c>
      <x:c r="G1219" s="60" t="n">
        <x:v>10854.241242929</x:v>
      </x:c>
      <x:c r="H1219" s="60" t="n">
        <x:v>10854.241242929</x:v>
      </x:c>
      <x:c r="I1219" s="62" t="n">
        <x:v>0</x:v>
      </x:c>
      <x:c r="J1219" s="64" t="n">
        <x:v>1</x:v>
      </x:c>
      <x:c r="K1219" s="62" t="n">
        <x:v>59.95151999433141</x:v>
      </x:c>
      <x:c r="L1219" s="60" t="n">
        <x:v>650728.2608987546</x:v>
      </x:c>
      <x:c r="M1219" s="62" t="n">
        <x:v>2.725137929570111</x:v>
      </x:c>
      <x:c r="N1219" s="62" t="n">
        <x:v>53.10530770258588</x:v>
      </x:c>
      <x:c r="O1219" s="60" t="n">
        <x:v>576417.8210838428</x:v>
      </x:c>
      <x:c r="P1219" s="60" t="n">
        <x:v>74310.4398149118</x:v>
      </x:c>
      <x:c r="Q1219" s="62" t="n">
        <x:v>1.1289176654448076</x:v>
      </x:c>
      <x:c r="R1219" s="64" t="n">
        <x:v>0.1289176654448076</x:v>
      </x:c>
    </x:row>
    <x:row r="1220" ht="18" customHeight="1">
      <x:c r="A1220" s="46" t="str">
        <x:v>LME_015</x:v>
      </x:c>
      <x:c r="B1220" s="46" t="str">
        <x:v>South Brazil Shelf</x:v>
      </x:c>
      <x:c r="C1220" s="46" t="str">
        <x:v>functional</x:v>
      </x:c>
      <x:c r="D1220" s="46" t="str">
        <x:v>Small benthopelagics (&lt;30 cm)</x:v>
      </x:c>
      <x:c r="E1220" s="66" t="n">
        <x:v>3</x:v>
      </x:c>
      <x:c r="F1220" s="66" t="n">
        <x:v>3</x:v>
      </x:c>
      <x:c r="G1220" s="60" t="n">
        <x:v>608.0292341077</x:v>
      </x:c>
      <x:c r="H1220" s="60" t="n">
        <x:v>608.0292341077</x:v>
      </x:c>
      <x:c r="I1220" s="62" t="n">
        <x:v>0</x:v>
      </x:c>
      <x:c r="J1220" s="64" t="n">
        <x:v>1</x:v>
      </x:c>
      <x:c r="K1220" s="62" t="n">
        <x:v>414.7480987192597</x:v>
      </x:c>
      <x:c r="L1220" s="60" t="n">
        <x:v>252178.96881189622</x:v>
      </x:c>
      <x:c r="M1220" s="62" t="n">
        <x:v>3.179649620130363</x:v>
      </x:c>
      <x:c r="N1220" s="62" t="n">
        <x:v>151.23406307532352</x:v>
      </x:c>
      <x:c r="O1220" s="60" t="n">
        <x:v>91954.73154268455</x:v>
      </x:c>
      <x:c r="P1220" s="60" t="n">
        <x:v>160224.23726921168</x:v>
      </x:c>
      <x:c r="Q1220" s="62" t="n">
        <x:v>2.74242515399914</x:v>
      </x:c>
      <x:c r="R1220" s="64" t="n">
        <x:v>1.7424251539991398</x:v>
      </x:c>
    </x:row>
    <x:row r="1221" ht="18" customHeight="1">
      <x:c r="A1221" s="46" t="str">
        <x:v>LME_015</x:v>
      </x:c>
      <x:c r="B1221" s="46" t="str">
        <x:v>South Brazil Shelf</x:v>
      </x:c>
      <x:c r="C1221" s="46" t="str">
        <x:v>functional</x:v>
      </x:c>
      <x:c r="D1221" s="46" t="str">
        <x:v>Small demersals (&lt;30 cm)</x:v>
      </x:c>
      <x:c r="E1221" s="66" t="n">
        <x:v>9</x:v>
      </x:c>
      <x:c r="F1221" s="66" t="n">
        <x:v>9</x:v>
      </x:c>
      <x:c r="G1221" s="60" t="n">
        <x:v>4492.856275167201</x:v>
      </x:c>
      <x:c r="H1221" s="60" t="n">
        <x:v>4492.856275167201</x:v>
      </x:c>
      <x:c r="I1221" s="62" t="n">
        <x:v>0</x:v>
      </x:c>
      <x:c r="J1221" s="64" t="n">
        <x:v>1</x:v>
      </x:c>
      <x:c r="K1221" s="62" t="n">
        <x:v>333.6823605152443</x:v>
      </x:c>
      <x:c r="L1221" s="60" t="n">
        <x:v>1499186.8873535194</x:v>
      </x:c>
      <x:c r="M1221" s="62" t="n">
        <x:v>3.504429365530371</x:v>
      </x:c>
      <x:c r="N1221" s="62" t="n">
        <x:v>319.46947314053085</x:v>
      </x:c>
      <x:c r="O1221" s="60" t="n">
        <x:v>1435330.4271237934</x:v>
      </x:c>
      <x:c r="P1221" s="60" t="n">
        <x:v>63856.46022972604</x:v>
      </x:c>
      <x:c r="Q1221" s="62" t="n">
        <x:v>1.0444890312523267</x:v>
      </x:c>
      <x:c r="R1221" s="64" t="n">
        <x:v>0.04448903125232682</x:v>
      </x:c>
    </x:row>
    <x:row r="1222" ht="18" customHeight="1">
      <x:c r="A1222" s="46" t="str">
        <x:v>LME_015</x:v>
      </x:c>
      <x:c r="B1222" s="46" t="str">
        <x:v>South Brazil Shelf</x:v>
      </x:c>
      <x:c r="C1222" s="46" t="str">
        <x:v>functional</x:v>
      </x:c>
      <x:c r="D1222" s="46" t="str">
        <x:v>Small pelagics (&lt;30 cm)</x:v>
      </x:c>
      <x:c r="E1222" s="66" t="n">
        <x:v>15</x:v>
      </x:c>
      <x:c r="F1222" s="66" t="n">
        <x:v>15</x:v>
      </x:c>
      <x:c r="G1222" s="60" t="n">
        <x:v>28576.717517410503</x:v>
      </x:c>
      <x:c r="H1222" s="60" t="n">
        <x:v>28576.717517410503</x:v>
      </x:c>
      <x:c r="I1222" s="62" t="n">
        <x:v>0</x:v>
      </x:c>
      <x:c r="J1222" s="64" t="n">
        <x:v>1</x:v>
      </x:c>
      <x:c r="K1222" s="62" t="n">
        <x:v>265.484052341304</x:v>
      </x:c>
      <x:c r="L1222" s="60" t="n">
        <x:v>7586662.769134869</x:v>
      </x:c>
      <x:c r="M1222" s="62" t="n">
        <x:v>3.1828240086216777</x:v>
      </x:c>
      <x:c r="N1222" s="62" t="n">
        <x:v>152.34352792099332</x:v>
      </x:c>
      <x:c r="O1222" s="60" t="n">
        <x:v>4353477.963003966</x:v>
      </x:c>
      <x:c r="P1222" s="60" t="n">
        <x:v>3233184.806130903</x:v>
      </x:c>
      <x:c r="Q1222" s="62" t="n">
        <x:v>1.7426670890737566</x:v>
      </x:c>
      <x:c r="R1222" s="64" t="n">
        <x:v>0.7426670890737566</x:v>
      </x:c>
    </x:row>
    <x:row r="1223" ht="18" customHeight="1">
      <x:c r="A1223" s="46" t="str">
        <x:v>LME_015</x:v>
      </x:c>
      <x:c r="B1223" s="46" t="str">
        <x:v>South Brazil Shelf</x:v>
      </x:c>
      <x:c r="C1223" s="46" t="str">
        <x:v>functional</x:v>
      </x:c>
      <x:c r="D1223" s="46" t="str">
        <x:v>Small reef assoc. fish (&lt;30 cm)</x:v>
      </x:c>
      <x:c r="E1223" s="66" t="n">
        <x:v>5</x:v>
      </x:c>
      <x:c r="F1223" s="66" t="n">
        <x:v>5</x:v>
      </x:c>
      <x:c r="G1223" s="60" t="n">
        <x:v>52.254157327799994</x:v>
      </x:c>
      <x:c r="H1223" s="60" t="n">
        <x:v>52.254157327799994</x:v>
      </x:c>
      <x:c r="I1223" s="62" t="n">
        <x:v>0</x:v>
      </x:c>
      <x:c r="J1223" s="64" t="n">
        <x:v>1</x:v>
      </x:c>
      <x:c r="K1223" s="62" t="n">
        <x:v>1011.5112060731468</x:v>
      </x:c>
      <x:c r="L1223" s="60" t="n">
        <x:v>52855.665700978934</x:v>
      </x:c>
      <x:c r="M1223" s="62" t="n">
        <x:v>3.5682788921369872</x:v>
      </x:c>
      <x:c r="N1223" s="62" t="n">
        <x:v>370.06574967884643</x:v>
      </x:c>
      <x:c r="O1223" s="60" t="n">
        <x:v>19337.473905348692</x:v>
      </x:c>
      <x:c r="P1223" s="60" t="n">
        <x:v>33518.19179563024</x:v>
      </x:c>
      <x:c r="Q1223" s="62" t="n">
        <x:v>2.733328353004743</x:v>
      </x:c>
      <x:c r="R1223" s="64" t="n">
        <x:v>1.733328353004743</x:v>
      </x:c>
    </x:row>
    <x:row r="1224" ht="18" customHeight="1">
      <x:c r="A1224" s="46" t="str">
        <x:v>LME_015</x:v>
      </x:c>
      <x:c r="B1224" s="46" t="str">
        <x:v>South Brazil Shelf</x:v>
      </x:c>
      <x:c r="C1224" s="46" t="str">
        <x:v>functional</x:v>
      </x:c>
      <x:c r="D1224" s="46" t="str">
        <x:v>Small to medium flatfishes (&lt;90 cm)</x:v>
      </x:c>
      <x:c r="E1224" s="66" t="n">
        <x:v>2</x:v>
      </x:c>
      <x:c r="F1224" s="66" t="n">
        <x:v>2</x:v>
      </x:c>
      <x:c r="G1224" s="60" t="n">
        <x:v>999.6871411252</x:v>
      </x:c>
      <x:c r="H1224" s="60" t="n">
        <x:v>999.6871411252</x:v>
      </x:c>
      <x:c r="I1224" s="62" t="n">
        <x:v>0</x:v>
      </x:c>
      <x:c r="J1224" s="64" t="n">
        <x:v>1</x:v>
      </x:c>
      <x:c r="K1224" s="62" t="n">
        <x:v>244.47917993284625</x:v>
      </x:c>
      <x:c r="L1224" s="60" t="n">
        <x:v>244402.69245170042</x:v>
      </x:c>
      <x:c r="M1224" s="62" t="n">
        <x:v>3.368495957037971</x:v>
      </x:c>
      <x:c r="N1224" s="62" t="n">
        <x:v>233.61243545191186</x:v>
      </x:c>
      <x:c r="O1224" s="60" t="n">
        <x:v>233539.3477282171</x:v>
      </x:c>
      <x:c r="P1224" s="60" t="n">
        <x:v>10863.344723483315</x:v>
      </x:c>
      <x:c r="Q1224" s="62" t="n">
        <x:v>1.0465161217120706</x:v>
      </x:c>
      <x:c r="R1224" s="64" t="n">
        <x:v>0.046516121712070556</x:v>
      </x:c>
    </x:row>
    <x:row r="1225" ht="18" customHeight="1">
      <x:c r="A1225" s="46" t="str">
        <x:v>LME_015</x:v>
      </x:c>
      <x:c r="B1225" s="46" t="str">
        <x:v>South Brazil Shelf</x:v>
      </x:c>
      <x:c r="C1225" s="46" t="str">
        <x:v>functional</x:v>
      </x:c>
      <x:c r="D1225" s="46" t="str">
        <x:v>Small to medium rays (&lt;90 cm)</x:v>
      </x:c>
      <x:c r="E1225" s="66" t="n">
        <x:v>3</x:v>
      </x:c>
      <x:c r="F1225" s="66" t="n">
        <x:v>3</x:v>
      </x:c>
      <x:c r="G1225" s="60" t="n">
        <x:v>62.5574697396</x:v>
      </x:c>
      <x:c r="H1225" s="60" t="n">
        <x:v>62.5574697396</x:v>
      </x:c>
      <x:c r="I1225" s="62" t="n">
        <x:v>0</x:v>
      </x:c>
      <x:c r="J1225" s="64" t="n">
        <x:v>1</x:v>
      </x:c>
      <x:c r="K1225" s="62" t="n">
        <x:v>319.1667953258611</x:v>
      </x:c>
      <x:c r="L1225" s="60" t="n">
        <x:v>19966.26714048266</x:v>
      </x:c>
      <x:c r="M1225" s="62" t="n">
        <x:v>3.5036843723176054</x:v>
      </x:c>
      <x:c r="N1225" s="62" t="n">
        <x:v>318.9219216985541</x:v>
      </x:c>
      <x:c r="O1225" s="60" t="n">
        <x:v>19950.94846595238</x:v>
      </x:c>
      <x:c r="P1225" s="60" t="n">
        <x:v>15.318674530280987</x:v>
      </x:c>
      <x:c r="Q1225" s="62" t="n">
        <x:v>1.0007678168562473</x:v>
      </x:c>
      <x:c r="R1225" s="64" t="n">
        <x:v>0.0007678168562473771</x:v>
      </x:c>
    </x:row>
    <x:row r="1226" ht="18" customHeight="1">
      <x:c r="A1226" s="46" t="str">
        <x:v>LME_015</x:v>
      </x:c>
      <x:c r="B1226" s="46" t="str">
        <x:v>South Brazil Shelf</x:v>
      </x:c>
      <x:c r="C1226" s="46" t="str">
        <x:v>functional</x:v>
      </x:c>
      <x:c r="D1226" s="46" t="str">
        <x:v>Small to medium sharks (&lt;90 cm)</x:v>
      </x:c>
      <x:c r="E1226" s="66" t="n">
        <x:v>1</x:v>
      </x:c>
      <x:c r="F1226" s="66" t="n">
        <x:v>1</x:v>
      </x:c>
      <x:c r="G1226" s="60" t="n">
        <x:v>10225.6885757543</x:v>
      </x:c>
      <x:c r="H1226" s="60" t="n">
        <x:v>10225.6885757543</x:v>
      </x:c>
      <x:c r="I1226" s="62" t="n">
        <x:v>0</x:v>
      </x:c>
      <x:c r="J1226" s="64" t="n">
        <x:v>1</x:v>
      </x:c>
      <x:c r="K1226" s="62" t="n">
        <x:v>389.04514499428046</x:v>
      </x:c>
      <x:c r="L1226" s="60" t="n">
        <x:v>3978254.494620689</x:v>
      </x:c>
      <x:c r="M1226" s="62" t="n">
        <x:v>3.5899999999999994</x:v>
      </x:c>
      <x:c r="N1226" s="62" t="n">
        <x:v>389.04514499428007</x:v>
      </x:c>
      <x:c r="O1226" s="60" t="n">
        <x:v>3978254.494620685</x:v>
      </x:c>
      <x:c r="P1226" s="60" t="n">
        <x:v>4.190951585769653e-9</x:v>
      </x:c>
      <x:c r="Q1226" s="62" t="n">
        <x:v>1.000000000000001</x:v>
      </x:c>
      <x:c r="R1226" s="64" t="n">
        <x:v>1.0534649282585046e-15</x:v>
      </x:c>
    </x:row>
    <x:row r="1227" ht="18" customHeight="1">
      <x:c r="A1227" s="46" t="str">
        <x:v>LME_016</x:v>
      </x:c>
      <x:c r="B1227" s="46" t="str">
        <x:v>East Brazil Shelf</x:v>
      </x:c>
      <x:c r="C1227" s="46" t="str">
        <x:v>functional</x:v>
      </x:c>
      <x:c r="D1227" s="46" t="str">
        <x:v>Cephalopods</x:v>
      </x:c>
      <x:c r="E1227" s="66" t="n">
        <x:v>6</x:v>
      </x:c>
      <x:c r="F1227" s="66" t="n">
        <x:v>6</x:v>
      </x:c>
      <x:c r="G1227" s="60" t="n">
        <x:v>661.5149865035</x:v>
      </x:c>
      <x:c r="H1227" s="60" t="n">
        <x:v>661.5149865035</x:v>
      </x:c>
      <x:c r="I1227" s="62" t="n">
        <x:v>0</x:v>
      </x:c>
      <x:c r="J1227" s="64" t="n">
        <x:v>1</x:v>
      </x:c>
      <x:c r="K1227" s="62" t="n">
        <x:v>632.1326422562225</x:v>
      </x:c>
      <x:c r="L1227" s="60" t="n">
        <x:v>418165.21631054685</x:v>
      </x:c>
      <x:c r="M1227" s="62" t="n">
        <x:v>3.7906515700499983</x:v>
      </x:c>
      <x:c r="N1227" s="62" t="n">
        <x:v>617.5207708482002</x:v>
      </x:c>
      <x:c r="O1227" s="60" t="n">
        <x:v>408499.2443932781</x:v>
      </x:c>
      <x:c r="P1227" s="60" t="n">
        <x:v>9665.971917268762</x:v>
      </x:c>
      <x:c r="Q1227" s="62" t="n">
        <x:v>1.0236621537247275</x:v>
      </x:c>
      <x:c r="R1227" s="64" t="n">
        <x:v>0.02366215372472747</x:v>
      </x:c>
    </x:row>
    <x:row r="1228" ht="18" customHeight="1">
      <x:c r="A1228" s="46" t="str">
        <x:v>LME_016</x:v>
      </x:c>
      <x:c r="B1228" s="46" t="str">
        <x:v>East Brazil Shelf</x:v>
      </x:c>
      <x:c r="C1228" s="46" t="str">
        <x:v>functional</x:v>
      </x:c>
      <x:c r="D1228" s="46" t="str">
        <x:v>Large bathypelagics (&gt;=90 cm)</x:v>
      </x:c>
      <x:c r="E1228" s="66" t="n">
        <x:v>2</x:v>
      </x:c>
      <x:c r="F1228" s="66" t="n">
        <x:v>2</x:v>
      </x:c>
      <x:c r="G1228" s="60" t="n">
        <x:v>20.760681653200002</x:v>
      </x:c>
      <x:c r="H1228" s="60" t="n">
        <x:v>20.760681653200002</x:v>
      </x:c>
      <x:c r="I1228" s="62" t="n">
        <x:v>0</x:v>
      </x:c>
      <x:c r="J1228" s="64" t="n">
        <x:v>1</x:v>
      </x:c>
      <x:c r="K1228" s="62" t="n">
        <x:v>2175.817580914391</x:v>
      </x:c>
      <x:c r="L1228" s="60" t="n">
        <x:v>45171.45613279941</x:v>
      </x:c>
      <x:c r="M1228" s="62" t="n">
        <x:v>4.337286342720673</x:v>
      </x:c>
      <x:c r="N1228" s="62" t="n">
        <x:v>2174.134174985401</x:v>
      </x:c>
      <x:c r="O1228" s="60" t="n">
        <x:v>45136.50747821454</x:v>
      </x:c>
      <x:c r="P1228" s="60" t="n">
        <x:v>34.94865458487038</x:v>
      </x:c>
      <x:c r="Q1228" s="62" t="n">
        <x:v>1.0007742879663815</x:v>
      </x:c>
      <x:c r="R1228" s="64" t="n">
        <x:v>0.0007742879663815062</x:v>
      </x:c>
    </x:row>
    <x:row r="1229" ht="18" customHeight="1">
      <x:c r="A1229" s="46" t="str">
        <x:v>LME_016</x:v>
      </x:c>
      <x:c r="B1229" s="46" t="str">
        <x:v>East Brazil Shelf</x:v>
      </x:c>
      <x:c r="C1229" s="46" t="str">
        <x:v>functional</x:v>
      </x:c>
      <x:c r="D1229" s="46" t="str">
        <x:v>Large benthopelagics (&gt;=90 cm)</x:v>
      </x:c>
      <x:c r="E1229" s="66" t="n">
        <x:v>9</x:v>
      </x:c>
      <x:c r="F1229" s="66" t="n">
        <x:v>9</x:v>
      </x:c>
      <x:c r="G1229" s="60" t="n">
        <x:v>4853.0117880182</x:v>
      </x:c>
      <x:c r="H1229" s="60" t="n">
        <x:v>4853.0117880182</x:v>
      </x:c>
      <x:c r="I1229" s="62" t="n">
        <x:v>0</x:v>
      </x:c>
      <x:c r="J1229" s="64" t="n">
        <x:v>1</x:v>
      </x:c>
      <x:c r="K1229" s="62" t="n">
        <x:v>2319.9924794511694</x:v>
      </x:c>
      <x:c r="L1229" s="60" t="n">
        <x:v>11258950.850890096</x:v>
      </x:c>
      <x:c r="M1229" s="62" t="n">
        <x:v>4.349600444454216</x:v>
      </x:c>
      <x:c r="N1229" s="62" t="n">
        <x:v>2236.6624384511483</x:v>
      </x:c>
      <x:c r="O1229" s="60" t="n">
        <x:v>10854549.179620953</x:v>
      </x:c>
      <x:c r="P1229" s="60" t="n">
        <x:v>404401.671269143</x:v>
      </x:c>
      <x:c r="Q1229" s="62" t="n">
        <x:v>1.0372564225908518</x:v>
      </x:c>
      <x:c r="R1229" s="64" t="n">
        <x:v>0.0372564225908519</x:v>
      </x:c>
    </x:row>
    <x:row r="1230" ht="18" customHeight="1">
      <x:c r="A1230" s="46" t="str">
        <x:v>LME_016</x:v>
      </x:c>
      <x:c r="B1230" s="46" t="str">
        <x:v>East Brazil Shelf</x:v>
      </x:c>
      <x:c r="C1230" s="46" t="str">
        <x:v>functional</x:v>
      </x:c>
      <x:c r="D1230" s="46" t="str">
        <x:v>Large demersals (&gt;=90 cm)</x:v>
      </x:c>
      <x:c r="E1230" s="66" t="n">
        <x:v>8</x:v>
      </x:c>
      <x:c r="F1230" s="66" t="n">
        <x:v>8</x:v>
      </x:c>
      <x:c r="G1230" s="60" t="n">
        <x:v>12168.846373027001</x:v>
      </x:c>
      <x:c r="H1230" s="60" t="n">
        <x:v>12168.846373027001</x:v>
      </x:c>
      <x:c r="I1230" s="62" t="n">
        <x:v>0</x:v>
      </x:c>
      <x:c r="J1230" s="64" t="n">
        <x:v>1</x:v>
      </x:c>
      <x:c r="K1230" s="62" t="n">
        <x:v>1129.2625683324518</x:v>
      </x:c>
      <x:c r="L1230" s="60" t="n">
        <x:v>13741822.708847513</x:v>
      </x:c>
      <x:c r="M1230" s="62" t="n">
        <x:v>4.051870127053472</x:v>
      </x:c>
      <x:c r="N1230" s="62" t="n">
        <x:v>1126.8604254869415</x:v>
      </x:c>
      <x:c r="O1230" s="60" t="n">
        <x:v>13712591.401594432</x:v>
      </x:c>
      <x:c r="P1230" s="60" t="n">
        <x:v>29231.30725308135</x:v>
      </x:c>
      <x:c r="Q1230" s="62" t="n">
        <x:v>1.002131712846755</x:v>
      </x:c>
      <x:c r="R1230" s="64" t="n">
        <x:v>0.0021317128467550255</x:v>
      </x:c>
    </x:row>
    <x:row r="1231" ht="18" customHeight="1">
      <x:c r="A1231" s="46" t="str">
        <x:v>LME_016</x:v>
      </x:c>
      <x:c r="B1231" s="46" t="str">
        <x:v>East Brazil Shelf</x:v>
      </x:c>
      <x:c r="C1231" s="46" t="str">
        <x:v>functional</x:v>
      </x:c>
      <x:c r="D1231" s="46" t="str">
        <x:v>Large pelagics (&gt;=90 cm)</x:v>
      </x:c>
      <x:c r="E1231" s="66" t="n">
        <x:v>26</x:v>
      </x:c>
      <x:c r="F1231" s="66" t="n">
        <x:v>26</x:v>
      </x:c>
      <x:c r="G1231" s="60" t="n">
        <x:v>15266.8136318235</x:v>
      </x:c>
      <x:c r="H1231" s="60" t="n">
        <x:v>15266.8136318235</x:v>
      </x:c>
      <x:c r="I1231" s="62" t="n">
        <x:v>0</x:v>
      </x:c>
      <x:c r="J1231" s="64" t="n">
        <x:v>1</x:v>
      </x:c>
      <x:c r="K1231" s="62" t="n">
        <x:v>2515.292019933521</x:v>
      </x:c>
      <x:c r="L1231" s="60" t="n">
        <x:v>38400494.49793794</x:v>
      </x:c>
      <x:c r="M1231" s="62" t="n">
        <x:v>4.326064757647671</x:v>
      </x:c>
      <x:c r="N1231" s="62" t="n">
        <x:v>2118.677027615831</x:v>
      </x:c>
      <x:c r="O1231" s="60" t="n">
        <x:v>32345447.32663666</x:v>
      </x:c>
      <x:c r="P1231" s="60" t="n">
        <x:v>6055047.171301279</x:v>
      </x:c>
      <x:c r="Q1231" s="62" t="n">
        <x:v>1.1871993641069516</x:v>
      </x:c>
      <x:c r="R1231" s="64" t="n">
        <x:v>0.18719936410695157</x:v>
      </x:c>
    </x:row>
    <x:row r="1232" ht="18" customHeight="1">
      <x:c r="A1232" s="46" t="str">
        <x:v>LME_016</x:v>
      </x:c>
      <x:c r="B1232" s="46" t="str">
        <x:v>East Brazil Shelf</x:v>
      </x:c>
      <x:c r="C1232" s="46" t="str">
        <x:v>functional</x:v>
      </x:c>
      <x:c r="D1232" s="46" t="str">
        <x:v>Large rays (&gt;=90 cm)</x:v>
      </x:c>
      <x:c r="E1232" s="66" t="n">
        <x:v>10</x:v>
      </x:c>
      <x:c r="F1232" s="66" t="n">
        <x:v>10</x:v>
      </x:c>
      <x:c r="G1232" s="60" t="n">
        <x:v>15951.1708754086</x:v>
      </x:c>
      <x:c r="H1232" s="60" t="n">
        <x:v>15951.1708754086</x:v>
      </x:c>
      <x:c r="I1232" s="62" t="n">
        <x:v>0</x:v>
      </x:c>
      <x:c r="J1232" s="64" t="n">
        <x:v>1</x:v>
      </x:c>
      <x:c r="K1232" s="62" t="n">
        <x:v>516.4342301297023</x:v>
      </x:c>
      <x:c r="L1232" s="60" t="n">
        <x:v>8237730.650708971</x:v>
      </x:c>
      <x:c r="M1232" s="62" t="n">
        <x:v>3.708812734153462</x:v>
      </x:c>
      <x:c r="N1232" s="62" t="n">
        <x:v>511.4612481730763</x:v>
      </x:c>
      <x:c r="O1232" s="60" t="n">
        <x:v>8158405.765758504</x:v>
      </x:c>
      <x:c r="P1232" s="60" t="n">
        <x:v>79324.88495046645</x:v>
      </x:c>
      <x:c r="Q1232" s="62" t="n">
        <x:v>1.0097230864985165</x:v>
      </x:c>
      <x:c r="R1232" s="64" t="n">
        <x:v>0.009723086498516595</x:v>
      </x:c>
    </x:row>
    <x:row r="1233" ht="18" customHeight="1">
      <x:c r="A1233" s="46" t="str">
        <x:v>LME_016</x:v>
      </x:c>
      <x:c r="B1233" s="46" t="str">
        <x:v>East Brazil Shelf</x:v>
      </x:c>
      <x:c r="C1233" s="46" t="str">
        <x:v>functional</x:v>
      </x:c>
      <x:c r="D1233" s="46" t="str">
        <x:v>Large reef assoc. fish (&gt;=90 cm)</x:v>
      </x:c>
      <x:c r="E1233" s="66" t="n">
        <x:v>16</x:v>
      </x:c>
      <x:c r="F1233" s="66" t="n">
        <x:v>16</x:v>
      </x:c>
      <x:c r="G1233" s="60" t="n">
        <x:v>9509.9943491542</x:v>
      </x:c>
      <x:c r="H1233" s="60" t="n">
        <x:v>9509.9943491542</x:v>
      </x:c>
      <x:c r="I1233" s="62" t="n">
        <x:v>0</x:v>
      </x:c>
      <x:c r="J1233" s="64" t="n">
        <x:v>1</x:v>
      </x:c>
      <x:c r="K1233" s="62" t="n">
        <x:v>847.769898527372</x:v>
      </x:c>
      <x:c r="L1233" s="60" t="n">
        <x:v>8062286.944378337</x:v>
      </x:c>
      <x:c r="M1233" s="62" t="n">
        <x:v>3.786542227171035</x:v>
      </x:c>
      <x:c r="N1233" s="62" t="n">
        <x:v>611.7052771794206</x:v>
      </x:c>
      <x:c r="O1233" s="60" t="n">
        <x:v>5817313.729324093</x:v>
      </x:c>
      <x:c r="P1233" s="60" t="n">
        <x:v>2244973.215054244</x:v>
      </x:c>
      <x:c r="Q1233" s="62" t="n">
        <x:v>1.385912350530059</x:v>
      </x:c>
      <x:c r="R1233" s="64" t="n">
        <x:v>0.38591235053005896</x:v>
      </x:c>
    </x:row>
    <x:row r="1234" ht="18" customHeight="1">
      <x:c r="A1234" s="46" t="str">
        <x:v>LME_016</x:v>
      </x:c>
      <x:c r="B1234" s="46" t="str">
        <x:v>East Brazil Shelf</x:v>
      </x:c>
      <x:c r="C1234" s="46" t="str">
        <x:v>functional</x:v>
      </x:c>
      <x:c r="D1234" s="46" t="str">
        <x:v>Large sharks (&gt;=90 cm)</x:v>
      </x:c>
      <x:c r="E1234" s="66" t="n">
        <x:v>20</x:v>
      </x:c>
      <x:c r="F1234" s="66" t="n">
        <x:v>20</x:v>
      </x:c>
      <x:c r="G1234" s="60" t="n">
        <x:v>12447.5244759538</x:v>
      </x:c>
      <x:c r="H1234" s="60" t="n">
        <x:v>12447.5244759538</x:v>
      </x:c>
      <x:c r="I1234" s="62" t="n">
        <x:v>0</x:v>
      </x:c>
      <x:c r="J1234" s="64" t="n">
        <x:v>1</x:v>
      </x:c>
      <x:c r="K1234" s="62" t="n">
        <x:v>1580.5049697649092</x:v>
      </x:c>
      <x:c r="L1234" s="60" t="n">
        <x:v>19673374.29551533</x:v>
      </x:c>
      <x:c r="M1234" s="62" t="n">
        <x:v>4.173469381044776</x:v>
      </x:c>
      <x:c r="N1234" s="62" t="n">
        <x:v>1490.9716341469173</x:v>
      </x:c>
      <x:c r="O1234" s="60" t="n">
        <x:v>18558905.908996586</x:v>
      </x:c>
      <x:c r="P1234" s="60" t="n">
        <x:v>1114468.386518743</x:v>
      </x:c>
      <x:c r="Q1234" s="62" t="n">
        <x:v>1.0600503279656424</x:v>
      </x:c>
      <x:c r="R1234" s="64" t="n">
        <x:v>0.06005032796564236</x:v>
      </x:c>
    </x:row>
    <x:row r="1235" ht="18" customHeight="1">
      <x:c r="A1235" s="46" t="str">
        <x:v>LME_016</x:v>
      </x:c>
      <x:c r="B1235" s="46" t="str">
        <x:v>East Brazil Shelf</x:v>
      </x:c>
      <x:c r="C1235" s="46" t="str">
        <x:v>functional</x:v>
      </x:c>
      <x:c r="D1235" s="46" t="str">
        <x:v>Lobsters, crabs</x:v>
      </x:c>
      <x:c r="E1235" s="66" t="n">
        <x:v>7</x:v>
      </x:c>
      <x:c r="F1235" s="66" t="n">
        <x:v>7</x:v>
      </x:c>
      <x:c r="G1235" s="60" t="n">
        <x:v>4267.7970789454</x:v>
      </x:c>
      <x:c r="H1235" s="60" t="n">
        <x:v>4267.7970789454</x:v>
      </x:c>
      <x:c r="I1235" s="62" t="n">
        <x:v>0</x:v>
      </x:c>
      <x:c r="J1235" s="64" t="n">
        <x:v>1</x:v>
      </x:c>
      <x:c r="K1235" s="62" t="n">
        <x:v>207.596610966294</x:v>
      </x:c>
      <x:c r="L1235" s="60" t="n">
        <x:v>885980.2098809142</x:v>
      </x:c>
      <x:c r="M1235" s="62" t="n">
        <x:v>3.164604844891613</x:v>
      </x:c>
      <x:c r="N1235" s="62" t="n">
        <x:v>146.0847376299459</x:v>
      </x:c>
      <x:c r="O1235" s="60" t="n">
        <x:v>623460.0165355883</x:v>
      </x:c>
      <x:c r="P1235" s="60" t="n">
        <x:v>262520.1933453259</x:v>
      </x:c>
      <x:c r="Q1235" s="62" t="n">
        <x:v>1.4210698142345761</x:v>
      </x:c>
      <x:c r="R1235" s="64" t="n">
        <x:v>0.42106981423457607</x:v>
      </x:c>
    </x:row>
    <x:row r="1236" ht="18" customHeight="1">
      <x:c r="A1236" s="46" t="str">
        <x:v>LME_016</x:v>
      </x:c>
      <x:c r="B1236" s="46" t="str">
        <x:v>East Brazil Shelf</x:v>
      </x:c>
      <x:c r="C1236" s="46" t="str">
        <x:v>functional</x:v>
      </x:c>
      <x:c r="D1236" s="46" t="str">
        <x:v>Medium bathydemersals (30 - 89 cm)</x:v>
      </x:c>
      <x:c r="E1236" s="66" t="n">
        <x:v>1</x:v>
      </x:c>
      <x:c r="F1236" s="66" t="n">
        <x:v>1</x:v>
      </x:c>
      <x:c r="G1236" s="60" t="n">
        <x:v>805.1523824191</x:v>
      </x:c>
      <x:c r="H1236" s="60" t="n">
        <x:v>805.1523824191</x:v>
      </x:c>
      <x:c r="I1236" s="62" t="n">
        <x:v>0</x:v>
      </x:c>
      <x:c r="J1236" s="64" t="n">
        <x:v>1</x:v>
      </x:c>
      <x:c r="K1236" s="62" t="n">
        <x:v>3090.295432513592</x:v>
      </x:c>
      <x:c r="L1236" s="60" t="n">
        <x:v>2488158.7298671817</x:v>
      </x:c>
      <x:c r="M1236" s="62" t="n">
        <x:v>4.49</x:v>
      </x:c>
      <x:c r="N1236" s="62" t="n">
        <x:v>3090.295432513592</x:v>
      </x:c>
      <x:c r="O1236" s="60" t="n">
        <x:v>2488158.7298671817</x:v>
      </x:c>
      <x:c r="P1236" s="60" t="n">
        <x:v>0</x:v>
      </x:c>
      <x:c r="Q1236" s="62" t="n">
        <x:v>1</x:v>
      </x:c>
      <x:c r="R1236" s="64" t="n">
        <x:v>0</x:v>
      </x:c>
    </x:row>
    <x:row r="1237" ht="18" customHeight="1">
      <x:c r="A1237" s="46" t="str">
        <x:v>LME_016</x:v>
      </x:c>
      <x:c r="B1237" s="46" t="str">
        <x:v>East Brazil Shelf</x:v>
      </x:c>
      <x:c r="C1237" s="46" t="str">
        <x:v>functional</x:v>
      </x:c>
      <x:c r="D1237" s="46" t="str">
        <x:v>Medium benthopelagics (30 - 89 cm)</x:v>
      </x:c>
      <x:c r="E1237" s="66" t="n">
        <x:v>13</x:v>
      </x:c>
      <x:c r="F1237" s="66" t="n">
        <x:v>13</x:v>
      </x:c>
      <x:c r="G1237" s="60" t="n">
        <x:v>5423.4093997588</x:v>
      </x:c>
      <x:c r="H1237" s="60" t="n">
        <x:v>5423.4093997588</x:v>
      </x:c>
      <x:c r="I1237" s="62" t="n">
        <x:v>0</x:v>
      </x:c>
      <x:c r="J1237" s="64" t="n">
        <x:v>1</x:v>
      </x:c>
      <x:c r="K1237" s="62" t="n">
        <x:v>906.1467952533802</x:v>
      </x:c>
      <x:c r="L1237" s="60" t="n">
        <x:v>4914405.046938495</x:v>
      </x:c>
      <x:c r="M1237" s="62" t="n">
        <x:v>3.9451426778712624</x:v>
      </x:c>
      <x:c r="N1237" s="62" t="n">
        <x:v>881.3383697301118</x:v>
      </x:c>
      <x:c r="O1237" s="60" t="n">
        <x:v>4779858.798762385</x:v>
      </x:c>
      <x:c r="P1237" s="60" t="n">
        <x:v>134546.24817610998</x:v>
      </x:c>
      <x:c r="Q1237" s="62" t="n">
        <x:v>1.028148582173797</x:v>
      </x:c>
      <x:c r="R1237" s="64" t="n">
        <x:v>0.028148582173797076</x:v>
      </x:c>
    </x:row>
    <x:row r="1238" ht="18" customHeight="1">
      <x:c r="A1238" s="46" t="str">
        <x:v>LME_016</x:v>
      </x:c>
      <x:c r="B1238" s="46" t="str">
        <x:v>East Brazil Shelf</x:v>
      </x:c>
      <x:c r="C1238" s="46" t="str">
        <x:v>functional</x:v>
      </x:c>
      <x:c r="D1238" s="46" t="str">
        <x:v>Medium demersals (30 - 89 cm)</x:v>
      </x:c>
      <x:c r="E1238" s="66" t="n">
        <x:v>38</x:v>
      </x:c>
      <x:c r="F1238" s="66" t="n">
        <x:v>38</x:v>
      </x:c>
      <x:c r="G1238" s="60" t="n">
        <x:v>114633.93159857049</x:v>
      </x:c>
      <x:c r="H1238" s="60" t="n">
        <x:v>114633.93159857049</x:v>
      </x:c>
      <x:c r="I1238" s="62" t="n">
        <x:v>0</x:v>
      </x:c>
      <x:c r="J1238" s="64" t="n">
        <x:v>1</x:v>
      </x:c>
      <x:c r="K1238" s="62" t="n">
        <x:v>437.6295966118776</x:v>
      </x:c>
      <x:c r="L1238" s="60" t="n">
        <x:v>50167201.243515976</x:v>
      </x:c>
      <x:c r="M1238" s="62" t="n">
        <x:v>3.400182660177843</x:v>
      </x:c>
      <x:c r="N1238" s="62" t="n">
        <x:v>251.2943129540488</x:v>
      </x:c>
      <x:c r="O1238" s="60" t="n">
        <x:v>28806855.082284193</x:v>
      </x:c>
      <x:c r="P1238" s="60" t="n">
        <x:v>21360346.161231782</x:v>
      </x:c>
      <x:c r="Q1238" s="62" t="n">
        <x:v>1.7415021910659068</x:v>
      </x:c>
      <x:c r="R1238" s="64" t="n">
        <x:v>0.7415021910659068</x:v>
      </x:c>
    </x:row>
    <x:row r="1239" ht="18" customHeight="1">
      <x:c r="A1239" s="46" t="str">
        <x:v>LME_016</x:v>
      </x:c>
      <x:c r="B1239" s="46" t="str">
        <x:v>East Brazil Shelf</x:v>
      </x:c>
      <x:c r="C1239" s="46" t="str">
        <x:v>functional</x:v>
      </x:c>
      <x:c r="D1239" s="46" t="str">
        <x:v>Medium pelagics (30 - 89 cm)</x:v>
      </x:c>
      <x:c r="E1239" s="66" t="n">
        <x:v>14</x:v>
      </x:c>
      <x:c r="F1239" s="66" t="n">
        <x:v>14</x:v>
      </x:c>
      <x:c r="G1239" s="60" t="n">
        <x:v>7115.8958327404</x:v>
      </x:c>
      <x:c r="H1239" s="60" t="n">
        <x:v>7115.8958327404</x:v>
      </x:c>
      <x:c r="I1239" s="62" t="n">
        <x:v>0</x:v>
      </x:c>
      <x:c r="J1239" s="64" t="n">
        <x:v>1</x:v>
      </x:c>
      <x:c r="K1239" s="62" t="n">
        <x:v>1354.408742332305</x:v>
      </x:c>
      <x:c r="L1239" s="60" t="n">
        <x:v>9637831.525389615</x:v>
      </x:c>
      <x:c r="M1239" s="62" t="n">
        <x:v>4.031311786048265</x:v>
      </x:c>
      <x:c r="N1239" s="62" t="n">
        <x:v>1074.760721109788</x:v>
      </x:c>
      <x:c r="O1239" s="60" t="n">
        <x:v>7647885.336538207</x:v>
      </x:c>
      <x:c r="P1239" s="60" t="n">
        <x:v>1989946.1888514087</x:v>
      </x:c>
      <x:c r="Q1239" s="62" t="n">
        <x:v>1.2601956098039713</x:v>
      </x:c>
      <x:c r="R1239" s="64" t="n">
        <x:v>0.2601956098039713</x:v>
      </x:c>
    </x:row>
    <x:row r="1240" ht="18" customHeight="1">
      <x:c r="A1240" s="46" t="str">
        <x:v>LME_016</x:v>
      </x:c>
      <x:c r="B1240" s="46" t="str">
        <x:v>East Brazil Shelf</x:v>
      </x:c>
      <x:c r="C1240" s="46" t="str">
        <x:v>functional</x:v>
      </x:c>
      <x:c r="D1240" s="46" t="str">
        <x:v>Medium reef assoc. fish (30 - 89 cm)</x:v>
      </x:c>
      <x:c r="E1240" s="66" t="n">
        <x:v>31</x:v>
      </x:c>
      <x:c r="F1240" s="66" t="n">
        <x:v>31</x:v>
      </x:c>
      <x:c r="G1240" s="60" t="n">
        <x:v>7731.047700439199</x:v>
      </x:c>
      <x:c r="H1240" s="60" t="n">
        <x:v>7731.047700439199</x:v>
      </x:c>
      <x:c r="I1240" s="62" t="n">
        <x:v>0</x:v>
      </x:c>
      <x:c r="J1240" s="64" t="n">
        <x:v>1</x:v>
      </x:c>
      <x:c r="K1240" s="62" t="n">
        <x:v>827.7559730261715</x:v>
      </x:c>
      <x:c r="L1240" s="60" t="n">
        <x:v>6399420.911788795</x:v>
      </x:c>
      <x:c r="M1240" s="62" t="n">
        <x:v>3.8471476725877274</x:v>
      </x:c>
      <x:c r="N1240" s="62" t="n">
        <x:v>703.3114252992162</x:v>
      </x:c>
      <x:c r="O1240" s="60" t="n">
        <x:v>5437334.177252121</x:v>
      </x:c>
      <x:c r="P1240" s="60" t="n">
        <x:v>962086.7345366739</x:v>
      </x:c>
      <x:c r="Q1240" s="62" t="n">
        <x:v>1.176940887422683</x:v>
      </x:c>
      <x:c r="R1240" s="64" t="n">
        <x:v>0.17694088742268294</x:v>
      </x:c>
    </x:row>
    <x:row r="1241" ht="18" customHeight="1">
      <x:c r="A1241" s="46" t="str">
        <x:v>LME_016</x:v>
      </x:c>
      <x:c r="B1241" s="46" t="str">
        <x:v>East Brazil Shelf</x:v>
      </x:c>
      <x:c r="C1241" s="46" t="str">
        <x:v>functional</x:v>
      </x:c>
      <x:c r="D1241" s="46" t="str">
        <x:v>Other demersal invertebrates</x:v>
      </x:c>
      <x:c r="E1241" s="66" t="n">
        <x:v>8</x:v>
      </x:c>
      <x:c r="F1241" s="66" t="n">
        <x:v>8</x:v>
      </x:c>
      <x:c r="G1241" s="60" t="n">
        <x:v>4004.3294580471998</x:v>
      </x:c>
      <x:c r="H1241" s="60" t="n">
        <x:v>4004.3294580471998</x:v>
      </x:c>
      <x:c r="I1241" s="62" t="n">
        <x:v>0</x:v>
      </x:c>
      <x:c r="J1241" s="64" t="n">
        <x:v>1</x:v>
      </x:c>
      <x:c r="K1241" s="62" t="n">
        <x:v>12.38703402650402</x:v>
      </x:c>
      <x:c r="L1241" s="60" t="n">
        <x:v>49601.765250163066</x:v>
      </x:c>
      <x:c r="M1241" s="62" t="n">
        <x:v>2.078588803749761</x:v>
      </x:c>
      <x:c r="N1241" s="62" t="n">
        <x:v>11.983641374694137</x:v>
      </x:c>
      <x:c r="O1241" s="60" t="n">
        <x:v>47986.44817136098</x:v>
      </x:c>
      <x:c r="P1241" s="60" t="n">
        <x:v>1615.317078802087</x:v>
      </x:c>
      <x:c r="Q1241" s="62" t="n">
        <x:v>1.0336619429100846</x:v>
      </x:c>
      <x:c r="R1241" s="64" t="n">
        <x:v>0.033661942910084605</x:v>
      </x:c>
    </x:row>
    <x:row r="1242" ht="18" customHeight="1">
      <x:c r="A1242" s="46" t="str">
        <x:v>LME_016</x:v>
      </x:c>
      <x:c r="B1242" s="46" t="str">
        <x:v>East Brazil Shelf</x:v>
      </x:c>
      <x:c r="C1242" s="46" t="str">
        <x:v>functional</x:v>
      </x:c>
      <x:c r="D1242" s="46" t="str">
        <x:v>Shrimps</x:v>
      </x:c>
      <x:c r="E1242" s="66" t="n">
        <x:v>7</x:v>
      </x:c>
      <x:c r="F1242" s="66" t="n">
        <x:v>7</x:v>
      </x:c>
      <x:c r="G1242" s="60" t="n">
        <x:v>9810.716522510698</x:v>
      </x:c>
      <x:c r="H1242" s="60" t="n">
        <x:v>9810.716522510698</x:v>
      </x:c>
      <x:c r="I1242" s="62" t="n">
        <x:v>0</x:v>
      </x:c>
      <x:c r="J1242" s="64" t="n">
        <x:v>1</x:v>
      </x:c>
      <x:c r="K1242" s="62" t="n">
        <x:v>58.027747059885485</x:v>
      </x:c>
      <x:c r="L1242" s="60" t="n">
        <x:v>569293.7768444901</x:v>
      </x:c>
      <x:c r="M1242" s="62" t="n">
        <x:v>2.734438661194902</x:v>
      </x:c>
      <x:c r="N1242" s="62" t="n">
        <x:v>54.25486175343166</x:v>
      </x:c>
      <x:c r="O1242" s="60" t="n">
        <x:v>532279.0686309257</x:v>
      </x:c>
      <x:c r="P1242" s="60" t="n">
        <x:v>37014.70821356436</x:v>
      </x:c>
      <x:c r="Q1242" s="62" t="n">
        <x:v>1.0695400409202072</x:v>
      </x:c>
      <x:c r="R1242" s="64" t="n">
        <x:v>0.06954004092020721</x:v>
      </x:c>
    </x:row>
    <x:row r="1243" ht="18" customHeight="1">
      <x:c r="A1243" s="46" t="str">
        <x:v>LME_016</x:v>
      </x:c>
      <x:c r="B1243" s="46" t="str">
        <x:v>East Brazil Shelf</x:v>
      </x:c>
      <x:c r="C1243" s="46" t="str">
        <x:v>functional</x:v>
      </x:c>
      <x:c r="D1243" s="46" t="str">
        <x:v>Small benthopelagics (&lt;30 cm)</x:v>
      </x:c>
      <x:c r="E1243" s="66" t="n">
        <x:v>2</x:v>
      </x:c>
      <x:c r="F1243" s="66" t="n">
        <x:v>2</x:v>
      </x:c>
      <x:c r="G1243" s="60" t="n">
        <x:v>786.4096256032999</x:v>
      </x:c>
      <x:c r="H1243" s="60" t="n">
        <x:v>786.4096256032999</x:v>
      </x:c>
      <x:c r="I1243" s="62" t="n">
        <x:v>0</x:v>
      </x:c>
      <x:c r="J1243" s="64" t="n">
        <x:v>1</x:v>
      </x:c>
      <x:c r="K1243" s="62" t="n">
        <x:v>571.0938426091233</x:v>
      </x:c>
      <x:c r="L1243" s="60" t="n">
        <x:v>449113.6949505905</x:v>
      </x:c>
      <x:c r="M1243" s="62" t="n">
        <x:v>3.2532296380302537</x:v>
      </x:c>
      <x:c r="N1243" s="62" t="n">
        <x:v>179.15529071260892</x:v>
      </x:c>
      <x:c r="O1243" s="60" t="n">
        <x:v>140889.44509415314</x:v>
      </x:c>
      <x:c r="P1243" s="60" t="n">
        <x:v>308224.2498564373</x:v>
      </x:c>
      <x:c r="Q1243" s="62" t="n">
        <x:v>3.187702915931412</x:v>
      </x:c>
      <x:c r="R1243" s="64" t="n">
        <x:v>2.1877029159314114</x:v>
      </x:c>
    </x:row>
    <x:row r="1244" ht="18" customHeight="1">
      <x:c r="A1244" s="46" t="str">
        <x:v>LME_016</x:v>
      </x:c>
      <x:c r="B1244" s="46" t="str">
        <x:v>East Brazil Shelf</x:v>
      </x:c>
      <x:c r="C1244" s="46" t="str">
        <x:v>functional</x:v>
      </x:c>
      <x:c r="D1244" s="46" t="str">
        <x:v>Small demersals (&lt;30 cm)</x:v>
      </x:c>
      <x:c r="E1244" s="66" t="n">
        <x:v>9</x:v>
      </x:c>
      <x:c r="F1244" s="66" t="n">
        <x:v>9</x:v>
      </x:c>
      <x:c r="G1244" s="60" t="n">
        <x:v>10533.512828298099</x:v>
      </x:c>
      <x:c r="H1244" s="60" t="n">
        <x:v>10533.512828298099</x:v>
      </x:c>
      <x:c r="I1244" s="62" t="n">
        <x:v>0</x:v>
      </x:c>
      <x:c r="J1244" s="64" t="n">
        <x:v>1</x:v>
      </x:c>
      <x:c r="K1244" s="62" t="n">
        <x:v>306.7084627568491</x:v>
      </x:c>
      <x:c r="L1244" s="60" t="n">
        <x:v>3230717.5269968593</x:v>
      </x:c>
      <x:c r="M1244" s="62" t="n">
        <x:v>3.4711628992100865</x:v>
      </x:c>
      <x:c r="N1244" s="62" t="n">
        <x:v>295.9122193466066</x:v>
      </x:c>
      <x:c r="O1244" s="60" t="n">
        <x:v>3116995.1585376416</x:v>
      </x:c>
      <x:c r="P1244" s="60" t="n">
        <x:v>113722.36845921772</x:v>
      </x:c>
      <x:c r="Q1244" s="62" t="n">
        <x:v>1.0364846150459122</x:v>
      </x:c>
      <x:c r="R1244" s="64" t="n">
        <x:v>0.03648461504591213</x:v>
      </x:c>
    </x:row>
    <x:row r="1245" ht="18" customHeight="1">
      <x:c r="A1245" s="46" t="str">
        <x:v>LME_016</x:v>
      </x:c>
      <x:c r="B1245" s="46" t="str">
        <x:v>East Brazil Shelf</x:v>
      </x:c>
      <x:c r="C1245" s="46" t="str">
        <x:v>functional</x:v>
      </x:c>
      <x:c r="D1245" s="46" t="str">
        <x:v>Small pelagics (&lt;30 cm)</x:v>
      </x:c>
      <x:c r="E1245" s="66" t="n">
        <x:v>15</x:v>
      </x:c>
      <x:c r="F1245" s="66" t="n">
        <x:v>15</x:v>
      </x:c>
      <x:c r="G1245" s="60" t="n">
        <x:v>67929.9740127195</x:v>
      </x:c>
      <x:c r="H1245" s="60" t="n">
        <x:v>67929.9740127195</x:v>
      </x:c>
      <x:c r="I1245" s="62" t="n">
        <x:v>0</x:v>
      </x:c>
      <x:c r="J1245" s="64" t="n">
        <x:v>1</x:v>
      </x:c>
      <x:c r="K1245" s="62" t="n">
        <x:v>329.24387993981634</x:v>
      </x:c>
      <x:c r="L1245" s="60" t="n">
        <x:v>22365528.20815866</x:v>
      </x:c>
      <x:c r="M1245" s="62" t="n">
        <x:v>3.202913953404324</x:v>
      </x:c>
      <x:c r="N1245" s="62" t="n">
        <x:v>159.55629876473893</x:v>
      </x:c>
      <x:c r="O1245" s="60" t="n">
        <x:v>10838655.228654424</x:v>
      </x:c>
      <x:c r="P1245" s="60" t="n">
        <x:v>11526872.979504237</x:v>
      </x:c>
      <x:c r="Q1245" s="62" t="n">
        <x:v>2.063496599562495</x:v>
      </x:c>
      <x:c r="R1245" s="64" t="n">
        <x:v>1.063496599562495</x:v>
      </x:c>
    </x:row>
    <x:row r="1246" ht="18" customHeight="1">
      <x:c r="A1246" s="46" t="str">
        <x:v>LME_016</x:v>
      </x:c>
      <x:c r="B1246" s="46" t="str">
        <x:v>East Brazil Shelf</x:v>
      </x:c>
      <x:c r="C1246" s="46" t="str">
        <x:v>functional</x:v>
      </x:c>
      <x:c r="D1246" s="46" t="str">
        <x:v>Small reef assoc. fish (&lt;30 cm)</x:v>
      </x:c>
      <x:c r="E1246" s="66" t="n">
        <x:v>7</x:v>
      </x:c>
      <x:c r="F1246" s="66" t="n">
        <x:v>7</x:v>
      </x:c>
      <x:c r="G1246" s="60" t="n">
        <x:v>246.2643094346</x:v>
      </x:c>
      <x:c r="H1246" s="60" t="n">
        <x:v>246.2643094346</x:v>
      </x:c>
      <x:c r="I1246" s="62" t="n">
        <x:v>0</x:v>
      </x:c>
      <x:c r="J1246" s="64" t="n">
        <x:v>1</x:v>
      </x:c>
      <x:c r="K1246" s="62" t="n">
        <x:v>950.5846362469036</x:v>
      </x:c>
      <x:c r="L1246" s="60" t="n">
        <x:v>234095.06900448416</x:v>
      </x:c>
      <x:c r="M1246" s="62" t="n">
        <x:v>3.612437186630624</x:v>
      </x:c>
      <x:c r="N1246" s="62" t="n">
        <x:v>409.67285326220474</x:v>
      </x:c>
      <x:c r="O1246" s="60" t="n">
        <x:v>100887.80230271906</x:v>
      </x:c>
      <x:c r="P1246" s="60" t="n">
        <x:v>133207.2667017651</x:v>
      </x:c>
      <x:c r="Q1246" s="62" t="n">
        <x:v>2.320350564303798</x:v>
      </x:c>
      <x:c r="R1246" s="64" t="n">
        <x:v>1.3203505643037976</x:v>
      </x:c>
    </x:row>
    <x:row r="1247" ht="18" customHeight="1">
      <x:c r="A1247" s="46" t="str">
        <x:v>LME_016</x:v>
      </x:c>
      <x:c r="B1247" s="46" t="str">
        <x:v>East Brazil Shelf</x:v>
      </x:c>
      <x:c r="C1247" s="46" t="str">
        <x:v>functional</x:v>
      </x:c>
      <x:c r="D1247" s="46" t="str">
        <x:v>Small to medium flatfishes (&lt;90 cm)</x:v>
      </x:c>
      <x:c r="E1247" s="66" t="n">
        <x:v>2</x:v>
      </x:c>
      <x:c r="F1247" s="66" t="n">
        <x:v>2</x:v>
      </x:c>
      <x:c r="G1247" s="60" t="n">
        <x:v>1829.3221062905998</x:v>
      </x:c>
      <x:c r="H1247" s="60" t="n">
        <x:v>1829.3221062905998</x:v>
      </x:c>
      <x:c r="I1247" s="62" t="n">
        <x:v>0</x:v>
      </x:c>
      <x:c r="J1247" s="64" t="n">
        <x:v>1</x:v>
      </x:c>
      <x:c r="K1247" s="62" t="n">
        <x:v>233.2296128365663</x:v>
      </x:c>
      <x:c r="L1247" s="60" t="n">
        <x:v>426652.0866035286</x:v>
      </x:c>
      <x:c r="M1247" s="62" t="n">
        <x:v>3.350654750213247</x:v>
      </x:c>
      <x:c r="N1247" s="62" t="n">
        <x:v>224.20988205218225</x:v>
      </x:c>
      <x:c r="O1247" s="60" t="n">
        <x:v>410152.093686865</x:v>
      </x:c>
      <x:c r="P1247" s="60" t="n">
        <x:v>16499.992916663585</x:v>
      </x:c>
      <x:c r="Q1247" s="62" t="n">
        <x:v>1.0402289618183949</x:v>
      </x:c>
      <x:c r="R1247" s="64" t="n">
        <x:v>0.04022896181839481</x:v>
      </x:c>
    </x:row>
    <x:row r="1248" ht="18" customHeight="1">
      <x:c r="A1248" s="46" t="str">
        <x:v>LME_016</x:v>
      </x:c>
      <x:c r="B1248" s="46" t="str">
        <x:v>East Brazil Shelf</x:v>
      </x:c>
      <x:c r="C1248" s="46" t="str">
        <x:v>functional</x:v>
      </x:c>
      <x:c r="D1248" s="46" t="str">
        <x:v>Small to medium rays (&lt;90 cm)</x:v>
      </x:c>
      <x:c r="E1248" s="66" t="n">
        <x:v>3</x:v>
      </x:c>
      <x:c r="F1248" s="66" t="n">
        <x:v>3</x:v>
      </x:c>
      <x:c r="G1248" s="60" t="n">
        <x:v>5.8887246221</x:v>
      </x:c>
      <x:c r="H1248" s="60" t="n">
        <x:v>5.8887246221</x:v>
      </x:c>
      <x:c r="I1248" s="62" t="n">
        <x:v>0</x:v>
      </x:c>
      <x:c r="J1248" s="64" t="n">
        <x:v>1</x:v>
      </x:c>
      <x:c r="K1248" s="62" t="n">
        <x:v>364.64757118202834</x:v>
      </x:c>
      <x:c r="L1248" s="60" t="n">
        <x:v>2147.3091308085727</x:v>
      </x:c>
      <x:c r="M1248" s="62" t="n">
        <x:v>3.5611454165760588</x:v>
      </x:c>
      <x:c r="N1248" s="62" t="n">
        <x:v>364.0369076713142</x:v>
      </x:c>
      <x:c r="O1248" s="60" t="n">
        <x:v>2143.713101557212</x:v>
      </x:c>
      <x:c r="P1248" s="60" t="n">
        <x:v>3.5960292513605054</x:v>
      </x:c>
      <x:c r="Q1248" s="62" t="n">
        <x:v>1.001677476920185</x:v>
      </x:c>
      <x:c r="R1248" s="64" t="n">
        <x:v>0.001677476920185037</x:v>
      </x:c>
    </x:row>
    <x:row r="1249" ht="18" customHeight="1">
      <x:c r="A1249" s="46" t="str">
        <x:v>LME_017</x:v>
      </x:c>
      <x:c r="B1249" s="46" t="str">
        <x:v>North Brazil Shelf</x:v>
      </x:c>
      <x:c r="C1249" s="46" t="str">
        <x:v>functional</x:v>
      </x:c>
      <x:c r="D1249" s="46" t="str">
        <x:v>Cephalopods</x:v>
      </x:c>
      <x:c r="E1249" s="66" t="n">
        <x:v>5</x:v>
      </x:c>
      <x:c r="F1249" s="66" t="n">
        <x:v>5</x:v>
      </x:c>
      <x:c r="G1249" s="60" t="n">
        <x:v>1749.9598441386997</x:v>
      </x:c>
      <x:c r="H1249" s="60" t="n">
        <x:v>1749.9598441386997</x:v>
      </x:c>
      <x:c r="I1249" s="62" t="n">
        <x:v>0</x:v>
      </x:c>
      <x:c r="J1249" s="64" t="n">
        <x:v>1</x:v>
      </x:c>
      <x:c r="K1249" s="62" t="n">
        <x:v>671.6021621106082</x:v>
      </x:c>
      <x:c r="L1249" s="60" t="n">
        <x:v>1175276.8149302937</x:v>
      </x:c>
      <x:c r="M1249" s="62" t="n">
        <x:v>3.817197514190065</x:v>
      </x:c>
      <x:c r="N1249" s="62" t="n">
        <x:v>656.4437445955272</x:v>
      </x:c>
      <x:c r="O1249" s="60" t="n">
        <x:v>1148750.192978213</x:v>
      </x:c>
      <x:c r="P1249" s="60" t="n">
        <x:v>26526.621952080633</x:v>
      </x:c>
      <x:c r="Q1249" s="62" t="n">
        <x:v>1.0230917236090369</x:v>
      </x:c>
      <x:c r="R1249" s="64" t="n">
        <x:v>0.023091723609036843</x:v>
      </x:c>
    </x:row>
    <x:row r="1250" ht="18" customHeight="1">
      <x:c r="A1250" s="46" t="str">
        <x:v>LME_017</x:v>
      </x:c>
      <x:c r="B1250" s="46" t="str">
        <x:v>North Brazil Shelf</x:v>
      </x:c>
      <x:c r="C1250" s="46" t="str">
        <x:v>functional</x:v>
      </x:c>
      <x:c r="D1250" s="46" t="str">
        <x:v>Jellyfish</x:v>
      </x:c>
      <x:c r="E1250" s="66" t="n">
        <x:v>2</x:v>
      </x:c>
      <x:c r="F1250" s="66" t="n">
        <x:v>2</x:v>
      </x:c>
      <x:c r="G1250" s="60" t="n">
        <x:v>640.8393659158</x:v>
      </x:c>
      <x:c r="H1250" s="60" t="n">
        <x:v>640.8393659158</x:v>
      </x:c>
      <x:c r="I1250" s="62" t="n">
        <x:v>0</x:v>
      </x:c>
      <x:c r="J1250" s="64" t="n">
        <x:v>1</x:v>
      </x:c>
      <x:c r="K1250" s="62" t="n">
        <x:v>288.40315031266056</x:v>
      </x:c>
      <x:c r="L1250" s="60" t="n">
        <x:v>184820.09197448456</x:v>
      </x:c>
      <x:c r="M1250" s="62" t="n">
        <x:v>3.46</x:v>
      </x:c>
      <x:c r="N1250" s="62" t="n">
        <x:v>288.40315031266056</x:v>
      </x:c>
      <x:c r="O1250" s="60" t="n">
        <x:v>184820.09197448456</x:v>
      </x:c>
      <x:c r="P1250" s="60" t="n">
        <x:v>0</x:v>
      </x:c>
      <x:c r="Q1250" s="62" t="n">
        <x:v>1</x:v>
      </x:c>
      <x:c r="R1250" s="64" t="n">
        <x:v>0</x:v>
      </x:c>
    </x:row>
    <x:row r="1251" ht="18" customHeight="1">
      <x:c r="A1251" s="46" t="str">
        <x:v>LME_017</x:v>
      </x:c>
      <x:c r="B1251" s="46" t="str">
        <x:v>North Brazil Shelf</x:v>
      </x:c>
      <x:c r="C1251" s="46" t="str">
        <x:v>functional</x:v>
      </x:c>
      <x:c r="D1251" s="46" t="str">
        <x:v>Large bathydemersals (&gt;=90 cm)</x:v>
      </x:c>
      <x:c r="E1251" s="66" t="n">
        <x:v>1</x:v>
      </x:c>
      <x:c r="F1251" s="66" t="n">
        <x:v>1</x:v>
      </x:c>
      <x:c r="G1251" s="60" t="n">
        <x:v>0.0396496076</x:v>
      </x:c>
      <x:c r="H1251" s="60" t="n">
        <x:v>0.0396496076</x:v>
      </x:c>
      <x:c r="I1251" s="62" t="n">
        <x:v>0</x:v>
      </x:c>
      <x:c r="J1251" s="64" t="n">
        <x:v>1</x:v>
      </x:c>
      <x:c r="K1251" s="62" t="n">
        <x:v>467.7351412871981</x:v>
      </x:c>
      <x:c r="L1251" s="60" t="n">
        <x:v>18.545514812767962</x:v>
      </x:c>
      <x:c r="M1251" s="62" t="n">
        <x:v>3.6699999999999995</x:v>
      </x:c>
      <x:c r="N1251" s="62" t="n">
        <x:v>467.7351412871976</x:v>
      </x:c>
      <x:c r="O1251" s="60" t="n">
        <x:v>18.545514812767944</x:v>
      </x:c>
      <x:c r="P1251" s="60" t="n">
        <x:v>1.7763568394002505e-14</x:v>
      </x:c>
      <x:c r="Q1251" s="62" t="n">
        <x:v>1.0000000000000009</x:v>
      </x:c>
      <x:c r="R1251" s="64" t="n">
        <x:v>9.578363595370728e-16</x:v>
      </x:c>
    </x:row>
    <x:row r="1252" ht="18" customHeight="1">
      <x:c r="A1252" s="46" t="str">
        <x:v>LME_017</x:v>
      </x:c>
      <x:c r="B1252" s="46" t="str">
        <x:v>North Brazil Shelf</x:v>
      </x:c>
      <x:c r="C1252" s="46" t="str">
        <x:v>functional</x:v>
      </x:c>
      <x:c r="D1252" s="46" t="str">
        <x:v>Large bathypelagics (&gt;=90 cm)</x:v>
      </x:c>
      <x:c r="E1252" s="66" t="n">
        <x:v>2</x:v>
      </x:c>
      <x:c r="F1252" s="66" t="n">
        <x:v>2</x:v>
      </x:c>
      <x:c r="G1252" s="60" t="n">
        <x:v>12.449334884599999</x:v>
      </x:c>
      <x:c r="H1252" s="60" t="n">
        <x:v>12.449334884599999</x:v>
      </x:c>
      <x:c r="I1252" s="62" t="n">
        <x:v>0</x:v>
      </x:c>
      <x:c r="J1252" s="64" t="n">
        <x:v>1</x:v>
      </x:c>
      <x:c r="K1252" s="62" t="n">
        <x:v>2187.605666135889</x:v>
      </x:c>
      <x:c r="L1252" s="60" t="n">
        <x:v>27234.23553317414</x:v>
      </x:c>
      <x:c r="M1252" s="62" t="n">
        <x:v>4.339964566767294</x:v>
      </x:c>
      <x:c r="N1252" s="62" t="n">
        <x:v>2187.583136062386</x:v>
      </x:c>
      <x:c r="O1252" s="60" t="n">
        <x:v>27233.95504874413</x:v>
      </x:c>
      <x:c r="P1252" s="60" t="n">
        <x:v>0.2804844300080731</x:v>
      </x:c>
      <x:c r="Q1252" s="62" t="n">
        <x:v>1.0000102990707558</x:v>
      </x:c>
      <x:c r="R1252" s="64" t="n">
        <x:v>0.000010299070755828665</x:v>
      </x:c>
    </x:row>
    <x:row r="1253" ht="18" customHeight="1">
      <x:c r="A1253" s="46" t="str">
        <x:v>LME_017</x:v>
      </x:c>
      <x:c r="B1253" s="46" t="str">
        <x:v>North Brazil Shelf</x:v>
      </x:c>
      <x:c r="C1253" s="46" t="str">
        <x:v>functional</x:v>
      </x:c>
      <x:c r="D1253" s="46" t="str">
        <x:v>Large benthopelagics (&gt;=90 cm)</x:v>
      </x:c>
      <x:c r="E1253" s="66" t="n">
        <x:v>10</x:v>
      </x:c>
      <x:c r="F1253" s="66" t="n">
        <x:v>10</x:v>
      </x:c>
      <x:c r="G1253" s="60" t="n">
        <x:v>12150.280833017297</x:v>
      </x:c>
      <x:c r="H1253" s="60" t="n">
        <x:v>12150.280833017297</x:v>
      </x:c>
      <x:c r="I1253" s="62" t="n">
        <x:v>0</x:v>
      </x:c>
      <x:c r="J1253" s="64" t="n">
        <x:v>1</x:v>
      </x:c>
      <x:c r="K1253" s="62" t="n">
        <x:v>2438.3182709907537</x:v>
      </x:c>
      <x:c r="L1253" s="60" t="n">
        <x:v>29626251.752814833</x:v>
      </x:c>
      <x:c r="M1253" s="62" t="n">
        <x:v>4.373749732443904</x:v>
      </x:c>
      <x:c r="N1253" s="62" t="n">
        <x:v>2364.5566998151767</x:v>
      </x:c>
      <x:c r="O1253" s="60" t="n">
        <x:v>28730027.948346976</x:v>
      </x:c>
      <x:c r="P1253" s="60" t="n">
        <x:v>896223.8044678569</x:v>
      </x:c>
      <x:c r="Q1253" s="62" t="n">
        <x:v>1.0311946722112195</x:v>
      </x:c>
      <x:c r="R1253" s="64" t="n">
        <x:v>0.031194672211219427</x:v>
      </x:c>
    </x:row>
    <x:row r="1254" ht="18" customHeight="1">
      <x:c r="A1254" s="46" t="str">
        <x:v>LME_017</x:v>
      </x:c>
      <x:c r="B1254" s="46" t="str">
        <x:v>North Brazil Shelf</x:v>
      </x:c>
      <x:c r="C1254" s="46" t="str">
        <x:v>functional</x:v>
      </x:c>
      <x:c r="D1254" s="46" t="str">
        <x:v>Large demersals (&gt;=90 cm)</x:v>
      </x:c>
      <x:c r="E1254" s="66" t="n">
        <x:v>9</x:v>
      </x:c>
      <x:c r="F1254" s="66" t="n">
        <x:v>9</x:v>
      </x:c>
      <x:c r="G1254" s="60" t="n">
        <x:v>27414.0894676919</x:v>
      </x:c>
      <x:c r="H1254" s="60" t="n">
        <x:v>27414.0894676919</x:v>
      </x:c>
      <x:c r="I1254" s="62" t="n">
        <x:v>0</x:v>
      </x:c>
      <x:c r="J1254" s="64" t="n">
        <x:v>1</x:v>
      </x:c>
      <x:c r="K1254" s="62" t="n">
        <x:v>1152.2998346410027</x:v>
      </x:c>
      <x:c r="L1254" s="60" t="n">
        <x:v>31589250.76045503</x:v>
      </x:c>
      <x:c r="M1254" s="62" t="n">
        <x:v>4.057156521389491</x:v>
      </x:c>
      <x:c r="N1254" s="62" t="n">
        <x:v>1140.6608120012197</x:v>
      </x:c>
      <x:c r="O1254" s="60" t="n">
        <x:v>31270177.55249153</x:v>
      </x:c>
      <x:c r="P1254" s="60" t="n">
        <x:v>319073.2079635002</x:v>
      </x:c>
      <x:c r="Q1254" s="62" t="n">
        <x:v>1.0102037542776305</x:v>
      </x:c>
      <x:c r="R1254" s="64" t="n">
        <x:v>0.010203754277630483</x:v>
      </x:c>
    </x:row>
    <x:row r="1255" ht="18" customHeight="1">
      <x:c r="A1255" s="46" t="str">
        <x:v>LME_017</x:v>
      </x:c>
      <x:c r="B1255" s="46" t="str">
        <x:v>North Brazil Shelf</x:v>
      </x:c>
      <x:c r="C1255" s="46" t="str">
        <x:v>functional</x:v>
      </x:c>
      <x:c r="D1255" s="46" t="str">
        <x:v>Large pelagics (&gt;=90 cm)</x:v>
      </x:c>
      <x:c r="E1255" s="66" t="n">
        <x:v>32</x:v>
      </x:c>
      <x:c r="F1255" s="66" t="n">
        <x:v>32</x:v>
      </x:c>
      <x:c r="G1255" s="60" t="n">
        <x:v>21776.9651120901</x:v>
      </x:c>
      <x:c r="H1255" s="60" t="n">
        <x:v>21776.9651120901</x:v>
      </x:c>
      <x:c r="I1255" s="62" t="n">
        <x:v>0</x:v>
      </x:c>
      <x:c r="J1255" s="64" t="n">
        <x:v>1</x:v>
      </x:c>
      <x:c r="K1255" s="62" t="n">
        <x:v>2391.0504065456985</x:v>
      </x:c>
      <x:c r="L1255" s="60" t="n">
        <x:v>52069821.28459452</x:v>
      </x:c>
      <x:c r="M1255" s="62" t="n">
        <x:v>4.276302793130539</x:v>
      </x:c>
      <x:c r="N1255" s="62" t="n">
        <x:v>1889.308128764484</x:v>
      </x:c>
      <x:c r="O1255" s="60" t="n">
        <x:v>41143397.2060924</x:v>
      </x:c>
      <x:c r="P1255" s="60" t="n">
        <x:v>10926424.078502119</x:v>
      </x:c>
      <x:c r="Q1255" s="62" t="n">
        <x:v>1.2655693214580774</x:v>
      </x:c>
      <x:c r="R1255" s="64" t="n">
        <x:v>0.26556932145807743</x:v>
      </x:c>
    </x:row>
    <x:row r="1256" ht="18" customHeight="1">
      <x:c r="A1256" s="46" t="str">
        <x:v>LME_017</x:v>
      </x:c>
      <x:c r="B1256" s="46" t="str">
        <x:v>North Brazil Shelf</x:v>
      </x:c>
      <x:c r="C1256" s="46" t="str">
        <x:v>functional</x:v>
      </x:c>
      <x:c r="D1256" s="46" t="str">
        <x:v>Large rays (&gt;=90 cm)</x:v>
      </x:c>
      <x:c r="E1256" s="66" t="n">
        <x:v>12</x:v>
      </x:c>
      <x:c r="F1256" s="66" t="n">
        <x:v>12</x:v>
      </x:c>
      <x:c r="G1256" s="60" t="n">
        <x:v>9240.5317037083</x:v>
      </x:c>
      <x:c r="H1256" s="60" t="n">
        <x:v>9240.5317037083</x:v>
      </x:c>
      <x:c r="I1256" s="62" t="n">
        <x:v>0</x:v>
      </x:c>
      <x:c r="J1256" s="64" t="n">
        <x:v>1</x:v>
      </x:c>
      <x:c r="K1256" s="62" t="n">
        <x:v>536.8421593616931</x:v>
      </x:c>
      <x:c r="L1256" s="60" t="n">
        <x:v>4960706.99346895</x:v>
      </x:c>
      <x:c r="M1256" s="62" t="n">
        <x:v>3.702883900442412</x:v>
      </x:c>
      <x:c r="N1256" s="62" t="n">
        <x:v>504.5264049388599</x:v>
      </x:c>
      <x:c r="O1256" s="60" t="n">
        <x:v>4662092.240195507</x:v>
      </x:c>
      <x:c r="P1256" s="60" t="n">
        <x:v>298614.7532734424</x:v>
      </x:c>
      <x:c r="Q1256" s="62" t="n">
        <x:v>1.0640516613332645</x:v>
      </x:c>
      <x:c r="R1256" s="64" t="n">
        <x:v>0.06405166133326436</x:v>
      </x:c>
    </x:row>
    <x:row r="1257" ht="18" customHeight="1">
      <x:c r="A1257" s="46" t="str">
        <x:v>LME_017</x:v>
      </x:c>
      <x:c r="B1257" s="46" t="str">
        <x:v>North Brazil Shelf</x:v>
      </x:c>
      <x:c r="C1257" s="46" t="str">
        <x:v>functional</x:v>
      </x:c>
      <x:c r="D1257" s="46" t="str">
        <x:v>Large reef assoc. fish (&gt;=90 cm)</x:v>
      </x:c>
      <x:c r="E1257" s="66" t="n">
        <x:v>21</x:v>
      </x:c>
      <x:c r="F1257" s="66" t="n">
        <x:v>21</x:v>
      </x:c>
      <x:c r="G1257" s="60" t="n">
        <x:v>11192.455045526798</x:v>
      </x:c>
      <x:c r="H1257" s="60" t="n">
        <x:v>11192.455045526798</x:v>
      </x:c>
      <x:c r="I1257" s="62" t="n">
        <x:v>0</x:v>
      </x:c>
      <x:c r="J1257" s="64" t="n">
        <x:v>1</x:v>
      </x:c>
      <x:c r="K1257" s="62" t="n">
        <x:v>829.8738599208256</x:v>
      </x:c>
      <x:c r="L1257" s="60" t="n">
        <x:v>9288325.870621644</x:v>
      </x:c>
      <x:c r="M1257" s="62" t="n">
        <x:v>3.729278263900318</x:v>
      </x:c>
      <x:c r="N1257" s="62" t="n">
        <x:v>536.1400665318205</x:v>
      </x:c>
      <x:c r="O1257" s="60" t="n">
        <x:v>6000723.592763147</x:v>
      </x:c>
      <x:c r="P1257" s="60" t="n">
        <x:v>3287602.2778584966</x:v>
      </x:c>
      <x:c r="Q1257" s="62" t="n">
        <x:v>1.5478676407997418</x:v>
      </x:c>
      <x:c r="R1257" s="64" t="n">
        <x:v>0.5478676407997419</x:v>
      </x:c>
    </x:row>
    <x:row r="1258" ht="18" customHeight="1">
      <x:c r="A1258" s="46" t="str">
        <x:v>LME_017</x:v>
      </x:c>
      <x:c r="B1258" s="46" t="str">
        <x:v>North Brazil Shelf</x:v>
      </x:c>
      <x:c r="C1258" s="46" t="str">
        <x:v>functional</x:v>
      </x:c>
      <x:c r="D1258" s="46" t="str">
        <x:v>Large sharks (&gt;=90 cm)</x:v>
      </x:c>
      <x:c r="E1258" s="66" t="n">
        <x:v>26</x:v>
      </x:c>
      <x:c r="F1258" s="66" t="n">
        <x:v>26</x:v>
      </x:c>
      <x:c r="G1258" s="60" t="n">
        <x:v>3570.7603375062</x:v>
      </x:c>
      <x:c r="H1258" s="60" t="n">
        <x:v>3570.7603375062</x:v>
      </x:c>
      <x:c r="I1258" s="62" t="n">
        <x:v>0</x:v>
      </x:c>
      <x:c r="J1258" s="64" t="n">
        <x:v>1</x:v>
      </x:c>
      <x:c r="K1258" s="62" t="n">
        <x:v>1535.910660990415</x:v>
      </x:c>
      <x:c r="L1258" s="60" t="n">
        <x:v>5484368.870217505</x:v>
      </x:c>
      <x:c r="M1258" s="62" t="n">
        <x:v>4.155538760812333</x:v>
      </x:c>
      <x:c r="N1258" s="62" t="n">
        <x:v>1430.667662309296</x:v>
      </x:c>
      <x:c r="O1258" s="60" t="n">
        <x:v>5108571.344726748</x:v>
      </x:c>
      <x:c r="P1258" s="60" t="n">
        <x:v>375797.5254907571</x:v>
      </x:c>
      <x:c r="Q1258" s="62" t="n">
        <x:v>1.0735621566445712</x:v>
      </x:c>
      <x:c r="R1258" s="64" t="n">
        <x:v>0.07356215664457126</x:v>
      </x:c>
    </x:row>
    <x:row r="1259" ht="18" customHeight="1">
      <x:c r="A1259" s="46" t="str">
        <x:v>LME_017</x:v>
      </x:c>
      <x:c r="B1259" s="46" t="str">
        <x:v>North Brazil Shelf</x:v>
      </x:c>
      <x:c r="C1259" s="46" t="str">
        <x:v>functional</x:v>
      </x:c>
      <x:c r="D1259" s="46" t="str">
        <x:v>Lobsters, crabs</x:v>
      </x:c>
      <x:c r="E1259" s="66" t="n">
        <x:v>8</x:v>
      </x:c>
      <x:c r="F1259" s="66" t="n">
        <x:v>8</x:v>
      </x:c>
      <x:c r="G1259" s="60" t="n">
        <x:v>7152.8838934707</x:v>
      </x:c>
      <x:c r="H1259" s="60" t="n">
        <x:v>7152.8838934707</x:v>
      </x:c>
      <x:c r="I1259" s="62" t="n">
        <x:v>0</x:v>
      </x:c>
      <x:c r="J1259" s="64" t="n">
        <x:v>1</x:v>
      </x:c>
      <x:c r="K1259" s="62" t="n">
        <x:v>234.2717092214072</x:v>
      </x:c>
      <x:c r="L1259" s="60" t="n">
        <x:v>1675718.335585655</x:v>
      </x:c>
      <x:c r="M1259" s="62" t="n">
        <x:v>3.231242081648598</x:v>
      </x:c>
      <x:c r="N1259" s="62" t="n">
        <x:v>170.3107579176874</x:v>
      </x:c>
      <x:c r="O1259" s="60" t="n">
        <x:v>1218213.0771942136</x:v>
      </x:c>
      <x:c r="P1259" s="60" t="n">
        <x:v>457505.2583914413</x:v>
      </x:c>
      <x:c r="Q1259" s="62" t="n">
        <x:v>1.375554381213151</x:v>
      </x:c>
      <x:c r="R1259" s="64" t="n">
        <x:v>0.3755543812131509</x:v>
      </x:c>
    </x:row>
    <x:row r="1260" ht="18" customHeight="1">
      <x:c r="A1260" s="46" t="str">
        <x:v>LME_017</x:v>
      </x:c>
      <x:c r="B1260" s="46" t="str">
        <x:v>North Brazil Shelf</x:v>
      </x:c>
      <x:c r="C1260" s="46" t="str">
        <x:v>functional</x:v>
      </x:c>
      <x:c r="D1260" s="46" t="str">
        <x:v>Medium bathydemersals (30 - 89 cm)</x:v>
      </x:c>
      <x:c r="E1260" s="66" t="n">
        <x:v>1</x:v>
      </x:c>
      <x:c r="F1260" s="66" t="n">
        <x:v>1</x:v>
      </x:c>
      <x:c r="G1260" s="60" t="n">
        <x:v>820.3041966866</x:v>
      </x:c>
      <x:c r="H1260" s="60" t="n">
        <x:v>820.3041966866</x:v>
      </x:c>
      <x:c r="I1260" s="62" t="n">
        <x:v>0</x:v>
      </x:c>
      <x:c r="J1260" s="64" t="n">
        <x:v>1</x:v>
      </x:c>
      <x:c r="K1260" s="62" t="n">
        <x:v>3090.2954325135925</x:v>
      </x:c>
      <x:c r="L1260" s="60" t="n">
        <x:v>2534982.3122923314</x:v>
      </x:c>
      <x:c r="M1260" s="62" t="n">
        <x:v>4.49</x:v>
      </x:c>
      <x:c r="N1260" s="62" t="n">
        <x:v>3090.295432513592</x:v>
      </x:c>
      <x:c r="O1260" s="60" t="n">
        <x:v>2534982.3122923314</x:v>
      </x:c>
      <x:c r="P1260" s="60" t="n">
        <x:v>0</x:v>
      </x:c>
      <x:c r="Q1260" s="62" t="n">
        <x:v>1</x:v>
      </x:c>
      <x:c r="R1260" s="64" t="n">
        <x:v>0</x:v>
      </x:c>
    </x:row>
    <x:row r="1261" ht="18" customHeight="1">
      <x:c r="A1261" s="46" t="str">
        <x:v>LME_017</x:v>
      </x:c>
      <x:c r="B1261" s="46" t="str">
        <x:v>North Brazil Shelf</x:v>
      </x:c>
      <x:c r="C1261" s="46" t="str">
        <x:v>functional</x:v>
      </x:c>
      <x:c r="D1261" s="46" t="str">
        <x:v>Medium benthopelagics (30 - 89 cm)</x:v>
      </x:c>
      <x:c r="E1261" s="66" t="n">
        <x:v>14</x:v>
      </x:c>
      <x:c r="F1261" s="66" t="n">
        <x:v>14</x:v>
      </x:c>
      <x:c r="G1261" s="60" t="n">
        <x:v>6477.3122264732</x:v>
      </x:c>
      <x:c r="H1261" s="60" t="n">
        <x:v>6477.3122264732</x:v>
      </x:c>
      <x:c r="I1261" s="62" t="n">
        <x:v>0</x:v>
      </x:c>
      <x:c r="J1261" s="64" t="n">
        <x:v>1</x:v>
      </x:c>
      <x:c r="K1261" s="62" t="n">
        <x:v>968.3371783949734</x:v>
      </x:c>
      <x:c r="L1261" s="60" t="n">
        <x:v>6272222.244966322</x:v>
      </x:c>
      <x:c r="M1261" s="62" t="n">
        <x:v>3.961953336761212</x:v>
      </x:c>
      <x:c r="N1261" s="62" t="n">
        <x:v>916.1220511122685</x:v>
      </x:c>
      <x:c r="O1261" s="60" t="n">
        <x:v>5934008.562611203</x:v>
      </x:c>
      <x:c r="P1261" s="60" t="n">
        <x:v>338213.6823551189</x:v>
      </x:c>
      <x:c r="Q1261" s="62" t="n">
        <x:v>1.0569958197374578</x:v>
      </x:c>
      <x:c r="R1261" s="64" t="n">
        <x:v>0.05699581973745776</x:v>
      </x:c>
    </x:row>
    <x:row r="1262" ht="18" customHeight="1">
      <x:c r="A1262" s="46" t="str">
        <x:v>LME_017</x:v>
      </x:c>
      <x:c r="B1262" s="46" t="str">
        <x:v>North Brazil Shelf</x:v>
      </x:c>
      <x:c r="C1262" s="46" t="str">
        <x:v>functional</x:v>
      </x:c>
      <x:c r="D1262" s="46" t="str">
        <x:v>Medium demersals (30 - 89 cm)</x:v>
      </x:c>
      <x:c r="E1262" s="66" t="n">
        <x:v>40</x:v>
      </x:c>
      <x:c r="F1262" s="66" t="n">
        <x:v>40</x:v>
      </x:c>
      <x:c r="G1262" s="60" t="n">
        <x:v>173462.1449218681</x:v>
      </x:c>
      <x:c r="H1262" s="60" t="n">
        <x:v>173462.1449218681</x:v>
      </x:c>
      <x:c r="I1262" s="62" t="n">
        <x:v>0</x:v>
      </x:c>
      <x:c r="J1262" s="64" t="n">
        <x:v>1</x:v>
      </x:c>
      <x:c r="K1262" s="62" t="n">
        <x:v>473.2610506989106</x:v>
      </x:c>
      <x:c r="L1262" s="60" t="n">
        <x:v>82092876.96221</x:v>
      </x:c>
      <x:c r="M1262" s="62" t="n">
        <x:v>3.443798695909716</x:v>
      </x:c>
      <x:c r="N1262" s="62" t="n">
        <x:v>277.8425114193862</x:v>
      </x:c>
      <x:c r="O1262" s="60" t="n">
        <x:v>48195157.98128536</x:v>
      </x:c>
      <x:c r="P1262" s="60" t="n">
        <x:v>33897718.980924636</x:v>
      </x:c>
      <x:c r="Q1262" s="62" t="n">
        <x:v>1.70334283361178</x:v>
      </x:c>
      <x:c r="R1262" s="64" t="n">
        <x:v>0.7033428336117798</x:v>
      </x:c>
    </x:row>
    <x:row r="1263" ht="18" customHeight="1">
      <x:c r="A1263" s="46" t="str">
        <x:v>LME_017</x:v>
      </x:c>
      <x:c r="B1263" s="46" t="str">
        <x:v>North Brazil Shelf</x:v>
      </x:c>
      <x:c r="C1263" s="46" t="str">
        <x:v>functional</x:v>
      </x:c>
      <x:c r="D1263" s="46" t="str">
        <x:v>Medium pelagics (30 - 89 cm)</x:v>
      </x:c>
      <x:c r="E1263" s="66" t="n">
        <x:v>16</x:v>
      </x:c>
      <x:c r="F1263" s="66" t="n">
        <x:v>16</x:v>
      </x:c>
      <x:c r="G1263" s="60" t="n">
        <x:v>12403.682403863502</x:v>
      </x:c>
      <x:c r="H1263" s="60" t="n">
        <x:v>12403.682403863502</x:v>
      </x:c>
      <x:c r="I1263" s="62" t="n">
        <x:v>0</x:v>
      </x:c>
      <x:c r="J1263" s="64" t="n">
        <x:v>1</x:v>
      </x:c>
      <x:c r="K1263" s="62" t="n">
        <x:v>1133.9438332666014</x:v>
      </x:c>
      <x:c r="L1263" s="60" t="n">
        <x:v>14065079.171658471</x:v>
      </x:c>
      <x:c r="M1263" s="62" t="n">
        <x:v>3.9131134293685426</x:v>
      </x:c>
      <x:c r="N1263" s="62" t="n">
        <x:v>818.6785833193018</x:v>
      </x:c>
      <x:c r="O1263" s="60" t="n">
        <x:v>10154629.138337523</x:v>
      </x:c>
      <x:c r="P1263" s="60" t="n">
        <x:v>3910450.0333209485</x:v>
      </x:c>
      <x:c r="Q1263" s="62" t="n">
        <x:v>1.3850903839075261</x:v>
      </x:c>
      <x:c r="R1263" s="64" t="n">
        <x:v>0.3850903839075262</x:v>
      </x:c>
    </x:row>
    <x:row r="1264" ht="18" customHeight="1">
      <x:c r="A1264" s="46" t="str">
        <x:v>LME_017</x:v>
      </x:c>
      <x:c r="B1264" s="46" t="str">
        <x:v>North Brazil Shelf</x:v>
      </x:c>
      <x:c r="C1264" s="46" t="str">
        <x:v>functional</x:v>
      </x:c>
      <x:c r="D1264" s="46" t="str">
        <x:v>Medium reef assoc. fish (30 - 89 cm)</x:v>
      </x:c>
      <x:c r="E1264" s="66" t="n">
        <x:v>42</x:v>
      </x:c>
      <x:c r="F1264" s="66" t="n">
        <x:v>42</x:v>
      </x:c>
      <x:c r="G1264" s="60" t="n">
        <x:v>18715.766500200498</x:v>
      </x:c>
      <x:c r="H1264" s="60" t="n">
        <x:v>18715.766500200498</x:v>
      </x:c>
      <x:c r="I1264" s="62" t="n">
        <x:v>0</x:v>
      </x:c>
      <x:c r="J1264" s="64" t="n">
        <x:v>1</x:v>
      </x:c>
      <x:c r="K1264" s="62" t="n">
        <x:v>930.0259084869504</x:v>
      </x:c>
      <x:c r="L1264" s="60" t="n">
        <x:v>17406147.7423786</x:v>
      </x:c>
      <x:c r="M1264" s="62" t="n">
        <x:v>3.8737865959331628</x:v>
      </x:c>
      <x:c r="N1264" s="62" t="n">
        <x:v>747.8019545265096</x:v>
      </x:c>
      <x:c r="O1264" s="60" t="n">
        <x:v>13995686.769311704</x:v>
      </x:c>
      <x:c r="P1264" s="60" t="n">
        <x:v>3410460.973066896</x:v>
      </x:c>
      <x:c r="Q1264" s="62" t="n">
        <x:v>1.2436794299044334</x:v>
      </x:c>
      <x:c r="R1264" s="64" t="n">
        <x:v>0.24367942990443334</x:v>
      </x:c>
    </x:row>
    <x:row r="1265" ht="18" customHeight="1">
      <x:c r="A1265" s="46" t="str">
        <x:v>LME_017</x:v>
      </x:c>
      <x:c r="B1265" s="46" t="str">
        <x:v>North Brazil Shelf</x:v>
      </x:c>
      <x:c r="C1265" s="46" t="str">
        <x:v>functional</x:v>
      </x:c>
      <x:c r="D1265" s="46" t="str">
        <x:v>Other demersal invertebrates</x:v>
      </x:c>
      <x:c r="E1265" s="66" t="n">
        <x:v>14</x:v>
      </x:c>
      <x:c r="F1265" s="66" t="n">
        <x:v>14</x:v>
      </x:c>
      <x:c r="G1265" s="60" t="n">
        <x:v>7352.254246062799</x:v>
      </x:c>
      <x:c r="H1265" s="60" t="n">
        <x:v>7352.254246062799</x:v>
      </x:c>
      <x:c r="I1265" s="62" t="n">
        <x:v>0</x:v>
      </x:c>
      <x:c r="J1265" s="64" t="n">
        <x:v>1</x:v>
      </x:c>
      <x:c r="K1265" s="62" t="n">
        <x:v>11.237319823412031</x:v>
      </x:c>
      <x:c r="L1265" s="60" t="n">
        <x:v>82619.63238604677</x:v>
      </x:c>
      <x:c r="M1265" s="62" t="n">
        <x:v>2.0373643397017336</x:v>
      </x:c>
      <x:c r="N1265" s="62" t="n">
        <x:v>10.898440053122478</x:v>
      </x:c>
      <x:c r="O1265" s="60" t="n">
        <x:v>80128.10215603061</x:v>
      </x:c>
      <x:c r="P1265" s="60" t="n">
        <x:v>2491.5302300161566</x:v>
      </x:c>
      <x:c r="Q1265" s="62" t="n">
        <x:v>1.0310943372297086</x:v>
      </x:c>
      <x:c r="R1265" s="64" t="n">
        <x:v>0.0310943372297086</x:v>
      </x:c>
    </x:row>
    <x:row r="1266" ht="18" customHeight="1">
      <x:c r="A1266" s="46" t="str">
        <x:v>LME_017</x:v>
      </x:c>
      <x:c r="B1266" s="46" t="str">
        <x:v>North Brazil Shelf</x:v>
      </x:c>
      <x:c r="C1266" s="46" t="str">
        <x:v>functional</x:v>
      </x:c>
      <x:c r="D1266" s="46" t="str">
        <x:v>Shrimps</x:v>
      </x:c>
      <x:c r="E1266" s="66" t="n">
        <x:v>9</x:v>
      </x:c>
      <x:c r="F1266" s="66" t="n">
        <x:v>9</x:v>
      </x:c>
      <x:c r="G1266" s="60" t="n">
        <x:v>38116.46824207911</x:v>
      </x:c>
      <x:c r="H1266" s="60" t="n">
        <x:v>38116.46824207911</x:v>
      </x:c>
      <x:c r="I1266" s="62" t="n">
        <x:v>0</x:v>
      </x:c>
      <x:c r="J1266" s="64" t="n">
        <x:v>1</x:v>
      </x:c>
      <x:c r="K1266" s="62" t="n">
        <x:v>52.71732174244004</x:v>
      </x:c>
      <x:c r="L1266" s="60" t="n">
        <x:v>2009398.1200031822</x:v>
      </x:c>
      <x:c r="M1266" s="62" t="n">
        <x:v>2.6989858000857403</x:v>
      </x:c>
      <x:c r="N1266" s="62" t="n">
        <x:v>50.00181858596382</x:v>
      </x:c>
      <x:c r="O1266" s="60" t="n">
        <x:v>1905892.7301780907</x:v>
      </x:c>
      <x:c r="P1266" s="60" t="n">
        <x:v>103505.38982509146</x:v>
      </x:c>
      <x:c r="Q1266" s="62" t="n">
        <x:v>1.0543080878509987</x:v>
      </x:c>
      <x:c r="R1266" s="64" t="n">
        <x:v>0.05430808785099867</x:v>
      </x:c>
    </x:row>
    <x:row r="1267" ht="18" customHeight="1">
      <x:c r="A1267" s="46" t="str">
        <x:v>LME_017</x:v>
      </x:c>
      <x:c r="B1267" s="46" t="str">
        <x:v>North Brazil Shelf</x:v>
      </x:c>
      <x:c r="C1267" s="46" t="str">
        <x:v>functional</x:v>
      </x:c>
      <x:c r="D1267" s="46" t="str">
        <x:v>Small benthopelagics (&lt;30 cm)</x:v>
      </x:c>
      <x:c r="E1267" s="66" t="n">
        <x:v>3</x:v>
      </x:c>
      <x:c r="F1267" s="66" t="n">
        <x:v>3</x:v>
      </x:c>
      <x:c r="G1267" s="60" t="n">
        <x:v>1043.0040263561</x:v>
      </x:c>
      <x:c r="H1267" s="60" t="n">
        <x:v>1043.0040263561</x:v>
      </x:c>
      <x:c r="I1267" s="62" t="n">
        <x:v>0</x:v>
      </x:c>
      <x:c r="J1267" s="64" t="n">
        <x:v>1</x:v>
      </x:c>
      <x:c r="K1267" s="62" t="n">
        <x:v>1079.6570488469633</x:v>
      </x:c>
      <x:c r="L1267" s="60" t="n">
        <x:v>1126086.6490311273</x:v>
      </x:c>
      <x:c r="M1267" s="62" t="n">
        <x:v>3.4986251228461547</x:v>
      </x:c>
      <x:c r="N1267" s="62" t="n">
        <x:v>315.2282440875372</x:v>
      </x:c>
      <x:c r="O1267" s="60" t="n">
        <x:v>328784.32780446473</x:v>
      </x:c>
      <x:c r="P1267" s="60" t="n">
        <x:v>797302.3212266626</x:v>
      </x:c>
      <x:c r="Q1267" s="62" t="n">
        <x:v>3.42500099244644</x:v>
      </x:c>
      <x:c r="R1267" s="64" t="n">
        <x:v>2.42500099244644</x:v>
      </x:c>
    </x:row>
    <x:row r="1268" ht="18" customHeight="1">
      <x:c r="A1268" s="46" t="str">
        <x:v>LME_017</x:v>
      </x:c>
      <x:c r="B1268" s="46" t="str">
        <x:v>North Brazil Shelf</x:v>
      </x:c>
      <x:c r="C1268" s="46" t="str">
        <x:v>functional</x:v>
      </x:c>
      <x:c r="D1268" s="46" t="str">
        <x:v>Small demersals (&lt;30 cm)</x:v>
      </x:c>
      <x:c r="E1268" s="66" t="n">
        <x:v>12</x:v>
      </x:c>
      <x:c r="F1268" s="66" t="n">
        <x:v>12</x:v>
      </x:c>
      <x:c r="G1268" s="60" t="n">
        <x:v>16412.8838063371</x:v>
      </x:c>
      <x:c r="H1268" s="60" t="n">
        <x:v>16412.8838063371</x:v>
      </x:c>
      <x:c r="I1268" s="62" t="n">
        <x:v>0</x:v>
      </x:c>
      <x:c r="J1268" s="64" t="n">
        <x:v>1</x:v>
      </x:c>
      <x:c r="K1268" s="62" t="n">
        <x:v>390.6482989273744</x:v>
      </x:c>
      <x:c r="L1268" s="60" t="n">
        <x:v>6411665.139438238</x:v>
      </x:c>
      <x:c r="M1268" s="62" t="n">
        <x:v>3.5233671946894436</x:v>
      </x:c>
      <x:c r="N1268" s="62" t="n">
        <x:v>333.70844301206125</x:v>
      </x:c>
      <x:c r="O1268" s="60" t="n">
        <x:v>5477117.9003506275</x:v>
      </x:c>
      <x:c r="P1268" s="60" t="n">
        <x:v>934547.2390876105</x:v>
      </x:c>
      <x:c r="Q1268" s="62" t="n">
        <x:v>1.170627555603246</x:v>
      </x:c>
      <x:c r="R1268" s="64" t="n">
        <x:v>0.17062755560324597</x:v>
      </x:c>
    </x:row>
    <x:row r="1269" ht="18" customHeight="1">
      <x:c r="A1269" s="46" t="str">
        <x:v>LME_017</x:v>
      </x:c>
      <x:c r="B1269" s="46" t="str">
        <x:v>North Brazil Shelf</x:v>
      </x:c>
      <x:c r="C1269" s="46" t="str">
        <x:v>functional</x:v>
      </x:c>
      <x:c r="D1269" s="46" t="str">
        <x:v>Small pelagics (&lt;30 cm)</x:v>
      </x:c>
      <x:c r="E1269" s="66" t="n">
        <x:v>15</x:v>
      </x:c>
      <x:c r="F1269" s="66" t="n">
        <x:v>15</x:v>
      </x:c>
      <x:c r="G1269" s="60" t="n">
        <x:v>78708.0340735877</x:v>
      </x:c>
      <x:c r="H1269" s="60" t="n">
        <x:v>78708.0340735877</x:v>
      </x:c>
      <x:c r="I1269" s="62" t="n">
        <x:v>0</x:v>
      </x:c>
      <x:c r="J1269" s="64" t="n">
        <x:v>1</x:v>
      </x:c>
      <x:c r="K1269" s="62" t="n">
        <x:v>287.28314001437604</x:v>
      </x:c>
      <x:c r="L1269" s="60" t="n">
        <x:v>22611491.173018776</x:v>
      </x:c>
      <x:c r="M1269" s="62" t="n">
        <x:v>3.2294116295959547</x:v>
      </x:c>
      <x:c r="N1269" s="62" t="n">
        <x:v>169.59444757301068</x:v>
      </x:c>
      <x:c r="O1269" s="60" t="n">
        <x:v>13348445.558267808</x:v>
      </x:c>
      <x:c r="P1269" s="60" t="n">
        <x:v>9263045.614750968</x:v>
      </x:c>
      <x:c r="Q1269" s="62" t="n">
        <x:v>1.6939418956549281</x:v>
      </x:c>
      <x:c r="R1269" s="64" t="n">
        <x:v>0.6939418956549281</x:v>
      </x:c>
    </x:row>
    <x:row r="1270" ht="18" customHeight="1">
      <x:c r="A1270" s="46" t="str">
        <x:v>LME_017</x:v>
      </x:c>
      <x:c r="B1270" s="46" t="str">
        <x:v>North Brazil Shelf</x:v>
      </x:c>
      <x:c r="C1270" s="46" t="str">
        <x:v>functional</x:v>
      </x:c>
      <x:c r="D1270" s="46" t="str">
        <x:v>Small reef assoc. fish (&lt;30 cm)</x:v>
      </x:c>
      <x:c r="E1270" s="66" t="n">
        <x:v>11</x:v>
      </x:c>
      <x:c r="F1270" s="66" t="n">
        <x:v>11</x:v>
      </x:c>
      <x:c r="G1270" s="60" t="n">
        <x:v>1078.4243349336998</x:v>
      </x:c>
      <x:c r="H1270" s="60" t="n">
        <x:v>1078.4243349336998</x:v>
      </x:c>
      <x:c r="I1270" s="62" t="n">
        <x:v>0</x:v>
      </x:c>
      <x:c r="J1270" s="64" t="n">
        <x:v>1</x:v>
      </x:c>
      <x:c r="K1270" s="62" t="n">
        <x:v>678.652090451772</x:v>
      </x:c>
      <x:c r="L1270" s="60" t="n">
        <x:v>731874.9292968173</x:v>
      </x:c>
      <x:c r="M1270" s="62" t="n">
        <x:v>3.668861519686479</x:v>
      </x:c>
      <x:c r="N1270" s="62" t="n">
        <x:v>466.5106037626016</x:v>
      </x:c>
      <x:c r="O1270" s="60" t="n">
        <x:v>503096.38760220236</x:v>
      </x:c>
      <x:c r="P1270" s="60" t="n">
        <x:v>228778.54169461492</x:v>
      </x:c>
      <x:c r="Q1270" s="62" t="n">
        <x:v>1.454740974756332</x:v>
      </x:c>
      <x:c r="R1270" s="64" t="n">
        <x:v>0.454740974756332</x:v>
      </x:c>
    </x:row>
    <x:row r="1271" ht="18" customHeight="1">
      <x:c r="A1271" s="46" t="str">
        <x:v>LME_017</x:v>
      </x:c>
      <x:c r="B1271" s="46" t="str">
        <x:v>North Brazil Shelf</x:v>
      </x:c>
      <x:c r="C1271" s="46" t="str">
        <x:v>functional</x:v>
      </x:c>
      <x:c r="D1271" s="46" t="str">
        <x:v>Small to medium flatfishes (&lt;90 cm)</x:v>
      </x:c>
      <x:c r="E1271" s="66" t="n">
        <x:v>4</x:v>
      </x:c>
      <x:c r="F1271" s="66" t="n">
        <x:v>4</x:v>
      </x:c>
      <x:c r="G1271" s="60" t="n">
        <x:v>3415.4823753489</x:v>
      </x:c>
      <x:c r="H1271" s="60" t="n">
        <x:v>3415.4823753489</x:v>
      </x:c>
      <x:c r="I1271" s="62" t="n">
        <x:v>0</x:v>
      </x:c>
      <x:c r="J1271" s="64" t="n">
        <x:v>1</x:v>
      </x:c>
      <x:c r="K1271" s="62" t="n">
        <x:v>300.3525712512118</x:v>
      </x:c>
      <x:c r="L1271" s="60" t="n">
        <x:v>1025848.9134992388</x:v>
      </x:c>
      <x:c r="M1271" s="62" t="n">
        <x:v>3.4285117429588916</x:v>
      </x:c>
      <x:c r="N1271" s="62" t="n">
        <x:v>268.23271345061283</x:v>
      </x:c>
      <x:c r="O1271" s="60" t="n">
        <x:v>916144.1052825799</x:v>
      </x:c>
      <x:c r="P1271" s="60" t="n">
        <x:v>109704.80821665889</x:v>
      </x:c>
      <x:c r="Q1271" s="62" t="n">
        <x:v>1.1197462359732382</x:v>
      </x:c>
      <x:c r="R1271" s="64" t="n">
        <x:v>0.11974623597323808</x:v>
      </x:c>
    </x:row>
    <x:row r="1272" ht="18" customHeight="1">
      <x:c r="A1272" s="46" t="str">
        <x:v>LME_017</x:v>
      </x:c>
      <x:c r="B1272" s="46" t="str">
        <x:v>North Brazil Shelf</x:v>
      </x:c>
      <x:c r="C1272" s="46" t="str">
        <x:v>functional</x:v>
      </x:c>
      <x:c r="D1272" s="46" t="str">
        <x:v>Small to medium rays (&lt;90 cm)</x:v>
      </x:c>
      <x:c r="E1272" s="66" t="n">
        <x:v>2</x:v>
      </x:c>
      <x:c r="F1272" s="66" t="n">
        <x:v>2</x:v>
      </x:c>
      <x:c r="G1272" s="60" t="n">
        <x:v>319.0149114419</x:v>
      </x:c>
      <x:c r="H1272" s="60" t="n">
        <x:v>319.0149114419</x:v>
      </x:c>
      <x:c r="I1272" s="62" t="n">
        <x:v>0</x:v>
      </x:c>
      <x:c r="J1272" s="64" t="n">
        <x:v>1</x:v>
      </x:c>
      <x:c r="K1272" s="62" t="n">
        <x:v>380.0505694017816</x:v>
      </x:c>
      <x:c r="L1272" s="60" t="n">
        <x:v>121241.79874115303</x:v>
      </x:c>
      <x:c r="M1272" s="62" t="n">
        <x:v>3.579837736955492</x:v>
      </x:c>
      <x:c r="N1272" s="62" t="n">
        <x:v>380.04737479285023</x:v>
      </x:c>
      <x:c r="O1272" s="60" t="n">
        <x:v>121240.77961326769</x:v>
      </x:c>
      <x:c r="P1272" s="60" t="n">
        <x:v>1.0191278853453696</x:v>
      </x:c>
      <x:c r="Q1272" s="62" t="n">
        <x:v>1.0000084058176515</x:v>
      </x:c>
      <x:c r="R1272" s="64" t="n">
        <x:v>0.000008405817651421996</x:v>
      </x:c>
    </x:row>
    <x:row r="1273" ht="18" customHeight="1">
      <x:c r="A1273" s="46" t="str">
        <x:v>LME_018</x:v>
      </x:c>
      <x:c r="B1273" s="46" t="str">
        <x:v>Canadian Eastern Arctic -West Greenland</x:v>
      </x:c>
      <x:c r="C1273" s="46" t="str">
        <x:v>functional</x:v>
      </x:c>
      <x:c r="D1273" s="46" t="str">
        <x:v>Cephalopods</x:v>
      </x:c>
      <x:c r="E1273" s="66" t="n">
        <x:v>1</x:v>
      </x:c>
      <x:c r="F1273" s="66" t="n">
        <x:v>1</x:v>
      </x:c>
      <x:c r="G1273" s="60" t="n">
        <x:v>0.0493171724</x:v>
      </x:c>
      <x:c r="H1273" s="60" t="n">
        <x:v>0.0493171724</x:v>
      </x:c>
      <x:c r="I1273" s="62" t="n">
        <x:v>0</x:v>
      </x:c>
      <x:c r="J1273" s="64" t="n">
        <x:v>1</x:v>
      </x:c>
      <x:c r="K1273" s="62" t="n">
        <x:v>1348.9628825916532</x:v>
      </x:c>
      <x:c r="L1273" s="60" t="n">
        <x:v>66.52703504197352</x:v>
      </x:c>
      <x:c r="M1273" s="62" t="n">
        <x:v>4.13</x:v>
      </x:c>
      <x:c r="N1273" s="62" t="n">
        <x:v>1348.9628825916532</x:v>
      </x:c>
      <x:c r="O1273" s="60" t="n">
        <x:v>66.52703504197352</x:v>
      </x:c>
      <x:c r="P1273" s="60" t="n">
        <x:v>0</x:v>
      </x:c>
      <x:c r="Q1273" s="62" t="n">
        <x:v>1</x:v>
      </x:c>
      <x:c r="R1273" s="64" t="n">
        <x:v>0</x:v>
      </x:c>
    </x:row>
    <x:row r="1274" ht="18" customHeight="1">
      <x:c r="A1274" s="46" t="str">
        <x:v>LME_018</x:v>
      </x:c>
      <x:c r="B1274" s="46" t="str">
        <x:v>Canadian Eastern Arctic -West Greenland</x:v>
      </x:c>
      <x:c r="C1274" s="46" t="str">
        <x:v>functional</x:v>
      </x:c>
      <x:c r="D1274" s="46" t="str">
        <x:v>Jellyfish</x:v>
      </x:c>
      <x:c r="E1274" s="66" t="n">
        <x:v>1</x:v>
      </x:c>
      <x:c r="F1274" s="66" t="n">
        <x:v>1</x:v>
      </x:c>
      <x:c r="G1274" s="60" t="n">
        <x:v>0.0131508159</x:v>
      </x:c>
      <x:c r="H1274" s="60" t="n">
        <x:v>0.0131508159</x:v>
      </x:c>
      <x:c r="I1274" s="62" t="n">
        <x:v>0</x:v>
      </x:c>
      <x:c r="J1274" s="64" t="n">
        <x:v>1</x:v>
      </x:c>
      <x:c r="K1274" s="62" t="n">
        <x:v>288.40315031266056</x:v>
      </x:c>
      <x:c r="L1274" s="60" t="n">
        <x:v>3.792736734741826</x:v>
      </x:c>
      <x:c r="M1274" s="62" t="n">
        <x:v>3.46</x:v>
      </x:c>
      <x:c r="N1274" s="62" t="n">
        <x:v>288.40315031266056</x:v>
      </x:c>
      <x:c r="O1274" s="60" t="n">
        <x:v>3.792736734741826</x:v>
      </x:c>
      <x:c r="P1274" s="60" t="n">
        <x:v>0</x:v>
      </x:c>
      <x:c r="Q1274" s="62" t="n">
        <x:v>1</x:v>
      </x:c>
      <x:c r="R1274" s="64" t="n">
        <x:v>0</x:v>
      </x:c>
    </x:row>
    <x:row r="1275" ht="18" customHeight="1">
      <x:c r="A1275" s="46" t="str">
        <x:v>LME_018</x:v>
      </x:c>
      <x:c r="B1275" s="46" t="str">
        <x:v>Canadian Eastern Arctic -West Greenland</x:v>
      </x:c>
      <x:c r="C1275" s="46" t="str">
        <x:v>functional</x:v>
      </x:c>
      <x:c r="D1275" s="46" t="str">
        <x:v>Large bathypelagics (&gt;=90 cm)</x:v>
      </x:c>
      <x:c r="E1275" s="66" t="n">
        <x:v>2</x:v>
      </x:c>
      <x:c r="F1275" s="66" t="n">
        <x:v>2</x:v>
      </x:c>
      <x:c r="G1275" s="60" t="n">
        <x:v>28.107089646</x:v>
      </x:c>
      <x:c r="H1275" s="60" t="n">
        <x:v>28.107089646</x:v>
      </x:c>
      <x:c r="I1275" s="62" t="n">
        <x:v>0</x:v>
      </x:c>
      <x:c r="J1275" s="64" t="n">
        <x:v>1</x:v>
      </x:c>
      <x:c r="K1275" s="62" t="n">
        <x:v>400.66935592775206</x:v>
      </x:c>
      <x:c r="L1275" s="60" t="n">
        <x:v>11261.649505466408</x:v>
      </x:c>
      <x:c r="M1275" s="62" t="n">
        <x:v>3.579540131910355</x:v>
      </x:c>
      <x:c r="N1275" s="62" t="n">
        <x:v>379.7870323827827</x:v>
      </x:c>
      <x:c r="O1275" s="60" t="n">
        <x:v>10674.708165571177</x:v>
      </x:c>
      <x:c r="P1275" s="60" t="n">
        <x:v>586.9413398952311</x:v>
      </x:c>
      <x:c r="Q1275" s="62" t="n">
        <x:v>1.0549842984736835</x:v>
      </x:c>
      <x:c r="R1275" s="64" t="n">
        <x:v>0.054984298473683406</x:v>
      </x:c>
    </x:row>
    <x:row r="1276" ht="18" customHeight="1">
      <x:c r="A1276" s="46" t="str">
        <x:v>LME_018</x:v>
      </x:c>
      <x:c r="B1276" s="46" t="str">
        <x:v>Canadian Eastern Arctic -West Greenland</x:v>
      </x:c>
      <x:c r="C1276" s="46" t="str">
        <x:v>functional</x:v>
      </x:c>
      <x:c r="D1276" s="46" t="str">
        <x:v>Large benthopelagics (&gt;=90 cm)</x:v>
      </x:c>
      <x:c r="E1276" s="66" t="n">
        <x:v>6</x:v>
      </x:c>
      <x:c r="F1276" s="66" t="n">
        <x:v>6</x:v>
      </x:c>
      <x:c r="G1276" s="60" t="n">
        <x:v>32550.869795786402</x:v>
      </x:c>
      <x:c r="H1276" s="60" t="n">
        <x:v>32550.869795786402</x:v>
      </x:c>
      <x:c r="I1276" s="62" t="n">
        <x:v>0</x:v>
      </x:c>
      <x:c r="J1276" s="64" t="n">
        <x:v>1</x:v>
      </x:c>
      <x:c r="K1276" s="62" t="n">
        <x:v>1239.0999025353156</x:v>
      </x:c>
      <x:c r="L1276" s="60" t="n">
        <x:v>40333779.59139868</x:v>
      </x:c>
      <x:c r="M1276" s="62" t="n">
        <x:v>4.091652327998517</x:v>
      </x:c>
      <x:c r="N1276" s="62" t="n">
        <x:v>1234.9583986236362</x:v>
      </x:c>
      <x:c r="O1276" s="60" t="n">
        <x:v>40198970.03681086</x:v>
      </x:c>
      <x:c r="P1276" s="60" t="n">
        <x:v>134809.55458781868</x:v>
      </x:c>
      <x:c r="Q1276" s="62" t="n">
        <x:v>1.0033535574285701</x:v>
      </x:c>
      <x:c r="R1276" s="64" t="n">
        <x:v>0.0033535574285702184</x:v>
      </x:c>
    </x:row>
    <x:row r="1277" ht="18" customHeight="1">
      <x:c r="A1277" s="46" t="str">
        <x:v>LME_018</x:v>
      </x:c>
      <x:c r="B1277" s="46" t="str">
        <x:v>Canadian Eastern Arctic -West Greenland</x:v>
      </x:c>
      <x:c r="C1277" s="46" t="str">
        <x:v>functional</x:v>
      </x:c>
      <x:c r="D1277" s="46" t="str">
        <x:v>Large demersals (&gt;=90 cm)</x:v>
      </x:c>
      <x:c r="E1277" s="66" t="n">
        <x:v>7</x:v>
      </x:c>
      <x:c r="F1277" s="66" t="n">
        <x:v>7</x:v>
      </x:c>
      <x:c r="G1277" s="60" t="n">
        <x:v>290.17493864689993</x:v>
      </x:c>
      <x:c r="H1277" s="60" t="n">
        <x:v>290.17493864689993</x:v>
      </x:c>
      <x:c r="I1277" s="62" t="n">
        <x:v>0</x:v>
      </x:c>
      <x:c r="J1277" s="64" t="n">
        <x:v>1</x:v>
      </x:c>
      <x:c r="K1277" s="62" t="n">
        <x:v>330.21941378684033</x:v>
      </x:c>
      <x:c r="L1277" s="60" t="n">
        <x:v>95821.39813561166</x:v>
      </x:c>
      <x:c r="M1277" s="62" t="n">
        <x:v>3.4853120061639675</x:v>
      </x:c>
      <x:c r="N1277" s="62" t="n">
        <x:v>305.71166204631896</x:v>
      </x:c>
      <x:c r="O1277" s="60" t="n">
        <x:v>88709.86277793242</x:v>
      </x:c>
      <x:c r="P1277" s="60" t="n">
        <x:v>7111.53535767924</x:v>
      </x:c>
      <x:c r="Q1277" s="62" t="n">
        <x:v>1.0801662310704003</x:v>
      </x:c>
      <x:c r="R1277" s="64" t="n">
        <x:v>0.08016623107040038</x:v>
      </x:c>
    </x:row>
    <x:row r="1278" ht="18" customHeight="1">
      <x:c r="A1278" s="46" t="str">
        <x:v>LME_018</x:v>
      </x:c>
      <x:c r="B1278" s="46" t="str">
        <x:v>Canadian Eastern Arctic -West Greenland</x:v>
      </x:c>
      <x:c r="C1278" s="46" t="str">
        <x:v>functional</x:v>
      </x:c>
      <x:c r="D1278" s="46" t="str">
        <x:v>Large flatfishes (&gt;=90 cm)</x:v>
      </x:c>
      <x:c r="E1278" s="66" t="n">
        <x:v>1</x:v>
      </x:c>
      <x:c r="F1278" s="66" t="n">
        <x:v>1</x:v>
      </x:c>
      <x:c r="G1278" s="60" t="n">
        <x:v>39.7001000657</x:v>
      </x:c>
      <x:c r="H1278" s="60" t="n">
        <x:v>39.7001000657</x:v>
      </x:c>
      <x:c r="I1278" s="62" t="n">
        <x:v>0</x:v>
      </x:c>
      <x:c r="J1278" s="64" t="n">
        <x:v>1</x:v>
      </x:c>
      <x:c r="K1278" s="62" t="n">
        <x:v>999.9999999999999</x:v>
      </x:c>
      <x:c r="L1278" s="60" t="n">
        <x:v>39700.1000657</x:v>
      </x:c>
      <x:c r="M1278" s="62" t="n">
        <x:v>4</x:v>
      </x:c>
      <x:c r="N1278" s="62" t="n">
        <x:v>1000</x:v>
      </x:c>
      <x:c r="O1278" s="60" t="n">
        <x:v>39700.1000657</x:v>
      </x:c>
      <x:c r="P1278" s="60" t="n">
        <x:v>0</x:v>
      </x:c>
      <x:c r="Q1278" s="62" t="n">
        <x:v>1</x:v>
      </x:c>
      <x:c r="R1278" s="64" t="n">
        <x:v>0</x:v>
      </x:c>
    </x:row>
    <x:row r="1279" ht="18" customHeight="1">
      <x:c r="A1279" s="46" t="str">
        <x:v>LME_018</x:v>
      </x:c>
      <x:c r="B1279" s="46" t="str">
        <x:v>Canadian Eastern Arctic -West Greenland</x:v>
      </x:c>
      <x:c r="C1279" s="46" t="str">
        <x:v>functional</x:v>
      </x:c>
      <x:c r="D1279" s="46" t="str">
        <x:v>Large rays (&gt;=90 cm)</x:v>
      </x:c>
      <x:c r="E1279" s="66" t="n">
        <x:v>1</x:v>
      </x:c>
      <x:c r="F1279" s="66" t="n">
        <x:v>1</x:v>
      </x:c>
      <x:c r="G1279" s="60" t="n">
        <x:v>0.0665625482</x:v>
      </x:c>
      <x:c r="H1279" s="60" t="n">
        <x:v>0.0665625482</x:v>
      </x:c>
      <x:c r="I1279" s="62" t="n">
        <x:v>0</x:v>
      </x:c>
      <x:c r="J1279" s="64" t="n">
        <x:v>1</x:v>
      </x:c>
      <x:c r="K1279" s="62" t="n">
        <x:v>660.6934480075957</x:v>
      </x:c>
      <x:c r="L1279" s="60" t="n">
        <x:v>43.97743947842979</x:v>
      </x:c>
      <x:c r="M1279" s="62" t="n">
        <x:v>3.8199999999999994</x:v>
      </x:c>
      <x:c r="N1279" s="62" t="n">
        <x:v>660.6934480075951</x:v>
      </x:c>
      <x:c r="O1279" s="60" t="n">
        <x:v>43.977439478429744</x:v>
      </x:c>
      <x:c r="P1279" s="60" t="n">
        <x:v>4.263256414560601e-14</x:v>
      </x:c>
      <x:c r="Q1279" s="62" t="n">
        <x:v>1.0000000000000009</x:v>
      </x:c>
      <x:c r="R1279" s="64" t="n">
        <x:v>9.694189714368574e-16</x:v>
      </x:c>
    </x:row>
    <x:row r="1280" ht="18" customHeight="1">
      <x:c r="A1280" s="46" t="str">
        <x:v>LME_018</x:v>
      </x:c>
      <x:c r="B1280" s="46" t="str">
        <x:v>Canadian Eastern Arctic -West Greenland</x:v>
      </x:c>
      <x:c r="C1280" s="46" t="str">
        <x:v>functional</x:v>
      </x:c>
      <x:c r="D1280" s="46" t="str">
        <x:v>Large reef assoc. fish (&gt;=90 cm)</x:v>
      </x:c>
      <x:c r="E1280" s="66" t="n">
        <x:v>4</x:v>
      </x:c>
      <x:c r="F1280" s="66" t="n">
        <x:v>4</x:v>
      </x:c>
      <x:c r="G1280" s="60" t="n">
        <x:v>153.5567011469</x:v>
      </x:c>
      <x:c r="H1280" s="60" t="n">
        <x:v>153.5567011469</x:v>
      </x:c>
      <x:c r="I1280" s="62" t="n">
        <x:v>0</x:v>
      </x:c>
      <x:c r="J1280" s="64" t="n">
        <x:v>1</x:v>
      </x:c>
      <x:c r="K1280" s="62" t="n">
        <x:v>600.4597452365027</x:v>
      </x:c>
      <x:c r="L1280" s="60" t="n">
        <x:v>92204.61765002536</x:v>
      </x:c>
      <x:c r="M1280" s="62" t="n">
        <x:v>3.7775419412653712</x:v>
      </x:c>
      <x:c r="N1280" s="62" t="n">
        <x:v>599.1587985792746</x:v>
      </x:c>
      <x:c r="O1280" s="60" t="n">
        <x:v>92004.84857297332</x:v>
      </x:c>
      <x:c r="P1280" s="60" t="n">
        <x:v>199.76907705204212</x:v>
      </x:c>
      <x:c r="Q1280" s="62" t="n">
        <x:v>1.0021712885804448</x:v>
      </x:c>
      <x:c r="R1280" s="64" t="n">
        <x:v>0.002171288580444714</x:v>
      </x:c>
    </x:row>
    <x:row r="1281" ht="18" customHeight="1">
      <x:c r="A1281" s="46" t="str">
        <x:v>LME_018</x:v>
      </x:c>
      <x:c r="B1281" s="46" t="str">
        <x:v>Canadian Eastern Arctic -West Greenland</x:v>
      </x:c>
      <x:c r="C1281" s="46" t="str">
        <x:v>functional</x:v>
      </x:c>
      <x:c r="D1281" s="46" t="str">
        <x:v>Large sharks (&gt;=90 cm)</x:v>
      </x:c>
      <x:c r="E1281" s="66" t="n">
        <x:v>4</x:v>
      </x:c>
      <x:c r="F1281" s="66" t="n">
        <x:v>4</x:v>
      </x:c>
      <x:c r="G1281" s="60" t="n">
        <x:v>52.132383081</x:v>
      </x:c>
      <x:c r="H1281" s="60" t="n">
        <x:v>52.132383081</x:v>
      </x:c>
      <x:c r="I1281" s="62" t="n">
        <x:v>0</x:v>
      </x:c>
      <x:c r="J1281" s="64" t="n">
        <x:v>1</x:v>
      </x:c>
      <x:c r="K1281" s="62" t="n">
        <x:v>1514.571043323811</x:v>
      </x:c>
      <x:c r="L1281" s="60" t="n">
        <x:v>78958.19783394676</x:v>
      </x:c>
      <x:c r="M1281" s="62" t="n">
        <x:v>4.173750725127378</x:v>
      </x:c>
      <x:c r="N1281" s="62" t="n">
        <x:v>1491.9378263635715</x:v>
      </x:c>
      <x:c r="O1281" s="60" t="n">
        <x:v>77778.27429702017</x:v>
      </x:c>
      <x:c r="P1281" s="60" t="n">
        <x:v>1179.9235369265953</x:v>
      </x:c>
      <x:c r="Q1281" s="62" t="n">
        <x:v>1.0151703486300132</x:v>
      </x:c>
      <x:c r="R1281" s="64" t="n">
        <x:v>0.015170348630013259</x:v>
      </x:c>
    </x:row>
    <x:row r="1282" ht="18" customHeight="1">
      <x:c r="A1282" s="46" t="str">
        <x:v>LME_018</x:v>
      </x:c>
      <x:c r="B1282" s="46" t="str">
        <x:v>Canadian Eastern Arctic -West Greenland</x:v>
      </x:c>
      <x:c r="C1282" s="46" t="str">
        <x:v>functional</x:v>
      </x:c>
      <x:c r="D1282" s="46" t="str">
        <x:v>Lobsters, crabs</x:v>
      </x:c>
      <x:c r="E1282" s="66" t="n">
        <x:v>3</x:v>
      </x:c>
      <x:c r="F1282" s="66" t="n">
        <x:v>3</x:v>
      </x:c>
      <x:c r="G1282" s="60" t="n">
        <x:v>2266.1593542463997</x:v>
      </x:c>
      <x:c r="H1282" s="60" t="n">
        <x:v>2266.1593542463997</x:v>
      </x:c>
      <x:c r="I1282" s="62" t="n">
        <x:v>0</x:v>
      </x:c>
      <x:c r="J1282" s="64" t="n">
        <x:v>1</x:v>
      </x:c>
      <x:c r="K1282" s="62" t="n">
        <x:v>344.83763834632373</x:v>
      </x:c>
      <x:c r="L1282" s="60" t="n">
        <x:v>781457.0398347585</x:v>
      </x:c>
      <x:c r="M1282" s="62" t="n">
        <x:v>3.533109722834701</x:v>
      </x:c>
      <x:c r="N1282" s="62" t="n">
        <x:v>341.2791235921813</x:v>
      </x:c>
      <x:c r="O1282" s="60" t="n">
        <x:v>773392.8783374348</x:v>
      </x:c>
      <x:c r="P1282" s="60" t="n">
        <x:v>8064.161497323657</x:v>
      </x:c>
      <x:c r="Q1282" s="62" t="n">
        <x:v>1.0104269921836613</x:v>
      </x:c>
      <x:c r="R1282" s="64" t="n">
        <x:v>0.010426992183661183</x:v>
      </x:c>
    </x:row>
    <x:row r="1283" ht="18" customHeight="1">
      <x:c r="A1283" s="46" t="str">
        <x:v>LME_018</x:v>
      </x:c>
      <x:c r="B1283" s="46" t="str">
        <x:v>Canadian Eastern Arctic -West Greenland</x:v>
      </x:c>
      <x:c r="C1283" s="46" t="str">
        <x:v>functional</x:v>
      </x:c>
      <x:c r="D1283" s="46" t="str">
        <x:v>Medium bathydemersals (30 - 89 cm)</x:v>
      </x:c>
      <x:c r="E1283" s="66" t="n">
        <x:v>2</x:v>
      </x:c>
      <x:c r="F1283" s="66" t="n">
        <x:v>2</x:v>
      </x:c>
      <x:c r="G1283" s="60" t="n">
        <x:v>16.7344926756</x:v>
      </x:c>
      <x:c r="H1283" s="60" t="n">
        <x:v>16.7344926756</x:v>
      </x:c>
      <x:c r="I1283" s="62" t="n">
        <x:v>0</x:v>
      </x:c>
      <x:c r="J1283" s="64" t="n">
        <x:v>1</x:v>
      </x:c>
      <x:c r="K1283" s="62" t="n">
        <x:v>200.95648217828267</x:v>
      </x:c>
      <x:c r="L1283" s="60" t="n">
        <x:v>3362.904779126813</x:v>
      </x:c>
      <x:c r="M1283" s="62" t="n">
        <x:v>3.302606393254669</x:v>
      </x:c>
      <x:c r="N1283" s="62" t="n">
        <x:v>200.7272770514142</x:v>
      </x:c>
      <x:c r="O1283" s="60" t="n">
        <x:v>3359.069147610023</x:v>
      </x:c>
      <x:c r="P1283" s="60" t="n">
        <x:v>3.835631516790272</x:v>
      </x:c>
      <x:c r="Q1283" s="62" t="n">
        <x:v>1.0011418733429525</x:v>
      </x:c>
      <x:c r="R1283" s="64" t="n">
        <x:v>0.0011418733429525627</x:v>
      </x:c>
    </x:row>
    <x:row r="1284" ht="18" customHeight="1">
      <x:c r="A1284" s="46" t="str">
        <x:v>LME_018</x:v>
      </x:c>
      <x:c r="B1284" s="46" t="str">
        <x:v>Canadian Eastern Arctic -West Greenland</x:v>
      </x:c>
      <x:c r="C1284" s="46" t="str">
        <x:v>functional</x:v>
      </x:c>
      <x:c r="D1284" s="46" t="str">
        <x:v>Medium bathypelagics (30 - 89 cm)</x:v>
      </x:c>
      <x:c r="E1284" s="66" t="n">
        <x:v>1</x:v>
      </x:c>
      <x:c r="F1284" s="66" t="n">
        <x:v>1</x:v>
      </x:c>
      <x:c r="G1284" s="60" t="n">
        <x:v>1250.9962077252</x:v>
      </x:c>
      <x:c r="H1284" s="60" t="n">
        <x:v>1250.9962077252</x:v>
      </x:c>
      <x:c r="I1284" s="62" t="n">
        <x:v>0</x:v>
      </x:c>
      <x:c r="J1284" s="64" t="n">
        <x:v>1</x:v>
      </x:c>
      <x:c r="K1284" s="62" t="n">
        <x:v>446.683592150963</x:v>
      </x:c>
      <x:c r="L1284" s="60" t="n">
        <x:v>558799.4798339247</x:v>
      </x:c>
      <x:c r="M1284" s="62" t="n">
        <x:v>3.6500000000000004</x:v>
      </x:c>
      <x:c r="N1284" s="62" t="n">
        <x:v>446.6835921509635</x:v>
      </x:c>
      <x:c r="O1284" s="60" t="n">
        <x:v>558799.4798339253</x:v>
      </x:c>
      <x:c r="P1284" s="60" t="n">
        <x:v>-5.820766091346741e-10</x:v>
      </x:c>
      <x:c r="Q1284" s="62" t="n">
        <x:v>0.999999999999999</x:v>
      </x:c>
      <x:c r="R1284" s="64" t="n">
        <x:v>-1.0416556030217972e-15</x:v>
      </x:c>
    </x:row>
    <x:row r="1285" ht="18" customHeight="1">
      <x:c r="A1285" s="46" t="str">
        <x:v>LME_018</x:v>
      </x:c>
      <x:c r="B1285" s="46" t="str">
        <x:v>Canadian Eastern Arctic -West Greenland</x:v>
      </x:c>
      <x:c r="C1285" s="46" t="str">
        <x:v>functional</x:v>
      </x:c>
      <x:c r="D1285" s="46" t="str">
        <x:v>Medium benthopelagics (30 - 89 cm)</x:v>
      </x:c>
      <x:c r="E1285" s="66" t="n">
        <x:v>5</x:v>
      </x:c>
      <x:c r="F1285" s="66" t="n">
        <x:v>5</x:v>
      </x:c>
      <x:c r="G1285" s="60" t="n">
        <x:v>7839.0483335521</x:v>
      </x:c>
      <x:c r="H1285" s="60" t="n">
        <x:v>7839.0483335521</x:v>
      </x:c>
      <x:c r="I1285" s="62" t="n">
        <x:v>0</x:v>
      </x:c>
      <x:c r="J1285" s="64" t="n">
        <x:v>1</x:v>
      </x:c>
      <x:c r="K1285" s="62" t="n">
        <x:v>809.2966047351764</x:v>
      </x:c>
      <x:c r="L1285" s="60" t="n">
        <x:v>6344115.200698657</x:v>
      </x:c>
      <x:c r="M1285" s="62" t="n">
        <x:v>3.899872667202268</x:v>
      </x:c>
      <x:c r="N1285" s="62" t="n">
        <x:v>794.0953761118301</x:v>
      </x:c>
      <x:c r="O1285" s="60" t="n">
        <x:v>6224952.03479087</x:v>
      </x:c>
      <x:c r="P1285" s="60" t="n">
        <x:v>119163.16590778716</x:v>
      </x:c>
      <x:c r="Q1285" s="62" t="n">
        <x:v>1.0191428247545993</x:v>
      </x:c>
      <x:c r="R1285" s="64" t="n">
        <x:v>0.019142824754599174</x:v>
      </x:c>
    </x:row>
    <x:row r="1286" ht="18" customHeight="1">
      <x:c r="A1286" s="46" t="str">
        <x:v>LME_018</x:v>
      </x:c>
      <x:c r="B1286" s="46" t="str">
        <x:v>Canadian Eastern Arctic -West Greenland</x:v>
      </x:c>
      <x:c r="C1286" s="46" t="str">
        <x:v>functional</x:v>
      </x:c>
      <x:c r="D1286" s="46" t="str">
        <x:v>Medium demersals (30 - 89 cm)</x:v>
      </x:c>
      <x:c r="E1286" s="66" t="n">
        <x:v>7</x:v>
      </x:c>
      <x:c r="F1286" s="66" t="n">
        <x:v>7</x:v>
      </x:c>
      <x:c r="G1286" s="60" t="n">
        <x:v>48629.79935185</x:v>
      </x:c>
      <x:c r="H1286" s="60" t="n">
        <x:v>48629.79935185</x:v>
      </x:c>
      <x:c r="I1286" s="62" t="n">
        <x:v>0</x:v>
      </x:c>
      <x:c r="J1286" s="64" t="n">
        <x:v>1</x:v>
      </x:c>
      <x:c r="K1286" s="62" t="n">
        <x:v>190.55305443030676</x:v>
      </x:c>
      <x:c r="L1286" s="60" t="n">
        <x:v>9266556.80282797</x:v>
      </x:c>
      <x:c r="M1286" s="62" t="n">
        <x:v>3.2800077102418737</x:v>
      </x:c>
      <x:c r="N1286" s="62" t="n">
        <x:v>190.54945468375305</x:v>
      </x:c>
      <x:c r="O1286" s="60" t="n">
        <x:v>9266381.747875346</x:v>
      </x:c>
      <x:c r="P1286" s="60" t="n">
        <x:v>175.0549526233226</x:v>
      </x:c>
      <x:c r="Q1286" s="62" t="n">
        <x:v>1.0000188914030725</x:v>
      </x:c>
      <x:c r="R1286" s="64" t="n">
        <x:v>0.000018891403072559612</x:v>
      </x:c>
    </x:row>
    <x:row r="1287" ht="18" customHeight="1">
      <x:c r="A1287" s="46" t="str">
        <x:v>LME_018</x:v>
      </x:c>
      <x:c r="B1287" s="46" t="str">
        <x:v>Canadian Eastern Arctic -West Greenland</x:v>
      </x:c>
      <x:c r="C1287" s="46" t="str">
        <x:v>functional</x:v>
      </x:c>
      <x:c r="D1287" s="46" t="str">
        <x:v>Medium pelagics (30 - 89 cm)</x:v>
      </x:c>
      <x:c r="E1287" s="66" t="n">
        <x:v>2</x:v>
      </x:c>
      <x:c r="F1287" s="66" t="n">
        <x:v>2</x:v>
      </x:c>
      <x:c r="G1287" s="60" t="n">
        <x:v>5.3697966979</x:v>
      </x:c>
      <x:c r="H1287" s="60" t="n">
        <x:v>5.3697966979</x:v>
      </x:c>
      <x:c r="I1287" s="62" t="n">
        <x:v>0</x:v>
      </x:c>
      <x:c r="J1287" s="64" t="n">
        <x:v>1</x:v>
      </x:c>
      <x:c r="K1287" s="62" t="n">
        <x:v>238.79716634054245</x:v>
      </x:c>
      <x:c r="L1287" s="60" t="n">
        <x:v>1282.2922352833218</x:v>
      </x:c>
      <x:c r="M1287" s="62" t="n">
        <x:v>3.377846967939676</x:v>
      </x:c>
      <x:c r="N1287" s="62" t="n">
        <x:v>238.6970039648209</x:v>
      </x:c>
      <x:c r="O1287" s="60" t="n">
        <x:v>1281.7543836889186</x:v>
      </x:c>
      <x:c r="P1287" s="60" t="n">
        <x:v>0.5378515944032642</x:v>
      </x:c>
      <x:c r="Q1287" s="62" t="n">
        <x:v>1.0004196214198662</x:v>
      </x:c>
      <x:c r="R1287" s="64" t="n">
        <x:v>0.0004196214198661954</x:v>
      </x:c>
    </x:row>
    <x:row r="1288" ht="18" customHeight="1">
      <x:c r="A1288" s="46" t="str">
        <x:v>LME_018</x:v>
      </x:c>
      <x:c r="B1288" s="46" t="str">
        <x:v>Canadian Eastern Arctic -West Greenland</x:v>
      </x:c>
      <x:c r="C1288" s="46" t="str">
        <x:v>functional</x:v>
      </x:c>
      <x:c r="D1288" s="46" t="str">
        <x:v>Other demersal invertebrates</x:v>
      </x:c>
      <x:c r="E1288" s="66" t="n">
        <x:v>5</x:v>
      </x:c>
      <x:c r="F1288" s="66" t="n">
        <x:v>5</x:v>
      </x:c>
      <x:c r="G1288" s="60" t="n">
        <x:v>38.8661643031</x:v>
      </x:c>
      <x:c r="H1288" s="60" t="n">
        <x:v>38.8661643031</x:v>
      </x:c>
      <x:c r="I1288" s="62" t="n">
        <x:v>0</x:v>
      </x:c>
      <x:c r="J1288" s="64" t="n">
        <x:v>1</x:v>
      </x:c>
      <x:c r="K1288" s="62" t="n">
        <x:v>31.5798271344493</x:v>
      </x:c>
      <x:c r="L1288" s="60" t="n">
        <x:v>1227.386750071002</x:v>
      </x:c>
      <x:c r="M1288" s="62" t="n">
        <x:v>2.1601478720543454</x:v>
      </x:c>
      <x:c r="N1288" s="62" t="n">
        <x:v>14.459320094211755</x:v>
      </x:c>
      <x:c r="O1288" s="60" t="n">
        <x:v>561.9783104927494</x:v>
      </x:c>
      <x:c r="P1288" s="60" t="n">
        <x:v>665.4084395782527</x:v>
      </x:c>
      <x:c r="Q1288" s="62" t="n">
        <x:v>2.1840464785817346</x:v>
      </x:c>
      <x:c r="R1288" s="64" t="n">
        <x:v>1.1840464785817346</x:v>
      </x:c>
    </x:row>
    <x:row r="1289" ht="18" customHeight="1">
      <x:c r="A1289" s="46" t="str">
        <x:v>LME_018</x:v>
      </x:c>
      <x:c r="B1289" s="46" t="str">
        <x:v>Canadian Eastern Arctic -West Greenland</x:v>
      </x:c>
      <x:c r="C1289" s="46" t="str">
        <x:v>functional</x:v>
      </x:c>
      <x:c r="D1289" s="46" t="str">
        <x:v>Shrimps</x:v>
      </x:c>
      <x:c r="E1289" s="66" t="n">
        <x:v>3</x:v>
      </x:c>
      <x:c r="F1289" s="66" t="n">
        <x:v>3</x:v>
      </x:c>
      <x:c r="G1289" s="60" t="n">
        <x:v>65322.38395836321</x:v>
      </x:c>
      <x:c r="H1289" s="60" t="n">
        <x:v>65322.38395836321</x:v>
      </x:c>
      <x:c r="I1289" s="62" t="n">
        <x:v>0</x:v>
      </x:c>
      <x:c r="J1289" s="64" t="n">
        <x:v>1</x:v>
      </x:c>
      <x:c r="K1289" s="62" t="n">
        <x:v>117.43342830065593</x:v>
      </x:c>
      <x:c r="L1289" s="60" t="n">
        <x:v>7671031.493002363</x:v>
      </x:c>
      <x:c r="M1289" s="62" t="n">
        <x:v>3.0695553849182424</x:v>
      </x:c>
      <x:c r="N1289" s="62" t="n">
        <x:v>117.36953525401404</x:v>
      </x:c>
      <x:c r="O1289" s="60" t="n">
        <x:v>7666857.846877351</x:v>
      </x:c>
      <x:c r="P1289" s="60" t="n">
        <x:v>4173.646125011146</x:v>
      </x:c>
      <x:c r="Q1289" s="62" t="n">
        <x:v>1.0005443750501661</x:v>
      </x:c>
      <x:c r="R1289" s="64" t="n">
        <x:v>0.0005443750501662214</x:v>
      </x:c>
    </x:row>
    <x:row r="1290" ht="18" customHeight="1">
      <x:c r="A1290" s="46" t="str">
        <x:v>LME_018</x:v>
      </x:c>
      <x:c r="B1290" s="46" t="str">
        <x:v>Canadian Eastern Arctic -West Greenland</x:v>
      </x:c>
      <x:c r="C1290" s="46" t="str">
        <x:v>functional</x:v>
      </x:c>
      <x:c r="D1290" s="46" t="str">
        <x:v>Small pelagics (&lt;30 cm)</x:v>
      </x:c>
      <x:c r="E1290" s="66" t="n">
        <x:v>3</x:v>
      </x:c>
      <x:c r="F1290" s="66" t="n">
        <x:v>3</x:v>
      </x:c>
      <x:c r="G1290" s="60" t="n">
        <x:v>816.8184068552001</x:v>
      </x:c>
      <x:c r="H1290" s="60" t="n">
        <x:v>816.8184068552001</x:v>
      </x:c>
      <x:c r="I1290" s="62" t="n">
        <x:v>0</x:v>
      </x:c>
      <x:c r="J1290" s="64" t="n">
        <x:v>1</x:v>
      </x:c>
      <x:c r="K1290" s="62" t="n">
        <x:v>141.13145264100086</x:v>
      </x:c>
      <x:c r="L1290" s="60" t="n">
        <x:v>115278.76830338246</x:v>
      </x:c>
      <x:c r="M1290" s="62" t="n">
        <x:v>3.1495544286750263</x:v>
      </x:c>
      <x:c r="N1290" s="62" t="n">
        <x:v>141.10890724511444</x:v>
      </x:c>
      <x:c r="O1290" s="60" t="n">
        <x:v>115260.35280903259</x:v>
      </x:c>
      <x:c r="P1290" s="60" t="n">
        <x:v>18.41549434987246</x:v>
      </x:c>
      <x:c r="Q1290" s="62" t="n">
        <x:v>1.0001597730173566</x:v>
      </x:c>
      <x:c r="R1290" s="64" t="n">
        <x:v>0.0001597730173564877</x:v>
      </x:c>
    </x:row>
    <x:row r="1291" ht="18" customHeight="1">
      <x:c r="A1291" s="46" t="str">
        <x:v>LME_018</x:v>
      </x:c>
      <x:c r="B1291" s="46" t="str">
        <x:v>Canadian Eastern Arctic -West Greenland</x:v>
      </x:c>
      <x:c r="C1291" s="46" t="str">
        <x:v>functional</x:v>
      </x:c>
      <x:c r="D1291" s="46" t="str">
        <x:v>Small to medium flatfishes (&lt;90 cm)</x:v>
      </x:c>
      <x:c r="E1291" s="66" t="n">
        <x:v>2</x:v>
      </x:c>
      <x:c r="F1291" s="66" t="n">
        <x:v>2</x:v>
      </x:c>
      <x:c r="G1291" s="60" t="n">
        <x:v>59739.41775928801</x:v>
      </x:c>
      <x:c r="H1291" s="60" t="n">
        <x:v>59739.41775928801</x:v>
      </x:c>
      <x:c r="I1291" s="62" t="n">
        <x:v>0</x:v>
      </x:c>
      <x:c r="J1291" s="64" t="n">
        <x:v>1</x:v>
      </x:c>
      <x:c r="K1291" s="62" t="n">
        <x:v>2398.7185296837592</x:v>
      </x:c>
      <x:c r="L1291" s="60" t="n">
        <x:v>143298048.33172318</x:v>
      </x:c>
      <x:c r="M1291" s="62" t="n">
        <x:v>4.379938509157002</x:v>
      </x:c>
      <x:c r="N1291" s="62" t="n">
        <x:v>2398.4932973514974</x:v>
      </x:c>
      <x:c r="O1291" s="60" t="n">
        <x:v>143284593.08333328</x:v>
      </x:c>
      <x:c r="P1291" s="60" t="n">
        <x:v>13455.24838989973</x:v>
      </x:c>
      <x:c r="Q1291" s="62" t="n">
        <x:v>1.0000939057584655</x:v>
      </x:c>
      <x:c r="R1291" s="64" t="n">
        <x:v>0.00009390575846542172</x:v>
      </x:c>
    </x:row>
    <x:row r="1292" ht="18" customHeight="1">
      <x:c r="A1292" s="46" t="str">
        <x:v>LME_018</x:v>
      </x:c>
      <x:c r="B1292" s="46" t="str">
        <x:v>Canadian Eastern Arctic -West Greenland</x:v>
      </x:c>
      <x:c r="C1292" s="46" t="str">
        <x:v>functional</x:v>
      </x:c>
      <x:c r="D1292" s="46" t="str">
        <x:v>Small to medium sharks (&lt;90 cm)</x:v>
      </x:c>
      <x:c r="E1292" s="66" t="n">
        <x:v>1</x:v>
      </x:c>
      <x:c r="F1292" s="66" t="n">
        <x:v>1</x:v>
      </x:c>
      <x:c r="G1292" s="60" t="n">
        <x:v>5.3603047153</x:v>
      </x:c>
      <x:c r="H1292" s="60" t="n">
        <x:v>5.3603047153</x:v>
      </x:c>
      <x:c r="I1292" s="62" t="n">
        <x:v>0</x:v>
      </x:c>
      <x:c r="J1292" s="64" t="n">
        <x:v>1</x:v>
      </x:c>
      <x:c r="K1292" s="62" t="n">
        <x:v>691.8309709189363</x:v>
      </x:c>
      <x:c r="L1292" s="60" t="n">
        <x:v>3708.4248156073513</x:v>
      </x:c>
      <x:c r="M1292" s="62" t="n">
        <x:v>3.84</x:v>
      </x:c>
      <x:c r="N1292" s="62" t="n">
        <x:v>691.8309709189363</x:v>
      </x:c>
      <x:c r="O1292" s="60" t="n">
        <x:v>3708.4248156073513</x:v>
      </x:c>
      <x:c r="P1292" s="60" t="n">
        <x:v>0</x:v>
      </x:c>
      <x:c r="Q1292" s="62" t="n">
        <x:v>1</x:v>
      </x:c>
      <x:c r="R1292" s="64" t="n">
        <x:v>0</x:v>
      </x:c>
    </x:row>
    <x:row r="1293" ht="18" customHeight="1">
      <x:c r="A1293" s="46" t="str">
        <x:v>LME_019</x:v>
      </x:c>
      <x:c r="B1293" s="46" t="str">
        <x:v>Greenland Sea</x:v>
      </x:c>
      <x:c r="C1293" s="46" t="str">
        <x:v>functional</x:v>
      </x:c>
      <x:c r="D1293" s="46" t="str">
        <x:v>Cephalopods</x:v>
      </x:c>
      <x:c r="E1293" s="66" t="n">
        <x:v>1</x:v>
      </x:c>
      <x:c r="F1293" s="66" t="n">
        <x:v>1</x:v>
      </x:c>
      <x:c r="G1293" s="60" t="n">
        <x:v>19.6936668453</x:v>
      </x:c>
      <x:c r="H1293" s="60" t="n">
        <x:v>19.6936668453</x:v>
      </x:c>
      <x:c r="I1293" s="62" t="n">
        <x:v>0</x:v>
      </x:c>
      <x:c r="J1293" s="64" t="n">
        <x:v>1</x:v>
      </x:c>
      <x:c r="K1293" s="62" t="n">
        <x:v>645.6542290346556</x:v>
      </x:c>
      <x:c r="L1293" s="60" t="n">
        <x:v>12715.29928386753</x:v>
      </x:c>
      <x:c r="M1293" s="62" t="n">
        <x:v>3.81</x:v>
      </x:c>
      <x:c r="N1293" s="62" t="n">
        <x:v>645.6542290346556</x:v>
      </x:c>
      <x:c r="O1293" s="60" t="n">
        <x:v>12715.29928386753</x:v>
      </x:c>
      <x:c r="P1293" s="60" t="n">
        <x:v>0</x:v>
      </x:c>
      <x:c r="Q1293" s="62" t="n">
        <x:v>1</x:v>
      </x:c>
      <x:c r="R1293" s="64" t="n">
        <x:v>0</x:v>
      </x:c>
    </x:row>
    <x:row r="1294" ht="18" customHeight="1">
      <x:c r="A1294" s="46" t="str">
        <x:v>LME_019</x:v>
      </x:c>
      <x:c r="B1294" s="46" t="str">
        <x:v>Greenland Sea</x:v>
      </x:c>
      <x:c r="C1294" s="46" t="str">
        <x:v>functional</x:v>
      </x:c>
      <x:c r="D1294" s="46" t="str">
        <x:v>Large bathydemersals (&gt;=90 cm)</x:v>
      </x:c>
      <x:c r="E1294" s="66" t="n">
        <x:v>2</x:v>
      </x:c>
      <x:c r="F1294" s="66" t="n">
        <x:v>2</x:v>
      </x:c>
      <x:c r="G1294" s="60" t="n">
        <x:v>0.9883836954</x:v>
      </x:c>
      <x:c r="H1294" s="60" t="n">
        <x:v>0.9883836954</x:v>
      </x:c>
      <x:c r="I1294" s="62" t="n">
        <x:v>0</x:v>
      </x:c>
      <x:c r="J1294" s="64" t="n">
        <x:v>1</x:v>
      </x:c>
      <x:c r="K1294" s="62" t="n">
        <x:v>2061.591852329535</x:v>
      </x:c>
      <x:c r="L1294" s="60" t="n">
        <x:v>2037.6437734119968</x:v>
      </x:c>
      <x:c r="M1294" s="62" t="n">
        <x:v>4.283156555459707</x:v>
      </x:c>
      <x:c r="N1294" s="62" t="n">
        <x:v>1919.360511407033</x:v>
      </x:c>
      <x:c r="O1294" s="60" t="n">
        <x:v>1897.0646350693173</x:v>
      </x:c>
      <x:c r="P1294" s="60" t="n">
        <x:v>140.57913834267947</x:v>
      </x:c>
      <x:c r="Q1294" s="62" t="n">
        <x:v>1.0741035048273633</x:v>
      </x:c>
      <x:c r="R1294" s="64" t="n">
        <x:v>0.07410350482736336</x:v>
      </x:c>
    </x:row>
    <x:row r="1295" ht="18" customHeight="1">
      <x:c r="A1295" s="46" t="str">
        <x:v>LME_019</x:v>
      </x:c>
      <x:c r="B1295" s="46" t="str">
        <x:v>Greenland Sea</x:v>
      </x:c>
      <x:c r="C1295" s="46" t="str">
        <x:v>functional</x:v>
      </x:c>
      <x:c r="D1295" s="46" t="str">
        <x:v>Large bathypelagics (&gt;=90 cm)</x:v>
      </x:c>
      <x:c r="E1295" s="66" t="n">
        <x:v>1</x:v>
      </x:c>
      <x:c r="F1295" s="66" t="n">
        <x:v>1</x:v>
      </x:c>
      <x:c r="G1295" s="60" t="n">
        <x:v>59.4047536078</x:v>
      </x:c>
      <x:c r="H1295" s="60" t="n">
        <x:v>59.4047536078</x:v>
      </x:c>
      <x:c r="I1295" s="62" t="n">
        <x:v>0</x:v>
      </x:c>
      <x:c r="J1295" s="64" t="n">
        <x:v>1</x:v>
      </x:c>
      <x:c r="K1295" s="62" t="n">
        <x:v>346.73685045253166</x:v>
      </x:c>
      <x:c r="L1295" s="60" t="n">
        <x:v>20597.817167877238</x:v>
      </x:c>
      <x:c r="M1295" s="62" t="n">
        <x:v>3.54</x:v>
      </x:c>
      <x:c r="N1295" s="62" t="n">
        <x:v>346.73685045253166</x:v>
      </x:c>
      <x:c r="O1295" s="60" t="n">
        <x:v>20597.817167877238</x:v>
      </x:c>
      <x:c r="P1295" s="60" t="n">
        <x:v>0</x:v>
      </x:c>
      <x:c r="Q1295" s="62" t="n">
        <x:v>1</x:v>
      </x:c>
      <x:c r="R1295" s="64" t="n">
        <x:v>0</x:v>
      </x:c>
    </x:row>
    <x:row r="1296" ht="18" customHeight="1">
      <x:c r="A1296" s="46" t="str">
        <x:v>LME_019</x:v>
      </x:c>
      <x:c r="B1296" s="46" t="str">
        <x:v>Greenland Sea</x:v>
      </x:c>
      <x:c r="C1296" s="46" t="str">
        <x:v>functional</x:v>
      </x:c>
      <x:c r="D1296" s="46" t="str">
        <x:v>Large benthopelagics (&gt;=90 cm)</x:v>
      </x:c>
      <x:c r="E1296" s="66" t="n">
        <x:v>5</x:v>
      </x:c>
      <x:c r="F1296" s="66" t="n">
        <x:v>5</x:v>
      </x:c>
      <x:c r="G1296" s="60" t="n">
        <x:v>35792.5353900097</x:v>
      </x:c>
      <x:c r="H1296" s="60" t="n">
        <x:v>35792.5353900097</x:v>
      </x:c>
      <x:c r="I1296" s="62" t="n">
        <x:v>0</x:v>
      </x:c>
      <x:c r="J1296" s="64" t="n">
        <x:v>1</x:v>
      </x:c>
      <x:c r="K1296" s="62" t="n">
        <x:v>1230.0784098102913</x:v>
      </x:c>
      <x:c r="L1296" s="60" t="n">
        <x:v>44027625.015621714</x:v>
      </x:c>
      <x:c r="M1296" s="62" t="n">
        <x:v>4.089420348093844</x:v>
      </x:c>
      <x:c r="N1296" s="62" t="n">
        <x:v>1228.6278290678235</x:v>
      </x:c>
      <x:c r="O1296" s="60" t="n">
        <x:v>43975705.05306087</x:v>
      </x:c>
      <x:c r="P1296" s="60" t="n">
        <x:v>51919.9625608474</x:v>
      </x:c>
      <x:c r="Q1296" s="62" t="n">
        <x:v>1.0011806510548995</x:v>
      </x:c>
      <x:c r="R1296" s="64" t="n">
        <x:v>0.0011806510548995413</x:v>
      </x:c>
    </x:row>
    <x:row r="1297" ht="18" customHeight="1">
      <x:c r="A1297" s="46" t="str">
        <x:v>LME_019</x:v>
      </x:c>
      <x:c r="B1297" s="46" t="str">
        <x:v>Greenland Sea</x:v>
      </x:c>
      <x:c r="C1297" s="46" t="str">
        <x:v>functional</x:v>
      </x:c>
      <x:c r="D1297" s="46" t="str">
        <x:v>Large demersals (&gt;=90 cm)</x:v>
      </x:c>
      <x:c r="E1297" s="66" t="n">
        <x:v>6</x:v>
      </x:c>
      <x:c r="F1297" s="66" t="n">
        <x:v>6</x:v>
      </x:c>
      <x:c r="G1297" s="60" t="n">
        <x:v>204.8894684317</x:v>
      </x:c>
      <x:c r="H1297" s="60" t="n">
        <x:v>204.8894684317</x:v>
      </x:c>
      <x:c r="I1297" s="62" t="n">
        <x:v>0</x:v>
      </x:c>
      <x:c r="J1297" s="64" t="n">
        <x:v>1</x:v>
      </x:c>
      <x:c r="K1297" s="62" t="n">
        <x:v>915.8601649322529</x:v>
      </x:c>
      <x:c r="L1297" s="60" t="n">
        <x:v>187650.1023507384</x:v>
      </x:c>
      <x:c r="M1297" s="62" t="n">
        <x:v>3.8147876204790436</x:v>
      </x:c>
      <x:c r="N1297" s="62" t="n">
        <x:v>652.8112355741392</x:v>
      </x:c>
      <x:c r="O1297" s="60" t="n">
        <x:v>133754.1470430267</x:v>
      </x:c>
      <x:c r="P1297" s="60" t="n">
        <x:v>53895.9553077117</x:v>
      </x:c>
      <x:c r="Q1297" s="62" t="n">
        <x:v>1.4029479197409422</x:v>
      </x:c>
      <x:c r="R1297" s="64" t="n">
        <x:v>0.4029479197409422</x:v>
      </x:c>
    </x:row>
    <x:row r="1298" ht="18" customHeight="1">
      <x:c r="A1298" s="46" t="str">
        <x:v>LME_019</x:v>
      </x:c>
      <x:c r="B1298" s="46" t="str">
        <x:v>Greenland Sea</x:v>
      </x:c>
      <x:c r="C1298" s="46" t="str">
        <x:v>functional</x:v>
      </x:c>
      <x:c r="D1298" s="46" t="str">
        <x:v>Large flatfishes (&gt;=90 cm)</x:v>
      </x:c>
      <x:c r="E1298" s="66" t="n">
        <x:v>2</x:v>
      </x:c>
      <x:c r="F1298" s="66" t="n">
        <x:v>2</x:v>
      </x:c>
      <x:c r="G1298" s="60" t="n">
        <x:v>270.2104224354</x:v>
      </x:c>
      <x:c r="H1298" s="60" t="n">
        <x:v>270.2104224354</x:v>
      </x:c>
      <x:c r="I1298" s="62" t="n">
        <x:v>0</x:v>
      </x:c>
      <x:c r="J1298" s="64" t="n">
        <x:v>1</x:v>
      </x:c>
      <x:c r="K1298" s="62" t="n">
        <x:v>207.90139764927204</x:v>
      </x:c>
      <x:c r="L1298" s="60" t="n">
        <x:v>56177.124483719876</x:v>
      </x:c>
      <x:c r="M1298" s="62" t="n">
        <x:v>3.283457786068275</x:v>
      </x:c>
      <x:c r="N1298" s="62" t="n">
        <x:v>192.06922591436887</x:v>
      </x:c>
      <x:c r="O1298" s="60" t="n">
        <x:v>51899.10667116189</x:v>
      </x:c>
      <x:c r="P1298" s="60" t="n">
        <x:v>4278.017812557984</x:v>
      </x:c>
      <x:c r="Q1298" s="62" t="n">
        <x:v>1.0824295076919908</x:v>
      </x:c>
      <x:c r="R1298" s="64" t="n">
        <x:v>0.08242950769199069</x:v>
      </x:c>
    </x:row>
    <x:row r="1299" ht="18" customHeight="1">
      <x:c r="A1299" s="46" t="str">
        <x:v>LME_019</x:v>
      </x:c>
      <x:c r="B1299" s="46" t="str">
        <x:v>Greenland Sea</x:v>
      </x:c>
      <x:c r="C1299" s="46" t="str">
        <x:v>functional</x:v>
      </x:c>
      <x:c r="D1299" s="46" t="str">
        <x:v>Large rays (&gt;=90 cm)</x:v>
      </x:c>
      <x:c r="E1299" s="66" t="n">
        <x:v>3</x:v>
      </x:c>
      <x:c r="F1299" s="66" t="n">
        <x:v>3</x:v>
      </x:c>
      <x:c r="G1299" s="60" t="n">
        <x:v>3.0012971168999996</x:v>
      </x:c>
      <x:c r="H1299" s="60" t="n">
        <x:v>3.0012971168999996</x:v>
      </x:c>
      <x:c r="I1299" s="62" t="n">
        <x:v>0</x:v>
      </x:c>
      <x:c r="J1299" s="64" t="n">
        <x:v>1</x:v>
      </x:c>
      <x:c r="K1299" s="62" t="n">
        <x:v>633.1557825321029</x:v>
      </x:c>
      <x:c r="L1299" s="60" t="n">
        <x:v>1900.2886246621636</x:v>
      </x:c>
      <x:c r="M1299" s="62" t="n">
        <x:v>3.7971725273775077</x:v>
      </x:c>
      <x:c r="N1299" s="62" t="n">
        <x:v>626.8628421002716</x:v>
      </x:c>
      <x:c r="O1299" s="60" t="n">
        <x:v>1881.4016406872847</x:v>
      </x:c>
      <x:c r="P1299" s="60" t="n">
        <x:v>18.88698397487883</x:v>
      </x:c>
      <x:c r="Q1299" s="62" t="n">
        <x:v>1.0100387836209068</x:v>
      </x:c>
      <x:c r="R1299" s="64" t="n">
        <x:v>0.010038783620906872</x:v>
      </x:c>
    </x:row>
    <x:row r="1300" ht="18" customHeight="1">
      <x:c r="A1300" s="46" t="str">
        <x:v>LME_019</x:v>
      </x:c>
      <x:c r="B1300" s="46" t="str">
        <x:v>Greenland Sea</x:v>
      </x:c>
      <x:c r="C1300" s="46" t="str">
        <x:v>functional</x:v>
      </x:c>
      <x:c r="D1300" s="46" t="str">
        <x:v>Large reef assoc. fish (&gt;=90 cm)</x:v>
      </x:c>
      <x:c r="E1300" s="66" t="n">
        <x:v>1</x:v>
      </x:c>
      <x:c r="F1300" s="66" t="n">
        <x:v>1</x:v>
      </x:c>
      <x:c r="G1300" s="60" t="n">
        <x:v>94.7742200645</x:v>
      </x:c>
      <x:c r="H1300" s="60" t="n">
        <x:v>94.7742200645</x:v>
      </x:c>
      <x:c r="I1300" s="62" t="n">
        <x:v>0</x:v>
      </x:c>
      <x:c r="J1300" s="64" t="n">
        <x:v>1</x:v>
      </x:c>
      <x:c r="K1300" s="62" t="n">
        <x:v>616.5950018614822</x:v>
      </x:c>
      <x:c r="L1300" s="60" t="n">
        <x:v>58437.3103970909</x:v>
      </x:c>
      <x:c r="M1300" s="62" t="n">
        <x:v>3.7899999999999996</x:v>
      </x:c>
      <x:c r="N1300" s="62" t="n">
        <x:v>616.5950018614816</x:v>
      </x:c>
      <x:c r="O1300" s="60" t="n">
        <x:v>58437.31039709084</x:v>
      </x:c>
      <x:c r="P1300" s="60" t="n">
        <x:v>5.820766091346741e-11</x:v>
      </x:c>
      <x:c r="Q1300" s="62" t="n">
        <x:v>1.0000000000000009</x:v>
      </x:c>
      <x:c r="R1300" s="64" t="n">
        <x:v>9.960701565136566e-16</x:v>
      </x:c>
    </x:row>
    <x:row r="1301" ht="18" customHeight="1">
      <x:c r="A1301" s="46" t="str">
        <x:v>LME_019</x:v>
      </x:c>
      <x:c r="B1301" s="46" t="str">
        <x:v>Greenland Sea</x:v>
      </x:c>
      <x:c r="C1301" s="46" t="str">
        <x:v>functional</x:v>
      </x:c>
      <x:c r="D1301" s="46" t="str">
        <x:v>Large sharks (&gt;=90 cm)</x:v>
      </x:c>
      <x:c r="E1301" s="66" t="n">
        <x:v>6</x:v>
      </x:c>
      <x:c r="F1301" s="66" t="n">
        <x:v>6</x:v>
      </x:c>
      <x:c r="G1301" s="60" t="n">
        <x:v>255.3329011273</x:v>
      </x:c>
      <x:c r="H1301" s="60" t="n">
        <x:v>255.3329011273</x:v>
      </x:c>
      <x:c r="I1301" s="62" t="n">
        <x:v>0</x:v>
      </x:c>
      <x:c r="J1301" s="64" t="n">
        <x:v>1</x:v>
      </x:c>
      <x:c r="K1301" s="62" t="n">
        <x:v>1345.187292731068</x:v>
      </x:c>
      <x:c r="L1301" s="60" t="n">
        <x:v>343470.57401260216</x:v>
      </x:c>
      <x:c r="M1301" s="62" t="n">
        <x:v>4.121275557375105</x:v>
      </x:c>
      <x:c r="N1301" s="62" t="n">
        <x:v>1322.134254762461</x:v>
      </x:c>
      <x:c r="O1301" s="60" t="n">
        <x:v>337584.37494827993</x:v>
      </x:c>
      <x:c r="P1301" s="60" t="n">
        <x:v>5886.199064322223</x:v>
      </x:c>
      <x:c r="Q1301" s="62" t="n">
        <x:v>1.0174362307651947</x:v>
      </x:c>
      <x:c r="R1301" s="64" t="n">
        <x:v>0.017436230765194707</x:v>
      </x:c>
    </x:row>
    <x:row r="1302" ht="18" customHeight="1">
      <x:c r="A1302" s="46" t="str">
        <x:v>LME_019</x:v>
      </x:c>
      <x:c r="B1302" s="46" t="str">
        <x:v>Greenland Sea</x:v>
      </x:c>
      <x:c r="C1302" s="46" t="str">
        <x:v>functional</x:v>
      </x:c>
      <x:c r="D1302" s="46" t="str">
        <x:v>Lobsters, crabs</x:v>
      </x:c>
      <x:c r="E1302" s="66" t="n">
        <x:v>1</x:v>
      </x:c>
      <x:c r="F1302" s="66" t="n">
        <x:v>1</x:v>
      </x:c>
      <x:c r="G1302" s="60" t="n">
        <x:v>14.6554642644</x:v>
      </x:c>
      <x:c r="H1302" s="60" t="n">
        <x:v>14.6554642644</x:v>
      </x:c>
      <x:c r="I1302" s="62" t="n">
        <x:v>0</x:v>
      </x:c>
      <x:c r="J1302" s="64" t="n">
        <x:v>1</x:v>
      </x:c>
      <x:c r="K1302" s="62" t="n">
        <x:v>39.810717055349734</x:v>
      </x:c>
      <x:c r="L1302" s="60" t="n">
        <x:v>583.4445411448177</x:v>
      </x:c>
      <x:c r="M1302" s="62" t="n">
        <x:v>2.6</x:v>
      </x:c>
      <x:c r="N1302" s="62" t="n">
        <x:v>39.810717055349734</x:v>
      </x:c>
      <x:c r="O1302" s="60" t="n">
        <x:v>583.4445411448177</x:v>
      </x:c>
      <x:c r="P1302" s="60" t="n">
        <x:v>0</x:v>
      </x:c>
      <x:c r="Q1302" s="62" t="n">
        <x:v>1</x:v>
      </x:c>
      <x:c r="R1302" s="64" t="n">
        <x:v>0</x:v>
      </x:c>
    </x:row>
    <x:row r="1303" ht="18" customHeight="1">
      <x:c r="A1303" s="46" t="str">
        <x:v>LME_019</x:v>
      </x:c>
      <x:c r="B1303" s="46" t="str">
        <x:v>Greenland Sea</x:v>
      </x:c>
      <x:c r="C1303" s="46" t="str">
        <x:v>functional</x:v>
      </x:c>
      <x:c r="D1303" s="46" t="str">
        <x:v>Medium bathydemersals (30 - 89 cm)</x:v>
      </x:c>
      <x:c r="E1303" s="66" t="n">
        <x:v>2</x:v>
      </x:c>
      <x:c r="F1303" s="66" t="n">
        <x:v>2</x:v>
      </x:c>
      <x:c r="G1303" s="60" t="n">
        <x:v>1.8564794302000003</x:v>
      </x:c>
      <x:c r="H1303" s="60" t="n">
        <x:v>1.8564794302000003</x:v>
      </x:c>
      <x:c r="I1303" s="62" t="n">
        <x:v>0</x:v>
      </x:c>
      <x:c r="J1303" s="64" t="n">
        <x:v>1</x:v>
      </x:c>
      <x:c r="K1303" s="62" t="n">
        <x:v>824.6071807782763</x:v>
      </x:c>
      <x:c r="L1303" s="60" t="n">
        <x:v>1530.866269110083</x:v>
      </x:c>
      <x:c r="M1303" s="62" t="n">
        <x:v>3.582372222076021</x:v>
      </x:c>
      <x:c r="N1303" s="62" t="n">
        <x:v>382.27176528671333</x:v>
      </x:c>
      <x:c r="O1303" s="60" t="n">
        <x:v>709.6796690010258</x:v>
      </x:c>
      <x:c r="P1303" s="60" t="n">
        <x:v>821.1866001090573</x:v>
      </x:c>
      <x:c r="Q1303" s="62" t="n">
        <x:v>2.15712290485226</x:v>
      </x:c>
      <x:c r="R1303" s="64" t="n">
        <x:v>1.15712290485226</x:v>
      </x:c>
    </x:row>
    <x:row r="1304" ht="18" customHeight="1">
      <x:c r="A1304" s="46" t="str">
        <x:v>LME_019</x:v>
      </x:c>
      <x:c r="B1304" s="46" t="str">
        <x:v>Greenland Sea</x:v>
      </x:c>
      <x:c r="C1304" s="46" t="str">
        <x:v>functional</x:v>
      </x:c>
      <x:c r="D1304" s="46" t="str">
        <x:v>Medium bathypelagics (30 - 89 cm)</x:v>
      </x:c>
      <x:c r="E1304" s="66" t="n">
        <x:v>1</x:v>
      </x:c>
      <x:c r="F1304" s="66" t="n">
        <x:v>1</x:v>
      </x:c>
      <x:c r="G1304" s="60" t="n">
        <x:v>3016.3923402471</x:v>
      </x:c>
      <x:c r="H1304" s="60" t="n">
        <x:v>3016.3923402471</x:v>
      </x:c>
      <x:c r="I1304" s="62" t="n">
        <x:v>0</x:v>
      </x:c>
      <x:c r="J1304" s="64" t="n">
        <x:v>1</x:v>
      </x:c>
      <x:c r="K1304" s="62" t="n">
        <x:v>446.683592150963</x:v>
      </x:c>
      <x:c r="L1304" s="60" t="n">
        <x:v>1347372.9658782245</x:v>
      </x:c>
      <x:c r="M1304" s="62" t="n">
        <x:v>3.65</x:v>
      </x:c>
      <x:c r="N1304" s="62" t="n">
        <x:v>446.683592150963</x:v>
      </x:c>
      <x:c r="O1304" s="60" t="n">
        <x:v>1347372.9658782245</x:v>
      </x:c>
      <x:c r="P1304" s="60" t="n">
        <x:v>0</x:v>
      </x:c>
      <x:c r="Q1304" s="62" t="n">
        <x:v>1</x:v>
      </x:c>
      <x:c r="R1304" s="64" t="n">
        <x:v>0</x:v>
      </x:c>
    </x:row>
    <x:row r="1305" ht="18" customHeight="1">
      <x:c r="A1305" s="46" t="str">
        <x:v>LME_019</x:v>
      </x:c>
      <x:c r="B1305" s="46" t="str">
        <x:v>Greenland Sea</x:v>
      </x:c>
      <x:c r="C1305" s="46" t="str">
        <x:v>functional</x:v>
      </x:c>
      <x:c r="D1305" s="46" t="str">
        <x:v>Medium benthopelagics (30 - 89 cm)</x:v>
      </x:c>
      <x:c r="E1305" s="66" t="n">
        <x:v>6</x:v>
      </x:c>
      <x:c r="F1305" s="66" t="n">
        <x:v>6</x:v>
      </x:c>
      <x:c r="G1305" s="60" t="n">
        <x:v>5446.623828442399</x:v>
      </x:c>
      <x:c r="H1305" s="60" t="n">
        <x:v>5446.623828442399</x:v>
      </x:c>
      <x:c r="I1305" s="62" t="n">
        <x:v>0</x:v>
      </x:c>
      <x:c r="J1305" s="64" t="n">
        <x:v>1</x:v>
      </x:c>
      <x:c r="K1305" s="62" t="n">
        <x:v>1099.8280682493755</x:v>
      </x:c>
      <x:c r="L1305" s="60" t="n">
        <x:v>5990349.763716822</x:v>
      </x:c>
      <x:c r="M1305" s="62" t="n">
        <x:v>4.041012672554171</x:v>
      </x:c>
      <x:c r="N1305" s="62" t="n">
        <x:v>1099.037908488915</x:v>
      </x:c>
      <x:c r="O1305" s="60" t="n">
        <x:v>5986046.0607372215</x:v>
      </x:c>
      <x:c r="P1305" s="60" t="n">
        <x:v>4303.702979600057</x:v>
      </x:c>
      <x:c r="Q1305" s="62" t="n">
        <x:v>1.0007189558743672</x:v>
      </x:c>
      <x:c r="R1305" s="64" t="n">
        <x:v>0.0007189558743672659</x:v>
      </x:c>
    </x:row>
    <x:row r="1306" ht="18" customHeight="1">
      <x:c r="A1306" s="46" t="str">
        <x:v>LME_019</x:v>
      </x:c>
      <x:c r="B1306" s="46" t="str">
        <x:v>Greenland Sea</x:v>
      </x:c>
      <x:c r="C1306" s="46" t="str">
        <x:v>functional</x:v>
      </x:c>
      <x:c r="D1306" s="46" t="str">
        <x:v>Medium demersals (30 - 89 cm)</x:v>
      </x:c>
      <x:c r="E1306" s="66" t="n">
        <x:v>8</x:v>
      </x:c>
      <x:c r="F1306" s="66" t="n">
        <x:v>8</x:v>
      </x:c>
      <x:c r="G1306" s="60" t="n">
        <x:v>33553.5030981065</x:v>
      </x:c>
      <x:c r="H1306" s="60" t="n">
        <x:v>33553.5030981065</x:v>
      </x:c>
      <x:c r="I1306" s="62" t="n">
        <x:v>0</x:v>
      </x:c>
      <x:c r="J1306" s="64" t="n">
        <x:v>1</x:v>
      </x:c>
      <x:c r="K1306" s="62" t="n">
        <x:v>204.3298297421362</x:v>
      </x:c>
      <x:c r="L1306" s="60" t="n">
        <x:v>6855981.575288341</x:v>
      </x:c>
      <x:c r="M1306" s="62" t="n">
        <x:v>3.2922577039234304</x:v>
      </x:c>
      <x:c r="N1306" s="62" t="n">
        <x:v>196.000736789754</x:v>
      </x:c>
      <x:c r="O1306" s="60" t="n">
        <x:v>6576511.329106167</x:v>
      </x:c>
      <x:c r="P1306" s="60" t="n">
        <x:v>279470.2461821744</x:v>
      </x:c>
      <x:c r="Q1306" s="62" t="n">
        <x:v>1.0424952124609443</x:v>
      </x:c>
      <x:c r="R1306" s="64" t="n">
        <x:v>0.042495212460944405</x:v>
      </x:c>
    </x:row>
    <x:row r="1307" ht="18" customHeight="1">
      <x:c r="A1307" s="46" t="str">
        <x:v>LME_019</x:v>
      </x:c>
      <x:c r="B1307" s="46" t="str">
        <x:v>Greenland Sea</x:v>
      </x:c>
      <x:c r="C1307" s="46" t="str">
        <x:v>functional</x:v>
      </x:c>
      <x:c r="D1307" s="46" t="str">
        <x:v>Medium pelagics (30 - 89 cm)</x:v>
      </x:c>
      <x:c r="E1307" s="66" t="n">
        <x:v>2</x:v>
      </x:c>
      <x:c r="F1307" s="66" t="n">
        <x:v>2</x:v>
      </x:c>
      <x:c r="G1307" s="60" t="n">
        <x:v>171.4700192143</x:v>
      </x:c>
      <x:c r="H1307" s="60" t="n">
        <x:v>171.4700192143</x:v>
      </x:c>
      <x:c r="I1307" s="62" t="n">
        <x:v>0</x:v>
      </x:c>
      <x:c r="J1307" s="64" t="n">
        <x:v>1</x:v>
      </x:c>
      <x:c r="K1307" s="62" t="n">
        <x:v>239.89261802912773</x:v>
      </x:c>
      <x:c r="L1307" s="60" t="n">
        <x:v>41134.391822823265</x:v>
      </x:c>
      <x:c r="M1307" s="62" t="n">
        <x:v>3.3800070833875306</x:v>
      </x:c>
      <x:c r="N1307" s="62" t="n">
        <x:v>239.8872044549436</x:v>
      </x:c>
      <x:c r="O1307" s="60" t="n">
        <x:v>41133.4635571539</x:v>
      </x:c>
      <x:c r="P1307" s="60" t="n">
        <x:v>0.9282656693685567</x:v>
      </x:c>
      <x:c r="Q1307" s="62" t="n">
        <x:v>1.0000225671652492</x:v>
      </x:c>
      <x:c r="R1307" s="64" t="n">
        <x:v>0.00002256716524925637</x:v>
      </x:c>
    </x:row>
    <x:row r="1308" ht="18" customHeight="1">
      <x:c r="A1308" s="46" t="str">
        <x:v>LME_019</x:v>
      </x:c>
      <x:c r="B1308" s="46" t="str">
        <x:v>Greenland Sea</x:v>
      </x:c>
      <x:c r="C1308" s="46" t="str">
        <x:v>functional</x:v>
      </x:c>
      <x:c r="D1308" s="46" t="str">
        <x:v>Other demersal invertebrates</x:v>
      </x:c>
      <x:c r="E1308" s="66" t="n">
        <x:v>5</x:v>
      </x:c>
      <x:c r="F1308" s="66" t="n">
        <x:v>5</x:v>
      </x:c>
      <x:c r="G1308" s="60" t="n">
        <x:v>28.7398449498</x:v>
      </x:c>
      <x:c r="H1308" s="60" t="n">
        <x:v>28.7398449498</x:v>
      </x:c>
      <x:c r="I1308" s="62" t="n">
        <x:v>0</x:v>
      </x:c>
      <x:c r="J1308" s="64" t="n">
        <x:v>1</x:v>
      </x:c>
      <x:c r="K1308" s="62" t="n">
        <x:v>210.33442204317575</x:v>
      </x:c>
      <x:c r="L1308" s="60" t="n">
        <x:v>6044.978677126666</x:v>
      </x:c>
      <x:c r="M1308" s="62" t="n">
        <x:v>2.876207945465351</x:v>
      </x:c>
      <x:c r="N1308" s="62" t="n">
        <x:v>75.1982866348731</x:v>
      </x:c>
      <x:c r="O1308" s="60" t="n">
        <x:v>2161.1870983768704</x:v>
      </x:c>
      <x:c r="P1308" s="60" t="n">
        <x:v>3883.791578749796</x:v>
      </x:c>
      <x:c r="Q1308" s="62" t="n">
        <x:v>2.7970640217437275</x:v>
      </x:c>
      <x:c r="R1308" s="64" t="n">
        <x:v>1.7970640217437277</x:v>
      </x:c>
    </x:row>
    <x:row r="1309" ht="18" customHeight="1">
      <x:c r="A1309" s="46" t="str">
        <x:v>LME_019</x:v>
      </x:c>
      <x:c r="B1309" s="46" t="str">
        <x:v>Greenland Sea</x:v>
      </x:c>
      <x:c r="C1309" s="46" t="str">
        <x:v>functional</x:v>
      </x:c>
      <x:c r="D1309" s="46" t="str">
        <x:v>Shrimps</x:v>
      </x:c>
      <x:c r="E1309" s="66" t="n">
        <x:v>3</x:v>
      </x:c>
      <x:c r="F1309" s="66" t="n">
        <x:v>3</x:v>
      </x:c>
      <x:c r="G1309" s="60" t="n">
        <x:v>976.8999644962998</x:v>
      </x:c>
      <x:c r="H1309" s="60" t="n">
        <x:v>976.8999644962998</x:v>
      </x:c>
      <x:c r="I1309" s="62" t="n">
        <x:v>0</x:v>
      </x:c>
      <x:c r="J1309" s="64" t="n">
        <x:v>1</x:v>
      </x:c>
      <x:c r="K1309" s="62" t="n">
        <x:v>115.99750962846015</x:v>
      </x:c>
      <x:c r="L1309" s="60" t="n">
        <x:v>113317.96303770192</x:v>
      </x:c>
      <x:c r="M1309" s="62" t="n">
        <x:v>3.061804157672986</x:v>
      </x:c>
      <x:c r="N1309" s="62" t="n">
        <x:v>115.29332326901475</x:v>
      </x:c>
      <x:c r="O1309" s="60" t="n">
        <x:v>112630.04340816093</x:v>
      </x:c>
      <x:c r="P1309" s="60" t="n">
        <x:v>687.9196295409929</x:v>
      </x:c>
      <x:c r="Q1309" s="62" t="n">
        <x:v>1.0061077809146182</x:v>
      </x:c>
      <x:c r="R1309" s="64" t="n">
        <x:v>0.006107780914618273</x:v>
      </x:c>
    </x:row>
    <x:row r="1310" ht="18" customHeight="1">
      <x:c r="A1310" s="46" t="str">
        <x:v>LME_019</x:v>
      </x:c>
      <x:c r="B1310" s="46" t="str">
        <x:v>Greenland Sea</x:v>
      </x:c>
      <x:c r="C1310" s="46" t="str">
        <x:v>functional</x:v>
      </x:c>
      <x:c r="D1310" s="46" t="str">
        <x:v>Small bathypelagics (&lt;30 cm)</x:v>
      </x:c>
      <x:c r="E1310" s="66" t="n">
        <x:v>1</x:v>
      </x:c>
      <x:c r="F1310" s="66" t="n">
        <x:v>1</x:v>
      </x:c>
      <x:c r="G1310" s="60" t="n">
        <x:v>0.0022309099</x:v>
      </x:c>
      <x:c r="H1310" s="60" t="n">
        <x:v>0.0022309099</x:v>
      </x:c>
      <x:c r="I1310" s="62" t="n">
        <x:v>0</x:v>
      </x:c>
      <x:c r="J1310" s="64" t="n">
        <x:v>1</x:v>
      </x:c>
      <x:c r="K1310" s="62" t="n">
        <x:v>102.32929922807536</x:v>
      </x:c>
      <x:c r="L1310" s="60" t="n">
        <x:v>0.22828744670797566</x:v>
      </x:c>
      <x:c r="M1310" s="62" t="n">
        <x:v>3.01</x:v>
      </x:c>
      <x:c r="N1310" s="62" t="n">
        <x:v>102.32929922807536</x:v>
      </x:c>
      <x:c r="O1310" s="60" t="n">
        <x:v>0.22828744670797566</x:v>
      </x:c>
      <x:c r="P1310" s="60" t="n">
        <x:v>0</x:v>
      </x:c>
      <x:c r="Q1310" s="62" t="n">
        <x:v>1</x:v>
      </x:c>
      <x:c r="R1310" s="64" t="n">
        <x:v>0</x:v>
      </x:c>
    </x:row>
    <x:row r="1311" ht="18" customHeight="1">
      <x:c r="A1311" s="46" t="str">
        <x:v>LME_019</x:v>
      </x:c>
      <x:c r="B1311" s="46" t="str">
        <x:v>Greenland Sea</x:v>
      </x:c>
      <x:c r="C1311" s="46" t="str">
        <x:v>functional</x:v>
      </x:c>
      <x:c r="D1311" s="46" t="str">
        <x:v>Small pelagics (&lt;30 cm)</x:v>
      </x:c>
      <x:c r="E1311" s="66" t="n">
        <x:v>3</x:v>
      </x:c>
      <x:c r="F1311" s="66" t="n">
        <x:v>3</x:v>
      </x:c>
      <x:c r="G1311" s="60" t="n">
        <x:v>6.300037992999999</x:v>
      </x:c>
      <x:c r="H1311" s="60" t="n">
        <x:v>6.300037992999999</x:v>
      </x:c>
      <x:c r="I1311" s="62" t="n">
        <x:v>0</x:v>
      </x:c>
      <x:c r="J1311" s="64" t="n">
        <x:v>1</x:v>
      </x:c>
      <x:c r="K1311" s="62" t="n">
        <x:v>141.58580665687734</x:v>
      </x:c>
      <x:c r="L1311" s="60" t="n">
        <x:v>891.9959612078794</x:v>
      </x:c>
      <x:c r="M1311" s="62" t="n">
        <x:v>3.150947595507779</x:v>
      </x:c>
      <x:c r="N1311" s="62" t="n">
        <x:v>141.56229523710468</x:v>
      </x:c>
      <x:c r="O1311" s="60" t="n">
        <x:v>891.8478383700423</x:v>
      </x:c>
      <x:c r="P1311" s="60" t="n">
        <x:v>0.14812283783714975</x:v>
      </x:c>
      <x:c r="Q1311" s="62" t="n">
        <x:v>1.0001660853247207</x:v>
      </x:c>
      <x:c r="R1311" s="64" t="n">
        <x:v>0.00016608532472070774</x:v>
      </x:c>
    </x:row>
    <x:row r="1312" ht="18" customHeight="1">
      <x:c r="A1312" s="46" t="str">
        <x:v>LME_019</x:v>
      </x:c>
      <x:c r="B1312" s="46" t="str">
        <x:v>Greenland Sea</x:v>
      </x:c>
      <x:c r="C1312" s="46" t="str">
        <x:v>functional</x:v>
      </x:c>
      <x:c r="D1312" s="46" t="str">
        <x:v>Small to medium flatfishes (&lt;90 cm)</x:v>
      </x:c>
      <x:c r="E1312" s="66" t="n">
        <x:v>5</x:v>
      </x:c>
      <x:c r="F1312" s="66" t="n">
        <x:v>5</x:v>
      </x:c>
      <x:c r="G1312" s="60" t="n">
        <x:v>7176.5497623323</x:v>
      </x:c>
      <x:c r="H1312" s="60" t="n">
        <x:v>7176.5497623323</x:v>
      </x:c>
      <x:c r="I1312" s="62" t="n">
        <x:v>0</x:v>
      </x:c>
      <x:c r="J1312" s="64" t="n">
        <x:v>1</x:v>
      </x:c>
      <x:c r="K1312" s="62" t="n">
        <x:v>2398.362724061936</x:v>
      </x:c>
      <x:c r="L1312" s="60" t="n">
        <x:v>17211969.437353335</x:v>
      </x:c>
      <x:c r="M1312" s="62" t="n">
        <x:v>4.379852990268728</x:v>
      </x:c>
      <x:c r="N1312" s="62" t="n">
        <x:v>2398.0210456997092</x:v>
      </x:c>
      <x:c r="O1312" s="60" t="n">
        <x:v>17209517.3655841</x:v>
      </x:c>
      <x:c r="P1312" s="60" t="n">
        <x:v>2452.071769233793</x:v>
      </x:c>
      <x:c r="Q1312" s="62" t="n">
        <x:v>1.0001424834710435</x:v>
      </x:c>
      <x:c r="R1312" s="64" t="n">
        <x:v>0.00014248347104361508</x:v>
      </x:c>
    </x:row>
    <x:row r="1313" ht="18" customHeight="1">
      <x:c r="A1313" s="46" t="str">
        <x:v>LME_020</x:v>
      </x:c>
      <x:c r="B1313" s="46" t="str">
        <x:v>Barents Sea</x:v>
      </x:c>
      <x:c r="C1313" s="46" t="str">
        <x:v>functional</x:v>
      </x:c>
      <x:c r="D1313" s="46" t="str">
        <x:v>Cephalopods</x:v>
      </x:c>
      <x:c r="E1313" s="66" t="n">
        <x:v>3</x:v>
      </x:c>
      <x:c r="F1313" s="66" t="n">
        <x:v>3</x:v>
      </x:c>
      <x:c r="G1313" s="60" t="n">
        <x:v>0.107771506</x:v>
      </x:c>
      <x:c r="H1313" s="60" t="n">
        <x:v>0.107771506</x:v>
      </x:c>
      <x:c r="I1313" s="62" t="n">
        <x:v>0</x:v>
      </x:c>
      <x:c r="J1313" s="64" t="n">
        <x:v>1</x:v>
      </x:c>
      <x:c r="K1313" s="62" t="n">
        <x:v>748.0475926539785</x:v>
      </x:c>
      <x:c r="L1313" s="60" t="n">
        <x:v>80.6182156199938</x:v>
      </x:c>
      <x:c r="M1313" s="62" t="n">
        <x:v>3.8388476691696227</x:v>
      </x:c>
      <x:c r="N1313" s="62" t="n">
        <x:v>689.9977414401932</x:v>
      </x:c>
      <x:c r="O1313" s="60" t="n">
        <x:v>74.36209573160824</x:v>
      </x:c>
      <x:c r="P1313" s="60" t="n">
        <x:v>6.2561198883855695</x:v>
      </x:c>
      <x:c r="Q1313" s="62" t="n">
        <x:v>1.0841304945326649</x:v>
      </x:c>
      <x:c r="R1313" s="64" t="n">
        <x:v>0.08413049453266488</x:v>
      </x:c>
    </x:row>
    <x:row r="1314" ht="18" customHeight="1">
      <x:c r="A1314" s="46" t="str">
        <x:v>LME_020</x:v>
      </x:c>
      <x:c r="B1314" s="46" t="str">
        <x:v>Barents Sea</x:v>
      </x:c>
      <x:c r="C1314" s="46" t="str">
        <x:v>functional</x:v>
      </x:c>
      <x:c r="D1314" s="46" t="str">
        <x:v>Large bathydemersals (&gt;=90 cm)</x:v>
      </x:c>
      <x:c r="E1314" s="66" t="n">
        <x:v>2</x:v>
      </x:c>
      <x:c r="F1314" s="66" t="n">
        <x:v>2</x:v>
      </x:c>
      <x:c r="G1314" s="60" t="n">
        <x:v>104.4367071871</x:v>
      </x:c>
      <x:c r="H1314" s="60" t="n">
        <x:v>104.4367071871</x:v>
      </x:c>
      <x:c r="I1314" s="62" t="n">
        <x:v>0</x:v>
      </x:c>
      <x:c r="J1314" s="64" t="n">
        <x:v>1</x:v>
      </x:c>
      <x:c r="K1314" s="62" t="n">
        <x:v>2244.1209434738134</x:v>
      </x:c>
      <x:c r="L1314" s="60" t="n">
        <x:v>234368.60186601322</x:v>
      </x:c>
      <x:c r="M1314" s="62" t="n">
        <x:v>4.350931544044047</x:v>
      </x:c>
      <x:c r="N1314" s="62" t="n">
        <x:v>2243.5282582793698</x:v>
      </x:c>
      <x:c r="O1314" s="60" t="n">
        <x:v>234306.703775907</x:v>
      </x:c>
      <x:c r="P1314" s="60" t="n">
        <x:v>61.89809010623139</x:v>
      </x:c>
      <x:c r="Q1314" s="62" t="n">
        <x:v>1.000264175497793</x:v>
      </x:c>
      <x:c r="R1314" s="64" t="n">
        <x:v>0.00026417549779297515</x:v>
      </x:c>
    </x:row>
    <x:row r="1315" ht="18" customHeight="1">
      <x:c r="A1315" s="46" t="str">
        <x:v>LME_020</x:v>
      </x:c>
      <x:c r="B1315" s="46" t="str">
        <x:v>Barents Sea</x:v>
      </x:c>
      <x:c r="C1315" s="46" t="str">
        <x:v>functional</x:v>
      </x:c>
      <x:c r="D1315" s="46" t="str">
        <x:v>Large benthopelagics (&gt;=90 cm)</x:v>
      </x:c>
      <x:c r="E1315" s="66" t="n">
        <x:v>7</x:v>
      </x:c>
      <x:c r="F1315" s="66" t="n">
        <x:v>7</x:v>
      </x:c>
      <x:c r="G1315" s="60" t="n">
        <x:v>326420.8719188363</x:v>
      </x:c>
      <x:c r="H1315" s="60" t="n">
        <x:v>326420.8719188363</x:v>
      </x:c>
      <x:c r="I1315" s="62" t="n">
        <x:v>0</x:v>
      </x:c>
      <x:c r="J1315" s="64" t="n">
        <x:v>1</x:v>
      </x:c>
      <x:c r="K1315" s="62" t="n">
        <x:v>1215.3580852493014</x:v>
      </x:c>
      <x:c r="L1315" s="60" t="n">
        <x:v>396718245.8806844</x:v>
      </x:c>
      <x:c r="M1315" s="62" t="n">
        <x:v>4.081489667468125</x:v>
      </x:c>
      <x:c r="N1315" s="62" t="n">
        <x:v>1206.3953858588843</x:v>
      </x:c>
      <x:c r="O1315" s="60" t="n">
        <x:v>393792633.730918</x:v>
      </x:c>
      <x:c r="P1315" s="60" t="n">
        <x:v>2925612.1497663856</x:v>
      </x:c>
      <x:c r="Q1315" s="62" t="n">
        <x:v>1.007429321676356</x:v>
      </x:c>
      <x:c r="R1315" s="64" t="n">
        <x:v>0.007429321676355892</x:v>
      </x:c>
    </x:row>
    <x:row r="1316" ht="18" customHeight="1">
      <x:c r="A1316" s="46" t="str">
        <x:v>LME_020</x:v>
      </x:c>
      <x:c r="B1316" s="46" t="str">
        <x:v>Barents Sea</x:v>
      </x:c>
      <x:c r="C1316" s="46" t="str">
        <x:v>functional</x:v>
      </x:c>
      <x:c r="D1316" s="46" t="str">
        <x:v>Large demersals (&gt;=90 cm)</x:v>
      </x:c>
      <x:c r="E1316" s="66" t="n">
        <x:v>14</x:v>
      </x:c>
      <x:c r="F1316" s="66" t="n">
        <x:v>14</x:v>
      </x:c>
      <x:c r="G1316" s="60" t="n">
        <x:v>39127.728765878106</x:v>
      </x:c>
      <x:c r="H1316" s="60" t="n">
        <x:v>39127.728765878106</x:v>
      </x:c>
      <x:c r="I1316" s="62" t="n">
        <x:v>0</x:v>
      </x:c>
      <x:c r="J1316" s="64" t="n">
        <x:v>1</x:v>
      </x:c>
      <x:c r="K1316" s="62" t="n">
        <x:v>1717.9306987087186</x:v>
      </x:c>
      <x:c r="L1316" s="60" t="n">
        <x:v>67218726.41765021</x:v>
      </x:c>
      <x:c r="M1316" s="62" t="n">
        <x:v>4.151689306483993</x:v>
      </x:c>
      <x:c r="N1316" s="62" t="n">
        <x:v>1418.0426934558961</x:v>
      </x:c>
      <x:c r="O1316" s="60" t="n">
        <x:v>55484789.88797753</x:v>
      </x:c>
      <x:c r="P1316" s="60" t="n">
        <x:v>11733936.529672675</x:v>
      </x:c>
      <x:c r="Q1316" s="62" t="n">
        <x:v>1.2114802372571511</x:v>
      </x:c>
      <x:c r="R1316" s="64" t="n">
        <x:v>0.21148023725715123</x:v>
      </x:c>
    </x:row>
    <x:row r="1317" ht="18" customHeight="1">
      <x:c r="A1317" s="46" t="str">
        <x:v>LME_020</x:v>
      </x:c>
      <x:c r="B1317" s="46" t="str">
        <x:v>Barents Sea</x:v>
      </x:c>
      <x:c r="C1317" s="46" t="str">
        <x:v>functional</x:v>
      </x:c>
      <x:c r="D1317" s="46" t="str">
        <x:v>Large flatfishes (&gt;=90 cm)</x:v>
      </x:c>
      <x:c r="E1317" s="66" t="n">
        <x:v>3</x:v>
      </x:c>
      <x:c r="F1317" s="66" t="n">
        <x:v>3</x:v>
      </x:c>
      <x:c r="G1317" s="60" t="n">
        <x:v>10584.4799743497</x:v>
      </x:c>
      <x:c r="H1317" s="60" t="n">
        <x:v>10584.4799743497</x:v>
      </x:c>
      <x:c r="I1317" s="62" t="n">
        <x:v>0</x:v>
      </x:c>
      <x:c r="J1317" s="64" t="n">
        <x:v>1</x:v>
      </x:c>
      <x:c r="K1317" s="62" t="n">
        <x:v>182.7777311694177</x:v>
      </x:c>
      <x:c r="L1317" s="60" t="n">
        <x:v>1934607.2353197748</x:v>
      </x:c>
      <x:c r="M1317" s="62" t="n">
        <x:v>3.2607245259495934</x:v>
      </x:c>
      <x:c r="N1317" s="62" t="n">
        <x:v>182.27391676569096</x:v>
      </x:c>
      <x:c r="O1317" s="60" t="n">
        <x:v>1929274.6218527402</x:v>
      </x:c>
      <x:c r="P1317" s="60" t="n">
        <x:v>5332.613467034651</x:v>
      </x:c>
      <x:c r="Q1317" s="62" t="n">
        <x:v>1.0027640510099665</x:v>
      </x:c>
      <x:c r="R1317" s="64" t="n">
        <x:v>0.002764051009966421</x:v>
      </x:c>
    </x:row>
    <x:row r="1318" ht="18" customHeight="1">
      <x:c r="A1318" s="46" t="str">
        <x:v>LME_020</x:v>
      </x:c>
      <x:c r="B1318" s="46" t="str">
        <x:v>Barents Sea</x:v>
      </x:c>
      <x:c r="C1318" s="46" t="str">
        <x:v>functional</x:v>
      </x:c>
      <x:c r="D1318" s="46" t="str">
        <x:v>Large pelagics (&gt;=90 cm)</x:v>
      </x:c>
      <x:c r="E1318" s="66" t="n">
        <x:v>1</x:v>
      </x:c>
      <x:c r="F1318" s="66" t="n">
        <x:v>1</x:v>
      </x:c>
      <x:c r="G1318" s="60" t="n">
        <x:v>0.0925735646</x:v>
      </x:c>
      <x:c r="H1318" s="60" t="n">
        <x:v>0.0925735646</x:v>
      </x:c>
      <x:c r="I1318" s="62" t="n">
        <x:v>0</x:v>
      </x:c>
      <x:c r="J1318" s="64" t="n">
        <x:v>1</x:v>
      </x:c>
      <x:c r="K1318" s="62" t="n">
        <x:v>229.08676527677724</x:v>
      </x:c>
      <x:c r="L1318" s="60" t="n">
        <x:v>21.207378464354775</x:v>
      </x:c>
      <x:c r="M1318" s="62" t="n">
        <x:v>3.36</x:v>
      </x:c>
      <x:c r="N1318" s="62" t="n">
        <x:v>229.08676527677724</x:v>
      </x:c>
      <x:c r="O1318" s="60" t="n">
        <x:v>21.207378464354775</x:v>
      </x:c>
      <x:c r="P1318" s="60" t="n">
        <x:v>0</x:v>
      </x:c>
      <x:c r="Q1318" s="62" t="n">
        <x:v>1</x:v>
      </x:c>
      <x:c r="R1318" s="64" t="n">
        <x:v>0</x:v>
      </x:c>
    </x:row>
    <x:row r="1319" ht="18" customHeight="1">
      <x:c r="A1319" s="46" t="str">
        <x:v>LME_020</x:v>
      </x:c>
      <x:c r="B1319" s="46" t="str">
        <x:v>Barents Sea</x:v>
      </x:c>
      <x:c r="C1319" s="46" t="str">
        <x:v>functional</x:v>
      </x:c>
      <x:c r="D1319" s="46" t="str">
        <x:v>Large rays (&gt;=90 cm)</x:v>
      </x:c>
      <x:c r="E1319" s="66" t="n">
        <x:v>4</x:v>
      </x:c>
      <x:c r="F1319" s="66" t="n">
        <x:v>4</x:v>
      </x:c>
      <x:c r="G1319" s="60" t="n">
        <x:v>7.6096124433000005</x:v>
      </x:c>
      <x:c r="H1319" s="60" t="n">
        <x:v>7.6096124433000005</x:v>
      </x:c>
      <x:c r="I1319" s="62" t="n">
        <x:v>0</x:v>
      </x:c>
      <x:c r="J1319" s="64" t="n">
        <x:v>1</x:v>
      </x:c>
      <x:c r="K1319" s="62" t="n">
        <x:v>616.9887715284012</x:v>
      </x:c>
      <x:c r="L1319" s="60" t="n">
        <x:v>4695.045433198903</x:v>
      </x:c>
      <x:c r="M1319" s="62" t="n">
        <x:v>3.7795481627018948</x:v>
      </x:c>
      <x:c r="N1319" s="62" t="n">
        <x:v>601.9330127985627</x:v>
      </x:c>
      <x:c r="O1319" s="60" t="n">
        <x:v>4580.476944225001</x:v>
      </x:c>
      <x:c r="P1319" s="60" t="n">
        <x:v>114.56848897390228</x:v>
      </x:c>
      <x:c r="Q1319" s="62" t="n">
        <x:v>1.0250123492310879</x:v>
      </x:c>
      <x:c r="R1319" s="64" t="n">
        <x:v>0.02501234923108795</x:v>
      </x:c>
    </x:row>
    <x:row r="1320" ht="18" customHeight="1">
      <x:c r="A1320" s="46" t="str">
        <x:v>LME_020</x:v>
      </x:c>
      <x:c r="B1320" s="46" t="str">
        <x:v>Barents Sea</x:v>
      </x:c>
      <x:c r="C1320" s="46" t="str">
        <x:v>functional</x:v>
      </x:c>
      <x:c r="D1320" s="46" t="str">
        <x:v>Large reef assoc. fish (&gt;=90 cm)</x:v>
      </x:c>
      <x:c r="E1320" s="66" t="n">
        <x:v>2</x:v>
      </x:c>
      <x:c r="F1320" s="66" t="n">
        <x:v>2</x:v>
      </x:c>
      <x:c r="G1320" s="60" t="n">
        <x:v>3444.9195494119</x:v>
      </x:c>
      <x:c r="H1320" s="60" t="n">
        <x:v>3444.9195494119</x:v>
      </x:c>
      <x:c r="I1320" s="62" t="n">
        <x:v>0</x:v>
      </x:c>
      <x:c r="J1320" s="64" t="n">
        <x:v>1</x:v>
      </x:c>
      <x:c r="K1320" s="62" t="n">
        <x:v>612.9407231751047</x:v>
      </x:c>
      <x:c r="L1320" s="60" t="n">
        <x:v>2111531.479896586</x:v>
      </x:c>
      <x:c r="M1320" s="62" t="n">
        <x:v>3.7849055717472035</x:v>
      </x:c>
      <x:c r="N1320" s="62" t="n">
        <x:v>609.4043805959677</x:v>
      </x:c>
      <x:c r="O1320" s="60" t="n">
        <x:v>2099349.064212299</x:v>
      </x:c>
      <x:c r="P1320" s="60" t="n">
        <x:v>12182.41568428697</x:v>
      </x:c>
      <x:c r="Q1320" s="62" t="n">
        <x:v>1.005802949062622</x:v>
      </x:c>
      <x:c r="R1320" s="64" t="n">
        <x:v>0.005802949062621922</x:v>
      </x:c>
    </x:row>
    <x:row r="1321" ht="18" customHeight="1">
      <x:c r="A1321" s="46" t="str">
        <x:v>LME_020</x:v>
      </x:c>
      <x:c r="B1321" s="46" t="str">
        <x:v>Barents Sea</x:v>
      </x:c>
      <x:c r="C1321" s="46" t="str">
        <x:v>functional</x:v>
      </x:c>
      <x:c r="D1321" s="46" t="str">
        <x:v>Large sharks (&gt;=90 cm)</x:v>
      </x:c>
      <x:c r="E1321" s="66" t="n">
        <x:v>7</x:v>
      </x:c>
      <x:c r="F1321" s="66" t="n">
        <x:v>7</x:v>
      </x:c>
      <x:c r="G1321" s="60" t="n">
        <x:v>50.95338182249999</x:v>
      </x:c>
      <x:c r="H1321" s="60" t="n">
        <x:v>50.95338182249999</x:v>
      </x:c>
      <x:c r="I1321" s="62" t="n">
        <x:v>0</x:v>
      </x:c>
      <x:c r="J1321" s="64" t="n">
        <x:v>1</x:v>
      </x:c>
      <x:c r="K1321" s="62" t="n">
        <x:v>1409.3762863992988</x:v>
      </x:c>
      <x:c r="L1321" s="60" t="n">
        <x:v>71812.48805248058</x:v>
      </x:c>
      <x:c r="M1321" s="62" t="n">
        <x:v>4.141369777759349</x:v>
      </x:c>
      <x:c r="N1321" s="62" t="n">
        <x:v>1384.744910966528</x:v>
      </x:c>
      <x:c r="O1321" s="60" t="n">
        <x:v>70557.43617524127</x:v>
      </x:c>
      <x:c r="P1321" s="60" t="n">
        <x:v>1255.0518772393116</x:v>
      </x:c>
      <x:c r="Q1321" s="62" t="n">
        <x:v>1.0177876627223554</x:v>
      </x:c>
      <x:c r="R1321" s="64" t="n">
        <x:v>0.01778766272235543</x:v>
      </x:c>
    </x:row>
    <x:row r="1322" ht="18" customHeight="1">
      <x:c r="A1322" s="46" t="str">
        <x:v>LME_020</x:v>
      </x:c>
      <x:c r="B1322" s="46" t="str">
        <x:v>Barents Sea</x:v>
      </x:c>
      <x:c r="C1322" s="46" t="str">
        <x:v>functional</x:v>
      </x:c>
      <x:c r="D1322" s="46" t="str">
        <x:v>Lobsters, crabs</x:v>
      </x:c>
      <x:c r="E1322" s="66" t="n">
        <x:v>11</x:v>
      </x:c>
      <x:c r="F1322" s="66" t="n">
        <x:v>11</x:v>
      </x:c>
      <x:c r="G1322" s="60" t="n">
        <x:v>20862.803209193804</x:v>
      </x:c>
      <x:c r="H1322" s="60" t="n">
        <x:v>20862.803209193804</x:v>
      </x:c>
      <x:c r="I1322" s="62" t="n">
        <x:v>0</x:v>
      </x:c>
      <x:c r="J1322" s="64" t="n">
        <x:v>1</x:v>
      </x:c>
      <x:c r="K1322" s="62" t="n">
        <x:v>421.5957657283643</x:v>
      </x:c>
      <x:c r="L1322" s="60" t="n">
        <x:v>8795669.494220238</x:v>
      </x:c>
      <x:c r="M1322" s="62" t="n">
        <x:v>3.615500442120368</x:v>
      </x:c>
      <x:c r="N1322" s="62" t="n">
        <x:v>412.57265712362704</x:v>
      </x:c>
      <x:c r="O1322" s="60" t="n">
        <x:v>8607422.15506442</x:v>
      </x:c>
      <x:c r="P1322" s="60" t="n">
        <x:v>188247.3391558174</x:v>
      </x:c>
      <x:c r="Q1322" s="62" t="n">
        <x:v>1.0218703504678293</x:v>
      </x:c>
      <x:c r="R1322" s="64" t="n">
        <x:v>0.021870350467829296</x:v>
      </x:c>
    </x:row>
    <x:row r="1323" ht="18" customHeight="1">
      <x:c r="A1323" s="46" t="str">
        <x:v>LME_020</x:v>
      </x:c>
      <x:c r="B1323" s="46" t="str">
        <x:v>Barents Sea</x:v>
      </x:c>
      <x:c r="C1323" s="46" t="str">
        <x:v>functional</x:v>
      </x:c>
      <x:c r="D1323" s="46" t="str">
        <x:v>Medium bathydemersals (30 - 89 cm)</x:v>
      </x:c>
      <x:c r="E1323" s="66" t="n">
        <x:v>6</x:v>
      </x:c>
      <x:c r="F1323" s="66" t="n">
        <x:v>6</x:v>
      </x:c>
      <x:c r="G1323" s="60" t="n">
        <x:v>155.007745397</x:v>
      </x:c>
      <x:c r="H1323" s="60" t="n">
        <x:v>155.007745397</x:v>
      </x:c>
      <x:c r="I1323" s="62" t="n">
        <x:v>0</x:v>
      </x:c>
      <x:c r="J1323" s="64" t="n">
        <x:v>1</x:v>
      </x:c>
      <x:c r="K1323" s="62" t="n">
        <x:v>2801.3714161943994</x:v>
      </x:c>
      <x:c r="L1323" s="60" t="n">
        <x:v>434234.2672438948</x:v>
      </x:c>
      <x:c r="M1323" s="62" t="n">
        <x:v>4.42704073519379</x:v>
      </x:c>
      <x:c r="N1323" s="62" t="n">
        <x:v>2673.257138399191</x:v>
      </x:c>
      <x:c r="O1323" s="60" t="n">
        <x:v>414375.5618896946</x:v>
      </x:c>
      <x:c r="P1323" s="60" t="n">
        <x:v>19858.70535420021</x:v>
      </x:c>
      <x:c r="Q1323" s="62" t="n">
        <x:v>1.0479244124910208</x:v>
      </x:c>
      <x:c r="R1323" s="64" t="n">
        <x:v>0.047924412491020724</x:v>
      </x:c>
    </x:row>
    <x:row r="1324" ht="18" customHeight="1">
      <x:c r="A1324" s="46" t="str">
        <x:v>LME_020</x:v>
      </x:c>
      <x:c r="B1324" s="46" t="str">
        <x:v>Barents Sea</x:v>
      </x:c>
      <x:c r="C1324" s="46" t="str">
        <x:v>functional</x:v>
      </x:c>
      <x:c r="D1324" s="46" t="str">
        <x:v>Medium bathypelagics (30 - 89 cm)</x:v>
      </x:c>
      <x:c r="E1324" s="66" t="n">
        <x:v>1</x:v>
      </x:c>
      <x:c r="F1324" s="66" t="n">
        <x:v>1</x:v>
      </x:c>
      <x:c r="G1324" s="60" t="n">
        <x:v>9967.4879270983</x:v>
      </x:c>
      <x:c r="H1324" s="60" t="n">
        <x:v>9967.4879270983</x:v>
      </x:c>
      <x:c r="I1324" s="62" t="n">
        <x:v>0</x:v>
      </x:c>
      <x:c r="J1324" s="64" t="n">
        <x:v>1</x:v>
      </x:c>
      <x:c r="K1324" s="62" t="n">
        <x:v>446.683592150963</x:v>
      </x:c>
      <x:c r="L1324" s="60" t="n">
        <x:v>4452313.311997625</x:v>
      </x:c>
      <x:c r="M1324" s="62" t="n">
        <x:v>3.65</x:v>
      </x:c>
      <x:c r="N1324" s="62" t="n">
        <x:v>446.683592150963</x:v>
      </x:c>
      <x:c r="O1324" s="60" t="n">
        <x:v>4452313.311997625</x:v>
      </x:c>
      <x:c r="P1324" s="60" t="n">
        <x:v>0</x:v>
      </x:c>
      <x:c r="Q1324" s="62" t="n">
        <x:v>1</x:v>
      </x:c>
      <x:c r="R1324" s="64" t="n">
        <x:v>0</x:v>
      </x:c>
    </x:row>
    <x:row r="1325" ht="18" customHeight="1">
      <x:c r="A1325" s="46" t="str">
        <x:v>LME_020</x:v>
      </x:c>
      <x:c r="B1325" s="46" t="str">
        <x:v>Barents Sea</x:v>
      </x:c>
      <x:c r="C1325" s="46" t="str">
        <x:v>functional</x:v>
      </x:c>
      <x:c r="D1325" s="46" t="str">
        <x:v>Medium benthopelagics (30 - 89 cm)</x:v>
      </x:c>
      <x:c r="E1325" s="66" t="n">
        <x:v>14</x:v>
      </x:c>
      <x:c r="F1325" s="66" t="n">
        <x:v>14</x:v>
      </x:c>
      <x:c r="G1325" s="60" t="n">
        <x:v>6788.3580976942985</x:v>
      </x:c>
      <x:c r="H1325" s="60" t="n">
        <x:v>6788.3580976942985</x:v>
      </x:c>
      <x:c r="I1325" s="62" t="n">
        <x:v>0</x:v>
      </x:c>
      <x:c r="J1325" s="64" t="n">
        <x:v>1</x:v>
      </x:c>
      <x:c r="K1325" s="62" t="n">
        <x:v>1084.5011690594313</x:v>
      </x:c>
      <x:c r="L1325" s="60" t="n">
        <x:v>7361982.292943523</x:v>
      </x:c>
      <x:c r="M1325" s="62" t="n">
        <x:v>4.025535635560198</x:v>
      </x:c>
      <x:c r="N1325" s="62" t="n">
        <x:v>1060.5609579752033</x:v>
      </x:c>
      <x:c r="O1325" s="60" t="n">
        <x:v>7199467.567169394</x:v>
      </x:c>
      <x:c r="P1325" s="60" t="n">
        <x:v>162514.72577412892</x:v>
      </x:c>
      <x:c r="Q1325" s="62" t="n">
        <x:v>1.0225731589534786</x:v>
      </x:c>
      <x:c r="R1325" s="64" t="n">
        <x:v>0.022573158953478643</x:v>
      </x:c>
    </x:row>
    <x:row r="1326" ht="18" customHeight="1">
      <x:c r="A1326" s="46" t="str">
        <x:v>LME_020</x:v>
      </x:c>
      <x:c r="B1326" s="46" t="str">
        <x:v>Barents Sea</x:v>
      </x:c>
      <x:c r="C1326" s="46" t="str">
        <x:v>functional</x:v>
      </x:c>
      <x:c r="D1326" s="46" t="str">
        <x:v>Medium demersals (30 - 89 cm)</x:v>
      </x:c>
      <x:c r="E1326" s="66" t="n">
        <x:v>12</x:v>
      </x:c>
      <x:c r="F1326" s="66" t="n">
        <x:v>12</x:v>
      </x:c>
      <x:c r="G1326" s="60" t="n">
        <x:v>148088.15472913464</x:v>
      </x:c>
      <x:c r="H1326" s="60" t="n">
        <x:v>148088.15472913464</x:v>
      </x:c>
      <x:c r="I1326" s="62" t="n">
        <x:v>0</x:v>
      </x:c>
      <x:c r="J1326" s="64" t="n">
        <x:v>1</x:v>
      </x:c>
      <x:c r="K1326" s="62" t="n">
        <x:v>719.7549964394954</x:v>
      </x:c>
      <x:c r="L1326" s="60" t="n">
        <x:v>106587189.27979974</x:v>
      </x:c>
      <x:c r="M1326" s="62" t="n">
        <x:v>3.726810918235258</x:v>
      </x:c>
      <x:c r="N1326" s="62" t="n">
        <x:v>533.1027443595883</x:v>
      </x:c>
      <x:c r="O1326" s="60" t="n">
        <x:v>78946201.69324902</x:v>
      </x:c>
      <x:c r="P1326" s="60" t="n">
        <x:v>27640987.586550727</x:v>
      </x:c>
      <x:c r="Q1326" s="62" t="n">
        <x:v>1.3501243504272913</x:v>
      </x:c>
      <x:c r="R1326" s="64" t="n">
        <x:v>0.3501243504272912</x:v>
      </x:c>
    </x:row>
    <x:row r="1327" ht="18" customHeight="1">
      <x:c r="A1327" s="46" t="str">
        <x:v>LME_020</x:v>
      </x:c>
      <x:c r="B1327" s="46" t="str">
        <x:v>Barents Sea</x:v>
      </x:c>
      <x:c r="C1327" s="46" t="str">
        <x:v>functional</x:v>
      </x:c>
      <x:c r="D1327" s="46" t="str">
        <x:v>Medium pelagics (30 - 89 cm)</x:v>
      </x:c>
      <x:c r="E1327" s="66" t="n">
        <x:v>11</x:v>
      </x:c>
      <x:c r="F1327" s="66" t="n">
        <x:v>11</x:v>
      </x:c>
      <x:c r="G1327" s="60" t="n">
        <x:v>78242.37063808106</x:v>
      </x:c>
      <x:c r="H1327" s="60" t="n">
        <x:v>78242.37063808106</x:v>
      </x:c>
      <x:c r="I1327" s="62" t="n">
        <x:v>0</x:v>
      </x:c>
      <x:c r="J1327" s="64" t="n">
        <x:v>1</x:v>
      </x:c>
      <x:c r="K1327" s="62" t="n">
        <x:v>353.60959696453773</x:v>
      </x:c>
      <x:c r="L1327" s="60" t="n">
        <x:v>27667253.146881826</x:v>
      </x:c>
      <x:c r="M1327" s="62" t="n">
        <x:v>3.5320977657857915</x:v>
      </x:c>
      <x:c r="N1327" s="62" t="n">
        <x:v>340.4848289901296</x:v>
      </x:c>
      <x:c r="O1327" s="60" t="n">
        <x:v>26640340.186489366</x:v>
      </x:c>
      <x:c r="P1327" s="60" t="n">
        <x:v>1026912.9603924602</x:v>
      </x:c>
      <x:c r="Q1327" s="62" t="n">
        <x:v>1.038547291558734</x:v>
      </x:c>
      <x:c r="R1327" s="64" t="n">
        <x:v>0.03854729155873387</x:v>
      </x:c>
    </x:row>
    <x:row r="1328" ht="18" customHeight="1">
      <x:c r="A1328" s="46" t="str">
        <x:v>LME_020</x:v>
      </x:c>
      <x:c r="B1328" s="46" t="str">
        <x:v>Barents Sea</x:v>
      </x:c>
      <x:c r="C1328" s="46" t="str">
        <x:v>functional</x:v>
      </x:c>
      <x:c r="D1328" s="46" t="str">
        <x:v>Other demersal invertebrates</x:v>
      </x:c>
      <x:c r="E1328" s="66" t="n">
        <x:v>20</x:v>
      </x:c>
      <x:c r="F1328" s="66" t="n">
        <x:v>20</x:v>
      </x:c>
      <x:c r="G1328" s="60" t="n">
        <x:v>454.24042468679994</x:v>
      </x:c>
      <x:c r="H1328" s="60" t="n">
        <x:v>454.24042468679994</x:v>
      </x:c>
      <x:c r="I1328" s="62" t="n">
        <x:v>0</x:v>
      </x:c>
      <x:c r="J1328" s="64" t="n">
        <x:v>1</x:v>
      </x:c>
      <x:c r="K1328" s="62" t="n">
        <x:v>35.10700564831153</x:v>
      </x:c>
      <x:c r="L1328" s="60" t="n">
        <x:v>15947.021155170913</x:v>
      </x:c>
      <x:c r="M1328" s="62" t="n">
        <x:v>2.5035797536605617</x:v>
      </x:c>
      <x:c r="N1328" s="62" t="n">
        <x:v>31.884510477792265</x:v>
      </x:c>
      <x:c r="O1328" s="60" t="n">
        <x:v>14483.233580363081</x:v>
      </x:c>
      <x:c r="P1328" s="60" t="n">
        <x:v>1463.7875748078313</x:v>
      </x:c>
      <x:c r="Q1328" s="62" t="n">
        <x:v>1.1010677323324047</x:v>
      </x:c>
      <x:c r="R1328" s="64" t="n">
        <x:v>0.10106773233240471</x:v>
      </x:c>
    </x:row>
    <x:row r="1329" ht="18" customHeight="1">
      <x:c r="A1329" s="46" t="str">
        <x:v>LME_020</x:v>
      </x:c>
      <x:c r="B1329" s="46" t="str">
        <x:v>Barents Sea</x:v>
      </x:c>
      <x:c r="C1329" s="46" t="str">
        <x:v>functional</x:v>
      </x:c>
      <x:c r="D1329" s="46" t="str">
        <x:v>Shrimps</x:v>
      </x:c>
      <x:c r="E1329" s="66" t="n">
        <x:v>5</x:v>
      </x:c>
      <x:c r="F1329" s="66" t="n">
        <x:v>5</x:v>
      </x:c>
      <x:c r="G1329" s="60" t="n">
        <x:v>12162.1373034245</x:v>
      </x:c>
      <x:c r="H1329" s="60" t="n">
        <x:v>12162.1373034245</x:v>
      </x:c>
      <x:c r="I1329" s="62" t="n">
        <x:v>0</x:v>
      </x:c>
      <x:c r="J1329" s="64" t="n">
        <x:v>1</x:v>
      </x:c>
      <x:c r="K1329" s="62" t="n">
        <x:v>117.01343091272915</x:v>
      </x:c>
      <x:c r="L1329" s="60" t="n">
        <x:v>1423133.4131053889</x:v>
      </x:c>
      <x:c r="M1329" s="62" t="n">
        <x:v>3.067345046841399</x:v>
      </x:c>
      <x:c r="N1329" s="62" t="n">
        <x:v>116.77370153273436</x:v>
      </x:c>
      <x:c r="O1329" s="60" t="n">
        <x:v>1420217.7914702273</x:v>
      </x:c>
      <x:c r="P1329" s="60" t="n">
        <x:v>2915.621635161573</x:v>
      </x:c>
      <x:c r="Q1329" s="62" t="n">
        <x:v>1.0020529398044953</x:v>
      </x:c>
      <x:c r="R1329" s="64" t="n">
        <x:v>0.002052939804495256</x:v>
      </x:c>
    </x:row>
    <x:row r="1330" ht="18" customHeight="1">
      <x:c r="A1330" s="46" t="str">
        <x:v>LME_020</x:v>
      </x:c>
      <x:c r="B1330" s="46" t="str">
        <x:v>Barents Sea</x:v>
      </x:c>
      <x:c r="C1330" s="46" t="str">
        <x:v>functional</x:v>
      </x:c>
      <x:c r="D1330" s="46" t="str">
        <x:v>Small pelagics (&lt;30 cm)</x:v>
      </x:c>
      <x:c r="E1330" s="66" t="n">
        <x:v>3</x:v>
      </x:c>
      <x:c r="F1330" s="66" t="n">
        <x:v>3</x:v>
      </x:c>
      <x:c r="G1330" s="60" t="n">
        <x:v>243.0029455227</x:v>
      </x:c>
      <x:c r="H1330" s="60" t="n">
        <x:v>243.0029455227</x:v>
      </x:c>
      <x:c r="I1330" s="62" t="n">
        <x:v>0</x:v>
      </x:c>
      <x:c r="J1330" s="64" t="n">
        <x:v>1</x:v>
      </x:c>
      <x:c r="K1330" s="62" t="n">
        <x:v>141.49841938290737</x:v>
      </x:c>
      <x:c r="L1330" s="60" t="n">
        <x:v>34384.532696852795</x:v>
      </x:c>
      <x:c r="M1330" s="62" t="n">
        <x:v>3.1506965702400103</x:v>
      </x:c>
      <x:c r="N1330" s="62" t="n">
        <x:v>141.48049487679518</x:v>
      </x:c>
      <x:c r="O1330" s="60" t="n">
        <x:v>34380.176989070496</x:v>
      </x:c>
      <x:c r="P1330" s="60" t="n">
        <x:v>4.35570778229885</x:v>
      </x:c>
      <x:c r="Q1330" s="62" t="n">
        <x:v>1.0001266924188228</x:v>
      </x:c>
      <x:c r="R1330" s="64" t="n">
        <x:v>0.00012669241882272845</x:v>
      </x:c>
    </x:row>
    <x:row r="1331" ht="18" customHeight="1">
      <x:c r="A1331" s="46" t="str">
        <x:v>LME_020</x:v>
      </x:c>
      <x:c r="B1331" s="46" t="str">
        <x:v>Barents Sea</x:v>
      </x:c>
      <x:c r="C1331" s="46" t="str">
        <x:v>functional</x:v>
      </x:c>
      <x:c r="D1331" s="46" t="str">
        <x:v>Small to medium flatfishes (&lt;90 cm)</x:v>
      </x:c>
      <x:c r="E1331" s="66" t="n">
        <x:v>11</x:v>
      </x:c>
      <x:c r="F1331" s="66" t="n">
        <x:v>11</x:v>
      </x:c>
      <x:c r="G1331" s="60" t="n">
        <x:v>18477.028369824096</x:v>
      </x:c>
      <x:c r="H1331" s="60" t="n">
        <x:v>18477.028369824096</x:v>
      </x:c>
      <x:c r="I1331" s="62" t="n">
        <x:v>0</x:v>
      </x:c>
      <x:c r="J1331" s="64" t="n">
        <x:v>1</x:v>
      </x:c>
      <x:c r="K1331" s="62" t="n">
        <x:v>1946.5746368600494</x:v>
      </x:c>
      <x:c r="L1331" s="60" t="n">
        <x:v>35966914.78924317</x:v>
      </x:c>
      <x:c r="M1331" s="62" t="n">
        <x:v>4.21282030876974</x:v>
      </x:c>
      <x:c r="N1331" s="62" t="n">
        <x:v>1632.3764053141354</x:v>
      </x:c>
      <x:c r="O1331" s="60" t="n">
        <x:v>30161465.151220758</x:v>
      </x:c>
      <x:c r="P1331" s="60" t="n">
        <x:v>5805449.638022412</x:v>
      </x:c>
      <x:c r="Q1331" s="62" t="n">
        <x:v>1.192479032729862</x:v>
      </x:c>
      <x:c r="R1331" s="64" t="n">
        <x:v>0.19247903272986197</x:v>
      </x:c>
    </x:row>
    <x:row r="1332" ht="18" customHeight="1">
      <x:c r="A1332" s="46" t="str">
        <x:v>LME_020</x:v>
      </x:c>
      <x:c r="B1332" s="46" t="str">
        <x:v>Barents Sea</x:v>
      </x:c>
      <x:c r="C1332" s="46" t="str">
        <x:v>functional</x:v>
      </x:c>
      <x:c r="D1332" s="46" t="str">
        <x:v>Small to medium rays (&lt;90 cm)</x:v>
      </x:c>
      <x:c r="E1332" s="66" t="n">
        <x:v>1</x:v>
      </x:c>
      <x:c r="F1332" s="66" t="n">
        <x:v>1</x:v>
      </x:c>
      <x:c r="G1332" s="60" t="n">
        <x:v>387.2263181076</x:v>
      </x:c>
      <x:c r="H1332" s="60" t="n">
        <x:v>387.2263181076</x:v>
      </x:c>
      <x:c r="I1332" s="62" t="n">
        <x:v>0</x:v>
      </x:c>
      <x:c r="J1332" s="64" t="n">
        <x:v>1</x:v>
      </x:c>
      <x:c r="K1332" s="62" t="n">
        <x:v>630.957344480193</x:v>
      </x:c>
      <x:c r="L1332" s="60" t="n">
        <x:v>244323.28938601376</x:v>
      </x:c>
      <x:c r="M1332" s="62" t="n">
        <x:v>3.8</x:v>
      </x:c>
      <x:c r="N1332" s="62" t="n">
        <x:v>630.957344480193</x:v>
      </x:c>
      <x:c r="O1332" s="60" t="n">
        <x:v>244323.28938601376</x:v>
      </x:c>
      <x:c r="P1332" s="60" t="n">
        <x:v>0</x:v>
      </x:c>
      <x:c r="Q1332" s="62" t="n">
        <x:v>1</x:v>
      </x:c>
      <x:c r="R1332" s="64" t="n">
        <x:v>0</x:v>
      </x:c>
    </x:row>
    <x:row r="1333" ht="18" customHeight="1">
      <x:c r="A1333" s="46" t="str">
        <x:v>LME_021</x:v>
      </x:c>
      <x:c r="B1333" s="46" t="str">
        <x:v>Norwegian Sea</x:v>
      </x:c>
      <x:c r="C1333" s="46" t="str">
        <x:v>functional</x:v>
      </x:c>
      <x:c r="D1333" s="46" t="str">
        <x:v>Cephalopods</x:v>
      </x:c>
      <x:c r="E1333" s="66" t="n">
        <x:v>5</x:v>
      </x:c>
      <x:c r="F1333" s="66" t="n">
        <x:v>5</x:v>
      </x:c>
      <x:c r="G1333" s="60" t="n">
        <x:v>14.651866163200001</x:v>
      </x:c>
      <x:c r="H1333" s="60" t="n">
        <x:v>14.651866163200001</x:v>
      </x:c>
      <x:c r="I1333" s="62" t="n">
        <x:v>0</x:v>
      </x:c>
      <x:c r="J1333" s="64" t="n">
        <x:v>1</x:v>
      </x:c>
      <x:c r="K1333" s="62" t="n">
        <x:v>867.0900870369288</x:v>
      </x:c>
      <x:c r="L1333" s="60" t="n">
        <x:v>12704.487906702521</x:v>
      </x:c>
      <x:c r="M1333" s="62" t="n">
        <x:v>3.9099729812733344</x:v>
      </x:c>
      <x:c r="N1333" s="62" t="n">
        <x:v>812.7799491794334</x:v>
      </x:c>
      <x:c r="O1333" s="60" t="n">
        <x:v>11908.743035509557</x:v>
      </x:c>
      <x:c r="P1333" s="60" t="n">
        <x:v>795.7448711929646</x:v>
      </x:c>
      <x:c r="Q1333" s="62" t="n">
        <x:v>1.0668202234963176</x:v>
      </x:c>
      <x:c r="R1333" s="64" t="n">
        <x:v>0.06682022349631764</x:v>
      </x:c>
    </x:row>
    <x:row r="1334" ht="18" customHeight="1">
      <x:c r="A1334" s="46" t="str">
        <x:v>LME_021</x:v>
      </x:c>
      <x:c r="B1334" s="46" t="str">
        <x:v>Norwegian Sea</x:v>
      </x:c>
      <x:c r="C1334" s="46" t="str">
        <x:v>functional</x:v>
      </x:c>
      <x:c r="D1334" s="46" t="str">
        <x:v>Large bathydemersals (&gt;=90 cm)</x:v>
      </x:c>
      <x:c r="E1334" s="66" t="n">
        <x:v>5</x:v>
      </x:c>
      <x:c r="F1334" s="66" t="n">
        <x:v>5</x:v>
      </x:c>
      <x:c r="G1334" s="60" t="n">
        <x:v>29.6865006236</x:v>
      </x:c>
      <x:c r="H1334" s="60" t="n">
        <x:v>29.6865006236</x:v>
      </x:c>
      <x:c r="I1334" s="62" t="n">
        <x:v>0</x:v>
      </x:c>
      <x:c r="J1334" s="64" t="n">
        <x:v>1</x:v>
      </x:c>
      <x:c r="K1334" s="62" t="n">
        <x:v>1600.6111724050513</x:v>
      </x:c>
      <x:c r="L1334" s="60" t="n">
        <x:v>47516.54456774369</x:v>
      </x:c>
      <x:c r="M1334" s="62" t="n">
        <x:v>4.102446970523001</x:v>
      </x:c>
      <x:c r="N1334" s="62" t="n">
        <x:v>1266.038668568707</x:v>
      </x:c>
      <x:c r="O1334" s="60" t="n">
        <x:v>37584.257723966635</x:v>
      </x:c>
      <x:c r="P1334" s="60" t="n">
        <x:v>9932.286843777052</x:v>
      </x:c>
      <x:c r="Q1334" s="62" t="n">
        <x:v>1.2642672077422312</x:v>
      </x:c>
      <x:c r="R1334" s="64" t="n">
        <x:v>0.2642672077422313</x:v>
      </x:c>
    </x:row>
    <x:row r="1335" ht="18" customHeight="1">
      <x:c r="A1335" s="46" t="str">
        <x:v>LME_021</x:v>
      </x:c>
      <x:c r="B1335" s="46" t="str">
        <x:v>Norwegian Sea</x:v>
      </x:c>
      <x:c r="C1335" s="46" t="str">
        <x:v>functional</x:v>
      </x:c>
      <x:c r="D1335" s="46" t="str">
        <x:v>Large bathypelagics (&gt;=90 cm)</x:v>
      </x:c>
      <x:c r="E1335" s="66" t="n">
        <x:v>1</x:v>
      </x:c>
      <x:c r="F1335" s="66" t="n">
        <x:v>1</x:v>
      </x:c>
      <x:c r="G1335" s="60" t="n">
        <x:v>33.4067811008</x:v>
      </x:c>
      <x:c r="H1335" s="60" t="n">
        <x:v>33.4067811008</x:v>
      </x:c>
      <x:c r="I1335" s="62" t="n">
        <x:v>0</x:v>
      </x:c>
      <x:c r="J1335" s="64" t="n">
        <x:v>1</x:v>
      </x:c>
      <x:c r="K1335" s="62" t="n">
        <x:v>346.73685045253166</x:v>
      </x:c>
      <x:c r="L1335" s="60" t="n">
        <x:v>11583.362062648552</x:v>
      </x:c>
      <x:c r="M1335" s="62" t="n">
        <x:v>3.54</x:v>
      </x:c>
      <x:c r="N1335" s="62" t="n">
        <x:v>346.73685045253166</x:v>
      </x:c>
      <x:c r="O1335" s="60" t="n">
        <x:v>11583.362062648552</x:v>
      </x:c>
      <x:c r="P1335" s="60" t="n">
        <x:v>0</x:v>
      </x:c>
      <x:c r="Q1335" s="62" t="n">
        <x:v>1</x:v>
      </x:c>
      <x:c r="R1335" s="64" t="n">
        <x:v>0</x:v>
      </x:c>
    </x:row>
    <x:row r="1336" ht="18" customHeight="1">
      <x:c r="A1336" s="46" t="str">
        <x:v>LME_021</x:v>
      </x:c>
      <x:c r="B1336" s="46" t="str">
        <x:v>Norwegian Sea</x:v>
      </x:c>
      <x:c r="C1336" s="46" t="str">
        <x:v>functional</x:v>
      </x:c>
      <x:c r="D1336" s="46" t="str">
        <x:v>Large benthopelagics (&gt;=90 cm)</x:v>
      </x:c>
      <x:c r="E1336" s="66" t="n">
        <x:v>8</x:v>
      </x:c>
      <x:c r="F1336" s="66" t="n">
        <x:v>8</x:v>
      </x:c>
      <x:c r="G1336" s="60" t="n">
        <x:v>144635.8894985725</x:v>
      </x:c>
      <x:c r="H1336" s="60" t="n">
        <x:v>144635.8894985725</x:v>
      </x:c>
      <x:c r="I1336" s="62" t="n">
        <x:v>0</x:v>
      </x:c>
      <x:c r="J1336" s="64" t="n">
        <x:v>1</x:v>
      </x:c>
      <x:c r="K1336" s="62" t="n">
        <x:v>1225.8112628920803</x:v>
      </x:c>
      <x:c r="L1336" s="60" t="n">
        <x:v>177296302.36576453</x:v>
      </x:c>
      <x:c r="M1336" s="62" t="n">
        <x:v>4.087700427158703</x:v>
      </x:c>
      <x:c r="N1336" s="62" t="n">
        <x:v>1223.7717601355232</x:v>
      </x:c>
      <x:c r="O1336" s="60" t="n">
        <x:v>177001317.0704351</x:v>
      </x:c>
      <x:c r="P1336" s="60" t="n">
        <x:v>294985.29532942176</x:v>
      </x:c>
      <x:c r="Q1336" s="62" t="n">
        <x:v>1.001666571188349</x:v>
      </x:c>
      <x:c r="R1336" s="64" t="n">
        <x:v>0.0016665711883490485</x:v>
      </x:c>
    </x:row>
    <x:row r="1337" ht="18" customHeight="1">
      <x:c r="A1337" s="46" t="str">
        <x:v>LME_021</x:v>
      </x:c>
      <x:c r="B1337" s="46" t="str">
        <x:v>Norwegian Sea</x:v>
      </x:c>
      <x:c r="C1337" s="46" t="str">
        <x:v>functional</x:v>
      </x:c>
      <x:c r="D1337" s="46" t="str">
        <x:v>Large demersals (&gt;=90 cm)</x:v>
      </x:c>
      <x:c r="E1337" s="66" t="n">
        <x:v>15</x:v>
      </x:c>
      <x:c r="F1337" s="66" t="n">
        <x:v>15</x:v>
      </x:c>
      <x:c r="G1337" s="60" t="n">
        <x:v>10993.6245050521</x:v>
      </x:c>
      <x:c r="H1337" s="60" t="n">
        <x:v>10993.6245050521</x:v>
      </x:c>
      <x:c r="I1337" s="62" t="n">
        <x:v>0</x:v>
      </x:c>
      <x:c r="J1337" s="64" t="n">
        <x:v>1</x:v>
      </x:c>
      <x:c r="K1337" s="62" t="n">
        <x:v>1918.5015263237535</x:v>
      </x:c>
      <x:c r="L1337" s="60" t="n">
        <x:v>21091285.39277267</x:v>
      </x:c>
      <x:c r="M1337" s="62" t="n">
        <x:v>4.244220059760016</x:v>
      </x:c>
      <x:c r="N1337" s="62" t="n">
        <x:v>1754.7694293753782</x:v>
      </x:c>
      <x:c r="O1337" s="60" t="n">
        <x:v>19291276.199497446</x:v>
      </x:c>
      <x:c r="P1337" s="60" t="n">
        <x:v>1800009.1932752244</x:v>
      </x:c>
      <x:c r="Q1337" s="62" t="n">
        <x:v>1.093306900728637</x:v>
      </x:c>
      <x:c r="R1337" s="64" t="n">
        <x:v>0.09330690072863693</x:v>
      </x:c>
    </x:row>
    <x:row r="1338" ht="18" customHeight="1">
      <x:c r="A1338" s="46" t="str">
        <x:v>LME_021</x:v>
      </x:c>
      <x:c r="B1338" s="46" t="str">
        <x:v>Norwegian Sea</x:v>
      </x:c>
      <x:c r="C1338" s="46" t="str">
        <x:v>functional</x:v>
      </x:c>
      <x:c r="D1338" s="46" t="str">
        <x:v>Large flatfishes (&gt;=90 cm)</x:v>
      </x:c>
      <x:c r="E1338" s="66" t="n">
        <x:v>3</x:v>
      </x:c>
      <x:c r="F1338" s="66" t="n">
        <x:v>3</x:v>
      </x:c>
      <x:c r="G1338" s="60" t="n">
        <x:v>18.860784484499998</x:v>
      </x:c>
      <x:c r="H1338" s="60" t="n">
        <x:v>18.860784484499998</x:v>
      </x:c>
      <x:c r="I1338" s="62" t="n">
        <x:v>0</x:v>
      </x:c>
      <x:c r="J1338" s="64" t="n">
        <x:v>1</x:v>
      </x:c>
      <x:c r="K1338" s="62" t="n">
        <x:v>997.5270100193457</x:v>
      </x:c>
      <x:c r="L1338" s="60" t="n">
        <x:v>18814.141953442548</x:v>
      </x:c>
      <x:c r="M1338" s="62" t="n">
        <x:v>3.977231929106507</x:v>
      </x:c>
      <x:c r="N1338" s="62" t="n">
        <x:v>948.9250886468528</x:v>
      </x:c>
      <x:c r="O1338" s="60" t="n">
        <x:v>17897.471588903347</x:v>
      </x:c>
      <x:c r="P1338" s="60" t="n">
        <x:v>916.6703645392008</x:v>
      </x:c>
      <x:c r="Q1338" s="62" t="n">
        <x:v>1.051217869517812</x:v>
      </x:c>
      <x:c r="R1338" s="64" t="n">
        <x:v>0.0512178695178121</x:v>
      </x:c>
    </x:row>
    <x:row r="1339" ht="18" customHeight="1">
      <x:c r="A1339" s="46" t="str">
        <x:v>LME_021</x:v>
      </x:c>
      <x:c r="B1339" s="46" t="str">
        <x:v>Norwegian Sea</x:v>
      </x:c>
      <x:c r="C1339" s="46" t="str">
        <x:v>functional</x:v>
      </x:c>
      <x:c r="D1339" s="46" t="str">
        <x:v>Large pelagics (&gt;=90 cm)</x:v>
      </x:c>
      <x:c r="E1339" s="66" t="n">
        <x:v>1</x:v>
      </x:c>
      <x:c r="F1339" s="66" t="n">
        <x:v>1</x:v>
      </x:c>
      <x:c r="G1339" s="60" t="n">
        <x:v>0.1616742654</x:v>
      </x:c>
      <x:c r="H1339" s="60" t="n">
        <x:v>0.1616742654</x:v>
      </x:c>
      <x:c r="I1339" s="62" t="n">
        <x:v>0</x:v>
      </x:c>
      <x:c r="J1339" s="64" t="n">
        <x:v>1</x:v>
      </x:c>
      <x:c r="K1339" s="62" t="n">
        <x:v>2818.382931264455</x:v>
      </x:c>
      <x:c r="L1339" s="60" t="n">
        <x:v>455.6599900280794</x:v>
      </x:c>
      <x:c r="M1339" s="62" t="n">
        <x:v>4.45</x:v>
      </x:c>
      <x:c r="N1339" s="62" t="n">
        <x:v>2818.382931264455</x:v>
      </x:c>
      <x:c r="O1339" s="60" t="n">
        <x:v>455.6599900280794</x:v>
      </x:c>
      <x:c r="P1339" s="60" t="n">
        <x:v>0</x:v>
      </x:c>
      <x:c r="Q1339" s="62" t="n">
        <x:v>1</x:v>
      </x:c>
      <x:c r="R1339" s="64" t="n">
        <x:v>0</x:v>
      </x:c>
    </x:row>
    <x:row r="1340" ht="18" customHeight="1">
      <x:c r="A1340" s="46" t="str">
        <x:v>LME_021</x:v>
      </x:c>
      <x:c r="B1340" s="46" t="str">
        <x:v>Norwegian Sea</x:v>
      </x:c>
      <x:c r="C1340" s="46" t="str">
        <x:v>functional</x:v>
      </x:c>
      <x:c r="D1340" s="46" t="str">
        <x:v>Large rays (&gt;=90 cm)</x:v>
      </x:c>
      <x:c r="E1340" s="66" t="n">
        <x:v>7</x:v>
      </x:c>
      <x:c r="F1340" s="66" t="n">
        <x:v>7</x:v>
      </x:c>
      <x:c r="G1340" s="60" t="n">
        <x:v>10.266839990500001</x:v>
      </x:c>
      <x:c r="H1340" s="60" t="n">
        <x:v>10.266839990500001</x:v>
      </x:c>
      <x:c r="I1340" s="62" t="n">
        <x:v>0</x:v>
      </x:c>
      <x:c r="J1340" s="64" t="n">
        <x:v>1</x:v>
      </x:c>
      <x:c r="K1340" s="62" t="n">
        <x:v>521.7146461265874</x:v>
      </x:c>
      <x:c r="L1340" s="60" t="n">
        <x:v>5356.3607924820035</x:v>
      </x:c>
      <x:c r="M1340" s="62" t="n">
        <x:v>3.6907254870576423</x:v>
      </x:c>
      <x:c r="N1340" s="62" t="n">
        <x:v>490.5976765306139</x:v>
      </x:c>
      <x:c r="O1340" s="60" t="n">
        <x:v>5036.887844650891</x:v>
      </x:c>
      <x:c r="P1340" s="60" t="n">
        <x:v>319.47294783111283</x:v>
      </x:c>
      <x:c r="Q1340" s="62" t="n">
        <x:v>1.0634266550466056</x:v>
      </x:c>
      <x:c r="R1340" s="64" t="n">
        <x:v>0.0634266550466056</x:v>
      </x:c>
    </x:row>
    <x:row r="1341" ht="18" customHeight="1">
      <x:c r="A1341" s="46" t="str">
        <x:v>LME_021</x:v>
      </x:c>
      <x:c r="B1341" s="46" t="str">
        <x:v>Norwegian Sea</x:v>
      </x:c>
      <x:c r="C1341" s="46" t="str">
        <x:v>functional</x:v>
      </x:c>
      <x:c r="D1341" s="46" t="str">
        <x:v>Large reef assoc. fish (&gt;=90 cm)</x:v>
      </x:c>
      <x:c r="E1341" s="66" t="n">
        <x:v>1</x:v>
      </x:c>
      <x:c r="F1341" s="66" t="n">
        <x:v>1</x:v>
      </x:c>
      <x:c r="G1341" s="60" t="n">
        <x:v>301.43137443989997</x:v>
      </x:c>
      <x:c r="H1341" s="60" t="n">
        <x:v>301.43137443989997</x:v>
      </x:c>
      <x:c r="I1341" s="62" t="n">
        <x:v>0</x:v>
      </x:c>
      <x:c r="J1341" s="64" t="n">
        <x:v>1</x:v>
      </x:c>
      <x:c r="K1341" s="62" t="n">
        <x:v>616.5950018614822</x:v>
      </x:c>
      <x:c r="L1341" s="60" t="n">
        <x:v>185861.07888387924</x:v>
      </x:c>
      <x:c r="M1341" s="62" t="n">
        <x:v>3.79</x:v>
      </x:c>
      <x:c r="N1341" s="62" t="n">
        <x:v>616.5950018614822</x:v>
      </x:c>
      <x:c r="O1341" s="60" t="n">
        <x:v>185861.07888387924</x:v>
      </x:c>
      <x:c r="P1341" s="60" t="n">
        <x:v>0</x:v>
      </x:c>
      <x:c r="Q1341" s="62" t="n">
        <x:v>1</x:v>
      </x:c>
      <x:c r="R1341" s="64" t="n">
        <x:v>0</x:v>
      </x:c>
    </x:row>
    <x:row r="1342" ht="18" customHeight="1">
      <x:c r="A1342" s="46" t="str">
        <x:v>LME_021</x:v>
      </x:c>
      <x:c r="B1342" s="46" t="str">
        <x:v>Norwegian Sea</x:v>
      </x:c>
      <x:c r="C1342" s="46" t="str">
        <x:v>functional</x:v>
      </x:c>
      <x:c r="D1342" s="46" t="str">
        <x:v>Large sharks (&gt;=90 cm)</x:v>
      </x:c>
      <x:c r="E1342" s="66" t="n">
        <x:v>5</x:v>
      </x:c>
      <x:c r="F1342" s="66" t="n">
        <x:v>5</x:v>
      </x:c>
      <x:c r="G1342" s="60" t="n">
        <x:v>65.64728516260001</x:v>
      </x:c>
      <x:c r="H1342" s="60" t="n">
        <x:v>65.64728516260001</x:v>
      </x:c>
      <x:c r="I1342" s="62" t="n">
        <x:v>0</x:v>
      </x:c>
      <x:c r="J1342" s="64" t="n">
        <x:v>1</x:v>
      </x:c>
      <x:c r="K1342" s="62" t="n">
        <x:v>1367.7337733041852</x:v>
      </x:c>
      <x:c r="L1342" s="60" t="n">
        <x:v>89788.00904261877</x:v>
      </x:c>
      <x:c r="M1342" s="62" t="n">
        <x:v>4.1261017420229775</x:v>
      </x:c>
      <x:c r="N1342" s="62" t="n">
        <x:v>1336.9086770114975</x:v>
      </x:c>
      <x:c r="O1342" s="60" t="n">
        <x:v>87764.4251561281</x:v>
      </x:c>
      <x:c r="P1342" s="60" t="n">
        <x:v>2023.583886490669</x:v>
      </x:c>
      <x:c r="Q1342" s="62" t="n">
        <x:v>1.0230569947093122</x:v>
      </x:c>
      <x:c r="R1342" s="64" t="n">
        <x:v>0.023056994709312165</x:v>
      </x:c>
    </x:row>
    <x:row r="1343" ht="18" customHeight="1">
      <x:c r="A1343" s="46" t="str">
        <x:v>LME_021</x:v>
      </x:c>
      <x:c r="B1343" s="46" t="str">
        <x:v>Norwegian Sea</x:v>
      </x:c>
      <x:c r="C1343" s="46" t="str">
        <x:v>functional</x:v>
      </x:c>
      <x:c r="D1343" s="46" t="str">
        <x:v>Lobsters, crabs</x:v>
      </x:c>
      <x:c r="E1343" s="66" t="n">
        <x:v>10</x:v>
      </x:c>
      <x:c r="F1343" s="66" t="n">
        <x:v>10</x:v>
      </x:c>
      <x:c r="G1343" s="60" t="n">
        <x:v>79.3113640935</x:v>
      </x:c>
      <x:c r="H1343" s="60" t="n">
        <x:v>79.3113640935</x:v>
      </x:c>
      <x:c r="I1343" s="62" t="n">
        <x:v>0</x:v>
      </x:c>
      <x:c r="J1343" s="64" t="n">
        <x:v>1</x:v>
      </x:c>
      <x:c r="K1343" s="62" t="n">
        <x:v>161.64973651858404</x:v>
      </x:c>
      <x:c r="L1343" s="60" t="n">
        <x:v>12820.661108643762</x:v>
      </x:c>
      <x:c r="M1343" s="62" t="n">
        <x:v>3.002415364386687</x:v>
      </x:c>
      <x:c r="N1343" s="62" t="n">
        <x:v>100.5577076339249</x:v>
      </x:c>
      <x:c r="O1343" s="60" t="n">
        <x:v>7975.368962561943</x:v>
      </x:c>
      <x:c r="P1343" s="60" t="n">
        <x:v>4845.29214608182</x:v>
      </x:c>
      <x:c r="Q1343" s="62" t="n">
        <x:v>1.607532036301598</x:v>
      </x:c>
      <x:c r="R1343" s="64" t="n">
        <x:v>0.6075320363015979</x:v>
      </x:c>
    </x:row>
    <x:row r="1344" ht="18" customHeight="1">
      <x:c r="A1344" s="46" t="str">
        <x:v>LME_021</x:v>
      </x:c>
      <x:c r="B1344" s="46" t="str">
        <x:v>Norwegian Sea</x:v>
      </x:c>
      <x:c r="C1344" s="46" t="str">
        <x:v>functional</x:v>
      </x:c>
      <x:c r="D1344" s="46" t="str">
        <x:v>Medium bathydemersals (30 - 89 cm)</x:v>
      </x:c>
      <x:c r="E1344" s="66" t="n">
        <x:v>6</x:v>
      </x:c>
      <x:c r="F1344" s="66" t="n">
        <x:v>6</x:v>
      </x:c>
      <x:c r="G1344" s="60" t="n">
        <x:v>138.3365826027</x:v>
      </x:c>
      <x:c r="H1344" s="60" t="n">
        <x:v>138.3365826027</x:v>
      </x:c>
      <x:c r="I1344" s="62" t="n">
        <x:v>0</x:v>
      </x:c>
      <x:c r="J1344" s="64" t="n">
        <x:v>1</x:v>
      </x:c>
      <x:c r="K1344" s="62" t="n">
        <x:v>2785.806789474063</x:v>
      </x:c>
      <x:c r="L1344" s="60" t="n">
        <x:v>385378.9910472412</x:v>
      </x:c>
      <x:c r="M1344" s="62" t="n">
        <x:v>4.420325246718449</x:v>
      </x:c>
      <x:c r="N1344" s="62" t="n">
        <x:v>2632.23855907715</x:v>
      </x:c>
      <x:c r="O1344" s="60" t="n">
        <x:v>364134.8868577882</x:v>
      </x:c>
      <x:c r="P1344" s="60" t="n">
        <x:v>21244.104189453006</x:v>
      </x:c>
      <x:c r="Q1344" s="62" t="n">
        <x:v>1.058341304160043</x:v>
      </x:c>
      <x:c r="R1344" s="64" t="n">
        <x:v>0.05834130416004284</x:v>
      </x:c>
    </x:row>
    <x:row r="1345" ht="18" customHeight="1">
      <x:c r="A1345" s="46" t="str">
        <x:v>LME_021</x:v>
      </x:c>
      <x:c r="B1345" s="46" t="str">
        <x:v>Norwegian Sea</x:v>
      </x:c>
      <x:c r="C1345" s="46" t="str">
        <x:v>functional</x:v>
      </x:c>
      <x:c r="D1345" s="46" t="str">
        <x:v>Medium bathypelagics (30 - 89 cm)</x:v>
      </x:c>
      <x:c r="E1345" s="66" t="n">
        <x:v>2</x:v>
      </x:c>
      <x:c r="F1345" s="66" t="n">
        <x:v>2</x:v>
      </x:c>
      <x:c r="G1345" s="60" t="n">
        <x:v>3807.8344749529992</x:v>
      </x:c>
      <x:c r="H1345" s="60" t="n">
        <x:v>3807.8344749529992</x:v>
      </x:c>
      <x:c r="I1345" s="62" t="n">
        <x:v>0</x:v>
      </x:c>
      <x:c r="J1345" s="64" t="n">
        <x:v>1</x:v>
      </x:c>
      <x:c r="K1345" s="62" t="n">
        <x:v>450.2587178078187</x:v>
      </x:c>
      <x:c r="L1345" s="60" t="n">
        <x:v>1714510.668316746</x:v>
      </x:c>
      <x:c r="M1345" s="62" t="n">
        <x:v>3.6520345990078704</x:v>
      </x:c>
      <x:c r="N1345" s="62" t="n">
        <x:v>448.7811416279003</x:v>
      </x:c>
      <x:c r="O1345" s="60" t="n">
        <x:v>1708884.3027994833</x:v>
      </x:c>
      <x:c r="P1345" s="60" t="n">
        <x:v>5626.365517262602</x:v>
      </x:c>
      <x:c r="Q1345" s="62" t="n">
        <x:v>1.0032924203868252</x:v>
      </x:c>
      <x:c r="R1345" s="64" t="n">
        <x:v>0.003292420386825209</x:v>
      </x:c>
    </x:row>
    <x:row r="1346" ht="18" customHeight="1">
      <x:c r="A1346" s="46" t="str">
        <x:v>LME_021</x:v>
      </x:c>
      <x:c r="B1346" s="46" t="str">
        <x:v>Norwegian Sea</x:v>
      </x:c>
      <x:c r="C1346" s="46" t="str">
        <x:v>functional</x:v>
      </x:c>
      <x:c r="D1346" s="46" t="str">
        <x:v>Medium benthopelagics (30 - 89 cm)</x:v>
      </x:c>
      <x:c r="E1346" s="66" t="n">
        <x:v>19</x:v>
      </x:c>
      <x:c r="F1346" s="66" t="n">
        <x:v>19</x:v>
      </x:c>
      <x:c r="G1346" s="60" t="n">
        <x:v>2947.723814225301</x:v>
      </x:c>
      <x:c r="H1346" s="60" t="n">
        <x:v>2947.723814225301</x:v>
      </x:c>
      <x:c r="I1346" s="62" t="n">
        <x:v>0</x:v>
      </x:c>
      <x:c r="J1346" s="64" t="n">
        <x:v>1</x:v>
      </x:c>
      <x:c r="K1346" s="62" t="n">
        <x:v>1323.1193461473204</x:v>
      </x:c>
      <x:c r="L1346" s="60" t="n">
        <x:v>3900190.4057006654</x:v>
      </x:c>
      <x:c r="M1346" s="62" t="n">
        <x:v>4.119073245714657</x:v>
      </x:c>
      <x:c r="N1346" s="62" t="n">
        <x:v>1315.4466694728615</x:v>
      </x:c>
      <x:c r="O1346" s="60" t="n">
        <x:v>3877573.4739485118</x:v>
      </x:c>
      <x:c r="P1346" s="60" t="n">
        <x:v>22616.931752153672</x:v>
      </x:c>
      <x:c r="Q1346" s="62" t="n">
        <x:v>1.005832753886962</x:v>
      </x:c>
      <x:c r="R1346" s="64" t="n">
        <x:v>0.005832753886961934</x:v>
      </x:c>
    </x:row>
    <x:row r="1347" ht="18" customHeight="1">
      <x:c r="A1347" s="46" t="str">
        <x:v>LME_021</x:v>
      </x:c>
      <x:c r="B1347" s="46" t="str">
        <x:v>Norwegian Sea</x:v>
      </x:c>
      <x:c r="C1347" s="46" t="str">
        <x:v>functional</x:v>
      </x:c>
      <x:c r="D1347" s="46" t="str">
        <x:v>Medium demersals (30 - 89 cm)</x:v>
      </x:c>
      <x:c r="E1347" s="66" t="n">
        <x:v>14</x:v>
      </x:c>
      <x:c r="F1347" s="66" t="n">
        <x:v>14</x:v>
      </x:c>
      <x:c r="G1347" s="60" t="n">
        <x:v>412416.6796285578</x:v>
      </x:c>
      <x:c r="H1347" s="60" t="n">
        <x:v>412416.6796285578</x:v>
      </x:c>
      <x:c r="I1347" s="62" t="n">
        <x:v>0</x:v>
      </x:c>
      <x:c r="J1347" s="64" t="n">
        <x:v>1</x:v>
      </x:c>
      <x:c r="K1347" s="62" t="n">
        <x:v>207.53078706582875</x:v>
      </x:c>
      <x:c r="L1347" s="60" t="n">
        <x:v>85589158.12239034</x:v>
      </x:c>
      <x:c r="M1347" s="62" t="n">
        <x:v>3.2944624698812635</x:v>
      </x:c>
      <x:c r="N1347" s="62" t="n">
        <x:v>196.9982961238155</x:v>
      </x:c>
      <x:c r="O1347" s="60" t="n">
        <x:v>81245383.17986737</x:v>
      </x:c>
      <x:c r="P1347" s="60" t="n">
        <x:v>4343774.942522973</x:v>
      </x:c>
      <x:c r="Q1347" s="62" t="n">
        <x:v>1.0534648834495173</x:v>
      </x:c>
      <x:c r="R1347" s="64" t="n">
        <x:v>0.053464883449517185</x:v>
      </x:c>
    </x:row>
    <x:row r="1348" ht="18" customHeight="1">
      <x:c r="A1348" s="46" t="str">
        <x:v>LME_021</x:v>
      </x:c>
      <x:c r="B1348" s="46" t="str">
        <x:v>Norwegian Sea</x:v>
      </x:c>
      <x:c r="C1348" s="46" t="str">
        <x:v>functional</x:v>
      </x:c>
      <x:c r="D1348" s="46" t="str">
        <x:v>Medium pelagics (30 - 89 cm)</x:v>
      </x:c>
      <x:c r="E1348" s="66" t="n">
        <x:v>14</x:v>
      </x:c>
      <x:c r="F1348" s="66" t="n">
        <x:v>14</x:v>
      </x:c>
      <x:c r="G1348" s="60" t="n">
        <x:v>130226.62855519002</x:v>
      </x:c>
      <x:c r="H1348" s="60" t="n">
        <x:v>130226.62855519002</x:v>
      </x:c>
      <x:c r="I1348" s="62" t="n">
        <x:v>0</x:v>
      </x:c>
      <x:c r="J1348" s="64" t="n">
        <x:v>1</x:v>
      </x:c>
      <x:c r="K1348" s="62" t="n">
        <x:v>344.9381646856473</x:v>
      </x:c>
      <x:c r="L1348" s="60" t="n">
        <x:v>44920134.24702675</x:v>
      </x:c>
      <x:c r="M1348" s="62" t="n">
        <x:v>3.5193207664530957</x:v>
      </x:c>
      <x:c r="N1348" s="62" t="n">
        <x:v>330.6136394879455</x:v>
      </x:c>
      <x:c r="O1348" s="60" t="n">
        <x:v>43054699.62487618</x:v>
      </x:c>
      <x:c r="P1348" s="60" t="n">
        <x:v>1865434.6221505702</x:v>
      </x:c>
      <x:c r="Q1348" s="62" t="n">
        <x:v>1.043327084810801</x:v>
      </x:c>
      <x:c r="R1348" s="64" t="n">
        <x:v>0.043327084810800956</x:v>
      </x:c>
    </x:row>
    <x:row r="1349" ht="18" customHeight="1">
      <x:c r="A1349" s="46" t="str">
        <x:v>LME_021</x:v>
      </x:c>
      <x:c r="B1349" s="46" t="str">
        <x:v>Norwegian Sea</x:v>
      </x:c>
      <x:c r="C1349" s="46" t="str">
        <x:v>functional</x:v>
      </x:c>
      <x:c r="D1349" s="46" t="str">
        <x:v>Medium reef assoc. fish (30 - 89 cm)</x:v>
      </x:c>
      <x:c r="E1349" s="66" t="n">
        <x:v>1</x:v>
      </x:c>
      <x:c r="F1349" s="66" t="n">
        <x:v>1</x:v>
      </x:c>
      <x:c r="G1349" s="60" t="n">
        <x:v>1.1997451609</x:v>
      </x:c>
      <x:c r="H1349" s="60" t="n">
        <x:v>1.1997451609</x:v>
      </x:c>
      <x:c r="I1349" s="62" t="n">
        <x:v>0</x:v>
      </x:c>
      <x:c r="J1349" s="64" t="n">
        <x:v>1</x:v>
      </x:c>
      <x:c r="K1349" s="62" t="n">
        <x:v>33.88441561392024</x:v>
      </x:c>
      <x:c r="L1349" s="60" t="n">
        <x:v>40.65266366272521</x:v>
      </x:c>
      <x:c r="M1349" s="62" t="n">
        <x:v>2.53</x:v>
      </x:c>
      <x:c r="N1349" s="62" t="n">
        <x:v>33.88441561392024</x:v>
      </x:c>
      <x:c r="O1349" s="60" t="n">
        <x:v>40.65266366272521</x:v>
      </x:c>
      <x:c r="P1349" s="60" t="n">
        <x:v>0</x:v>
      </x:c>
      <x:c r="Q1349" s="62" t="n">
        <x:v>1</x:v>
      </x:c>
      <x:c r="R1349" s="64" t="n">
        <x:v>0</x:v>
      </x:c>
    </x:row>
    <x:row r="1350" ht="18" customHeight="1">
      <x:c r="A1350" s="46" t="str">
        <x:v>LME_021</x:v>
      </x:c>
      <x:c r="B1350" s="46" t="str">
        <x:v>Norwegian Sea</x:v>
      </x:c>
      <x:c r="C1350" s="46" t="str">
        <x:v>functional</x:v>
      </x:c>
      <x:c r="D1350" s="46" t="str">
        <x:v>Other demersal invertebrates</x:v>
      </x:c>
      <x:c r="E1350" s="66" t="n">
        <x:v>21</x:v>
      </x:c>
      <x:c r="F1350" s="66" t="n">
        <x:v>21</x:v>
      </x:c>
      <x:c r="G1350" s="60" t="n">
        <x:v>27.629967698399998</x:v>
      </x:c>
      <x:c r="H1350" s="60" t="n">
        <x:v>27.629967698399998</x:v>
      </x:c>
      <x:c r="I1350" s="62" t="n">
        <x:v>0</x:v>
      </x:c>
      <x:c r="J1350" s="64" t="n">
        <x:v>1</x:v>
      </x:c>
      <x:c r="K1350" s="62" t="n">
        <x:v>35.20694356895073</x:v>
      </x:c>
      <x:c r="L1350" s="60" t="n">
        <x:v>972.7667135695001</x:v>
      </x:c>
      <x:c r="M1350" s="62" t="n">
        <x:v>2.323771467073377</x:v>
      </x:c>
      <x:c r="N1350" s="62" t="n">
        <x:v>21.075188468795208</x:v>
      </x:c>
      <x:c r="O1350" s="60" t="n">
        <x:v>582.3067766305037</x:v>
      </x:c>
      <x:c r="P1350" s="60" t="n">
        <x:v>390.4599369389964</x:v>
      </x:c>
      <x:c r="Q1350" s="62" t="n">
        <x:v>1.6705399157440313</x:v>
      </x:c>
      <x:c r="R1350" s="64" t="n">
        <x:v>0.6705399157440313</x:v>
      </x:c>
    </x:row>
    <x:row r="1351" ht="18" customHeight="1">
      <x:c r="A1351" s="46" t="str">
        <x:v>LME_021</x:v>
      </x:c>
      <x:c r="B1351" s="46" t="str">
        <x:v>Norwegian Sea</x:v>
      </x:c>
      <x:c r="C1351" s="46" t="str">
        <x:v>functional</x:v>
      </x:c>
      <x:c r="D1351" s="46" t="str">
        <x:v>Shrimps</x:v>
      </x:c>
      <x:c r="E1351" s="66" t="n">
        <x:v>4</x:v>
      </x:c>
      <x:c r="F1351" s="66" t="n">
        <x:v>4</x:v>
      </x:c>
      <x:c r="G1351" s="60" t="n">
        <x:v>47.1530077313</x:v>
      </x:c>
      <x:c r="H1351" s="60" t="n">
        <x:v>47.1530077313</x:v>
      </x:c>
      <x:c r="I1351" s="62" t="n">
        <x:v>0</x:v>
      </x:c>
      <x:c r="J1351" s="64" t="n">
        <x:v>1</x:v>
      </x:c>
      <x:c r="K1351" s="62" t="n">
        <x:v>70.97332638460693</x:v>
      </x:c>
      <x:c r="L1351" s="60" t="n">
        <x:v>3346.605807729449</x:v>
      </x:c>
      <x:c r="M1351" s="62" t="n">
        <x:v>2.797532077273837</x:v>
      </x:c>
      <x:c r="N1351" s="62" t="n">
        <x:v>62.738203311914276</x:v>
      </x:c>
      <x:c r="O1351" s="60" t="n">
        <x:v>2958.2949858145653</x:v>
      </x:c>
      <x:c r="P1351" s="60" t="n">
        <x:v>388.31082191488395</x:v>
      </x:c>
      <x:c r="Q1351" s="62" t="n">
        <x:v>1.1312616976254526</x:v>
      </x:c>
      <x:c r="R1351" s="64" t="n">
        <x:v>0.13126169762545256</x:v>
      </x:c>
    </x:row>
    <x:row r="1352" ht="18" customHeight="1">
      <x:c r="A1352" s="46" t="str">
        <x:v>LME_021</x:v>
      </x:c>
      <x:c r="B1352" s="46" t="str">
        <x:v>Norwegian Sea</x:v>
      </x:c>
      <x:c r="C1352" s="46" t="str">
        <x:v>functional</x:v>
      </x:c>
      <x:c r="D1352" s="46" t="str">
        <x:v>Small pelagics (&lt;30 cm)</x:v>
      </x:c>
      <x:c r="E1352" s="66" t="n">
        <x:v>3</x:v>
      </x:c>
      <x:c r="F1352" s="66" t="n">
        <x:v>3</x:v>
      </x:c>
      <x:c r="G1352" s="60" t="n">
        <x:v>17.746396982100002</x:v>
      </x:c>
      <x:c r="H1352" s="60" t="n">
        <x:v>17.746396982100002</x:v>
      </x:c>
      <x:c r="I1352" s="62" t="n">
        <x:v>0</x:v>
      </x:c>
      <x:c r="J1352" s="64" t="n">
        <x:v>1</x:v>
      </x:c>
      <x:c r="K1352" s="62" t="n">
        <x:v>149.43246059542662</x:v>
      </x:c>
      <x:c r="L1352" s="60" t="n">
        <x:v>2651.8877677384567</x:v>
      </x:c>
      <x:c r="M1352" s="62" t="n">
        <x:v>3.1733236323442156</x:v>
      </x:c>
      <x:c r="N1352" s="62" t="n">
        <x:v>149.04713498297795</x:v>
      </x:c>
      <x:c r="O1352" s="60" t="n">
        <x:v>2645.0496264525714</x:v>
      </x:c>
      <x:c r="P1352" s="60" t="n">
        <x:v>6.8381412858852855</x:v>
      </x:c>
      <x:c r="Q1352" s="62" t="n">
        <x:v>1.0025852601091105</x:v>
      </x:c>
      <x:c r="R1352" s="64" t="n">
        <x:v>0.002585260109110433</x:v>
      </x:c>
    </x:row>
    <x:row r="1353" ht="18" customHeight="1">
      <x:c r="A1353" s="46" t="str">
        <x:v>LME_021</x:v>
      </x:c>
      <x:c r="B1353" s="46" t="str">
        <x:v>Norwegian Sea</x:v>
      </x:c>
      <x:c r="C1353" s="46" t="str">
        <x:v>functional</x:v>
      </x:c>
      <x:c r="D1353" s="46" t="str">
        <x:v>Small to medium flatfishes (&lt;90 cm)</x:v>
      </x:c>
      <x:c r="E1353" s="66" t="n">
        <x:v>15</x:v>
      </x:c>
      <x:c r="F1353" s="66" t="n">
        <x:v>15</x:v>
      </x:c>
      <x:c r="G1353" s="60" t="n">
        <x:v>1360.625530143</x:v>
      </x:c>
      <x:c r="H1353" s="60" t="n">
        <x:v>1360.625530143</x:v>
      </x:c>
      <x:c r="I1353" s="62" t="n">
        <x:v>0</x:v>
      </x:c>
      <x:c r="J1353" s="64" t="n">
        <x:v>1</x:v>
      </x:c>
      <x:c r="K1353" s="62" t="n">
        <x:v>2129.309137006544</x:v>
      </x:c>
      <x:c r="L1353" s="60" t="n">
        <x:v>2897192.373377863</x:v>
      </x:c>
      <x:c r="M1353" s="62" t="n">
        <x:v>4.286310384333538</x:v>
      </x:c>
      <x:c r="N1353" s="62" t="n">
        <x:v>1933.3495619010812</x:v>
      </x:c>
      <x:c r="O1353" s="60" t="n">
        <x:v>2630564.7726133955</x:v>
      </x:c>
      <x:c r="P1353" s="60" t="n">
        <x:v>266627.6007644674</x:v>
      </x:c>
      <x:c r="Q1353" s="62" t="n">
        <x:v>1.1013575501125485</x:v>
      </x:c>
      <x:c r="R1353" s="64" t="n">
        <x:v>0.10135755011254866</x:v>
      </x:c>
    </x:row>
    <x:row r="1354" ht="18" customHeight="1">
      <x:c r="A1354" s="46" t="str">
        <x:v>LME_021</x:v>
      </x:c>
      <x:c r="B1354" s="46" t="str">
        <x:v>Norwegian Sea</x:v>
      </x:c>
      <x:c r="C1354" s="46" t="str">
        <x:v>functional</x:v>
      </x:c>
      <x:c r="D1354" s="46" t="str">
        <x:v>Small to medium rays (&lt;90 cm)</x:v>
      </x:c>
      <x:c r="E1354" s="66" t="n">
        <x:v>1</x:v>
      </x:c>
      <x:c r="F1354" s="66" t="n">
        <x:v>1</x:v>
      </x:c>
      <x:c r="G1354" s="60" t="n">
        <x:v>76.8673254586</x:v>
      </x:c>
      <x:c r="H1354" s="60" t="n">
        <x:v>76.8673254586</x:v>
      </x:c>
      <x:c r="I1354" s="62" t="n">
        <x:v>0</x:v>
      </x:c>
      <x:c r="J1354" s="64" t="n">
        <x:v>1</x:v>
      </x:c>
      <x:c r="K1354" s="62" t="n">
        <x:v>630.957344480193</x:v>
      </x:c>
      <x:c r="L1354" s="60" t="n">
        <x:v>48500.003548652996</x:v>
      </x:c>
      <x:c r="M1354" s="62" t="n">
        <x:v>3.8000000000000003</x:v>
      </x:c>
      <x:c r="N1354" s="62" t="n">
        <x:v>630.9573444801937</x:v>
      </x:c>
      <x:c r="O1354" s="60" t="n">
        <x:v>48500.00354865305</x:v>
      </x:c>
      <x:c r="P1354" s="60" t="n">
        <x:v>-5.093170329928398e-11</x:v>
      </x:c>
      <x:c r="Q1354" s="62" t="n">
        <x:v>0.999999999999999</x:v>
      </x:c>
      <x:c r="R1354" s="64" t="n">
        <x:v>-1.0501381355197543e-15</x:v>
      </x:c>
    </x:row>
    <x:row r="1355" ht="18" customHeight="1">
      <x:c r="A1355" s="46" t="str">
        <x:v>LME_021</x:v>
      </x:c>
      <x:c r="B1355" s="46" t="str">
        <x:v>Norwegian Sea</x:v>
      </x:c>
      <x:c r="C1355" s="46" t="str">
        <x:v>functional</x:v>
      </x:c>
      <x:c r="D1355" s="46" t="str">
        <x:v>Small to medium sharks (&lt;90 cm)</x:v>
      </x:c>
      <x:c r="E1355" s="66" t="n">
        <x:v>1</x:v>
      </x:c>
      <x:c r="F1355" s="66" t="n">
        <x:v>1</x:v>
      </x:c>
      <x:c r="G1355" s="60" t="n">
        <x:v>0.1530408455</x:v>
      </x:c>
      <x:c r="H1355" s="60" t="n">
        <x:v>0.1530408455</x:v>
      </x:c>
      <x:c r="I1355" s="62" t="n">
        <x:v>0</x:v>
      </x:c>
      <x:c r="J1355" s="64" t="n">
        <x:v>1</x:v>
      </x:c>
      <x:c r="K1355" s="62" t="n">
        <x:v>660.6934480075957</x:v>
      </x:c>
      <x:c r="L1355" s="60" t="n">
        <x:v>101.11308389939273</x:v>
      </x:c>
      <x:c r="M1355" s="62" t="n">
        <x:v>3.82</x:v>
      </x:c>
      <x:c r="N1355" s="62" t="n">
        <x:v>660.6934480075957</x:v>
      </x:c>
      <x:c r="O1355" s="60" t="n">
        <x:v>101.11308389939273</x:v>
      </x:c>
      <x:c r="P1355" s="60" t="n">
        <x:v>0</x:v>
      </x:c>
      <x:c r="Q1355" s="62" t="n">
        <x:v>1</x:v>
      </x:c>
      <x:c r="R1355" s="64" t="n">
        <x:v>0</x:v>
      </x:c>
    </x:row>
    <x:row r="1356" ht="18" customHeight="1">
      <x:c r="A1356" s="46" t="str">
        <x:v>LME_022</x:v>
      </x:c>
      <x:c r="B1356" s="46" t="str">
        <x:v>North Sea</x:v>
      </x:c>
      <x:c r="C1356" s="46" t="str">
        <x:v>functional</x:v>
      </x:c>
      <x:c r="D1356" s="46" t="str">
        <x:v>Cephalopods</x:v>
      </x:c>
      <x:c r="E1356" s="66" t="n">
        <x:v>15</x:v>
      </x:c>
      <x:c r="F1356" s="66" t="n">
        <x:v>15</x:v>
      </x:c>
      <x:c r="G1356" s="60" t="n">
        <x:v>4742.9569126531005</x:v>
      </x:c>
      <x:c r="H1356" s="60" t="n">
        <x:v>4742.9569126531005</x:v>
      </x:c>
      <x:c r="I1356" s="62" t="n">
        <x:v>0</x:v>
      </x:c>
      <x:c r="J1356" s="64" t="n">
        <x:v>1</x:v>
      </x:c>
      <x:c r="K1356" s="62" t="n">
        <x:v>1118.7807853414713</x:v>
      </x:c>
      <x:c r="L1356" s="60" t="n">
        <x:v>5306329.059578796</x:v>
      </x:c>
      <x:c r="M1356" s="62" t="n">
        <x:v>4.024133592753238</x:v>
      </x:c>
      <x:c r="N1356" s="62" t="n">
        <x:v>1057.1426454597292</x:v>
      </x:c>
      <x:c r="O1356" s="60" t="n">
        <x:v>5013982.017943609</x:v>
      </x:c>
      <x:c r="P1356" s="60" t="n">
        <x:v>292347.04163518734</x:v>
      </x:c>
      <x:c r="Q1356" s="62" t="n">
        <x:v>1.058306360212095</x:v>
      </x:c>
      <x:c r="R1356" s="64" t="n">
        <x:v>0.058306360212095065</x:v>
      </x:c>
    </x:row>
    <x:row r="1357" ht="18" customHeight="1">
      <x:c r="A1357" s="46" t="str">
        <x:v>LME_022</x:v>
      </x:c>
      <x:c r="B1357" s="46" t="str">
        <x:v>North Sea</x:v>
      </x:c>
      <x:c r="C1357" s="46" t="str">
        <x:v>functional</x:v>
      </x:c>
      <x:c r="D1357" s="46" t="str">
        <x:v>Large bathydemersals (&gt;=90 cm)</x:v>
      </x:c>
      <x:c r="E1357" s="66" t="n">
        <x:v>5</x:v>
      </x:c>
      <x:c r="F1357" s="66" t="n">
        <x:v>5</x:v>
      </x:c>
      <x:c r="G1357" s="60" t="n">
        <x:v>4428.6411215408</x:v>
      </x:c>
      <x:c r="H1357" s="60" t="n">
        <x:v>4428.6411215408</x:v>
      </x:c>
      <x:c r="I1357" s="62" t="n">
        <x:v>0</x:v>
      </x:c>
      <x:c r="J1357" s="64" t="n">
        <x:v>1</x:v>
      </x:c>
      <x:c r="K1357" s="62" t="n">
        <x:v>2741.570949448189</x:v>
      </x:c>
      <x:c r="L1357" s="60" t="n">
        <x:v>12141433.844347904</x:v>
      </x:c>
      <x:c r="M1357" s="62" t="n">
        <x:v>4.436411057511771</x:v>
      </x:c>
      <x:c r="N1357" s="62" t="n">
        <x:v>2731.561969125526</x:v>
      </x:c>
      <x:c r="O1357" s="60" t="n">
        <x:v>12097107.662506266</x:v>
      </x:c>
      <x:c r="P1357" s="60" t="n">
        <x:v>44326.18184163794</x:v>
      </x:c>
      <x:c r="Q1357" s="62" t="n">
        <x:v>1.0036641966888518</x:v>
      </x:c>
      <x:c r="R1357" s="64" t="n">
        <x:v>0.003664196688851696</x:v>
      </x:c>
    </x:row>
    <x:row r="1358" ht="18" customHeight="1">
      <x:c r="A1358" s="46" t="str">
        <x:v>LME_022</x:v>
      </x:c>
      <x:c r="B1358" s="46" t="str">
        <x:v>North Sea</x:v>
      </x:c>
      <x:c r="C1358" s="46" t="str">
        <x:v>functional</x:v>
      </x:c>
      <x:c r="D1358" s="46" t="str">
        <x:v>Large bathypelagics (&gt;=90 cm)</x:v>
      </x:c>
      <x:c r="E1358" s="66" t="n">
        <x:v>3</x:v>
      </x:c>
      <x:c r="F1358" s="66" t="n">
        <x:v>3</x:v>
      </x:c>
      <x:c r="G1358" s="60" t="n">
        <x:v>30.7661490945</x:v>
      </x:c>
      <x:c r="H1358" s="60" t="n">
        <x:v>30.7661490945</x:v>
      </x:c>
      <x:c r="I1358" s="62" t="n">
        <x:v>0</x:v>
      </x:c>
      <x:c r="J1358" s="64" t="n">
        <x:v>1</x:v>
      </x:c>
      <x:c r="K1358" s="62" t="n">
        <x:v>356.4835225271339</x:v>
      </x:c>
      <x:c r="L1358" s="60" t="n">
        <x:v>10967.625203802352</x:v>
      </x:c>
      <x:c r="M1358" s="62" t="n">
        <x:v>3.5475455858860645</x:v>
      </x:c>
      <x:c r="N1358" s="62" t="n">
        <x:v>352.8138179124053</x:v>
      </x:c>
      <x:c r="O1358" s="60" t="n">
        <x:v>10854.722524492836</x:v>
      </x:c>
      <x:c r="P1358" s="60" t="n">
        <x:v>112.90267930951632</x:v>
      </x:c>
      <x:c r="Q1358" s="62" t="n">
        <x:v>1.0104012496915291</x:v>
      </x:c>
      <x:c r="R1358" s="64" t="n">
        <x:v>0.010401249691529214</x:v>
      </x:c>
    </x:row>
    <x:row r="1359" ht="18" customHeight="1">
      <x:c r="A1359" s="46" t="str">
        <x:v>LME_022</x:v>
      </x:c>
      <x:c r="B1359" s="46" t="str">
        <x:v>North Sea</x:v>
      </x:c>
      <x:c r="C1359" s="46" t="str">
        <x:v>functional</x:v>
      </x:c>
      <x:c r="D1359" s="46" t="str">
        <x:v>Large benthopelagics (&gt;=90 cm)</x:v>
      </x:c>
      <x:c r="E1359" s="66" t="n">
        <x:v>13</x:v>
      </x:c>
      <x:c r="F1359" s="66" t="n">
        <x:v>13</x:v>
      </x:c>
      <x:c r="G1359" s="60" t="n">
        <x:v>312973.69058766955</x:v>
      </x:c>
      <x:c r="H1359" s="60" t="n">
        <x:v>312973.69058766955</x:v>
      </x:c>
      <x:c r="I1359" s="62" t="n">
        <x:v>0</x:v>
      </x:c>
      <x:c r="J1359" s="64" t="n">
        <x:v>1</x:v>
      </x:c>
      <x:c r="K1359" s="62" t="n">
        <x:v>1235.029729367077</x:v>
      </x:c>
      <x:c r="L1359" s="60" t="n">
        <x:v>386531812.3855048</x:v>
      </x:c>
      <x:c r="M1359" s="62" t="n">
        <x:v>4.091197222280685</x:v>
      </x:c>
      <x:c r="N1359" s="62" t="n">
        <x:v>1233.6649393002199</x:v>
      </x:c>
      <x:c r="O1359" s="60" t="n">
        <x:v>386104669.00140315</x:v>
      </x:c>
      <x:c r="P1359" s="60" t="n">
        <x:v>427143.38410162926</x:v>
      </x:c>
      <x:c r="Q1359" s="62" t="n">
        <x:v>1.001106289093075</x:v>
      </x:c>
      <x:c r="R1359" s="64" t="n">
        <x:v>0.0011062890930751137</x:v>
      </x:c>
    </x:row>
    <x:row r="1360" ht="18" customHeight="1">
      <x:c r="A1360" s="46" t="str">
        <x:v>LME_022</x:v>
      </x:c>
      <x:c r="B1360" s="46" t="str">
        <x:v>North Sea</x:v>
      </x:c>
      <x:c r="C1360" s="46" t="str">
        <x:v>functional</x:v>
      </x:c>
      <x:c r="D1360" s="46" t="str">
        <x:v>Large demersals (&gt;=90 cm)</x:v>
      </x:c>
      <x:c r="E1360" s="66" t="n">
        <x:v>18</x:v>
      </x:c>
      <x:c r="F1360" s="66" t="n">
        <x:v>18</x:v>
      </x:c>
      <x:c r="G1360" s="60" t="n">
        <x:v>255005.9897411661</x:v>
      </x:c>
      <x:c r="H1360" s="60" t="n">
        <x:v>255005.9897411661</x:v>
      </x:c>
      <x:c r="I1360" s="62" t="n">
        <x:v>0</x:v>
      </x:c>
      <x:c r="J1360" s="64" t="n">
        <x:v>1</x:v>
      </x:c>
      <x:c r="K1360" s="62" t="n">
        <x:v>2064.1346346011205</x:v>
      </x:c>
      <x:c r="L1360" s="60" t="n">
        <x:v>526366695.45547897</x:v>
      </x:c>
      <x:c r="M1360" s="62" t="n">
        <x:v>4.308941511013935</x:v>
      </x:c>
      <x:c r="N1360" s="62" t="n">
        <x:v>2036.7677557696245</x:v>
      </x:c>
      <x:c r="O1360" s="60" t="n">
        <x:v>519387977.4329268</x:v>
      </x:c>
      <x:c r="P1360" s="60" t="n">
        <x:v>6978718.022552192</x:v>
      </x:c>
      <x:c r="Q1360" s="62" t="n">
        <x:v>1.0134364258045487</x:v>
      </x:c>
      <x:c r="R1360" s="64" t="n">
        <x:v>0.01343642580454881</x:v>
      </x:c>
    </x:row>
    <x:row r="1361" ht="18" customHeight="1">
      <x:c r="A1361" s="46" t="str">
        <x:v>LME_022</x:v>
      </x:c>
      <x:c r="B1361" s="46" t="str">
        <x:v>North Sea</x:v>
      </x:c>
      <x:c r="C1361" s="46" t="str">
        <x:v>functional</x:v>
      </x:c>
      <x:c r="D1361" s="46" t="str">
        <x:v>Large flatfishes (&gt;=90 cm)</x:v>
      </x:c>
      <x:c r="E1361" s="66" t="n">
        <x:v>3</x:v>
      </x:c>
      <x:c r="F1361" s="66" t="n">
        <x:v>3</x:v>
      </x:c>
      <x:c r="G1361" s="60" t="n">
        <x:v>87301.792971763</x:v>
      </x:c>
      <x:c r="H1361" s="60" t="n">
        <x:v>87301.792971763</x:v>
      </x:c>
      <x:c r="I1361" s="62" t="n">
        <x:v>0</x:v>
      </x:c>
      <x:c r="J1361" s="64" t="n">
        <x:v>1</x:v>
      </x:c>
      <x:c r="K1361" s="62" t="n">
        <x:v>267.8094615510885</x:v>
      </x:c>
      <x:c r="L1361" s="60" t="n">
        <x:v>23380246.16821245</x:v>
      </x:c>
      <x:c r="M1361" s="62" t="n">
        <x:v>3.3063435287043776</x:v>
      </x:c>
      <x:c r="N1361" s="62" t="n">
        <x:v>202.46200281455666</x:v>
      </x:c>
      <x:c r="O1361" s="60" t="n">
        <x:v>17675295.854364924</x:v>
      </x:c>
      <x:c r="P1361" s="60" t="n">
        <x:v>5704950.313847527</x:v>
      </x:c>
      <x:c r="Q1361" s="62" t="n">
        <x:v>1.322764063518557</x:v>
      </x:c>
      <x:c r="R1361" s="64" t="n">
        <x:v>0.32276406351855697</x:v>
      </x:c>
    </x:row>
    <x:row r="1362" ht="18" customHeight="1">
      <x:c r="A1362" s="46" t="str">
        <x:v>LME_022</x:v>
      </x:c>
      <x:c r="B1362" s="46" t="str">
        <x:v>North Sea</x:v>
      </x:c>
      <x:c r="C1362" s="46" t="str">
        <x:v>functional</x:v>
      </x:c>
      <x:c r="D1362" s="46" t="str">
        <x:v>Large pelagics (&gt;=90 cm)</x:v>
      </x:c>
      <x:c r="E1362" s="66" t="n">
        <x:v>3</x:v>
      </x:c>
      <x:c r="F1362" s="66" t="n">
        <x:v>3</x:v>
      </x:c>
      <x:c r="G1362" s="60" t="n">
        <x:v>238.652927963</x:v>
      </x:c>
      <x:c r="H1362" s="60" t="n">
        <x:v>238.652927963</x:v>
      </x:c>
      <x:c r="I1362" s="62" t="n">
        <x:v>0</x:v>
      </x:c>
      <x:c r="J1362" s="64" t="n">
        <x:v>1</x:v>
      </x:c>
      <x:c r="K1362" s="62" t="n">
        <x:v>746.3068923535884</x:v>
      </x:c>
      <x:c r="L1362" s="60" t="n">
        <x:v>178108.32501915132</x:v>
      </x:c>
      <x:c r="M1362" s="62" t="n">
        <x:v>3.5796491351375757</x:v>
      </x:c>
      <x:c r="N1362" s="62" t="n">
        <x:v>379.8823667919759</x:v>
      </x:c>
      <x:c r="O1362" s="60" t="n">
        <x:v>90660.03911641937</x:v>
      </x:c>
      <x:c r="P1362" s="60" t="n">
        <x:v>87448.28590273195</x:v>
      </x:c>
      <x:c r="Q1362" s="62" t="n">
        <x:v>1.9645736617258338</x:v>
      </x:c>
      <x:c r="R1362" s="64" t="n">
        <x:v>0.9645736617258337</x:v>
      </x:c>
    </x:row>
    <x:row r="1363" ht="18" customHeight="1">
      <x:c r="A1363" s="46" t="str">
        <x:v>LME_022</x:v>
      </x:c>
      <x:c r="B1363" s="46" t="str">
        <x:v>North Sea</x:v>
      </x:c>
      <x:c r="C1363" s="46" t="str">
        <x:v>functional</x:v>
      </x:c>
      <x:c r="D1363" s="46" t="str">
        <x:v>Large rays (&gt;=90 cm)</x:v>
      </x:c>
      <x:c r="E1363" s="66" t="n">
        <x:v>14</x:v>
      </x:c>
      <x:c r="F1363" s="66" t="n">
        <x:v>14</x:v>
      </x:c>
      <x:c r="G1363" s="60" t="n">
        <x:v>1546.2287764551</x:v>
      </x:c>
      <x:c r="H1363" s="60" t="n">
        <x:v>1546.2287764551</x:v>
      </x:c>
      <x:c r="I1363" s="62" t="n">
        <x:v>0</x:v>
      </x:c>
      <x:c r="J1363" s="64" t="n">
        <x:v>1</x:v>
      </x:c>
      <x:c r="K1363" s="62" t="n">
        <x:v>766.7669575643458</x:v>
      </x:c>
      <x:c r="L1363" s="60" t="n">
        <x:v>1185597.134620918</x:v>
      </x:c>
      <x:c r="M1363" s="62" t="n">
        <x:v>3.8514887818684773</x:v>
      </x:c>
      <x:c r="N1363" s="62" t="n">
        <x:v>710.3768202337168</x:v>
      </x:c>
      <x:c r="O1363" s="60" t="n">
        <x:v>1098405.0815720444</x:v>
      </x:c>
      <x:c r="P1363" s="60" t="n">
        <x:v>87192.05304887355</x:v>
      </x:c>
      <x:c r="Q1363" s="62" t="n">
        <x:v>1.0793805987533158</x:v>
      </x:c>
      <x:c r="R1363" s="64" t="n">
        <x:v>0.07938059875331578</x:v>
      </x:c>
    </x:row>
    <x:row r="1364" ht="18" customHeight="1">
      <x:c r="A1364" s="46" t="str">
        <x:v>LME_022</x:v>
      </x:c>
      <x:c r="B1364" s="46" t="str">
        <x:v>North Sea</x:v>
      </x:c>
      <x:c r="C1364" s="46" t="str">
        <x:v>functional</x:v>
      </x:c>
      <x:c r="D1364" s="46" t="str">
        <x:v>Large reef assoc. fish (&gt;=90 cm)</x:v>
      </x:c>
      <x:c r="E1364" s="66" t="n">
        <x:v>6</x:v>
      </x:c>
      <x:c r="F1364" s="66" t="n">
        <x:v>6</x:v>
      </x:c>
      <x:c r="G1364" s="60" t="n">
        <x:v>853.9381515433</x:v>
      </x:c>
      <x:c r="H1364" s="60" t="n">
        <x:v>853.9381515433</x:v>
      </x:c>
      <x:c r="I1364" s="62" t="n">
        <x:v>0</x:v>
      </x:c>
      <x:c r="J1364" s="64" t="n">
        <x:v>1</x:v>
      </x:c>
      <x:c r="K1364" s="62" t="n">
        <x:v>217.7924350636152</x:v>
      </x:c>
      <x:c r="L1364" s="60" t="n">
        <x:v>185981.26941833776</x:v>
      </x:c>
      <x:c r="M1364" s="62" t="n">
        <x:v>3.3167804464146693</x:v>
      </x:c>
      <x:c r="N1364" s="62" t="n">
        <x:v>207.38648290887411</x:v>
      </x:c>
      <x:c r="O1364" s="60" t="n">
        <x:v>177095.22987027015</x:v>
      </x:c>
      <x:c r="P1364" s="60" t="n">
        <x:v>8886.039548067609</x:v>
      </x:c>
      <x:c r="Q1364" s="62" t="n">
        <x:v>1.0501766171487341</x:v>
      </x:c>
      <x:c r="R1364" s="64" t="n">
        <x:v>0.05017661714873412</x:v>
      </x:c>
    </x:row>
    <x:row r="1365" ht="18" customHeight="1">
      <x:c r="A1365" s="46" t="str">
        <x:v>LME_022</x:v>
      </x:c>
      <x:c r="B1365" s="46" t="str">
        <x:v>North Sea</x:v>
      </x:c>
      <x:c r="C1365" s="46" t="str">
        <x:v>functional</x:v>
      </x:c>
      <x:c r="D1365" s="46" t="str">
        <x:v>Large sharks (&gt;=90 cm)</x:v>
      </x:c>
      <x:c r="E1365" s="66" t="n">
        <x:v>18</x:v>
      </x:c>
      <x:c r="F1365" s="66" t="n">
        <x:v>18</x:v>
      </x:c>
      <x:c r="G1365" s="60" t="n">
        <x:v>2983.535485173</x:v>
      </x:c>
      <x:c r="H1365" s="60" t="n">
        <x:v>2983.535485173</x:v>
      </x:c>
      <x:c r="I1365" s="62" t="n">
        <x:v>0</x:v>
      </x:c>
      <x:c r="J1365" s="64" t="n">
        <x:v>1</x:v>
      </x:c>
      <x:c r="K1365" s="62" t="n">
        <x:v>1419.1138883615579</x:v>
      </x:c>
      <x:c r="L1365" s="60" t="n">
        <x:v>4233976.643428543</x:v>
      </x:c>
      <x:c r="M1365" s="62" t="n">
        <x:v>4.133041131547438</x:v>
      </x:c>
      <x:c r="N1365" s="62" t="n">
        <x:v>1358.4420970352871</x:v>
      </x:c>
      <x:c r="O1365" s="60" t="n">
        <x:v>4052960.2010576027</x:v>
      </x:c>
      <x:c r="P1365" s="60" t="n">
        <x:v>181016.44237094</x:v>
      </x:c>
      <x:c r="Q1365" s="62" t="n">
        <x:v>1.0446627732302194</x:v>
      </x:c>
      <x:c r="R1365" s="64" t="n">
        <x:v>0.04466277323021937</x:v>
      </x:c>
    </x:row>
    <x:row r="1366" ht="18" customHeight="1">
      <x:c r="A1366" s="46" t="str">
        <x:v>LME_022</x:v>
      </x:c>
      <x:c r="B1366" s="46" t="str">
        <x:v>North Sea</x:v>
      </x:c>
      <x:c r="C1366" s="46" t="str">
        <x:v>functional</x:v>
      </x:c>
      <x:c r="D1366" s="46" t="str">
        <x:v>Lobsters, crabs</x:v>
      </x:c>
      <x:c r="E1366" s="66" t="n">
        <x:v>14</x:v>
      </x:c>
      <x:c r="F1366" s="66" t="n">
        <x:v>14</x:v>
      </x:c>
      <x:c r="G1366" s="60" t="n">
        <x:v>58906.581401164694</x:v>
      </x:c>
      <x:c r="H1366" s="60" t="n">
        <x:v>58906.581401164694</x:v>
      </x:c>
      <x:c r="I1366" s="62" t="n">
        <x:v>0</x:v>
      </x:c>
      <x:c r="J1366" s="64" t="n">
        <x:v>1</x:v>
      </x:c>
      <x:c r="K1366" s="62" t="n">
        <x:v>113.51897176655487</x:v>
      </x:c>
      <x:c r="L1366" s="60" t="n">
        <x:v>6687014.550943081</x:v>
      </x:c>
      <x:c r="M1366" s="62" t="n">
        <x:v>2.9948844564599755</x:v>
      </x:c>
      <x:c r="N1366" s="62" t="n">
        <x:v>98.82901262426638</x:v>
      </x:c>
      <x:c r="O1366" s="60" t="n">
        <x:v>5821679.276948081</x:v>
      </x:c>
      <x:c r="P1366" s="60" t="n">
        <x:v>865335.2739949999</x:v>
      </x:c>
      <x:c r="Q1366" s="62" t="n">
        <x:v>1.1486401488006117</x:v>
      </x:c>
      <x:c r="R1366" s="64" t="n">
        <x:v>0.14864014880061163</x:v>
      </x:c>
    </x:row>
    <x:row r="1367" ht="18" customHeight="1">
      <x:c r="A1367" s="46" t="str">
        <x:v>LME_022</x:v>
      </x:c>
      <x:c r="B1367" s="46" t="str">
        <x:v>North Sea</x:v>
      </x:c>
      <x:c r="C1367" s="46" t="str">
        <x:v>functional</x:v>
      </x:c>
      <x:c r="D1367" s="46" t="str">
        <x:v>Medium bathydemersals (30 - 89 cm)</x:v>
      </x:c>
      <x:c r="E1367" s="66" t="n">
        <x:v>10</x:v>
      </x:c>
      <x:c r="F1367" s="66" t="n">
        <x:v>10</x:v>
      </x:c>
      <x:c r="G1367" s="60" t="n">
        <x:v>10289.480541226701</x:v>
      </x:c>
      <x:c r="H1367" s="60" t="n">
        <x:v>10289.480541226701</x:v>
      </x:c>
      <x:c r="I1367" s="62" t="n">
        <x:v>0</x:v>
      </x:c>
      <x:c r="J1367" s="64" t="n">
        <x:v>1</x:v>
      </x:c>
      <x:c r="K1367" s="62" t="n">
        <x:v>2569.585883056459</x:v>
      </x:c>
      <x:c r="L1367" s="60" t="n">
        <x:v>26439703.942720264</x:v>
      </x:c>
      <x:c r="M1367" s="62" t="n">
        <x:v>4.327540348327747</x:v>
      </x:c>
      <x:c r="N1367" s="62" t="n">
        <x:v>2125.887842626342</x:v>
      </x:c>
      <x:c r="O1367" s="60" t="n">
        <x:v>21874281.589534156</x:v>
      </x:c>
      <x:c r="P1367" s="60" t="n">
        <x:v>4565422.353186108</x:v>
      </x:c>
      <x:c r="Q1367" s="62" t="n">
        <x:v>1.2087118762963376</x:v>
      </x:c>
      <x:c r="R1367" s="64" t="n">
        <x:v>0.2087118762963376</x:v>
      </x:c>
    </x:row>
    <x:row r="1368" ht="18" customHeight="1">
      <x:c r="A1368" s="46" t="str">
        <x:v>LME_022</x:v>
      </x:c>
      <x:c r="B1368" s="46" t="str">
        <x:v>North Sea</x:v>
      </x:c>
      <x:c r="C1368" s="46" t="str">
        <x:v>functional</x:v>
      </x:c>
      <x:c r="D1368" s="46" t="str">
        <x:v>Medium bathypelagics (30 - 89 cm)</x:v>
      </x:c>
      <x:c r="E1368" s="66" t="n">
        <x:v>3</x:v>
      </x:c>
      <x:c r="F1368" s="66" t="n">
        <x:v>3</x:v>
      </x:c>
      <x:c r="G1368" s="60" t="n">
        <x:v>9.8206760978</x:v>
      </x:c>
      <x:c r="H1368" s="60" t="n">
        <x:v>9.8206760978</x:v>
      </x:c>
      <x:c r="I1368" s="62" t="n">
        <x:v>0</x:v>
      </x:c>
      <x:c r="J1368" s="64" t="n">
        <x:v>1</x:v>
      </x:c>
      <x:c r="K1368" s="62" t="n">
        <x:v>835.5871389809269</x:v>
      </x:c>
      <x:c r="L1368" s="60" t="n">
        <x:v>8206.030643419075</x:v>
      </x:c>
      <x:c r="M1368" s="62" t="n">
        <x:v>3.8909037970005937</x:v>
      </x:c>
      <x:c r="N1368" s="62" t="n">
        <x:v>777.8642228997325</x:v>
      </x:c>
      <x:c r="O1368" s="60" t="n">
        <x:v>7639.152581165174</x:v>
      </x:c>
      <x:c r="P1368" s="60" t="n">
        <x:v>566.8780622539016</x:v>
      </x:c>
      <x:c r="Q1368" s="62" t="n">
        <x:v>1.0742069301837975</x:v>
      </x:c>
      <x:c r="R1368" s="64" t="n">
        <x:v>0.07420693018379765</x:v>
      </x:c>
    </x:row>
    <x:row r="1369" ht="18" customHeight="1">
      <x:c r="A1369" s="46" t="str">
        <x:v>LME_022</x:v>
      </x:c>
      <x:c r="B1369" s="46" t="str">
        <x:v>North Sea</x:v>
      </x:c>
      <x:c r="C1369" s="46" t="str">
        <x:v>functional</x:v>
      </x:c>
      <x:c r="D1369" s="46" t="str">
        <x:v>Medium benthopelagics (30 - 89 cm)</x:v>
      </x:c>
      <x:c r="E1369" s="66" t="n">
        <x:v>24</x:v>
      </x:c>
      <x:c r="F1369" s="66" t="n">
        <x:v>24</x:v>
      </x:c>
      <x:c r="G1369" s="60" t="n">
        <x:v>154594.7645502373</x:v>
      </x:c>
      <x:c r="H1369" s="60" t="n">
        <x:v>154594.7645502373</x:v>
      </x:c>
      <x:c r="I1369" s="62" t="n">
        <x:v>0</x:v>
      </x:c>
      <x:c r="J1369" s="64" t="n">
        <x:v>1</x:v>
      </x:c>
      <x:c r="K1369" s="62" t="n">
        <x:v>965.9251168466828</x:v>
      </x:c>
      <x:c r="L1369" s="60" t="n">
        <x:v>149326966.0120734</x:v>
      </x:c>
      <x:c r="M1369" s="62" t="n">
        <x:v>3.7508258129558434</x:v>
      </x:c>
      <x:c r="N1369" s="62" t="n">
        <x:v>563.411637086942</x:v>
      </x:c>
      <x:c r="O1369" s="60" t="n">
        <x:v>87100489.38031955</x:v>
      </x:c>
      <x:c r="P1369" s="60" t="n">
        <x:v>62226476.63175385</x:v>
      </x:c>
      <x:c r="Q1369" s="62" t="n">
        <x:v>1.7144216648432975</x:v>
      </x:c>
      <x:c r="R1369" s="64" t="n">
        <x:v>0.7144216648432975</x:v>
      </x:c>
    </x:row>
    <x:row r="1370" ht="18" customHeight="1">
      <x:c r="A1370" s="46" t="str">
        <x:v>LME_022</x:v>
      </x:c>
      <x:c r="B1370" s="46" t="str">
        <x:v>North Sea</x:v>
      </x:c>
      <x:c r="C1370" s="46" t="str">
        <x:v>functional</x:v>
      </x:c>
      <x:c r="D1370" s="46" t="str">
        <x:v>Medium demersals (30 - 89 cm)</x:v>
      </x:c>
      <x:c r="E1370" s="66" t="n">
        <x:v>32</x:v>
      </x:c>
      <x:c r="F1370" s="66" t="n">
        <x:v>32</x:v>
      </x:c>
      <x:c r="G1370" s="60" t="n">
        <x:v>432008.6699142967</x:v>
      </x:c>
      <x:c r="H1370" s="60" t="n">
        <x:v>432008.6699142967</x:v>
      </x:c>
      <x:c r="I1370" s="62" t="n">
        <x:v>0</x:v>
      </x:c>
      <x:c r="J1370" s="64" t="n">
        <x:v>1</x:v>
      </x:c>
      <x:c r="K1370" s="62" t="n">
        <x:v>413.0694627331689</x:v>
      </x:c>
      <x:c r="L1370" s="60" t="n">
        <x:v>178449589.17756945</x:v>
      </x:c>
      <x:c r="M1370" s="62" t="n">
        <x:v>3.4715794504011996</x:v>
      </x:c>
      <x:c r="N1370" s="62" t="n">
        <x:v>296.1961780999335</x:v>
      </x:c>
      <x:c r="O1370" s="60" t="n">
        <x:v>127959316.9346504</x:v>
      </x:c>
      <x:c r="P1370" s="60" t="n">
        <x:v>50490272.24291904</x:v>
      </x:c>
      <x:c r="Q1370" s="62" t="n">
        <x:v>1.3945806640145222</x:v>
      </x:c>
      <x:c r="R1370" s="64" t="n">
        <x:v>0.39458066401452213</x:v>
      </x:c>
    </x:row>
    <x:row r="1371" ht="18" customHeight="1">
      <x:c r="A1371" s="46" t="str">
        <x:v>LME_022</x:v>
      </x:c>
      <x:c r="B1371" s="46" t="str">
        <x:v>North Sea</x:v>
      </x:c>
      <x:c r="C1371" s="46" t="str">
        <x:v>functional</x:v>
      </x:c>
      <x:c r="D1371" s="46" t="str">
        <x:v>Medium pelagics (30 - 89 cm)</x:v>
      </x:c>
      <x:c r="E1371" s="66" t="n">
        <x:v>25</x:v>
      </x:c>
      <x:c r="F1371" s="66" t="n">
        <x:v>25</x:v>
      </x:c>
      <x:c r="G1371" s="60" t="n">
        <x:v>1046918.2565423957</x:v>
      </x:c>
      <x:c r="H1371" s="60" t="n">
        <x:v>1046918.2565423957</x:v>
      </x:c>
      <x:c r="I1371" s="62" t="n">
        <x:v>0</x:v>
      </x:c>
      <x:c r="J1371" s="64" t="n">
        <x:v>1</x:v>
      </x:c>
      <x:c r="K1371" s="62" t="n">
        <x:v>290.3745897597169</x:v>
      </x:c>
      <x:c r="L1371" s="60" t="n">
        <x:v>303998459.2554562</x:v>
      </x:c>
      <x:c r="M1371" s="62" t="n">
        <x:v>3.445993413778415</x:v>
      </x:c>
      <x:c r="N1371" s="62" t="n">
        <x:v>279.25014916938187</x:v>
      </x:c>
      <x:c r="O1371" s="60" t="n">
        <x:v>292352079.3076132</x:v>
      </x:c>
      <x:c r="P1371" s="60" t="n">
        <x:v>11646379.947843015</x:v>
      </x:c>
      <x:c r="Q1371" s="62" t="n">
        <x:v>1.039836829535899</x:v>
      </x:c>
      <x:c r="R1371" s="64" t="n">
        <x:v>0.03983682953589901</x:v>
      </x:c>
    </x:row>
    <x:row r="1372" ht="18" customHeight="1">
      <x:c r="A1372" s="46" t="str">
        <x:v>LME_022</x:v>
      </x:c>
      <x:c r="B1372" s="46" t="str">
        <x:v>North Sea</x:v>
      </x:c>
      <x:c r="C1372" s="46" t="str">
        <x:v>functional</x:v>
      </x:c>
      <x:c r="D1372" s="46" t="str">
        <x:v>Medium reef assoc. fish (30 - 89 cm)</x:v>
      </x:c>
      <x:c r="E1372" s="66" t="n">
        <x:v>5</x:v>
      </x:c>
      <x:c r="F1372" s="66" t="n">
        <x:v>5</x:v>
      </x:c>
      <x:c r="G1372" s="60" t="n">
        <x:v>110.2556114378</x:v>
      </x:c>
      <x:c r="H1372" s="60" t="n">
        <x:v>110.2556114378</x:v>
      </x:c>
      <x:c r="I1372" s="62" t="n">
        <x:v>0</x:v>
      </x:c>
      <x:c r="J1372" s="64" t="n">
        <x:v>1</x:v>
      </x:c>
      <x:c r="K1372" s="62" t="n">
        <x:v>161.3691911670411</x:v>
      </x:c>
      <x:c r="L1372" s="60" t="n">
        <x:v>17791.85883934535</x:v>
      </x:c>
      <x:c r="M1372" s="62" t="n">
        <x:v>3.0935853427626587</x:v>
      </x:c>
      <x:c r="N1372" s="62" t="n">
        <x:v>124.0467364137533</x:v>
      </x:c>
      <x:c r="O1372" s="60" t="n">
        <x:v>13676.84877016198</x:v>
      </x:c>
      <x:c r="P1372" s="60" t="n">
        <x:v>4115.01006918337</x:v>
      </x:c>
      <x:c r="Q1372" s="62" t="n">
        <x:v>1.3008741368962753</x:v>
      </x:c>
      <x:c r="R1372" s="64" t="n">
        <x:v>0.30087413689627535</x:v>
      </x:c>
    </x:row>
    <x:row r="1373" ht="18" customHeight="1">
      <x:c r="A1373" s="46" t="str">
        <x:v>LME_022</x:v>
      </x:c>
      <x:c r="B1373" s="46" t="str">
        <x:v>North Sea</x:v>
      </x:c>
      <x:c r="C1373" s="46" t="str">
        <x:v>functional</x:v>
      </x:c>
      <x:c r="D1373" s="46" t="str">
        <x:v>Other demersal invertebrates</x:v>
      </x:c>
      <x:c r="E1373" s="66" t="n">
        <x:v>43</x:v>
      </x:c>
      <x:c r="F1373" s="66" t="n">
        <x:v>43</x:v>
      </x:c>
      <x:c r="G1373" s="60" t="n">
        <x:v>75665.70219619869</x:v>
      </x:c>
      <x:c r="H1373" s="60" t="n">
        <x:v>75665.70219619869</x:v>
      </x:c>
      <x:c r="I1373" s="62" t="n">
        <x:v>0</x:v>
      </x:c>
      <x:c r="J1373" s="64" t="n">
        <x:v>1</x:v>
      </x:c>
      <x:c r="K1373" s="62" t="n">
        <x:v>66.26828288578102</x:v>
      </x:c>
      <x:c r="L1373" s="60" t="n">
        <x:v>5014236.157888957</x:v>
      </x:c>
      <x:c r="M1373" s="62" t="n">
        <x:v>2.2052695367179034</x:v>
      </x:c>
      <x:c r="N1373" s="62" t="n">
        <x:v>16.042407236821273</x:v>
      </x:c>
      <x:c r="O1373" s="60" t="n">
        <x:v>1213860.0084914612</x:v>
      </x:c>
      <x:c r="P1373" s="60" t="n">
        <x:v>3800376.149397496</x:v>
      </x:c>
      <x:c r="Q1373" s="62" t="n">
        <x:v>4.13081914126198</x:v>
      </x:c>
      <x:c r="R1373" s="64" t="n">
        <x:v>3.13081914126198</x:v>
      </x:c>
    </x:row>
    <x:row r="1374" ht="18" customHeight="1">
      <x:c r="A1374" s="46" t="str">
        <x:v>LME_022</x:v>
      </x:c>
      <x:c r="B1374" s="46" t="str">
        <x:v>North Sea</x:v>
      </x:c>
      <x:c r="C1374" s="46" t="str">
        <x:v>functional</x:v>
      </x:c>
      <x:c r="D1374" s="46" t="str">
        <x:v>Shrimps</x:v>
      </x:c>
      <x:c r="E1374" s="66" t="n">
        <x:v>12</x:v>
      </x:c>
      <x:c r="F1374" s="66" t="n">
        <x:v>12</x:v>
      </x:c>
      <x:c r="G1374" s="60" t="n">
        <x:v>47952.2365559928</x:v>
      </x:c>
      <x:c r="H1374" s="60" t="n">
        <x:v>47952.2365559928</x:v>
      </x:c>
      <x:c r="I1374" s="62" t="n">
        <x:v>0</x:v>
      </x:c>
      <x:c r="J1374" s="64" t="n">
        <x:v>1</x:v>
      </x:c>
      <x:c r="K1374" s="62" t="n">
        <x:v>150.94441963590006</x:v>
      </x:c>
      <x:c r="L1374" s="60" t="n">
        <x:v>7238122.517187725</x:v>
      </x:c>
      <x:c r="M1374" s="62" t="n">
        <x:v>3.1754034799314845</x:v>
      </x:c>
      <x:c r="N1374" s="62" t="n">
        <x:v>149.76263750773595</x:v>
      </x:c>
      <x:c r="O1374" s="60" t="n">
        <x:v>7181453.421020354</x:v>
      </x:c>
      <x:c r="P1374" s="60" t="n">
        <x:v>56669.09616737068</x:v>
      </x:c>
      <x:c r="Q1374" s="62" t="n">
        <x:v>1.0078910344250787</x:v>
      </x:c>
      <x:c r="R1374" s="64" t="n">
        <x:v>0.00789103442507868</x:v>
      </x:c>
    </x:row>
    <x:row r="1375" ht="18" customHeight="1">
      <x:c r="A1375" s="46" t="str">
        <x:v>LME_022</x:v>
      </x:c>
      <x:c r="B1375" s="46" t="str">
        <x:v>North Sea</x:v>
      </x:c>
      <x:c r="C1375" s="46" t="str">
        <x:v>functional</x:v>
      </x:c>
      <x:c r="D1375" s="46" t="str">
        <x:v>Small bathydemersals (&lt;30 cm)</x:v>
      </x:c>
      <x:c r="E1375" s="66" t="n">
        <x:v>1</x:v>
      </x:c>
      <x:c r="F1375" s="66" t="n">
        <x:v>1</x:v>
      </x:c>
      <x:c r="G1375" s="60" t="n">
        <x:v>1.0098579548</x:v>
      </x:c>
      <x:c r="H1375" s="60" t="n">
        <x:v>1.0098579548</x:v>
      </x:c>
      <x:c r="I1375" s="62" t="n">
        <x:v>0</x:v>
      </x:c>
      <x:c r="J1375" s="64" t="n">
        <x:v>1</x:v>
      </x:c>
      <x:c r="K1375" s="62" t="n">
        <x:v>346.73685045253166</x:v>
      </x:c>
      <x:c r="L1375" s="60" t="n">
        <x:v>350.15496665178705</x:v>
      </x:c>
      <x:c r="M1375" s="62" t="n">
        <x:v>3.54</x:v>
      </x:c>
      <x:c r="N1375" s="62" t="n">
        <x:v>346.73685045253166</x:v>
      </x:c>
      <x:c r="O1375" s="60" t="n">
        <x:v>350.15496665178705</x:v>
      </x:c>
      <x:c r="P1375" s="60" t="n">
        <x:v>0</x:v>
      </x:c>
      <x:c r="Q1375" s="62" t="n">
        <x:v>1</x:v>
      </x:c>
      <x:c r="R1375" s="64" t="n">
        <x:v>0</x:v>
      </x:c>
    </x:row>
    <x:row r="1376" ht="18" customHeight="1">
      <x:c r="A1376" s="46" t="str">
        <x:v>LME_022</x:v>
      </x:c>
      <x:c r="B1376" s="46" t="str">
        <x:v>North Sea</x:v>
      </x:c>
      <x:c r="C1376" s="46" t="str">
        <x:v>functional</x:v>
      </x:c>
      <x:c r="D1376" s="46" t="str">
        <x:v>Small benthopelagics (&lt;30 cm)</x:v>
      </x:c>
      <x:c r="E1376" s="66" t="n">
        <x:v>1</x:v>
      </x:c>
      <x:c r="F1376" s="66" t="n">
        <x:v>1</x:v>
      </x:c>
      <x:c r="G1376" s="60" t="n">
        <x:v>0.167775376</x:v>
      </x:c>
      <x:c r="H1376" s="60" t="n">
        <x:v>0.167775376</x:v>
      </x:c>
      <x:c r="I1376" s="62" t="n">
        <x:v>0</x:v>
      </x:c>
      <x:c r="J1376" s="64" t="n">
        <x:v>1</x:v>
      </x:c>
      <x:c r="K1376" s="62" t="n">
        <x:v>204.17379446695296</x:v>
      </x:c>
      <x:c r="L1376" s="60" t="n">
        <x:v>34.255335136039754</x:v>
      </x:c>
      <x:c r="M1376" s="62" t="n">
        <x:v>3.31</x:v>
      </x:c>
      <x:c r="N1376" s="62" t="n">
        <x:v>204.17379446695296</x:v>
      </x:c>
      <x:c r="O1376" s="60" t="n">
        <x:v>34.255335136039754</x:v>
      </x:c>
      <x:c r="P1376" s="60" t="n">
        <x:v>0</x:v>
      </x:c>
      <x:c r="Q1376" s="62" t="n">
        <x:v>1</x:v>
      </x:c>
      <x:c r="R1376" s="64" t="n">
        <x:v>0</x:v>
      </x:c>
    </x:row>
    <x:row r="1377" ht="18" customHeight="1">
      <x:c r="A1377" s="46" t="str">
        <x:v>LME_022</x:v>
      </x:c>
      <x:c r="B1377" s="46" t="str">
        <x:v>North Sea</x:v>
      </x:c>
      <x:c r="C1377" s="46" t="str">
        <x:v>functional</x:v>
      </x:c>
      <x:c r="D1377" s="46" t="str">
        <x:v>Small demersals (&lt;30 cm)</x:v>
      </x:c>
      <x:c r="E1377" s="66" t="n">
        <x:v>2</x:v>
      </x:c>
      <x:c r="F1377" s="66" t="n">
        <x:v>2</x:v>
      </x:c>
      <x:c r="G1377" s="60" t="n">
        <x:v>38.9409481603</x:v>
      </x:c>
      <x:c r="H1377" s="60" t="n">
        <x:v>38.9409481603</x:v>
      </x:c>
      <x:c r="I1377" s="62" t="n">
        <x:v>0</x:v>
      </x:c>
      <x:c r="J1377" s="64" t="n">
        <x:v>1</x:v>
      </x:c>
      <x:c r="K1377" s="62" t="n">
        <x:v>138.03295145034565</x:v>
      </x:c>
      <x:c r="L1377" s="60" t="n">
        <x:v>5375.134006841117</x:v>
      </x:c>
      <x:c r="M1377" s="62" t="n">
        <x:v>3.139981557325953</x:v>
      </x:c>
      <x:c r="N1377" s="62" t="n">
        <x:v>138.0325646689066</x:v>
      </x:c>
      <x:c r="O1377" s="60" t="n">
        <x:v>5375.118945205149</x:v>
      </x:c>
      <x:c r="P1377" s="60" t="n">
        <x:v>0.015061635967867915</x:v>
      </x:c>
      <x:c r="Q1377" s="62" t="n">
        <x:v>1.0000028021028224</x:v>
      </x:c>
      <x:c r="R1377" s="64" t="n">
        <x:v>0.000002802102822543784</x:v>
      </x:c>
    </x:row>
    <x:row r="1378" ht="18" customHeight="1">
      <x:c r="A1378" s="46" t="str">
        <x:v>LME_022</x:v>
      </x:c>
      <x:c r="B1378" s="46" t="str">
        <x:v>North Sea</x:v>
      </x:c>
      <x:c r="C1378" s="46" t="str">
        <x:v>functional</x:v>
      </x:c>
      <x:c r="D1378" s="46" t="str">
        <x:v>Small pelagics (&lt;30 cm)</x:v>
      </x:c>
      <x:c r="E1378" s="66" t="n">
        <x:v>9</x:v>
      </x:c>
      <x:c r="F1378" s="66" t="n">
        <x:v>9</x:v>
      </x:c>
      <x:c r="G1378" s="60" t="n">
        <x:v>140385.7362918877</x:v>
      </x:c>
      <x:c r="H1378" s="60" t="n">
        <x:v>140385.7362918877</x:v>
      </x:c>
      <x:c r="I1378" s="62" t="n">
        <x:v>0</x:v>
      </x:c>
      <x:c r="J1378" s="64" t="n">
        <x:v>1</x:v>
      </x:c>
      <x:c r="K1378" s="62" t="n">
        <x:v>102.5408934371946</x:v>
      </x:c>
      <x:c r="L1378" s="60" t="n">
        <x:v>14395278.82520856</x:v>
      </x:c>
      <x:c r="M1378" s="62" t="n">
        <x:v>3.0107486187394277</x:v>
      </x:c>
      <x:c r="N1378" s="62" t="n">
        <x:v>102.50584232714947</x:v>
      </x:c>
      <x:c r="O1378" s="60" t="n">
        <x:v>14390358.149317026</x:v>
      </x:c>
      <x:c r="P1378" s="60" t="n">
        <x:v>4920.675891533494</x:v>
      </x:c>
      <x:c r="Q1378" s="62" t="n">
        <x:v>1.0003419425590716</x:v>
      </x:c>
      <x:c r="R1378" s="64" t="n">
        <x:v>0.0003419425590715428</x:v>
      </x:c>
    </x:row>
    <x:row r="1379" ht="18" customHeight="1">
      <x:c r="A1379" s="46" t="str">
        <x:v>LME_022</x:v>
      </x:c>
      <x:c r="B1379" s="46" t="str">
        <x:v>North Sea</x:v>
      </x:c>
      <x:c r="C1379" s="46" t="str">
        <x:v>functional</x:v>
      </x:c>
      <x:c r="D1379" s="46" t="str">
        <x:v>Small reef assoc. fish (&lt;30 cm)</x:v>
      </x:c>
      <x:c r="E1379" s="66" t="n">
        <x:v>3</x:v>
      </x:c>
      <x:c r="F1379" s="66" t="n">
        <x:v>3</x:v>
      </x:c>
      <x:c r="G1379" s="60" t="n">
        <x:v>92.09409337969998</x:v>
      </x:c>
      <x:c r="H1379" s="60" t="n">
        <x:v>92.09409337969998</x:v>
      </x:c>
      <x:c r="I1379" s="62" t="n">
        <x:v>0</x:v>
      </x:c>
      <x:c r="J1379" s="64" t="n">
        <x:v>1</x:v>
      </x:c>
      <x:c r="K1379" s="62" t="n">
        <x:v>164.14667501327767</x:v>
      </x:c>
      <x:c r="L1379" s="60" t="n">
        <x:v>15116.93921664006</x:v>
      </x:c>
      <x:c r="M1379" s="62" t="n">
        <x:v>3.1809337884827253</x:v>
      </x:c>
      <x:c r="N1379" s="62" t="n">
        <x:v>151.68190991511048</x:v>
      </x:c>
      <x:c r="O1379" s="60" t="n">
        <x:v>13969.007975733426</x:v>
      </x:c>
      <x:c r="P1379" s="60" t="n">
        <x:v>1147.9312409066333</x:v>
      </x:c>
      <x:c r="Q1379" s="62" t="n">
        <x:v>1.0821770051889716</x:v>
      </x:c>
      <x:c r="R1379" s="64" t="n">
        <x:v>0.08217700518897174</x:v>
      </x:c>
    </x:row>
    <x:row r="1380" ht="18" customHeight="1">
      <x:c r="A1380" s="46" t="str">
        <x:v>LME_022</x:v>
      </x:c>
      <x:c r="B1380" s="46" t="str">
        <x:v>North Sea</x:v>
      </x:c>
      <x:c r="C1380" s="46" t="str">
        <x:v>functional</x:v>
      </x:c>
      <x:c r="D1380" s="46" t="str">
        <x:v>Small to medium flatfishes (&lt;90 cm)</x:v>
      </x:c>
      <x:c r="E1380" s="66" t="n">
        <x:v>19</x:v>
      </x:c>
      <x:c r="F1380" s="66" t="n">
        <x:v>19</x:v>
      </x:c>
      <x:c r="G1380" s="60" t="n">
        <x:v>78364.9069900529</x:v>
      </x:c>
      <x:c r="H1380" s="60" t="n">
        <x:v>78364.9069900529</x:v>
      </x:c>
      <x:c r="I1380" s="62" t="n">
        <x:v>0</x:v>
      </x:c>
      <x:c r="J1380" s="64" t="n">
        <x:v>1</x:v>
      </x:c>
      <x:c r="K1380" s="62" t="n">
        <x:v>607.1923159288243</x:v>
      </x:c>
      <x:c r="L1380" s="60" t="n">
        <x:v>47582569.362837136</x:v>
      </x:c>
      <x:c r="M1380" s="62" t="n">
        <x:v>3.4874735680533164</x:v>
      </x:c>
      <x:c r="N1380" s="62" t="n">
        <x:v>307.23703695663966</x:v>
      </x:c>
      <x:c r="O1380" s="60" t="n">
        <x:v>24076601.82500651</x:v>
      </x:c>
      <x:c r="P1380" s="60" t="n">
        <x:v>23505967.537830625</x:v>
      </x:c>
      <x:c r="Q1380" s="62" t="n">
        <x:v>1.9762992181652805</x:v>
      </x:c>
      <x:c r="R1380" s="64" t="n">
        <x:v>0.9762992181652806</x:v>
      </x:c>
    </x:row>
    <x:row r="1381" ht="18" customHeight="1">
      <x:c r="A1381" s="46" t="str">
        <x:v>LME_022</x:v>
      </x:c>
      <x:c r="B1381" s="46" t="str">
        <x:v>North Sea</x:v>
      </x:c>
      <x:c r="C1381" s="46" t="str">
        <x:v>functional</x:v>
      </x:c>
      <x:c r="D1381" s="46" t="str">
        <x:v>Small to medium rays (&lt;90 cm)</x:v>
      </x:c>
      <x:c r="E1381" s="66" t="n">
        <x:v>6</x:v>
      </x:c>
      <x:c r="F1381" s="66" t="n">
        <x:v>6</x:v>
      </x:c>
      <x:c r="G1381" s="60" t="n">
        <x:v>1027.7688397753</x:v>
      </x:c>
      <x:c r="H1381" s="60" t="n">
        <x:v>1027.7688397753</x:v>
      </x:c>
      <x:c r="I1381" s="62" t="n">
        <x:v>0</x:v>
      </x:c>
      <x:c r="J1381" s="64" t="n">
        <x:v>1</x:v>
      </x:c>
      <x:c r="K1381" s="62" t="n">
        <x:v>926.7865532906567</x:v>
      </x:c>
      <x:c r="L1381" s="60" t="n">
        <x:v>952522.3405948874</x:v>
      </x:c>
      <x:c r="M1381" s="62" t="n">
        <x:v>3.9318720293285967</x:v>
      </x:c>
      <x:c r="N1381" s="62" t="n">
        <x:v>854.8147931713497</x:v>
      </x:c>
      <x:c r="O1381" s="60" t="n">
        <x:v>878552.0082004811</x:v>
      </x:c>
      <x:c r="P1381" s="60" t="n">
        <x:v>73970.33239440632</x:v>
      </x:c>
      <x:c r="Q1381" s="62" t="n">
        <x:v>1.0841957353736156</x:v>
      </x:c>
      <x:c r="R1381" s="64" t="n">
        <x:v>0.08419573537361566</x:v>
      </x:c>
    </x:row>
    <x:row r="1382" ht="18" customHeight="1">
      <x:c r="A1382" s="46" t="str">
        <x:v>LME_022</x:v>
      </x:c>
      <x:c r="B1382" s="46" t="str">
        <x:v>North Sea</x:v>
      </x:c>
      <x:c r="C1382" s="46" t="str">
        <x:v>functional</x:v>
      </x:c>
      <x:c r="D1382" s="46" t="str">
        <x:v>Small to medium sharks (&lt;90 cm)</x:v>
      </x:c>
      <x:c r="E1382" s="66" t="n">
        <x:v>5</x:v>
      </x:c>
      <x:c r="F1382" s="66" t="n">
        <x:v>5</x:v>
      </x:c>
      <x:c r="G1382" s="60" t="n">
        <x:v>788.1125945144</x:v>
      </x:c>
      <x:c r="H1382" s="60" t="n">
        <x:v>788.1125945144</x:v>
      </x:c>
      <x:c r="I1382" s="62" t="n">
        <x:v>0</x:v>
      </x:c>
      <x:c r="J1382" s="64" t="n">
        <x:v>1</x:v>
      </x:c>
      <x:c r="K1382" s="62" t="n">
        <x:v>675.4149599390711</x:v>
      </x:c>
      <x:c r="L1382" s="60" t="n">
        <x:v>532303.0364514209</x:v>
      </x:c>
      <x:c r="M1382" s="62" t="n">
        <x:v>3.8281007951103265</x:v>
      </x:c>
      <x:c r="N1382" s="62" t="n">
        <x:v>673.1328651043289</x:v>
      </x:c>
      <x:c r="O1382" s="60" t="n">
        <x:v>530504.4887702842</x:v>
      </x:c>
      <x:c r="P1382" s="60" t="n">
        <x:v>1798.5476811366389</x:v>
      </x:c>
      <x:c r="Q1382" s="62" t="n">
        <x:v>1.003390259119778</x:v>
      </x:c>
      <x:c r="R1382" s="64" t="n">
        <x:v>0.003390259119778032</x:v>
      </x:c>
    </x:row>
    <x:row r="1383" ht="18" customHeight="1">
      <x:c r="A1383" s="46" t="str">
        <x:v>LME_023</x:v>
      </x:c>
      <x:c r="B1383" s="46" t="str">
        <x:v>Baltic Sea</x:v>
      </x:c>
      <x:c r="C1383" s="46" t="str">
        <x:v>functional</x:v>
      </x:c>
      <x:c r="D1383" s="46" t="str">
        <x:v>Cephalopods</x:v>
      </x:c>
      <x:c r="E1383" s="66" t="n">
        <x:v>6</x:v>
      </x:c>
      <x:c r="F1383" s="66" t="n">
        <x:v>6</x:v>
      </x:c>
      <x:c r="G1383" s="60" t="n">
        <x:v>0.024559780399999998</x:v>
      </x:c>
      <x:c r="H1383" s="60" t="n">
        <x:v>0.024559780399999998</x:v>
      </x:c>
      <x:c r="I1383" s="62" t="n">
        <x:v>0</x:v>
      </x:c>
      <x:c r="J1383" s="64" t="n">
        <x:v>1</x:v>
      </x:c>
      <x:c r="K1383" s="62" t="n">
        <x:v>652.459695566257</x:v>
      </x:c>
      <x:c r="L1383" s="60" t="n">
        <x:v>16.024266842958124</x:v>
      </x:c>
      <x:c r="M1383" s="62" t="n">
        <x:v>3.8071207497848794</x:v>
      </x:c>
      <x:c r="N1383" s="62" t="n">
        <x:v>641.3878811372139</x:v>
      </x:c>
      <x:c r="O1383" s="60" t="n">
        <x:v>15.752345511951274</x:v>
      </x:c>
      <x:c r="P1383" s="60" t="n">
        <x:v>0.27192133100684934</x:v>
      </x:c>
      <x:c r="Q1383" s="62" t="n">
        <x:v>1.0172622756909784</x:v>
      </x:c>
      <x:c r="R1383" s="64" t="n">
        <x:v>0.01726227569097841</x:v>
      </x:c>
    </x:row>
    <x:row r="1384" ht="18" customHeight="1">
      <x:c r="A1384" s="46" t="str">
        <x:v>LME_023</x:v>
      </x:c>
      <x:c r="B1384" s="46" t="str">
        <x:v>Baltic Sea</x:v>
      </x:c>
      <x:c r="C1384" s="46" t="str">
        <x:v>functional</x:v>
      </x:c>
      <x:c r="D1384" s="46" t="str">
        <x:v>Large benthopelagics (&gt;=90 cm)</x:v>
      </x:c>
      <x:c r="E1384" s="66" t="n">
        <x:v>8</x:v>
      </x:c>
      <x:c r="F1384" s="66" t="n">
        <x:v>8</x:v>
      </x:c>
      <x:c r="G1384" s="60" t="n">
        <x:v>48555.4365787246</x:v>
      </x:c>
      <x:c r="H1384" s="60" t="n">
        <x:v>48555.4365787246</x:v>
      </x:c>
      <x:c r="I1384" s="62" t="n">
        <x:v>0</x:v>
      </x:c>
      <x:c r="J1384" s="64" t="n">
        <x:v>1</x:v>
      </x:c>
      <x:c r="K1384" s="62" t="n">
        <x:v>1264.2609979185622</x:v>
      </x:c>
      <x:c r="L1384" s="60" t="n">
        <x:v>61386744.703389816</x:v>
      </x:c>
      <x:c r="M1384" s="62" t="n">
        <x:v>4.097200216148116</x:v>
      </x:c>
      <x:c r="N1384" s="62" t="n">
        <x:v>1250.8355509140517</x:v>
      </x:c>
      <x:c r="O1384" s="60" t="n">
        <x:v>60734866.26282128</x:v>
      </x:c>
      <x:c r="P1384" s="60" t="n">
        <x:v>651878.4405685365</x:v>
      </x:c>
      <x:c r="Q1384" s="62" t="n">
        <x:v>1.0107331831068438</x:v>
      </x:c>
      <x:c r="R1384" s="64" t="n">
        <x:v>0.010733183106843895</x:v>
      </x:c>
    </x:row>
    <x:row r="1385" ht="18" customHeight="1">
      <x:c r="A1385" s="46" t="str">
        <x:v>LME_023</x:v>
      </x:c>
      <x:c r="B1385" s="46" t="str">
        <x:v>Baltic Sea</x:v>
      </x:c>
      <x:c r="C1385" s="46" t="str">
        <x:v>functional</x:v>
      </x:c>
      <x:c r="D1385" s="46" t="str">
        <x:v>Large demersals (&gt;=90 cm)</x:v>
      </x:c>
      <x:c r="E1385" s="66" t="n">
        <x:v>14</x:v>
      </x:c>
      <x:c r="F1385" s="66" t="n">
        <x:v>14</x:v>
      </x:c>
      <x:c r="G1385" s="60" t="n">
        <x:v>2442.9237946779</x:v>
      </x:c>
      <x:c r="H1385" s="60" t="n">
        <x:v>2442.9237946779</x:v>
      </x:c>
      <x:c r="I1385" s="62" t="n">
        <x:v>0</x:v>
      </x:c>
      <x:c r="J1385" s="64" t="n">
        <x:v>1</x:v>
      </x:c>
      <x:c r="K1385" s="62" t="n">
        <x:v>964.1252813555056</x:v>
      </x:c>
      <x:c r="L1385" s="60" t="n">
        <x:v>2355284.5908738896</x:v>
      </x:c>
      <x:c r="M1385" s="62" t="n">
        <x:v>3.9391886804413327</x:v>
      </x:c>
      <x:c r="N1385" s="62" t="n">
        <x:v>869.3380335728496</x:v>
      </x:c>
      <x:c r="O1385" s="60" t="n">
        <x:v>2123726.567833609</x:v>
      </x:c>
      <x:c r="P1385" s="60" t="n">
        <x:v>231558.02304028068</x:v>
      </x:c>
      <x:c r="Q1385" s="62" t="n">
        <x:v>1.109033821277892</x:v>
      </x:c>
      <x:c r="R1385" s="64" t="n">
        <x:v>0.10903382127789199</x:v>
      </x:c>
    </x:row>
    <x:row r="1386" ht="18" customHeight="1">
      <x:c r="A1386" s="46" t="str">
        <x:v>LME_023</x:v>
      </x:c>
      <x:c r="B1386" s="46" t="str">
        <x:v>Baltic Sea</x:v>
      </x:c>
      <x:c r="C1386" s="46" t="str">
        <x:v>functional</x:v>
      </x:c>
      <x:c r="D1386" s="46" t="str">
        <x:v>Large flatfishes (&gt;=90 cm)</x:v>
      </x:c>
      <x:c r="E1386" s="66" t="n">
        <x:v>2</x:v>
      </x:c>
      <x:c r="F1386" s="66" t="n">
        <x:v>2</x:v>
      </x:c>
      <x:c r="G1386" s="60" t="n">
        <x:v>6018.0994695500995</x:v>
      </x:c>
      <x:c r="H1386" s="60" t="n">
        <x:v>6018.0994695500995</x:v>
      </x:c>
      <x:c r="I1386" s="62" t="n">
        <x:v>0</x:v>
      </x:c>
      <x:c r="J1386" s="64" t="n">
        <x:v>1</x:v>
      </x:c>
      <x:c r="K1386" s="62" t="n">
        <x:v>579.8865400946756</x:v>
      </x:c>
      <x:c r="L1386" s="60" t="n">
        <x:v>3489814.87934301</x:v>
      </x:c>
      <x:c r="M1386" s="62" t="n">
        <x:v>3.467553039334695</x:v>
      </x:c>
      <x:c r="N1386" s="62" t="n">
        <x:v>293.4627881077116</x:v>
      </x:c>
      <x:c r="O1386" s="60" t="n">
        <x:v>1766088.2494437124</x:v>
      </x:c>
      <x:c r="P1386" s="60" t="n">
        <x:v>1723726.6298992976</x:v>
      </x:c>
      <x:c r="Q1386" s="62" t="n">
        <x:v>1.9760138715844138</x:v>
      </x:c>
      <x:c r="R1386" s="64" t="n">
        <x:v>0.9760138715844138</x:v>
      </x:c>
    </x:row>
    <x:row r="1387" ht="18" customHeight="1">
      <x:c r="A1387" s="46" t="str">
        <x:v>LME_023</x:v>
      </x:c>
      <x:c r="B1387" s="46" t="str">
        <x:v>Baltic Sea</x:v>
      </x:c>
      <x:c r="C1387" s="46" t="str">
        <x:v>functional</x:v>
      </x:c>
      <x:c r="D1387" s="46" t="str">
        <x:v>Large pelagics (&gt;=90 cm)</x:v>
      </x:c>
      <x:c r="E1387" s="66" t="n">
        <x:v>2</x:v>
      </x:c>
      <x:c r="F1387" s="66" t="n">
        <x:v>2</x:v>
      </x:c>
      <x:c r="G1387" s="60" t="n">
        <x:v>3126.3407776511</x:v>
      </x:c>
      <x:c r="H1387" s="60" t="n">
        <x:v>3126.3407776511</x:v>
      </x:c>
      <x:c r="I1387" s="62" t="n">
        <x:v>0</x:v>
      </x:c>
      <x:c r="J1387" s="64" t="n">
        <x:v>1</x:v>
      </x:c>
      <x:c r="K1387" s="62" t="n">
        <x:v>904.8531177582571</x:v>
      </x:c>
      <x:c r="L1387" s="60" t="n">
        <x:v>2828879.199832372</x:v>
      </x:c>
      <x:c r="M1387" s="62" t="n">
        <x:v>3.889773644672055</x:v>
      </x:c>
      <x:c r="N1387" s="62" t="n">
        <x:v>775.8426401817314</x:v>
      </x:c>
      <x:c r="O1387" s="60" t="n">
        <x:v>2425548.483040637</x:v>
      </x:c>
      <x:c r="P1387" s="60" t="n">
        <x:v>403330.71679173503</x:v>
      </x:c>
      <x:c r="Q1387" s="62" t="n">
        <x:v>1.1662843351150518</x:v>
      </x:c>
      <x:c r="R1387" s="64" t="n">
        <x:v>0.1662843351150519</x:v>
      </x:c>
    </x:row>
    <x:row r="1388" ht="18" customHeight="1">
      <x:c r="A1388" s="46" t="str">
        <x:v>LME_023</x:v>
      </x:c>
      <x:c r="B1388" s="46" t="str">
        <x:v>Baltic Sea</x:v>
      </x:c>
      <x:c r="C1388" s="46" t="str">
        <x:v>functional</x:v>
      </x:c>
      <x:c r="D1388" s="46" t="str">
        <x:v>Large rays (&gt;=90 cm)</x:v>
      </x:c>
      <x:c r="E1388" s="66" t="n">
        <x:v>2</x:v>
      </x:c>
      <x:c r="F1388" s="66" t="n">
        <x:v>2</x:v>
      </x:c>
      <x:c r="G1388" s="60" t="n">
        <x:v>0.0026441969000000004</x:v>
      </x:c>
      <x:c r="H1388" s="60" t="n">
        <x:v>0.0026441969000000004</x:v>
      </x:c>
      <x:c r="I1388" s="62" t="n">
        <x:v>0</x:v>
      </x:c>
      <x:c r="J1388" s="64" t="n">
        <x:v>1</x:v>
      </x:c>
      <x:c r="K1388" s="62" t="n">
        <x:v>694.0930803863602</x:v>
      </x:c>
      <x:c r="L1388" s="60" t="n">
        <x:v>1.8353187714690646</x:v>
      </x:c>
      <x:c r="M1388" s="62" t="n">
        <x:v>3.840911873090842</x:v>
      </x:c>
      <x:c r="N1388" s="62" t="n">
        <x:v>693.2851105303912</x:v>
      </x:c>
      <x:c r="O1388" s="60" t="n">
        <x:v>1.833182340080618</x:v>
      </x:c>
      <x:c r="P1388" s="60" t="n">
        <x:v>0.002136431388446658</x:v>
      </x:c>
      <x:c r="Q1388" s="62" t="n">
        <x:v>1.001165422196001</x:v>
      </x:c>
      <x:c r="R1388" s="64" t="n">
        <x:v>0.0011654221960008101</x:v>
      </x:c>
    </x:row>
    <x:row r="1389" ht="18" customHeight="1">
      <x:c r="A1389" s="46" t="str">
        <x:v>LME_023</x:v>
      </x:c>
      <x:c r="B1389" s="46" t="str">
        <x:v>Baltic Sea</x:v>
      </x:c>
      <x:c r="C1389" s="46" t="str">
        <x:v>functional</x:v>
      </x:c>
      <x:c r="D1389" s="46" t="str">
        <x:v>Large sharks (&gt;=90 cm)</x:v>
      </x:c>
      <x:c r="E1389" s="66" t="n">
        <x:v>3</x:v>
      </x:c>
      <x:c r="F1389" s="66" t="n">
        <x:v>3</x:v>
      </x:c>
      <x:c r="G1389" s="60" t="n">
        <x:v>0.004793096199999999</x:v>
      </x:c>
      <x:c r="H1389" s="60" t="n">
        <x:v>0.004793096199999999</x:v>
      </x:c>
      <x:c r="I1389" s="62" t="n">
        <x:v>0</x:v>
      </x:c>
      <x:c r="J1389" s="64" t="n">
        <x:v>1</x:v>
      </x:c>
      <x:c r="K1389" s="62" t="n">
        <x:v>2338.317934580422</x:v>
      </x:c>
      <x:c r="L1389" s="60" t="n">
        <x:v>11.207782806629268</x:v>
      </x:c>
      <x:c r="M1389" s="62" t="n">
        <x:v>4.36869518371027</x:v>
      </x:c>
      <x:c r="N1389" s="62" t="n">
        <x:v>2337.1962655589696</x:v>
      </x:c>
      <x:c r="O1389" s="60" t="n">
        <x:v>11.202406539104887</x:v>
      </x:c>
      <x:c r="P1389" s="60" t="n">
        <x:v>0.005376267524381362</x:v>
      </x:c>
      <x:c r="Q1389" s="62" t="n">
        <x:v>1.0004799207657402</x:v>
      </x:c>
      <x:c r="R1389" s="64" t="n">
        <x:v>0.00047992076574030005</x:v>
      </x:c>
    </x:row>
    <x:row r="1390" ht="18" customHeight="1">
      <x:c r="A1390" s="46" t="str">
        <x:v>LME_023</x:v>
      </x:c>
      <x:c r="B1390" s="46" t="str">
        <x:v>Baltic Sea</x:v>
      </x:c>
      <x:c r="C1390" s="46" t="str">
        <x:v>functional</x:v>
      </x:c>
      <x:c r="D1390" s="46" t="str">
        <x:v>Lobsters, crabs</x:v>
      </x:c>
      <x:c r="E1390" s="66" t="n">
        <x:v>4</x:v>
      </x:c>
      <x:c r="F1390" s="66" t="n">
        <x:v>4</x:v>
      </x:c>
      <x:c r="G1390" s="60" t="n">
        <x:v>28.4579582568</x:v>
      </x:c>
      <x:c r="H1390" s="60" t="n">
        <x:v>28.4579582568</x:v>
      </x:c>
      <x:c r="I1390" s="62" t="n">
        <x:v>0</x:v>
      </x:c>
      <x:c r="J1390" s="64" t="n">
        <x:v>1</x:v>
      </x:c>
      <x:c r="K1390" s="62" t="n">
        <x:v>42.590199765371096</x:v>
      </x:c>
      <x:c r="L1390" s="60" t="n">
        <x:v>1212.0301270717039</x:v>
      </x:c>
      <x:c r="M1390" s="62" t="n">
        <x:v>2.6161800750913664</x:v>
      </x:c>
      <x:c r="N1390" s="62" t="n">
        <x:v>41.321880278304874</x:v>
      </x:c>
      <x:c r="O1390" s="60" t="n">
        <x:v>1175.9363440524874</x:v>
      </x:c>
      <x:c r="P1390" s="60" t="n">
        <x:v>36.09378301921652</x:v>
      </x:c>
      <x:c r="Q1390" s="62" t="n">
        <x:v>1.0306936537864209</x:v>
      </x:c>
      <x:c r="R1390" s="64" t="n">
        <x:v>0.030693653786420846</x:v>
      </x:c>
    </x:row>
    <x:row r="1391" ht="18" customHeight="1">
      <x:c r="A1391" s="46" t="str">
        <x:v>LME_023</x:v>
      </x:c>
      <x:c r="B1391" s="46" t="str">
        <x:v>Baltic Sea</x:v>
      </x:c>
      <x:c r="C1391" s="46" t="str">
        <x:v>functional</x:v>
      </x:c>
      <x:c r="D1391" s="46" t="str">
        <x:v>Medium benthopelagics (30 - 89 cm)</x:v>
      </x:c>
      <x:c r="E1391" s="66" t="n">
        <x:v>6</x:v>
      </x:c>
      <x:c r="F1391" s="66" t="n">
        <x:v>6</x:v>
      </x:c>
      <x:c r="G1391" s="60" t="n">
        <x:v>7307.889372361199</x:v>
      </x:c>
      <x:c r="H1391" s="60" t="n">
        <x:v>7307.889372361199</x:v>
      </x:c>
      <x:c r="I1391" s="62" t="n">
        <x:v>0</x:v>
      </x:c>
      <x:c r="J1391" s="64" t="n">
        <x:v>1</x:v>
      </x:c>
      <x:c r="K1391" s="62" t="n">
        <x:v>1304.8626871071676</x:v>
      </x:c>
      <x:c r="L1391" s="60" t="n">
        <x:v>9535792.163501147</x:v>
      </x:c>
      <x:c r="M1391" s="62" t="n">
        <x:v>3.747326659156356</x:v>
      </x:c>
      <x:c r="N1391" s="62" t="n">
        <x:v>558.8904119755192</x:v>
      </x:c>
      <x:c r="O1391" s="60" t="n">
        <x:v>4084309.301990469</x:v>
      </x:c>
      <x:c r="P1391" s="60" t="n">
        <x:v>5451482.861510678</x:v>
      </x:c>
      <x:c r="Q1391" s="62" t="n">
        <x:v>2.334738007930478</x:v>
      </x:c>
      <x:c r="R1391" s="64" t="n">
        <x:v>1.3347380079304776</x:v>
      </x:c>
    </x:row>
    <x:row r="1392" ht="18" customHeight="1">
      <x:c r="A1392" s="46" t="str">
        <x:v>LME_023</x:v>
      </x:c>
      <x:c r="B1392" s="46" t="str">
        <x:v>Baltic Sea</x:v>
      </x:c>
      <x:c r="C1392" s="46" t="str">
        <x:v>functional</x:v>
      </x:c>
      <x:c r="D1392" s="46" t="str">
        <x:v>Medium demersals (30 - 89 cm)</x:v>
      </x:c>
      <x:c r="E1392" s="66" t="n">
        <x:v>20</x:v>
      </x:c>
      <x:c r="F1392" s="66" t="n">
        <x:v>20</x:v>
      </x:c>
      <x:c r="G1392" s="60" t="n">
        <x:v>15885.517773366697</x:v>
      </x:c>
      <x:c r="H1392" s="60" t="n">
        <x:v>15885.517773366697</x:v>
      </x:c>
      <x:c r="I1392" s="62" t="n">
        <x:v>0</x:v>
      </x:c>
      <x:c r="J1392" s="64" t="n">
        <x:v>1</x:v>
      </x:c>
      <x:c r="K1392" s="62" t="n">
        <x:v>976.6205745398515</x:v>
      </x:c>
      <x:c r="L1392" s="60" t="n">
        <x:v>15514123.494688407</x:v>
      </x:c>
      <x:c r="M1392" s="62" t="n">
        <x:v>3.5391914544035363</x:v>
      </x:c>
      <x:c r="N1392" s="62" t="n">
        <x:v>346.0919153805286</x:v>
      </x:c>
      <x:c r="O1392" s="60" t="n">
        <x:v>5497849.27299591</x:v>
      </x:c>
      <x:c r="P1392" s="60" t="n">
        <x:v>10016274.221692497</x:v>
      </x:c>
      <x:c r="Q1392" s="62" t="n">
        <x:v>2.8218531873709205</x:v>
      </x:c>
      <x:c r="R1392" s="64" t="n">
        <x:v>1.8218531873709207</x:v>
      </x:c>
    </x:row>
    <x:row r="1393" ht="18" customHeight="1">
      <x:c r="A1393" s="46" t="str">
        <x:v>LME_023</x:v>
      </x:c>
      <x:c r="B1393" s="46" t="str">
        <x:v>Baltic Sea</x:v>
      </x:c>
      <x:c r="C1393" s="46" t="str">
        <x:v>functional</x:v>
      </x:c>
      <x:c r="D1393" s="46" t="str">
        <x:v>Medium pelagics (30 - 89 cm)</x:v>
      </x:c>
      <x:c r="E1393" s="66" t="n">
        <x:v>12</x:v>
      </x:c>
      <x:c r="F1393" s="66" t="n">
        <x:v>12</x:v>
      </x:c>
      <x:c r="G1393" s="60" t="n">
        <x:v>445632.6189725713</x:v>
      </x:c>
      <x:c r="H1393" s="60" t="n">
        <x:v>445632.6189725713</x:v>
      </x:c>
      <x:c r="I1393" s="62" t="n">
        <x:v>0</x:v>
      </x:c>
      <x:c r="J1393" s="64" t="n">
        <x:v>1</x:v>
      </x:c>
      <x:c r="K1393" s="62" t="n">
        <x:v>243.3886248033499</x:v>
      </x:c>
      <x:c r="L1393" s="60" t="n">
        <x:v>108461910.29924934</x:v>
      </x:c>
      <x:c r="M1393" s="62" t="n">
        <x:v>3.3820450404361786</x:v>
      </x:c>
      <x:c r="N1393" s="62" t="n">
        <x:v>241.01553715821453</x:v>
      </x:c>
      <x:c r="O1393" s="60" t="n">
        <x:v>107404385.03689621</x:v>
      </x:c>
      <x:c r="P1393" s="60" t="n">
        <x:v>1057525.2623531222</x:v>
      </x:c>
      <x:c r="Q1393" s="62" t="n">
        <x:v>1.0098462019217356</x:v>
      </x:c>
      <x:c r="R1393" s="64" t="n">
        <x:v>0.009846201921735642</x:v>
      </x:c>
    </x:row>
    <x:row r="1394" ht="18" customHeight="1">
      <x:c r="A1394" s="46" t="str">
        <x:v>LME_023</x:v>
      </x:c>
      <x:c r="B1394" s="46" t="str">
        <x:v>Baltic Sea</x:v>
      </x:c>
      <x:c r="C1394" s="46" t="str">
        <x:v>functional</x:v>
      </x:c>
      <x:c r="D1394" s="46" t="str">
        <x:v>Medium reef assoc. fish (30 - 89 cm)</x:v>
      </x:c>
      <x:c r="E1394" s="66" t="n">
        <x:v>4</x:v>
      </x:c>
      <x:c r="F1394" s="66" t="n">
        <x:v>4</x:v>
      </x:c>
      <x:c r="G1394" s="60" t="n">
        <x:v>0.22570889990000004</x:v>
      </x:c>
      <x:c r="H1394" s="60" t="n">
        <x:v>0.22570889990000004</x:v>
      </x:c>
      <x:c r="I1394" s="62" t="n">
        <x:v>0</x:v>
      </x:c>
      <x:c r="J1394" s="64" t="n">
        <x:v>1</x:v>
      </x:c>
      <x:c r="K1394" s="62" t="n">
        <x:v>37.84899415805827</x:v>
      </x:c>
      <x:c r="L1394" s="60" t="n">
        <x:v>8.54285483373686</x:v>
      </x:c>
      <x:c r="M1394" s="62" t="n">
        <x:v>2.5512687148939484</x:v>
      </x:c>
      <x:c r="N1394" s="62" t="n">
        <x:v>35.5851429591673</x:v>
      </x:c>
      <x:c r="O1394" s="60" t="n">
        <x:v>8.031883470097883</x:v>
      </x:c>
      <x:c r="P1394" s="60" t="n">
        <x:v>0.5109713636389763</x:v>
      </x:c>
      <x:c r="Q1394" s="62" t="n">
        <x:v>1.0636178756254726</x:v>
      </x:c>
      <x:c r="R1394" s="64" t="n">
        <x:v>0.0636178756254726</x:v>
      </x:c>
    </x:row>
    <x:row r="1395" ht="18" customHeight="1">
      <x:c r="A1395" s="46" t="str">
        <x:v>LME_023</x:v>
      </x:c>
      <x:c r="B1395" s="46" t="str">
        <x:v>Baltic Sea</x:v>
      </x:c>
      <x:c r="C1395" s="46" t="str">
        <x:v>functional</x:v>
      </x:c>
      <x:c r="D1395" s="46" t="str">
        <x:v>Other demersal invertebrates</x:v>
      </x:c>
      <x:c r="E1395" s="66" t="n">
        <x:v>7</x:v>
      </x:c>
      <x:c r="F1395" s="66" t="n">
        <x:v>7</x:v>
      </x:c>
      <x:c r="G1395" s="60" t="n">
        <x:v>14519.8011704346</x:v>
      </x:c>
      <x:c r="H1395" s="60" t="n">
        <x:v>14519.8011704346</x:v>
      </x:c>
      <x:c r="I1395" s="62" t="n">
        <x:v>0</x:v>
      </x:c>
      <x:c r="J1395" s="64" t="n">
        <x:v>1</x:v>
      </x:c>
      <x:c r="K1395" s="62" t="n">
        <x:v>11.242626484504484</x:v>
      </x:c>
      <x:c r="L1395" s="60" t="n">
        <x:v>163240.70118846724</x:v>
      </x:c>
      <x:c r="M1395" s="62" t="n">
        <x:v>2.0039376769355037</x:v>
      </x:c>
      <x:c r="N1395" s="62" t="n">
        <x:v>10.091080644812877</x:v>
      </x:c>
      <x:c r="O1395" s="60" t="n">
        <x:v>146520.48455750395</x:v>
      </x:c>
      <x:c r="P1395" s="60" t="n">
        <x:v>16720.21663096329</x:v>
      </x:c>
      <x:c r="Q1395" s="62" t="n">
        <x:v>1.114115215230545</x:v>
      </x:c>
      <x:c r="R1395" s="64" t="n">
        <x:v>0.11411521523054487</x:v>
      </x:c>
    </x:row>
    <x:row r="1396" ht="18" customHeight="1">
      <x:c r="A1396" s="46" t="str">
        <x:v>LME_023</x:v>
      </x:c>
      <x:c r="B1396" s="46" t="str">
        <x:v>Baltic Sea</x:v>
      </x:c>
      <x:c r="C1396" s="46" t="str">
        <x:v>functional</x:v>
      </x:c>
      <x:c r="D1396" s="46" t="str">
        <x:v>Shrimps</x:v>
      </x:c>
      <x:c r="E1396" s="66" t="n">
        <x:v>4</x:v>
      </x:c>
      <x:c r="F1396" s="66" t="n">
        <x:v>4</x:v>
      </x:c>
      <x:c r="G1396" s="60" t="n">
        <x:v>91.0108461476</x:v>
      </x:c>
      <x:c r="H1396" s="60" t="n">
        <x:v>91.0108461476</x:v>
      </x:c>
      <x:c r="I1396" s="62" t="n">
        <x:v>0</x:v>
      </x:c>
      <x:c r="J1396" s="64" t="n">
        <x:v>1</x:v>
      </x:c>
      <x:c r="K1396" s="62" t="n">
        <x:v>138.75383185205305</x:v>
      </x:c>
      <x:c r="L1396" s="60" t="n">
        <x:v>12628.103643077162</x:v>
      </x:c>
      <x:c r="M1396" s="62" t="n">
        <x:v>3.113856212105904</x:v>
      </x:c>
      <x:c r="N1396" s="62" t="n">
        <x:v>129.97391841209634</x:v>
      </x:c>
      <x:c r="O1396" s="60" t="n">
        <x:v>11829.036291804015</x:v>
      </x:c>
      <x:c r="P1396" s="60" t="n">
        <x:v>799.0673512731464</x:v>
      </x:c>
      <x:c r="Q1396" s="62" t="n">
        <x:v>1.0675513483568222</x:v>
      </x:c>
      <x:c r="R1396" s="64" t="n">
        <x:v>0.06755134835682229</x:v>
      </x:c>
    </x:row>
    <x:row r="1397" ht="18" customHeight="1">
      <x:c r="A1397" s="46" t="str">
        <x:v>LME_023</x:v>
      </x:c>
      <x:c r="B1397" s="46" t="str">
        <x:v>Baltic Sea</x:v>
      </x:c>
      <x:c r="C1397" s="46" t="str">
        <x:v>functional</x:v>
      </x:c>
      <x:c r="D1397" s="46" t="str">
        <x:v>Small benthopelagics (&lt;30 cm)</x:v>
      </x:c>
      <x:c r="E1397" s="66" t="n">
        <x:v>1</x:v>
      </x:c>
      <x:c r="F1397" s="66" t="n">
        <x:v>1</x:v>
      </x:c>
      <x:c r="G1397" s="60" t="n">
        <x:v>312.8985728268</x:v>
      </x:c>
      <x:c r="H1397" s="60" t="n">
        <x:v>312.8985728268</x:v>
      </x:c>
      <x:c r="I1397" s="62" t="n">
        <x:v>0</x:v>
      </x:c>
      <x:c r="J1397" s="64" t="n">
        <x:v>1</x:v>
      </x:c>
      <x:c r="K1397" s="62" t="n">
        <x:v>204.17379446695296</x:v>
      </x:c>
      <x:c r="L1397" s="60" t="n">
        <x:v>63885.68889734197</x:v>
      </x:c>
      <x:c r="M1397" s="62" t="n">
        <x:v>3.3099999999999996</x:v>
      </x:c>
      <x:c r="N1397" s="62" t="n">
        <x:v>204.17379446695276</x:v>
      </x:c>
      <x:c r="O1397" s="60" t="n">
        <x:v>63885.688897341905</x:v>
      </x:c>
      <x:c r="P1397" s="60" t="n">
        <x:v>6.548361852765083e-11</x:v>
      </x:c>
      <x:c r="Q1397" s="62" t="n">
        <x:v>1.000000000000001</x:v>
      </x:c>
      <x:c r="R1397" s="64" t="n">
        <x:v>1.0250123252623393e-15</x:v>
      </x:c>
    </x:row>
    <x:row r="1398" ht="18" customHeight="1">
      <x:c r="A1398" s="46" t="str">
        <x:v>LME_023</x:v>
      </x:c>
      <x:c r="B1398" s="46" t="str">
        <x:v>Baltic Sea</x:v>
      </x:c>
      <x:c r="C1398" s="46" t="str">
        <x:v>functional</x:v>
      </x:c>
      <x:c r="D1398" s="46" t="str">
        <x:v>Small demersals (&lt;30 cm)</x:v>
      </x:c>
      <x:c r="E1398" s="66" t="n">
        <x:v>2</x:v>
      </x:c>
      <x:c r="F1398" s="66" t="n">
        <x:v>2</x:v>
      </x:c>
      <x:c r="G1398" s="60" t="n">
        <x:v>789.3196426698</x:v>
      </x:c>
      <x:c r="H1398" s="60" t="n">
        <x:v>789.3196426698</x:v>
      </x:c>
      <x:c r="I1398" s="62" t="n">
        <x:v>0</x:v>
      </x:c>
      <x:c r="J1398" s="64" t="n">
        <x:v>1</x:v>
      </x:c>
      <x:c r="K1398" s="62" t="n">
        <x:v>141.4549965066791</x:v>
      </x:c>
      <x:c r="L1398" s="60" t="n">
        <x:v>111653.20729650975</x:v>
      </x:c>
      <x:c r="M1398" s="62" t="n">
        <x:v>3.137437098949235</x:v>
      </x:c>
      <x:c r="N1398" s="62" t="n">
        <x:v>137.22621949888077</x:v>
      </x:c>
      <x:c r="O1398" s="60" t="n">
        <x:v>108315.3505397841</x:v>
      </x:c>
      <x:c r="P1398" s="60" t="n">
        <x:v>3337.8567567256396</x:v>
      </x:c>
      <x:c r="Q1398" s="62" t="n">
        <x:v>1.0308161007658803</x:v>
      </x:c>
      <x:c r="R1398" s="64" t="n">
        <x:v>0.03081610076588035</x:v>
      </x:c>
    </x:row>
    <x:row r="1399" ht="18" customHeight="1">
      <x:c r="A1399" s="46" t="str">
        <x:v>LME_023</x:v>
      </x:c>
      <x:c r="B1399" s="46" t="str">
        <x:v>Baltic Sea</x:v>
      </x:c>
      <x:c r="C1399" s="46" t="str">
        <x:v>functional</x:v>
      </x:c>
      <x:c r="D1399" s="46" t="str">
        <x:v>Small pelagics (&lt;30 cm)</x:v>
      </x:c>
      <x:c r="E1399" s="66" t="n">
        <x:v>3</x:v>
      </x:c>
      <x:c r="F1399" s="66" t="n">
        <x:v>3</x:v>
      </x:c>
      <x:c r="G1399" s="60" t="n">
        <x:v>355522.2616487636</x:v>
      </x:c>
      <x:c r="H1399" s="60" t="n">
        <x:v>355522.2616487636</x:v>
      </x:c>
      <x:c r="I1399" s="62" t="n">
        <x:v>0</x:v>
      </x:c>
      <x:c r="J1399" s="64" t="n">
        <x:v>1</x:v>
      </x:c>
      <x:c r="K1399" s="62" t="n">
        <x:v>102.32931943975743</x:v>
      </x:c>
      <x:c r="L1399" s="60" t="n">
        <x:v>36380351.08020135</x:v>
      </x:c>
      <x:c r="M1399" s="62" t="n">
        <x:v>3.0100000762827723</x:v>
      </x:c>
      <x:c r="N1399" s="62" t="n">
        <x:v>102.3293172019702</x:v>
      </x:c>
      <x:c r="O1399" s="60" t="n">
        <x:v>36380350.28461818</x:v>
      </x:c>
      <x:c r="P1399" s="60" t="n">
        <x:v>0.7955831736326218</x:v>
      </x:c>
      <x:c r="Q1399" s="62" t="n">
        <x:v>1.000000021868486</x:v>
      </x:c>
      <x:c r="R1399" s="64" t="n">
        <x:v>2.1868485800946202e-8</x:v>
      </x:c>
    </x:row>
    <x:row r="1400" ht="18" customHeight="1">
      <x:c r="A1400" s="46" t="str">
        <x:v>LME_023</x:v>
      </x:c>
      <x:c r="B1400" s="46" t="str">
        <x:v>Baltic Sea</x:v>
      </x:c>
      <x:c r="C1400" s="46" t="str">
        <x:v>functional</x:v>
      </x:c>
      <x:c r="D1400" s="46" t="str">
        <x:v>Small reef assoc. fish (&lt;30 cm)</x:v>
      </x:c>
      <x:c r="E1400" s="66" t="n">
        <x:v>3</x:v>
      </x:c>
      <x:c r="F1400" s="66" t="n">
        <x:v>3</x:v>
      </x:c>
      <x:c r="G1400" s="60" t="n">
        <x:v>1179.1952849763</x:v>
      </x:c>
      <x:c r="H1400" s="60" t="n">
        <x:v>1179.1952849763</x:v>
      </x:c>
      <x:c r="I1400" s="62" t="n">
        <x:v>0</x:v>
      </x:c>
      <x:c r="J1400" s="64" t="n">
        <x:v>1</x:v>
      </x:c>
      <x:c r="K1400" s="62" t="n">
        <x:v>128.92765425496984</x:v>
      </x:c>
      <x:c r="L1400" s="60" t="n">
        <x:v>152030.88200051503</x:v>
      </x:c>
      <x:c r="M1400" s="62" t="n">
        <x:v>3.1102490999260946</x:v>
      </x:c>
      <x:c r="N1400" s="62" t="n">
        <x:v>128.8988669802681</x:v>
      </x:c>
      <x:c r="O1400" s="60" t="n">
        <x:v>151996.93618191945</x:v>
      </x:c>
      <x:c r="P1400" s="60" t="n">
        <x:v>33.94581859558821</x:v>
      </x:c>
      <x:c r="Q1400" s="62" t="n">
        <x:v>1.0002233322555591</x:v>
      </x:c>
      <x:c r="R1400" s="64" t="n">
        <x:v>0.00022333225555914974</x:v>
      </x:c>
    </x:row>
    <x:row r="1401" ht="18" customHeight="1">
      <x:c r="A1401" s="46" t="str">
        <x:v>LME_023</x:v>
      </x:c>
      <x:c r="B1401" s="46" t="str">
        <x:v>Baltic Sea</x:v>
      </x:c>
      <x:c r="C1401" s="46" t="str">
        <x:v>functional</x:v>
      </x:c>
      <x:c r="D1401" s="46" t="str">
        <x:v>Small to medium flatfishes (&lt;90 cm)</x:v>
      </x:c>
      <x:c r="E1401" s="66" t="n">
        <x:v>12</x:v>
      </x:c>
      <x:c r="F1401" s="66" t="n">
        <x:v>12</x:v>
      </x:c>
      <x:c r="G1401" s="60" t="n">
        <x:v>35760.59553051699</x:v>
      </x:c>
      <x:c r="H1401" s="60" t="n">
        <x:v>35760.59553051699</x:v>
      </x:c>
      <x:c r="I1401" s="62" t="n">
        <x:v>0</x:v>
      </x:c>
      <x:c r="J1401" s="64" t="n">
        <x:v>1</x:v>
      </x:c>
      <x:c r="K1401" s="62" t="n">
        <x:v>276.53423492934854</x:v>
      </x:c>
      <x:c r="L1401" s="60" t="n">
        <x:v>9889028.925649397</x:v>
      </x:c>
      <x:c r="M1401" s="62" t="n">
        <x:v>3.4036731814714614</x:v>
      </x:c>
      <x:c r="N1401" s="62" t="n">
        <x:v>253.32215941971873</x:v>
      </x:c>
      <x:c r="O1401" s="60" t="n">
        <x:v>9058951.281925706</x:v>
      </x:c>
      <x:c r="P1401" s="60" t="n">
        <x:v>830077.6437236909</x:v>
      </x:c>
      <x:c r="Q1401" s="62" t="n">
        <x:v>1.0916306554578619</x:v>
      </x:c>
      <x:c r="R1401" s="64" t="n">
        <x:v>0.0916306554578619</x:v>
      </x:c>
    </x:row>
    <x:row r="1402" ht="18" customHeight="1">
      <x:c r="A1402" s="46" t="str">
        <x:v>LME_023</x:v>
      </x:c>
      <x:c r="B1402" s="46" t="str">
        <x:v>Baltic Sea</x:v>
      </x:c>
      <x:c r="C1402" s="46" t="str">
        <x:v>functional</x:v>
      </x:c>
      <x:c r="D1402" s="46" t="str">
        <x:v>Small to medium rays (&lt;90 cm)</x:v>
      </x:c>
      <x:c r="E1402" s="66" t="n">
        <x:v>1</x:v>
      </x:c>
      <x:c r="F1402" s="66" t="n">
        <x:v>1</x:v>
      </x:c>
      <x:c r="G1402" s="60" t="n">
        <x:v>0.021827263200000002</x:v>
      </x:c>
      <x:c r="H1402" s="60" t="n">
        <x:v>0.021827263200000002</x:v>
      </x:c>
      <x:c r="I1402" s="62" t="n">
        <x:v>0</x:v>
      </x:c>
      <x:c r="J1402" s="64" t="n">
        <x:v>1</x:v>
      </x:c>
      <x:c r="K1402" s="62" t="n">
        <x:v>630.957344480193</x:v>
      </x:c>
      <x:c r="L1402" s="60" t="n">
        <x:v>13.772072025942242</x:v>
      </x:c>
      <x:c r="M1402" s="62" t="n">
        <x:v>3.8</x:v>
      </x:c>
      <x:c r="N1402" s="62" t="n">
        <x:v>630.957344480193</x:v>
      </x:c>
      <x:c r="O1402" s="60" t="n">
        <x:v>13.772072025942242</x:v>
      </x:c>
      <x:c r="P1402" s="60" t="n">
        <x:v>0</x:v>
      </x:c>
      <x:c r="Q1402" s="62" t="n">
        <x:v>1</x:v>
      </x:c>
      <x:c r="R1402" s="64" t="n">
        <x:v>0</x:v>
      </x:c>
    </x:row>
    <x:row r="1403" ht="18" customHeight="1">
      <x:c r="A1403" s="46" t="str">
        <x:v>LME_023</x:v>
      </x:c>
      <x:c r="B1403" s="46" t="str">
        <x:v>Baltic Sea</x:v>
      </x:c>
      <x:c r="C1403" s="46" t="str">
        <x:v>functional</x:v>
      </x:c>
      <x:c r="D1403" s="46" t="str">
        <x:v>Small to medium sharks (&lt;90 cm)</x:v>
      </x:c>
      <x:c r="E1403" s="66" t="n">
        <x:v>1</x:v>
      </x:c>
      <x:c r="F1403" s="66" t="n">
        <x:v>1</x:v>
      </x:c>
      <x:c r="G1403" s="60" t="n">
        <x:v>0.0000662737</x:v>
      </x:c>
      <x:c r="H1403" s="60" t="n">
        <x:v>0.0000662737</x:v>
      </x:c>
      <x:c r="I1403" s="62" t="n">
        <x:v>0</x:v>
      </x:c>
      <x:c r="J1403" s="64" t="n">
        <x:v>1</x:v>
      </x:c>
      <x:c r="K1403" s="62" t="n">
        <x:v>660.6934480075957</x:v>
      </x:c>
      <x:c r="L1403" s="60" t="n">
        <x:v>0.043786599365221</x:v>
      </x:c>
      <x:c r="M1403" s="62" t="n">
        <x:v>3.82</x:v>
      </x:c>
      <x:c r="N1403" s="62" t="n">
        <x:v>660.6934480075957</x:v>
      </x:c>
      <x:c r="O1403" s="60" t="n">
        <x:v>0.043786599365221</x:v>
      </x:c>
      <x:c r="P1403" s="60" t="n">
        <x:v>0</x:v>
      </x:c>
      <x:c r="Q1403" s="62" t="n">
        <x:v>1</x:v>
      </x:c>
      <x:c r="R1403" s="64" t="n">
        <x:v>0</x:v>
      </x:c>
    </x:row>
    <x:row r="1404" ht="18" customHeight="1">
      <x:c r="A1404" s="46" t="str">
        <x:v>LME_024</x:v>
      </x:c>
      <x:c r="B1404" s="46" t="str">
        <x:v>Celtic-Biscay Shelf</x:v>
      </x:c>
      <x:c r="C1404" s="46" t="str">
        <x:v>functional</x:v>
      </x:c>
      <x:c r="D1404" s="46" t="str">
        <x:v>Cephalopods</x:v>
      </x:c>
      <x:c r="E1404" s="66" t="n">
        <x:v>18</x:v>
      </x:c>
      <x:c r="F1404" s="66" t="n">
        <x:v>18</x:v>
      </x:c>
      <x:c r="G1404" s="60" t="n">
        <x:v>23035.566241771998</x:v>
      </x:c>
      <x:c r="H1404" s="60" t="n">
        <x:v>23035.566241771998</x:v>
      </x:c>
      <x:c r="I1404" s="62" t="n">
        <x:v>0</x:v>
      </x:c>
      <x:c r="J1404" s="64" t="n">
        <x:v>1</x:v>
      </x:c>
      <x:c r="K1404" s="62" t="n">
        <x:v>1071.7185903080274</x:v>
      </x:c>
      <x:c r="L1404" s="60" t="n">
        <x:v>24687644.57957907</x:v>
      </x:c>
      <x:c r="M1404" s="62" t="n">
        <x:v>3.9487234371652957</x:v>
      </x:c>
      <x:c r="N1404" s="62" t="n">
        <x:v>888.6350464327885</x:v>
      </x:c>
      <x:c r="O1404" s="60" t="n">
        <x:v>20470211.476862635</x:v>
      </x:c>
      <x:c r="P1404" s="60" t="n">
        <x:v>4217433.102716435</x:v>
      </x:c>
      <x:c r="Q1404" s="62" t="n">
        <x:v>1.2060278227942771</x:v>
      </x:c>
      <x:c r="R1404" s="64" t="n">
        <x:v>0.20602782279427723</x:v>
      </x:c>
    </x:row>
    <x:row r="1405" ht="18" customHeight="1">
      <x:c r="A1405" s="46" t="str">
        <x:v>LME_024</x:v>
      </x:c>
      <x:c r="B1405" s="46" t="str">
        <x:v>Celtic-Biscay Shelf</x:v>
      </x:c>
      <x:c r="C1405" s="46" t="str">
        <x:v>functional</x:v>
      </x:c>
      <x:c r="D1405" s="46" t="str">
        <x:v>Large bathydemersals (&gt;=90 cm)</x:v>
      </x:c>
      <x:c r="E1405" s="66" t="n">
        <x:v>7</x:v>
      </x:c>
      <x:c r="F1405" s="66" t="n">
        <x:v>7</x:v>
      </x:c>
      <x:c r="G1405" s="60" t="n">
        <x:v>3303.0021313291</x:v>
      </x:c>
      <x:c r="H1405" s="60" t="n">
        <x:v>3303.0021313291</x:v>
      </x:c>
      <x:c r="I1405" s="62" t="n">
        <x:v>0</x:v>
      </x:c>
      <x:c r="J1405" s="64" t="n">
        <x:v>1</x:v>
      </x:c>
      <x:c r="K1405" s="62" t="n">
        <x:v>2324.3929356232215</x:v>
      </x:c>
      <x:c r="L1405" s="60" t="n">
        <x:v>7677474.820409804</x:v>
      </x:c>
      <x:c r="M1405" s="62" t="n">
        <x:v>4.353509607422495</x:v>
      </x:c>
      <x:c r="N1405" s="62" t="n">
        <x:v>2256.88592156731</x:v>
      </x:c>
      <x:c r="O1405" s="60" t="n">
        <x:v>7454499.009103465</x:v>
      </x:c>
      <x:c r="P1405" s="60" t="n">
        <x:v>222975.81130633876</x:v>
      </x:c>
      <x:c r="Q1405" s="62" t="n">
        <x:v>1.0299115756852393</x:v>
      </x:c>
      <x:c r="R1405" s="64" t="n">
        <x:v>0.02991157568523918</x:v>
      </x:c>
    </x:row>
    <x:row r="1406" ht="18" customHeight="1">
      <x:c r="A1406" s="46" t="str">
        <x:v>LME_024</x:v>
      </x:c>
      <x:c r="B1406" s="46" t="str">
        <x:v>Celtic-Biscay Shelf</x:v>
      </x:c>
      <x:c r="C1406" s="46" t="str">
        <x:v>functional</x:v>
      </x:c>
      <x:c r="D1406" s="46" t="str">
        <x:v>Large bathypelagics (&gt;=90 cm)</x:v>
      </x:c>
      <x:c r="E1406" s="66" t="n">
        <x:v>4</x:v>
      </x:c>
      <x:c r="F1406" s="66" t="n">
        <x:v>4</x:v>
      </x:c>
      <x:c r="G1406" s="60" t="n">
        <x:v>502.240970406</x:v>
      </x:c>
      <x:c r="H1406" s="60" t="n">
        <x:v>502.240970406</x:v>
      </x:c>
      <x:c r="I1406" s="62" t="n">
        <x:v>0</x:v>
      </x:c>
      <x:c r="J1406" s="64" t="n">
        <x:v>1</x:v>
      </x:c>
      <x:c r="K1406" s="62" t="n">
        <x:v>354.98370558259836</x:v>
      </x:c>
      <x:c r="L1406" s="60" t="n">
        <x:v>178287.360770122</x:v>
      </x:c>
      <x:c r="M1406" s="62" t="n">
        <x:v>3.543595824316292</x:v>
      </x:c>
      <x:c r="N1406" s="62" t="n">
        <x:v>349.619642440158</x:v>
      </x:c>
      <x:c r="O1406" s="60" t="n">
        <x:v>175593.30849214367</x:v>
      </x:c>
      <x:c r="P1406" s="60" t="n">
        <x:v>2694.052277978335</x:v>
      </x:c>
      <x:c r="Q1406" s="62" t="n">
        <x:v>1.0153425680119175</x:v>
      </x:c>
      <x:c r="R1406" s="64" t="n">
        <x:v>0.015342568011917558</x:v>
      </x:c>
    </x:row>
    <x:row r="1407" ht="18" customHeight="1">
      <x:c r="A1407" s="46" t="str">
        <x:v>LME_024</x:v>
      </x:c>
      <x:c r="B1407" s="46" t="str">
        <x:v>Celtic-Biscay Shelf</x:v>
      </x:c>
      <x:c r="C1407" s="46" t="str">
        <x:v>functional</x:v>
      </x:c>
      <x:c r="D1407" s="46" t="str">
        <x:v>Large benthopelagics (&gt;=90 cm)</x:v>
      </x:c>
      <x:c r="E1407" s="66" t="n">
        <x:v>16</x:v>
      </x:c>
      <x:c r="F1407" s="66" t="n">
        <x:v>16</x:v>
      </x:c>
      <x:c r="G1407" s="60" t="n">
        <x:v>11334.6682364972</x:v>
      </x:c>
      <x:c r="H1407" s="60" t="n">
        <x:v>11334.6682364972</x:v>
      </x:c>
      <x:c r="I1407" s="62" t="n">
        <x:v>0</x:v>
      </x:c>
      <x:c r="J1407" s="64" t="n">
        <x:v>1</x:v>
      </x:c>
      <x:c r="K1407" s="62" t="n">
        <x:v>1619.096929718896</x:v>
      </x:c>
      <x:c r="L1407" s="60" t="n">
        <x:v>18351926.54109491</x:v>
      </x:c>
      <x:c r="M1407" s="62" t="n">
        <x:v>4.163036179172793</x:v>
      </x:c>
      <x:c r="N1407" s="62" t="n">
        <x:v>1455.580333559265</x:v>
      </x:c>
      <x:c r="O1407" s="60" t="n">
        <x:v>16498520.172464201</x:v>
      </x:c>
      <x:c r="P1407" s="60" t="n">
        <x:v>1853406.3686307091</x:v>
      </x:c>
      <x:c r="Q1407" s="62" t="n">
        <x:v>1.1123377338850073</x:v>
      </x:c>
      <x:c r="R1407" s="64" t="n">
        <x:v>0.11233773388500735</x:v>
      </x:c>
    </x:row>
    <x:row r="1408" ht="18" customHeight="1">
      <x:c r="A1408" s="46" t="str">
        <x:v>LME_024</x:v>
      </x:c>
      <x:c r="B1408" s="46" t="str">
        <x:v>Celtic-Biscay Shelf</x:v>
      </x:c>
      <x:c r="C1408" s="46" t="str">
        <x:v>functional</x:v>
      </x:c>
      <x:c r="D1408" s="46" t="str">
        <x:v>Large demersals (&gt;=90 cm)</x:v>
      </x:c>
      <x:c r="E1408" s="66" t="n">
        <x:v>17</x:v>
      </x:c>
      <x:c r="F1408" s="66" t="n">
        <x:v>17</x:v>
      </x:c>
      <x:c r="G1408" s="60" t="n">
        <x:v>64021.1661139796</x:v>
      </x:c>
      <x:c r="H1408" s="60" t="n">
        <x:v>64021.1661139796</x:v>
      </x:c>
      <x:c r="I1408" s="62" t="n">
        <x:v>0</x:v>
      </x:c>
      <x:c r="J1408" s="64" t="n">
        <x:v>1</x:v>
      </x:c>
      <x:c r="K1408" s="62" t="n">
        <x:v>2432.9369653775443</x:v>
      </x:c>
      <x:c r="L1408" s="60" t="n">
        <x:v>155759461.60527718</x:v>
      </x:c>
      <x:c r="M1408" s="62" t="n">
        <x:v>4.366725868769138</x:v>
      </x:c>
      <x:c r="N1408" s="62" t="n">
        <x:v>2326.622205740753</x:v>
      </x:c>
      <x:c r="O1408" s="60" t="n">
        <x:v>148953066.71820238</x:v>
      </x:c>
      <x:c r="P1408" s="60" t="n">
        <x:v>6806394.887074798</x:v>
      </x:c>
      <x:c r="Q1408" s="62" t="n">
        <x:v>1.0456948959631125</x:v>
      </x:c>
      <x:c r="R1408" s="64" t="n">
        <x:v>0.0456948959631124</x:v>
      </x:c>
    </x:row>
    <x:row r="1409" ht="18" customHeight="1">
      <x:c r="A1409" s="46" t="str">
        <x:v>LME_024</x:v>
      </x:c>
      <x:c r="B1409" s="46" t="str">
        <x:v>Celtic-Biscay Shelf</x:v>
      </x:c>
      <x:c r="C1409" s="46" t="str">
        <x:v>functional</x:v>
      </x:c>
      <x:c r="D1409" s="46" t="str">
        <x:v>Large flatfishes (&gt;=90 cm)</x:v>
      </x:c>
      <x:c r="E1409" s="66" t="n">
        <x:v>3</x:v>
      </x:c>
      <x:c r="F1409" s="66" t="n">
        <x:v>3</x:v>
      </x:c>
      <x:c r="G1409" s="60" t="n">
        <x:v>11610.1101318199</x:v>
      </x:c>
      <x:c r="H1409" s="60" t="n">
        <x:v>11610.1101318199</x:v>
      </x:c>
      <x:c r="I1409" s="62" t="n">
        <x:v>0</x:v>
      </x:c>
      <x:c r="J1409" s="64" t="n">
        <x:v>1</x:v>
      </x:c>
      <x:c r="K1409" s="62" t="n">
        <x:v>420.71628777396654</x:v>
      </x:c>
      <x:c r="L1409" s="60" t="n">
        <x:v>4884562.435306186</x:v>
      </x:c>
      <x:c r="M1409" s="62" t="n">
        <x:v>3.384639012742936</x:v>
      </x:c>
      <x:c r="N1409" s="62" t="n">
        <x:v>242.4593925403823</x:v>
      </x:c>
      <x:c r="O1409" s="60" t="n">
        <x:v>2814980.2498879908</x:v>
      </x:c>
      <x:c r="P1409" s="60" t="n">
        <x:v>2069582.185418195</x:v>
      </x:c>
      <x:c r="Q1409" s="62" t="n">
        <x:v>1.7352030926329038</x:v>
      </x:c>
      <x:c r="R1409" s="64" t="n">
        <x:v>0.7352030926329037</x:v>
      </x:c>
    </x:row>
    <x:row r="1410" ht="18" customHeight="1">
      <x:c r="A1410" s="46" t="str">
        <x:v>LME_024</x:v>
      </x:c>
      <x:c r="B1410" s="46" t="str">
        <x:v>Celtic-Biscay Shelf</x:v>
      </x:c>
      <x:c r="C1410" s="46" t="str">
        <x:v>functional</x:v>
      </x:c>
      <x:c r="D1410" s="46" t="str">
        <x:v>Large pelagics (&gt;=90 cm)</x:v>
      </x:c>
      <x:c r="E1410" s="66" t="n">
        <x:v>15</x:v>
      </x:c>
      <x:c r="F1410" s="66" t="n">
        <x:v>15</x:v>
      </x:c>
      <x:c r="G1410" s="60" t="n">
        <x:v>2940.8439910557</x:v>
      </x:c>
      <x:c r="H1410" s="60" t="n">
        <x:v>2940.8439910557</x:v>
      </x:c>
      <x:c r="I1410" s="62" t="n">
        <x:v>0</x:v>
      </x:c>
      <x:c r="J1410" s="64" t="n">
        <x:v>1</x:v>
      </x:c>
      <x:c r="K1410" s="62" t="n">
        <x:v>2216.557787319476</x:v>
      </x:c>
      <x:c r="L1410" s="60" t="n">
        <x:v>6518550.649666199</x:v>
      </x:c>
      <x:c r="M1410" s="62" t="n">
        <x:v>4.339233822418315</x:v>
      </x:c>
      <x:c r="N1410" s="62" t="n">
        <x:v>2183.905401340001</x:v>
      </x:c>
      <x:c r="O1410" s="60" t="n">
        <x:v>6422525.076564829</x:v>
      </x:c>
      <x:c r="P1410" s="60" t="n">
        <x:v>96025.5731013706</x:v>
      </x:c>
      <x:c r="Q1410" s="62" t="n">
        <x:v>1.0149513737909344</x:v>
      </x:c>
      <x:c r="R1410" s="64" t="n">
        <x:v>0.014951373790934442</x:v>
      </x:c>
    </x:row>
    <x:row r="1411" ht="18" customHeight="1">
      <x:c r="A1411" s="46" t="str">
        <x:v>LME_024</x:v>
      </x:c>
      <x:c r="B1411" s="46" t="str">
        <x:v>Celtic-Biscay Shelf</x:v>
      </x:c>
      <x:c r="C1411" s="46" t="str">
        <x:v>functional</x:v>
      </x:c>
      <x:c r="D1411" s="46" t="str">
        <x:v>Large rays (&gt;=90 cm)</x:v>
      </x:c>
      <x:c r="E1411" s="66" t="n">
        <x:v>17</x:v>
      </x:c>
      <x:c r="F1411" s="66" t="n">
        <x:v>17</x:v>
      </x:c>
      <x:c r="G1411" s="60" t="n">
        <x:v>6493.6687386614</x:v>
      </x:c>
      <x:c r="H1411" s="60" t="n">
        <x:v>6493.6687386614</x:v>
      </x:c>
      <x:c r="I1411" s="62" t="n">
        <x:v>0</x:v>
      </x:c>
      <x:c r="J1411" s="64" t="n">
        <x:v>1</x:v>
      </x:c>
      <x:c r="K1411" s="62" t="n">
        <x:v>695.2963473785755</x:v>
      </x:c>
      <x:c r="L1411" s="60" t="n">
        <x:v>4515024.155077714</x:v>
      </x:c>
      <x:c r="M1411" s="62" t="n">
        <x:v>3.8274665064395577</x:v>
      </x:c>
      <x:c r="N1411" s="62" t="n">
        <x:v>672.1504696766832</x:v>
      </x:c>
      <x:c r="O1411" s="60" t="n">
        <x:v>4364722.4926160555</x:v>
      </x:c>
      <x:c r="P1411" s="60" t="n">
        <x:v>150301.662461658</x:v>
      </x:c>
      <x:c r="Q1411" s="62" t="n">
        <x:v>1.0344355598130073</x:v>
      </x:c>
      <x:c r="R1411" s="64" t="n">
        <x:v>0.03443555981300719</x:v>
      </x:c>
    </x:row>
    <x:row r="1412" ht="18" customHeight="1">
      <x:c r="A1412" s="46" t="str">
        <x:v>LME_024</x:v>
      </x:c>
      <x:c r="B1412" s="46" t="str">
        <x:v>Celtic-Biscay Shelf</x:v>
      </x:c>
      <x:c r="C1412" s="46" t="str">
        <x:v>functional</x:v>
      </x:c>
      <x:c r="D1412" s="46" t="str">
        <x:v>Large reef assoc. fish (&gt;=90 cm)</x:v>
      </x:c>
      <x:c r="E1412" s="66" t="n">
        <x:v>8</x:v>
      </x:c>
      <x:c r="F1412" s="66" t="n">
        <x:v>8</x:v>
      </x:c>
      <x:c r="G1412" s="60" t="n">
        <x:v>225.11096351080002</x:v>
      </x:c>
      <x:c r="H1412" s="60" t="n">
        <x:v>225.11096351080002</x:v>
      </x:c>
      <x:c r="I1412" s="62" t="n">
        <x:v>0</x:v>
      </x:c>
      <x:c r="J1412" s="64" t="n">
        <x:v>1</x:v>
      </x:c>
      <x:c r="K1412" s="62" t="n">
        <x:v>714.6599813039878</x:v>
      </x:c>
      <x:c r="L1412" s="60" t="n">
        <x:v>160877.79697395102</x:v>
      </x:c>
      <x:c r="M1412" s="62" t="n">
        <x:v>3.847234679937922</x:v>
      </x:c>
      <x:c r="N1412" s="62" t="n">
        <x:v>703.4523421107839</x:v>
      </x:c>
      <x:c r="O1412" s="60" t="n">
        <x:v>158354.8345164875</x:v>
      </x:c>
      <x:c r="P1412" s="60" t="n">
        <x:v>2522.9624574635236</x:v>
      </x:c>
      <x:c r="Q1412" s="62" t="n">
        <x:v>1.0159323361687504</x:v>
      </x:c>
      <x:c r="R1412" s="64" t="n">
        <x:v>0.015932336168750436</x:v>
      </x:c>
    </x:row>
    <x:row r="1413" ht="18" customHeight="1">
      <x:c r="A1413" s="46" t="str">
        <x:v>LME_024</x:v>
      </x:c>
      <x:c r="B1413" s="46" t="str">
        <x:v>Celtic-Biscay Shelf</x:v>
      </x:c>
      <x:c r="C1413" s="46" t="str">
        <x:v>functional</x:v>
      </x:c>
      <x:c r="D1413" s="46" t="str">
        <x:v>Large sharks (&gt;=90 cm)</x:v>
      </x:c>
      <x:c r="E1413" s="66" t="n">
        <x:v>21</x:v>
      </x:c>
      <x:c r="F1413" s="66" t="n">
        <x:v>21</x:v>
      </x:c>
      <x:c r="G1413" s="60" t="n">
        <x:v>13628.0902374108</x:v>
      </x:c>
      <x:c r="H1413" s="60" t="n">
        <x:v>13628.0902374108</x:v>
      </x:c>
      <x:c r="I1413" s="62" t="n">
        <x:v>0</x:v>
      </x:c>
      <x:c r="J1413" s="64" t="n">
        <x:v>1</x:v>
      </x:c>
      <x:c r="K1413" s="62" t="n">
        <x:v>1290.2436274507477</x:v>
      </x:c>
      <x:c r="L1413" s="60" t="n">
        <x:v>17583556.58314303</x:v>
      </x:c>
      <x:c r="M1413" s="62" t="n">
        <x:v>4.062351560966312</x:v>
      </x:c>
      <x:c r="N1413" s="62" t="n">
        <x:v>1154.3873551507768</x:v>
      </x:c>
      <x:c r="O1413" s="60" t="n">
        <x:v>15732095.044920774</x:v>
      </x:c>
      <x:c r="P1413" s="60" t="n">
        <x:v>1851461.5382222552</x:v>
      </x:c>
      <x:c r="Q1413" s="62" t="n">
        <x:v>1.1176869026620846</x:v>
      </x:c>
      <x:c r="R1413" s="64" t="n">
        <x:v>0.11768690266208463</x:v>
      </x:c>
    </x:row>
    <x:row r="1414" ht="18" customHeight="1">
      <x:c r="A1414" s="46" t="str">
        <x:v>LME_024</x:v>
      </x:c>
      <x:c r="B1414" s="46" t="str">
        <x:v>Celtic-Biscay Shelf</x:v>
      </x:c>
      <x:c r="C1414" s="46" t="str">
        <x:v>functional</x:v>
      </x:c>
      <x:c r="D1414" s="46" t="str">
        <x:v>Lobsters, crabs</x:v>
      </x:c>
      <x:c r="E1414" s="66" t="n">
        <x:v>16</x:v>
      </x:c>
      <x:c r="F1414" s="66" t="n">
        <x:v>16</x:v>
      </x:c>
      <x:c r="G1414" s="60" t="n">
        <x:v>49997.756490729495</x:v>
      </x:c>
      <x:c r="H1414" s="60" t="n">
        <x:v>49997.756490729495</x:v>
      </x:c>
      <x:c r="I1414" s="62" t="n">
        <x:v>0</x:v>
      </x:c>
      <x:c r="J1414" s="64" t="n">
        <x:v>1</x:v>
      </x:c>
      <x:c r="K1414" s="62" t="n">
        <x:v>125.09872655749557</x:v>
      </x:c>
      <x:c r="L1414" s="60" t="n">
        <x:v>6254655.667722018</x:v>
      </x:c>
      <x:c r="M1414" s="62" t="n">
        <x:v>3.027793557984075</x:v>
      </x:c>
      <x:c r="N1414" s="62" t="n">
        <x:v>106.60892349188804</x:v>
      </x:c>
      <x:c r="O1414" s="60" t="n">
        <x:v>5330206.996486229</x:v>
      </x:c>
      <x:c r="P1414" s="60" t="n">
        <x:v>924448.6712357895</x:v>
      </x:c>
      <x:c r="Q1414" s="62" t="n">
        <x:v>1.173435791864219</x:v>
      </x:c>
      <x:c r="R1414" s="64" t="n">
        <x:v>0.173435791864219</x:v>
      </x:c>
    </x:row>
    <x:row r="1415" ht="18" customHeight="1">
      <x:c r="A1415" s="46" t="str">
        <x:v>LME_024</x:v>
      </x:c>
      <x:c r="B1415" s="46" t="str">
        <x:v>Celtic-Biscay Shelf</x:v>
      </x:c>
      <x:c r="C1415" s="46" t="str">
        <x:v>functional</x:v>
      </x:c>
      <x:c r="D1415" s="46" t="str">
        <x:v>Medium bathydemersals (30 - 89 cm)</x:v>
      </x:c>
      <x:c r="E1415" s="66" t="n">
        <x:v>11</x:v>
      </x:c>
      <x:c r="F1415" s="66" t="n">
        <x:v>11</x:v>
      </x:c>
      <x:c r="G1415" s="60" t="n">
        <x:v>42224.7281989475</x:v>
      </x:c>
      <x:c r="H1415" s="60" t="n">
        <x:v>42224.7281989475</x:v>
      </x:c>
      <x:c r="I1415" s="62" t="n">
        <x:v>0</x:v>
      </x:c>
      <x:c r="J1415" s="64" t="n">
        <x:v>1</x:v>
      </x:c>
      <x:c r="K1415" s="62" t="n">
        <x:v>2209.5210690533686</x:v>
      </x:c>
      <x:c r="L1415" s="60" t="n">
        <x:v>93296426.5906264</x:v>
      </x:c>
      <x:c r="M1415" s="62" t="n">
        <x:v>4.177700433518736</x:v>
      </x:c>
      <x:c r="N1415" s="62" t="n">
        <x:v>1505.568201145155</x:v>
      </x:c>
      <x:c r="O1415" s="60" t="n">
        <x:v>63572208.07833249</x:v>
      </x:c>
      <x:c r="P1415" s="60" t="n">
        <x:v>29724218.512293912</x:v>
      </x:c>
      <x:c r="Q1415" s="62" t="n">
        <x:v>1.4675662433443917</x:v>
      </x:c>
      <x:c r="R1415" s="64" t="n">
        <x:v>0.4675662433443917</x:v>
      </x:c>
    </x:row>
    <x:row r="1416" ht="18" customHeight="1">
      <x:c r="A1416" s="46" t="str">
        <x:v>LME_024</x:v>
      </x:c>
      <x:c r="B1416" s="46" t="str">
        <x:v>Celtic-Biscay Shelf</x:v>
      </x:c>
      <x:c r="C1416" s="46" t="str">
        <x:v>functional</x:v>
      </x:c>
      <x:c r="D1416" s="46" t="str">
        <x:v>Medium bathypelagics (30 - 89 cm)</x:v>
      </x:c>
      <x:c r="E1416" s="66" t="n">
        <x:v>3</x:v>
      </x:c>
      <x:c r="F1416" s="66" t="n">
        <x:v>3</x:v>
      </x:c>
      <x:c r="G1416" s="60" t="n">
        <x:v>533.8130162827999</x:v>
      </x:c>
      <x:c r="H1416" s="60" t="n">
        <x:v>533.8130162827999</x:v>
      </x:c>
      <x:c r="I1416" s="62" t="n">
        <x:v>0</x:v>
      </x:c>
      <x:c r="J1416" s="64" t="n">
        <x:v>1</x:v>
      </x:c>
      <x:c r="K1416" s="62" t="n">
        <x:v>1158.8845268860075</x:v>
      </x:c>
      <x:c r="L1416" s="60" t="n">
        <x:v>618627.6448204853</x:v>
      </x:c>
      <x:c r="M1416" s="62" t="n">
        <x:v>4.057614866773166</x:v>
      </x:c>
      <x:c r="N1416" s="62" t="n">
        <x:v>1141.8652772230946</x:v>
      </x:c>
      <x:c r="O1416" s="60" t="n">
        <x:v>609542.5478230556</x:v>
      </x:c>
      <x:c r="P1416" s="60" t="n">
        <x:v>9085.096997429617</x:v>
      </x:c>
      <x:c r="Q1416" s="62" t="n">
        <x:v>1.0149047790509071</x:v>
      </x:c>
      <x:c r="R1416" s="64" t="n">
        <x:v>0.014904779050907096</x:v>
      </x:c>
    </x:row>
    <x:row r="1417" ht="18" customHeight="1">
      <x:c r="A1417" s="46" t="str">
        <x:v>LME_024</x:v>
      </x:c>
      <x:c r="B1417" s="46" t="str">
        <x:v>Celtic-Biscay Shelf</x:v>
      </x:c>
      <x:c r="C1417" s="46" t="str">
        <x:v>functional</x:v>
      </x:c>
      <x:c r="D1417" s="46" t="str">
        <x:v>Medium benthopelagics (30 - 89 cm)</x:v>
      </x:c>
      <x:c r="E1417" s="66" t="n">
        <x:v>34</x:v>
      </x:c>
      <x:c r="F1417" s="66" t="n">
        <x:v>34</x:v>
      </x:c>
      <x:c r="G1417" s="60" t="n">
        <x:v>330489.95535401854</x:v>
      </x:c>
      <x:c r="H1417" s="60" t="n">
        <x:v>330489.95535401854</x:v>
      </x:c>
      <x:c r="I1417" s="62" t="n">
        <x:v>0</x:v>
      </x:c>
      <x:c r="J1417" s="64" t="n">
        <x:v>1</x:v>
      </x:c>
      <x:c r="K1417" s="62" t="n">
        <x:v>1367.846313088821</x:v>
      </x:c>
      <x:c r="L1417" s="60" t="n">
        <x:v>452059466.94388336</x:v>
      </x:c>
      <x:c r="M1417" s="62" t="n">
        <x:v>4.121734642994178</x:v>
      </x:c>
      <x:c r="N1417" s="62" t="n">
        <x:v>1323.5326002901186</x:v>
      </x:c>
      <x:c r="O1417" s="60" t="n">
        <x:v>437414229.97946936</x:v>
      </x:c>
      <x:c r="P1417" s="60" t="n">
        <x:v>14645236.964414</x:v>
      </x:c>
      <x:c r="Q1417" s="62" t="n">
        <x:v>1.0334813912320626</x:v>
      </x:c>
      <x:c r="R1417" s="64" t="n">
        <x:v>0.033481391232062556</x:v>
      </x:c>
    </x:row>
    <x:row r="1418" ht="18" customHeight="1">
      <x:c r="A1418" s="46" t="str">
        <x:v>LME_024</x:v>
      </x:c>
      <x:c r="B1418" s="46" t="str">
        <x:v>Celtic-Biscay Shelf</x:v>
      </x:c>
      <x:c r="C1418" s="46" t="str">
        <x:v>functional</x:v>
      </x:c>
      <x:c r="D1418" s="46" t="str">
        <x:v>Medium demersals (30 - 89 cm)</x:v>
      </x:c>
      <x:c r="E1418" s="66" t="n">
        <x:v>35</x:v>
      </x:c>
      <x:c r="F1418" s="66" t="n">
        <x:v>35</x:v>
      </x:c>
      <x:c r="G1418" s="60" t="n">
        <x:v>78687.93551411972</x:v>
      </x:c>
      <x:c r="H1418" s="60" t="n">
        <x:v>78687.93551411972</x:v>
      </x:c>
      <x:c r="I1418" s="62" t="n">
        <x:v>0</x:v>
      </x:c>
      <x:c r="J1418" s="64" t="n">
        <x:v>1</x:v>
      </x:c>
      <x:c r="K1418" s="62" t="n">
        <x:v>505.2408323323343</x:v>
      </x:c>
      <x:c r="L1418" s="60" t="n">
        <x:v>39756358.033666894</x:v>
      </x:c>
      <x:c r="M1418" s="62" t="n">
        <x:v>3.5791232622662763</x:v>
      </x:c>
      <x:c r="N1418" s="62" t="n">
        <x:v>379.42265813632633</x:v>
      </x:c>
      <x:c r="O1418" s="60" t="n">
        <x:v>29855985.65602714</x:v>
      </x:c>
      <x:c r="P1418" s="60" t="n">
        <x:v>9900372.377639756</x:v>
      </x:c>
      <x:c r="Q1418" s="62" t="n">
        <x:v>1.3316042716426322</x:v>
      </x:c>
      <x:c r="R1418" s="64" t="n">
        <x:v>0.3316042716426323</x:v>
      </x:c>
    </x:row>
    <x:row r="1419" ht="18" customHeight="1">
      <x:c r="A1419" s="46" t="str">
        <x:v>LME_024</x:v>
      </x:c>
      <x:c r="B1419" s="46" t="str">
        <x:v>Celtic-Biscay Shelf</x:v>
      </x:c>
      <x:c r="C1419" s="46" t="str">
        <x:v>functional</x:v>
      </x:c>
      <x:c r="D1419" s="46" t="str">
        <x:v>Medium pelagics (30 - 89 cm)</x:v>
      </x:c>
      <x:c r="E1419" s="66" t="n">
        <x:v>25</x:v>
      </x:c>
      <x:c r="F1419" s="66" t="n">
        <x:v>25</x:v>
      </x:c>
      <x:c r="G1419" s="60" t="n">
        <x:v>275446.120372709</x:v>
      </x:c>
      <x:c r="H1419" s="60" t="n">
        <x:v>275446.120372709</x:v>
      </x:c>
      <x:c r="I1419" s="62" t="n">
        <x:v>0</x:v>
      </x:c>
      <x:c r="J1419" s="64" t="n">
        <x:v>1</x:v>
      </x:c>
      <x:c r="K1419" s="62" t="n">
        <x:v>443.66839668567246</x:v>
      </x:c>
      <x:c r="L1419" s="60" t="n">
        <x:v>122206738.59904854</x:v>
      </x:c>
      <x:c r="M1419" s="62" t="n">
        <x:v>3.6079601160511316</x:v>
      </x:c>
      <x:c r="N1419" s="62" t="n">
        <x:v>405.4712968010054</x:v>
      </x:c>
      <x:c r="O1419" s="60" t="n">
        <x:v>111685495.62632816</x:v>
      </x:c>
      <x:c r="P1419" s="60" t="n">
        <x:v>10521242.972720385</x:v>
      </x:c>
      <x:c r="Q1419" s="62" t="n">
        <x:v>1.0942042018412297</x:v>
      </x:c>
      <x:c r="R1419" s="64" t="n">
        <x:v>0.09420420184122962</x:v>
      </x:c>
    </x:row>
    <x:row r="1420" ht="18" customHeight="1">
      <x:c r="A1420" s="46" t="str">
        <x:v>LME_024</x:v>
      </x:c>
      <x:c r="B1420" s="46" t="str">
        <x:v>Celtic-Biscay Shelf</x:v>
      </x:c>
      <x:c r="C1420" s="46" t="str">
        <x:v>functional</x:v>
      </x:c>
      <x:c r="D1420" s="46" t="str">
        <x:v>Medium reef assoc. fish (30 - 89 cm)</x:v>
      </x:c>
      <x:c r="E1420" s="66" t="n">
        <x:v>8</x:v>
      </x:c>
      <x:c r="F1420" s="66" t="n">
        <x:v>8</x:v>
      </x:c>
      <x:c r="G1420" s="60" t="n">
        <x:v>4381.5160343978</x:v>
      </x:c>
      <x:c r="H1420" s="60" t="n">
        <x:v>4381.5160343978</x:v>
      </x:c>
      <x:c r="I1420" s="62" t="n">
        <x:v>0</x:v>
      </x:c>
      <x:c r="J1420" s="64" t="n">
        <x:v>1</x:v>
      </x:c>
      <x:c r="K1420" s="62" t="n">
        <x:v>158.86822078858725</x:v>
      </x:c>
      <x:c r="L1420" s="60" t="n">
        <x:v>696083.6567414448</x:v>
      </x:c>
      <x:c r="M1420" s="62" t="n">
        <x:v>3.033317801119707</x:v>
      </x:c>
      <x:c r="N1420" s="62" t="n">
        <x:v>107.97365456763686</x:v>
      </x:c>
      <x:c r="O1420" s="60" t="n">
        <x:v>473088.2987806301</x:v>
      </x:c>
      <x:c r="P1420" s="60" t="n">
        <x:v>222995.35796081473</x:v>
      </x:c>
      <x:c r="Q1420" s="62" t="n">
        <x:v>1.4713609669391066</x:v>
      </x:c>
      <x:c r="R1420" s="64" t="n">
        <x:v>0.4713609669391065</x:v>
      </x:c>
    </x:row>
    <x:row r="1421" ht="18" customHeight="1">
      <x:c r="A1421" s="46" t="str">
        <x:v>LME_024</x:v>
      </x:c>
      <x:c r="B1421" s="46" t="str">
        <x:v>Celtic-Biscay Shelf</x:v>
      </x:c>
      <x:c r="C1421" s="46" t="str">
        <x:v>functional</x:v>
      </x:c>
      <x:c r="D1421" s="46" t="str">
        <x:v>Other demersal invertebrates</x:v>
      </x:c>
      <x:c r="E1421" s="66" t="n">
        <x:v>54</x:v>
      </x:c>
      <x:c r="F1421" s="66" t="n">
        <x:v>54</x:v>
      </x:c>
      <x:c r="G1421" s="60" t="n">
        <x:v>103471.15283692871</x:v>
      </x:c>
      <x:c r="H1421" s="60" t="n">
        <x:v>103471.15283692871</x:v>
      </x:c>
      <x:c r="I1421" s="62" t="n">
        <x:v>0</x:v>
      </x:c>
      <x:c r="J1421" s="64" t="n">
        <x:v>1</x:v>
      </x:c>
      <x:c r="K1421" s="62" t="n">
        <x:v>169.72701944561905</x:v>
      </x:c>
      <x:c r="L1421" s="60" t="n">
        <x:v>17561850.36961402</x:v>
      </x:c>
      <x:c r="M1421" s="62" t="n">
        <x:v>2.5183527882466157</x:v>
      </x:c>
      <x:c r="N1421" s="62" t="n">
        <x:v>32.98775711524762</x:v>
      </x:c>
      <x:c r="O1421" s="60" t="n">
        <x:v>3413281.2582192686</x:v>
      </x:c>
      <x:c r="P1421" s="60" t="n">
        <x:v>14148569.111394752</x:v>
      </x:c>
      <x:c r="Q1421" s="62" t="n">
        <x:v>5.145151846870115</x:v>
      </x:c>
      <x:c r="R1421" s="64" t="n">
        <x:v>4.145151846870115</x:v>
      </x:c>
    </x:row>
    <x:row r="1422" ht="18" customHeight="1">
      <x:c r="A1422" s="46" t="str">
        <x:v>LME_024</x:v>
      </x:c>
      <x:c r="B1422" s="46" t="str">
        <x:v>Celtic-Biscay Shelf</x:v>
      </x:c>
      <x:c r="C1422" s="46" t="str">
        <x:v>functional</x:v>
      </x:c>
      <x:c r="D1422" s="46" t="str">
        <x:v>Shrimps</x:v>
      </x:c>
      <x:c r="E1422" s="66" t="n">
        <x:v>13</x:v>
      </x:c>
      <x:c r="F1422" s="66" t="n">
        <x:v>13</x:v>
      </x:c>
      <x:c r="G1422" s="60" t="n">
        <x:v>6301.0128806085</x:v>
      </x:c>
      <x:c r="H1422" s="60" t="n">
        <x:v>6301.0128806085</x:v>
      </x:c>
      <x:c r="I1422" s="62" t="n">
        <x:v>0</x:v>
      </x:c>
      <x:c r="J1422" s="64" t="n">
        <x:v>1</x:v>
      </x:c>
      <x:c r="K1422" s="62" t="n">
        <x:v>83.012211190617</x:v>
      </x:c>
      <x:c r="L1422" s="60" t="n">
        <x:v>523061.0119598708</x:v>
      </x:c>
      <x:c r="M1422" s="62" t="n">
        <x:v>2.8534163623914193</x:v>
      </x:c>
      <x:c r="N1422" s="62" t="n">
        <x:v>71.35367770430332</x:v>
      </x:c>
      <x:c r="O1422" s="60" t="n">
        <x:v>449600.4422936028</x:v>
      </x:c>
      <x:c r="P1422" s="60" t="n">
        <x:v>73460.56966626801</x:v>
      </x:c>
      <x:c r="Q1422" s="62" t="n">
        <x:v>1.163390786031069</x:v>
      </x:c>
      <x:c r="R1422" s="64" t="n">
        <x:v>0.16339078603106894</x:v>
      </x:c>
    </x:row>
    <x:row r="1423" ht="18" customHeight="1">
      <x:c r="A1423" s="46" t="str">
        <x:v>LME_024</x:v>
      </x:c>
      <x:c r="B1423" s="46" t="str">
        <x:v>Celtic-Biscay Shelf</x:v>
      </x:c>
      <x:c r="C1423" s="46" t="str">
        <x:v>functional</x:v>
      </x:c>
      <x:c r="D1423" s="46" t="str">
        <x:v>Small bathydemersals (&lt;30 cm)</x:v>
      </x:c>
      <x:c r="E1423" s="66" t="n">
        <x:v>1</x:v>
      </x:c>
      <x:c r="F1423" s="66" t="n">
        <x:v>1</x:v>
      </x:c>
      <x:c r="G1423" s="60" t="n">
        <x:v>39.8479686767</x:v>
      </x:c>
      <x:c r="H1423" s="60" t="n">
        <x:v>39.8479686767</x:v>
      </x:c>
      <x:c r="I1423" s="62" t="n">
        <x:v>0</x:v>
      </x:c>
      <x:c r="J1423" s="64" t="n">
        <x:v>1</x:v>
      </x:c>
      <x:c r="K1423" s="62" t="n">
        <x:v>346.73685045253166</x:v>
      </x:c>
      <x:c r="L1423" s="60" t="n">
        <x:v>13816.759155890093</x:v>
      </x:c>
      <x:c r="M1423" s="62" t="n">
        <x:v>3.54</x:v>
      </x:c>
      <x:c r="N1423" s="62" t="n">
        <x:v>346.73685045253166</x:v>
      </x:c>
      <x:c r="O1423" s="60" t="n">
        <x:v>13816.759155890093</x:v>
      </x:c>
      <x:c r="P1423" s="60" t="n">
        <x:v>0</x:v>
      </x:c>
      <x:c r="Q1423" s="62" t="n">
        <x:v>1</x:v>
      </x:c>
      <x:c r="R1423" s="64" t="n">
        <x:v>0</x:v>
      </x:c>
    </x:row>
    <x:row r="1424" ht="18" customHeight="1">
      <x:c r="A1424" s="46" t="str">
        <x:v>LME_024</x:v>
      </x:c>
      <x:c r="B1424" s="46" t="str">
        <x:v>Celtic-Biscay Shelf</x:v>
      </x:c>
      <x:c r="C1424" s="46" t="str">
        <x:v>functional</x:v>
      </x:c>
      <x:c r="D1424" s="46" t="str">
        <x:v>Small benthopelagics (&lt;30 cm)</x:v>
      </x:c>
      <x:c r="E1424" s="66" t="n">
        <x:v>2</x:v>
      </x:c>
      <x:c r="F1424" s="66" t="n">
        <x:v>2</x:v>
      </x:c>
      <x:c r="G1424" s="60" t="n">
        <x:v>0.8870752829000002</x:v>
      </x:c>
      <x:c r="H1424" s="60" t="n">
        <x:v>0.8870752829000002</x:v>
      </x:c>
      <x:c r="I1424" s="62" t="n">
        <x:v>0</x:v>
      </x:c>
      <x:c r="J1424" s="64" t="n">
        <x:v>1</x:v>
      </x:c>
      <x:c r="K1424" s="62" t="n">
        <x:v>248.4893040245466</x:v>
      </x:c>
      <x:c r="L1424" s="60" t="n">
        <x:v>220.42871966519883</x:v>
      </x:c>
      <x:c r="M1424" s="62" t="n">
        <x:v>3.391670086000093</x:v>
      </x:c>
      <x:c r="N1424" s="62" t="n">
        <x:v>246.4166709343875</x:v>
      </x:c>
      <x:c r="O1424" s="60" t="n">
        <x:v>218.59013808039802</x:v>
      </x:c>
      <x:c r="P1424" s="60" t="n">
        <x:v>1.8385815848008065</x:v>
      </x:c>
      <x:c r="Q1424" s="62" t="n">
        <x:v>1.0084110911907864</x:v>
      </x:c>
      <x:c r="R1424" s="64" t="n">
        <x:v>0.008411091190786344</x:v>
      </x:c>
    </x:row>
    <x:row r="1425" ht="18" customHeight="1">
      <x:c r="A1425" s="46" t="str">
        <x:v>LME_024</x:v>
      </x:c>
      <x:c r="B1425" s="46" t="str">
        <x:v>Celtic-Biscay Shelf</x:v>
      </x:c>
      <x:c r="C1425" s="46" t="str">
        <x:v>functional</x:v>
      </x:c>
      <x:c r="D1425" s="46" t="str">
        <x:v>Small demersals (&lt;30 cm)</x:v>
      </x:c>
      <x:c r="E1425" s="66" t="n">
        <x:v>4</x:v>
      </x:c>
      <x:c r="F1425" s="66" t="n">
        <x:v>4</x:v>
      </x:c>
      <x:c r="G1425" s="60" t="n">
        <x:v>2023.6314758065998</x:v>
      </x:c>
      <x:c r="H1425" s="60" t="n">
        <x:v>2023.6314758065998</x:v>
      </x:c>
      <x:c r="I1425" s="62" t="n">
        <x:v>0</x:v>
      </x:c>
      <x:c r="J1425" s="64" t="n">
        <x:v>1</x:v>
      </x:c>
      <x:c r="K1425" s="62" t="n">
        <x:v>139.12024741083255</x:v>
      </x:c>
      <x:c r="L1425" s="60" t="n">
        <x:v>281528.1115825624</x:v>
      </x:c>
      <x:c r="M1425" s="62" t="n">
        <x:v>3.14138384717893</x:v>
      </x:c>
      <x:c r="N1425" s="62" t="n">
        <x:v>138.47897719388857</x:v>
      </x:c>
      <x:c r="O1425" s="60" t="n">
        <x:v>280230.4169870572</x:v>
      </x:c>
      <x:c r="P1425" s="60" t="n">
        <x:v>1297.6945955051924</x:v>
      </x:c>
      <x:c r="Q1425" s="62" t="n">
        <x:v>1.0046308127770625</x:v>
      </x:c>
      <x:c r="R1425" s="64" t="n">
        <x:v>0.004630812777062413</x:v>
      </x:c>
    </x:row>
    <x:row r="1426" ht="18" customHeight="1">
      <x:c r="A1426" s="46" t="str">
        <x:v>LME_024</x:v>
      </x:c>
      <x:c r="B1426" s="46" t="str">
        <x:v>Celtic-Biscay Shelf</x:v>
      </x:c>
      <x:c r="C1426" s="46" t="str">
        <x:v>functional</x:v>
      </x:c>
      <x:c r="D1426" s="46" t="str">
        <x:v>Small pelagics (&lt;30 cm)</x:v>
      </x:c>
      <x:c r="E1426" s="66" t="n">
        <x:v>9</x:v>
      </x:c>
      <x:c r="F1426" s="66" t="n">
        <x:v>9</x:v>
      </x:c>
      <x:c r="G1426" s="60" t="n">
        <x:v>62483.854388766915</x:v>
      </x:c>
      <x:c r="H1426" s="60" t="n">
        <x:v>62483.854388766915</x:v>
      </x:c>
      <x:c r="I1426" s="62" t="n">
        <x:v>0</x:v>
      </x:c>
      <x:c r="J1426" s="64" t="n">
        <x:v>1</x:v>
      </x:c>
      <x:c r="K1426" s="62" t="n">
        <x:v>114.08587683192921</x:v>
      </x:c>
      <x:c r="L1426" s="60" t="n">
        <x:v>7128525.315781062</x:v>
      </x:c>
      <x:c r="M1426" s="62" t="n">
        <x:v>3.0555302541982843</x:v>
      </x:c>
      <x:c r="N1426" s="62" t="n">
        <x:v>113.63974596138719</x:v>
      </x:c>
      <x:c r="O1426" s="60" t="n">
        <x:v>7100649.33942778</x:v>
      </x:c>
      <x:c r="P1426" s="60" t="n">
        <x:v>27875.976353281178</x:v>
      </x:c>
      <x:c r="Q1426" s="62" t="n">
        <x:v>1.0039258348104156</x:v>
      </x:c>
      <x:c r="R1426" s="64" t="n">
        <x:v>0.00392583481041575</x:v>
      </x:c>
    </x:row>
    <x:row r="1427" ht="18" customHeight="1">
      <x:c r="A1427" s="46" t="str">
        <x:v>LME_024</x:v>
      </x:c>
      <x:c r="B1427" s="46" t="str">
        <x:v>Celtic-Biscay Shelf</x:v>
      </x:c>
      <x:c r="C1427" s="46" t="str">
        <x:v>functional</x:v>
      </x:c>
      <x:c r="D1427" s="46" t="str">
        <x:v>Small reef assoc. fish (&lt;30 cm)</x:v>
      </x:c>
      <x:c r="E1427" s="66" t="n">
        <x:v>4</x:v>
      </x:c>
      <x:c r="F1427" s="66" t="n">
        <x:v>4</x:v>
      </x:c>
      <x:c r="G1427" s="60" t="n">
        <x:v>44.9234644765</x:v>
      </x:c>
      <x:c r="H1427" s="60" t="n">
        <x:v>44.9234644765</x:v>
      </x:c>
      <x:c r="I1427" s="62" t="n">
        <x:v>0</x:v>
      </x:c>
      <x:c r="J1427" s="64" t="n">
        <x:v>1</x:v>
      </x:c>
      <x:c r="K1427" s="62" t="n">
        <x:v>332.04388292891423</x:v>
      </x:c>
      <x:c r="L1427" s="60" t="n">
        <x:v>14916.561579396204</x:v>
      </x:c>
      <x:c r="M1427" s="62" t="n">
        <x:v>3.4989368174327704</x:v>
      </x:c>
      <x:c r="N1427" s="62" t="n">
        <x:v>315.4545656474685</x:v>
      </x:c>
      <x:c r="O1427" s="60" t="n">
        <x:v>14171.311973813788</x:v>
      </x:c>
      <x:c r="P1427" s="60" t="n">
        <x:v>745.2496055824158</x:v>
      </x:c>
      <x:c r="Q1427" s="62" t="n">
        <x:v>1.0525886104941808</x:v>
      </x:c>
      <x:c r="R1427" s="64" t="n">
        <x:v>0.05258861049418094</x:v>
      </x:c>
    </x:row>
    <x:row r="1428" ht="18" customHeight="1">
      <x:c r="A1428" s="46" t="str">
        <x:v>LME_024</x:v>
      </x:c>
      <x:c r="B1428" s="46" t="str">
        <x:v>Celtic-Biscay Shelf</x:v>
      </x:c>
      <x:c r="C1428" s="46" t="str">
        <x:v>functional</x:v>
      </x:c>
      <x:c r="D1428" s="46" t="str">
        <x:v>Small to medium flatfishes (&lt;90 cm)</x:v>
      </x:c>
      <x:c r="E1428" s="66" t="n">
        <x:v>23</x:v>
      </x:c>
      <x:c r="F1428" s="66" t="n">
        <x:v>23</x:v>
      </x:c>
      <x:c r="G1428" s="60" t="n">
        <x:v>35051.6452568671</x:v>
      </x:c>
      <x:c r="H1428" s="60" t="n">
        <x:v>35051.6452568671</x:v>
      </x:c>
      <x:c r="I1428" s="62" t="n">
        <x:v>0</x:v>
      </x:c>
      <x:c r="J1428" s="64" t="n">
        <x:v>1</x:v>
      </x:c>
      <x:c r="K1428" s="62" t="n">
        <x:v>553.2412826165125</x:v>
      </x:c>
      <x:c r="L1428" s="60" t="n">
        <x:v>19392017.179728154</x:v>
      </x:c>
      <x:c r="M1428" s="62" t="n">
        <x:v>3.5595257970879604</x:v>
      </x:c>
      <x:c r="N1428" s="62" t="n">
        <x:v>362.6818289021398</x:v>
      </x:c>
      <x:c r="O1428" s="60" t="n">
        <x:v>12712594.807789573</x:v>
      </x:c>
      <x:c r="P1428" s="60" t="n">
        <x:v>6679422.371938581</x:v>
      </x:c>
      <x:c r="Q1428" s="62" t="n">
        <x:v>1.525417703696951</x:v>
      </x:c>
      <x:c r="R1428" s="64" t="n">
        <x:v>0.5254177036969511</x:v>
      </x:c>
    </x:row>
    <x:row r="1429" ht="18" customHeight="1">
      <x:c r="A1429" s="46" t="str">
        <x:v>LME_024</x:v>
      </x:c>
      <x:c r="B1429" s="46" t="str">
        <x:v>Celtic-Biscay Shelf</x:v>
      </x:c>
      <x:c r="C1429" s="46" t="str">
        <x:v>functional</x:v>
      </x:c>
      <x:c r="D1429" s="46" t="str">
        <x:v>Small to medium rays (&lt;90 cm)</x:v>
      </x:c>
      <x:c r="E1429" s="66" t="n">
        <x:v>8</x:v>
      </x:c>
      <x:c r="F1429" s="66" t="n">
        <x:v>8</x:v>
      </x:c>
      <x:c r="G1429" s="60" t="n">
        <x:v>4654.3435080516</x:v>
      </x:c>
      <x:c r="H1429" s="60" t="n">
        <x:v>4654.3435080516</x:v>
      </x:c>
      <x:c r="I1429" s="62" t="n">
        <x:v>0</x:v>
      </x:c>
      <x:c r="J1429" s="64" t="n">
        <x:v>1</x:v>
      </x:c>
      <x:c r="K1429" s="62" t="n">
        <x:v>1211.8890698613534</x:v>
      </x:c>
      <x:c r="L1429" s="60" t="n">
        <x:v>5640548.024787882</x:v>
      </x:c>
      <x:c r="M1429" s="62" t="n">
        <x:v>4.037460949888752</x:v>
      </x:c>
      <x:c r="N1429" s="62" t="n">
        <x:v>1090.0864715407668</x:v>
      </x:c>
      <x:c r="O1429" s="60" t="n">
        <x:v>5073636.892030643</x:v>
      </x:c>
      <x:c r="P1429" s="60" t="n">
        <x:v>566911.132757239</x:v>
      </x:c>
      <x:c r="Q1429" s="62" t="n">
        <x:v>1.1117366387901562</x:v>
      </x:c>
      <x:c r="R1429" s="64" t="n">
        <x:v>0.11173663879015626</x:v>
      </x:c>
    </x:row>
    <x:row r="1430" ht="18" customHeight="1">
      <x:c r="A1430" s="46" t="str">
        <x:v>LME_024</x:v>
      </x:c>
      <x:c r="B1430" s="46" t="str">
        <x:v>Celtic-Biscay Shelf</x:v>
      </x:c>
      <x:c r="C1430" s="46" t="str">
        <x:v>functional</x:v>
      </x:c>
      <x:c r="D1430" s="46" t="str">
        <x:v>Small to medium sharks (&lt;90 cm)</x:v>
      </x:c>
      <x:c r="E1430" s="66" t="n">
        <x:v>7</x:v>
      </x:c>
      <x:c r="F1430" s="66" t="n">
        <x:v>7</x:v>
      </x:c>
      <x:c r="G1430" s="60" t="n">
        <x:v>6751.9754959542</x:v>
      </x:c>
      <x:c r="H1430" s="60" t="n">
        <x:v>6751.9754959542</x:v>
      </x:c>
      <x:c r="I1430" s="62" t="n">
        <x:v>0</x:v>
      </x:c>
      <x:c r="J1430" s="64" t="n">
        <x:v>1</x:v>
      </x:c>
      <x:c r="K1430" s="62" t="n">
        <x:v>665.4518744238319</x:v>
      </x:c>
      <x:c r="L1430" s="60" t="n">
        <x:v>4493114.749846504</x:v>
      </x:c>
      <x:c r="M1430" s="62" t="n">
        <x:v>3.8228098529576164</x:v>
      </x:c>
      <x:c r="N1430" s="62" t="n">
        <x:v>664.9819435806529</x:v>
      </x:c>
      <x:c r="O1430" s="60" t="n">
        <x:v>4489941.788308566</x:v>
      </x:c>
      <x:c r="P1430" s="60" t="n">
        <x:v>3172.9615379376337</x:v>
      </x:c>
      <x:c r="Q1430" s="62" t="n">
        <x:v>1.000706682110267</x:v>
      </x:c>
      <x:c r="R1430" s="64" t="n">
        <x:v>0.0007066821102669439</x:v>
      </x:c>
    </x:row>
    <x:row r="1431" ht="18" customHeight="1">
      <x:c r="A1431" s="46" t="str">
        <x:v>LME_025</x:v>
      </x:c>
      <x:c r="B1431" s="46" t="str">
        <x:v>Iberian Coastal</x:v>
      </x:c>
      <x:c r="C1431" s="46" t="str">
        <x:v>functional</x:v>
      </x:c>
      <x:c r="D1431" s="46" t="str">
        <x:v>Cephalopods</x:v>
      </x:c>
      <x:c r="E1431" s="66" t="n">
        <x:v>21</x:v>
      </x:c>
      <x:c r="F1431" s="66" t="n">
        <x:v>21</x:v>
      </x:c>
      <x:c r="G1431" s="60" t="n">
        <x:v>13312.883097783402</x:v>
      </x:c>
      <x:c r="H1431" s="60" t="n">
        <x:v>13312.883097783402</x:v>
      </x:c>
      <x:c r="I1431" s="62" t="n">
        <x:v>0</x:v>
      </x:c>
      <x:c r="J1431" s="64" t="n">
        <x:v>1</x:v>
      </x:c>
      <x:c r="K1431" s="62" t="n">
        <x:v>738.4721686495319</x:v>
      </x:c>
      <x:c r="L1431" s="60" t="n">
        <x:v>9831193.652197808</x:v>
      </x:c>
      <x:c r="M1431" s="62" t="n">
        <x:v>3.76524550837492</x:v>
      </x:c>
      <x:c r="N1431" s="62" t="n">
        <x:v>582.4323760326856</x:v>
      </x:c>
      <x:c r="O1431" s="60" t="n">
        <x:v>7753854.134487367</x:v>
      </x:c>
      <x:c r="P1431" s="60" t="n">
        <x:v>2077339.5177104408</x:v>
      </x:c>
      <x:c r="Q1431" s="62" t="n">
        <x:v>1.267910574751582</x:v>
      </x:c>
      <x:c r="R1431" s="64" t="n">
        <x:v>0.267910574751582</x:v>
      </x:c>
    </x:row>
    <x:row r="1432" ht="18" customHeight="1">
      <x:c r="A1432" s="46" t="str">
        <x:v>LME_025</x:v>
      </x:c>
      <x:c r="B1432" s="46" t="str">
        <x:v>Iberian Coastal</x:v>
      </x:c>
      <x:c r="C1432" s="46" t="str">
        <x:v>functional</x:v>
      </x:c>
      <x:c r="D1432" s="46" t="str">
        <x:v>Jellyfish</x:v>
      </x:c>
      <x:c r="E1432" s="66" t="n">
        <x:v>1</x:v>
      </x:c>
      <x:c r="F1432" s="66" t="n">
        <x:v>1</x:v>
      </x:c>
      <x:c r="G1432" s="60" t="n">
        <x:v>53.6033366336</x:v>
      </x:c>
      <x:c r="H1432" s="60" t="n">
        <x:v>53.6033366336</x:v>
      </x:c>
      <x:c r="I1432" s="62" t="n">
        <x:v>0</x:v>
      </x:c>
      <x:c r="J1432" s="64" t="n">
        <x:v>1</x:v>
      </x:c>
      <x:c r="K1432" s="62" t="n">
        <x:v>31.622776601683793</x:v>
      </x:c>
      <x:c r="L1432" s="60" t="n">
        <x:v>1695.0863394691858</x:v>
      </x:c>
      <x:c r="M1432" s="62" t="n">
        <x:v>2.5</x:v>
      </x:c>
      <x:c r="N1432" s="62" t="n">
        <x:v>31.622776601683793</x:v>
      </x:c>
      <x:c r="O1432" s="60" t="n">
        <x:v>1695.0863394691858</x:v>
      </x:c>
      <x:c r="P1432" s="60" t="n">
        <x:v>0</x:v>
      </x:c>
      <x:c r="Q1432" s="62" t="n">
        <x:v>1</x:v>
      </x:c>
      <x:c r="R1432" s="64" t="n">
        <x:v>0</x:v>
      </x:c>
    </x:row>
    <x:row r="1433" ht="18" customHeight="1">
      <x:c r="A1433" s="46" t="str">
        <x:v>LME_025</x:v>
      </x:c>
      <x:c r="B1433" s="46" t="str">
        <x:v>Iberian Coastal</x:v>
      </x:c>
      <x:c r="C1433" s="46" t="str">
        <x:v>functional</x:v>
      </x:c>
      <x:c r="D1433" s="46" t="str">
        <x:v>Large bathydemersals (&gt;=90 cm)</x:v>
      </x:c>
      <x:c r="E1433" s="66" t="n">
        <x:v>6</x:v>
      </x:c>
      <x:c r="F1433" s="66" t="n">
        <x:v>6</x:v>
      </x:c>
      <x:c r="G1433" s="60" t="n">
        <x:v>1496.1450848323002</x:v>
      </x:c>
      <x:c r="H1433" s="60" t="n">
        <x:v>1496.1450848323002</x:v>
      </x:c>
      <x:c r="I1433" s="62" t="n">
        <x:v>0</x:v>
      </x:c>
      <x:c r="J1433" s="64" t="n">
        <x:v>1</x:v>
      </x:c>
      <x:c r="K1433" s="62" t="n">
        <x:v>1318.0422562273993</x:v>
      </x:c>
      <x:c r="L1433" s="60" t="n">
        <x:v>1971982.4432558985</x:v>
      </x:c>
      <x:c r="M1433" s="62" t="n">
        <x:v>4.0170657301113035</x:v>
      </x:c>
      <x:c r="N1433" s="62" t="n">
        <x:v>1040.0775687987539</x:v>
      </x:c>
      <x:c r="O1433" s="60" t="n">
        <x:v>1556106.9424025842</x:v>
      </x:c>
      <x:c r="P1433" s="60" t="n">
        <x:v>415875.5008533143</x:v>
      </x:c>
      <x:c r="Q1433" s="62" t="n">
        <x:v>1.2672538046846669</x:v>
      </x:c>
      <x:c r="R1433" s="64" t="n">
        <x:v>0.2672538046846668</x:v>
      </x:c>
    </x:row>
    <x:row r="1434" ht="18" customHeight="1">
      <x:c r="A1434" s="46" t="str">
        <x:v>LME_025</x:v>
      </x:c>
      <x:c r="B1434" s="46" t="str">
        <x:v>Iberian Coastal</x:v>
      </x:c>
      <x:c r="C1434" s="46" t="str">
        <x:v>functional</x:v>
      </x:c>
      <x:c r="D1434" s="46" t="str">
        <x:v>Large bathypelagics (&gt;=90 cm)</x:v>
      </x:c>
      <x:c r="E1434" s="66" t="n">
        <x:v>5</x:v>
      </x:c>
      <x:c r="F1434" s="66" t="n">
        <x:v>5</x:v>
      </x:c>
      <x:c r="G1434" s="60" t="n">
        <x:v>946.2110762486</x:v>
      </x:c>
      <x:c r="H1434" s="60" t="n">
        <x:v>946.2110762486</x:v>
      </x:c>
      <x:c r="I1434" s="62" t="n">
        <x:v>0</x:v>
      </x:c>
      <x:c r="J1434" s="64" t="n">
        <x:v>1</x:v>
      </x:c>
      <x:c r="K1434" s="62" t="n">
        <x:v>401.32369283657766</x:v>
      </x:c>
      <x:c r="L1434" s="60" t="n">
        <x:v>379736.9233229607</x:v>
      </x:c>
      <x:c r="M1434" s="62" t="n">
        <x:v>3.5638340970930753</x:v>
      </x:c>
      <x:c r="N1434" s="62" t="n">
        <x:v>366.29762019018204</x:v>
      </x:c>
      <x:c r="O1434" s="60" t="n">
        <x:v>346594.86542745307</x:v>
      </x:c>
      <x:c r="P1434" s="60" t="n">
        <x:v>33142.057895507605</x:v>
      </x:c>
      <x:c r="Q1434" s="62" t="n">
        <x:v>1.0956218951906103</x:v>
      </x:c>
      <x:c r="R1434" s="64" t="n">
        <x:v>0.09562189519061032</x:v>
      </x:c>
    </x:row>
    <x:row r="1435" ht="18" customHeight="1">
      <x:c r="A1435" s="46" t="str">
        <x:v>LME_025</x:v>
      </x:c>
      <x:c r="B1435" s="46" t="str">
        <x:v>Iberian Coastal</x:v>
      </x:c>
      <x:c r="C1435" s="46" t="str">
        <x:v>functional</x:v>
      </x:c>
      <x:c r="D1435" s="46" t="str">
        <x:v>Large benthopelagics (&gt;=90 cm)</x:v>
      </x:c>
      <x:c r="E1435" s="66" t="n">
        <x:v>15</x:v>
      </x:c>
      <x:c r="F1435" s="66" t="n">
        <x:v>15</x:v>
      </x:c>
      <x:c r="G1435" s="60" t="n">
        <x:v>4861.293908264499</x:v>
      </x:c>
      <x:c r="H1435" s="60" t="n">
        <x:v>4861.293908264499</x:v>
      </x:c>
      <x:c r="I1435" s="62" t="n">
        <x:v>0</x:v>
      </x:c>
      <x:c r="J1435" s="64" t="n">
        <x:v>1</x:v>
      </x:c>
      <x:c r="K1435" s="62" t="n">
        <x:v>2571.1871573761114</x:v>
      </x:c>
      <x:c r="L1435" s="60" t="n">
        <x:v>12499296.465160403</x:v>
      </x:c>
      <x:c r="M1435" s="62" t="n">
        <x:v>4.375626518593936</x:v>
      </x:c>
      <x:c r="N1435" s="62" t="n">
        <x:v>2374.797147470951</x:v>
      </x:c>
      <x:c r="O1435" s="60" t="n">
        <x:v>11544586.906364443</x:v>
      </x:c>
      <x:c r="P1435" s="60" t="n">
        <x:v>954709.5587959606</x:v>
      </x:c>
      <x:c r="Q1435" s="62" t="n">
        <x:v>1.082697593819458</x:v>
      </x:c>
      <x:c r="R1435" s="64" t="n">
        <x:v>0.08269759381945806</x:v>
      </x:c>
    </x:row>
    <x:row r="1436" ht="18" customHeight="1">
      <x:c r="A1436" s="46" t="str">
        <x:v>LME_025</x:v>
      </x:c>
      <x:c r="B1436" s="46" t="str">
        <x:v>Iberian Coastal</x:v>
      </x:c>
      <x:c r="C1436" s="46" t="str">
        <x:v>functional</x:v>
      </x:c>
      <x:c r="D1436" s="46" t="str">
        <x:v>Large demersals (&gt;=90 cm)</x:v>
      </x:c>
      <x:c r="E1436" s="66" t="n">
        <x:v>19</x:v>
      </x:c>
      <x:c r="F1436" s="66" t="n">
        <x:v>19</x:v>
      </x:c>
      <x:c r="G1436" s="60" t="n">
        <x:v>60991.7038786161</x:v>
      </x:c>
      <x:c r="H1436" s="60" t="n">
        <x:v>60991.7038786161</x:v>
      </x:c>
      <x:c r="I1436" s="62" t="n">
        <x:v>0</x:v>
      </x:c>
      <x:c r="J1436" s="64" t="n">
        <x:v>1</x:v>
      </x:c>
      <x:c r="K1436" s="62" t="n">
        <x:v>2531.2527023452194</x:v>
      </x:c>
      <x:c r="L1436" s="60" t="n">
        <x:v>154385415.2633864</x:v>
      </x:c>
      <x:c r="M1436" s="62" t="n">
        <x:v>4.393388115855432</x:v>
      </x:c>
      <x:c r="N1436" s="62" t="n">
        <x:v>2473.934037506615</x:v>
      </x:c>
      <x:c r="O1436" s="60" t="n">
        <x:v>150889452.23083258</x:v>
      </x:c>
      <x:c r="P1436" s="60" t="n">
        <x:v>3495963.032553822</x:v>
      </x:c>
      <x:c r="Q1436" s="62" t="n">
        <x:v>1.0231690352166276</x:v>
      </x:c>
      <x:c r="R1436" s="64" t="n">
        <x:v>0.023169035216627692</x:v>
      </x:c>
    </x:row>
    <x:row r="1437" ht="18" customHeight="1">
      <x:c r="A1437" s="46" t="str">
        <x:v>LME_025</x:v>
      </x:c>
      <x:c r="B1437" s="46" t="str">
        <x:v>Iberian Coastal</x:v>
      </x:c>
      <x:c r="C1437" s="46" t="str">
        <x:v>functional</x:v>
      </x:c>
      <x:c r="D1437" s="46" t="str">
        <x:v>Large flatfishes (&gt;=90 cm)</x:v>
      </x:c>
      <x:c r="E1437" s="66" t="n">
        <x:v>2</x:v>
      </x:c>
      <x:c r="F1437" s="66" t="n">
        <x:v>2</x:v>
      </x:c>
      <x:c r="G1437" s="60" t="n">
        <x:v>233.7882714381</x:v>
      </x:c>
      <x:c r="H1437" s="60" t="n">
        <x:v>233.7882714381</x:v>
      </x:c>
      <x:c r="I1437" s="62" t="n">
        <x:v>0</x:v>
      </x:c>
      <x:c r="J1437" s="64" t="n">
        <x:v>1</x:v>
      </x:c>
      <x:c r="K1437" s="62" t="n">
        <x:v>1310.677431991739</x:v>
      </x:c>
      <x:c r="L1437" s="60" t="n">
        <x:v>306421.01123827655</x:v>
      </x:c>
      <x:c r="M1437" s="62" t="n">
        <x:v>3.8487332321051984</x:v>
      </x:c>
      <x:c r="N1437" s="62" t="n">
        <x:v>705.883827847368</x:v>
      </x:c>
      <x:c r="O1437" s="60" t="n">
        <x:v>165027.35994854552</x:v>
      </x:c>
      <x:c r="P1437" s="60" t="n">
        <x:v>141393.65128973103</x:v>
      </x:c>
      <x:c r="Q1437" s="62" t="n">
        <x:v>1.856789148986063</x:v>
      </x:c>
      <x:c r="R1437" s="64" t="n">
        <x:v>0.8567891489860631</x:v>
      </x:c>
    </x:row>
    <x:row r="1438" ht="18" customHeight="1">
      <x:c r="A1438" s="46" t="str">
        <x:v>LME_025</x:v>
      </x:c>
      <x:c r="B1438" s="46" t="str">
        <x:v>Iberian Coastal</x:v>
      </x:c>
      <x:c r="C1438" s="46" t="str">
        <x:v>functional</x:v>
      </x:c>
      <x:c r="D1438" s="46" t="str">
        <x:v>Large pelagics (&gt;=90 cm)</x:v>
      </x:c>
      <x:c r="E1438" s="66" t="n">
        <x:v>21</x:v>
      </x:c>
      <x:c r="F1438" s="66" t="n">
        <x:v>21</x:v>
      </x:c>
      <x:c r="G1438" s="60" t="n">
        <x:v>9615.234972641902</x:v>
      </x:c>
      <x:c r="H1438" s="60" t="n">
        <x:v>9615.234972641902</x:v>
      </x:c>
      <x:c r="I1438" s="62" t="n">
        <x:v>0</x:v>
      </x:c>
      <x:c r="J1438" s="64" t="n">
        <x:v>1</x:v>
      </x:c>
      <x:c r="K1438" s="62" t="n">
        <x:v>2568.8153198293708</x:v>
      </x:c>
      <x:c r="L1438" s="60" t="n">
        <x:v>24699762.90148166</x:v>
      </x:c>
      <x:c r="M1438" s="62" t="n">
        <x:v>4.400533579098274</x:v>
      </x:c>
      <x:c r="N1438" s="62" t="n">
        <x:v>2514.974460112367</x:v>
      </x:c>
      <x:c r="O1438" s="60" t="n">
        <x:v>24182070.384173617</x:v>
      </x:c>
      <x:c r="P1438" s="60" t="n">
        <x:v>517692.51730804145</x:v>
      </x:c>
      <x:c r="Q1438" s="62" t="n">
        <x:v>1.021408113907685</x:v>
      </x:c>
      <x:c r="R1438" s="64" t="n">
        <x:v>0.021408113907684864</x:v>
      </x:c>
    </x:row>
    <x:row r="1439" ht="18" customHeight="1">
      <x:c r="A1439" s="46" t="str">
        <x:v>LME_025</x:v>
      </x:c>
      <x:c r="B1439" s="46" t="str">
        <x:v>Iberian Coastal</x:v>
      </x:c>
      <x:c r="C1439" s="46" t="str">
        <x:v>functional</x:v>
      </x:c>
      <x:c r="D1439" s="46" t="str">
        <x:v>Large rays (&gt;=90 cm)</x:v>
      </x:c>
      <x:c r="E1439" s="66" t="n">
        <x:v>17</x:v>
      </x:c>
      <x:c r="F1439" s="66" t="n">
        <x:v>17</x:v>
      </x:c>
      <x:c r="G1439" s="60" t="n">
        <x:v>1516.1039983649002</x:v>
      </x:c>
      <x:c r="H1439" s="60" t="n">
        <x:v>1516.1039983649002</x:v>
      </x:c>
      <x:c r="I1439" s="62" t="n">
        <x:v>0</x:v>
      </x:c>
      <x:c r="J1439" s="64" t="n">
        <x:v>1</x:v>
      </x:c>
      <x:c r="K1439" s="62" t="n">
        <x:v>676.4442822642602</x:v>
      </x:c>
      <x:c r="L1439" s="60" t="n">
        <x:v>1025559.88101192</x:v>
      </x:c>
      <x:c r="M1439" s="62" t="n">
        <x:v>3.810328113867381</x:v>
      </x:c>
      <x:c r="N1439" s="62" t="n">
        <x:v>646.1422116403752</x:v>
      </x:c>
      <x:c r="O1439" s="60" t="n">
        <x:v>979618.7905803124</x:v>
      </x:c>
      <x:c r="P1439" s="60" t="n">
        <x:v>45941.09043160768</x:v>
      </x:c>
      <x:c r="Q1439" s="62" t="n">
        <x:v>1.0468969060958833</x:v>
      </x:c>
      <x:c r="R1439" s="64" t="n">
        <x:v>0.0468969060958833</x:v>
      </x:c>
    </x:row>
    <x:row r="1440" ht="18" customHeight="1">
      <x:c r="A1440" s="46" t="str">
        <x:v>LME_025</x:v>
      </x:c>
      <x:c r="B1440" s="46" t="str">
        <x:v>Iberian Coastal</x:v>
      </x:c>
      <x:c r="C1440" s="46" t="str">
        <x:v>functional</x:v>
      </x:c>
      <x:c r="D1440" s="46" t="str">
        <x:v>Large reef assoc. fish (&gt;=90 cm)</x:v>
      </x:c>
      <x:c r="E1440" s="66" t="n">
        <x:v>9</x:v>
      </x:c>
      <x:c r="F1440" s="66" t="n">
        <x:v>9</x:v>
      </x:c>
      <x:c r="G1440" s="60" t="n">
        <x:v>1896.7801232111</x:v>
      </x:c>
      <x:c r="H1440" s="60" t="n">
        <x:v>1896.7801232111</x:v>
      </x:c>
      <x:c r="I1440" s="62" t="n">
        <x:v>0</x:v>
      </x:c>
      <x:c r="J1440" s="64" t="n">
        <x:v>1</x:v>
      </x:c>
      <x:c r="K1440" s="62" t="n">
        <x:v>625.1099666666448</x:v>
      </x:c>
      <x:c r="L1440" s="60" t="n">
        <x:v>1185696.1595944453</x:v>
      </x:c>
      <x:c r="M1440" s="62" t="n">
        <x:v>3.7692994416953582</x:v>
      </x:c>
      <x:c r="N1440" s="62" t="n">
        <x:v>587.8945602312979</x:v>
      </x:c>
      <x:c r="O1440" s="60" t="n">
        <x:v>1115106.7163906568</x:v>
      </x:c>
      <x:c r="P1440" s="60" t="n">
        <x:v>70589.44320378848</x:v>
      </x:c>
      <x:c r="Q1440" s="62" t="n">
        <x:v>1.0633028589696512</x:v>
      </x:c>
      <x:c r="R1440" s="64" t="n">
        <x:v>0.06330285896965111</x:v>
      </x:c>
    </x:row>
    <x:row r="1441" ht="18" customHeight="1">
      <x:c r="A1441" s="46" t="str">
        <x:v>LME_025</x:v>
      </x:c>
      <x:c r="B1441" s="46" t="str">
        <x:v>Iberian Coastal</x:v>
      </x:c>
      <x:c r="C1441" s="46" t="str">
        <x:v>functional</x:v>
      </x:c>
      <x:c r="D1441" s="46" t="str">
        <x:v>Large sharks (&gt;=90 cm)</x:v>
      </x:c>
      <x:c r="E1441" s="66" t="n">
        <x:v>30</x:v>
      </x:c>
      <x:c r="F1441" s="66" t="n">
        <x:v>30</x:v>
      </x:c>
      <x:c r="G1441" s="60" t="n">
        <x:v>5500.5596436468995</x:v>
      </x:c>
      <x:c r="H1441" s="60" t="n">
        <x:v>5500.5596436468995</x:v>
      </x:c>
      <x:c r="I1441" s="62" t="n">
        <x:v>0</x:v>
      </x:c>
      <x:c r="J1441" s="64" t="n">
        <x:v>1</x:v>
      </x:c>
      <x:c r="K1441" s="62" t="n">
        <x:v>1862.4613439972727</x:v>
      </x:c>
      <x:c r="L1441" s="60" t="n">
        <x:v>10244579.706643764</x:v>
      </x:c>
      <x:c r="M1441" s="62" t="n">
        <x:v>4.238177268619913</x:v>
      </x:c>
      <x:c r="N1441" s="62" t="n">
        <x:v>1730.5225729985934</x:v>
      </x:c>
      <x:c r="O1441" s="60" t="n">
        <x:v>9518842.62745606</x:v>
      </x:c>
      <x:c r="P1441" s="60" t="n">
        <x:v>725737.0791877043</x:v>
      </x:c>
      <x:c r="Q1441" s="62" t="n">
        <x:v>1.0762421554375103</x:v>
      </x:c>
      <x:c r="R1441" s="64" t="n">
        <x:v>0.07624215543751034</x:v>
      </x:c>
    </x:row>
    <x:row r="1442" ht="18" customHeight="1">
      <x:c r="A1442" s="46" t="str">
        <x:v>LME_025</x:v>
      </x:c>
      <x:c r="B1442" s="46" t="str">
        <x:v>Iberian Coastal</x:v>
      </x:c>
      <x:c r="C1442" s="46" t="str">
        <x:v>functional</x:v>
      </x:c>
      <x:c r="D1442" s="46" t="str">
        <x:v>Lobsters, crabs</x:v>
      </x:c>
      <x:c r="E1442" s="66" t="n">
        <x:v>20</x:v>
      </x:c>
      <x:c r="F1442" s="66" t="n">
        <x:v>20</x:v>
      </x:c>
      <x:c r="G1442" s="60" t="n">
        <x:v>1894.8063457267</x:v>
      </x:c>
      <x:c r="H1442" s="60" t="n">
        <x:v>1894.8063457267</x:v>
      </x:c>
      <x:c r="I1442" s="62" t="n">
        <x:v>0</x:v>
      </x:c>
      <x:c r="J1442" s="64" t="n">
        <x:v>1</x:v>
      </x:c>
      <x:c r="K1442" s="62" t="n">
        <x:v>129.74550746924717</x:v>
      </x:c>
      <x:c r="L1442" s="60" t="n">
        <x:v>245842.6108822605</x:v>
      </x:c>
      <x:c r="M1442" s="62" t="n">
        <x:v>3.007033494849221</x:v>
      </x:c>
      <x:c r="N1442" s="62" t="n">
        <x:v>101.63270738099412</x:v>
      </x:c>
      <x:c r="O1442" s="60" t="n">
        <x:v>192574.2988788925</x:v>
      </x:c>
      <x:c r="P1442" s="60" t="n">
        <x:v>53268.31200336799</x:v>
      </x:c>
      <x:c r="Q1442" s="62" t="n">
        <x:v>1.2766117405774264</x:v>
      </x:c>
      <x:c r="R1442" s="64" t="n">
        <x:v>0.2766117405774264</x:v>
      </x:c>
    </x:row>
    <x:row r="1443" ht="18" customHeight="1">
      <x:c r="A1443" s="46" t="str">
        <x:v>LME_025</x:v>
      </x:c>
      <x:c r="B1443" s="46" t="str">
        <x:v>Iberian Coastal</x:v>
      </x:c>
      <x:c r="C1443" s="46" t="str">
        <x:v>functional</x:v>
      </x:c>
      <x:c r="D1443" s="46" t="str">
        <x:v>Medium bathydemersals (30 - 89 cm)</x:v>
      </x:c>
      <x:c r="E1443" s="66" t="n">
        <x:v>11</x:v>
      </x:c>
      <x:c r="F1443" s="66" t="n">
        <x:v>11</x:v>
      </x:c>
      <x:c r="G1443" s="60" t="n">
        <x:v>5449.985068316701</x:v>
      </x:c>
      <x:c r="H1443" s="60" t="n">
        <x:v>5449.985068316701</x:v>
      </x:c>
      <x:c r="I1443" s="62" t="n">
        <x:v>0</x:v>
      </x:c>
      <x:c r="J1443" s="64" t="n">
        <x:v>1</x:v>
      </x:c>
      <x:c r="K1443" s="62" t="n">
        <x:v>2201.9669889035586</x:v>
      </x:c>
      <x:c r="L1443" s="60" t="n">
        <x:v>12000687.210450679</x:v>
      </x:c>
      <x:c r="M1443" s="62" t="n">
        <x:v>4.197545174361539</x:v>
      </x:c>
      <x:c r="N1443" s="62" t="n">
        <x:v>1575.9599421226465</x:v>
      </x:c>
      <x:c r="O1443" s="60" t="n">
        <x:v>8588958.152833674</x:v>
      </x:c>
      <x:c r="P1443" s="60" t="n">
        <x:v>3411729.057617005</x:v>
      </x:c>
      <x:c r="Q1443" s="62" t="n">
        <x:v>1.3972226895169357</x:v>
      </x:c>
      <x:c r="R1443" s="64" t="n">
        <x:v>0.3972226895169358</x:v>
      </x:c>
    </x:row>
    <x:row r="1444" ht="18" customHeight="1">
      <x:c r="A1444" s="46" t="str">
        <x:v>LME_025</x:v>
      </x:c>
      <x:c r="B1444" s="46" t="str">
        <x:v>Iberian Coastal</x:v>
      </x:c>
      <x:c r="C1444" s="46" t="str">
        <x:v>functional</x:v>
      </x:c>
      <x:c r="D1444" s="46" t="str">
        <x:v>Medium bathypelagics (30 - 89 cm)</x:v>
      </x:c>
      <x:c r="E1444" s="66" t="n">
        <x:v>4</x:v>
      </x:c>
      <x:c r="F1444" s="66" t="n">
        <x:v>4</x:v>
      </x:c>
      <x:c r="G1444" s="60" t="n">
        <x:v>612.8238081185</x:v>
      </x:c>
      <x:c r="H1444" s="60" t="n">
        <x:v>612.8238081185</x:v>
      </x:c>
      <x:c r="I1444" s="62" t="n">
        <x:v>0</x:v>
      </x:c>
      <x:c r="J1444" s="64" t="n">
        <x:v>1</x:v>
      </x:c>
      <x:c r="K1444" s="62" t="n">
        <x:v>1175.189200935838</x:v>
      </x:c>
      <x:c r="L1444" s="60" t="n">
        <x:v>720183.9213772373</x:v>
      </x:c>
      <x:c r="M1444" s="62" t="n">
        <x:v>4.065866728276172</x:v>
      </x:c>
      <x:c r="N1444" s="62" t="n">
        <x:v>1163.7688494624472</x:v>
      </x:c>
      <x:c r="O1444" s="60" t="n">
        <x:v>713185.2580972622</x:v>
      </x:c>
      <x:c r="P1444" s="60" t="n">
        <x:v>6998.663279975066</x:v>
      </x:c>
      <x:c r="Q1444" s="62" t="n">
        <x:v>1.0098132472601118</x:v>
      </x:c>
      <x:c r="R1444" s="64" t="n">
        <x:v>0.009813247260111773</x:v>
      </x:c>
    </x:row>
    <x:row r="1445" ht="18" customHeight="1">
      <x:c r="A1445" s="46" t="str">
        <x:v>LME_025</x:v>
      </x:c>
      <x:c r="B1445" s="46" t="str">
        <x:v>Iberian Coastal</x:v>
      </x:c>
      <x:c r="C1445" s="46" t="str">
        <x:v>functional</x:v>
      </x:c>
      <x:c r="D1445" s="46" t="str">
        <x:v>Medium benthopelagics (30 - 89 cm)</x:v>
      </x:c>
      <x:c r="E1445" s="66" t="n">
        <x:v>36</x:v>
      </x:c>
      <x:c r="F1445" s="66" t="n">
        <x:v>36</x:v>
      </x:c>
      <x:c r="G1445" s="60" t="n">
        <x:v>37273.156132389195</x:v>
      </x:c>
      <x:c r="H1445" s="60" t="n">
        <x:v>37273.156132389195</x:v>
      </x:c>
      <x:c r="I1445" s="62" t="n">
        <x:v>0</x:v>
      </x:c>
      <x:c r="J1445" s="64" t="n">
        <x:v>1</x:v>
      </x:c>
      <x:c r="K1445" s="62" t="n">
        <x:v>1001.211702329118</x:v>
      </x:c>
      <x:c r="L1445" s="60" t="n">
        <x:v>37318320.10248839</x:v>
      </x:c>
      <x:c r="M1445" s="62" t="n">
        <x:v>3.8601260165867566</x:v>
      </x:c>
      <x:c r="N1445" s="62" t="n">
        <x:v>724.646195748634</x:v>
      </x:c>
      <x:c r="O1445" s="60" t="n">
        <x:v>27009850.7948807</x:v>
      </x:c>
      <x:c r="P1445" s="60" t="n">
        <x:v>10308469.307607692</x:v>
      </x:c>
      <x:c r="Q1445" s="62" t="n">
        <x:v>1.3816559145732676</x:v>
      </x:c>
      <x:c r="R1445" s="64" t="n">
        <x:v>0.3816559145732676</x:v>
      </x:c>
    </x:row>
    <x:row r="1446" ht="18" customHeight="1">
      <x:c r="A1446" s="46" t="str">
        <x:v>LME_025</x:v>
      </x:c>
      <x:c r="B1446" s="46" t="str">
        <x:v>Iberian Coastal</x:v>
      </x:c>
      <x:c r="C1446" s="46" t="str">
        <x:v>functional</x:v>
      </x:c>
      <x:c r="D1446" s="46" t="str">
        <x:v>Medium demersals (30 - 89 cm)</x:v>
      </x:c>
      <x:c r="E1446" s="66" t="n">
        <x:v>44</x:v>
      </x:c>
      <x:c r="F1446" s="66" t="n">
        <x:v>44</x:v>
      </x:c>
      <x:c r="G1446" s="60" t="n">
        <x:v>107560.64629001029</x:v>
      </x:c>
      <x:c r="H1446" s="60" t="n">
        <x:v>107560.64629001029</x:v>
      </x:c>
      <x:c r="I1446" s="62" t="n">
        <x:v>0</x:v>
      </x:c>
      <x:c r="J1446" s="64" t="n">
        <x:v>1</x:v>
      </x:c>
      <x:c r="K1446" s="62" t="n">
        <x:v>210.19218787107047</x:v>
      </x:c>
      <x:c r="L1446" s="60" t="n">
        <x:v>22608407.5725236</x:v>
      </x:c>
      <x:c r="M1446" s="62" t="n">
        <x:v>3.257318080882605</x:v>
      </x:c>
      <x:c r="N1446" s="62" t="n">
        <x:v>180.84982001601878</x:v>
      </x:c>
      <x:c r="O1446" s="60" t="n">
        <x:v>19452323.52235502</x:v>
      </x:c>
      <x:c r="P1446" s="60" t="n">
        <x:v>3156084.0501685813</x:v>
      </x:c>
      <x:c r="Q1446" s="62" t="n">
        <x:v>1.1622471498863127</x:v>
      </x:c>
      <x:c r="R1446" s="64" t="n">
        <x:v>0.1622471498863127</x:v>
      </x:c>
    </x:row>
    <x:row r="1447" ht="18" customHeight="1">
      <x:c r="A1447" s="46" t="str">
        <x:v>LME_025</x:v>
      </x:c>
      <x:c r="B1447" s="46" t="str">
        <x:v>Iberian Coastal</x:v>
      </x:c>
      <x:c r="C1447" s="46" t="str">
        <x:v>functional</x:v>
      </x:c>
      <x:c r="D1447" s="46" t="str">
        <x:v>Medium pelagics (30 - 89 cm)</x:v>
      </x:c>
      <x:c r="E1447" s="66" t="n">
        <x:v>28</x:v>
      </x:c>
      <x:c r="F1447" s="66" t="n">
        <x:v>28</x:v>
      </x:c>
      <x:c r="G1447" s="60" t="n">
        <x:v>82891.5471015212</x:v>
      </x:c>
      <x:c r="H1447" s="60" t="n">
        <x:v>82891.5471015212</x:v>
      </x:c>
      <x:c r="I1447" s="62" t="n">
        <x:v>0</x:v>
      </x:c>
      <x:c r="J1447" s="64" t="n">
        <x:v>1</x:v>
      </x:c>
      <x:c r="K1447" s="62" t="n">
        <x:v>571.2830233976629</x:v>
      </x:c>
      <x:c r="L1447" s="60" t="n">
        <x:v>47354533.64226681</x:v>
      </x:c>
      <x:c r="M1447" s="62" t="n">
        <x:v>3.69768262964232</x:v>
      </x:c>
      <x:c r="N1447" s="62" t="n">
        <x:v>498.52004969507186</x:v>
      </x:c>
      <x:c r="O1447" s="60" t="n">
        <x:v>41323098.180351734</x:v>
      </x:c>
      <x:c r="P1447" s="60" t="n">
        <x:v>6031435.461915076</x:v>
      </x:c>
      <x:c r="Q1447" s="62" t="n">
        <x:v>1.1459579684851147</x:v>
      </x:c>
      <x:c r="R1447" s="64" t="n">
        <x:v>0.1459579684851146</x:v>
      </x:c>
    </x:row>
    <x:row r="1448" ht="18" customHeight="1">
      <x:c r="A1448" s="46" t="str">
        <x:v>LME_025</x:v>
      </x:c>
      <x:c r="B1448" s="46" t="str">
        <x:v>Iberian Coastal</x:v>
      </x:c>
      <x:c r="C1448" s="46" t="str">
        <x:v>functional</x:v>
      </x:c>
      <x:c r="D1448" s="46" t="str">
        <x:v>Medium reef assoc. fish (30 - 89 cm)</x:v>
      </x:c>
      <x:c r="E1448" s="66" t="n">
        <x:v>12</x:v>
      </x:c>
      <x:c r="F1448" s="66" t="n">
        <x:v>12</x:v>
      </x:c>
      <x:c r="G1448" s="60" t="n">
        <x:v>1011.9217942874999</x:v>
      </x:c>
      <x:c r="H1448" s="60" t="n">
        <x:v>1011.9217942874999</x:v>
      </x:c>
      <x:c r="I1448" s="62" t="n">
        <x:v>0</x:v>
      </x:c>
      <x:c r="J1448" s="64" t="n">
        <x:v>1</x:v>
      </x:c>
      <x:c r="K1448" s="62" t="n">
        <x:v>227.94094274773275</x:v>
      </x:c>
      <x:c r="L1448" s="60" t="n">
        <x:v>230658.40777687</x:v>
      </x:c>
      <x:c r="M1448" s="62" t="n">
        <x:v>2.9766144287168257</x:v>
      </x:c>
      <x:c r="N1448" s="62" t="n">
        <x:v>94.7576820916441</x:v>
      </x:c>
      <x:c r="O1448" s="60" t="n">
        <x:v>95887.36368470099</x:v>
      </x:c>
      <x:c r="P1448" s="60" t="n">
        <x:v>134771.04409216903</x:v>
      </x:c>
      <x:c r="Q1448" s="62" t="n">
        <x:v>2.4055141252535237</x:v>
      </x:c>
      <x:c r="R1448" s="64" t="n">
        <x:v>1.405514125253524</x:v>
      </x:c>
    </x:row>
    <x:row r="1449" ht="18" customHeight="1">
      <x:c r="A1449" s="46" t="str">
        <x:v>LME_025</x:v>
      </x:c>
      <x:c r="B1449" s="46" t="str">
        <x:v>Iberian Coastal</x:v>
      </x:c>
      <x:c r="C1449" s="46" t="str">
        <x:v>functional</x:v>
      </x:c>
      <x:c r="D1449" s="46" t="str">
        <x:v>Other demersal invertebrates</x:v>
      </x:c>
      <x:c r="E1449" s="66" t="n">
        <x:v>49</x:v>
      </x:c>
      <x:c r="F1449" s="66" t="n">
        <x:v>49</x:v>
      </x:c>
      <x:c r="G1449" s="60" t="n">
        <x:v>24074.8298683597</x:v>
      </x:c>
      <x:c r="H1449" s="60" t="n">
        <x:v>24074.8298683597</x:v>
      </x:c>
      <x:c r="I1449" s="62" t="n">
        <x:v>0</x:v>
      </x:c>
      <x:c r="J1449" s="64" t="n">
        <x:v>1</x:v>
      </x:c>
      <x:c r="K1449" s="62" t="n">
        <x:v>14.019357413935706</x:v>
      </x:c>
      <x:c r="L1449" s="60" t="n">
        <x:v>337513.6446042293</x:v>
      </x:c>
      <x:c r="M1449" s="62" t="n">
        <x:v>2.1203298275696745</x:v>
      </x:c>
      <x:c r="N1449" s="62" t="n">
        <x:v>13.192582768696422</x:v>
      </x:c>
      <x:c r="O1449" s="60" t="n">
        <x:v>317609.1856806201</x:v>
      </x:c>
      <x:c r="P1449" s="60" t="n">
        <x:v>19904.45892360923</x:v>
      </x:c>
      <x:c r="Q1449" s="62" t="n">
        <x:v>1.062669657620119</x:v>
      </x:c>
      <x:c r="R1449" s="64" t="n">
        <x:v>0.06266965762011889</x:v>
      </x:c>
    </x:row>
    <x:row r="1450" ht="18" customHeight="1">
      <x:c r="A1450" s="46" t="str">
        <x:v>LME_025</x:v>
      </x:c>
      <x:c r="B1450" s="46" t="str">
        <x:v>Iberian Coastal</x:v>
      </x:c>
      <x:c r="C1450" s="46" t="str">
        <x:v>functional</x:v>
      </x:c>
      <x:c r="D1450" s="46" t="str">
        <x:v>Shrimps</x:v>
      </x:c>
      <x:c r="E1450" s="66" t="n">
        <x:v>17</x:v>
      </x:c>
      <x:c r="F1450" s="66" t="n">
        <x:v>17</x:v>
      </x:c>
      <x:c r="G1450" s="60" t="n">
        <x:v>5220.580652761199</x:v>
      </x:c>
      <x:c r="H1450" s="60" t="n">
        <x:v>5220.580652761199</x:v>
      </x:c>
      <x:c r="I1450" s="62" t="n">
        <x:v>0</x:v>
      </x:c>
      <x:c r="J1450" s="64" t="n">
        <x:v>1</x:v>
      </x:c>
      <x:c r="K1450" s="62" t="n">
        <x:v>157.78191467466885</x:v>
      </x:c>
      <x:c r="L1450" s="60" t="n">
        <x:v>823713.2111061946</x:v>
      </x:c>
      <x:c r="M1450" s="62" t="n">
        <x:v>3.077864324921463</x:v>
      </x:c>
      <x:c r="N1450" s="62" t="n">
        <x:v>119.6366723872792</x:v>
      </x:c>
      <x:c r="O1450" s="60" t="n">
        <x:v>624572.8972257598</x:v>
      </x:c>
      <x:c r="P1450" s="60" t="n">
        <x:v>199140.31388043484</x:v>
      </x:c>
      <x:c r="Q1450" s="62" t="n">
        <x:v>1.3188423877580666</x:v>
      </x:c>
      <x:c r="R1450" s="64" t="n">
        <x:v>0.31884238775806667</x:v>
      </x:c>
    </x:row>
    <x:row r="1451" ht="18" customHeight="1">
      <x:c r="A1451" s="46" t="str">
        <x:v>LME_025</x:v>
      </x:c>
      <x:c r="B1451" s="46" t="str">
        <x:v>Iberian Coastal</x:v>
      </x:c>
      <x:c r="C1451" s="46" t="str">
        <x:v>functional</x:v>
      </x:c>
      <x:c r="D1451" s="46" t="str">
        <x:v>Small benthopelagics (&lt;30 cm)</x:v>
      </x:c>
      <x:c r="E1451" s="66" t="n">
        <x:v>3</x:v>
      </x:c>
      <x:c r="F1451" s="66" t="n">
        <x:v>3</x:v>
      </x:c>
      <x:c r="G1451" s="60" t="n">
        <x:v>280.5251140183</x:v>
      </x:c>
      <x:c r="H1451" s="60" t="n">
        <x:v>280.5251140183</x:v>
      </x:c>
      <x:c r="I1451" s="62" t="n">
        <x:v>0</x:v>
      </x:c>
      <x:c r="J1451" s="64" t="n">
        <x:v>1</x:v>
      </x:c>
      <x:c r="K1451" s="62" t="n">
        <x:v>274.4999946658798</x:v>
      </x:c>
      <x:c r="L1451" s="60" t="n">
        <x:v>77004.14230166866</x:v>
      </x:c>
      <x:c r="M1451" s="62" t="n">
        <x:v>3.426128287619981</x:v>
      </x:c>
      <x:c r="N1451" s="62" t="n">
        <x:v>266.76465526960175</x:v>
      </x:c>
      <x:c r="O1451" s="60" t="n">
        <x:v>74834.18533555751</x:v>
      </x:c>
      <x:c r="P1451" s="60" t="n">
        <x:v>2169.9569661111454</x:v>
      </x:c>
      <x:c r="Q1451" s="62" t="n">
        <x:v>1.028996867626487</x:v>
      </x:c>
      <x:c r="R1451" s="64" t="n">
        <x:v>0.02899686762648686</x:v>
      </x:c>
    </x:row>
    <x:row r="1452" ht="18" customHeight="1">
      <x:c r="A1452" s="46" t="str">
        <x:v>LME_025</x:v>
      </x:c>
      <x:c r="B1452" s="46" t="str">
        <x:v>Iberian Coastal</x:v>
      </x:c>
      <x:c r="C1452" s="46" t="str">
        <x:v>functional</x:v>
      </x:c>
      <x:c r="D1452" s="46" t="str">
        <x:v>Small demersals (&lt;30 cm)</x:v>
      </x:c>
      <x:c r="E1452" s="66" t="n">
        <x:v>10</x:v>
      </x:c>
      <x:c r="F1452" s="66" t="n">
        <x:v>10</x:v>
      </x:c>
      <x:c r="G1452" s="60" t="n">
        <x:v>2971.3388843357006</x:v>
      </x:c>
      <x:c r="H1452" s="60" t="n">
        <x:v>2971.3388843357006</x:v>
      </x:c>
      <x:c r="I1452" s="62" t="n">
        <x:v>0</x:v>
      </x:c>
      <x:c r="J1452" s="64" t="n">
        <x:v>1</x:v>
      </x:c>
      <x:c r="K1452" s="62" t="n">
        <x:v>250.93500472375857</x:v>
      </x:c>
      <x:c r="L1452" s="60" t="n">
        <x:v>745612.9369766666</x:v>
      </x:c>
      <x:c r="M1452" s="62" t="n">
        <x:v>3.326303349611271</x:v>
      </x:c>
      <x:c r="N1452" s="62" t="n">
        <x:v>211.98413025811575</x:v>
      </x:c>
      <x:c r="O1452" s="60" t="n">
        <x:v>629876.6890980235</x:v>
      </x:c>
      <x:c r="P1452" s="60" t="n">
        <x:v>115736.2478786431</x:v>
      </x:c>
      <x:c r="Q1452" s="62" t="n">
        <x:v>1.1837442945291023</x:v>
      </x:c>
      <x:c r="R1452" s="64" t="n">
        <x:v>0.18374429452910243</x:v>
      </x:c>
    </x:row>
    <x:row r="1453" ht="18" customHeight="1">
      <x:c r="A1453" s="46" t="str">
        <x:v>LME_025</x:v>
      </x:c>
      <x:c r="B1453" s="46" t="str">
        <x:v>Iberian Coastal</x:v>
      </x:c>
      <x:c r="C1453" s="46" t="str">
        <x:v>functional</x:v>
      </x:c>
      <x:c r="D1453" s="46" t="str">
        <x:v>Small pelagics (&lt;30 cm)</x:v>
      </x:c>
      <x:c r="E1453" s="66" t="n">
        <x:v>9</x:v>
      </x:c>
      <x:c r="F1453" s="66" t="n">
        <x:v>9</x:v>
      </x:c>
      <x:c r="G1453" s="60" t="n">
        <x:v>52297.6171948469</x:v>
      </x:c>
      <x:c r="H1453" s="60" t="n">
        <x:v>52297.6171948469</x:v>
      </x:c>
      <x:c r="I1453" s="62" t="n">
        <x:v>0</x:v>
      </x:c>
      <x:c r="J1453" s="64" t="n">
        <x:v>1</x:v>
      </x:c>
      <x:c r="K1453" s="62" t="n">
        <x:v>122.76118379209301</x:v>
      </x:c>
      <x:c r="L1453" s="60" t="n">
        <x:v>6420117.396345124</x:v>
      </x:c>
      <x:c r="M1453" s="62" t="n">
        <x:v>3.0877576653999887</x:v>
      </x:c>
      <x:c r="N1453" s="62" t="n">
        <x:v>122.39330588909334</x:v>
      </x:c>
      <x:c r="O1453" s="60" t="n">
        <x:v>6400878.2585996045</x:v>
      </x:c>
      <x:c r="P1453" s="60" t="n">
        <x:v>19239.13774551917</x:v>
      </x:c>
      <x:c r="Q1453" s="62" t="n">
        <x:v>1.0030057028064345</x:v>
      </x:c>
      <x:c r="R1453" s="64" t="n">
        <x:v>0.003005702806434619</x:v>
      </x:c>
    </x:row>
    <x:row r="1454" ht="18" customHeight="1">
      <x:c r="A1454" s="46" t="str">
        <x:v>LME_025</x:v>
      </x:c>
      <x:c r="B1454" s="46" t="str">
        <x:v>Iberian Coastal</x:v>
      </x:c>
      <x:c r="C1454" s="46" t="str">
        <x:v>functional</x:v>
      </x:c>
      <x:c r="D1454" s="46" t="str">
        <x:v>Small reef assoc. fish (&lt;30 cm)</x:v>
      </x:c>
      <x:c r="E1454" s="66" t="n">
        <x:v>3</x:v>
      </x:c>
      <x:c r="F1454" s="66" t="n">
        <x:v>3</x:v>
      </x:c>
      <x:c r="G1454" s="60" t="n">
        <x:v>4.016395122900001</x:v>
      </x:c>
      <x:c r="H1454" s="60" t="n">
        <x:v>4.016395122900001</x:v>
      </x:c>
      <x:c r="I1454" s="62" t="n">
        <x:v>0</x:v>
      </x:c>
      <x:c r="J1454" s="64" t="n">
        <x:v>1</x:v>
      </x:c>
      <x:c r="K1454" s="62" t="n">
        <x:v>351.04547761389875</x:v>
      </x:c>
      <x:c r="L1454" s="60" t="n">
        <x:v>1409.9373442045642</x:v>
      </x:c>
      <x:c r="M1454" s="62" t="n">
        <x:v>3.5081265742583194</x:v>
      </x:c>
      <x:c r="N1454" s="62" t="n">
        <x:v>322.2007702156888</x:v>
      </x:c>
      <x:c r="O1454" s="60" t="n">
        <x:v>1294.0856020889162</x:v>
      </x:c>
      <x:c r="P1454" s="60" t="n">
        <x:v>115.851742115648</x:v>
      </x:c>
      <x:c r="Q1454" s="62" t="n">
        <x:v>1.0895240175214373</x:v>
      </x:c>
      <x:c r="R1454" s="64" t="n">
        <x:v>0.08952401752143739</x:v>
      </x:c>
    </x:row>
    <x:row r="1455" ht="18" customHeight="1">
      <x:c r="A1455" s="46" t="str">
        <x:v>LME_025</x:v>
      </x:c>
      <x:c r="B1455" s="46" t="str">
        <x:v>Iberian Coastal</x:v>
      </x:c>
      <x:c r="C1455" s="46" t="str">
        <x:v>functional</x:v>
      </x:c>
      <x:c r="D1455" s="46" t="str">
        <x:v>Small to medium flatfishes (&lt;90 cm)</x:v>
      </x:c>
      <x:c r="E1455" s="66" t="n">
        <x:v>23</x:v>
      </x:c>
      <x:c r="F1455" s="66" t="n">
        <x:v>23</x:v>
      </x:c>
      <x:c r="G1455" s="60" t="n">
        <x:v>5416.173063267999</x:v>
      </x:c>
      <x:c r="H1455" s="60" t="n">
        <x:v>5416.173063267999</x:v>
      </x:c>
      <x:c r="I1455" s="62" t="n">
        <x:v>0</x:v>
      </x:c>
      <x:c r="J1455" s="64" t="n">
        <x:v>1</x:v>
      </x:c>
      <x:c r="K1455" s="62" t="n">
        <x:v>608.5983183305412</x:v>
      </x:c>
      <x:c r="L1455" s="60" t="n">
        <x:v>3296273.8180920803</x:v>
      </x:c>
      <x:c r="M1455" s="62" t="n">
        <x:v>3.650834230167137</x:v>
      </x:c>
      <x:c r="N1455" s="62" t="n">
        <x:v>447.54244500097246</x:v>
      </x:c>
      <x:c r="O1455" s="60" t="n">
        <x:v>2423967.335283367</x:v>
      </x:c>
      <x:c r="P1455" s="60" t="n">
        <x:v>872306.4828087133</x:v>
      </x:c>
      <x:c r="Q1455" s="62" t="n">
        <x:v>1.3598672598064276</x:v>
      </x:c>
      <x:c r="R1455" s="64" t="n">
        <x:v>0.3598672598064276</x:v>
      </x:c>
    </x:row>
    <x:row r="1456" ht="18" customHeight="1">
      <x:c r="A1456" s="46" t="str">
        <x:v>LME_025</x:v>
      </x:c>
      <x:c r="B1456" s="46" t="str">
        <x:v>Iberian Coastal</x:v>
      </x:c>
      <x:c r="C1456" s="46" t="str">
        <x:v>functional</x:v>
      </x:c>
      <x:c r="D1456" s="46" t="str">
        <x:v>Small to medium rays (&lt;90 cm)</x:v>
      </x:c>
      <x:c r="E1456" s="66" t="n">
        <x:v>8</x:v>
      </x:c>
      <x:c r="F1456" s="66" t="n">
        <x:v>8</x:v>
      </x:c>
      <x:c r="G1456" s="60" t="n">
        <x:v>599.8514814191999</x:v>
      </x:c>
      <x:c r="H1456" s="60" t="n">
        <x:v>599.8514814191999</x:v>
      </x:c>
      <x:c r="I1456" s="62" t="n">
        <x:v>0</x:v>
      </x:c>
      <x:c r="J1456" s="64" t="n">
        <x:v>1</x:v>
      </x:c>
      <x:c r="K1456" s="62" t="n">
        <x:v>821.2362719052348</x:v>
      </x:c>
      <x:c r="L1456" s="60" t="n">
        <x:v>492619.79429753596</x:v>
      </x:c>
      <x:c r="M1456" s="62" t="n">
        <x:v>3.8742252021703067</x:v>
      </x:c>
      <x:c r="N1456" s="62" t="n">
        <x:v>748.5575622865065</x:v>
      </x:c>
      <x:c r="O1456" s="60" t="n">
        <x:v>449023.3626651059</x:v>
      </x:c>
      <x:c r="P1456" s="60" t="n">
        <x:v>43596.43163243006</x:v>
      </x:c>
      <x:c r="Q1456" s="62" t="n">
        <x:v>1.0970916777551851</x:v>
      </x:c>
      <x:c r="R1456" s="64" t="n">
        <x:v>0.09709167775518507</x:v>
      </x:c>
    </x:row>
    <x:row r="1457" ht="18" customHeight="1">
      <x:c r="A1457" s="46" t="str">
        <x:v>LME_025</x:v>
      </x:c>
      <x:c r="B1457" s="46" t="str">
        <x:v>Iberian Coastal</x:v>
      </x:c>
      <x:c r="C1457" s="46" t="str">
        <x:v>functional</x:v>
      </x:c>
      <x:c r="D1457" s="46" t="str">
        <x:v>Small to medium sharks (&lt;90 cm)</x:v>
      </x:c>
      <x:c r="E1457" s="66" t="n">
        <x:v>9</x:v>
      </x:c>
      <x:c r="F1457" s="66" t="n">
        <x:v>9</x:v>
      </x:c>
      <x:c r="G1457" s="60" t="n">
        <x:v>1532.2065086424</x:v>
      </x:c>
      <x:c r="H1457" s="60" t="n">
        <x:v>1532.2065086424</x:v>
      </x:c>
      <x:c r="I1457" s="62" t="n">
        <x:v>0</x:v>
      </x:c>
      <x:c r="J1457" s="64" t="n">
        <x:v>1</x:v>
      </x:c>
      <x:c r="K1457" s="62" t="n">
        <x:v>847.2430935390297</x:v>
      </x:c>
      <x:c r="L1457" s="60" t="n">
        <x:v>1298151.382322823</x:v>
      </x:c>
      <x:c r="M1457" s="62" t="n">
        <x:v>3.903037369133109</x:v>
      </x:c>
      <x:c r="N1457" s="62" t="n">
        <x:v>799.9030801934772</x:v>
      </x:c>
      <x:c r="O1457" s="60" t="n">
        <x:v>1225616.7057555495</x:v>
      </x:c>
      <x:c r="P1457" s="60" t="n">
        <x:v>72534.67656727345</x:v>
      </x:c>
      <x:c r="Q1457" s="62" t="n">
        <x:v>1.0591821865895328</x:v>
      </x:c>
      <x:c r="R1457" s="64" t="n">
        <x:v>0.0591821865895328</x:v>
      </x:c>
    </x:row>
    <x:row r="1458" ht="18" customHeight="1">
      <x:c r="A1458" s="46" t="str">
        <x:v>LME_026</x:v>
      </x:c>
      <x:c r="B1458" s="46" t="str">
        <x:v>Mediterranean Sea</x:v>
      </x:c>
      <x:c r="C1458" s="46" t="str">
        <x:v>functional</x:v>
      </x:c>
      <x:c r="D1458" s="46" t="str">
        <x:v>Cephalopods</x:v>
      </x:c>
      <x:c r="E1458" s="66" t="n">
        <x:v>27</x:v>
      </x:c>
      <x:c r="F1458" s="66" t="n">
        <x:v>27</x:v>
      </x:c>
      <x:c r="G1458" s="60" t="n">
        <x:v>72017.86804089179</x:v>
      </x:c>
      <x:c r="H1458" s="60" t="n">
        <x:v>72017.86804089179</x:v>
      </x:c>
      <x:c r="I1458" s="62" t="n">
        <x:v>0</x:v>
      </x:c>
      <x:c r="J1458" s="64" t="n">
        <x:v>1</x:v>
      </x:c>
      <x:c r="K1458" s="62" t="n">
        <x:v>873.6458001633583</x:v>
      </x:c>
      <x:c r="L1458" s="60" t="n">
        <x:v>62918107.95064405</x:v>
      </x:c>
      <x:c r="M1458" s="62" t="n">
        <x:v>3.8610733851849086</x:v>
      </x:c>
      <x:c r="N1458" s="62" t="n">
        <x:v>726.2286620155547</x:v>
      </x:c>
      <x:c r="O1458" s="60" t="n">
        <x:v>52301439.94854962</x:v>
      </x:c>
      <x:c r="P1458" s="60" t="n">
        <x:v>10616668.002094433</x:v>
      </x:c>
      <x:c r="Q1458" s="62" t="n">
        <x:v>1.2029899752767486</x:v>
      </x:c>
      <x:c r="R1458" s="64" t="n">
        <x:v>0.20298997527674847</x:v>
      </x:c>
    </x:row>
    <x:row r="1459" ht="18" customHeight="1">
      <x:c r="A1459" s="46" t="str">
        <x:v>LME_026</x:v>
      </x:c>
      <x:c r="B1459" s="46" t="str">
        <x:v>Mediterranean Sea</x:v>
      </x:c>
      <x:c r="C1459" s="46" t="str">
        <x:v>functional</x:v>
      </x:c>
      <x:c r="D1459" s="46" t="str">
        <x:v>Large bathydemersals (&gt;=90 cm)</x:v>
      </x:c>
      <x:c r="E1459" s="66" t="n">
        <x:v>5</x:v>
      </x:c>
      <x:c r="F1459" s="66" t="n">
        <x:v>5</x:v>
      </x:c>
      <x:c r="G1459" s="60" t="n">
        <x:v>5787.999565445201</x:v>
      </x:c>
      <x:c r="H1459" s="60" t="n">
        <x:v>5787.999565445201</x:v>
      </x:c>
      <x:c r="I1459" s="62" t="n">
        <x:v>0</x:v>
      </x:c>
      <x:c r="J1459" s="64" t="n">
        <x:v>1</x:v>
      </x:c>
      <x:c r="K1459" s="62" t="n">
        <x:v>1570.8727923224824</x:v>
      </x:c>
      <x:c r="L1459" s="60" t="n">
        <x:v>9092211.039332218</x:v>
      </x:c>
      <x:c r="M1459" s="62" t="n">
        <x:v>4.1075997792320695</x:v>
      </x:c>
      <x:c r="N1459" s="62" t="n">
        <x:v>1281.1494050226563</x:v>
      </x:c>
      <x:c r="O1459" s="60" t="n">
        <x:v>7415292.199541513</x:v>
      </x:c>
      <x:c r="P1459" s="60" t="n">
        <x:v>1676918.8397907056</x:v>
      </x:c>
      <x:c r="Q1459" s="62" t="n">
        <x:v>1.2261433258010237</x:v>
      </x:c>
      <x:c r="R1459" s="64" t="n">
        <x:v>0.22614332580102364</x:v>
      </x:c>
    </x:row>
    <x:row r="1460" ht="18" customHeight="1">
      <x:c r="A1460" s="46" t="str">
        <x:v>LME_026</x:v>
      </x:c>
      <x:c r="B1460" s="46" t="str">
        <x:v>Mediterranean Sea</x:v>
      </x:c>
      <x:c r="C1460" s="46" t="str">
        <x:v>functional</x:v>
      </x:c>
      <x:c r="D1460" s="46" t="str">
        <x:v>Large bathypelagics (&gt;=90 cm)</x:v>
      </x:c>
      <x:c r="E1460" s="66" t="n">
        <x:v>1</x:v>
      </x:c>
      <x:c r="F1460" s="66" t="n">
        <x:v>1</x:v>
      </x:c>
      <x:c r="G1460" s="60" t="n">
        <x:v>54.736457867</x:v>
      </x:c>
      <x:c r="H1460" s="60" t="n">
        <x:v>54.736457867</x:v>
      </x:c>
      <x:c r="I1460" s="62" t="n">
        <x:v>0</x:v>
      </x:c>
      <x:c r="J1460" s="64" t="n">
        <x:v>1</x:v>
      </x:c>
      <x:c r="K1460" s="62" t="n">
        <x:v>831.763771102671</x:v>
      </x:c>
      <x:c r="L1460" s="60" t="n">
        <x:v>45527.802612258376</x:v>
      </x:c>
      <x:c r="M1460" s="62" t="n">
        <x:v>3.92</x:v>
      </x:c>
      <x:c r="N1460" s="62" t="n">
        <x:v>831.7637711026708</x:v>
      </x:c>
      <x:c r="O1460" s="60" t="n">
        <x:v>45527.802612258376</x:v>
      </x:c>
      <x:c r="P1460" s="60" t="n">
        <x:v>0</x:v>
      </x:c>
      <x:c r="Q1460" s="62" t="n">
        <x:v>1</x:v>
      </x:c>
      <x:c r="R1460" s="64" t="n">
        <x:v>0</x:v>
      </x:c>
    </x:row>
    <x:row r="1461" ht="18" customHeight="1">
      <x:c r="A1461" s="46" t="str">
        <x:v>LME_026</x:v>
      </x:c>
      <x:c r="B1461" s="46" t="str">
        <x:v>Mediterranean Sea</x:v>
      </x:c>
      <x:c r="C1461" s="46" t="str">
        <x:v>functional</x:v>
      </x:c>
      <x:c r="D1461" s="46" t="str">
        <x:v>Large benthopelagics (&gt;=90 cm)</x:v>
      </x:c>
      <x:c r="E1461" s="66" t="n">
        <x:v>11</x:v>
      </x:c>
      <x:c r="F1461" s="66" t="n">
        <x:v>11</x:v>
      </x:c>
      <x:c r="G1461" s="60" t="n">
        <x:v>18246.861018343396</x:v>
      </x:c>
      <x:c r="H1461" s="60" t="n">
        <x:v>18246.861018343396</x:v>
      </x:c>
      <x:c r="I1461" s="62" t="n">
        <x:v>0</x:v>
      </x:c>
      <x:c r="J1461" s="64" t="n">
        <x:v>1</x:v>
      </x:c>
      <x:c r="K1461" s="62" t="n">
        <x:v>1782.768983947954</x:v>
      </x:c>
      <x:c r="L1461" s="60" t="n">
        <x:v>32529937.877911583</x:v>
      </x:c>
      <x:c r="M1461" s="62" t="n">
        <x:v>3.718468648671522</x:v>
      </x:c>
      <x:c r="N1461" s="62" t="n">
        <x:v>522.9602127915468</x:v>
      </x:c>
      <x:c r="O1461" s="60" t="n">
        <x:v>9542382.320930643</x:v>
      </x:c>
      <x:c r="P1461" s="60" t="n">
        <x:v>22987555.556980938</x:v>
      </x:c>
      <x:c r="Q1461" s="62" t="n">
        <x:v>3.4089954461957697</x:v>
      </x:c>
      <x:c r="R1461" s="64" t="n">
        <x:v>2.4089954461957697</x:v>
      </x:c>
    </x:row>
    <x:row r="1462" ht="18" customHeight="1">
      <x:c r="A1462" s="46" t="str">
        <x:v>LME_026</x:v>
      </x:c>
      <x:c r="B1462" s="46" t="str">
        <x:v>Mediterranean Sea</x:v>
      </x:c>
      <x:c r="C1462" s="46" t="str">
        <x:v>functional</x:v>
      </x:c>
      <x:c r="D1462" s="46" t="str">
        <x:v>Large demersals (&gt;=90 cm)</x:v>
      </x:c>
      <x:c r="E1462" s="66" t="n">
        <x:v>17</x:v>
      </x:c>
      <x:c r="F1462" s="66" t="n">
        <x:v>17</x:v>
      </x:c>
      <x:c r="G1462" s="60" t="n">
        <x:v>31440.7059876582</x:v>
      </x:c>
      <x:c r="H1462" s="60" t="n">
        <x:v>31440.7059876582</x:v>
      </x:c>
      <x:c r="I1462" s="62" t="n">
        <x:v>0</x:v>
      </x:c>
      <x:c r="J1462" s="64" t="n">
        <x:v>1</x:v>
      </x:c>
      <x:c r="K1462" s="62" t="n">
        <x:v>1786.3991366024536</x:v>
      </x:c>
      <x:c r="L1462" s="60" t="n">
        <x:v>56165650.0305242</x:v>
      </x:c>
      <x:c r="M1462" s="62" t="n">
        <x:v>4.128516392860626</x:v>
      </x:c>
      <x:c r="N1462" s="62" t="n">
        <x:v>1344.3625099624562</x:v>
      </x:c>
      <x:c r="O1462" s="60" t="n">
        <x:v>42267706.4165598</x:v>
      </x:c>
      <x:c r="P1462" s="60" t="n">
        <x:v>13897943.613964401</x:v>
      </x:c>
      <x:c r="Q1462" s="62" t="n">
        <x:v>1.3288076120572139</x:v>
      </x:c>
      <x:c r="R1462" s="64" t="n">
        <x:v>0.3288076120572138</x:v>
      </x:c>
    </x:row>
    <x:row r="1463" ht="18" customHeight="1">
      <x:c r="A1463" s="46" t="str">
        <x:v>LME_026</x:v>
      </x:c>
      <x:c r="B1463" s="46" t="str">
        <x:v>Mediterranean Sea</x:v>
      </x:c>
      <x:c r="C1463" s="46" t="str">
        <x:v>functional</x:v>
      </x:c>
      <x:c r="D1463" s="46" t="str">
        <x:v>Large flatfishes (&gt;=90 cm)</x:v>
      </x:c>
      <x:c r="E1463" s="66" t="n">
        <x:v>2</x:v>
      </x:c>
      <x:c r="F1463" s="66" t="n">
        <x:v>2</x:v>
      </x:c>
      <x:c r="G1463" s="60" t="n">
        <x:v>4062.169357153</x:v>
      </x:c>
      <x:c r="H1463" s="60" t="n">
        <x:v>4062.169357153</x:v>
      </x:c>
      <x:c r="I1463" s="62" t="n">
        <x:v>0</x:v>
      </x:c>
      <x:c r="J1463" s="64" t="n">
        <x:v>1</x:v>
      </x:c>
      <x:c r="K1463" s="62" t="n">
        <x:v>1897.279117366678</x:v>
      </x:c>
      <x:c r="L1463" s="60" t="n">
        <x:v>7707069.092533209</x:v>
      </x:c>
      <x:c r="M1463" s="62" t="n">
        <x:v>4.174752717362113</x:v>
      </x:c>
      <x:c r="N1463" s="62" t="n">
        <x:v>1495.38395799491</x:v>
      </x:c>
      <x:c r="O1463" s="60" t="n">
        <x:v>6074502.891345092</x:v>
      </x:c>
      <x:c r="P1463" s="60" t="n">
        <x:v>1632566.2011881173</x:v>
      </x:c>
      <x:c r="Q1463" s="62" t="n">
        <x:v>1.2687571691692148</x:v>
      </x:c>
      <x:c r="R1463" s="64" t="n">
        <x:v>0.26875716916921477</x:v>
      </x:c>
    </x:row>
    <x:row r="1464" ht="18" customHeight="1">
      <x:c r="A1464" s="46" t="str">
        <x:v>LME_026</x:v>
      </x:c>
      <x:c r="B1464" s="46" t="str">
        <x:v>Mediterranean Sea</x:v>
      </x:c>
      <x:c r="C1464" s="46" t="str">
        <x:v>functional</x:v>
      </x:c>
      <x:c r="D1464" s="46" t="str">
        <x:v>Large pelagics (&gt;=90 cm)</x:v>
      </x:c>
      <x:c r="E1464" s="66" t="n">
        <x:v>25</x:v>
      </x:c>
      <x:c r="F1464" s="66" t="n">
        <x:v>25</x:v>
      </x:c>
      <x:c r="G1464" s="60" t="n">
        <x:v>100659.79150978081</x:v>
      </x:c>
      <x:c r="H1464" s="60" t="n">
        <x:v>100659.79150978081</x:v>
      </x:c>
      <x:c r="I1464" s="62" t="n">
        <x:v>0</x:v>
      </x:c>
      <x:c r="J1464" s="64" t="n">
        <x:v>1</x:v>
      </x:c>
      <x:c r="K1464" s="62" t="n">
        <x:v>2789.667526891606</x:v>
      </x:c>
      <x:c r="L1464" s="60" t="n">
        <x:v>280807351.63851494</x:v>
      </x:c>
      <x:c r="M1464" s="62" t="n">
        <x:v>4.432471400998712</x:v>
      </x:c>
      <x:c r="N1464" s="62" t="n">
        <x:v>2706.894944596811</x:v>
      </x:c>
      <x:c r="O1464" s="60" t="n">
        <x:v>272475480.76199466</x:v>
      </x:c>
      <x:c r="P1464" s="60" t="n">
        <x:v>8331870.876520276</x:v>
      </x:c>
      <x:c r="Q1464" s="62" t="n">
        <x:v>1.0305784243529719</x:v>
      </x:c>
      <x:c r="R1464" s="64" t="n">
        <x:v>0.030578424352971798</x:v>
      </x:c>
    </x:row>
    <x:row r="1465" ht="18" customHeight="1">
      <x:c r="A1465" s="46" t="str">
        <x:v>LME_026</x:v>
      </x:c>
      <x:c r="B1465" s="46" t="str">
        <x:v>Mediterranean Sea</x:v>
      </x:c>
      <x:c r="C1465" s="46" t="str">
        <x:v>functional</x:v>
      </x:c>
      <x:c r="D1465" s="46" t="str">
        <x:v>Large rays (&gt;=90 cm)</x:v>
      </x:c>
      <x:c r="E1465" s="66" t="n">
        <x:v>21</x:v>
      </x:c>
      <x:c r="F1465" s="66" t="n">
        <x:v>21</x:v>
      </x:c>
      <x:c r="G1465" s="60" t="n">
        <x:v>4567.718875211301</x:v>
      </x:c>
      <x:c r="H1465" s="60" t="n">
        <x:v>4567.718875211301</x:v>
      </x:c>
      <x:c r="I1465" s="62" t="n">
        <x:v>0</x:v>
      </x:c>
      <x:c r="J1465" s="64" t="n">
        <x:v>1</x:v>
      </x:c>
      <x:c r="K1465" s="62" t="n">
        <x:v>568.7740400439926</x:v>
      </x:c>
      <x:c r="L1465" s="60" t="n">
        <x:v>2597999.918439133</x:v>
      </x:c>
      <x:c r="M1465" s="62" t="n">
        <x:v>3.7166273298044086</x:v>
      </x:c>
      <x:c r="N1465" s="62" t="n">
        <x:v>520.7476632368778</x:v>
      </x:c>
      <x:c r="O1465" s="60" t="n">
        <x:v>2378628.9305892647</x:v>
      </x:c>
      <x:c r="P1465" s="60" t="n">
        <x:v>219370.98784986837</x:v>
      </x:c>
      <x:c r="Q1465" s="62" t="n">
        <x:v>1.09222581337877</x:v>
      </x:c>
      <x:c r="R1465" s="64" t="n">
        <x:v>0.09222581337876982</x:v>
      </x:c>
    </x:row>
    <x:row r="1466" ht="18" customHeight="1">
      <x:c r="A1466" s="46" t="str">
        <x:v>LME_026</x:v>
      </x:c>
      <x:c r="B1466" s="46" t="str">
        <x:v>Mediterranean Sea</x:v>
      </x:c>
      <x:c r="C1466" s="46" t="str">
        <x:v>functional</x:v>
      </x:c>
      <x:c r="D1466" s="46" t="str">
        <x:v>Large reef assoc. fish (&gt;=90 cm)</x:v>
      </x:c>
      <x:c r="E1466" s="66" t="n">
        <x:v>9</x:v>
      </x:c>
      <x:c r="F1466" s="66" t="n">
        <x:v>9</x:v>
      </x:c>
      <x:c r="G1466" s="60" t="n">
        <x:v>13162.5487065292</x:v>
      </x:c>
      <x:c r="H1466" s="60" t="n">
        <x:v>13162.5487065292</x:v>
      </x:c>
      <x:c r="I1466" s="62" t="n">
        <x:v>0</x:v>
      </x:c>
      <x:c r="J1466" s="64" t="n">
        <x:v>1</x:v>
      </x:c>
      <x:c r="K1466" s="62" t="n">
        <x:v>1632.7527940243829</x:v>
      </x:c>
      <x:c r="L1466" s="60" t="n">
        <x:v>21491188.177067578</x:v>
      </x:c>
      <x:c r="M1466" s="62" t="n">
        <x:v>4.101229861914414</x:v>
      </x:c>
      <x:c r="N1466" s="62" t="n">
        <x:v>1262.4955671715604</x:v>
      </x:c>
      <x:c r="O1466" s="60" t="n">
        <x:v>16617659.39467287</x:v>
      </x:c>
      <x:c r="P1466" s="60" t="n">
        <x:v>4873528.782394707</x:v>
      </x:c>
      <x:c r="Q1466" s="62" t="n">
        <x:v>1.2932740807021845</x:v>
      </x:c>
      <x:c r="R1466" s="64" t="n">
        <x:v>0.2932740807021846</x:v>
      </x:c>
    </x:row>
    <x:row r="1467" ht="18" customHeight="1">
      <x:c r="A1467" s="46" t="str">
        <x:v>LME_026</x:v>
      </x:c>
      <x:c r="B1467" s="46" t="str">
        <x:v>Mediterranean Sea</x:v>
      </x:c>
      <x:c r="C1467" s="46" t="str">
        <x:v>functional</x:v>
      </x:c>
      <x:c r="D1467" s="46" t="str">
        <x:v>Large sharks (&gt;=90 cm)</x:v>
      </x:c>
      <x:c r="E1467" s="66" t="n">
        <x:v>36</x:v>
      </x:c>
      <x:c r="F1467" s="66" t="n">
        <x:v>36</x:v>
      </x:c>
      <x:c r="G1467" s="60" t="n">
        <x:v>56511.33801304031</x:v>
      </x:c>
      <x:c r="H1467" s="60" t="n">
        <x:v>56511.33801304031</x:v>
      </x:c>
      <x:c r="I1467" s="62" t="n">
        <x:v>0</x:v>
      </x:c>
      <x:c r="J1467" s="64" t="n">
        <x:v>1</x:v>
      </x:c>
      <x:c r="K1467" s="62" t="n">
        <x:v>2089.4135146998333</x:v>
      </x:c>
      <x:c r="L1467" s="60" t="n">
        <x:v>118075553.37821685</x:v>
      </x:c>
      <x:c r="M1467" s="62" t="n">
        <x:v>4.290975259022473</x:v>
      </x:c>
      <x:c r="N1467" s="62" t="n">
        <x:v>1954.228123733831</x:v>
      </x:c>
      <x:c r="O1467" s="60" t="n">
        <x:v>110436046.05491208</x:v>
      </x:c>
      <x:c r="P1467" s="60" t="n">
        <x:v>7639507.323304772</x:v>
      </x:c>
      <x:c r="Q1467" s="62" t="n">
        <x:v>1.0691758496995283</x:v>
      </x:c>
      <x:c r="R1467" s="64" t="n">
        <x:v>0.06917584969952821</x:v>
      </x:c>
    </x:row>
    <x:row r="1468" ht="18" customHeight="1">
      <x:c r="A1468" s="46" t="str">
        <x:v>LME_026</x:v>
      </x:c>
      <x:c r="B1468" s="46" t="str">
        <x:v>Mediterranean Sea</x:v>
      </x:c>
      <x:c r="C1468" s="46" t="str">
        <x:v>functional</x:v>
      </x:c>
      <x:c r="D1468" s="46" t="str">
        <x:v>Lobsters, crabs</x:v>
      </x:c>
      <x:c r="E1468" s="66" t="n">
        <x:v>27</x:v>
      </x:c>
      <x:c r="F1468" s="66" t="n">
        <x:v>27</x:v>
      </x:c>
      <x:c r="G1468" s="60" t="n">
        <x:v>20201.269895752997</x:v>
      </x:c>
      <x:c r="H1468" s="60" t="n">
        <x:v>20201.269895752997</x:v>
      </x:c>
      <x:c r="I1468" s="62" t="n">
        <x:v>0</x:v>
      </x:c>
      <x:c r="J1468" s="64" t="n">
        <x:v>1</x:v>
      </x:c>
      <x:c r="K1468" s="62" t="n">
        <x:v>208.62746463180585</x:v>
      </x:c>
      <x:c r="L1468" s="60" t="n">
        <x:v>4214539.720693773</x:v>
      </x:c>
      <x:c r="M1468" s="62" t="n">
        <x:v>3.242268599103809</x:v>
      </x:c>
      <x:c r="N1468" s="62" t="n">
        <x:v>174.69022295138768</x:v>
      </x:c>
      <x:c r="O1468" s="60" t="n">
        <x:v>3528964.3419902474</x:v>
      </x:c>
      <x:c r="P1468" s="60" t="n">
        <x:v>685575.3787035253</x:v>
      </x:c>
      <x:c r="Q1468" s="62" t="n">
        <x:v>1.1942709849873059</x:v>
      </x:c>
      <x:c r="R1468" s="64" t="n">
        <x:v>0.19427098498730594</x:v>
      </x:c>
    </x:row>
    <x:row r="1469" ht="18" customHeight="1">
      <x:c r="A1469" s="46" t="str">
        <x:v>LME_026</x:v>
      </x:c>
      <x:c r="B1469" s="46" t="str">
        <x:v>Mediterranean Sea</x:v>
      </x:c>
      <x:c r="C1469" s="46" t="str">
        <x:v>functional</x:v>
      </x:c>
      <x:c r="D1469" s="46" t="str">
        <x:v>Medium bathydemersals (30 - 89 cm)</x:v>
      </x:c>
      <x:c r="E1469" s="66" t="n">
        <x:v>12</x:v>
      </x:c>
      <x:c r="F1469" s="66" t="n">
        <x:v>12</x:v>
      </x:c>
      <x:c r="G1469" s="60" t="n">
        <x:v>7534.0736412831</x:v>
      </x:c>
      <x:c r="H1469" s="60" t="n">
        <x:v>7534.0736412831</x:v>
      </x:c>
      <x:c r="I1469" s="62" t="n">
        <x:v>0</x:v>
      </x:c>
      <x:c r="J1469" s="64" t="n">
        <x:v>1</x:v>
      </x:c>
      <x:c r="K1469" s="62" t="n">
        <x:v>1973.869108444476</x:v>
      </x:c>
      <x:c r="L1469" s="60" t="n">
        <x:v>14871275.2212745</x:v>
      </x:c>
      <x:c r="M1469" s="62" t="n">
        <x:v>4.1052211330844495</x:v>
      </x:c>
      <x:c r="N1469" s="62" t="n">
        <x:v>1274.1516855556877</x:v>
      </x:c>
      <x:c r="O1469" s="60" t="n">
        <x:v>9599552.62914154</x:v>
      </x:c>
      <x:c r="P1469" s="60" t="n">
        <x:v>5271722.592132961</x:v>
      </x:c>
      <x:c r="Q1469" s="62" t="n">
        <x:v>1.549163361647656</x:v>
      </x:c>
      <x:c r="R1469" s="64" t="n">
        <x:v>0.5491633616476559</x:v>
      </x:c>
    </x:row>
    <x:row r="1470" ht="18" customHeight="1">
      <x:c r="A1470" s="46" t="str">
        <x:v>LME_026</x:v>
      </x:c>
      <x:c r="B1470" s="46" t="str">
        <x:v>Mediterranean Sea</x:v>
      </x:c>
      <x:c r="C1470" s="46" t="str">
        <x:v>functional</x:v>
      </x:c>
      <x:c r="D1470" s="46" t="str">
        <x:v>Medium bathypelagics (30 - 89 cm)</x:v>
      </x:c>
      <x:c r="E1470" s="66" t="n">
        <x:v>2</x:v>
      </x:c>
      <x:c r="F1470" s="66" t="n">
        <x:v>2</x:v>
      </x:c>
      <x:c r="G1470" s="60" t="n">
        <x:v>103.91046367220001</x:v>
      </x:c>
      <x:c r="H1470" s="60" t="n">
        <x:v>103.91046367220001</x:v>
      </x:c>
      <x:c r="I1470" s="62" t="n">
        <x:v>0</x:v>
      </x:c>
      <x:c r="J1470" s="64" t="n">
        <x:v>1</x:v>
      </x:c>
      <x:c r="K1470" s="62" t="n">
        <x:v>959.9247541572154</x:v>
      </x:c>
      <x:c r="L1470" s="60" t="n">
        <x:v>99746.22629489885</x:v>
      </x:c>
      <x:c r="M1470" s="62" t="n">
        <x:v>3.9407513496316438</x:v>
      </x:c>
      <x:c r="N1470" s="62" t="n">
        <x:v>872.4717016083935</x:v>
      </x:c>
      <x:c r="O1470" s="60" t="n">
        <x:v>90658.9390550015</x:v>
      </x:c>
      <x:c r="P1470" s="60" t="n">
        <x:v>9087.287239897356</x:v>
      </x:c>
      <x:c r="Q1470" s="62" t="n">
        <x:v>1.1002359760065605</x:v>
      </x:c>
      <x:c r="R1470" s="64" t="n">
        <x:v>0.10023597600656045</x:v>
      </x:c>
    </x:row>
    <x:row r="1471" ht="18" customHeight="1">
      <x:c r="A1471" s="46" t="str">
        <x:v>LME_026</x:v>
      </x:c>
      <x:c r="B1471" s="46" t="str">
        <x:v>Mediterranean Sea</x:v>
      </x:c>
      <x:c r="C1471" s="46" t="str">
        <x:v>functional</x:v>
      </x:c>
      <x:c r="D1471" s="46" t="str">
        <x:v>Medium benthopelagics (30 - 89 cm)</x:v>
      </x:c>
      <x:c r="E1471" s="66" t="n">
        <x:v>37</x:v>
      </x:c>
      <x:c r="F1471" s="66" t="n">
        <x:v>37</x:v>
      </x:c>
      <x:c r="G1471" s="60" t="n">
        <x:v>92789.5579389521</x:v>
      </x:c>
      <x:c r="H1471" s="60" t="n">
        <x:v>92789.5579389521</x:v>
      </x:c>
      <x:c r="I1471" s="62" t="n">
        <x:v>0</x:v>
      </x:c>
      <x:c r="J1471" s="64" t="n">
        <x:v>1</x:v>
      </x:c>
      <x:c r="K1471" s="62" t="n">
        <x:v>481.77757402611513</x:v>
      </x:c>
      <x:c r="L1471" s="60" t="n">
        <x:v>44703928.118783996</x:v>
      </x:c>
      <x:c r="M1471" s="62" t="n">
        <x:v>3.453581770367874</x:v>
      </x:c>
      <x:c r="N1471" s="62" t="n">
        <x:v>284.1723183436117</x:v>
      </x:c>
      <x:c r="O1471" s="60" t="n">
        <x:v>26368223.7975909</x:v>
      </x:c>
      <x:c r="P1471" s="60" t="n">
        <x:v>18335704.321193095</x:v>
      </x:c>
      <x:c r="Q1471" s="62" t="n">
        <x:v>1.6953712340255667</x:v>
      </x:c>
      <x:c r="R1471" s="64" t="n">
        <x:v>0.6953712340255666</x:v>
      </x:c>
    </x:row>
    <x:row r="1472" ht="18" customHeight="1">
      <x:c r="A1472" s="46" t="str">
        <x:v>LME_026</x:v>
      </x:c>
      <x:c r="B1472" s="46" t="str">
        <x:v>Mediterranean Sea</x:v>
      </x:c>
      <x:c r="C1472" s="46" t="str">
        <x:v>functional</x:v>
      </x:c>
      <x:c r="D1472" s="46" t="str">
        <x:v>Medium demersals (30 - 89 cm)</x:v>
      </x:c>
      <x:c r="E1472" s="66" t="n">
        <x:v>51</x:v>
      </x:c>
      <x:c r="F1472" s="66" t="n">
        <x:v>51</x:v>
      </x:c>
      <x:c r="G1472" s="60" t="n">
        <x:v>270636.25513760996</x:v>
      </x:c>
      <x:c r="H1472" s="60" t="n">
        <x:v>270636.25513760996</x:v>
      </x:c>
      <x:c r="I1472" s="62" t="n">
        <x:v>0</x:v>
      </x:c>
      <x:c r="J1472" s="64" t="n">
        <x:v>1</x:v>
      </x:c>
      <x:c r="K1472" s="62" t="n">
        <x:v>245.58007120962387</x:v>
      </x:c>
      <x:c r="L1472" s="60" t="n">
        <x:v>66462870.80860019</x:v>
      </x:c>
      <x:c r="M1472" s="62" t="n">
        <x:v>3.2866722757257683</x:v>
      </x:c>
      <x:c r="N1472" s="62" t="n">
        <x:v>193.4961265904222</x:v>
      </x:c>
      <x:c r="O1472" s="60" t="n">
        <x:v>52367067.084064774</x:v>
      </x:c>
      <x:c r="P1472" s="60" t="n">
        <x:v>14095803.724535413</x:v>
      </x:c>
      <x:c r="Q1472" s="62" t="n">
        <x:v>1.269173060654847</x:v>
      </x:c>
      <x:c r="R1472" s="64" t="n">
        <x:v>0.2691730606548471</x:v>
      </x:c>
    </x:row>
    <x:row r="1473" ht="18" customHeight="1">
      <x:c r="A1473" s="46" t="str">
        <x:v>LME_026</x:v>
      </x:c>
      <x:c r="B1473" s="46" t="str">
        <x:v>Mediterranean Sea</x:v>
      </x:c>
      <x:c r="C1473" s="46" t="str">
        <x:v>functional</x:v>
      </x:c>
      <x:c r="D1473" s="46" t="str">
        <x:v>Medium pelagics (30 - 89 cm)</x:v>
      </x:c>
      <x:c r="E1473" s="66" t="n">
        <x:v>34</x:v>
      </x:c>
      <x:c r="F1473" s="66" t="n">
        <x:v>34</x:v>
      </x:c>
      <x:c r="G1473" s="60" t="n">
        <x:v>164493.25395450988</x:v>
      </x:c>
      <x:c r="H1473" s="60" t="n">
        <x:v>164493.25395450988</x:v>
      </x:c>
      <x:c r="I1473" s="62" t="n">
        <x:v>0</x:v>
      </x:c>
      <x:c r="J1473" s="64" t="n">
        <x:v>1</x:v>
      </x:c>
      <x:c r="K1473" s="62" t="n">
        <x:v>1153.1850865778981</x:v>
      </x:c>
      <x:c r="L1473" s="60" t="n">
        <x:v>189691167.30301166</x:v>
      </x:c>
      <x:c r="M1473" s="62" t="n">
        <x:v>3.882893769262863</x:v>
      </x:c>
      <x:c r="N1473" s="62" t="n">
        <x:v>763.6489681366792</x:v>
      </x:c>
      <x:c r="O1473" s="60" t="n">
        <x:v>125615103.6478062</x:v>
      </x:c>
      <x:c r="P1473" s="60" t="n">
        <x:v>64076063.65520546</x:v>
      </x:c>
      <x:c r="Q1473" s="62" t="n">
        <x:v>1.5100984021384798</x:v>
      </x:c>
      <x:c r="R1473" s="64" t="n">
        <x:v>0.5100984021384798</x:v>
      </x:c>
    </x:row>
    <x:row r="1474" ht="18" customHeight="1">
      <x:c r="A1474" s="46" t="str">
        <x:v>LME_026</x:v>
      </x:c>
      <x:c r="B1474" s="46" t="str">
        <x:v>Mediterranean Sea</x:v>
      </x:c>
      <x:c r="C1474" s="46" t="str">
        <x:v>functional</x:v>
      </x:c>
      <x:c r="D1474" s="46" t="str">
        <x:v>Medium reef assoc. fish (30 - 89 cm)</x:v>
      </x:c>
      <x:c r="E1474" s="66" t="n">
        <x:v>17</x:v>
      </x:c>
      <x:c r="F1474" s="66" t="n">
        <x:v>17</x:v>
      </x:c>
      <x:c r="G1474" s="60" t="n">
        <x:v>33482.4650034902</x:v>
      </x:c>
      <x:c r="H1474" s="60" t="n">
        <x:v>33482.4650034902</x:v>
      </x:c>
      <x:c r="I1474" s="62" t="n">
        <x:v>0</x:v>
      </x:c>
      <x:c r="J1474" s="64" t="n">
        <x:v>1</x:v>
      </x:c>
      <x:c r="K1474" s="62" t="n">
        <x:v>358.7836975680582</x:v>
      </x:c>
      <x:c r="L1474" s="60" t="n">
        <x:v>12012962.59764532</x:v>
      </x:c>
      <x:c r="M1474" s="62" t="n">
        <x:v>3.167354257219435</x:v>
      </x:c>
      <x:c r="N1474" s="62" t="n">
        <x:v>147.01249804965852</x:v>
      </x:c>
      <x:c r="O1474" s="60" t="n">
        <x:v>4922340.821023363</x:v>
      </x:c>
      <x:c r="P1474" s="60" t="n">
        <x:v>7090621.776621957</x:v>
      </x:c>
      <x:c r="Q1474" s="62" t="n">
        <x:v>2.4404979326782588</x:v>
      </x:c>
      <x:c r="R1474" s="64" t="n">
        <x:v>1.4404979326782588</x:v>
      </x:c>
    </x:row>
    <x:row r="1475" ht="18" customHeight="1">
      <x:c r="A1475" s="46" t="str">
        <x:v>LME_026</x:v>
      </x:c>
      <x:c r="B1475" s="46" t="str">
        <x:v>Mediterranean Sea</x:v>
      </x:c>
      <x:c r="C1475" s="46" t="str">
        <x:v>functional</x:v>
      </x:c>
      <x:c r="D1475" s="46" t="str">
        <x:v>Other demersal invertebrates</x:v>
      </x:c>
      <x:c r="E1475" s="66" t="n">
        <x:v>46</x:v>
      </x:c>
      <x:c r="F1475" s="66" t="n">
        <x:v>46</x:v>
      </x:c>
      <x:c r="G1475" s="60" t="n">
        <x:v>69072.22112755908</x:v>
      </x:c>
      <x:c r="H1475" s="60" t="n">
        <x:v>69072.22112755908</x:v>
      </x:c>
      <x:c r="I1475" s="62" t="n">
        <x:v>0</x:v>
      </x:c>
      <x:c r="J1475" s="64" t="n">
        <x:v>1</x:v>
      </x:c>
      <x:c r="K1475" s="62" t="n">
        <x:v>40.349661632455415</x:v>
      </x:c>
      <x:c r="L1475" s="60" t="n">
        <x:v>2787040.750699147</x:v>
      </x:c>
      <x:c r="M1475" s="62" t="n">
        <x:v>2.4777429963720623</x:v>
      </x:c>
      <x:c r="N1475" s="62" t="n">
        <x:v>30.04297914923043</x:v>
      </x:c>
      <x:c r="O1475" s="60" t="n">
        <x:v>2075135.299126291</x:v>
      </x:c>
      <x:c r="P1475" s="60" t="n">
        <x:v>711905.4515728562</x:v>
      </x:c>
      <x:c r="Q1475" s="62" t="n">
        <x:v>1.3430645952929405</x:v>
      </x:c>
      <x:c r="R1475" s="64" t="n">
        <x:v>0.3430645952929406</x:v>
      </x:c>
    </x:row>
    <x:row r="1476" ht="18" customHeight="1">
      <x:c r="A1476" s="46" t="str">
        <x:v>LME_026</x:v>
      </x:c>
      <x:c r="B1476" s="46" t="str">
        <x:v>Mediterranean Sea</x:v>
      </x:c>
      <x:c r="C1476" s="46" t="str">
        <x:v>functional</x:v>
      </x:c>
      <x:c r="D1476" s="46" t="str">
        <x:v>Shrimps</x:v>
      </x:c>
      <x:c r="E1476" s="66" t="n">
        <x:v>24</x:v>
      </x:c>
      <x:c r="F1476" s="66" t="n">
        <x:v>24</x:v>
      </x:c>
      <x:c r="G1476" s="60" t="n">
        <x:v>56658.42315927721</x:v>
      </x:c>
      <x:c r="H1476" s="60" t="n">
        <x:v>56658.42315927721</x:v>
      </x:c>
      <x:c r="I1476" s="62" t="n">
        <x:v>0</x:v>
      </x:c>
      <x:c r="J1476" s="64" t="n">
        <x:v>1</x:v>
      </x:c>
      <x:c r="K1476" s="62" t="n">
        <x:v>212.4451406855931</x:v>
      </x:c>
      <x:c r="L1476" s="60" t="n">
        <x:v>12036806.679096512</x:v>
      </x:c>
      <x:c r="M1476" s="62" t="n">
        <x:v>3.2564443765157205</x:v>
      </x:c>
      <x:c r="N1476" s="62" t="n">
        <x:v>180.48635593632028</x:v>
      </x:c>
      <x:c r="O1476" s="60" t="n">
        <x:v>10226072.329115959</x:v>
      </x:c>
      <x:c r="P1476" s="60" t="n">
        <x:v>1810734.3499805536</x:v>
      </x:c>
      <x:c r="Q1476" s="62" t="n">
        <x:v>1.1770703640365403</x:v>
      </x:c>
      <x:c r="R1476" s="64" t="n">
        <x:v>0.17707036403654022</x:v>
      </x:c>
    </x:row>
    <x:row r="1477" ht="18" customHeight="1">
      <x:c r="A1477" s="46" t="str">
        <x:v>LME_026</x:v>
      </x:c>
      <x:c r="B1477" s="46" t="str">
        <x:v>Mediterranean Sea</x:v>
      </x:c>
      <x:c r="C1477" s="46" t="str">
        <x:v>functional</x:v>
      </x:c>
      <x:c r="D1477" s="46" t="str">
        <x:v>Small bathydemersals (&lt;30 cm)</x:v>
      </x:c>
      <x:c r="E1477" s="66" t="n">
        <x:v>1</x:v>
      </x:c>
      <x:c r="F1477" s="66" t="n">
        <x:v>1</x:v>
      </x:c>
      <x:c r="G1477" s="60" t="n">
        <x:v>2.2668379046</x:v>
      </x:c>
      <x:c r="H1477" s="60" t="n">
        <x:v>2.2668379046</x:v>
      </x:c>
      <x:c r="I1477" s="62" t="n">
        <x:v>0</x:v>
      </x:c>
      <x:c r="J1477" s="64" t="n">
        <x:v>1</x:v>
      </x:c>
      <x:c r="K1477" s="62" t="n">
        <x:v>316.22776601683796</x:v>
      </x:c>
      <x:c r="L1477" s="60" t="n">
        <x:v>716.837086493948</x:v>
      </x:c>
      <x:c r="M1477" s="62" t="n">
        <x:v>3.5</x:v>
      </x:c>
      <x:c r="N1477" s="62" t="n">
        <x:v>316.22776601683796</x:v>
      </x:c>
      <x:c r="O1477" s="60" t="n">
        <x:v>716.837086493948</x:v>
      </x:c>
      <x:c r="P1477" s="60" t="n">
        <x:v>0</x:v>
      </x:c>
      <x:c r="Q1477" s="62" t="n">
        <x:v>1</x:v>
      </x:c>
      <x:c r="R1477" s="64" t="n">
        <x:v>0</x:v>
      </x:c>
    </x:row>
    <x:row r="1478" ht="18" customHeight="1">
      <x:c r="A1478" s="46" t="str">
        <x:v>LME_026</x:v>
      </x:c>
      <x:c r="B1478" s="46" t="str">
        <x:v>Mediterranean Sea</x:v>
      </x:c>
      <x:c r="C1478" s="46" t="str">
        <x:v>functional</x:v>
      </x:c>
      <x:c r="D1478" s="46" t="str">
        <x:v>Small bathypelagics (&lt;30 cm)</x:v>
      </x:c>
      <x:c r="E1478" s="66" t="n">
        <x:v>1</x:v>
      </x:c>
      <x:c r="F1478" s="66" t="n">
        <x:v>1</x:v>
      </x:c>
      <x:c r="G1478" s="60" t="n">
        <x:v>15.6764319369</x:v>
      </x:c>
      <x:c r="H1478" s="60" t="n">
        <x:v>15.6764319369</x:v>
      </x:c>
      <x:c r="I1478" s="62" t="n">
        <x:v>0</x:v>
      </x:c>
      <x:c r="J1478" s="64" t="n">
        <x:v>1</x:v>
      </x:c>
      <x:c r="K1478" s="62" t="n">
        <x:v>102.32929922807536</x:v>
      </x:c>
      <x:c r="L1478" s="60" t="n">
        <x:v>1604.158294499597</x:v>
      </x:c>
      <x:c r="M1478" s="62" t="n">
        <x:v>3.01</x:v>
      </x:c>
      <x:c r="N1478" s="62" t="n">
        <x:v>102.32929922807536</x:v>
      </x:c>
      <x:c r="O1478" s="60" t="n">
        <x:v>1604.158294499597</x:v>
      </x:c>
      <x:c r="P1478" s="60" t="n">
        <x:v>0</x:v>
      </x:c>
      <x:c r="Q1478" s="62" t="n">
        <x:v>1</x:v>
      </x:c>
      <x:c r="R1478" s="64" t="n">
        <x:v>0</x:v>
      </x:c>
    </x:row>
    <x:row r="1479" ht="18" customHeight="1">
      <x:c r="A1479" s="46" t="str">
        <x:v>LME_026</x:v>
      </x:c>
      <x:c r="B1479" s="46" t="str">
        <x:v>Mediterranean Sea</x:v>
      </x:c>
      <x:c r="C1479" s="46" t="str">
        <x:v>functional</x:v>
      </x:c>
      <x:c r="D1479" s="46" t="str">
        <x:v>Small benthopelagics (&lt;30 cm)</x:v>
      </x:c>
      <x:c r="E1479" s="66" t="n">
        <x:v>3</x:v>
      </x:c>
      <x:c r="F1479" s="66" t="n">
        <x:v>3</x:v>
      </x:c>
      <x:c r="G1479" s="60" t="n">
        <x:v>7717.8427812789</x:v>
      </x:c>
      <x:c r="H1479" s="60" t="n">
        <x:v>7717.8427812789</x:v>
      </x:c>
      <x:c r="I1479" s="62" t="n">
        <x:v>0</x:v>
      </x:c>
      <x:c r="J1479" s="64" t="n">
        <x:v>1</x:v>
      </x:c>
      <x:c r="K1479" s="62" t="n">
        <x:v>324.1173739467105</x:v>
      </x:c>
      <x:c r="L1479" s="60" t="n">
        <x:v>2501486.934801693</x:v>
      </x:c>
      <x:c r="M1479" s="62" t="n">
        <x:v>3.49123280358985</x:v>
      </x:c>
      <x:c r="N1479" s="62" t="n">
        <x:v>309.90801161667963</x:v>
      </x:c>
      <x:c r="O1479" s="60" t="n">
        <x:v>2391821.3103162884</x:v>
      </x:c>
      <x:c r="P1479" s="60" t="n">
        <x:v>109665.6244854047</x:v>
      </x:c>
      <x:c r="Q1479" s="62" t="n">
        <x:v>1.045850258132746</x:v>
      </x:c>
      <x:c r="R1479" s="64" t="n">
        <x:v>0.04585025813274604</x:v>
      </x:c>
    </x:row>
    <x:row r="1480" ht="18" customHeight="1">
      <x:c r="A1480" s="46" t="str">
        <x:v>LME_026</x:v>
      </x:c>
      <x:c r="B1480" s="46" t="str">
        <x:v>Mediterranean Sea</x:v>
      </x:c>
      <x:c r="C1480" s="46" t="str">
        <x:v>functional</x:v>
      </x:c>
      <x:c r="D1480" s="46" t="str">
        <x:v>Small demersals (&lt;30 cm)</x:v>
      </x:c>
      <x:c r="E1480" s="66" t="n">
        <x:v>16</x:v>
      </x:c>
      <x:c r="F1480" s="66" t="n">
        <x:v>16</x:v>
      </x:c>
      <x:c r="G1480" s="60" t="n">
        <x:v>13974.3820430133</x:v>
      </x:c>
      <x:c r="H1480" s="60" t="n">
        <x:v>13974.3820430133</x:v>
      </x:c>
      <x:c r="I1480" s="62" t="n">
        <x:v>0</x:v>
      </x:c>
      <x:c r="J1480" s="64" t="n">
        <x:v>1</x:v>
      </x:c>
      <x:c r="K1480" s="62" t="n">
        <x:v>418.5094607554975</x:v>
      </x:c>
      <x:c r="L1480" s="60" t="n">
        <x:v>5848411.093212804</x:v>
      </x:c>
      <x:c r="M1480" s="62" t="n">
        <x:v>3.397757931654575</x:v>
      </x:c>
      <x:c r="N1480" s="62" t="n">
        <x:v>249.8952100114759</x:v>
      </x:c>
      <x:c r="O1480" s="60" t="n">
        <x:v>3492131.1354194065</x:v>
      </x:c>
      <x:c r="P1480" s="60" t="n">
        <x:v>2356279.9577933974</x:v>
      </x:c>
      <x:c r="Q1480" s="62" t="n">
        <x:v>1.674739826890953</x:v>
      </x:c>
      <x:c r="R1480" s="64" t="n">
        <x:v>0.674739826890953</x:v>
      </x:c>
    </x:row>
    <x:row r="1481" ht="18" customHeight="1">
      <x:c r="A1481" s="46" t="str">
        <x:v>LME_026</x:v>
      </x:c>
      <x:c r="B1481" s="46" t="str">
        <x:v>Mediterranean Sea</x:v>
      </x:c>
      <x:c r="C1481" s="46" t="str">
        <x:v>functional</x:v>
      </x:c>
      <x:c r="D1481" s="46" t="str">
        <x:v>Small pelagics (&lt;30 cm)</x:v>
      </x:c>
      <x:c r="E1481" s="66" t="n">
        <x:v>12</x:v>
      </x:c>
      <x:c r="F1481" s="66" t="n">
        <x:v>12</x:v>
      </x:c>
      <x:c r="G1481" s="60" t="n">
        <x:v>421994.98211981636</x:v>
      </x:c>
      <x:c r="H1481" s="60" t="n">
        <x:v>421994.98211981636</x:v>
      </x:c>
      <x:c r="I1481" s="62" t="n">
        <x:v>0</x:v>
      </x:c>
      <x:c r="J1481" s="64" t="n">
        <x:v>1</x:v>
      </x:c>
      <x:c r="K1481" s="62" t="n">
        <x:v>116.4671860757222</x:v>
      </x:c>
      <x:c r="L1481" s="60" t="n">
        <x:v>49148568.10556971</x:v>
      </x:c>
      <x:c r="M1481" s="62" t="n">
        <x:v>3.050797762164106</x:v>
      </x:c>
      <x:c r="N1481" s="62" t="n">
        <x:v>112.40814012796525</x:v>
      </x:c>
      <x:c r="O1481" s="60" t="n">
        <x:v>47435671.08342251</x:v>
      </x:c>
      <x:c r="P1481" s="60" t="n">
        <x:v>1712897.022147201</x:v>
      </x:c>
      <x:c r="Q1481" s="62" t="n">
        <x:v>1.036109893314987</x:v>
      </x:c>
      <x:c r="R1481" s="64" t="n">
        <x:v>0.036109893314987006</x:v>
      </x:c>
    </x:row>
    <x:row r="1482" ht="18" customHeight="1">
      <x:c r="A1482" s="46" t="str">
        <x:v>LME_026</x:v>
      </x:c>
      <x:c r="B1482" s="46" t="str">
        <x:v>Mediterranean Sea</x:v>
      </x:c>
      <x:c r="C1482" s="46" t="str">
        <x:v>functional</x:v>
      </x:c>
      <x:c r="D1482" s="46" t="str">
        <x:v>Small reef assoc. fish (&lt;30 cm)</x:v>
      </x:c>
      <x:c r="E1482" s="66" t="n">
        <x:v>9</x:v>
      </x:c>
      <x:c r="F1482" s="66" t="n">
        <x:v>9</x:v>
      </x:c>
      <x:c r="G1482" s="60" t="n">
        <x:v>5727.642576815801</x:v>
      </x:c>
      <x:c r="H1482" s="60" t="n">
        <x:v>5727.642576815801</x:v>
      </x:c>
      <x:c r="I1482" s="62" t="n">
        <x:v>0</x:v>
      </x:c>
      <x:c r="J1482" s="64" t="n">
        <x:v>1</x:v>
      </x:c>
      <x:c r="K1482" s="62" t="n">
        <x:v>296.93825566207346</x:v>
      </x:c>
      <x:c r="L1482" s="60" t="n">
        <x:v>1700756.1958155076</x:v>
      </x:c>
      <x:c r="M1482" s="62" t="n">
        <x:v>3.3595608688317298</x:v>
      </x:c>
      <x:c r="N1482" s="62" t="n">
        <x:v>228.855244268685</x:v>
      </x:c>
      <x:c r="O1482" s="60" t="n">
        <x:v>1310801.0410009003</x:v>
      </x:c>
      <x:c r="P1482" s="60" t="n">
        <x:v>389955.15481460723</x:v>
      </x:c>
      <x:c r="Q1482" s="62" t="n">
        <x:v>1.29749377870256</x:v>
      </x:c>
      <x:c r="R1482" s="64" t="n">
        <x:v>0.2974937787025601</x:v>
      </x:c>
    </x:row>
    <x:row r="1483" ht="18" customHeight="1">
      <x:c r="A1483" s="46" t="str">
        <x:v>LME_026</x:v>
      </x:c>
      <x:c r="B1483" s="46" t="str">
        <x:v>Mediterranean Sea</x:v>
      </x:c>
      <x:c r="C1483" s="46" t="str">
        <x:v>functional</x:v>
      </x:c>
      <x:c r="D1483" s="46" t="str">
        <x:v>Small to medium flatfishes (&lt;90 cm)</x:v>
      </x:c>
      <x:c r="E1483" s="66" t="n">
        <x:v>23</x:v>
      </x:c>
      <x:c r="F1483" s="66" t="n">
        <x:v>23</x:v>
      </x:c>
      <x:c r="G1483" s="60" t="n">
        <x:v>10425.3433521069</x:v>
      </x:c>
      <x:c r="H1483" s="60" t="n">
        <x:v>10425.3433521069</x:v>
      </x:c>
      <x:c r="I1483" s="62" t="n">
        <x:v>0</x:v>
      </x:c>
      <x:c r="J1483" s="64" t="n">
        <x:v>1</x:v>
      </x:c>
      <x:c r="K1483" s="62" t="n">
        <x:v>311.69527919624403</x:v>
      </x:c>
      <x:c r="L1483" s="60" t="n">
        <x:v>3249530.306851667</x:v>
      </x:c>
      <x:c r="M1483" s="62" t="n">
        <x:v>3.3374265985324914</x:v>
      </x:c>
      <x:c r="N1483" s="62" t="n">
        <x:v>217.48364270545372</x:v>
      </x:c>
      <x:c r="O1483" s="60" t="n">
        <x:v>2267341.648671294</x:v>
      </x:c>
      <x:c r="P1483" s="60" t="n">
        <x:v>982188.6581803728</x:v>
      </x:c>
      <x:c r="Q1483" s="62" t="n">
        <x:v>1.4331895278137523</x:v>
      </x:c>
      <x:c r="R1483" s="64" t="n">
        <x:v>0.4331895278137524</x:v>
      </x:c>
    </x:row>
    <x:row r="1484" ht="18" customHeight="1">
      <x:c r="A1484" s="46" t="str">
        <x:v>LME_026</x:v>
      </x:c>
      <x:c r="B1484" s="46" t="str">
        <x:v>Mediterranean Sea</x:v>
      </x:c>
      <x:c r="C1484" s="46" t="str">
        <x:v>functional</x:v>
      </x:c>
      <x:c r="D1484" s="46" t="str">
        <x:v>Small to medium rays (&lt;90 cm)</x:v>
      </x:c>
      <x:c r="E1484" s="66" t="n">
        <x:v>7</x:v>
      </x:c>
      <x:c r="F1484" s="66" t="n">
        <x:v>7</x:v>
      </x:c>
      <x:c r="G1484" s="60" t="n">
        <x:v>1660.0309125828003</x:v>
      </x:c>
      <x:c r="H1484" s="60" t="n">
        <x:v>1660.0309125828003</x:v>
      </x:c>
      <x:c r="I1484" s="62" t="n">
        <x:v>0</x:v>
      </x:c>
      <x:c r="J1484" s="64" t="n">
        <x:v>1</x:v>
      </x:c>
      <x:c r="K1484" s="62" t="n">
        <x:v>623.5787999616708</x:v>
      </x:c>
      <x:c r="L1484" s="60" t="n">
        <x:v>1035160.0843676599</x:v>
      </x:c>
      <x:c r="M1484" s="62" t="n">
        <x:v>3.77593715660501</x:v>
      </x:c>
      <x:c r="N1484" s="62" t="n">
        <x:v>596.9489004761672</x:v>
      </x:c>
      <x:c r="O1484" s="60" t="n">
        <x:v>990953.6280227511</x:v>
      </x:c>
      <x:c r="P1484" s="60" t="n">
        <x:v>44206.4563449088</x:v>
      </x:c>
      <x:c r="Q1484" s="62" t="n">
        <x:v>1.0446100151357374</x:v>
      </x:c>
      <x:c r="R1484" s="64" t="n">
        <x:v>0.04461001513573739</x:v>
      </x:c>
    </x:row>
    <x:row r="1485" ht="18" customHeight="1">
      <x:c r="A1485" s="46" t="str">
        <x:v>LME_026</x:v>
      </x:c>
      <x:c r="B1485" s="46" t="str">
        <x:v>Mediterranean Sea</x:v>
      </x:c>
      <x:c r="C1485" s="46" t="str">
        <x:v>functional</x:v>
      </x:c>
      <x:c r="D1485" s="46" t="str">
        <x:v>Small to medium sharks (&lt;90 cm)</x:v>
      </x:c>
      <x:c r="E1485" s="66" t="n">
        <x:v>6</x:v>
      </x:c>
      <x:c r="F1485" s="66" t="n">
        <x:v>6</x:v>
      </x:c>
      <x:c r="G1485" s="60" t="n">
        <x:v>4740.292014370801</x:v>
      </x:c>
      <x:c r="H1485" s="60" t="n">
        <x:v>4740.292014370801</x:v>
      </x:c>
      <x:c r="I1485" s="62" t="n">
        <x:v>0</x:v>
      </x:c>
      <x:c r="J1485" s="64" t="n">
        <x:v>1</x:v>
      </x:c>
      <x:c r="K1485" s="62" t="n">
        <x:v>1290.7705510814662</x:v>
      </x:c>
      <x:c r="L1485" s="60" t="n">
        <x:v>6118629.335676472</x:v>
      </x:c>
      <x:c r="M1485" s="62" t="n">
        <x:v>4.091415794930742</x:v>
      </x:c>
      <x:c r="N1485" s="62" t="n">
        <x:v>1234.2859770788425</x:v>
      </x:c>
      <x:c r="O1485" s="60" t="n">
        <x:v>5850875.960596698</x:v>
      </x:c>
      <x:c r="P1485" s="60" t="n">
        <x:v>267753.37507977337</x:v>
      </x:c>
      <x:c r="Q1485" s="62" t="n">
        <x:v>1.0457629553049808</x:v>
      </x:c>
      <x:c r="R1485" s="64" t="n">
        <x:v>0.04576295530498081</x:v>
      </x:c>
    </x:row>
    <x:row r="1486" ht="18" customHeight="1">
      <x:c r="A1486" s="46" t="str">
        <x:v>LME_027</x:v>
      </x:c>
      <x:c r="B1486" s="46" t="str">
        <x:v>Canary Current</x:v>
      </x:c>
      <x:c r="C1486" s="46" t="str">
        <x:v>functional</x:v>
      </x:c>
      <x:c r="D1486" s="46" t="str">
        <x:v>Cephalopods</x:v>
      </x:c>
      <x:c r="E1486" s="66" t="n">
        <x:v>17</x:v>
      </x:c>
      <x:c r="F1486" s="66" t="n">
        <x:v>17</x:v>
      </x:c>
      <x:c r="G1486" s="60" t="n">
        <x:v>196380.5012637451</x:v>
      </x:c>
      <x:c r="H1486" s="60" t="n">
        <x:v>196380.5012637451</x:v>
      </x:c>
      <x:c r="I1486" s="62" t="n">
        <x:v>0</x:v>
      </x:c>
      <x:c r="J1486" s="64" t="n">
        <x:v>1</x:v>
      </x:c>
      <x:c r="K1486" s="62" t="n">
        <x:v>579.1213457753818</x:v>
      </x:c>
      <x:c r="L1486" s="60" t="n">
        <x:v>113728140.17590412</x:v>
      </x:c>
      <x:c r="M1486" s="62" t="n">
        <x:v>3.71625676936407</x:v>
      </x:c>
      <x:c r="N1486" s="62" t="n">
        <x:v>520.3035263897457</x:v>
      </x:c>
      <x:c r="O1486" s="60" t="n">
        <x:v>102177467.32171248</x:v>
      </x:c>
      <x:c r="P1486" s="60" t="n">
        <x:v>11550672.854191646</x:v>
      </x:c>
      <x:c r="Q1486" s="62" t="n">
        <x:v>1.1130452061198932</x:v>
      </x:c>
      <x:c r="R1486" s="64" t="n">
        <x:v>0.11304520611989327</x:v>
      </x:c>
    </x:row>
    <x:row r="1487" ht="18" customHeight="1">
      <x:c r="A1487" s="46" t="str">
        <x:v>LME_027</x:v>
      </x:c>
      <x:c r="B1487" s="46" t="str">
        <x:v>Canary Current</x:v>
      </x:c>
      <x:c r="C1487" s="46" t="str">
        <x:v>functional</x:v>
      </x:c>
      <x:c r="D1487" s="46" t="str">
        <x:v>Large bathydemersals (&gt;=90 cm)</x:v>
      </x:c>
      <x:c r="E1487" s="66" t="n">
        <x:v>4</x:v>
      </x:c>
      <x:c r="F1487" s="66" t="n">
        <x:v>4</x:v>
      </x:c>
      <x:c r="G1487" s="60" t="n">
        <x:v>3016.0292991803</x:v>
      </x:c>
      <x:c r="H1487" s="60" t="n">
        <x:v>3016.0292991803</x:v>
      </x:c>
      <x:c r="I1487" s="62" t="n">
        <x:v>0</x:v>
      </x:c>
      <x:c r="J1487" s="64" t="n">
        <x:v>1</x:v>
      </x:c>
      <x:c r="K1487" s="62" t="n">
        <x:v>806.9223023175282</x:v>
      </x:c>
      <x:c r="L1487" s="60" t="n">
        <x:v>2433701.3059516884</x:v>
      </x:c>
      <x:c r="M1487" s="62" t="n">
        <x:v>3.876109267957771</x:v>
      </x:c>
      <x:c r="N1487" s="62" t="n">
        <x:v>751.8120252059641</x:v>
      </x:c>
      <x:c r="O1487" s="60" t="n">
        <x:v>2267487.095497266</x:v>
      </x:c>
      <x:c r="P1487" s="60" t="n">
        <x:v>166214.21045442251</x:v>
      </x:c>
      <x:c r="Q1487" s="62" t="n">
        <x:v>1.0733032663270665</x:v>
      </x:c>
      <x:c r="R1487" s="64" t="n">
        <x:v>0.07330326632706648</x:v>
      </x:c>
    </x:row>
    <x:row r="1488" ht="18" customHeight="1">
      <x:c r="A1488" s="46" t="str">
        <x:v>LME_027</x:v>
      </x:c>
      <x:c r="B1488" s="46" t="str">
        <x:v>Canary Current</x:v>
      </x:c>
      <x:c r="C1488" s="46" t="str">
        <x:v>functional</x:v>
      </x:c>
      <x:c r="D1488" s="46" t="str">
        <x:v>Large bathypelagics (&gt;=90 cm)</x:v>
      </x:c>
      <x:c r="E1488" s="66" t="n">
        <x:v>1</x:v>
      </x:c>
      <x:c r="F1488" s="66" t="n">
        <x:v>1</x:v>
      </x:c>
      <x:c r="G1488" s="60" t="n">
        <x:v>47.292612522899994</x:v>
      </x:c>
      <x:c r="H1488" s="60" t="n">
        <x:v>47.292612522899994</x:v>
      </x:c>
      <x:c r="I1488" s="62" t="n">
        <x:v>0</x:v>
      </x:c>
      <x:c r="J1488" s="64" t="n">
        <x:v>1</x:v>
      </x:c>
      <x:c r="K1488" s="62" t="n">
        <x:v>2187.761623949552</x:v>
      </x:c>
      <x:c r="L1488" s="60" t="n">
        <x:v>103464.9627739166</x:v>
      </x:c>
      <x:c r="M1488" s="62" t="n">
        <x:v>4.34</x:v>
      </x:c>
      <x:c r="N1488" s="62" t="n">
        <x:v>2187.761623949552</x:v>
      </x:c>
      <x:c r="O1488" s="60" t="n">
        <x:v>103464.9627739166</x:v>
      </x:c>
      <x:c r="P1488" s="60" t="n">
        <x:v>0</x:v>
      </x:c>
      <x:c r="Q1488" s="62" t="n">
        <x:v>1</x:v>
      </x:c>
      <x:c r="R1488" s="64" t="n">
        <x:v>0</x:v>
      </x:c>
    </x:row>
    <x:row r="1489" ht="18" customHeight="1">
      <x:c r="A1489" s="46" t="str">
        <x:v>LME_027</x:v>
      </x:c>
      <x:c r="B1489" s="46" t="str">
        <x:v>Canary Current</x:v>
      </x:c>
      <x:c r="C1489" s="46" t="str">
        <x:v>functional</x:v>
      </x:c>
      <x:c r="D1489" s="46" t="str">
        <x:v>Large benthopelagics (&gt;=90 cm)</x:v>
      </x:c>
      <x:c r="E1489" s="66" t="n">
        <x:v>15</x:v>
      </x:c>
      <x:c r="F1489" s="66" t="n">
        <x:v>15</x:v>
      </x:c>
      <x:c r="G1489" s="60" t="n">
        <x:v>64700.41213946631</x:v>
      </x:c>
      <x:c r="H1489" s="60" t="n">
        <x:v>64700.41213946631</x:v>
      </x:c>
      <x:c r="I1489" s="62" t="n">
        <x:v>0</x:v>
      </x:c>
      <x:c r="J1489" s="64" t="n">
        <x:v>1</x:v>
      </x:c>
      <x:c r="K1489" s="62" t="n">
        <x:v>1344.3110391380872</x:v>
      </x:c>
      <x:c r="L1489" s="60" t="n">
        <x:v>86977478.27586846</x:v>
      </x:c>
      <x:c r="M1489" s="62" t="n">
        <x:v>3.4948171510455706</x:v>
      </x:c>
      <x:c r="N1489" s="62" t="n">
        <x:v>312.4763485722408</x:v>
      </x:c>
      <x:c r="O1489" s="60" t="n">
        <x:v>20217348.536459513</x:v>
      </x:c>
      <x:c r="P1489" s="60" t="n">
        <x:v>66760129.73940895</x:v>
      </x:c>
      <x:c r="Q1489" s="62" t="n">
        <x:v>4.302120929409473</x:v>
      </x:c>
      <x:c r="R1489" s="64" t="n">
        <x:v>3.3021209294094738</x:v>
      </x:c>
    </x:row>
    <x:row r="1490" ht="18" customHeight="1">
      <x:c r="A1490" s="46" t="str">
        <x:v>LME_027</x:v>
      </x:c>
      <x:c r="B1490" s="46" t="str">
        <x:v>Canary Current</x:v>
      </x:c>
      <x:c r="C1490" s="46" t="str">
        <x:v>functional</x:v>
      </x:c>
      <x:c r="D1490" s="46" t="str">
        <x:v>Large demersals (&gt;=90 cm)</x:v>
      </x:c>
      <x:c r="E1490" s="66" t="n">
        <x:v>18</x:v>
      </x:c>
      <x:c r="F1490" s="66" t="n">
        <x:v>18</x:v>
      </x:c>
      <x:c r="G1490" s="60" t="n">
        <x:v>129247.3596493851</x:v>
      </x:c>
      <x:c r="H1490" s="60" t="n">
        <x:v>129247.3596493851</x:v>
      </x:c>
      <x:c r="I1490" s="62" t="n">
        <x:v>0</x:v>
      </x:c>
      <x:c r="J1490" s="64" t="n">
        <x:v>1</x:v>
      </x:c>
      <x:c r="K1490" s="62" t="n">
        <x:v>1987.836941846294</x:v>
      </x:c>
      <x:c r="L1490" s="60" t="n">
        <x:v>256922676.14714175</x:v>
      </x:c>
      <x:c r="M1490" s="62" t="n">
        <x:v>4.2357293502381665</x:v>
      </x:c>
      <x:c r="N1490" s="62" t="n">
        <x:v>1720.7958509293858</x:v>
      </x:c>
      <x:c r="O1490" s="60" t="n">
        <x:v>222408320.22823998</x:v>
      </x:c>
      <x:c r="P1490" s="60" t="n">
        <x:v>34514355.91890177</x:v>
      </x:c>
      <x:c r="Q1490" s="62" t="n">
        <x:v>1.1551846436476947</x:v>
      </x:c>
      <x:c r="R1490" s="64" t="n">
        <x:v>0.1551846436476946</x:v>
      </x:c>
    </x:row>
    <x:row r="1491" ht="18" customHeight="1">
      <x:c r="A1491" s="46" t="str">
        <x:v>LME_027</x:v>
      </x:c>
      <x:c r="B1491" s="46" t="str">
        <x:v>Canary Current</x:v>
      </x:c>
      <x:c r="C1491" s="46" t="str">
        <x:v>functional</x:v>
      </x:c>
      <x:c r="D1491" s="46" t="str">
        <x:v>Large pelagics (&gt;=90 cm)</x:v>
      </x:c>
      <x:c r="E1491" s="66" t="n">
        <x:v>32</x:v>
      </x:c>
      <x:c r="F1491" s="66" t="n">
        <x:v>32</x:v>
      </x:c>
      <x:c r="G1491" s="60" t="n">
        <x:v>177511.3751657084</x:v>
      </x:c>
      <x:c r="H1491" s="60" t="n">
        <x:v>177511.3751657084</x:v>
      </x:c>
      <x:c r="I1491" s="62" t="n">
        <x:v>0</x:v>
      </x:c>
      <x:c r="J1491" s="64" t="n">
        <x:v>1</x:v>
      </x:c>
      <x:c r="K1491" s="62" t="n">
        <x:v>2410.2106011568985</x:v>
      </x:c>
      <x:c r="L1491" s="60" t="n">
        <x:v>427839798.25032973</x:v>
      </x:c>
      <x:c r="M1491" s="62" t="n">
        <x:v>4.349893421677619</x:v>
      </x:c>
      <x:c r="N1491" s="62" t="n">
        <x:v>2238.171811144727</x:v>
      </x:c>
      <x:c r="O1491" s="60" t="n">
        <x:v>397300956.0534247</x:v>
      </x:c>
      <x:c r="P1491" s="60" t="n">
        <x:v>30538842.196905017</x:v>
      </x:c>
      <x:c r="Q1491" s="62" t="n">
        <x:v>1.076865765691232</x:v>
      </x:c>
      <x:c r="R1491" s="64" t="n">
        <x:v>0.07686576569123203</x:v>
      </x:c>
    </x:row>
    <x:row r="1492" ht="18" customHeight="1">
      <x:c r="A1492" s="46" t="str">
        <x:v>LME_027</x:v>
      </x:c>
      <x:c r="B1492" s="46" t="str">
        <x:v>Canary Current</x:v>
      </x:c>
      <x:c r="C1492" s="46" t="str">
        <x:v>functional</x:v>
      </x:c>
      <x:c r="D1492" s="46" t="str">
        <x:v>Large rays (&gt;=90 cm)</x:v>
      </x:c>
      <x:c r="E1492" s="66" t="n">
        <x:v>16</x:v>
      </x:c>
      <x:c r="F1492" s="66" t="n">
        <x:v>16</x:v>
      </x:c>
      <x:c r="G1492" s="60" t="n">
        <x:v>9852.164392947201</x:v>
      </x:c>
      <x:c r="H1492" s="60" t="n">
        <x:v>9852.164392947201</x:v>
      </x:c>
      <x:c r="I1492" s="62" t="n">
        <x:v>0</x:v>
      </x:c>
      <x:c r="J1492" s="64" t="n">
        <x:v>1</x:v>
      </x:c>
      <x:c r="K1492" s="62" t="n">
        <x:v>595.6169668738055</x:v>
      </x:c>
      <x:c r="L1492" s="60" t="n">
        <x:v>5868116.27286932</x:v>
      </x:c>
      <x:c r="M1492" s="62" t="n">
        <x:v>3.6723037913483396</x:v>
      </x:c>
      <x:c r="N1492" s="62" t="n">
        <x:v>470.22291707398875</x:v>
      </x:c>
      <x:c r="O1492" s="60" t="n">
        <x:v>4632713.480344117</x:v>
      </x:c>
      <x:c r="P1492" s="60" t="n">
        <x:v>1235402.792525203</x:v>
      </x:c>
      <x:c r="Q1492" s="62" t="n">
        <x:v>1.2666693715825132</x:v>
      </x:c>
      <x:c r="R1492" s="64" t="n">
        <x:v>0.26666937158251314</x:v>
      </x:c>
    </x:row>
    <x:row r="1493" ht="18" customHeight="1">
      <x:c r="A1493" s="46" t="str">
        <x:v>LME_027</x:v>
      </x:c>
      <x:c r="B1493" s="46" t="str">
        <x:v>Canary Current</x:v>
      </x:c>
      <x:c r="C1493" s="46" t="str">
        <x:v>functional</x:v>
      </x:c>
      <x:c r="D1493" s="46" t="str">
        <x:v>Large reef assoc. fish (&gt;=90 cm)</x:v>
      </x:c>
      <x:c r="E1493" s="66" t="n">
        <x:v>18</x:v>
      </x:c>
      <x:c r="F1493" s="66" t="n">
        <x:v>18</x:v>
      </x:c>
      <x:c r="G1493" s="60" t="n">
        <x:v>13339.6876927437</x:v>
      </x:c>
      <x:c r="H1493" s="60" t="n">
        <x:v>13339.6876927437</x:v>
      </x:c>
      <x:c r="I1493" s="62" t="n">
        <x:v>0</x:v>
      </x:c>
      <x:c r="J1493" s="64" t="n">
        <x:v>1</x:v>
      </x:c>
      <x:c r="K1493" s="62" t="n">
        <x:v>1361.1550990930991</x:v>
      </x:c>
      <x:c r="L1493" s="60" t="n">
        <x:v>18157383.923287548</x:v>
      </x:c>
      <x:c r="M1493" s="62" t="n">
        <x:v>4.02358012635732</x:v>
      </x:c>
      <x:c r="N1493" s="62" t="n">
        <x:v>1055.7962772915573</x:v>
      </x:c>
      <x:c r="O1493" s="60" t="n">
        <x:v>14083992.606230803</x:v>
      </x:c>
      <x:c r="P1493" s="60" t="n">
        <x:v>4073391.3170567453</x:v>
      </x:c>
      <x:c r="Q1493" s="62" t="n">
        <x:v>1.2892213473084801</x:v>
      </x:c>
      <x:c r="R1493" s="64" t="n">
        <x:v>0.28922134730848015</x:v>
      </x:c>
    </x:row>
    <x:row r="1494" ht="18" customHeight="1">
      <x:c r="A1494" s="46" t="str">
        <x:v>LME_027</x:v>
      </x:c>
      <x:c r="B1494" s="46" t="str">
        <x:v>Canary Current</x:v>
      </x:c>
      <x:c r="C1494" s="46" t="str">
        <x:v>functional</x:v>
      </x:c>
      <x:c r="D1494" s="46" t="str">
        <x:v>Large sharks (&gt;=90 cm)</x:v>
      </x:c>
      <x:c r="E1494" s="66" t="n">
        <x:v>35</x:v>
      </x:c>
      <x:c r="F1494" s="66" t="n">
        <x:v>35</x:v>
      </x:c>
      <x:c r="G1494" s="60" t="n">
        <x:v>32734.844587045794</x:v>
      </x:c>
      <x:c r="H1494" s="60" t="n">
        <x:v>32734.844587045794</x:v>
      </x:c>
      <x:c r="I1494" s="62" t="n">
        <x:v>0</x:v>
      </x:c>
      <x:c r="J1494" s="64" t="n">
        <x:v>1</x:v>
      </x:c>
      <x:c r="K1494" s="62" t="n">
        <x:v>2507.334072589252</x:v>
      </x:c>
      <x:c r="L1494" s="60" t="n">
        <x:v>82077191.19401377</x:v>
      </x:c>
      <x:c r="M1494" s="62" t="n">
        <x:v>4.284248906839119</x:v>
      </x:c>
      <x:c r="N1494" s="62" t="n">
        <x:v>1924.194224796723</x:v>
      </x:c>
      <x:c r="O1494" s="60" t="n">
        <x:v>62988198.904011786</x:v>
      </x:c>
      <x:c r="P1494" s="60" t="n">
        <x:v>19088992.29000199</x:v>
      </x:c>
      <x:c r="Q1494" s="62" t="n">
        <x:v>1.303056645882062</x:v>
      </x:c>
      <x:c r="R1494" s="64" t="n">
        <x:v>0.30305664588206205</x:v>
      </x:c>
    </x:row>
    <x:row r="1495" ht="18" customHeight="1">
      <x:c r="A1495" s="46" t="str">
        <x:v>LME_027</x:v>
      </x:c>
      <x:c r="B1495" s="46" t="str">
        <x:v>Canary Current</x:v>
      </x:c>
      <x:c r="C1495" s="46" t="str">
        <x:v>functional</x:v>
      </x:c>
      <x:c r="D1495" s="46" t="str">
        <x:v>Lobsters, crabs</x:v>
      </x:c>
      <x:c r="E1495" s="66" t="n">
        <x:v>11</x:v>
      </x:c>
      <x:c r="F1495" s="66" t="n">
        <x:v>11</x:v>
      </x:c>
      <x:c r="G1495" s="60" t="n">
        <x:v>11262.552337756599</x:v>
      </x:c>
      <x:c r="H1495" s="60" t="n">
        <x:v>11262.552337756599</x:v>
      </x:c>
      <x:c r="I1495" s="62" t="n">
        <x:v>0</x:v>
      </x:c>
      <x:c r="J1495" s="64" t="n">
        <x:v>1</x:v>
      </x:c>
      <x:c r="K1495" s="62" t="n">
        <x:v>159.05275711040684</x:v>
      </x:c>
      <x:c r="L1495" s="60" t="n">
        <x:v>1791340.001420445</x:v>
      </x:c>
      <x:c r="M1495" s="62" t="n">
        <x:v>3.1691507392424185</x:v>
      </x:c>
      <x:c r="N1495" s="62" t="n">
        <x:v>147.62188250574687</x:v>
      </x:c>
      <x:c r="O1495" s="60" t="n">
        <x:v>1662599.1779191294</x:v>
      </x:c>
      <x:c r="P1495" s="60" t="n">
        <x:v>128740.82350131567</x:v>
      </x:c>
      <x:c r="Q1495" s="62" t="n">
        <x:v>1.0774334699614398</x:v>
      </x:c>
      <x:c r="R1495" s="64" t="n">
        <x:v>0.07743346996143996</x:v>
      </x:c>
    </x:row>
    <x:row r="1496" ht="18" customHeight="1">
      <x:c r="A1496" s="46" t="str">
        <x:v>LME_027</x:v>
      </x:c>
      <x:c r="B1496" s="46" t="str">
        <x:v>Canary Current</x:v>
      </x:c>
      <x:c r="C1496" s="46" t="str">
        <x:v>functional</x:v>
      </x:c>
      <x:c r="D1496" s="46" t="str">
        <x:v>Medium bathydemersals (30 - 89 cm)</x:v>
      </x:c>
      <x:c r="E1496" s="66" t="n">
        <x:v>11</x:v>
      </x:c>
      <x:c r="F1496" s="66" t="n">
        <x:v>11</x:v>
      </x:c>
      <x:c r="G1496" s="60" t="n">
        <x:v>13950.1080116193</x:v>
      </x:c>
      <x:c r="H1496" s="60" t="n">
        <x:v>13950.1080116193</x:v>
      </x:c>
      <x:c r="I1496" s="62" t="n">
        <x:v>0</x:v>
      </x:c>
      <x:c r="J1496" s="64" t="n">
        <x:v>1</x:v>
      </x:c>
      <x:c r="K1496" s="62" t="n">
        <x:v>2005.3631322814529</x:v>
      </x:c>
      <x:c r="L1496" s="60" t="n">
        <x:v>27975032.29784547</x:v>
      </x:c>
      <x:c r="M1496" s="62" t="n">
        <x:v>4.128064244655343</x:v>
      </x:c>
      <x:c r="N1496" s="62" t="n">
        <x:v>1342.96360942058</x:v>
      </x:c>
      <x:c r="O1496" s="60" t="n">
        <x:v>18734487.407091208</x:v>
      </x:c>
      <x:c r="P1496" s="60" t="n">
        <x:v>9240544.890754264</x:v>
      </x:c>
      <x:c r="Q1496" s="62" t="n">
        <x:v>1.493237134807148</x:v>
      </x:c>
      <x:c r="R1496" s="64" t="n">
        <x:v>0.49323713480714804</x:v>
      </x:c>
    </x:row>
    <x:row r="1497" ht="18" customHeight="1">
      <x:c r="A1497" s="46" t="str">
        <x:v>LME_027</x:v>
      </x:c>
      <x:c r="B1497" s="46" t="str">
        <x:v>Canary Current</x:v>
      </x:c>
      <x:c r="C1497" s="46" t="str">
        <x:v>functional</x:v>
      </x:c>
      <x:c r="D1497" s="46" t="str">
        <x:v>Medium bathypelagics (30 - 89 cm)</x:v>
      </x:c>
      <x:c r="E1497" s="66" t="n">
        <x:v>4</x:v>
      </x:c>
      <x:c r="F1497" s="66" t="n">
        <x:v>4</x:v>
      </x:c>
      <x:c r="G1497" s="60" t="n">
        <x:v>6599.1527883068</x:v>
      </x:c>
      <x:c r="H1497" s="60" t="n">
        <x:v>6599.1527883068</x:v>
      </x:c>
      <x:c r="I1497" s="62" t="n">
        <x:v>0</x:v>
      </x:c>
      <x:c r="J1497" s="64" t="n">
        <x:v>1</x:v>
      </x:c>
      <x:c r="K1497" s="62" t="n">
        <x:v>1192.4042973999528</x:v>
      </x:c>
      <x:c r="L1497" s="60" t="n">
        <x:v>7868858.14397591</x:v>
      </x:c>
      <x:c r="M1497" s="62" t="n">
        <x:v>4.074876598339896</x:v>
      </x:c>
      <x:c r="N1497" s="62" t="n">
        <x:v>1188.164571032558</x:v>
      </x:c>
      <x:c r="O1497" s="60" t="n">
        <x:v>7840879.541896857</x:v>
      </x:c>
      <x:c r="P1497" s="60" t="n">
        <x:v>27978.602079052478</x:v>
      </x:c>
      <x:c r="Q1497" s="62" t="n">
        <x:v>1.003568298929929</x:v>
      </x:c>
      <x:c r="R1497" s="64" t="n">
        <x:v>0.003568298929928966</x:v>
      </x:c>
    </x:row>
    <x:row r="1498" ht="18" customHeight="1">
      <x:c r="A1498" s="46" t="str">
        <x:v>LME_027</x:v>
      </x:c>
      <x:c r="B1498" s="46" t="str">
        <x:v>Canary Current</x:v>
      </x:c>
      <x:c r="C1498" s="46" t="str">
        <x:v>functional</x:v>
      </x:c>
      <x:c r="D1498" s="46" t="str">
        <x:v>Medium benthopelagics (30 - 89 cm)</x:v>
      </x:c>
      <x:c r="E1498" s="66" t="n">
        <x:v>44</x:v>
      </x:c>
      <x:c r="F1498" s="66" t="n">
        <x:v>44</x:v>
      </x:c>
      <x:c r="G1498" s="60" t="n">
        <x:v>131512.9041380172</x:v>
      </x:c>
      <x:c r="H1498" s="60" t="n">
        <x:v>131512.9041380172</x:v>
      </x:c>
      <x:c r="I1498" s="62" t="n">
        <x:v>0</x:v>
      </x:c>
      <x:c r="J1498" s="64" t="n">
        <x:v>1</x:v>
      </x:c>
      <x:c r="K1498" s="62" t="n">
        <x:v>389.54194242063227</x:v>
      </x:c>
      <x:c r="L1498" s="60" t="n">
        <x:v>51229792.131301634</x:v>
      </x:c>
      <x:c r="M1498" s="62" t="n">
        <x:v>3.171039228176064</x:v>
      </x:c>
      <x:c r="N1498" s="62" t="n">
        <x:v>148.26520014389124</x:v>
      </x:c>
      <x:c r="O1498" s="60" t="n">
        <x:v>19498787.053527504</x:v>
      </x:c>
      <x:c r="P1498" s="60" t="n">
        <x:v>31731005.07777413</x:v>
      </x:c>
      <x:c r="Q1498" s="62" t="n">
        <x:v>2.627332253573881</x:v>
      </x:c>
      <x:c r="R1498" s="64" t="n">
        <x:v>1.627332253573881</x:v>
      </x:c>
    </x:row>
    <x:row r="1499" ht="18" customHeight="1">
      <x:c r="A1499" s="46" t="str">
        <x:v>LME_027</x:v>
      </x:c>
      <x:c r="B1499" s="46" t="str">
        <x:v>Canary Current</x:v>
      </x:c>
      <x:c r="C1499" s="46" t="str">
        <x:v>functional</x:v>
      </x:c>
      <x:c r="D1499" s="46" t="str">
        <x:v>Medium demersals (30 - 89 cm)</x:v>
      </x:c>
      <x:c r="E1499" s="66" t="n">
        <x:v>44</x:v>
      </x:c>
      <x:c r="F1499" s="66" t="n">
        <x:v>44</x:v>
      </x:c>
      <x:c r="G1499" s="60" t="n">
        <x:v>1363135.812517585</x:v>
      </x:c>
      <x:c r="H1499" s="60" t="n">
        <x:v>1363135.812517585</x:v>
      </x:c>
      <x:c r="I1499" s="62" t="n">
        <x:v>0</x:v>
      </x:c>
      <x:c r="J1499" s="64" t="n">
        <x:v>1</x:v>
      </x:c>
      <x:c r="K1499" s="62" t="n">
        <x:v>214.80728379615132</x:v>
      </x:c>
      <x:c r="L1499" s="60" t="n">
        <x:v>292811501.3321622</x:v>
      </x:c>
      <x:c r="M1499" s="62" t="n">
        <x:v>3.2939121691047184</x:v>
      </x:c>
      <x:c r="N1499" s="62" t="n">
        <x:v>196.74883483433769</x:v>
      </x:c>
      <x:c r="O1499" s="60" t="n">
        <x:v>268195382.83379304</x:v>
      </x:c>
      <x:c r="P1499" s="60" t="n">
        <x:v>24616118.498369157</x:v>
      </x:c>
      <x:c r="Q1499" s="62" t="n">
        <x:v>1.091784273980676</x:v>
      </x:c>
      <x:c r="R1499" s="64" t="n">
        <x:v>0.09178427398067603</x:v>
      </x:c>
    </x:row>
    <x:row r="1500" ht="18" customHeight="1">
      <x:c r="A1500" s="46" t="str">
        <x:v>LME_027</x:v>
      </x:c>
      <x:c r="B1500" s="46" t="str">
        <x:v>Canary Current</x:v>
      </x:c>
      <x:c r="C1500" s="46" t="str">
        <x:v>functional</x:v>
      </x:c>
      <x:c r="D1500" s="46" t="str">
        <x:v>Medium pelagics (30 - 89 cm)</x:v>
      </x:c>
      <x:c r="E1500" s="66" t="n">
        <x:v>32</x:v>
      </x:c>
      <x:c r="F1500" s="66" t="n">
        <x:v>32</x:v>
      </x:c>
      <x:c r="G1500" s="60" t="n">
        <x:v>1212339.6851625312</x:v>
      </x:c>
      <x:c r="H1500" s="60" t="n">
        <x:v>1212339.6851625312</x:v>
      </x:c>
      <x:c r="I1500" s="62" t="n">
        <x:v>0</x:v>
      </x:c>
      <x:c r="J1500" s="64" t="n">
        <x:v>1</x:v>
      </x:c>
      <x:c r="K1500" s="62" t="n">
        <x:v>552.0009187168629</x:v>
      </x:c>
      <x:c r="L1500" s="60" t="n">
        <x:v>669212620.0066295</x:v>
      </x:c>
      <x:c r="M1500" s="62" t="n">
        <x:v>3.624155367103649</x:v>
      </x:c>
      <x:c r="N1500" s="62" t="n">
        <x:v>420.87716856904984</x:v>
      </x:c>
      <x:c r="O1500" s="60" t="n">
        <x:v>510246094.03509945</x:v>
      </x:c>
      <x:c r="P1500" s="60" t="n">
        <x:v>158966525.97153002</x:v>
      </x:c>
      <x:c r="Q1500" s="62" t="n">
        <x:v>1.3115487366388243</x:v>
      </x:c>
      <x:c r="R1500" s="64" t="n">
        <x:v>0.3115487366388244</x:v>
      </x:c>
    </x:row>
    <x:row r="1501" ht="18" customHeight="1">
      <x:c r="A1501" s="46" t="str">
        <x:v>LME_027</x:v>
      </x:c>
      <x:c r="B1501" s="46" t="str">
        <x:v>Canary Current</x:v>
      </x:c>
      <x:c r="C1501" s="46" t="str">
        <x:v>functional</x:v>
      </x:c>
      <x:c r="D1501" s="46" t="str">
        <x:v>Medium reef assoc. fish (30 - 89 cm)</x:v>
      </x:c>
      <x:c r="E1501" s="66" t="n">
        <x:v>20</x:v>
      </x:c>
      <x:c r="F1501" s="66" t="n">
        <x:v>20</x:v>
      </x:c>
      <x:c r="G1501" s="60" t="n">
        <x:v>33429.1965621297</x:v>
      </x:c>
      <x:c r="H1501" s="60" t="n">
        <x:v>33429.1965621297</x:v>
      </x:c>
      <x:c r="I1501" s="62" t="n">
        <x:v>0</x:v>
      </x:c>
      <x:c r="J1501" s="64" t="n">
        <x:v>1</x:v>
      </x:c>
      <x:c r="K1501" s="62" t="n">
        <x:v>511.52321496886856</x:v>
      </x:c>
      <x:c r="L1501" s="60" t="n">
        <x:v>17099810.099286832</x:v>
      </x:c>
      <x:c r="M1501" s="62" t="n">
        <x:v>3.3452652084291885</x:v>
      </x:c>
      <x:c r="N1501" s="62" t="n">
        <x:v>221.4446581760926</x:v>
      </x:c>
      <x:c r="O1501" s="60" t="n">
        <x:v>7402717.005802221</x:v>
      </x:c>
      <x:c r="P1501" s="60" t="n">
        <x:v>9697093.09348461</x:v>
      </x:c>
      <x:c r="Q1501" s="62" t="n">
        <x:v>2.309937025268434</x:v>
      </x:c>
      <x:c r="R1501" s="64" t="n">
        <x:v>1.3099370252684341</x:v>
      </x:c>
    </x:row>
    <x:row r="1502" ht="18" customHeight="1">
      <x:c r="A1502" s="46" t="str">
        <x:v>LME_027</x:v>
      </x:c>
      <x:c r="B1502" s="46" t="str">
        <x:v>Canary Current</x:v>
      </x:c>
      <x:c r="C1502" s="46" t="str">
        <x:v>functional</x:v>
      </x:c>
      <x:c r="D1502" s="46" t="str">
        <x:v>Other demersal invertebrates</x:v>
      </x:c>
      <x:c r="E1502" s="66" t="n">
        <x:v>19</x:v>
      </x:c>
      <x:c r="F1502" s="66" t="n">
        <x:v>19</x:v>
      </x:c>
      <x:c r="G1502" s="60" t="n">
        <x:v>48530.590650798695</x:v>
      </x:c>
      <x:c r="H1502" s="60" t="n">
        <x:v>48530.590650798695</x:v>
      </x:c>
      <x:c r="I1502" s="62" t="n">
        <x:v>0</x:v>
      </x:c>
      <x:c r="J1502" s="64" t="n">
        <x:v>1</x:v>
      </x:c>
      <x:c r="K1502" s="62" t="n">
        <x:v>35.07679742418979</x:v>
      </x:c>
      <x:c r="L1502" s="60" t="n">
        <x:v>1702297.6971343448</x:v>
      </x:c>
      <x:c r="M1502" s="62" t="n">
        <x:v>2.339667777102389</x:v>
      </x:c>
      <x:c r="N1502" s="62" t="n">
        <x:v>21.860886886323293</x:v>
      </x:c>
      <x:c r="O1502" s="60" t="n">
        <x:v>1060921.752743569</x:v>
      </x:c>
      <x:c r="P1502" s="60" t="n">
        <x:v>641375.9443907759</x:v>
      </x:c>
      <x:c r="Q1502" s="62" t="n">
        <x:v>1.6045459457609974</x:v>
      </x:c>
      <x:c r="R1502" s="64" t="n">
        <x:v>0.6045459457609973</x:v>
      </x:c>
    </x:row>
    <x:row r="1503" ht="18" customHeight="1">
      <x:c r="A1503" s="46" t="str">
        <x:v>LME_027</x:v>
      </x:c>
      <x:c r="B1503" s="46" t="str">
        <x:v>Canary Current</x:v>
      </x:c>
      <x:c r="C1503" s="46" t="str">
        <x:v>functional</x:v>
      </x:c>
      <x:c r="D1503" s="46" t="str">
        <x:v>Shrimps</x:v>
      </x:c>
      <x:c r="E1503" s="66" t="n">
        <x:v>12</x:v>
      </x:c>
      <x:c r="F1503" s="66" t="n">
        <x:v>12</x:v>
      </x:c>
      <x:c r="G1503" s="60" t="n">
        <x:v>19011.6711644389</x:v>
      </x:c>
      <x:c r="H1503" s="60" t="n">
        <x:v>19011.6711644389</x:v>
      </x:c>
      <x:c r="I1503" s="62" t="n">
        <x:v>0</x:v>
      </x:c>
      <x:c r="J1503" s="64" t="n">
        <x:v>1</x:v>
      </x:c>
      <x:c r="K1503" s="62" t="n">
        <x:v>144.5496554480133</x:v>
      </x:c>
      <x:c r="L1503" s="60" t="n">
        <x:v>2748130.516310573</x:v>
      </x:c>
      <x:c r="M1503" s="62" t="n">
        <x:v>3.0781558570165712</x:v>
      </x:c>
      <x:c r="N1503" s="62" t="n">
        <x:v>119.71700874938027</x:v>
      </x:c>
      <x:c r="O1503" s="60" t="n">
        <x:v>2276020.4031334724</x:v>
      </x:c>
      <x:c r="P1503" s="60" t="n">
        <x:v>472110.11317710066</x:v>
      </x:c>
      <x:c r="Q1503" s="62" t="n">
        <x:v>1.207427891475459</x:v>
      </x:c>
      <x:c r="R1503" s="64" t="n">
        <x:v>0.20742789147545912</x:v>
      </x:c>
    </x:row>
    <x:row r="1504" ht="18" customHeight="1">
      <x:c r="A1504" s="46" t="str">
        <x:v>LME_027</x:v>
      </x:c>
      <x:c r="B1504" s="46" t="str">
        <x:v>Canary Current</x:v>
      </x:c>
      <x:c r="C1504" s="46" t="str">
        <x:v>functional</x:v>
      </x:c>
      <x:c r="D1504" s="46" t="str">
        <x:v>Small benthopelagics (&lt;30 cm)</x:v>
      </x:c>
      <x:c r="E1504" s="66" t="n">
        <x:v>3</x:v>
      </x:c>
      <x:c r="F1504" s="66" t="n">
        <x:v>3</x:v>
      </x:c>
      <x:c r="G1504" s="60" t="n">
        <x:v>7430.244932018501</x:v>
      </x:c>
      <x:c r="H1504" s="60" t="n">
        <x:v>7430.244932018501</x:v>
      </x:c>
      <x:c r="I1504" s="62" t="n">
        <x:v>0</x:v>
      </x:c>
      <x:c r="J1504" s="64" t="n">
        <x:v>1</x:v>
      </x:c>
      <x:c r="K1504" s="62" t="n">
        <x:v>165.41238168609266</x:v>
      </x:c>
      <x:c r="L1504" s="60" t="n">
        <x:v>1229054.5107161999</x:v>
      </x:c>
      <x:c r="M1504" s="62" t="n">
        <x:v>3.212304622789581</x:v>
      </x:c>
      <x:c r="N1504" s="62" t="n">
        <x:v>163.04392541829753</x:v>
      </x:c>
      <x:c r="O1504" s="60" t="n">
        <x:v>1211456.3005357077</x:v>
      </x:c>
      <x:c r="P1504" s="60" t="n">
        <x:v>17598.21018049214</x:v>
      </x:c>
      <x:c r="Q1504" s="62" t="n">
        <x:v>1.0145264919359536</x:v>
      </x:c>
      <x:c r="R1504" s="64" t="n">
        <x:v>0.0145264919359536</x:v>
      </x:c>
    </x:row>
    <x:row r="1505" ht="18" customHeight="1">
      <x:c r="A1505" s="46" t="str">
        <x:v>LME_027</x:v>
      </x:c>
      <x:c r="B1505" s="46" t="str">
        <x:v>Canary Current</x:v>
      </x:c>
      <x:c r="C1505" s="46" t="str">
        <x:v>functional</x:v>
      </x:c>
      <x:c r="D1505" s="46" t="str">
        <x:v>Small demersals (&lt;30 cm)</x:v>
      </x:c>
      <x:c r="E1505" s="66" t="n">
        <x:v>8</x:v>
      </x:c>
      <x:c r="F1505" s="66" t="n">
        <x:v>8</x:v>
      </x:c>
      <x:c r="G1505" s="60" t="n">
        <x:v>31780.444928138106</x:v>
      </x:c>
      <x:c r="H1505" s="60" t="n">
        <x:v>31780.444928138106</x:v>
      </x:c>
      <x:c r="I1505" s="62" t="n">
        <x:v>0</x:v>
      </x:c>
      <x:c r="J1505" s="64" t="n">
        <x:v>1</x:v>
      </x:c>
      <x:c r="K1505" s="62" t="n">
        <x:v>174.54074957013293</x:v>
      </x:c>
      <x:c r="L1505" s="60" t="n">
        <x:v>5546982.679429554</x:v>
      </x:c>
      <x:c r="M1505" s="62" t="n">
        <x:v>3.1292032426340244</x:v>
      </x:c>
      <x:c r="N1505" s="62" t="n">
        <x:v>134.6490341840696</x:v>
      </x:c>
      <x:c r="O1505" s="60" t="n">
        <x:v>4279206.215513809</x:v>
      </x:c>
      <x:c r="P1505" s="60" t="n">
        <x:v>1267776.4639157457</x:v>
      </x:c>
      <x:c r="Q1505" s="62" t="n">
        <x:v>1.296264400467441</x:v>
      </x:c>
      <x:c r="R1505" s="64" t="n">
        <x:v>0.296264400467441</x:v>
      </x:c>
    </x:row>
    <x:row r="1506" ht="18" customHeight="1">
      <x:c r="A1506" s="46" t="str">
        <x:v>LME_027</x:v>
      </x:c>
      <x:c r="B1506" s="46" t="str">
        <x:v>Canary Current</x:v>
      </x:c>
      <x:c r="C1506" s="46" t="str">
        <x:v>functional</x:v>
      </x:c>
      <x:c r="D1506" s="46" t="str">
        <x:v>Small pelagics (&lt;30 cm)</x:v>
      </x:c>
      <x:c r="E1506" s="66" t="n">
        <x:v>9</x:v>
      </x:c>
      <x:c r="F1506" s="66" t="n">
        <x:v>9</x:v>
      </x:c>
      <x:c r="G1506" s="60" t="n">
        <x:v>2214415.796080132</x:v>
      </x:c>
      <x:c r="H1506" s="60" t="n">
        <x:v>2214415.796080132</x:v>
      </x:c>
      <x:c r="I1506" s="62" t="n">
        <x:v>0</x:v>
      </x:c>
      <x:c r="J1506" s="64" t="n">
        <x:v>1</x:v>
      </x:c>
      <x:c r="K1506" s="62" t="n">
        <x:v>120.09984321369592</x:v>
      </x:c>
      <x:c r="L1506" s="60" t="n">
        <x:v>265950989.91915548</x:v>
      </x:c>
      <x:c r="M1506" s="62" t="n">
        <x:v>3.0466725235539176</x:v>
      </x:c>
      <x:c r="N1506" s="62" t="n">
        <x:v>111.34546249893324</x:v>
      </x:c>
      <x:c r="O1506" s="60" t="n">
        <x:v>246565150.97948575</x:v>
      </x:c>
      <x:c r="P1506" s="60" t="n">
        <x:v>19385838.93966973</x:v>
      </x:c>
      <x:c r="Q1506" s="62" t="n">
        <x:v>1.0786235964922821</x:v>
      </x:c>
      <x:c r="R1506" s="64" t="n">
        <x:v>0.0786235964922822</x:v>
      </x:c>
    </x:row>
    <x:row r="1507" ht="18" customHeight="1">
      <x:c r="A1507" s="46" t="str">
        <x:v>LME_027</x:v>
      </x:c>
      <x:c r="B1507" s="46" t="str">
        <x:v>Canary Current</x:v>
      </x:c>
      <x:c r="C1507" s="46" t="str">
        <x:v>functional</x:v>
      </x:c>
      <x:c r="D1507" s="46" t="str">
        <x:v>Small reef assoc. fish (&lt;30 cm)</x:v>
      </x:c>
      <x:c r="E1507" s="66" t="n">
        <x:v>10</x:v>
      </x:c>
      <x:c r="F1507" s="66" t="n">
        <x:v>10</x:v>
      </x:c>
      <x:c r="G1507" s="60" t="n">
        <x:v>5920.4287295725</x:v>
      </x:c>
      <x:c r="H1507" s="60" t="n">
        <x:v>5920.4287295725</x:v>
      </x:c>
      <x:c r="I1507" s="62" t="n">
        <x:v>0</x:v>
      </x:c>
      <x:c r="J1507" s="64" t="n">
        <x:v>1</x:v>
      </x:c>
      <x:c r="K1507" s="62" t="n">
        <x:v>417.462408061779</x:v>
      </x:c>
      <x:c r="L1507" s="60" t="n">
        <x:v>2471556.434205475</x:v>
      </x:c>
      <x:c r="M1507" s="62" t="n">
        <x:v>3.434938184647867</x:v>
      </x:c>
      <x:c r="N1507" s="62" t="n">
        <x:v>272.23137996709306</x:v>
      </x:c>
      <x:c r="O1507" s="60" t="n">
        <x:v>1611726.4830483452</x:v>
      </x:c>
      <x:c r="P1507" s="60" t="n">
        <x:v>859829.9511571296</x:v>
      </x:c>
      <x:c r="Q1507" s="62" t="n">
        <x:v>1.533483789092357</x:v>
      </x:c>
      <x:c r="R1507" s="64" t="n">
        <x:v>0.5334837890923569</x:v>
      </x:c>
    </x:row>
    <x:row r="1508" ht="18" customHeight="1">
      <x:c r="A1508" s="46" t="str">
        <x:v>LME_027</x:v>
      </x:c>
      <x:c r="B1508" s="46" t="str">
        <x:v>Canary Current</x:v>
      </x:c>
      <x:c r="C1508" s="46" t="str">
        <x:v>functional</x:v>
      </x:c>
      <x:c r="D1508" s="46" t="str">
        <x:v>Small to medium flatfishes (&lt;90 cm)</x:v>
      </x:c>
      <x:c r="E1508" s="66" t="n">
        <x:v>18</x:v>
      </x:c>
      <x:c r="F1508" s="66" t="n">
        <x:v>18</x:v>
      </x:c>
      <x:c r="G1508" s="60" t="n">
        <x:v>37418.0255920436</x:v>
      </x:c>
      <x:c r="H1508" s="60" t="n">
        <x:v>37418.0255920436</x:v>
      </x:c>
      <x:c r="I1508" s="62" t="n">
        <x:v>0</x:v>
      </x:c>
      <x:c r="J1508" s="64" t="n">
        <x:v>1</x:v>
      </x:c>
      <x:c r="K1508" s="62" t="n">
        <x:v>348.1252331368112</x:v>
      </x:c>
      <x:c r="L1508" s="60" t="n">
        <x:v>13026158.882749347</x:v>
      </x:c>
      <x:c r="M1508" s="62" t="n">
        <x:v>3.4806313532564084</x:v>
      </x:c>
      <x:c r="N1508" s="62" t="n">
        <x:v>302.4345151587278</x:v>
      </x:c>
      <x:c r="O1508" s="60" t="n">
        <x:v>11316502.428126575</x:v>
      </x:c>
      <x:c r="P1508" s="60" t="n">
        <x:v>1709656.4546227716</x:v>
      </x:c>
      <x:c r="Q1508" s="62" t="n">
        <x:v>1.1510764006353686</x:v>
      </x:c>
      <x:c r="R1508" s="64" t="n">
        <x:v>0.15107640063536856</x:v>
      </x:c>
    </x:row>
    <x:row r="1509" ht="18" customHeight="1">
      <x:c r="A1509" s="46" t="str">
        <x:v>LME_027</x:v>
      </x:c>
      <x:c r="B1509" s="46" t="str">
        <x:v>Canary Current</x:v>
      </x:c>
      <x:c r="C1509" s="46" t="str">
        <x:v>functional</x:v>
      </x:c>
      <x:c r="D1509" s="46" t="str">
        <x:v>Small to medium rays (&lt;90 cm)</x:v>
      </x:c>
      <x:c r="E1509" s="66" t="n">
        <x:v>6</x:v>
      </x:c>
      <x:c r="F1509" s="66" t="n">
        <x:v>6</x:v>
      </x:c>
      <x:c r="G1509" s="60" t="n">
        <x:v>4583.2943247119</x:v>
      </x:c>
      <x:c r="H1509" s="60" t="n">
        <x:v>4583.2943247119</x:v>
      </x:c>
      <x:c r="I1509" s="62" t="n">
        <x:v>0</x:v>
      </x:c>
      <x:c r="J1509" s="64" t="n">
        <x:v>1</x:v>
      </x:c>
      <x:c r="K1509" s="62" t="n">
        <x:v>613.3150953662965</x:v>
      </x:c>
      <x:c r="L1509" s="60" t="n">
        <x:v>2811003.595852485</x:v>
      </x:c>
      <x:c r="M1509" s="62" t="n">
        <x:v>3.780287515022746</x:v>
      </x:c>
      <x:c r="N1509" s="62" t="n">
        <x:v>602.9586293490388</x:v>
      </x:c>
      <x:c r="O1509" s="60" t="n">
        <x:v>2763536.8639315157</x:v>
      </x:c>
      <x:c r="P1509" s="60" t="n">
        <x:v>47466.73192096921</x:v>
      </x:c>
      <x:c r="Q1509" s="62" t="n">
        <x:v>1.017176080601813</x:v>
      </x:c>
      <x:c r="R1509" s="64" t="n">
        <x:v>0.017176080601812988</x:v>
      </x:c>
    </x:row>
    <x:row r="1510" ht="18" customHeight="1">
      <x:c r="A1510" s="46" t="str">
        <x:v>LME_027</x:v>
      </x:c>
      <x:c r="B1510" s="46" t="str">
        <x:v>Canary Current</x:v>
      </x:c>
      <x:c r="C1510" s="46" t="str">
        <x:v>functional</x:v>
      </x:c>
      <x:c r="D1510" s="46" t="str">
        <x:v>Small to medium sharks (&lt;90 cm)</x:v>
      </x:c>
      <x:c r="E1510" s="66" t="n">
        <x:v>5</x:v>
      </x:c>
      <x:c r="F1510" s="66" t="n">
        <x:v>5</x:v>
      </x:c>
      <x:c r="G1510" s="60" t="n">
        <x:v>2865.682606869</x:v>
      </x:c>
      <x:c r="H1510" s="60" t="n">
        <x:v>2865.682606869</x:v>
      </x:c>
      <x:c r="I1510" s="62" t="n">
        <x:v>0</x:v>
      </x:c>
      <x:c r="J1510" s="64" t="n">
        <x:v>1</x:v>
      </x:c>
      <x:c r="K1510" s="62" t="n">
        <x:v>663.8362724807895</x:v>
      </x:c>
      <x:c r="L1510" s="60" t="n">
        <x:v>1902344.0598569487</x:v>
      </x:c>
      <x:c r="M1510" s="62" t="n">
        <x:v>3.821688827923369</x:v>
      </x:c>
      <x:c r="N1510" s="62" t="n">
        <x:v>663.26766870221</x:v>
      </x:c>
      <x:c r="O1510" s="60" t="n">
        <x:v>1900714.6218984735</x:v>
      </x:c>
      <x:c r="P1510" s="60" t="n">
        <x:v>1629.4379584752023</x:v>
      </x:c>
      <x:c r="Q1510" s="62" t="n">
        <x:v>1.000857276489433</x:v>
      </x:c>
      <x:c r="R1510" s="64" t="n">
        <x:v>0.0008572764894330563</x:v>
      </x:c>
    </x:row>
    <x:row r="1511" ht="18" customHeight="1">
      <x:c r="A1511" s="46" t="str">
        <x:v>LME_028</x:v>
      </x:c>
      <x:c r="B1511" s="46" t="str">
        <x:v>Guinea Current</x:v>
      </x:c>
      <x:c r="C1511" s="46" t="str">
        <x:v>functional</x:v>
      </x:c>
      <x:c r="D1511" s="46" t="str">
        <x:v>Cephalopods</x:v>
      </x:c>
      <x:c r="E1511" s="66" t="n">
        <x:v>13</x:v>
      </x:c>
      <x:c r="F1511" s="66" t="n">
        <x:v>13</x:v>
      </x:c>
      <x:c r="G1511" s="60" t="n">
        <x:v>173878.8148369689</x:v>
      </x:c>
      <x:c r="H1511" s="60" t="n">
        <x:v>173878.8148369689</x:v>
      </x:c>
      <x:c r="I1511" s="62" t="n">
        <x:v>0</x:v>
      </x:c>
      <x:c r="J1511" s="64" t="n">
        <x:v>1</x:v>
      </x:c>
      <x:c r="K1511" s="62" t="n">
        <x:v>616.7314838830457</x:v>
      </x:c>
      <x:c r="L1511" s="60" t="n">
        <x:v>107236539.49022917</x:v>
      </x:c>
      <x:c r="M1511" s="62" t="n">
        <x:v>3.7816239970770305</x:v>
      </x:c>
      <x:c r="N1511" s="62" t="n">
        <x:v>604.8170103110334</x:v>
      </x:c>
      <x:c r="O1511" s="60" t="n">
        <x:v>105164864.94612129</x:v>
      </x:c>
      <x:c r="P1511" s="60" t="n">
        <x:v>2071674.5441078842</x:v>
      </x:c>
      <x:c r="Q1511" s="62" t="n">
        <x:v>1.0196993030435522</x:v>
      </x:c>
      <x:c r="R1511" s="64" t="n">
        <x:v>0.01969930304355221</x:v>
      </x:c>
    </x:row>
    <x:row r="1512" ht="18" customHeight="1">
      <x:c r="A1512" s="46" t="str">
        <x:v>LME_028</x:v>
      </x:c>
      <x:c r="B1512" s="46" t="str">
        <x:v>Guinea Current</x:v>
      </x:c>
      <x:c r="C1512" s="46" t="str">
        <x:v>functional</x:v>
      </x:c>
      <x:c r="D1512" s="46" t="str">
        <x:v>Large bathydemersals (&gt;=90 cm)</x:v>
      </x:c>
      <x:c r="E1512" s="66" t="n">
        <x:v>2</x:v>
      </x:c>
      <x:c r="F1512" s="66" t="n">
        <x:v>2</x:v>
      </x:c>
      <x:c r="G1512" s="60" t="n">
        <x:v>1115.4458504</x:v>
      </x:c>
      <x:c r="H1512" s="60" t="n">
        <x:v>1115.4458504</x:v>
      </x:c>
      <x:c r="I1512" s="62" t="n">
        <x:v>0</x:v>
      </x:c>
      <x:c r="J1512" s="64" t="n">
        <x:v>1</x:v>
      </x:c>
      <x:c r="K1512" s="62" t="n">
        <x:v>285.07174125915486</x:v>
      </x:c>
      <x:c r="L1512" s="60" t="n">
        <x:v>317982.0908538267</x:v>
      </x:c>
      <x:c r="M1512" s="62" t="n">
        <x:v>3.4520309384126833</x:v>
      </x:c>
      <x:c r="N1512" s="62" t="n">
        <x:v>283.159370661532</x:v>
      </x:c>
      <x:c r="O1512" s="60" t="n">
        <x:v>315848.94500628137</x:v>
      </x:c>
      <x:c r="P1512" s="60" t="n">
        <x:v>2133.1458475453546</x:v>
      </x:c>
      <x:c r="Q1512" s="62" t="n">
        <x:v>1.006753689956137</x:v>
      </x:c>
      <x:c r="R1512" s="64" t="n">
        <x:v>0.006753689956136888</x:v>
      </x:c>
    </x:row>
    <x:row r="1513" ht="18" customHeight="1">
      <x:c r="A1513" s="46" t="str">
        <x:v>LME_028</x:v>
      </x:c>
      <x:c r="B1513" s="46" t="str">
        <x:v>Guinea Current</x:v>
      </x:c>
      <x:c r="C1513" s="46" t="str">
        <x:v>functional</x:v>
      </x:c>
      <x:c r="D1513" s="46" t="str">
        <x:v>Large bathypelagics (&gt;=90 cm)</x:v>
      </x:c>
      <x:c r="E1513" s="66" t="n">
        <x:v>1</x:v>
      </x:c>
      <x:c r="F1513" s="66" t="n">
        <x:v>1</x:v>
      </x:c>
      <x:c r="G1513" s="60" t="n">
        <x:v>26.6401455117</x:v>
      </x:c>
      <x:c r="H1513" s="60" t="n">
        <x:v>26.6401455117</x:v>
      </x:c>
      <x:c r="I1513" s="62" t="n">
        <x:v>0</x:v>
      </x:c>
      <x:c r="J1513" s="64" t="n">
        <x:v>1</x:v>
      </x:c>
      <x:c r="K1513" s="62" t="n">
        <x:v>2187.761623949552</x:v>
      </x:c>
      <x:c r="L1513" s="60" t="n">
        <x:v>58282.28800692916</x:v>
      </x:c>
      <x:c r="M1513" s="62" t="n">
        <x:v>4.34</x:v>
      </x:c>
      <x:c r="N1513" s="62" t="n">
        <x:v>2187.761623949552</x:v>
      </x:c>
      <x:c r="O1513" s="60" t="n">
        <x:v>58282.28800692916</x:v>
      </x:c>
      <x:c r="P1513" s="60" t="n">
        <x:v>0</x:v>
      </x:c>
      <x:c r="Q1513" s="62" t="n">
        <x:v>1</x:v>
      </x:c>
      <x:c r="R1513" s="64" t="n">
        <x:v>0</x:v>
      </x:c>
    </x:row>
    <x:row r="1514" ht="18" customHeight="1">
      <x:c r="A1514" s="46" t="str">
        <x:v>LME_028</x:v>
      </x:c>
      <x:c r="B1514" s="46" t="str">
        <x:v>Guinea Current</x:v>
      </x:c>
      <x:c r="C1514" s="46" t="str">
        <x:v>functional</x:v>
      </x:c>
      <x:c r="D1514" s="46" t="str">
        <x:v>Large benthopelagics (&gt;=90 cm)</x:v>
      </x:c>
      <x:c r="E1514" s="66" t="n">
        <x:v>14</x:v>
      </x:c>
      <x:c r="F1514" s="66" t="n">
        <x:v>14</x:v>
      </x:c>
      <x:c r="G1514" s="60" t="n">
        <x:v>73202.4749530428</x:v>
      </x:c>
      <x:c r="H1514" s="60" t="n">
        <x:v>73202.4749530428</x:v>
      </x:c>
      <x:c r="I1514" s="62" t="n">
        <x:v>0</x:v>
      </x:c>
      <x:c r="J1514" s="64" t="n">
        <x:v>1</x:v>
      </x:c>
      <x:c r="K1514" s="62" t="n">
        <x:v>2197.6724922977974</x:v>
      </x:c>
      <x:c r="L1514" s="60" t="n">
        <x:v>160875065.57242066</x:v>
      </x:c>
      <x:c r="M1514" s="62" t="n">
        <x:v>4.293969257247193</x:v>
      </x:c>
      <x:c r="N1514" s="62" t="n">
        <x:v>1967.746992287561</x:v>
      </x:c>
      <x:c r="O1514" s="60" t="n">
        <x:v>144043949.91685548</x:v>
      </x:c>
      <x:c r="P1514" s="60" t="n">
        <x:v>16831115.655565172</x:v>
      </x:c>
      <x:c r="Q1514" s="62" t="n">
        <x:v>1.116847084971499</x:v>
      </x:c>
      <x:c r="R1514" s="64" t="n">
        <x:v>0.1168470849714991</x:v>
      </x:c>
    </x:row>
    <x:row r="1515" ht="18" customHeight="1">
      <x:c r="A1515" s="46" t="str">
        <x:v>LME_028</x:v>
      </x:c>
      <x:c r="B1515" s="46" t="str">
        <x:v>Guinea Current</x:v>
      </x:c>
      <x:c r="C1515" s="46" t="str">
        <x:v>functional</x:v>
      </x:c>
      <x:c r="D1515" s="46" t="str">
        <x:v>Large demersals (&gt;=90 cm)</x:v>
      </x:c>
      <x:c r="E1515" s="66" t="n">
        <x:v>9</x:v>
      </x:c>
      <x:c r="F1515" s="66" t="n">
        <x:v>9</x:v>
      </x:c>
      <x:c r="G1515" s="60" t="n">
        <x:v>221473.1142202662</x:v>
      </x:c>
      <x:c r="H1515" s="60" t="n">
        <x:v>221473.1142202662</x:v>
      </x:c>
      <x:c r="I1515" s="62" t="n">
        <x:v>0</x:v>
      </x:c>
      <x:c r="J1515" s="64" t="n">
        <x:v>1</x:v>
      </x:c>
      <x:c r="K1515" s="62" t="n">
        <x:v>708.6763846754111</x:v>
      </x:c>
      <x:c r="L1515" s="60" t="n">
        <x:v>156952765.88842264</x:v>
      </x:c>
      <x:c r="M1515" s="62" t="n">
        <x:v>3.8396961832517627</x:v>
      </x:c>
      <x:c r="N1515" s="62" t="n">
        <x:v>691.347160184058</x:v>
      </x:c>
      <x:c r="O1515" s="60" t="n">
        <x:v>153114808.57330054</x:v>
      </x:c>
      <x:c r="P1515" s="60" t="n">
        <x:v>3837957.3151220977</x:v>
      </x:c>
      <x:c r="Q1515" s="62" t="n">
        <x:v>1.0250658793286134</x:v>
      </x:c>
      <x:c r="R1515" s="64" t="n">
        <x:v>0.025065879328613438</x:v>
      </x:c>
    </x:row>
    <x:row r="1516" ht="18" customHeight="1">
      <x:c r="A1516" s="46" t="str">
        <x:v>LME_028</x:v>
      </x:c>
      <x:c r="B1516" s="46" t="str">
        <x:v>Guinea Current</x:v>
      </x:c>
      <x:c r="C1516" s="46" t="str">
        <x:v>functional</x:v>
      </x:c>
      <x:c r="D1516" s="46" t="str">
        <x:v>Large pelagics (&gt;=90 cm)</x:v>
      </x:c>
      <x:c r="E1516" s="66" t="n">
        <x:v>32</x:v>
      </x:c>
      <x:c r="F1516" s="66" t="n">
        <x:v>32</x:v>
      </x:c>
      <x:c r="G1516" s="60" t="n">
        <x:v>263234.0604641482</x:v>
      </x:c>
      <x:c r="H1516" s="60" t="n">
        <x:v>263234.0604641482</x:v>
      </x:c>
      <x:c r="I1516" s="62" t="n">
        <x:v>0</x:v>
      </x:c>
      <x:c r="J1516" s="64" t="n">
        <x:v>1</x:v>
      </x:c>
      <x:c r="K1516" s="62" t="n">
        <x:v>2181.341723178519</x:v>
      </x:c>
      <x:c r="L1516" s="60" t="n">
        <x:v>574203439.0521433</x:v>
      </x:c>
      <x:c r="M1516" s="62" t="n">
        <x:v>4.301643363854889</x:v>
      </x:c>
      <x:c r="N1516" s="62" t="n">
        <x:v>2002.826660528142</x:v>
      </x:c>
      <x:c r="O1516" s="60" t="n">
        <x:v>527212194.25667286</x:v>
      </x:c>
      <x:c r="P1516" s="60" t="n">
        <x:v>46991244.795470476</x:v>
      </x:c>
      <x:c r="Q1516" s="62" t="n">
        <x:v>1.0891315589953765</x:v>
      </x:c>
      <x:c r="R1516" s="64" t="n">
        <x:v>0.08913155899537639</x:v>
      </x:c>
    </x:row>
    <x:row r="1517" ht="18" customHeight="1">
      <x:c r="A1517" s="46" t="str">
        <x:v>LME_028</x:v>
      </x:c>
      <x:c r="B1517" s="46" t="str">
        <x:v>Guinea Current</x:v>
      </x:c>
      <x:c r="C1517" s="46" t="str">
        <x:v>functional</x:v>
      </x:c>
      <x:c r="D1517" s="46" t="str">
        <x:v>Large rays (&gt;=90 cm)</x:v>
      </x:c>
      <x:c r="E1517" s="66" t="n">
        <x:v>11</x:v>
      </x:c>
      <x:c r="F1517" s="66" t="n">
        <x:v>11</x:v>
      </x:c>
      <x:c r="G1517" s="60" t="n">
        <x:v>20457.841973534</x:v>
      </x:c>
      <x:c r="H1517" s="60" t="n">
        <x:v>20457.841973534</x:v>
      </x:c>
      <x:c r="I1517" s="62" t="n">
        <x:v>0</x:v>
      </x:c>
      <x:c r="J1517" s="64" t="n">
        <x:v>1</x:v>
      </x:c>
      <x:c r="K1517" s="62" t="n">
        <x:v>354.1763219492801</x:v>
      </x:c>
      <x:c r="L1517" s="60" t="n">
        <x:v>7245683.225205874</x:v>
      </x:c>
      <x:c r="M1517" s="62" t="n">
        <x:v>3.496628767104013</x:v>
      </x:c>
      <x:c r="N1517" s="62" t="n">
        <x:v>313.78253487223986</x:v>
      </x:c>
      <x:c r="O1517" s="60" t="n">
        <x:v>6419313.512471205</x:v>
      </x:c>
      <x:c r="P1517" s="60" t="n">
        <x:v>826369.7127346694</x:v>
      </x:c>
      <x:c r="Q1517" s="62" t="n">
        <x:v>1.128731789019064</x:v>
      </x:c>
      <x:c r="R1517" s="64" t="n">
        <x:v>0.12873178901906396</x:v>
      </x:c>
    </x:row>
    <x:row r="1518" ht="18" customHeight="1">
      <x:c r="A1518" s="46" t="str">
        <x:v>LME_028</x:v>
      </x:c>
      <x:c r="B1518" s="46" t="str">
        <x:v>Guinea Current</x:v>
      </x:c>
      <x:c r="C1518" s="46" t="str">
        <x:v>functional</x:v>
      </x:c>
      <x:c r="D1518" s="46" t="str">
        <x:v>Large reef assoc. fish (&gt;=90 cm)</x:v>
      </x:c>
      <x:c r="E1518" s="66" t="n">
        <x:v>16</x:v>
      </x:c>
      <x:c r="F1518" s="66" t="n">
        <x:v>16</x:v>
      </x:c>
      <x:c r="G1518" s="60" t="n">
        <x:v>29453.5669963071</x:v>
      </x:c>
      <x:c r="H1518" s="60" t="n">
        <x:v>29453.5669963071</x:v>
      </x:c>
      <x:c r="I1518" s="62" t="n">
        <x:v>0</x:v>
      </x:c>
      <x:c r="J1518" s="64" t="n">
        <x:v>1</x:v>
      </x:c>
      <x:c r="K1518" s="62" t="n">
        <x:v>579.7705994511158</x:v>
      </x:c>
      <x:c r="L1518" s="60" t="n">
        <x:v>17076312.193422567</x:v>
      </x:c>
      <x:c r="M1518" s="62" t="n">
        <x:v>3.520771679425711</x:v>
      </x:c>
      <x:c r="N1518" s="62" t="n">
        <x:v>331.72001735035127</x:v>
      </x:c>
      <x:c r="O1518" s="60" t="n">
        <x:v>9770337.755044725</x:v>
      </x:c>
      <x:c r="P1518" s="60" t="n">
        <x:v>7305974.438377842</x:v>
      </x:c>
      <x:c r="Q1518" s="62" t="n">
        <x:v>1.7477709186261798</x:v>
      </x:c>
      <x:c r="R1518" s="64" t="n">
        <x:v>0.74777091862618</x:v>
      </x:c>
    </x:row>
    <x:row r="1519" ht="18" customHeight="1">
      <x:c r="A1519" s="46" t="str">
        <x:v>LME_028</x:v>
      </x:c>
      <x:c r="B1519" s="46" t="str">
        <x:v>Guinea Current</x:v>
      </x:c>
      <x:c r="C1519" s="46" t="str">
        <x:v>functional</x:v>
      </x:c>
      <x:c r="D1519" s="46" t="str">
        <x:v>Large sharks (&gt;=90 cm)</x:v>
      </x:c>
      <x:c r="E1519" s="66" t="n">
        <x:v>37</x:v>
      </x:c>
      <x:c r="F1519" s="66" t="n">
        <x:v>37</x:v>
      </x:c>
      <x:c r="G1519" s="60" t="n">
        <x:v>50946.9089374415</x:v>
      </x:c>
      <x:c r="H1519" s="60" t="n">
        <x:v>50946.9089374415</x:v>
      </x:c>
      <x:c r="I1519" s="62" t="n">
        <x:v>0</x:v>
      </x:c>
      <x:c r="J1519" s="64" t="n">
        <x:v>1</x:v>
      </x:c>
      <x:c r="K1519" s="62" t="n">
        <x:v>2556.3174467367057</x:v>
      </x:c>
      <x:c r="L1519" s="60" t="n">
        <x:v>130236472.1740879</x:v>
      </x:c>
      <x:c r="M1519" s="62" t="n">
        <x:v>4.282537494727853</x:v>
      </x:c>
      <x:c r="N1519" s="62" t="n">
        <x:v>1916.6265271632335</x:v>
      </x:c>
      <x:c r="O1519" s="60" t="n">
        <x:v>97646197.14647</x:v>
      </x:c>
      <x:c r="P1519" s="60" t="n">
        <x:v>32590275.0276179</x:v>
      </x:c>
      <x:c r="Q1519" s="62" t="n">
        <x:v>1.333758773818219</x:v>
      </x:c>
      <x:c r="R1519" s="64" t="n">
        <x:v>0.333758773818219</x:v>
      </x:c>
    </x:row>
    <x:row r="1520" ht="18" customHeight="1">
      <x:c r="A1520" s="46" t="str">
        <x:v>LME_028</x:v>
      </x:c>
      <x:c r="B1520" s="46" t="str">
        <x:v>Guinea Current</x:v>
      </x:c>
      <x:c r="C1520" s="46" t="str">
        <x:v>functional</x:v>
      </x:c>
      <x:c r="D1520" s="46" t="str">
        <x:v>Lobsters, crabs</x:v>
      </x:c>
      <x:c r="E1520" s="66" t="n">
        <x:v>10</x:v>
      </x:c>
      <x:c r="F1520" s="66" t="n">
        <x:v>10</x:v>
      </x:c>
      <x:c r="G1520" s="60" t="n">
        <x:v>2173.596809867</x:v>
      </x:c>
      <x:c r="H1520" s="60" t="n">
        <x:v>2173.596809867</x:v>
      </x:c>
      <x:c r="I1520" s="62" t="n">
        <x:v>0</x:v>
      </x:c>
      <x:c r="J1520" s="64" t="n">
        <x:v>1</x:v>
      </x:c>
      <x:c r="K1520" s="62" t="n">
        <x:v>303.2697719296379</x:v>
      </x:c>
      <x:c r="L1520" s="60" t="n">
        <x:v>659186.2087953537</x:v>
      </x:c>
      <x:c r="M1520" s="62" t="n">
        <x:v>3.3481165044813403</x:v>
      </x:c>
      <x:c r="N1520" s="62" t="n">
        <x:v>222.9033032776963</x:v>
      </x:c>
      <x:c r="O1520" s="60" t="n">
        <x:v>484501.9089132171</x:v>
      </x:c>
      <x:c r="P1520" s="60" t="n">
        <x:v>174684.29988213658</x:v>
      </x:c>
      <x:c r="Q1520" s="62" t="n">
        <x:v>1.3605440900614194</x:v>
      </x:c>
      <x:c r="R1520" s="64" t="n">
        <x:v>0.36054409006141946</x:v>
      </x:c>
    </x:row>
    <x:row r="1521" ht="18" customHeight="1">
      <x:c r="A1521" s="46" t="str">
        <x:v>LME_028</x:v>
      </x:c>
      <x:c r="B1521" s="46" t="str">
        <x:v>Guinea Current</x:v>
      </x:c>
      <x:c r="C1521" s="46" t="str">
        <x:v>functional</x:v>
      </x:c>
      <x:c r="D1521" s="46" t="str">
        <x:v>Medium bathydemersals (30 - 89 cm)</x:v>
      </x:c>
      <x:c r="E1521" s="66" t="n">
        <x:v>10</x:v>
      </x:c>
      <x:c r="F1521" s="66" t="n">
        <x:v>10</x:v>
      </x:c>
      <x:c r="G1521" s="60" t="n">
        <x:v>7905.5589450769</x:v>
      </x:c>
      <x:c r="H1521" s="60" t="n">
        <x:v>7905.5589450769</x:v>
      </x:c>
      <x:c r="I1521" s="62" t="n">
        <x:v>0</x:v>
      </x:c>
      <x:c r="J1521" s="64" t="n">
        <x:v>1</x:v>
      </x:c>
      <x:c r="K1521" s="62" t="n">
        <x:v>2968.008949851292</x:v>
      </x:c>
      <x:c r="L1521" s="60" t="n">
        <x:v>23463769.70256518</x:v>
      </x:c>
      <x:c r="M1521" s="62" t="n">
        <x:v>4.451347031432036</x:v>
      </x:c>
      <x:c r="N1521" s="62" t="n">
        <x:v>2827.1381521685844</x:v>
      </x:c>
      <x:c r="O1521" s="60" t="n">
        <x:v>22350107.30784453</x:v>
      </x:c>
      <x:c r="P1521" s="60" t="n">
        <x:v>1113662.3947206475</x:v>
      </x:c>
      <x:c r="Q1521" s="62" t="n">
        <x:v>1.049828055829055</x:v>
      </x:c>
      <x:c r="R1521" s="64" t="n">
        <x:v>0.049828055829055</x:v>
      </x:c>
    </x:row>
    <x:row r="1522" ht="18" customHeight="1">
      <x:c r="A1522" s="46" t="str">
        <x:v>LME_028</x:v>
      </x:c>
      <x:c r="B1522" s="46" t="str">
        <x:v>Guinea Current</x:v>
      </x:c>
      <x:c r="C1522" s="46" t="str">
        <x:v>functional</x:v>
      </x:c>
      <x:c r="D1522" s="46" t="str">
        <x:v>Medium bathypelagics (30 - 89 cm)</x:v>
      </x:c>
      <x:c r="E1522" s="66" t="n">
        <x:v>2</x:v>
      </x:c>
      <x:c r="F1522" s="66" t="n">
        <x:v>2</x:v>
      </x:c>
      <x:c r="G1522" s="60" t="n">
        <x:v>2985.1445349512</x:v>
      </x:c>
      <x:c r="H1522" s="60" t="n">
        <x:v>2985.1445349512</x:v>
      </x:c>
      <x:c r="I1522" s="62" t="n">
        <x:v>0</x:v>
      </x:c>
      <x:c r="J1522" s="64" t="n">
        <x:v>1</x:v>
      </x:c>
      <x:c r="K1522" s="62" t="n">
        <x:v>1204.8766617676165</x:v>
      </x:c>
      <x:c r="L1522" s="60" t="n">
        <x:v>3596730.982165846</x:v>
      </x:c>
      <x:c r="M1522" s="62" t="n">
        <x:v>4.080770949774717</x:v>
      </x:c>
      <x:c r="N1522" s="62" t="n">
        <x:v>1204.4005627834824</x:v>
      </x:c>
      <x:c r="O1522" s="60" t="n">
        <x:v>3595309.7578852624</x:v>
      </x:c>
      <x:c r="P1522" s="60" t="n">
        <x:v>1421.2242805836722</x:v>
      </x:c>
      <x:c r="Q1522" s="62" t="n">
        <x:v>1.0003952995364216</x:v>
      </x:c>
      <x:c r="R1522" s="64" t="n">
        <x:v>0.00039529953642148123</x:v>
      </x:c>
    </x:row>
    <x:row r="1523" ht="18" customHeight="1">
      <x:c r="A1523" s="46" t="str">
        <x:v>LME_028</x:v>
      </x:c>
      <x:c r="B1523" s="46" t="str">
        <x:v>Guinea Current</x:v>
      </x:c>
      <x:c r="C1523" s="46" t="str">
        <x:v>functional</x:v>
      </x:c>
      <x:c r="D1523" s="46" t="str">
        <x:v>Medium benthopelagics (30 - 89 cm)</x:v>
      </x:c>
      <x:c r="E1523" s="66" t="n">
        <x:v>31</x:v>
      </x:c>
      <x:c r="F1523" s="66" t="n">
        <x:v>31</x:v>
      </x:c>
      <x:c r="G1523" s="60" t="n">
        <x:v>111676.81833909269</x:v>
      </x:c>
      <x:c r="H1523" s="60" t="n">
        <x:v>111676.81833909269</x:v>
      </x:c>
      <x:c r="I1523" s="62" t="n">
        <x:v>0</x:v>
      </x:c>
      <x:c r="J1523" s="64" t="n">
        <x:v>1</x:v>
      </x:c>
      <x:c r="K1523" s="62" t="n">
        <x:v>678.0912399404104</x:v>
      </x:c>
      <x:c r="L1523" s="60" t="n">
        <x:v>75727072.22015533</x:v>
      </x:c>
      <x:c r="M1523" s="62" t="n">
        <x:v>3.610614151051214</x:v>
      </x:c>
      <x:c r="N1523" s="62" t="n">
        <x:v>407.9567760629491</x:v>
      </x:c>
      <x:c r="O1523" s="60" t="n">
        <x:v>45559314.77058388</x:v>
      </x:c>
      <x:c r="P1523" s="60" t="n">
        <x:v>30167757.449571446</x:v>
      </x:c>
      <x:c r="Q1523" s="62" t="n">
        <x:v>1.6621644245854583</x:v>
      </x:c>
      <x:c r="R1523" s="64" t="n">
        <x:v>0.6621644245854582</x:v>
      </x:c>
    </x:row>
    <x:row r="1524" ht="18" customHeight="1">
      <x:c r="A1524" s="46" t="str">
        <x:v>LME_028</x:v>
      </x:c>
      <x:c r="B1524" s="46" t="str">
        <x:v>Guinea Current</x:v>
      </x:c>
      <x:c r="C1524" s="46" t="str">
        <x:v>functional</x:v>
      </x:c>
      <x:c r="D1524" s="46" t="str">
        <x:v>Medium demersals (30 - 89 cm)</x:v>
      </x:c>
      <x:c r="E1524" s="66" t="n">
        <x:v>28</x:v>
      </x:c>
      <x:c r="F1524" s="66" t="n">
        <x:v>28</x:v>
      </x:c>
      <x:c r="G1524" s="60" t="n">
        <x:v>1786958.351354066</x:v>
      </x:c>
      <x:c r="H1524" s="60" t="n">
        <x:v>1786958.351354066</x:v>
      </x:c>
      <x:c r="I1524" s="62" t="n">
        <x:v>0</x:v>
      </x:c>
      <x:c r="J1524" s="64" t="n">
        <x:v>1</x:v>
      </x:c>
      <x:c r="K1524" s="62" t="n">
        <x:v>244.6409217687313</x:v>
      </x:c>
      <x:c r="L1524" s="60" t="n">
        <x:v>437163138.2375911</x:v>
      </x:c>
      <x:c r="M1524" s="62" t="n">
        <x:v>3.3380729964548816</x:v>
      </x:c>
      <x:c r="N1524" s="62" t="n">
        <x:v>217.8075833769976</x:v>
      </x:c>
      <x:c r="O1524" s="60" t="n">
        <x:v>389213080.10377294</x:v>
      </x:c>
      <x:c r="P1524" s="60" t="n">
        <x:v>47950058.13381815</x:v>
      </x:c>
      <x:c r="Q1524" s="62" t="n">
        <x:v>1.1231974478376563</x:v>
      </x:c>
      <x:c r="R1524" s="64" t="n">
        <x:v>0.1231974478376564</x:v>
      </x:c>
    </x:row>
    <x:row r="1525" ht="18" customHeight="1">
      <x:c r="A1525" s="46" t="str">
        <x:v>LME_028</x:v>
      </x:c>
      <x:c r="B1525" s="46" t="str">
        <x:v>Guinea Current</x:v>
      </x:c>
      <x:c r="C1525" s="46" t="str">
        <x:v>functional</x:v>
      </x:c>
      <x:c r="D1525" s="46" t="str">
        <x:v>Medium pelagics (30 - 89 cm)</x:v>
      </x:c>
      <x:c r="E1525" s="66" t="n">
        <x:v>28</x:v>
      </x:c>
      <x:c r="F1525" s="66" t="n">
        <x:v>28</x:v>
      </x:c>
      <x:c r="G1525" s="60" t="n">
        <x:v>821194.0201590564</x:v>
      </x:c>
      <x:c r="H1525" s="60" t="n">
        <x:v>821194.0201590564</x:v>
      </x:c>
      <x:c r="I1525" s="62" t="n">
        <x:v>0</x:v>
      </x:c>
      <x:c r="J1525" s="64" t="n">
        <x:v>1</x:v>
      </x:c>
      <x:c r="K1525" s="62" t="n">
        <x:v>378.33102080765116</x:v>
      </x:c>
      <x:c r="L1525" s="60" t="n">
        <x:v>310683171.9279147</x:v>
      </x:c>
      <x:c r="M1525" s="62" t="n">
        <x:v>3.0909458318830176</x:v>
      </x:c>
      <x:c r="N1525" s="62" t="n">
        <x:v>123.29510417250877</x:v>
      </x:c>
      <x:c r="O1525" s="60" t="n">
        <x:v>101249202.26135212</x:v>
      </x:c>
      <x:c r="P1525" s="60" t="n">
        <x:v>209433969.66656256</x:v>
      </x:c>
      <x:c r="Q1525" s="62" t="n">
        <x:v>3.0684999485324904</x:v>
      </x:c>
      <x:c r="R1525" s="64" t="n">
        <x:v>2.0684999485324904</x:v>
      </x:c>
    </x:row>
    <x:row r="1526" ht="18" customHeight="1">
      <x:c r="A1526" s="46" t="str">
        <x:v>LME_028</x:v>
      </x:c>
      <x:c r="B1526" s="46" t="str">
        <x:v>Guinea Current</x:v>
      </x:c>
      <x:c r="C1526" s="46" t="str">
        <x:v>functional</x:v>
      </x:c>
      <x:c r="D1526" s="46" t="str">
        <x:v>Medium reef assoc. fish (30 - 89 cm)</x:v>
      </x:c>
      <x:c r="E1526" s="66" t="n">
        <x:v>19</x:v>
      </x:c>
      <x:c r="F1526" s="66" t="n">
        <x:v>19</x:v>
      </x:c>
      <x:c r="G1526" s="60" t="n">
        <x:v>154440.3705491723</x:v>
      </x:c>
      <x:c r="H1526" s="60" t="n">
        <x:v>154440.3705491723</x:v>
      </x:c>
      <x:c r="I1526" s="62" t="n">
        <x:v>0</x:v>
      </x:c>
      <x:c r="J1526" s="64" t="n">
        <x:v>1</x:v>
      </x:c>
      <x:c r="K1526" s="62" t="n">
        <x:v>835.4040793804654</x:v>
      </x:c>
      <x:c r="L1526" s="60" t="n">
        <x:v>129020115.57780924</x:v>
      </x:c>
      <x:c r="M1526" s="62" t="n">
        <x:v>3.6219592365576347</x:v>
      </x:c>
      <x:c r="N1526" s="62" t="n">
        <x:v>418.754258456388</x:v>
      </x:c>
      <x:c r="O1526" s="60" t="n">
        <x:v>64672562.845048435</x:v>
      </x:c>
      <x:c r="P1526" s="60" t="n">
        <x:v>64347552.73276081</x:v>
      </x:c>
      <x:c r="Q1526" s="62" t="n">
        <x:v>1.994974528641051</x:v>
      </x:c>
      <x:c r="R1526" s="64" t="n">
        <x:v>0.994974528641051</x:v>
      </x:c>
    </x:row>
    <x:row r="1527" ht="18" customHeight="1">
      <x:c r="A1527" s="46" t="str">
        <x:v>LME_028</x:v>
      </x:c>
      <x:c r="B1527" s="46" t="str">
        <x:v>Guinea Current</x:v>
      </x:c>
      <x:c r="C1527" s="46" t="str">
        <x:v>functional</x:v>
      </x:c>
      <x:c r="D1527" s="46" t="str">
        <x:v>Other demersal invertebrates</x:v>
      </x:c>
      <x:c r="E1527" s="66" t="n">
        <x:v>8</x:v>
      </x:c>
      <x:c r="F1527" s="66" t="n">
        <x:v>8</x:v>
      </x:c>
      <x:c r="G1527" s="60" t="n">
        <x:v>23541.182782697102</x:v>
      </x:c>
      <x:c r="H1527" s="60" t="n">
        <x:v>23541.182782697102</x:v>
      </x:c>
      <x:c r="I1527" s="62" t="n">
        <x:v>0</x:v>
      </x:c>
      <x:c r="J1527" s="64" t="n">
        <x:v>1</x:v>
      </x:c>
      <x:c r="K1527" s="62" t="n">
        <x:v>36.0728581102458</x:v>
      </x:c>
      <x:c r="L1527" s="60" t="n">
        <x:v>849197.7462675938</x:v>
      </x:c>
      <x:c r="M1527" s="62" t="n">
        <x:v>2.274193728817782</x:v>
      </x:c>
      <x:c r="N1527" s="62" t="n">
        <x:v>18.801553239816812</x:v>
      </x:c>
      <x:c r="O1527" s="60" t="n">
        <x:v>442610.8014171384</x:v>
      </x:c>
      <x:c r="P1527" s="60" t="n">
        <x:v>406586.9448504554</x:v>
      </x:c>
      <x:c r="Q1527" s="62" t="n">
        <x:v>1.918610534466527</x:v>
      </x:c>
      <x:c r="R1527" s="64" t="n">
        <x:v>0.9186105344665271</x:v>
      </x:c>
    </x:row>
    <x:row r="1528" ht="18" customHeight="1">
      <x:c r="A1528" s="46" t="str">
        <x:v>LME_028</x:v>
      </x:c>
      <x:c r="B1528" s="46" t="str">
        <x:v>Guinea Current</x:v>
      </x:c>
      <x:c r="C1528" s="46" t="str">
        <x:v>functional</x:v>
      </x:c>
      <x:c r="D1528" s="46" t="str">
        <x:v>Shrimps</x:v>
      </x:c>
      <x:c r="E1528" s="66" t="n">
        <x:v>11</x:v>
      </x:c>
      <x:c r="F1528" s="66" t="n">
        <x:v>11</x:v>
      </x:c>
      <x:c r="G1528" s="60" t="n">
        <x:v>86188.7011849211</x:v>
      </x:c>
      <x:c r="H1528" s="60" t="n">
        <x:v>86188.7011849211</x:v>
      </x:c>
      <x:c r="I1528" s="62" t="n">
        <x:v>0</x:v>
      </x:c>
      <x:c r="J1528" s="64" t="n">
        <x:v>1</x:v>
      </x:c>
      <x:c r="K1528" s="62" t="n">
        <x:v>151.77970639141978</x:v>
      </x:c>
      <x:c r="L1528" s="60" t="n">
        <x:v>13081695.760105139</x:v>
      </x:c>
      <x:c r="M1528" s="62" t="n">
        <x:v>3.1176763602631974</x:v>
      </x:c>
      <x:c r="N1528" s="62" t="n">
        <x:v>131.122240137773</x:v>
      </x:c>
      <x:c r="O1528" s="60" t="n">
        <x:v>11301255.573931985</x:v>
      </x:c>
      <x:c r="P1528" s="60" t="n">
        <x:v>1780440.186173154</x:v>
      </x:c>
      <x:c r="Q1528" s="62" t="n">
        <x:v>1.15754357332472</x:v>
      </x:c>
      <x:c r="R1528" s="64" t="n">
        <x:v>0.15754357332472</x:v>
      </x:c>
    </x:row>
    <x:row r="1529" ht="18" customHeight="1">
      <x:c r="A1529" s="46" t="str">
        <x:v>LME_028</x:v>
      </x:c>
      <x:c r="B1529" s="46" t="str">
        <x:v>Guinea Current</x:v>
      </x:c>
      <x:c r="C1529" s="46" t="str">
        <x:v>functional</x:v>
      </x:c>
      <x:c r="D1529" s="46" t="str">
        <x:v>Small bathypelagics (&lt;30 cm)</x:v>
      </x:c>
      <x:c r="E1529" s="66" t="n">
        <x:v>1</x:v>
      </x:c>
      <x:c r="F1529" s="66" t="n">
        <x:v>1</x:v>
      </x:c>
      <x:c r="G1529" s="60" t="n">
        <x:v>31.0793950893</x:v>
      </x:c>
      <x:c r="H1529" s="60" t="n">
        <x:v>31.0793950893</x:v>
      </x:c>
      <x:c r="I1529" s="62" t="n">
        <x:v>0</x:v>
      </x:c>
      <x:c r="J1529" s="64" t="n">
        <x:v>1</x:v>
      </x:c>
      <x:c r="K1529" s="62" t="n">
        <x:v>1905.4607179632483</x:v>
      </x:c>
      <x:c r="L1529" s="60" t="n">
        <x:v>59220.566480721034</x:v>
      </x:c>
      <x:c r="M1529" s="62" t="n">
        <x:v>4.28</x:v>
      </x:c>
      <x:c r="N1529" s="62" t="n">
        <x:v>1905.4607179632483</x:v>
      </x:c>
      <x:c r="O1529" s="60" t="n">
        <x:v>59220.566480721034</x:v>
      </x:c>
      <x:c r="P1529" s="60" t="n">
        <x:v>0</x:v>
      </x:c>
      <x:c r="Q1529" s="62" t="n">
        <x:v>1</x:v>
      </x:c>
      <x:c r="R1529" s="64" t="n">
        <x:v>0</x:v>
      </x:c>
    </x:row>
    <x:row r="1530" ht="18" customHeight="1">
      <x:c r="A1530" s="46" t="str">
        <x:v>LME_028</x:v>
      </x:c>
      <x:c r="B1530" s="46" t="str">
        <x:v>Guinea Current</x:v>
      </x:c>
      <x:c r="C1530" s="46" t="str">
        <x:v>functional</x:v>
      </x:c>
      <x:c r="D1530" s="46" t="str">
        <x:v>Small benthopelagics (&lt;30 cm)</x:v>
      </x:c>
      <x:c r="E1530" s="66" t="n">
        <x:v>4</x:v>
      </x:c>
      <x:c r="F1530" s="66" t="n">
        <x:v>4</x:v>
      </x:c>
      <x:c r="G1530" s="60" t="n">
        <x:v>1320.7120358707</x:v>
      </x:c>
      <x:c r="H1530" s="60" t="n">
        <x:v>1320.7120358707</x:v>
      </x:c>
      <x:c r="I1530" s="62" t="n">
        <x:v>0</x:v>
      </x:c>
      <x:c r="J1530" s="64" t="n">
        <x:v>1</x:v>
      </x:c>
      <x:c r="K1530" s="62" t="n">
        <x:v>123.6802981891582</x:v>
      </x:c>
      <x:c r="L1530" s="60" t="n">
        <x:v>163346.05841849837</x:v>
      </x:c>
      <x:c r="M1530" s="62" t="n">
        <x:v>3.0750789560527494</x:v>
      </x:c>
      <x:c r="N1530" s="62" t="n">
        <x:v>118.87183203857836</x:v>
      </x:c>
      <x:c r="O1530" s="60" t="n">
        <x:v>156995.45929935074</x:v>
      </x:c>
      <x:c r="P1530" s="60" t="n">
        <x:v>6350.599119147635</x:v>
      </x:c>
      <x:c r="Q1530" s="62" t="n">
        <x:v>1.040450845823755</x:v>
      </x:c>
      <x:c r="R1530" s="64" t="n">
        <x:v>0.040450845823754966</x:v>
      </x:c>
    </x:row>
    <x:row r="1531" ht="18" customHeight="1">
      <x:c r="A1531" s="46" t="str">
        <x:v>LME_028</x:v>
      </x:c>
      <x:c r="B1531" s="46" t="str">
        <x:v>Guinea Current</x:v>
      </x:c>
      <x:c r="C1531" s="46" t="str">
        <x:v>functional</x:v>
      </x:c>
      <x:c r="D1531" s="46" t="str">
        <x:v>Small demersals (&lt;30 cm)</x:v>
      </x:c>
      <x:c r="E1531" s="66" t="n">
        <x:v>6</x:v>
      </x:c>
      <x:c r="F1531" s="66" t="n">
        <x:v>6</x:v>
      </x:c>
      <x:c r="G1531" s="60" t="n">
        <x:v>178338.855660499</x:v>
      </x:c>
      <x:c r="H1531" s="60" t="n">
        <x:v>178338.855660499</x:v>
      </x:c>
      <x:c r="I1531" s="62" t="n">
        <x:v>0</x:v>
      </x:c>
      <x:c r="J1531" s="64" t="n">
        <x:v>1</x:v>
      </x:c>
      <x:c r="K1531" s="62" t="n">
        <x:v>224.5333703463122</x:v>
      </x:c>
      <x:c r="L1531" s="60" t="n">
        <x:v>40043024.32515634</x:v>
      </x:c>
      <x:c r="M1531" s="62" t="n">
        <x:v>3.1818350060467195</x:v>
      </x:c>
      <x:c r="N1531" s="62" t="n">
        <x:v>151.9969964259962</x:v>
      </x:c>
      <x:c r="O1531" s="60" t="n">
        <x:v>27106970.406445116</x:v>
      </x:c>
      <x:c r="P1531" s="60" t="n">
        <x:v>12936053.918711223</x:v>
      </x:c>
      <x:c r="Q1531" s="62" t="n">
        <x:v>1.4772224164023682</x:v>
      </x:c>
      <x:c r="R1531" s="64" t="n">
        <x:v>0.4772224164023682</x:v>
      </x:c>
    </x:row>
    <x:row r="1532" ht="18" customHeight="1">
      <x:c r="A1532" s="46" t="str">
        <x:v>LME_028</x:v>
      </x:c>
      <x:c r="B1532" s="46" t="str">
        <x:v>Guinea Current</x:v>
      </x:c>
      <x:c r="C1532" s="46" t="str">
        <x:v>functional</x:v>
      </x:c>
      <x:c r="D1532" s="46" t="str">
        <x:v>Small pelagics (&lt;30 cm)</x:v>
      </x:c>
      <x:c r="E1532" s="66" t="n">
        <x:v>8</x:v>
      </x:c>
      <x:c r="F1532" s="66" t="n">
        <x:v>8</x:v>
      </x:c>
      <x:c r="G1532" s="60" t="n">
        <x:v>386888.4336219467</x:v>
      </x:c>
      <x:c r="H1532" s="60" t="n">
        <x:v>386888.4336219467</x:v>
      </x:c>
      <x:c r="I1532" s="62" t="n">
        <x:v>0</x:v>
      </x:c>
      <x:c r="J1532" s="64" t="n">
        <x:v>1</x:v>
      </x:c>
      <x:c r="K1532" s="62" t="n">
        <x:v>121.83864145575326</x:v>
      </x:c>
      <x:c r="L1532" s="60" t="n">
        <x:v>47137961.14744236</x:v>
      </x:c>
      <x:c r="M1532" s="62" t="n">
        <x:v>3.014404622547137</x:v>
      </x:c>
      <x:c r="N1532" s="62" t="n">
        <x:v>103.37240550525287</x:v>
      </x:c>
      <x:c r="O1532" s="60" t="n">
        <x:v>39993588.04565998</x:v>
      </x:c>
      <x:c r="P1532" s="60" t="n">
        <x:v>7144373.101782382</x:v>
      </x:c>
      <x:c r="Q1532" s="62" t="n">
        <x:v>1.1786379630061143</x:v>
      </x:c>
      <x:c r="R1532" s="64" t="n">
        <x:v>0.17863796300611426</x:v>
      </x:c>
    </x:row>
    <x:row r="1533" ht="18" customHeight="1">
      <x:c r="A1533" s="46" t="str">
        <x:v>LME_028</x:v>
      </x:c>
      <x:c r="B1533" s="46" t="str">
        <x:v>Guinea Current</x:v>
      </x:c>
      <x:c r="C1533" s="46" t="str">
        <x:v>functional</x:v>
      </x:c>
      <x:c r="D1533" s="46" t="str">
        <x:v>Small reef assoc. fish (&lt;30 cm)</x:v>
      </x:c>
      <x:c r="E1533" s="66" t="n">
        <x:v>5</x:v>
      </x:c>
      <x:c r="F1533" s="66" t="n">
        <x:v>5</x:v>
      </x:c>
      <x:c r="G1533" s="60" t="n">
        <x:v>10617.273554178599</x:v>
      </x:c>
      <x:c r="H1533" s="60" t="n">
        <x:v>10617.273554178599</x:v>
      </x:c>
      <x:c r="I1533" s="62" t="n">
        <x:v>0</x:v>
      </x:c>
      <x:c r="J1533" s="64" t="n">
        <x:v>1</x:v>
      </x:c>
      <x:c r="K1533" s="62" t="n">
        <x:v>60.38841898456967</x:v>
      </x:c>
      <x:c r="L1533" s="60" t="n">
        <x:v>641160.3638635284</x:v>
      </x:c>
      <x:c r="M1533" s="62" t="n">
        <x:v>2.215317289207911</x:v>
      </x:c>
      <x:c r="N1533" s="62" t="n">
        <x:v>16.41788802078892</x:v>
      </x:c>
      <x:c r="O1533" s="60" t="n">
        <x:v>174313.2082985878</x:v>
      </x:c>
      <x:c r="P1533" s="60" t="n">
        <x:v>466847.15556494053</x:v>
      </x:c>
      <x:c r="Q1533" s="62" t="n">
        <x:v>3.6782087262444287</x:v>
      </x:c>
      <x:c r="R1533" s="64" t="n">
        <x:v>2.6782087262444283</x:v>
      </x:c>
    </x:row>
    <x:row r="1534" ht="18" customHeight="1">
      <x:c r="A1534" s="46" t="str">
        <x:v>LME_028</x:v>
      </x:c>
      <x:c r="B1534" s="46" t="str">
        <x:v>Guinea Current</x:v>
      </x:c>
      <x:c r="C1534" s="46" t="str">
        <x:v>functional</x:v>
      </x:c>
      <x:c r="D1534" s="46" t="str">
        <x:v>Small to medium flatfishes (&lt;90 cm)</x:v>
      </x:c>
      <x:c r="E1534" s="66" t="n">
        <x:v>13</x:v>
      </x:c>
      <x:c r="F1534" s="66" t="n">
        <x:v>13</x:v>
      </x:c>
      <x:c r="G1534" s="60" t="n">
        <x:v>59175.295089737105</x:v>
      </x:c>
      <x:c r="H1534" s="60" t="n">
        <x:v>59175.295089737105</x:v>
      </x:c>
      <x:c r="I1534" s="62" t="n">
        <x:v>0</x:v>
      </x:c>
      <x:c r="J1534" s="64" t="n">
        <x:v>1</x:v>
      </x:c>
      <x:c r="K1534" s="62" t="n">
        <x:v>315.84119672639895</x:v>
      </x:c>
      <x:c r="L1534" s="60" t="n">
        <x:v>18689996.017780367</x:v>
      </x:c>
      <x:c r="M1534" s="62" t="n">
        <x:v>3.4795946124973005</x:v>
      </x:c>
      <x:c r="N1534" s="62" t="n">
        <x:v>301.7134094267825</x:v>
      </x:c>
      <x:c r="O1534" s="60" t="n">
        <x:v>17853980.035360523</x:v>
      </x:c>
      <x:c r="P1534" s="60" t="n">
        <x:v>836015.9824198447</x:v>
      </x:c>
      <x:c r="Q1534" s="62" t="n">
        <x:v>1.0468251886001934</x:v>
      </x:c>
      <x:c r="R1534" s="64" t="n">
        <x:v>0.04682518860019343</x:v>
      </x:c>
    </x:row>
    <x:row r="1535" ht="18" customHeight="1">
      <x:c r="A1535" s="46" t="str">
        <x:v>LME_028</x:v>
      </x:c>
      <x:c r="B1535" s="46" t="str">
        <x:v>Guinea Current</x:v>
      </x:c>
      <x:c r="C1535" s="46" t="str">
        <x:v>functional</x:v>
      </x:c>
      <x:c r="D1535" s="46" t="str">
        <x:v>Small to medium rays (&lt;90 cm)</x:v>
      </x:c>
      <x:c r="E1535" s="66" t="n">
        <x:v>4</x:v>
      </x:c>
      <x:c r="F1535" s="66" t="n">
        <x:v>4</x:v>
      </x:c>
      <x:c r="G1535" s="60" t="n">
        <x:v>1916.2864269882</x:v>
      </x:c>
      <x:c r="H1535" s="60" t="n">
        <x:v>1916.2864269882</x:v>
      </x:c>
      <x:c r="I1535" s="62" t="n">
        <x:v>0</x:v>
      </x:c>
      <x:c r="J1535" s="64" t="n">
        <x:v>1</x:v>
      </x:c>
      <x:c r="K1535" s="62" t="n">
        <x:v>628.3434916762799</x:v>
      </x:c>
      <x:c r="L1535" s="60" t="n">
        <x:v>1204086.1045856283</x:v>
      </x:c>
      <x:c r="M1535" s="62" t="n">
        <x:v>3.7958395108033494</x:v>
      </x:c>
      <x:c r="N1535" s="62" t="n">
        <x:v>624.9417091204027</x:v>
      </x:c>
      <x:c r="O1535" s="60" t="n">
        <x:v>1197567.3148462356</x:v>
      </x:c>
      <x:c r="P1535" s="60" t="n">
        <x:v>6518.789739392698</x:v>
      </x:c>
      <x:c r="Q1535" s="62" t="n">
        <x:v>1.0054433597665695</x:v>
      </x:c>
      <x:c r="R1535" s="64" t="n">
        <x:v>0.005443359766569525</x:v>
      </x:c>
    </x:row>
    <x:row r="1536" ht="18" customHeight="1">
      <x:c r="A1536" s="46" t="str">
        <x:v>LME_028</x:v>
      </x:c>
      <x:c r="B1536" s="46" t="str">
        <x:v>Guinea Current</x:v>
      </x:c>
      <x:c r="C1536" s="46" t="str">
        <x:v>functional</x:v>
      </x:c>
      <x:c r="D1536" s="46" t="str">
        <x:v>Small to medium sharks (&lt;90 cm)</x:v>
      </x:c>
      <x:c r="E1536" s="66" t="n">
        <x:v>2</x:v>
      </x:c>
      <x:c r="F1536" s="66" t="n">
        <x:v>2</x:v>
      </x:c>
      <x:c r="G1536" s="60" t="n">
        <x:v>14.4323234129</x:v>
      </x:c>
      <x:c r="H1536" s="60" t="n">
        <x:v>14.4323234129</x:v>
      </x:c>
      <x:c r="I1536" s="62" t="n">
        <x:v>0</x:v>
      </x:c>
      <x:c r="J1536" s="64" t="n">
        <x:v>1</x:v>
      </x:c>
      <x:c r="K1536" s="62" t="n">
        <x:v>932.95745491273</x:v>
      </x:c>
      <x:c r="L1536" s="60" t="n">
        <x:v>13464.74371977659</x:v>
      </x:c>
      <x:c r="M1536" s="62" t="n">
        <x:v>3.969847053867846</x:v>
      </x:c>
      <x:c r="N1536" s="62" t="n">
        <x:v>932.9256931115204</x:v>
      </x:c>
      <x:c r="O1536" s="60" t="n">
        <x:v>13464.285323189357</x:v>
      </x:c>
      <x:c r="P1536" s="60" t="n">
        <x:v>0.45839658723343746</x:v>
      </x:c>
      <x:c r="Q1536" s="62" t="n">
        <x:v>1.000034045370863</x:v>
      </x:c>
      <x:c r="R1536" s="64" t="n">
        <x:v>0.000034045370863015445</x:v>
      </x:c>
    </x:row>
    <x:row r="1537" ht="18" customHeight="1">
      <x:c r="A1537" s="46" t="str">
        <x:v>LME_029</x:v>
      </x:c>
      <x:c r="B1537" s="46" t="str">
        <x:v>Benguela Current</x:v>
      </x:c>
      <x:c r="C1537" s="46" t="str">
        <x:v>functional</x:v>
      </x:c>
      <x:c r="D1537" s="46" t="str">
        <x:v>Cephalopods</x:v>
      </x:c>
      <x:c r="E1537" s="66" t="n">
        <x:v>5</x:v>
      </x:c>
      <x:c r="F1537" s="66" t="n">
        <x:v>5</x:v>
      </x:c>
      <x:c r="G1537" s="60" t="n">
        <x:v>6599.7414286256</x:v>
      </x:c>
      <x:c r="H1537" s="60" t="n">
        <x:v>6599.7414286256</x:v>
      </x:c>
      <x:c r="I1537" s="62" t="n">
        <x:v>0</x:v>
      </x:c>
      <x:c r="J1537" s="64" t="n">
        <x:v>1</x:v>
      </x:c>
      <x:c r="K1537" s="62" t="n">
        <x:v>1063.2424351453085</x:v>
      </x:c>
      <x:c r="L1537" s="60" t="n">
        <x:v>7017125.147901259</x:v>
      </x:c>
      <x:c r="M1537" s="62" t="n">
        <x:v>4.011363078920684</x:v>
      </x:c>
      <x:c r="N1537" s="62" t="n">
        <x:v>1026.509750417135</x:v>
      </x:c>
      <x:c r="O1537" s="60" t="n">
        <x:v>6774698.92671609</x:v>
      </x:c>
      <x:c r="P1537" s="60" t="n">
        <x:v>242426.22118516918</x:v>
      </x:c>
      <x:c r="Q1537" s="62" t="n">
        <x:v>1.0357840582744067</x:v>
      </x:c>
      <x:c r="R1537" s="64" t="n">
        <x:v>0.03578405827440671</x:v>
      </x:c>
    </x:row>
    <x:row r="1538" ht="18" customHeight="1">
      <x:c r="A1538" s="46" t="str">
        <x:v>LME_029</x:v>
      </x:c>
      <x:c r="B1538" s="46" t="str">
        <x:v>Benguela Current</x:v>
      </x:c>
      <x:c r="C1538" s="46" t="str">
        <x:v>functional</x:v>
      </x:c>
      <x:c r="D1538" s="46" t="str">
        <x:v>Large bathydemersals (&gt;=90 cm)</x:v>
      </x:c>
      <x:c r="E1538" s="66" t="n">
        <x:v>6</x:v>
      </x:c>
      <x:c r="F1538" s="66" t="n">
        <x:v>6</x:v>
      </x:c>
      <x:c r="G1538" s="60" t="n">
        <x:v>29366.5813485454</x:v>
      </x:c>
      <x:c r="H1538" s="60" t="n">
        <x:v>29366.5813485454</x:v>
      </x:c>
      <x:c r="I1538" s="62" t="n">
        <x:v>0</x:v>
      </x:c>
      <x:c r="J1538" s="64" t="n">
        <x:v>1</x:v>
      </x:c>
      <x:c r="K1538" s="62" t="n">
        <x:v>2682.6729437839354</x:v>
      </x:c>
      <x:c r="L1538" s="60" t="n">
        <x:v>78780933.23517269</x:v>
      </x:c>
      <x:c r="M1538" s="62" t="n">
        <x:v>4.405334927176712</x:v>
      </x:c>
      <x:c r="N1538" s="62" t="n">
        <x:v>2542.9330552540523</x:v>
      </x:c>
      <x:c r="O1538" s="60" t="n">
        <x:v>74677250.43102321</x:v>
      </x:c>
      <x:c r="P1538" s="60" t="n">
        <x:v>4103682.8041494787</x:v>
      </x:c>
      <x:c r="Q1538" s="62" t="n">
        <x:v>1.0549522482478102</x:v>
      </x:c>
      <x:c r="R1538" s="64" t="n">
        <x:v>0.0549522482478102</x:v>
      </x:c>
    </x:row>
    <x:row r="1539" ht="18" customHeight="1">
      <x:c r="A1539" s="46" t="str">
        <x:v>LME_029</x:v>
      </x:c>
      <x:c r="B1539" s="46" t="str">
        <x:v>Benguela Current</x:v>
      </x:c>
      <x:c r="C1539" s="46" t="str">
        <x:v>functional</x:v>
      </x:c>
      <x:c r="D1539" s="46" t="str">
        <x:v>Large bathypelagics (&gt;=90 cm)</x:v>
      </x:c>
      <x:c r="E1539" s="66" t="n">
        <x:v>1</x:v>
      </x:c>
      <x:c r="F1539" s="66" t="n">
        <x:v>1</x:v>
      </x:c>
      <x:c r="G1539" s="60" t="n">
        <x:v>21.5407564625</x:v>
      </x:c>
      <x:c r="H1539" s="60" t="n">
        <x:v>21.5407564625</x:v>
      </x:c>
      <x:c r="I1539" s="62" t="n">
        <x:v>0</x:v>
      </x:c>
      <x:c r="J1539" s="64" t="n">
        <x:v>1</x:v>
      </x:c>
      <x:c r="K1539" s="62" t="n">
        <x:v>2187.761623949552</x:v>
      </x:c>
      <x:c r="L1539" s="60" t="n">
        <x:v>47126.0403395008</x:v>
      </x:c>
      <x:c r="M1539" s="62" t="n">
        <x:v>4.34</x:v>
      </x:c>
      <x:c r="N1539" s="62" t="n">
        <x:v>2187.761623949552</x:v>
      </x:c>
      <x:c r="O1539" s="60" t="n">
        <x:v>47126.0403395008</x:v>
      </x:c>
      <x:c r="P1539" s="60" t="n">
        <x:v>0</x:v>
      </x:c>
      <x:c r="Q1539" s="62" t="n">
        <x:v>1</x:v>
      </x:c>
      <x:c r="R1539" s="64" t="n">
        <x:v>0</x:v>
      </x:c>
    </x:row>
    <x:row r="1540" ht="18" customHeight="1">
      <x:c r="A1540" s="46" t="str">
        <x:v>LME_029</x:v>
      </x:c>
      <x:c r="B1540" s="46" t="str">
        <x:v>Benguela Current</x:v>
      </x:c>
      <x:c r="C1540" s="46" t="str">
        <x:v>functional</x:v>
      </x:c>
      <x:c r="D1540" s="46" t="str">
        <x:v>Large benthopelagics (&gt;=90 cm)</x:v>
      </x:c>
      <x:c r="E1540" s="66" t="n">
        <x:v>7</x:v>
      </x:c>
      <x:c r="F1540" s="66" t="n">
        <x:v>7</x:v>
      </x:c>
      <x:c r="G1540" s="60" t="n">
        <x:v>30656.2282005609</x:v>
      </x:c>
      <x:c r="H1540" s="60" t="n">
        <x:v>30656.2282005609</x:v>
      </x:c>
      <x:c r="I1540" s="62" t="n">
        <x:v>0</x:v>
      </x:c>
      <x:c r="J1540" s="64" t="n">
        <x:v>1</x:v>
      </x:c>
      <x:c r="K1540" s="62" t="n">
        <x:v>1560.586388346335</x:v>
      </x:c>
      <x:c r="L1540" s="60" t="n">
        <x:v>47841692.4478344</x:v>
      </x:c>
      <x:c r="M1540" s="62" t="n">
        <x:v>4.080462641281218</x:v>
      </x:c>
      <x:c r="N1540" s="62" t="n">
        <x:v>1203.5458543632137</x:v>
      </x:c>
      <x:c r="O1540" s="60" t="n">
        <x:v>36896176.36119772</x:v>
      </x:c>
      <x:c r="P1540" s="60" t="n">
        <x:v>10945516.086636685</x:v>
      </x:c>
      <x:c r="Q1540" s="62" t="n">
        <x:v>1.2966571923194639</x:v>
      </x:c>
      <x:c r="R1540" s="64" t="n">
        <x:v>0.2966571923194638</x:v>
      </x:c>
    </x:row>
    <x:row r="1541" ht="18" customHeight="1">
      <x:c r="A1541" s="46" t="str">
        <x:v>LME_029</x:v>
      </x:c>
      <x:c r="B1541" s="46" t="str">
        <x:v>Benguela Current</x:v>
      </x:c>
      <x:c r="C1541" s="46" t="str">
        <x:v>functional</x:v>
      </x:c>
      <x:c r="D1541" s="46" t="str">
        <x:v>Large demersals (&gt;=90 cm)</x:v>
      </x:c>
      <x:c r="E1541" s="66" t="n">
        <x:v>2</x:v>
      </x:c>
      <x:c r="F1541" s="66" t="n">
        <x:v>2</x:v>
      </x:c>
      <x:c r="G1541" s="60" t="n">
        <x:v>3941.3001936450005</x:v>
      </x:c>
      <x:c r="H1541" s="60" t="n">
        <x:v>3941.3001936450005</x:v>
      </x:c>
      <x:c r="I1541" s="62" t="n">
        <x:v>0</x:v>
      </x:c>
      <x:c r="J1541" s="64" t="n">
        <x:v>1</x:v>
      </x:c>
      <x:c r="K1541" s="62" t="n">
        <x:v>616.5167836250216</x:v>
      </x:c>
      <x:c r="L1541" s="60" t="n">
        <x:v>2429877.7186866906</x:v>
      </x:c>
      <x:c r="M1541" s="62" t="n">
        <x:v>3.789929037507779</x:v>
      </x:c>
      <x:c r="N1541" s="62" t="n">
        <x:v>616.4942602096548</x:v>
      </x:c>
      <x:c r="O1541" s="60" t="n">
        <x:v>2429788.9471453438</x:v>
      </x:c>
      <x:c r="P1541" s="60" t="n">
        <x:v>88.77154134679586</x:v>
      </x:c>
      <x:c r="Q1541" s="62" t="n">
        <x:v>1.0000365346716433</x:v>
      </x:c>
      <x:c r="R1541" s="64" t="n">
        <x:v>0.000036534671643432154</x:v>
      </x:c>
    </x:row>
    <x:row r="1542" ht="18" customHeight="1">
      <x:c r="A1542" s="46" t="str">
        <x:v>LME_029</x:v>
      </x:c>
      <x:c r="B1542" s="46" t="str">
        <x:v>Benguela Current</x:v>
      </x:c>
      <x:c r="C1542" s="46" t="str">
        <x:v>functional</x:v>
      </x:c>
      <x:c r="D1542" s="46" t="str">
        <x:v>Large pelagics (&gt;=90 cm)</x:v>
      </x:c>
      <x:c r="E1542" s="66" t="n">
        <x:v>19</x:v>
      </x:c>
      <x:c r="F1542" s="66" t="n">
        <x:v>19</x:v>
      </x:c>
      <x:c r="G1542" s="60" t="n">
        <x:v>16353.5504370075</x:v>
      </x:c>
      <x:c r="H1542" s="60" t="n">
        <x:v>16353.5504370075</x:v>
      </x:c>
      <x:c r="I1542" s="62" t="n">
        <x:v>0</x:v>
      </x:c>
      <x:c r="J1542" s="64" t="n">
        <x:v>1</x:v>
      </x:c>
      <x:c r="K1542" s="62" t="n">
        <x:v>2524.502102992629</x:v>
      </x:c>
      <x:c r="L1542" s="60" t="n">
        <x:v>41284572.46962146</x:v>
      </x:c>
      <x:c r="M1542" s="62" t="n">
        <x:v>4.393866397548574</x:v>
      </x:c>
      <x:c r="N1542" s="62" t="n">
        <x:v>2476.6600429916416</x:v>
      </x:c>
      <x:c r="O1542" s="60" t="n">
        <x:v>40502184.928384975</x:v>
      </x:c>
      <x:c r="P1542" s="60" t="n">
        <x:v>782387.5412364826</x:v>
      </x:c>
      <x:c r="Q1542" s="62" t="n">
        <x:v>1.0193171687557074</x:v>
      </x:c>
      <x:c r="R1542" s="64" t="n">
        <x:v>0.01931716875570743</x:v>
      </x:c>
    </x:row>
    <x:row r="1543" ht="18" customHeight="1">
      <x:c r="A1543" s="46" t="str">
        <x:v>LME_029</x:v>
      </x:c>
      <x:c r="B1543" s="46" t="str">
        <x:v>Benguela Current</x:v>
      </x:c>
      <x:c r="C1543" s="46" t="str">
        <x:v>functional</x:v>
      </x:c>
      <x:c r="D1543" s="46" t="str">
        <x:v>Large rays (&gt;=90 cm)</x:v>
      </x:c>
      <x:c r="E1543" s="66" t="n">
        <x:v>2</x:v>
      </x:c>
      <x:c r="F1543" s="66" t="n">
        <x:v>2</x:v>
      </x:c>
      <x:c r="G1543" s="60" t="n">
        <x:v>2138.5535094835</x:v>
      </x:c>
      <x:c r="H1543" s="60" t="n">
        <x:v>2138.5535094835</x:v>
      </x:c>
      <x:c r="I1543" s="62" t="n">
        <x:v>0</x:v>
      </x:c>
      <x:c r="J1543" s="64" t="n">
        <x:v>1</x:v>
      </x:c>
      <x:c r="K1543" s="62" t="n">
        <x:v>346.9102761460205</x:v>
      </x:c>
      <x:c r="L1543" s="60" t="n">
        <x:v>741886.1885279623</x:v>
      </x:c>
      <x:c r="M1543" s="62" t="n">
        <x:v>3.491907643824948</x:v>
      </x:c>
      <x:c r="N1543" s="62" t="n">
        <x:v>310.3899449039129</x:v>
      </x:c>
      <x:c r="O1543" s="60" t="n">
        <x:v>663785.5059826531</x:v>
      </x:c>
      <x:c r="P1543" s="60" t="n">
        <x:v>78100.68254530919</x:v>
      </x:c>
      <x:c r="Q1543" s="62" t="n">
        <x:v>1.1176595177830686</x:v>
      </x:c>
      <x:c r="R1543" s="64" t="n">
        <x:v>0.11765951778306864</x:v>
      </x:c>
    </x:row>
    <x:row r="1544" ht="18" customHeight="1">
      <x:c r="A1544" s="46" t="str">
        <x:v>LME_029</x:v>
      </x:c>
      <x:c r="B1544" s="46" t="str">
        <x:v>Benguela Current</x:v>
      </x:c>
      <x:c r="C1544" s="46" t="str">
        <x:v>functional</x:v>
      </x:c>
      <x:c r="D1544" s="46" t="str">
        <x:v>Large reef assoc. fish (&gt;=90 cm)</x:v>
      </x:c>
      <x:c r="E1544" s="66" t="n">
        <x:v>1</x:v>
      </x:c>
      <x:c r="F1544" s="66" t="n">
        <x:v>1</x:v>
      </x:c>
      <x:c r="G1544" s="60" t="n">
        <x:v>18.8551677983</x:v>
      </x:c>
      <x:c r="H1544" s="60" t="n">
        <x:v>18.8551677983</x:v>
      </x:c>
      <x:c r="I1544" s="62" t="n">
        <x:v>0</x:v>
      </x:c>
      <x:c r="J1544" s="64" t="n">
        <x:v>1</x:v>
      </x:c>
      <x:c r="K1544" s="62" t="n">
        <x:v>363.0780547701014</x:v>
      </x:c>
      <x:c r="L1544" s="60" t="n">
        <x:v>6845.897646570619</x:v>
      </x:c>
      <x:c r="M1544" s="62" t="n">
        <x:v>3.56</x:v>
      </x:c>
      <x:c r="N1544" s="62" t="n">
        <x:v>363.0780547701014</x:v>
      </x:c>
      <x:c r="O1544" s="60" t="n">
        <x:v>6845.897646570619</x:v>
      </x:c>
      <x:c r="P1544" s="60" t="n">
        <x:v>0</x:v>
      </x:c>
      <x:c r="Q1544" s="62" t="n">
        <x:v>1</x:v>
      </x:c>
      <x:c r="R1544" s="64" t="n">
        <x:v>0</x:v>
      </x:c>
    </x:row>
    <x:row r="1545" ht="18" customHeight="1">
      <x:c r="A1545" s="46" t="str">
        <x:v>LME_029</x:v>
      </x:c>
      <x:c r="B1545" s="46" t="str">
        <x:v>Benguela Current</x:v>
      </x:c>
      <x:c r="C1545" s="46" t="str">
        <x:v>functional</x:v>
      </x:c>
      <x:c r="D1545" s="46" t="str">
        <x:v>Large sharks (&gt;=90 cm)</x:v>
      </x:c>
      <x:c r="E1545" s="66" t="n">
        <x:v>12</x:v>
      </x:c>
      <x:c r="F1545" s="66" t="n">
        <x:v>12</x:v>
      </x:c>
      <x:c r="G1545" s="60" t="n">
        <x:v>9182.0378805995</x:v>
      </x:c>
      <x:c r="H1545" s="60" t="n">
        <x:v>9182.0378805995</x:v>
      </x:c>
      <x:c r="I1545" s="62" t="n">
        <x:v>0</x:v>
      </x:c>
      <x:c r="J1545" s="64" t="n">
        <x:v>1</x:v>
      </x:c>
      <x:c r="K1545" s="62" t="n">
        <x:v>1617.7226695290813</x:v>
      </x:c>
      <x:c r="L1545" s="60" t="n">
        <x:v>14853990.831920572</x:v>
      </x:c>
      <x:c r="M1545" s="62" t="n">
        <x:v>4.168071004776464</x:v>
      </x:c>
      <x:c r="N1545" s="62" t="n">
        <x:v>1472.5532371666425</x:v>
      </x:c>
      <x:c r="O1545" s="60" t="n">
        <x:v>13521039.604863532</x:v>
      </x:c>
      <x:c r="P1545" s="60" t="n">
        <x:v>1332951.2270570397</x:v>
      </x:c>
      <x:c r="Q1545" s="62" t="n">
        <x:v>1.0985834866261006</x:v>
      </x:c>
      <x:c r="R1545" s="64" t="n">
        <x:v>0.09858348662610054</x:v>
      </x:c>
    </x:row>
    <x:row r="1546" ht="18" customHeight="1">
      <x:c r="A1546" s="46" t="str">
        <x:v>LME_029</x:v>
      </x:c>
      <x:c r="B1546" s="46" t="str">
        <x:v>Benguela Current</x:v>
      </x:c>
      <x:c r="C1546" s="46" t="str">
        <x:v>functional</x:v>
      </x:c>
      <x:c r="D1546" s="46" t="str">
        <x:v>Lobsters, crabs</x:v>
      </x:c>
      <x:c r="E1546" s="66" t="n">
        <x:v>5</x:v>
      </x:c>
      <x:c r="F1546" s="66" t="n">
        <x:v>5</x:v>
      </x:c>
      <x:c r="G1546" s="60" t="n">
        <x:v>7123.3237058996</x:v>
      </x:c>
      <x:c r="H1546" s="60" t="n">
        <x:v>7123.3237058996</x:v>
      </x:c>
      <x:c r="I1546" s="62" t="n">
        <x:v>0</x:v>
      </x:c>
      <x:c r="J1546" s="64" t="n">
        <x:v>1</x:v>
      </x:c>
      <x:c r="K1546" s="62" t="n">
        <x:v>65.63961567109517</x:v>
      </x:c>
      <x:c r="L1546" s="60" t="n">
        <x:v>467572.2303560511</x:v>
      </x:c>
      <x:c r="M1546" s="62" t="n">
        <x:v>2.8077931079605873</x:v>
      </x:c>
      <x:c r="N1546" s="62" t="n">
        <x:v>64.23816224637065</x:v>
      </x:c>
      <x:c r="O1546" s="60" t="n">
        <x:v>457589.2239529968</x:v>
      </x:c>
      <x:c r="P1546" s="60" t="n">
        <x:v>9983.006403054344</x:v>
      </x:c>
      <x:c r="Q1546" s="62" t="n">
        <x:v>1.021816524254688</x:v>
      </x:c>
      <x:c r="R1546" s="64" t="n">
        <x:v>0.021816524254687848</x:v>
      </x:c>
    </x:row>
    <x:row r="1547" ht="18" customHeight="1">
      <x:c r="A1547" s="46" t="str">
        <x:v>LME_029</x:v>
      </x:c>
      <x:c r="B1547" s="46" t="str">
        <x:v>Benguela Current</x:v>
      </x:c>
      <x:c r="C1547" s="46" t="str">
        <x:v>functional</x:v>
      </x:c>
      <x:c r="D1547" s="46" t="str">
        <x:v>Medium bathydemersals (30 - 89 cm)</x:v>
      </x:c>
      <x:c r="E1547" s="66" t="n">
        <x:v>6</x:v>
      </x:c>
      <x:c r="F1547" s="66" t="n">
        <x:v>6</x:v>
      </x:c>
      <x:c r="G1547" s="60" t="n">
        <x:v>249252.7301430698</x:v>
      </x:c>
      <x:c r="H1547" s="60" t="n">
        <x:v>249252.7301430698</x:v>
      </x:c>
      <x:c r="I1547" s="62" t="n">
        <x:v>0</x:v>
      </x:c>
      <x:c r="J1547" s="64" t="n">
        <x:v>1</x:v>
      </x:c>
      <x:c r="K1547" s="62" t="n">
        <x:v>1866.1886268447954</x:v>
      </x:c>
      <x:c r="L1547" s="60" t="n">
        <x:v>465152610.2030118</x:v>
      </x:c>
      <x:c r="M1547" s="62" t="n">
        <x:v>4.269077610388754</x:v>
      </x:c>
      <x:c r="N1547" s="62" t="n">
        <x:v>1858.1364828194592</x:v>
      </x:c>
      <x:c r="O1547" s="60" t="n">
        <x:v>463145591.32119155</x:v>
      </x:c>
      <x:c r="P1547" s="60" t="n">
        <x:v>2007018.8818202615</x:v>
      </x:c>
      <x:c r="Q1547" s="62" t="n">
        <x:v>1.004333451336749</x:v>
      </x:c>
      <x:c r="R1547" s="64" t="n">
        <x:v>0.004333451336749082</x:v>
      </x:c>
    </x:row>
    <x:row r="1548" ht="18" customHeight="1">
      <x:c r="A1548" s="46" t="str">
        <x:v>LME_029</x:v>
      </x:c>
      <x:c r="B1548" s="46" t="str">
        <x:v>Benguela Current</x:v>
      </x:c>
      <x:c r="C1548" s="46" t="str">
        <x:v>functional</x:v>
      </x:c>
      <x:c r="D1548" s="46" t="str">
        <x:v>Medium bathypelagics (30 - 89 cm)</x:v>
      </x:c>
      <x:c r="E1548" s="66" t="n">
        <x:v>3</x:v>
      </x:c>
      <x:c r="F1548" s="66" t="n">
        <x:v>3</x:v>
      </x:c>
      <x:c r="G1548" s="60" t="n">
        <x:v>853.2465617168</x:v>
      </x:c>
      <x:c r="H1548" s="60" t="n">
        <x:v>853.2465617168</x:v>
      </x:c>
      <x:c r="I1548" s="62" t="n">
        <x:v>0</x:v>
      </x:c>
      <x:c r="J1548" s="64" t="n">
        <x:v>1</x:v>
      </x:c>
      <x:c r="K1548" s="62" t="n">
        <x:v>1416.9436410514988</x:v>
      </x:c>
      <x:c r="L1548" s="60" t="n">
        <x:v>1209002.289873675</x:v>
      </x:c>
      <x:c r="M1548" s="62" t="n">
        <x:v>4.137491313900991</x:v>
      </x:c>
      <x:c r="N1548" s="62" t="n">
        <x:v>1372.4335114011903</x:v>
      </x:c>
      <x:c r="O1548" s="60" t="n">
        <x:v>1171024.1747879803</x:v>
      </x:c>
      <x:c r="P1548" s="60" t="n">
        <x:v>37978.115085694706</x:v>
      </x:c>
      <x:c r="Q1548" s="62" t="n">
        <x:v>1.0324315380530644</x:v>
      </x:c>
      <x:c r="R1548" s="64" t="n">
        <x:v>0.03243153805306439</x:v>
      </x:c>
    </x:row>
    <x:row r="1549" ht="18" customHeight="1">
      <x:c r="A1549" s="46" t="str">
        <x:v>LME_029</x:v>
      </x:c>
      <x:c r="B1549" s="46" t="str">
        <x:v>Benguela Current</x:v>
      </x:c>
      <x:c r="C1549" s="46" t="str">
        <x:v>functional</x:v>
      </x:c>
      <x:c r="D1549" s="46" t="str">
        <x:v>Medium benthopelagics (30 - 89 cm)</x:v>
      </x:c>
      <x:c r="E1549" s="66" t="n">
        <x:v>15</x:v>
      </x:c>
      <x:c r="F1549" s="66" t="n">
        <x:v>15</x:v>
      </x:c>
      <x:c r="G1549" s="60" t="n">
        <x:v>93213.87879738031</x:v>
      </x:c>
      <x:c r="H1549" s="60" t="n">
        <x:v>93213.87879738031</x:v>
      </x:c>
      <x:c r="I1549" s="62" t="n">
        <x:v>0</x:v>
      </x:c>
      <x:c r="J1549" s="64" t="n">
        <x:v>1</x:v>
      </x:c>
      <x:c r="K1549" s="62" t="n">
        <x:v>453.59632508701117</x:v>
      </x:c>
      <x:c r="L1549" s="60" t="n">
        <x:v>42281472.86959778</x:v>
      </x:c>
      <x:c r="M1549" s="62" t="n">
        <x:v>3.5390021546344617</x:v>
      </x:c>
      <x:c r="N1549" s="62" t="n">
        <x:v>345.9410941149194</x:v>
      </x:c>
      <x:c r="O1549" s="60" t="n">
        <x:v>32246511.21786123</x:v>
      </x:c>
      <x:c r="P1549" s="60" t="n">
        <x:v>10034961.651736546</x:v>
      </x:c>
      <x:c r="Q1549" s="62" t="n">
        <x:v>1.311195266487564</x:v>
      </x:c>
      <x:c r="R1549" s="64" t="n">
        <x:v>0.31119526648756396</x:v>
      </x:c>
    </x:row>
    <x:row r="1550" ht="18" customHeight="1">
      <x:c r="A1550" s="46" t="str">
        <x:v>LME_029</x:v>
      </x:c>
      <x:c r="B1550" s="46" t="str">
        <x:v>Benguela Current</x:v>
      </x:c>
      <x:c r="C1550" s="46" t="str">
        <x:v>functional</x:v>
      </x:c>
      <x:c r="D1550" s="46" t="str">
        <x:v>Medium demersals (30 - 89 cm)</x:v>
      </x:c>
      <x:c r="E1550" s="66" t="n">
        <x:v>17</x:v>
      </x:c>
      <x:c r="F1550" s="66" t="n">
        <x:v>17</x:v>
      </x:c>
      <x:c r="G1550" s="60" t="n">
        <x:v>381974.9667588137</x:v>
      </x:c>
      <x:c r="H1550" s="60" t="n">
        <x:v>381974.9667588137</x:v>
      </x:c>
      <x:c r="I1550" s="62" t="n">
        <x:v>0</x:v>
      </x:c>
      <x:c r="J1550" s="64" t="n">
        <x:v>1</x:v>
      </x:c>
      <x:c r="K1550" s="62" t="n">
        <x:v>370.1454891004799</x:v>
      </x:c>
      <x:c r="L1550" s="60" t="n">
        <x:v>141386310.89508066</x:v>
      </x:c>
      <x:c r="M1550" s="62" t="n">
        <x:v>3.371167242611052</x:v>
      </x:c>
      <x:c r="N1550" s="62" t="n">
        <x:v>235.053781599876</x:v>
      </x:c>
      <x:c r="O1550" s="60" t="n">
        <x:v>89784660.4131461</x:v>
      </x:c>
      <x:c r="P1550" s="60" t="n">
        <x:v>51601650.48193456</x:v>
      </x:c>
      <x:c r="Q1550" s="62" t="n">
        <x:v>1.5747267990377023</x:v>
      </x:c>
      <x:c r="R1550" s="64" t="n">
        <x:v>0.5747267990377023</x:v>
      </x:c>
    </x:row>
    <x:row r="1551" ht="18" customHeight="1">
      <x:c r="A1551" s="46" t="str">
        <x:v>LME_029</x:v>
      </x:c>
      <x:c r="B1551" s="46" t="str">
        <x:v>Benguela Current</x:v>
      </x:c>
      <x:c r="C1551" s="46" t="str">
        <x:v>functional</x:v>
      </x:c>
      <x:c r="D1551" s="46" t="str">
        <x:v>Medium pelagics (30 - 89 cm)</x:v>
      </x:c>
      <x:c r="E1551" s="66" t="n">
        <x:v>15</x:v>
      </x:c>
      <x:c r="F1551" s="66" t="n">
        <x:v>15</x:v>
      </x:c>
      <x:c r="G1551" s="60" t="n">
        <x:v>350738.0908934999</x:v>
      </x:c>
      <x:c r="H1551" s="60" t="n">
        <x:v>350738.0908934999</x:v>
      </x:c>
      <x:c r="I1551" s="62" t="n">
        <x:v>0</x:v>
      </x:c>
      <x:c r="J1551" s="64" t="n">
        <x:v>1</x:v>
      </x:c>
      <x:c r="K1551" s="62" t="n">
        <x:v>294.93476034184016</x:v>
      </x:c>
      <x:c r="L1551" s="60" t="n">
        <x:v>103444854.78042895</x:v>
      </x:c>
      <x:c r="M1551" s="62" t="n">
        <x:v>3.447106575540853</x:v>
      </x:c>
      <x:c r="N1551" s="62" t="n">
        <x:v>279.9668271840903</x:v>
      </x:c>
      <x:c r="O1551" s="60" t="n">
        <x:v>98195030.48005824</x:v>
      </x:c>
      <x:c r="P1551" s="60" t="n">
        <x:v>5249824.300370708</x:v>
      </x:c>
      <x:c r="Q1551" s="62" t="n">
        <x:v>1.0534632381568114</x:v>
      </x:c>
      <x:c r="R1551" s="64" t="n">
        <x:v>0.0534632381568114</x:v>
      </x:c>
    </x:row>
    <x:row r="1552" ht="18" customHeight="1">
      <x:c r="A1552" s="46" t="str">
        <x:v>LME_029</x:v>
      </x:c>
      <x:c r="B1552" s="46" t="str">
        <x:v>Benguela Current</x:v>
      </x:c>
      <x:c r="C1552" s="46" t="str">
        <x:v>functional</x:v>
      </x:c>
      <x:c r="D1552" s="46" t="str">
        <x:v>Medium reef assoc. fish (30 - 89 cm)</x:v>
      </x:c>
      <x:c r="E1552" s="66" t="n">
        <x:v>7</x:v>
      </x:c>
      <x:c r="F1552" s="66" t="n">
        <x:v>7</x:v>
      </x:c>
      <x:c r="G1552" s="60" t="n">
        <x:v>5621.438379760801</x:v>
      </x:c>
      <x:c r="H1552" s="60" t="n">
        <x:v>5621.438379760801</x:v>
      </x:c>
      <x:c r="I1552" s="62" t="n">
        <x:v>0</x:v>
      </x:c>
      <x:c r="J1552" s="64" t="n">
        <x:v>1</x:v>
      </x:c>
      <x:c r="K1552" s="62" t="n">
        <x:v>820.1906800244335</x:v>
      </x:c>
      <x:c r="L1552" s="60" t="n">
        <x:v>4610651.367411461</x:v>
      </x:c>
      <x:c r="M1552" s="62" t="n">
        <x:v>3.78497822915728</x:v>
      </x:c>
      <x:c r="N1552" s="62" t="n">
        <x:v>609.5063423980754</x:v>
      </x:c>
      <x:c r="O1552" s="60" t="n">
        <x:v>3426302.345864169</x:v>
      </x:c>
      <x:c r="P1552" s="60" t="n">
        <x:v>1184349.021547292</x:v>
      </x:c>
      <x:c r="Q1552" s="62" t="n">
        <x:v>1.3456638971096346</x:v>
      </x:c>
      <x:c r="R1552" s="64" t="n">
        <x:v>0.34566389710963463</x:v>
      </x:c>
    </x:row>
    <x:row r="1553" ht="18" customHeight="1">
      <x:c r="A1553" s="46" t="str">
        <x:v>LME_029</x:v>
      </x:c>
      <x:c r="B1553" s="46" t="str">
        <x:v>Benguela Current</x:v>
      </x:c>
      <x:c r="C1553" s="46" t="str">
        <x:v>functional</x:v>
      </x:c>
      <x:c r="D1553" s="46" t="str">
        <x:v>Other demersal invertebrates</x:v>
      </x:c>
      <x:c r="E1553" s="66" t="n">
        <x:v>5</x:v>
      </x:c>
      <x:c r="F1553" s="66" t="n">
        <x:v>5</x:v>
      </x:c>
      <x:c r="G1553" s="60" t="n">
        <x:v>846.8126926816</x:v>
      </x:c>
      <x:c r="H1553" s="60" t="n">
        <x:v>846.8126926816</x:v>
      </x:c>
      <x:c r="I1553" s="62" t="n">
        <x:v>0</x:v>
      </x:c>
      <x:c r="J1553" s="64" t="n">
        <x:v>1</x:v>
      </x:c>
      <x:c r="K1553" s="62" t="n">
        <x:v>11.656947353860788</x:v>
      </x:c>
      <x:c r="L1553" s="60" t="n">
        <x:v>9871.250977170506</x:v>
      </x:c>
      <x:c r="M1553" s="62" t="n">
        <x:v>2.061349002458489</x:v>
      </x:c>
      <x:c r="N1553" s="62" t="n">
        <x:v>11.517255528650765</x:v>
      </x:c>
      <x:c r="O1553" s="60" t="n">
        <x:v>9752.958166518798</x:v>
      </x:c>
      <x:c r="P1553" s="60" t="n">
        <x:v>118.29281065170835</x:v>
      </x:c>
      <x:c r="Q1553" s="62" t="n">
        <x:v>1.0121289160306048</x:v>
      </x:c>
      <x:c r="R1553" s="64" t="n">
        <x:v>0.012128916030604852</x:v>
      </x:c>
    </x:row>
    <x:row r="1554" ht="18" customHeight="1">
      <x:c r="A1554" s="46" t="str">
        <x:v>LME_029</x:v>
      </x:c>
      <x:c r="B1554" s="46" t="str">
        <x:v>Benguela Current</x:v>
      </x:c>
      <x:c r="C1554" s="46" t="str">
        <x:v>functional</x:v>
      </x:c>
      <x:c r="D1554" s="46" t="str">
        <x:v>Shrimps</x:v>
      </x:c>
      <x:c r="E1554" s="66" t="n">
        <x:v>4</x:v>
      </x:c>
      <x:c r="F1554" s="66" t="n">
        <x:v>4</x:v>
      </x:c>
      <x:c r="G1554" s="60" t="n">
        <x:v>1450.1756482613</x:v>
      </x:c>
      <x:c r="H1554" s="60" t="n">
        <x:v>1450.1756482613</x:v>
      </x:c>
      <x:c r="I1554" s="62" t="n">
        <x:v>0</x:v>
      </x:c>
      <x:c r="J1554" s="64" t="n">
        <x:v>1</x:v>
      </x:c>
      <x:c r="K1554" s="62" t="n">
        <x:v>534.6776614261923</x:v>
      </x:c>
      <x:c r="L1554" s="60" t="n">
        <x:v>775376.5242695644</x:v>
      </x:c>
      <x:c r="M1554" s="62" t="n">
        <x:v>3.68197740634463</x:v>
      </x:c>
      <x:c r="N1554" s="62" t="n">
        <x:v>480.81433400355564</x:v>
      </x:c>
      <x:c r="O1554" s="60" t="n">
        <x:v>697265.2385069316</x:v>
      </x:c>
      <x:c r="P1554" s="60" t="n">
        <x:v>78111.28576263285</x:v>
      </x:c>
      <x:c r="Q1554" s="62" t="n">
        <x:v>1.1120252114244131</x:v>
      </x:c>
      <x:c r="R1554" s="64" t="n">
        <x:v>0.11202521142441312</x:v>
      </x:c>
    </x:row>
    <x:row r="1555" ht="18" customHeight="1">
      <x:c r="A1555" s="46" t="str">
        <x:v>LME_029</x:v>
      </x:c>
      <x:c r="B1555" s="46" t="str">
        <x:v>Benguela Current</x:v>
      </x:c>
      <x:c r="C1555" s="46" t="str">
        <x:v>functional</x:v>
      </x:c>
      <x:c r="D1555" s="46" t="str">
        <x:v>Small demersals (&lt;30 cm)</x:v>
      </x:c>
      <x:c r="E1555" s="66" t="n">
        <x:v>3</x:v>
      </x:c>
      <x:c r="F1555" s="66" t="n">
        <x:v>3</x:v>
      </x:c>
      <x:c r="G1555" s="60" t="n">
        <x:v>4189.9208285841</x:v>
      </x:c>
      <x:c r="H1555" s="60" t="n">
        <x:v>4189.9208285841</x:v>
      </x:c>
      <x:c r="I1555" s="62" t="n">
        <x:v>0</x:v>
      </x:c>
      <x:c r="J1555" s="64" t="n">
        <x:v>1</x:v>
      </x:c>
      <x:c r="K1555" s="62" t="n">
        <x:v>400.6248866086638</x:v>
      </x:c>
      <x:c r="L1555" s="60" t="n">
        <x:v>1678586.5568507835</x:v>
      </x:c>
      <x:c r="M1555" s="62" t="n">
        <x:v>3.4204271867462954</x:v>
      </x:c>
      <x:c r="N1555" s="62" t="n">
        <x:v>263.28564853407124</x:v>
      </x:c>
      <x:c r="O1555" s="60" t="n">
        <x:v>1103146.022660178</x:v>
      </x:c>
      <x:c r="P1555" s="60" t="n">
        <x:v>575440.5341906056</x:v>
      </x:c>
      <x:c r="Q1555" s="62" t="n">
        <x:v>1.5216358690239045</x:v>
      </x:c>
      <x:c r="R1555" s="64" t="n">
        <x:v>0.5216358690239044</x:v>
      </x:c>
    </x:row>
    <x:row r="1556" ht="18" customHeight="1">
      <x:c r="A1556" s="46" t="str">
        <x:v>LME_029</x:v>
      </x:c>
      <x:c r="B1556" s="46" t="str">
        <x:v>Benguela Current</x:v>
      </x:c>
      <x:c r="C1556" s="46" t="str">
        <x:v>functional</x:v>
      </x:c>
      <x:c r="D1556" s="46" t="str">
        <x:v>Small pelagics (&lt;30 cm)</x:v>
      </x:c>
      <x:c r="E1556" s="66" t="n">
        <x:v>6</x:v>
      </x:c>
      <x:c r="F1556" s="66" t="n">
        <x:v>6</x:v>
      </x:c>
      <x:c r="G1556" s="60" t="n">
        <x:v>379866.942523716</x:v>
      </x:c>
      <x:c r="H1556" s="60" t="n">
        <x:v>379866.942523716</x:v>
      </x:c>
      <x:c r="I1556" s="62" t="n">
        <x:v>0</x:v>
      </x:c>
      <x:c r="J1556" s="64" t="n">
        <x:v>1</x:v>
      </x:c>
      <x:c r="K1556" s="62" t="n">
        <x:v>96.07739283543994</x:v>
      </x:c>
      <x:c r="L1556" s="60" t="n">
        <x:v>36496625.462048545</x:v>
      </x:c>
      <x:c r="M1556" s="62" t="n">
        <x:v>2.9379233705069385</x:v>
      </x:c>
      <x:c r="N1556" s="62" t="n">
        <x:v>86.68089173599951</x:v>
      </x:c>
      <x:c r="O1556" s="60" t="n">
        <x:v>32927205.318983376</x:v>
      </x:c>
      <x:c r="P1556" s="60" t="n">
        <x:v>3569420.1430651695</x:v>
      </x:c>
      <x:c r="Q1556" s="62" t="n">
        <x:v>1.1084033736992343</x:v>
      </x:c>
      <x:c r="R1556" s="64" t="n">
        <x:v>0.10840337369923428</x:v>
      </x:c>
    </x:row>
    <x:row r="1557" ht="18" customHeight="1">
      <x:c r="A1557" s="46" t="str">
        <x:v>LME_029</x:v>
      </x:c>
      <x:c r="B1557" s="46" t="str">
        <x:v>Benguela Current</x:v>
      </x:c>
      <x:c r="C1557" s="46" t="str">
        <x:v>functional</x:v>
      </x:c>
      <x:c r="D1557" s="46" t="str">
        <x:v>Small to medium flatfishes (&lt;90 cm)</x:v>
      </x:c>
      <x:c r="E1557" s="66" t="n">
        <x:v>4</x:v>
      </x:c>
      <x:c r="F1557" s="66" t="n">
        <x:v>4</x:v>
      </x:c>
      <x:c r="G1557" s="60" t="n">
        <x:v>15813.752201610101</x:v>
      </x:c>
      <x:c r="H1557" s="60" t="n">
        <x:v>15813.752201610101</x:v>
      </x:c>
      <x:c r="I1557" s="62" t="n">
        <x:v>0</x:v>
      </x:c>
      <x:c r="J1557" s="64" t="n">
        <x:v>1</x:v>
      </x:c>
      <x:c r="K1557" s="62" t="n">
        <x:v>342.9714458390469</x:v>
      </x:c>
      <x:c r="L1557" s="60" t="n">
        <x:v>5423665.456726627</x:v>
      </x:c>
      <x:c r="M1557" s="62" t="n">
        <x:v>3.524049162648808</x:v>
      </x:c>
      <x:c r="N1557" s="62" t="n">
        <x:v>334.2328734411097</x:v>
      </x:c>
      <x:c r="O1557" s="60" t="n">
        <x:v>5285475.838229818</x:v>
      </x:c>
      <x:c r="P1557" s="60" t="n">
        <x:v>138189.61849680915</x:v>
      </x:c>
      <x:c r="Q1557" s="62" t="n">
        <x:v>1.0261451613300896</x:v>
      </x:c>
      <x:c r="R1557" s="64" t="n">
        <x:v>0.026145161330089598</x:v>
      </x:c>
    </x:row>
    <x:row r="1558" ht="18" customHeight="1">
      <x:c r="A1558" s="46" t="str">
        <x:v>LME_029</x:v>
      </x:c>
      <x:c r="B1558" s="46" t="str">
        <x:v>Benguela Current</x:v>
      </x:c>
      <x:c r="C1558" s="46" t="str">
        <x:v>functional</x:v>
      </x:c>
      <x:c r="D1558" s="46" t="str">
        <x:v>Small to medium rays (&lt;90 cm)</x:v>
      </x:c>
      <x:c r="E1558" s="66" t="n">
        <x:v>2</x:v>
      </x:c>
      <x:c r="F1558" s="66" t="n">
        <x:v>2</x:v>
      </x:c>
      <x:c r="G1558" s="60" t="n">
        <x:v>3294.4137463604</x:v>
      </x:c>
      <x:c r="H1558" s="60" t="n">
        <x:v>3294.4137463604</x:v>
      </x:c>
      <x:c r="I1558" s="62" t="n">
        <x:v>0</x:v>
      </x:c>
      <x:c r="J1558" s="64" t="n">
        <x:v>1</x:v>
      </x:c>
      <x:c r="K1558" s="62" t="n">
        <x:v>551.4451196089883</x:v>
      </x:c>
      <x:c r="L1558" s="60" t="n">
        <x:v>1816688.382403206</x:v>
      </x:c>
      <x:c r="M1558" s="62" t="n">
        <x:v>3.7202871381638705</x:v>
      </x:c>
      <x:c r="N1558" s="62" t="n">
        <x:v>525.154556709967</x:v>
      </x:c>
      <x:c r="O1558" s="60" t="n">
        <x:v>1730076.3905891175</x:v>
      </x:c>
      <x:c r="P1558" s="60" t="n">
        <x:v>86611.99181408854</x:v>
      </x:c>
      <x:c r="Q1558" s="62" t="n">
        <x:v>1.0500625245712971</x:v>
      </x:c>
      <x:c r="R1558" s="64" t="n">
        <x:v>0.050062524571297014</x:v>
      </x:c>
    </x:row>
    <x:row r="1559" ht="18" customHeight="1">
      <x:c r="A1559" s="46" t="str">
        <x:v>LME_030</x:v>
      </x:c>
      <x:c r="B1559" s="46" t="str">
        <x:v>Agulhas Current</x:v>
      </x:c>
      <x:c r="C1559" s="46" t="str">
        <x:v>functional</x:v>
      </x:c>
      <x:c r="D1559" s="46" t="str">
        <x:v>Cephalopods</x:v>
      </x:c>
      <x:c r="E1559" s="66" t="n">
        <x:v>9</x:v>
      </x:c>
      <x:c r="F1559" s="66" t="n">
        <x:v>9</x:v>
      </x:c>
      <x:c r="G1559" s="60" t="n">
        <x:v>19818.1439519474</x:v>
      </x:c>
      <x:c r="H1559" s="60" t="n">
        <x:v>19818.1439519474</x:v>
      </x:c>
      <x:c r="I1559" s="62" t="n">
        <x:v>0</x:v>
      </x:c>
      <x:c r="J1559" s="64" t="n">
        <x:v>1</x:v>
      </x:c>
      <x:c r="K1559" s="62" t="n">
        <x:v>706.6607431947549</x:v>
      </x:c>
      <x:c r="L1559" s="60" t="n">
        <x:v>14004704.333823787</x:v>
      </x:c>
      <x:c r="M1559" s="62" t="n">
        <x:v>3.8399361568910306</x:v>
      </x:c>
      <x:c r="N1559" s="62" t="n">
        <x:v>691.7292763416932</x:v>
      </x:c>
      <x:c r="O1559" s="60" t="n">
        <x:v>13708790.37431608</x:v>
      </x:c>
      <x:c r="P1559" s="60" t="n">
        <x:v>295913.9595077075</x:v>
      </x:c>
      <x:c r="Q1559" s="62" t="n">
        <x:v>1.0215857089814513</x:v>
      </x:c>
      <x:c r="R1559" s="64" t="n">
        <x:v>0.021585708981451283</x:v>
      </x:c>
    </x:row>
    <x:row r="1560" ht="18" customHeight="1">
      <x:c r="A1560" s="46" t="str">
        <x:v>LME_030</x:v>
      </x:c>
      <x:c r="B1560" s="46" t="str">
        <x:v>Agulhas Current</x:v>
      </x:c>
      <x:c r="C1560" s="46" t="str">
        <x:v>functional</x:v>
      </x:c>
      <x:c r="D1560" s="46" t="str">
        <x:v>Jellyfish</x:v>
      </x:c>
      <x:c r="E1560" s="66" t="n">
        <x:v>1</x:v>
      </x:c>
      <x:c r="F1560" s="66" t="n">
        <x:v>1</x:v>
      </x:c>
      <x:c r="G1560" s="60" t="n">
        <x:v>121.2694235633</x:v>
      </x:c>
      <x:c r="H1560" s="60" t="n">
        <x:v>121.2694235633</x:v>
      </x:c>
      <x:c r="I1560" s="62" t="n">
        <x:v>0</x:v>
      </x:c>
      <x:c r="J1560" s="64" t="n">
        <x:v>1</x:v>
      </x:c>
      <x:c r="K1560" s="62" t="n">
        <x:v>31.622776601683793</x:v>
      </x:c>
      <x:c r="L1560" s="60" t="n">
        <x:v>3834.8758899572044</x:v>
      </x:c>
      <x:c r="M1560" s="62" t="n">
        <x:v>2.5000000000000004</x:v>
      </x:c>
      <x:c r="N1560" s="62" t="n">
        <x:v>31.622776601683825</x:v>
      </x:c>
      <x:c r="O1560" s="60" t="n">
        <x:v>3834.875889957208</x:v>
      </x:c>
      <x:c r="P1560" s="60" t="n">
        <x:v>-3.637978807091713e-12</x:v>
      </x:c>
      <x:c r="Q1560" s="62" t="n">
        <x:v>0.999999999999999</x:v>
      </x:c>
      <x:c r="R1560" s="64" t="n">
        <x:v>-9.486562046555066e-16</x:v>
      </x:c>
    </x:row>
    <x:row r="1561" ht="18" customHeight="1">
      <x:c r="A1561" s="46" t="str">
        <x:v>LME_030</x:v>
      </x:c>
      <x:c r="B1561" s="46" t="str">
        <x:v>Agulhas Current</x:v>
      </x:c>
      <x:c r="C1561" s="46" t="str">
        <x:v>functional</x:v>
      </x:c>
      <x:c r="D1561" s="46" t="str">
        <x:v>Large bathydemersals (&gt;=90 cm)</x:v>
      </x:c>
      <x:c r="E1561" s="66" t="n">
        <x:v>6</x:v>
      </x:c>
      <x:c r="F1561" s="66" t="n">
        <x:v>6</x:v>
      </x:c>
      <x:c r="G1561" s="60" t="n">
        <x:v>4502.962833653999</x:v>
      </x:c>
      <x:c r="H1561" s="60" t="n">
        <x:v>4502.962833653999</x:v>
      </x:c>
      <x:c r="I1561" s="62" t="n">
        <x:v>0</x:v>
      </x:c>
      <x:c r="J1561" s="64" t="n">
        <x:v>1</x:v>
      </x:c>
      <x:c r="K1561" s="62" t="n">
        <x:v>2235.0333241054927</x:v>
      </x:c>
      <x:c r="L1561" s="60" t="n">
        <x:v>10064271.990425186</x:v>
      </x:c>
      <x:c r="M1561" s="62" t="n">
        <x:v>4.274854369723561</x:v>
      </x:c>
      <x:c r="N1561" s="62" t="n">
        <x:v>1883.0175586703406</x:v>
      </x:c>
      <x:c r="O1561" s="60" t="n">
        <x:v>8479158.081810432</x:v>
      </x:c>
      <x:c r="P1561" s="60" t="n">
        <x:v>1585113.9086147547</x:v>
      </x:c>
      <x:c r="Q1561" s="62" t="n">
        <x:v>1.186942370141106</x:v>
      </x:c>
      <x:c r="R1561" s="64" t="n">
        <x:v>0.18694237014110585</x:v>
      </x:c>
    </x:row>
    <x:row r="1562" ht="18" customHeight="1">
      <x:c r="A1562" s="46" t="str">
        <x:v>LME_030</x:v>
      </x:c>
      <x:c r="B1562" s="46" t="str">
        <x:v>Agulhas Current</x:v>
      </x:c>
      <x:c r="C1562" s="46" t="str">
        <x:v>functional</x:v>
      </x:c>
      <x:c r="D1562" s="46" t="str">
        <x:v>Large benthopelagics (&gt;=90 cm)</x:v>
      </x:c>
      <x:c r="E1562" s="66" t="n">
        <x:v>12</x:v>
      </x:c>
      <x:c r="F1562" s="66" t="n">
        <x:v>12</x:v>
      </x:c>
      <x:c r="G1562" s="60" t="n">
        <x:v>10356.634014197301</x:v>
      </x:c>
      <x:c r="H1562" s="60" t="n">
        <x:v>10356.634014197301</x:v>
      </x:c>
      <x:c r="I1562" s="62" t="n">
        <x:v>0</x:v>
      </x:c>
      <x:c r="J1562" s="64" t="n">
        <x:v>1</x:v>
      </x:c>
      <x:c r="K1562" s="62" t="n">
        <x:v>1028.9367746634875</x:v>
      </x:c>
      <x:c r="L1562" s="60" t="n">
        <x:v>10656321.59893834</x:v>
      </x:c>
      <x:c r="M1562" s="62" t="n">
        <x:v>3.934969867720067</x:v>
      </x:c>
      <x:c r="N1562" s="62" t="n">
        <x:v>860.934016669073</x:v>
      </x:c>
      <x:c r="O1562" s="60" t="n">
        <x:v>8916378.521014428</x:v>
      </x:c>
      <x:c r="P1562" s="60" t="n">
        <x:v>1739943.0779239126</x:v>
      </x:c>
      <x:c r="Q1562" s="62" t="n">
        <x:v>1.1951401091623863</x:v>
      </x:c>
      <x:c r="R1562" s="64" t="n">
        <x:v>0.19514010916238636</x:v>
      </x:c>
    </x:row>
    <x:row r="1563" ht="18" customHeight="1">
      <x:c r="A1563" s="46" t="str">
        <x:v>LME_030</x:v>
      </x:c>
      <x:c r="B1563" s="46" t="str">
        <x:v>Agulhas Current</x:v>
      </x:c>
      <x:c r="C1563" s="46" t="str">
        <x:v>functional</x:v>
      </x:c>
      <x:c r="D1563" s="46" t="str">
        <x:v>Large demersals (&gt;=90 cm)</x:v>
      </x:c>
      <x:c r="E1563" s="66" t="n">
        <x:v>5</x:v>
      </x:c>
      <x:c r="F1563" s="66" t="n">
        <x:v>5</x:v>
      </x:c>
      <x:c r="G1563" s="60" t="n">
        <x:v>149.4328308591</x:v>
      </x:c>
      <x:c r="H1563" s="60" t="n">
        <x:v>149.4328308591</x:v>
      </x:c>
      <x:c r="I1563" s="62" t="n">
        <x:v>0</x:v>
      </x:c>
      <x:c r="J1563" s="64" t="n">
        <x:v>1</x:v>
      </x:c>
      <x:c r="K1563" s="62" t="n">
        <x:v>1004.0250956220374</x:v>
      </x:c>
      <x:c r="L1563" s="60" t="n">
        <x:v>150034.31229237962</x:v>
      </x:c>
      <x:c r="M1563" s="62" t="n">
        <x:v>3.971277719000706</x:v>
      </x:c>
      <x:c r="N1563" s="62" t="n">
        <x:v>936.0040308353812</x:v>
      </x:c>
      <x:c r="O1563" s="60" t="n">
        <x:v>139869.73202325933</x:v>
      </x:c>
      <x:c r="P1563" s="60" t="n">
        <x:v>10164.580269120284</x:v>
      </x:c>
      <x:c r="Q1563" s="62" t="n">
        <x:v>1.0726717648063413</x:v>
      </x:c>
      <x:c r="R1563" s="64" t="n">
        <x:v>0.07267176480634129</x:v>
      </x:c>
    </x:row>
    <x:row r="1564" ht="18" customHeight="1">
      <x:c r="A1564" s="46" t="str">
        <x:v>LME_030</x:v>
      </x:c>
      <x:c r="B1564" s="46" t="str">
        <x:v>Agulhas Current</x:v>
      </x:c>
      <x:c r="C1564" s="46" t="str">
        <x:v>functional</x:v>
      </x:c>
      <x:c r="D1564" s="46" t="str">
        <x:v>Large pelagics (&gt;=90 cm)</x:v>
      </x:c>
      <x:c r="E1564" s="66" t="n">
        <x:v>29</x:v>
      </x:c>
      <x:c r="F1564" s="66" t="n">
        <x:v>29</x:v>
      </x:c>
      <x:c r="G1564" s="60" t="n">
        <x:v>38370.0892003148</x:v>
      </x:c>
      <x:c r="H1564" s="60" t="n">
        <x:v>38370.0892003148</x:v>
      </x:c>
      <x:c r="I1564" s="62" t="n">
        <x:v>0</x:v>
      </x:c>
      <x:c r="J1564" s="64" t="n">
        <x:v>1</x:v>
      </x:c>
      <x:c r="K1564" s="62" t="n">
        <x:v>2814.5632644519123</x:v>
      </x:c>
      <x:c r="L1564" s="60" t="n">
        <x:v>107995043.51694909</x:v>
      </x:c>
      <x:c r="M1564" s="62" t="n">
        <x:v>4.44307897748707</x:v>
      </x:c>
      <x:c r="N1564" s="62" t="n">
        <x:v>2773.824485385631</x:v>
      </x:c>
      <x:c r="O1564" s="60" t="n">
        <x:v>106431892.93026394</x:v>
      </x:c>
      <x:c r="P1564" s="60" t="n">
        <x:v>1563150.5866851509</x:v>
      </x:c>
      <x:c r="Q1564" s="62" t="n">
        <x:v>1.0146868625902328</x:v>
      </x:c>
      <x:c r="R1564" s="64" t="n">
        <x:v>0.01468686259023275</x:v>
      </x:c>
    </x:row>
    <x:row r="1565" ht="18" customHeight="1">
      <x:c r="A1565" s="46" t="str">
        <x:v>LME_030</x:v>
      </x:c>
      <x:c r="B1565" s="46" t="str">
        <x:v>Agulhas Current</x:v>
      </x:c>
      <x:c r="C1565" s="46" t="str">
        <x:v>functional</x:v>
      </x:c>
      <x:c r="D1565" s="46" t="str">
        <x:v>Large rays (&gt;=90 cm)</x:v>
      </x:c>
      <x:c r="E1565" s="66" t="n">
        <x:v>4</x:v>
      </x:c>
      <x:c r="F1565" s="66" t="n">
        <x:v>4</x:v>
      </x:c>
      <x:c r="G1565" s="60" t="n">
        <x:v>178.80871565319998</x:v>
      </x:c>
      <x:c r="H1565" s="60" t="n">
        <x:v>178.80871565319998</x:v>
      </x:c>
      <x:c r="I1565" s="62" t="n">
        <x:v>0</x:v>
      </x:c>
      <x:c r="J1565" s="64" t="n">
        <x:v>1</x:v>
      </x:c>
      <x:c r="K1565" s="62" t="n">
        <x:v>516.5057990681732</x:v>
      </x:c>
      <x:c r="L1565" s="60" t="n">
        <x:v>92355.73855880983</x:v>
      </x:c>
      <x:c r="M1565" s="62" t="n">
        <x:v>3.712016098606308</x:v>
      </x:c>
      <x:c r="N1565" s="62" t="n">
        <x:v>515.2477436428467</x:v>
      </x:c>
      <x:c r="O1565" s="60" t="n">
        <x:v>92130.78728398665</x:v>
      </x:c>
      <x:c r="P1565" s="60" t="n">
        <x:v>224.95127482317912</x:v>
      </x:c>
      <x:c r="Q1565" s="62" t="n">
        <x:v>1.0024416514984267</x:v>
      </x:c>
      <x:c r="R1565" s="64" t="n">
        <x:v>0.002441651498426717</x:v>
      </x:c>
    </x:row>
    <x:row r="1566" ht="18" customHeight="1">
      <x:c r="A1566" s="46" t="str">
        <x:v>LME_030</x:v>
      </x:c>
      <x:c r="B1566" s="46" t="str">
        <x:v>Agulhas Current</x:v>
      </x:c>
      <x:c r="C1566" s="46" t="str">
        <x:v>functional</x:v>
      </x:c>
      <x:c r="D1566" s="46" t="str">
        <x:v>Large reef assoc. fish (&gt;=90 cm)</x:v>
      </x:c>
      <x:c r="E1566" s="66" t="n">
        <x:v>10</x:v>
      </x:c>
      <x:c r="F1566" s="66" t="n">
        <x:v>10</x:v>
      </x:c>
      <x:c r="G1566" s="60" t="n">
        <x:v>742.6201086419001</x:v>
      </x:c>
      <x:c r="H1566" s="60" t="n">
        <x:v>742.6201086419001</x:v>
      </x:c>
      <x:c r="I1566" s="62" t="n">
        <x:v>0</x:v>
      </x:c>
      <x:c r="J1566" s="64" t="n">
        <x:v>1</x:v>
      </x:c>
      <x:c r="K1566" s="62" t="n">
        <x:v>636.5869065892858</x:v>
      </x:c>
      <x:c r="L1566" s="60" t="n">
        <x:v>472742.23773134657</x:v>
      </x:c>
      <x:c r="M1566" s="62" t="n">
        <x:v>3.6384527242710596</x:v>
      </x:c>
      <x:c r="N1566" s="62" t="n">
        <x:v>434.96340950752386</x:v>
      </x:c>
      <x:c r="O1566" s="60" t="n">
        <x:v>323012.5744237286</x:v>
      </x:c>
      <x:c r="P1566" s="60" t="n">
        <x:v>149729.66330761794</x:v>
      </x:c>
      <x:c r="Q1566" s="62" t="n">
        <x:v>1.4635412834151844</x:v>
      </x:c>
      <x:c r="R1566" s="64" t="n">
        <x:v>0.4635412834151844</x:v>
      </x:c>
    </x:row>
    <x:row r="1567" ht="18" customHeight="1">
      <x:c r="A1567" s="46" t="str">
        <x:v>LME_030</x:v>
      </x:c>
      <x:c r="B1567" s="46" t="str">
        <x:v>Agulhas Current</x:v>
      </x:c>
      <x:c r="C1567" s="46" t="str">
        <x:v>functional</x:v>
      </x:c>
      <x:c r="D1567" s="46" t="str">
        <x:v>Large sharks (&gt;=90 cm)</x:v>
      </x:c>
      <x:c r="E1567" s="66" t="n">
        <x:v>28</x:v>
      </x:c>
      <x:c r="F1567" s="66" t="n">
        <x:v>28</x:v>
      </x:c>
      <x:c r="G1567" s="60" t="n">
        <x:v>16289.661612253502</x:v>
      </x:c>
      <x:c r="H1567" s="60" t="n">
        <x:v>16289.661612253502</x:v>
      </x:c>
      <x:c r="I1567" s="62" t="n">
        <x:v>0</x:v>
      </x:c>
      <x:c r="J1567" s="64" t="n">
        <x:v>1</x:v>
      </x:c>
      <x:c r="K1567" s="62" t="n">
        <x:v>1517.168706045162</x:v>
      </x:c>
      <x:c r="L1567" s="60" t="n">
        <x:v>24714164.830176193</x:v>
      </x:c>
      <x:c r="M1567" s="62" t="n">
        <x:v>4.147751957906746</x:v>
      </x:c>
      <x:c r="N1567" s="62" t="n">
        <x:v>1405.2447062037588</x:v>
      </x:c>
      <x:c r="O1567" s="60" t="n">
        <x:v>22890960.74646982</x:v>
      </x:c>
      <x:c r="P1567" s="60" t="n">
        <x:v>1823204.0837063715</x:v>
      </x:c>
      <x:c r="Q1567" s="62" t="n">
        <x:v>1.079647337824715</x:v>
      </x:c>
      <x:c r="R1567" s="64" t="n">
        <x:v>0.07964733782471498</x:v>
      </x:c>
    </x:row>
    <x:row r="1568" ht="18" customHeight="1">
      <x:c r="A1568" s="46" t="str">
        <x:v>LME_030</x:v>
      </x:c>
      <x:c r="B1568" s="46" t="str">
        <x:v>Agulhas Current</x:v>
      </x:c>
      <x:c r="C1568" s="46" t="str">
        <x:v>functional</x:v>
      </x:c>
      <x:c r="D1568" s="46" t="str">
        <x:v>Lobsters, crabs</x:v>
      </x:c>
      <x:c r="E1568" s="66" t="n">
        <x:v>12</x:v>
      </x:c>
      <x:c r="F1568" s="66" t="n">
        <x:v>12</x:v>
      </x:c>
      <x:c r="G1568" s="60" t="n">
        <x:v>15246.246196298402</x:v>
      </x:c>
      <x:c r="H1568" s="60" t="n">
        <x:v>15246.246196298402</x:v>
      </x:c>
      <x:c r="I1568" s="62" t="n">
        <x:v>0</x:v>
      </x:c>
      <x:c r="J1568" s="64" t="n">
        <x:v>1</x:v>
      </x:c>
      <x:c r="K1568" s="62" t="n">
        <x:v>203.9756611100088</x:v>
      </x:c>
      <x:c r="L1568" s="60" t="n">
        <x:v>3109863.1473359233</x:v>
      </x:c>
      <x:c r="M1568" s="62" t="n">
        <x:v>3.130458842791019</x:v>
      </x:c>
      <x:c r="N1568" s="62" t="n">
        <x:v>135.03888481731707</x:v>
      </x:c>
      <x:c r="O1568" s="60" t="n">
        <x:v>2058836.0839983984</x:v>
      </x:c>
      <x:c r="P1568" s="60" t="n">
        <x:v>1051027.063337525</x:v>
      </x:c>
      <x:c r="Q1568" s="62" t="n">
        <x:v>1.5104957463618762</x:v>
      </x:c>
      <x:c r="R1568" s="64" t="n">
        <x:v>0.5104957463618762</x:v>
      </x:c>
    </x:row>
    <x:row r="1569" ht="18" customHeight="1">
      <x:c r="A1569" s="46" t="str">
        <x:v>LME_030</x:v>
      </x:c>
      <x:c r="B1569" s="46" t="str">
        <x:v>Agulhas Current</x:v>
      </x:c>
      <x:c r="C1569" s="46" t="str">
        <x:v>functional</x:v>
      </x:c>
      <x:c r="D1569" s="46" t="str">
        <x:v>Medium bathydemersals (30 - 89 cm)</x:v>
      </x:c>
      <x:c r="E1569" s="66" t="n">
        <x:v>4</x:v>
      </x:c>
      <x:c r="F1569" s="66" t="n">
        <x:v>4</x:v>
      </x:c>
      <x:c r="G1569" s="60" t="n">
        <x:v>55314.8306331595</x:v>
      </x:c>
      <x:c r="H1569" s="60" t="n">
        <x:v>55314.8306331595</x:v>
      </x:c>
      <x:c r="I1569" s="62" t="n">
        <x:v>0</x:v>
      </x:c>
      <x:c r="J1569" s="64" t="n">
        <x:v>1</x:v>
      </x:c>
      <x:c r="K1569" s="62" t="n">
        <x:v>1878.087940843107</x:v>
      </x:c>
      <x:c r="L1569" s="60" t="n">
        <x:v>103886116.36191574</x:v>
      </x:c>
      <x:c r="M1569" s="62" t="n">
        <x:v>4.269988669205869</x:v>
      </x:c>
      <x:c r="N1569" s="62" t="n">
        <x:v>1862.0385552241335</x:v>
      </x:c>
      <x:c r="O1569" s="60" t="n">
        <x:v>102998347.31463596</x:v>
      </x:c>
      <x:c r="P1569" s="60" t="n">
        <x:v>887769.0472797751</x:v>
      </x:c>
      <x:c r="Q1569" s="62" t="n">
        <x:v>1.0086192552640465</x:v>
      </x:c>
      <x:c r="R1569" s="64" t="n">
        <x:v>0.008619255264046591</x:v>
      </x:c>
    </x:row>
    <x:row r="1570" ht="18" customHeight="1">
      <x:c r="A1570" s="46" t="str">
        <x:v>LME_030</x:v>
      </x:c>
      <x:c r="B1570" s="46" t="str">
        <x:v>Agulhas Current</x:v>
      </x:c>
      <x:c r="C1570" s="46" t="str">
        <x:v>functional</x:v>
      </x:c>
      <x:c r="D1570" s="46" t="str">
        <x:v>Medium bathypelagics (30 - 89 cm)</x:v>
      </x:c>
      <x:c r="E1570" s="66" t="n">
        <x:v>3</x:v>
      </x:c>
      <x:c r="F1570" s="66" t="n">
        <x:v>3</x:v>
      </x:c>
      <x:c r="G1570" s="60" t="n">
        <x:v>724.5815098216</x:v>
      </x:c>
      <x:c r="H1570" s="60" t="n">
        <x:v>724.5815098216</x:v>
      </x:c>
      <x:c r="I1570" s="62" t="n">
        <x:v>0</x:v>
      </x:c>
      <x:c r="J1570" s="64" t="n">
        <x:v>1</x:v>
      </x:c>
      <x:c r="K1570" s="62" t="n">
        <x:v>1163.9838175343323</x:v>
      </x:c>
      <x:c r="L1570" s="60" t="n">
        <x:v>843401.1519169363</x:v>
      </x:c>
      <x:c r="M1570" s="62" t="n">
        <x:v>4.057737407749213</x:v>
      </x:c>
      <x:c r="N1570" s="62" t="n">
        <x:v>1142.1875125588049</x:v>
      </x:c>
      <x:c r="O1570" s="60" t="n">
        <x:v>827607.9523492366</x:v>
      </x:c>
      <x:c r="P1570" s="60" t="n">
        <x:v>15793.199567699688</x:v>
      </x:c>
      <x:c r="Q1570" s="62" t="n">
        <x:v>1.019082948058763</x:v>
      </x:c>
      <x:c r="R1570" s="64" t="n">
        <x:v>0.019082948058763004</x:v>
      </x:c>
    </x:row>
    <x:row r="1571" ht="18" customHeight="1">
      <x:c r="A1571" s="46" t="str">
        <x:v>LME_030</x:v>
      </x:c>
      <x:c r="B1571" s="46" t="str">
        <x:v>Agulhas Current</x:v>
      </x:c>
      <x:c r="C1571" s="46" t="str">
        <x:v>functional</x:v>
      </x:c>
      <x:c r="D1571" s="46" t="str">
        <x:v>Medium benthopelagics (30 - 89 cm)</x:v>
      </x:c>
      <x:c r="E1571" s="66" t="n">
        <x:v>8</x:v>
      </x:c>
      <x:c r="F1571" s="66" t="n">
        <x:v>8</x:v>
      </x:c>
      <x:c r="G1571" s="60" t="n">
        <x:v>6399.175368581399</x:v>
      </x:c>
      <x:c r="H1571" s="60" t="n">
        <x:v>6399.175368581399</x:v>
      </x:c>
      <x:c r="I1571" s="62" t="n">
        <x:v>0</x:v>
      </x:c>
      <x:c r="J1571" s="64" t="n">
        <x:v>1</x:v>
      </x:c>
      <x:c r="K1571" s="62" t="n">
        <x:v>245.17341661556713</x:v>
      </x:c>
      <x:c r="L1571" s="60" t="n">
        <x:v>1568907.6886372827</x:v>
      </x:c>
      <x:c r="M1571" s="62" t="n">
        <x:v>3.356005033130946</x:v>
      </x:c>
      <x:c r="N1571" s="62" t="n">
        <x:v>226.98911579818878</x:v>
      </x:c>
      <x:c r="O1571" s="60" t="n">
        <x:v>1452543.1587518405</x:v>
      </x:c>
      <x:c r="P1571" s="60" t="n">
        <x:v>116364.52988544223</x:v>
      </x:c>
      <x:c r="Q1571" s="62" t="n">
        <x:v>1.0801108932180945</x:v>
      </x:c>
      <x:c r="R1571" s="64" t="n">
        <x:v>0.08011089321809439</x:v>
      </x:c>
    </x:row>
    <x:row r="1572" ht="18" customHeight="1">
      <x:c r="A1572" s="46" t="str">
        <x:v>LME_030</x:v>
      </x:c>
      <x:c r="B1572" s="46" t="str">
        <x:v>Agulhas Current</x:v>
      </x:c>
      <x:c r="C1572" s="46" t="str">
        <x:v>functional</x:v>
      </x:c>
      <x:c r="D1572" s="46" t="str">
        <x:v>Medium demersals (30 - 89 cm)</x:v>
      </x:c>
      <x:c r="E1572" s="66" t="n">
        <x:v>28</x:v>
      </x:c>
      <x:c r="F1572" s="66" t="n">
        <x:v>28</x:v>
      </x:c>
      <x:c r="G1572" s="60" t="n">
        <x:v>162985.0461587807</x:v>
      </x:c>
      <x:c r="H1572" s="60" t="n">
        <x:v>162985.0461587807</x:v>
      </x:c>
      <x:c r="I1572" s="62" t="n">
        <x:v>0</x:v>
      </x:c>
      <x:c r="J1572" s="64" t="n">
        <x:v>1</x:v>
      </x:c>
      <x:c r="K1572" s="62" t="n">
        <x:v>304.73311160005744</x:v>
      </x:c>
      <x:c r="L1572" s="60" t="n">
        <x:v>49666940.26024423</x:v>
      </x:c>
      <x:c r="M1572" s="62" t="n">
        <x:v>3.3827796396216523</x:v>
      </x:c>
      <x:c r="N1572" s="62" t="n">
        <x:v>241.42355440684932</x:v>
      </x:c>
      <x:c r="O1572" s="60" t="n">
        <x:v>39348429.15881724</x:v>
      </x:c>
      <x:c r="P1572" s="60" t="n">
        <x:v>10318511.101426989</x:v>
      </x:c>
      <x:c r="Q1572" s="62" t="n">
        <x:v>1.2622343844980355</x:v>
      </x:c>
      <x:c r="R1572" s="64" t="n">
        <x:v>0.26223438449803543</x:v>
      </x:c>
    </x:row>
    <x:row r="1573" ht="18" customHeight="1">
      <x:c r="A1573" s="46" t="str">
        <x:v>LME_030</x:v>
      </x:c>
      <x:c r="B1573" s="46" t="str">
        <x:v>Agulhas Current</x:v>
      </x:c>
      <x:c r="C1573" s="46" t="str">
        <x:v>functional</x:v>
      </x:c>
      <x:c r="D1573" s="46" t="str">
        <x:v>Medium pelagics (30 - 89 cm)</x:v>
      </x:c>
      <x:c r="E1573" s="66" t="n">
        <x:v>13</x:v>
      </x:c>
      <x:c r="F1573" s="66" t="n">
        <x:v>13</x:v>
      </x:c>
      <x:c r="G1573" s="60" t="n">
        <x:v>92791.03856427158</x:v>
      </x:c>
      <x:c r="H1573" s="60" t="n">
        <x:v>92791.03856427158</x:v>
      </x:c>
      <x:c r="I1573" s="62" t="n">
        <x:v>0</x:v>
      </x:c>
      <x:c r="J1573" s="64" t="n">
        <x:v>1</x:v>
      </x:c>
      <x:c r="K1573" s="62" t="n">
        <x:v>1006.4932948558023</x:v>
      </x:c>
      <x:c r="L1573" s="60" t="n">
        <x:v>93393558.13764553</x:v>
      </x:c>
      <x:c r="M1573" s="62" t="n">
        <x:v>3.7712248643220487</x:v>
      </x:c>
      <x:c r="N1573" s="62" t="n">
        <x:v>590.5067472598282</x:v>
      </x:c>
      <x:c r="O1573" s="60" t="n">
        <x:v>54793734.35744929</x:v>
      </x:c>
      <x:c r="P1573" s="60" t="n">
        <x:v>38599823.780196235</x:v>
      </x:c>
      <x:c r="Q1573" s="62" t="n">
        <x:v>1.7044568915195415</x:v>
      </x:c>
      <x:c r="R1573" s="64" t="n">
        <x:v>0.7044568915195416</x:v>
      </x:c>
    </x:row>
    <x:row r="1574" ht="18" customHeight="1">
      <x:c r="A1574" s="46" t="str">
        <x:v>LME_030</x:v>
      </x:c>
      <x:c r="B1574" s="46" t="str">
        <x:v>Agulhas Current</x:v>
      </x:c>
      <x:c r="C1574" s="46" t="str">
        <x:v>functional</x:v>
      </x:c>
      <x:c r="D1574" s="46" t="str">
        <x:v>Medium reef assoc. fish (30 - 89 cm)</x:v>
      </x:c>
      <x:c r="E1574" s="66" t="n">
        <x:v>46</x:v>
      </x:c>
      <x:c r="F1574" s="66" t="n">
        <x:v>46</x:v>
      </x:c>
      <x:c r="G1574" s="60" t="n">
        <x:v>61575.392730441105</x:v>
      </x:c>
      <x:c r="H1574" s="60" t="n">
        <x:v>61575.392730441105</x:v>
      </x:c>
      <x:c r="I1574" s="62" t="n">
        <x:v>0</x:v>
      </x:c>
      <x:c r="J1574" s="64" t="n">
        <x:v>1</x:v>
      </x:c>
      <x:c r="K1574" s="62" t="n">
        <x:v>405.771879417324</x:v>
      </x:c>
      <x:c r="L1574" s="60" t="n">
        <x:v>24985562.834090915</x:v>
      </x:c>
      <x:c r="M1574" s="62" t="n">
        <x:v>3.1266511083899973</x:v>
      </x:c>
      <x:c r="N1574" s="62" t="n">
        <x:v>133.8600886830258</x:v>
      </x:c>
      <x:c r="O1574" s="60" t="n">
        <x:v>8242487.531588988</x:v>
      </x:c>
      <x:c r="P1574" s="60" t="n">
        <x:v>16743075.302501926</x:v>
      </x:c>
      <x:c r="Q1574" s="62" t="n">
        <x:v>3.031313391538027</x:v>
      </x:c>
      <x:c r="R1574" s="64" t="n">
        <x:v>2.031313391538027</x:v>
      </x:c>
    </x:row>
    <x:row r="1575" ht="18" customHeight="1">
      <x:c r="A1575" s="46" t="str">
        <x:v>LME_030</x:v>
      </x:c>
      <x:c r="B1575" s="46" t="str">
        <x:v>Agulhas Current</x:v>
      </x:c>
      <x:c r="C1575" s="46" t="str">
        <x:v>functional</x:v>
      </x:c>
      <x:c r="D1575" s="46" t="str">
        <x:v>Other demersal invertebrates</x:v>
      </x:c>
      <x:c r="E1575" s="66" t="n">
        <x:v>7</x:v>
      </x:c>
      <x:c r="F1575" s="66" t="n">
        <x:v>7</x:v>
      </x:c>
      <x:c r="G1575" s="60" t="n">
        <x:v>19742.939315847005</x:v>
      </x:c>
      <x:c r="H1575" s="60" t="n">
        <x:v>19742.939315847005</x:v>
      </x:c>
      <x:c r="I1575" s="62" t="n">
        <x:v>0</x:v>
      </x:c>
      <x:c r="J1575" s="64" t="n">
        <x:v>1</x:v>
      </x:c>
      <x:c r="K1575" s="62" t="n">
        <x:v>24.429298161252245</x:v>
      </x:c>
      <x:c r="L1575" s="60" t="n">
        <x:v>482306.1511263359</x:v>
      </x:c>
      <x:c r="M1575" s="62" t="n">
        <x:v>2.367787566817732</x:v>
      </x:c>
      <x:c r="N1575" s="62" t="n">
        <x:v>23.32316940929919</x:v>
      </x:c>
      <x:c r="O1575" s="60" t="n">
        <x:v>460467.9183010131</x:v>
      </x:c>
      <x:c r="P1575" s="60" t="n">
        <x:v>21838.232825322775</x:v>
      </x:c>
      <x:c r="Q1575" s="62" t="n">
        <x:v>1.0474261766289805</x:v>
      </x:c>
      <x:c r="R1575" s="64" t="n">
        <x:v>0.047426176628980424</x:v>
      </x:c>
    </x:row>
    <x:row r="1576" ht="18" customHeight="1">
      <x:c r="A1576" s="46" t="str">
        <x:v>LME_030</x:v>
      </x:c>
      <x:c r="B1576" s="46" t="str">
        <x:v>Agulhas Current</x:v>
      </x:c>
      <x:c r="C1576" s="46" t="str">
        <x:v>functional</x:v>
      </x:c>
      <x:c r="D1576" s="46" t="str">
        <x:v>Shrimps</x:v>
      </x:c>
      <x:c r="E1576" s="66" t="n">
        <x:v>7</x:v>
      </x:c>
      <x:c r="F1576" s="66" t="n">
        <x:v>7</x:v>
      </x:c>
      <x:c r="G1576" s="60" t="n">
        <x:v>28333.4714466097</x:v>
      </x:c>
      <x:c r="H1576" s="60" t="n">
        <x:v>28333.4714466097</x:v>
      </x:c>
      <x:c r="I1576" s="62" t="n">
        <x:v>0</x:v>
      </x:c>
      <x:c r="J1576" s="64" t="n">
        <x:v>1</x:v>
      </x:c>
      <x:c r="K1576" s="62" t="n">
        <x:v>108.1739165052583</x:v>
      </x:c>
      <x:c r="L1576" s="60" t="n">
        <x:v>3064942.574569678</x:v>
      </x:c>
      <x:c r="M1576" s="62" t="n">
        <x:v>2.892619341706437</x:v>
      </x:c>
      <x:c r="N1576" s="62" t="n">
        <x:v>78.09430094477658</x:v>
      </x:c>
      <x:c r="O1576" s="60" t="n">
        <x:v>2212682.645961772</x:v>
      </x:c>
      <x:c r="P1576" s="60" t="n">
        <x:v>852259.9286079057</x:v>
      </x:c>
      <x:c r="Q1576" s="62" t="n">
        <x:v>1.3851704310888466</x:v>
      </x:c>
      <x:c r="R1576" s="64" t="n">
        <x:v>0.3851704310888467</x:v>
      </x:c>
    </x:row>
    <x:row r="1577" ht="18" customHeight="1">
      <x:c r="A1577" s="46" t="str">
        <x:v>LME_030</x:v>
      </x:c>
      <x:c r="B1577" s="46" t="str">
        <x:v>Agulhas Current</x:v>
      </x:c>
      <x:c r="C1577" s="46" t="str">
        <x:v>functional</x:v>
      </x:c>
      <x:c r="D1577" s="46" t="str">
        <x:v>Small benthopelagics (&lt;30 cm)</x:v>
      </x:c>
      <x:c r="E1577" s="66" t="n">
        <x:v>4</x:v>
      </x:c>
      <x:c r="F1577" s="66" t="n">
        <x:v>4</x:v>
      </x:c>
      <x:c r="G1577" s="60" t="n">
        <x:v>5675.778559156401</x:v>
      </x:c>
      <x:c r="H1577" s="60" t="n">
        <x:v>5675.778559156401</x:v>
      </x:c>
      <x:c r="I1577" s="62" t="n">
        <x:v>0</x:v>
      </x:c>
      <x:c r="J1577" s="64" t="n">
        <x:v>1</x:v>
      </x:c>
      <x:c r="K1577" s="62" t="n">
        <x:v>106.8209539861711</x:v>
      </x:c>
      <x:c r="L1577" s="60" t="n">
        <x:v>606292.0803033424</x:v>
      </x:c>
      <x:c r="M1577" s="62" t="n">
        <x:v>3.0217701199849887</x:v>
      </x:c>
      <x:c r="N1577" s="62" t="n">
        <x:v>105.14051984991991</x:v>
      </x:c>
      <x:c r="O1577" s="60" t="n">
        <x:v>596754.3082627334</x:v>
      </x:c>
      <x:c r="P1577" s="60" t="n">
        <x:v>9537.772040609038</x:v>
      </x:c>
      <x:c r="Q1577" s="62" t="n">
        <x:v>1.0159827451742667</x:v>
      </x:c>
      <x:c r="R1577" s="64" t="n">
        <x:v>0.015982745174266653</x:v>
      </x:c>
    </x:row>
    <x:row r="1578" ht="18" customHeight="1">
      <x:c r="A1578" s="46" t="str">
        <x:v>LME_030</x:v>
      </x:c>
      <x:c r="B1578" s="46" t="str">
        <x:v>Agulhas Current</x:v>
      </x:c>
      <x:c r="C1578" s="46" t="str">
        <x:v>functional</x:v>
      </x:c>
      <x:c r="D1578" s="46" t="str">
        <x:v>Small demersals (&lt;30 cm)</x:v>
      </x:c>
      <x:c r="E1578" s="66" t="n">
        <x:v>6</x:v>
      </x:c>
      <x:c r="F1578" s="66" t="n">
        <x:v>6</x:v>
      </x:c>
      <x:c r="G1578" s="60" t="n">
        <x:v>1845.6492660008998</x:v>
      </x:c>
      <x:c r="H1578" s="60" t="n">
        <x:v>1845.6492660008998</x:v>
      </x:c>
      <x:c r="I1578" s="62" t="n">
        <x:v>0</x:v>
      </x:c>
      <x:c r="J1578" s="64" t="n">
        <x:v>1</x:v>
      </x:c>
      <x:c r="K1578" s="62" t="n">
        <x:v>451.8231880788235</x:v>
      </x:c>
      <x:c r="L1578" s="60" t="n">
        <x:v>833907.135439867</x:v>
      </x:c>
      <x:c r="M1578" s="62" t="n">
        <x:v>3.6285973504953364</x:v>
      </x:c>
      <x:c r="N1578" s="62" t="n">
        <x:v>425.2040089177775</x:v>
      </x:c>
      <x:c r="O1578" s="60" t="n">
        <x:v>784777.4669597362</x:v>
      </x:c>
      <x:c r="P1578" s="60" t="n">
        <x:v>49129.668480130844</x:v>
      </x:c>
      <x:c r="Q1578" s="62" t="n">
        <x:v>1.0626033118285894</x:v>
      </x:c>
      <x:c r="R1578" s="64" t="n">
        <x:v>0.06260331182858936</x:v>
      </x:c>
    </x:row>
    <x:row r="1579" ht="18" customHeight="1">
      <x:c r="A1579" s="46" t="str">
        <x:v>LME_030</x:v>
      </x:c>
      <x:c r="B1579" s="46" t="str">
        <x:v>Agulhas Current</x:v>
      </x:c>
      <x:c r="C1579" s="46" t="str">
        <x:v>functional</x:v>
      </x:c>
      <x:c r="D1579" s="46" t="str">
        <x:v>Small pelagics (&lt;30 cm)</x:v>
      </x:c>
      <x:c r="E1579" s="66" t="n">
        <x:v>14</x:v>
      </x:c>
      <x:c r="F1579" s="66" t="n">
        <x:v>14</x:v>
      </x:c>
      <x:c r="G1579" s="60" t="n">
        <x:v>252130.9009103907</x:v>
      </x:c>
      <x:c r="H1579" s="60" t="n">
        <x:v>252130.9009103907</x:v>
      </x:c>
      <x:c r="I1579" s="62" t="n">
        <x:v>0</x:v>
      </x:c>
      <x:c r="J1579" s="64" t="n">
        <x:v>1</x:v>
      </x:c>
      <x:c r="K1579" s="62" t="n">
        <x:v>123.39594564736532</x:v>
      </x:c>
      <x:c r="L1579" s="60" t="n">
        <x:v>31111930.94475982</x:v>
      </x:c>
      <x:c r="M1579" s="62" t="n">
        <x:v>3.071579378072011</x:v>
      </x:c>
      <x:c r="N1579" s="62" t="n">
        <x:v>117.9178027536069</x:v>
      </x:c>
      <x:c r="O1579" s="60" t="n">
        <x:v>29730721.84164066</x:v>
      </x:c>
      <x:c r="P1579" s="60" t="n">
        <x:v>1381209.103119161</x:v>
      </x:c>
      <x:c r="Q1579" s="62" t="n">
        <x:v>1.0464573013220502</x:v>
      </x:c>
      <x:c r="R1579" s="64" t="n">
        <x:v>0.046457301322050254</x:v>
      </x:c>
    </x:row>
    <x:row r="1580" ht="18" customHeight="1">
      <x:c r="A1580" s="46" t="str">
        <x:v>LME_030</x:v>
      </x:c>
      <x:c r="B1580" s="46" t="str">
        <x:v>Agulhas Current</x:v>
      </x:c>
      <x:c r="C1580" s="46" t="str">
        <x:v>functional</x:v>
      </x:c>
      <x:c r="D1580" s="46" t="str">
        <x:v>Small reef assoc. fish (&lt;30 cm)</x:v>
      </x:c>
      <x:c r="E1580" s="66" t="n">
        <x:v>9</x:v>
      </x:c>
      <x:c r="F1580" s="66" t="n">
        <x:v>9</x:v>
      </x:c>
      <x:c r="G1580" s="60" t="n">
        <x:v>184.25530687879998</x:v>
      </x:c>
      <x:c r="H1580" s="60" t="n">
        <x:v>184.25530687879998</x:v>
      </x:c>
      <x:c r="I1580" s="62" t="n">
        <x:v>0</x:v>
      </x:c>
      <x:c r="J1580" s="64" t="n">
        <x:v>1</x:v>
      </x:c>
      <x:c r="K1580" s="62" t="n">
        <x:v>383.1234336611766</x:v>
      </x:c>
      <x:c r="L1580" s="60" t="n">
        <x:v>70592.52584169967</x:v>
      </x:c>
      <x:c r="M1580" s="62" t="n">
        <x:v>3.401703833071221</x:v>
      </x:c>
      <x:c r="N1580" s="62" t="n">
        <x:v>252.17604725356736</x:v>
      </x:c>
      <x:c r="O1580" s="60" t="n">
        <x:v>46464.77497418882</x:v>
      </x:c>
      <x:c r="P1580" s="60" t="n">
        <x:v>24127.750867510847</x:v>
      </x:c>
      <x:c r="Q1580" s="62" t="n">
        <x:v>1.5192697238050505</x:v>
      </x:c>
      <x:c r="R1580" s="64" t="n">
        <x:v>0.5192697238050504</x:v>
      </x:c>
    </x:row>
    <x:row r="1581" ht="18" customHeight="1">
      <x:c r="A1581" s="46" t="str">
        <x:v>LME_030</x:v>
      </x:c>
      <x:c r="B1581" s="46" t="str">
        <x:v>Agulhas Current</x:v>
      </x:c>
      <x:c r="C1581" s="46" t="str">
        <x:v>functional</x:v>
      </x:c>
      <x:c r="D1581" s="46" t="str">
        <x:v>Small to medium flatfishes (&lt;90 cm)</x:v>
      </x:c>
      <x:c r="E1581" s="66" t="n">
        <x:v>5</x:v>
      </x:c>
      <x:c r="F1581" s="66" t="n">
        <x:v>5</x:v>
      </x:c>
      <x:c r="G1581" s="60" t="n">
        <x:v>195.7302660675</x:v>
      </x:c>
      <x:c r="H1581" s="60" t="n">
        <x:v>195.7302660675</x:v>
      </x:c>
      <x:c r="I1581" s="62" t="n">
        <x:v>0</x:v>
      </x:c>
      <x:c r="J1581" s="64" t="n">
        <x:v>1</x:v>
      </x:c>
      <x:c r="K1581" s="62" t="n">
        <x:v>672.8146437523822</x:v>
      </x:c>
      <x:c r="L1581" s="60" t="n">
        <x:v>131690.18923576397</x:v>
      </x:c>
      <x:c r="M1581" s="62" t="n">
        <x:v>3.592647457243451</x:v>
      </x:c>
      <x:c r="N1581" s="62" t="n">
        <x:v>391.424005875744</x:v>
      </x:c>
      <x:c r="O1581" s="60" t="n">
        <x:v>76613.52481526605</x:v>
      </x:c>
      <x:c r="P1581" s="60" t="n">
        <x:v>55076.664420497924</x:v>
      </x:c>
      <x:c r="Q1581" s="62" t="n">
        <x:v>1.7188895766550518</x:v>
      </x:c>
      <x:c r="R1581" s="64" t="n">
        <x:v>0.7188895766550519</x:v>
      </x:c>
    </x:row>
    <x:row r="1582" ht="18" customHeight="1">
      <x:c r="A1582" s="46" t="str">
        <x:v>LME_030</x:v>
      </x:c>
      <x:c r="B1582" s="46" t="str">
        <x:v>Agulhas Current</x:v>
      </x:c>
      <x:c r="C1582" s="46" t="str">
        <x:v>functional</x:v>
      </x:c>
      <x:c r="D1582" s="46" t="str">
        <x:v>Small to medium rays (&lt;90 cm)</x:v>
      </x:c>
      <x:c r="E1582" s="66" t="n">
        <x:v>2</x:v>
      </x:c>
      <x:c r="F1582" s="66" t="n">
        <x:v>2</x:v>
      </x:c>
      <x:c r="G1582" s="60" t="n">
        <x:v>540.7670529244</x:v>
      </x:c>
      <x:c r="H1582" s="60" t="n">
        <x:v>540.7670529244</x:v>
      </x:c>
      <x:c r="I1582" s="62" t="n">
        <x:v>0</x:v>
      </x:c>
      <x:c r="J1582" s="64" t="n">
        <x:v>1</x:v>
      </x:c>
      <x:c r="K1582" s="62" t="n">
        <x:v>481.260684493263</x:v>
      </x:c>
      <x:c r="L1582" s="60" t="n">
        <x:v>260249.92204180133</x:v>
      </x:c>
      <x:c r="M1582" s="62" t="n">
        <x:v>3.649925603337135</x:v>
      </x:c>
      <x:c r="N1582" s="62" t="n">
        <x:v>446.60707972959574</x:v>
      </x:c>
      <x:c r="O1582" s="60" t="n">
        <x:v>241510.39432054604</x:v>
      </x:c>
      <x:c r="P1582" s="60" t="n">
        <x:v>18739.52772125529</x:v>
      </x:c>
      <x:c r="Q1582" s="62" t="n">
        <x:v>1.0775930484233451</x:v>
      </x:c>
      <x:c r="R1582" s="64" t="n">
        <x:v>0.07759304842334507</x:v>
      </x:c>
    </x:row>
    <x:row r="1583" ht="18" customHeight="1">
      <x:c r="A1583" s="46" t="str">
        <x:v>LME_031</x:v>
      </x:c>
      <x:c r="B1583" s="46" t="str">
        <x:v>Somali Coastal Current</x:v>
      </x:c>
      <x:c r="C1583" s="46" t="str">
        <x:v>functional</x:v>
      </x:c>
      <x:c r="D1583" s="46" t="str">
        <x:v>Cephalopods</x:v>
      </x:c>
      <x:c r="E1583" s="66" t="n">
        <x:v>11</x:v>
      </x:c>
      <x:c r="F1583" s="66" t="n">
        <x:v>11</x:v>
      </x:c>
      <x:c r="G1583" s="60" t="n">
        <x:v>16039.085727525799</x:v>
      </x:c>
      <x:c r="H1583" s="60" t="n">
        <x:v>16039.085727525799</x:v>
      </x:c>
      <x:c r="I1583" s="62" t="n">
        <x:v>0</x:v>
      </x:c>
      <x:c r="J1583" s="64" t="n">
        <x:v>1</x:v>
      </x:c>
      <x:c r="K1583" s="62" t="n">
        <x:v>476.1622726397768</x:v>
      </x:c>
      <x:c r="L1583" s="60" t="n">
        <x:v>7637207.511082892</x:v>
      </x:c>
      <x:c r="M1583" s="62" t="n">
        <x:v>3.6487945410148566</x:v>
      </x:c>
      <x:c r="N1583" s="62" t="n">
        <x:v>445.44546417419525</x:v>
      </x:c>
      <x:c r="O1583" s="60" t="n">
        <x:v>7144537.98682744</x:v>
      </x:c>
      <x:c r="P1583" s="60" t="n">
        <x:v>492669.5242554527</x:v>
      </x:c>
      <x:c r="Q1583" s="62" t="n">
        <x:v>1.0689575064425159</x:v>
      </x:c>
      <x:c r="R1583" s="64" t="n">
        <x:v>0.06895750644251589</x:v>
      </x:c>
    </x:row>
    <x:row r="1584" ht="18" customHeight="1">
      <x:c r="A1584" s="46" t="str">
        <x:v>LME_031</x:v>
      </x:c>
      <x:c r="B1584" s="46" t="str">
        <x:v>Somali Coastal Current</x:v>
      </x:c>
      <x:c r="C1584" s="46" t="str">
        <x:v>functional</x:v>
      </x:c>
      <x:c r="D1584" s="46" t="str">
        <x:v>Jellyfish</x:v>
      </x:c>
      <x:c r="E1584" s="66" t="n">
        <x:v>2</x:v>
      </x:c>
      <x:c r="F1584" s="66" t="n">
        <x:v>2</x:v>
      </x:c>
      <x:c r="G1584" s="60" t="n">
        <x:v>5413.1997505204</x:v>
      </x:c>
      <x:c r="H1584" s="60" t="n">
        <x:v>5413.1997505204</x:v>
      </x:c>
      <x:c r="I1584" s="62" t="n">
        <x:v>0</x:v>
      </x:c>
      <x:c r="J1584" s="64" t="n">
        <x:v>1</x:v>
      </x:c>
      <x:c r="K1584" s="62" t="n">
        <x:v>285.7323345158124</x:v>
      </x:c>
      <x:c r="L1584" s="60" t="n">
        <x:v>1546726.201916607</x:v>
      </x:c>
      <x:c r="M1584" s="62" t="n">
        <x:v>3.450014878754479</x:v>
      </x:c>
      <x:c r="N1584" s="62" t="n">
        <x:v>281.8479489585452</x:v>
      </x:c>
      <x:c r="O1584" s="60" t="n">
        <x:v>1525699.2469870832</x:v>
      </x:c>
      <x:c r="P1584" s="60" t="n">
        <x:v>21026.95492952387</x:v>
      </x:c>
      <x:c r="Q1584" s="62" t="n">
        <x:v>1.0137818478779794</x:v>
      </x:c>
      <x:c r="R1584" s="64" t="n">
        <x:v>0.01378184787797951</x:v>
      </x:c>
    </x:row>
    <x:row r="1585" ht="18" customHeight="1">
      <x:c r="A1585" s="46" t="str">
        <x:v>LME_031</x:v>
      </x:c>
      <x:c r="B1585" s="46" t="str">
        <x:v>Somali Coastal Current</x:v>
      </x:c>
      <x:c r="C1585" s="46" t="str">
        <x:v>functional</x:v>
      </x:c>
      <x:c r="D1585" s="46" t="str">
        <x:v>Large benthopelagics (&gt;=90 cm)</x:v>
      </x:c>
      <x:c r="E1585" s="66" t="n">
        <x:v>6</x:v>
      </x:c>
      <x:c r="F1585" s="66" t="n">
        <x:v>6</x:v>
      </x:c>
      <x:c r="G1585" s="60" t="n">
        <x:v>4274.8589613957</x:v>
      </x:c>
      <x:c r="H1585" s="60" t="n">
        <x:v>4274.8589613957</x:v>
      </x:c>
      <x:c r="I1585" s="62" t="n">
        <x:v>0</x:v>
      </x:c>
      <x:c r="J1585" s="64" t="n">
        <x:v>1</x:v>
      </x:c>
      <x:c r="K1585" s="62" t="n">
        <x:v>2428.3378034205107</x:v>
      </x:c>
      <x:c r="L1585" s="60" t="n">
        <x:v>10380801.62024812</x:v>
      </x:c>
      <x:c r="M1585" s="62" t="n">
        <x:v>4.382547719385617</x:v>
      </x:c>
      <x:c r="N1585" s="62" t="n">
        <x:v>2412.946647647591</x:v>
      </x:c>
      <x:c r="O1585" s="60" t="n">
        <x:v>10315006.600066017</x:v>
      </x:c>
      <x:c r="P1585" s="60" t="n">
        <x:v>65795.02018210292</x:v>
      </x:c>
      <x:c r="Q1585" s="62" t="n">
        <x:v>1.0063785727661756</x:v>
      </x:c>
      <x:c r="R1585" s="64" t="n">
        <x:v>0.006378572766175625</x:v>
      </x:c>
    </x:row>
    <x:row r="1586" ht="18" customHeight="1">
      <x:c r="A1586" s="46" t="str">
        <x:v>LME_031</x:v>
      </x:c>
      <x:c r="B1586" s="46" t="str">
        <x:v>Somali Coastal Current</x:v>
      </x:c>
      <x:c r="C1586" s="46" t="str">
        <x:v>functional</x:v>
      </x:c>
      <x:c r="D1586" s="46" t="str">
        <x:v>Large demersals (&gt;=90 cm)</x:v>
      </x:c>
      <x:c r="E1586" s="66" t="n">
        <x:v>4</x:v>
      </x:c>
      <x:c r="F1586" s="66" t="n">
        <x:v>4</x:v>
      </x:c>
      <x:c r="G1586" s="60" t="n">
        <x:v>242.72845543909997</x:v>
      </x:c>
      <x:c r="H1586" s="60" t="n">
        <x:v>242.72845543909997</x:v>
      </x:c>
      <x:c r="I1586" s="62" t="n">
        <x:v>0</x:v>
      </x:c>
      <x:c r="J1586" s="64" t="n">
        <x:v>1</x:v>
      </x:c>
      <x:c r="K1586" s="62" t="n">
        <x:v>777.9130777436021</x:v>
      </x:c>
      <x:c r="L1586" s="60" t="n">
        <x:v>188821.63982658103</x:v>
      </x:c>
      <x:c r="M1586" s="62" t="n">
        <x:v>3.8874735329743006</x:v>
      </x:c>
      <x:c r="N1586" s="62" t="n">
        <x:v>771.7444820529196</x:v>
      </x:c>
      <x:c r="O1586" s="60" t="n">
        <x:v>187324.34612235337</x:v>
      </x:c>
      <x:c r="P1586" s="60" t="n">
        <x:v>1497.2937042276608</x:v>
      </x:c>
      <x:c r="Q1586" s="62" t="n">
        <x:v>1.0079930544812883</x:v>
      </x:c>
      <x:c r="R1586" s="64" t="n">
        <x:v>0.007993054481288212</x:v>
      </x:c>
    </x:row>
    <x:row r="1587" ht="18" customHeight="1">
      <x:c r="A1587" s="46" t="str">
        <x:v>LME_031</x:v>
      </x:c>
      <x:c r="B1587" s="46" t="str">
        <x:v>Somali Coastal Current</x:v>
      </x:c>
      <x:c r="C1587" s="46" t="str">
        <x:v>functional</x:v>
      </x:c>
      <x:c r="D1587" s="46" t="str">
        <x:v>Large pelagics (&gt;=90 cm)</x:v>
      </x:c>
      <x:c r="E1587" s="66" t="n">
        <x:v>28</x:v>
      </x:c>
      <x:c r="F1587" s="66" t="n">
        <x:v>28</x:v>
      </x:c>
      <x:c r="G1587" s="60" t="n">
        <x:v>33994.138015954006</x:v>
      </x:c>
      <x:c r="H1587" s="60" t="n">
        <x:v>33994.138015954006</x:v>
      </x:c>
      <x:c r="I1587" s="62" t="n">
        <x:v>0</x:v>
      </x:c>
      <x:c r="J1587" s="64" t="n">
        <x:v>1</x:v>
      </x:c>
      <x:c r="K1587" s="62" t="n">
        <x:v>2363.320536642492</x:v>
      </x:c>
      <x:c r="L1587" s="60" t="n">
        <x:v>80339044.49856335</x:v>
      </x:c>
      <x:c r="M1587" s="62" t="n">
        <x:v>4.325007392090405</x:v>
      </x:c>
      <x:c r="N1587" s="62" t="n">
        <x:v>2113.5250136646914</x:v>
      </x:c>
      <x:c r="O1587" s="60" t="n">
        <x:v>71847461.0146886</x:v>
      </x:c>
      <x:c r="P1587" s="60" t="n">
        <x:v>8491583.483874753</x:v>
      </x:c>
      <x:c r="Q1587" s="62" t="n">
        <x:v>1.1181890544766602</x:v>
      </x:c>
      <x:c r="R1587" s="64" t="n">
        <x:v>0.11818905447666024</x:v>
      </x:c>
    </x:row>
    <x:row r="1588" ht="18" customHeight="1">
      <x:c r="A1588" s="46" t="str">
        <x:v>LME_031</x:v>
      </x:c>
      <x:c r="B1588" s="46" t="str">
        <x:v>Somali Coastal Current</x:v>
      </x:c>
      <x:c r="C1588" s="46" t="str">
        <x:v>functional</x:v>
      </x:c>
      <x:c r="D1588" s="46" t="str">
        <x:v>Large rays (&gt;=90 cm)</x:v>
      </x:c>
      <x:c r="E1588" s="66" t="n">
        <x:v>4</x:v>
      </x:c>
      <x:c r="F1588" s="66" t="n">
        <x:v>4</x:v>
      </x:c>
      <x:c r="G1588" s="60" t="n">
        <x:v>7595.292970174601</x:v>
      </x:c>
      <x:c r="H1588" s="60" t="n">
        <x:v>7595.292970174601</x:v>
      </x:c>
      <x:c r="I1588" s="62" t="n">
        <x:v>0</x:v>
      </x:c>
      <x:c r="J1588" s="64" t="n">
        <x:v>1</x:v>
      </x:c>
      <x:c r="K1588" s="62" t="n">
        <x:v>524.7474534121117</x:v>
      </x:c>
      <x:c r="L1588" s="60" t="n">
        <x:v>3985610.644018036</x:v>
      </x:c>
      <x:c r="M1588" s="62" t="n">
        <x:v>3.719938168898351</x:v>
      </x:c>
      <x:c r="N1588" s="62" t="n">
        <x:v>524.7327480096956</x:v>
      </x:c>
      <x:c r="O1588" s="60" t="n">
        <x:v>3985498.952178441</x:v>
      </x:c>
      <x:c r="P1588" s="60" t="n">
        <x:v>111.69183959485963</x:v>
      </x:c>
      <x:c r="Q1588" s="62" t="n">
        <x:v>1.0000280245562563</x:v>
      </x:c>
      <x:c r="R1588" s="64" t="n">
        <x:v>0.000028024556256327653</x:v>
      </x:c>
    </x:row>
    <x:row r="1589" ht="18" customHeight="1">
      <x:c r="A1589" s="46" t="str">
        <x:v>LME_031</x:v>
      </x:c>
      <x:c r="B1589" s="46" t="str">
        <x:v>Somali Coastal Current</x:v>
      </x:c>
      <x:c r="C1589" s="46" t="str">
        <x:v>functional</x:v>
      </x:c>
      <x:c r="D1589" s="46" t="str">
        <x:v>Large reef assoc. fish (&gt;=90 cm)</x:v>
      </x:c>
      <x:c r="E1589" s="66" t="n">
        <x:v>7</x:v>
      </x:c>
      <x:c r="F1589" s="66" t="n">
        <x:v>7</x:v>
      </x:c>
      <x:c r="G1589" s="60" t="n">
        <x:v>865.5920435004001</x:v>
      </x:c>
      <x:c r="H1589" s="60" t="n">
        <x:v>865.5920435004001</x:v>
      </x:c>
      <x:c r="I1589" s="62" t="n">
        <x:v>0</x:v>
      </x:c>
      <x:c r="J1589" s="64" t="n">
        <x:v>1</x:v>
      </x:c>
      <x:c r="K1589" s="62" t="n">
        <x:v>1538.3606980887703</x:v>
      </x:c>
      <x:c r="L1589" s="60" t="n">
        <x:v>1331592.7802993606</x:v>
      </x:c>
      <x:c r="M1589" s="62" t="n">
        <x:v>4.146612535806378</x:v>
      </x:c>
      <x:c r="N1589" s="62" t="n">
        <x:v>1401.562715404396</x:v>
      </x:c>
      <x:c r="O1589" s="60" t="n">
        <x:v>1213181.5349208608</x:v>
      </x:c>
      <x:c r="P1589" s="60" t="n">
        <x:v>118411.24537849985</x:v>
      </x:c>
      <x:c r="Q1589" s="62" t="n">
        <x:v>1.0976038968366133</x:v>
      </x:c>
      <x:c r="R1589" s="64" t="n">
        <x:v>0.09760389683661329</x:v>
      </x:c>
    </x:row>
    <x:row r="1590" ht="18" customHeight="1">
      <x:c r="A1590" s="46" t="str">
        <x:v>LME_031</x:v>
      </x:c>
      <x:c r="B1590" s="46" t="str">
        <x:v>Somali Coastal Current</x:v>
      </x:c>
      <x:c r="C1590" s="46" t="str">
        <x:v>functional</x:v>
      </x:c>
      <x:c r="D1590" s="46" t="str">
        <x:v>Large sharks (&gt;=90 cm)</x:v>
      </x:c>
      <x:c r="E1590" s="66" t="n">
        <x:v>16</x:v>
      </x:c>
      <x:c r="F1590" s="66" t="n">
        <x:v>16</x:v>
      </x:c>
      <x:c r="G1590" s="60" t="n">
        <x:v>24645.361114668198</x:v>
      </x:c>
      <x:c r="H1590" s="60" t="n">
        <x:v>24645.361114668198</x:v>
      </x:c>
      <x:c r="I1590" s="62" t="n">
        <x:v>0</x:v>
      </x:c>
      <x:c r="J1590" s="64" t="n">
        <x:v>1</x:v>
      </x:c>
      <x:c r="K1590" s="62" t="n">
        <x:v>1789.7269659409576</x:v>
      </x:c>
      <x:c r="L1590" s="60" t="n">
        <x:v>44108467.37227437</x:v>
      </x:c>
      <x:c r="M1590" s="62" t="n">
        <x:v>4.198522464588642</x:v>
      </x:c>
      <x:c r="N1590" s="62" t="n">
        <x:v>1579.5103083659374</x:v>
      </x:c>
      <x:c r="O1590" s="60" t="n">
        <x:v>38927601.93401945</x:v>
      </x:c>
      <x:c r="P1590" s="60" t="n">
        <x:v>5180865.438254923</x:v>
      </x:c>
      <x:c r="Q1590" s="62" t="n">
        <x:v>1.133089766151952</x:v>
      </x:c>
      <x:c r="R1590" s="64" t="n">
        <x:v>0.133089766151952</x:v>
      </x:c>
    </x:row>
    <x:row r="1591" ht="18" customHeight="1">
      <x:c r="A1591" s="46" t="str">
        <x:v>LME_031</x:v>
      </x:c>
      <x:c r="B1591" s="46" t="str">
        <x:v>Somali Coastal Current</x:v>
      </x:c>
      <x:c r="C1591" s="46" t="str">
        <x:v>functional</x:v>
      </x:c>
      <x:c r="D1591" s="46" t="str">
        <x:v>Lobsters, crabs</x:v>
      </x:c>
      <x:c r="E1591" s="66" t="n">
        <x:v>6</x:v>
      </x:c>
      <x:c r="F1591" s="66" t="n">
        <x:v>6</x:v>
      </x:c>
      <x:c r="G1591" s="60" t="n">
        <x:v>1437.8212014442001</x:v>
      </x:c>
      <x:c r="H1591" s="60" t="n">
        <x:v>1437.8212014442001</x:v>
      </x:c>
      <x:c r="I1591" s="62" t="n">
        <x:v>0</x:v>
      </x:c>
      <x:c r="J1591" s="64" t="n">
        <x:v>1</x:v>
      </x:c>
      <x:c r="K1591" s="62" t="n">
        <x:v>110.58378687394087</x:v>
      </x:c>
      <x:c r="L1591" s="60" t="n">
        <x:v>158999.71330333903</x:v>
      </x:c>
      <x:c r="M1591" s="62" t="n">
        <x:v>2.952362495034107</x:v>
      </x:c>
      <x:c r="N1591" s="62" t="n">
        <x:v>89.61124167075546</x:v>
      </x:c>
      <x:c r="O1591" s="60" t="n">
        <x:v>128844.9431619522</x:v>
      </x:c>
      <x:c r="P1591" s="60" t="n">
        <x:v>30154.770141386834</x:v>
      </x:c>
      <x:c r="Q1591" s="62" t="n">
        <x:v>1.234039221108458</x:v>
      </x:c>
      <x:c r="R1591" s="64" t="n">
        <x:v>0.234039221108458</x:v>
      </x:c>
    </x:row>
    <x:row r="1592" ht="18" customHeight="1">
      <x:c r="A1592" s="46" t="str">
        <x:v>LME_031</x:v>
      </x:c>
      <x:c r="B1592" s="46" t="str">
        <x:v>Somali Coastal Current</x:v>
      </x:c>
      <x:c r="C1592" s="46" t="str">
        <x:v>functional</x:v>
      </x:c>
      <x:c r="D1592" s="46" t="str">
        <x:v>Medium bathydemersals (30 - 89 cm)</x:v>
      </x:c>
      <x:c r="E1592" s="66" t="n">
        <x:v>1</x:v>
      </x:c>
      <x:c r="F1592" s="66" t="n">
        <x:v>1</x:v>
      </x:c>
      <x:c r="G1592" s="60" t="n">
        <x:v>276.4768945364</x:v>
      </x:c>
      <x:c r="H1592" s="60" t="n">
        <x:v>276.4768945364</x:v>
      </x:c>
      <x:c r="I1592" s="62" t="n">
        <x:v>0</x:v>
      </x:c>
      <x:c r="J1592" s="64" t="n">
        <x:v>1</x:v>
      </x:c>
      <x:c r="K1592" s="62" t="n">
        <x:v>2290.867652767775</x:v>
      </x:c>
      <x:c r="L1592" s="60" t="n">
        <x:v>633371.9744311263</x:v>
      </x:c>
      <x:c r="M1592" s="62" t="n">
        <x:v>4.36</x:v>
      </x:c>
      <x:c r="N1592" s="62" t="n">
        <x:v>2290.867652767775</x:v>
      </x:c>
      <x:c r="O1592" s="60" t="n">
        <x:v>633371.9744311263</x:v>
      </x:c>
      <x:c r="P1592" s="60" t="n">
        <x:v>0</x:v>
      </x:c>
      <x:c r="Q1592" s="62" t="n">
        <x:v>1</x:v>
      </x:c>
      <x:c r="R1592" s="64" t="n">
        <x:v>0</x:v>
      </x:c>
    </x:row>
    <x:row r="1593" ht="18" customHeight="1">
      <x:c r="A1593" s="46" t="str">
        <x:v>LME_031</x:v>
      </x:c>
      <x:c r="B1593" s="46" t="str">
        <x:v>Somali Coastal Current</x:v>
      </x:c>
      <x:c r="C1593" s="46" t="str">
        <x:v>functional</x:v>
      </x:c>
      <x:c r="D1593" s="46" t="str">
        <x:v>Medium benthopelagics (30 - 89 cm)</x:v>
      </x:c>
      <x:c r="E1593" s="66" t="n">
        <x:v>5</x:v>
      </x:c>
      <x:c r="F1593" s="66" t="n">
        <x:v>5</x:v>
      </x:c>
      <x:c r="G1593" s="60" t="n">
        <x:v>283.36397415100004</x:v>
      </x:c>
      <x:c r="H1593" s="60" t="n">
        <x:v>283.36397415100004</x:v>
      </x:c>
      <x:c r="I1593" s="62" t="n">
        <x:v>0</x:v>
      </x:c>
      <x:c r="J1593" s="64" t="n">
        <x:v>1</x:v>
      </x:c>
      <x:c r="K1593" s="62" t="n">
        <x:v>234.19530531443033</x:v>
      </x:c>
      <x:c r="L1593" s="60" t="n">
        <x:v>66362.5124414038</x:v>
      </x:c>
      <x:c r="M1593" s="62" t="n">
        <x:v>3.3240980180888138</x:v>
      </x:c>
      <x:c r="N1593" s="62" t="n">
        <x:v>210.9104110451743</x:v>
      </x:c>
      <x:c r="O1593" s="60" t="n">
        <x:v>59764.412263581566</x:v>
      </x:c>
      <x:c r="P1593" s="60" t="n">
        <x:v>6598.100177822234</x:v>
      </x:c>
      <x:c r="Q1593" s="62" t="n">
        <x:v>1.110401824897438</x:v>
      </x:c>
      <x:c r="R1593" s="64" t="n">
        <x:v>0.1104018248974381</x:v>
      </x:c>
    </x:row>
    <x:row r="1594" ht="18" customHeight="1">
      <x:c r="A1594" s="46" t="str">
        <x:v>LME_031</x:v>
      </x:c>
      <x:c r="B1594" s="46" t="str">
        <x:v>Somali Coastal Current</x:v>
      </x:c>
      <x:c r="C1594" s="46" t="str">
        <x:v>functional</x:v>
      </x:c>
      <x:c r="D1594" s="46" t="str">
        <x:v>Medium demersals (30 - 89 cm)</x:v>
      </x:c>
      <x:c r="E1594" s="66" t="n">
        <x:v>20</x:v>
      </x:c>
      <x:c r="F1594" s="66" t="n">
        <x:v>20</x:v>
      </x:c>
      <x:c r="G1594" s="60" t="n">
        <x:v>28803.9155835005</x:v>
      </x:c>
      <x:c r="H1594" s="60" t="n">
        <x:v>28803.9155835005</x:v>
      </x:c>
      <x:c r="I1594" s="62" t="n">
        <x:v>0</x:v>
      </x:c>
      <x:c r="J1594" s="64" t="n">
        <x:v>1</x:v>
      </x:c>
      <x:c r="K1594" s="62" t="n">
        <x:v>306.71670625553037</x:v>
      </x:c>
      <x:c r="L1594" s="60" t="n">
        <x:v>8834642.115033617</x:v>
      </x:c>
      <x:c r="M1594" s="62" t="n">
        <x:v>3.41301454227878</x:v>
      </x:c>
      <x:c r="N1594" s="62" t="n">
        <x:v>258.8299582484797</x:v>
      </x:c>
      <x:c r="O1594" s="60" t="n">
        <x:v>7455316.267870169</x:v>
      </x:c>
      <x:c r="P1594" s="60" t="n">
        <x:v>1379325.847163448</x:v>
      </x:c>
      <x:c r="Q1594" s="62" t="n">
        <x:v>1.1850123854715413</x:v>
      </x:c>
      <x:c r="R1594" s="64" t="n">
        <x:v>0.18501238547154125</x:v>
      </x:c>
    </x:row>
    <x:row r="1595" ht="18" customHeight="1">
      <x:c r="A1595" s="46" t="str">
        <x:v>LME_031</x:v>
      </x:c>
      <x:c r="B1595" s="46" t="str">
        <x:v>Somali Coastal Current</x:v>
      </x:c>
      <x:c r="C1595" s="46" t="str">
        <x:v>functional</x:v>
      </x:c>
      <x:c r="D1595" s="46" t="str">
        <x:v>Medium pelagics (30 - 89 cm)</x:v>
      </x:c>
      <x:c r="E1595" s="66" t="n">
        <x:v>13</x:v>
      </x:c>
      <x:c r="F1595" s="66" t="n">
        <x:v>13</x:v>
      </x:c>
      <x:c r="G1595" s="60" t="n">
        <x:v>35128.1707114871</x:v>
      </x:c>
      <x:c r="H1595" s="60" t="n">
        <x:v>35128.1707114871</x:v>
      </x:c>
      <x:c r="I1595" s="62" t="n">
        <x:v>0</x:v>
      </x:c>
      <x:c r="J1595" s="64" t="n">
        <x:v>1</x:v>
      </x:c>
      <x:c r="K1595" s="62" t="n">
        <x:v>1015.2886222950285</x:v>
      </x:c>
      <x:c r="L1595" s="60" t="n">
        <x:v>35665232.04541031</x:v>
      </x:c>
      <x:c r="M1595" s="62" t="n">
        <x:v>3.8077267746274326</x:v>
      </x:c>
      <x:c r="N1595" s="62" t="n">
        <x:v>642.2835137795533</x:v>
      </x:c>
      <x:c r="O1595" s="60" t="n">
        <x:v>22562244.91722193</x:v>
      </x:c>
      <x:c r="P1595" s="60" t="n">
        <x:v>13102987.128188383</x:v>
      </x:c>
      <x:c r="Q1595" s="62" t="n">
        <x:v>1.5807483774891025</x:v>
      </x:c>
      <x:c r="R1595" s="64" t="n">
        <x:v>0.5807483774891024</x:v>
      </x:c>
    </x:row>
    <x:row r="1596" ht="18" customHeight="1">
      <x:c r="A1596" s="46" t="str">
        <x:v>LME_031</x:v>
      </x:c>
      <x:c r="B1596" s="46" t="str">
        <x:v>Somali Coastal Current</x:v>
      </x:c>
      <x:c r="C1596" s="46" t="str">
        <x:v>functional</x:v>
      </x:c>
      <x:c r="D1596" s="46" t="str">
        <x:v>Medium reef assoc. fish (30 - 89 cm)</x:v>
      </x:c>
      <x:c r="E1596" s="66" t="n">
        <x:v>29</x:v>
      </x:c>
      <x:c r="F1596" s="66" t="n">
        <x:v>29</x:v>
      </x:c>
      <x:c r="G1596" s="60" t="n">
        <x:v>36064.3636948022</x:v>
      </x:c>
      <x:c r="H1596" s="60" t="n">
        <x:v>36064.3636948022</x:v>
      </x:c>
      <x:c r="I1596" s="62" t="n">
        <x:v>0</x:v>
      </x:c>
      <x:c r="J1596" s="64" t="n">
        <x:v>1</x:v>
      </x:c>
      <x:c r="K1596" s="62" t="n">
        <x:v>451.18025609952554</x:v>
      </x:c>
      <x:c r="L1596" s="60" t="n">
        <x:v>16271528.847887289</x:v>
      </x:c>
      <x:c r="M1596" s="62" t="n">
        <x:v>3.318645286844986</x:v>
      </x:c>
      <x:c r="N1596" s="62" t="n">
        <x:v>208.27890551969128</x:v>
      </x:c>
      <x:c r="O1596" s="60" t="n">
        <x:v>7511446.198617492</x:v>
      </x:c>
      <x:c r="P1596" s="60" t="n">
        <x:v>8760082.649269797</x:v>
      </x:c>
      <x:c r="Q1596" s="62" t="n">
        <x:v>2.166231164763201</x:v>
      </x:c>
      <x:c r="R1596" s="64" t="n">
        <x:v>1.166231164763201</x:v>
      </x:c>
    </x:row>
    <x:row r="1597" ht="18" customHeight="1">
      <x:c r="A1597" s="46" t="str">
        <x:v>LME_031</x:v>
      </x:c>
      <x:c r="B1597" s="46" t="str">
        <x:v>Somali Coastal Current</x:v>
      </x:c>
      <x:c r="C1597" s="46" t="str">
        <x:v>functional</x:v>
      </x:c>
      <x:c r="D1597" s="46" t="str">
        <x:v>Other demersal invertebrates</x:v>
      </x:c>
      <x:c r="E1597" s="66" t="n">
        <x:v>4</x:v>
      </x:c>
      <x:c r="F1597" s="66" t="n">
        <x:v>4</x:v>
      </x:c>
      <x:c r="G1597" s="60" t="n">
        <x:v>2761.9356243023994</x:v>
      </x:c>
      <x:c r="H1597" s="60" t="n">
        <x:v>2761.9356243023994</x:v>
      </x:c>
      <x:c r="I1597" s="62" t="n">
        <x:v>0</x:v>
      </x:c>
      <x:c r="J1597" s="64" t="n">
        <x:v>1</x:v>
      </x:c>
      <x:c r="K1597" s="62" t="n">
        <x:v>12.775862688976899</x:v>
      </x:c>
      <x:c r="L1597" s="60" t="n">
        <x:v>35286.110291881145</x:v>
      </x:c>
      <x:c r="M1597" s="62" t="n">
        <x:v>2.104297199300013</x:v>
      </x:c>
      <x:c r="N1597" s="62" t="n">
        <x:v>12.714438905396404</x:v>
      </x:c>
      <x:c r="O1597" s="60" t="n">
        <x:v>35116.46175583074</x:v>
      </x:c>
      <x:c r="P1597" s="60" t="n">
        <x:v>169.64853605040844</x:v>
      </x:c>
      <x:c r="Q1597" s="62" t="n">
        <x:v>1.0048310258940663</x:v>
      </x:c>
      <x:c r="R1597" s="64" t="n">
        <x:v>0.004831025894066335</x:v>
      </x:c>
    </x:row>
    <x:row r="1598" ht="18" customHeight="1">
      <x:c r="A1598" s="46" t="str">
        <x:v>LME_031</x:v>
      </x:c>
      <x:c r="B1598" s="46" t="str">
        <x:v>Somali Coastal Current</x:v>
      </x:c>
      <x:c r="C1598" s="46" t="str">
        <x:v>functional</x:v>
      </x:c>
      <x:c r="D1598" s="46" t="str">
        <x:v>Shrimps</x:v>
      </x:c>
      <x:c r="E1598" s="66" t="n">
        <x:v>10</x:v>
      </x:c>
      <x:c r="F1598" s="66" t="n">
        <x:v>10</x:v>
      </x:c>
      <x:c r="G1598" s="60" t="n">
        <x:v>6757.905330925001</x:v>
      </x:c>
      <x:c r="H1598" s="60" t="n">
        <x:v>6757.905330925001</x:v>
      </x:c>
      <x:c r="I1598" s="62" t="n">
        <x:v>0</x:v>
      </x:c>
      <x:c r="J1598" s="64" t="n">
        <x:v>1</x:v>
      </x:c>
      <x:c r="K1598" s="62" t="n">
        <x:v>73.37681006193792</x:v>
      </x:c>
      <x:c r="L1598" s="60" t="n">
        <x:v>495873.5358838415</x:v>
      </x:c>
      <x:c r="M1598" s="62" t="n">
        <x:v>2.7899522967840813</x:v>
      </x:c>
      <x:c r="N1598" s="62" t="n">
        <x:v>61.65272783457815</x:v>
      </x:c>
      <x:c r="O1598" s="60" t="n">
        <x:v>416643.29809936386</x:v>
      </x:c>
      <x:c r="P1598" s="60" t="n">
        <x:v>79230.23778447765</x:v>
      </x:c>
      <x:c r="Q1598" s="62" t="n">
        <x:v>1.1901632359044505</x:v>
      </x:c>
      <x:c r="R1598" s="64" t="n">
        <x:v>0.19016323590445056</x:v>
      </x:c>
    </x:row>
    <x:row r="1599" ht="18" customHeight="1">
      <x:c r="A1599" s="46" t="str">
        <x:v>LME_031</x:v>
      </x:c>
      <x:c r="B1599" s="46" t="str">
        <x:v>Somali Coastal Current</x:v>
      </x:c>
      <x:c r="C1599" s="46" t="str">
        <x:v>functional</x:v>
      </x:c>
      <x:c r="D1599" s="46" t="str">
        <x:v>Small benthopelagics (&lt;30 cm)</x:v>
      </x:c>
      <x:c r="E1599" s="66" t="n">
        <x:v>6</x:v>
      </x:c>
      <x:c r="F1599" s="66" t="n">
        <x:v>6</x:v>
      </x:c>
      <x:c r="G1599" s="60" t="n">
        <x:v>5519.3852067744</x:v>
      </x:c>
      <x:c r="H1599" s="60" t="n">
        <x:v>5519.3852067744</x:v>
      </x:c>
      <x:c r="I1599" s="62" t="n">
        <x:v>0</x:v>
      </x:c>
      <x:c r="J1599" s="64" t="n">
        <x:v>1</x:v>
      </x:c>
      <x:c r="K1599" s="62" t="n">
        <x:v>160.03956518179123</x:v>
      </x:c>
      <x:c r="L1599" s="60" t="n">
        <x:v>883320.0085629858</x:v>
      </x:c>
      <x:c r="M1599" s="62" t="n">
        <x:v>3.1933956307836553</x:v>
      </x:c>
      <x:c r="N1599" s="62" t="n">
        <x:v>156.09738612103624</x:v>
      </x:c>
      <x:c r="O1599" s="60" t="n">
        <x:v>861561.603772599</x:v>
      </x:c>
      <x:c r="P1599" s="60" t="n">
        <x:v>21758.40479038679</x:v>
      </x:c>
      <x:c r="Q1599" s="62" t="n">
        <x:v>1.025254612897222</x:v>
      </x:c>
      <x:c r="R1599" s="64" t="n">
        <x:v>0.025254612897222046</x:v>
      </x:c>
    </x:row>
    <x:row r="1600" ht="18" customHeight="1">
      <x:c r="A1600" s="46" t="str">
        <x:v>LME_031</x:v>
      </x:c>
      <x:c r="B1600" s="46" t="str">
        <x:v>Somali Coastal Current</x:v>
      </x:c>
      <x:c r="C1600" s="46" t="str">
        <x:v>functional</x:v>
      </x:c>
      <x:c r="D1600" s="46" t="str">
        <x:v>Small demersals (&lt;30 cm)</x:v>
      </x:c>
      <x:c r="E1600" s="66" t="n">
        <x:v>7</x:v>
      </x:c>
      <x:c r="F1600" s="66" t="n">
        <x:v>7</x:v>
      </x:c>
      <x:c r="G1600" s="60" t="n">
        <x:v>10377.687257794001</x:v>
      </x:c>
      <x:c r="H1600" s="60" t="n">
        <x:v>10377.687257794001</x:v>
      </x:c>
      <x:c r="I1600" s="62" t="n">
        <x:v>0</x:v>
      </x:c>
      <x:c r="J1600" s="64" t="n">
        <x:v>1</x:v>
      </x:c>
      <x:c r="K1600" s="62" t="n">
        <x:v>371.5807083351147</x:v>
      </x:c>
      <x:c r="L1600" s="60" t="n">
        <x:v>3856148.382131389</x:v>
      </x:c>
      <x:c r="M1600" s="62" t="n">
        <x:v>3.503825246947652</x:v>
      </x:c>
      <x:c r="N1600" s="62" t="n">
        <x:v>319.02538903966285</x:v>
      </x:c>
      <x:c r="O1600" s="60" t="n">
        <x:v>3310745.714749683</x:v>
      </x:c>
      <x:c r="P1600" s="60" t="n">
        <x:v>545402.6673817057</x:v>
      </x:c>
      <x:c r="Q1600" s="62" t="n">
        <x:v>1.1647371058888292</x:v>
      </x:c>
      <x:c r="R1600" s="64" t="n">
        <x:v>0.1647371058888291</x:v>
      </x:c>
    </x:row>
    <x:row r="1601" ht="18" customHeight="1">
      <x:c r="A1601" s="46" t="str">
        <x:v>LME_031</x:v>
      </x:c>
      <x:c r="B1601" s="46" t="str">
        <x:v>Somali Coastal Current</x:v>
      </x:c>
      <x:c r="C1601" s="46" t="str">
        <x:v>functional</x:v>
      </x:c>
      <x:c r="D1601" s="46" t="str">
        <x:v>Small pelagics (&lt;30 cm)</x:v>
      </x:c>
      <x:c r="E1601" s="66" t="n">
        <x:v>15</x:v>
      </x:c>
      <x:c r="F1601" s="66" t="n">
        <x:v>15</x:v>
      </x:c>
      <x:c r="G1601" s="60" t="n">
        <x:v>14514.755821432298</x:v>
      </x:c>
      <x:c r="H1601" s="60" t="n">
        <x:v>14514.755821432298</x:v>
      </x:c>
      <x:c r="I1601" s="62" t="n">
        <x:v>0</x:v>
      </x:c>
      <x:c r="J1601" s="64" t="n">
        <x:v>1</x:v>
      </x:c>
      <x:c r="K1601" s="62" t="n">
        <x:v>96.91009818049584</x:v>
      </x:c>
      <x:c r="L1601" s="60" t="n">
        <x:v>1406626.4117209276</x:v>
      </x:c>
      <x:c r="M1601" s="62" t="n">
        <x:v>2.8988790587888915</x:v>
      </x:c>
      <x:c r="N1601" s="62" t="n">
        <x:v>79.22806674730846</x:v>
      </x:c>
      <x:c r="O1601" s="60" t="n">
        <x:v>1149976.0430413221</x:v>
      </x:c>
      <x:c r="P1601" s="60" t="n">
        <x:v>256650.36867960542</x:v>
      </x:c>
      <x:c r="Q1601" s="62" t="n">
        <x:v>1.223178882927723</x:v>
      </x:c>
      <x:c r="R1601" s="64" t="n">
        <x:v>0.22317888292772303</x:v>
      </x:c>
    </x:row>
    <x:row r="1602" ht="18" customHeight="1">
      <x:c r="A1602" s="46" t="str">
        <x:v>LME_031</x:v>
      </x:c>
      <x:c r="B1602" s="46" t="str">
        <x:v>Somali Coastal Current</x:v>
      </x:c>
      <x:c r="C1602" s="46" t="str">
        <x:v>functional</x:v>
      </x:c>
      <x:c r="D1602" s="46" t="str">
        <x:v>Small reef assoc. fish (&lt;30 cm)</x:v>
      </x:c>
      <x:c r="E1602" s="66" t="n">
        <x:v>8</x:v>
      </x:c>
      <x:c r="F1602" s="66" t="n">
        <x:v>8</x:v>
      </x:c>
      <x:c r="G1602" s="60" t="n">
        <x:v>1691.7941281805</x:v>
      </x:c>
      <x:c r="H1602" s="60" t="n">
        <x:v>1691.7941281805</x:v>
      </x:c>
      <x:c r="I1602" s="62" t="n">
        <x:v>0</x:v>
      </x:c>
      <x:c r="J1602" s="64" t="n">
        <x:v>1</x:v>
      </x:c>
      <x:c r="K1602" s="62" t="n">
        <x:v>406.5819309369666</x:v>
      </x:c>
      <x:c r="L1602" s="60" t="n">
        <x:v>687852.9233834497</x:v>
      </x:c>
      <x:c r="M1602" s="62" t="n">
        <x:v>3.0320936684070503</x:v>
      </x:c>
      <x:c r="N1602" s="62" t="n">
        <x:v>107.6697410124045</x:v>
      </x:c>
      <x:c r="O1602" s="60" t="n">
        <x:v>182155.03562750109</x:v>
      </x:c>
      <x:c r="P1602" s="60" t="n">
        <x:v>505697.8877559486</x:v>
      </x:c>
      <x:c r="Q1602" s="62" t="n">
        <x:v>3.776194937537045</x:v>
      </x:c>
      <x:c r="R1602" s="64" t="n">
        <x:v>2.776194937537045</x:v>
      </x:c>
    </x:row>
    <x:row r="1603" ht="18" customHeight="1">
      <x:c r="A1603" s="46" t="str">
        <x:v>LME_031</x:v>
      </x:c>
      <x:c r="B1603" s="46" t="str">
        <x:v>Somali Coastal Current</x:v>
      </x:c>
      <x:c r="C1603" s="46" t="str">
        <x:v>functional</x:v>
      </x:c>
      <x:c r="D1603" s="46" t="str">
        <x:v>Small to medium flatfishes (&lt;90 cm)</x:v>
      </x:c>
      <x:c r="E1603" s="66" t="n">
        <x:v>3</x:v>
      </x:c>
      <x:c r="F1603" s="66" t="n">
        <x:v>3</x:v>
      </x:c>
      <x:c r="G1603" s="60" t="n">
        <x:v>691.2461631122</x:v>
      </x:c>
      <x:c r="H1603" s="60" t="n">
        <x:v>691.2461631122</x:v>
      </x:c>
      <x:c r="I1603" s="62" t="n">
        <x:v>0</x:v>
      </x:c>
      <x:c r="J1603" s="64" t="n">
        <x:v>1</x:v>
      </x:c>
      <x:c r="K1603" s="62" t="n">
        <x:v>2199.4563396655985</x:v>
      </x:c>
      <x:c r="L1603" s="60" t="n">
        <x:v>1520365.7557266487</x:v>
      </x:c>
      <x:c r="M1603" s="62" t="n">
        <x:v>4.288896200183057</x:v>
      </x:c>
      <x:c r="N1603" s="62" t="n">
        <x:v>1944.8951807328312</x:v>
      </x:c>
      <x:c r="O1603" s="60" t="n">
        <x:v>1344401.3313369784</x:v>
      </x:c>
      <x:c r="P1603" s="60" t="n">
        <x:v>175964.42438967037</x:v>
      </x:c>
      <x:c r="Q1603" s="62" t="n">
        <x:v>1.1308868269378145</x:v>
      </x:c>
      <x:c r="R1603" s="64" t="n">
        <x:v>0.1308868269378144</x:v>
      </x:c>
    </x:row>
    <x:row r="1604" ht="18" customHeight="1">
      <x:c r="A1604" s="46" t="str">
        <x:v>LME_032</x:v>
      </x:c>
      <x:c r="B1604" s="46" t="str">
        <x:v>Arabian Sea</x:v>
      </x:c>
      <x:c r="C1604" s="46" t="str">
        <x:v>functional</x:v>
      </x:c>
      <x:c r="D1604" s="46" t="str">
        <x:v>Cephalopods</x:v>
      </x:c>
      <x:c r="E1604" s="66" t="n">
        <x:v>11</x:v>
      </x:c>
      <x:c r="F1604" s="66" t="n">
        <x:v>11</x:v>
      </x:c>
      <x:c r="G1604" s="60" t="n">
        <x:v>190758.66655314298</x:v>
      </x:c>
      <x:c r="H1604" s="60" t="n">
        <x:v>190758.66655314298</x:v>
      </x:c>
      <x:c r="I1604" s="62" t="n">
        <x:v>0</x:v>
      </x:c>
      <x:c r="J1604" s="64" t="n">
        <x:v>1</x:v>
      </x:c>
      <x:c r="K1604" s="62" t="n">
        <x:v>828.2593447101652</x:v>
      </x:c>
      <x:c r="L1604" s="60" t="n">
        <x:v>157997648.1570911</x:v>
      </x:c>
      <x:c r="M1604" s="62" t="n">
        <x:v>3.8505584373374613</x:v>
      </x:c>
      <x:c r="N1604" s="62" t="n">
        <x:v>708.8566816218181</x:v>
      </x:c>
      <x:c r="O1604" s="60" t="n">
        <x:v>135220555.36346382</x:v>
      </x:c>
      <x:c r="P1604" s="60" t="n">
        <x:v>22777092.793627292</x:v>
      </x:c>
      <x:c r="Q1604" s="62" t="n">
        <x:v>1.1684440115809611</x:v>
      </x:c>
      <x:c r="R1604" s="64" t="n">
        <x:v>0.16844401158096112</x:v>
      </x:c>
    </x:row>
    <x:row r="1605" ht="18" customHeight="1">
      <x:c r="A1605" s="46" t="str">
        <x:v>LME_032</x:v>
      </x:c>
      <x:c r="B1605" s="46" t="str">
        <x:v>Arabian Sea</x:v>
      </x:c>
      <x:c r="C1605" s="46" t="str">
        <x:v>functional</x:v>
      </x:c>
      <x:c r="D1605" s="46" t="str">
        <x:v>Jellyfish</x:v>
      </x:c>
      <x:c r="E1605" s="66" t="n">
        <x:v>5</x:v>
      </x:c>
      <x:c r="F1605" s="66" t="n">
        <x:v>5</x:v>
      </x:c>
      <x:c r="G1605" s="60" t="n">
        <x:v>25817.175724542903</x:v>
      </x:c>
      <x:c r="H1605" s="60" t="n">
        <x:v>25817.175724542903</x:v>
      </x:c>
      <x:c r="I1605" s="62" t="n">
        <x:v>0</x:v>
      </x:c>
      <x:c r="J1605" s="64" t="n">
        <x:v>1</x:v>
      </x:c>
      <x:c r="K1605" s="62" t="n">
        <x:v>263.75179448837906</x:v>
      </x:c>
      <x:c r="L1605" s="60" t="n">
        <x:v>6809326.425970009</x:v>
      </x:c>
      <x:c r="M1605" s="62" t="n">
        <x:v>3.3678383552087694</x:v>
      </x:c>
      <x:c r="N1605" s="62" t="n">
        <x:v>233.25897087322716</x:v>
      </x:c>
      <x:c r="O1605" s="60" t="n">
        <x:v>6022087.84036014</x:v>
      </x:c>
      <x:c r="P1605" s="60" t="n">
        <x:v>787238.5856098682</x:v>
      </x:c>
      <x:c r="Q1605" s="62" t="n">
        <x:v>1.1307251914084981</x:v>
      </x:c>
      <x:c r="R1605" s="64" t="n">
        <x:v>0.1307251914084981</x:v>
      </x:c>
    </x:row>
    <x:row r="1606" ht="18" customHeight="1">
      <x:c r="A1606" s="46" t="str">
        <x:v>LME_032</x:v>
      </x:c>
      <x:c r="B1606" s="46" t="str">
        <x:v>Arabian Sea</x:v>
      </x:c>
      <x:c r="C1606" s="46" t="str">
        <x:v>functional</x:v>
      </x:c>
      <x:c r="D1606" s="46" t="str">
        <x:v>Large benthopelagics (&gt;=90 cm)</x:v>
      </x:c>
      <x:c r="E1606" s="66" t="n">
        <x:v>11</x:v>
      </x:c>
      <x:c r="F1606" s="66" t="n">
        <x:v>11</x:v>
      </x:c>
      <x:c r="G1606" s="60" t="n">
        <x:v>89433.4415923891</x:v>
      </x:c>
      <x:c r="H1606" s="60" t="n">
        <x:v>89433.4415923891</x:v>
      </x:c>
      <x:c r="I1606" s="62" t="n">
        <x:v>0</x:v>
      </x:c>
      <x:c r="J1606" s="64" t="n">
        <x:v>1</x:v>
      </x:c>
      <x:c r="K1606" s="62" t="n">
        <x:v>2362.347527946417</x:v>
      </x:c>
      <x:c r="L1606" s="60" t="n">
        <x:v>211272869.66152066</x:v>
      </x:c>
      <x:c r="M1606" s="62" t="n">
        <x:v>4.259627974952628</x:v>
      </x:c>
      <x:c r="N1606" s="62" t="n">
        <x:v>1818.1427351373957</x:v>
      </x:c>
      <x:c r="O1606" s="60" t="n">
        <x:v>162602762.10953686</x:v>
      </x:c>
      <x:c r="P1606" s="60" t="n">
        <x:v>48670107.5519838</x:v>
      </x:c>
      <x:c r="Q1606" s="62" t="n">
        <x:v>1.2993190701102442</x:v>
      </x:c>
      <x:c r="R1606" s="64" t="n">
        <x:v>0.2993190701102441</x:v>
      </x:c>
    </x:row>
    <x:row r="1607" ht="18" customHeight="1">
      <x:c r="A1607" s="46" t="str">
        <x:v>LME_032</x:v>
      </x:c>
      <x:c r="B1607" s="46" t="str">
        <x:v>Arabian Sea</x:v>
      </x:c>
      <x:c r="C1607" s="46" t="str">
        <x:v>functional</x:v>
      </x:c>
      <x:c r="D1607" s="46" t="str">
        <x:v>Large demersals (&gt;=90 cm)</x:v>
      </x:c>
      <x:c r="E1607" s="66" t="n">
        <x:v>8</x:v>
      </x:c>
      <x:c r="F1607" s="66" t="n">
        <x:v>8</x:v>
      </x:c>
      <x:c r="G1607" s="60" t="n">
        <x:v>59394.7561989588</x:v>
      </x:c>
      <x:c r="H1607" s="60" t="n">
        <x:v>59394.7561989588</x:v>
      </x:c>
      <x:c r="I1607" s="62" t="n">
        <x:v>0</x:v>
      </x:c>
      <x:c r="J1607" s="64" t="n">
        <x:v>1</x:v>
      </x:c>
      <x:c r="K1607" s="62" t="n">
        <x:v>711.6310193534513</x:v>
      </x:c>
      <x:c r="L1607" s="60" t="n">
        <x:v>42267150.89811477</x:v>
      </x:c>
      <x:c r="M1607" s="62" t="n">
        <x:v>3.7282209341467016</x:v>
      </x:c>
      <x:c r="N1607" s="62" t="n">
        <x:v>534.8363719861478</x:v>
      </x:c>
      <x:c r="O1607" s="60" t="n">
        <x:v>31766475.920452885</x:v>
      </x:c>
      <x:c r="P1607" s="60" t="n">
        <x:v>10500674.977661885</x:v>
      </x:c>
      <x:c r="Q1607" s="62" t="n">
        <x:v>1.330558385008046</x:v>
      </x:c>
      <x:c r="R1607" s="64" t="n">
        <x:v>0.33055838500804596</x:v>
      </x:c>
    </x:row>
    <x:row r="1608" ht="18" customHeight="1">
      <x:c r="A1608" s="46" t="str">
        <x:v>LME_032</x:v>
      </x:c>
      <x:c r="B1608" s="46" t="str">
        <x:v>Arabian Sea</x:v>
      </x:c>
      <x:c r="C1608" s="46" t="str">
        <x:v>functional</x:v>
      </x:c>
      <x:c r="D1608" s="46" t="str">
        <x:v>Large pelagics (&gt;=90 cm)</x:v>
      </x:c>
      <x:c r="E1608" s="66" t="n">
        <x:v>32</x:v>
      </x:c>
      <x:c r="F1608" s="66" t="n">
        <x:v>32</x:v>
      </x:c>
      <x:c r="G1608" s="60" t="n">
        <x:v>815669.3034427506</x:v>
      </x:c>
      <x:c r="H1608" s="60" t="n">
        <x:v>815669.3034427506</x:v>
      </x:c>
      <x:c r="I1608" s="62" t="n">
        <x:v>0</x:v>
      </x:c>
      <x:c r="J1608" s="64" t="n">
        <x:v>1</x:v>
      </x:c>
      <x:c r="K1608" s="62" t="n">
        <x:v>2691.537296879624</x:v>
      </x:c>
      <x:c r="L1608" s="60" t="n">
        <x:v>2195404352.135987</x:v>
      </x:c>
      <x:c r="M1608" s="62" t="n">
        <x:v>4.422968388888475</x:v>
      </x:c>
      <x:c r="N1608" s="62" t="n">
        <x:v>2648.3073685166623</x:v>
      </x:c>
      <x:c r="O1608" s="60" t="n">
        <x:v>2160143026.58029</x:v>
      </x:c>
      <x:c r="P1608" s="60" t="n">
        <x:v>35261325.555696964</x:v>
      </x:c>
      <x:c r="Q1608" s="62" t="n">
        <x:v>1.0163236068731611</x:v>
      </x:c>
      <x:c r="R1608" s="64" t="n">
        <x:v>0.016323606873161065</x:v>
      </x:c>
    </x:row>
    <x:row r="1609" ht="18" customHeight="1">
      <x:c r="A1609" s="46" t="str">
        <x:v>LME_032</x:v>
      </x:c>
      <x:c r="B1609" s="46" t="str">
        <x:v>Arabian Sea</x:v>
      </x:c>
      <x:c r="C1609" s="46" t="str">
        <x:v>functional</x:v>
      </x:c>
      <x:c r="D1609" s="46" t="str">
        <x:v>Large rays (&gt;=90 cm)</x:v>
      </x:c>
      <x:c r="E1609" s="66" t="n">
        <x:v>13</x:v>
      </x:c>
      <x:c r="F1609" s="66" t="n">
        <x:v>13</x:v>
      </x:c>
      <x:c r="G1609" s="60" t="n">
        <x:v>25303.2133360747</x:v>
      </x:c>
      <x:c r="H1609" s="60" t="n">
        <x:v>25303.2133360747</x:v>
      </x:c>
      <x:c r="I1609" s="62" t="n">
        <x:v>0</x:v>
      </x:c>
      <x:c r="J1609" s="64" t="n">
        <x:v>1</x:v>
      </x:c>
      <x:c r="K1609" s="62" t="n">
        <x:v>477.9483719253502</x:v>
      </x:c>
      <x:c r="L1609" s="60" t="n">
        <x:v>12093629.618456712</x:v>
      </x:c>
      <x:c r="M1609" s="62" t="n">
        <x:v>3.6263782026637132</x:v>
      </x:c>
      <x:c r="N1609" s="62" t="n">
        <x:v>423.0368529302932</x:v>
      </x:c>
      <x:c r="O1609" s="60" t="n">
        <x:v>10704191.738716867</x:v>
      </x:c>
      <x:c r="P1609" s="60" t="n">
        <x:v>1389437.8797398452</x:v>
      </x:c>
      <x:c r="Q1609" s="62" t="n">
        <x:v>1.1298031568992055</x:v>
      </x:c>
      <x:c r="R1609" s="64" t="n">
        <x:v>0.12980315689920555</x:v>
      </x:c>
    </x:row>
    <x:row r="1610" ht="18" customHeight="1">
      <x:c r="A1610" s="46" t="str">
        <x:v>LME_032</x:v>
      </x:c>
      <x:c r="B1610" s="46" t="str">
        <x:v>Arabian Sea</x:v>
      </x:c>
      <x:c r="C1610" s="46" t="str">
        <x:v>functional</x:v>
      </x:c>
      <x:c r="D1610" s="46" t="str">
        <x:v>Large reef assoc. fish (&gt;=90 cm)</x:v>
      </x:c>
      <x:c r="E1610" s="66" t="n">
        <x:v>23</x:v>
      </x:c>
      <x:c r="F1610" s="66" t="n">
        <x:v>23</x:v>
      </x:c>
      <x:c r="G1610" s="60" t="n">
        <x:v>88939.94339352219</x:v>
      </x:c>
      <x:c r="H1610" s="60" t="n">
        <x:v>88939.94339352219</x:v>
      </x:c>
      <x:c r="I1610" s="62" t="n">
        <x:v>0</x:v>
      </x:c>
      <x:c r="J1610" s="64" t="n">
        <x:v>1</x:v>
      </x:c>
      <x:c r="K1610" s="62" t="n">
        <x:v>2119.5865322745744</x:v>
      </x:c>
      <x:c r="L1610" s="60" t="n">
        <x:v>188515906.19817266</x:v>
      </x:c>
      <x:c r="M1610" s="62" t="n">
        <x:v>4.2465486023722425</x:v>
      </x:c>
      <x:c r="N1610" s="62" t="n">
        <x:v>1764.2031873447581</x:v>
      </x:c>
      <x:c r="O1610" s="60" t="n">
        <x:v>156908131.61711422</x:v>
      </x:c>
      <x:c r="P1610" s="60" t="n">
        <x:v>31607774.581058443</x:v>
      </x:c>
      <x:c r="Q1610" s="62" t="n">
        <x:v>1.2014412781243706</x:v>
      </x:c>
      <x:c r="R1610" s="64" t="n">
        <x:v>0.20144127812437054</x:v>
      </x:c>
    </x:row>
    <x:row r="1611" ht="18" customHeight="1">
      <x:c r="A1611" s="46" t="str">
        <x:v>LME_032</x:v>
      </x:c>
      <x:c r="B1611" s="46" t="str">
        <x:v>Arabian Sea</x:v>
      </x:c>
      <x:c r="C1611" s="46" t="str">
        <x:v>functional</x:v>
      </x:c>
      <x:c r="D1611" s="46" t="str">
        <x:v>Large sharks (&gt;=90 cm)</x:v>
      </x:c>
      <x:c r="E1611" s="66" t="n">
        <x:v>31</x:v>
      </x:c>
      <x:c r="F1611" s="66" t="n">
        <x:v>31</x:v>
      </x:c>
      <x:c r="G1611" s="60" t="n">
        <x:v>162525.1750261954</x:v>
      </x:c>
      <x:c r="H1611" s="60" t="n">
        <x:v>162525.1750261954</x:v>
      </x:c>
      <x:c r="I1611" s="62" t="n">
        <x:v>0</x:v>
      </x:c>
      <x:c r="J1611" s="64" t="n">
        <x:v>1</x:v>
      </x:c>
      <x:c r="K1611" s="62" t="n">
        <x:v>2048.5316889573114</x:v>
      </x:c>
      <x:c r="L1611" s="60" t="n">
        <x:v>332937971.2944947</x:v>
      </x:c>
      <x:c r="M1611" s="62" t="n">
        <x:v>4.2709323549921265</x:v>
      </x:c>
      <x:c r="N1611" s="62" t="n">
        <x:v>1866.0890091836122</x:v>
      </x:c>
      <x:c r="O1611" s="60" t="n">
        <x:v>303286442.8320261</x:v>
      </x:c>
      <x:c r="P1611" s="60" t="n">
        <x:v>29651528.462468565</x:v>
      </x:c>
      <x:c r="Q1611" s="62" t="n">
        <x:v>1.0977674049179011</x:v>
      </x:c>
      <x:c r="R1611" s="64" t="n">
        <x:v>0.0977674049179011</x:v>
      </x:c>
    </x:row>
    <x:row r="1612" ht="18" customHeight="1">
      <x:c r="A1612" s="46" t="str">
        <x:v>LME_032</x:v>
      </x:c>
      <x:c r="B1612" s="46" t="str">
        <x:v>Arabian Sea</x:v>
      </x:c>
      <x:c r="C1612" s="46" t="str">
        <x:v>functional</x:v>
      </x:c>
      <x:c r="D1612" s="46" t="str">
        <x:v>Lobsters, crabs</x:v>
      </x:c>
      <x:c r="E1612" s="66" t="n">
        <x:v>12</x:v>
      </x:c>
      <x:c r="F1612" s="66" t="n">
        <x:v>12</x:v>
      </x:c>
      <x:c r="G1612" s="60" t="n">
        <x:v>207803.2637881115</x:v>
      </x:c>
      <x:c r="H1612" s="60" t="n">
        <x:v>207803.2637881115</x:v>
      </x:c>
      <x:c r="I1612" s="62" t="n">
        <x:v>0</x:v>
      </x:c>
      <x:c r="J1612" s="64" t="n">
        <x:v>1</x:v>
      </x:c>
      <x:c r="K1612" s="62" t="n">
        <x:v>255.59791476413022</x:v>
      </x:c>
      <x:c r="L1612" s="60" t="n">
        <x:v>53114080.90542179</x:v>
      </x:c>
      <x:c r="M1612" s="62" t="n">
        <x:v>3.3701870210197438</x:v>
      </x:c>
      <x:c r="N1612" s="62" t="n">
        <x:v>234.52385322152352</x:v>
      </x:c>
      <x:c r="O1612" s="60" t="n">
        <x:v>48734822.135596596</x:v>
      </x:c>
      <x:c r="P1612" s="60" t="n">
        <x:v>4379258.769825198</x:v>
      </x:c>
      <x:c r="Q1612" s="62" t="n">
        <x:v>1.0898589258752323</x:v>
      </x:c>
      <x:c r="R1612" s="64" t="n">
        <x:v>0.08985892587523216</x:v>
      </x:c>
    </x:row>
    <x:row r="1613" ht="18" customHeight="1">
      <x:c r="A1613" s="46" t="str">
        <x:v>LME_032</x:v>
      </x:c>
      <x:c r="B1613" s="46" t="str">
        <x:v>Arabian Sea</x:v>
      </x:c>
      <x:c r="C1613" s="46" t="str">
        <x:v>functional</x:v>
      </x:c>
      <x:c r="D1613" s="46" t="str">
        <x:v>Medium bathydemersals (30 - 89 cm)</x:v>
      </x:c>
      <x:c r="E1613" s="66" t="n">
        <x:v>1</x:v>
      </x:c>
      <x:c r="F1613" s="66" t="n">
        <x:v>1</x:v>
      </x:c>
      <x:c r="G1613" s="60" t="n">
        <x:v>150.48445620089998</x:v>
      </x:c>
      <x:c r="H1613" s="60" t="n">
        <x:v>150.48445620089998</x:v>
      </x:c>
      <x:c r="I1613" s="62" t="n">
        <x:v>0</x:v>
      </x:c>
      <x:c r="J1613" s="64" t="n">
        <x:v>1</x:v>
      </x:c>
      <x:c r="K1613" s="62" t="n">
        <x:v>2290.867652767775</x:v>
      </x:c>
      <x:c r="L1613" s="60" t="n">
        <x:v>344739.97295499075</x:v>
      </x:c>
      <x:c r="M1613" s="62" t="n">
        <x:v>4.36</x:v>
      </x:c>
      <x:c r="N1613" s="62" t="n">
        <x:v>2290.867652767775</x:v>
      </x:c>
      <x:c r="O1613" s="60" t="n">
        <x:v>344739.97295499075</x:v>
      </x:c>
      <x:c r="P1613" s="60" t="n">
        <x:v>0</x:v>
      </x:c>
      <x:c r="Q1613" s="62" t="n">
        <x:v>1</x:v>
      </x:c>
      <x:c r="R1613" s="64" t="n">
        <x:v>0</x:v>
      </x:c>
    </x:row>
    <x:row r="1614" ht="18" customHeight="1">
      <x:c r="A1614" s="46" t="str">
        <x:v>LME_032</x:v>
      </x:c>
      <x:c r="B1614" s="46" t="str">
        <x:v>Arabian Sea</x:v>
      </x:c>
      <x:c r="C1614" s="46" t="str">
        <x:v>functional</x:v>
      </x:c>
      <x:c r="D1614" s="46" t="str">
        <x:v>Medium bathypelagics (30 - 89 cm)</x:v>
      </x:c>
      <x:c r="E1614" s="66" t="n">
        <x:v>1</x:v>
      </x:c>
      <x:c r="F1614" s="66" t="n">
        <x:v>1</x:v>
      </x:c>
      <x:c r="G1614" s="60" t="n">
        <x:v>1115.942419327</x:v>
      </x:c>
      <x:c r="H1614" s="60" t="n">
        <x:v>1115.942419327</x:v>
      </x:c>
      <x:c r="I1614" s="62" t="n">
        <x:v>0</x:v>
      </x:c>
      <x:c r="J1614" s="64" t="n">
        <x:v>1</x:v>
      </x:c>
      <x:c r="K1614" s="62" t="n">
        <x:v>1202.2644346174131</x:v>
      </x:c>
      <x:c r="L1614" s="60" t="n">
        <x:v>1341657.8818377638</x:v>
      </x:c>
      <x:c r="M1614" s="62" t="n">
        <x:v>4.08</x:v>
      </x:c>
      <x:c r="N1614" s="62" t="n">
        <x:v>1202.2644346174131</x:v>
      </x:c>
      <x:c r="O1614" s="60" t="n">
        <x:v>1341657.8818377638</x:v>
      </x:c>
      <x:c r="P1614" s="60" t="n">
        <x:v>0</x:v>
      </x:c>
      <x:c r="Q1614" s="62" t="n">
        <x:v>1</x:v>
      </x:c>
      <x:c r="R1614" s="64" t="n">
        <x:v>0</x:v>
      </x:c>
    </x:row>
    <x:row r="1615" ht="18" customHeight="1">
      <x:c r="A1615" s="46" t="str">
        <x:v>LME_032</x:v>
      </x:c>
      <x:c r="B1615" s="46" t="str">
        <x:v>Arabian Sea</x:v>
      </x:c>
      <x:c r="C1615" s="46" t="str">
        <x:v>functional</x:v>
      </x:c>
      <x:c r="D1615" s="46" t="str">
        <x:v>Medium benthopelagics (30 - 89 cm)</x:v>
      </x:c>
      <x:c r="E1615" s="66" t="n">
        <x:v>10</x:v>
      </x:c>
      <x:c r="F1615" s="66" t="n">
        <x:v>10</x:v>
      </x:c>
      <x:c r="G1615" s="60" t="n">
        <x:v>181958.4514208631</x:v>
      </x:c>
      <x:c r="H1615" s="60" t="n">
        <x:v>181958.4514208631</x:v>
      </x:c>
      <x:c r="I1615" s="62" t="n">
        <x:v>0</x:v>
      </x:c>
      <x:c r="J1615" s="64" t="n">
        <x:v>1</x:v>
      </x:c>
      <x:c r="K1615" s="62" t="n">
        <x:v>989.8078773224705</x:v>
      </x:c>
      <x:c r="L1615" s="60" t="n">
        <x:v>180103908.56176838</x:v>
      </x:c>
      <x:c r="M1615" s="62" t="n">
        <x:v>3.7927580185188288</x:v>
      </x:c>
      <x:c r="N1615" s="62" t="n">
        <x:v>620.5231929465654</x:v>
      </x:c>
      <x:c r="O1615" s="60" t="n">
        <x:v>112909439.25928648</x:v>
      </x:c>
      <x:c r="P1615" s="60" t="n">
        <x:v>67194469.3024819</x:v>
      </x:c>
      <x:c r="Q1615" s="62" t="n">
        <x:v>1.5951182624171554</x:v>
      </x:c>
      <x:c r="R1615" s="64" t="n">
        <x:v>0.5951182624171553</x:v>
      </x:c>
    </x:row>
    <x:row r="1616" ht="18" customHeight="1">
      <x:c r="A1616" s="46" t="str">
        <x:v>LME_032</x:v>
      </x:c>
      <x:c r="B1616" s="46" t="str">
        <x:v>Arabian Sea</x:v>
      </x:c>
      <x:c r="C1616" s="46" t="str">
        <x:v>functional</x:v>
      </x:c>
      <x:c r="D1616" s="46" t="str">
        <x:v>Medium demersals (30 - 89 cm)</x:v>
      </x:c>
      <x:c r="E1616" s="66" t="n">
        <x:v>36</x:v>
      </x:c>
      <x:c r="F1616" s="66" t="n">
        <x:v>36</x:v>
      </x:c>
      <x:c r="G1616" s="60" t="n">
        <x:v>1040277.493119509</x:v>
      </x:c>
      <x:c r="H1616" s="60" t="n">
        <x:v>1040277.493119509</x:v>
      </x:c>
      <x:c r="I1616" s="62" t="n">
        <x:v>0</x:v>
      </x:c>
      <x:c r="J1616" s="64" t="n">
        <x:v>1</x:v>
      </x:c>
      <x:c r="K1616" s="62" t="n">
        <x:v>430.56842689096476</x:v>
      </x:c>
      <x:c r="L1616" s="60" t="n">
        <x:v>447910643.7425434</x:v>
      </x:c>
      <x:c r="M1616" s="62" t="n">
        <x:v>3.4893501962982825</x:v>
      </x:c>
      <x:c r="N1616" s="62" t="n">
        <x:v>308.5675102376085</x:v>
      </x:c>
      <x:c r="O1616" s="60" t="n">
        <x:v>320995836.0081078</x:v>
      </x:c>
      <x:c r="P1616" s="60" t="n">
        <x:v>126914807.73443562</x:v>
      </x:c>
      <x:c r="Q1616" s="62" t="n">
        <x:v>1.3953783616408968</x:v>
      </x:c>
      <x:c r="R1616" s="64" t="n">
        <x:v>0.39537836164089674</x:v>
      </x:c>
    </x:row>
    <x:row r="1617" ht="18" customHeight="1">
      <x:c r="A1617" s="46" t="str">
        <x:v>LME_032</x:v>
      </x:c>
      <x:c r="B1617" s="46" t="str">
        <x:v>Arabian Sea</x:v>
      </x:c>
      <x:c r="C1617" s="46" t="str">
        <x:v>functional</x:v>
      </x:c>
      <x:c r="D1617" s="46" t="str">
        <x:v>Medium pelagics (30 - 89 cm)</x:v>
      </x:c>
      <x:c r="E1617" s="66" t="n">
        <x:v>24</x:v>
      </x:c>
      <x:c r="F1617" s="66" t="n">
        <x:v>24</x:v>
      </x:c>
      <x:c r="G1617" s="60" t="n">
        <x:v>696370.207903303</x:v>
      </x:c>
      <x:c r="H1617" s="60" t="n">
        <x:v>696370.207903303</x:v>
      </x:c>
      <x:c r="I1617" s="62" t="n">
        <x:v>0</x:v>
      </x:c>
      <x:c r="J1617" s="64" t="n">
        <x:v>1</x:v>
      </x:c>
      <x:c r="K1617" s="62" t="n">
        <x:v>675.5068762900988</x:v>
      </x:c>
      <x:c r="L1617" s="60" t="n">
        <x:v>470402863.88224685</x:v>
      </x:c>
      <x:c r="M1617" s="62" t="n">
        <x:v>3.598990474777878</x:v>
      </x:c>
      <x:c r="N1617" s="62" t="n">
        <x:v>397.18283810790496</x:v>
      </x:c>
      <x:c r="O1617" s="60" t="n">
        <x:v>276586295.5488257</x:v>
      </x:c>
      <x:c r="P1617" s="60" t="n">
        <x:v>193816568.33342117</x:v>
      </x:c>
      <x:c r="Q1617" s="62" t="n">
        <x:v>1.7007453783956799</x:v>
      </x:c>
      <x:c r="R1617" s="64" t="n">
        <x:v>0.7007453783956797</x:v>
      </x:c>
    </x:row>
    <x:row r="1618" ht="18" customHeight="1">
      <x:c r="A1618" s="46" t="str">
        <x:v>LME_032</x:v>
      </x:c>
      <x:c r="B1618" s="46" t="str">
        <x:v>Arabian Sea</x:v>
      </x:c>
      <x:c r="C1618" s="46" t="str">
        <x:v>functional</x:v>
      </x:c>
      <x:c r="D1618" s="46" t="str">
        <x:v>Medium reef assoc. fish (30 - 89 cm)</x:v>
      </x:c>
      <x:c r="E1618" s="66" t="n">
        <x:v>87</x:v>
      </x:c>
      <x:c r="F1618" s="66" t="n">
        <x:v>87</x:v>
      </x:c>
      <x:c r="G1618" s="60" t="n">
        <x:v>238366.9593451601</x:v>
      </x:c>
      <x:c r="H1618" s="60" t="n">
        <x:v>238366.9593451601</x:v>
      </x:c>
      <x:c r="I1618" s="62" t="n">
        <x:v>0</x:v>
      </x:c>
      <x:c r="J1618" s="64" t="n">
        <x:v>1</x:v>
      </x:c>
      <x:c r="K1618" s="62" t="n">
        <x:v>772.0520871783718</x:v>
      </x:c>
      <x:c r="L1618" s="60" t="n">
        <x:v>184031708.47679296</x:v>
      </x:c>
      <x:c r="M1618" s="62" t="n">
        <x:v>3.5762511244320128</x:v>
      </x:c>
      <x:c r="N1618" s="62" t="n">
        <x:v>376.9216854346213</x:v>
      </x:c>
      <x:c r="O1618" s="60" t="n">
        <x:v>89845676.0683036</x:v>
      </x:c>
      <x:c r="P1618" s="60" t="n">
        <x:v>94186032.40848936</x:v>
      </x:c>
      <x:c r="Q1618" s="62" t="n">
        <x:v>2.048309017530082</x:v>
      </x:c>
      <x:c r="R1618" s="64" t="n">
        <x:v>1.0483090175300822</x:v>
      </x:c>
    </x:row>
    <x:row r="1619" ht="18" customHeight="1">
      <x:c r="A1619" s="46" t="str">
        <x:v>LME_032</x:v>
      </x:c>
      <x:c r="B1619" s="46" t="str">
        <x:v>Arabian Sea</x:v>
      </x:c>
      <x:c r="C1619" s="46" t="str">
        <x:v>functional</x:v>
      </x:c>
      <x:c r="D1619" s="46" t="str">
        <x:v>Other demersal invertebrates</x:v>
      </x:c>
      <x:c r="E1619" s="66" t="n">
        <x:v>20</x:v>
      </x:c>
      <x:c r="F1619" s="66" t="n">
        <x:v>20</x:v>
      </x:c>
      <x:c r="G1619" s="60" t="n">
        <x:v>98643.46270729399</x:v>
      </x:c>
      <x:c r="H1619" s="60" t="n">
        <x:v>98643.46270729399</x:v>
      </x:c>
      <x:c r="I1619" s="62" t="n">
        <x:v>0</x:v>
      </x:c>
      <x:c r="J1619" s="64" t="n">
        <x:v>1</x:v>
      </x:c>
      <x:c r="K1619" s="62" t="n">
        <x:v>18.805524092239605</x:v>
      </x:c>
      <x:c r="L1619" s="60" t="n">
        <x:v>1855042.0144839562</x:v>
      </x:c>
      <x:c r="M1619" s="62" t="n">
        <x:v>2.2353162102929707</x:v>
      </x:c>
      <x:c r="N1619" s="62" t="n">
        <x:v>17.191596536247086</x:v>
      </x:c>
      <x:c r="O1619" s="60" t="n">
        <x:v>1695838.611802134</x:v>
      </x:c>
      <x:c r="P1619" s="60" t="n">
        <x:v>159203.4026818222</x:v>
      </x:c>
      <x:c r="Q1619" s="62" t="n">
        <x:v>1.093878864164226</x:v>
      </x:c>
      <x:c r="R1619" s="64" t="n">
        <x:v>0.09387886416422604</x:v>
      </x:c>
    </x:row>
    <x:row r="1620" ht="18" customHeight="1">
      <x:c r="A1620" s="46" t="str">
        <x:v>LME_032</x:v>
      </x:c>
      <x:c r="B1620" s="46" t="str">
        <x:v>Arabian Sea</x:v>
      </x:c>
      <x:c r="C1620" s="46" t="str">
        <x:v>functional</x:v>
      </x:c>
      <x:c r="D1620" s="46" t="str">
        <x:v>Shrimps</x:v>
      </x:c>
      <x:c r="E1620" s="66" t="n">
        <x:v>10</x:v>
      </x:c>
      <x:c r="F1620" s="66" t="n">
        <x:v>10</x:v>
      </x:c>
      <x:c r="G1620" s="60" t="n">
        <x:v>180143.65279700793</x:v>
      </x:c>
      <x:c r="H1620" s="60" t="n">
        <x:v>180143.65279700793</x:v>
      </x:c>
      <x:c r="I1620" s="62" t="n">
        <x:v>0</x:v>
      </x:c>
      <x:c r="J1620" s="64" t="n">
        <x:v>1</x:v>
      </x:c>
      <x:c r="K1620" s="62" t="n">
        <x:v>179.96852990616736</x:v>
      </x:c>
      <x:c r="L1620" s="60" t="n">
        <x:v>32420188.365804553</x:v>
      </x:c>
      <x:c r="M1620" s="62" t="n">
        <x:v>3.1522475084271604</x:v>
      </x:c>
      <x:c r="N1620" s="62" t="n">
        <x:v>141.9866486143244</x:v>
      </x:c>
      <x:c r="O1620" s="60" t="n">
        <x:v>25577993.529789623</x:v>
      </x:c>
      <x:c r="P1620" s="60" t="n">
        <x:v>6842194.83601493</x:v>
      </x:c>
      <x:c r="Q1620" s="62" t="n">
        <x:v>1.2675031889442818</x:v>
      </x:c>
      <x:c r="R1620" s="64" t="n">
        <x:v>0.26750318894428177</x:v>
      </x:c>
    </x:row>
    <x:row r="1621" ht="18" customHeight="1">
      <x:c r="A1621" s="46" t="str">
        <x:v>LME_032</x:v>
      </x:c>
      <x:c r="B1621" s="46" t="str">
        <x:v>Arabian Sea</x:v>
      </x:c>
      <x:c r="C1621" s="46" t="str">
        <x:v>functional</x:v>
      </x:c>
      <x:c r="D1621" s="46" t="str">
        <x:v>Small benthopelagics (&lt;30 cm)</x:v>
      </x:c>
      <x:c r="E1621" s="66" t="n">
        <x:v>7</x:v>
      </x:c>
      <x:c r="F1621" s="66" t="n">
        <x:v>7</x:v>
      </x:c>
      <x:c r="G1621" s="60" t="n">
        <x:v>16357.8658160091</x:v>
      </x:c>
      <x:c r="H1621" s="60" t="n">
        <x:v>16357.8658160091</x:v>
      </x:c>
      <x:c r="I1621" s="62" t="n">
        <x:v>0</x:v>
      </x:c>
      <x:c r="J1621" s="64" t="n">
        <x:v>1</x:v>
      </x:c>
      <x:c r="K1621" s="62" t="n">
        <x:v>170.36341021208662</x:v>
      </x:c>
      <x:c r="L1621" s="60" t="n">
        <x:v>2786781.8042070274</x:v>
      </x:c>
      <x:c r="M1621" s="62" t="n">
        <x:v>3.2197929121987485</x:v>
      </x:c>
      <x:c r="N1621" s="62" t="n">
        <x:v>165.8795743167188</x:v>
      </x:c>
      <x:c r="O1621" s="60" t="n">
        <x:v>2713435.818289595</x:v>
      </x:c>
      <x:c r="P1621" s="60" t="n">
        <x:v>73345.98591743223</x:v>
      </x:c>
      <x:c r="Q1621" s="62" t="n">
        <x:v>1.0270306691697118</x:v>
      </x:c>
      <x:c r="R1621" s="64" t="n">
        <x:v>0.027030669169711787</x:v>
      </x:c>
    </x:row>
    <x:row r="1622" ht="18" customHeight="1">
      <x:c r="A1622" s="46" t="str">
        <x:v>LME_032</x:v>
      </x:c>
      <x:c r="B1622" s="46" t="str">
        <x:v>Arabian Sea</x:v>
      </x:c>
      <x:c r="C1622" s="46" t="str">
        <x:v>functional</x:v>
      </x:c>
      <x:c r="D1622" s="46" t="str">
        <x:v>Small demersals (&lt;30 cm)</x:v>
      </x:c>
      <x:c r="E1622" s="66" t="n">
        <x:v>10</x:v>
      </x:c>
      <x:c r="F1622" s="66" t="n">
        <x:v>10</x:v>
      </x:c>
      <x:c r="G1622" s="60" t="n">
        <x:v>185786.3739168006</x:v>
      </x:c>
      <x:c r="H1622" s="60" t="n">
        <x:v>185786.3739168006</x:v>
      </x:c>
      <x:c r="I1622" s="62" t="n">
        <x:v>0</x:v>
      </x:c>
      <x:c r="J1622" s="64" t="n">
        <x:v>1</x:v>
      </x:c>
      <x:c r="K1622" s="62" t="n">
        <x:v>343.8952439670016</x:v>
      </x:c>
      <x:c r="L1622" s="60" t="n">
        <x:v>63891050.38386272</x:v>
      </x:c>
      <x:c r="M1622" s="62" t="n">
        <x:v>3.522110973189372</x:v>
      </x:c>
      <x:c r="N1622" s="62" t="n">
        <x:v>332.74456705785803</x:v>
      </x:c>
      <x:c r="O1622" s="60" t="n">
        <x:v>61819406.55419514</x:v>
      </x:c>
      <x:c r="P1622" s="60" t="n">
        <x:v>2071643.8296675757</x:v>
      </x:c>
      <x:c r="Q1622" s="62" t="n">
        <x:v>1.0335112215587419</x:v>
      </x:c>
      <x:c r="R1622" s="64" t="n">
        <x:v>0.033511221558741915</x:v>
      </x:c>
    </x:row>
    <x:row r="1623" ht="18" customHeight="1">
      <x:c r="A1623" s="46" t="str">
        <x:v>LME_032</x:v>
      </x:c>
      <x:c r="B1623" s="46" t="str">
        <x:v>Arabian Sea</x:v>
      </x:c>
      <x:c r="C1623" s="46" t="str">
        <x:v>functional</x:v>
      </x:c>
      <x:c r="D1623" s="46" t="str">
        <x:v>Small pelagics (&lt;30 cm)</x:v>
      </x:c>
      <x:c r="E1623" s="66" t="n">
        <x:v>23</x:v>
      </x:c>
      <x:c r="F1623" s="66" t="n">
        <x:v>23</x:v>
      </x:c>
      <x:c r="G1623" s="60" t="n">
        <x:v>1055406.1865886298</x:v>
      </x:c>
      <x:c r="H1623" s="60" t="n">
        <x:v>1055406.1865886298</x:v>
      </x:c>
      <x:c r="I1623" s="62" t="n">
        <x:v>0</x:v>
      </x:c>
      <x:c r="J1623" s="64" t="n">
        <x:v>1</x:v>
      </x:c>
      <x:c r="K1623" s="62" t="n">
        <x:v>104.75986678987022</x:v>
      </x:c>
      <x:c r="L1623" s="60" t="n">
        <x:v>110564211.51622978</x:v>
      </x:c>
      <x:c r="M1623" s="62" t="n">
        <x:v>2.7550989092856772</x:v>
      </x:c>
      <x:c r="N1623" s="62" t="n">
        <x:v>56.898250017283736</x:v>
      </x:c>
      <x:c r="O1623" s="60" t="n">
        <x:v>60050765.074307874</x:v>
      </x:c>
      <x:c r="P1623" s="60" t="n">
        <x:v>50513446.441921905</x:v>
      </x:c>
      <x:c r="Q1623" s="62" t="n">
        <x:v>1.8411790654026752</x:v>
      </x:c>
      <x:c r="R1623" s="64" t="n">
        <x:v>0.8411790654026752</x:v>
      </x:c>
    </x:row>
    <x:row r="1624" ht="18" customHeight="1">
      <x:c r="A1624" s="46" t="str">
        <x:v>LME_032</x:v>
      </x:c>
      <x:c r="B1624" s="46" t="str">
        <x:v>Arabian Sea</x:v>
      </x:c>
      <x:c r="C1624" s="46" t="str">
        <x:v>functional</x:v>
      </x:c>
      <x:c r="D1624" s="46" t="str">
        <x:v>Small reef assoc. fish (&lt;30 cm)</x:v>
      </x:c>
      <x:c r="E1624" s="66" t="n">
        <x:v>10</x:v>
      </x:c>
      <x:c r="F1624" s="66" t="n">
        <x:v>10</x:v>
      </x:c>
      <x:c r="G1624" s="60" t="n">
        <x:v>24188.3540575971</x:v>
      </x:c>
      <x:c r="H1624" s="60" t="n">
        <x:v>24188.3540575971</x:v>
      </x:c>
      <x:c r="I1624" s="62" t="n">
        <x:v>0</x:v>
      </x:c>
      <x:c r="J1624" s="64" t="n">
        <x:v>1</x:v>
      </x:c>
      <x:c r="K1624" s="62" t="n">
        <x:v>356.3959315281266</x:v>
      </x:c>
      <x:c r="L1624" s="60" t="n">
        <x:v>8620630.976489458</x:v>
      </x:c>
      <x:c r="M1624" s="62" t="n">
        <x:v>3.1967470304764967</x:v>
      </x:c>
      <x:c r="N1624" s="62" t="n">
        <x:v>157.30663118259807</x:v>
      </x:c>
      <x:c r="O1624" s="60" t="n">
        <x:v>3804988.4906525263</x:v>
      </x:c>
      <x:c r="P1624" s="60" t="n">
        <x:v>4815642.485836932</x:v>
      </x:c>
      <x:c r="Q1624" s="62" t="n">
        <x:v>2.2656128915152345</x:v>
      </x:c>
      <x:c r="R1624" s="64" t="n">
        <x:v>1.2656128915152347</x:v>
      </x:c>
    </x:row>
    <x:row r="1625" ht="18" customHeight="1">
      <x:c r="A1625" s="46" t="str">
        <x:v>LME_032</x:v>
      </x:c>
      <x:c r="B1625" s="46" t="str">
        <x:v>Arabian Sea</x:v>
      </x:c>
      <x:c r="C1625" s="46" t="str">
        <x:v>functional</x:v>
      </x:c>
      <x:c r="D1625" s="46" t="str">
        <x:v>Small to medium flatfishes (&lt;90 cm)</x:v>
      </x:c>
      <x:c r="E1625" s="66" t="n">
        <x:v>5</x:v>
      </x:c>
      <x:c r="F1625" s="66" t="n">
        <x:v>5</x:v>
      </x:c>
      <x:c r="G1625" s="60" t="n">
        <x:v>50229.592475417296</x:v>
      </x:c>
      <x:c r="H1625" s="60" t="n">
        <x:v>50229.592475417296</x:v>
      </x:c>
      <x:c r="I1625" s="62" t="n">
        <x:v>0</x:v>
      </x:c>
      <x:c r="J1625" s="64" t="n">
        <x:v>1</x:v>
      </x:c>
      <x:c r="K1625" s="62" t="n">
        <x:v>566.8140929756333</x:v>
      </x:c>
      <x:c r="L1625" s="60" t="n">
        <x:v>28470840.89948935</x:v>
      </x:c>
      <x:c r="M1625" s="62" t="n">
        <x:v>3.379868572229347</x:v>
      </x:c>
      <x:c r="N1625" s="62" t="n">
        <x:v>239.81070853372918</x:v>
      </x:c>
      <x:c r="O1625" s="60" t="n">
        <x:v>12045594.160890294</x:v>
      </x:c>
      <x:c r="P1625" s="60" t="n">
        <x:v>16425246.738599056</x:v>
      </x:c>
      <x:c r="Q1625" s="62" t="n">
        <x:v>2.363589584640718</x:v>
      </x:c>
      <x:c r="R1625" s="64" t="n">
        <x:v>1.3635895846407182</x:v>
      </x:c>
    </x:row>
    <x:row r="1626" ht="18" customHeight="1">
      <x:c r="A1626" s="46" t="str">
        <x:v>LME_032</x:v>
      </x:c>
      <x:c r="B1626" s="46" t="str">
        <x:v>Arabian Sea</x:v>
      </x:c>
      <x:c r="C1626" s="46" t="str">
        <x:v>functional</x:v>
      </x:c>
      <x:c r="D1626" s="46" t="str">
        <x:v>Small to medium rays (&lt;90 cm)</x:v>
      </x:c>
      <x:c r="E1626" s="66" t="n">
        <x:v>1</x:v>
      </x:c>
      <x:c r="F1626" s="66" t="n">
        <x:v>1</x:v>
      </x:c>
      <x:c r="G1626" s="60" t="n">
        <x:v>549.7183426767999</x:v>
      </x:c>
      <x:c r="H1626" s="60" t="n">
        <x:v>549.7183426767999</x:v>
      </x:c>
      <x:c r="I1626" s="62" t="n">
        <x:v>0</x:v>
      </x:c>
      <x:c r="J1626" s="64" t="n">
        <x:v>1</x:v>
      </x:c>
      <x:c r="K1626" s="62" t="n">
        <x:v>575.4399373371566</x:v>
      </x:c>
      <x:c r="L1626" s="60" t="n">
        <x:v>316329.8886630233</x:v>
      </x:c>
      <x:c r="M1626" s="62" t="n">
        <x:v>3.76</x:v>
      </x:c>
      <x:c r="N1626" s="62" t="n">
        <x:v>575.4399373371566</x:v>
      </x:c>
      <x:c r="O1626" s="60" t="n">
        <x:v>316329.8886630233</x:v>
      </x:c>
      <x:c r="P1626" s="60" t="n">
        <x:v>0</x:v>
      </x:c>
      <x:c r="Q1626" s="62" t="n">
        <x:v>1</x:v>
      </x:c>
      <x:c r="R1626" s="64" t="n">
        <x:v>0</x:v>
      </x:c>
    </x:row>
    <x:row r="1627" ht="18" customHeight="1">
      <x:c r="A1627" s="46" t="str">
        <x:v>LME_032</x:v>
      </x:c>
      <x:c r="B1627" s="46" t="str">
        <x:v>Arabian Sea</x:v>
      </x:c>
      <x:c r="C1627" s="46" t="str">
        <x:v>functional</x:v>
      </x:c>
      <x:c r="D1627" s="46" t="str">
        <x:v>Small to medium sharks (&lt;90 cm)</x:v>
      </x:c>
      <x:c r="E1627" s="66" t="n">
        <x:v>2</x:v>
      </x:c>
      <x:c r="F1627" s="66" t="n">
        <x:v>2</x:v>
      </x:c>
      <x:c r="G1627" s="60" t="n">
        <x:v>1239.109382334</x:v>
      </x:c>
      <x:c r="H1627" s="60" t="n">
        <x:v>1239.109382334</x:v>
      </x:c>
      <x:c r="I1627" s="62" t="n">
        <x:v>0</x:v>
      </x:c>
      <x:c r="J1627" s="64" t="n">
        <x:v>1</x:v>
      </x:c>
      <x:c r="K1627" s="62" t="n">
        <x:v>1011.6293817013569</x:v>
      </x:c>
      <x:c r="L1627" s="60" t="n">
        <x:v>1253519.4583108947</x:v>
      </x:c>
      <x:c r="M1627" s="62" t="n">
        <x:v>3.9982636769890036</x:v>
      </x:c>
      <x:c r="N1627" s="62" t="n">
        <x:v>996.0099500058327</x:v>
      </x:c>
      <x:c r="O1627" s="60" t="n">
        <x:v>1234165.2739502455</x:v>
      </x:c>
      <x:c r="P1627" s="60" t="n">
        <x:v>19354.184360649204</x:v>
      </x:c>
      <x:c r="Q1627" s="62" t="n">
        <x:v>1.0156820036741931</x:v>
      </x:c>
      <x:c r="R1627" s="64" t="n">
        <x:v>0.015682003674193035</x:v>
      </x:c>
    </x:row>
    <x:row r="1628" ht="18" customHeight="1">
      <x:c r="A1628" s="46" t="str">
        <x:v>LME_033</x:v>
      </x:c>
      <x:c r="B1628" s="46" t="str">
        <x:v>Red Sea</x:v>
      </x:c>
      <x:c r="C1628" s="46" t="str">
        <x:v>functional</x:v>
      </x:c>
      <x:c r="D1628" s="46" t="str">
        <x:v>Cephalopods</x:v>
      </x:c>
      <x:c r="E1628" s="66" t="n">
        <x:v>10</x:v>
      </x:c>
      <x:c r="F1628" s="66" t="n">
        <x:v>10</x:v>
      </x:c>
      <x:c r="G1628" s="60" t="n">
        <x:v>4351.1627640057995</x:v>
      </x:c>
      <x:c r="H1628" s="60" t="n">
        <x:v>4351.1627640057995</x:v>
      </x:c>
      <x:c r="I1628" s="62" t="n">
        <x:v>0</x:v>
      </x:c>
      <x:c r="J1628" s="64" t="n">
        <x:v>1</x:v>
      </x:c>
      <x:c r="K1628" s="62" t="n">
        <x:v>517.5795003171781</x:v>
      </x:c>
      <x:c r="L1628" s="60" t="n">
        <x:v>2252072.6491928333</x:v>
      </x:c>
      <x:c r="M1628" s="62" t="n">
        <x:v>3.686653611513531</x:v>
      </x:c>
      <x:c r="N1628" s="62" t="n">
        <x:v>486.0194073439455</x:v>
      </x:c>
      <x:c r="O1628" s="60" t="n">
        <x:v>2114749.547819142</x:v>
      </x:c>
      <x:c r="P1628" s="60" t="n">
        <x:v>137323.1013736911</x:v>
      </x:c>
      <x:c r="Q1628" s="62" t="n">
        <x:v>1.064935869836363</x:v>
      </x:c>
      <x:c r="R1628" s="64" t="n">
        <x:v>0.0649358698363629</x:v>
      </x:c>
    </x:row>
    <x:row r="1629" ht="18" customHeight="1">
      <x:c r="A1629" s="46" t="str">
        <x:v>LME_033</x:v>
      </x:c>
      <x:c r="B1629" s="46" t="str">
        <x:v>Red Sea</x:v>
      </x:c>
      <x:c r="C1629" s="46" t="str">
        <x:v>functional</x:v>
      </x:c>
      <x:c r="D1629" s="46" t="str">
        <x:v>Large benthopelagics (&gt;=90 cm)</x:v>
      </x:c>
      <x:c r="E1629" s="66" t="n">
        <x:v>5</x:v>
      </x:c>
      <x:c r="F1629" s="66" t="n">
        <x:v>5</x:v>
      </x:c>
      <x:c r="G1629" s="60" t="n">
        <x:v>690.5995937671</x:v>
      </x:c>
      <x:c r="H1629" s="60" t="n">
        <x:v>690.5995937671</x:v>
      </x:c>
      <x:c r="I1629" s="62" t="n">
        <x:v>0</x:v>
      </x:c>
      <x:c r="J1629" s="64" t="n">
        <x:v>1</x:v>
      </x:c>
      <x:c r="K1629" s="62" t="n">
        <x:v>2018.807200950987</x:v>
      </x:c>
      <x:c r="L1629" s="60" t="n">
        <x:v>1394187.4328708479</x:v>
      </x:c>
      <x:c r="M1629" s="62" t="n">
        <x:v>4.076451939918329</x:v>
      </x:c>
      <x:c r="N1629" s="62" t="n">
        <x:v>1192.4822955681552</x:v>
      </x:c>
      <x:c r="O1629" s="60" t="n">
        <x:v>823527.7888938269</x:v>
      </x:c>
      <x:c r="P1629" s="60" t="n">
        <x:v>570659.643977021</x:v>
      </x:c>
      <x:c r="Q1629" s="62" t="n">
        <x:v>1.6929452189385599</x:v>
      </x:c>
      <x:c r="R1629" s="64" t="n">
        <x:v>0.6929452189385599</x:v>
      </x:c>
    </x:row>
    <x:row r="1630" ht="18" customHeight="1">
      <x:c r="A1630" s="46" t="str">
        <x:v>LME_033</x:v>
      </x:c>
      <x:c r="B1630" s="46" t="str">
        <x:v>Red Sea</x:v>
      </x:c>
      <x:c r="C1630" s="46" t="str">
        <x:v>functional</x:v>
      </x:c>
      <x:c r="D1630" s="46" t="str">
        <x:v>Large demersals (&gt;=90 cm)</x:v>
      </x:c>
      <x:c r="E1630" s="66" t="n">
        <x:v>1</x:v>
      </x:c>
      <x:c r="F1630" s="66" t="n">
        <x:v>1</x:v>
      </x:c>
      <x:c r="G1630" s="60" t="n">
        <x:v>548.1415821872</x:v>
      </x:c>
      <x:c r="H1630" s="60" t="n">
        <x:v>548.1415821872</x:v>
      </x:c>
      <x:c r="I1630" s="62" t="n">
        <x:v>0</x:v>
      </x:c>
      <x:c r="J1630" s="64" t="n">
        <x:v>1</x:v>
      </x:c>
      <x:c r="K1630" s="62" t="n">
        <x:v>346.73685045253166</x:v>
      </x:c>
      <x:c r="L1630" s="60" t="n">
        <x:v>190060.88580965725</x:v>
      </x:c>
      <x:c r="M1630" s="62" t="n">
        <x:v>3.54</x:v>
      </x:c>
      <x:c r="N1630" s="62" t="n">
        <x:v>346.73685045253166</x:v>
      </x:c>
      <x:c r="O1630" s="60" t="n">
        <x:v>190060.88580965725</x:v>
      </x:c>
      <x:c r="P1630" s="60" t="n">
        <x:v>0</x:v>
      </x:c>
      <x:c r="Q1630" s="62" t="n">
        <x:v>1</x:v>
      </x:c>
      <x:c r="R1630" s="64" t="n">
        <x:v>0</x:v>
      </x:c>
    </x:row>
    <x:row r="1631" ht="18" customHeight="1">
      <x:c r="A1631" s="46" t="str">
        <x:v>LME_033</x:v>
      </x:c>
      <x:c r="B1631" s="46" t="str">
        <x:v>Red Sea</x:v>
      </x:c>
      <x:c r="C1631" s="46" t="str">
        <x:v>functional</x:v>
      </x:c>
      <x:c r="D1631" s="46" t="str">
        <x:v>Large pelagics (&gt;=90 cm)</x:v>
      </x:c>
      <x:c r="E1631" s="66" t="n">
        <x:v>16</x:v>
      </x:c>
      <x:c r="F1631" s="66" t="n">
        <x:v>16</x:v>
      </x:c>
      <x:c r="G1631" s="60" t="n">
        <x:v>12753.2736959468</x:v>
      </x:c>
      <x:c r="H1631" s="60" t="n">
        <x:v>12753.2736959468</x:v>
      </x:c>
      <x:c r="I1631" s="62" t="n">
        <x:v>0</x:v>
      </x:c>
      <x:c r="J1631" s="64" t="n">
        <x:v>1</x:v>
      </x:c>
      <x:c r="K1631" s="62" t="n">
        <x:v>2837.1908464038315</x:v>
      </x:c>
      <x:c r="L1631" s="60" t="n">
        <x:v>36183471.39182302</x:v>
      </x:c>
      <x:c r="M1631" s="62" t="n">
        <x:v>4.442041726960848</x:v>
      </x:c>
      <x:c r="N1631" s="62" t="n">
        <x:v>2767.2075055990044</x:v>
      </x:c>
      <x:c r="O1631" s="60" t="n">
        <x:v>35290954.69238234</x:v>
      </x:c>
      <x:c r="P1631" s="60" t="n">
        <x:v>892516.6994406804</x:v>
      </x:c>
      <x:c r="Q1631" s="62" t="n">
        <x:v>1.025290239587464</x:v>
      </x:c>
      <x:c r="R1631" s="64" t="n">
        <x:v>0.025290239587463834</x:v>
      </x:c>
    </x:row>
    <x:row r="1632" ht="18" customHeight="1">
      <x:c r="A1632" s="46" t="str">
        <x:v>LME_033</x:v>
      </x:c>
      <x:c r="B1632" s="46" t="str">
        <x:v>Red Sea</x:v>
      </x:c>
      <x:c r="C1632" s="46" t="str">
        <x:v>functional</x:v>
      </x:c>
      <x:c r="D1632" s="46" t="str">
        <x:v>Large rays (&gt;=90 cm)</x:v>
      </x:c>
      <x:c r="E1632" s="66" t="n">
        <x:v>3</x:v>
      </x:c>
      <x:c r="F1632" s="66" t="n">
        <x:v>3</x:v>
      </x:c>
      <x:c r="G1632" s="60" t="n">
        <x:v>16.288517289</x:v>
      </x:c>
      <x:c r="H1632" s="60" t="n">
        <x:v>16.288517289</x:v>
      </x:c>
      <x:c r="I1632" s="62" t="n">
        <x:v>0</x:v>
      </x:c>
      <x:c r="J1632" s="64" t="n">
        <x:v>1</x:v>
      </x:c>
      <x:c r="K1632" s="62" t="n">
        <x:v>536.2246216331963</x:v>
      </x:c>
      <x:c r="L1632" s="60" t="n">
        <x:v>8734.304020259802</x:v>
      </x:c>
      <x:c r="M1632" s="62" t="n">
        <x:v>3.7293152821543463</x:v>
      </x:c>
      <x:c r="N1632" s="62" t="n">
        <x:v>536.185767814898</x:v>
      </x:c>
      <x:c r="O1632" s="60" t="n">
        <x:v>8733.671149168706</x:v>
      </x:c>
      <x:c r="P1632" s="60" t="n">
        <x:v>0.6328710910966038</x:v>
      </x:c>
      <x:c r="Q1632" s="62" t="n">
        <x:v>1.0000724633524996</x:v>
      </x:c>
      <x:c r="R1632" s="64" t="n">
        <x:v>0.0000724633524994632</x:v>
      </x:c>
    </x:row>
    <x:row r="1633" ht="18" customHeight="1">
      <x:c r="A1633" s="46" t="str">
        <x:v>LME_033</x:v>
      </x:c>
      <x:c r="B1633" s="46" t="str">
        <x:v>Red Sea</x:v>
      </x:c>
      <x:c r="C1633" s="46" t="str">
        <x:v>functional</x:v>
      </x:c>
      <x:c r="D1633" s="46" t="str">
        <x:v>Large reef assoc. fish (&gt;=90 cm)</x:v>
      </x:c>
      <x:c r="E1633" s="66" t="n">
        <x:v>18</x:v>
      </x:c>
      <x:c r="F1633" s="66" t="n">
        <x:v>18</x:v>
      </x:c>
      <x:c r="G1633" s="60" t="n">
        <x:v>1803.4929445482999</x:v>
      </x:c>
      <x:c r="H1633" s="60" t="n">
        <x:v>1803.4929445482999</x:v>
      </x:c>
      <x:c r="I1633" s="62" t="n">
        <x:v>0</x:v>
      </x:c>
      <x:c r="J1633" s="64" t="n">
        <x:v>1</x:v>
      </x:c>
      <x:c r="K1633" s="62" t="n">
        <x:v>1661.1749170485286</x:v>
      </x:c>
      <x:c r="L1633" s="60" t="n">
        <x:v>2995917.2425576285</x:v>
      </x:c>
      <x:c r="M1633" s="62" t="n">
        <x:v>4.024444950397032</x:v>
      </x:c>
      <x:c r="N1633" s="62" t="n">
        <x:v>1057.9008118037777</x:v>
      </x:c>
      <x:c r="O1633" s="60" t="n">
        <x:v>1907916.650120032</x:v>
      </x:c>
      <x:c r="P1633" s="60" t="n">
        <x:v>1088000.5924375965</x:v>
      </x:c>
      <x:c r="Q1633" s="62" t="n">
        <x:v>1.5702558297654918</x:v>
      </x:c>
      <x:c r="R1633" s="64" t="n">
        <x:v>0.5702558297654919</x:v>
      </x:c>
    </x:row>
    <x:row r="1634" ht="18" customHeight="1">
      <x:c r="A1634" s="46" t="str">
        <x:v>LME_033</x:v>
      </x:c>
      <x:c r="B1634" s="46" t="str">
        <x:v>Red Sea</x:v>
      </x:c>
      <x:c r="C1634" s="46" t="str">
        <x:v>functional</x:v>
      </x:c>
      <x:c r="D1634" s="46" t="str">
        <x:v>Large sharks (&gt;=90 cm)</x:v>
      </x:c>
      <x:c r="E1634" s="66" t="n">
        <x:v>3</x:v>
      </x:c>
      <x:c r="F1634" s="66" t="n">
        <x:v>3</x:v>
      </x:c>
      <x:c r="G1634" s="60" t="n">
        <x:v>2656.0781118647</x:v>
      </x:c>
      <x:c r="H1634" s="60" t="n">
        <x:v>2656.0781118647</x:v>
      </x:c>
      <x:c r="I1634" s="62" t="n">
        <x:v>0</x:v>
      </x:c>
      <x:c r="J1634" s="64" t="n">
        <x:v>1</x:v>
      </x:c>
      <x:c r="K1634" s="62" t="n">
        <x:v>1244.6106016225458</x:v>
      </x:c>
      <x:c r="L1634" s="60" t="n">
        <x:v>3305782.9767644</x:v>
      </x:c>
      <x:c r="M1634" s="62" t="n">
        <x:v>4.087113276310377</x:v>
      </x:c>
      <x:c r="N1634" s="62" t="n">
        <x:v>1222.11838171052</x:v>
      </x:c>
      <x:c r="O1634" s="60" t="n">
        <x:v>3246041.8837688207</x:v>
      </x:c>
      <x:c r="P1634" s="60" t="n">
        <x:v>59741.092995579354</x:v>
      </x:c>
      <x:c r="Q1634" s="62" t="n">
        <x:v>1.0184042890186669</x:v>
      </x:c>
      <x:c r="R1634" s="64" t="n">
        <x:v>0.01840428901866691</x:v>
      </x:c>
    </x:row>
    <x:row r="1635" ht="18" customHeight="1">
      <x:c r="A1635" s="46" t="str">
        <x:v>LME_033</x:v>
      </x:c>
      <x:c r="B1635" s="46" t="str">
        <x:v>Red Sea</x:v>
      </x:c>
      <x:c r="C1635" s="46" t="str">
        <x:v>functional</x:v>
      </x:c>
      <x:c r="D1635" s="46" t="str">
        <x:v>Lobsters, crabs</x:v>
      </x:c>
      <x:c r="E1635" s="66" t="n">
        <x:v>8</x:v>
      </x:c>
      <x:c r="F1635" s="66" t="n">
        <x:v>8</x:v>
      </x:c>
      <x:c r="G1635" s="60" t="n">
        <x:v>1773.3764100097</x:v>
      </x:c>
      <x:c r="H1635" s="60" t="n">
        <x:v>1773.3764100097</x:v>
      </x:c>
      <x:c r="I1635" s="62" t="n">
        <x:v>0</x:v>
      </x:c>
      <x:c r="J1635" s="64" t="n">
        <x:v>1</x:v>
      </x:c>
      <x:c r="K1635" s="62" t="n">
        <x:v>196.54307117007087</x:v>
      </x:c>
      <x:c r="L1635" s="60" t="n">
        <x:v>348544.84596386127</x:v>
      </x:c>
      <x:c r="M1635" s="62" t="n">
        <x:v>3.1465110984668705</x:v>
      </x:c>
      <x:c r="N1635" s="62" t="n">
        <x:v>140.12353932832585</x:v>
      </x:c>
      <x:c r="O1635" s="60" t="n">
        <x:v>248491.77913191952</x:v>
      </x:c>
      <x:c r="P1635" s="60" t="n">
        <x:v>100053.06683194175</x:v>
      </x:c>
      <x:c r="Q1635" s="62" t="n">
        <x:v>1.4026413557078905</x:v>
      </x:c>
      <x:c r="R1635" s="64" t="n">
        <x:v>0.4026413557078904</x:v>
      </x:c>
    </x:row>
    <x:row r="1636" ht="18" customHeight="1">
      <x:c r="A1636" s="46" t="str">
        <x:v>LME_033</x:v>
      </x:c>
      <x:c r="B1636" s="46" t="str">
        <x:v>Red Sea</x:v>
      </x:c>
      <x:c r="C1636" s="46" t="str">
        <x:v>functional</x:v>
      </x:c>
      <x:c r="D1636" s="46" t="str">
        <x:v>Medium benthopelagics (30 - 89 cm)</x:v>
      </x:c>
      <x:c r="E1636" s="66" t="n">
        <x:v>2</x:v>
      </x:c>
      <x:c r="F1636" s="66" t="n">
        <x:v>2</x:v>
      </x:c>
      <x:c r="G1636" s="60" t="n">
        <x:v>950.3470980039001</x:v>
      </x:c>
      <x:c r="H1636" s="60" t="n">
        <x:v>950.3470980039001</x:v>
      </x:c>
      <x:c r="I1636" s="62" t="n">
        <x:v>0</x:v>
      </x:c>
      <x:c r="J1636" s="64" t="n">
        <x:v>1</x:v>
      </x:c>
      <x:c r="K1636" s="62" t="n">
        <x:v>204.1586919558315</x:v>
      </x:c>
      <x:c r="L1636" s="60" t="n">
        <x:v>194021.62043249665</x:v>
      </x:c>
      <x:c r="M1636" s="62" t="n">
        <x:v>3.3099517977937425</x:v>
      </x:c>
      <x:c r="N1636" s="62" t="n">
        <x:v>204.15113454005078</x:v>
      </x:c>
      <x:c r="O1636" s="60" t="n">
        <x:v>194014.43826434104</x:v>
      </x:c>
      <x:c r="P1636" s="60" t="n">
        <x:v>7.182168155617546</x:v>
      </x:c>
      <x:c r="Q1636" s="62" t="n">
        <x:v>1.0000370187302547</x:v>
      </x:c>
      <x:c r="R1636" s="64" t="n">
        <x:v>0.00003701873025466268</x:v>
      </x:c>
    </x:row>
    <x:row r="1637" ht="18" customHeight="1">
      <x:c r="A1637" s="46" t="str">
        <x:v>LME_033</x:v>
      </x:c>
      <x:c r="B1637" s="46" t="str">
        <x:v>Red Sea</x:v>
      </x:c>
      <x:c r="C1637" s="46" t="str">
        <x:v>functional</x:v>
      </x:c>
      <x:c r="D1637" s="46" t="str">
        <x:v>Medium demersals (30 - 89 cm)</x:v>
      </x:c>
      <x:c r="E1637" s="66" t="n">
        <x:v>21</x:v>
      </x:c>
      <x:c r="F1637" s="66" t="n">
        <x:v>21</x:v>
      </x:c>
      <x:c r="G1637" s="60" t="n">
        <x:v>22808.418822380405</x:v>
      </x:c>
      <x:c r="H1637" s="60" t="n">
        <x:v>22808.418822380405</x:v>
      </x:c>
      <x:c r="I1637" s="62" t="n">
        <x:v>0</x:v>
      </x:c>
      <x:c r="J1637" s="64" t="n">
        <x:v>1</x:v>
      </x:c>
      <x:c r="K1637" s="62" t="n">
        <x:v>850.9544625388799</x:v>
      </x:c>
      <x:c r="L1637" s="60" t="n">
        <x:v>19408925.78036039</x:v>
      </x:c>
      <x:c r="M1637" s="62" t="n">
        <x:v>3.6701134629936285</x:v>
      </x:c>
      <x:c r="N1637" s="62" t="n">
        <x:v>467.8573568914475</x:v>
      </x:c>
      <x:c r="O1637" s="60" t="n">
        <x:v>10671086.545112038</x:v>
      </x:c>
      <x:c r="P1637" s="60" t="n">
        <x:v>8737839.235248351</x:v>
      </x:c>
      <x:c r="Q1637" s="62" t="n">
        <x:v>1.818833133655989</x:v>
      </x:c>
      <x:c r="R1637" s="64" t="n">
        <x:v>0.818833133655989</x:v>
      </x:c>
    </x:row>
    <x:row r="1638" ht="18" customHeight="1">
      <x:c r="A1638" s="46" t="str">
        <x:v>LME_033</x:v>
      </x:c>
      <x:c r="B1638" s="46" t="str">
        <x:v>Red Sea</x:v>
      </x:c>
      <x:c r="C1638" s="46" t="str">
        <x:v>functional</x:v>
      </x:c>
      <x:c r="D1638" s="46" t="str">
        <x:v>Medium pelagics (30 - 89 cm)</x:v>
      </x:c>
      <x:c r="E1638" s="66" t="n">
        <x:v>15</x:v>
      </x:c>
      <x:c r="F1638" s="66" t="n">
        <x:v>15</x:v>
      </x:c>
      <x:c r="G1638" s="60" t="n">
        <x:v>23871.9493895717</x:v>
      </x:c>
      <x:c r="H1638" s="60" t="n">
        <x:v>23871.9493895717</x:v>
      </x:c>
      <x:c r="I1638" s="62" t="n">
        <x:v>0</x:v>
      </x:c>
      <x:c r="J1638" s="64" t="n">
        <x:v>1</x:v>
      </x:c>
      <x:c r="K1638" s="62" t="n">
        <x:v>506.0081023286026</x:v>
      </x:c>
      <x:c r="L1638" s="60" t="n">
        <x:v>12079399.809501618</x:v>
      </x:c>
      <x:c r="M1638" s="62" t="n">
        <x:v>3.5764229286579967</x:v>
      </x:c>
      <x:c r="N1638" s="62" t="n">
        <x:v>377.0708228321579</x:v>
      </x:c>
      <x:c r="O1638" s="60" t="n">
        <x:v>9001415.59893343</x:v>
      </x:c>
      <x:c r="P1638" s="60" t="n">
        <x:v>3077984.2105681878</x:v>
      </x:c>
      <x:c r="Q1638" s="62" t="n">
        <x:v>1.3419444615947846</x:v>
      </x:c>
      <x:c r="R1638" s="64" t="n">
        <x:v>0.34194446159478464</x:v>
      </x:c>
    </x:row>
    <x:row r="1639" ht="18" customHeight="1">
      <x:c r="A1639" s="46" t="str">
        <x:v>LME_033</x:v>
      </x:c>
      <x:c r="B1639" s="46" t="str">
        <x:v>Red Sea</x:v>
      </x:c>
      <x:c r="C1639" s="46" t="str">
        <x:v>functional</x:v>
      </x:c>
      <x:c r="D1639" s="46" t="str">
        <x:v>Medium reef assoc. fish (30 - 89 cm)</x:v>
      </x:c>
      <x:c r="E1639" s="66" t="n">
        <x:v>54</x:v>
      </x:c>
      <x:c r="F1639" s="66" t="n">
        <x:v>54</x:v>
      </x:c>
      <x:c r="G1639" s="60" t="n">
        <x:v>29052.373072548602</x:v>
      </x:c>
      <x:c r="H1639" s="60" t="n">
        <x:v>29052.373072548602</x:v>
      </x:c>
      <x:c r="I1639" s="62" t="n">
        <x:v>0</x:v>
      </x:c>
      <x:c r="J1639" s="64" t="n">
        <x:v>1</x:v>
      </x:c>
      <x:c r="K1639" s="62" t="n">
        <x:v>835.1846115902732</x:v>
      </x:c>
      <x:c r="L1639" s="60" t="n">
        <x:v>24264094.920372218</x:v>
      </x:c>
      <x:c r="M1639" s="62" t="n">
        <x:v>3.6954497437199465</x:v>
      </x:c>
      <x:c r="N1639" s="62" t="n">
        <x:v>495.9635314920473</x:v>
      </x:c>
      <x:c r="O1639" s="60" t="n">
        <x:v>14408917.547285667</x:v>
      </x:c>
      <x:c r="P1639" s="60" t="n">
        <x:v>9855177.373086551</x:v>
      </x:c>
      <x:c r="Q1639" s="62" t="n">
        <x:v>1.6839637565240324</x:v>
      </x:c>
      <x:c r="R1639" s="64" t="n">
        <x:v>0.6839637565240324</x:v>
      </x:c>
    </x:row>
    <x:row r="1640" ht="18" customHeight="1">
      <x:c r="A1640" s="46" t="str">
        <x:v>LME_033</x:v>
      </x:c>
      <x:c r="B1640" s="46" t="str">
        <x:v>Red Sea</x:v>
      </x:c>
      <x:c r="C1640" s="46" t="str">
        <x:v>functional</x:v>
      </x:c>
      <x:c r="D1640" s="46" t="str">
        <x:v>Other demersal invertebrates</x:v>
      </x:c>
      <x:c r="E1640" s="66" t="n">
        <x:v>5</x:v>
      </x:c>
      <x:c r="F1640" s="66" t="n">
        <x:v>5</x:v>
      </x:c>
      <x:c r="G1640" s="60" t="n">
        <x:v>2434.4811836687</x:v>
      </x:c>
      <x:c r="H1640" s="60" t="n">
        <x:v>2434.4811836687</x:v>
      </x:c>
      <x:c r="I1640" s="62" t="n">
        <x:v>0</x:v>
      </x:c>
      <x:c r="J1640" s="64" t="n">
        <x:v>1</x:v>
      </x:c>
      <x:c r="K1640" s="62" t="n">
        <x:v>12.022459641925524</x:v>
      </x:c>
      <x:c r="L1640" s="60" t="n">
        <x:v>29268.451779684023</x:v>
      </x:c>
      <x:c r="M1640" s="62" t="n">
        <x:v>2.0207113500354756</x:v>
      </x:c>
      <x:c r="N1640" s="62" t="n">
        <x:v>10.488450913775504</x:v>
      </x:c>
      <x:c r="O1640" s="60" t="n">
        <x:v>25533.936395419245</x:v>
      </x:c>
      <x:c r="P1640" s="60" t="n">
        <x:v>3734.515384264778</x:v>
      </x:c>
      <x:c r="Q1640" s="62" t="n">
        <x:v>1.1462569392526076</x:v>
      </x:c>
      <x:c r="R1640" s="64" t="n">
        <x:v>0.14625693925260758</x:v>
      </x:c>
    </x:row>
    <x:row r="1641" ht="18" customHeight="1">
      <x:c r="A1641" s="46" t="str">
        <x:v>LME_033</x:v>
      </x:c>
      <x:c r="B1641" s="46" t="str">
        <x:v>Red Sea</x:v>
      </x:c>
      <x:c r="C1641" s="46" t="str">
        <x:v>functional</x:v>
      </x:c>
      <x:c r="D1641" s="46" t="str">
        <x:v>Shrimps</x:v>
      </x:c>
      <x:c r="E1641" s="66" t="n">
        <x:v>5</x:v>
      </x:c>
      <x:c r="F1641" s="66" t="n">
        <x:v>5</x:v>
      </x:c>
      <x:c r="G1641" s="60" t="n">
        <x:v>3191.0123134095006</x:v>
      </x:c>
      <x:c r="H1641" s="60" t="n">
        <x:v>3191.0123134095006</x:v>
      </x:c>
      <x:c r="I1641" s="62" t="n">
        <x:v>0</x:v>
      </x:c>
      <x:c r="J1641" s="64" t="n">
        <x:v>1</x:v>
      </x:c>
      <x:c r="K1641" s="62" t="n">
        <x:v>89.94013094120342</x:v>
      </x:c>
      <x:c r="L1641" s="60" t="n">
        <x:v>287000.06530304294</x:v>
      </x:c>
      <x:c r="M1641" s="62" t="n">
        <x:v>2.7303329122136737</x:v>
      </x:c>
      <x:c r="N1641" s="62" t="n">
        <x:v>53.74436205897483</x:v>
      </x:c>
      <x:c r="O1641" s="60" t="n">
        <x:v>171498.92110652706</x:v>
      </x:c>
      <x:c r="P1641" s="60" t="n">
        <x:v>115501.14419651587</x:v>
      </x:c>
      <x:c r="Q1641" s="62" t="n">
        <x:v>1.6734802962682895</x:v>
      </x:c>
      <x:c r="R1641" s="64" t="n">
        <x:v>0.6734802962682896</x:v>
      </x:c>
    </x:row>
    <x:row r="1642" ht="18" customHeight="1">
      <x:c r="A1642" s="46" t="str">
        <x:v>LME_033</x:v>
      </x:c>
      <x:c r="B1642" s="46" t="str">
        <x:v>Red Sea</x:v>
      </x:c>
      <x:c r="C1642" s="46" t="str">
        <x:v>functional</x:v>
      </x:c>
      <x:c r="D1642" s="46" t="str">
        <x:v>Small benthopelagics (&lt;30 cm)</x:v>
      </x:c>
      <x:c r="E1642" s="66" t="n">
        <x:v>4</x:v>
      </x:c>
      <x:c r="F1642" s="66" t="n">
        <x:v>4</x:v>
      </x:c>
      <x:c r="G1642" s="60" t="n">
        <x:v>5862.5476458865</x:v>
      </x:c>
      <x:c r="H1642" s="60" t="n">
        <x:v>5862.5476458865</x:v>
      </x:c>
      <x:c r="I1642" s="62" t="n">
        <x:v>0</x:v>
      </x:c>
      <x:c r="J1642" s="64" t="n">
        <x:v>1</x:v>
      </x:c>
      <x:c r="K1642" s="62" t="n">
        <x:v>170.43716539550536</x:v>
      </x:c>
      <x:c r="L1642" s="60" t="n">
        <x:v>999196.0027609878</x:v>
      </x:c>
      <x:c r="M1642" s="62" t="n">
        <x:v>3.2299521534115576</x:v>
      </x:c>
      <x:c r="N1642" s="62" t="n">
        <x:v>169.80565658357582</x:v>
      </x:c>
      <x:c r="O1642" s="60" t="n">
        <x:v>995493.7522622539</x:v>
      </x:c>
      <x:c r="P1642" s="60" t="n">
        <x:v>3702.250498733949</x:v>
      </x:c>
      <x:c r="Q1642" s="62" t="n">
        <x:v>1.00371900927587</x:v>
      </x:c>
      <x:c r="R1642" s="64" t="n">
        <x:v>0.003719009275869995</x:v>
      </x:c>
    </x:row>
    <x:row r="1643" ht="18" customHeight="1">
      <x:c r="A1643" s="46" t="str">
        <x:v>LME_033</x:v>
      </x:c>
      <x:c r="B1643" s="46" t="str">
        <x:v>Red Sea</x:v>
      </x:c>
      <x:c r="C1643" s="46" t="str">
        <x:v>functional</x:v>
      </x:c>
      <x:c r="D1643" s="46" t="str">
        <x:v>Small demersals (&lt;30 cm)</x:v>
      </x:c>
      <x:c r="E1643" s="66" t="n">
        <x:v>5</x:v>
      </x:c>
      <x:c r="F1643" s="66" t="n">
        <x:v>5</x:v>
      </x:c>
      <x:c r="G1643" s="60" t="n">
        <x:v>10817.0822118528</x:v>
      </x:c>
      <x:c r="H1643" s="60" t="n">
        <x:v>10817.0822118528</x:v>
      </x:c>
      <x:c r="I1643" s="62" t="n">
        <x:v>0</x:v>
      </x:c>
      <x:c r="J1643" s="64" t="n">
        <x:v>1</x:v>
      </x:c>
      <x:c r="K1643" s="62" t="n">
        <x:v>445.4204277248229</x:v>
      </x:c>
      <x:c r="L1643" s="60" t="n">
        <x:v>4818149.385538047</x:v>
      </x:c>
      <x:c r="M1643" s="62" t="n">
        <x:v>3.6185723103608955</x:v>
      </x:c>
      <x:c r="N1643" s="62" t="n">
        <x:v>415.50122675246143</x:v>
      </x:c>
      <x:c r="O1643" s="60" t="n">
        <x:v>4494510.9289070675</x:v>
      </x:c>
      <x:c r="P1643" s="60" t="n">
        <x:v>323638.45663097966</x:v>
      </x:c>
      <x:c r="Q1643" s="62" t="n">
        <x:v>1.0720074913044386</x:v>
      </x:c>
      <x:c r="R1643" s="64" t="n">
        <x:v>0.07200749130443854</x:v>
      </x:c>
    </x:row>
    <x:row r="1644" ht="18" customHeight="1">
      <x:c r="A1644" s="46" t="str">
        <x:v>LME_033</x:v>
      </x:c>
      <x:c r="B1644" s="46" t="str">
        <x:v>Red Sea</x:v>
      </x:c>
      <x:c r="C1644" s="46" t="str">
        <x:v>functional</x:v>
      </x:c>
      <x:c r="D1644" s="46" t="str">
        <x:v>Small pelagics (&lt;30 cm)</x:v>
      </x:c>
      <x:c r="E1644" s="66" t="n">
        <x:v>8</x:v>
      </x:c>
      <x:c r="F1644" s="66" t="n">
        <x:v>8</x:v>
      </x:c>
      <x:c r="G1644" s="60" t="n">
        <x:v>21897.7068817654</x:v>
      </x:c>
      <x:c r="H1644" s="60" t="n">
        <x:v>21897.7068817654</x:v>
      </x:c>
      <x:c r="I1644" s="62" t="n">
        <x:v>0</x:v>
      </x:c>
      <x:c r="J1644" s="64" t="n">
        <x:v>1</x:v>
      </x:c>
      <x:c r="K1644" s="62" t="n">
        <x:v>167.56824482022995</x:v>
      </x:c>
      <x:c r="L1644" s="60" t="n">
        <x:v>3669360.3077652985</x:v>
      </x:c>
      <x:c r="M1644" s="62" t="n">
        <x:v>2.994635277729542</x:v>
      </x:c>
      <x:c r="N1644" s="62" t="n">
        <x:v>98.77232522527994</x:v>
      </x:c>
      <x:c r="O1644" s="60" t="n">
        <x:v>2162887.4258135827</x:v>
      </x:c>
      <x:c r="P1644" s="60" t="n">
        <x:v>1506472.8819517158</x:v>
      </x:c>
      <x:c r="Q1644" s="62" t="n">
        <x:v>1.6965100744367438</x:v>
      </x:c>
      <x:c r="R1644" s="64" t="n">
        <x:v>0.6965100744367438</x:v>
      </x:c>
    </x:row>
    <x:row r="1645" ht="18" customHeight="1">
      <x:c r="A1645" s="46" t="str">
        <x:v>LME_033</x:v>
      </x:c>
      <x:c r="B1645" s="46" t="str">
        <x:v>Red Sea</x:v>
      </x:c>
      <x:c r="C1645" s="46" t="str">
        <x:v>functional</x:v>
      </x:c>
      <x:c r="D1645" s="46" t="str">
        <x:v>Small reef assoc. fish (&lt;30 cm)</x:v>
      </x:c>
      <x:c r="E1645" s="66" t="n">
        <x:v>5</x:v>
      </x:c>
      <x:c r="F1645" s="66" t="n">
        <x:v>5</x:v>
      </x:c>
      <x:c r="G1645" s="60" t="n">
        <x:v>913.9156682087</x:v>
      </x:c>
      <x:c r="H1645" s="60" t="n">
        <x:v>913.9156682087</x:v>
      </x:c>
      <x:c r="I1645" s="62" t="n">
        <x:v>0</x:v>
      </x:c>
      <x:c r="J1645" s="64" t="n">
        <x:v>1</x:v>
      </x:c>
      <x:c r="K1645" s="62" t="n">
        <x:v>669.1874018639472</x:v>
      </x:c>
      <x:c r="L1645" s="60" t="n">
        <x:v>611580.8515313332</x:v>
      </x:c>
      <x:c r="M1645" s="62" t="n">
        <x:v>3.666251290454812</x:v>
      </x:c>
      <x:c r="N1645" s="62" t="n">
        <x:v>463.71515590193115</x:v>
      </x:c>
      <x:c r="O1645" s="60" t="n">
        <x:v>423796.5465646149</x:v>
      </x:c>
      <x:c r="P1645" s="60" t="n">
        <x:v>187784.30496671825</x:v>
      </x:c>
      <x:c r="Q1645" s="62" t="n">
        <x:v>1.4431001302132775</x:v>
      </x:c>
      <x:c r="R1645" s="64" t="n">
        <x:v>0.44310013021327765</x:v>
      </x:c>
    </x:row>
    <x:row r="1646" ht="18" customHeight="1">
      <x:c r="A1646" s="46" t="str">
        <x:v>LME_033</x:v>
      </x:c>
      <x:c r="B1646" s="46" t="str">
        <x:v>Red Sea</x:v>
      </x:c>
      <x:c r="C1646" s="46" t="str">
        <x:v>functional</x:v>
      </x:c>
      <x:c r="D1646" s="46" t="str">
        <x:v>Small to medium flatfishes (&lt;90 cm)</x:v>
      </x:c>
      <x:c r="E1646" s="66" t="n">
        <x:v>5</x:v>
      </x:c>
      <x:c r="F1646" s="66" t="n">
        <x:v>5</x:v>
      </x:c>
      <x:c r="G1646" s="60" t="n">
        <x:v>708.0938745324</x:v>
      </x:c>
      <x:c r="H1646" s="60" t="n">
        <x:v>708.0938745324</x:v>
      </x:c>
      <x:c r="I1646" s="62" t="n">
        <x:v>0</x:v>
      </x:c>
      <x:c r="J1646" s="64" t="n">
        <x:v>1</x:v>
      </x:c>
      <x:c r="K1646" s="62" t="n">
        <x:v>1456.5448100119254</x:v>
      </x:c>
      <x:c r="L1646" s="60" t="n">
        <x:v>1031370.4579514028</x:v>
      </x:c>
      <x:c r="M1646" s="62" t="n">
        <x:v>4.082583308070047</x:v>
      </x:c>
      <x:c r="N1646" s="62" t="n">
        <x:v>1209.4371596703786</x:v>
      </x:c>
      <x:c r="O1646" s="60" t="n">
        <x:v>856395.0443944593</x:v>
      </x:c>
      <x:c r="P1646" s="60" t="n">
        <x:v>174975.41355694341</x:v>
      </x:c>
      <x:c r="Q1646" s="62" t="n">
        <x:v>1.2043162378183367</x:v>
      </x:c>
      <x:c r="R1646" s="64" t="n">
        <x:v>0.20431623781833674</x:v>
      </x:c>
    </x:row>
    <x:row r="1647" ht="18" customHeight="1">
      <x:c r="A1647" s="46" t="str">
        <x:v>LME_034</x:v>
      </x:c>
      <x:c r="B1647" s="46" t="str">
        <x:v>Bay of Bengal</x:v>
      </x:c>
      <x:c r="C1647" s="46" t="str">
        <x:v>functional</x:v>
      </x:c>
      <x:c r="D1647" s="46" t="str">
        <x:v>Cephalopods</x:v>
      </x:c>
      <x:c r="E1647" s="66" t="n">
        <x:v>9</x:v>
      </x:c>
      <x:c r="F1647" s="66" t="n">
        <x:v>9</x:v>
      </x:c>
      <x:c r="G1647" s="60" t="n">
        <x:v>173492.637198945</x:v>
      </x:c>
      <x:c r="H1647" s="60" t="n">
        <x:v>173492.637198945</x:v>
      </x:c>
      <x:c r="I1647" s="62" t="n">
        <x:v>0</x:v>
      </x:c>
      <x:c r="J1647" s="64" t="n">
        <x:v>1</x:v>
      </x:c>
      <x:c r="K1647" s="62" t="n">
        <x:v>686.1825138413994</x:v>
      </x:c>
      <x:c r="L1647" s="60" t="n">
        <x:v>119047613.92614599</x:v>
      </x:c>
      <x:c r="M1647" s="62" t="n">
        <x:v>3.8012638533218093</x:v>
      </x:c>
      <x:c r="N1647" s="62" t="n">
        <x:v>632.796186599486</x:v>
      </x:c>
      <x:c r="O1647" s="60" t="n">
        <x:v>109785479.22258052</x:v>
      </x:c>
      <x:c r="P1647" s="60" t="n">
        <x:v>9262134.703565463</x:v>
      </x:c>
      <x:c r="Q1647" s="62" t="n">
        <x:v>1.0843657537331262</x:v>
      </x:c>
      <x:c r="R1647" s="64" t="n">
        <x:v>0.08436575373312613</x:v>
      </x:c>
    </x:row>
    <x:row r="1648" ht="18" customHeight="1">
      <x:c r="A1648" s="46" t="str">
        <x:v>LME_034</x:v>
      </x:c>
      <x:c r="B1648" s="46" t="str">
        <x:v>Bay of Bengal</x:v>
      </x:c>
      <x:c r="C1648" s="46" t="str">
        <x:v>functional</x:v>
      </x:c>
      <x:c r="D1648" s="46" t="str">
        <x:v>Jellyfish</x:v>
      </x:c>
      <x:c r="E1648" s="66" t="n">
        <x:v>1</x:v>
      </x:c>
      <x:c r="F1648" s="66" t="n">
        <x:v>1</x:v>
      </x:c>
      <x:c r="G1648" s="60" t="n">
        <x:v>16065.474963262</x:v>
      </x:c>
      <x:c r="H1648" s="60" t="n">
        <x:v>16065.474963262</x:v>
      </x:c>
      <x:c r="I1648" s="62" t="n">
        <x:v>0</x:v>
      </x:c>
      <x:c r="J1648" s="64" t="n">
        <x:v>1</x:v>
      </x:c>
      <x:c r="K1648" s="62" t="n">
        <x:v>288.40315031266056</x:v>
      </x:c>
      <x:c r="L1648" s="60" t="n">
        <x:v>4633333.590673936</x:v>
      </x:c>
      <x:c r="M1648" s="62" t="n">
        <x:v>3.46</x:v>
      </x:c>
      <x:c r="N1648" s="62" t="n">
        <x:v>288.40315031266056</x:v>
      </x:c>
      <x:c r="O1648" s="60" t="n">
        <x:v>4633333.590673936</x:v>
      </x:c>
      <x:c r="P1648" s="60" t="n">
        <x:v>0</x:v>
      </x:c>
      <x:c r="Q1648" s="62" t="n">
        <x:v>1</x:v>
      </x:c>
      <x:c r="R1648" s="64" t="n">
        <x:v>0</x:v>
      </x:c>
    </x:row>
    <x:row r="1649" ht="18" customHeight="1">
      <x:c r="A1649" s="46" t="str">
        <x:v>LME_034</x:v>
      </x:c>
      <x:c r="B1649" s="46" t="str">
        <x:v>Bay of Bengal</x:v>
      </x:c>
      <x:c r="C1649" s="46" t="str">
        <x:v>functional</x:v>
      </x:c>
      <x:c r="D1649" s="46" t="str">
        <x:v>Large benthopelagics (&gt;=90 cm)</x:v>
      </x:c>
      <x:c r="E1649" s="66" t="n">
        <x:v>7</x:v>
      </x:c>
      <x:c r="F1649" s="66" t="n">
        <x:v>7</x:v>
      </x:c>
      <x:c r="G1649" s="60" t="n">
        <x:v>76906.2841571084</x:v>
      </x:c>
      <x:c r="H1649" s="60" t="n">
        <x:v>76906.2841571084</x:v>
      </x:c>
      <x:c r="I1649" s="62" t="n">
        <x:v>0</x:v>
      </x:c>
      <x:c r="J1649" s="64" t="n">
        <x:v>1</x:v>
      </x:c>
      <x:c r="K1649" s="62" t="n">
        <x:v>2022.7588708677713</x:v>
      </x:c>
      <x:c r="L1649" s="60" t="n">
        <x:v>155562868.50426856</x:v>
      </x:c>
      <x:c r="M1649" s="62" t="n">
        <x:v>4.285303349573777</x:v>
      </x:c>
      <x:c r="N1649" s="62" t="n">
        <x:v>1928.8717369261108</x:v>
      </x:c>
      <x:c r="O1649" s="60" t="n">
        <x:v>148342357.9026547</x:v>
      </x:c>
      <x:c r="P1649" s="60" t="n">
        <x:v>7220510.601613849</x:v>
      </x:c>
      <x:c r="Q1649" s="62" t="n">
        <x:v>1.0486746382065202</x:v>
      </x:c>
      <x:c r="R1649" s="64" t="n">
        <x:v>0.04867463820652019</x:v>
      </x:c>
    </x:row>
    <x:row r="1650" ht="18" customHeight="1">
      <x:c r="A1650" s="46" t="str">
        <x:v>LME_034</x:v>
      </x:c>
      <x:c r="B1650" s="46" t="str">
        <x:v>Bay of Bengal</x:v>
      </x:c>
      <x:c r="C1650" s="46" t="str">
        <x:v>functional</x:v>
      </x:c>
      <x:c r="D1650" s="46" t="str">
        <x:v>Large demersals (&gt;=90 cm)</x:v>
      </x:c>
      <x:c r="E1650" s="66" t="n">
        <x:v>9</x:v>
      </x:c>
      <x:c r="F1650" s="66" t="n">
        <x:v>9</x:v>
      </x:c>
      <x:c r="G1650" s="60" t="n">
        <x:v>94735.2158430549</x:v>
      </x:c>
      <x:c r="H1650" s="60" t="n">
        <x:v>94735.2158430549</x:v>
      </x:c>
      <x:c r="I1650" s="62" t="n">
        <x:v>0</x:v>
      </x:c>
      <x:c r="J1650" s="64" t="n">
        <x:v>1</x:v>
      </x:c>
      <x:c r="K1650" s="62" t="n">
        <x:v>884.3451456165695</x:v>
      </x:c>
      <x:c r="L1650" s="60" t="n">
        <x:v>83778628.24974354</x:v>
      </x:c>
      <x:c r="M1650" s="62" t="n">
        <x:v>3.9010211048145775</x:v>
      </x:c>
      <x:c r="N1650" s="62" t="n">
        <x:v>796.1980412237709</x:v>
      </x:c>
      <x:c r="O1650" s="60" t="n">
        <x:v>75427993.28915146</x:v>
      </x:c>
      <x:c r="P1650" s="60" t="n">
        <x:v>8350634.960592076</x:v>
      </x:c>
      <x:c r="Q1650" s="62" t="n">
        <x:v>1.110710024176039</x:v>
      </x:c>
      <x:c r="R1650" s="64" t="n">
        <x:v>0.11071002417603915</x:v>
      </x:c>
    </x:row>
    <x:row r="1651" ht="18" customHeight="1">
      <x:c r="A1651" s="46" t="str">
        <x:v>LME_034</x:v>
      </x:c>
      <x:c r="B1651" s="46" t="str">
        <x:v>Bay of Bengal</x:v>
      </x:c>
      <x:c r="C1651" s="46" t="str">
        <x:v>functional</x:v>
      </x:c>
      <x:c r="D1651" s="46" t="str">
        <x:v>Large pelagics (&gt;=90 cm)</x:v>
      </x:c>
      <x:c r="E1651" s="66" t="n">
        <x:v>30</x:v>
      </x:c>
      <x:c r="F1651" s="66" t="n">
        <x:v>30</x:v>
      </x:c>
      <x:c r="G1651" s="60" t="n">
        <x:v>273436.4881957612</x:v>
      </x:c>
      <x:c r="H1651" s="60" t="n">
        <x:v>273436.4881957612</x:v>
      </x:c>
      <x:c r="I1651" s="62" t="n">
        <x:v>0</x:v>
      </x:c>
      <x:c r="J1651" s="64" t="n">
        <x:v>1</x:v>
      </x:c>
      <x:c r="K1651" s="62" t="n">
        <x:v>2639.582107206493</x:v>
      </x:c>
      <x:c r="L1651" s="60" t="n">
        <x:v>721758061.6989108</x:v>
      </x:c>
      <x:c r="M1651" s="62" t="n">
        <x:v>4.415090113666444</x:v>
      </x:c>
      <x:c r="N1651" s="62" t="n">
        <x:v>2600.6991376522133</x:v>
      </x:c>
      <x:c r="O1651" s="60" t="n">
        <x:v>711126039.0533658</x:v>
      </x:c>
      <x:c r="P1651" s="60" t="n">
        <x:v>10632022.645545006</x:v>
      </x:c>
      <x:c r="Q1651" s="62" t="n">
        <x:v>1.0149509679883162</x:v>
      </x:c>
      <x:c r="R1651" s="64" t="n">
        <x:v>0.014950967988316253</x:v>
      </x:c>
    </x:row>
    <x:row r="1652" ht="18" customHeight="1">
      <x:c r="A1652" s="46" t="str">
        <x:v>LME_034</x:v>
      </x:c>
      <x:c r="B1652" s="46" t="str">
        <x:v>Bay of Bengal</x:v>
      </x:c>
      <x:c r="C1652" s="46" t="str">
        <x:v>functional</x:v>
      </x:c>
      <x:c r="D1652" s="46" t="str">
        <x:v>Large rays (&gt;=90 cm)</x:v>
      </x:c>
      <x:c r="E1652" s="66" t="n">
        <x:v>5</x:v>
      </x:c>
      <x:c r="F1652" s="66" t="n">
        <x:v>5</x:v>
      </x:c>
      <x:c r="G1652" s="60" t="n">
        <x:v>27996.671042523794</x:v>
      </x:c>
      <x:c r="H1652" s="60" t="n">
        <x:v>27996.671042523794</x:v>
      </x:c>
      <x:c r="I1652" s="62" t="n">
        <x:v>0</x:v>
      </x:c>
      <x:c r="J1652" s="64" t="n">
        <x:v>1</x:v>
      </x:c>
      <x:c r="K1652" s="62" t="n">
        <x:v>533.1967608453174</x:v>
      </x:c>
      <x:c r="L1652" s="60" t="n">
        <x:v>14927734.314325582</x:v>
      </x:c>
      <x:c r="M1652" s="62" t="n">
        <x:v>3.708724151572605</x:v>
      </x:c>
      <x:c r="N1652" s="62" t="n">
        <x:v>511.3569366079783</x:v>
      </x:c>
      <x:c r="O1652" s="60" t="n">
        <x:v>14316291.939526262</x:v>
      </x:c>
      <x:c r="P1652" s="60" t="n">
        <x:v>611442.3747993205</x:v>
      </x:c>
      <x:c r="Q1652" s="62" t="n">
        <x:v>1.0427095491892822</x:v>
      </x:c>
      <x:c r="R1652" s="64" t="n">
        <x:v>0.04270954918928215</x:v>
      </x:c>
    </x:row>
    <x:row r="1653" ht="18" customHeight="1">
      <x:c r="A1653" s="46" t="str">
        <x:v>LME_034</x:v>
      </x:c>
      <x:c r="B1653" s="46" t="str">
        <x:v>Bay of Bengal</x:v>
      </x:c>
      <x:c r="C1653" s="46" t="str">
        <x:v>functional</x:v>
      </x:c>
      <x:c r="D1653" s="46" t="str">
        <x:v>Large reef assoc. fish (&gt;=90 cm)</x:v>
      </x:c>
      <x:c r="E1653" s="66" t="n">
        <x:v>9</x:v>
      </x:c>
      <x:c r="F1653" s="66" t="n">
        <x:v>9</x:v>
      </x:c>
      <x:c r="G1653" s="60" t="n">
        <x:v>10555.5395075628</x:v>
      </x:c>
      <x:c r="H1653" s="60" t="n">
        <x:v>10555.5395075628</x:v>
      </x:c>
      <x:c r="I1653" s="62" t="n">
        <x:v>0</x:v>
      </x:c>
      <x:c r="J1653" s="64" t="n">
        <x:v>1</x:v>
      </x:c>
      <x:c r="K1653" s="62" t="n">
        <x:v>1371.0812770867562</x:v>
      </x:c>
      <x:c r="L1653" s="60" t="n">
        <x:v>14472502.588368913</x:v>
      </x:c>
      <x:c r="M1653" s="62" t="n">
        <x:v>3.932636089170938</x:v>
      </x:c>
      <x:c r="N1653" s="62" t="n">
        <x:v>856.3200034609072</x:v>
      </x:c>
      <x:c r="O1653" s="60" t="n">
        <x:v>9038919.62764792</x:v>
      </x:c>
      <x:c r="P1653" s="60" t="n">
        <x:v>5433582.960720994</x:v>
      </x:c>
      <x:c r="Q1653" s="62" t="n">
        <x:v>1.601131903430245</x:v>
      </x:c>
      <x:c r="R1653" s="64" t="n">
        <x:v>0.6011319034302448</x:v>
      </x:c>
    </x:row>
    <x:row r="1654" ht="18" customHeight="1">
      <x:c r="A1654" s="46" t="str">
        <x:v>LME_034</x:v>
      </x:c>
      <x:c r="B1654" s="46" t="str">
        <x:v>Bay of Bengal</x:v>
      </x:c>
      <x:c r="C1654" s="46" t="str">
        <x:v>functional</x:v>
      </x:c>
      <x:c r="D1654" s="46" t="str">
        <x:v>Large sharks (&gt;=90 cm)</x:v>
      </x:c>
      <x:c r="E1654" s="66" t="n">
        <x:v>24</x:v>
      </x:c>
      <x:c r="F1654" s="66" t="n">
        <x:v>24</x:v>
      </x:c>
      <x:c r="G1654" s="60" t="n">
        <x:v>79075.26411318919</x:v>
      </x:c>
      <x:c r="H1654" s="60" t="n">
        <x:v>79075.26411318919</x:v>
      </x:c>
      <x:c r="I1654" s="62" t="n">
        <x:v>0</x:v>
      </x:c>
      <x:c r="J1654" s="64" t="n">
        <x:v>1</x:v>
      </x:c>
      <x:c r="K1654" s="62" t="n">
        <x:v>1370.9935370361445</x:v>
      </x:c>
      <x:c r="L1654" s="60" t="n">
        <x:v>108411676.03860855</x:v>
      </x:c>
      <x:c r="M1654" s="62" t="n">
        <x:v>4.111001567967264</x:v>
      </x:c>
      <x:c r="N1654" s="62" t="n">
        <x:v>1291.2239354116714</x:v>
      </x:c>
      <x:c r="O1654" s="60" t="n">
        <x:v>102103873.72194946</x:v>
      </x:c>
      <x:c r="P1654" s="60" t="n">
        <x:v>6307802.316659093</x:v>
      </x:c>
      <x:c r="Q1654" s="62" t="n">
        <x:v>1.0617782860407097</x:v>
      </x:c>
      <x:c r="R1654" s="64" t="n">
        <x:v>0.061778286040709667</x:v>
      </x:c>
    </x:row>
    <x:row r="1655" ht="18" customHeight="1">
      <x:c r="A1655" s="46" t="str">
        <x:v>LME_034</x:v>
      </x:c>
      <x:c r="B1655" s="46" t="str">
        <x:v>Bay of Bengal</x:v>
      </x:c>
      <x:c r="C1655" s="46" t="str">
        <x:v>functional</x:v>
      </x:c>
      <x:c r="D1655" s="46" t="str">
        <x:v>Lobsters, crabs</x:v>
      </x:c>
      <x:c r="E1655" s="66" t="n">
        <x:v>12</x:v>
      </x:c>
      <x:c r="F1655" s="66" t="n">
        <x:v>12</x:v>
      </x:c>
      <x:c r="G1655" s="60" t="n">
        <x:v>118676.18038778543</x:v>
      </x:c>
      <x:c r="H1655" s="60" t="n">
        <x:v>118676.18038778543</x:v>
      </x:c>
      <x:c r="I1655" s="62" t="n">
        <x:v>0</x:v>
      </x:c>
      <x:c r="J1655" s="64" t="n">
        <x:v>1</x:v>
      </x:c>
      <x:c r="K1655" s="62" t="n">
        <x:v>249.1361273013567</x:v>
      </x:c>
      <x:c r="L1655" s="60" t="n">
        <x:v>29566523.984730083</x:v>
      </x:c>
      <x:c r="M1655" s="62" t="n">
        <x:v>3.3072490047309446</x:v>
      </x:c>
      <x:c r="N1655" s="62" t="n">
        <x:v>202.8845634047794</x:v>
      </x:c>
      <x:c r="O1655" s="60" t="n">
        <x:v>24077565.04452269</x:v>
      </x:c>
      <x:c r="P1655" s="60" t="n">
        <x:v>5488958.940207392</x:v>
      </x:c>
      <x:c r="Q1655" s="62" t="n">
        <x:v>1.2279698520202338</x:v>
      </x:c>
      <x:c r="R1655" s="64" t="n">
        <x:v>0.2279698520202338</x:v>
      </x:c>
    </x:row>
    <x:row r="1656" ht="18" customHeight="1">
      <x:c r="A1656" s="46" t="str">
        <x:v>LME_034</x:v>
      </x:c>
      <x:c r="B1656" s="46" t="str">
        <x:v>Bay of Bengal</x:v>
      </x:c>
      <x:c r="C1656" s="46" t="str">
        <x:v>functional</x:v>
      </x:c>
      <x:c r="D1656" s="46" t="str">
        <x:v>Medium benthopelagics (30 - 89 cm)</x:v>
      </x:c>
      <x:c r="E1656" s="66" t="n">
        <x:v>8</x:v>
      </x:c>
      <x:c r="F1656" s="66" t="n">
        <x:v>8</x:v>
      </x:c>
      <x:c r="G1656" s="60" t="n">
        <x:v>310141.1106810052</x:v>
      </x:c>
      <x:c r="H1656" s="60" t="n">
        <x:v>310141.1106810052</x:v>
      </x:c>
      <x:c r="I1656" s="62" t="n">
        <x:v>0</x:v>
      </x:c>
      <x:c r="J1656" s="64" t="n">
        <x:v>1</x:v>
      </x:c>
      <x:c r="K1656" s="62" t="n">
        <x:v>858.0005659122927</x:v>
      </x:c>
      <x:c r="L1656" s="60" t="n">
        <x:v>266101248.47696945</x:v>
      </x:c>
      <x:c r="M1656" s="62" t="n">
        <x:v>3.726417396149567</x:v>
      </x:c>
      <x:c r="N1656" s="62" t="n">
        <x:v>532.619909105929</x:v>
      </x:c>
      <x:c r="O1656" s="60" t="n">
        <x:v>165187330.18092883</x:v>
      </x:c>
      <x:c r="P1656" s="60" t="n">
        <x:v>100913918.29604062</x:v>
      </x:c>
      <x:c r="Q1656" s="62" t="n">
        <x:v>1.6109059222974917</x:v>
      </x:c>
      <x:c r="R1656" s="64" t="n">
        <x:v>0.6109059222974917</x:v>
      </x:c>
    </x:row>
    <x:row r="1657" ht="18" customHeight="1">
      <x:c r="A1657" s="46" t="str">
        <x:v>LME_034</x:v>
      </x:c>
      <x:c r="B1657" s="46" t="str">
        <x:v>Bay of Bengal</x:v>
      </x:c>
      <x:c r="C1657" s="46" t="str">
        <x:v>functional</x:v>
      </x:c>
      <x:c r="D1657" s="46" t="str">
        <x:v>Medium demersals (30 - 89 cm)</x:v>
      </x:c>
      <x:c r="E1657" s="66" t="n">
        <x:v>24</x:v>
      </x:c>
      <x:c r="F1657" s="66" t="n">
        <x:v>24</x:v>
      </x:c>
      <x:c r="G1657" s="60" t="n">
        <x:v>1867644.0660899305</x:v>
      </x:c>
      <x:c r="H1657" s="60" t="n">
        <x:v>1867644.0660899305</x:v>
      </x:c>
      <x:c r="I1657" s="62" t="n">
        <x:v>0</x:v>
      </x:c>
      <x:c r="J1657" s="64" t="n">
        <x:v>1</x:v>
      </x:c>
      <x:c r="K1657" s="62" t="n">
        <x:v>374.94720886268874</x:v>
      </x:c>
      <x:c r="L1657" s="60" t="n">
        <x:v>700267929.7293824</x:v>
      </x:c>
      <x:c r="M1657" s="62" t="n">
        <x:v>3.4201347091227987</x:v>
      </x:c>
      <x:c r="N1657" s="62" t="n">
        <x:v>263.10839729079953</x:v>
      </x:c>
      <x:c r="O1657" s="60" t="n">
        <x:v>491392836.9385937</x:v>
      </x:c>
      <x:c r="P1657" s="60" t="n">
        <x:v>208875092.7907887</x:v>
      </x:c>
      <x:c r="Q1657" s="62" t="n">
        <x:v>1.4250674350324128</x:v>
      </x:c>
      <x:c r="R1657" s="64" t="n">
        <x:v>0.42506743503241284</x:v>
      </x:c>
    </x:row>
    <x:row r="1658" ht="18" customHeight="1">
      <x:c r="A1658" s="46" t="str">
        <x:v>LME_034</x:v>
      </x:c>
      <x:c r="B1658" s="46" t="str">
        <x:v>Bay of Bengal</x:v>
      </x:c>
      <x:c r="C1658" s="46" t="str">
        <x:v>functional</x:v>
      </x:c>
      <x:c r="D1658" s="46" t="str">
        <x:v>Medium pelagics (30 - 89 cm)</x:v>
      </x:c>
      <x:c r="E1658" s="66" t="n">
        <x:v>22</x:v>
      </x:c>
      <x:c r="F1658" s="66" t="n">
        <x:v>22</x:v>
      </x:c>
      <x:c r="G1658" s="60" t="n">
        <x:v>1506588.8140352736</x:v>
      </x:c>
      <x:c r="H1658" s="60" t="n">
        <x:v>1506588.8140352736</x:v>
      </x:c>
      <x:c r="I1658" s="62" t="n">
        <x:v>0</x:v>
      </x:c>
      <x:c r="J1658" s="64" t="n">
        <x:v>1</x:v>
      </x:c>
      <x:c r="K1658" s="62" t="n">
        <x:v>515.0532779045827</x:v>
      </x:c>
      <x:c r="L1658" s="60" t="n">
        <x:v>775973507.1232455</x:v>
      </x:c>
      <x:c r="M1658" s="62" t="n">
        <x:v>3.253139216236992</x:v>
      </x:c>
      <x:c r="N1658" s="62" t="n">
        <x:v>179.11799376998866</x:v>
      </x:c>
      <x:c r="O1658" s="60" t="n">
        <x:v>269857165.80630475</x:v>
      </x:c>
      <x:c r="P1658" s="60" t="n">
        <x:v>506116341.3169407</x:v>
      </x:c>
      <x:c r="Q1658" s="62" t="n">
        <x:v>2.875497134955518</x:v>
      </x:c>
      <x:c r="R1658" s="64" t="n">
        <x:v>1.8754971349555178</x:v>
      </x:c>
    </x:row>
    <x:row r="1659" ht="18" customHeight="1">
      <x:c r="A1659" s="46" t="str">
        <x:v>LME_034</x:v>
      </x:c>
      <x:c r="B1659" s="46" t="str">
        <x:v>Bay of Bengal</x:v>
      </x:c>
      <x:c r="C1659" s="46" t="str">
        <x:v>functional</x:v>
      </x:c>
      <x:c r="D1659" s="46" t="str">
        <x:v>Medium reef assoc. fish (30 - 89 cm)</x:v>
      </x:c>
      <x:c r="E1659" s="66" t="n">
        <x:v>29</x:v>
      </x:c>
      <x:c r="F1659" s="66" t="n">
        <x:v>29</x:v>
      </x:c>
      <x:c r="G1659" s="60" t="n">
        <x:v>213756.97513546518</x:v>
      </x:c>
      <x:c r="H1659" s="60" t="n">
        <x:v>213756.97513546518</x:v>
      </x:c>
      <x:c r="I1659" s="62" t="n">
        <x:v>0</x:v>
      </x:c>
      <x:c r="J1659" s="64" t="n">
        <x:v>1</x:v>
      </x:c>
      <x:c r="K1659" s="62" t="n">
        <x:v>641.7133877329047</x:v>
      </x:c>
      <x:c r="L1659" s="60" t="n">
        <x:v>137170712.66571763</x:v>
      </x:c>
      <x:c r="M1659" s="62" t="n">
        <x:v>3.5714760000547665</x:v>
      </x:c>
      <x:c r="N1659" s="62" t="n">
        <x:v>372.800082726799</x:v>
      </x:c>
      <x:c r="O1659" s="60" t="n">
        <x:v>79688618.01393174</x:v>
      </x:c>
      <x:c r="P1659" s="60" t="n">
        <x:v>57482094.651785895</x:v>
      </x:c>
      <x:c r="Q1659" s="62" t="n">
        <x:v>1.7213338125870932</x:v>
      </x:c>
      <x:c r="R1659" s="64" t="n">
        <x:v>0.7213338125870932</x:v>
      </x:c>
    </x:row>
    <x:row r="1660" ht="18" customHeight="1">
      <x:c r="A1660" s="46" t="str">
        <x:v>LME_034</x:v>
      </x:c>
      <x:c r="B1660" s="46" t="str">
        <x:v>Bay of Bengal</x:v>
      </x:c>
      <x:c r="C1660" s="46" t="str">
        <x:v>functional</x:v>
      </x:c>
      <x:c r="D1660" s="46" t="str">
        <x:v>Other demersal invertebrates</x:v>
      </x:c>
      <x:c r="E1660" s="66" t="n">
        <x:v>22</x:v>
      </x:c>
      <x:c r="F1660" s="66" t="n">
        <x:v>22</x:v>
      </x:c>
      <x:c r="G1660" s="60" t="n">
        <x:v>67418.85657002708</x:v>
      </x:c>
      <x:c r="H1660" s="60" t="n">
        <x:v>67418.85657002708</x:v>
      </x:c>
      <x:c r="I1660" s="62" t="n">
        <x:v>0</x:v>
      </x:c>
      <x:c r="J1660" s="64" t="n">
        <x:v>1</x:v>
      </x:c>
      <x:c r="K1660" s="62" t="n">
        <x:v>17.39134216702315</x:v>
      </x:c>
      <x:c r="L1660" s="60" t="n">
        <x:v>1172504.4031187978</x:v>
      </x:c>
      <x:c r="M1660" s="62" t="n">
        <x:v>2.181001697604777</x:v>
      </x:c>
      <x:c r="N1660" s="62" t="n">
        <x:v>15.170562974379367</x:v>
      </x:c>
      <x:c r="O1660" s="60" t="n">
        <x:v>1022782.009256246</x:v>
      </x:c>
      <x:c r="P1660" s="60" t="n">
        <x:v>149722.39386255178</x:v>
      </x:c>
      <x:c r="Q1660" s="62" t="n">
        <x:v>1.146387394877456</x:v>
      </x:c>
      <x:c r="R1660" s="64" t="n">
        <x:v>0.14638739487745583</x:v>
      </x:c>
    </x:row>
    <x:row r="1661" ht="18" customHeight="1">
      <x:c r="A1661" s="46" t="str">
        <x:v>LME_034</x:v>
      </x:c>
      <x:c r="B1661" s="46" t="str">
        <x:v>Bay of Bengal</x:v>
      </x:c>
      <x:c r="C1661" s="46" t="str">
        <x:v>functional</x:v>
      </x:c>
      <x:c r="D1661" s="46" t="str">
        <x:v>Shrimps</x:v>
      </x:c>
      <x:c r="E1661" s="66" t="n">
        <x:v>23</x:v>
      </x:c>
      <x:c r="F1661" s="66" t="n">
        <x:v>23</x:v>
      </x:c>
      <x:c r="G1661" s="60" t="n">
        <x:v>429046.2654992048</x:v>
      </x:c>
      <x:c r="H1661" s="60" t="n">
        <x:v>429046.2654992048</x:v>
      </x:c>
      <x:c r="I1661" s="62" t="n">
        <x:v>0</x:v>
      </x:c>
      <x:c r="J1661" s="64" t="n">
        <x:v>1</x:v>
      </x:c>
      <x:c r="K1661" s="62" t="n">
        <x:v>127.80773645286277</x:v>
      </x:c>
      <x:c r="L1661" s="60" t="n">
        <x:v>54835432.02700736</x:v>
      </x:c>
      <x:c r="M1661" s="62" t="n">
        <x:v>2.9539527255864098</x:v>
      </x:c>
      <x:c r="N1661" s="62" t="n">
        <x:v>89.93996735248665</x:v>
      </x:c>
      <x:c r="O1661" s="60" t="n">
        <x:v>38588407.1117048</x:v>
      </x:c>
      <x:c r="P1661" s="60" t="n">
        <x:v>16247024.91530256</x:v>
      </x:c>
      <x:c r="Q1661" s="62" t="n">
        <x:v>1.421033831955568</x:v>
      </x:c>
      <x:c r="R1661" s="64" t="n">
        <x:v>0.4210338319555679</x:v>
      </x:c>
    </x:row>
    <x:row r="1662" ht="18" customHeight="1">
      <x:c r="A1662" s="46" t="str">
        <x:v>LME_034</x:v>
      </x:c>
      <x:c r="B1662" s="46" t="str">
        <x:v>Bay of Bengal</x:v>
      </x:c>
      <x:c r="C1662" s="46" t="str">
        <x:v>functional</x:v>
      </x:c>
      <x:c r="D1662" s="46" t="str">
        <x:v>Small benthopelagics (&lt;30 cm)</x:v>
      </x:c>
      <x:c r="E1662" s="66" t="n">
        <x:v>5</x:v>
      </x:c>
      <x:c r="F1662" s="66" t="n">
        <x:v>5</x:v>
      </x:c>
      <x:c r="G1662" s="60" t="n">
        <x:v>210420.8783944666</x:v>
      </x:c>
      <x:c r="H1662" s="60" t="n">
        <x:v>210420.8783944666</x:v>
      </x:c>
      <x:c r="I1662" s="62" t="n">
        <x:v>0</x:v>
      </x:c>
      <x:c r="J1662" s="64" t="n">
        <x:v>1</x:v>
      </x:c>
      <x:c r="K1662" s="62" t="n">
        <x:v>178.61597788223895</x:v>
      </x:c>
      <x:c r="L1662" s="60" t="n">
        <x:v>37584530.96126734</x:v>
      </x:c>
      <x:c r="M1662" s="62" t="n">
        <x:v>3.2463280634937495</x:v>
      </x:c>
      <x:c r="N1662" s="62" t="n">
        <x:v>176.33075355757347</x:v>
      </x:c>
      <x:c r="O1662" s="60" t="n">
        <x:v>37103672.051542826</x:v>
      </x:c>
      <x:c r="P1662" s="60" t="n">
        <x:v>480858.9097245112</x:v>
      </x:c>
      <x:c r="Q1662" s="62" t="n">
        <x:v>1.0129598738652208</x:v>
      </x:c>
      <x:c r="R1662" s="64" t="n">
        <x:v>0.012959873865220744</x:v>
      </x:c>
    </x:row>
    <x:row r="1663" ht="18" customHeight="1">
      <x:c r="A1663" s="46" t="str">
        <x:v>LME_034</x:v>
      </x:c>
      <x:c r="B1663" s="46" t="str">
        <x:v>Bay of Bengal</x:v>
      </x:c>
      <x:c r="C1663" s="46" t="str">
        <x:v>functional</x:v>
      </x:c>
      <x:c r="D1663" s="46" t="str">
        <x:v>Small demersals (&lt;30 cm)</x:v>
      </x:c>
      <x:c r="E1663" s="66" t="n">
        <x:v>6</x:v>
      </x:c>
      <x:c r="F1663" s="66" t="n">
        <x:v>6</x:v>
      </x:c>
      <x:c r="G1663" s="60" t="n">
        <x:v>187653.63006632426</x:v>
      </x:c>
      <x:c r="H1663" s="60" t="n">
        <x:v>187653.63006632426</x:v>
      </x:c>
      <x:c r="I1663" s="62" t="n">
        <x:v>0</x:v>
      </x:c>
      <x:c r="J1663" s="64" t="n">
        <x:v>1</x:v>
      </x:c>
      <x:c r="K1663" s="62" t="n">
        <x:v>395.8657307144428</x:v>
      </x:c>
      <x:c r="L1663" s="60" t="n">
        <x:v>74285641.38742319</x:v>
      </x:c>
      <x:c r="M1663" s="62" t="n">
        <x:v>3.582945819577143</x:v>
      </x:c>
      <x:c r="N1663" s="62" t="n">
        <x:v>382.7769869819367</x:v>
      </x:c>
      <x:c r="O1663" s="60" t="n">
        <x:v>71829491.11301057</x:v>
      </x:c>
      <x:c r="P1663" s="60" t="n">
        <x:v>2456150.274412617</x:v>
      </x:c>
      <x:c r="Q1663" s="62" t="n">
        <x:v>1.034194176185215</x:v>
      </x:c>
      <x:c r="R1663" s="64" t="n">
        <x:v>0.03419417618521498</x:v>
      </x:c>
    </x:row>
    <x:row r="1664" ht="18" customHeight="1">
      <x:c r="A1664" s="46" t="str">
        <x:v>LME_034</x:v>
      </x:c>
      <x:c r="B1664" s="46" t="str">
        <x:v>Bay of Bengal</x:v>
      </x:c>
      <x:c r="C1664" s="46" t="str">
        <x:v>functional</x:v>
      </x:c>
      <x:c r="D1664" s="46" t="str">
        <x:v>Small pelagics (&lt;30 cm)</x:v>
      </x:c>
      <x:c r="E1664" s="66" t="n">
        <x:v>25</x:v>
      </x:c>
      <x:c r="F1664" s="66" t="n">
        <x:v>25</x:v>
      </x:c>
      <x:c r="G1664" s="60" t="n">
        <x:v>940302.5320528293</x:v>
      </x:c>
      <x:c r="H1664" s="60" t="n">
        <x:v>940302.5320528293</x:v>
      </x:c>
      <x:c r="I1664" s="62" t="n">
        <x:v>0</x:v>
      </x:c>
      <x:c r="J1664" s="64" t="n">
        <x:v>1</x:v>
      </x:c>
      <x:c r="K1664" s="62" t="n">
        <x:v>193.3341997181625</x:v>
      </x:c>
      <x:c r="L1664" s="60" t="n">
        <x:v>181792637.52739558</x:v>
      </x:c>
      <x:c r="M1664" s="62" t="n">
        <x:v>3.1767889968592447</x:v>
      </x:c>
      <x:c r="N1664" s="62" t="n">
        <x:v>150.24118379093707</x:v>
      </x:c>
      <x:c r="O1664" s="60" t="n">
        <x:v>141272165.5372326</x:v>
      </x:c>
      <x:c r="P1664" s="60" t="n">
        <x:v>40520471.99016297</x:v>
      </x:c>
      <x:c r="Q1664" s="62" t="n">
        <x:v>1.286825588296682</x:v>
      </x:c>
      <x:c r="R1664" s="64" t="n">
        <x:v>0.28682558829668187</x:v>
      </x:c>
    </x:row>
    <x:row r="1665" ht="18" customHeight="1">
      <x:c r="A1665" s="46" t="str">
        <x:v>LME_034</x:v>
      </x:c>
      <x:c r="B1665" s="46" t="str">
        <x:v>Bay of Bengal</x:v>
      </x:c>
      <x:c r="C1665" s="46" t="str">
        <x:v>functional</x:v>
      </x:c>
      <x:c r="D1665" s="46" t="str">
        <x:v>Small reef assoc. fish (&lt;30 cm)</x:v>
      </x:c>
      <x:c r="E1665" s="66" t="n">
        <x:v>11</x:v>
      </x:c>
      <x:c r="F1665" s="66" t="n">
        <x:v>11</x:v>
      </x:c>
      <x:c r="G1665" s="60" t="n">
        <x:v>59543.5919304908</x:v>
      </x:c>
      <x:c r="H1665" s="60" t="n">
        <x:v>59543.5919304908</x:v>
      </x:c>
      <x:c r="I1665" s="62" t="n">
        <x:v>0</x:v>
      </x:c>
      <x:c r="J1665" s="64" t="n">
        <x:v>1</x:v>
      </x:c>
      <x:c r="K1665" s="62" t="n">
        <x:v>403.7353238396147</x:v>
      </x:c>
      <x:c r="L1665" s="60" t="n">
        <x:v>24039851.370630573</x:v>
      </x:c>
      <x:c r="M1665" s="62" t="n">
        <x:v>3.519848433909939</x:v>
      </x:c>
      <x:c r="N1665" s="62" t="n">
        <x:v>331.0155789307149</x:v>
      </x:c>
      <x:c r="O1665" s="60" t="n">
        <x:v>19709856.55448566</x:v>
      </x:c>
      <x:c r="P1665" s="60" t="n">
        <x:v>4329994.816144913</x:v>
      </x:c>
      <x:c r="Q1665" s="62" t="n">
        <x:v>1.2196867746944344</x:v>
      </x:c>
      <x:c r="R1665" s="64" t="n">
        <x:v>0.21968677469443446</x:v>
      </x:c>
    </x:row>
    <x:row r="1666" ht="18" customHeight="1">
      <x:c r="A1666" s="46" t="str">
        <x:v>LME_034</x:v>
      </x:c>
      <x:c r="B1666" s="46" t="str">
        <x:v>Bay of Bengal</x:v>
      </x:c>
      <x:c r="C1666" s="46" t="str">
        <x:v>functional</x:v>
      </x:c>
      <x:c r="D1666" s="46" t="str">
        <x:v>Small to medium flatfishes (&lt;90 cm)</x:v>
      </x:c>
      <x:c r="E1666" s="66" t="n">
        <x:v>7</x:v>
      </x:c>
      <x:c r="F1666" s="66" t="n">
        <x:v>7</x:v>
      </x:c>
      <x:c r="G1666" s="60" t="n">
        <x:v>34269.309511656895</x:v>
      </x:c>
      <x:c r="H1666" s="60" t="n">
        <x:v>34269.309511656895</x:v>
      </x:c>
      <x:c r="I1666" s="62" t="n">
        <x:v>0</x:v>
      </x:c>
      <x:c r="J1666" s="64" t="n">
        <x:v>1</x:v>
      </x:c>
      <x:c r="K1666" s="62" t="n">
        <x:v>585.9153664048254</x:v>
      </x:c>
      <x:c r="L1666" s="60" t="n">
        <x:v>20078915.038962815</x:v>
      </x:c>
      <x:c r="M1666" s="62" t="n">
        <x:v>3.563407256877345</x:v>
      </x:c>
      <x:c r="N1666" s="62" t="n">
        <x:v>365.937786590102</x:v>
      </x:c>
      <x:c r="O1666" s="60" t="n">
        <x:v>12540435.270666854</x:v>
      </x:c>
      <x:c r="P1666" s="60" t="n">
        <x:v>7538479.7682959605</x:v>
      </x:c>
      <x:c r="Q1666" s="62" t="n">
        <x:v>1.6011338207637105</x:v>
      </x:c>
      <x:c r="R1666" s="64" t="n">
        <x:v>0.6011338207637104</x:v>
      </x:c>
    </x:row>
    <x:row r="1667" ht="18" customHeight="1">
      <x:c r="A1667" s="46" t="str">
        <x:v>LME_035</x:v>
      </x:c>
      <x:c r="B1667" s="46" t="str">
        <x:v>Gulf of Thailand</x:v>
      </x:c>
      <x:c r="C1667" s="46" t="str">
        <x:v>functional</x:v>
      </x:c>
      <x:c r="D1667" s="46" t="str">
        <x:v>Cephalopods</x:v>
      </x:c>
      <x:c r="E1667" s="66" t="n">
        <x:v>8</x:v>
      </x:c>
      <x:c r="F1667" s="66" t="n">
        <x:v>8</x:v>
      </x:c>
      <x:c r="G1667" s="60" t="n">
        <x:v>221324.71917598243</x:v>
      </x:c>
      <x:c r="H1667" s="60" t="n">
        <x:v>221324.71917598243</x:v>
      </x:c>
      <x:c r="I1667" s="62" t="n">
        <x:v>0</x:v>
      </x:c>
      <x:c r="J1667" s="64" t="n">
        <x:v>1</x:v>
      </x:c>
      <x:c r="K1667" s="62" t="n">
        <x:v>632.3907963061166</x:v>
      </x:c>
      <x:c r="L1667" s="60" t="n">
        <x:v>139963715.40192717</x:v>
      </x:c>
      <x:c r="M1667" s="62" t="n">
        <x:v>3.776911060578845</x:v>
      </x:c>
      <x:c r="N1667" s="62" t="n">
        <x:v>598.2890585470891</x:v>
      </x:c>
      <x:c r="O1667" s="60" t="n">
        <x:v>132416157.86899741</x:v>
      </x:c>
      <x:c r="P1667" s="60" t="n">
        <x:v>7547557.532929763</x:v>
      </x:c>
      <x:c r="Q1667" s="62" t="n">
        <x:v>1.0569987655161899</x:v>
      </x:c>
      <x:c r="R1667" s="64" t="n">
        <x:v>0.05699876551618987</x:v>
      </x:c>
    </x:row>
    <x:row r="1668" ht="18" customHeight="1">
      <x:c r="A1668" s="46" t="str">
        <x:v>LME_035</x:v>
      </x:c>
      <x:c r="B1668" s="46" t="str">
        <x:v>Gulf of Thailand</x:v>
      </x:c>
      <x:c r="C1668" s="46" t="str">
        <x:v>functional</x:v>
      </x:c>
      <x:c r="D1668" s="46" t="str">
        <x:v>Jellyfish</x:v>
      </x:c>
      <x:c r="E1668" s="66" t="n">
        <x:v>2</x:v>
      </x:c>
      <x:c r="F1668" s="66" t="n">
        <x:v>2</x:v>
      </x:c>
      <x:c r="G1668" s="60" t="n">
        <x:v>8272.5536784781</x:v>
      </x:c>
      <x:c r="H1668" s="60" t="n">
        <x:v>8272.5536784781</x:v>
      </x:c>
      <x:c r="I1668" s="62" t="n">
        <x:v>0</x:v>
      </x:c>
      <x:c r="J1668" s="64" t="n">
        <x:v>1</x:v>
      </x:c>
      <x:c r="K1668" s="62" t="n">
        <x:v>288.40315031266056</x:v>
      </x:c>
      <x:c r="L1668" s="60" t="n">
        <x:v>2385830.5420036726</x:v>
      </x:c>
      <x:c r="M1668" s="62" t="n">
        <x:v>3.4600000000000004</x:v>
      </x:c>
      <x:c r="N1668" s="62" t="n">
        <x:v>288.40315031266084</x:v>
      </x:c>
      <x:c r="O1668" s="60" t="n">
        <x:v>2385830.542003675</x:v>
      </x:c>
      <x:c r="P1668" s="60" t="n">
        <x:v>-2.3283064365386963e-9</x:v>
      </x:c>
      <x:c r="Q1668" s="62" t="n">
        <x:v>0.999999999999999</x:v>
      </x:c>
      <x:c r="R1668" s="64" t="n">
        <x:v>-9.758892744257232e-16</x:v>
      </x:c>
    </x:row>
    <x:row r="1669" ht="18" customHeight="1">
      <x:c r="A1669" s="46" t="str">
        <x:v>LME_035</x:v>
      </x:c>
      <x:c r="B1669" s="46" t="str">
        <x:v>Gulf of Thailand</x:v>
      </x:c>
      <x:c r="C1669" s="46" t="str">
        <x:v>functional</x:v>
      </x:c>
      <x:c r="D1669" s="46" t="str">
        <x:v>Large benthopelagics (&gt;=90 cm)</x:v>
      </x:c>
      <x:c r="E1669" s="66" t="n">
        <x:v>4</x:v>
      </x:c>
      <x:c r="F1669" s="66" t="n">
        <x:v>4</x:v>
      </x:c>
      <x:c r="G1669" s="60" t="n">
        <x:v>15352.941266845</x:v>
      </x:c>
      <x:c r="H1669" s="60" t="n">
        <x:v>15352.941266845</x:v>
      </x:c>
      <x:c r="I1669" s="62" t="n">
        <x:v>0</x:v>
      </x:c>
      <x:c r="J1669" s="64" t="n">
        <x:v>1</x:v>
      </x:c>
      <x:c r="K1669" s="62" t="n">
        <x:v>2274.4706765951414</x:v>
      </x:c>
      <x:c r="L1669" s="60" t="n">
        <x:v>34919814.71092641</x:v>
      </x:c>
      <x:c r="M1669" s="62" t="n">
        <x:v>4.345122128211859</x:v>
      </x:c>
      <x:c r="N1669" s="62" t="n">
        <x:v>2213.7171428102215</x:v>
      </x:c>
      <x:c r="O1669" s="60" t="n">
        <x:v>33987069.27497326</x:v>
      </x:c>
      <x:c r="P1669" s="60" t="n">
        <x:v>932745.4359531552</x:v>
      </x:c>
      <x:c r="Q1669" s="62" t="n">
        <x:v>1.027444126717922</x:v>
      </x:c>
      <x:c r="R1669" s="64" t="n">
        <x:v>0.027444126717921874</x:v>
      </x:c>
    </x:row>
    <x:row r="1670" ht="18" customHeight="1">
      <x:c r="A1670" s="46" t="str">
        <x:v>LME_035</x:v>
      </x:c>
      <x:c r="B1670" s="46" t="str">
        <x:v>Gulf of Thailand</x:v>
      </x:c>
      <x:c r="C1670" s="46" t="str">
        <x:v>functional</x:v>
      </x:c>
      <x:c r="D1670" s="46" t="str">
        <x:v>Large demersals (&gt;=90 cm)</x:v>
      </x:c>
      <x:c r="E1670" s="66" t="n">
        <x:v>4</x:v>
      </x:c>
      <x:c r="F1670" s="66" t="n">
        <x:v>4</x:v>
      </x:c>
      <x:c r="G1670" s="60" t="n">
        <x:v>5434.6065193144</x:v>
      </x:c>
      <x:c r="H1670" s="60" t="n">
        <x:v>5434.6065193144</x:v>
      </x:c>
      <x:c r="I1670" s="62" t="n">
        <x:v>0</x:v>
      </x:c>
      <x:c r="J1670" s="64" t="n">
        <x:v>1</x:v>
      </x:c>
      <x:c r="K1670" s="62" t="n">
        <x:v>2256.5483557928146</x:v>
      </x:c>
      <x:c r="L1670" s="60" t="n">
        <x:v>12263452.405539822</x:v>
      </x:c>
      <x:c r="M1670" s="62" t="n">
        <x:v>4.342671882394563</x:v>
      </x:c>
      <x:c r="N1670" s="62" t="n">
        <x:v>2201.262739466697</x:v>
      </x:c>
      <x:c r="O1670" s="60" t="n">
        <x:v>11962996.834629588</x:v>
      </x:c>
      <x:c r="P1670" s="60" t="n">
        <x:v>300455.570910234</x:v>
      </x:c>
      <x:c r="Q1670" s="62" t="n">
        <x:v>1.025115410048467</x:v>
      </x:c>
      <x:c r="R1670" s="64" t="n">
        <x:v>0.02511541004846693</x:v>
      </x:c>
    </x:row>
    <x:row r="1671" ht="18" customHeight="1">
      <x:c r="A1671" s="46" t="str">
        <x:v>LME_035</x:v>
      </x:c>
      <x:c r="B1671" s="46" t="str">
        <x:v>Gulf of Thailand</x:v>
      </x:c>
      <x:c r="C1671" s="46" t="str">
        <x:v>functional</x:v>
      </x:c>
      <x:c r="D1671" s="46" t="str">
        <x:v>Large pelagics (&gt;=90 cm)</x:v>
      </x:c>
      <x:c r="E1671" s="66" t="n">
        <x:v>20</x:v>
      </x:c>
      <x:c r="F1671" s="66" t="n">
        <x:v>20</x:v>
      </x:c>
      <x:c r="G1671" s="60" t="n">
        <x:v>98790.5673973051</x:v>
      </x:c>
      <x:c r="H1671" s="60" t="n">
        <x:v>98790.5673973051</x:v>
      </x:c>
      <x:c r="I1671" s="62" t="n">
        <x:v>0</x:v>
      </x:c>
      <x:c r="J1671" s="64" t="n">
        <x:v>1</x:v>
      </x:c>
      <x:c r="K1671" s="62" t="n">
        <x:v>2216.9853465309347</x:v>
      </x:c>
      <x:c r="L1671" s="60" t="n">
        <x:v>219017240.29530212</x:v>
      </x:c>
      <x:c r="M1671" s="62" t="n">
        <x:v>4.328408607399411</x:v>
      </x:c>
      <x:c r="N1671" s="62" t="n">
        <x:v>2130.1422548564697</x:v>
      </x:c>
      <x:c r="O1671" s="60" t="n">
        <x:v>210437961.99424553</x:v>
      </x:c>
      <x:c r="P1671" s="60" t="n">
        <x:v>8579278.301056594</x:v>
      </x:c>
      <x:c r="Q1671" s="62" t="n">
        <x:v>1.040768681751875</x:v>
      </x:c>
      <x:c r="R1671" s="64" t="n">
        <x:v>0.04076868175187515</x:v>
      </x:c>
    </x:row>
    <x:row r="1672" ht="18" customHeight="1">
      <x:c r="A1672" s="46" t="str">
        <x:v>LME_035</x:v>
      </x:c>
      <x:c r="B1672" s="46" t="str">
        <x:v>Gulf of Thailand</x:v>
      </x:c>
      <x:c r="C1672" s="46" t="str">
        <x:v>functional</x:v>
      </x:c>
      <x:c r="D1672" s="46" t="str">
        <x:v>Large rays (&gt;=90 cm)</x:v>
      </x:c>
      <x:c r="E1672" s="66" t="n">
        <x:v>3</x:v>
      </x:c>
      <x:c r="F1672" s="66" t="n">
        <x:v>3</x:v>
      </x:c>
      <x:c r="G1672" s="60" t="n">
        <x:v>7319.8423838511</x:v>
      </x:c>
      <x:c r="H1672" s="60" t="n">
        <x:v>7319.8423838511</x:v>
      </x:c>
      <x:c r="I1672" s="62" t="n">
        <x:v>0</x:v>
      </x:c>
      <x:c r="J1672" s="64" t="n">
        <x:v>1</x:v>
      </x:c>
      <x:c r="K1672" s="62" t="n">
        <x:v>656.5168318518364</x:v>
      </x:c>
      <x:c r="L1672" s="60" t="n">
        <x:v>4805599.731500718</x:v>
      </x:c>
      <x:c r="M1672" s="62" t="n">
        <x:v>3.8134933515915095</x:v>
      </x:c>
      <x:c r="N1672" s="62" t="n">
        <x:v>650.8686469243553</x:v>
      </x:c>
      <x:c r="O1672" s="60" t="n">
        <x:v>4764255.908076713</x:v>
      </x:c>
      <x:c r="P1672" s="60" t="n">
        <x:v>41343.82342400495</x:v>
      </x:c>
      <x:c r="Q1672" s="62" t="n">
        <x:v>1.0086779182776298</x:v>
      </x:c>
      <x:c r="R1672" s="64" t="n">
        <x:v>0.00867791827762986</x:v>
      </x:c>
    </x:row>
    <x:row r="1673" ht="18" customHeight="1">
      <x:c r="A1673" s="46" t="str">
        <x:v>LME_035</x:v>
      </x:c>
      <x:c r="B1673" s="46" t="str">
        <x:v>Gulf of Thailand</x:v>
      </x:c>
      <x:c r="C1673" s="46" t="str">
        <x:v>functional</x:v>
      </x:c>
      <x:c r="D1673" s="46" t="str">
        <x:v>Large reef assoc. fish (&gt;=90 cm)</x:v>
      </x:c>
      <x:c r="E1673" s="66" t="n">
        <x:v>7</x:v>
      </x:c>
      <x:c r="F1673" s="66" t="n">
        <x:v>7</x:v>
      </x:c>
      <x:c r="G1673" s="60" t="n">
        <x:v>2311.5570185537003</x:v>
      </x:c>
      <x:c r="H1673" s="60" t="n">
        <x:v>2311.5570185537003</x:v>
      </x:c>
      <x:c r="I1673" s="62" t="n">
        <x:v>0</x:v>
      </x:c>
      <x:c r="J1673" s="64" t="n">
        <x:v>1</x:v>
      </x:c>
      <x:c r="K1673" s="62" t="n">
        <x:v>550.2006006680264</x:v>
      </x:c>
      <x:c r="L1673" s="60" t="n">
        <x:v>1271820.0600866382</x:v>
      </x:c>
      <x:c r="M1673" s="62" t="n">
        <x:v>3.6552306072014216</x:v>
      </x:c>
      <x:c r="N1673" s="62" t="n">
        <x:v>452.0959402971967</x:v>
      </x:c>
      <x:c r="O1673" s="60" t="n">
        <x:v>1045045.5438536197</x:v>
      </x:c>
      <x:c r="P1673" s="60" t="n">
        <x:v>226774.51623301848</x:v>
      </x:c>
      <x:c r="Q1673" s="62" t="n">
        <x:v>1.216999649026572</x:v>
      </x:c>
      <x:c r="R1673" s="64" t="n">
        <x:v>0.21699964902657196</x:v>
      </x:c>
    </x:row>
    <x:row r="1674" ht="18" customHeight="1">
      <x:c r="A1674" s="46" t="str">
        <x:v>LME_035</x:v>
      </x:c>
      <x:c r="B1674" s="46" t="str">
        <x:v>Gulf of Thailand</x:v>
      </x:c>
      <x:c r="C1674" s="46" t="str">
        <x:v>functional</x:v>
      </x:c>
      <x:c r="D1674" s="46" t="str">
        <x:v>Large sharks (&gt;=90 cm)</x:v>
      </x:c>
      <x:c r="E1674" s="66" t="n">
        <x:v>6</x:v>
      </x:c>
      <x:c r="F1674" s="66" t="n">
        <x:v>6</x:v>
      </x:c>
      <x:c r="G1674" s="60" t="n">
        <x:v>2919.5828089937004</x:v>
      </x:c>
      <x:c r="H1674" s="60" t="n">
        <x:v>2919.5828089937004</x:v>
      </x:c>
      <x:c r="I1674" s="62" t="n">
        <x:v>0</x:v>
      </x:c>
      <x:c r="J1674" s="64" t="n">
        <x:v>1</x:v>
      </x:c>
      <x:c r="K1674" s="62" t="n">
        <x:v>1703.6464452916966</x:v>
      </x:c>
      <x:c r="L1674" s="60" t="n">
        <x:v>4973936.874276864</x:v>
      </x:c>
      <x:c r="M1674" s="62" t="n">
        <x:v>4.225065757862383</x:v>
      </x:c>
      <x:c r="N1674" s="62" t="n">
        <x:v>1679.0582302440694</x:v>
      </x:c>
      <x:c r="O1674" s="60" t="n">
        <x:v>4902149.544319971</x:v>
      </x:c>
      <x:c r="P1674" s="60" t="n">
        <x:v>71787.32995689288</x:v>
      </x:c>
      <x:c r="Q1674" s="62" t="n">
        <x:v>1.014644051412114</x:v>
      </x:c>
      <x:c r="R1674" s="64" t="n">
        <x:v>0.014644051412113999</x:v>
      </x:c>
    </x:row>
    <x:row r="1675" ht="18" customHeight="1">
      <x:c r="A1675" s="46" t="str">
        <x:v>LME_035</x:v>
      </x:c>
      <x:c r="B1675" s="46" t="str">
        <x:v>Gulf of Thailand</x:v>
      </x:c>
      <x:c r="C1675" s="46" t="str">
        <x:v>functional</x:v>
      </x:c>
      <x:c r="D1675" s="46" t="str">
        <x:v>Lobsters, crabs</x:v>
      </x:c>
      <x:c r="E1675" s="66" t="n">
        <x:v>15</x:v>
      </x:c>
      <x:c r="F1675" s="66" t="n">
        <x:v>15</x:v>
      </x:c>
      <x:c r="G1675" s="60" t="n">
        <x:v>74551.2533900322</x:v>
      </x:c>
      <x:c r="H1675" s="60" t="n">
        <x:v>74551.2533900322</x:v>
      </x:c>
      <x:c r="I1675" s="62" t="n">
        <x:v>0</x:v>
      </x:c>
      <x:c r="J1675" s="64" t="n">
        <x:v>1</x:v>
      </x:c>
      <x:c r="K1675" s="62" t="n">
        <x:v>89.0471728241312</x:v>
      </x:c>
      <x:c r="L1675" s="60" t="n">
        <x:v>6638578.344877794</x:v>
      </x:c>
      <x:c r="M1675" s="62" t="n">
        <x:v>2.702434895378489</x:v>
      </x:c>
      <x:c r="N1675" s="62" t="n">
        <x:v>50.40050585796739</x:v>
      </x:c>
      <x:c r="O1675" s="60" t="n">
        <x:v>3757420.8832031293</x:v>
      </x:c>
      <x:c r="P1675" s="60" t="n">
        <x:v>2881157.461674665</x:v>
      </x:c>
      <x:c r="Q1675" s="62" t="n">
        <x:v>1.7667912515615056</x:v>
      </x:c>
      <x:c r="R1675" s="64" t="n">
        <x:v>0.7667912515615055</x:v>
      </x:c>
    </x:row>
    <x:row r="1676" ht="18" customHeight="1">
      <x:c r="A1676" s="46" t="str">
        <x:v>LME_035</x:v>
      </x:c>
      <x:c r="B1676" s="46" t="str">
        <x:v>Gulf of Thailand</x:v>
      </x:c>
      <x:c r="C1676" s="46" t="str">
        <x:v>functional</x:v>
      </x:c>
      <x:c r="D1676" s="46" t="str">
        <x:v>Medium benthopelagics (30 - 89 cm)</x:v>
      </x:c>
      <x:c r="E1676" s="66" t="n">
        <x:v>7</x:v>
      </x:c>
      <x:c r="F1676" s="66" t="n">
        <x:v>7</x:v>
      </x:c>
      <x:c r="G1676" s="60" t="n">
        <x:v>48622.6315192198</x:v>
      </x:c>
      <x:c r="H1676" s="60" t="n">
        <x:v>48622.6315192198</x:v>
      </x:c>
      <x:c r="I1676" s="62" t="n">
        <x:v>0</x:v>
      </x:c>
      <x:c r="J1676" s="64" t="n">
        <x:v>1</x:v>
      </x:c>
      <x:c r="K1676" s="62" t="n">
        <x:v>207.01710542911238</x:v>
      </x:c>
      <x:c r="L1676" s="60" t="n">
        <x:v>10065716.435455209</x:v>
      </x:c>
      <x:c r="M1676" s="62" t="n">
        <x:v>3.2779633468729132</x:v>
      </x:c>
      <x:c r="N1676" s="62" t="n">
        <x:v>189.65458517824308</x:v>
      </x:c>
      <x:c r="O1676" s="60" t="n">
        <x:v>9221505.011052199</x:v>
      </x:c>
      <x:c r="P1676" s="60" t="n">
        <x:v>844211.4244030099</x:v>
      </x:c>
      <x:c r="Q1676" s="62" t="n">
        <x:v>1.0915481175134865</x:v>
      </x:c>
      <x:c r="R1676" s="64" t="n">
        <x:v>0.09154811751348635</x:v>
      </x:c>
    </x:row>
    <x:row r="1677" ht="18" customHeight="1">
      <x:c r="A1677" s="46" t="str">
        <x:v>LME_035</x:v>
      </x:c>
      <x:c r="B1677" s="46" t="str">
        <x:v>Gulf of Thailand</x:v>
      </x:c>
      <x:c r="C1677" s="46" t="str">
        <x:v>functional</x:v>
      </x:c>
      <x:c r="D1677" s="46" t="str">
        <x:v>Medium demersals (30 - 89 cm)</x:v>
      </x:c>
      <x:c r="E1677" s="66" t="n">
        <x:v>19</x:v>
      </x:c>
      <x:c r="F1677" s="66" t="n">
        <x:v>19</x:v>
      </x:c>
      <x:c r="G1677" s="60" t="n">
        <x:v>561378.5762461221</x:v>
      </x:c>
      <x:c r="H1677" s="60" t="n">
        <x:v>561378.5762461221</x:v>
      </x:c>
      <x:c r="I1677" s="62" t="n">
        <x:v>0</x:v>
      </x:c>
      <x:c r="J1677" s="64" t="n">
        <x:v>1</x:v>
      </x:c>
      <x:c r="K1677" s="62" t="n">
        <x:v>1243.659510858562</x:v>
      </x:c>
      <x:c r="L1677" s="60" t="n">
        <x:v>698163805.5407282</x:v>
      </x:c>
      <x:c r="M1677" s="62" t="n">
        <x:v>3.939308824086756</x:v>
      </x:c>
      <x:c r="N1677" s="62" t="n">
        <x:v>869.5785613554661</x:v>
      </x:c>
      <x:c r="O1677" s="60" t="n">
        <x:v>488162774.70788276</x:v>
      </x:c>
      <x:c r="P1677" s="60" t="n">
        <x:v>210001030.83284545</x:v>
      </x:c>
      <x:c r="Q1677" s="62" t="n">
        <x:v>1.4301864904764816</x:v>
      </x:c>
      <x:c r="R1677" s="64" t="n">
        <x:v>0.4301864904764816</x:v>
      </x:c>
    </x:row>
    <x:row r="1678" ht="18" customHeight="1">
      <x:c r="A1678" s="46" t="str">
        <x:v>LME_035</x:v>
      </x:c>
      <x:c r="B1678" s="46" t="str">
        <x:v>Gulf of Thailand</x:v>
      </x:c>
      <x:c r="C1678" s="46" t="str">
        <x:v>functional</x:v>
      </x:c>
      <x:c r="D1678" s="46" t="str">
        <x:v>Medium pelagics (30 - 89 cm)</x:v>
      </x:c>
      <x:c r="E1678" s="66" t="n">
        <x:v>16</x:v>
      </x:c>
      <x:c r="F1678" s="66" t="n">
        <x:v>16</x:v>
      </x:c>
      <x:c r="G1678" s="60" t="n">
        <x:v>440624.1550622209</x:v>
      </x:c>
      <x:c r="H1678" s="60" t="n">
        <x:v>440624.1550622209</x:v>
      </x:c>
      <x:c r="I1678" s="62" t="n">
        <x:v>0</x:v>
      </x:c>
      <x:c r="J1678" s="64" t="n">
        <x:v>1</x:v>
      </x:c>
      <x:c r="K1678" s="62" t="n">
        <x:v>987.1566360334299</x:v>
      </x:c>
      <x:c r="L1678" s="60" t="n">
        <x:v>434965058.66629434</x:v>
      </x:c>
      <x:c r="M1678" s="62" t="n">
        <x:v>3.857808492533358</x:v>
      </x:c>
      <x:c r="N1678" s="62" t="n">
        <x:v>720.7895681136619</x:v>
      </x:c>
      <x:c r="O1678" s="60" t="n">
        <x:v>317597294.42774534</x:v>
      </x:c>
      <x:c r="P1678" s="60" t="n">
        <x:v>117367764.238549</x:v>
      </x:c>
      <x:c r="Q1678" s="62" t="n">
        <x:v>1.3695490052899384</x:v>
      </x:c>
      <x:c r="R1678" s="64" t="n">
        <x:v>0.36954900528993845</x:v>
      </x:c>
    </x:row>
    <x:row r="1679" ht="18" customHeight="1">
      <x:c r="A1679" s="46" t="str">
        <x:v>LME_035</x:v>
      </x:c>
      <x:c r="B1679" s="46" t="str">
        <x:v>Gulf of Thailand</x:v>
      </x:c>
      <x:c r="C1679" s="46" t="str">
        <x:v>functional</x:v>
      </x:c>
      <x:c r="D1679" s="46" t="str">
        <x:v>Medium reef assoc. fish (30 - 89 cm)</x:v>
      </x:c>
      <x:c r="E1679" s="66" t="n">
        <x:v>31</x:v>
      </x:c>
      <x:c r="F1679" s="66" t="n">
        <x:v>31</x:v>
      </x:c>
      <x:c r="G1679" s="60" t="n">
        <x:v>146540.0399481931</x:v>
      </x:c>
      <x:c r="H1679" s="60" t="n">
        <x:v>146540.0399481931</x:v>
      </x:c>
      <x:c r="I1679" s="62" t="n">
        <x:v>0</x:v>
      </x:c>
      <x:c r="J1679" s="64" t="n">
        <x:v>1</x:v>
      </x:c>
      <x:c r="K1679" s="62" t="n">
        <x:v>608.5332624803146</x:v>
      </x:c>
      <x:c r="L1679" s="60" t="n">
        <x:v>89174488.59366958</x:v>
      </x:c>
      <x:c r="M1679" s="62" t="n">
        <x:v>3.670948310859719</x:v>
      </x:c>
      <x:c r="N1679" s="62" t="n">
        <x:v>468.75758793263077</x:v>
      </x:c>
      <x:c r="O1679" s="60" t="n">
        <x:v>68691755.66166635</x:v>
      </x:c>
      <x:c r="P1679" s="60" t="n">
        <x:v>20482732.93200323</x:v>
      </x:c>
      <x:c r="Q1679" s="62" t="n">
        <x:v>1.2981832788331786</x:v>
      </x:c>
      <x:c r="R1679" s="64" t="n">
        <x:v>0.2981832788331786</x:v>
      </x:c>
    </x:row>
    <x:row r="1680" ht="18" customHeight="1">
      <x:c r="A1680" s="46" t="str">
        <x:v>LME_035</x:v>
      </x:c>
      <x:c r="B1680" s="46" t="str">
        <x:v>Gulf of Thailand</x:v>
      </x:c>
      <x:c r="C1680" s="46" t="str">
        <x:v>functional</x:v>
      </x:c>
      <x:c r="D1680" s="46" t="str">
        <x:v>Other demersal invertebrates</x:v>
      </x:c>
      <x:c r="E1680" s="66" t="n">
        <x:v>7</x:v>
      </x:c>
      <x:c r="F1680" s="66" t="n">
        <x:v>7</x:v>
      </x:c>
      <x:c r="G1680" s="60" t="n">
        <x:v>53437.8494071857</x:v>
      </x:c>
      <x:c r="H1680" s="60" t="n">
        <x:v>53437.8494071857</x:v>
      </x:c>
      <x:c r="I1680" s="62" t="n">
        <x:v>0</x:v>
      </x:c>
      <x:c r="J1680" s="64" t="n">
        <x:v>1</x:v>
      </x:c>
      <x:c r="K1680" s="62" t="n">
        <x:v>11.608311129788477</x:v>
      </x:c>
      <x:c r="L1680" s="60" t="n">
        <x:v>620323.1820253943</x:v>
      </x:c>
      <x:c r="M1680" s="62" t="n">
        <x:v>2.056026343158862</x:v>
      </x:c>
      <x:c r="N1680" s="62" t="n">
        <x:v>11.376962933897122</x:v>
      </x:c>
      <x:c r="O1680" s="60" t="n">
        <x:v>607960.431972728</x:v>
      </x:c>
      <x:c r="P1680" s="60" t="n">
        <x:v>12362.750052666292</x:v>
      </x:c>
      <x:c r="Q1680" s="62" t="n">
        <x:v>1.0203347938492497</x:v>
      </x:c>
      <x:c r="R1680" s="64" t="n">
        <x:v>0.020334793849249817</x:v>
      </x:c>
    </x:row>
    <x:row r="1681" ht="18" customHeight="1">
      <x:c r="A1681" s="46" t="str">
        <x:v>LME_035</x:v>
      </x:c>
      <x:c r="B1681" s="46" t="str">
        <x:v>Gulf of Thailand</x:v>
      </x:c>
      <x:c r="C1681" s="46" t="str">
        <x:v>functional</x:v>
      </x:c>
      <x:c r="D1681" s="46" t="str">
        <x:v>Shrimps</x:v>
      </x:c>
      <x:c r="E1681" s="66" t="n">
        <x:v>21</x:v>
      </x:c>
      <x:c r="F1681" s="66" t="n">
        <x:v>21</x:v>
      </x:c>
      <x:c r="G1681" s="60" t="n">
        <x:v>106434.6720754748</x:v>
      </x:c>
      <x:c r="H1681" s="60" t="n">
        <x:v>106434.6720754748</x:v>
      </x:c>
      <x:c r="I1681" s="62" t="n">
        <x:v>0</x:v>
      </x:c>
      <x:c r="J1681" s="64" t="n">
        <x:v>1</x:v>
      </x:c>
      <x:c r="K1681" s="62" t="n">
        <x:v>158.7846079691547</x:v>
      </x:c>
      <x:c r="L1681" s="60" t="n">
        <x:v>16900187.679829802</x:v>
      </x:c>
      <x:c r="M1681" s="62" t="n">
        <x:v>3.0201706059233837</x:v>
      </x:c>
      <x:c r="N1681" s="62" t="n">
        <x:v>104.75399772403499</x:v>
      </x:c>
      <x:c r="O1681" s="60" t="n">
        <x:v>11149457.396352697</x:v>
      </x:c>
      <x:c r="P1681" s="60" t="n">
        <x:v>5750730.283477105</x:v>
      </x:c>
      <x:c r="Q1681" s="62" t="n">
        <x:v>1.5157856637362759</x:v>
      </x:c>
      <x:c r="R1681" s="64" t="n">
        <x:v>0.5157856637362758</x:v>
      </x:c>
    </x:row>
    <x:row r="1682" ht="18" customHeight="1">
      <x:c r="A1682" s="46" t="str">
        <x:v>LME_035</x:v>
      </x:c>
      <x:c r="B1682" s="46" t="str">
        <x:v>Gulf of Thailand</x:v>
      </x:c>
      <x:c r="C1682" s="46" t="str">
        <x:v>functional</x:v>
      </x:c>
      <x:c r="D1682" s="46" t="str">
        <x:v>Small benthopelagics (&lt;30 cm)</x:v>
      </x:c>
      <x:c r="E1682" s="66" t="n">
        <x:v>4</x:v>
      </x:c>
      <x:c r="F1682" s="66" t="n">
        <x:v>4</x:v>
      </x:c>
      <x:c r="G1682" s="60" t="n">
        <x:v>253321.3387617584</x:v>
      </x:c>
      <x:c r="H1682" s="60" t="n">
        <x:v>253321.3387617584</x:v>
      </x:c>
      <x:c r="I1682" s="62" t="n">
        <x:v>0</x:v>
      </x:c>
      <x:c r="J1682" s="64" t="n">
        <x:v>1</x:v>
      </x:c>
      <x:c r="K1682" s="62" t="n">
        <x:v>173.63787173297652</x:v>
      </x:c>
      <x:c r="L1682" s="60" t="n">
        <x:v>43986178.1271401</x:v>
      </x:c>
      <x:c r="M1682" s="62" t="n">
        <x:v>3.239584244702906</x:v>
      </x:c>
      <x:c r="N1682" s="62" t="n">
        <x:v>173.61380072967128</x:v>
      </x:c>
      <x:c r="O1682" s="60" t="n">
        <x:v>43980080.428357475</x:v>
      </x:c>
      <x:c r="P1682" s="60" t="n">
        <x:v>6097.698782622814</x:v>
      </x:c>
      <x:c r="Q1682" s="62" t="n">
        <x:v>1.0001386468310933</x:v>
      </x:c>
      <x:c r="R1682" s="64" t="n">
        <x:v>0.00013864683109335882</x:v>
      </x:c>
    </x:row>
    <x:row r="1683" ht="18" customHeight="1">
      <x:c r="A1683" s="46" t="str">
        <x:v>LME_035</x:v>
      </x:c>
      <x:c r="B1683" s="46" t="str">
        <x:v>Gulf of Thailand</x:v>
      </x:c>
      <x:c r="C1683" s="46" t="str">
        <x:v>functional</x:v>
      </x:c>
      <x:c r="D1683" s="46" t="str">
        <x:v>Small demersals (&lt;30 cm)</x:v>
      </x:c>
      <x:c r="E1683" s="66" t="n">
        <x:v>6</x:v>
      </x:c>
      <x:c r="F1683" s="66" t="n">
        <x:v>6</x:v>
      </x:c>
      <x:c r="G1683" s="60" t="n">
        <x:v>194722.95431945234</x:v>
      </x:c>
      <x:c r="H1683" s="60" t="n">
        <x:v>194722.95431945234</x:v>
      </x:c>
      <x:c r="I1683" s="62" t="n">
        <x:v>0</x:v>
      </x:c>
      <x:c r="J1683" s="64" t="n">
        <x:v>1</x:v>
      </x:c>
      <x:c r="K1683" s="62" t="n">
        <x:v>378.8550634819325</x:v>
      </x:c>
      <x:c r="L1683" s="60" t="n">
        <x:v>73771777.22008556</x:v>
      </x:c>
      <x:c r="M1683" s="62" t="n">
        <x:v>3.567364944370324</x:v>
      </x:c>
      <x:c r="N1683" s="62" t="n">
        <x:v>369.2877864627504</x:v>
      </x:c>
      <x:c r="O1683" s="60" t="n">
        <x:v>71908808.77411781</x:v>
      </x:c>
      <x:c r="P1683" s="60" t="n">
        <x:v>1862968.4459677488</x:v>
      </x:c>
      <x:c r="Q1683" s="62" t="n">
        <x:v>1.0259073746002352</x:v>
      </x:c>
      <x:c r="R1683" s="64" t="n">
        <x:v>0.025907374600235185</x:v>
      </x:c>
    </x:row>
    <x:row r="1684" ht="18" customHeight="1">
      <x:c r="A1684" s="46" t="str">
        <x:v>LME_035</x:v>
      </x:c>
      <x:c r="B1684" s="46" t="str">
        <x:v>Gulf of Thailand</x:v>
      </x:c>
      <x:c r="C1684" s="46" t="str">
        <x:v>functional</x:v>
      </x:c>
      <x:c r="D1684" s="46" t="str">
        <x:v>Small pelagics (&lt;30 cm)</x:v>
      </x:c>
      <x:c r="E1684" s="66" t="n">
        <x:v>21</x:v>
      </x:c>
      <x:c r="F1684" s="66" t="n">
        <x:v>21</x:v>
      </x:c>
      <x:c r="G1684" s="60" t="n">
        <x:v>332801.6865959756</x:v>
      </x:c>
      <x:c r="H1684" s="60" t="n">
        <x:v>332801.6865959756</x:v>
      </x:c>
      <x:c r="I1684" s="62" t="n">
        <x:v>0</x:v>
      </x:c>
      <x:c r="J1684" s="64" t="n">
        <x:v>1</x:v>
      </x:c>
      <x:c r="K1684" s="62" t="n">
        <x:v>181.47594605729412</x:v>
      </x:c>
      <x:c r="L1684" s="60" t="n">
        <x:v>60395500.92446777</x:v>
      </x:c>
      <x:c r="M1684" s="62" t="n">
        <x:v>3.1069661107707605</x:v>
      </x:c>
      <x:c r="N1684" s="62" t="n">
        <x:v>127.92814743035717</x:v>
      </x:c>
      <x:c r="O1684" s="60" t="n">
        <x:v>42574703.227921486</x:v>
      </x:c>
      <x:c r="P1684" s="60" t="n">
        <x:v>17820797.696546286</x:v>
      </x:c>
      <x:c r="Q1684" s="62" t="n">
        <x:v>1.4185771442995987</x:v>
      </x:c>
      <x:c r="R1684" s="64" t="n">
        <x:v>0.4185771442995988</x:v>
      </x:c>
    </x:row>
    <x:row r="1685" ht="18" customHeight="1">
      <x:c r="A1685" s="46" t="str">
        <x:v>LME_035</x:v>
      </x:c>
      <x:c r="B1685" s="46" t="str">
        <x:v>Gulf of Thailand</x:v>
      </x:c>
      <x:c r="C1685" s="46" t="str">
        <x:v>functional</x:v>
      </x:c>
      <x:c r="D1685" s="46" t="str">
        <x:v>Small reef assoc. fish (&lt;30 cm)</x:v>
      </x:c>
      <x:c r="E1685" s="66" t="n">
        <x:v>8</x:v>
      </x:c>
      <x:c r="F1685" s="66" t="n">
        <x:v>8</x:v>
      </x:c>
      <x:c r="G1685" s="60" t="n">
        <x:v>37790.127272847196</x:v>
      </x:c>
      <x:c r="H1685" s="60" t="n">
        <x:v>37790.127272847196</x:v>
      </x:c>
      <x:c r="I1685" s="62" t="n">
        <x:v>0</x:v>
      </x:c>
      <x:c r="J1685" s="64" t="n">
        <x:v>1</x:v>
      </x:c>
      <x:c r="K1685" s="62" t="n">
        <x:v>239.0759883488569</x:v>
      </x:c>
      <x:c r="L1685" s="60" t="n">
        <x:v>9034712.027585035</x:v>
      </x:c>
      <x:c r="M1685" s="62" t="n">
        <x:v>3.280253706663451</x:v>
      </x:c>
      <x:c r="N1685" s="62" t="n">
        <x:v>190.65741774556778</x:v>
      </x:c>
      <x:c r="O1685" s="60" t="n">
        <x:v>7204968.082117402</x:v>
      </x:c>
      <x:c r="P1685" s="60" t="n">
        <x:v>1829743.9454676332</x:v>
      </x:c>
      <x:c r="Q1685" s="62" t="n">
        <x:v>1.2539558710897032</x:v>
      </x:c>
      <x:c r="R1685" s="64" t="n">
        <x:v>0.25395587108970324</x:v>
      </x:c>
    </x:row>
    <x:row r="1686" ht="18" customHeight="1">
      <x:c r="A1686" s="46" t="str">
        <x:v>LME_035</x:v>
      </x:c>
      <x:c r="B1686" s="46" t="str">
        <x:v>Gulf of Thailand</x:v>
      </x:c>
      <x:c r="C1686" s="46" t="str">
        <x:v>functional</x:v>
      </x:c>
      <x:c r="D1686" s="46" t="str">
        <x:v>Small to medium flatfishes (&lt;90 cm)</x:v>
      </x:c>
      <x:c r="E1686" s="66" t="n">
        <x:v>5</x:v>
      </x:c>
      <x:c r="F1686" s="66" t="n">
        <x:v>5</x:v>
      </x:c>
      <x:c r="G1686" s="60" t="n">
        <x:v>3873.4020140164002</x:v>
      </x:c>
      <x:c r="H1686" s="60" t="n">
        <x:v>3873.4020140164002</x:v>
      </x:c>
      <x:c r="I1686" s="62" t="n">
        <x:v>0</x:v>
      </x:c>
      <x:c r="J1686" s="64" t="n">
        <x:v>1</x:v>
      </x:c>
      <x:c r="K1686" s="62" t="n">
        <x:v>1439.6034943649333</x:v>
      </x:c>
      <x:c r="L1686" s="60" t="n">
        <x:v>5576163.07445818</x:v>
      </x:c>
      <x:c r="M1686" s="62" t="n">
        <x:v>3.9970718562282848</x:v>
      </x:c>
      <x:c r="N1686" s="62" t="n">
        <x:v>993.2803781104773</x:v>
      </x:c>
      <x:c r="O1686" s="60" t="n">
        <x:v>3847374.217056094</x:v>
      </x:c>
      <x:c r="P1686" s="60" t="n">
        <x:v>1728788.8574020858</x:v>
      </x:c>
      <x:c r="Q1686" s="62" t="n">
        <x:v>1.4493425281424555</x:v>
      </x:c>
      <x:c r="R1686" s="64" t="n">
        <x:v>0.4493425281424555</x:v>
      </x:c>
    </x:row>
    <x:row r="1687" ht="18" customHeight="1">
      <x:c r="A1687" s="46" t="str">
        <x:v>LME_036</x:v>
      </x:c>
      <x:c r="B1687" s="46" t="str">
        <x:v>South China Sea</x:v>
      </x:c>
      <x:c r="C1687" s="46" t="str">
        <x:v>functional</x:v>
      </x:c>
      <x:c r="D1687" s="46" t="str">
        <x:v>Cephalopods</x:v>
      </x:c>
      <x:c r="E1687" s="66" t="n">
        <x:v>13</x:v>
      </x:c>
      <x:c r="F1687" s="66" t="n">
        <x:v>13</x:v>
      </x:c>
      <x:c r="G1687" s="60" t="n">
        <x:v>602884.9982575688</x:v>
      </x:c>
      <x:c r="H1687" s="60" t="n">
        <x:v>602884.9982575688</x:v>
      </x:c>
      <x:c r="I1687" s="62" t="n">
        <x:v>0</x:v>
      </x:c>
      <x:c r="J1687" s="64" t="n">
        <x:v>1</x:v>
      </x:c>
      <x:c r="K1687" s="62" t="n">
        <x:v>772.883205477311</x:v>
      </x:c>
      <x:c r="L1687" s="60" t="n">
        <x:v>465959689.9874928</x:v>
      </x:c>
      <x:c r="M1687" s="62" t="n">
        <x:v>3.8263889332429195</x:v>
      </x:c>
      <x:c r="N1687" s="62" t="n">
        <x:v>670.4847945511256</x:v>
      </x:c>
      <x:c r="O1687" s="60" t="n">
        <x:v>404225224.1946817</x:v>
      </x:c>
      <x:c r="P1687" s="60" t="n">
        <x:v>61734465.792811096</x:v>
      </x:c>
      <x:c r="Q1687" s="62" t="n">
        <x:v>1.152722942799529</x:v>
      </x:c>
      <x:c r="R1687" s="64" t="n">
        <x:v>0.15272294279952883</x:v>
      </x:c>
    </x:row>
    <x:row r="1688" ht="18" customHeight="1">
      <x:c r="A1688" s="46" t="str">
        <x:v>LME_036</x:v>
      </x:c>
      <x:c r="B1688" s="46" t="str">
        <x:v>South China Sea</x:v>
      </x:c>
      <x:c r="C1688" s="46" t="str">
        <x:v>functional</x:v>
      </x:c>
      <x:c r="D1688" s="46" t="str">
        <x:v>Jellyfish</x:v>
      </x:c>
      <x:c r="E1688" s="66" t="n">
        <x:v>4</x:v>
      </x:c>
      <x:c r="F1688" s="66" t="n">
        <x:v>4</x:v>
      </x:c>
      <x:c r="G1688" s="60" t="n">
        <x:v>662477.4617662738</x:v>
      </x:c>
      <x:c r="H1688" s="60" t="n">
        <x:v>662477.4617662738</x:v>
      </x:c>
      <x:c r="I1688" s="62" t="n">
        <x:v>0</x:v>
      </x:c>
      <x:c r="J1688" s="64" t="n">
        <x:v>1</x:v>
      </x:c>
      <x:c r="K1688" s="62" t="n">
        <x:v>270.5922000229172</x:v>
      </x:c>
      <x:c r="L1688" s="60" t="n">
        <x:v>179261233.84493405</x:v>
      </x:c>
      <x:c r="M1688" s="62" t="n">
        <x:v>3.41692609367911</x:v>
      </x:c>
      <x:c r="N1688" s="62" t="n">
        <x:v>261.17168661139397</x:v>
      </x:c>
      <x:c r="O1688" s="60" t="n">
        <x:v>173020356.031533</x:v>
      </x:c>
      <x:c r="P1688" s="60" t="n">
        <x:v>6240877.813401043</x:v>
      </x:c>
      <x:c r="Q1688" s="62" t="n">
        <x:v>1.036070194031179</x:v>
      </x:c>
      <x:c r="R1688" s="64" t="n">
        <x:v>0.036070194031178865</x:v>
      </x:c>
    </x:row>
    <x:row r="1689" ht="18" customHeight="1">
      <x:c r="A1689" s="46" t="str">
        <x:v>LME_036</x:v>
      </x:c>
      <x:c r="B1689" s="46" t="str">
        <x:v>South China Sea</x:v>
      </x:c>
      <x:c r="C1689" s="46" t="str">
        <x:v>functional</x:v>
      </x:c>
      <x:c r="D1689" s="46" t="str">
        <x:v>Large bathypelagics (&gt;=90 cm)</x:v>
      </x:c>
      <x:c r="E1689" s="66" t="n">
        <x:v>1</x:v>
      </x:c>
      <x:c r="F1689" s="66" t="n">
        <x:v>1</x:v>
      </x:c>
      <x:c r="G1689" s="60" t="n">
        <x:v>1.1288504098999999</x:v>
      </x:c>
      <x:c r="H1689" s="60" t="n">
        <x:v>1.1288504098999999</x:v>
      </x:c>
      <x:c r="I1689" s="62" t="n">
        <x:v>0</x:v>
      </x:c>
      <x:c r="J1689" s="64" t="n">
        <x:v>1</x:v>
      </x:c>
      <x:c r="K1689" s="62" t="n">
        <x:v>1659.5869074375596</x:v>
      </x:c>
      <x:c r="L1689" s="60" t="n">
        <x:v>1873.4253607255623</x:v>
      </x:c>
      <x:c r="M1689" s="62" t="n">
        <x:v>4.22</x:v>
      </x:c>
      <x:c r="N1689" s="62" t="n">
        <x:v>1659.5869074375596</x:v>
      </x:c>
      <x:c r="O1689" s="60" t="n">
        <x:v>1873.4253607255623</x:v>
      </x:c>
      <x:c r="P1689" s="60" t="n">
        <x:v>0</x:v>
      </x:c>
      <x:c r="Q1689" s="62" t="n">
        <x:v>1</x:v>
      </x:c>
      <x:c r="R1689" s="64" t="n">
        <x:v>0</x:v>
      </x:c>
    </x:row>
    <x:row r="1690" ht="18" customHeight="1">
      <x:c r="A1690" s="46" t="str">
        <x:v>LME_036</x:v>
      </x:c>
      <x:c r="B1690" s="46" t="str">
        <x:v>South China Sea</x:v>
      </x:c>
      <x:c r="C1690" s="46" t="str">
        <x:v>functional</x:v>
      </x:c>
      <x:c r="D1690" s="46" t="str">
        <x:v>Large benthopelagics (&gt;=90 cm)</x:v>
      </x:c>
      <x:c r="E1690" s="66" t="n">
        <x:v>9</x:v>
      </x:c>
      <x:c r="F1690" s="66" t="n">
        <x:v>9</x:v>
      </x:c>
      <x:c r="G1690" s="60" t="n">
        <x:v>505914.663333145</x:v>
      </x:c>
      <x:c r="H1690" s="60" t="n">
        <x:v>505914.663333145</x:v>
      </x:c>
      <x:c r="I1690" s="62" t="n">
        <x:v>0</x:v>
      </x:c>
      <x:c r="J1690" s="64" t="n">
        <x:v>1</x:v>
      </x:c>
      <x:c r="K1690" s="62" t="n">
        <x:v>2336.324227627372</x:v>
      </x:c>
      <x:c r="L1690" s="60" t="n">
        <x:v>1181980685.0571718</x:v>
      </x:c>
      <x:c r="M1690" s="62" t="n">
        <x:v>4.249511779920446</x:v>
      </x:c>
      <x:c r="N1690" s="62" t="n">
        <x:v>1776.2814479712117</x:v>
      </x:c>
      <x:c r="O1690" s="60" t="n">
        <x:v>898646830.7352669</x:v>
      </x:c>
      <x:c r="P1690" s="60" t="n">
        <x:v>283333854.3219049</x:v>
      </x:c>
      <x:c r="Q1690" s="62" t="n">
        <x:v>1.315289438110056</x:v>
      </x:c>
      <x:c r="R1690" s="64" t="n">
        <x:v>0.315289438110056</x:v>
      </x:c>
    </x:row>
    <x:row r="1691" ht="18" customHeight="1">
      <x:c r="A1691" s="46" t="str">
        <x:v>LME_036</x:v>
      </x:c>
      <x:c r="B1691" s="46" t="str">
        <x:v>South China Sea</x:v>
      </x:c>
      <x:c r="C1691" s="46" t="str">
        <x:v>functional</x:v>
      </x:c>
      <x:c r="D1691" s="46" t="str">
        <x:v>Large demersals (&gt;=90 cm)</x:v>
      </x:c>
      <x:c r="E1691" s="66" t="n">
        <x:v>10</x:v>
      </x:c>
      <x:c r="F1691" s="66" t="n">
        <x:v>10</x:v>
      </x:c>
      <x:c r="G1691" s="60" t="n">
        <x:v>195320.55307734958</x:v>
      </x:c>
      <x:c r="H1691" s="60" t="n">
        <x:v>195320.55307734958</x:v>
      </x:c>
      <x:c r="I1691" s="62" t="n">
        <x:v>0</x:v>
      </x:c>
      <x:c r="J1691" s="64" t="n">
        <x:v>1</x:v>
      </x:c>
      <x:c r="K1691" s="62" t="n">
        <x:v>1995.2880898470628</x:v>
      </x:c>
      <x:c r="L1691" s="60" t="n">
        <x:v>389720773.2575767</x:v>
      </x:c>
      <x:c r="M1691" s="62" t="n">
        <x:v>4.225257794557841</x:v>
      </x:c>
      <x:c r="N1691" s="62" t="n">
        <x:v>1679.8008417819397</x:v>
      </x:c>
      <x:c r="O1691" s="60" t="n">
        <x:v>328099629.4766458</x:v>
      </x:c>
      <x:c r="P1691" s="60" t="n">
        <x:v>61621143.78093088</x:v>
      </x:c>
      <x:c r="Q1691" s="62" t="n">
        <x:v>1.1878122931111603</x:v>
      </x:c>
      <x:c r="R1691" s="64" t="n">
        <x:v>0.18781229311116024</x:v>
      </x:c>
    </x:row>
    <x:row r="1692" ht="18" customHeight="1">
      <x:c r="A1692" s="46" t="str">
        <x:v>LME_036</x:v>
      </x:c>
      <x:c r="B1692" s="46" t="str">
        <x:v>South China Sea</x:v>
      </x:c>
      <x:c r="C1692" s="46" t="str">
        <x:v>functional</x:v>
      </x:c>
      <x:c r="D1692" s="46" t="str">
        <x:v>Large flatfishes (&gt;=90 cm)</x:v>
      </x:c>
      <x:c r="E1692" s="66" t="n">
        <x:v>1</x:v>
      </x:c>
      <x:c r="F1692" s="66" t="n">
        <x:v>1</x:v>
      </x:c>
      <x:c r="G1692" s="60" t="n">
        <x:v>1895.9535920133</x:v>
      </x:c>
      <x:c r="H1692" s="60" t="n">
        <x:v>1895.9535920133</x:v>
      </x:c>
      <x:c r="I1692" s="62" t="n">
        <x:v>0</x:v>
      </x:c>
      <x:c r="J1692" s="64" t="n">
        <x:v>1</x:v>
      </x:c>
      <x:c r="K1692" s="62" t="n">
        <x:v>1778.2794100389228</x:v>
      </x:c>
      <x:c r="L1692" s="60" t="n">
        <x:v>3371535.235066588</x:v>
      </x:c>
      <x:c r="M1692" s="62" t="n">
        <x:v>4.25</x:v>
      </x:c>
      <x:c r="N1692" s="62" t="n">
        <x:v>1778.2794100389228</x:v>
      </x:c>
      <x:c r="O1692" s="60" t="n">
        <x:v>3371535.235066588</x:v>
      </x:c>
      <x:c r="P1692" s="60" t="n">
        <x:v>0</x:v>
      </x:c>
      <x:c r="Q1692" s="62" t="n">
        <x:v>1</x:v>
      </x:c>
      <x:c r="R1692" s="64" t="n">
        <x:v>0</x:v>
      </x:c>
    </x:row>
    <x:row r="1693" ht="18" customHeight="1">
      <x:c r="A1693" s="46" t="str">
        <x:v>LME_036</x:v>
      </x:c>
      <x:c r="B1693" s="46" t="str">
        <x:v>South China Sea</x:v>
      </x:c>
      <x:c r="C1693" s="46" t="str">
        <x:v>functional</x:v>
      </x:c>
      <x:c r="D1693" s="46" t="str">
        <x:v>Large pelagics (&gt;=90 cm)</x:v>
      </x:c>
      <x:c r="E1693" s="66" t="n">
        <x:v>32</x:v>
      </x:c>
      <x:c r="F1693" s="66" t="n">
        <x:v>32</x:v>
      </x:c>
      <x:c r="G1693" s="60" t="n">
        <x:v>694394.9461392455</x:v>
      </x:c>
      <x:c r="H1693" s="60" t="n">
        <x:v>694394.9461392455</x:v>
      </x:c>
      <x:c r="I1693" s="62" t="n">
        <x:v>0</x:v>
      </x:c>
      <x:c r="J1693" s="64" t="n">
        <x:v>1</x:v>
      </x:c>
      <x:c r="K1693" s="62" t="n">
        <x:v>2089.319056376348</x:v>
      </x:c>
      <x:c r="L1693" s="60" t="n">
        <x:v>1450812593.6201534</x:v>
      </x:c>
      <x:c r="M1693" s="62" t="n">
        <x:v>4.306858404048702</x:v>
      </x:c>
      <x:c r="N1693" s="62" t="n">
        <x:v>2027.0217282442215</x:v>
      </x:c>
      <x:c r="O1693" s="60" t="n">
        <x:v>1407553643.8072267</x:v>
      </x:c>
      <x:c r="P1693" s="60" t="n">
        <x:v>43258949.81292677</x:v>
      </x:c>
      <x:c r="Q1693" s="62" t="n">
        <x:v>1.0307334288843994</x:v>
      </x:c>
      <x:c r="R1693" s="64" t="n">
        <x:v>0.030733428884399488</x:v>
      </x:c>
    </x:row>
    <x:row r="1694" ht="18" customHeight="1">
      <x:c r="A1694" s="46" t="str">
        <x:v>LME_036</x:v>
      </x:c>
      <x:c r="B1694" s="46" t="str">
        <x:v>South China Sea</x:v>
      </x:c>
      <x:c r="C1694" s="46" t="str">
        <x:v>functional</x:v>
      </x:c>
      <x:c r="D1694" s="46" t="str">
        <x:v>Large rays (&gt;=90 cm)</x:v>
      </x:c>
      <x:c r="E1694" s="66" t="n">
        <x:v>5</x:v>
      </x:c>
      <x:c r="F1694" s="66" t="n">
        <x:v>5</x:v>
      </x:c>
      <x:c r="G1694" s="60" t="n">
        <x:v>35435.5930330233</x:v>
      </x:c>
      <x:c r="H1694" s="60" t="n">
        <x:v>35435.5930330233</x:v>
      </x:c>
      <x:c r="I1694" s="62" t="n">
        <x:v>0</x:v>
      </x:c>
      <x:c r="J1694" s="64" t="n">
        <x:v>1</x:v>
      </x:c>
      <x:c r="K1694" s="62" t="n">
        <x:v>295.21213390404307</x:v>
      </x:c>
      <x:c r="L1694" s="60" t="n">
        <x:v>10461017.03543405</x:v>
      </x:c>
      <x:c r="M1694" s="62" t="n">
        <x:v>3.395473852948293</x:v>
      </x:c>
      <x:c r="N1694" s="62" t="n">
        <x:v>248.58438974737905</x:v>
      </x:c>
      <x:c r="O1694" s="60" t="n">
        <x:v>8808735.269450575</x:v>
      </x:c>
      <x:c r="P1694" s="60" t="n">
        <x:v>1652281.7659834754</x:v>
      </x:c>
      <x:c r="Q1694" s="62" t="n">
        <x:v>1.1875730982305401</x:v>
      </x:c>
      <x:c r="R1694" s="64" t="n">
        <x:v>0.18757309823054005</x:v>
      </x:c>
    </x:row>
    <x:row r="1695" ht="18" customHeight="1">
      <x:c r="A1695" s="46" t="str">
        <x:v>LME_036</x:v>
      </x:c>
      <x:c r="B1695" s="46" t="str">
        <x:v>South China Sea</x:v>
      </x:c>
      <x:c r="C1695" s="46" t="str">
        <x:v>functional</x:v>
      </x:c>
      <x:c r="D1695" s="46" t="str">
        <x:v>Large reef assoc. fish (&gt;=90 cm)</x:v>
      </x:c>
      <x:c r="E1695" s="66" t="n">
        <x:v>13</x:v>
      </x:c>
      <x:c r="F1695" s="66" t="n">
        <x:v>13</x:v>
      </x:c>
      <x:c r="G1695" s="60" t="n">
        <x:v>12393.1230638863</x:v>
      </x:c>
      <x:c r="H1695" s="60" t="n">
        <x:v>12393.1230638863</x:v>
      </x:c>
      <x:c r="I1695" s="62" t="n">
        <x:v>0</x:v>
      </x:c>
      <x:c r="J1695" s="64" t="n">
        <x:v>1</x:v>
      </x:c>
      <x:c r="K1695" s="62" t="n">
        <x:v>1032.454611390753</x:v>
      </x:c>
      <x:c r="L1695" s="60" t="n">
        <x:v>12795337.056842508</x:v>
      </x:c>
      <x:c r="M1695" s="62" t="n">
        <x:v>3.9186234203125165</x:v>
      </x:c>
      <x:c r="N1695" s="62" t="n">
        <x:v>829.1315101734235</x:v>
      </x:c>
      <x:c r="O1695" s="60" t="n">
        <x:v>10275528.841725133</x:v>
      </x:c>
      <x:c r="P1695" s="60" t="n">
        <x:v>2519808.2151173744</x:v>
      </x:c>
      <x:c r="Q1695" s="62" t="n">
        <x:v>1.2452241878671355</x:v>
      </x:c>
      <x:c r="R1695" s="64" t="n">
        <x:v>0.2452241878671356</x:v>
      </x:c>
    </x:row>
    <x:row r="1696" ht="18" customHeight="1">
      <x:c r="A1696" s="46" t="str">
        <x:v>LME_036</x:v>
      </x:c>
      <x:c r="B1696" s="46" t="str">
        <x:v>South China Sea</x:v>
      </x:c>
      <x:c r="C1696" s="46" t="str">
        <x:v>functional</x:v>
      </x:c>
      <x:c r="D1696" s="46" t="str">
        <x:v>Large sharks (&gt;=90 cm)</x:v>
      </x:c>
      <x:c r="E1696" s="66" t="n">
        <x:v>11</x:v>
      </x:c>
      <x:c r="F1696" s="66" t="n">
        <x:v>11</x:v>
      </x:c>
      <x:c r="G1696" s="60" t="n">
        <x:v>68461.07042369571</x:v>
      </x:c>
      <x:c r="H1696" s="60" t="n">
        <x:v>68461.07042369571</x:v>
      </x:c>
      <x:c r="I1696" s="62" t="n">
        <x:v>0</x:v>
      </x:c>
      <x:c r="J1696" s="64" t="n">
        <x:v>1</x:v>
      </x:c>
      <x:c r="K1696" s="62" t="n">
        <x:v>1254.8159028437815</x:v>
      </x:c>
      <x:c r="L1696" s="60" t="n">
        <x:v>85906039.89336143</x:v>
      </x:c>
      <x:c r="M1696" s="62" t="n">
        <x:v>4.082968499508081</x:v>
      </x:c>
      <x:c r="N1696" s="62" t="n">
        <x:v>1210.5103289493397</x:v>
      </x:c>
      <x:c r="O1696" s="60" t="n">
        <x:v>82872832.8788118</x:v>
      </x:c>
      <x:c r="P1696" s="60" t="n">
        <x:v>3033207.014549628</x:v>
      </x:c>
      <x:c r="Q1696" s="62" t="n">
        <x:v>1.0366007400638182</x:v>
      </x:c>
      <x:c r="R1696" s="64" t="n">
        <x:v>0.03660074006381808</x:v>
      </x:c>
    </x:row>
    <x:row r="1697" ht="18" customHeight="1">
      <x:c r="A1697" s="46" t="str">
        <x:v>LME_036</x:v>
      </x:c>
      <x:c r="B1697" s="46" t="str">
        <x:v>South China Sea</x:v>
      </x:c>
      <x:c r="C1697" s="46" t="str">
        <x:v>functional</x:v>
      </x:c>
      <x:c r="D1697" s="46" t="str">
        <x:v>Lobsters, crabs</x:v>
      </x:c>
      <x:c r="E1697" s="66" t="n">
        <x:v>16</x:v>
      </x:c>
      <x:c r="F1697" s="66" t="n">
        <x:v>16</x:v>
      </x:c>
      <x:c r="G1697" s="60" t="n">
        <x:v>426320.04682124255</x:v>
      </x:c>
      <x:c r="H1697" s="60" t="n">
        <x:v>426320.04682124255</x:v>
      </x:c>
      <x:c r="I1697" s="62" t="n">
        <x:v>0</x:v>
      </x:c>
      <x:c r="J1697" s="64" t="n">
        <x:v>1</x:v>
      </x:c>
      <x:c r="K1697" s="62" t="n">
        <x:v>325.4894317921662</x:v>
      </x:c>
      <x:c r="L1697" s="60" t="n">
        <x:v>138762669.80145594</x:v>
      </x:c>
      <x:c r="M1697" s="62" t="n">
        <x:v>3.3047755232236367</x:v>
      </x:c>
      <x:c r="N1697" s="62" t="n">
        <x:v>201.73233863435237</x:v>
      </x:c>
      <x:c r="O1697" s="60" t="n">
        <x:v>86002540.05195586</x:v>
      </x:c>
      <x:c r="P1697" s="60" t="n">
        <x:v>52760129.74950008</x:v>
      </x:c>
      <x:c r="Q1697" s="62" t="n">
        <x:v>1.6134717616203733</x:v>
      </x:c>
      <x:c r="R1697" s="64" t="n">
        <x:v>0.6134717616203734</x:v>
      </x:c>
    </x:row>
    <x:row r="1698" ht="18" customHeight="1">
      <x:c r="A1698" s="46" t="str">
        <x:v>LME_036</x:v>
      </x:c>
      <x:c r="B1698" s="46" t="str">
        <x:v>South China Sea</x:v>
      </x:c>
      <x:c r="C1698" s="46" t="str">
        <x:v>functional</x:v>
      </x:c>
      <x:c r="D1698" s="46" t="str">
        <x:v>Medium benthopelagics (30 - 89 cm)</x:v>
      </x:c>
      <x:c r="E1698" s="66" t="n">
        <x:v>14</x:v>
      </x:c>
      <x:c r="F1698" s="66" t="n">
        <x:v>14</x:v>
      </x:c>
      <x:c r="G1698" s="60" t="n">
        <x:v>650039.0056034821</x:v>
      </x:c>
      <x:c r="H1698" s="60" t="n">
        <x:v>650039.0056034821</x:v>
      </x:c>
      <x:c r="I1698" s="62" t="n">
        <x:v>0</x:v>
      </x:c>
      <x:c r="J1698" s="64" t="n">
        <x:v>1</x:v>
      </x:c>
      <x:c r="K1698" s="62" t="n">
        <x:v>378.8504046985984</x:v>
      </x:c>
      <x:c r="L1698" s="60" t="n">
        <x:v>246267540.34275368</x:v>
      </x:c>
      <x:c r="M1698" s="62" t="n">
        <x:v>3.4441274597257885</x:v>
      </x:c>
      <x:c r="N1698" s="62" t="n">
        <x:v>278.05291968169865</x:v>
      </x:c>
      <x:c r="O1698" s="60" t="n">
        <x:v>180745243.4150363</x:v>
      </x:c>
      <x:c r="P1698" s="60" t="n">
        <x:v>65522296.92771739</x:v>
      </x:c>
      <x:c r="Q1698" s="62" t="n">
        <x:v>1.3625118741147826</x:v>
      </x:c>
      <x:c r="R1698" s="64" t="n">
        <x:v>0.3625118741147827</x:v>
      </x:c>
    </x:row>
    <x:row r="1699" ht="18" customHeight="1">
      <x:c r="A1699" s="46" t="str">
        <x:v>LME_036</x:v>
      </x:c>
      <x:c r="B1699" s="46" t="str">
        <x:v>South China Sea</x:v>
      </x:c>
      <x:c r="C1699" s="46" t="str">
        <x:v>functional</x:v>
      </x:c>
      <x:c r="D1699" s="46" t="str">
        <x:v>Medium demersals (30 - 89 cm)</x:v>
      </x:c>
      <x:c r="E1699" s="66" t="n">
        <x:v>34</x:v>
      </x:c>
      <x:c r="F1699" s="66" t="n">
        <x:v>34</x:v>
      </x:c>
      <x:c r="G1699" s="60" t="n">
        <x:v>2469255.185394914</x:v>
      </x:c>
      <x:c r="H1699" s="60" t="n">
        <x:v>2469255.185394914</x:v>
      </x:c>
      <x:c r="I1699" s="62" t="n">
        <x:v>0</x:v>
      </x:c>
      <x:c r="J1699" s="64" t="n">
        <x:v>1</x:v>
      </x:c>
      <x:c r="K1699" s="62" t="n">
        <x:v>733.1890143763441</x:v>
      </x:c>
      <x:c r="L1699" s="60" t="n">
        <x:v>1810430775.6233735</x:v>
      </x:c>
      <x:c r="M1699" s="62" t="n">
        <x:v>3.6499906053262188</x:v>
      </x:c>
      <x:c r="N1699" s="62" t="n">
        <x:v>446.67392958001636</x:v>
      </x:c>
      <x:c r="O1699" s="60" t="n">
        <x:v>1102951916.796178</x:v>
      </x:c>
      <x:c r="P1699" s="60" t="n">
        <x:v>707478858.8271954</x:v>
      </x:c>
      <x:c r="Q1699" s="62" t="n">
        <x:v>1.641441252382297</x:v>
      </x:c>
      <x:c r="R1699" s="64" t="n">
        <x:v>0.6414412523822969</x:v>
      </x:c>
    </x:row>
    <x:row r="1700" ht="18" customHeight="1">
      <x:c r="A1700" s="46" t="str">
        <x:v>LME_036</x:v>
      </x:c>
      <x:c r="B1700" s="46" t="str">
        <x:v>South China Sea</x:v>
      </x:c>
      <x:c r="C1700" s="46" t="str">
        <x:v>functional</x:v>
      </x:c>
      <x:c r="D1700" s="46" t="str">
        <x:v>Medium pelagics (30 - 89 cm)</x:v>
      </x:c>
      <x:c r="E1700" s="66" t="n">
        <x:v>29</x:v>
      </x:c>
      <x:c r="F1700" s="66" t="n">
        <x:v>29</x:v>
      </x:c>
      <x:c r="G1700" s="60" t="n">
        <x:v>1165278.9156978827</x:v>
      </x:c>
      <x:c r="H1700" s="60" t="n">
        <x:v>1165278.9156978827</x:v>
      </x:c>
      <x:c r="I1700" s="62" t="n">
        <x:v>0</x:v>
      </x:c>
      <x:c r="J1700" s="64" t="n">
        <x:v>1</x:v>
      </x:c>
      <x:c r="K1700" s="62" t="n">
        <x:v>982.1594928210103</x:v>
      </x:c>
      <x:c r="L1700" s="60" t="n">
        <x:v>1144489748.8368492</x:v>
      </x:c>
      <x:c r="M1700" s="62" t="n">
        <x:v>3.8072305892193548</x:v>
      </x:c>
      <x:c r="N1700" s="62" t="n">
        <x:v>641.5501180403032</x:v>
      </x:c>
      <x:c r="O1700" s="60" t="n">
        <x:v>747584825.9158531</x:v>
      </x:c>
      <x:c r="P1700" s="60" t="n">
        <x:v>396904922.92099607</x:v>
      </x:c>
      <x:c r="Q1700" s="62" t="n">
        <x:v>1.5309162374112593</x:v>
      </x:c>
      <x:c r="R1700" s="64" t="n">
        <x:v>0.5309162374112594</x:v>
      </x:c>
    </x:row>
    <x:row r="1701" ht="18" customHeight="1">
      <x:c r="A1701" s="46" t="str">
        <x:v>LME_036</x:v>
      </x:c>
      <x:c r="B1701" s="46" t="str">
        <x:v>South China Sea</x:v>
      </x:c>
      <x:c r="C1701" s="46" t="str">
        <x:v>functional</x:v>
      </x:c>
      <x:c r="D1701" s="46" t="str">
        <x:v>Medium reef assoc. fish (30 - 89 cm)</x:v>
      </x:c>
      <x:c r="E1701" s="66" t="n">
        <x:v>43</x:v>
      </x:c>
      <x:c r="F1701" s="66" t="n">
        <x:v>43</x:v>
      </x:c>
      <x:c r="G1701" s="60" t="n">
        <x:v>919564.9307827374</x:v>
      </x:c>
      <x:c r="H1701" s="60" t="n">
        <x:v>919564.9307827374</x:v>
      </x:c>
      <x:c r="I1701" s="62" t="n">
        <x:v>0</x:v>
      </x:c>
      <x:c r="J1701" s="64" t="n">
        <x:v>1</x:v>
      </x:c>
      <x:c r="K1701" s="62" t="n">
        <x:v>460.29565404995236</x:v>
      </x:c>
      <x:c r="L1701" s="60" t="n">
        <x:v>423271741.2560393</x:v>
      </x:c>
      <x:c r="M1701" s="62" t="n">
        <x:v>3.4888829450313863</x:v>
      </x:c>
      <x:c r="N1701" s="62" t="n">
        <x:v>308.2357053585208</x:v>
      </x:c>
      <x:c r="O1701" s="60" t="n">
        <x:v>283442745.06277645</x:v>
      </x:c>
      <x:c r="P1701" s="60" t="n">
        <x:v>139828996.19326288</x:v>
      </x:c>
      <x:c r="Q1701" s="62" t="n">
        <x:v>1.4933236028401213</x:v>
      </x:c>
      <x:c r="R1701" s="64" t="n">
        <x:v>0.4933236028401213</x:v>
      </x:c>
    </x:row>
    <x:row r="1702" ht="18" customHeight="1">
      <x:c r="A1702" s="46" t="str">
        <x:v>LME_036</x:v>
      </x:c>
      <x:c r="B1702" s="46" t="str">
        <x:v>South China Sea</x:v>
      </x:c>
      <x:c r="C1702" s="46" t="str">
        <x:v>functional</x:v>
      </x:c>
      <x:c r="D1702" s="46" t="str">
        <x:v>Other demersal invertebrates</x:v>
      </x:c>
      <x:c r="E1702" s="66" t="n">
        <x:v>22</x:v>
      </x:c>
      <x:c r="F1702" s="66" t="n">
        <x:v>22</x:v>
      </x:c>
      <x:c r="G1702" s="60" t="n">
        <x:v>80172.05014399331</x:v>
      </x:c>
      <x:c r="H1702" s="60" t="n">
        <x:v>80172.05014399331</x:v>
      </x:c>
      <x:c r="I1702" s="62" t="n">
        <x:v>0</x:v>
      </x:c>
      <x:c r="J1702" s="64" t="n">
        <x:v>1</x:v>
      </x:c>
      <x:c r="K1702" s="62" t="n">
        <x:v>23.17997296410625</x:v>
      </x:c>
      <x:c r="L1702" s="60" t="n">
        <x:v>1858385.9548147356</x:v>
      </x:c>
      <x:c r="M1702" s="62" t="n">
        <x:v>2.239859571640032</x:v>
      </x:c>
      <x:c r="N1702" s="62" t="n">
        <x:v>17.37239004732812</x:v>
      </x:c>
      <x:c r="O1702" s="60" t="n">
        <x:v>1392780.1259954006</x:v>
      </x:c>
      <x:c r="P1702" s="60" t="n">
        <x:v>465605.828819335</x:v>
      </x:c>
      <x:c r="Q1702" s="62" t="n">
        <x:v>1.3342995926845043</x:v>
      </x:c>
      <x:c r="R1702" s="64" t="n">
        <x:v>0.33429959268450427</x:v>
      </x:c>
    </x:row>
    <x:row r="1703" ht="18" customHeight="1">
      <x:c r="A1703" s="46" t="str">
        <x:v>LME_036</x:v>
      </x:c>
      <x:c r="B1703" s="46" t="str">
        <x:v>South China Sea</x:v>
      </x:c>
      <x:c r="C1703" s="46" t="str">
        <x:v>functional</x:v>
      </x:c>
      <x:c r="D1703" s="46" t="str">
        <x:v>Shrimps</x:v>
      </x:c>
      <x:c r="E1703" s="66" t="n">
        <x:v>24</x:v>
      </x:c>
      <x:c r="F1703" s="66" t="n">
        <x:v>24</x:v>
      </x:c>
      <x:c r="G1703" s="60" t="n">
        <x:v>820105.5835610179</x:v>
      </x:c>
      <x:c r="H1703" s="60" t="n">
        <x:v>820105.5835610179</x:v>
      </x:c>
      <x:c r="I1703" s="62" t="n">
        <x:v>0</x:v>
      </x:c>
      <x:c r="J1703" s="64" t="n">
        <x:v>1</x:v>
      </x:c>
      <x:c r="K1703" s="62" t="n">
        <x:v>96.04462177721298</x:v>
      </x:c>
      <x:c r="L1703" s="60" t="n">
        <x:v>78766730.59049849</x:v>
      </x:c>
      <x:c r="M1703" s="62" t="n">
        <x:v>2.7642762405178316</x:v>
      </x:c>
      <x:c r="N1703" s="62" t="n">
        <x:v>58.1133940283609</x:v>
      </x:c>
      <x:c r="O1703" s="60" t="n">
        <x:v>47659118.92234029</x:v>
      </x:c>
      <x:c r="P1703" s="60" t="n">
        <x:v>31107611.668158203</x:v>
      </x:c>
      <x:c r="Q1703" s="62" t="n">
        <x:v>1.6527105907863617</x:v>
      </x:c>
      <x:c r="R1703" s="64" t="n">
        <x:v>0.6527105907863617</x:v>
      </x:c>
    </x:row>
    <x:row r="1704" ht="18" customHeight="1">
      <x:c r="A1704" s="46" t="str">
        <x:v>LME_036</x:v>
      </x:c>
      <x:c r="B1704" s="46" t="str">
        <x:v>South China Sea</x:v>
      </x:c>
      <x:c r="C1704" s="46" t="str">
        <x:v>functional</x:v>
      </x:c>
      <x:c r="D1704" s="46" t="str">
        <x:v>Small benthopelagics (&lt;30 cm)</x:v>
      </x:c>
      <x:c r="E1704" s="66" t="n">
        <x:v>7</x:v>
      </x:c>
      <x:c r="F1704" s="66" t="n">
        <x:v>7</x:v>
      </x:c>
      <x:c r="G1704" s="60" t="n">
        <x:v>427368.77505466173</x:v>
      </x:c>
      <x:c r="H1704" s="60" t="n">
        <x:v>427368.77505466173</x:v>
      </x:c>
      <x:c r="I1704" s="62" t="n">
        <x:v>0</x:v>
      </x:c>
      <x:c r="J1704" s="64" t="n">
        <x:v>1</x:v>
      </x:c>
      <x:c r="K1704" s="62" t="n">
        <x:v>176.32808776621877</x:v>
      </x:c>
      <x:c r="L1704" s="60" t="n">
        <x:v>75357118.8763798</x:v>
      </x:c>
      <x:c r="M1704" s="62" t="n">
        <x:v>3.2424922447950957</x:v>
      </x:c>
      <x:c r="N1704" s="62" t="n">
        <x:v>174.780205160475</x:v>
      </x:c>
      <x:c r="O1704" s="60" t="n">
        <x:v>74695602.18323466</x:v>
      </x:c>
      <x:c r="P1704" s="60" t="n">
        <x:v>661516.693145141</x:v>
      </x:c>
      <x:c r="Q1704" s="62" t="n">
        <x:v>1.0088561665454197</x:v>
      </x:c>
      <x:c r="R1704" s="64" t="n">
        <x:v>0.008856166545419692</x:v>
      </x:c>
    </x:row>
    <x:row r="1705" ht="18" customHeight="1">
      <x:c r="A1705" s="46" t="str">
        <x:v>LME_036</x:v>
      </x:c>
      <x:c r="B1705" s="46" t="str">
        <x:v>South China Sea</x:v>
      </x:c>
      <x:c r="C1705" s="46" t="str">
        <x:v>functional</x:v>
      </x:c>
      <x:c r="D1705" s="46" t="str">
        <x:v>Small demersals (&lt;30 cm)</x:v>
      </x:c>
      <x:c r="E1705" s="66" t="n">
        <x:v>8</x:v>
      </x:c>
      <x:c r="F1705" s="66" t="n">
        <x:v>8</x:v>
      </x:c>
      <x:c r="G1705" s="60" t="n">
        <x:v>388935.9739145697</x:v>
      </x:c>
      <x:c r="H1705" s="60" t="n">
        <x:v>388935.9739145697</x:v>
      </x:c>
      <x:c r="I1705" s="62" t="n">
        <x:v>0</x:v>
      </x:c>
      <x:c r="J1705" s="64" t="n">
        <x:v>1</x:v>
      </x:c>
      <x:c r="K1705" s="62" t="n">
        <x:v>517.0281707554637</x:v>
      </x:c>
      <x:c r="L1705" s="60" t="n">
        <x:v>201090855.13404474</x:v>
      </x:c>
      <x:c r="M1705" s="62" t="n">
        <x:v>3.707036632250237</x:v>
      </x:c>
      <x:c r="N1705" s="62" t="n">
        <x:v>509.3738343542429</x:v>
      </x:c>
      <x:c r="O1705" s="60" t="n">
        <x:v>198113808.35116616</x:v>
      </x:c>
      <x:c r="P1705" s="60" t="n">
        <x:v>2977046.7828785777</x:v>
      </x:c>
      <x:c r="Q1705" s="62" t="n">
        <x:v>1.0150269524757285</x:v>
      </x:c>
      <x:c r="R1705" s="64" t="n">
        <x:v>0.0150269524757286</x:v>
      </x:c>
    </x:row>
    <x:row r="1706" ht="18" customHeight="1">
      <x:c r="A1706" s="46" t="str">
        <x:v>LME_036</x:v>
      </x:c>
      <x:c r="B1706" s="46" t="str">
        <x:v>South China Sea</x:v>
      </x:c>
      <x:c r="C1706" s="46" t="str">
        <x:v>functional</x:v>
      </x:c>
      <x:c r="D1706" s="46" t="str">
        <x:v>Small pelagics (&lt;30 cm)</x:v>
      </x:c>
      <x:c r="E1706" s="66" t="n">
        <x:v>25</x:v>
      </x:c>
      <x:c r="F1706" s="66" t="n">
        <x:v>25</x:v>
      </x:c>
      <x:c r="G1706" s="60" t="n">
        <x:v>937228.2327379715</x:v>
      </x:c>
      <x:c r="H1706" s="60" t="n">
        <x:v>937228.2327379715</x:v>
      </x:c>
      <x:c r="I1706" s="62" t="n">
        <x:v>0</x:v>
      </x:c>
      <x:c r="J1706" s="64" t="n">
        <x:v>1</x:v>
      </x:c>
      <x:c r="K1706" s="62" t="n">
        <x:v>151.90991055977648</x:v>
      </x:c>
      <x:c r="L1706" s="60" t="n">
        <x:v>142374257.0093226</x:v>
      </x:c>
      <x:c r="M1706" s="62" t="n">
        <x:v>3.1039808887831786</x:v>
      </x:c>
      <x:c r="N1706" s="62" t="n">
        <x:v>127.05181945673523</x:v>
      </x:c>
      <x:c r="O1706" s="60" t="n">
        <x:v>119076552.21557978</x:v>
      </x:c>
      <x:c r="P1706" s="60" t="n">
        <x:v>23297704.793742836</x:v>
      </x:c>
      <x:c r="Q1706" s="62" t="n">
        <x:v>1.1956531689930354</x:v>
      </x:c>
      <x:c r="R1706" s="64" t="n">
        <x:v>0.19565316899303542</x:v>
      </x:c>
    </x:row>
    <x:row r="1707" ht="18" customHeight="1">
      <x:c r="A1707" s="46" t="str">
        <x:v>LME_036</x:v>
      </x:c>
      <x:c r="B1707" s="46" t="str">
        <x:v>South China Sea</x:v>
      </x:c>
      <x:c r="C1707" s="46" t="str">
        <x:v>functional</x:v>
      </x:c>
      <x:c r="D1707" s="46" t="str">
        <x:v>Small reef assoc. fish (&lt;30 cm)</x:v>
      </x:c>
      <x:c r="E1707" s="66" t="n">
        <x:v>13</x:v>
      </x:c>
      <x:c r="F1707" s="66" t="n">
        <x:v>13</x:v>
      </x:c>
      <x:c r="G1707" s="60" t="n">
        <x:v>30183.3203171397</x:v>
      </x:c>
      <x:c r="H1707" s="60" t="n">
        <x:v>30183.3203171397</x:v>
      </x:c>
      <x:c r="I1707" s="62" t="n">
        <x:v>0</x:v>
      </x:c>
      <x:c r="J1707" s="64" t="n">
        <x:v>1</x:v>
      </x:c>
      <x:c r="K1707" s="62" t="n">
        <x:v>559.3180214736623</x:v>
      </x:c>
      <x:c r="L1707" s="60" t="n">
        <x:v>16882075.00128837</x:v>
      </x:c>
      <x:c r="M1707" s="62" t="n">
        <x:v>3.5760197599081054</x:v>
      </x:c>
      <x:c r="N1707" s="62" t="n">
        <x:v>376.72093897095004</x:v>
      </x:c>
      <x:c r="O1707" s="60" t="n">
        <x:v>11370688.771133821</x:v>
      </x:c>
      <x:c r="P1707" s="60" t="n">
        <x:v>5511386.230154548</x:v>
      </x:c>
      <x:c r="Q1707" s="62" t="n">
        <x:v>1.4847011769547345</x:v>
      </x:c>
      <x:c r="R1707" s="64" t="n">
        <x:v>0.4847011769547346</x:v>
      </x:c>
    </x:row>
    <x:row r="1708" ht="18" customHeight="1">
      <x:c r="A1708" s="46" t="str">
        <x:v>LME_036</x:v>
      </x:c>
      <x:c r="B1708" s="46" t="str">
        <x:v>South China Sea</x:v>
      </x:c>
      <x:c r="C1708" s="46" t="str">
        <x:v>functional</x:v>
      </x:c>
      <x:c r="D1708" s="46" t="str">
        <x:v>Small to medium flatfishes (&lt;90 cm)</x:v>
      </x:c>
      <x:c r="E1708" s="66" t="n">
        <x:v>6</x:v>
      </x:c>
      <x:c r="F1708" s="66" t="n">
        <x:v>6</x:v>
      </x:c>
      <x:c r="G1708" s="60" t="n">
        <x:v>8034.576212751899</x:v>
      </x:c>
      <x:c r="H1708" s="60" t="n">
        <x:v>8034.576212751899</x:v>
      </x:c>
      <x:c r="I1708" s="62" t="n">
        <x:v>0</x:v>
      </x:c>
      <x:c r="J1708" s="64" t="n">
        <x:v>1</x:v>
      </x:c>
      <x:c r="K1708" s="62" t="n">
        <x:v>1389.9969278629505</x:v>
      </x:c>
      <x:c r="L1708" s="60" t="n">
        <x:v>11168036.25240588</x:v>
      </x:c>
      <x:c r="M1708" s="62" t="n">
        <x:v>3.981648454059987</x:v>
      </x:c>
      <x:c r="N1708" s="62" t="n">
        <x:v>958.6243450506023</x:v>
      </x:c>
      <x:c r="O1708" s="60" t="n">
        <x:v>7702140.359708438</x:v>
      </x:c>
      <x:c r="P1708" s="60" t="n">
        <x:v>3465895.8926974423</x:v>
      </x:c>
      <x:c r="Q1708" s="62" t="n">
        <x:v>1.4499912661717116</x:v>
      </x:c>
      <x:c r="R1708" s="64" t="n">
        <x:v>0.44999126617171165</x:v>
      </x:c>
    </x:row>
    <x:row r="1709" ht="18" customHeight="1">
      <x:c r="A1709" s="46" t="str">
        <x:v>LME_037</x:v>
      </x:c>
      <x:c r="B1709" s="46" t="str">
        <x:v>Sulu-Celebes Sea</x:v>
      </x:c>
      <x:c r="C1709" s="46" t="str">
        <x:v>functional</x:v>
      </x:c>
      <x:c r="D1709" s="46" t="str">
        <x:v>Cephalopods</x:v>
      </x:c>
      <x:c r="E1709" s="66" t="n">
        <x:v>7</x:v>
      </x:c>
      <x:c r="F1709" s="66" t="n">
        <x:v>7</x:v>
      </x:c>
      <x:c r="G1709" s="60" t="n">
        <x:v>34890.580125699096</x:v>
      </x:c>
      <x:c r="H1709" s="60" t="n">
        <x:v>34890.580125699096</x:v>
      </x:c>
      <x:c r="I1709" s="62" t="n">
        <x:v>0</x:v>
      </x:c>
      <x:c r="J1709" s="64" t="n">
        <x:v>1</x:v>
      </x:c>
      <x:c r="K1709" s="62" t="n">
        <x:v>756.6043305562546</x:v>
      </x:c>
      <x:c r="L1709" s="60" t="n">
        <x:v>26398364.018723927</x:v>
      </x:c>
      <x:c r="M1709" s="62" t="n">
        <x:v>3.8716601065717215</x:v>
      </x:c>
      <x:c r="N1709" s="62" t="n">
        <x:v>744.1493497043954</x:v>
      </x:c>
      <x:c r="O1709" s="60" t="n">
        <x:v>25963802.511348084</x:v>
      </x:c>
      <x:c r="P1709" s="60" t="n">
        <x:v>434561.5073758438</x:v>
      </x:c>
      <x:c r="Q1709" s="62" t="n">
        <x:v>1.016737205853646</x:v>
      </x:c>
      <x:c r="R1709" s="64" t="n">
        <x:v>0.016737205853646</x:v>
      </x:c>
    </x:row>
    <x:row r="1710" ht="18" customHeight="1">
      <x:c r="A1710" s="46" t="str">
        <x:v>LME_037</x:v>
      </x:c>
      <x:c r="B1710" s="46" t="str">
        <x:v>Sulu-Celebes Sea</x:v>
      </x:c>
      <x:c r="C1710" s="46" t="str">
        <x:v>functional</x:v>
      </x:c>
      <x:c r="D1710" s="46" t="str">
        <x:v>Jellyfish</x:v>
      </x:c>
      <x:c r="E1710" s="66" t="n">
        <x:v>3</x:v>
      </x:c>
      <x:c r="F1710" s="66" t="n">
        <x:v>3</x:v>
      </x:c>
      <x:c r="G1710" s="60" t="n">
        <x:v>6821.9827036682</x:v>
      </x:c>
      <x:c r="H1710" s="60" t="n">
        <x:v>6821.9827036682</x:v>
      </x:c>
      <x:c r="I1710" s="62" t="n">
        <x:v>0</x:v>
      </x:c>
      <x:c r="J1710" s="64" t="n">
        <x:v>1</x:v>
      </x:c>
      <x:c r="K1710" s="62" t="n">
        <x:v>288.40315031266056</x:v>
      </x:c>
      <x:c r="L1710" s="60" t="n">
        <x:v>1967481.3031163902</x:v>
      </x:c>
      <x:c r="M1710" s="62" t="n">
        <x:v>3.46</x:v>
      </x:c>
      <x:c r="N1710" s="62" t="n">
        <x:v>288.40315031266056</x:v>
      </x:c>
      <x:c r="O1710" s="60" t="n">
        <x:v>1967481.3031163902</x:v>
      </x:c>
      <x:c r="P1710" s="60" t="n">
        <x:v>0</x:v>
      </x:c>
      <x:c r="Q1710" s="62" t="n">
        <x:v>1</x:v>
      </x:c>
      <x:c r="R1710" s="64" t="n">
        <x:v>0</x:v>
      </x:c>
    </x:row>
    <x:row r="1711" ht="18" customHeight="1">
      <x:c r="A1711" s="46" t="str">
        <x:v>LME_037</x:v>
      </x:c>
      <x:c r="B1711" s="46" t="str">
        <x:v>Sulu-Celebes Sea</x:v>
      </x:c>
      <x:c r="C1711" s="46" t="str">
        <x:v>functional</x:v>
      </x:c>
      <x:c r="D1711" s="46" t="str">
        <x:v>Large bathypelagics (&gt;=90 cm)</x:v>
      </x:c>
      <x:c r="E1711" s="66" t="n">
        <x:v>1</x:v>
      </x:c>
      <x:c r="F1711" s="66" t="n">
        <x:v>1</x:v>
      </x:c>
      <x:c r="G1711" s="60" t="n">
        <x:v>2.5784107425</x:v>
      </x:c>
      <x:c r="H1711" s="60" t="n">
        <x:v>2.5784107425</x:v>
      </x:c>
      <x:c r="I1711" s="62" t="n">
        <x:v>0</x:v>
      </x:c>
      <x:c r="J1711" s="64" t="n">
        <x:v>1</x:v>
      </x:c>
      <x:c r="K1711" s="62" t="n">
        <x:v>1659.5869074375596</x:v>
      </x:c>
      <x:c r="L1711" s="60" t="n">
        <x:v>4279.096710249357</x:v>
      </x:c>
      <x:c r="M1711" s="62" t="n">
        <x:v>4.22</x:v>
      </x:c>
      <x:c r="N1711" s="62" t="n">
        <x:v>1659.5869074375596</x:v>
      </x:c>
      <x:c r="O1711" s="60" t="n">
        <x:v>4279.096710249357</x:v>
      </x:c>
      <x:c r="P1711" s="60" t="n">
        <x:v>0</x:v>
      </x:c>
      <x:c r="Q1711" s="62" t="n">
        <x:v>1</x:v>
      </x:c>
      <x:c r="R1711" s="64" t="n">
        <x:v>0</x:v>
      </x:c>
    </x:row>
    <x:row r="1712" ht="18" customHeight="1">
      <x:c r="A1712" s="46" t="str">
        <x:v>LME_037</x:v>
      </x:c>
      <x:c r="B1712" s="46" t="str">
        <x:v>Sulu-Celebes Sea</x:v>
      </x:c>
      <x:c r="C1712" s="46" t="str">
        <x:v>functional</x:v>
      </x:c>
      <x:c r="D1712" s="46" t="str">
        <x:v>Large benthopelagics (&gt;=90 cm)</x:v>
      </x:c>
      <x:c r="E1712" s="66" t="n">
        <x:v>7</x:v>
      </x:c>
      <x:c r="F1712" s="66" t="n">
        <x:v>7</x:v>
      </x:c>
      <x:c r="G1712" s="60" t="n">
        <x:v>14031.934626760301</x:v>
      </x:c>
      <x:c r="H1712" s="60" t="n">
        <x:v>14031.934626760301</x:v>
      </x:c>
      <x:c r="I1712" s="62" t="n">
        <x:v>0</x:v>
      </x:c>
      <x:c r="J1712" s="64" t="n">
        <x:v>1</x:v>
      </x:c>
      <x:c r="K1712" s="62" t="n">
        <x:v>2162.872140815874</x:v>
      </x:c>
      <x:c r="L1712" s="60" t="n">
        <x:v>30349280.485969443</x:v>
      </x:c>
      <x:c r="M1712" s="62" t="n">
        <x:v>4.263164206305808</x:v>
      </x:c>
      <x:c r="N1712" s="62" t="n">
        <x:v>1833.007349596494</x:v>
      </x:c>
      <x:c r="O1712" s="60" t="n">
        <x:v>25720639.299909167</x:v>
      </x:c>
      <x:c r="P1712" s="60" t="n">
        <x:v>4628641.186060276</x:v>
      </x:c>
      <x:c r="Q1712" s="62" t="n">
        <x:v>1.1799582480081132</x:v>
      </x:c>
      <x:c r="R1712" s="64" t="n">
        <x:v>0.17995824800811316</x:v>
      </x:c>
    </x:row>
    <x:row r="1713" ht="18" customHeight="1">
      <x:c r="A1713" s="46" t="str">
        <x:v>LME_037</x:v>
      </x:c>
      <x:c r="B1713" s="46" t="str">
        <x:v>Sulu-Celebes Sea</x:v>
      </x:c>
      <x:c r="C1713" s="46" t="str">
        <x:v>functional</x:v>
      </x:c>
      <x:c r="D1713" s="46" t="str">
        <x:v>Large demersals (&gt;=90 cm)</x:v>
      </x:c>
      <x:c r="E1713" s="66" t="n">
        <x:v>6</x:v>
      </x:c>
      <x:c r="F1713" s="66" t="n">
        <x:v>6</x:v>
      </x:c>
      <x:c r="G1713" s="60" t="n">
        <x:v>20397.0330612941</x:v>
      </x:c>
      <x:c r="H1713" s="60" t="n">
        <x:v>20397.0330612941</x:v>
      </x:c>
      <x:c r="I1713" s="62" t="n">
        <x:v>0</x:v>
      </x:c>
      <x:c r="J1713" s="64" t="n">
        <x:v>1</x:v>
      </x:c>
      <x:c r="K1713" s="62" t="n">
        <x:v>1597.9785363779483</x:v>
      </x:c>
      <x:c r="L1713" s="60" t="n">
        <x:v>32594021.03773937</x:v>
      </x:c>
      <x:c r="M1713" s="62" t="n">
        <x:v>4.093085786074465</x:v>
      </x:c>
      <x:c r="N1713" s="62" t="n">
        <x:v>1239.0413098626464</x:v>
      </x:c>
      <x:c r="O1713" s="60" t="n">
        <x:v>25272766.561577544</x:v>
      </x:c>
      <x:c r="P1713" s="60" t="n">
        <x:v>7321254.476161826</x:v>
      </x:c>
      <x:c r="Q1713" s="62" t="n">
        <x:v>1.2896894749660057</x:v>
      </x:c>
      <x:c r="R1713" s="64" t="n">
        <x:v>0.2896894749660058</x:v>
      </x:c>
    </x:row>
    <x:row r="1714" ht="18" customHeight="1">
      <x:c r="A1714" s="46" t="str">
        <x:v>LME_037</x:v>
      </x:c>
      <x:c r="B1714" s="46" t="str">
        <x:v>Sulu-Celebes Sea</x:v>
      </x:c>
      <x:c r="C1714" s="46" t="str">
        <x:v>functional</x:v>
      </x:c>
      <x:c r="D1714" s="46" t="str">
        <x:v>Large pelagics (&gt;=90 cm)</x:v>
      </x:c>
      <x:c r="E1714" s="66" t="n">
        <x:v>25</x:v>
      </x:c>
      <x:c r="F1714" s="66" t="n">
        <x:v>25</x:v>
      </x:c>
      <x:c r="G1714" s="60" t="n">
        <x:v>102017.71785340001</x:v>
      </x:c>
      <x:c r="H1714" s="60" t="n">
        <x:v>102017.71785340001</x:v>
      </x:c>
      <x:c r="I1714" s="62" t="n">
        <x:v>0</x:v>
      </x:c>
      <x:c r="J1714" s="64" t="n">
        <x:v>1</x:v>
      </x:c>
      <x:c r="K1714" s="62" t="n">
        <x:v>2709.2723506542907</x:v>
      </x:c>
      <x:c r="L1714" s="60" t="n">
        <x:v>276393782.25706726</x:v>
      </x:c>
      <x:c r="M1714" s="62" t="n">
        <x:v>4.4250707721017974</x:v>
      </x:c>
      <x:c r="N1714" s="62" t="n">
        <x:v>2661.158683656476</x:v>
      </x:c>
      <x:c r="O1714" s="60" t="n">
        <x:v>271485335.75239176</x:v>
      </x:c>
      <x:c r="P1714" s="60" t="n">
        <x:v>4908446.504675508</x:v>
      </x:c>
      <x:c r="Q1714" s="62" t="n">
        <x:v>1.0180799691853422</x:v>
      </x:c>
      <x:c r="R1714" s="64" t="n">
        <x:v>0.01807996918534214</x:v>
      </x:c>
    </x:row>
    <x:row r="1715" ht="18" customHeight="1">
      <x:c r="A1715" s="46" t="str">
        <x:v>LME_037</x:v>
      </x:c>
      <x:c r="B1715" s="46" t="str">
        <x:v>Sulu-Celebes Sea</x:v>
      </x:c>
      <x:c r="C1715" s="46" t="str">
        <x:v>functional</x:v>
      </x:c>
      <x:c r="D1715" s="46" t="str">
        <x:v>Large rays (&gt;=90 cm)</x:v>
      </x:c>
      <x:c r="E1715" s="66" t="n">
        <x:v>3</x:v>
      </x:c>
      <x:c r="F1715" s="66" t="n">
        <x:v>3</x:v>
      </x:c>
      <x:c r="G1715" s="60" t="n">
        <x:v>3510.3992690825</x:v>
      </x:c>
      <x:c r="H1715" s="60" t="n">
        <x:v>3510.3992690825</x:v>
      </x:c>
      <x:c r="I1715" s="62" t="n">
        <x:v>0</x:v>
      </x:c>
      <x:c r="J1715" s="64" t="n">
        <x:v>1</x:v>
      </x:c>
      <x:c r="K1715" s="62" t="n">
        <x:v>706.7969045334648</x:v>
      </x:c>
      <x:c r="L1715" s="60" t="n">
        <x:v>2481139.3370640483</x:v>
      </x:c>
      <x:c r="M1715" s="62" t="n">
        <x:v>3.848868772138108</x:v>
      </x:c>
      <x:c r="N1715" s="62" t="n">
        <x:v>706.1041632478883</x:v>
      </x:c>
      <x:c r="O1715" s="60" t="n">
        <x:v>2478707.5385614973</x:v>
      </x:c>
      <x:c r="P1715" s="60" t="n">
        <x:v>2431.798502550926</x:v>
      </x:c>
      <x:c r="Q1715" s="62" t="n">
        <x:v>1.000981075203395</x:v>
      </x:c>
      <x:c r="R1715" s="64" t="n">
        <x:v>0.000981075203394994</x:v>
      </x:c>
    </x:row>
    <x:row r="1716" ht="18" customHeight="1">
      <x:c r="A1716" s="46" t="str">
        <x:v>LME_037</x:v>
      </x:c>
      <x:c r="B1716" s="46" t="str">
        <x:v>Sulu-Celebes Sea</x:v>
      </x:c>
      <x:c r="C1716" s="46" t="str">
        <x:v>functional</x:v>
      </x:c>
      <x:c r="D1716" s="46" t="str">
        <x:v>Large reef assoc. fish (&gt;=90 cm)</x:v>
      </x:c>
      <x:c r="E1716" s="66" t="n">
        <x:v>4</x:v>
      </x:c>
      <x:c r="F1716" s="66" t="n">
        <x:v>4</x:v>
      </x:c>
      <x:c r="G1716" s="60" t="n">
        <x:v>17785.9410805327</x:v>
      </x:c>
      <x:c r="H1716" s="60" t="n">
        <x:v>17785.9410805327</x:v>
      </x:c>
      <x:c r="I1716" s="62" t="n">
        <x:v>0</x:v>
      </x:c>
      <x:c r="J1716" s="64" t="n">
        <x:v>1</x:v>
      </x:c>
      <x:c r="K1716" s="62" t="n">
        <x:v>1559.295914027004</x:v>
      </x:c>
      <x:c r="L1716" s="60" t="n">
        <x:v>27733545.253999677</x:v>
      </x:c>
      <x:c r="M1716" s="62" t="n">
        <x:v>4.179255999082419</x:v>
      </x:c>
      <x:c r="N1716" s="62" t="n">
        <x:v>1510.9705479148247</x:v>
      </x:c>
      <x:c r="O1716" s="60" t="n">
        <x:v>26874033.13963328</x:v>
      </x:c>
      <x:c r="P1716" s="60" t="n">
        <x:v>859512.1143663973</x:v>
      </x:c>
      <x:c r="Q1716" s="62" t="n">
        <x:v>1.0319829967426366</x:v>
      </x:c>
      <x:c r="R1716" s="64" t="n">
        <x:v>0.03198299674263653</x:v>
      </x:c>
    </x:row>
    <x:row r="1717" ht="18" customHeight="1">
      <x:c r="A1717" s="46" t="str">
        <x:v>LME_037</x:v>
      </x:c>
      <x:c r="B1717" s="46" t="str">
        <x:v>Sulu-Celebes Sea</x:v>
      </x:c>
      <x:c r="C1717" s="46" t="str">
        <x:v>functional</x:v>
      </x:c>
      <x:c r="D1717" s="46" t="str">
        <x:v>Large sharks (&gt;=90 cm)</x:v>
      </x:c>
      <x:c r="E1717" s="66" t="n">
        <x:v>10</x:v>
      </x:c>
      <x:c r="F1717" s="66" t="n">
        <x:v>10</x:v>
      </x:c>
      <x:c r="G1717" s="60" t="n">
        <x:v>7378.3993840391</x:v>
      </x:c>
      <x:c r="H1717" s="60" t="n">
        <x:v>7378.3993840391</x:v>
      </x:c>
      <x:c r="I1717" s="62" t="n">
        <x:v>0</x:v>
      </x:c>
      <x:c r="J1717" s="64" t="n">
        <x:v>1</x:v>
      </x:c>
      <x:c r="K1717" s="62" t="n">
        <x:v>1655.7266584205781</x:v>
      </x:c>
      <x:c r="L1717" s="60" t="n">
        <x:v>12216612.556627512</x:v>
      </x:c>
      <x:c r="M1717" s="62" t="n">
        <x:v>4.208559190790119</x:v>
      </x:c>
      <x:c r="N1717" s="62" t="n">
        <x:v>1616.4385184595799</x:v>
      </x:c>
      <x:c r="O1717" s="60" t="n">
        <x:v>11926728.968939241</x:v>
      </x:c>
      <x:c r="P1717" s="60" t="n">
        <x:v>289883.58768827096</x:v>
      </x:c>
      <x:c r="Q1717" s="62" t="n">
        <x:v>1.0243053722813031</x:v>
      </x:c>
      <x:c r="R1717" s="64" t="n">
        <x:v>0.024305372281303136</x:v>
      </x:c>
    </x:row>
    <x:row r="1718" ht="18" customHeight="1">
      <x:c r="A1718" s="46" t="str">
        <x:v>LME_037</x:v>
      </x:c>
      <x:c r="B1718" s="46" t="str">
        <x:v>Sulu-Celebes Sea</x:v>
      </x:c>
      <x:c r="C1718" s="46" t="str">
        <x:v>functional</x:v>
      </x:c>
      <x:c r="D1718" s="46" t="str">
        <x:v>Lobsters, crabs</x:v>
      </x:c>
      <x:c r="E1718" s="66" t="n">
        <x:v>10</x:v>
      </x:c>
      <x:c r="F1718" s="66" t="n">
        <x:v>10</x:v>
      </x:c>
      <x:c r="G1718" s="60" t="n">
        <x:v>31816.6100991303</x:v>
      </x:c>
      <x:c r="H1718" s="60" t="n">
        <x:v>31816.6100991303</x:v>
      </x:c>
      <x:c r="I1718" s="62" t="n">
        <x:v>0</x:v>
      </x:c>
      <x:c r="J1718" s="64" t="n">
        <x:v>1</x:v>
      </x:c>
      <x:c r="K1718" s="62" t="n">
        <x:v>72.91950394183607</x:v>
      </x:c>
      <x:c r="L1718" s="60" t="n">
        <x:v>2320051.425539393</x:v>
      </x:c>
      <x:c r="M1718" s="62" t="n">
        <x:v>2.655306496055966</x:v>
      </x:c>
      <x:c r="N1718" s="62" t="n">
        <x:v>45.21749466908953</x:v>
      </x:c>
      <x:c r="O1718" s="60" t="n">
        <x:v>1438667.3975459244</x:v>
      </x:c>
      <x:c r="P1718" s="60" t="n">
        <x:v>881384.0279934686</x:v>
      </x:c>
      <x:c r="Q1718" s="62" t="n">
        <x:v>1.612639189222562</x:v>
      </x:c>
      <x:c r="R1718" s="64" t="n">
        <x:v>0.6126391892225621</x:v>
      </x:c>
    </x:row>
    <x:row r="1719" ht="18" customHeight="1">
      <x:c r="A1719" s="46" t="str">
        <x:v>LME_037</x:v>
      </x:c>
      <x:c r="B1719" s="46" t="str">
        <x:v>Sulu-Celebes Sea</x:v>
      </x:c>
      <x:c r="C1719" s="46" t="str">
        <x:v>functional</x:v>
      </x:c>
      <x:c r="D1719" s="46" t="str">
        <x:v>Medium benthopelagics (30 - 89 cm)</x:v>
      </x:c>
      <x:c r="E1719" s="66" t="n">
        <x:v>4</x:v>
      </x:c>
      <x:c r="F1719" s="66" t="n">
        <x:v>4</x:v>
      </x:c>
      <x:c r="G1719" s="60" t="n">
        <x:v>13690.0513383999</x:v>
      </x:c>
      <x:c r="H1719" s="60" t="n">
        <x:v>13690.0513383999</x:v>
      </x:c>
      <x:c r="I1719" s="62" t="n">
        <x:v>0</x:v>
      </x:c>
      <x:c r="J1719" s="64" t="n">
        <x:v>1</x:v>
      </x:c>
      <x:c r="K1719" s="62" t="n">
        <x:v>238.17078063467557</x:v>
      </x:c>
      <x:c r="L1719" s="60" t="n">
        <x:v>3260570.2141954894</x:v>
      </x:c>
      <x:c r="M1719" s="62" t="n">
        <x:v>3.273654390902479</x:v>
      </x:c>
      <x:c r="N1719" s="62" t="n">
        <x:v>187.7821862004595</x:v>
      </x:c>
      <x:c r="O1719" s="60" t="n">
        <x:v>2570747.76952126</x:v>
      </x:c>
      <x:c r="P1719" s="60" t="n">
        <x:v>689822.4446742292</x:v>
      </x:c>
      <x:c r="Q1719" s="62" t="n">
        <x:v>1.2683353275077205</x:v>
      </x:c>
      <x:c r="R1719" s="64" t="n">
        <x:v>0.2683353275077205</x:v>
      </x:c>
    </x:row>
    <x:row r="1720" ht="18" customHeight="1">
      <x:c r="A1720" s="46" t="str">
        <x:v>LME_037</x:v>
      </x:c>
      <x:c r="B1720" s="46" t="str">
        <x:v>Sulu-Celebes Sea</x:v>
      </x:c>
      <x:c r="C1720" s="46" t="str">
        <x:v>functional</x:v>
      </x:c>
      <x:c r="D1720" s="46" t="str">
        <x:v>Medium demersals (30 - 89 cm)</x:v>
      </x:c>
      <x:c r="E1720" s="66" t="n">
        <x:v>21</x:v>
      </x:c>
      <x:c r="F1720" s="66" t="n">
        <x:v>21</x:v>
      </x:c>
      <x:c r="G1720" s="60" t="n">
        <x:v>386592.73940424196</x:v>
      </x:c>
      <x:c r="H1720" s="60" t="n">
        <x:v>386592.73940424196</x:v>
      </x:c>
      <x:c r="I1720" s="62" t="n">
        <x:v>0</x:v>
      </x:c>
      <x:c r="J1720" s="64" t="n">
        <x:v>1</x:v>
      </x:c>
      <x:c r="K1720" s="62" t="n">
        <x:v>288.2618135821967</x:v>
      </x:c>
      <x:c r="L1720" s="60" t="n">
        <x:v>111439924.17837635</x:v>
      </x:c>
      <x:c r="M1720" s="62" t="n">
        <x:v>3.3268430075636037</x:v>
      </x:c>
      <x:c r="N1720" s="62" t="n">
        <x:v>212.2477072373529</x:v>
      </x:c>
      <x:c r="O1720" s="60" t="n">
        <x:v>82053422.5731578</x:v>
      </x:c>
      <x:c r="P1720" s="60" t="n">
        <x:v>29386501.605218545</x:v>
      </x:c>
      <x:c r="Q1720" s="62" t="n">
        <x:v>1.3581386453321664</x:v>
      </x:c>
      <x:c r="R1720" s="64" t="n">
        <x:v>0.3581386453321665</x:v>
      </x:c>
    </x:row>
    <x:row r="1721" ht="18" customHeight="1">
      <x:c r="A1721" s="46" t="str">
        <x:v>LME_037</x:v>
      </x:c>
      <x:c r="B1721" s="46" t="str">
        <x:v>Sulu-Celebes Sea</x:v>
      </x:c>
      <x:c r="C1721" s="46" t="str">
        <x:v>functional</x:v>
      </x:c>
      <x:c r="D1721" s="46" t="str">
        <x:v>Medium pelagics (30 - 89 cm)</x:v>
      </x:c>
      <x:c r="E1721" s="66" t="n">
        <x:v>20</x:v>
      </x:c>
      <x:c r="F1721" s="66" t="n">
        <x:v>20</x:v>
      </x:c>
      <x:c r="G1721" s="60" t="n">
        <x:v>393698.72322774737</x:v>
      </x:c>
      <x:c r="H1721" s="60" t="n">
        <x:v>393698.72322774737</x:v>
      </x:c>
      <x:c r="I1721" s="62" t="n">
        <x:v>0</x:v>
      </x:c>
      <x:c r="J1721" s="64" t="n">
        <x:v>1</x:v>
      </x:c>
      <x:c r="K1721" s="62" t="n">
        <x:v>711.4968391616322</x:v>
      </x:c>
      <x:c r="L1721" s="60" t="n">
        <x:v>280115397.15851253</x:v>
      </x:c>
      <x:c r="M1721" s="62" t="n">
        <x:v>3.582239914137569</x:v>
      </x:c>
      <x:c r="N1721" s="62" t="n">
        <x:v>382.15532382166043</x:v>
      </x:c>
      <x:c r="O1721" s="60" t="n">
        <x:v>150454063.06327406</x:v>
      </x:c>
      <x:c r="P1721" s="60" t="n">
        <x:v>129661334.09523848</x:v>
      </x:c>
      <x:c r="Q1721" s="62" t="n">
        <x:v>1.861800149861748</x:v>
      </x:c>
      <x:c r="R1721" s="64" t="n">
        <x:v>0.861800149861748</x:v>
      </x:c>
    </x:row>
    <x:row r="1722" ht="18" customHeight="1">
      <x:c r="A1722" s="46" t="str">
        <x:v>LME_037</x:v>
      </x:c>
      <x:c r="B1722" s="46" t="str">
        <x:v>Sulu-Celebes Sea</x:v>
      </x:c>
      <x:c r="C1722" s="46" t="str">
        <x:v>functional</x:v>
      </x:c>
      <x:c r="D1722" s="46" t="str">
        <x:v>Medium reef assoc. fish (30 - 89 cm)</x:v>
      </x:c>
      <x:c r="E1722" s="66" t="n">
        <x:v>32</x:v>
      </x:c>
      <x:c r="F1722" s="66" t="n">
        <x:v>32</x:v>
      </x:c>
      <x:c r="G1722" s="60" t="n">
        <x:v>153468.8683258039</x:v>
      </x:c>
      <x:c r="H1722" s="60" t="n">
        <x:v>153468.8683258039</x:v>
      </x:c>
      <x:c r="I1722" s="62" t="n">
        <x:v>0</x:v>
      </x:c>
      <x:c r="J1722" s="64" t="n">
        <x:v>1</x:v>
      </x:c>
      <x:c r="K1722" s="62" t="n">
        <x:v>797.3268986975942</x:v>
      </x:c>
      <x:c r="L1722" s="60" t="n">
        <x:v>122364856.82884265</x:v>
      </x:c>
      <x:c r="M1722" s="62" t="n">
        <x:v>3.5465330685599388</x:v>
      </x:c>
      <x:c r="N1722" s="62" t="n">
        <x:v>351.9922233092155</x:v>
      </x:c>
      <x:c r="O1722" s="60" t="n">
        <x:v>54019848.17074895</x:v>
      </x:c>
      <x:c r="P1722" s="60" t="n">
        <x:v>68345008.6580937</x:v>
      </x:c>
      <x:c r="Q1722" s="62" t="n">
        <x:v>2.265183279339568</x:v>
      </x:c>
      <x:c r="R1722" s="64" t="n">
        <x:v>1.2651832793395676</x:v>
      </x:c>
    </x:row>
    <x:row r="1723" ht="18" customHeight="1">
      <x:c r="A1723" s="46" t="str">
        <x:v>LME_037</x:v>
      </x:c>
      <x:c r="B1723" s="46" t="str">
        <x:v>Sulu-Celebes Sea</x:v>
      </x:c>
      <x:c r="C1723" s="46" t="str">
        <x:v>functional</x:v>
      </x:c>
      <x:c r="D1723" s="46" t="str">
        <x:v>Other demersal invertebrates</x:v>
      </x:c>
      <x:c r="E1723" s="66" t="n">
        <x:v>13</x:v>
      </x:c>
      <x:c r="F1723" s="66" t="n">
        <x:v>13</x:v>
      </x:c>
      <x:c r="G1723" s="60" t="n">
        <x:v>164212.75577214005</x:v>
      </x:c>
      <x:c r="H1723" s="60" t="n">
        <x:v>164212.75577214005</x:v>
      </x:c>
      <x:c r="I1723" s="62" t="n">
        <x:v>0</x:v>
      </x:c>
      <x:c r="J1723" s="64" t="n">
        <x:v>1</x:v>
      </x:c>
      <x:c r="K1723" s="62" t="n">
        <x:v>26.318943124912067</x:v>
      </x:c>
      <x:c r="L1723" s="60" t="n">
        <x:v>4321906.17955203</x:v>
      </x:c>
      <x:c r="M1723" s="62" t="n">
        <x:v>2.4158215937809433</x:v>
      </x:c>
      <x:c r="N1723" s="62" t="n">
        <x:v>26.050831737148837</x:v>
      </x:c>
      <x:c r="O1723" s="60" t="n">
        <x:v>4277878.869713536</x:v>
      </x:c>
      <x:c r="P1723" s="60" t="n">
        <x:v>44027.309838493355</x:v>
      </x:c>
      <x:c r="Q1723" s="62" t="n">
        <x:v>1.0102918551879057</x:v>
      </x:c>
      <x:c r="R1723" s="64" t="n">
        <x:v>0.010291855187905681</x:v>
      </x:c>
    </x:row>
    <x:row r="1724" ht="18" customHeight="1">
      <x:c r="A1724" s="46" t="str">
        <x:v>LME_037</x:v>
      </x:c>
      <x:c r="B1724" s="46" t="str">
        <x:v>Sulu-Celebes Sea</x:v>
      </x:c>
      <x:c r="C1724" s="46" t="str">
        <x:v>functional</x:v>
      </x:c>
      <x:c r="D1724" s="46" t="str">
        <x:v>Shrimps</x:v>
      </x:c>
      <x:c r="E1724" s="66" t="n">
        <x:v>16</x:v>
      </x:c>
      <x:c r="F1724" s="66" t="n">
        <x:v>16</x:v>
      </x:c>
      <x:c r="G1724" s="60" t="n">
        <x:v>35191.526332439</x:v>
      </x:c>
      <x:c r="H1724" s="60" t="n">
        <x:v>35191.526332439</x:v>
      </x:c>
      <x:c r="I1724" s="62" t="n">
        <x:v>0</x:v>
      </x:c>
      <x:c r="J1724" s="64" t="n">
        <x:v>1</x:v>
      </x:c>
      <x:c r="K1724" s="62" t="n">
        <x:v>181.29584155488007</x:v>
      </x:c>
      <x:c r="L1724" s="60" t="n">
        <x:v>6380077.382040251</x:v>
      </x:c>
      <x:c r="M1724" s="62" t="n">
        <x:v>3.0246418795028256</x:v>
      </x:c>
      <x:c r="N1724" s="62" t="n">
        <x:v>105.83806214956944</x:v>
      </x:c>
      <x:c r="O1724" s="60" t="n">
        <x:v>3724602.9511108887</x:v>
      </x:c>
      <x:c r="P1724" s="60" t="n">
        <x:v>2655474.4309293623</x:v>
      </x:c>
      <x:c r="Q1724" s="62" t="n">
        <x:v>1.7129550359555368</x:v>
      </x:c>
      <x:c r="R1724" s="64" t="n">
        <x:v>0.7129550359555369</x:v>
      </x:c>
    </x:row>
    <x:row r="1725" ht="18" customHeight="1">
      <x:c r="A1725" s="46" t="str">
        <x:v>LME_037</x:v>
      </x:c>
      <x:c r="B1725" s="46" t="str">
        <x:v>Sulu-Celebes Sea</x:v>
      </x:c>
      <x:c r="C1725" s="46" t="str">
        <x:v>functional</x:v>
      </x:c>
      <x:c r="D1725" s="46" t="str">
        <x:v>Small benthopelagics (&lt;30 cm)</x:v>
      </x:c>
      <x:c r="E1725" s="66" t="n">
        <x:v>5</x:v>
      </x:c>
      <x:c r="F1725" s="66" t="n">
        <x:v>5</x:v>
      </x:c>
      <x:c r="G1725" s="60" t="n">
        <x:v>38976.2382587454</x:v>
      </x:c>
      <x:c r="H1725" s="60" t="n">
        <x:v>38976.2382587454</x:v>
      </x:c>
      <x:c r="I1725" s="62" t="n">
        <x:v>0</x:v>
      </x:c>
      <x:c r="J1725" s="64" t="n">
        <x:v>1</x:v>
      </x:c>
      <x:c r="K1725" s="62" t="n">
        <x:v>174.45683001372817</x:v>
      </x:c>
      <x:c r="L1725" s="60" t="n">
        <x:v>6799670.972480514</x:v>
      </x:c>
      <x:c r="M1725" s="62" t="n">
        <x:v>3.231670194313251</x:v>
      </x:c>
      <x:c r="N1725" s="62" t="n">
        <x:v>170.4787272205836</x:v>
      </x:c>
      <x:c r="O1725" s="60" t="n">
        <x:v>6644619.490197131</x:v>
      </x:c>
      <x:c r="P1725" s="60" t="n">
        <x:v>155051.48228338268</x:v>
      </x:c>
      <x:c r="Q1725" s="62" t="n">
        <x:v>1.0233348926168204</x:v>
      </x:c>
      <x:c r="R1725" s="64" t="n">
        <x:v>0.023334892616820507</x:v>
      </x:c>
    </x:row>
    <x:row r="1726" ht="18" customHeight="1">
      <x:c r="A1726" s="46" t="str">
        <x:v>LME_037</x:v>
      </x:c>
      <x:c r="B1726" s="46" t="str">
        <x:v>Sulu-Celebes Sea</x:v>
      </x:c>
      <x:c r="C1726" s="46" t="str">
        <x:v>functional</x:v>
      </x:c>
      <x:c r="D1726" s="46" t="str">
        <x:v>Small demersals (&lt;30 cm)</x:v>
      </x:c>
      <x:c r="E1726" s="66" t="n">
        <x:v>5</x:v>
      </x:c>
      <x:c r="F1726" s="66" t="n">
        <x:v>5</x:v>
      </x:c>
      <x:c r="G1726" s="60" t="n">
        <x:v>13781.1585274833</x:v>
      </x:c>
      <x:c r="H1726" s="60" t="n">
        <x:v>13781.1585274833</x:v>
      </x:c>
      <x:c r="I1726" s="62" t="n">
        <x:v>0</x:v>
      </x:c>
      <x:c r="J1726" s="64" t="n">
        <x:v>1</x:v>
      </x:c>
      <x:c r="K1726" s="62" t="n">
        <x:v>508.6445929964178</x:v>
      </x:c>
      <x:c r="L1726" s="60" t="n">
        <x:v>7009711.770230856</x:v>
      </x:c>
      <x:c r="M1726" s="62" t="n">
        <x:v>3.664516797802844</x:v>
      </x:c>
      <x:c r="N1726" s="62" t="n">
        <x:v>461.86685580710855</x:v>
      </x:c>
      <x:c r="O1726" s="60" t="n">
        <x:v>6365060.358468033</x:v>
      </x:c>
      <x:c r="P1726" s="60" t="n">
        <x:v>644651.4117628224</x:v>
      </x:c>
      <x:c r="Q1726" s="62" t="n">
        <x:v>1.1012797012844007</x:v>
      </x:c>
      <x:c r="R1726" s="64" t="n">
        <x:v>0.10127970128440063</x:v>
      </x:c>
    </x:row>
    <x:row r="1727" ht="18" customHeight="1">
      <x:c r="A1727" s="46" t="str">
        <x:v>LME_037</x:v>
      </x:c>
      <x:c r="B1727" s="46" t="str">
        <x:v>Sulu-Celebes Sea</x:v>
      </x:c>
      <x:c r="C1727" s="46" t="str">
        <x:v>functional</x:v>
      </x:c>
      <x:c r="D1727" s="46" t="str">
        <x:v>Small pelagics (&lt;30 cm)</x:v>
      </x:c>
      <x:c r="E1727" s="66" t="n">
        <x:v>14</x:v>
      </x:c>
      <x:c r="F1727" s="66" t="n">
        <x:v>14</x:v>
      </x:c>
      <x:c r="G1727" s="60" t="n">
        <x:v>267998.55672928574</x:v>
      </x:c>
      <x:c r="H1727" s="60" t="n">
        <x:v>267998.55672928574</x:v>
      </x:c>
      <x:c r="I1727" s="62" t="n">
        <x:v>0</x:v>
      </x:c>
      <x:c r="J1727" s="64" t="n">
        <x:v>1</x:v>
      </x:c>
      <x:c r="K1727" s="62" t="n">
        <x:v>91.04699959345285</x:v>
      </x:c>
      <x:c r="L1727" s="60" t="n">
        <x:v>24400464.48557723</x:v>
      </x:c>
      <x:c r="M1727" s="62" t="n">
        <x:v>2.8655391072984924</x:v>
      </x:c>
      <x:c r="N1727" s="62" t="n">
        <x:v>73.37347827071858</x:v>
      </x:c>
      <x:c r="O1727" s="60" t="n">
        <x:v>19663986.278760187</x:v>
      </x:c>
      <x:c r="P1727" s="60" t="n">
        <x:v>4736478.206817042</x:v>
      </x:c>
      <x:c r="Q1727" s="62" t="n">
        <x:v>1.2408707034103807</x:v>
      </x:c>
      <x:c r="R1727" s="64" t="n">
        <x:v>0.24087070341038078</x:v>
      </x:c>
    </x:row>
    <x:row r="1728" ht="18" customHeight="1">
      <x:c r="A1728" s="46" t="str">
        <x:v>LME_037</x:v>
      </x:c>
      <x:c r="B1728" s="46" t="str">
        <x:v>Sulu-Celebes Sea</x:v>
      </x:c>
      <x:c r="C1728" s="46" t="str">
        <x:v>functional</x:v>
      </x:c>
      <x:c r="D1728" s="46" t="str">
        <x:v>Small reef assoc. fish (&lt;30 cm)</x:v>
      </x:c>
      <x:c r="E1728" s="66" t="n">
        <x:v>9</x:v>
      </x:c>
      <x:c r="F1728" s="66" t="n">
        <x:v>9</x:v>
      </x:c>
      <x:c r="G1728" s="60" t="n">
        <x:v>24367.8835628313</x:v>
      </x:c>
      <x:c r="H1728" s="60" t="n">
        <x:v>24367.8835628313</x:v>
      </x:c>
      <x:c r="I1728" s="62" t="n">
        <x:v>0</x:v>
      </x:c>
      <x:c r="J1728" s="64" t="n">
        <x:v>1</x:v>
      </x:c>
      <x:c r="K1728" s="62" t="n">
        <x:v>428.6826935818176</x:v>
      </x:c>
      <x:c r="L1728" s="60" t="n">
        <x:v>10446089.96260262</x:v>
      </x:c>
      <x:c r="M1728" s="62" t="n">
        <x:v>3.4706769577098564</x:v>
      </x:c>
      <x:c r="N1728" s="62" t="n">
        <x:v>295.5813019264084</x:v>
      </x:c>
      <x:c r="O1728" s="60" t="n">
        <x:v>7202690.748692803</x:v>
      </x:c>
      <x:c r="P1728" s="60" t="n">
        <x:v>3243399.213909816</x:v>
      </x:c>
      <x:c r="Q1728" s="62" t="n">
        <x:v>1.45030382770473</x:v>
      </x:c>
      <x:c r="R1728" s="64" t="n">
        <x:v>0.4503038277047299</x:v>
      </x:c>
    </x:row>
    <x:row r="1729" ht="18" customHeight="1">
      <x:c r="A1729" s="46" t="str">
        <x:v>LME_037</x:v>
      </x:c>
      <x:c r="B1729" s="46" t="str">
        <x:v>Sulu-Celebes Sea</x:v>
      </x:c>
      <x:c r="C1729" s="46" t="str">
        <x:v>functional</x:v>
      </x:c>
      <x:c r="D1729" s="46" t="str">
        <x:v>Small to medium flatfishes (&lt;90 cm)</x:v>
      </x:c>
      <x:c r="E1729" s="66" t="n">
        <x:v>4</x:v>
      </x:c>
      <x:c r="F1729" s="66" t="n">
        <x:v>4</x:v>
      </x:c>
      <x:c r="G1729" s="60" t="n">
        <x:v>1340.2892292950999</x:v>
      </x:c>
      <x:c r="H1729" s="60" t="n">
        <x:v>1340.2892292950999</x:v>
      </x:c>
      <x:c r="I1729" s="62" t="n">
        <x:v>0</x:v>
      </x:c>
      <x:c r="J1729" s="64" t="n">
        <x:v>1</x:v>
      </x:c>
      <x:c r="K1729" s="62" t="n">
        <x:v>896.4967703029266</x:v>
      </x:c>
      <x:c r="L1729" s="60" t="n">
        <x:v>1201564.9653348557</x:v>
      </x:c>
      <x:c r="M1729" s="62" t="n">
        <x:v>3.9009441942373977</x:v>
      </x:c>
      <x:c r="N1729" s="62" t="n">
        <x:v>796.0570524902527</x:v>
      </x:c>
      <x:c r="O1729" s="60" t="n">
        <x:v>1066946.6933570895</x:v>
      </x:c>
      <x:c r="P1729" s="60" t="n">
        <x:v>134618.27197776618</x:v>
      </x:c>
      <x:c r="Q1729" s="62" t="n">
        <x:v>1.1261715068015228</x:v>
      </x:c>
      <x:c r="R1729" s="64" t="n">
        <x:v>0.1261715068015227</x:v>
      </x:c>
    </x:row>
    <x:row r="1730" ht="18" customHeight="1">
      <x:c r="A1730" s="46" t="str">
        <x:v>LME_038</x:v>
      </x:c>
      <x:c r="B1730" s="46" t="str">
        <x:v>Indonesian Sea</x:v>
      </x:c>
      <x:c r="C1730" s="46" t="str">
        <x:v>functional</x:v>
      </x:c>
      <x:c r="D1730" s="46" t="str">
        <x:v>Cephalopods</x:v>
      </x:c>
      <x:c r="E1730" s="66" t="n">
        <x:v>6</x:v>
      </x:c>
      <x:c r="F1730" s="66" t="n">
        <x:v>6</x:v>
      </x:c>
      <x:c r="G1730" s="60" t="n">
        <x:v>1507.9466999115002</x:v>
      </x:c>
      <x:c r="H1730" s="60" t="n">
        <x:v>1507.9466999115002</x:v>
      </x:c>
      <x:c r="I1730" s="62" t="n">
        <x:v>0</x:v>
      </x:c>
      <x:c r="J1730" s="64" t="n">
        <x:v>1</x:v>
      </x:c>
      <x:c r="K1730" s="62" t="n">
        <x:v>1089.2470330883023</x:v>
      </x:c>
      <x:c r="L1730" s="60" t="n">
        <x:v>1642526.468933898</x:v>
      </x:c>
      <x:c r="M1730" s="62" t="n">
        <x:v>4.00617992563084</x:v>
      </x:c>
      <x:c r="N1730" s="62" t="n">
        <x:v>1014.3315302424709</x:v>
      </x:c>
      <x:c r="O1730" s="60" t="n">
        <x:v>1529557.8836453161</x:v>
      </x:c>
      <x:c r="P1730" s="60" t="n">
        <x:v>112968.5852885819</x:v>
      </x:c>
      <x:c r="Q1730" s="62" t="n">
        <x:v>1.0738570187480252</x:v>
      </x:c>
      <x:c r="R1730" s="64" t="n">
        <x:v>0.07385701874802524</x:v>
      </x:c>
    </x:row>
    <x:row r="1731" ht="18" customHeight="1">
      <x:c r="A1731" s="46" t="str">
        <x:v>LME_038</x:v>
      </x:c>
      <x:c r="B1731" s="46" t="str">
        <x:v>Indonesian Sea</x:v>
      </x:c>
      <x:c r="C1731" s="46" t="str">
        <x:v>functional</x:v>
      </x:c>
      <x:c r="D1731" s="46" t="str">
        <x:v>Jellyfish</x:v>
      </x:c>
      <x:c r="E1731" s="66" t="n">
        <x:v>3</x:v>
      </x:c>
      <x:c r="F1731" s="66" t="n">
        <x:v>3</x:v>
      </x:c>
      <x:c r="G1731" s="60" t="n">
        <x:v>10379.6841354438</x:v>
      </x:c>
      <x:c r="H1731" s="60" t="n">
        <x:v>10379.6841354438</x:v>
      </x:c>
      <x:c r="I1731" s="62" t="n">
        <x:v>0</x:v>
      </x:c>
      <x:c r="J1731" s="64" t="n">
        <x:v>1</x:v>
      </x:c>
      <x:c r="K1731" s="62" t="n">
        <x:v>288.4031503126606</x:v>
      </x:c>
      <x:c r="L1731" s="60" t="n">
        <x:v>2993533.6039123368</x:v>
      </x:c>
      <x:c r="M1731" s="62" t="n">
        <x:v>3.4599999999999995</x:v>
      </x:c>
      <x:c r="N1731" s="62" t="n">
        <x:v>288.4031503126603</x:v>
      </x:c>
      <x:c r="O1731" s="60" t="n">
        <x:v>2993533.6039123335</x:v>
      </x:c>
      <x:c r="P1731" s="60" t="n">
        <x:v>3.259629011154175e-9</x:v>
      </x:c>
      <x:c r="Q1731" s="62" t="n">
        <x:v>1.000000000000001</x:v>
      </x:c>
      <x:c r="R1731" s="64" t="n">
        <x:v>1.0888900685444365e-15</x:v>
      </x:c>
    </x:row>
    <x:row r="1732" ht="18" customHeight="1">
      <x:c r="A1732" s="46" t="str">
        <x:v>LME_038</x:v>
      </x:c>
      <x:c r="B1732" s="46" t="str">
        <x:v>Indonesian Sea</x:v>
      </x:c>
      <x:c r="C1732" s="46" t="str">
        <x:v>functional</x:v>
      </x:c>
      <x:c r="D1732" s="46" t="str">
        <x:v>Large benthopelagics (&gt;=90 cm)</x:v>
      </x:c>
      <x:c r="E1732" s="66" t="n">
        <x:v>4</x:v>
      </x:c>
      <x:c r="F1732" s="66" t="n">
        <x:v>4</x:v>
      </x:c>
      <x:c r="G1732" s="60" t="n">
        <x:v>46819.86831506399</x:v>
      </x:c>
      <x:c r="H1732" s="60" t="n">
        <x:v>46819.86831506399</x:v>
      </x:c>
      <x:c r="I1732" s="62" t="n">
        <x:v>0</x:v>
      </x:c>
      <x:c r="J1732" s="64" t="n">
        <x:v>1</x:v>
      </x:c>
      <x:c r="K1732" s="62" t="n">
        <x:v>1452.4897944906413</x:v>
      </x:c>
      <x:c r="L1732" s="60" t="n">
        <x:v>68005380.90702619</x:v>
      </x:c>
      <x:c r="M1732" s="62" t="n">
        <x:v>4.161499930283723</x:v>
      </x:c>
      <x:c r="N1732" s="62" t="n">
        <x:v>1450.4405414691507</x:v>
      </x:c>
      <x:c r="O1732" s="60" t="n">
        <x:v>67909435.15041575</x:v>
      </x:c>
      <x:c r="P1732" s="60" t="n">
        <x:v>95945.75661043823</x:v>
      </x:c>
      <x:c r="Q1732" s="62" t="n">
        <x:v>1.0014128486917602</x:v>
      </x:c>
      <x:c r="R1732" s="64" t="n">
        <x:v>0.0014128486917601882</x:v>
      </x:c>
    </x:row>
    <x:row r="1733" ht="18" customHeight="1">
      <x:c r="A1733" s="46" t="str">
        <x:v>LME_038</x:v>
      </x:c>
      <x:c r="B1733" s="46" t="str">
        <x:v>Indonesian Sea</x:v>
      </x:c>
      <x:c r="C1733" s="46" t="str">
        <x:v>functional</x:v>
      </x:c>
      <x:c r="D1733" s="46" t="str">
        <x:v>Large demersals (&gt;=90 cm)</x:v>
      </x:c>
      <x:c r="E1733" s="66" t="n">
        <x:v>4</x:v>
      </x:c>
      <x:c r="F1733" s="66" t="n">
        <x:v>4</x:v>
      </x:c>
      <x:c r="G1733" s="60" t="n">
        <x:v>149471.3802686247</x:v>
      </x:c>
      <x:c r="H1733" s="60" t="n">
        <x:v>149471.3802686247</x:v>
      </x:c>
      <x:c r="I1733" s="62" t="n">
        <x:v>0</x:v>
      </x:c>
      <x:c r="J1733" s="64" t="n">
        <x:v>1</x:v>
      </x:c>
      <x:c r="K1733" s="62" t="n">
        <x:v>1386.1539370789333</x:v>
      </x:c>
      <x:c r="L1733" s="60" t="n">
        <x:v>207190342.2399765</x:v>
      </x:c>
      <x:c r="M1733" s="62" t="n">
        <x:v>3.985004022237853</x:v>
      </x:c>
      <x:c r="N1733" s="62" t="n">
        <x:v>966.0598261548569</x:v>
      </x:c>
      <x:c r="O1733" s="60" t="n">
        <x:v>144398295.63743407</x:v>
      </x:c>
      <x:c r="P1733" s="60" t="n">
        <x:v>62792046.60254243</x:v>
      </x:c>
      <x:c r="Q1733" s="62" t="n">
        <x:v>1.4348531007610046</x:v>
      </x:c>
      <x:c r="R1733" s="64" t="n">
        <x:v>0.4348531007610045</x:v>
      </x:c>
    </x:row>
    <x:row r="1734" ht="18" customHeight="1">
      <x:c r="A1734" s="46" t="str">
        <x:v>LME_038</x:v>
      </x:c>
      <x:c r="B1734" s="46" t="str">
        <x:v>Indonesian Sea</x:v>
      </x:c>
      <x:c r="C1734" s="46" t="str">
        <x:v>functional</x:v>
      </x:c>
      <x:c r="D1734" s="46" t="str">
        <x:v>Large pelagics (&gt;=90 cm)</x:v>
      </x:c>
      <x:c r="E1734" s="66" t="n">
        <x:v>21</x:v>
      </x:c>
      <x:c r="F1734" s="66" t="n">
        <x:v>21</x:v>
      </x:c>
      <x:c r="G1734" s="60" t="n">
        <x:v>113279.10566292852</x:v>
      </x:c>
      <x:c r="H1734" s="60" t="n">
        <x:v>113279.10566292852</x:v>
      </x:c>
      <x:c r="I1734" s="62" t="n">
        <x:v>0</x:v>
      </x:c>
      <x:c r="J1734" s="64" t="n">
        <x:v>1</x:v>
      </x:c>
      <x:c r="K1734" s="62" t="n">
        <x:v>3104.376682928322</x:v>
      </x:c>
      <x:c r="L1734" s="60" t="n">
        <x:v>351661014.28296894</x:v>
      </x:c>
      <x:c r="M1734" s="62" t="n">
        <x:v>4.491256128042576</x:v>
      </x:c>
      <x:c r="N1734" s="62" t="n">
        <x:v>3099.2465614977423</x:v>
      </x:c>
      <x:c r="O1734" s="60" t="n">
        <x:v>351079878.71537066</x:v>
      </x:c>
      <x:c r="P1734" s="60" t="n">
        <x:v>581135.5675982833</x:v>
      </x:c>
      <x:c r="Q1734" s="62" t="n">
        <x:v>1.0016552801878726</x:v>
      </x:c>
      <x:c r="R1734" s="64" t="n">
        <x:v>0.0016552801878726424</x:v>
      </x:c>
    </x:row>
    <x:row r="1735" ht="18" customHeight="1">
      <x:c r="A1735" s="46" t="str">
        <x:v>LME_038</x:v>
      </x:c>
      <x:c r="B1735" s="46" t="str">
        <x:v>Indonesian Sea</x:v>
      </x:c>
      <x:c r="C1735" s="46" t="str">
        <x:v>functional</x:v>
      </x:c>
      <x:c r="D1735" s="46" t="str">
        <x:v>Large rays (&gt;=90 cm)</x:v>
      </x:c>
      <x:c r="E1735" s="66" t="n">
        <x:v>2</x:v>
      </x:c>
      <x:c r="F1735" s="66" t="n">
        <x:v>2</x:v>
      </x:c>
      <x:c r="G1735" s="60" t="n">
        <x:v>214.81831546400002</x:v>
      </x:c>
      <x:c r="H1735" s="60" t="n">
        <x:v>214.81831546400002</x:v>
      </x:c>
      <x:c r="I1735" s="62" t="n">
        <x:v>0</x:v>
      </x:c>
      <x:c r="J1735" s="64" t="n">
        <x:v>1</x:v>
      </x:c>
      <x:c r="K1735" s="62" t="n">
        <x:v>252.1802909473237</x:v>
      </x:c>
      <x:c r="L1735" s="60" t="n">
        <x:v>54172.94529452549</x:v>
      </x:c>
      <x:c r="M1735" s="62" t="n">
        <x:v>3.3946740085253957</x:v>
      </x:c>
      <x:c r="N1735" s="62" t="n">
        <x:v>248.1269907568978</x:v>
      </x:c>
      <x:c r="O1735" s="60" t="n">
        <x:v>53302.22217554829</x:v>
      </x:c>
      <x:c r="P1735" s="60" t="n">
        <x:v>870.7231189771992</x:v>
      </x:c>
      <x:c r="Q1735" s="62" t="n">
        <x:v>1.016335587587878</x:v>
      </x:c>
      <x:c r="R1735" s="64" t="n">
        <x:v>0.016335587587877946</x:v>
      </x:c>
    </x:row>
    <x:row r="1736" ht="18" customHeight="1">
      <x:c r="A1736" s="46" t="str">
        <x:v>LME_038</x:v>
      </x:c>
      <x:c r="B1736" s="46" t="str">
        <x:v>Indonesian Sea</x:v>
      </x:c>
      <x:c r="C1736" s="46" t="str">
        <x:v>functional</x:v>
      </x:c>
      <x:c r="D1736" s="46" t="str">
        <x:v>Large sharks (&gt;=90 cm)</x:v>
      </x:c>
      <x:c r="E1736" s="66" t="n">
        <x:v>9</x:v>
      </x:c>
      <x:c r="F1736" s="66" t="n">
        <x:v>9</x:v>
      </x:c>
      <x:c r="G1736" s="60" t="n">
        <x:v>19459.2361456557</x:v>
      </x:c>
      <x:c r="H1736" s="60" t="n">
        <x:v>19459.2361456557</x:v>
      </x:c>
      <x:c r="I1736" s="62" t="n">
        <x:v>0</x:v>
      </x:c>
      <x:c r="J1736" s="64" t="n">
        <x:v>1</x:v>
      </x:c>
      <x:c r="K1736" s="62" t="n">
        <x:v>1756.915272345801</x:v>
      </x:c>
      <x:c r="L1736" s="60" t="n">
        <x:v>34188229.17248594</x:v>
      </x:c>
      <x:c r="M1736" s="62" t="n">
        <x:v>4.243489823329763</x:v>
      </x:c>
      <x:c r="N1736" s="62" t="n">
        <x:v>1751.8213839116852</x:v>
      </x:c>
      <x:c r="O1736" s="60" t="n">
        <x:v>34089105.99454686</x:v>
      </x:c>
      <x:c r="P1736" s="60" t="n">
        <x:v>99123.1779390797</x:v>
      </x:c>
      <x:c r="Q1736" s="62" t="n">
        <x:v>1.0029077670137474</x:v>
      </x:c>
      <x:c r="R1736" s="64" t="n">
        <x:v>0.002907767013747329</x:v>
      </x:c>
    </x:row>
    <x:row r="1737" ht="18" customHeight="1">
      <x:c r="A1737" s="46" t="str">
        <x:v>LME_038</x:v>
      </x:c>
      <x:c r="B1737" s="46" t="str">
        <x:v>Indonesian Sea</x:v>
      </x:c>
      <x:c r="C1737" s="46" t="str">
        <x:v>functional</x:v>
      </x:c>
      <x:c r="D1737" s="46" t="str">
        <x:v>Lobsters, crabs</x:v>
      </x:c>
      <x:c r="E1737" s="66" t="n">
        <x:v>5</x:v>
      </x:c>
      <x:c r="F1737" s="66" t="n">
        <x:v>5</x:v>
      </x:c>
      <x:c r="G1737" s="60" t="n">
        <x:v>58397.5376904502</x:v>
      </x:c>
      <x:c r="H1737" s="60" t="n">
        <x:v>58397.5376904502</x:v>
      </x:c>
      <x:c r="I1737" s="62" t="n">
        <x:v>0</x:v>
      </x:c>
      <x:c r="J1737" s="64" t="n">
        <x:v>1</x:v>
      </x:c>
      <x:c r="K1737" s="62" t="n">
        <x:v>267.5005993778793</x:v>
      </x:c>
      <x:c r="L1737" s="60" t="n">
        <x:v>15621376.334387727</x:v>
      </x:c>
      <x:c r="M1737" s="62" t="n">
        <x:v>3.4234781535455645</x:v>
      </x:c>
      <x:c r="N1737" s="62" t="n">
        <x:v>265.14177145399566</x:v>
      </x:c>
      <x:c r="O1737" s="60" t="n">
        <x:v>15483626.591797443</x:v>
      </x:c>
      <x:c r="P1737" s="60" t="n">
        <x:v>137749.74259028398</x:v>
      </x:c>
      <x:c r="Q1737" s="62" t="n">
        <x:v>1.0088964779519585</x:v>
      </x:c>
      <x:c r="R1737" s="64" t="n">
        <x:v>0.00889647795195848</x:v>
      </x:c>
    </x:row>
    <x:row r="1738" ht="18" customHeight="1">
      <x:c r="A1738" s="46" t="str">
        <x:v>LME_038</x:v>
      </x:c>
      <x:c r="B1738" s="46" t="str">
        <x:v>Indonesian Sea</x:v>
      </x:c>
      <x:c r="C1738" s="46" t="str">
        <x:v>functional</x:v>
      </x:c>
      <x:c r="D1738" s="46" t="str">
        <x:v>Medium benthopelagics (30 - 89 cm)</x:v>
      </x:c>
      <x:c r="E1738" s="66" t="n">
        <x:v>4</x:v>
      </x:c>
      <x:c r="F1738" s="66" t="n">
        <x:v>4</x:v>
      </x:c>
      <x:c r="G1738" s="60" t="n">
        <x:v>61570.703402649706</x:v>
      </x:c>
      <x:c r="H1738" s="60" t="n">
        <x:v>61570.703402649706</x:v>
      </x:c>
      <x:c r="I1738" s="62" t="n">
        <x:v>0</x:v>
      </x:c>
      <x:c r="J1738" s="64" t="n">
        <x:v>1</x:v>
      </x:c>
      <x:c r="K1738" s="62" t="n">
        <x:v>126.36286813255958</x:v>
      </x:c>
      <x:c r="L1738" s="60" t="n">
        <x:v>7780250.674897962</x:v>
      </x:c>
      <x:c r="M1738" s="62" t="n">
        <x:v>3.063228918883673</x:v>
      </x:c>
      <x:c r="N1738" s="62" t="n">
        <x:v>115.6721795612484</x:v>
      </x:c>
      <x:c r="O1738" s="60" t="n">
        <x:v>7122017.459703664</x:v>
      </x:c>
      <x:c r="P1738" s="60" t="n">
        <x:v>658233.215194298</x:v>
      </x:c>
      <x:c r="Q1738" s="62" t="n">
        <x:v>1.0924222973221531</x:v>
      </x:c>
      <x:c r="R1738" s="64" t="n">
        <x:v>0.09242229732215315</x:v>
      </x:c>
    </x:row>
    <x:row r="1739" ht="18" customHeight="1">
      <x:c r="A1739" s="46" t="str">
        <x:v>LME_038</x:v>
      </x:c>
      <x:c r="B1739" s="46" t="str">
        <x:v>Indonesian Sea</x:v>
      </x:c>
      <x:c r="C1739" s="46" t="str">
        <x:v>functional</x:v>
      </x:c>
      <x:c r="D1739" s="46" t="str">
        <x:v>Medium demersals (30 - 89 cm)</x:v>
      </x:c>
      <x:c r="E1739" s="66" t="n">
        <x:v>9</x:v>
      </x:c>
      <x:c r="F1739" s="66" t="n">
        <x:v>9</x:v>
      </x:c>
      <x:c r="G1739" s="60" t="n">
        <x:v>690300.0608556459</x:v>
      </x:c>
      <x:c r="H1739" s="60" t="n">
        <x:v>690300.0608556459</x:v>
      </x:c>
      <x:c r="I1739" s="62" t="n">
        <x:v>0</x:v>
      </x:c>
      <x:c r="J1739" s="64" t="n">
        <x:v>1</x:v>
      </x:c>
      <x:c r="K1739" s="62" t="n">
        <x:v>218.2808491451433</x:v>
      </x:c>
      <x:c r="L1739" s="60" t="n">
        <x:v>150679283.4485145</x:v>
      </x:c>
      <x:c r="M1739" s="62" t="n">
        <x:v>3.3125964862702117</x:v>
      </x:c>
      <x:c r="N1739" s="62" t="n">
        <x:v>205.39813043752608</x:v>
      </x:c>
      <x:c r="O1739" s="60" t="n">
        <x:v>141786341.94066015</x:v>
      </x:c>
      <x:c r="P1739" s="60" t="n">
        <x:v>8892941.507854342</x:v>
      </x:c>
      <x:c r="Q1739" s="62" t="n">
        <x:v>1.0627207203891063</x:v>
      </x:c>
      <x:c r="R1739" s="64" t="n">
        <x:v>0.06272072038910617</x:v>
      </x:c>
    </x:row>
    <x:row r="1740" ht="18" customHeight="1">
      <x:c r="A1740" s="46" t="str">
        <x:v>LME_038</x:v>
      </x:c>
      <x:c r="B1740" s="46" t="str">
        <x:v>Indonesian Sea</x:v>
      </x:c>
      <x:c r="C1740" s="46" t="str">
        <x:v>functional</x:v>
      </x:c>
      <x:c r="D1740" s="46" t="str">
        <x:v>Medium pelagics (30 - 89 cm)</x:v>
      </x:c>
      <x:c r="E1740" s="66" t="n">
        <x:v>17</x:v>
      </x:c>
      <x:c r="F1740" s="66" t="n">
        <x:v>17</x:v>
      </x:c>
      <x:c r="G1740" s="60" t="n">
        <x:v>577505.730907006</x:v>
      </x:c>
      <x:c r="H1740" s="60" t="n">
        <x:v>577505.730907006</x:v>
      </x:c>
      <x:c r="I1740" s="62" t="n">
        <x:v>0</x:v>
      </x:c>
      <x:c r="J1740" s="64" t="n">
        <x:v>1</x:v>
      </x:c>
      <x:c r="K1740" s="62" t="n">
        <x:v>679.8879232805006</x:v>
      </x:c>
      <x:c r="L1740" s="60" t="n">
        <x:v>392639172.06895185</x:v>
      </x:c>
      <x:c r="M1740" s="62" t="n">
        <x:v>3.4907538325798946</x:v>
      </x:c>
      <x:c r="N1740" s="62" t="n">
        <x:v>309.56641130597137</x:v>
      </x:c>
      <x:c r="O1740" s="60" t="n">
        <x:v>178776376.62551382</x:v>
      </x:c>
      <x:c r="P1740" s="60" t="n">
        <x:v>213862795.44343802</x:v>
      </x:c>
      <x:c r="Q1740" s="62" t="n">
        <x:v>2.1962586974867513</x:v>
      </x:c>
      <x:c r="R1740" s="64" t="n">
        <x:v>1.196258697486751</x:v>
      </x:c>
    </x:row>
    <x:row r="1741" ht="18" customHeight="1">
      <x:c r="A1741" s="46" t="str">
        <x:v>LME_038</x:v>
      </x:c>
      <x:c r="B1741" s="46" t="str">
        <x:v>Indonesian Sea</x:v>
      </x:c>
      <x:c r="C1741" s="46" t="str">
        <x:v>functional</x:v>
      </x:c>
      <x:c r="D1741" s="46" t="str">
        <x:v>Medium reef assoc. fish (30 - 89 cm)</x:v>
      </x:c>
      <x:c r="E1741" s="66" t="n">
        <x:v>16</x:v>
      </x:c>
      <x:c r="F1741" s="66" t="n">
        <x:v>16</x:v>
      </x:c>
      <x:c r="G1741" s="60" t="n">
        <x:v>280117.3842248933</x:v>
      </x:c>
      <x:c r="H1741" s="60" t="n">
        <x:v>280117.3842248933</x:v>
      </x:c>
      <x:c r="I1741" s="62" t="n">
        <x:v>0</x:v>
      </x:c>
      <x:c r="J1741" s="64" t="n">
        <x:v>1</x:v>
      </x:c>
      <x:c r="K1741" s="62" t="n">
        <x:v>682.0974505703847</x:v>
      </x:c>
      <x:c r="L1741" s="60" t="n">
        <x:v>191067353.6402446</x:v>
      </x:c>
      <x:c r="M1741" s="62" t="n">
        <x:v>3.5811450140226744</x:v>
      </x:c>
      <x:c r="N1741" s="62" t="n">
        <x:v>381.1930852336518</x:v>
      </x:c>
      <x:c r="O1741" s="60" t="n">
        <x:v>106778809.92026734</x:v>
      </x:c>
      <x:c r="P1741" s="60" t="n">
        <x:v>84288543.71997726</x:v>
      </x:c>
      <x:c r="Q1741" s="62" t="n">
        <x:v>1.7893751932889703</x:v>
      </x:c>
      <x:c r="R1741" s="64" t="n">
        <x:v>0.7893751932889703</x:v>
      </x:c>
    </x:row>
    <x:row r="1742" ht="18" customHeight="1">
      <x:c r="A1742" s="46" t="str">
        <x:v>LME_038</x:v>
      </x:c>
      <x:c r="B1742" s="46" t="str">
        <x:v>Indonesian Sea</x:v>
      </x:c>
      <x:c r="C1742" s="46" t="str">
        <x:v>functional</x:v>
      </x:c>
      <x:c r="D1742" s="46" t="str">
        <x:v>Other demersal invertebrates</x:v>
      </x:c>
      <x:c r="E1742" s="66" t="n">
        <x:v>4</x:v>
      </x:c>
      <x:c r="F1742" s="66" t="n">
        <x:v>4</x:v>
      </x:c>
      <x:c r="G1742" s="60" t="n">
        <x:v>43138.2475083511</x:v>
      </x:c>
      <x:c r="H1742" s="60" t="n">
        <x:v>43138.2475083511</x:v>
      </x:c>
      <x:c r="I1742" s="62" t="n">
        <x:v>0</x:v>
      </x:c>
      <x:c r="J1742" s="64" t="n">
        <x:v>1</x:v>
      </x:c>
      <x:c r="K1742" s="62" t="n">
        <x:v>11.84538531180441</x:v>
      </x:c>
      <x:c r="L1742" s="60" t="n">
        <x:v>510989.16341240535</x:v>
      </x:c>
      <x:c r="M1742" s="62" t="n">
        <x:v>2.0712338994291204</x:v>
      </x:c>
      <x:c r="N1742" s="62" t="n">
        <x:v>11.782403715212913</x:v>
      </x:c>
      <x:c r="O1742" s="60" t="n">
        <x:v>508272.2477101702</x:v>
      </x:c>
      <x:c r="P1742" s="60" t="n">
        <x:v>2716.9157022351283</x:v>
      </x:c>
      <x:c r="Q1742" s="62" t="n">
        <x:v>1.005345394548837</x:v>
      </x:c>
      <x:c r="R1742" s="64" t="n">
        <x:v>0.005345394548837108</x:v>
      </x:c>
    </x:row>
    <x:row r="1743" ht="18" customHeight="1">
      <x:c r="A1743" s="46" t="str">
        <x:v>LME_038</x:v>
      </x:c>
      <x:c r="B1743" s="46" t="str">
        <x:v>Indonesian Sea</x:v>
      </x:c>
      <x:c r="C1743" s="46" t="str">
        <x:v>functional</x:v>
      </x:c>
      <x:c r="D1743" s="46" t="str">
        <x:v>Shrimps</x:v>
      </x:c>
      <x:c r="E1743" s="66" t="n">
        <x:v>13</x:v>
      </x:c>
      <x:c r="F1743" s="66" t="n">
        <x:v>13</x:v>
      </x:c>
      <x:c r="G1743" s="60" t="n">
        <x:v>138294.8078855444</x:v>
      </x:c>
      <x:c r="H1743" s="60" t="n">
        <x:v>138294.8078855444</x:v>
      </x:c>
      <x:c r="I1743" s="62" t="n">
        <x:v>0</x:v>
      </x:c>
      <x:c r="J1743" s="64" t="n">
        <x:v>1</x:v>
      </x:c>
      <x:c r="K1743" s="62" t="n">
        <x:v>51.32949516052666</x:v>
      </x:c>
      <x:c r="L1743" s="60" t="n">
        <x:v>7098602.672087016</x:v>
      </x:c>
      <x:c r="M1743" s="62" t="n">
        <x:v>2.7011216167265255</x:v>
      </x:c>
      <x:c r="N1743" s="62" t="n">
        <x:v>50.24832816535033</x:v>
      </x:c>
      <x:c r="O1743" s="60" t="n">
        <x:v>6949082.890196914</x:v>
      </x:c>
      <x:c r="P1743" s="60" t="n">
        <x:v>149519.78189010173</x:v>
      </x:c>
      <x:c r="Q1743" s="62" t="n">
        <x:v>1.021516476958568</x:v>
      </x:c>
      <x:c r="R1743" s="64" t="n">
        <x:v>0.021516476958568103</x:v>
      </x:c>
    </x:row>
    <x:row r="1744" ht="18" customHeight="1">
      <x:c r="A1744" s="46" t="str">
        <x:v>LME_038</x:v>
      </x:c>
      <x:c r="B1744" s="46" t="str">
        <x:v>Indonesian Sea</x:v>
      </x:c>
      <x:c r="C1744" s="46" t="str">
        <x:v>functional</x:v>
      </x:c>
      <x:c r="D1744" s="46" t="str">
        <x:v>Small benthopelagics (&lt;30 cm)</x:v>
      </x:c>
      <x:c r="E1744" s="66" t="n">
        <x:v>4</x:v>
      </x:c>
      <x:c r="F1744" s="66" t="n">
        <x:v>4</x:v>
      </x:c>
      <x:c r="G1744" s="60" t="n">
        <x:v>55873.06476153399</x:v>
      </x:c>
      <x:c r="H1744" s="60" t="n">
        <x:v>55873.06476153399</x:v>
      </x:c>
      <x:c r="I1744" s="62" t="n">
        <x:v>0</x:v>
      </x:c>
      <x:c r="J1744" s="64" t="n">
        <x:v>1</x:v>
      </x:c>
      <x:c r="K1744" s="62" t="n">
        <x:v>168.11336985403028</x:v>
      </x:c>
      <x:c r="L1744" s="60" t="n">
        <x:v>9393009.20113395</x:v>
      </x:c>
      <x:c r="M1744" s="62" t="n">
        <x:v>3.2236783339375457</x:v>
      </x:c>
      <x:c r="N1744" s="62" t="n">
        <x:v>167.3702766315206</x:v>
      </x:c>
      <x:c r="O1744" s="60" t="n">
        <x:v>9351490.30538881</x:v>
      </x:c>
      <x:c r="P1744" s="60" t="n">
        <x:v>41518.89574513957</x:v>
      </x:c>
      <x:c r="Q1744" s="62" t="n">
        <x:v>1.004439815942622</x:v>
      </x:c>
      <x:c r="R1744" s="64" t="n">
        <x:v>0.00443981594262192</x:v>
      </x:c>
    </x:row>
    <x:row r="1745" ht="18" customHeight="1">
      <x:c r="A1745" s="46" t="str">
        <x:v>LME_038</x:v>
      </x:c>
      <x:c r="B1745" s="46" t="str">
        <x:v>Indonesian Sea</x:v>
      </x:c>
      <x:c r="C1745" s="46" t="str">
        <x:v>functional</x:v>
      </x:c>
      <x:c r="D1745" s="46" t="str">
        <x:v>Small demersals (&lt;30 cm)</x:v>
      </x:c>
      <x:c r="E1745" s="66" t="n">
        <x:v>4</x:v>
      </x:c>
      <x:c r="F1745" s="66" t="n">
        <x:v>4</x:v>
      </x:c>
      <x:c r="G1745" s="60" t="n">
        <x:v>137269.4081045516</x:v>
      </x:c>
      <x:c r="H1745" s="60" t="n">
        <x:v>137269.4081045516</x:v>
      </x:c>
      <x:c r="I1745" s="62" t="n">
        <x:v>0</x:v>
      </x:c>
      <x:c r="J1745" s="64" t="n">
        <x:v>1</x:v>
      </x:c>
      <x:c r="K1745" s="62" t="n">
        <x:v>618.3595965255078</x:v>
      </x:c>
      <x:c r="L1745" s="60" t="n">
        <x:v>84881855.8108258</x:v>
      </x:c>
      <x:c r="M1745" s="62" t="n">
        <x:v>3.7732687862440892</x:v>
      </x:c>
      <x:c r="N1745" s="62" t="n">
        <x:v>593.2924015408922</x:v>
      </x:c>
      <x:c r="O1745" s="60" t="n">
        <x:v>81440896.79244624</x:v>
      </x:c>
      <x:c r="P1745" s="60" t="n">
        <x:v>3440959.018379554</x:v>
      </x:c>
      <x:c r="Q1745" s="62" t="n">
        <x:v>1.0422509961690243</x:v>
      </x:c>
      <x:c r="R1745" s="64" t="n">
        <x:v>0.042250996169024356</x:v>
      </x:c>
    </x:row>
    <x:row r="1746" ht="18" customHeight="1">
      <x:c r="A1746" s="46" t="str">
        <x:v>LME_038</x:v>
      </x:c>
      <x:c r="B1746" s="46" t="str">
        <x:v>Indonesian Sea</x:v>
      </x:c>
      <x:c r="C1746" s="46" t="str">
        <x:v>functional</x:v>
      </x:c>
      <x:c r="D1746" s="46" t="str">
        <x:v>Small pelagics (&lt;30 cm)</x:v>
      </x:c>
      <x:c r="E1746" s="66" t="n">
        <x:v>12</x:v>
      </x:c>
      <x:c r="F1746" s="66" t="n">
        <x:v>12</x:v>
      </x:c>
      <x:c r="G1746" s="60" t="n">
        <x:v>462424.6488469997</x:v>
      </x:c>
      <x:c r="H1746" s="60" t="n">
        <x:v>462424.6488469997</x:v>
      </x:c>
      <x:c r="I1746" s="62" t="n">
        <x:v>0</x:v>
      </x:c>
      <x:c r="J1746" s="64" t="n">
        <x:v>1</x:v>
      </x:c>
      <x:c r="K1746" s="62" t="n">
        <x:v>235.42377763067884</x:v>
      </x:c>
      <x:c r="L1746" s="60" t="n">
        <x:v>108865757.7011008</x:v>
      </x:c>
      <x:c r="M1746" s="62" t="n">
        <x:v>3.100359474448243</x:v>
      </x:c>
      <x:c r="N1746" s="62" t="n">
        <x:v>125.99678815501068</x:v>
      </x:c>
      <x:c r="O1746" s="60" t="n">
        <x:v>58264020.51843062</x:v>
      </x:c>
      <x:c r="P1746" s="60" t="n">
        <x:v>50601737.182670176</x:v>
      </x:c>
      <x:c r="Q1746" s="62" t="n">
        <x:v>1.868490308983455</x:v>
      </x:c>
      <x:c r="R1746" s="64" t="n">
        <x:v>0.868490308983455</x:v>
      </x:c>
    </x:row>
    <x:row r="1747" ht="18" customHeight="1">
      <x:c r="A1747" s="46" t="str">
        <x:v>LME_038</x:v>
      </x:c>
      <x:c r="B1747" s="46" t="str">
        <x:v>Indonesian Sea</x:v>
      </x:c>
      <x:c r="C1747" s="46" t="str">
        <x:v>functional</x:v>
      </x:c>
      <x:c r="D1747" s="46" t="str">
        <x:v>Small reef assoc. fish (&lt;30 cm)</x:v>
      </x:c>
      <x:c r="E1747" s="66" t="n">
        <x:v>2</x:v>
      </x:c>
      <x:c r="F1747" s="66" t="n">
        <x:v>2</x:v>
      </x:c>
      <x:c r="G1747" s="60" t="n">
        <x:v>37485.9025250061</x:v>
      </x:c>
      <x:c r="H1747" s="60" t="n">
        <x:v>37485.9025250061</x:v>
      </x:c>
      <x:c r="I1747" s="62" t="n">
        <x:v>0</x:v>
      </x:c>
      <x:c r="J1747" s="64" t="n">
        <x:v>1</x:v>
      </x:c>
      <x:c r="K1747" s="62" t="n">
        <x:v>1171.746356870645</x:v>
      </x:c>
      <x:c r="L1747" s="60" t="n">
        <x:v>43923969.717684016</x:v>
      </x:c>
      <x:c r="M1747" s="62" t="n">
        <x:v>4.067512308948681</x:v>
      </x:c>
      <x:c r="N1747" s="62" t="n">
        <x:v>1168.186838612822</x:v>
      </x:c>
      <x:c r="O1747" s="60" t="n">
        <x:v>43790537.963235274</x:v>
      </x:c>
      <x:c r="P1747" s="60" t="n">
        <x:v>133431.75444874167</x:v>
      </x:c>
      <x:c r="Q1747" s="62" t="n">
        <x:v>1.0030470453357017</x:v>
      </x:c>
      <x:c r="R1747" s="64" t="n">
        <x:v>0.003047045335701641</x:v>
      </x:c>
    </x:row>
    <x:row r="1748" ht="18" customHeight="1">
      <x:c r="A1748" s="46" t="str">
        <x:v>LME_038</x:v>
      </x:c>
      <x:c r="B1748" s="46" t="str">
        <x:v>Indonesian Sea</x:v>
      </x:c>
      <x:c r="C1748" s="46" t="str">
        <x:v>functional</x:v>
      </x:c>
      <x:c r="D1748" s="46" t="str">
        <x:v>Small to medium flatfishes (&lt;90 cm)</x:v>
      </x:c>
      <x:c r="E1748" s="66" t="n">
        <x:v>3</x:v>
      </x:c>
      <x:c r="F1748" s="66" t="n">
        <x:v>3</x:v>
      </x:c>
      <x:c r="G1748" s="60" t="n">
        <x:v>32.4174983669</x:v>
      </x:c>
      <x:c r="H1748" s="60" t="n">
        <x:v>32.4174983669</x:v>
      </x:c>
      <x:c r="I1748" s="62" t="n">
        <x:v>0</x:v>
      </x:c>
      <x:c r="J1748" s="64" t="n">
        <x:v>1</x:v>
      </x:c>
      <x:c r="K1748" s="62" t="n">
        <x:v>474.89129473164724</x:v>
      </x:c>
      <x:c r="L1748" s="60" t="n">
        <x:v>15394.7877714182</x:v>
      </x:c>
      <x:c r="M1748" s="62" t="n">
        <x:v>3.497153973387496</x:v>
      </x:c>
      <x:c r="N1748" s="62" t="n">
        <x:v>314.16223172615605</x:v>
      </x:c>
      <x:c r="O1748" s="60" t="n">
        <x:v>10184.353633924322</x:v>
      </x:c>
      <x:c r="P1748" s="60" t="n">
        <x:v>5210.434137493878</x:v>
      </x:c>
      <x:c r="Q1748" s="62" t="n">
        <x:v>1.5116116667569162</x:v>
      </x:c>
      <x:c r="R1748" s="64" t="n">
        <x:v>0.511611666756916</x:v>
      </x:c>
    </x:row>
    <x:row r="1749" ht="18" customHeight="1">
      <x:c r="A1749" s="46" t="str">
        <x:v>LME_039</x:v>
      </x:c>
      <x:c r="B1749" s="46" t="str">
        <x:v>North Australian Shelf</x:v>
      </x:c>
      <x:c r="C1749" s="46" t="str">
        <x:v>functional</x:v>
      </x:c>
      <x:c r="D1749" s="46" t="str">
        <x:v>Cephalopods</x:v>
      </x:c>
      <x:c r="E1749" s="66" t="n">
        <x:v>8</x:v>
      </x:c>
      <x:c r="F1749" s="66" t="n">
        <x:v>8</x:v>
      </x:c>
      <x:c r="G1749" s="60" t="n">
        <x:v>382.96305479589995</x:v>
      </x:c>
      <x:c r="H1749" s="60" t="n">
        <x:v>382.96305479589995</x:v>
      </x:c>
      <x:c r="I1749" s="62" t="n">
        <x:v>0</x:v>
      </x:c>
      <x:c r="J1749" s="64" t="n">
        <x:v>1</x:v>
      </x:c>
      <x:c r="K1749" s="62" t="n">
        <x:v>660.6167169346561</x:v>
      </x:c>
      <x:c r="L1749" s="60" t="n">
        <x:v>252991.79596653424</x:v>
      </x:c>
      <x:c r="M1749" s="62" t="n">
        <x:v>3.8076914325230584</x:v>
      </x:c>
      <x:c r="N1749" s="62" t="n">
        <x:v>642.2312480282617</x:v>
      </x:c>
      <x:c r="O1749" s="60" t="n">
        <x:v>245950.8406302864</x:v>
      </x:c>
      <x:c r="P1749" s="60" t="n">
        <x:v>7040.955336247833</x:v>
      </x:c>
      <x:c r="Q1749" s="62" t="n">
        <x:v>1.0286274904294057</x:v>
      </x:c>
      <x:c r="R1749" s="64" t="n">
        <x:v>0.02862749042940579</x:v>
      </x:c>
    </x:row>
    <x:row r="1750" ht="18" customHeight="1">
      <x:c r="A1750" s="46" t="str">
        <x:v>LME_039</x:v>
      </x:c>
      <x:c r="B1750" s="46" t="str">
        <x:v>North Australian Shelf</x:v>
      </x:c>
      <x:c r="C1750" s="46" t="str">
        <x:v>functional</x:v>
      </x:c>
      <x:c r="D1750" s="46" t="str">
        <x:v>Jellyfish</x:v>
      </x:c>
      <x:c r="E1750" s="66" t="n">
        <x:v>1</x:v>
      </x:c>
      <x:c r="F1750" s="66" t="n">
        <x:v>1</x:v>
      </x:c>
      <x:c r="G1750" s="60" t="n">
        <x:v>2.7151933764000002</x:v>
      </x:c>
      <x:c r="H1750" s="60" t="n">
        <x:v>2.7151933764000002</x:v>
      </x:c>
      <x:c r="I1750" s="62" t="n">
        <x:v>0</x:v>
      </x:c>
      <x:c r="J1750" s="64" t="n">
        <x:v>1</x:v>
      </x:c>
      <x:c r="K1750" s="62" t="n">
        <x:v>288.40315031266056</x:v>
      </x:c>
      <x:c r="L1750" s="60" t="n">
        <x:v>783.0703234618296</x:v>
      </x:c>
      <x:c r="M1750" s="62" t="n">
        <x:v>3.46</x:v>
      </x:c>
      <x:c r="N1750" s="62" t="n">
        <x:v>288.40315031266056</x:v>
      </x:c>
      <x:c r="O1750" s="60" t="n">
        <x:v>783.0703234618296</x:v>
      </x:c>
      <x:c r="P1750" s="60" t="n">
        <x:v>0</x:v>
      </x:c>
      <x:c r="Q1750" s="62" t="n">
        <x:v>1</x:v>
      </x:c>
      <x:c r="R1750" s="64" t="n">
        <x:v>0</x:v>
      </x:c>
    </x:row>
    <x:row r="1751" ht="18" customHeight="1">
      <x:c r="A1751" s="46" t="str">
        <x:v>LME_039</x:v>
      </x:c>
      <x:c r="B1751" s="46" t="str">
        <x:v>North Australian Shelf</x:v>
      </x:c>
      <x:c r="C1751" s="46" t="str">
        <x:v>functional</x:v>
      </x:c>
      <x:c r="D1751" s="46" t="str">
        <x:v>Large bathydemersals (&gt;=90 cm)</x:v>
      </x:c>
      <x:c r="E1751" s="66" t="n">
        <x:v>1</x:v>
      </x:c>
      <x:c r="F1751" s="66" t="n">
        <x:v>1</x:v>
      </x:c>
      <x:c r="G1751" s="60" t="n">
        <x:v>20.3499697616</x:v>
      </x:c>
      <x:c r="H1751" s="60" t="n">
        <x:v>20.3499697616</x:v>
      </x:c>
      <x:c r="I1751" s="62" t="n">
        <x:v>0</x:v>
      </x:c>
      <x:c r="J1751" s="64" t="n">
        <x:v>1</x:v>
      </x:c>
      <x:c r="K1751" s="62" t="n">
        <x:v>2630.2679918953813</x:v>
      </x:c>
      <x:c r="L1751" s="60" t="n">
        <x:v>53525.874099975365</x:v>
      </x:c>
      <x:c r="M1751" s="62" t="n">
        <x:v>4.42</x:v>
      </x:c>
      <x:c r="N1751" s="62" t="n">
        <x:v>2630.2679918953813</x:v>
      </x:c>
      <x:c r="O1751" s="60" t="n">
        <x:v>53525.874099975365</x:v>
      </x:c>
      <x:c r="P1751" s="60" t="n">
        <x:v>0</x:v>
      </x:c>
      <x:c r="Q1751" s="62" t="n">
        <x:v>1</x:v>
      </x:c>
      <x:c r="R1751" s="64" t="n">
        <x:v>0</x:v>
      </x:c>
    </x:row>
    <x:row r="1752" ht="18" customHeight="1">
      <x:c r="A1752" s="46" t="str">
        <x:v>LME_039</x:v>
      </x:c>
      <x:c r="B1752" s="46" t="str">
        <x:v>North Australian Shelf</x:v>
      </x:c>
      <x:c r="C1752" s="46" t="str">
        <x:v>functional</x:v>
      </x:c>
      <x:c r="D1752" s="46" t="str">
        <x:v>Large bathypelagics (&gt;=90 cm)</x:v>
      </x:c>
      <x:c r="E1752" s="66" t="n">
        <x:v>2</x:v>
      </x:c>
      <x:c r="F1752" s="66" t="n">
        <x:v>2</x:v>
      </x:c>
      <x:c r="G1752" s="60" t="n">
        <x:v>0.00045983739999999997</x:v>
      </x:c>
      <x:c r="H1752" s="60" t="n">
        <x:v>0.00045983739999999997</x:v>
      </x:c>
      <x:c r="I1752" s="62" t="n">
        <x:v>0</x:v>
      </x:c>
      <x:c r="J1752" s="64" t="n">
        <x:v>1</x:v>
      </x:c>
      <x:c r="K1752" s="62" t="n">
        <x:v>1720.5363906398954</x:v>
      </x:c>
      <x:c r="L1752" s="60" t="n">
        <x:v>0.7911669804772338</x:v>
      </x:c>
      <x:c r="M1752" s="62" t="n">
        <x:v>4.233847573076918</x:v>
      </x:c>
      <x:c r="N1752" s="62" t="n">
        <x:v>1713.3558552493678</x:v>
      </x:c>
      <x:c r="O1752" s="60" t="n">
        <x:v>0.7878651017526456</x:v>
      </x:c>
      <x:c r="P1752" s="60" t="n">
        <x:v>0.003301878724588203</x:v>
      </x:c>
      <x:c r="Q1752" s="62" t="n">
        <x:v>1.004190918873349</x:v>
      </x:c>
      <x:c r="R1752" s="64" t="n">
        <x:v>0.004190918873349013</x:v>
      </x:c>
    </x:row>
    <x:row r="1753" ht="18" customHeight="1">
      <x:c r="A1753" s="46" t="str">
        <x:v>LME_039</x:v>
      </x:c>
      <x:c r="B1753" s="46" t="str">
        <x:v>North Australian Shelf</x:v>
      </x:c>
      <x:c r="C1753" s="46" t="str">
        <x:v>functional</x:v>
      </x:c>
      <x:c r="D1753" s="46" t="str">
        <x:v>Large benthopelagics (&gt;=90 cm)</x:v>
      </x:c>
      <x:c r="E1753" s="66" t="n">
        <x:v>14</x:v>
      </x:c>
      <x:c r="F1753" s="66" t="n">
        <x:v>14</x:v>
      </x:c>
      <x:c r="G1753" s="60" t="n">
        <x:v>383.34295040760003</x:v>
      </x:c>
      <x:c r="H1753" s="60" t="n">
        <x:v>383.34295040760003</x:v>
      </x:c>
      <x:c r="I1753" s="62" t="n">
        <x:v>0</x:v>
      </x:c>
      <x:c r="J1753" s="64" t="n">
        <x:v>1</x:v>
      </x:c>
      <x:c r="K1753" s="62" t="n">
        <x:v>1283.4009901795628</x:v>
      </x:c>
      <x:c r="L1753" s="60" t="n">
        <x:v>491982.72213146894</x:v>
      </x:c>
      <x:c r="M1753" s="62" t="n">
        <x:v>3.9653188869506457</x:v>
      </x:c>
      <x:c r="N1753" s="62" t="n">
        <x:v>923.249087214179</x:v>
      </x:c>
      <x:c r="O1753" s="60" t="n">
        <x:v>353921.029053807</x:v>
      </x:c>
      <x:c r="P1753" s="60" t="n">
        <x:v>138061.6930776619</x:v>
      </x:c>
      <x:c r="Q1753" s="62" t="n">
        <x:v>1.3900918050751718</x:v>
      </x:c>
      <x:c r="R1753" s="64" t="n">
        <x:v>0.3900918050751718</x:v>
      </x:c>
    </x:row>
    <x:row r="1754" ht="18" customHeight="1">
      <x:c r="A1754" s="46" t="str">
        <x:v>LME_039</x:v>
      </x:c>
      <x:c r="B1754" s="46" t="str">
        <x:v>North Australian Shelf</x:v>
      </x:c>
      <x:c r="C1754" s="46" t="str">
        <x:v>functional</x:v>
      </x:c>
      <x:c r="D1754" s="46" t="str">
        <x:v>Large demersals (&gt;=90 cm)</x:v>
      </x:c>
      <x:c r="E1754" s="66" t="n">
        <x:v>9</x:v>
      </x:c>
      <x:c r="F1754" s="66" t="n">
        <x:v>9</x:v>
      </x:c>
      <x:c r="G1754" s="60" t="n">
        <x:v>3191.0513452305995</x:v>
      </x:c>
      <x:c r="H1754" s="60" t="n">
        <x:v>3191.0513452305995</x:v>
      </x:c>
      <x:c r="I1754" s="62" t="n">
        <x:v>0</x:v>
      </x:c>
      <x:c r="J1754" s="64" t="n">
        <x:v>1</x:v>
      </x:c>
      <x:c r="K1754" s="62" t="n">
        <x:v>2004.364870181429</x:v>
      </x:c>
      <x:c r="L1754" s="60" t="n">
        <x:v>6396031.215325405</x:v>
      </x:c>
      <x:c r="M1754" s="62" t="n">
        <x:v>4.25739464981288</x:v>
      </x:c>
      <x:c r="N1754" s="62" t="n">
        <x:v>1808.8170782166153</x:v>
      </x:c>
      <x:c r="O1754" s="60" t="n">
        <x:v>5772028.170719213</x:v>
      </x:c>
      <x:c r="P1754" s="60" t="n">
        <x:v>624003.044606192</x:v>
      </x:c>
      <x:c r="Q1754" s="62" t="n">
        <x:v>1.1081081079561743</x:v>
      </x:c>
      <x:c r="R1754" s="64" t="n">
        <x:v>0.10810810795617432</x:v>
      </x:c>
    </x:row>
    <x:row r="1755" ht="18" customHeight="1">
      <x:c r="A1755" s="46" t="str">
        <x:v>LME_039</x:v>
      </x:c>
      <x:c r="B1755" s="46" t="str">
        <x:v>North Australian Shelf</x:v>
      </x:c>
      <x:c r="C1755" s="46" t="str">
        <x:v>functional</x:v>
      </x:c>
      <x:c r="D1755" s="46" t="str">
        <x:v>Large pelagics (&gt;=90 cm)</x:v>
      </x:c>
      <x:c r="E1755" s="66" t="n">
        <x:v>34</x:v>
      </x:c>
      <x:c r="F1755" s="66" t="n">
        <x:v>34</x:v>
      </x:c>
      <x:c r="G1755" s="60" t="n">
        <x:v>1694.4825260636005</x:v>
      </x:c>
      <x:c r="H1755" s="60" t="n">
        <x:v>1694.4825260636005</x:v>
      </x:c>
      <x:c r="I1755" s="62" t="n">
        <x:v>0</x:v>
      </x:c>
      <x:c r="J1755" s="64" t="n">
        <x:v>1</x:v>
      </x:c>
      <x:c r="K1755" s="62" t="n">
        <x:v>2922.5968637980804</x:v>
      </x:c>
      <x:c r="L1755" s="60" t="n">
        <x:v>4952289.316434128</x:v>
      </x:c>
      <x:c r="M1755" s="62" t="n">
        <x:v>4.453286125825782</x:v>
      </x:c>
      <x:c r="N1755" s="62" t="n">
        <x:v>2839.7893480135226</x:v>
      </x:c>
      <x:c r="O1755" s="60" t="n">
        <x:v>4811973.427910459</x:v>
      </x:c>
      <x:c r="P1755" s="60" t="n">
        <x:v>140315.88852366898</x:v>
      </x:c>
      <x:c r="Q1755" s="62" t="n">
        <x:v>1.029159738852631</x:v>
      </x:c>
      <x:c r="R1755" s="64" t="n">
        <x:v>0.02915973885263108</x:v>
      </x:c>
    </x:row>
    <x:row r="1756" ht="18" customHeight="1">
      <x:c r="A1756" s="46" t="str">
        <x:v>LME_039</x:v>
      </x:c>
      <x:c r="B1756" s="46" t="str">
        <x:v>North Australian Shelf</x:v>
      </x:c>
      <x:c r="C1756" s="46" t="str">
        <x:v>functional</x:v>
      </x:c>
      <x:c r="D1756" s="46" t="str">
        <x:v>Large rays (&gt;=90 cm)</x:v>
      </x:c>
      <x:c r="E1756" s="66" t="n">
        <x:v>7</x:v>
      </x:c>
      <x:c r="F1756" s="66" t="n">
        <x:v>7</x:v>
      </x:c>
      <x:c r="G1756" s="60" t="n">
        <x:v>17.187818428800004</x:v>
      </x:c>
      <x:c r="H1756" s="60" t="n">
        <x:v>17.187818428800004</x:v>
      </x:c>
      <x:c r="I1756" s="62" t="n">
        <x:v>0</x:v>
      </x:c>
      <x:c r="J1756" s="64" t="n">
        <x:v>1</x:v>
      </x:c>
      <x:c r="K1756" s="62" t="n">
        <x:v>251.4743406291996</x:v>
      </x:c>
      <x:c r="L1756" s="60" t="n">
        <x:v>4322.295306236886</x:v>
      </x:c>
      <x:c r="M1756" s="62" t="n">
        <x:v>3.3841653156377327</x:v>
      </x:c>
      <x:c r="N1756" s="62" t="n">
        <x:v>242.19507949102194</x:v>
      </x:c>
      <x:c r="O1756" s="60" t="n">
        <x:v>4162.805050640469</x:v>
      </x:c>
      <x:c r="P1756" s="60" t="n">
        <x:v>159.49025559641723</x:v>
      </x:c>
      <x:c r="Q1756" s="62" t="n">
        <x:v>1.0383131695230068</x:v>
      </x:c>
      <x:c r="R1756" s="64" t="n">
        <x:v>0.03831316952300681</x:v>
      </x:c>
    </x:row>
    <x:row r="1757" ht="18" customHeight="1">
      <x:c r="A1757" s="46" t="str">
        <x:v>LME_039</x:v>
      </x:c>
      <x:c r="B1757" s="46" t="str">
        <x:v>North Australian Shelf</x:v>
      </x:c>
      <x:c r="C1757" s="46" t="str">
        <x:v>functional</x:v>
      </x:c>
      <x:c r="D1757" s="46" t="str">
        <x:v>Large reef assoc. fish (&gt;=90 cm)</x:v>
      </x:c>
      <x:c r="E1757" s="66" t="n">
        <x:v>27</x:v>
      </x:c>
      <x:c r="F1757" s="66" t="n">
        <x:v>27</x:v>
      </x:c>
      <x:c r="G1757" s="60" t="n">
        <x:v>1166.2886756618002</x:v>
      </x:c>
      <x:c r="H1757" s="60" t="n">
        <x:v>1166.2886756618002</x:v>
      </x:c>
      <x:c r="I1757" s="62" t="n">
        <x:v>0</x:v>
      </x:c>
      <x:c r="J1757" s="64" t="n">
        <x:v>1</x:v>
      </x:c>
      <x:c r="K1757" s="62" t="n">
        <x:v>1567.1660785917197</x:v>
      </x:c>
      <x:c r="L1757" s="60" t="n">
        <x:v>1827768.0503428334</x:v>
      </x:c>
      <x:c r="M1757" s="62" t="n">
        <x:v>4.054006704270833</x:v>
      </x:c>
      <x:c r="N1757" s="62" t="n">
        <x:v>1132.4178444093734</x:v>
      </x:c>
      <x:c r="O1757" s="60" t="n">
        <x:v>1320726.1080519985</x:v>
      </x:c>
      <x:c r="P1757" s="60" t="n">
        <x:v>507041.94229083485</x:v>
      </x:c>
      <x:c r="Q1757" s="62" t="n">
        <x:v>1.3839115008021572</x:v>
      </x:c>
      <x:c r="R1757" s="64" t="n">
        <x:v>0.38391150080215725</x:v>
      </x:c>
    </x:row>
    <x:row r="1758" ht="18" customHeight="1">
      <x:c r="A1758" s="46" t="str">
        <x:v>LME_039</x:v>
      </x:c>
      <x:c r="B1758" s="46" t="str">
        <x:v>North Australian Shelf</x:v>
      </x:c>
      <x:c r="C1758" s="46" t="str">
        <x:v>functional</x:v>
      </x:c>
      <x:c r="D1758" s="46" t="str">
        <x:v>Large sharks (&gt;=90 cm)</x:v>
      </x:c>
      <x:c r="E1758" s="66" t="n">
        <x:v>42</x:v>
      </x:c>
      <x:c r="F1758" s="66" t="n">
        <x:v>42</x:v>
      </x:c>
      <x:c r="G1758" s="60" t="n">
        <x:v>352.9799911788</x:v>
      </x:c>
      <x:c r="H1758" s="60" t="n">
        <x:v>352.9799911788</x:v>
      </x:c>
      <x:c r="I1758" s="62" t="n">
        <x:v>0</x:v>
      </x:c>
      <x:c r="J1758" s="64" t="n">
        <x:v>1</x:v>
      </x:c>
      <x:c r="K1758" s="62" t="n">
        <x:v>1872.7169668402555</x:v>
      </x:c>
      <x:c r="L1758" s="60" t="n">
        <x:v>661031.6184356625</x:v>
      </x:c>
      <x:c r="M1758" s="62" t="n">
        <x:v>4.234930241070699</x:v>
      </x:c>
      <x:c r="N1758" s="62" t="n">
        <x:v>1717.6324687875046</x:v>
      </x:c>
      <x:c r="O1758" s="60" t="n">
        <x:v>606289.8936810339</x:v>
      </x:c>
      <x:c r="P1758" s="60" t="n">
        <x:v>54741.72475462861</x:v>
      </x:c>
      <x:c r="Q1758" s="62" t="n">
        <x:v>1.0902896870377785</x:v>
      </x:c>
      <x:c r="R1758" s="64" t="n">
        <x:v>0.09028968703777861</x:v>
      </x:c>
    </x:row>
    <x:row r="1759" ht="18" customHeight="1">
      <x:c r="A1759" s="46" t="str">
        <x:v>LME_039</x:v>
      </x:c>
      <x:c r="B1759" s="46" t="str">
        <x:v>North Australian Shelf</x:v>
      </x:c>
      <x:c r="C1759" s="46" t="str">
        <x:v>functional</x:v>
      </x:c>
      <x:c r="D1759" s="46" t="str">
        <x:v>Lobsters, crabs</x:v>
      </x:c>
      <x:c r="E1759" s="66" t="n">
        <x:v>17</x:v>
      </x:c>
      <x:c r="F1759" s="66" t="n">
        <x:v>17</x:v>
      </x:c>
      <x:c r="G1759" s="60" t="n">
        <x:v>2817.5501398645</x:v>
      </x:c>
      <x:c r="H1759" s="60" t="n">
        <x:v>2817.5501398645</x:v>
      </x:c>
      <x:c r="I1759" s="62" t="n">
        <x:v>0</x:v>
      </x:c>
      <x:c r="J1759" s="64" t="n">
        <x:v>1</x:v>
      </x:c>
      <x:c r="K1759" s="62" t="n">
        <x:v>251.19181859809765</x:v>
      </x:c>
      <x:c r="L1759" s="60" t="n">
        <x:v>707745.5436238882</x:v>
      </x:c>
      <x:c r="M1759" s="62" t="n">
        <x:v>3.2571960254727492</x:v>
      </x:c>
      <x:c r="N1759" s="62" t="n">
        <x:v>180.79900058753014</x:v>
      </x:c>
      <x:c r="O1759" s="60" t="n">
        <x:v>509410.2493927574</x:v>
      </x:c>
      <x:c r="P1759" s="60" t="n">
        <x:v>198335.29423113074</x:v>
      </x:c>
      <x:c r="Q1759" s="62" t="n">
        <x:v>1.3893429597609321</x:v>
      </x:c>
      <x:c r="R1759" s="64" t="n">
        <x:v>0.3893429597609321</x:v>
      </x:c>
    </x:row>
    <x:row r="1760" ht="18" customHeight="1">
      <x:c r="A1760" s="46" t="str">
        <x:v>LME_039</x:v>
      </x:c>
      <x:c r="B1760" s="46" t="str">
        <x:v>North Australian Shelf</x:v>
      </x:c>
      <x:c r="C1760" s="46" t="str">
        <x:v>functional</x:v>
      </x:c>
      <x:c r="D1760" s="46" t="str">
        <x:v>Medium bathydemersals (30 - 89 cm)</x:v>
      </x:c>
      <x:c r="E1760" s="66" t="n">
        <x:v>7</x:v>
      </x:c>
      <x:c r="F1760" s="66" t="n">
        <x:v>7</x:v>
      </x:c>
      <x:c r="G1760" s="60" t="n">
        <x:v>62.227716437299996</x:v>
      </x:c>
      <x:c r="H1760" s="60" t="n">
        <x:v>62.227716437299996</x:v>
      </x:c>
      <x:c r="I1760" s="62" t="n">
        <x:v>0</x:v>
      </x:c>
      <x:c r="J1760" s="64" t="n">
        <x:v>1</x:v>
      </x:c>
      <x:c r="K1760" s="62" t="n">
        <x:v>2104.8268821542392</x:v>
      </x:c>
      <x:c r="L1760" s="60" t="n">
        <x:v>130978.57037230025</x:v>
      </x:c>
      <x:c r="M1760" s="62" t="n">
        <x:v>4.2460359019626</x:v>
      </x:c>
      <x:c r="N1760" s="62" t="n">
        <x:v>1762.1217102768846</x:v>
      </x:c>
      <x:c r="O1760" s="60" t="n">
        <x:v>109652.81011512008</x:v>
      </x:c>
      <x:c r="P1760" s="60" t="n">
        <x:v>21325.76025718017</x:v>
      </x:c>
      <x:c r="Q1760" s="62" t="n">
        <x:v>1.194484393375702</x:v>
      </x:c>
      <x:c r="R1760" s="64" t="n">
        <x:v>0.194484393375702</x:v>
      </x:c>
    </x:row>
    <x:row r="1761" ht="18" customHeight="1">
      <x:c r="A1761" s="46" t="str">
        <x:v>LME_039</x:v>
      </x:c>
      <x:c r="B1761" s="46" t="str">
        <x:v>North Australian Shelf</x:v>
      </x:c>
      <x:c r="C1761" s="46" t="str">
        <x:v>functional</x:v>
      </x:c>
      <x:c r="D1761" s="46" t="str">
        <x:v>Medium bathypelagics (30 - 89 cm)</x:v>
      </x:c>
      <x:c r="E1761" s="66" t="n">
        <x:v>2</x:v>
      </x:c>
      <x:c r="F1761" s="66" t="n">
        <x:v>2</x:v>
      </x:c>
      <x:c r="G1761" s="60" t="n">
        <x:v>0.0000737004</x:v>
      </x:c>
      <x:c r="H1761" s="60" t="n">
        <x:v>0.0000737004</x:v>
      </x:c>
      <x:c r="I1761" s="62" t="n">
        <x:v>0</x:v>
      </x:c>
      <x:c r="J1761" s="64" t="n">
        <x:v>1</x:v>
      </x:c>
      <x:c r="K1761" s="62" t="n">
        <x:v>1201.9549595930935</x:v>
      </x:c>
      <x:c r="L1761" s="60" t="n">
        <x:v>0.08858456130399484</x:v>
      </x:c>
      <x:c r="M1761" s="62" t="n">
        <x:v>4.079774899457805</x:v>
      </x:c>
      <x:c r="N1761" s="62" t="n">
        <x:v>1201.6414466130918</x:v>
      </x:c>
      <x:c r="O1761" s="60" t="n">
        <x:v>0.08856145527196352</x:v>
      </x:c>
      <x:c r="P1761" s="60" t="n">
        <x:v>0.000023106032031317003</x:v>
      </x:c>
      <x:c r="Q1761" s="62" t="n">
        <x:v>1.0002609039334365</x:v>
      </x:c>
      <x:c r="R1761" s="64" t="n">
        <x:v>0.000260903933436512</x:v>
      </x:c>
    </x:row>
    <x:row r="1762" ht="18" customHeight="1">
      <x:c r="A1762" s="46" t="str">
        <x:v>LME_039</x:v>
      </x:c>
      <x:c r="B1762" s="46" t="str">
        <x:v>North Australian Shelf</x:v>
      </x:c>
      <x:c r="C1762" s="46" t="str">
        <x:v>functional</x:v>
      </x:c>
      <x:c r="D1762" s="46" t="str">
        <x:v>Medium benthopelagics (30 - 89 cm)</x:v>
      </x:c>
      <x:c r="E1762" s="66" t="n">
        <x:v>14</x:v>
      </x:c>
      <x:c r="F1762" s="66" t="n">
        <x:v>14</x:v>
      </x:c>
      <x:c r="G1762" s="60" t="n">
        <x:v>465.71397681350004</x:v>
      </x:c>
      <x:c r="H1762" s="60" t="n">
        <x:v>465.71397681350004</x:v>
      </x:c>
      <x:c r="I1762" s="62" t="n">
        <x:v>0</x:v>
      </x:c>
      <x:c r="J1762" s="64" t="n">
        <x:v>1</x:v>
      </x:c>
      <x:c r="K1762" s="62" t="n">
        <x:v>521.1342084522015</x:v>
      </x:c>
      <x:c r="L1762" s="60" t="n">
        <x:v>242699.4846718303</x:v>
      </x:c>
      <x:c r="M1762" s="62" t="n">
        <x:v>3.4977361250847334</x:v>
      </x:c>
      <x:c r="N1762" s="62" t="n">
        <x:v>314.5836340618348</x:v>
      </x:c>
      <x:c r="O1762" s="60" t="n">
        <x:v>146505.9952593799</x:v>
      </x:c>
      <x:c r="P1762" s="60" t="n">
        <x:v>96193.48941245038</x:v>
      </x:c>
      <x:c r="Q1762" s="62" t="n">
        <x:v>1.6565839796668094</x:v>
      </x:c>
      <x:c r="R1762" s="64" t="n">
        <x:v>0.6565839796668095</x:v>
      </x:c>
    </x:row>
    <x:row r="1763" ht="18" customHeight="1">
      <x:c r="A1763" s="46" t="str">
        <x:v>LME_039</x:v>
      </x:c>
      <x:c r="B1763" s="46" t="str">
        <x:v>North Australian Shelf</x:v>
      </x:c>
      <x:c r="C1763" s="46" t="str">
        <x:v>functional</x:v>
      </x:c>
      <x:c r="D1763" s="46" t="str">
        <x:v>Medium demersals (30 - 89 cm)</x:v>
      </x:c>
      <x:c r="E1763" s="66" t="n">
        <x:v>40</x:v>
      </x:c>
      <x:c r="F1763" s="66" t="n">
        <x:v>40</x:v>
      </x:c>
      <x:c r="G1763" s="60" t="n">
        <x:v>8376.7093400721</x:v>
      </x:c>
      <x:c r="H1763" s="60" t="n">
        <x:v>8376.7093400721</x:v>
      </x:c>
      <x:c r="I1763" s="62" t="n">
        <x:v>0</x:v>
      </x:c>
      <x:c r="J1763" s="64" t="n">
        <x:v>1</x:v>
      </x:c>
      <x:c r="K1763" s="62" t="n">
        <x:v>496.03322543397167</x:v>
      </x:c>
      <x:c r="L1763" s="60" t="n">
        <x:v>4155126.15247884</x:v>
      </x:c>
      <x:c r="M1763" s="62" t="n">
        <x:v>3.5530828791758777</x:v>
      </x:c>
      <x:c r="N1763" s="62" t="n">
        <x:v>357.3410253041519</x:v>
      </x:c>
      <x:c r="O1763" s="60" t="n">
        <x:v>2993341.90425623</x:v>
      </x:c>
      <x:c r="P1763" s="60" t="n">
        <x:v>1161784.24822261</x:v>
      </x:c>
      <x:c r="Q1763" s="62" t="n">
        <x:v>1.3881228023336292</x:v>
      </x:c>
      <x:c r="R1763" s="64" t="n">
        <x:v>0.38812280233362917</x:v>
      </x:c>
    </x:row>
    <x:row r="1764" ht="18" customHeight="1">
      <x:c r="A1764" s="46" t="str">
        <x:v>LME_039</x:v>
      </x:c>
      <x:c r="B1764" s="46" t="str">
        <x:v>North Australian Shelf</x:v>
      </x:c>
      <x:c r="C1764" s="46" t="str">
        <x:v>functional</x:v>
      </x:c>
      <x:c r="D1764" s="46" t="str">
        <x:v>Medium pelagics (30 - 89 cm)</x:v>
      </x:c>
      <x:c r="E1764" s="66" t="n">
        <x:v>25</x:v>
      </x:c>
      <x:c r="F1764" s="66" t="n">
        <x:v>25</x:v>
      </x:c>
      <x:c r="G1764" s="60" t="n">
        <x:v>10435.6282102099</x:v>
      </x:c>
      <x:c r="H1764" s="60" t="n">
        <x:v>10435.6282102099</x:v>
      </x:c>
      <x:c r="I1764" s="62" t="n">
        <x:v>0</x:v>
      </x:c>
      <x:c r="J1764" s="64" t="n">
        <x:v>1</x:v>
      </x:c>
      <x:c r="K1764" s="62" t="n">
        <x:v>277.75889556190805</x:v>
      </x:c>
      <x:c r="L1764" s="60" t="n">
        <x:v>2898588.5661625927</x:v>
      </x:c>
      <x:c r="M1764" s="62" t="n">
        <x:v>3.048177049341327</x:v>
      </x:c>
      <x:c r="N1764" s="62" t="n">
        <x:v>111.73186535536485</x:v>
      </x:c>
      <x:c r="O1764" s="60" t="n">
        <x:v>1165992.2060818195</x:v>
      </x:c>
      <x:c r="P1764" s="60" t="n">
        <x:v>1732596.3600807732</x:v>
      </x:c>
      <x:c r="Q1764" s="62" t="n">
        <x:v>2.4859416306931936</x:v>
      </x:c>
      <x:c r="R1764" s="64" t="n">
        <x:v>1.4859416306931936</x:v>
      </x:c>
    </x:row>
    <x:row r="1765" ht="18" customHeight="1">
      <x:c r="A1765" s="46" t="str">
        <x:v>LME_039</x:v>
      </x:c>
      <x:c r="B1765" s="46" t="str">
        <x:v>North Australian Shelf</x:v>
      </x:c>
      <x:c r="C1765" s="46" t="str">
        <x:v>functional</x:v>
      </x:c>
      <x:c r="D1765" s="46" t="str">
        <x:v>Medium reef assoc. fish (30 - 89 cm)</x:v>
      </x:c>
      <x:c r="E1765" s="66" t="n">
        <x:v>101</x:v>
      </x:c>
      <x:c r="F1765" s="66" t="n">
        <x:v>101</x:v>
      </x:c>
      <x:c r="G1765" s="60" t="n">
        <x:v>5696.2065702275995</x:v>
      </x:c>
      <x:c r="H1765" s="60" t="n">
        <x:v>5696.2065702275995</x:v>
      </x:c>
      <x:c r="I1765" s="62" t="n">
        <x:v>0</x:v>
      </x:c>
      <x:c r="J1765" s="64" t="n">
        <x:v>1</x:v>
      </x:c>
      <x:c r="K1765" s="62" t="n">
        <x:v>1357.7223202638077</x:v>
      </x:c>
      <x:c r="L1765" s="60" t="n">
        <x:v>7733866.801231363</x:v>
      </x:c>
      <x:c r="M1765" s="62" t="n">
        <x:v>3.8352162220287047</x:v>
      </x:c>
      <x:c r="N1765" s="62" t="n">
        <x:v>684.2522308895051</x:v>
      </x:c>
      <x:c r="O1765" s="60" t="n">
        <x:v>3897642.0532856914</x:v>
      </x:c>
      <x:c r="P1765" s="60" t="n">
        <x:v>3836224.7479456714</x:v>
      </x:c>
      <x:c r="Q1765" s="62" t="n">
        <x:v>1.9842424459454286</x:v>
      </x:c>
      <x:c r="R1765" s="64" t="n">
        <x:v>0.9842424459454285</x:v>
      </x:c>
    </x:row>
    <x:row r="1766" ht="18" customHeight="1">
      <x:c r="A1766" s="46" t="str">
        <x:v>LME_039</x:v>
      </x:c>
      <x:c r="B1766" s="46" t="str">
        <x:v>North Australian Shelf</x:v>
      </x:c>
      <x:c r="C1766" s="46" t="str">
        <x:v>functional</x:v>
      </x:c>
      <x:c r="D1766" s="46" t="str">
        <x:v>Other demersal invertebrates</x:v>
      </x:c>
      <x:c r="E1766" s="66" t="n">
        <x:v>22</x:v>
      </x:c>
      <x:c r="F1766" s="66" t="n">
        <x:v>22</x:v>
      </x:c>
      <x:c r="G1766" s="60" t="n">
        <x:v>570.5819960984999</x:v>
      </x:c>
      <x:c r="H1766" s="60" t="n">
        <x:v>570.5819960984999</x:v>
      </x:c>
      <x:c r="I1766" s="62" t="n">
        <x:v>0</x:v>
      </x:c>
      <x:c r="J1766" s="64" t="n">
        <x:v>1</x:v>
      </x:c>
      <x:c r="K1766" s="62" t="n">
        <x:v>11.295405345477974</x:v>
      </x:c>
      <x:c r="L1766" s="60" t="n">
        <x:v>6444.954928764488</x:v>
      </x:c>
      <x:c r="M1766" s="62" t="n">
        <x:v>2.0275874370584606</x:v>
      </x:c>
      <x:c r="N1766" s="62" t="n">
        <x:v>10.655833773245483</x:v>
      </x:c>
      <x:c r="O1766" s="60" t="n">
        <x:v>6080.026904432218</x:v>
      </x:c>
      <x:c r="P1766" s="60" t="n">
        <x:v>364.92802433227007</x:v>
      </x:c>
      <x:c r="Q1766" s="62" t="n">
        <x:v>1.0600207910373298</x:v>
      </x:c>
      <x:c r="R1766" s="64" t="n">
        <x:v>0.06002079103732993</x:v>
      </x:c>
    </x:row>
    <x:row r="1767" ht="18" customHeight="1">
      <x:c r="A1767" s="46" t="str">
        <x:v>LME_039</x:v>
      </x:c>
      <x:c r="B1767" s="46" t="str">
        <x:v>North Australian Shelf</x:v>
      </x:c>
      <x:c r="C1767" s="46" t="str">
        <x:v>functional</x:v>
      </x:c>
      <x:c r="D1767" s="46" t="str">
        <x:v>Shrimps</x:v>
      </x:c>
      <x:c r="E1767" s="66" t="n">
        <x:v>17</x:v>
      </x:c>
      <x:c r="F1767" s="66" t="n">
        <x:v>17</x:v>
      </x:c>
      <x:c r="G1767" s="60" t="n">
        <x:v>6745.144218692901</x:v>
      </x:c>
      <x:c r="H1767" s="60" t="n">
        <x:v>6745.144218692901</x:v>
      </x:c>
      <x:c r="I1767" s="62" t="n">
        <x:v>0</x:v>
      </x:c>
      <x:c r="J1767" s="64" t="n">
        <x:v>1</x:v>
      </x:c>
      <x:c r="K1767" s="62" t="n">
        <x:v>159.52861890291933</x:v>
      </x:c>
      <x:c r="L1767" s="60" t="n">
        <x:v>1076043.5415090893</x:v>
      </x:c>
      <x:c r="M1767" s="62" t="n">
        <x:v>3.0559753167249704</x:v>
      </x:c>
      <x:c r="N1767" s="62" t="n">
        <x:v>113.75626302259417</x:v>
      </x:c>
      <x:c r="O1767" s="60" t="n">
        <x:v>767302.39986696</x:v>
      </x:c>
      <x:c r="P1767" s="60" t="n">
        <x:v>308741.1416421293</x:v>
      </x:c>
      <x:c r="Q1767" s="62" t="n">
        <x:v>1.402372182982434</x:v>
      </x:c>
      <x:c r="R1767" s="64" t="n">
        <x:v>0.40237218298243416</x:v>
      </x:c>
    </x:row>
    <x:row r="1768" ht="18" customHeight="1">
      <x:c r="A1768" s="46" t="str">
        <x:v>LME_039</x:v>
      </x:c>
      <x:c r="B1768" s="46" t="str">
        <x:v>North Australian Shelf</x:v>
      </x:c>
      <x:c r="C1768" s="46" t="str">
        <x:v>functional</x:v>
      </x:c>
      <x:c r="D1768" s="46" t="str">
        <x:v>Small benthopelagics (&lt;30 cm)</x:v>
      </x:c>
      <x:c r="E1768" s="66" t="n">
        <x:v>6</x:v>
      </x:c>
      <x:c r="F1768" s="66" t="n">
        <x:v>6</x:v>
      </x:c>
      <x:c r="G1768" s="60" t="n">
        <x:v>25.008469439000006</x:v>
      </x:c>
      <x:c r="H1768" s="60" t="n">
        <x:v>25.008469439000006</x:v>
      </x:c>
      <x:c r="I1768" s="62" t="n">
        <x:v>0</x:v>
      </x:c>
      <x:c r="J1768" s="64" t="n">
        <x:v>1</x:v>
      </x:c>
      <x:c r="K1768" s="62" t="n">
        <x:v>171.92628935830115</x:v>
      </x:c>
      <x:c r="L1768" s="60" t="n">
        <x:v>4299.613353177746</x:v>
      </x:c>
      <x:c r="M1768" s="62" t="n">
        <x:v>3.2341196559631236</x:v>
      </x:c>
      <x:c r="N1768" s="62" t="n">
        <x:v>171.4429598720637</x:v>
      </x:c>
      <x:c r="O1768" s="60" t="n">
        <x:v>4287.526022492209</x:v>
      </x:c>
      <x:c r="P1768" s="60" t="n">
        <x:v>12.087330685536472</x:v>
      </x:c>
      <x:c r="Q1768" s="62" t="n">
        <x:v>1.0028191853815294</x:v>
      </x:c>
      <x:c r="R1768" s="64" t="n">
        <x:v>0.002819185381529293</x:v>
      </x:c>
    </x:row>
    <x:row r="1769" ht="18" customHeight="1">
      <x:c r="A1769" s="46" t="str">
        <x:v>LME_039</x:v>
      </x:c>
      <x:c r="B1769" s="46" t="str">
        <x:v>North Australian Shelf</x:v>
      </x:c>
      <x:c r="C1769" s="46" t="str">
        <x:v>functional</x:v>
      </x:c>
      <x:c r="D1769" s="46" t="str">
        <x:v>Small demersals (&lt;30 cm)</x:v>
      </x:c>
      <x:c r="E1769" s="66" t="n">
        <x:v>4</x:v>
      </x:c>
      <x:c r="F1769" s="66" t="n">
        <x:v>4</x:v>
      </x:c>
      <x:c r="G1769" s="60" t="n">
        <x:v>1331.6841633612999</x:v>
      </x:c>
      <x:c r="H1769" s="60" t="n">
        <x:v>1331.6841633612999</x:v>
      </x:c>
      <x:c r="I1769" s="62" t="n">
        <x:v>0</x:v>
      </x:c>
      <x:c r="J1769" s="64" t="n">
        <x:v>1</x:v>
      </x:c>
      <x:c r="K1769" s="62" t="n">
        <x:v>455.90001952574437</x:v>
      </x:c>
      <x:c r="L1769" s="60" t="n">
        <x:v>607114.8360785411</x:v>
      </x:c>
      <x:c r="M1769" s="62" t="n">
        <x:v>3.640898909911038</x:v>
      </x:c>
      <x:c r="N1769" s="62" t="n">
        <x:v>437.420275631978</x:v>
      </x:c>
      <x:c r="O1769" s="60" t="n">
        <x:v>582505.6537922397</x:v>
      </x:c>
      <x:c r="P1769" s="60" t="n">
        <x:v>24609.182286301395</x:v>
      </x:c>
      <x:c r="Q1769" s="62" t="n">
        <x:v>1.042247113184379</x:v>
      </x:c>
      <x:c r="R1769" s="64" t="n">
        <x:v>0.042247113184378925</x:v>
      </x:c>
    </x:row>
    <x:row r="1770" ht="18" customHeight="1">
      <x:c r="A1770" s="46" t="str">
        <x:v>LME_039</x:v>
      </x:c>
      <x:c r="B1770" s="46" t="str">
        <x:v>North Australian Shelf</x:v>
      </x:c>
      <x:c r="C1770" s="46" t="str">
        <x:v>functional</x:v>
      </x:c>
      <x:c r="D1770" s="46" t="str">
        <x:v>Small pelagics (&lt;30 cm)</x:v>
      </x:c>
      <x:c r="E1770" s="66" t="n">
        <x:v>21</x:v>
      </x:c>
      <x:c r="F1770" s="66" t="n">
        <x:v>21</x:v>
      </x:c>
      <x:c r="G1770" s="60" t="n">
        <x:v>499.8940273989</x:v>
      </x:c>
      <x:c r="H1770" s="60" t="n">
        <x:v>499.8940273989</x:v>
      </x:c>
      <x:c r="I1770" s="62" t="n">
        <x:v>0</x:v>
      </x:c>
      <x:c r="J1770" s="64" t="n">
        <x:v>1</x:v>
      </x:c>
      <x:c r="K1770" s="62" t="n">
        <x:v>282.1665271332148</x:v>
      </x:c>
      <x:c r="L1770" s="60" t="n">
        <x:v>141053.36164578373</x:v>
      </x:c>
      <x:c r="M1770" s="62" t="n">
        <x:v>3.276553976646294</x:v>
      </x:c>
      <x:c r="N1770" s="62" t="n">
        <x:v>189.04011666482788</x:v>
      </x:c>
      <x:c r="O1770" s="60" t="n">
        <x:v>94500.02525953871</x:v>
      </x:c>
      <x:c r="P1770" s="60" t="n">
        <x:v>46553.33638624502</x:v>
      </x:c>
      <x:c r="Q1770" s="62" t="n">
        <x:v>1.4926277665893637</x:v>
      </x:c>
      <x:c r="R1770" s="64" t="n">
        <x:v>0.4926277665893638</x:v>
      </x:c>
    </x:row>
    <x:row r="1771" ht="18" customHeight="1">
      <x:c r="A1771" s="46" t="str">
        <x:v>LME_039</x:v>
      </x:c>
      <x:c r="B1771" s="46" t="str">
        <x:v>North Australian Shelf</x:v>
      </x:c>
      <x:c r="C1771" s="46" t="str">
        <x:v>functional</x:v>
      </x:c>
      <x:c r="D1771" s="46" t="str">
        <x:v>Small reef assoc. fish (&lt;30 cm)</x:v>
      </x:c>
      <x:c r="E1771" s="66" t="n">
        <x:v>21</x:v>
      </x:c>
      <x:c r="F1771" s="66" t="n">
        <x:v>21</x:v>
      </x:c>
      <x:c r="G1771" s="60" t="n">
        <x:v>544.861786299</x:v>
      </x:c>
      <x:c r="H1771" s="60" t="n">
        <x:v>544.861786299</x:v>
      </x:c>
      <x:c r="I1771" s="62" t="n">
        <x:v>0</x:v>
      </x:c>
      <x:c r="J1771" s="64" t="n">
        <x:v>1</x:v>
      </x:c>
      <x:c r="K1771" s="62" t="n">
        <x:v>385.9025023888448</x:v>
      </x:c>
      <x:c r="L1771" s="60" t="n">
        <x:v>210263.5267888401</x:v>
      </x:c>
      <x:c r="M1771" s="62" t="n">
        <x:v>3.4903113880718952</x:v>
      </x:c>
      <x:c r="N1771" s="62" t="n">
        <x:v>309.25119612412004</x:v>
      </x:c>
      <x:c r="O1771" s="60" t="n">
        <x:v>168499.15913529042</x:v>
      </x:c>
      <x:c r="P1771" s="60" t="n">
        <x:v>41764.36765354968</x:v>
      </x:c>
      <x:c r="Q1771" s="62" t="n">
        <x:v>1.247860985585195</x:v>
      </x:c>
      <x:c r="R1771" s="64" t="n">
        <x:v>0.24786098558519487</x:v>
      </x:c>
    </x:row>
    <x:row r="1772" ht="18" customHeight="1">
      <x:c r="A1772" s="46" t="str">
        <x:v>LME_039</x:v>
      </x:c>
      <x:c r="B1772" s="46" t="str">
        <x:v>North Australian Shelf</x:v>
      </x:c>
      <x:c r="C1772" s="46" t="str">
        <x:v>functional</x:v>
      </x:c>
      <x:c r="D1772" s="46" t="str">
        <x:v>Small to medium flatfishes (&lt;90 cm)</x:v>
      </x:c>
      <x:c r="E1772" s="66" t="n">
        <x:v>6</x:v>
      </x:c>
      <x:c r="F1772" s="66" t="n">
        <x:v>6</x:v>
      </x:c>
      <x:c r="G1772" s="60" t="n">
        <x:v>89.0071116168</x:v>
      </x:c>
      <x:c r="H1772" s="60" t="n">
        <x:v>89.0071116168</x:v>
      </x:c>
      <x:c r="I1772" s="62" t="n">
        <x:v>0</x:v>
      </x:c>
      <x:c r="J1772" s="64" t="n">
        <x:v>1</x:v>
      </x:c>
      <x:c r="K1772" s="62" t="n">
        <x:v>602.2314771798999</x:v>
      </x:c>
      <x:c r="L1772" s="60" t="n">
        <x:v>53602.88430850169</x:v>
      </x:c>
      <x:c r="M1772" s="62" t="n">
        <x:v>3.764498878083259</x:v>
      </x:c>
      <x:c r="N1772" s="62" t="n">
        <x:v>581.4319302883064</x:v>
      </x:c>
      <x:c r="O1772" s="60" t="n">
        <x:v>51751.57671674276</x:v>
      </x:c>
      <x:c r="P1772" s="60" t="n">
        <x:v>1851.3075917589304</x:v>
      </x:c>
      <x:c r="Q1772" s="62" t="n">
        <x:v>1.03577296981485</x:v>
      </x:c>
      <x:c r="R1772" s="64" t="n">
        <x:v>0.03577296981484995</x:v>
      </x:c>
    </x:row>
    <x:row r="1773" ht="18" customHeight="1">
      <x:c r="A1773" s="46" t="str">
        <x:v>LME_039</x:v>
      </x:c>
      <x:c r="B1773" s="46" t="str">
        <x:v>North Australian Shelf</x:v>
      </x:c>
      <x:c r="C1773" s="46" t="str">
        <x:v>functional</x:v>
      </x:c>
      <x:c r="D1773" s="46" t="str">
        <x:v>Small to medium rays (&lt;90 cm)</x:v>
      </x:c>
      <x:c r="E1773" s="66" t="n">
        <x:v>1</x:v>
      </x:c>
      <x:c r="F1773" s="66" t="n">
        <x:v>1</x:v>
      </x:c>
      <x:c r="G1773" s="60" t="n">
        <x:v>0.0723097251</x:v>
      </x:c>
      <x:c r="H1773" s="60" t="n">
        <x:v>0.0723097251</x:v>
      </x:c>
      <x:c r="I1773" s="62" t="n">
        <x:v>0</x:v>
      </x:c>
      <x:c r="J1773" s="64" t="n">
        <x:v>1</x:v>
      </x:c>
      <x:c r="K1773" s="62" t="n">
        <x:v>501.18723362727246</x:v>
      </x:c>
      <x:c r="L1773" s="60" t="n">
        <x:v>36.24071108721755</x:v>
      </x:c>
      <x:c r="M1773" s="62" t="n">
        <x:v>3.7000000000000006</x:v>
      </x:c>
      <x:c r="N1773" s="62" t="n">
        <x:v>501.18723362727303</x:v>
      </x:c>
      <x:c r="O1773" s="60" t="n">
        <x:v>36.24071108721759</x:v>
      </x:c>
      <x:c r="P1773" s="60" t="n">
        <x:v>-4.263256414560601e-14</x:v>
      </x:c>
      <x:c r="Q1773" s="62" t="n">
        <x:v>0.9999999999999988</x:v>
      </x:c>
      <x:c r="R1773" s="64" t="n">
        <x:v>-1.176372175562606e-15</x:v>
      </x:c>
    </x:row>
    <x:row r="1774" ht="18" customHeight="1">
      <x:c r="A1774" s="46" t="str">
        <x:v>LME_039</x:v>
      </x:c>
      <x:c r="B1774" s="46" t="str">
        <x:v>North Australian Shelf</x:v>
      </x:c>
      <x:c r="C1774" s="46" t="str">
        <x:v>functional</x:v>
      </x:c>
      <x:c r="D1774" s="46" t="str">
        <x:v>Small to medium sharks (&lt;90 cm)</x:v>
      </x:c>
      <x:c r="E1774" s="66" t="n">
        <x:v>3</x:v>
      </x:c>
      <x:c r="F1774" s="66" t="n">
        <x:v>3</x:v>
      </x:c>
      <x:c r="G1774" s="60" t="n">
        <x:v>0.7923456346</x:v>
      </x:c>
      <x:c r="H1774" s="60" t="n">
        <x:v>0.7923456346</x:v>
      </x:c>
      <x:c r="I1774" s="62" t="n">
        <x:v>0</x:v>
      </x:c>
      <x:c r="J1774" s="64" t="n">
        <x:v>1</x:v>
      </x:c>
      <x:c r="K1774" s="62" t="n">
        <x:v>1676.2701176026644</x:v>
      </x:c>
      <x:c r="L1774" s="60" t="n">
        <x:v>1328.1853100928997</x:v>
      </x:c>
      <x:c r="M1774" s="62" t="n">
        <x:v>4.223650886410777</x:v>
      </x:c>
      <x:c r="N1774" s="62" t="n">
        <x:v>1673.5969911977509</x:v>
      </x:c>
      <x:c r="O1774" s="60" t="n">
        <x:v>1326.0672700552325</x:v>
      </x:c>
      <x:c r="P1774" s="60" t="n">
        <x:v>2.1180400376672424</x:v>
      </x:c>
      <x:c r="Q1774" s="62" t="n">
        <x:v>1.001597234232</x:v>
      </x:c>
      <x:c r="R1774" s="64" t="n">
        <x:v>0.0015972342320001783</x:v>
      </x:c>
    </x:row>
    <x:row r="1775" ht="18" customHeight="1">
      <x:c r="A1775" s="46" t="str">
        <x:v>LME_040</x:v>
      </x:c>
      <x:c r="B1775" s="46" t="str">
        <x:v>Northeast Australian Shelf-Great Barrier Reef</x:v>
      </x:c>
      <x:c r="C1775" s="46" t="str">
        <x:v>functional</x:v>
      </x:c>
      <x:c r="D1775" s="46" t="str">
        <x:v>Cephalopods</x:v>
      </x:c>
      <x:c r="E1775" s="66" t="n">
        <x:v>8</x:v>
      </x:c>
      <x:c r="F1775" s="66" t="n">
        <x:v>8</x:v>
      </x:c>
      <x:c r="G1775" s="60" t="n">
        <x:v>168.56973840130001</x:v>
      </x:c>
      <x:c r="H1775" s="60" t="n">
        <x:v>168.56973840130001</x:v>
      </x:c>
      <x:c r="I1775" s="62" t="n">
        <x:v>0</x:v>
      </x:c>
      <x:c r="J1775" s="64" t="n">
        <x:v>1</x:v>
      </x:c>
      <x:c r="K1775" s="62" t="n">
        <x:v>648.2989278485479</x:v>
      </x:c>
      <x:c r="L1775" s="60" t="n">
        <x:v>109283.580673273</x:v>
      </x:c>
      <x:c r="M1775" s="62" t="n">
        <x:v>3.810472688177075</x:v>
      </x:c>
      <x:c r="N1775" s="62" t="n">
        <x:v>646.3573447323247</x:v>
      </x:c>
      <x:c r="O1775" s="60" t="n">
        <x:v>108956.28851528687</x:v>
      </x:c>
      <x:c r="P1775" s="60" t="n">
        <x:v>327.2921579861286</x:v>
      </x:c>
      <x:c r="Q1775" s="62" t="n">
        <x:v>1.0030038849748466</x:v>
      </x:c>
      <x:c r="R1775" s="64" t="n">
        <x:v>0.003003884974846666</x:v>
      </x:c>
    </x:row>
    <x:row r="1776" ht="18" customHeight="1">
      <x:c r="A1776" s="46" t="str">
        <x:v>LME_040</x:v>
      </x:c>
      <x:c r="B1776" s="46" t="str">
        <x:v>Northeast Australian Shelf-Great Barrier Reef</x:v>
      </x:c>
      <x:c r="C1776" s="46" t="str">
        <x:v>functional</x:v>
      </x:c>
      <x:c r="D1776" s="46" t="str">
        <x:v>Large bathydemersals (&gt;=90 cm)</x:v>
      </x:c>
      <x:c r="E1776" s="66" t="n">
        <x:v>1</x:v>
      </x:c>
      <x:c r="F1776" s="66" t="n">
        <x:v>1</x:v>
      </x:c>
      <x:c r="G1776" s="60" t="n">
        <x:v>12.5336660523</x:v>
      </x:c>
      <x:c r="H1776" s="60" t="n">
        <x:v>12.5336660523</x:v>
      </x:c>
      <x:c r="I1776" s="62" t="n">
        <x:v>0</x:v>
      </x:c>
      <x:c r="J1776" s="64" t="n">
        <x:v>1</x:v>
      </x:c>
      <x:c r="K1776" s="62" t="n">
        <x:v>2630.267991895382</x:v>
      </x:c>
      <x:c r="L1776" s="60" t="n">
        <x:v>32966.90063847043</x:v>
      </x:c>
      <x:c r="M1776" s="62" t="n">
        <x:v>4.42</x:v>
      </x:c>
      <x:c r="N1776" s="62" t="n">
        <x:v>2630.2679918953813</x:v>
      </x:c>
      <x:c r="O1776" s="60" t="n">
        <x:v>32966.90063847043</x:v>
      </x:c>
      <x:c r="P1776" s="60" t="n">
        <x:v>0</x:v>
      </x:c>
      <x:c r="Q1776" s="62" t="n">
        <x:v>1</x:v>
      </x:c>
      <x:c r="R1776" s="64" t="n">
        <x:v>0</x:v>
      </x:c>
    </x:row>
    <x:row r="1777" ht="18" customHeight="1">
      <x:c r="A1777" s="46" t="str">
        <x:v>LME_040</x:v>
      </x:c>
      <x:c r="B1777" s="46" t="str">
        <x:v>Northeast Australian Shelf-Great Barrier Reef</x:v>
      </x:c>
      <x:c r="C1777" s="46" t="str">
        <x:v>functional</x:v>
      </x:c>
      <x:c r="D1777" s="46" t="str">
        <x:v>Large bathypelagics (&gt;=90 cm)</x:v>
      </x:c>
      <x:c r="E1777" s="66" t="n">
        <x:v>1</x:v>
      </x:c>
      <x:c r="F1777" s="66" t="n">
        <x:v>1</x:v>
      </x:c>
      <x:c r="G1777" s="60" t="n">
        <x:v>0.031657716</x:v>
      </x:c>
      <x:c r="H1777" s="60" t="n">
        <x:v>0.031657716</x:v>
      </x:c>
      <x:c r="I1777" s="62" t="n">
        <x:v>0</x:v>
      </x:c>
      <x:c r="J1777" s="64" t="n">
        <x:v>1</x:v>
      </x:c>
      <x:c r="K1777" s="62" t="n">
        <x:v>2187.761623949552</x:v>
      </x:c>
      <x:c r="L1777" s="60" t="n">
        <x:v>69.25953616669372</x:v>
      </x:c>
      <x:c r="M1777" s="62" t="n">
        <x:v>4.34</x:v>
      </x:c>
      <x:c r="N1777" s="62" t="n">
        <x:v>2187.761623949552</x:v>
      </x:c>
      <x:c r="O1777" s="60" t="n">
        <x:v>69.25953616669372</x:v>
      </x:c>
      <x:c r="P1777" s="60" t="n">
        <x:v>0</x:v>
      </x:c>
      <x:c r="Q1777" s="62" t="n">
        <x:v>1</x:v>
      </x:c>
      <x:c r="R1777" s="64" t="n">
        <x:v>0</x:v>
      </x:c>
    </x:row>
    <x:row r="1778" ht="18" customHeight="1">
      <x:c r="A1778" s="46" t="str">
        <x:v>LME_040</x:v>
      </x:c>
      <x:c r="B1778" s="46" t="str">
        <x:v>Northeast Australian Shelf-Great Barrier Reef</x:v>
      </x:c>
      <x:c r="C1778" s="46" t="str">
        <x:v>functional</x:v>
      </x:c>
      <x:c r="D1778" s="46" t="str">
        <x:v>Large benthopelagics (&gt;=90 cm)</x:v>
      </x:c>
      <x:c r="E1778" s="66" t="n">
        <x:v>12</x:v>
      </x:c>
      <x:c r="F1778" s="66" t="n">
        <x:v>12</x:v>
      </x:c>
      <x:c r="G1778" s="60" t="n">
        <x:v>205.01952860469996</x:v>
      </x:c>
      <x:c r="H1778" s="60" t="n">
        <x:v>205.01952860469996</x:v>
      </x:c>
      <x:c r="I1778" s="62" t="n">
        <x:v>0</x:v>
      </x:c>
      <x:c r="J1778" s="64" t="n">
        <x:v>1</x:v>
      </x:c>
      <x:c r="K1778" s="62" t="n">
        <x:v>1014.615716741017</x:v>
      </x:c>
      <x:c r="L1778" s="60" t="n">
        <x:v>208016.03596116308</x:v>
      </x:c>
      <x:c r="M1778" s="62" t="n">
        <x:v>3.88804418989729</x:v>
      </x:c>
      <x:c r="N1778" s="62" t="n">
        <x:v>772.7592101169787</x:v>
      </x:c>
      <x:c r="O1778" s="60" t="n">
        <x:v>158430.72898312326</x:v>
      </x:c>
      <x:c r="P1778" s="60" t="n">
        <x:v>49585.30697803982</x:v>
      </x:c>
      <x:c r="Q1778" s="62" t="n">
        <x:v>1.3129778376726517</x:v>
      </x:c>
      <x:c r="R1778" s="64" t="n">
        <x:v>0.31297783767265164</x:v>
      </x:c>
    </x:row>
    <x:row r="1779" ht="18" customHeight="1">
      <x:c r="A1779" s="46" t="str">
        <x:v>LME_040</x:v>
      </x:c>
      <x:c r="B1779" s="46" t="str">
        <x:v>Northeast Australian Shelf-Great Barrier Reef</x:v>
      </x:c>
      <x:c r="C1779" s="46" t="str">
        <x:v>functional</x:v>
      </x:c>
      <x:c r="D1779" s="46" t="str">
        <x:v>Large demersals (&gt;=90 cm)</x:v>
      </x:c>
      <x:c r="E1779" s="66" t="n">
        <x:v>7</x:v>
      </x:c>
      <x:c r="F1779" s="66" t="n">
        <x:v>7</x:v>
      </x:c>
      <x:c r="G1779" s="60" t="n">
        <x:v>1912.1925717829</x:v>
      </x:c>
      <x:c r="H1779" s="60" t="n">
        <x:v>1912.1925717829</x:v>
      </x:c>
      <x:c r="I1779" s="62" t="n">
        <x:v>0</x:v>
      </x:c>
      <x:c r="J1779" s="64" t="n">
        <x:v>1</x:v>
      </x:c>
      <x:c r="K1779" s="62" t="n">
        <x:v>2126.7636615283923</x:v>
      </x:c>
      <x:c r="L1779" s="60" t="n">
        <x:v>4066781.675512393</x:v>
      </x:c>
      <x:c r="M1779" s="62" t="n">
        <x:v>4.309712254584594</x:v>
      </x:c>
      <x:c r="N1779" s="62" t="n">
        <x:v>2040.3856222851919</x:v>
      </x:c>
      <x:c r="O1779" s="60" t="n">
        <x:v>3901610.2305063736</x:v>
      </x:c>
      <x:c r="P1779" s="60" t="n">
        <x:v>165171.44500601944</x:v>
      </x:c>
      <x:c r="Q1779" s="62" t="n">
        <x:v>1.0423341736482432</x:v>
      </x:c>
      <x:c r="R1779" s="64" t="n">
        <x:v>0.04233417364824331</x:v>
      </x:c>
    </x:row>
    <x:row r="1780" ht="18" customHeight="1">
      <x:c r="A1780" s="46" t="str">
        <x:v>LME_040</x:v>
      </x:c>
      <x:c r="B1780" s="46" t="str">
        <x:v>Northeast Australian Shelf-Great Barrier Reef</x:v>
      </x:c>
      <x:c r="C1780" s="46" t="str">
        <x:v>functional</x:v>
      </x:c>
      <x:c r="D1780" s="46" t="str">
        <x:v>Large pelagics (&gt;=90 cm)</x:v>
      </x:c>
      <x:c r="E1780" s="66" t="n">
        <x:v>33</x:v>
      </x:c>
      <x:c r="F1780" s="66" t="n">
        <x:v>33</x:v>
      </x:c>
      <x:c r="G1780" s="60" t="n">
        <x:v>4557.2210352062</x:v>
      </x:c>
      <x:c r="H1780" s="60" t="n">
        <x:v>4557.2210352062</x:v>
      </x:c>
      <x:c r="I1780" s="62" t="n">
        <x:v>0</x:v>
      </x:c>
      <x:c r="J1780" s="64" t="n">
        <x:v>1</x:v>
      </x:c>
      <x:c r="K1780" s="62" t="n">
        <x:v>2690.127620017016</x:v>
      </x:c>
      <x:c r="L1780" s="60" t="n">
        <x:v>12259506.177330738</x:v>
      </x:c>
      <x:c r="M1780" s="62" t="n">
        <x:v>4.420014294012129</x:v>
      </x:c>
      <x:c r="N1780" s="62" t="n">
        <x:v>2630.354563801941</x:v>
      </x:c>
      <x:c r="O1780" s="60" t="n">
        <x:v>11987107.148208834</x:v>
      </x:c>
      <x:c r="P1780" s="60" t="n">
        <x:v>272399.0291219037</x:v>
      </x:c>
      <x:c r="Q1780" s="62" t="n">
        <x:v>1.0227243342162506</x:v>
      </x:c>
      <x:c r="R1780" s="64" t="n">
        <x:v>0.02272433421625056</x:v>
      </x:c>
    </x:row>
    <x:row r="1781" ht="18" customHeight="1">
      <x:c r="A1781" s="46" t="str">
        <x:v>LME_040</x:v>
      </x:c>
      <x:c r="B1781" s="46" t="str">
        <x:v>Northeast Australian Shelf-Great Barrier Reef</x:v>
      </x:c>
      <x:c r="C1781" s="46" t="str">
        <x:v>functional</x:v>
      </x:c>
      <x:c r="D1781" s="46" t="str">
        <x:v>Large rays (&gt;=90 cm)</x:v>
      </x:c>
      <x:c r="E1781" s="66" t="n">
        <x:v>4</x:v>
      </x:c>
      <x:c r="F1781" s="66" t="n">
        <x:v>4</x:v>
      </x:c>
      <x:c r="G1781" s="60" t="n">
        <x:v>3.0938755311</x:v>
      </x:c>
      <x:c r="H1781" s="60" t="n">
        <x:v>3.0938755311</x:v>
      </x:c>
      <x:c r="I1781" s="62" t="n">
        <x:v>0</x:v>
      </x:c>
      <x:c r="J1781" s="64" t="n">
        <x:v>1</x:v>
      </x:c>
      <x:c r="K1781" s="62" t="n">
        <x:v>276.35832204029845</x:v>
      </x:c>
      <x:c r="L1781" s="60" t="n">
        <x:v>855.0182503763333</x:v>
      </x:c>
      <x:c r="M1781" s="62" t="n">
        <x:v>3.4250626155572688</x:v>
      </x:c>
      <x:c r="N1781" s="62" t="n">
        <x:v>266.11087045377525</x:v>
      </x:c>
      <x:c r="O1781" s="60" t="n">
        <x:v>823.3139106566572</x:v>
      </x:c>
      <x:c r="P1781" s="60" t="n">
        <x:v>31.704339719676113</x:v>
      </x:c>
      <x:c r="Q1781" s="62" t="n">
        <x:v>1.0385082036259894</x:v>
      </x:c>
      <x:c r="R1781" s="64" t="n">
        <x:v>0.03850820362598929</x:v>
      </x:c>
    </x:row>
    <x:row r="1782" ht="18" customHeight="1">
      <x:c r="A1782" s="46" t="str">
        <x:v>LME_040</x:v>
      </x:c>
      <x:c r="B1782" s="46" t="str">
        <x:v>Northeast Australian Shelf-Great Barrier Reef</x:v>
      </x:c>
      <x:c r="C1782" s="46" t="str">
        <x:v>functional</x:v>
      </x:c>
      <x:c r="D1782" s="46" t="str">
        <x:v>Large reef assoc. fish (&gt;=90 cm)</x:v>
      </x:c>
      <x:c r="E1782" s="66" t="n">
        <x:v>22</x:v>
      </x:c>
      <x:c r="F1782" s="66" t="n">
        <x:v>22</x:v>
      </x:c>
      <x:c r="G1782" s="60" t="n">
        <x:v>574.1961588213001</x:v>
      </x:c>
      <x:c r="H1782" s="60" t="n">
        <x:v>574.1961588213001</x:v>
      </x:c>
      <x:c r="I1782" s="62" t="n">
        <x:v>0</x:v>
      </x:c>
      <x:c r="J1782" s="64" t="n">
        <x:v>1</x:v>
      </x:c>
      <x:c r="K1782" s="62" t="n">
        <x:v>1299.5551234203194</x:v>
      </x:c>
      <x:c r="L1782" s="60" t="n">
        <x:v>746199.5600444879</x:v>
      </x:c>
      <x:c r="M1782" s="62" t="n">
        <x:v>3.971917148601351</x:v>
      </x:c>
      <x:c r="N1782" s="62" t="n">
        <x:v>937.3831630357054</x:v>
      </x:c>
      <x:c r="O1782" s="60" t="n">
        <x:v>538241.8115588624</x:v>
      </x:c>
      <x:c r="P1782" s="60" t="n">
        <x:v>207957.7484856255</x:v>
      </x:c>
      <x:c r="Q1782" s="62" t="n">
        <x:v>1.3863649088935246</x:v>
      </x:c>
      <x:c r="R1782" s="64" t="n">
        <x:v>0.38636490889352454</x:v>
      </x:c>
    </x:row>
    <x:row r="1783" ht="18" customHeight="1">
      <x:c r="A1783" s="46" t="str">
        <x:v>LME_040</x:v>
      </x:c>
      <x:c r="B1783" s="46" t="str">
        <x:v>Northeast Australian Shelf-Great Barrier Reef</x:v>
      </x:c>
      <x:c r="C1783" s="46" t="str">
        <x:v>functional</x:v>
      </x:c>
      <x:c r="D1783" s="46" t="str">
        <x:v>Large sharks (&gt;=90 cm)</x:v>
      </x:c>
      <x:c r="E1783" s="66" t="n">
        <x:v>33</x:v>
      </x:c>
      <x:c r="F1783" s="66" t="n">
        <x:v>33</x:v>
      </x:c>
      <x:c r="G1783" s="60" t="n">
        <x:v>1986.6687197545002</x:v>
      </x:c>
      <x:c r="H1783" s="60" t="n">
        <x:v>1986.6687197545002</x:v>
      </x:c>
      <x:c r="I1783" s="62" t="n">
        <x:v>0</x:v>
      </x:c>
      <x:c r="J1783" s="64" t="n">
        <x:v>1</x:v>
      </x:c>
      <x:c r="K1783" s="62" t="n">
        <x:v>1778.566363396657</x:v>
      </x:c>
      <x:c r="L1783" s="60" t="n">
        <x:v>3533422.1601676536</x:v>
      </x:c>
      <x:c r="M1783" s="62" t="n">
        <x:v>4.21646455424146</x:v>
      </x:c>
      <x:c r="N1783" s="62" t="n">
        <x:v>1646.1316087273365</x:v>
      </x:c>
      <x:c r="O1783" s="60" t="n">
        <x:v>3270318.1756577534</x:v>
      </x:c>
      <x:c r="P1783" s="60" t="n">
        <x:v>263103.9845099002</x:v>
      </x:c>
      <x:c r="Q1783" s="62" t="n">
        <x:v>1.0804521059963783</x:v>
      </x:c>
      <x:c r="R1783" s="64" t="n">
        <x:v>0.08045210599637834</x:v>
      </x:c>
    </x:row>
    <x:row r="1784" ht="18" customHeight="1">
      <x:c r="A1784" s="46" t="str">
        <x:v>LME_040</x:v>
      </x:c>
      <x:c r="B1784" s="46" t="str">
        <x:v>Northeast Australian Shelf-Great Barrier Reef</x:v>
      </x:c>
      <x:c r="C1784" s="46" t="str">
        <x:v>functional</x:v>
      </x:c>
      <x:c r="D1784" s="46" t="str">
        <x:v>Lobsters, crabs</x:v>
      </x:c>
      <x:c r="E1784" s="66" t="n">
        <x:v>15</x:v>
      </x:c>
      <x:c r="F1784" s="66" t="n">
        <x:v>15</x:v>
      </x:c>
      <x:c r="G1784" s="60" t="n">
        <x:v>2194.4750011667</x:v>
      </x:c>
      <x:c r="H1784" s="60" t="n">
        <x:v>2194.4750011667</x:v>
      </x:c>
      <x:c r="I1784" s="62" t="n">
        <x:v>0</x:v>
      </x:c>
      <x:c r="J1784" s="64" t="n">
        <x:v>1</x:v>
      </x:c>
      <x:c r="K1784" s="62" t="n">
        <x:v>287.4334238284194</x:v>
      </x:c>
      <x:c r="L1784" s="60" t="n">
        <x:v>630765.4630912193</x:v>
      </x:c>
      <x:c r="M1784" s="62" t="n">
        <x:v>3.328849626211038</x:v>
      </x:c>
      <x:c r="N1784" s="62" t="n">
        <x:v>213.23064775110967</x:v>
      </x:c>
      <x:c r="O1784" s="60" t="n">
        <x:v>467929.32597239263</x:v>
      </x:c>
      <x:c r="P1784" s="60" t="n">
        <x:v>162836.13711882668</x:v>
      </x:c>
      <x:c r="Q1784" s="62" t="n">
        <x:v>1.3479930153564128</x:v>
      </x:c>
      <x:c r="R1784" s="64" t="n">
        <x:v>0.3479930153564127</x:v>
      </x:c>
    </x:row>
    <x:row r="1785" ht="18" customHeight="1">
      <x:c r="A1785" s="46" t="str">
        <x:v>LME_040</x:v>
      </x:c>
      <x:c r="B1785" s="46" t="str">
        <x:v>Northeast Australian Shelf-Great Barrier Reef</x:v>
      </x:c>
      <x:c r="C1785" s="46" t="str">
        <x:v>functional</x:v>
      </x:c>
      <x:c r="D1785" s="46" t="str">
        <x:v>Medium bathydemersals (30 - 89 cm)</x:v>
      </x:c>
      <x:c r="E1785" s="66" t="n">
        <x:v>3</x:v>
      </x:c>
      <x:c r="F1785" s="66" t="n">
        <x:v>3</x:v>
      </x:c>
      <x:c r="G1785" s="60" t="n">
        <x:v>1.2447664057999999</x:v>
      </x:c>
      <x:c r="H1785" s="60" t="n">
        <x:v>1.2447664057999999</x:v>
      </x:c>
      <x:c r="I1785" s="62" t="n">
        <x:v>0</x:v>
      </x:c>
      <x:c r="J1785" s="64" t="n">
        <x:v>1</x:v>
      </x:c>
      <x:c r="K1785" s="62" t="n">
        <x:v>1873.0832197762772</x:v>
      </x:c>
      <x:c r="L1785" s="60" t="n">
        <x:v>2331.551067245208</x:v>
      </x:c>
      <x:c r="M1785" s="62" t="n">
        <x:v>4.251852601763877</x:v>
      </x:c>
      <x:c r="N1785" s="62" t="n">
        <x:v>1785.8813492435318</x:v>
      </x:c>
      <x:c r="O1785" s="60" t="n">
        <x:v>2223.0051082831255</x:v>
      </x:c>
      <x:c r="P1785" s="60" t="n">
        <x:v>108.5459589620823</x:v>
      </x:c>
      <x:c r="Q1785" s="62" t="n">
        <x:v>1.0488284793218108</x:v>
      </x:c>
      <x:c r="R1785" s="64" t="n">
        <x:v>0.04882847932181077</x:v>
      </x:c>
    </x:row>
    <x:row r="1786" ht="18" customHeight="1">
      <x:c r="A1786" s="46" t="str">
        <x:v>LME_040</x:v>
      </x:c>
      <x:c r="B1786" s="46" t="str">
        <x:v>Northeast Australian Shelf-Great Barrier Reef</x:v>
      </x:c>
      <x:c r="C1786" s="46" t="str">
        <x:v>functional</x:v>
      </x:c>
      <x:c r="D1786" s="46" t="str">
        <x:v>Medium bathypelagics (30 - 89 cm)</x:v>
      </x:c>
      <x:c r="E1786" s="66" t="n">
        <x:v>2</x:v>
      </x:c>
      <x:c r="F1786" s="66" t="n">
        <x:v>2</x:v>
      </x:c>
      <x:c r="G1786" s="60" t="n">
        <x:v>11.4129080722</x:v>
      </x:c>
      <x:c r="H1786" s="60" t="n">
        <x:v>11.4129080722</x:v>
      </x:c>
      <x:c r="I1786" s="62" t="n">
        <x:v>0</x:v>
      </x:c>
      <x:c r="J1786" s="64" t="n">
        <x:v>1</x:v>
      </x:c>
      <x:c r="K1786" s="62" t="n">
        <x:v>545.4338862363704</x:v>
      </x:c>
      <x:c r="L1786" s="60" t="n">
        <x:v>6224.986803078489</x:v>
      </x:c>
      <x:c r="M1786" s="62" t="n">
        <x:v>3.730960863399637</x:v>
      </x:c>
      <x:c r="N1786" s="62" t="n">
        <x:v>538.2212783305692</x:v>
      </x:c>
      <x:c r="O1786" s="60" t="n">
        <x:v>6142.669972088757</x:v>
      </x:c>
      <x:c r="P1786" s="60" t="n">
        <x:v>82.3168309897319</x:v>
      </x:c>
      <x:c r="Q1786" s="62" t="n">
        <x:v>1.0134008226656757</x:v>
      </x:c>
      <x:c r="R1786" s="64" t="n">
        <x:v>0.013400822665675596</x:v>
      </x:c>
    </x:row>
    <x:row r="1787" ht="18" customHeight="1">
      <x:c r="A1787" s="46" t="str">
        <x:v>LME_040</x:v>
      </x:c>
      <x:c r="B1787" s="46" t="str">
        <x:v>Northeast Australian Shelf-Great Barrier Reef</x:v>
      </x:c>
      <x:c r="C1787" s="46" t="str">
        <x:v>functional</x:v>
      </x:c>
      <x:c r="D1787" s="46" t="str">
        <x:v>Medium benthopelagics (30 - 89 cm)</x:v>
      </x:c>
      <x:c r="E1787" s="66" t="n">
        <x:v>9</x:v>
      </x:c>
      <x:c r="F1787" s="66" t="n">
        <x:v>9</x:v>
      </x:c>
      <x:c r="G1787" s="60" t="n">
        <x:v>166.9200991436</x:v>
      </x:c>
      <x:c r="H1787" s="60" t="n">
        <x:v>166.9200991436</x:v>
      </x:c>
      <x:c r="I1787" s="62" t="n">
        <x:v>0</x:v>
      </x:c>
      <x:c r="J1787" s="64" t="n">
        <x:v>1</x:v>
      </x:c>
      <x:c r="K1787" s="62" t="n">
        <x:v>205.25056121543113</x:v>
      </x:c>
      <x:c r="L1787" s="60" t="n">
        <x:v>34260.444027359306</x:v>
      </x:c>
      <x:c r="M1787" s="62" t="n">
        <x:v>3.3036956984066386</x:v>
      </x:c>
      <x:c r="N1787" s="62" t="n">
        <x:v>201.2313767131854</x:v>
      </x:c>
      <x:c r="O1787" s="60" t="n">
        <x:v>33589.561351768025</x:v>
      </x:c>
      <x:c r="P1787" s="60" t="n">
        <x:v>670.8826755912814</x:v>
      </x:c>
      <x:c r="Q1787" s="62" t="n">
        <x:v>1.019972951375144</x:v>
      </x:c>
      <x:c r="R1787" s="64" t="n">
        <x:v>0.019972951375144075</x:v>
      </x:c>
    </x:row>
    <x:row r="1788" ht="18" customHeight="1">
      <x:c r="A1788" s="46" t="str">
        <x:v>LME_040</x:v>
      </x:c>
      <x:c r="B1788" s="46" t="str">
        <x:v>Northeast Australian Shelf-Great Barrier Reef</x:v>
      </x:c>
      <x:c r="C1788" s="46" t="str">
        <x:v>functional</x:v>
      </x:c>
      <x:c r="D1788" s="46" t="str">
        <x:v>Medium demersals (30 - 89 cm)</x:v>
      </x:c>
      <x:c r="E1788" s="66" t="n">
        <x:v>36</x:v>
      </x:c>
      <x:c r="F1788" s="66" t="n">
        <x:v>36</x:v>
      </x:c>
      <x:c r="G1788" s="60" t="n">
        <x:v>2767.6651316483</x:v>
      </x:c>
      <x:c r="H1788" s="60" t="n">
        <x:v>2767.6651316483</x:v>
      </x:c>
      <x:c r="I1788" s="62" t="n">
        <x:v>0</x:v>
      </x:c>
      <x:c r="J1788" s="64" t="n">
        <x:v>1</x:v>
      </x:c>
      <x:c r="K1788" s="62" t="n">
        <x:v>455.908530619604</x:v>
      </x:c>
      <x:c r="L1788" s="60" t="n">
        <x:v>1261802.1434168892</x:v>
      </x:c>
      <x:c r="M1788" s="62" t="n">
        <x:v>3.525734292086178</x:v>
      </x:c>
      <x:c r="N1788" s="62" t="n">
        <x:v>335.53226773060027</x:v>
      </x:c>
      <x:c r="O1788" s="60" t="n">
        <x:v>928640.9579408644</x:v>
      </x:c>
      <x:c r="P1788" s="60" t="n">
        <x:v>333161.18547602487</x:v>
      </x:c>
      <x:c r="Q1788" s="62" t="n">
        <x:v>1.3587621056632746</x:v>
      </x:c>
      <x:c r="R1788" s="64" t="n">
        <x:v>0.35876210566327454</x:v>
      </x:c>
    </x:row>
    <x:row r="1789" ht="18" customHeight="1">
      <x:c r="A1789" s="46" t="str">
        <x:v>LME_040</x:v>
      </x:c>
      <x:c r="B1789" s="46" t="str">
        <x:v>Northeast Australian Shelf-Great Barrier Reef</x:v>
      </x:c>
      <x:c r="C1789" s="46" t="str">
        <x:v>functional</x:v>
      </x:c>
      <x:c r="D1789" s="46" t="str">
        <x:v>Medium pelagics (30 - 89 cm)</x:v>
      </x:c>
      <x:c r="E1789" s="66" t="n">
        <x:v>16</x:v>
      </x:c>
      <x:c r="F1789" s="66" t="n">
        <x:v>16</x:v>
      </x:c>
      <x:c r="G1789" s="60" t="n">
        <x:v>713.0177336032</x:v>
      </x:c>
      <x:c r="H1789" s="60" t="n">
        <x:v>713.0177336032</x:v>
      </x:c>
      <x:c r="I1789" s="62" t="n">
        <x:v>0</x:v>
      </x:c>
      <x:c r="J1789" s="64" t="n">
        <x:v>1</x:v>
      </x:c>
      <x:c r="K1789" s="62" t="n">
        <x:v>1387.7196286099916</x:v>
      </x:c>
      <x:c r="L1789" s="60" t="n">
        <x:v>989468.7044681706</x:v>
      </x:c>
      <x:c r="M1789" s="62" t="n">
        <x:v>4.02456430037788</x:v>
      </x:c>
      <x:c r="N1789" s="62" t="n">
        <x:v>1058.1915771657955</x:v>
      </x:c>
      <x:c r="O1789" s="60" t="n">
        <x:v>754509.3600687511</x:v>
      </x:c>
      <x:c r="P1789" s="60" t="n">
        <x:v>234959.3443994195</x:v>
      </x:c>
      <x:c r="Q1789" s="62" t="n">
        <x:v>1.3114067986883686</x:v>
      </x:c>
      <x:c r="R1789" s="64" t="n">
        <x:v>0.31140679868836874</x:v>
      </x:c>
    </x:row>
    <x:row r="1790" ht="18" customHeight="1">
      <x:c r="A1790" s="46" t="str">
        <x:v>LME_040</x:v>
      </x:c>
      <x:c r="B1790" s="46" t="str">
        <x:v>Northeast Australian Shelf-Great Barrier Reef</x:v>
      </x:c>
      <x:c r="C1790" s="46" t="str">
        <x:v>functional</x:v>
      </x:c>
      <x:c r="D1790" s="46" t="str">
        <x:v>Medium reef assoc. fish (30 - 89 cm)</x:v>
      </x:c>
      <x:c r="E1790" s="66" t="n">
        <x:v>70</x:v>
      </x:c>
      <x:c r="F1790" s="66" t="n">
        <x:v>70</x:v>
      </x:c>
      <x:c r="G1790" s="60" t="n">
        <x:v>2930.2929159235005</x:v>
      </x:c>
      <x:c r="H1790" s="60" t="n">
        <x:v>2930.2929159235005</x:v>
      </x:c>
      <x:c r="I1790" s="62" t="n">
        <x:v>0</x:v>
      </x:c>
      <x:c r="J1790" s="64" t="n">
        <x:v>1</x:v>
      </x:c>
      <x:c r="K1790" s="62" t="n">
        <x:v>871.8938396886074</x:v>
      </x:c>
      <x:c r="L1790" s="60" t="n">
        <x:v>2554904.3418768663</x:v>
      </x:c>
      <x:c r="M1790" s="62" t="n">
        <x:v>3.4911380023314473</x:v>
      </x:c>
      <x:c r="N1790" s="62" t="n">
        <x:v>309.8403698106389</x:v>
      </x:c>
      <x:c r="O1790" s="60" t="n">
        <x:v>907923.0407232328</x:v>
      </x:c>
      <x:c r="P1790" s="60" t="n">
        <x:v>1646981.3011536335</x:v>
      </x:c>
      <x:c r="Q1790" s="62" t="n">
        <x:v>2.8140098084102836</x:v>
      </x:c>
      <x:c r="R1790" s="64" t="n">
        <x:v>1.8140098084102836</x:v>
      </x:c>
    </x:row>
    <x:row r="1791" ht="18" customHeight="1">
      <x:c r="A1791" s="46" t="str">
        <x:v>LME_040</x:v>
      </x:c>
      <x:c r="B1791" s="46" t="str">
        <x:v>Northeast Australian Shelf-Great Barrier Reef</x:v>
      </x:c>
      <x:c r="C1791" s="46" t="str">
        <x:v>functional</x:v>
      </x:c>
      <x:c r="D1791" s="46" t="str">
        <x:v>Other demersal invertebrates</x:v>
      </x:c>
      <x:c r="E1791" s="66" t="n">
        <x:v>12</x:v>
      </x:c>
      <x:c r="F1791" s="66" t="n">
        <x:v>12</x:v>
      </x:c>
      <x:c r="G1791" s="60" t="n">
        <x:v>483.7345299236</x:v>
      </x:c>
      <x:c r="H1791" s="60" t="n">
        <x:v>483.7345299236</x:v>
      </x:c>
      <x:c r="I1791" s="62" t="n">
        <x:v>0</x:v>
      </x:c>
      <x:c r="J1791" s="64" t="n">
        <x:v>1</x:v>
      </x:c>
      <x:c r="K1791" s="62" t="n">
        <x:v>33.49654215353079</x:v>
      </x:c>
      <x:c r="L1791" s="60" t="n">
        <x:v>16203.434072704267</x:v>
      </x:c>
      <x:c r="M1791" s="62" t="n">
        <x:v>2.2650862959803812</x:v>
      </x:c>
      <x:c r="N1791" s="62" t="n">
        <x:v>18.411378062727568</x:v>
      </x:c>
      <x:c r="O1791" s="60" t="n">
        <x:v>8906.219312419202</x:v>
      </x:c>
      <x:c r="P1791" s="60" t="n">
        <x:v>7297.2147602850655</x:v>
      </x:c>
      <x:c r="Q1791" s="62" t="n">
        <x:v>1.8193392172714102</x:v>
      </x:c>
      <x:c r="R1791" s="64" t="n">
        <x:v>0.8193392172714101</x:v>
      </x:c>
    </x:row>
    <x:row r="1792" ht="18" customHeight="1">
      <x:c r="A1792" s="46" t="str">
        <x:v>LME_040</x:v>
      </x:c>
      <x:c r="B1792" s="46" t="str">
        <x:v>Northeast Australian Shelf-Great Barrier Reef</x:v>
      </x:c>
      <x:c r="C1792" s="46" t="str">
        <x:v>functional</x:v>
      </x:c>
      <x:c r="D1792" s="46" t="str">
        <x:v>Shrimps</x:v>
      </x:c>
      <x:c r="E1792" s="66" t="n">
        <x:v>13</x:v>
      </x:c>
      <x:c r="F1792" s="66" t="n">
        <x:v>13</x:v>
      </x:c>
      <x:c r="G1792" s="60" t="n">
        <x:v>3460.0010213865003</x:v>
      </x:c>
      <x:c r="H1792" s="60" t="n">
        <x:v>3460.0010213865003</x:v>
      </x:c>
      <x:c r="I1792" s="62" t="n">
        <x:v>0</x:v>
      </x:c>
      <x:c r="J1792" s="64" t="n">
        <x:v>1</x:v>
      </x:c>
      <x:c r="K1792" s="62" t="n">
        <x:v>288.4450453389327</x:v>
      </x:c>
      <x:c r="L1792" s="60" t="n">
        <x:v>998020.1514865825</x:v>
      </x:c>
      <x:c r="M1792" s="62" t="n">
        <x:v>3.3436347383648886</x:v>
      </x:c>
      <x:c r="N1792" s="62" t="n">
        <x:v>220.61484801853607</x:v>
      </x:c>
      <x:c r="O1792" s="60" t="n">
        <x:v>763327.5994771624</x:v>
      </x:c>
      <x:c r="P1792" s="60" t="n">
        <x:v>234692.55200942012</x:v>
      </x:c>
      <x:c r="Q1792" s="62" t="n">
        <x:v>1.3074598012310463</x:v>
      </x:c>
      <x:c r="R1792" s="64" t="n">
        <x:v>0.3074598012310464</x:v>
      </x:c>
    </x:row>
    <x:row r="1793" ht="18" customHeight="1">
      <x:c r="A1793" s="46" t="str">
        <x:v>LME_040</x:v>
      </x:c>
      <x:c r="B1793" s="46" t="str">
        <x:v>Northeast Australian Shelf-Great Barrier Reef</x:v>
      </x:c>
      <x:c r="C1793" s="46" t="str">
        <x:v>functional</x:v>
      </x:c>
      <x:c r="D1793" s="46" t="str">
        <x:v>Small benthopelagics (&lt;30 cm)</x:v>
      </x:c>
      <x:c r="E1793" s="66" t="n">
        <x:v>3</x:v>
      </x:c>
      <x:c r="F1793" s="66" t="n">
        <x:v>3</x:v>
      </x:c>
      <x:c r="G1793" s="60" t="n">
        <x:v>11.5779995357</x:v>
      </x:c>
      <x:c r="H1793" s="60" t="n">
        <x:v>11.5779995357</x:v>
      </x:c>
      <x:c r="I1793" s="62" t="n">
        <x:v>0</x:v>
      </x:c>
      <x:c r="J1793" s="64" t="n">
        <x:v>1</x:v>
      </x:c>
      <x:c r="K1793" s="62" t="n">
        <x:v>179.10870348151744</x:v>
      </x:c>
      <x:c r="L1793" s="60" t="n">
        <x:v>2073.7204857488377</x:v>
      </x:c>
      <x:c r="M1793" s="62" t="n">
        <x:v>3.2526439394302624</x:v>
      </x:c>
      <x:c r="N1793" s="62" t="n">
        <x:v>178.91384099807686</x:v>
      </x:c>
      <x:c r="O1793" s="60" t="n">
        <x:v>2071.4643680060376</x:v>
      </x:c>
      <x:c r="P1793" s="60" t="n">
        <x:v>2.256117742800143</x:v>
      </x:c>
      <x:c r="Q1793" s="62" t="n">
        <x:v>1.001089141468058</x:v>
      </x:c>
      <x:c r="R1793" s="64" t="n">
        <x:v>0.0010891414680581012</x:v>
      </x:c>
    </x:row>
    <x:row r="1794" ht="18" customHeight="1">
      <x:c r="A1794" s="46" t="str">
        <x:v>LME_040</x:v>
      </x:c>
      <x:c r="B1794" s="46" t="str">
        <x:v>Northeast Australian Shelf-Great Barrier Reef</x:v>
      </x:c>
      <x:c r="C1794" s="46" t="str">
        <x:v>functional</x:v>
      </x:c>
      <x:c r="D1794" s="46" t="str">
        <x:v>Small demersals (&lt;30 cm)</x:v>
      </x:c>
      <x:c r="E1794" s="66" t="n">
        <x:v>1</x:v>
      </x:c>
      <x:c r="F1794" s="66" t="n">
        <x:v>1</x:v>
      </x:c>
      <x:c r="G1794" s="60" t="n">
        <x:v>222.1164909842</x:v>
      </x:c>
      <x:c r="H1794" s="60" t="n">
        <x:v>222.1164909842</x:v>
      </x:c>
      <x:c r="I1794" s="62" t="n">
        <x:v>0</x:v>
      </x:c>
      <x:c r="J1794" s="64" t="n">
        <x:v>1</x:v>
      </x:c>
      <x:c r="K1794" s="62" t="n">
        <x:v>416.8693834703355</x:v>
      </x:c>
      <x:c r="L1794" s="60" t="n">
        <x:v>92593.56465517779</x:v>
      </x:c>
      <x:c r="M1794" s="62" t="n">
        <x:v>3.62</x:v>
      </x:c>
      <x:c r="N1794" s="62" t="n">
        <x:v>416.8693834703355</x:v>
      </x:c>
      <x:c r="O1794" s="60" t="n">
        <x:v>92593.56465517779</x:v>
      </x:c>
      <x:c r="P1794" s="60" t="n">
        <x:v>0</x:v>
      </x:c>
      <x:c r="Q1794" s="62" t="n">
        <x:v>1</x:v>
      </x:c>
      <x:c r="R1794" s="64" t="n">
        <x:v>0</x:v>
      </x:c>
    </x:row>
    <x:row r="1795" ht="18" customHeight="1">
      <x:c r="A1795" s="46" t="str">
        <x:v>LME_040</x:v>
      </x:c>
      <x:c r="B1795" s="46" t="str">
        <x:v>Northeast Australian Shelf-Great Barrier Reef</x:v>
      </x:c>
      <x:c r="C1795" s="46" t="str">
        <x:v>functional</x:v>
      </x:c>
      <x:c r="D1795" s="46" t="str">
        <x:v>Small pelagics (&lt;30 cm)</x:v>
      </x:c>
      <x:c r="E1795" s="66" t="n">
        <x:v>13</x:v>
      </x:c>
      <x:c r="F1795" s="66" t="n">
        <x:v>13</x:v>
      </x:c>
      <x:c r="G1795" s="60" t="n">
        <x:v>242.71690709419997</x:v>
      </x:c>
      <x:c r="H1795" s="60" t="n">
        <x:v>242.71690709419997</x:v>
      </x:c>
      <x:c r="I1795" s="62" t="n">
        <x:v>0</x:v>
      </x:c>
      <x:c r="J1795" s="64" t="n">
        <x:v>1</x:v>
      </x:c>
      <x:c r="K1795" s="62" t="n">
        <x:v>240.08415024259355</x:v>
      </x:c>
      <x:c r="L1795" s="60" t="n">
        <x:v>58272.48238922153</x:v>
      </x:c>
      <x:c r="M1795" s="62" t="n">
        <x:v>3.259829110977634</x:v>
      </x:c>
      <x:c r="N1795" s="62" t="n">
        <x:v>181.8984971715113</x:v>
      </x:c>
      <x:c r="O1795" s="60" t="n">
        <x:v>44149.840638552305</x:v>
      </x:c>
      <x:c r="P1795" s="60" t="n">
        <x:v>14122.641750669223</x:v>
      </x:c>
      <x:c r="Q1795" s="62" t="n">
        <x:v>1.3198797899700032</x:v>
      </x:c>
      <x:c r="R1795" s="64" t="n">
        <x:v>0.3198797899700032</x:v>
      </x:c>
    </x:row>
    <x:row r="1796" ht="18" customHeight="1">
      <x:c r="A1796" s="46" t="str">
        <x:v>LME_040</x:v>
      </x:c>
      <x:c r="B1796" s="46" t="str">
        <x:v>Northeast Australian Shelf-Great Barrier Reef</x:v>
      </x:c>
      <x:c r="C1796" s="46" t="str">
        <x:v>functional</x:v>
      </x:c>
      <x:c r="D1796" s="46" t="str">
        <x:v>Small reef assoc. fish (&lt;30 cm)</x:v>
      </x:c>
      <x:c r="E1796" s="66" t="n">
        <x:v>12</x:v>
      </x:c>
      <x:c r="F1796" s="66" t="n">
        <x:v>12</x:v>
      </x:c>
      <x:c r="G1796" s="60" t="n">
        <x:v>185.62750908029997</x:v>
      </x:c>
      <x:c r="H1796" s="60" t="n">
        <x:v>185.62750908029997</x:v>
      </x:c>
      <x:c r="I1796" s="62" t="n">
        <x:v>0</x:v>
      </x:c>
      <x:c r="J1796" s="64" t="n">
        <x:v>1</x:v>
      </x:c>
      <x:c r="K1796" s="62" t="n">
        <x:v>207.23636368318955</x:v>
      </x:c>
      <x:c r="L1796" s="60" t="n">
        <x:v>38468.769981369616</x:v>
      </x:c>
      <x:c r="M1796" s="62" t="n">
        <x:v>3.140122474007127</x:v>
      </x:c>
      <x:c r="N1796" s="62" t="n">
        <x:v>138.07735972786446</x:v>
      </x:c>
      <x:c r="O1796" s="60" t="n">
        <x:v>25630.956346668005</x:v>
      </x:c>
      <x:c r="P1796" s="60" t="n">
        <x:v>12837.813634701612</x:v>
      </x:c>
      <x:c r="Q1796" s="62" t="n">
        <x:v>1.5008714252041755</x:v>
      </x:c>
      <x:c r="R1796" s="64" t="n">
        <x:v>0.5008714252041755</x:v>
      </x:c>
    </x:row>
    <x:row r="1797" ht="18" customHeight="1">
      <x:c r="A1797" s="46" t="str">
        <x:v>LME_040</x:v>
      </x:c>
      <x:c r="B1797" s="46" t="str">
        <x:v>Northeast Australian Shelf-Great Barrier Reef</x:v>
      </x:c>
      <x:c r="C1797" s="46" t="str">
        <x:v>functional</x:v>
      </x:c>
      <x:c r="D1797" s="46" t="str">
        <x:v>Small to medium flatfishes (&lt;90 cm)</x:v>
      </x:c>
      <x:c r="E1797" s="66" t="n">
        <x:v>4</x:v>
      </x:c>
      <x:c r="F1797" s="66" t="n">
        <x:v>4</x:v>
      </x:c>
      <x:c r="G1797" s="60" t="n">
        <x:v>31.9597582211</x:v>
      </x:c>
      <x:c r="H1797" s="60" t="n">
        <x:v>31.9597582211</x:v>
      </x:c>
      <x:c r="I1797" s="62" t="n">
        <x:v>0</x:v>
      </x:c>
      <x:c r="J1797" s="64" t="n">
        <x:v>1</x:v>
      </x:c>
      <x:c r="K1797" s="62" t="n">
        <x:v>587.1585512585968</x:v>
      </x:c>
      <x:c r="L1797" s="60" t="n">
        <x:v>18765.445335676108</x:v>
      </x:c>
      <x:c r="M1797" s="62" t="n">
        <x:v>3.762931427283988</x:v>
      </x:c>
      <x:c r="N1797" s="62" t="n">
        <x:v>579.3372150370443</x:v>
      </x:c>
      <x:c r="O1797" s="60" t="n">
        <x:v>18515.477321069357</x:v>
      </x:c>
      <x:c r="P1797" s="60" t="n">
        <x:v>249.96801460675124</x:v>
      </x:c>
      <x:c r="Q1797" s="62" t="n">
        <x:v>1.0135004899021591</x:v>
      </x:c>
      <x:c r="R1797" s="64" t="n">
        <x:v>0.013500489902159022</x:v>
      </x:c>
    </x:row>
    <x:row r="1798" ht="18" customHeight="1">
      <x:c r="A1798" s="46" t="str">
        <x:v>LME_040</x:v>
      </x:c>
      <x:c r="B1798" s="46" t="str">
        <x:v>Northeast Australian Shelf-Great Barrier Reef</x:v>
      </x:c>
      <x:c r="C1798" s="46" t="str">
        <x:v>functional</x:v>
      </x:c>
      <x:c r="D1798" s="46" t="str">
        <x:v>Small to medium sharks (&lt;90 cm)</x:v>
      </x:c>
      <x:c r="E1798" s="66" t="n">
        <x:v>2</x:v>
      </x:c>
      <x:c r="F1798" s="66" t="n">
        <x:v>2</x:v>
      </x:c>
      <x:c r="G1798" s="60" t="n">
        <x:v>0.24197358400000002</x:v>
      </x:c>
      <x:c r="H1798" s="60" t="n">
        <x:v>0.24197358400000002</x:v>
      </x:c>
      <x:c r="I1798" s="62" t="n">
        <x:v>0</x:v>
      </x:c>
      <x:c r="J1798" s="64" t="n">
        <x:v>1</x:v>
      </x:c>
      <x:c r="K1798" s="62" t="n">
        <x:v>1845.3308098013854</x:v>
      </x:c>
      <x:c r="L1798" s="60" t="n">
        <x:v>446.5213097132636</x:v>
      </x:c>
      <x:c r="M1798" s="62" t="n">
        <x:v>4.260695121104624</x:v>
      </x:c>
      <x:c r="N1798" s="62" t="n">
        <x:v>1822.6157593465214</x:v>
      </x:c>
      <x:c r="O1798" s="60" t="n">
        <x:v>441.0248675439593</x:v>
      </x:c>
      <x:c r="P1798" s="60" t="n">
        <x:v>5.4964421693042596</x:v>
      </x:c>
      <x:c r="Q1798" s="62" t="n">
        <x:v>1.0124628849160222</x:v>
      </x:c>
      <x:c r="R1798" s="64" t="n">
        <x:v>0.01246288491602211</x:v>
      </x:c>
    </x:row>
    <x:row r="1799" ht="18" customHeight="1">
      <x:c r="A1799" s="46" t="str">
        <x:v>LME_041</x:v>
      </x:c>
      <x:c r="B1799" s="46" t="str">
        <x:v>East-Central Australian Shelf</x:v>
      </x:c>
      <x:c r="C1799" s="46" t="str">
        <x:v>functional</x:v>
      </x:c>
      <x:c r="D1799" s="46" t="str">
        <x:v>Cephalopods</x:v>
      </x:c>
      <x:c r="E1799" s="66" t="n">
        <x:v>9</x:v>
      </x:c>
      <x:c r="F1799" s="66" t="n">
        <x:v>9</x:v>
      </x:c>
      <x:c r="G1799" s="60" t="n">
        <x:v>1522.8228241324</x:v>
      </x:c>
      <x:c r="H1799" s="60" t="n">
        <x:v>1522.8228241324</x:v>
      </x:c>
      <x:c r="I1799" s="62" t="n">
        <x:v>0</x:v>
      </x:c>
      <x:c r="J1799" s="64" t="n">
        <x:v>1</x:v>
      </x:c>
      <x:c r="K1799" s="62" t="n">
        <x:v>585.7601268582183</x:v>
      </x:c>
      <x:c r="L1799" s="60" t="n">
        <x:v>892008.8906463849</x:v>
      </x:c>
      <x:c r="M1799" s="62" t="n">
        <x:v>3.7532056890068195</x:v>
      </x:c>
      <x:c r="N1799" s="62" t="n">
        <x:v>566.5075327923346</x:v>
      </x:c>
      <x:c r="O1799" s="60" t="n">
        <x:v>862690.6009791011</x:v>
      </x:c>
      <x:c r="P1799" s="60" t="n">
        <x:v>29318.289667283767</x:v>
      </x:c>
      <x:c r="Q1799" s="62" t="n">
        <x:v>1.0339847097371981</x:v>
      </x:c>
      <x:c r="R1799" s="64" t="n">
        <x:v>0.03398470973719813</x:v>
      </x:c>
    </x:row>
    <x:row r="1800" ht="18" customHeight="1">
      <x:c r="A1800" s="46" t="str">
        <x:v>LME_041</x:v>
      </x:c>
      <x:c r="B1800" s="46" t="str">
        <x:v>East-Central Australian Shelf</x:v>
      </x:c>
      <x:c r="C1800" s="46" t="str">
        <x:v>functional</x:v>
      </x:c>
      <x:c r="D1800" s="46" t="str">
        <x:v>Large bathydemersals (&gt;=90 cm)</x:v>
      </x:c>
      <x:c r="E1800" s="66" t="n">
        <x:v>4</x:v>
      </x:c>
      <x:c r="F1800" s="66" t="n">
        <x:v>4</x:v>
      </x:c>
      <x:c r="G1800" s="60" t="n">
        <x:v>246.034143087</x:v>
      </x:c>
      <x:c r="H1800" s="60" t="n">
        <x:v>246.034143087</x:v>
      </x:c>
      <x:c r="I1800" s="62" t="n">
        <x:v>0</x:v>
      </x:c>
      <x:c r="J1800" s="64" t="n">
        <x:v>1</x:v>
      </x:c>
      <x:c r="K1800" s="62" t="n">
        <x:v>1327.025882124202</x:v>
      </x:c>
      <x:c r="L1800" s="60" t="n">
        <x:v>326493.67576269835</x:v>
      </x:c>
      <x:c r="M1800" s="62" t="n">
        <x:v>4.086933428834878</x:v>
      </x:c>
      <x:c r="N1800" s="62" t="n">
        <x:v>1221.6123900134965</x:v>
      </x:c>
      <x:c r="O1800" s="60" t="n">
        <x:v>300558.35756143264</x:v>
      </x:c>
      <x:c r="P1800" s="60" t="n">
        <x:v>25935.318201265705</x:v>
      </x:c>
      <x:c r="Q1800" s="62" t="n">
        <x:v>1.0862904575726684</x:v>
      </x:c>
      <x:c r="R1800" s="64" t="n">
        <x:v>0.08629045757266841</x:v>
      </x:c>
    </x:row>
    <x:row r="1801" ht="18" customHeight="1">
      <x:c r="A1801" s="46" t="str">
        <x:v>LME_041</x:v>
      </x:c>
      <x:c r="B1801" s="46" t="str">
        <x:v>East-Central Australian Shelf</x:v>
      </x:c>
      <x:c r="C1801" s="46" t="str">
        <x:v>functional</x:v>
      </x:c>
      <x:c r="D1801" s="46" t="str">
        <x:v>Large bathypelagics (&gt;=90 cm)</x:v>
      </x:c>
      <x:c r="E1801" s="66" t="n">
        <x:v>2</x:v>
      </x:c>
      <x:c r="F1801" s="66" t="n">
        <x:v>2</x:v>
      </x:c>
      <x:c r="G1801" s="60" t="n">
        <x:v>0.29701873069999996</x:v>
      </x:c>
      <x:c r="H1801" s="60" t="n">
        <x:v>0.29701873069999996</x:v>
      </x:c>
      <x:c r="I1801" s="62" t="n">
        <x:v>0</x:v>
      </x:c>
      <x:c r="J1801" s="64" t="n">
        <x:v>1</x:v>
      </x:c>
      <x:c r="K1801" s="62" t="n">
        <x:v>840.9994639192818</x:v>
      </x:c>
      <x:c r="L1801" s="60" t="n">
        <x:v>249.7925932926855</x:v>
      </x:c>
      <x:c r="M1801" s="62" t="n">
        <x:v>3.922860617348938</x:v>
      </x:c>
      <x:c r="N1801" s="62" t="n">
        <x:v>837.2605282611686</x:v>
      </x:c>
      <x:c r="O1801" s="60" t="n">
        <x:v>248.68205936934373</x:v>
      </x:c>
      <x:c r="P1801" s="60" t="n">
        <x:v>1.1105339233417624</x:v>
      </x:c>
      <x:c r="Q1801" s="62" t="n">
        <x:v>1.0044656776856282</x:v>
      </x:c>
      <x:c r="R1801" s="64" t="n">
        <x:v>0.004465677685628268</x:v>
      </x:c>
    </x:row>
    <x:row r="1802" ht="18" customHeight="1">
      <x:c r="A1802" s="46" t="str">
        <x:v>LME_041</x:v>
      </x:c>
      <x:c r="B1802" s="46" t="str">
        <x:v>East-Central Australian Shelf</x:v>
      </x:c>
      <x:c r="C1802" s="46" t="str">
        <x:v>functional</x:v>
      </x:c>
      <x:c r="D1802" s="46" t="str">
        <x:v>Large benthopelagics (&gt;=90 cm)</x:v>
      </x:c>
      <x:c r="E1802" s="66" t="n">
        <x:v>17</x:v>
      </x:c>
      <x:c r="F1802" s="66" t="n">
        <x:v>17</x:v>
      </x:c>
      <x:c r="G1802" s="60" t="n">
        <x:v>3261.1311908241005</x:v>
      </x:c>
      <x:c r="H1802" s="60" t="n">
        <x:v>3261.1311908241005</x:v>
      </x:c>
      <x:c r="I1802" s="62" t="n">
        <x:v>0</x:v>
      </x:c>
      <x:c r="J1802" s="64" t="n">
        <x:v>1</x:v>
      </x:c>
      <x:c r="K1802" s="62" t="n">
        <x:v>257.4468206738262</x:v>
      </x:c>
      <x:c r="L1802" s="60" t="n">
        <x:v>839567.8568779135</x:v>
      </x:c>
      <x:c r="M1802" s="62" t="n">
        <x:v>2.504771341650079</x:v>
      </x:c>
      <x:c r="N1802" s="62" t="n">
        <x:v>31.972113177382752</x:v>
      </x:c>
      <x:c r="O1802" s="60" t="n">
        <x:v>104265.25551932113</x:v>
      </x:c>
      <x:c r="P1802" s="60" t="n">
        <x:v>735302.6013585923</x:v>
      </x:c>
      <x:c r="Q1802" s="62" t="n">
        <x:v>8.052230368555854</x:v>
      </x:c>
      <x:c r="R1802" s="64" t="n">
        <x:v>7.052230368555853</x:v>
      </x:c>
    </x:row>
    <x:row r="1803" ht="18" customHeight="1">
      <x:c r="A1803" s="46" t="str">
        <x:v>LME_041</x:v>
      </x:c>
      <x:c r="B1803" s="46" t="str">
        <x:v>East-Central Australian Shelf</x:v>
      </x:c>
      <x:c r="C1803" s="46" t="str">
        <x:v>functional</x:v>
      </x:c>
      <x:c r="D1803" s="46" t="str">
        <x:v>Large demersals (&gt;=90 cm)</x:v>
      </x:c>
      <x:c r="E1803" s="66" t="n">
        <x:v>10</x:v>
      </x:c>
      <x:c r="F1803" s="66" t="n">
        <x:v>10</x:v>
      </x:c>
      <x:c r="G1803" s="60" t="n">
        <x:v>1324.1150013177</x:v>
      </x:c>
      <x:c r="H1803" s="60" t="n">
        <x:v>1324.1150013177</x:v>
      </x:c>
      <x:c r="I1803" s="62" t="n">
        <x:v>0</x:v>
      </x:c>
      <x:c r="J1803" s="64" t="n">
        <x:v>1</x:v>
      </x:c>
      <x:c r="K1803" s="62" t="n">
        <x:v>943.2476314489509</x:v>
      </x:c>
      <x:c r="L1803" s="60" t="n">
        <x:v>1248968.338758945</x:v>
      </x:c>
      <x:c r="M1803" s="62" t="n">
        <x:v>3.7754575948140103</x:v>
      </x:c>
      <x:c r="N1803" s="62" t="n">
        <x:v>596.2900943030211</x:v>
      </x:c>
      <x:c r="O1803" s="60" t="n">
        <x:v>789556.6590037763</x:v>
      </x:c>
      <x:c r="P1803" s="60" t="n">
        <x:v>459411.67975516873</x:v>
      </x:c>
      <x:c r="Q1803" s="62" t="n">
        <x:v>1.5818603066875931</x:v>
      </x:c>
      <x:c r="R1803" s="64" t="n">
        <x:v>0.5818603066875933</x:v>
      </x:c>
    </x:row>
    <x:row r="1804" ht="18" customHeight="1">
      <x:c r="A1804" s="46" t="str">
        <x:v>LME_041</x:v>
      </x:c>
      <x:c r="B1804" s="46" t="str">
        <x:v>East-Central Australian Shelf</x:v>
      </x:c>
      <x:c r="C1804" s="46" t="str">
        <x:v>functional</x:v>
      </x:c>
      <x:c r="D1804" s="46" t="str">
        <x:v>Large pelagics (&gt;=90 cm)</x:v>
      </x:c>
      <x:c r="E1804" s="66" t="n">
        <x:v>32</x:v>
      </x:c>
      <x:c r="F1804" s="66" t="n">
        <x:v>32</x:v>
      </x:c>
      <x:c r="G1804" s="60" t="n">
        <x:v>3898.4283849094</x:v>
      </x:c>
      <x:c r="H1804" s="60" t="n">
        <x:v>3898.4283849094</x:v>
      </x:c>
      <x:c r="I1804" s="62" t="n">
        <x:v>0</x:v>
      </x:c>
      <x:c r="J1804" s="64" t="n">
        <x:v>1</x:v>
      </x:c>
      <x:c r="K1804" s="62" t="n">
        <x:v>2723.0067141729132</x:v>
      </x:c>
      <x:c r="L1804" s="60" t="n">
        <x:v>10615446.666830562</x:v>
      </x:c>
      <x:c r="M1804" s="62" t="n">
        <x:v>4.420667756610515</x:v>
      </x:c>
      <x:c r="N1804" s="62" t="n">
        <x:v>2634.3153143439217</x:v>
      </x:c>
      <x:c r="O1804" s="60" t="n">
        <x:v>10269689.596239872</x:v>
      </x:c>
      <x:c r="P1804" s="60" t="n">
        <x:v>345757.0705906898</x:v>
      </x:c>
      <x:c r="Q1804" s="62" t="n">
        <x:v>1.0336677235811766</x:v>
      </x:c>
      <x:c r="R1804" s="64" t="n">
        <x:v>0.03366772358117666</x:v>
      </x:c>
    </x:row>
    <x:row r="1805" ht="18" customHeight="1">
      <x:c r="A1805" s="46" t="str">
        <x:v>LME_041</x:v>
      </x:c>
      <x:c r="B1805" s="46" t="str">
        <x:v>East-Central Australian Shelf</x:v>
      </x:c>
      <x:c r="C1805" s="46" t="str">
        <x:v>functional</x:v>
      </x:c>
      <x:c r="D1805" s="46" t="str">
        <x:v>Large rays (&gt;=90 cm)</x:v>
      </x:c>
      <x:c r="E1805" s="66" t="n">
        <x:v>6</x:v>
      </x:c>
      <x:c r="F1805" s="66" t="n">
        <x:v>6</x:v>
      </x:c>
      <x:c r="G1805" s="60" t="n">
        <x:v>27.8257630036</x:v>
      </x:c>
      <x:c r="H1805" s="60" t="n">
        <x:v>27.8257630036</x:v>
      </x:c>
      <x:c r="I1805" s="62" t="n">
        <x:v>0</x:v>
      </x:c>
      <x:c r="J1805" s="64" t="n">
        <x:v>1</x:v>
      </x:c>
      <x:c r="K1805" s="62" t="n">
        <x:v>239.60811863876745</x:v>
      </x:c>
      <x:c r="L1805" s="60" t="n">
        <x:v>6667.278722980815</x:v>
      </x:c>
      <x:c r="M1805" s="62" t="n">
        <x:v>3.3767366602880835</x:v>
      </x:c>
      <x:c r="N1805" s="62" t="n">
        <x:v>238.08753590053027</x:v>
      </x:c>
      <x:c r="O1805" s="60" t="n">
        <x:v>6624.967348079262</x:v>
      </x:c>
      <x:c r="P1805" s="60" t="n">
        <x:v>42.31137490155288</x:v>
      </x:c>
      <x:c r="Q1805" s="62" t="n">
        <x:v>1.0063866541038606</x:v>
      </x:c>
      <x:c r="R1805" s="64" t="n">
        <x:v>0.006386654103860598</x:v>
      </x:c>
    </x:row>
    <x:row r="1806" ht="18" customHeight="1">
      <x:c r="A1806" s="46" t="str">
        <x:v>LME_041</x:v>
      </x:c>
      <x:c r="B1806" s="46" t="str">
        <x:v>East-Central Australian Shelf</x:v>
      </x:c>
      <x:c r="C1806" s="46" t="str">
        <x:v>functional</x:v>
      </x:c>
      <x:c r="D1806" s="46" t="str">
        <x:v>Large reef assoc. fish (&gt;=90 cm)</x:v>
      </x:c>
      <x:c r="E1806" s="66" t="n">
        <x:v>21</x:v>
      </x:c>
      <x:c r="F1806" s="66" t="n">
        <x:v>21</x:v>
      </x:c>
      <x:c r="G1806" s="60" t="n">
        <x:v>82.19846624809999</x:v>
      </x:c>
      <x:c r="H1806" s="60" t="n">
        <x:v>82.19846624809999</x:v>
      </x:c>
      <x:c r="I1806" s="62" t="n">
        <x:v>0</x:v>
      </x:c>
      <x:c r="J1806" s="64" t="n">
        <x:v>1</x:v>
      </x:c>
      <x:c r="K1806" s="62" t="n">
        <x:v>1007.2575261604524</x:v>
      </x:c>
      <x:c r="L1806" s="60" t="n">
        <x:v>82795.02376724464</x:v>
      </x:c>
      <x:c r="M1806" s="62" t="n">
        <x:v>3.9163007079371144</x:v>
      </x:c>
      <x:c r="N1806" s="62" t="n">
        <x:v>824.7089504720404</x:v>
      </x:c>
      <x:c r="O1806" s="60" t="n">
        <x:v>67789.81082988199</x:v>
      </x:c>
      <x:c r="P1806" s="60" t="n">
        <x:v>15005.212937362652</x:v>
      </x:c>
      <x:c r="Q1806" s="62" t="n">
        <x:v>1.2213490899837163</x:v>
      </x:c>
      <x:c r="R1806" s="64" t="n">
        <x:v>0.22134908998371627</x:v>
      </x:c>
    </x:row>
    <x:row r="1807" ht="18" customHeight="1">
      <x:c r="A1807" s="46" t="str">
        <x:v>LME_041</x:v>
      </x:c>
      <x:c r="B1807" s="46" t="str">
        <x:v>East-Central Australian Shelf</x:v>
      </x:c>
      <x:c r="C1807" s="46" t="str">
        <x:v>functional</x:v>
      </x:c>
      <x:c r="D1807" s="46" t="str">
        <x:v>Large sharks (&gt;=90 cm)</x:v>
      </x:c>
      <x:c r="E1807" s="66" t="n">
        <x:v>50</x:v>
      </x:c>
      <x:c r="F1807" s="66" t="n">
        <x:v>50</x:v>
      </x:c>
      <x:c r="G1807" s="60" t="n">
        <x:v>2675.0059802008004</x:v>
      </x:c>
      <x:c r="H1807" s="60" t="n">
        <x:v>2675.0059802008004</x:v>
      </x:c>
      <x:c r="I1807" s="62" t="n">
        <x:v>0</x:v>
      </x:c>
      <x:c r="J1807" s="64" t="n">
        <x:v>1</x:v>
      </x:c>
      <x:c r="K1807" s="62" t="n">
        <x:v>1820.6009353824356</x:v>
      </x:c>
      <x:c r="L1807" s="60" t="n">
        <x:v>4870118.389707186</x:v>
      </x:c>
      <x:c r="M1807" s="62" t="n">
        <x:v>4.229019609721062</x:v>
      </x:c>
      <x:c r="N1807" s="62" t="n">
        <x:v>1694.4143066963456</x:v>
      </x:c>
      <x:c r="O1807" s="60" t="n">
        <x:v>4532568.403350518</x:v>
      </x:c>
      <x:c r="P1807" s="60" t="n">
        <x:v>337549.9863566682</x:v>
      </x:c>
      <x:c r="Q1807" s="62" t="n">
        <x:v>1.074472121834311</x:v>
      </x:c>
      <x:c r="R1807" s="64" t="n">
        <x:v>0.07447212183431098</x:v>
      </x:c>
    </x:row>
    <x:row r="1808" ht="18" customHeight="1">
      <x:c r="A1808" s="46" t="str">
        <x:v>LME_041</x:v>
      </x:c>
      <x:c r="B1808" s="46" t="str">
        <x:v>East-Central Australian Shelf</x:v>
      </x:c>
      <x:c r="C1808" s="46" t="str">
        <x:v>functional</x:v>
      </x:c>
      <x:c r="D1808" s="46" t="str">
        <x:v>Lobsters, crabs</x:v>
      </x:c>
      <x:c r="E1808" s="66" t="n">
        <x:v>17</x:v>
      </x:c>
      <x:c r="F1808" s="66" t="n">
        <x:v>17</x:v>
      </x:c>
      <x:c r="G1808" s="60" t="n">
        <x:v>1724.2584167008001</x:v>
      </x:c>
      <x:c r="H1808" s="60" t="n">
        <x:v>1724.2584167008001</x:v>
      </x:c>
      <x:c r="I1808" s="62" t="n">
        <x:v>0</x:v>
      </x:c>
      <x:c r="J1808" s="64" t="n">
        <x:v>1</x:v>
      </x:c>
      <x:c r="K1808" s="62" t="n">
        <x:v>257.21312118688775</x:v>
      </x:c>
      <x:c r="L1808" s="60" t="n">
        <x:v>443501.8890923741</x:v>
      </x:c>
      <x:c r="M1808" s="62" t="n">
        <x:v>3.1917468780786895</x:v>
      </x:c>
      <x:c r="N1808" s="62" t="n">
        <x:v>155.50590249719733</x:v>
      </x:c>
      <x:c r="O1808" s="60" t="n">
        <x:v>268132.36122744647</x:v>
      </x:c>
      <x:c r="P1808" s="60" t="n">
        <x:v>175369.52786492766</x:v>
      </x:c>
      <x:c r="Q1808" s="62" t="n">
        <x:v>1.6540408888435827</x:v>
      </x:c>
      <x:c r="R1808" s="64" t="n">
        <x:v>0.6540408888435826</x:v>
      </x:c>
    </x:row>
    <x:row r="1809" ht="18" customHeight="1">
      <x:c r="A1809" s="46" t="str">
        <x:v>LME_041</x:v>
      </x:c>
      <x:c r="B1809" s="46" t="str">
        <x:v>East-Central Australian Shelf</x:v>
      </x:c>
      <x:c r="C1809" s="46" t="str">
        <x:v>functional</x:v>
      </x:c>
      <x:c r="D1809" s="46" t="str">
        <x:v>Medium bathydemersals (30 - 89 cm)</x:v>
      </x:c>
      <x:c r="E1809" s="66" t="n">
        <x:v>9</x:v>
      </x:c>
      <x:c r="F1809" s="66" t="n">
        <x:v>9</x:v>
      </x:c>
      <x:c r="G1809" s="60" t="n">
        <x:v>369.6547083849</x:v>
      </x:c>
      <x:c r="H1809" s="60" t="n">
        <x:v>369.6547083849</x:v>
      </x:c>
      <x:c r="I1809" s="62" t="n">
        <x:v>0</x:v>
      </x:c>
      <x:c r="J1809" s="64" t="n">
        <x:v>1</x:v>
      </x:c>
      <x:c r="K1809" s="62" t="n">
        <x:v>784.8265239924983</x:v>
      </x:c>
      <x:c r="L1809" s="60" t="n">
        <x:v>290114.8198591817</x:v>
      </x:c>
      <x:c r="M1809" s="62" t="n">
        <x:v>3.7445372096494918</x:v>
      </x:c>
      <x:c r="N1809" s="62" t="n">
        <x:v>555.3121933328788</x:v>
      </x:c>
      <x:c r="O1809" s="60" t="n">
        <x:v>205273.76688904452</x:v>
      </x:c>
      <x:c r="P1809" s="60" t="n">
        <x:v>84841.05297013719</x:v>
      </x:c>
      <x:c r="Q1809" s="62" t="n">
        <x:v>1.4133068450777533</x:v>
      </x:c>
      <x:c r="R1809" s="64" t="n">
        <x:v>0.4133068450777534</x:v>
      </x:c>
    </x:row>
    <x:row r="1810" ht="18" customHeight="1">
      <x:c r="A1810" s="46" t="str">
        <x:v>LME_041</x:v>
      </x:c>
      <x:c r="B1810" s="46" t="str">
        <x:v>East-Central Australian Shelf</x:v>
      </x:c>
      <x:c r="C1810" s="46" t="str">
        <x:v>functional</x:v>
      </x:c>
      <x:c r="D1810" s="46" t="str">
        <x:v>Medium bathypelagics (30 - 89 cm)</x:v>
      </x:c>
      <x:c r="E1810" s="66" t="n">
        <x:v>8</x:v>
      </x:c>
      <x:c r="F1810" s="66" t="n">
        <x:v>8</x:v>
      </x:c>
      <x:c r="G1810" s="60" t="n">
        <x:v>52.297749384700005</x:v>
      </x:c>
      <x:c r="H1810" s="60" t="n">
        <x:v>52.297749384700005</x:v>
      </x:c>
      <x:c r="I1810" s="62" t="n">
        <x:v>0</x:v>
      </x:c>
      <x:c r="J1810" s="64" t="n">
        <x:v>1</x:v>
      </x:c>
      <x:c r="K1810" s="62" t="n">
        <x:v>599.0591862483068</x:v>
      </x:c>
      <x:c r="L1810" s="60" t="n">
        <x:v>31329.44718901627</x:v>
      </x:c>
      <x:c r="M1810" s="62" t="n">
        <x:v>3.7392820944478156</x:v>
      </x:c>
      <x:c r="N1810" s="62" t="n">
        <x:v>548.6332119751788</x:v>
      </x:c>
      <x:c r="O1810" s="60" t="n">
        <x:v>28692.282224000897</x:v>
      </x:c>
      <x:c r="P1810" s="60" t="n">
        <x:v>2637.164965015374</x:v>
      </x:c>
      <x:c r="Q1810" s="62" t="n">
        <x:v>1.0919119972551157</x:v>
      </x:c>
      <x:c r="R1810" s="64" t="n">
        <x:v>0.09191199725511565</x:v>
      </x:c>
    </x:row>
    <x:row r="1811" ht="18" customHeight="1">
      <x:c r="A1811" s="46" t="str">
        <x:v>LME_041</x:v>
      </x:c>
      <x:c r="B1811" s="46" t="str">
        <x:v>East-Central Australian Shelf</x:v>
      </x:c>
      <x:c r="C1811" s="46" t="str">
        <x:v>functional</x:v>
      </x:c>
      <x:c r="D1811" s="46" t="str">
        <x:v>Medium benthopelagics (30 - 89 cm)</x:v>
      </x:c>
      <x:c r="E1811" s="66" t="n">
        <x:v>18</x:v>
      </x:c>
      <x:c r="F1811" s="66" t="n">
        <x:v>18</x:v>
      </x:c>
      <x:c r="G1811" s="60" t="n">
        <x:v>6057.5693896803</x:v>
      </x:c>
      <x:c r="H1811" s="60" t="n">
        <x:v>6057.5693896803</x:v>
      </x:c>
      <x:c r="I1811" s="62" t="n">
        <x:v>0</x:v>
      </x:c>
      <x:c r="J1811" s="64" t="n">
        <x:v>1</x:v>
      </x:c>
      <x:c r="K1811" s="62" t="n">
        <x:v>705.5596994842584</x:v>
      </x:c>
      <x:c r="L1811" s="60" t="n">
        <x:v>4273976.838187875</x:v>
      </x:c>
      <x:c r="M1811" s="62" t="n">
        <x:v>3.7249624491500364</x:v>
      </x:c>
      <x:c r="N1811" s="62" t="n">
        <x:v>530.8385438082761</x:v>
      </x:c>
      <x:c r="O1811" s="60" t="n">
        <x:v>3215591.3138354784</x:v>
      </x:c>
      <x:c r="P1811" s="60" t="n">
        <x:v>1058385.5243523968</x:v>
      </x:c>
      <x:c r="Q1811" s="62" t="n">
        <x:v>1.3291418034992701</x:v>
      </x:c>
      <x:c r="R1811" s="64" t="n">
        <x:v>0.32914180349927014</x:v>
      </x:c>
    </x:row>
    <x:row r="1812" ht="18" customHeight="1">
      <x:c r="A1812" s="46" t="str">
        <x:v>LME_041</x:v>
      </x:c>
      <x:c r="B1812" s="46" t="str">
        <x:v>East-Central Australian Shelf</x:v>
      </x:c>
      <x:c r="C1812" s="46" t="str">
        <x:v>functional</x:v>
      </x:c>
      <x:c r="D1812" s="46" t="str">
        <x:v>Medium demersals (30 - 89 cm)</x:v>
      </x:c>
      <x:c r="E1812" s="66" t="n">
        <x:v>40</x:v>
      </x:c>
      <x:c r="F1812" s="66" t="n">
        <x:v>40</x:v>
      </x:c>
      <x:c r="G1812" s="60" t="n">
        <x:v>9535.826594327</x:v>
      </x:c>
      <x:c r="H1812" s="60" t="n">
        <x:v>9535.826594327</x:v>
      </x:c>
      <x:c r="I1812" s="62" t="n">
        <x:v>0</x:v>
      </x:c>
      <x:c r="J1812" s="64" t="n">
        <x:v>1</x:v>
      </x:c>
      <x:c r="K1812" s="62" t="n">
        <x:v>238.81301464185995</x:v>
      </x:c>
      <x:c r="L1812" s="60" t="n">
        <x:v>2277279.4960932513</x:v>
      </x:c>
      <x:c r="M1812" s="62" t="n">
        <x:v>3.344041893286651</x:v>
      </x:c>
      <x:c r="N1812" s="62" t="n">
        <x:v>220.82177337376297</x:v>
      </x:c>
      <x:c r="O1812" s="60" t="n">
        <x:v>2105718.1391439787</x:v>
      </x:c>
      <x:c r="P1812" s="60" t="n">
        <x:v>171561.35694927257</x:v>
      </x:c>
      <x:c r="Q1812" s="62" t="n">
        <x:v>1.0814740367003801</x:v>
      </x:c>
      <x:c r="R1812" s="64" t="n">
        <x:v>0.08147403670038007</x:v>
      </x:c>
    </x:row>
    <x:row r="1813" ht="18" customHeight="1">
      <x:c r="A1813" s="46" t="str">
        <x:v>LME_041</x:v>
      </x:c>
      <x:c r="B1813" s="46" t="str">
        <x:v>East-Central Australian Shelf</x:v>
      </x:c>
      <x:c r="C1813" s="46" t="str">
        <x:v>functional</x:v>
      </x:c>
      <x:c r="D1813" s="46" t="str">
        <x:v>Medium pelagics (30 - 89 cm)</x:v>
      </x:c>
      <x:c r="E1813" s="66" t="n">
        <x:v>17</x:v>
      </x:c>
      <x:c r="F1813" s="66" t="n">
        <x:v>17</x:v>
      </x:c>
      <x:c r="G1813" s="60" t="n">
        <x:v>3961.1656935109004</x:v>
      </x:c>
      <x:c r="H1813" s="60" t="n">
        <x:v>3961.1656935109004</x:v>
      </x:c>
      <x:c r="I1813" s="62" t="n">
        <x:v>0</x:v>
      </x:c>
      <x:c r="J1813" s="64" t="n">
        <x:v>1</x:v>
      </x:c>
      <x:c r="K1813" s="62" t="n">
        <x:v>1293.340355391609</x:v>
      </x:c>
      <x:c r="L1813" s="60" t="n">
        <x:v>5123135.445810437</x:v>
      </x:c>
      <x:c r="M1813" s="62" t="n">
        <x:v>3.9860864714737176</x:v>
      </x:c>
      <x:c r="N1813" s="62" t="n">
        <x:v>968.4706672518026</x:v>
      </x:c>
      <x:c r="O1813" s="60" t="n">
        <x:v>3836272.7822894515</x:v>
      </x:c>
      <x:c r="P1813" s="60" t="n">
        <x:v>1286862.6635209857</x:v>
      </x:c>
      <x:c r="Q1813" s="62" t="n">
        <x:v>1.3354460791896552</x:v>
      </x:c>
      <x:c r="R1813" s="64" t="n">
        <x:v>0.3354460791896551</x:v>
      </x:c>
    </x:row>
    <x:row r="1814" ht="18" customHeight="1">
      <x:c r="A1814" s="46" t="str">
        <x:v>LME_041</x:v>
      </x:c>
      <x:c r="B1814" s="46" t="str">
        <x:v>East-Central Australian Shelf</x:v>
      </x:c>
      <x:c r="C1814" s="46" t="str">
        <x:v>functional</x:v>
      </x:c>
      <x:c r="D1814" s="46" t="str">
        <x:v>Medium reef assoc. fish (30 - 89 cm)</x:v>
      </x:c>
      <x:c r="E1814" s="66" t="n">
        <x:v>62</x:v>
      </x:c>
      <x:c r="F1814" s="66" t="n">
        <x:v>62</x:v>
      </x:c>
      <x:c r="G1814" s="60" t="n">
        <x:v>1849.7641727568998</x:v>
      </x:c>
      <x:c r="H1814" s="60" t="n">
        <x:v>1849.7641727568998</x:v>
      </x:c>
      <x:c r="I1814" s="62" t="n">
        <x:v>0</x:v>
      </x:c>
      <x:c r="J1814" s="64" t="n">
        <x:v>1</x:v>
      </x:c>
      <x:c r="K1814" s="62" t="n">
        <x:v>227.08112564592693</x:v>
      </x:c>
      <x:c r="L1814" s="60" t="n">
        <x:v>420046.53052914364</x:v>
      </x:c>
      <x:c r="M1814" s="62" t="n">
        <x:v>2.820294760296192</x:v>
      </x:c>
      <x:c r="N1814" s="62" t="n">
        <x:v>66.1142019904451</x:v>
      </x:c>
      <x:c r="O1814" s="60" t="n">
        <x:v>122295.68215233825</x:v>
      </x:c>
      <x:c r="P1814" s="60" t="n">
        <x:v>297750.84837680537</x:v>
      </x:c>
      <x:c r="Q1814" s="62" t="n">
        <x:v>3.434679975094382</x:v>
      </x:c>
      <x:c r="R1814" s="64" t="n">
        <x:v>2.434679975094382</x:v>
      </x:c>
    </x:row>
    <x:row r="1815" ht="18" customHeight="1">
      <x:c r="A1815" s="46" t="str">
        <x:v>LME_041</x:v>
      </x:c>
      <x:c r="B1815" s="46" t="str">
        <x:v>East-Central Australian Shelf</x:v>
      </x:c>
      <x:c r="C1815" s="46" t="str">
        <x:v>functional</x:v>
      </x:c>
      <x:c r="D1815" s="46" t="str">
        <x:v>Other demersal invertebrates</x:v>
      </x:c>
      <x:c r="E1815" s="66" t="n">
        <x:v>13</x:v>
      </x:c>
      <x:c r="F1815" s="66" t="n">
        <x:v>13</x:v>
      </x:c>
      <x:c r="G1815" s="60" t="n">
        <x:v>540.8422844457998</x:v>
      </x:c>
      <x:c r="H1815" s="60" t="n">
        <x:v>540.8422844457998</x:v>
      </x:c>
      <x:c r="I1815" s="62" t="n">
        <x:v>0</x:v>
      </x:c>
      <x:c r="J1815" s="64" t="n">
        <x:v>1</x:v>
      </x:c>
      <x:c r="K1815" s="62" t="n">
        <x:v>16.569373445758373</x:v>
      </x:c>
      <x:c r="L1815" s="60" t="n">
        <x:v>8961.417786239532</x:v>
      </x:c>
      <x:c r="M1815" s="62" t="n">
        <x:v>2.1393419758351793</x:v>
      </x:c>
      <x:c r="N1815" s="62" t="n">
        <x:v>13.782943499025116</x:v>
      </x:c>
      <x:c r="O1815" s="60" t="n">
        <x:v>7454.398648400129</x:v>
      </x:c>
      <x:c r="P1815" s="60" t="n">
        <x:v>1507.019137839403</x:v>
      </x:c>
      <x:c r="Q1815" s="62" t="n">
        <x:v>1.2021650851960863</x:v>
      </x:c>
      <x:c r="R1815" s="64" t="n">
        <x:v>0.20216508519608634</x:v>
      </x:c>
    </x:row>
    <x:row r="1816" ht="18" customHeight="1">
      <x:c r="A1816" s="46" t="str">
        <x:v>LME_041</x:v>
      </x:c>
      <x:c r="B1816" s="46" t="str">
        <x:v>East-Central Australian Shelf</x:v>
      </x:c>
      <x:c r="C1816" s="46" t="str">
        <x:v>functional</x:v>
      </x:c>
      <x:c r="D1816" s="46" t="str">
        <x:v>Shrimps</x:v>
      </x:c>
      <x:c r="E1816" s="66" t="n">
        <x:v>10</x:v>
      </x:c>
      <x:c r="F1816" s="66" t="n">
        <x:v>10</x:v>
      </x:c>
      <x:c r="G1816" s="60" t="n">
        <x:v>1511.1761478252</x:v>
      </x:c>
      <x:c r="H1816" s="60" t="n">
        <x:v>1511.1761478252</x:v>
      </x:c>
      <x:c r="I1816" s="62" t="n">
        <x:v>0</x:v>
      </x:c>
      <x:c r="J1816" s="64" t="n">
        <x:v>1</x:v>
      </x:c>
      <x:c r="K1816" s="62" t="n">
        <x:v>148.79057429555343</x:v>
      </x:c>
      <x:c r="L1816" s="60" t="n">
        <x:v>224848.76689665363</x:v>
      </x:c>
      <x:c r="M1816" s="62" t="n">
        <x:v>2.958536319289345</x:v>
      </x:c>
      <x:c r="N1816" s="62" t="n">
        <x:v>90.89423091457613</x:v>
      </x:c>
      <x:c r="O1816" s="60" t="n">
        <x:v>137357.19373302336</x:v>
      </x:c>
      <x:c r="P1816" s="60" t="n">
        <x:v>87491.57316363027</x:v>
      </x:c>
      <x:c r="Q1816" s="62" t="n">
        <x:v>1.6369638952706382</x:v>
      </x:c>
      <x:c r="R1816" s="64" t="n">
        <x:v>0.6369638952706382</x:v>
      </x:c>
    </x:row>
    <x:row r="1817" ht="18" customHeight="1">
      <x:c r="A1817" s="46" t="str">
        <x:v>LME_041</x:v>
      </x:c>
      <x:c r="B1817" s="46" t="str">
        <x:v>East-Central Australian Shelf</x:v>
      </x:c>
      <x:c r="C1817" s="46" t="str">
        <x:v>functional</x:v>
      </x:c>
      <x:c r="D1817" s="46" t="str">
        <x:v>Small benthopelagics (&lt;30 cm)</x:v>
      </x:c>
      <x:c r="E1817" s="66" t="n">
        <x:v>3</x:v>
      </x:c>
      <x:c r="F1817" s="66" t="n">
        <x:v>3</x:v>
      </x:c>
      <x:c r="G1817" s="60" t="n">
        <x:v>358.0027724032</x:v>
      </x:c>
      <x:c r="H1817" s="60" t="n">
        <x:v>358.0027724032</x:v>
      </x:c>
      <x:c r="I1817" s="62" t="n">
        <x:v>0</x:v>
      </x:c>
      <x:c r="J1817" s="64" t="n">
        <x:v>1</x:v>
      </x:c>
      <x:c r="K1817" s="62" t="n">
        <x:v>185.0938852013231</x:v>
      </x:c>
      <x:c r="L1817" s="60" t="n">
        <x:v>66264.12405695331</x:v>
      </x:c>
      <x:c r="M1817" s="62" t="n">
        <x:v>3.267026815228662</x:v>
      </x:c>
      <x:c r="N1817" s="62" t="n">
        <x:v>184.93828043842478</x:v>
      </x:c>
      <x:c r="O1817" s="60" t="n">
        <x:v>66208.41712043657</x:v>
      </x:c>
      <x:c r="P1817" s="60" t="n">
        <x:v>55.706936516740825</x:v>
      </x:c>
      <x:c r="Q1817" s="62" t="n">
        <x:v>1.0008413875295554</x:v>
      </x:c>
      <x:c r="R1817" s="64" t="n">
        <x:v>0.000841387529555449</x:v>
      </x:c>
    </x:row>
    <x:row r="1818" ht="18" customHeight="1">
      <x:c r="A1818" s="46" t="str">
        <x:v>LME_041</x:v>
      </x:c>
      <x:c r="B1818" s="46" t="str">
        <x:v>East-Central Australian Shelf</x:v>
      </x:c>
      <x:c r="C1818" s="46" t="str">
        <x:v>functional</x:v>
      </x:c>
      <x:c r="D1818" s="46" t="str">
        <x:v>Small demersals (&lt;30 cm)</x:v>
      </x:c>
      <x:c r="E1818" s="66" t="n">
        <x:v>2</x:v>
      </x:c>
      <x:c r="F1818" s="66" t="n">
        <x:v>2</x:v>
      </x:c>
      <x:c r="G1818" s="60" t="n">
        <x:v>12.7929903027</x:v>
      </x:c>
      <x:c r="H1818" s="60" t="n">
        <x:v>12.7929903027</x:v>
      </x:c>
      <x:c r="I1818" s="62" t="n">
        <x:v>0</x:v>
      </x:c>
      <x:c r="J1818" s="64" t="n">
        <x:v>1</x:v>
      </x:c>
      <x:c r="K1818" s="62" t="n">
        <x:v>413.15321404396377</x:v>
      </x:c>
      <x:c r="L1818" s="60" t="n">
        <x:v>5285.465060793766</x:v>
      </x:c>
      <x:c r="M1818" s="62" t="n">
        <x:v>3.615421499292262</x:v>
      </x:c>
      <x:c r="N1818" s="62" t="n">
        <x:v>412.49766954318585</x:v>
      </x:c>
      <x:c r="O1818" s="60" t="n">
        <x:v>5277.078686352325</x:v>
      </x:c>
      <x:c r="P1818" s="60" t="n">
        <x:v>8.386374441440239</x:v>
      </x:c>
      <x:c r="Q1818" s="62" t="n">
        <x:v>1.0015892077681405</x:v>
      </x:c>
      <x:c r="R1818" s="64" t="n">
        <x:v>0.001589207768140587</x:v>
      </x:c>
    </x:row>
    <x:row r="1819" ht="18" customHeight="1">
      <x:c r="A1819" s="46" t="str">
        <x:v>LME_041</x:v>
      </x:c>
      <x:c r="B1819" s="46" t="str">
        <x:v>East-Central Australian Shelf</x:v>
      </x:c>
      <x:c r="C1819" s="46" t="str">
        <x:v>functional</x:v>
      </x:c>
      <x:c r="D1819" s="46" t="str">
        <x:v>Small pelagics (&lt;30 cm)</x:v>
      </x:c>
      <x:c r="E1819" s="66" t="n">
        <x:v>15</x:v>
      </x:c>
      <x:c r="F1819" s="66" t="n">
        <x:v>15</x:v>
      </x:c>
      <x:c r="G1819" s="60" t="n">
        <x:v>128.6662106751</x:v>
      </x:c>
      <x:c r="H1819" s="60" t="n">
        <x:v>128.6662106751</x:v>
      </x:c>
      <x:c r="I1819" s="62" t="n">
        <x:v>0</x:v>
      </x:c>
      <x:c r="J1819" s="64" t="n">
        <x:v>1</x:v>
      </x:c>
      <x:c r="K1819" s="62" t="n">
        <x:v>456.15506389305745</x:v>
      </x:c>
      <x:c r="L1819" s="60" t="n">
        <x:v>58691.743551377825</x:v>
      </x:c>
      <x:c r="M1819" s="62" t="n">
        <x:v>3.3077571133264843</x:v>
      </x:c>
      <x:c r="N1819" s="62" t="n">
        <x:v>203.12206980336802</x:v>
      </x:c>
      <x:c r="O1819" s="60" t="n">
        <x:v>26134.947026082515</x:v>
      </x:c>
      <x:c r="P1819" s="60" t="n">
        <x:v>32556.79652529531</x:v>
      </x:c>
      <x:c r="Q1819" s="62" t="n">
        <x:v>2.2457188642014017</x:v>
      </x:c>
      <x:c r="R1819" s="64" t="n">
        <x:v>1.2457188642014017</x:v>
      </x:c>
    </x:row>
    <x:row r="1820" ht="18" customHeight="1">
      <x:c r="A1820" s="46" t="str">
        <x:v>LME_041</x:v>
      </x:c>
      <x:c r="B1820" s="46" t="str">
        <x:v>East-Central Australian Shelf</x:v>
      </x:c>
      <x:c r="C1820" s="46" t="str">
        <x:v>functional</x:v>
      </x:c>
      <x:c r="D1820" s="46" t="str">
        <x:v>Small reef assoc. fish (&lt;30 cm)</x:v>
      </x:c>
      <x:c r="E1820" s="66" t="n">
        <x:v>10</x:v>
      </x:c>
      <x:c r="F1820" s="66" t="n">
        <x:v>10</x:v>
      </x:c>
      <x:c r="G1820" s="60" t="n">
        <x:v>34.64633389579999</x:v>
      </x:c>
      <x:c r="H1820" s="60" t="n">
        <x:v>34.64633389579999</x:v>
      </x:c>
      <x:c r="I1820" s="62" t="n">
        <x:v>0</x:v>
      </x:c>
      <x:c r="J1820" s="64" t="n">
        <x:v>1</x:v>
      </x:c>
      <x:c r="K1820" s="62" t="n">
        <x:v>191.9520345260621</x:v>
      </x:c>
      <x:c r="L1820" s="60" t="n">
        <x:v>6650.434280168076</x:v>
      </x:c>
      <x:c r="M1820" s="62" t="n">
        <x:v>3.265889168913331</x:v>
      </x:c>
      <x:c r="N1820" s="62" t="n">
        <x:v>184.45446349939095</x:v>
      </x:c>
      <x:c r="O1820" s="60" t="n">
        <x:v>6390.670930970551</x:v>
      </x:c>
      <x:c r="P1820" s="60" t="n">
        <x:v>259.7633491975248</x:v>
      </x:c>
      <x:c r="Q1820" s="62" t="n">
        <x:v>1.0406472735027954</x:v>
      </x:c>
      <x:c r="R1820" s="64" t="n">
        <x:v>0.04064727350279551</x:v>
      </x:c>
    </x:row>
    <x:row r="1821" ht="18" customHeight="1">
      <x:c r="A1821" s="46" t="str">
        <x:v>LME_041</x:v>
      </x:c>
      <x:c r="B1821" s="46" t="str">
        <x:v>East-Central Australian Shelf</x:v>
      </x:c>
      <x:c r="C1821" s="46" t="str">
        <x:v>functional</x:v>
      </x:c>
      <x:c r="D1821" s="46" t="str">
        <x:v>Small to medium flatfishes (&lt;90 cm)</x:v>
      </x:c>
      <x:c r="E1821" s="66" t="n">
        <x:v>3</x:v>
      </x:c>
      <x:c r="F1821" s="66" t="n">
        <x:v>3</x:v>
      </x:c>
      <x:c r="G1821" s="60" t="n">
        <x:v>28.976482422600004</x:v>
      </x:c>
      <x:c r="H1821" s="60" t="n">
        <x:v>28.976482422600004</x:v>
      </x:c>
      <x:c r="I1821" s="62" t="n">
        <x:v>0</x:v>
      </x:c>
      <x:c r="J1821" s="64" t="n">
        <x:v>1</x:v>
      </x:c>
      <x:c r="K1821" s="62" t="n">
        <x:v>422.285352559009</x:v>
      </x:c>
      <x:c r="L1821" s="60" t="n">
        <x:v>12236.34409574757</x:v>
      </x:c>
      <x:c r="M1821" s="62" t="n">
        <x:v>3.5695898990764063</x:v>
      </x:c>
      <x:c r="N1821" s="62" t="n">
        <x:v>371.1845568456874</x:v>
      </x:c>
      <x:c r="O1821" s="60" t="n">
        <x:v>10755.622786979633</x:v>
      </x:c>
      <x:c r="P1821" s="60" t="n">
        <x:v>1480.7213087679374</x:v>
      </x:c>
      <x:c r="Q1821" s="62" t="n">
        <x:v>1.1376695090646396</x:v>
      </x:c>
      <x:c r="R1821" s="64" t="n">
        <x:v>0.13766950906463965</x:v>
      </x:c>
    </x:row>
    <x:row r="1822" ht="18" customHeight="1">
      <x:c r="A1822" s="46" t="str">
        <x:v>LME_041</x:v>
      </x:c>
      <x:c r="B1822" s="46" t="str">
        <x:v>East-Central Australian Shelf</x:v>
      </x:c>
      <x:c r="C1822" s="46" t="str">
        <x:v>functional</x:v>
      </x:c>
      <x:c r="D1822" s="46" t="str">
        <x:v>Small to medium rays (&lt;90 cm)</x:v>
      </x:c>
      <x:c r="E1822" s="66" t="n">
        <x:v>2</x:v>
      </x:c>
      <x:c r="F1822" s="66" t="n">
        <x:v>2</x:v>
      </x:c>
      <x:c r="G1822" s="60" t="n">
        <x:v>76.9570753778</x:v>
      </x:c>
      <x:c r="H1822" s="60" t="n">
        <x:v>76.9570753778</x:v>
      </x:c>
      <x:c r="I1822" s="62" t="n">
        <x:v>0</x:v>
      </x:c>
      <x:c r="J1822" s="64" t="n">
        <x:v>1</x:v>
      </x:c>
      <x:c r="K1822" s="62" t="n">
        <x:v>368.8263539866721</x:v>
      </x:c>
      <x:c r="L1822" s="60" t="n">
        <x:v>28383.797525071466</x:v>
      </x:c>
      <x:c r="M1822" s="62" t="n">
        <x:v>3.5583925860419496</x:v>
      </x:c>
      <x:c r="N1822" s="62" t="n">
        <x:v>361.7367114066963</x:v>
      </x:c>
      <x:c r="O1822" s="60" t="n">
        <x:v>27838.199366642613</x:v>
      </x:c>
      <x:c r="P1822" s="60" t="n">
        <x:v>545.5981584288529</x:v>
      </x:c>
      <x:c r="Q1822" s="62" t="n">
        <x:v>1.0195989026173373</x:v>
      </x:c>
      <x:c r="R1822" s="64" t="n">
        <x:v>0.019598902617337422</x:v>
      </x:c>
    </x:row>
    <x:row r="1823" ht="18" customHeight="1">
      <x:c r="A1823" s="46" t="str">
        <x:v>LME_041</x:v>
      </x:c>
      <x:c r="B1823" s="46" t="str">
        <x:v>East-Central Australian Shelf</x:v>
      </x:c>
      <x:c r="C1823" s="46" t="str">
        <x:v>functional</x:v>
      </x:c>
      <x:c r="D1823" s="46" t="str">
        <x:v>Small to medium sharks (&lt;90 cm)</x:v>
      </x:c>
      <x:c r="E1823" s="66" t="n">
        <x:v>2</x:v>
      </x:c>
      <x:c r="F1823" s="66" t="n">
        <x:v>2</x:v>
      </x:c>
      <x:c r="G1823" s="60" t="n">
        <x:v>0.5689391556000001</x:v>
      </x:c>
      <x:c r="H1823" s="60" t="n">
        <x:v>0.5689391556000001</x:v>
      </x:c>
      <x:c r="I1823" s="62" t="n">
        <x:v>0</x:v>
      </x:c>
      <x:c r="J1823" s="64" t="n">
        <x:v>1</x:v>
      </x:c>
      <x:c r="K1823" s="62" t="n">
        <x:v>2341.3948752015276</x:v>
      </x:c>
      <x:c r="L1823" s="60" t="n">
        <x:v>1332.1112232233247</x:v>
      </x:c>
      <x:c r="M1823" s="62" t="n">
        <x:v>4.369379104590494</x:v>
      </x:c>
      <x:c r="N1823" s="62" t="n">
        <x:v>2340.8797491603705</x:v>
      </x:c>
      <x:c r="O1823" s="60" t="n">
        <x:v>1331.8181478484412</x:v>
      </x:c>
      <x:c r="P1823" s="60" t="n">
        <x:v>0.29307537488352864</x:v>
      </x:c>
      <x:c r="Q1823" s="62" t="n">
        <x:v>1.0002200566010886</x:v>
      </x:c>
      <x:c r="R1823" s="64" t="n">
        <x:v>0.0002200566010885145</x:v>
      </x:c>
    </x:row>
    <x:row r="1824" ht="18" customHeight="1">
      <x:c r="A1824" s="46" t="str">
        <x:v>LME_042</x:v>
      </x:c>
      <x:c r="B1824" s="46" t="str">
        <x:v>Southeast Australian Shelf</x:v>
      </x:c>
      <x:c r="C1824" s="46" t="str">
        <x:v>functional</x:v>
      </x:c>
      <x:c r="D1824" s="46" t="str">
        <x:v>Cephalopods</x:v>
      </x:c>
      <x:c r="E1824" s="66" t="n">
        <x:v>4</x:v>
      </x:c>
      <x:c r="F1824" s="66" t="n">
        <x:v>4</x:v>
      </x:c>
      <x:c r="G1824" s="60" t="n">
        <x:v>423.32760087549997</x:v>
      </x:c>
      <x:c r="H1824" s="60" t="n">
        <x:v>423.32760087549997</x:v>
      </x:c>
      <x:c r="I1824" s="62" t="n">
        <x:v>0</x:v>
      </x:c>
      <x:c r="J1824" s="64" t="n">
        <x:v>1</x:v>
      </x:c>
      <x:c r="K1824" s="62" t="n">
        <x:v>1008.6224037774041</x:v>
      </x:c>
      <x:c r="L1824" s="60" t="n">
        <x:v>426977.7023803683</x:v>
      </x:c>
      <x:c r="M1824" s="62" t="n">
        <x:v>3.9802955692207984</x:v>
      </x:c>
      <x:c r="N1824" s="62" t="n">
        <x:v>955.6427496766704</x:v>
      </x:c>
      <x:c r="O1824" s="60" t="n">
        <x:v>404549.95251469087</x:v>
      </x:c>
      <x:c r="P1824" s="60" t="n">
        <x:v>22427.74986567744</x:v>
      </x:c>
      <x:c r="Q1824" s="62" t="n">
        <x:v>1.0554387652903334</x:v>
      </x:c>
      <x:c r="R1824" s="64" t="n">
        <x:v>0.05543876529033333</x:v>
      </x:c>
    </x:row>
    <x:row r="1825" ht="18" customHeight="1">
      <x:c r="A1825" s="46" t="str">
        <x:v>LME_042</x:v>
      </x:c>
      <x:c r="B1825" s="46" t="str">
        <x:v>Southeast Australian Shelf</x:v>
      </x:c>
      <x:c r="C1825" s="46" t="str">
        <x:v>functional</x:v>
      </x:c>
      <x:c r="D1825" s="46" t="str">
        <x:v>Jellyfish</x:v>
      </x:c>
      <x:c r="E1825" s="66" t="n">
        <x:v>1</x:v>
      </x:c>
      <x:c r="F1825" s="66" t="n">
        <x:v>1</x:v>
      </x:c>
      <x:c r="G1825" s="60" t="n">
        <x:v>0.8867556178999999</x:v>
      </x:c>
      <x:c r="H1825" s="60" t="n">
        <x:v>0.8867556178999999</x:v>
      </x:c>
      <x:c r="I1825" s="62" t="n">
        <x:v>0</x:v>
      </x:c>
      <x:c r="J1825" s="64" t="n">
        <x:v>1</x:v>
      </x:c>
      <x:c r="K1825" s="62" t="n">
        <x:v>288.40315031266056</x:v>
      </x:c>
      <x:c r="L1825" s="60" t="n">
        <x:v>255.74311375980986</x:v>
      </x:c>
      <x:c r="M1825" s="62" t="n">
        <x:v>3.46</x:v>
      </x:c>
      <x:c r="N1825" s="62" t="n">
        <x:v>288.40315031266056</x:v>
      </x:c>
      <x:c r="O1825" s="60" t="n">
        <x:v>255.74311375980986</x:v>
      </x:c>
      <x:c r="P1825" s="60" t="n">
        <x:v>0</x:v>
      </x:c>
      <x:c r="Q1825" s="62" t="n">
        <x:v>1</x:v>
      </x:c>
      <x:c r="R1825" s="64" t="n">
        <x:v>0</x:v>
      </x:c>
    </x:row>
    <x:row r="1826" ht="18" customHeight="1">
      <x:c r="A1826" s="46" t="str">
        <x:v>LME_042</x:v>
      </x:c>
      <x:c r="B1826" s="46" t="str">
        <x:v>Southeast Australian Shelf</x:v>
      </x:c>
      <x:c r="C1826" s="46" t="str">
        <x:v>functional</x:v>
      </x:c>
      <x:c r="D1826" s="46" t="str">
        <x:v>Large bathydemersals (&gt;=90 cm)</x:v>
      </x:c>
      <x:c r="E1826" s="66" t="n">
        <x:v>4</x:v>
      </x:c>
      <x:c r="F1826" s="66" t="n">
        <x:v>4</x:v>
      </x:c>
      <x:c r="G1826" s="60" t="n">
        <x:v>687.6200815234001</x:v>
      </x:c>
      <x:c r="H1826" s="60" t="n">
        <x:v>687.6200815234001</x:v>
      </x:c>
      <x:c r="I1826" s="62" t="n">
        <x:v>0</x:v>
      </x:c>
      <x:c r="J1826" s="64" t="n">
        <x:v>1</x:v>
      </x:c>
      <x:c r="K1826" s="62" t="n">
        <x:v>1466.5847392078958</x:v>
      </x:c>
      <x:c r="L1826" s="60" t="n">
        <x:v>1008453.1179351079</x:v>
      </x:c>
      <x:c r="M1826" s="62" t="n">
        <x:v>4.14641634720849</x:v>
      </x:c>
      <x:c r="N1826" s="62" t="n">
        <x:v>1400.929715131425</x:v>
      </x:c>
      <x:c r="O1826" s="60" t="n">
        <x:v>963307.4049272242</x:v>
      </x:c>
      <x:c r="P1826" s="60" t="n">
        <x:v>45145.71300788375</x:v>
      </x:c>
      <x:c r="Q1826" s="62" t="n">
        <x:v>1.0468653233401588</x:v>
      </x:c>
      <x:c r="R1826" s="64" t="n">
        <x:v>0.046865323340158915</x:v>
      </x:c>
    </x:row>
    <x:row r="1827" ht="18" customHeight="1">
      <x:c r="A1827" s="46" t="str">
        <x:v>LME_042</x:v>
      </x:c>
      <x:c r="B1827" s="46" t="str">
        <x:v>Southeast Australian Shelf</x:v>
      </x:c>
      <x:c r="C1827" s="46" t="str">
        <x:v>functional</x:v>
      </x:c>
      <x:c r="D1827" s="46" t="str">
        <x:v>Large bathypelagics (&gt;=90 cm)</x:v>
      </x:c>
      <x:c r="E1827" s="66" t="n">
        <x:v>2</x:v>
      </x:c>
      <x:c r="F1827" s="66" t="n">
        <x:v>2</x:v>
      </x:c>
      <x:c r="G1827" s="60" t="n">
        <x:v>34.1631013226</x:v>
      </x:c>
      <x:c r="H1827" s="60" t="n">
        <x:v>34.1631013226</x:v>
      </x:c>
      <x:c r="I1827" s="62" t="n">
        <x:v>0</x:v>
      </x:c>
      <x:c r="J1827" s="64" t="n">
        <x:v>1</x:v>
      </x:c>
      <x:c r="K1827" s="62" t="n">
        <x:v>1575.01286241373</x:v>
      </x:c>
      <x:c r="L1827" s="60" t="n">
        <x:v>53807.32400303851</x:v>
      </x:c>
      <x:c r="M1827" s="62" t="n">
        <x:v>4.189350683263719</x:v>
      </x:c>
      <x:c r="N1827" s="62" t="n">
        <x:v>1546.5027024929993</x:v>
      </x:c>
      <x:c r="O1827" s="60" t="n">
        <x:v>52833.32852094306</x:v>
      </x:c>
      <x:c r="P1827" s="60" t="n">
        <x:v>973.9954820954517</x:v>
      </x:c>
      <x:c r="Q1827" s="62" t="n">
        <x:v>1.0184352473970926</x:v>
      </x:c>
      <x:c r="R1827" s="64" t="n">
        <x:v>0.018435247397092562</x:v>
      </x:c>
    </x:row>
    <x:row r="1828" ht="18" customHeight="1">
      <x:c r="A1828" s="46" t="str">
        <x:v>LME_042</x:v>
      </x:c>
      <x:c r="B1828" s="46" t="str">
        <x:v>Southeast Australian Shelf</x:v>
      </x:c>
      <x:c r="C1828" s="46" t="str">
        <x:v>functional</x:v>
      </x:c>
      <x:c r="D1828" s="46" t="str">
        <x:v>Large benthopelagics (&gt;=90 cm)</x:v>
      </x:c>
      <x:c r="E1828" s="66" t="n">
        <x:v>14</x:v>
      </x:c>
      <x:c r="F1828" s="66" t="n">
        <x:v>14</x:v>
      </x:c>
      <x:c r="G1828" s="60" t="n">
        <x:v>1236.6728730927998</x:v>
      </x:c>
      <x:c r="H1828" s="60" t="n">
        <x:v>1236.6728730927998</x:v>
      </x:c>
      <x:c r="I1828" s="62" t="n">
        <x:v>0</x:v>
      </x:c>
      <x:c r="J1828" s="64" t="n">
        <x:v>1</x:v>
      </x:c>
      <x:c r="K1828" s="62" t="n">
        <x:v>481.2318916577784</x:v>
      </x:c>
      <x:c r="L1828" s="60" t="n">
        <x:v>595126.4260803078</x:v>
      </x:c>
      <x:c r="M1828" s="62" t="n">
        <x:v>3.1841746243905664</x:v>
      </x:c>
      <x:c r="N1828" s="62" t="n">
        <x:v>152.81803969846084</x:v>
      </x:c>
      <x:c r="O1828" s="60" t="n">
        <x:v>188985.9242143051</x:v>
      </x:c>
      <x:c r="P1828" s="60" t="n">
        <x:v>406140.5018660027</x:v>
      </x:c>
      <x:c r="Q1828" s="62" t="n">
        <x:v>3.1490515950037103</x:v>
      </x:c>
      <x:c r="R1828" s="64" t="n">
        <x:v>2.1490515950037103</x:v>
      </x:c>
    </x:row>
    <x:row r="1829" ht="18" customHeight="1">
      <x:c r="A1829" s="46" t="str">
        <x:v>LME_042</x:v>
      </x:c>
      <x:c r="B1829" s="46" t="str">
        <x:v>Southeast Australian Shelf</x:v>
      </x:c>
      <x:c r="C1829" s="46" t="str">
        <x:v>functional</x:v>
      </x:c>
      <x:c r="D1829" s="46" t="str">
        <x:v>Large demersals (&gt;=90 cm)</x:v>
      </x:c>
      <x:c r="E1829" s="66" t="n">
        <x:v>5</x:v>
      </x:c>
      <x:c r="F1829" s="66" t="n">
        <x:v>5</x:v>
      </x:c>
      <x:c r="G1829" s="60" t="n">
        <x:v>1000.7775215907001</x:v>
      </x:c>
      <x:c r="H1829" s="60" t="n">
        <x:v>1000.7775215907001</x:v>
      </x:c>
      <x:c r="I1829" s="62" t="n">
        <x:v>0</x:v>
      </x:c>
      <x:c r="J1829" s="64" t="n">
        <x:v>1</x:v>
      </x:c>
      <x:c r="K1829" s="62" t="n">
        <x:v>2280.3183940269364</x:v>
      </x:c>
      <x:c r="L1829" s="60" t="n">
        <x:v>2282091.390811963</x:v>
      </x:c>
      <x:c r="M1829" s="62" t="n">
        <x:v>4.1902200030566075</x:v>
      </x:c>
      <x:c r="N1829" s="62" t="n">
        <x:v>1549.6014106275197</x:v>
      </x:c>
      <x:c r="O1829" s="60" t="n">
        <x:v>1550806.259181262</x:v>
      </x:c>
      <x:c r="P1829" s="60" t="n">
        <x:v>731285.131630701</x:v>
      </x:c>
      <x:c r="Q1829" s="62" t="n">
        <x:v>1.4715515734484965</x:v>
      </x:c>
      <x:c r="R1829" s="64" t="n">
        <x:v>0.4715515734484965</x:v>
      </x:c>
    </x:row>
    <x:row r="1830" ht="18" customHeight="1">
      <x:c r="A1830" s="46" t="str">
        <x:v>LME_042</x:v>
      </x:c>
      <x:c r="B1830" s="46" t="str">
        <x:v>Southeast Australian Shelf</x:v>
      </x:c>
      <x:c r="C1830" s="46" t="str">
        <x:v>functional</x:v>
      </x:c>
      <x:c r="D1830" s="46" t="str">
        <x:v>Large pelagics (&gt;=90 cm)</x:v>
      </x:c>
      <x:c r="E1830" s="66" t="n">
        <x:v>24</x:v>
      </x:c>
      <x:c r="F1830" s="66" t="n">
        <x:v>24</x:v>
      </x:c>
      <x:c r="G1830" s="60" t="n">
        <x:v>5166.4686423179</x:v>
      </x:c>
      <x:c r="H1830" s="60" t="n">
        <x:v>5166.4686423179</x:v>
      </x:c>
      <x:c r="I1830" s="62" t="n">
        <x:v>0</x:v>
      </x:c>
      <x:c r="J1830" s="64" t="n">
        <x:v>1</x:v>
      </x:c>
      <x:c r="K1830" s="62" t="n">
        <x:v>967.0166038208713</x:v>
      </x:c>
      <x:c r="L1830" s="60" t="n">
        <x:v>4996060.960241283</x:v>
      </x:c>
      <x:c r="M1830" s="62" t="n">
        <x:v>3.9594057900828727</x:v>
      </x:c>
      <x:c r="N1830" s="62" t="n">
        <x:v>910.7638621543896</x:v>
      </x:c>
      <x:c r="O1830" s="60" t="n">
        <x:v>4705432.934376996</x:v>
      </x:c>
      <x:c r="P1830" s="60" t="n">
        <x:v>290628.0258642873</x:v>
      </x:c>
      <x:c r="Q1830" s="62" t="n">
        <x:v>1.0617643540812185</x:v>
      </x:c>
      <x:c r="R1830" s="64" t="n">
        <x:v>0.0617643540812184</x:v>
      </x:c>
    </x:row>
    <x:row r="1831" ht="18" customHeight="1">
      <x:c r="A1831" s="46" t="str">
        <x:v>LME_042</x:v>
      </x:c>
      <x:c r="B1831" s="46" t="str">
        <x:v>Southeast Australian Shelf</x:v>
      </x:c>
      <x:c r="C1831" s="46" t="str">
        <x:v>functional</x:v>
      </x:c>
      <x:c r="D1831" s="46" t="str">
        <x:v>Large rays (&gt;=90 cm)</x:v>
      </x:c>
      <x:c r="E1831" s="66" t="n">
        <x:v>6</x:v>
      </x:c>
      <x:c r="F1831" s="66" t="n">
        <x:v>6</x:v>
      </x:c>
      <x:c r="G1831" s="60" t="n">
        <x:v>400.6965410406</x:v>
      </x:c>
      <x:c r="H1831" s="60" t="n">
        <x:v>400.6965410406</x:v>
      </x:c>
      <x:c r="I1831" s="62" t="n">
        <x:v>0</x:v>
      </x:c>
      <x:c r="J1831" s="64" t="n">
        <x:v>1</x:v>
      </x:c>
      <x:c r="K1831" s="62" t="n">
        <x:v>561.5540544593201</x:v>
      </x:c>
      <x:c r="L1831" s="60" t="n">
        <x:v>225012.76722917426</x:v>
      </x:c>
      <x:c r="M1831" s="62" t="n">
        <x:v>3.7255770409450597</x:v>
      </x:c>
      <x:c r="N1831" s="62" t="n">
        <x:v>531.5902917159135</x:v>
      </x:c>
      <x:c r="O1831" s="60" t="n">
        <x:v>213006.39114133007</x:v>
      </x:c>
      <x:c r="P1831" s="60" t="n">
        <x:v>12006.376087844197</x:v>
      </x:c>
      <x:c r="Q1831" s="62" t="n">
        <x:v>1.0563662715635511</x:v>
      </x:c>
      <x:c r="R1831" s="64" t="n">
        <x:v>0.056366271563551104</x:v>
      </x:c>
    </x:row>
    <x:row r="1832" ht="18" customHeight="1">
      <x:c r="A1832" s="46" t="str">
        <x:v>LME_042</x:v>
      </x:c>
      <x:c r="B1832" s="46" t="str">
        <x:v>Southeast Australian Shelf</x:v>
      </x:c>
      <x:c r="C1832" s="46" t="str">
        <x:v>functional</x:v>
      </x:c>
      <x:c r="D1832" s="46" t="str">
        <x:v>Large reef assoc. fish (&gt;=90 cm)</x:v>
      </x:c>
      <x:c r="E1832" s="66" t="n">
        <x:v>3</x:v>
      </x:c>
      <x:c r="F1832" s="66" t="n">
        <x:v>3</x:v>
      </x:c>
      <x:c r="G1832" s="60" t="n">
        <x:v>3.5030766486</x:v>
      </x:c>
      <x:c r="H1832" s="60" t="n">
        <x:v>3.5030766486</x:v>
      </x:c>
      <x:c r="I1832" s="62" t="n">
        <x:v>0</x:v>
      </x:c>
      <x:c r="J1832" s="64" t="n">
        <x:v>1</x:v>
      </x:c>
      <x:c r="K1832" s="62" t="n">
        <x:v>836.8523608061678</x:v>
      </x:c>
      <x:c r="L1832" s="60" t="n">
        <x:v>2931.5579634658684</x:v>
      </x:c>
      <x:c r="M1832" s="62" t="n">
        <x:v>3.9216619394132657</x:v>
      </x:c>
      <x:c r="N1832" s="62" t="n">
        <x:v>834.9528268470883</x:v>
      </x:c>
      <x:c r="O1832" s="60" t="n">
        <x:v>2924.903750410594</x:v>
      </x:c>
      <x:c r="P1832" s="60" t="n">
        <x:v>6.65421305527434</x:v>
      </x:c>
      <x:c r="Q1832" s="62" t="n">
        <x:v>1.002275019495715</x:v>
      </x:c>
      <x:c r="R1832" s="64" t="n">
        <x:v>0.002275019495715109</x:v>
      </x:c>
    </x:row>
    <x:row r="1833" ht="18" customHeight="1">
      <x:c r="A1833" s="46" t="str">
        <x:v>LME_042</x:v>
      </x:c>
      <x:c r="B1833" s="46" t="str">
        <x:v>Southeast Australian Shelf</x:v>
      </x:c>
      <x:c r="C1833" s="46" t="str">
        <x:v>functional</x:v>
      </x:c>
      <x:c r="D1833" s="46" t="str">
        <x:v>Large sharks (&gt;=90 cm)</x:v>
      </x:c>
      <x:c r="E1833" s="66" t="n">
        <x:v>41</x:v>
      </x:c>
      <x:c r="F1833" s="66" t="n">
        <x:v>41</x:v>
      </x:c>
      <x:c r="G1833" s="60" t="n">
        <x:v>2039.8509761207997</x:v>
      </x:c>
      <x:c r="H1833" s="60" t="n">
        <x:v>2039.8509761207997</x:v>
      </x:c>
      <x:c r="I1833" s="62" t="n">
        <x:v>0</x:v>
      </x:c>
      <x:c r="J1833" s="64" t="n">
        <x:v>1</x:v>
      </x:c>
      <x:c r="K1833" s="62" t="n">
        <x:v>1328.737410542489</x:v>
      </x:c>
      <x:c r="L1833" s="60" t="n">
        <x:v>2710426.30390332</x:v>
      </x:c>
      <x:c r="M1833" s="62" t="n">
        <x:v>4.095873950339084</x:v>
      </x:c>
      <x:c r="N1833" s="62" t="n">
        <x:v>1247.0215260984735</x:v>
      </x:c>
      <x:c r="O1833" s="60" t="n">
        <x:v>2543738.0772556206</x:v>
      </x:c>
      <x:c r="P1833" s="60" t="n">
        <x:v>166688.22664769925</x:v>
      </x:c>
      <x:c r="Q1833" s="62" t="n">
        <x:v>1.0655288483268432</x:v>
      </x:c>
      <x:c r="R1833" s="64" t="n">
        <x:v>0.06552884832684318</x:v>
      </x:c>
    </x:row>
    <x:row r="1834" ht="18" customHeight="1">
      <x:c r="A1834" s="46" t="str">
        <x:v>LME_042</x:v>
      </x:c>
      <x:c r="B1834" s="46" t="str">
        <x:v>Southeast Australian Shelf</x:v>
      </x:c>
      <x:c r="C1834" s="46" t="str">
        <x:v>functional</x:v>
      </x:c>
      <x:c r="D1834" s="46" t="str">
        <x:v>Lobsters, crabs</x:v>
      </x:c>
      <x:c r="E1834" s="66" t="n">
        <x:v>15</x:v>
      </x:c>
      <x:c r="F1834" s="66" t="n">
        <x:v>15</x:v>
      </x:c>
      <x:c r="G1834" s="60" t="n">
        <x:v>2767.5403530471995</x:v>
      </x:c>
      <x:c r="H1834" s="60" t="n">
        <x:v>2767.5403530471995</x:v>
      </x:c>
      <x:c r="I1834" s="62" t="n">
        <x:v>0</x:v>
      </x:c>
      <x:c r="J1834" s="64" t="n">
        <x:v>1</x:v>
      </x:c>
      <x:c r="K1834" s="62" t="n">
        <x:v>68.50117271983443</x:v>
      </x:c>
      <x:c r="L1834" s="60" t="n">
        <x:v>189579.75973319774</x:v>
      </x:c>
      <x:c r="M1834" s="62" t="n">
        <x:v>2.6836858255569234</x:v>
      </x:c>
      <x:c r="N1834" s="62" t="n">
        <x:v>48.2709477202959</x:v>
      </x:c>
      <x:c r="O1834" s="60" t="n">
        <x:v>133591.79569575062</x:v>
      </x:c>
      <x:c r="P1834" s="60" t="n">
        <x:v>55987.96403744712</x:v>
      </x:c>
      <x:c r="Q1834" s="62" t="n">
        <x:v>1.4190973236482067</x:v>
      </x:c>
      <x:c r="R1834" s="64" t="n">
        <x:v>0.4190973236482068</x:v>
      </x:c>
    </x:row>
    <x:row r="1835" ht="18" customHeight="1">
      <x:c r="A1835" s="46" t="str">
        <x:v>LME_042</x:v>
      </x:c>
      <x:c r="B1835" s="46" t="str">
        <x:v>Southeast Australian Shelf</x:v>
      </x:c>
      <x:c r="C1835" s="46" t="str">
        <x:v>functional</x:v>
      </x:c>
      <x:c r="D1835" s="46" t="str">
        <x:v>Medium bathydemersals (30 - 89 cm)</x:v>
      </x:c>
      <x:c r="E1835" s="66" t="n">
        <x:v>8</x:v>
      </x:c>
      <x:c r="F1835" s="66" t="n">
        <x:v>8</x:v>
      </x:c>
      <x:c r="G1835" s="60" t="n">
        <x:v>350.60251743059996</x:v>
      </x:c>
      <x:c r="H1835" s="60" t="n">
        <x:v>350.60251743059996</x:v>
      </x:c>
      <x:c r="I1835" s="62" t="n">
        <x:v>0</x:v>
      </x:c>
      <x:c r="J1835" s="64" t="n">
        <x:v>1</x:v>
      </x:c>
      <x:c r="K1835" s="62" t="n">
        <x:v>1057.4423803718184</x:v>
      </x:c>
      <x:c r="L1835" s="60" t="n">
        <x:v>370741.9605961656</x:v>
      </x:c>
      <x:c r="M1835" s="62" t="n">
        <x:v>3.8857224872408382</x:v>
      </x:c>
      <x:c r="N1835" s="62" t="n">
        <x:v>768.6391254318289</x:v>
      </x:c>
      <x:c r="O1835" s="60" t="n">
        <x:v>269486.8123720539</x:v>
      </x:c>
      <x:c r="P1835" s="60" t="n">
        <x:v>101255.1482241117</x:v>
      </x:c>
      <x:c r="Q1835" s="62" t="n">
        <x:v>1.3757332217218803</x:v>
      </x:c>
      <x:c r="R1835" s="64" t="n">
        <x:v>0.37573322172188034</x:v>
      </x:c>
    </x:row>
    <x:row r="1836" ht="18" customHeight="1">
      <x:c r="A1836" s="46" t="str">
        <x:v>LME_042</x:v>
      </x:c>
      <x:c r="B1836" s="46" t="str">
        <x:v>Southeast Australian Shelf</x:v>
      </x:c>
      <x:c r="C1836" s="46" t="str">
        <x:v>functional</x:v>
      </x:c>
      <x:c r="D1836" s="46" t="str">
        <x:v>Medium bathypelagics (30 - 89 cm)</x:v>
      </x:c>
      <x:c r="E1836" s="66" t="n">
        <x:v>10</x:v>
      </x:c>
      <x:c r="F1836" s="66" t="n">
        <x:v>10</x:v>
      </x:c>
      <x:c r="G1836" s="60" t="n">
        <x:v>422.18943037639997</x:v>
      </x:c>
      <x:c r="H1836" s="60" t="n">
        <x:v>422.18943037639997</x:v>
      </x:c>
      <x:c r="I1836" s="62" t="n">
        <x:v>0</x:v>
      </x:c>
      <x:c r="J1836" s="64" t="n">
        <x:v>1</x:v>
      </x:c>
      <x:c r="K1836" s="62" t="n">
        <x:v>1279.8873628586616</x:v>
      </x:c>
      <x:c r="L1836" s="60" t="n">
        <x:v>540354.9166712511</x:v>
      </x:c>
      <x:c r="M1836" s="62" t="n">
        <x:v>4.049692526864</x:v>
      </x:c>
      <x:c r="N1836" s="62" t="n">
        <x:v>1121.2243653778494</x:v>
      </x:c>
      <x:c r="O1836" s="60" t="n">
        <x:v>473369.07614301477</x:v>
      </x:c>
      <x:c r="P1836" s="60" t="n">
        <x:v>66985.8405282363</x:v>
      </x:c>
      <x:c r="Q1836" s="62" t="n">
        <x:v>1.1415086956546323</x:v>
      </x:c>
      <x:c r="R1836" s="64" t="n">
        <x:v>0.1415086956546322</x:v>
      </x:c>
    </x:row>
    <x:row r="1837" ht="18" customHeight="1">
      <x:c r="A1837" s="46" t="str">
        <x:v>LME_042</x:v>
      </x:c>
      <x:c r="B1837" s="46" t="str">
        <x:v>Southeast Australian Shelf</x:v>
      </x:c>
      <x:c r="C1837" s="46" t="str">
        <x:v>functional</x:v>
      </x:c>
      <x:c r="D1837" s="46" t="str">
        <x:v>Medium benthopelagics (30 - 89 cm)</x:v>
      </x:c>
      <x:c r="E1837" s="66" t="n">
        <x:v>15</x:v>
      </x:c>
      <x:c r="F1837" s="66" t="n">
        <x:v>15</x:v>
      </x:c>
      <x:c r="G1837" s="60" t="n">
        <x:v>5396.2937264677985</x:v>
      </x:c>
      <x:c r="H1837" s="60" t="n">
        <x:v>5396.2937264677985</x:v>
      </x:c>
      <x:c r="I1837" s="62" t="n">
        <x:v>0</x:v>
      </x:c>
      <x:c r="J1837" s="64" t="n">
        <x:v>1</x:v>
      </x:c>
      <x:c r="K1837" s="62" t="n">
        <x:v>656.4453002212603</x:v>
      </x:c>
      <x:c r="L1837" s="60" t="n">
        <x:v>3542371.6553532574</x:v>
      </x:c>
      <x:c r="M1837" s="62" t="n">
        <x:v>3.7392578248315163</x:v>
      </x:c>
      <x:c r="N1837" s="62" t="n">
        <x:v>548.6025536406569</x:v>
      </x:c>
      <x:c r="O1837" s="60" t="n">
        <x:v>2960420.518535291</x:v>
      </x:c>
      <x:c r="P1837" s="60" t="n">
        <x:v>581951.1368179666</x:v>
      </x:c>
      <x:c r="Q1837" s="62" t="n">
        <x:v>1.1965771866443808</x:v>
      </x:c>
      <x:c r="R1837" s="64" t="n">
        <x:v>0.19657718664438084</x:v>
      </x:c>
    </x:row>
    <x:row r="1838" ht="18" customHeight="1">
      <x:c r="A1838" s="46" t="str">
        <x:v>LME_042</x:v>
      </x:c>
      <x:c r="B1838" s="46" t="str">
        <x:v>Southeast Australian Shelf</x:v>
      </x:c>
      <x:c r="C1838" s="46" t="str">
        <x:v>functional</x:v>
      </x:c>
      <x:c r="D1838" s="46" t="str">
        <x:v>Medium demersals (30 - 89 cm)</x:v>
      </x:c>
      <x:c r="E1838" s="66" t="n">
        <x:v>17</x:v>
      </x:c>
      <x:c r="F1838" s="66" t="n">
        <x:v>17</x:v>
      </x:c>
      <x:c r="G1838" s="60" t="n">
        <x:v>5539.8491279311</x:v>
      </x:c>
      <x:c r="H1838" s="60" t="n">
        <x:v>5539.8491279311</x:v>
      </x:c>
      <x:c r="I1838" s="62" t="n">
        <x:v>0</x:v>
      </x:c>
      <x:c r="J1838" s="64" t="n">
        <x:v>1</x:v>
      </x:c>
      <x:c r="K1838" s="62" t="n">
        <x:v>259.30215798486086</x:v>
      </x:c>
      <x:c r="L1838" s="60" t="n">
        <x:v>1436494.8337830838</x:v>
      </x:c>
      <x:c r="M1838" s="62" t="n">
        <x:v>3.3762873695553104</x:v>
      </x:c>
      <x:c r="N1838" s="62" t="n">
        <x:v>237.84135453078127</x:v>
      </x:c>
      <x:c r="O1838" s="60" t="n">
        <x:v>1317605.2204833003</x:v>
      </x:c>
      <x:c r="P1838" s="60" t="n">
        <x:v>118889.61329978355</x:v>
      </x:c>
      <x:c r="Q1838" s="62" t="n">
        <x:v>1.0902315894408605</x:v>
      </x:c>
      <x:c r="R1838" s="64" t="n">
        <x:v>0.09023158944086045</x:v>
      </x:c>
    </x:row>
    <x:row r="1839" ht="18" customHeight="1">
      <x:c r="A1839" s="46" t="str">
        <x:v>LME_042</x:v>
      </x:c>
      <x:c r="B1839" s="46" t="str">
        <x:v>Southeast Australian Shelf</x:v>
      </x:c>
      <x:c r="C1839" s="46" t="str">
        <x:v>functional</x:v>
      </x:c>
      <x:c r="D1839" s="46" t="str">
        <x:v>Medium pelagics (30 - 89 cm)</x:v>
      </x:c>
      <x:c r="E1839" s="66" t="n">
        <x:v>22</x:v>
      </x:c>
      <x:c r="F1839" s="66" t="n">
        <x:v>22</x:v>
      </x:c>
      <x:c r="G1839" s="60" t="n">
        <x:v>4804.6659142533</x:v>
      </x:c>
      <x:c r="H1839" s="60" t="n">
        <x:v>4804.6659142533</x:v>
      </x:c>
      <x:c r="I1839" s="62" t="n">
        <x:v>0</x:v>
      </x:c>
      <x:c r="J1839" s="64" t="n">
        <x:v>1</x:v>
      </x:c>
      <x:c r="K1839" s="62" t="n">
        <x:v>713.9867015490208</x:v>
      </x:c>
      <x:c r="L1839" s="60" t="n">
        <x:v>3430467.568162724</x:v>
      </x:c>
      <x:c r="M1839" s="62" t="n">
        <x:v>3.4646523575534545</x:v>
      </x:c>
      <x:c r="N1839" s="62" t="n">
        <x:v>291.50926172147217</x:v>
      </x:c>
      <x:c r="O1839" s="60" t="n">
        <x:v>1400604.6134823016</x:v>
      </x:c>
      <x:c r="P1839" s="60" t="n">
        <x:v>2029862.9546804223</x:v>
      </x:c>
      <x:c r="Q1839" s="62" t="n">
        <x:v>2.449276216243216</x:v>
      </x:c>
      <x:c r="R1839" s="64" t="n">
        <x:v>1.4492762162432162</x:v>
      </x:c>
    </x:row>
    <x:row r="1840" ht="18" customHeight="1">
      <x:c r="A1840" s="46" t="str">
        <x:v>LME_042</x:v>
      </x:c>
      <x:c r="B1840" s="46" t="str">
        <x:v>Southeast Australian Shelf</x:v>
      </x:c>
      <x:c r="C1840" s="46" t="str">
        <x:v>functional</x:v>
      </x:c>
      <x:c r="D1840" s="46" t="str">
        <x:v>Medium reef assoc. fish (30 - 89 cm)</x:v>
      </x:c>
      <x:c r="E1840" s="66" t="n">
        <x:v>11</x:v>
      </x:c>
      <x:c r="F1840" s="66" t="n">
        <x:v>11</x:v>
      </x:c>
      <x:c r="G1840" s="60" t="n">
        <x:v>454.33170608010005</x:v>
      </x:c>
      <x:c r="H1840" s="60" t="n">
        <x:v>454.33170608010005</x:v>
      </x:c>
      <x:c r="I1840" s="62" t="n">
        <x:v>0</x:v>
      </x:c>
      <x:c r="J1840" s="64" t="n">
        <x:v>1</x:v>
      </x:c>
      <x:c r="K1840" s="62" t="n">
        <x:v>243.89091287517385</x:v>
      </x:c>
      <x:c r="L1840" s="60" t="n">
        <x:v>110807.37454401077</x:v>
      </x:c>
      <x:c r="M1840" s="62" t="n">
        <x:v>2.960140107100704</x:v>
      </x:c>
      <x:c r="N1840" s="62" t="n">
        <x:v>91.2305109288831</x:v>
      </x:c>
      <x:c r="O1840" s="60" t="n">
        <x:v>41448.91367687868</x:v>
      </x:c>
      <x:c r="P1840" s="60" t="n">
        <x:v>69358.46086713209</x:v>
      </x:c>
      <x:c r="Q1840" s="62" t="n">
        <x:v>2.6733480980424855</x:v>
      </x:c>
      <x:c r="R1840" s="64" t="n">
        <x:v>1.6733480980424853</x:v>
      </x:c>
    </x:row>
    <x:row r="1841" ht="18" customHeight="1">
      <x:c r="A1841" s="46" t="str">
        <x:v>LME_042</x:v>
      </x:c>
      <x:c r="B1841" s="46" t="str">
        <x:v>Southeast Australian Shelf</x:v>
      </x:c>
      <x:c r="C1841" s="46" t="str">
        <x:v>functional</x:v>
      </x:c>
      <x:c r="D1841" s="46" t="str">
        <x:v>Other demersal invertebrates</x:v>
      </x:c>
      <x:c r="E1841" s="66" t="n">
        <x:v>16</x:v>
      </x:c>
      <x:c r="F1841" s="66" t="n">
        <x:v>16</x:v>
      </x:c>
      <x:c r="G1841" s="60" t="n">
        <x:v>1328.2803925242</x:v>
      </x:c>
      <x:c r="H1841" s="60" t="n">
        <x:v>1328.2803925242</x:v>
      </x:c>
      <x:c r="I1841" s="62" t="n">
        <x:v>0</x:v>
      </x:c>
      <x:c r="J1841" s="64" t="n">
        <x:v>1</x:v>
      </x:c>
      <x:c r="K1841" s="62" t="n">
        <x:v>10.410117257791907</x:v>
      </x:c>
      <x:c r="L1841" s="60" t="n">
        <x:v>13827.55463740278</x:v>
      </x:c>
      <x:c r="M1841" s="62" t="n">
        <x:v>2.0079974960636355</x:v>
      </x:c>
      <x:c r="N1841" s="62" t="n">
        <x:v>10.185855153553586</x:v>
      </x:c>
      <x:c r="O1841" s="60" t="n">
        <x:v>13529.671681556802</x:v>
      </x:c>
      <x:c r="P1841" s="60" t="n">
        <x:v>297.88295584597836</x:v>
      </x:c>
      <x:c r="Q1841" s="62" t="n">
        <x:v>1.0220170128926367</x:v>
      </x:c>
      <x:c r="R1841" s="64" t="n">
        <x:v>0.022017012892636745</x:v>
      </x:c>
    </x:row>
    <x:row r="1842" ht="18" customHeight="1">
      <x:c r="A1842" s="46" t="str">
        <x:v>LME_042</x:v>
      </x:c>
      <x:c r="B1842" s="46" t="str">
        <x:v>Southeast Australian Shelf</x:v>
      </x:c>
      <x:c r="C1842" s="46" t="str">
        <x:v>functional</x:v>
      </x:c>
      <x:c r="D1842" s="46" t="str">
        <x:v>Shrimps</x:v>
      </x:c>
      <x:c r="E1842" s="66" t="n">
        <x:v>3</x:v>
      </x:c>
      <x:c r="F1842" s="66" t="n">
        <x:v>3</x:v>
      </x:c>
      <x:c r="G1842" s="60" t="n">
        <x:v>378.75860584590004</x:v>
      </x:c>
      <x:c r="H1842" s="60" t="n">
        <x:v>378.75860584590004</x:v>
      </x:c>
      <x:c r="I1842" s="62" t="n">
        <x:v>0</x:v>
      </x:c>
      <x:c r="J1842" s="64" t="n">
        <x:v>1</x:v>
      </x:c>
      <x:c r="K1842" s="62" t="n">
        <x:v>317.9523086489826</x:v>
      </x:c>
      <x:c r="L1842" s="60" t="n">
        <x:v>120427.17314937394</x:v>
      </x:c>
      <x:c r="M1842" s="62" t="n">
        <x:v>3.4691972860412927</x:v>
      </x:c>
      <x:c r="N1842" s="62" t="n">
        <x:v>294.5759493874832</x:v>
      </x:c>
      <x:c r="O1842" s="60" t="n">
        <x:v>111573.17590573555</x:v>
      </x:c>
      <x:c r="P1842" s="60" t="n">
        <x:v>8853.997243638383</x:v>
      </x:c>
      <x:c r="Q1842" s="62" t="n">
        <x:v>1.0793559668062047</x:v>
      </x:c>
      <x:c r="R1842" s="64" t="n">
        <x:v>0.07935596680620466</x:v>
      </x:c>
    </x:row>
    <x:row r="1843" ht="18" customHeight="1">
      <x:c r="A1843" s="46" t="str">
        <x:v>LME_042</x:v>
      </x:c>
      <x:c r="B1843" s="46" t="str">
        <x:v>Southeast Australian Shelf</x:v>
      </x:c>
      <x:c r="C1843" s="46" t="str">
        <x:v>functional</x:v>
      </x:c>
      <x:c r="D1843" s="46" t="str">
        <x:v>Small benthopelagics (&lt;30 cm)</x:v>
      </x:c>
      <x:c r="E1843" s="66" t="n">
        <x:v>3</x:v>
      </x:c>
      <x:c r="F1843" s="66" t="n">
        <x:v>3</x:v>
      </x:c>
      <x:c r="G1843" s="60" t="n">
        <x:v>15.163032919899997</x:v>
      </x:c>
      <x:c r="H1843" s="60" t="n">
        <x:v>15.163032919899997</x:v>
      </x:c>
      <x:c r="I1843" s="62" t="n">
        <x:v>0</x:v>
      </x:c>
      <x:c r="J1843" s="64" t="n">
        <x:v>1</x:v>
      </x:c>
      <x:c r="K1843" s="62" t="n">
        <x:v>153.43941985733423</x:v>
      </x:c>
      <x:c r="L1843" s="60" t="n">
        <x:v>2326.6069745071163</x:v>
      </x:c>
      <x:c r="M1843" s="62" t="n">
        <x:v>3.182526000095452</x:v>
      </x:c>
      <x:c r="N1843" s="62" t="n">
        <x:v>152.23902717486493</x:v>
      </x:c>
      <x:c r="O1843" s="60" t="n">
        <x:v>2308.4053807460273</x:v>
      </x:c>
      <x:c r="P1843" s="60" t="n">
        <x:v>18.201593761089043</x:v>
      </x:c>
      <x:c r="Q1843" s="62" t="n">
        <x:v>1.0078849208691443</x:v>
      </x:c>
      <x:c r="R1843" s="64" t="n">
        <x:v>0.00788492086914417</x:v>
      </x:c>
    </x:row>
    <x:row r="1844" ht="18" customHeight="1">
      <x:c r="A1844" s="46" t="str">
        <x:v>LME_042</x:v>
      </x:c>
      <x:c r="B1844" s="46" t="str">
        <x:v>Southeast Australian Shelf</x:v>
      </x:c>
      <x:c r="C1844" s="46" t="str">
        <x:v>functional</x:v>
      </x:c>
      <x:c r="D1844" s="46" t="str">
        <x:v>Small demersals (&lt;30 cm)</x:v>
      </x:c>
      <x:c r="E1844" s="66" t="n">
        <x:v>1</x:v>
      </x:c>
      <x:c r="F1844" s="66" t="n">
        <x:v>1</x:v>
      </x:c>
      <x:c r="G1844" s="60" t="n">
        <x:v>9.0018830511</x:v>
      </x:c>
      <x:c r="H1844" s="60" t="n">
        <x:v>9.0018830511</x:v>
      </x:c>
      <x:c r="I1844" s="62" t="n">
        <x:v>0</x:v>
      </x:c>
      <x:c r="J1844" s="64" t="n">
        <x:v>1</x:v>
      </x:c>
      <x:c r="K1844" s="62" t="n">
        <x:v>295.1209226666387</x:v>
      </x:c>
      <x:c r="L1844" s="60" t="n">
        <x:v>2656.644031777809</x:v>
      </x:c>
      <x:c r="M1844" s="62" t="n">
        <x:v>3.47</x:v>
      </x:c>
      <x:c r="N1844" s="62" t="n">
        <x:v>295.1209226666387</x:v>
      </x:c>
      <x:c r="O1844" s="60" t="n">
        <x:v>2656.644031777809</x:v>
      </x:c>
      <x:c r="P1844" s="60" t="n">
        <x:v>0</x:v>
      </x:c>
      <x:c r="Q1844" s="62" t="n">
        <x:v>1</x:v>
      </x:c>
      <x:c r="R1844" s="64" t="n">
        <x:v>0</x:v>
      </x:c>
    </x:row>
    <x:row r="1845" ht="18" customHeight="1">
      <x:c r="A1845" s="46" t="str">
        <x:v>LME_042</x:v>
      </x:c>
      <x:c r="B1845" s="46" t="str">
        <x:v>Southeast Australian Shelf</x:v>
      </x:c>
      <x:c r="C1845" s="46" t="str">
        <x:v>functional</x:v>
      </x:c>
      <x:c r="D1845" s="46" t="str">
        <x:v>Small pelagics (&lt;30 cm)</x:v>
      </x:c>
      <x:c r="E1845" s="66" t="n">
        <x:v>10</x:v>
      </x:c>
      <x:c r="F1845" s="66" t="n">
        <x:v>10</x:v>
      </x:c>
      <x:c r="G1845" s="60" t="n">
        <x:v>33.324033166300005</x:v>
      </x:c>
      <x:c r="H1845" s="60" t="n">
        <x:v>33.324033166300005</x:v>
      </x:c>
      <x:c r="I1845" s="62" t="n">
        <x:v>0</x:v>
      </x:c>
      <x:c r="J1845" s="64" t="n">
        <x:v>1</x:v>
      </x:c>
      <x:c r="K1845" s="62" t="n">
        <x:v>199.24229758919248</x:v>
      </x:c>
      <x:c r="L1845" s="60" t="n">
        <x:v>6639.556932992065</x:v>
      </x:c>
      <x:c r="M1845" s="62" t="n">
        <x:v>3.206971598226079</x:v>
      </x:c>
      <x:c r="N1845" s="62" t="n">
        <x:v>161.05403064224953</x:v>
      </x:c>
      <x:c r="O1845" s="60" t="n">
        <x:v>5366.969858688621</x:v>
      </x:c>
      <x:c r="P1845" s="60" t="n">
        <x:v>1272.5870743034448</x:v>
      </x:c>
      <x:c r="Q1845" s="62" t="n">
        <x:v>1.2371146303799798</x:v>
      </x:c>
      <x:c r="R1845" s="64" t="n">
        <x:v>0.23711463037997982</x:v>
      </x:c>
    </x:row>
    <x:row r="1846" ht="18" customHeight="1">
      <x:c r="A1846" s="46" t="str">
        <x:v>LME_042</x:v>
      </x:c>
      <x:c r="B1846" s="46" t="str">
        <x:v>Southeast Australian Shelf</x:v>
      </x:c>
      <x:c r="C1846" s="46" t="str">
        <x:v>functional</x:v>
      </x:c>
      <x:c r="D1846" s="46" t="str">
        <x:v>Small reef assoc. fish (&lt;30 cm)</x:v>
      </x:c>
      <x:c r="E1846" s="66" t="n">
        <x:v>4</x:v>
      </x:c>
      <x:c r="F1846" s="66" t="n">
        <x:v>4</x:v>
      </x:c>
      <x:c r="G1846" s="60" t="n">
        <x:v>8.815285964699997</x:v>
      </x:c>
      <x:c r="H1846" s="60" t="n">
        <x:v>8.815285964699997</x:v>
      </x:c>
      <x:c r="I1846" s="62" t="n">
        <x:v>0</x:v>
      </x:c>
      <x:c r="J1846" s="64" t="n">
        <x:v>1</x:v>
      </x:c>
      <x:c r="K1846" s="62" t="n">
        <x:v>198.0318228052644</x:v>
      </x:c>
      <x:c r="L1846" s="60" t="n">
        <x:v>1745.707148139204</x:v>
      </x:c>
      <x:c r="M1846" s="62" t="n">
        <x:v>3.2932768547058684</x:v>
      </x:c>
      <x:c r="N1846" s="62" t="n">
        <x:v>196.4612281749594</x:v>
      </x:c>
      <x:c r="O1846" s="60" t="n">
        <x:v>1731.8619073384432</x:v>
      </x:c>
      <x:c r="P1846" s="60" t="n">
        <x:v>13.845240800760848</x:v>
      </x:c>
      <x:c r="Q1846" s="62" t="n">
        <x:v>1.0079944253881294</x:v>
      </x:c>
      <x:c r="R1846" s="64" t="n">
        <x:v>0.00799442538812951</x:v>
      </x:c>
    </x:row>
    <x:row r="1847" ht="18" customHeight="1">
      <x:c r="A1847" s="46" t="str">
        <x:v>LME_042</x:v>
      </x:c>
      <x:c r="B1847" s="46" t="str">
        <x:v>Southeast Australian Shelf</x:v>
      </x:c>
      <x:c r="C1847" s="46" t="str">
        <x:v>functional</x:v>
      </x:c>
      <x:c r="D1847" s="46" t="str">
        <x:v>Small to medium flatfishes (&lt;90 cm)</x:v>
      </x:c>
      <x:c r="E1847" s="66" t="n">
        <x:v>3</x:v>
      </x:c>
      <x:c r="F1847" s="66" t="n">
        <x:v>3</x:v>
      </x:c>
      <x:c r="G1847" s="60" t="n">
        <x:v>6.196614375099999</x:v>
      </x:c>
      <x:c r="H1847" s="60" t="n">
        <x:v>6.196614375099999</x:v>
      </x:c>
      <x:c r="I1847" s="62" t="n">
        <x:v>0</x:v>
      </x:c>
      <x:c r="J1847" s="64" t="n">
        <x:v>1</x:v>
      </x:c>
      <x:c r="K1847" s="62" t="n">
        <x:v>371.5245091103497</x:v>
      </x:c>
      <x:c r="L1847" s="60" t="n">
        <x:v>2302.194113855164</x:v>
      </x:c>
      <x:c r="M1847" s="62" t="n">
        <x:v>3.5699194948867556</x:v>
      </x:c>
      <x:c r="N1847" s="62" t="n">
        <x:v>371.46636404164275</x:v>
      </x:c>
      <x:c r="O1847" s="60" t="n">
        <x:v>2301.833811286573</x:v>
      </x:c>
      <x:c r="P1847" s="60" t="n">
        <x:v>0.36030256859066867</x:v>
      </x:c>
      <x:c r="Q1847" s="62" t="n">
        <x:v>1.0001565284890785</x:v>
      </x:c>
      <x:c r="R1847" s="64" t="n">
        <x:v>0.0001565284890785766</x:v>
      </x:c>
    </x:row>
    <x:row r="1848" ht="18" customHeight="1">
      <x:c r="A1848" s="46" t="str">
        <x:v>LME_042</x:v>
      </x:c>
      <x:c r="B1848" s="46" t="str">
        <x:v>Southeast Australian Shelf</x:v>
      </x:c>
      <x:c r="C1848" s="46" t="str">
        <x:v>functional</x:v>
      </x:c>
      <x:c r="D1848" s="46" t="str">
        <x:v>Small to medium rays (&lt;90 cm)</x:v>
      </x:c>
      <x:c r="E1848" s="66" t="n">
        <x:v>2</x:v>
      </x:c>
      <x:c r="F1848" s="66" t="n">
        <x:v>2</x:v>
      </x:c>
      <x:c r="G1848" s="60" t="n">
        <x:v>136.033596507</x:v>
      </x:c>
      <x:c r="H1848" s="60" t="n">
        <x:v>136.033596507</x:v>
      </x:c>
      <x:c r="I1848" s="62" t="n">
        <x:v>0</x:v>
      </x:c>
      <x:c r="J1848" s="64" t="n">
        <x:v>1</x:v>
      </x:c>
      <x:c r="K1848" s="62" t="n">
        <x:v>362.1536688508246</x:v>
      </x:c>
      <x:c r="L1848" s="60" t="n">
        <x:v>49265.06606198277</x:v>
      </x:c>
      <x:c r="M1848" s="62" t="n">
        <x:v>3.5512537570404397</x:v>
      </x:c>
      <x:c r="N1848" s="62" t="n">
        <x:v>355.83917366369144</x:v>
      </x:c>
      <x:c r="O1848" s="60" t="n">
        <x:v>48406.082571550905</x:v>
      </x:c>
      <x:c r="P1848" s="60" t="n">
        <x:v>858.9834904318632</x:v>
      </x:c>
      <x:c r="Q1848" s="62" t="n">
        <x:v>1.0177453626651602</x:v>
      </x:c>
      <x:c r="R1848" s="64" t="n">
        <x:v>0.01774536266516024</x:v>
      </x:c>
    </x:row>
    <x:row r="1849" ht="18" customHeight="1">
      <x:c r="A1849" s="46" t="str">
        <x:v>LME_042</x:v>
      </x:c>
      <x:c r="B1849" s="46" t="str">
        <x:v>Southeast Australian Shelf</x:v>
      </x:c>
      <x:c r="C1849" s="46" t="str">
        <x:v>functional</x:v>
      </x:c>
      <x:c r="D1849" s="46" t="str">
        <x:v>Small to medium sharks (&lt;90 cm)</x:v>
      </x:c>
      <x:c r="E1849" s="66" t="n">
        <x:v>2</x:v>
      </x:c>
      <x:c r="F1849" s="66" t="n">
        <x:v>2</x:v>
      </x:c>
      <x:c r="G1849" s="60" t="n">
        <x:v>0.7409678145999999</x:v>
      </x:c>
      <x:c r="H1849" s="60" t="n">
        <x:v>0.7409678145999999</x:v>
      </x:c>
      <x:c r="I1849" s="62" t="n">
        <x:v>0</x:v>
      </x:c>
      <x:c r="J1849" s="64" t="n">
        <x:v>1</x:v>
      </x:c>
      <x:c r="K1849" s="62" t="n">
        <x:v>2270.8296117295204</x:v>
      </x:c>
      <x:c r="L1849" s="60" t="n">
        <x:v>1682.6116547321892</x:v>
      </x:c>
      <x:c r="M1849" s="62" t="n">
        <x:v>4.350194498524984</x:v>
      </x:c>
      <x:c r="N1849" s="62" t="n">
        <x:v>2239.72397303915</x:v>
      </x:c>
      <x:c r="O1849" s="60" t="n">
        <x:v>1659.5633776100483</x:v>
      </x:c>
      <x:c r="P1849" s="60" t="n">
        <x:v>23.048277122140917</x:v>
      </x:c>
      <x:c r="Q1849" s="62" t="n">
        <x:v>1.0138881572304475</x:v>
      </x:c>
      <x:c r="R1849" s="64" t="n">
        <x:v>0.01388815723044753</x:v>
      </x:c>
    </x:row>
    <x:row r="1850" ht="18" customHeight="1">
      <x:c r="A1850" s="46" t="str">
        <x:v>LME_043</x:v>
      </x:c>
      <x:c r="B1850" s="46" t="str">
        <x:v>Southwest Australian Shelf</x:v>
      </x:c>
      <x:c r="C1850" s="46" t="str">
        <x:v>functional</x:v>
      </x:c>
      <x:c r="D1850" s="46" t="str">
        <x:v>Cephalopods</x:v>
      </x:c>
      <x:c r="E1850" s="66" t="n">
        <x:v>4</x:v>
      </x:c>
      <x:c r="F1850" s="66" t="n">
        <x:v>4</x:v>
      </x:c>
      <x:c r="G1850" s="60" t="n">
        <x:v>558.7673577047001</x:v>
      </x:c>
      <x:c r="H1850" s="60" t="n">
        <x:v>558.7673577047001</x:v>
      </x:c>
      <x:c r="I1850" s="62" t="n">
        <x:v>0</x:v>
      </x:c>
      <x:c r="J1850" s="64" t="n">
        <x:v>1</x:v>
      </x:c>
      <x:c r="K1850" s="62" t="n">
        <x:v>1075.8488542450464</x:v>
      </x:c>
      <x:c r="L1850" s="60" t="n">
        <x:v>601149.2215761335</x:v>
      </x:c>
      <x:c r="M1850" s="62" t="n">
        <x:v>4.016065264355878</x:v>
      </x:c>
      <x:c r="N1850" s="62" t="n">
        <x:v>1037.6843439145716</x:v>
      </x:c>
      <x:c r="O1850" s="60" t="n">
        <x:v>579824.1389806805</x:v>
      </x:c>
      <x:c r="P1850" s="60" t="n">
        <x:v>21325.082595453016</x:v>
      </x:c>
      <x:c r="Q1850" s="62" t="n">
        <x:v>1.036778535355465</x:v>
      </x:c>
      <x:c r="R1850" s="64" t="n">
        <x:v>0.03677853535546501</x:v>
      </x:c>
    </x:row>
    <x:row r="1851" ht="18" customHeight="1">
      <x:c r="A1851" s="46" t="str">
        <x:v>LME_043</x:v>
      </x:c>
      <x:c r="B1851" s="46" t="str">
        <x:v>Southwest Australian Shelf</x:v>
      </x:c>
      <x:c r="C1851" s="46" t="str">
        <x:v>functional</x:v>
      </x:c>
      <x:c r="D1851" s="46" t="str">
        <x:v>Large bathydemersals (&gt;=90 cm)</x:v>
      </x:c>
      <x:c r="E1851" s="66" t="n">
        <x:v>4</x:v>
      </x:c>
      <x:c r="F1851" s="66" t="n">
        <x:v>4</x:v>
      </x:c>
      <x:c r="G1851" s="60" t="n">
        <x:v>756.4523795283</x:v>
      </x:c>
      <x:c r="H1851" s="60" t="n">
        <x:v>756.4523795283</x:v>
      </x:c>
      <x:c r="I1851" s="62" t="n">
        <x:v>0</x:v>
      </x:c>
      <x:c r="J1851" s="64" t="n">
        <x:v>1</x:v>
      </x:c>
      <x:c r="K1851" s="62" t="n">
        <x:v>1403.466298708518</x:v>
      </x:c>
      <x:c r="L1851" s="60" t="n">
        <x:v>1061655.4212458343</x:v>
      </x:c>
      <x:c r="M1851" s="62" t="n">
        <x:v>4.120948503154419</x:v>
      </x:c>
      <x:c r="N1851" s="62" t="n">
        <x:v>1321.138969697081</x:v>
      </x:c>
      <x:c r="O1851" s="60" t="n">
        <x:v>999378.7173149234</x:v>
      </x:c>
      <x:c r="P1851" s="60" t="n">
        <x:v>62276.70393091091</x:v>
      </x:c>
      <x:c r="Q1851" s="62" t="n">
        <x:v>1.062315419422011</x:v>
      </x:c>
      <x:c r="R1851" s="64" t="n">
        <x:v>0.06231541942201109</x:v>
      </x:c>
    </x:row>
    <x:row r="1852" ht="18" customHeight="1">
      <x:c r="A1852" s="46" t="str">
        <x:v>LME_043</x:v>
      </x:c>
      <x:c r="B1852" s="46" t="str">
        <x:v>Southwest Australian Shelf</x:v>
      </x:c>
      <x:c r="C1852" s="46" t="str">
        <x:v>functional</x:v>
      </x:c>
      <x:c r="D1852" s="46" t="str">
        <x:v>Large bathypelagics (&gt;=90 cm)</x:v>
      </x:c>
      <x:c r="E1852" s="66" t="n">
        <x:v>1</x:v>
      </x:c>
      <x:c r="F1852" s="66" t="n">
        <x:v>1</x:v>
      </x:c>
      <x:c r="G1852" s="60" t="n">
        <x:v>18.1818635414</x:v>
      </x:c>
      <x:c r="H1852" s="60" t="n">
        <x:v>18.1818635414</x:v>
      </x:c>
      <x:c r="I1852" s="62" t="n">
        <x:v>0</x:v>
      </x:c>
      <x:c r="J1852" s="64" t="n">
        <x:v>1</x:v>
      </x:c>
      <x:c r="K1852" s="62" t="n">
        <x:v>1659.5869074375596</x:v>
      </x:c>
      <x:c r="L1852" s="60" t="n">
        <x:v>30174.38268612374</x:v>
      </x:c>
      <x:c r="M1852" s="62" t="n">
        <x:v>4.22</x:v>
      </x:c>
      <x:c r="N1852" s="62" t="n">
        <x:v>1659.5869074375596</x:v>
      </x:c>
      <x:c r="O1852" s="60" t="n">
        <x:v>30174.38268612374</x:v>
      </x:c>
      <x:c r="P1852" s="60" t="n">
        <x:v>0</x:v>
      </x:c>
      <x:c r="Q1852" s="62" t="n">
        <x:v>1</x:v>
      </x:c>
      <x:c r="R1852" s="64" t="n">
        <x:v>0</x:v>
      </x:c>
    </x:row>
    <x:row r="1853" ht="18" customHeight="1">
      <x:c r="A1853" s="46" t="str">
        <x:v>LME_043</x:v>
      </x:c>
      <x:c r="B1853" s="46" t="str">
        <x:v>Southwest Australian Shelf</x:v>
      </x:c>
      <x:c r="C1853" s="46" t="str">
        <x:v>functional</x:v>
      </x:c>
      <x:c r="D1853" s="46" t="str">
        <x:v>Large benthopelagics (&gt;=90 cm)</x:v>
      </x:c>
      <x:c r="E1853" s="66" t="n">
        <x:v>14</x:v>
      </x:c>
      <x:c r="F1853" s="66" t="n">
        <x:v>14</x:v>
      </x:c>
      <x:c r="G1853" s="60" t="n">
        <x:v>708.9739081239</x:v>
      </x:c>
      <x:c r="H1853" s="60" t="n">
        <x:v>708.9739081239</x:v>
      </x:c>
      <x:c r="I1853" s="62" t="n">
        <x:v>0</x:v>
      </x:c>
      <x:c r="J1853" s="64" t="n">
        <x:v>1</x:v>
      </x:c>
      <x:c r="K1853" s="62" t="n">
        <x:v>726.342303331456</x:v>
      </x:c>
      <x:c r="L1853" s="60" t="n">
        <x:v>514957.74142861756</x:v>
      </x:c>
      <x:c r="M1853" s="62" t="n">
        <x:v>3.6657023260636428</x:v>
      </x:c>
      <x:c r="N1853" s="62" t="n">
        <x:v>463.12937298738234</x:v>
      </x:c>
      <x:c r="O1853" s="60" t="n">
        <x:v>328346.6415338358</x:v>
      </x:c>
      <x:c r="P1853" s="60" t="n">
        <x:v>186611.09989478177</x:v>
      </x:c>
      <x:c r="Q1853" s="62" t="n">
        <x:v>1.5683356437667466</x:v>
      </x:c>
      <x:c r="R1853" s="64" t="n">
        <x:v>0.5683356437667467</x:v>
      </x:c>
    </x:row>
    <x:row r="1854" ht="18" customHeight="1">
      <x:c r="A1854" s="46" t="str">
        <x:v>LME_043</x:v>
      </x:c>
      <x:c r="B1854" s="46" t="str">
        <x:v>Southwest Australian Shelf</x:v>
      </x:c>
      <x:c r="C1854" s="46" t="str">
        <x:v>functional</x:v>
      </x:c>
      <x:c r="D1854" s="46" t="str">
        <x:v>Large demersals (&gt;=90 cm)</x:v>
      </x:c>
      <x:c r="E1854" s="66" t="n">
        <x:v>5</x:v>
      </x:c>
      <x:c r="F1854" s="66" t="n">
        <x:v>5</x:v>
      </x:c>
      <x:c r="G1854" s="60" t="n">
        <x:v>1113.0577576017</x:v>
      </x:c>
      <x:c r="H1854" s="60" t="n">
        <x:v>1113.0577576017</x:v>
      </x:c>
      <x:c r="I1854" s="62" t="n">
        <x:v>0</x:v>
      </x:c>
      <x:c r="J1854" s="64" t="n">
        <x:v>1</x:v>
      </x:c>
      <x:c r="K1854" s="62" t="n">
        <x:v>2375.28826933577</x:v>
      </x:c>
      <x:c r="L1854" s="60" t="n">
        <x:v>2643833.034724495</x:v>
      </x:c>
      <x:c r="M1854" s="62" t="n">
        <x:v>4.216813310250308</x:v>
      </x:c>
      <x:c r="N1854" s="62" t="n">
        <x:v>1647.4540498073015</x:v>
      </x:c>
      <x:c r="O1854" s="60" t="n">
        <x:v>1833711.5104303544</x:v>
      </x:c>
      <x:c r="P1854" s="60" t="n">
        <x:v>810121.5242941405</x:v>
      </x:c>
      <x:c r="Q1854" s="62" t="n">
        <x:v>1.441793335367139</x:v>
      </x:c>
      <x:c r="R1854" s="64" t="n">
        <x:v>0.441793335367139</x:v>
      </x:c>
    </x:row>
    <x:row r="1855" ht="18" customHeight="1">
      <x:c r="A1855" s="46" t="str">
        <x:v>LME_043</x:v>
      </x:c>
      <x:c r="B1855" s="46" t="str">
        <x:v>Southwest Australian Shelf</x:v>
      </x:c>
      <x:c r="C1855" s="46" t="str">
        <x:v>functional</x:v>
      </x:c>
      <x:c r="D1855" s="46" t="str">
        <x:v>Large pelagics (&gt;=90 cm)</x:v>
      </x:c>
      <x:c r="E1855" s="66" t="n">
        <x:v>25</x:v>
      </x:c>
      <x:c r="F1855" s="66" t="n">
        <x:v>25</x:v>
      </x:c>
      <x:c r="G1855" s="60" t="n">
        <x:v>5694.3822374086</x:v>
      </x:c>
      <x:c r="H1855" s="60" t="n">
        <x:v>5694.3822374086</x:v>
      </x:c>
      <x:c r="I1855" s="62" t="n">
        <x:v>0</x:v>
      </x:c>
      <x:c r="J1855" s="64" t="n">
        <x:v>1</x:v>
      </x:c>
      <x:c r="K1855" s="62" t="n">
        <x:v>878.7239777832945</x:v>
      </x:c>
      <x:c r="L1855" s="60" t="n">
        <x:v>5003790.210674222</x:v>
      </x:c>
      <x:c r="M1855" s="62" t="n">
        <x:v>3.936798992318635</x:v>
      </x:c>
      <x:c r="N1855" s="62" t="n">
        <x:v>864.5676719993463</x:v>
      </x:c>
      <x:c r="O1855" s="60" t="n">
        <x:v>4923178.794470782</x:v>
      </x:c>
      <x:c r="P1855" s="60" t="n">
        <x:v>80611.41620343924</x:v>
      </x:c>
      <x:c r="Q1855" s="62" t="n">
        <x:v>1.0163738550982495</x:v>
      </x:c>
      <x:c r="R1855" s="64" t="n">
        <x:v>0.0163738550982495</x:v>
      </x:c>
    </x:row>
    <x:row r="1856" ht="18" customHeight="1">
      <x:c r="A1856" s="46" t="str">
        <x:v>LME_043</x:v>
      </x:c>
      <x:c r="B1856" s="46" t="str">
        <x:v>Southwest Australian Shelf</x:v>
      </x:c>
      <x:c r="C1856" s="46" t="str">
        <x:v>functional</x:v>
      </x:c>
      <x:c r="D1856" s="46" t="str">
        <x:v>Large rays (&gt;=90 cm)</x:v>
      </x:c>
      <x:c r="E1856" s="66" t="n">
        <x:v>5</x:v>
      </x:c>
      <x:c r="F1856" s="66" t="n">
        <x:v>5</x:v>
      </x:c>
      <x:c r="G1856" s="60" t="n">
        <x:v>82.75049621390002</x:v>
      </x:c>
      <x:c r="H1856" s="60" t="n">
        <x:v>82.75049621390002</x:v>
      </x:c>
      <x:c r="I1856" s="62" t="n">
        <x:v>0</x:v>
      </x:c>
      <x:c r="J1856" s="64" t="n">
        <x:v>1</x:v>
      </x:c>
      <x:c r="K1856" s="62" t="n">
        <x:v>375.77261583535983</x:v>
      </x:c>
      <x:c r="L1856" s="60" t="n">
        <x:v>31095.37042397125</x:v>
      </x:c>
      <x:c r="M1856" s="62" t="n">
        <x:v>3.4627764772810075</x:v>
      </x:c>
      <x:c r="N1856" s="62" t="n">
        <x:v>290.2528396415715</x:v>
      </x:c>
      <x:c r="O1856" s="60" t="n">
        <x:v>24018.56650783359</x:v>
      </x:c>
      <x:c r="P1856" s="60" t="n">
        <x:v>7076.803916137658</x:v>
      </x:c>
      <x:c r="Q1856" s="62" t="n">
        <x:v>1.2946388958653956</x:v>
      </x:c>
      <x:c r="R1856" s="64" t="n">
        <x:v>0.29463889586539554</x:v>
      </x:c>
    </x:row>
    <x:row r="1857" ht="18" customHeight="1">
      <x:c r="A1857" s="46" t="str">
        <x:v>LME_043</x:v>
      </x:c>
      <x:c r="B1857" s="46" t="str">
        <x:v>Southwest Australian Shelf</x:v>
      </x:c>
      <x:c r="C1857" s="46" t="str">
        <x:v>functional</x:v>
      </x:c>
      <x:c r="D1857" s="46" t="str">
        <x:v>Large reef assoc. fish (&gt;=90 cm)</x:v>
      </x:c>
      <x:c r="E1857" s="66" t="n">
        <x:v>6</x:v>
      </x:c>
      <x:c r="F1857" s="66" t="n">
        <x:v>6</x:v>
      </x:c>
      <x:c r="G1857" s="60" t="n">
        <x:v>3.5009390679999997</x:v>
      </x:c>
      <x:c r="H1857" s="60" t="n">
        <x:v>3.5009390679999997</x:v>
      </x:c>
      <x:c r="I1857" s="62" t="n">
        <x:v>0</x:v>
      </x:c>
      <x:c r="J1857" s="64" t="n">
        <x:v>1</x:v>
      </x:c>
      <x:c r="K1857" s="62" t="n">
        <x:v>1680.9124366501571</x:v>
      </x:c>
      <x:c r="L1857" s="60" t="n">
        <x:v>5884.77201935561</x:v>
      </x:c>
      <x:c r="M1857" s="62" t="n">
        <x:v>4.201205527560184</x:v>
      </x:c>
      <x:c r="N1857" s="62" t="n">
        <x:v>1589.298697835304</x:v>
      </x:c>
      <x:c r="O1857" s="60" t="n">
        <x:v>5564.037901973142</x:v>
      </x:c>
      <x:c r="P1857" s="60" t="n">
        <x:v>320.73411738246796</x:v>
      </x:c>
      <x:c r="Q1857" s="62" t="n">
        <x:v>1.0576441287843723</x:v>
      </x:c>
      <x:c r="R1857" s="64" t="n">
        <x:v>0.057644128784372216</x:v>
      </x:c>
    </x:row>
    <x:row r="1858" ht="18" customHeight="1">
      <x:c r="A1858" s="46" t="str">
        <x:v>LME_043</x:v>
      </x:c>
      <x:c r="B1858" s="46" t="str">
        <x:v>Southwest Australian Shelf</x:v>
      </x:c>
      <x:c r="C1858" s="46" t="str">
        <x:v>functional</x:v>
      </x:c>
      <x:c r="D1858" s="46" t="str">
        <x:v>Large sharks (&gt;=90 cm)</x:v>
      </x:c>
      <x:c r="E1858" s="66" t="n">
        <x:v>39</x:v>
      </x:c>
      <x:c r="F1858" s="66" t="n">
        <x:v>39</x:v>
      </x:c>
      <x:c r="G1858" s="60" t="n">
        <x:v>1358.7797174190002</x:v>
      </x:c>
      <x:c r="H1858" s="60" t="n">
        <x:v>1358.7797174190002</x:v>
      </x:c>
      <x:c r="I1858" s="62" t="n">
        <x:v>0</x:v>
      </x:c>
      <x:c r="J1858" s="64" t="n">
        <x:v>1</x:v>
      </x:c>
      <x:c r="K1858" s="62" t="n">
        <x:v>1491.5929848072653</x:v>
      </x:c>
      <x:c r="L1858" s="60" t="n">
        <x:v>2026746.294400579</x:v>
      </x:c>
      <x:c r="M1858" s="62" t="n">
        <x:v>4.131551525587584</x:v>
      </x:c>
      <x:c r="N1858" s="62" t="n">
        <x:v>1353.790697647372</x:v>
      </x:c>
      <x:c r="O1858" s="60" t="n">
        <x:v>1839503.3415937675</x:v>
      </x:c>
      <x:c r="P1858" s="60" t="n">
        <x:v>187242.95280681155</x:v>
      </x:c>
      <x:c r="Q1858" s="62" t="n">
        <x:v>1.1017899498049197</x:v>
      </x:c>
      <x:c r="R1858" s="64" t="n">
        <x:v>0.10178994980491965</x:v>
      </x:c>
    </x:row>
    <x:row r="1859" ht="18" customHeight="1">
      <x:c r="A1859" s="46" t="str">
        <x:v>LME_043</x:v>
      </x:c>
      <x:c r="B1859" s="46" t="str">
        <x:v>Southwest Australian Shelf</x:v>
      </x:c>
      <x:c r="C1859" s="46" t="str">
        <x:v>functional</x:v>
      </x:c>
      <x:c r="D1859" s="46" t="str">
        <x:v>Lobsters, crabs</x:v>
      </x:c>
      <x:c r="E1859" s="66" t="n">
        <x:v>11</x:v>
      </x:c>
      <x:c r="F1859" s="66" t="n">
        <x:v>11</x:v>
      </x:c>
      <x:c r="G1859" s="60" t="n">
        <x:v>1419.0914499471</x:v>
      </x:c>
      <x:c r="H1859" s="60" t="n">
        <x:v>1419.0914499471</x:v>
      </x:c>
      <x:c r="I1859" s="62" t="n">
        <x:v>0</x:v>
      </x:c>
      <x:c r="J1859" s="64" t="n">
        <x:v>1</x:v>
      </x:c>
      <x:c r="K1859" s="62" t="n">
        <x:v>85.03111439910825</x:v>
      </x:c>
      <x:c r="L1859" s="60" t="n">
        <x:v>120666.92742324826</x:v>
      </x:c>
      <x:c r="M1859" s="62" t="n">
        <x:v>2.7830544534646937</x:v>
      </x:c>
      <x:c r="N1859" s="62" t="n">
        <x:v>60.681240922579086</x:v>
      </x:c>
      <x:c r="O1859" s="60" t="n">
        <x:v>86112.23016541205</x:v>
      </x:c>
      <x:c r="P1859" s="60" t="n">
        <x:v>34554.697257836204</x:v>
      </x:c>
      <x:c r="Q1859" s="62" t="n">
        <x:v>1.4012751404935218</x:v>
      </x:c>
      <x:c r="R1859" s="64" t="n">
        <x:v>0.40127514049352175</x:v>
      </x:c>
    </x:row>
    <x:row r="1860" ht="18" customHeight="1">
      <x:c r="A1860" s="46" t="str">
        <x:v>LME_043</x:v>
      </x:c>
      <x:c r="B1860" s="46" t="str">
        <x:v>Southwest Australian Shelf</x:v>
      </x:c>
      <x:c r="C1860" s="46" t="str">
        <x:v>functional</x:v>
      </x:c>
      <x:c r="D1860" s="46" t="str">
        <x:v>Medium bathydemersals (30 - 89 cm)</x:v>
      </x:c>
      <x:c r="E1860" s="66" t="n">
        <x:v>6</x:v>
      </x:c>
      <x:c r="F1860" s="66" t="n">
        <x:v>6</x:v>
      </x:c>
      <x:c r="G1860" s="60" t="n">
        <x:v>505.1113549293</x:v>
      </x:c>
      <x:c r="H1860" s="60" t="n">
        <x:v>505.1113549293</x:v>
      </x:c>
      <x:c r="I1860" s="62" t="n">
        <x:v>0</x:v>
      </x:c>
      <x:c r="J1860" s="64" t="n">
        <x:v>1</x:v>
      </x:c>
      <x:c r="K1860" s="62" t="n">
        <x:v>553.8085481040368</x:v>
      </x:c>
      <x:c r="L1860" s="60" t="n">
        <x:v>279734.98610425845</x:v>
      </x:c>
      <x:c r="M1860" s="62" t="n">
        <x:v>3.6573582199551034</x:v>
      </x:c>
      <x:c r="N1860" s="62" t="n">
        <x:v>454.31619665088715</x:v>
      </x:c>
      <x:c r="O1860" s="60" t="n">
        <x:v>229480.2696566559</x:v>
      </x:c>
      <x:c r="P1860" s="60" t="n">
        <x:v>50254.71644760255</x:v>
      </x:c>
      <x:c r="Q1860" s="62" t="n">
        <x:v>1.2189936264359142</x:v>
      </x:c>
      <x:c r="R1860" s="64" t="n">
        <x:v>0.21899362643591416</x:v>
      </x:c>
    </x:row>
    <x:row r="1861" ht="18" customHeight="1">
      <x:c r="A1861" s="46" t="str">
        <x:v>LME_043</x:v>
      </x:c>
      <x:c r="B1861" s="46" t="str">
        <x:v>Southwest Australian Shelf</x:v>
      </x:c>
      <x:c r="C1861" s="46" t="str">
        <x:v>functional</x:v>
      </x:c>
      <x:c r="D1861" s="46" t="str">
        <x:v>Medium bathypelagics (30 - 89 cm)</x:v>
      </x:c>
      <x:c r="E1861" s="66" t="n">
        <x:v>8</x:v>
      </x:c>
      <x:c r="F1861" s="66" t="n">
        <x:v>8</x:v>
      </x:c>
      <x:c r="G1861" s="60" t="n">
        <x:v>361.09855028939995</x:v>
      </x:c>
      <x:c r="H1861" s="60" t="n">
        <x:v>361.09855028939995</x:v>
      </x:c>
      <x:c r="I1861" s="62" t="n">
        <x:v>0</x:v>
      </x:c>
      <x:c r="J1861" s="64" t="n">
        <x:v>1</x:v>
      </x:c>
      <x:c r="K1861" s="62" t="n">
        <x:v>982.4584133015882</x:v>
      </x:c>
      <x:c r="L1861" s="60" t="n">
        <x:v>354764.3087628276</x:v>
      </x:c>
      <x:c r="M1861" s="62" t="n">
        <x:v>3.9188687402720577</x:v>
      </x:c>
      <x:c r="N1861" s="62" t="n">
        <x:v>829.5999940612514</x:v>
      </x:c>
      <x:c r="O1861" s="60" t="n">
        <x:v>299567.3551756127</x:v>
      </x:c>
      <x:c r="P1861" s="60" t="n">
        <x:v>55196.95358721487</x:v>
      </x:c>
      <x:c r="Q1861" s="62" t="n">
        <x:v>1.1842555693521988</x:v>
      </x:c>
      <x:c r="R1861" s="64" t="n">
        <x:v>0.18425556935219875</x:v>
      </x:c>
    </x:row>
    <x:row r="1862" ht="18" customHeight="1">
      <x:c r="A1862" s="46" t="str">
        <x:v>LME_043</x:v>
      </x:c>
      <x:c r="B1862" s="46" t="str">
        <x:v>Southwest Australian Shelf</x:v>
      </x:c>
      <x:c r="C1862" s="46" t="str">
        <x:v>functional</x:v>
      </x:c>
      <x:c r="D1862" s="46" t="str">
        <x:v>Medium benthopelagics (30 - 89 cm)</x:v>
      </x:c>
      <x:c r="E1862" s="66" t="n">
        <x:v>15</x:v>
      </x:c>
      <x:c r="F1862" s="66" t="n">
        <x:v>15</x:v>
      </x:c>
      <x:c r="G1862" s="60" t="n">
        <x:v>4811.347037823901</x:v>
      </x:c>
      <x:c r="H1862" s="60" t="n">
        <x:v>4811.347037823901</x:v>
      </x:c>
      <x:c r="I1862" s="62" t="n">
        <x:v>0</x:v>
      </x:c>
      <x:c r="J1862" s="64" t="n">
        <x:v>1</x:v>
      </x:c>
      <x:c r="K1862" s="62" t="n">
        <x:v>773.9350342568965</x:v>
      </x:c>
      <x:c r="L1862" s="60" t="n">
        <x:v>3723670.034540058</x:v>
      </x:c>
      <x:c r="M1862" s="62" t="n">
        <x:v>3.8506433717894044</x:v>
      </x:c>
      <x:c r="N1862" s="62" t="n">
        <x:v>708.995325431249</x:v>
      </x:c>
      <x:c r="O1862" s="60" t="n">
        <x:v>3411222.558844632</x:v>
      </x:c>
      <x:c r="P1862" s="60" t="n">
        <x:v>312447.4756954261</x:v>
      </x:c>
      <x:c r="Q1862" s="62" t="n">
        <x:v>1.0915939872891938</x:v>
      </x:c>
      <x:c r="R1862" s="64" t="n">
        <x:v>0.09159398728919373</x:v>
      </x:c>
    </x:row>
    <x:row r="1863" ht="18" customHeight="1">
      <x:c r="A1863" s="46" t="str">
        <x:v>LME_043</x:v>
      </x:c>
      <x:c r="B1863" s="46" t="str">
        <x:v>Southwest Australian Shelf</x:v>
      </x:c>
      <x:c r="C1863" s="46" t="str">
        <x:v>functional</x:v>
      </x:c>
      <x:c r="D1863" s="46" t="str">
        <x:v>Medium demersals (30 - 89 cm)</x:v>
      </x:c>
      <x:c r="E1863" s="66" t="n">
        <x:v>17</x:v>
      </x:c>
      <x:c r="F1863" s="66" t="n">
        <x:v>17</x:v>
      </x:c>
      <x:c r="G1863" s="60" t="n">
        <x:v>4096.7833925815</x:v>
      </x:c>
      <x:c r="H1863" s="60" t="n">
        <x:v>4096.7833925815</x:v>
      </x:c>
      <x:c r="I1863" s="62" t="n">
        <x:v>0</x:v>
      </x:c>
      <x:c r="J1863" s="64" t="n">
        <x:v>1</x:v>
      </x:c>
      <x:c r="K1863" s="62" t="n">
        <x:v>257.3665736203891</x:v>
      </x:c>
      <x:c r="L1863" s="60" t="n">
        <x:v>1054375.104613614</x:v>
      </x:c>
      <x:c r="M1863" s="62" t="n">
        <x:v>3.375411987273899</x:v>
      </x:c>
      <x:c r="N1863" s="62" t="n">
        <x:v>237.3624342896916</x:v>
      </x:c>
      <x:c r="O1863" s="60" t="n">
        <x:v>972422.4788207262</x:v>
      </x:c>
      <x:c r="P1863" s="60" t="n">
        <x:v>81952.62579288788</x:v>
      </x:c>
      <x:c r="Q1863" s="62" t="n">
        <x:v>1.084276770208226</x:v>
      </x:c>
      <x:c r="R1863" s="64" t="n">
        <x:v>0.08427677020822602</x:v>
      </x:c>
    </x:row>
    <x:row r="1864" ht="18" customHeight="1">
      <x:c r="A1864" s="46" t="str">
        <x:v>LME_043</x:v>
      </x:c>
      <x:c r="B1864" s="46" t="str">
        <x:v>Southwest Australian Shelf</x:v>
      </x:c>
      <x:c r="C1864" s="46" t="str">
        <x:v>functional</x:v>
      </x:c>
      <x:c r="D1864" s="46" t="str">
        <x:v>Medium pelagics (30 - 89 cm)</x:v>
      </x:c>
      <x:c r="E1864" s="66" t="n">
        <x:v>20</x:v>
      </x:c>
      <x:c r="F1864" s="66" t="n">
        <x:v>20</x:v>
      </x:c>
      <x:c r="G1864" s="60" t="n">
        <x:v>6565.7265544704005</x:v>
      </x:c>
      <x:c r="H1864" s="60" t="n">
        <x:v>6565.7265544704005</x:v>
      </x:c>
      <x:c r="I1864" s="62" t="n">
        <x:v>0</x:v>
      </x:c>
      <x:c r="J1864" s="64" t="n">
        <x:v>1</x:v>
      </x:c>
      <x:c r="K1864" s="62" t="n">
        <x:v>567.9693359515535</x:v>
      </x:c>
      <x:c r="L1864" s="60" t="n">
        <x:v>3729131.3511820347</x:v>
      </x:c>
      <x:c r="M1864" s="62" t="n">
        <x:v>3.277752930442804</x:v>
      </x:c>
      <x:c r="N1864" s="62" t="n">
        <x:v>189.56271945896572</x:v>
      </x:c>
      <x:c r="O1864" s="60" t="n">
        <x:v>1244616.9808893541</x:v>
      </x:c>
      <x:c r="P1864" s="60" t="n">
        <x:v>2484514.3702926803</x:v>
      </x:c>
      <x:c r="Q1864" s="62" t="n">
        <x:v>2.9962079968709285</x:v>
      </x:c>
      <x:c r="R1864" s="64" t="n">
        <x:v>1.9962079968709285</x:v>
      </x:c>
    </x:row>
    <x:row r="1865" ht="18" customHeight="1">
      <x:c r="A1865" s="46" t="str">
        <x:v>LME_043</x:v>
      </x:c>
      <x:c r="B1865" s="46" t="str">
        <x:v>Southwest Australian Shelf</x:v>
      </x:c>
      <x:c r="C1865" s="46" t="str">
        <x:v>functional</x:v>
      </x:c>
      <x:c r="D1865" s="46" t="str">
        <x:v>Medium reef assoc. fish (30 - 89 cm)</x:v>
      </x:c>
      <x:c r="E1865" s="66" t="n">
        <x:v>24</x:v>
      </x:c>
      <x:c r="F1865" s="66" t="n">
        <x:v>24</x:v>
      </x:c>
      <x:c r="G1865" s="60" t="n">
        <x:v>416.7491187495</x:v>
      </x:c>
      <x:c r="H1865" s="60" t="n">
        <x:v>416.7491187495</x:v>
      </x:c>
      <x:c r="I1865" s="62" t="n">
        <x:v>0</x:v>
      </x:c>
      <x:c r="J1865" s="64" t="n">
        <x:v>1</x:v>
      </x:c>
      <x:c r="K1865" s="62" t="n">
        <x:v>389.6784847694487</x:v>
      </x:c>
      <x:c r="L1865" s="60" t="n">
        <x:v>162398.1651233082</x:v>
      </x:c>
      <x:c r="M1865" s="62" t="n">
        <x:v>3.1309347783557433</x:v>
      </x:c>
      <x:c r="N1865" s="62" t="n">
        <x:v>135.18695263654973</x:v>
      </x:c>
      <x:c r="O1865" s="60" t="n">
        <x:v>56339.04337771249</x:v>
      </x:c>
      <x:c r="P1865" s="60" t="n">
        <x:v>106059.12174559571</x:v>
      </x:c>
      <x:c r="Q1865" s="62" t="n">
        <x:v>2.882515488141076</x:v>
      </x:c>
      <x:c r="R1865" s="64" t="n">
        <x:v>1.8825154881410764</x:v>
      </x:c>
    </x:row>
    <x:row r="1866" ht="18" customHeight="1">
      <x:c r="A1866" s="46" t="str">
        <x:v>LME_043</x:v>
      </x:c>
      <x:c r="B1866" s="46" t="str">
        <x:v>Southwest Australian Shelf</x:v>
      </x:c>
      <x:c r="C1866" s="46" t="str">
        <x:v>functional</x:v>
      </x:c>
      <x:c r="D1866" s="46" t="str">
        <x:v>Other demersal invertebrates</x:v>
      </x:c>
      <x:c r="E1866" s="66" t="n">
        <x:v>15</x:v>
      </x:c>
      <x:c r="F1866" s="66" t="n">
        <x:v>15</x:v>
      </x:c>
      <x:c r="G1866" s="60" t="n">
        <x:v>1499.9069595585001</x:v>
      </x:c>
      <x:c r="H1866" s="60" t="n">
        <x:v>1499.9069595585001</x:v>
      </x:c>
      <x:c r="I1866" s="62" t="n">
        <x:v>0</x:v>
      </x:c>
      <x:c r="J1866" s="64" t="n">
        <x:v>1</x:v>
      </x:c>
      <x:c r="K1866" s="62" t="n">
        <x:v>10.225598231644623</x:v>
      </x:c>
      <x:c r="L1866" s="60" t="n">
        <x:v>15337.445953292861</x:v>
      </x:c>
      <x:c r="M1866" s="62" t="n">
        <x:v>2.003599352024172</x:v>
      </x:c>
      <x:c r="N1866" s="62" t="n">
        <x:v>10.083222533239827</x:v>
      </x:c>
      <x:c r="O1866" s="60" t="n">
        <x:v>15123.895652383506</x:v>
      </x:c>
      <x:c r="P1866" s="60" t="n">
        <x:v>213.55030090935543</x:v>
      </x:c>
      <x:c r="Q1866" s="62" t="n">
        <x:v>1.014120059131438</x:v>
      </x:c>
      <x:c r="R1866" s="64" t="n">
        <x:v>0.014120059131438148</x:v>
      </x:c>
    </x:row>
    <x:row r="1867" ht="18" customHeight="1">
      <x:c r="A1867" s="46" t="str">
        <x:v>LME_043</x:v>
      </x:c>
      <x:c r="B1867" s="46" t="str">
        <x:v>Southwest Australian Shelf</x:v>
      </x:c>
      <x:c r="C1867" s="46" t="str">
        <x:v>functional</x:v>
      </x:c>
      <x:c r="D1867" s="46" t="str">
        <x:v>Shrimps</x:v>
      </x:c>
      <x:c r="E1867" s="66" t="n">
        <x:v>1</x:v>
      </x:c>
      <x:c r="F1867" s="66" t="n">
        <x:v>1</x:v>
      </x:c>
      <x:c r="G1867" s="60" t="n">
        <x:v>346.4406094033</x:v>
      </x:c>
      <x:c r="H1867" s="60" t="n">
        <x:v>346.4406094033</x:v>
      </x:c>
      <x:c r="I1867" s="62" t="n">
        <x:v>0</x:v>
      </x:c>
      <x:c r="J1867" s="64" t="n">
        <x:v>1</x:v>
      </x:c>
      <x:c r="K1867" s="62" t="n">
        <x:v>204.17379446695298</x:v>
      </x:c>
      <x:c r="L1867" s="60" t="n">
        <x:v>70734.09377931531</x:v>
      </x:c>
      <x:c r="M1867" s="62" t="n">
        <x:v>3.31</x:v>
      </x:c>
      <x:c r="N1867" s="62" t="n">
        <x:v>204.17379446695296</x:v>
      </x:c>
      <x:c r="O1867" s="60" t="n">
        <x:v>70734.09377931531</x:v>
      </x:c>
      <x:c r="P1867" s="60" t="n">
        <x:v>0</x:v>
      </x:c>
      <x:c r="Q1867" s="62" t="n">
        <x:v>1</x:v>
      </x:c>
      <x:c r="R1867" s="64" t="n">
        <x:v>0</x:v>
      </x:c>
    </x:row>
    <x:row r="1868" ht="18" customHeight="1">
      <x:c r="A1868" s="46" t="str">
        <x:v>LME_043</x:v>
      </x:c>
      <x:c r="B1868" s="46" t="str">
        <x:v>Southwest Australian Shelf</x:v>
      </x:c>
      <x:c r="C1868" s="46" t="str">
        <x:v>functional</x:v>
      </x:c>
      <x:c r="D1868" s="46" t="str">
        <x:v>Small benthopelagics (&lt;30 cm)</x:v>
      </x:c>
      <x:c r="E1868" s="66" t="n">
        <x:v>3</x:v>
      </x:c>
      <x:c r="F1868" s="66" t="n">
        <x:v>3</x:v>
      </x:c>
      <x:c r="G1868" s="60" t="n">
        <x:v>12.4407369775</x:v>
      </x:c>
      <x:c r="H1868" s="60" t="n">
        <x:v>12.4407369775</x:v>
      </x:c>
      <x:c r="I1868" s="62" t="n">
        <x:v>0</x:v>
      </x:c>
      <x:c r="J1868" s="64" t="n">
        <x:v>1</x:v>
      </x:c>
      <x:c r="K1868" s="62" t="n">
        <x:v>147.1562532415275</x:v>
      </x:c>
      <x:c r="L1868" s="60" t="n">
        <x:v>1830.7322411722255</x:v>
      </x:c>
      <x:c r="M1868" s="62" t="n">
        <x:v>3.1657528833057436</x:v>
      </x:c>
      <x:c r="N1868" s="62" t="n">
        <x:v>146.47141708630343</x:v>
      </x:c>
      <x:c r="O1868" s="60" t="n">
        <x:v>1822.2123746924005</x:v>
      </x:c>
      <x:c r="P1868" s="60" t="n">
        <x:v>8.519866479824941</x:v>
      </x:c>
      <x:c r="Q1868" s="62" t="n">
        <x:v>1.0046755617501846</x:v>
      </x:c>
      <x:c r="R1868" s="64" t="n">
        <x:v>0.004675561750184657</x:v>
      </x:c>
    </x:row>
    <x:row r="1869" ht="18" customHeight="1">
      <x:c r="A1869" s="46" t="str">
        <x:v>LME_043</x:v>
      </x:c>
      <x:c r="B1869" s="46" t="str">
        <x:v>Southwest Australian Shelf</x:v>
      </x:c>
      <x:c r="C1869" s="46" t="str">
        <x:v>functional</x:v>
      </x:c>
      <x:c r="D1869" s="46" t="str">
        <x:v>Small pelagics (&lt;30 cm)</x:v>
      </x:c>
      <x:c r="E1869" s="66" t="n">
        <x:v>11</x:v>
      </x:c>
      <x:c r="F1869" s="66" t="n">
        <x:v>11</x:v>
      </x:c>
      <x:c r="G1869" s="60" t="n">
        <x:v>83.0208036455</x:v>
      </x:c>
      <x:c r="H1869" s="60" t="n">
        <x:v>83.0208036455</x:v>
      </x:c>
      <x:c r="I1869" s="62" t="n">
        <x:v>0</x:v>
      </x:c>
      <x:c r="J1869" s="64" t="n">
        <x:v>1</x:v>
      </x:c>
      <x:c r="K1869" s="62" t="n">
        <x:v>1971.227916261724</x:v>
      </x:c>
      <x:c r="L1869" s="60" t="n">
        <x:v>163652.9257764927</x:v>
      </x:c>
      <x:c r="M1869" s="62" t="n">
        <x:v>3.988238347428056</x:v>
      </x:c>
      <x:c r="N1869" s="62" t="n">
        <x:v>973.2812287946199</x:v>
      </x:c>
      <x:c r="O1869" s="60" t="n">
        <x:v>80802.58978760909</x:v>
      </x:c>
      <x:c r="P1869" s="60" t="n">
        <x:v>82850.3359888836</x:v>
      </x:c>
      <x:c r="Q1869" s="62" t="n">
        <x:v>2.0253425813041024</x:v>
      </x:c>
      <x:c r="R1869" s="64" t="n">
        <x:v>1.0253425813041024</x:v>
      </x:c>
    </x:row>
    <x:row r="1870" ht="18" customHeight="1">
      <x:c r="A1870" s="46" t="str">
        <x:v>LME_043</x:v>
      </x:c>
      <x:c r="B1870" s="46" t="str">
        <x:v>Southwest Australian Shelf</x:v>
      </x:c>
      <x:c r="C1870" s="46" t="str">
        <x:v>functional</x:v>
      </x:c>
      <x:c r="D1870" s="46" t="str">
        <x:v>Small reef assoc. fish (&lt;30 cm)</x:v>
      </x:c>
      <x:c r="E1870" s="66" t="n">
        <x:v>3</x:v>
      </x:c>
      <x:c r="F1870" s="66" t="n">
        <x:v>3</x:v>
      </x:c>
      <x:c r="G1870" s="60" t="n">
        <x:v>0.0017804469</x:v>
      </x:c>
      <x:c r="H1870" s="60" t="n">
        <x:v>0.0017804469</x:v>
      </x:c>
      <x:c r="I1870" s="62" t="n">
        <x:v>0</x:v>
      </x:c>
      <x:c r="J1870" s="64" t="n">
        <x:v>1</x:v>
      </x:c>
      <x:c r="K1870" s="62" t="n">
        <x:v>308.8104545246355</x:v>
      </x:c>
      <x:c r="L1870" s="60" t="n">
        <x:v>0.5498206164459782</x:v>
      </x:c>
      <x:c r="M1870" s="62" t="n">
        <x:v>3.4889277433660055</x:v>
      </x:c>
      <x:c r="N1870" s="62" t="n">
        <x:v>308.26750212098136</x:v>
      </x:c>
      <x:c r="O1870" s="60" t="n">
        <x:v>0.5488539185220447</x:v>
      </x:c>
      <x:c r="P1870" s="60" t="n">
        <x:v>0.0009666979239335571</x:v>
      </x:c>
      <x:c r="Q1870" s="62" t="n">
        <x:v>1.0017613027643797</x:v>
      </x:c>
      <x:c r="R1870" s="64" t="n">
        <x:v>0.0017613027643797897</x:v>
      </x:c>
    </x:row>
    <x:row r="1871" ht="18" customHeight="1">
      <x:c r="A1871" s="46" t="str">
        <x:v>LME_043</x:v>
      </x:c>
      <x:c r="B1871" s="46" t="str">
        <x:v>Southwest Australian Shelf</x:v>
      </x:c>
      <x:c r="C1871" s="46" t="str">
        <x:v>functional</x:v>
      </x:c>
      <x:c r="D1871" s="46" t="str">
        <x:v>Small to medium flatfishes (&lt;90 cm)</x:v>
      </x:c>
      <x:c r="E1871" s="66" t="n">
        <x:v>5</x:v>
      </x:c>
      <x:c r="F1871" s="66" t="n">
        <x:v>5</x:v>
      </x:c>
      <x:c r="G1871" s="60" t="n">
        <x:v>5.206877030600001</x:v>
      </x:c>
      <x:c r="H1871" s="60" t="n">
        <x:v>5.206877030600001</x:v>
      </x:c>
      <x:c r="I1871" s="62" t="n">
        <x:v>0</x:v>
      </x:c>
      <x:c r="J1871" s="64" t="n">
        <x:v>1</x:v>
      </x:c>
      <x:c r="K1871" s="62" t="n">
        <x:v>407.6031897796331</x:v>
      </x:c>
      <x:c r="L1871" s="60" t="n">
        <x:v>2122.339686462865</x:v>
      </x:c>
      <x:c r="M1871" s="62" t="n">
        <x:v>3.599586581407751</x:v>
      </x:c>
      <x:c r="N1871" s="62" t="n">
        <x:v>397.72838012224986</x:v>
      </x:c>
      <x:c r="O1871" s="60" t="n">
        <x:v>2070.9227668762887</x:v>
      </x:c>
      <x:c r="P1871" s="60" t="n">
        <x:v>51.416919586576114</x:v>
      </x:c>
      <x:c r="Q1871" s="62" t="n">
        <x:v>1.024828023724</x:v>
      </x:c>
      <x:c r="R1871" s="64" t="n">
        <x:v>0.02482802372399995</x:v>
      </x:c>
    </x:row>
    <x:row r="1872" ht="18" customHeight="1">
      <x:c r="A1872" s="46" t="str">
        <x:v>LME_043</x:v>
      </x:c>
      <x:c r="B1872" s="46" t="str">
        <x:v>Southwest Australian Shelf</x:v>
      </x:c>
      <x:c r="C1872" s="46" t="str">
        <x:v>functional</x:v>
      </x:c>
      <x:c r="D1872" s="46" t="str">
        <x:v>Small to medium rays (&lt;90 cm)</x:v>
      </x:c>
      <x:c r="E1872" s="66" t="n">
        <x:v>1</x:v>
      </x:c>
      <x:c r="F1872" s="66" t="n">
        <x:v>1</x:v>
      </x:c>
      <x:c r="G1872" s="60" t="n">
        <x:v>32.2181708923</x:v>
      </x:c>
      <x:c r="H1872" s="60" t="n">
        <x:v>32.2181708923</x:v>
      </x:c>
      <x:c r="I1872" s="62" t="n">
        <x:v>0</x:v>
      </x:c>
      <x:c r="J1872" s="64" t="n">
        <x:v>1</x:v>
      </x:c>
      <x:c r="K1872" s="62" t="n">
        <x:v>501.18723362727246</x:v>
      </x:c>
      <x:c r="L1872" s="60" t="n">
        <x:v>16147.33594204255</x:v>
      </x:c>
      <x:c r="M1872" s="62" t="n">
        <x:v>3.7</x:v>
      </x:c>
      <x:c r="N1872" s="62" t="n">
        <x:v>501.18723362727246</x:v>
      </x:c>
      <x:c r="O1872" s="60" t="n">
        <x:v>16147.33594204255</x:v>
      </x:c>
      <x:c r="P1872" s="60" t="n">
        <x:v>0</x:v>
      </x:c>
      <x:c r="Q1872" s="62" t="n">
        <x:v>1</x:v>
      </x:c>
      <x:c r="R1872" s="64" t="n">
        <x:v>0</x:v>
      </x:c>
    </x:row>
    <x:row r="1873" ht="18" customHeight="1">
      <x:c r="A1873" s="46" t="str">
        <x:v>LME_043</x:v>
      </x:c>
      <x:c r="B1873" s="46" t="str">
        <x:v>Southwest Australian Shelf</x:v>
      </x:c>
      <x:c r="C1873" s="46" t="str">
        <x:v>functional</x:v>
      </x:c>
      <x:c r="D1873" s="46" t="str">
        <x:v>Small to medium sharks (&lt;90 cm)</x:v>
      </x:c>
      <x:c r="E1873" s="66" t="n">
        <x:v>2</x:v>
      </x:c>
      <x:c r="F1873" s="66" t="n">
        <x:v>2</x:v>
      </x:c>
      <x:c r="G1873" s="60" t="n">
        <x:v>0.927371557</x:v>
      </x:c>
      <x:c r="H1873" s="60" t="n">
        <x:v>0.927371557</x:v>
      </x:c>
      <x:c r="I1873" s="62" t="n">
        <x:v>0</x:v>
      </x:c>
      <x:c r="J1873" s="64" t="n">
        <x:v>1</x:v>
      </x:c>
      <x:c r="K1873" s="62" t="n">
        <x:v>2222.1401872679126</x:v>
      </x:c>
      <x:c r="L1873" s="60" t="n">
        <x:v>2060.7496053389154</x:v>
      </x:c>
      <x:c r="M1873" s="62" t="n">
        <x:v>4.337056502186857</x:v>
      </x:c>
      <x:c r="N1873" s="62" t="n">
        <x:v>2172.9838680509524</x:v>
      </x:c>
      <x:c r="O1873" s="60" t="n">
        <x:v>2015.1634330502943</x:v>
      </x:c>
      <x:c r="P1873" s="60" t="n">
        <x:v>45.58617228862113</x:v>
      </x:c>
      <x:c r="Q1873" s="62" t="n">
        <x:v>1.0226215757694743</x:v>
      </x:c>
      <x:c r="R1873" s="64" t="n">
        <x:v>0.022621575769474274</x:v>
      </x:c>
    </x:row>
    <x:row r="1874" ht="18" customHeight="1">
      <x:c r="A1874" s="46" t="str">
        <x:v>LME_044</x:v>
      </x:c>
      <x:c r="B1874" s="46" t="str">
        <x:v>West-Central Australian Shelf</x:v>
      </x:c>
      <x:c r="C1874" s="46" t="str">
        <x:v>functional</x:v>
      </x:c>
      <x:c r="D1874" s="46" t="str">
        <x:v>Cephalopods</x:v>
      </x:c>
      <x:c r="E1874" s="66" t="n">
        <x:v>10</x:v>
      </x:c>
      <x:c r="F1874" s="66" t="n">
        <x:v>10</x:v>
      </x:c>
      <x:c r="G1874" s="60" t="n">
        <x:v>400.52617448879994</x:v>
      </x:c>
      <x:c r="H1874" s="60" t="n">
        <x:v>400.52617448879994</x:v>
      </x:c>
      <x:c r="I1874" s="62" t="n">
        <x:v>0</x:v>
      </x:c>
      <x:c r="J1874" s="64" t="n">
        <x:v>1</x:v>
      </x:c>
      <x:c r="K1874" s="62" t="n">
        <x:v>895.1269822561383</x:v>
      </x:c>
      <x:c r="L1874" s="60" t="n">
        <x:v>358521.78588475497</x:v>
      </x:c>
      <x:c r="M1874" s="62" t="n">
        <x:v>3.914282282269161</x:v>
      </x:c>
      <x:c r="N1874" s="62" t="n">
        <x:v>820.8849288867073</x:v>
      </x:c>
      <x:c r="O1874" s="60" t="n">
        <x:v>328785.9002625034</x:v>
      </x:c>
      <x:c r="P1874" s="60" t="n">
        <x:v>29735.885622251546</x:v>
      </x:c>
      <x:c r="Q1874" s="62" t="n">
        <x:v>1.0904414866893937</x:v>
      </x:c>
      <x:c r="R1874" s="64" t="n">
        <x:v>0.09044148668939375</x:v>
      </x:c>
    </x:row>
    <x:row r="1875" ht="18" customHeight="1">
      <x:c r="A1875" s="46" t="str">
        <x:v>LME_044</x:v>
      </x:c>
      <x:c r="B1875" s="46" t="str">
        <x:v>West-Central Australian Shelf</x:v>
      </x:c>
      <x:c r="C1875" s="46" t="str">
        <x:v>functional</x:v>
      </x:c>
      <x:c r="D1875" s="46" t="str">
        <x:v>Large bathydemersals (&gt;=90 cm)</x:v>
      </x:c>
      <x:c r="E1875" s="66" t="n">
        <x:v>5</x:v>
      </x:c>
      <x:c r="F1875" s="66" t="n">
        <x:v>5</x:v>
      </x:c>
      <x:c r="G1875" s="60" t="n">
        <x:v>239.437954188</x:v>
      </x:c>
      <x:c r="H1875" s="60" t="n">
        <x:v>239.437954188</x:v>
      </x:c>
      <x:c r="I1875" s="62" t="n">
        <x:v>0</x:v>
      </x:c>
      <x:c r="J1875" s="64" t="n">
        <x:v>1</x:v>
      </x:c>
      <x:c r="K1875" s="62" t="n">
        <x:v>1206.8749837662704</x:v>
      </x:c>
      <x:c r="L1875" s="60" t="n">
        <x:v>288971.6770736715</x:v>
      </x:c>
      <x:c r="M1875" s="62" t="n">
        <x:v>4.042057552707614</x:v>
      </x:c>
      <x:c r="N1875" s="62" t="n">
        <x:v>1101.6852952107968</x:v>
      </x:c>
      <x:c r="O1875" s="60" t="n">
        <x:v>263785.273244276</x:v>
      </x:c>
      <x:c r="P1875" s="60" t="n">
        <x:v>25186.40382939548</x:v>
      </x:c>
      <x:c r="Q1875" s="62" t="n">
        <x:v>1.0954807048916329</x:v>
      </x:c>
      <x:c r="R1875" s="64" t="n">
        <x:v>0.09548070489163296</x:v>
      </x:c>
    </x:row>
    <x:row r="1876" ht="18" customHeight="1">
      <x:c r="A1876" s="46" t="str">
        <x:v>LME_044</x:v>
      </x:c>
      <x:c r="B1876" s="46" t="str">
        <x:v>West-Central Australian Shelf</x:v>
      </x:c>
      <x:c r="C1876" s="46" t="str">
        <x:v>functional</x:v>
      </x:c>
      <x:c r="D1876" s="46" t="str">
        <x:v>Large bathypelagics (&gt;=90 cm)</x:v>
      </x:c>
      <x:c r="E1876" s="66" t="n">
        <x:v>1</x:v>
      </x:c>
      <x:c r="F1876" s="66" t="n">
        <x:v>1</x:v>
      </x:c>
      <x:c r="G1876" s="60" t="n">
        <x:v>14.6039121833</x:v>
      </x:c>
      <x:c r="H1876" s="60" t="n">
        <x:v>14.6039121833</x:v>
      </x:c>
      <x:c r="I1876" s="62" t="n">
        <x:v>0</x:v>
      </x:c>
      <x:c r="J1876" s="64" t="n">
        <x:v>1</x:v>
      </x:c>
      <x:c r="K1876" s="62" t="n">
        <x:v>1659.5869074375596</x:v>
      </x:c>
      <x:c r="L1876" s="60" t="n">
        <x:v>24236.461456772548</x:v>
      </x:c>
      <x:c r="M1876" s="62" t="n">
        <x:v>4.22</x:v>
      </x:c>
      <x:c r="N1876" s="62" t="n">
        <x:v>1659.5869074375596</x:v>
      </x:c>
      <x:c r="O1876" s="60" t="n">
        <x:v>24236.461456772548</x:v>
      </x:c>
      <x:c r="P1876" s="60" t="n">
        <x:v>0</x:v>
      </x:c>
      <x:c r="Q1876" s="62" t="n">
        <x:v>1</x:v>
      </x:c>
      <x:c r="R1876" s="64" t="n">
        <x:v>0</x:v>
      </x:c>
    </x:row>
    <x:row r="1877" ht="18" customHeight="1">
      <x:c r="A1877" s="46" t="str">
        <x:v>LME_044</x:v>
      </x:c>
      <x:c r="B1877" s="46" t="str">
        <x:v>West-Central Australian Shelf</x:v>
      </x:c>
      <x:c r="C1877" s="46" t="str">
        <x:v>functional</x:v>
      </x:c>
      <x:c r="D1877" s="46" t="str">
        <x:v>Large benthopelagics (&gt;=90 cm)</x:v>
      </x:c>
      <x:c r="E1877" s="66" t="n">
        <x:v>16</x:v>
      </x:c>
      <x:c r="F1877" s="66" t="n">
        <x:v>16</x:v>
      </x:c>
      <x:c r="G1877" s="60" t="n">
        <x:v>154.6464337446</x:v>
      </x:c>
      <x:c r="H1877" s="60" t="n">
        <x:v>154.6464337446</x:v>
      </x:c>
      <x:c r="I1877" s="62" t="n">
        <x:v>0</x:v>
      </x:c>
      <x:c r="J1877" s="64" t="n">
        <x:v>1</x:v>
      </x:c>
      <x:c r="K1877" s="62" t="n">
        <x:v>758.0562530606428</x:v>
      </x:c>
      <x:c r="L1877" s="60" t="n">
        <x:v>117230.69611362241</x:v>
      </x:c>
      <x:c r="M1877" s="62" t="n">
        <x:v>3.453178710609653</x:v>
      </x:c>
      <x:c r="N1877" s="62" t="n">
        <x:v>283.90870621691505</x:v>
      </x:c>
      <x:c r="O1877" s="60" t="n">
        <x:v>43905.46892548926</x:v>
      </x:c>
      <x:c r="P1877" s="60" t="n">
        <x:v>73325.22718813315</x:v>
      </x:c>
      <x:c r="Q1877" s="62" t="n">
        <x:v>2.6700704714615697</x:v>
      </x:c>
      <x:c r="R1877" s="64" t="n">
        <x:v>1.67007047146157</x:v>
      </x:c>
    </x:row>
    <x:row r="1878" ht="18" customHeight="1">
      <x:c r="A1878" s="46" t="str">
        <x:v>LME_044</x:v>
      </x:c>
      <x:c r="B1878" s="46" t="str">
        <x:v>West-Central Australian Shelf</x:v>
      </x:c>
      <x:c r="C1878" s="46" t="str">
        <x:v>functional</x:v>
      </x:c>
      <x:c r="D1878" s="46" t="str">
        <x:v>Large demersals (&gt;=90 cm)</x:v>
      </x:c>
      <x:c r="E1878" s="66" t="n">
        <x:v>8</x:v>
      </x:c>
      <x:c r="F1878" s="66" t="n">
        <x:v>8</x:v>
      </x:c>
      <x:c r="G1878" s="60" t="n">
        <x:v>464.45185185809993</x:v>
      </x:c>
      <x:c r="H1878" s="60" t="n">
        <x:v>464.45185185809993</x:v>
      </x:c>
      <x:c r="I1878" s="62" t="n">
        <x:v>0</x:v>
      </x:c>
      <x:c r="J1878" s="64" t="n">
        <x:v>1</x:v>
      </x:c>
      <x:c r="K1878" s="62" t="n">
        <x:v>1959.7978498298803</x:v>
      </x:c>
      <x:c r="L1878" s="60" t="n">
        <x:v>910231.7406210103</x:v>
      </x:c>
      <x:c r="M1878" s="62" t="n">
        <x:v>4.087252110216141</x:v>
      </x:c>
      <x:c r="N1878" s="62" t="n">
        <x:v>1222.5091271568103</x:v>
      </x:c>
      <x:c r="O1878" s="60" t="n">
        <x:v>567796.62802141</x:v>
      </x:c>
      <x:c r="P1878" s="60" t="n">
        <x:v>342435.11259960034</x:v>
      </x:c>
      <x:c r="Q1878" s="62" t="n">
        <x:v>1.6030946569599707</x:v>
      </x:c>
      <x:c r="R1878" s="64" t="n">
        <x:v>0.6030946569599707</x:v>
      </x:c>
    </x:row>
    <x:row r="1879" ht="18" customHeight="1">
      <x:c r="A1879" s="46" t="str">
        <x:v>LME_044</x:v>
      </x:c>
      <x:c r="B1879" s="46" t="str">
        <x:v>West-Central Australian Shelf</x:v>
      </x:c>
      <x:c r="C1879" s="46" t="str">
        <x:v>functional</x:v>
      </x:c>
      <x:c r="D1879" s="46" t="str">
        <x:v>Large pelagics (&gt;=90 cm)</x:v>
      </x:c>
      <x:c r="E1879" s="66" t="n">
        <x:v>32</x:v>
      </x:c>
      <x:c r="F1879" s="66" t="n">
        <x:v>32</x:v>
      </x:c>
      <x:c r="G1879" s="60" t="n">
        <x:v>462.33130426450003</x:v>
      </x:c>
      <x:c r="H1879" s="60" t="n">
        <x:v>462.33130426450003</x:v>
      </x:c>
      <x:c r="I1879" s="62" t="n">
        <x:v>0</x:v>
      </x:c>
      <x:c r="J1879" s="64" t="n">
        <x:v>1</x:v>
      </x:c>
      <x:c r="K1879" s="62" t="n">
        <x:v>2913.092859068417</x:v>
      </x:c>
      <x:c r="L1879" s="60" t="n">
        <x:v>1346814.0209767027</x:v>
      </x:c>
      <x:c r="M1879" s="62" t="n">
        <x:v>4.443326389882158</x:v>
      </x:c>
      <x:c r="N1879" s="62" t="n">
        <x:v>2775.4051503665955</x:v>
      </x:c>
      <x:c r="O1879" s="60" t="n">
        <x:v>1283156.683031399</x:v>
      </x:c>
      <x:c r="P1879" s="60" t="n">
        <x:v>63657.33794530365</x:v>
      </x:c>
      <x:c r="Q1879" s="62" t="n">
        <x:v>1.0496099492658342</x:v>
      </x:c>
      <x:c r="R1879" s="64" t="n">
        <x:v>0.04960994926583408</x:v>
      </x:c>
    </x:row>
    <x:row r="1880" ht="18" customHeight="1">
      <x:c r="A1880" s="46" t="str">
        <x:v>LME_044</x:v>
      </x:c>
      <x:c r="B1880" s="46" t="str">
        <x:v>West-Central Australian Shelf</x:v>
      </x:c>
      <x:c r="C1880" s="46" t="str">
        <x:v>functional</x:v>
      </x:c>
      <x:c r="D1880" s="46" t="str">
        <x:v>Large rays (&gt;=90 cm)</x:v>
      </x:c>
      <x:c r="E1880" s="66" t="n">
        <x:v>8</x:v>
      </x:c>
      <x:c r="F1880" s="66" t="n">
        <x:v>8</x:v>
      </x:c>
      <x:c r="G1880" s="60" t="n">
        <x:v>26.259715090900002</x:v>
      </x:c>
      <x:c r="H1880" s="60" t="n">
        <x:v>26.259715090900002</x:v>
      </x:c>
      <x:c r="I1880" s="62" t="n">
        <x:v>0</x:v>
      </x:c>
      <x:c r="J1880" s="64" t="n">
        <x:v>1</x:v>
      </x:c>
      <x:c r="K1880" s="62" t="n">
        <x:v>849.1983203252869</x:v>
      </x:c>
      <x:c r="L1880" s="60" t="n">
        <x:v>22299.70594741287</x:v>
      </x:c>
      <x:c r="M1880" s="62" t="n">
        <x:v>3.7453491478357535</x:v>
      </x:c>
      <x:c r="N1880" s="62" t="n">
        <x:v>556.3513520805787</x:v>
      </x:c>
      <x:c r="O1880" s="60" t="n">
        <x:v>14609.627996072993</x:v>
      </x:c>
      <x:c r="P1880" s="60" t="n">
        <x:v>7690.077951339876</x:v>
      </x:c>
      <x:c r="Q1880" s="62" t="n">
        <x:v>1.5263705518995374</x:v>
      </x:c>
      <x:c r="R1880" s="64" t="n">
        <x:v>0.5263705518995375</x:v>
      </x:c>
    </x:row>
    <x:row r="1881" ht="18" customHeight="1">
      <x:c r="A1881" s="46" t="str">
        <x:v>LME_044</x:v>
      </x:c>
      <x:c r="B1881" s="46" t="str">
        <x:v>West-Central Australian Shelf</x:v>
      </x:c>
      <x:c r="C1881" s="46" t="str">
        <x:v>functional</x:v>
      </x:c>
      <x:c r="D1881" s="46" t="str">
        <x:v>Large reef assoc. fish (&gt;=90 cm)</x:v>
      </x:c>
      <x:c r="E1881" s="66" t="n">
        <x:v>24</x:v>
      </x:c>
      <x:c r="F1881" s="66" t="n">
        <x:v>24</x:v>
      </x:c>
      <x:c r="G1881" s="60" t="n">
        <x:v>28.089376928900002</x:v>
      </x:c>
      <x:c r="H1881" s="60" t="n">
        <x:v>28.089376928900002</x:v>
      </x:c>
      <x:c r="I1881" s="62" t="n">
        <x:v>0</x:v>
      </x:c>
      <x:c r="J1881" s="64" t="n">
        <x:v>1</x:v>
      </x:c>
      <x:c r="K1881" s="62" t="n">
        <x:v>1199.4846204589246</x:v>
      </x:c>
      <x:c r="L1881" s="60" t="n">
        <x:v>33692.775624489295</x:v>
      </x:c>
      <x:c r="M1881" s="62" t="n">
        <x:v>4.019776110008815</x:v>
      </x:c>
      <x:c r="N1881" s="62" t="n">
        <x:v>1046.588865436451</x:v>
      </x:c>
      <x:c r="O1881" s="60" t="n">
        <x:v>29398.029130834275</x:v>
      </x:c>
      <x:c r="P1881" s="60" t="n">
        <x:v>4294.7464936550205</x:v>
      </x:c>
      <x:c r="Q1881" s="62" t="n">
        <x:v>1.1460896060256793</x:v>
      </x:c>
      <x:c r="R1881" s="64" t="n">
        <x:v>0.14608960602567922</x:v>
      </x:c>
    </x:row>
    <x:row r="1882" ht="18" customHeight="1">
      <x:c r="A1882" s="46" t="str">
        <x:v>LME_044</x:v>
      </x:c>
      <x:c r="B1882" s="46" t="str">
        <x:v>West-Central Australian Shelf</x:v>
      </x:c>
      <x:c r="C1882" s="46" t="str">
        <x:v>functional</x:v>
      </x:c>
      <x:c r="D1882" s="46" t="str">
        <x:v>Large sharks (&gt;=90 cm)</x:v>
      </x:c>
      <x:c r="E1882" s="66" t="n">
        <x:v>50</x:v>
      </x:c>
      <x:c r="F1882" s="66" t="n">
        <x:v>50</x:v>
      </x:c>
      <x:c r="G1882" s="60" t="n">
        <x:v>505.6660785586</x:v>
      </x:c>
      <x:c r="H1882" s="60" t="n">
        <x:v>505.6660785586</x:v>
      </x:c>
      <x:c r="I1882" s="62" t="n">
        <x:v>0</x:v>
      </x:c>
      <x:c r="J1882" s="64" t="n">
        <x:v>1</x:v>
      </x:c>
      <x:c r="K1882" s="62" t="n">
        <x:v>1590.0903143871938</x:v>
      </x:c>
      <x:c r="L1882" s="60" t="n">
        <x:v>804054.7338301837</x:v>
      </x:c>
      <x:c r="M1882" s="62" t="n">
        <x:v>4.150852934229356</x:v>
      </x:c>
      <x:c r="N1882" s="62" t="n">
        <x:v>1415.3144288210756</x:v>
      </x:c>
      <x:c r="O1882" s="60" t="n">
        <x:v>715676.4971493582</x:v>
      </x:c>
      <x:c r="P1882" s="60" t="n">
        <x:v>88378.23668082559</x:v>
      </x:c>
      <x:c r="Q1882" s="62" t="n">
        <x:v>1.1234890862461584</x:v>
      </x:c>
      <x:c r="R1882" s="64" t="n">
        <x:v>0.12348908624615836</x:v>
      </x:c>
    </x:row>
    <x:row r="1883" ht="18" customHeight="1">
      <x:c r="A1883" s="46" t="str">
        <x:v>LME_044</x:v>
      </x:c>
      <x:c r="B1883" s="46" t="str">
        <x:v>West-Central Australian Shelf</x:v>
      </x:c>
      <x:c r="C1883" s="46" t="str">
        <x:v>functional</x:v>
      </x:c>
      <x:c r="D1883" s="46" t="str">
        <x:v>Lobsters, crabs</x:v>
      </x:c>
      <x:c r="E1883" s="66" t="n">
        <x:v>13</x:v>
      </x:c>
      <x:c r="F1883" s="66" t="n">
        <x:v>13</x:v>
      </x:c>
      <x:c r="G1883" s="60" t="n">
        <x:v>7895.4722987111</x:v>
      </x:c>
      <x:c r="H1883" s="60" t="n">
        <x:v>7895.4722987111</x:v>
      </x:c>
      <x:c r="I1883" s="62" t="n">
        <x:v>0</x:v>
      </x:c>
      <x:c r="J1883" s="64" t="n">
        <x:v>1</x:v>
      </x:c>
      <x:c r="K1883" s="62" t="n">
        <x:v>47.219016267075816</x:v>
      </x:c>
      <x:c r="L1883" s="60" t="n">
        <x:v>372816.4349090859</x:v>
      </x:c>
      <x:c r="M1883" s="62" t="n">
        <x:v>2.6297267862271894</x:v>
      </x:c>
      <x:c r="N1883" s="62" t="n">
        <x:v>42.63112428910963</x:v>
      </x:c>
      <x:c r="O1883" s="60" t="n">
        <x:v>336592.860887575</x:v>
      </x:c>
      <x:c r="P1883" s="60" t="n">
        <x:v>36223.574021510896</x:v>
      </x:c>
      <x:c r="Q1883" s="62" t="n">
        <x:v>1.1076183669671174</x:v>
      </x:c>
      <x:c r="R1883" s="64" t="n">
        <x:v>0.10761836696711725</x:v>
      </x:c>
    </x:row>
    <x:row r="1884" ht="18" customHeight="1">
      <x:c r="A1884" s="46" t="str">
        <x:v>LME_044</x:v>
      </x:c>
      <x:c r="B1884" s="46" t="str">
        <x:v>West-Central Australian Shelf</x:v>
      </x:c>
      <x:c r="C1884" s="46" t="str">
        <x:v>functional</x:v>
      </x:c>
      <x:c r="D1884" s="46" t="str">
        <x:v>Medium bathydemersals (30 - 89 cm)</x:v>
      </x:c>
      <x:c r="E1884" s="66" t="n">
        <x:v>9</x:v>
      </x:c>
      <x:c r="F1884" s="66" t="n">
        <x:v>9</x:v>
      </x:c>
      <x:c r="G1884" s="60" t="n">
        <x:v>115.06017411949999</x:v>
      </x:c>
      <x:c r="H1884" s="60" t="n">
        <x:v>115.06017411949999</x:v>
      </x:c>
      <x:c r="I1884" s="62" t="n">
        <x:v>0</x:v>
      </x:c>
      <x:c r="J1884" s="64" t="n">
        <x:v>1</x:v>
      </x:c>
      <x:c r="K1884" s="62" t="n">
        <x:v>782.265276371831</x:v>
      </x:c>
      <x:c r="L1884" s="60" t="n">
        <x:v>90007.57890698165</x:v>
      </x:c>
      <x:c r="M1884" s="62" t="n">
        <x:v>3.733636608628764</x:v>
      </x:c>
      <x:c r="N1884" s="62" t="n">
        <x:v>541.5475665016104</x:v>
      </x:c>
      <x:c r="O1884" s="60" t="n">
        <x:v>62310.55729566679</x:v>
      </x:c>
      <x:c r="P1884" s="60" t="n">
        <x:v>27697.021611314864</x:v>
      </x:c>
      <x:c r="Q1884" s="62" t="n">
        <x:v>1.4444996612675294</x:v>
      </x:c>
      <x:c r="R1884" s="64" t="n">
        <x:v>0.44449966126752927</x:v>
      </x:c>
    </x:row>
    <x:row r="1885" ht="18" customHeight="1">
      <x:c r="A1885" s="46" t="str">
        <x:v>LME_044</x:v>
      </x:c>
      <x:c r="B1885" s="46" t="str">
        <x:v>West-Central Australian Shelf</x:v>
      </x:c>
      <x:c r="C1885" s="46" t="str">
        <x:v>functional</x:v>
      </x:c>
      <x:c r="D1885" s="46" t="str">
        <x:v>Medium bathypelagics (30 - 89 cm)</x:v>
      </x:c>
      <x:c r="E1885" s="66" t="n">
        <x:v>8</x:v>
      </x:c>
      <x:c r="F1885" s="66" t="n">
        <x:v>8</x:v>
      </x:c>
      <x:c r="G1885" s="60" t="n">
        <x:v>40.1602725714</x:v>
      </x:c>
      <x:c r="H1885" s="60" t="n">
        <x:v>40.1602725714</x:v>
      </x:c>
      <x:c r="I1885" s="62" t="n">
        <x:v>0</x:v>
      </x:c>
      <x:c r="J1885" s="64" t="n">
        <x:v>1</x:v>
      </x:c>
      <x:c r="K1885" s="62" t="n">
        <x:v>555.3927573796539</x:v>
      </x:c>
      <x:c r="L1885" s="60" t="n">
        <x:v>22304.724520548327</x:v>
      </x:c>
      <x:c r="M1885" s="62" t="n">
        <x:v>3.700246525904285</x:v>
      </x:c>
      <x:c r="N1885" s="62" t="n">
        <x:v>501.47181175514976</x:v>
      </x:c>
      <x:c r="O1885" s="60" t="n">
        <x:v>20139.244646960604</x:v>
      </x:c>
      <x:c r="P1885" s="60" t="n">
        <x:v>2165.479873587723</x:v>
      </x:c>
      <x:c r="Q1885" s="62" t="n">
        <x:v>1.1075253770212545</x:v>
      </x:c>
      <x:c r="R1885" s="64" t="n">
        <x:v>0.10752537702125463</x:v>
      </x:c>
    </x:row>
    <x:row r="1886" ht="18" customHeight="1">
      <x:c r="A1886" s="46" t="str">
        <x:v>LME_044</x:v>
      </x:c>
      <x:c r="B1886" s="46" t="str">
        <x:v>West-Central Australian Shelf</x:v>
      </x:c>
      <x:c r="C1886" s="46" t="str">
        <x:v>functional</x:v>
      </x:c>
      <x:c r="D1886" s="46" t="str">
        <x:v>Medium benthopelagics (30 - 89 cm)</x:v>
      </x:c>
      <x:c r="E1886" s="66" t="n">
        <x:v>16</x:v>
      </x:c>
      <x:c r="F1886" s="66" t="n">
        <x:v>16</x:v>
      </x:c>
      <x:c r="G1886" s="60" t="n">
        <x:v>1479.0716235861996</x:v>
      </x:c>
      <x:c r="H1886" s="60" t="n">
        <x:v>1479.0716235861996</x:v>
      </x:c>
      <x:c r="I1886" s="62" t="n">
        <x:v>0</x:v>
      </x:c>
      <x:c r="J1886" s="64" t="n">
        <x:v>1</x:v>
      </x:c>
      <x:c r="K1886" s="62" t="n">
        <x:v>713.036196018496</x:v>
      </x:c>
      <x:c r="L1886" s="60" t="n">
        <x:v>1054631.6041208045</x:v>
      </x:c>
      <x:c r="M1886" s="62" t="n">
        <x:v>3.787381147650349</x:v>
      </x:c>
      <x:c r="N1886" s="62" t="n">
        <x:v>612.8880415677395</x:v>
      </x:c>
      <x:c r="O1886" s="60" t="n">
        <x:v>906505.3107181627</x:v>
      </x:c>
      <x:c r="P1886" s="60" t="n">
        <x:v>148126.29340264178</x:v>
      </x:c>
      <x:c r="Q1886" s="62" t="n">
        <x:v>1.1634036686285836</x:v>
      </x:c>
      <x:c r="R1886" s="64" t="n">
        <x:v>0.1634036686285835</x:v>
      </x:c>
    </x:row>
    <x:row r="1887" ht="18" customHeight="1">
      <x:c r="A1887" s="46" t="str">
        <x:v>LME_044</x:v>
      </x:c>
      <x:c r="B1887" s="46" t="str">
        <x:v>West-Central Australian Shelf</x:v>
      </x:c>
      <x:c r="C1887" s="46" t="str">
        <x:v>functional</x:v>
      </x:c>
      <x:c r="D1887" s="46" t="str">
        <x:v>Medium demersals (30 - 89 cm)</x:v>
      </x:c>
      <x:c r="E1887" s="66" t="n">
        <x:v>33</x:v>
      </x:c>
      <x:c r="F1887" s="66" t="n">
        <x:v>33</x:v>
      </x:c>
      <x:c r="G1887" s="60" t="n">
        <x:v>2395.9997053987</x:v>
      </x:c>
      <x:c r="H1887" s="60" t="n">
        <x:v>2395.9997053987</x:v>
      </x:c>
      <x:c r="I1887" s="62" t="n">
        <x:v>0</x:v>
      </x:c>
      <x:c r="J1887" s="64" t="n">
        <x:v>1</x:v>
      </x:c>
      <x:c r="K1887" s="62" t="n">
        <x:v>249.84416961025588</x:v>
      </x:c>
      <x:c r="L1887" s="60" t="n">
        <x:v>598626.5567817559</x:v>
      </x:c>
      <x:c r="M1887" s="62" t="n">
        <x:v>3.3598957702399597</x:v>
      </x:c>
      <x:c r="N1887" s="62" t="n">
        <x:v>229.03179153314616</x:v>
      </x:c>
      <x:c r="O1887" s="60" t="n">
        <x:v>548760.1050403547</x:v>
      </x:c>
      <x:c r="P1887" s="60" t="n">
        <x:v>49866.45174140122</x:v>
      </x:c>
      <x:c r="Q1887" s="62" t="n">
        <x:v>1.0908711316354422</x:v>
      </x:c>
      <x:c r="R1887" s="64" t="n">
        <x:v>0.09087113163544232</x:v>
      </x:c>
    </x:row>
    <x:row r="1888" ht="18" customHeight="1">
      <x:c r="A1888" s="46" t="str">
        <x:v>LME_044</x:v>
      </x:c>
      <x:c r="B1888" s="46" t="str">
        <x:v>West-Central Australian Shelf</x:v>
      </x:c>
      <x:c r="C1888" s="46" t="str">
        <x:v>functional</x:v>
      </x:c>
      <x:c r="D1888" s="46" t="str">
        <x:v>Medium pelagics (30 - 89 cm)</x:v>
      </x:c>
      <x:c r="E1888" s="66" t="n">
        <x:v>22</x:v>
      </x:c>
      <x:c r="F1888" s="66" t="n">
        <x:v>22</x:v>
      </x:c>
      <x:c r="G1888" s="60" t="n">
        <x:v>3542.7010622561997</x:v>
      </x:c>
      <x:c r="H1888" s="60" t="n">
        <x:v>3542.7010622561997</x:v>
      </x:c>
      <x:c r="I1888" s="62" t="n">
        <x:v>0</x:v>
      </x:c>
      <x:c r="J1888" s="64" t="n">
        <x:v>1</x:v>
      </x:c>
      <x:c r="K1888" s="62" t="n">
        <x:v>467.02775189591307</x:v>
      </x:c>
      <x:c r="L1888" s="60" t="n">
        <x:v>1654539.7127447762</x:v>
      </x:c>
      <x:c r="M1888" s="62" t="n">
        <x:v>3.1867949960211037</x:v>
      </x:c>
      <x:c r="N1888" s="62" t="n">
        <x:v>153.74287425015802</x:v>
      </x:c>
      <x:c r="O1888" s="60" t="n">
        <x:v>544665.0439203562</x:v>
      </x:c>
      <x:c r="P1888" s="60" t="n">
        <x:v>1109874.6688244198</x:v>
      </x:c>
      <x:c r="Q1888" s="62" t="n">
        <x:v>3.037719661309331</x:v>
      </x:c>
      <x:c r="R1888" s="64" t="n">
        <x:v>2.0377196613093305</x:v>
      </x:c>
    </x:row>
    <x:row r="1889" ht="18" customHeight="1">
      <x:c r="A1889" s="46" t="str">
        <x:v>LME_044</x:v>
      </x:c>
      <x:c r="B1889" s="46" t="str">
        <x:v>West-Central Australian Shelf</x:v>
      </x:c>
      <x:c r="C1889" s="46" t="str">
        <x:v>functional</x:v>
      </x:c>
      <x:c r="D1889" s="46" t="str">
        <x:v>Medium reef assoc. fish (30 - 89 cm)</x:v>
      </x:c>
      <x:c r="E1889" s="66" t="n">
        <x:v>88</x:v>
      </x:c>
      <x:c r="F1889" s="66" t="n">
        <x:v>88</x:v>
      </x:c>
      <x:c r="G1889" s="60" t="n">
        <x:v>678.8247882919</x:v>
      </x:c>
      <x:c r="H1889" s="60" t="n">
        <x:v>678.8247882919</x:v>
      </x:c>
      <x:c r="I1889" s="62" t="n">
        <x:v>0</x:v>
      </x:c>
      <x:c r="J1889" s="64" t="n">
        <x:v>1</x:v>
      </x:c>
      <x:c r="K1889" s="62" t="n">
        <x:v>544.981335035591</x:v>
      </x:c>
      <x:c r="L1889" s="60" t="n">
        <x:v>369946.83937857207</x:v>
      </x:c>
      <x:c r="M1889" s="62" t="n">
        <x:v>3.480927705244699</x:v>
      </x:c>
      <x:c r="N1889" s="62" t="n">
        <x:v>302.6409595420983</x:v>
      </x:c>
      <x:c r="O1889" s="60" t="n">
        <x:v>205440.18528962234</x:v>
      </x:c>
      <x:c r="P1889" s="60" t="n">
        <x:v>164506.65408894973</x:v>
      </x:c>
      <x:c r="Q1889" s="62" t="n">
        <x:v>1.800752072224984</x:v>
      </x:c>
      <x:c r="R1889" s="64" t="n">
        <x:v>0.8007520722249838</x:v>
      </x:c>
    </x:row>
    <x:row r="1890" ht="18" customHeight="1">
      <x:c r="A1890" s="46" t="str">
        <x:v>LME_044</x:v>
      </x:c>
      <x:c r="B1890" s="46" t="str">
        <x:v>West-Central Australian Shelf</x:v>
      </x:c>
      <x:c r="C1890" s="46" t="str">
        <x:v>functional</x:v>
      </x:c>
      <x:c r="D1890" s="46" t="str">
        <x:v>Other demersal invertebrates</x:v>
      </x:c>
      <x:c r="E1890" s="66" t="n">
        <x:v>17</x:v>
      </x:c>
      <x:c r="F1890" s="66" t="n">
        <x:v>17</x:v>
      </x:c>
      <x:c r="G1890" s="60" t="n">
        <x:v>684.0490189678</x:v>
      </x:c>
      <x:c r="H1890" s="60" t="n">
        <x:v>684.0490189678</x:v>
      </x:c>
      <x:c r="I1890" s="62" t="n">
        <x:v>0</x:v>
      </x:c>
      <x:c r="J1890" s="64" t="n">
        <x:v>1</x:v>
      </x:c>
      <x:c r="K1890" s="62" t="n">
        <x:v>10.280541799047198</x:v>
      </x:c>
      <x:c r="L1890" s="60" t="n">
        <x:v>7032.394532095696</x:v>
      </x:c>
      <x:c r="M1890" s="62" t="n">
        <x:v>2.0047429340790957</x:v>
      </x:c>
      <x:c r="N1890" s="62" t="n">
        <x:v>10.109808612123626</x:v>
      </x:c>
      <x:c r="O1890" s="60" t="n">
        <x:v>6915.604663075382</x:v>
      </x:c>
      <x:c r="P1890" s="60" t="n">
        <x:v>116.78986902031465</x:v>
      </x:c>
      <x:c r="Q1890" s="62" t="n">
        <x:v>1.0168878752777604</x:v>
      </x:c>
      <x:c r="R1890" s="64" t="n">
        <x:v>0.016887875277760308</x:v>
      </x:c>
    </x:row>
    <x:row r="1891" ht="18" customHeight="1">
      <x:c r="A1891" s="46" t="str">
        <x:v>LME_044</x:v>
      </x:c>
      <x:c r="B1891" s="46" t="str">
        <x:v>West-Central Australian Shelf</x:v>
      </x:c>
      <x:c r="C1891" s="46" t="str">
        <x:v>functional</x:v>
      </x:c>
      <x:c r="D1891" s="46" t="str">
        <x:v>Shrimps</x:v>
      </x:c>
      <x:c r="E1891" s="66" t="n">
        <x:v>7</x:v>
      </x:c>
      <x:c r="F1891" s="66" t="n">
        <x:v>7</x:v>
      </x:c>
      <x:c r="G1891" s="60" t="n">
        <x:v>407.772051513</x:v>
      </x:c>
      <x:c r="H1891" s="60" t="n">
        <x:v>407.772051513</x:v>
      </x:c>
      <x:c r="I1891" s="62" t="n">
        <x:v>0</x:v>
      </x:c>
      <x:c r="J1891" s="64" t="n">
        <x:v>1</x:v>
      </x:c>
      <x:c r="K1891" s="62" t="n">
        <x:v>123.14874910736066</x:v>
      </x:c>
      <x:c r="L1891" s="60" t="n">
        <x:v>50216.61806476818</x:v>
      </x:c>
      <x:c r="M1891" s="62" t="n">
        <x:v>2.9873153664282155</x:v>
      </x:c>
      <x:c r="N1891" s="62" t="n">
        <x:v>97.12149667972157</x:v>
      </x:c>
      <x:c r="O1891" s="60" t="n">
        <x:v>39603.43194710308</x:v>
      </x:c>
      <x:c r="P1891" s="60" t="n">
        <x:v>10613.1861176651</x:v>
      </x:c>
      <x:c r="Q1891" s="62" t="n">
        <x:v>1.2679865253051998</x:v>
      </x:c>
      <x:c r="R1891" s="64" t="n">
        <x:v>0.26798652530519984</x:v>
      </x:c>
    </x:row>
    <x:row r="1892" ht="18" customHeight="1">
      <x:c r="A1892" s="46" t="str">
        <x:v>LME_044</x:v>
      </x:c>
      <x:c r="B1892" s="46" t="str">
        <x:v>West-Central Australian Shelf</x:v>
      </x:c>
      <x:c r="C1892" s="46" t="str">
        <x:v>functional</x:v>
      </x:c>
      <x:c r="D1892" s="46" t="str">
        <x:v>Small benthopelagics (&lt;30 cm)</x:v>
      </x:c>
      <x:c r="E1892" s="66" t="n">
        <x:v>4</x:v>
      </x:c>
      <x:c r="F1892" s="66" t="n">
        <x:v>4</x:v>
      </x:c>
      <x:c r="G1892" s="60" t="n">
        <x:v>6.380557459699999</x:v>
      </x:c>
      <x:c r="H1892" s="60" t="n">
        <x:v>6.380557459699999</x:v>
      </x:c>
      <x:c r="I1892" s="62" t="n">
        <x:v>0</x:v>
      </x:c>
      <x:c r="J1892" s="64" t="n">
        <x:v>1</x:v>
      </x:c>
      <x:c r="K1892" s="62" t="n">
        <x:v>147.13756804921394</x:v>
      </x:c>
      <x:c r="L1892" s="60" t="n">
        <x:v>938.8197074185283</x:v>
      </x:c>
      <x:c r="M1892" s="62" t="n">
        <x:v>3.1656924651985987</x:v>
      </x:c>
      <x:c r="N1892" s="62" t="n">
        <x:v>146.4510417175041</x:v>
      </x:c>
      <x:c r="O1892" s="60" t="n">
        <x:v>934.4392867114566</x:v>
      </x:c>
      <x:c r="P1892" s="60" t="n">
        <x:v>4.380420707071721</x:v>
      </x:c>
      <x:c r="Q1892" s="62" t="n">
        <x:v>1.0046877531471174</x:v>
      </x:c>
      <x:c r="R1892" s="64" t="n">
        <x:v>0.004687753147117349</x:v>
      </x:c>
    </x:row>
    <x:row r="1893" ht="18" customHeight="1">
      <x:c r="A1893" s="46" t="str">
        <x:v>LME_044</x:v>
      </x:c>
      <x:c r="B1893" s="46" t="str">
        <x:v>West-Central Australian Shelf</x:v>
      </x:c>
      <x:c r="C1893" s="46" t="str">
        <x:v>functional</x:v>
      </x:c>
      <x:c r="D1893" s="46" t="str">
        <x:v>Small demersals (&lt;30 cm)</x:v>
      </x:c>
      <x:c r="E1893" s="66" t="n">
        <x:v>4</x:v>
      </x:c>
      <x:c r="F1893" s="66" t="n">
        <x:v>4</x:v>
      </x:c>
      <x:c r="G1893" s="60" t="n">
        <x:v>27.3595965245</x:v>
      </x:c>
      <x:c r="H1893" s="60" t="n">
        <x:v>27.3595965245</x:v>
      </x:c>
      <x:c r="I1893" s="62" t="n">
        <x:v>0</x:v>
      </x:c>
      <x:c r="J1893" s="64" t="n">
        <x:v>1</x:v>
      </x:c>
      <x:c r="K1893" s="62" t="n">
        <x:v>369.0676556998148</x:v>
      </x:c>
      <x:c r="L1893" s="60" t="n">
        <x:v>10097.542150190015</x:v>
      </x:c>
      <x:c r="M1893" s="62" t="n">
        <x:v>3.563597138825526</x:v>
      </x:c>
      <x:c r="N1893" s="62" t="n">
        <x:v>366.0978166504169</x:v>
      </x:c>
      <x:c r="O1893" s="60" t="n">
        <x:v>10016.288552055785</x:v>
      </x:c>
      <x:c r="P1893" s="60" t="n">
        <x:v>81.25359813422983</x:v>
      </x:c>
      <x:c r="Q1893" s="62" t="n">
        <x:v>1.008112146301691</x:v>
      </x:c>
      <x:c r="R1893" s="64" t="n">
        <x:v>0.00811214630169106</x:v>
      </x:c>
    </x:row>
    <x:row r="1894" ht="18" customHeight="1">
      <x:c r="A1894" s="46" t="str">
        <x:v>LME_044</x:v>
      </x:c>
      <x:c r="B1894" s="46" t="str">
        <x:v>West-Central Australian Shelf</x:v>
      </x:c>
      <x:c r="C1894" s="46" t="str">
        <x:v>functional</x:v>
      </x:c>
      <x:c r="D1894" s="46" t="str">
        <x:v>Small pelagics (&lt;30 cm)</x:v>
      </x:c>
      <x:c r="E1894" s="66" t="n">
        <x:v>14</x:v>
      </x:c>
      <x:c r="F1894" s="66" t="n">
        <x:v>14</x:v>
      </x:c>
      <x:c r="G1894" s="60" t="n">
        <x:v>235.36425550579997</x:v>
      </x:c>
      <x:c r="H1894" s="60" t="n">
        <x:v>235.36425550579997</x:v>
      </x:c>
      <x:c r="I1894" s="62" t="n">
        <x:v>0</x:v>
      </x:c>
      <x:c r="J1894" s="64" t="n">
        <x:v>1</x:v>
      </x:c>
      <x:c r="K1894" s="62" t="n">
        <x:v>503.04140590702906</x:v>
      </x:c>
      <x:c r="L1894" s="60" t="n">
        <x:v>118397.96598989882</x:v>
      </x:c>
      <x:c r="M1894" s="62" t="n">
        <x:v>2.882475626359486</x:v>
      </x:c>
      <x:c r="N1894" s="62" t="n">
        <x:v>76.2914073405493</x:v>
      </x:c>
      <x:c r="O1894" s="60" t="n">
        <x:v>17956.27029019811</x:v>
      </x:c>
      <x:c r="P1894" s="60" t="n">
        <x:v>100441.69569970071</x:v>
      </x:c>
      <x:c r="Q1894" s="62" t="n">
        <x:v>6.593683659046354</x:v>
      </x:c>
      <x:c r="R1894" s="64" t="n">
        <x:v>5.593683659046354</x:v>
      </x:c>
    </x:row>
    <x:row r="1895" ht="18" customHeight="1">
      <x:c r="A1895" s="46" t="str">
        <x:v>LME_044</x:v>
      </x:c>
      <x:c r="B1895" s="46" t="str">
        <x:v>West-Central Australian Shelf</x:v>
      </x:c>
      <x:c r="C1895" s="46" t="str">
        <x:v>functional</x:v>
      </x:c>
      <x:c r="D1895" s="46" t="str">
        <x:v>Small reef assoc. fish (&lt;30 cm)</x:v>
      </x:c>
      <x:c r="E1895" s="66" t="n">
        <x:v>14</x:v>
      </x:c>
      <x:c r="F1895" s="66" t="n">
        <x:v>14</x:v>
      </x:c>
      <x:c r="G1895" s="60" t="n">
        <x:v>14.024462846599999</x:v>
      </x:c>
      <x:c r="H1895" s="60" t="n">
        <x:v>14.024462846599999</x:v>
      </x:c>
      <x:c r="I1895" s="62" t="n">
        <x:v>0</x:v>
      </x:c>
      <x:c r="J1895" s="64" t="n">
        <x:v>1</x:v>
      </x:c>
      <x:c r="K1895" s="62" t="n">
        <x:v>183.37115428980923</x:v>
      </x:c>
      <x:c r="L1895" s="60" t="n">
        <x:v>2571.6819404755856</x:v>
      </x:c>
      <x:c r="M1895" s="62" t="n">
        <x:v>3.253605257023962</x:v>
      </x:c>
      <x:c r="N1895" s="62" t="n">
        <x:v>179.3103082004656</x:v>
      </x:c>
      <x:c r="O1895" s="60" t="n">
        <x:v>2514.730755369825</x:v>
      </x:c>
      <x:c r="P1895" s="60" t="n">
        <x:v>56.95118510576049</x:v>
      </x:c>
      <x:c r="Q1895" s="62" t="n">
        <x:v>1.022647030893526</x:v>
      </x:c>
      <x:c r="R1895" s="64" t="n">
        <x:v>0.022647030893526033</x:v>
      </x:c>
    </x:row>
    <x:row r="1896" ht="18" customHeight="1">
      <x:c r="A1896" s="46" t="str">
        <x:v>LME_044</x:v>
      </x:c>
      <x:c r="B1896" s="46" t="str">
        <x:v>West-Central Australian Shelf</x:v>
      </x:c>
      <x:c r="C1896" s="46" t="str">
        <x:v>functional</x:v>
      </x:c>
      <x:c r="D1896" s="46" t="str">
        <x:v>Small to medium flatfishes (&lt;90 cm)</x:v>
      </x:c>
      <x:c r="E1896" s="66" t="n">
        <x:v>5</x:v>
      </x:c>
      <x:c r="F1896" s="66" t="n">
        <x:v>5</x:v>
      </x:c>
      <x:c r="G1896" s="60" t="n">
        <x:v>6.600109388900001</x:v>
      </x:c>
      <x:c r="H1896" s="60" t="n">
        <x:v>6.600109388900001</x:v>
      </x:c>
      <x:c r="I1896" s="62" t="n">
        <x:v>0</x:v>
      </x:c>
      <x:c r="J1896" s="64" t="n">
        <x:v>1</x:v>
      </x:c>
      <x:c r="K1896" s="62" t="n">
        <x:v>487.05761833707885</x:v>
      </x:c>
      <x:c r="L1896" s="60" t="n">
        <x:v>3214.633559721827</x:v>
      </x:c>
      <x:c r="M1896" s="62" t="n">
        <x:v>3.6471237299001547</x:v>
      </x:c>
      <x:c r="N1896" s="62" t="n">
        <x:v>443.7350454284808</x:v>
      </x:c>
      <x:c r="O1896" s="60" t="n">
        <x:v>2928.6998395164846</x:v>
      </x:c>
      <x:c r="P1896" s="60" t="n">
        <x:v>285.9337202053425</x:v>
      </x:c>
      <x:c r="Q1896" s="62" t="n">
        <x:v>1.097631623544101</x:v>
      </x:c>
      <x:c r="R1896" s="64" t="n">
        <x:v>0.09763162354410103</x:v>
      </x:c>
    </x:row>
    <x:row r="1897" ht="18" customHeight="1">
      <x:c r="A1897" s="46" t="str">
        <x:v>LME_044</x:v>
      </x:c>
      <x:c r="B1897" s="46" t="str">
        <x:v>West-Central Australian Shelf</x:v>
      </x:c>
      <x:c r="C1897" s="46" t="str">
        <x:v>functional</x:v>
      </x:c>
      <x:c r="D1897" s="46" t="str">
        <x:v>Small to medium rays (&lt;90 cm)</x:v>
      </x:c>
      <x:c r="E1897" s="66" t="n">
        <x:v>1</x:v>
      </x:c>
      <x:c r="F1897" s="66" t="n">
        <x:v>1</x:v>
      </x:c>
      <x:c r="G1897" s="60" t="n">
        <x:v>13.7832448813</x:v>
      </x:c>
      <x:c r="H1897" s="60" t="n">
        <x:v>13.7832448813</x:v>
      </x:c>
      <x:c r="I1897" s="62" t="n">
        <x:v>0</x:v>
      </x:c>
      <x:c r="J1897" s="64" t="n">
        <x:v>1</x:v>
      </x:c>
      <x:c r="K1897" s="62" t="n">
        <x:v>501.1872336272724</x:v>
      </x:c>
      <x:c r="L1897" s="60" t="n">
        <x:v>6907.98637246601</x:v>
      </x:c>
      <x:c r="M1897" s="62" t="n">
        <x:v>3.6999999999999997</x:v>
      </x:c>
      <x:c r="N1897" s="62" t="n">
        <x:v>501.18723362727195</x:v>
      </x:c>
      <x:c r="O1897" s="60" t="n">
        <x:v>6907.986372466004</x:v>
      </x:c>
      <x:c r="P1897" s="60" t="n">
        <x:v>6.366462912410498e-12</x:v>
      </x:c>
      <x:c r="Q1897" s="62" t="n">
        <x:v>1.0000000000000009</x:v>
      </x:c>
      <x:c r="R1897" s="64" t="n">
        <x:v>9.21609072332001e-16</x:v>
      </x:c>
    </x:row>
    <x:row r="1898" ht="18" customHeight="1">
      <x:c r="A1898" s="46" t="str">
        <x:v>LME_044</x:v>
      </x:c>
      <x:c r="B1898" s="46" t="str">
        <x:v>West-Central Australian Shelf</x:v>
      </x:c>
      <x:c r="C1898" s="46" t="str">
        <x:v>functional</x:v>
      </x:c>
      <x:c r="D1898" s="46" t="str">
        <x:v>Small to medium sharks (&lt;90 cm)</x:v>
      </x:c>
      <x:c r="E1898" s="66" t="n">
        <x:v>2</x:v>
      </x:c>
      <x:c r="F1898" s="66" t="n">
        <x:v>2</x:v>
      </x:c>
      <x:c r="G1898" s="60" t="n">
        <x:v>0.43690795930000004</x:v>
      </x:c>
      <x:c r="H1898" s="60" t="n">
        <x:v>0.43690795930000004</x:v>
      </x:c>
      <x:c r="I1898" s="62" t="n">
        <x:v>0</x:v>
      </x:c>
      <x:c r="J1898" s="64" t="n">
        <x:v>1</x:v>
      </x:c>
      <x:c r="K1898" s="62" t="n">
        <x:v>2151.73260176388</x:v>
      </x:c>
      <x:c r="L1898" s="60" t="n">
        <x:v>940.1090999959365</x:v>
      </x:c>
      <x:c r="M1898" s="62" t="n">
        <x:v>4.318058236942262</x:v>
      </x:c>
      <x:c r="N1898" s="62" t="n">
        <x:v>2079.975583801214</x:v>
      </x:c>
      <x:c r="O1898" s="60" t="n">
        <x:v>908.7578877124146</x:v>
      </x:c>
      <x:c r="P1898" s="60" t="n">
        <x:v>31.35121228352193</x:v>
      </x:c>
      <x:c r="Q1898" s="62" t="n">
        <x:v>1.0344989712963497</x:v>
      </x:c>
      <x:c r="R1898" s="64" t="n">
        <x:v>0.034498971296349656</x:v>
      </x:c>
    </x:row>
    <x:row r="1899" ht="18" customHeight="1">
      <x:c r="A1899" s="46" t="str">
        <x:v>LME_045</x:v>
      </x:c>
      <x:c r="B1899" s="46" t="str">
        <x:v>Northwest Australian Shelf</x:v>
      </x:c>
      <x:c r="C1899" s="46" t="str">
        <x:v>functional</x:v>
      </x:c>
      <x:c r="D1899" s="46" t="str">
        <x:v>Cephalopods</x:v>
      </x:c>
      <x:c r="E1899" s="66" t="n">
        <x:v>9</x:v>
      </x:c>
      <x:c r="F1899" s="66" t="n">
        <x:v>9</x:v>
      </x:c>
      <x:c r="G1899" s="60" t="n">
        <x:v>1169.0399272542</x:v>
      </x:c>
      <x:c r="H1899" s="60" t="n">
        <x:v>1169.0399272542</x:v>
      </x:c>
      <x:c r="I1899" s="62" t="n">
        <x:v>0</x:v>
      </x:c>
      <x:c r="J1899" s="64" t="n">
        <x:v>1</x:v>
      </x:c>
      <x:c r="K1899" s="62" t="n">
        <x:v>733.6238320667946</x:v>
      </x:c>
      <x:c r="L1899" s="60" t="n">
        <x:v>857635.551271313</x:v>
      </x:c>
      <x:c r="M1899" s="62" t="n">
        <x:v>3.835308145475214</x:v>
      </x:c>
      <x:c r="N1899" s="62" t="n">
        <x:v>684.397076111048</x:v>
      </x:c>
      <x:c r="O1899" s="60" t="n">
        <x:v>800087.5080698467</x:v>
      </x:c>
      <x:c r="P1899" s="60" t="n">
        <x:v>57548.043201466324</x:v>
      </x:c>
      <x:c r="Q1899" s="62" t="n">
        <x:v>1.0719271862402862</x:v>
      </x:c>
      <x:c r="R1899" s="64" t="n">
        <x:v>0.07192718624028617</x:v>
      </x:c>
    </x:row>
    <x:row r="1900" ht="18" customHeight="1">
      <x:c r="A1900" s="46" t="str">
        <x:v>LME_045</x:v>
      </x:c>
      <x:c r="B1900" s="46" t="str">
        <x:v>Northwest Australian Shelf</x:v>
      </x:c>
      <x:c r="C1900" s="46" t="str">
        <x:v>functional</x:v>
      </x:c>
      <x:c r="D1900" s="46" t="str">
        <x:v>Jellyfish</x:v>
      </x:c>
      <x:c r="E1900" s="66" t="n">
        <x:v>1</x:v>
      </x:c>
      <x:c r="F1900" s="66" t="n">
        <x:v>1</x:v>
      </x:c>
      <x:c r="G1900" s="60" t="n">
        <x:v>30.7034823489</x:v>
      </x:c>
      <x:c r="H1900" s="60" t="n">
        <x:v>30.7034823489</x:v>
      </x:c>
      <x:c r="I1900" s="62" t="n">
        <x:v>0</x:v>
      </x:c>
      <x:c r="J1900" s="64" t="n">
        <x:v>1</x:v>
      </x:c>
      <x:c r="K1900" s="62" t="n">
        <x:v>288.40315031266056</x:v>
      </x:c>
      <x:c r="L1900" s="60" t="n">
        <x:v>8854.981034991926</x:v>
      </x:c>
      <x:c r="M1900" s="62" t="n">
        <x:v>3.46</x:v>
      </x:c>
      <x:c r="N1900" s="62" t="n">
        <x:v>288.40315031266056</x:v>
      </x:c>
      <x:c r="O1900" s="60" t="n">
        <x:v>8854.981034991926</x:v>
      </x:c>
      <x:c r="P1900" s="60" t="n">
        <x:v>0</x:v>
      </x:c>
      <x:c r="Q1900" s="62" t="n">
        <x:v>1</x:v>
      </x:c>
      <x:c r="R1900" s="64" t="n">
        <x:v>0</x:v>
      </x:c>
    </x:row>
    <x:row r="1901" ht="18" customHeight="1">
      <x:c r="A1901" s="46" t="str">
        <x:v>LME_045</x:v>
      </x:c>
      <x:c r="B1901" s="46" t="str">
        <x:v>Northwest Australian Shelf</x:v>
      </x:c>
      <x:c r="C1901" s="46" t="str">
        <x:v>functional</x:v>
      </x:c>
      <x:c r="D1901" s="46" t="str">
        <x:v>Large bathydemersals (&gt;=90 cm)</x:v>
      </x:c>
      <x:c r="E1901" s="66" t="n">
        <x:v>2</x:v>
      </x:c>
      <x:c r="F1901" s="66" t="n">
        <x:v>2</x:v>
      </x:c>
      <x:c r="G1901" s="60" t="n">
        <x:v>5.5230256219000005</x:v>
      </x:c>
      <x:c r="H1901" s="60" t="n">
        <x:v>5.5230256219000005</x:v>
      </x:c>
      <x:c r="I1901" s="62" t="n">
        <x:v>0</x:v>
      </x:c>
      <x:c r="J1901" s="64" t="n">
        <x:v>1</x:v>
      </x:c>
      <x:c r="K1901" s="62" t="n">
        <x:v>2624.110316434693</x:v>
      </x:c>
      <x:c r="L1901" s="60" t="n">
        <x:v>14493.028512360926</x:v>
      </x:c>
      <x:c r="M1901" s="62" t="n">
        <x:v>4.418398214664455</x:v>
      </x:c>
      <x:c r="N1901" s="62" t="n">
        <x:v>2620.5847817832614</x:v>
      </x:c>
      <x:c r="O1901" s="60" t="n">
        <x:v>14473.556894150175</x:v>
      </x:c>
      <x:c r="P1901" s="60" t="n">
        <x:v>19.47161821075133</x:v>
      </x:c>
      <x:c r="Q1901" s="62" t="n">
        <x:v>1.0013453236376624</x:v>
      </x:c>
      <x:c r="R1901" s="64" t="n">
        <x:v>0.001345323637662366</x:v>
      </x:c>
    </x:row>
    <x:row r="1902" ht="18" customHeight="1">
      <x:c r="A1902" s="46" t="str">
        <x:v>LME_045</x:v>
      </x:c>
      <x:c r="B1902" s="46" t="str">
        <x:v>Northwest Australian Shelf</x:v>
      </x:c>
      <x:c r="C1902" s="46" t="str">
        <x:v>functional</x:v>
      </x:c>
      <x:c r="D1902" s="46" t="str">
        <x:v>Large bathypelagics (&gt;=90 cm)</x:v>
      </x:c>
      <x:c r="E1902" s="66" t="n">
        <x:v>1</x:v>
      </x:c>
      <x:c r="F1902" s="66" t="n">
        <x:v>1</x:v>
      </x:c>
      <x:c r="G1902" s="60" t="n">
        <x:v>7.8385879282</x:v>
      </x:c>
      <x:c r="H1902" s="60" t="n">
        <x:v>7.8385879282</x:v>
      </x:c>
      <x:c r="I1902" s="62" t="n">
        <x:v>0</x:v>
      </x:c>
      <x:c r="J1902" s="64" t="n">
        <x:v>1</x:v>
      </x:c>
      <x:c r="K1902" s="62" t="n">
        <x:v>1659.5869074375596</x:v>
      </x:c>
      <x:c r="L1902" s="60" t="n">
        <x:v>13008.817898438825</x:v>
      </x:c>
      <x:c r="M1902" s="62" t="n">
        <x:v>4.22</x:v>
      </x:c>
      <x:c r="N1902" s="62" t="n">
        <x:v>1659.5869074375596</x:v>
      </x:c>
      <x:c r="O1902" s="60" t="n">
        <x:v>13008.817898438825</x:v>
      </x:c>
      <x:c r="P1902" s="60" t="n">
        <x:v>0</x:v>
      </x:c>
      <x:c r="Q1902" s="62" t="n">
        <x:v>1</x:v>
      </x:c>
      <x:c r="R1902" s="64" t="n">
        <x:v>0</x:v>
      </x:c>
    </x:row>
    <x:row r="1903" ht="18" customHeight="1">
      <x:c r="A1903" s="46" t="str">
        <x:v>LME_045</x:v>
      </x:c>
      <x:c r="B1903" s="46" t="str">
        <x:v>Northwest Australian Shelf</x:v>
      </x:c>
      <x:c r="C1903" s="46" t="str">
        <x:v>functional</x:v>
      </x:c>
      <x:c r="D1903" s="46" t="str">
        <x:v>Large benthopelagics (&gt;=90 cm)</x:v>
      </x:c>
      <x:c r="E1903" s="66" t="n">
        <x:v>13</x:v>
      </x:c>
      <x:c r="F1903" s="66" t="n">
        <x:v>13</x:v>
      </x:c>
      <x:c r="G1903" s="60" t="n">
        <x:v>164.52039656460002</x:v>
      </x:c>
      <x:c r="H1903" s="60" t="n">
        <x:v>164.52039656460002</x:v>
      </x:c>
      <x:c r="I1903" s="62" t="n">
        <x:v>0</x:v>
      </x:c>
      <x:c r="J1903" s="64" t="n">
        <x:v>1</x:v>
      </x:c>
      <x:c r="K1903" s="62" t="n">
        <x:v>656.0140000710766</x:v>
      </x:c>
      <x:c r="L1903" s="60" t="n">
        <x:v>107927.68344362307</x:v>
      </x:c>
      <x:c r="M1903" s="62" t="n">
        <x:v>3.020696543376535</x:v>
      </x:c>
      <x:c r="N1903" s="62" t="n">
        <x:v>104.88093330903399</x:v>
      </x:c>
      <x:c r="O1903" s="60" t="n">
        <x:v>17255.05274006764</x:v>
      </x:c>
      <x:c r="P1903" s="60" t="n">
        <x:v>90672.63070355543</x:v>
      </x:c>
      <x:c r="Q1903" s="62" t="n">
        <x:v>6.25484517894322</x:v>
      </x:c>
      <x:c r="R1903" s="64" t="n">
        <x:v>5.25484517894322</x:v>
      </x:c>
    </x:row>
    <x:row r="1904" ht="18" customHeight="1">
      <x:c r="A1904" s="46" t="str">
        <x:v>LME_045</x:v>
      </x:c>
      <x:c r="B1904" s="46" t="str">
        <x:v>Northwest Australian Shelf</x:v>
      </x:c>
      <x:c r="C1904" s="46" t="str">
        <x:v>functional</x:v>
      </x:c>
      <x:c r="D1904" s="46" t="str">
        <x:v>Large demersals (&gt;=90 cm)</x:v>
      </x:c>
      <x:c r="E1904" s="66" t="n">
        <x:v>9</x:v>
      </x:c>
      <x:c r="F1904" s="66" t="n">
        <x:v>9</x:v>
      </x:c>
      <x:c r="G1904" s="60" t="n">
        <x:v>954.3515556002001</x:v>
      </x:c>
      <x:c r="H1904" s="60" t="n">
        <x:v>954.3515556002001</x:v>
      </x:c>
      <x:c r="I1904" s="62" t="n">
        <x:v>0</x:v>
      </x:c>
      <x:c r="J1904" s="64" t="n">
        <x:v>1</x:v>
      </x:c>
      <x:c r="K1904" s="62" t="n">
        <x:v>723.2100115019356</x:v>
      </x:c>
      <x:c r="L1904" s="60" t="n">
        <x:v>690196.5995025109</x:v>
      </x:c>
      <x:c r="M1904" s="62" t="n">
        <x:v>3.7258144860992846</x:v>
      </x:c>
      <x:c r="N1904" s="62" t="n">
        <x:v>531.8810116212618</x:v>
      </x:c>
      <x:c r="O1904" s="60" t="n">
        <x:v>507601.4708349593</x:v>
      </x:c>
      <x:c r="P1904" s="60" t="n">
        <x:v>182595.12866755156</x:v>
      </x:c>
      <x:c r="Q1904" s="62" t="n">
        <x:v>1.359721433366217</x:v>
      </x:c>
      <x:c r="R1904" s="64" t="n">
        <x:v>0.35972143336621704</x:v>
      </x:c>
    </x:row>
    <x:row r="1905" ht="18" customHeight="1">
      <x:c r="A1905" s="46" t="str">
        <x:v>LME_045</x:v>
      </x:c>
      <x:c r="B1905" s="46" t="str">
        <x:v>Northwest Australian Shelf</x:v>
      </x:c>
      <x:c r="C1905" s="46" t="str">
        <x:v>functional</x:v>
      </x:c>
      <x:c r="D1905" s="46" t="str">
        <x:v>Large pelagics (&gt;=90 cm)</x:v>
      </x:c>
      <x:c r="E1905" s="66" t="n">
        <x:v>29</x:v>
      </x:c>
      <x:c r="F1905" s="66" t="n">
        <x:v>29</x:v>
      </x:c>
      <x:c r="G1905" s="60" t="n">
        <x:v>1395.9154884426</x:v>
      </x:c>
      <x:c r="H1905" s="60" t="n">
        <x:v>1395.9154884426</x:v>
      </x:c>
      <x:c r="I1905" s="62" t="n">
        <x:v>0</x:v>
      </x:c>
      <x:c r="J1905" s="64" t="n">
        <x:v>1</x:v>
      </x:c>
      <x:c r="K1905" s="62" t="n">
        <x:v>2824.2810755634832</x:v>
      </x:c>
      <x:c r="L1905" s="60" t="n">
        <x:v>3942457.6970943916</x:v>
      </x:c>
      <x:c r="M1905" s="62" t="n">
        <x:v>4.4357752418816485</x:v>
      </x:c>
      <x:c r="N1905" s="62" t="n">
        <x:v>2727.5658348097018</x:v>
      </x:c>
      <x:c r="O1905" s="60" t="n">
        <x:v>3807451.394557733</x:v>
      </x:c>
      <x:c r="P1905" s="60" t="n">
        <x:v>135006.30253665848</x:v>
      </x:c>
      <x:c r="Q1905" s="62" t="n">
        <x:v>1.0354584441260715</x:v>
      </x:c>
      <x:c r="R1905" s="64" t="n">
        <x:v>0.03545844412607152</x:v>
      </x:c>
    </x:row>
    <x:row r="1906" ht="18" customHeight="1">
      <x:c r="A1906" s="46" t="str">
        <x:v>LME_045</x:v>
      </x:c>
      <x:c r="B1906" s="46" t="str">
        <x:v>Northwest Australian Shelf</x:v>
      </x:c>
      <x:c r="C1906" s="46" t="str">
        <x:v>functional</x:v>
      </x:c>
      <x:c r="D1906" s="46" t="str">
        <x:v>Large rays (&gt;=90 cm)</x:v>
      </x:c>
      <x:c r="E1906" s="66" t="n">
        <x:v>7</x:v>
      </x:c>
      <x:c r="F1906" s="66" t="n">
        <x:v>7</x:v>
      </x:c>
      <x:c r="G1906" s="60" t="n">
        <x:v>94.75077883479999</x:v>
      </x:c>
      <x:c r="H1906" s="60" t="n">
        <x:v>94.75077883479999</x:v>
      </x:c>
      <x:c r="I1906" s="62" t="n">
        <x:v>0</x:v>
      </x:c>
      <x:c r="J1906" s="64" t="n">
        <x:v>1</x:v>
      </x:c>
      <x:c r="K1906" s="62" t="n">
        <x:v>722.1015445920641</x:v>
      </x:c>
      <x:c r="L1906" s="60" t="n">
        <x:v>68419.68374791012</x:v>
      </x:c>
      <x:c r="M1906" s="62" t="n">
        <x:v>3.675800358232835</x:v>
      </x:c>
      <x:c r="N1906" s="62" t="n">
        <x:v>474.02403003908535</x:v>
      </x:c>
      <x:c r="O1906" s="60" t="n">
        <x:v>44914.146032613964</x:v>
      </x:c>
      <x:c r="P1906" s="60" t="n">
        <x:v>23505.53771529616</x:v>
      </x:c>
      <x:c r="Q1906" s="62" t="n">
        <x:v>1.52334375228303</x:v>
      </x:c>
      <x:c r="R1906" s="64" t="n">
        <x:v>0.5233437522830301</x:v>
      </x:c>
    </x:row>
    <x:row r="1907" ht="18" customHeight="1">
      <x:c r="A1907" s="46" t="str">
        <x:v>LME_045</x:v>
      </x:c>
      <x:c r="B1907" s="46" t="str">
        <x:v>Northwest Australian Shelf</x:v>
      </x:c>
      <x:c r="C1907" s="46" t="str">
        <x:v>functional</x:v>
      </x:c>
      <x:c r="D1907" s="46" t="str">
        <x:v>Large reef assoc. fish (&gt;=90 cm)</x:v>
      </x:c>
      <x:c r="E1907" s="66" t="n">
        <x:v>27</x:v>
      </x:c>
      <x:c r="F1907" s="66" t="n">
        <x:v>27</x:v>
      </x:c>
      <x:c r="G1907" s="60" t="n">
        <x:v>182.9703339305</x:v>
      </x:c>
      <x:c r="H1907" s="60" t="n">
        <x:v>182.9703339305</x:v>
      </x:c>
      <x:c r="I1907" s="62" t="n">
        <x:v>0</x:v>
      </x:c>
      <x:c r="J1907" s="64" t="n">
        <x:v>1</x:v>
      </x:c>
      <x:c r="K1907" s="62" t="n">
        <x:v>1256.097635419289</x:v>
      </x:c>
      <x:c r="L1907" s="60" t="n">
        <x:v>229828.60380197875</x:v>
      </x:c>
      <x:c r="M1907" s="62" t="n">
        <x:v>4.032021054101467</x:v>
      </x:c>
      <x:c r="N1907" s="62" t="n">
        <x:v>1076.5174007013936</x:v>
      </x:c>
      <x:c r="O1907" s="60" t="n">
        <x:v>196970.74828832786</x:v>
      </x:c>
      <x:c r="P1907" s="60" t="n">
        <x:v>32857.855513650895</x:v>
      </x:c>
      <x:c r="Q1907" s="62" t="n">
        <x:v>1.1668159145415502</x:v>
      </x:c>
      <x:c r="R1907" s="64" t="n">
        <x:v>0.1668159145415502</x:v>
      </x:c>
    </x:row>
    <x:row r="1908" ht="18" customHeight="1">
      <x:c r="A1908" s="46" t="str">
        <x:v>LME_045</x:v>
      </x:c>
      <x:c r="B1908" s="46" t="str">
        <x:v>Northwest Australian Shelf</x:v>
      </x:c>
      <x:c r="C1908" s="46" t="str">
        <x:v>functional</x:v>
      </x:c>
      <x:c r="D1908" s="46" t="str">
        <x:v>Large sharks (&gt;=90 cm)</x:v>
      </x:c>
      <x:c r="E1908" s="66" t="n">
        <x:v>44</x:v>
      </x:c>
      <x:c r="F1908" s="66" t="n">
        <x:v>44</x:v>
      </x:c>
      <x:c r="G1908" s="60" t="n">
        <x:v>950.1249363610999</x:v>
      </x:c>
      <x:c r="H1908" s="60" t="n">
        <x:v>950.1249363610999</x:v>
      </x:c>
      <x:c r="I1908" s="62" t="n">
        <x:v>0</x:v>
      </x:c>
      <x:c r="J1908" s="64" t="n">
        <x:v>1</x:v>
      </x:c>
      <x:c r="K1908" s="62" t="n">
        <x:v>2073.87655048316</x:v>
      </x:c>
      <x:c r="L1908" s="60" t="n">
        <x:v>1970441.8255485897</x:v>
      </x:c>
      <x:c r="M1908" s="62" t="n">
        <x:v>4.267857017335509</x:v>
      </x:c>
      <x:c r="N1908" s="62" t="n">
        <x:v>1852.9214861016465</x:v>
      </x:c>
      <x:c r="O1908" s="60" t="n">
        <x:v>1760506.9090644415</x:v>
      </x:c>
      <x:c r="P1908" s="60" t="n">
        <x:v>209934.91648414824</x:v>
      </x:c>
      <x:c r="Q1908" s="62" t="n">
        <x:v>1.119246857483627</x:v>
      </x:c>
      <x:c r="R1908" s="64" t="n">
        <x:v>0.11924685748362707</x:v>
      </x:c>
    </x:row>
    <x:row r="1909" ht="18" customHeight="1">
      <x:c r="A1909" s="46" t="str">
        <x:v>LME_045</x:v>
      </x:c>
      <x:c r="B1909" s="46" t="str">
        <x:v>Northwest Australian Shelf</x:v>
      </x:c>
      <x:c r="C1909" s="46" t="str">
        <x:v>functional</x:v>
      </x:c>
      <x:c r="D1909" s="46" t="str">
        <x:v>Lobsters, crabs</x:v>
      </x:c>
      <x:c r="E1909" s="66" t="n">
        <x:v>15</x:v>
      </x:c>
      <x:c r="F1909" s="66" t="n">
        <x:v>15</x:v>
      </x:c>
      <x:c r="G1909" s="60" t="n">
        <x:v>1374.4729315467</x:v>
      </x:c>
      <x:c r="H1909" s="60" t="n">
        <x:v>1374.4729315467</x:v>
      </x:c>
      <x:c r="I1909" s="62" t="n">
        <x:v>0</x:v>
      </x:c>
      <x:c r="J1909" s="64" t="n">
        <x:v>1</x:v>
      </x:c>
      <x:c r="K1909" s="62" t="n">
        <x:v>111.42386162253722</x:v>
      </x:c>
      <x:c r="L1909" s="60" t="n">
        <x:v>153149.08172858256</x:v>
      </x:c>
      <x:c r="M1909" s="62" t="n">
        <x:v>2.8770219020005445</x:v>
      </x:c>
      <x:c r="N1909" s="62" t="n">
        <x:v>75.33935573318843</x:v>
      </x:c>
      <x:c r="O1909" s="60" t="n">
        <x:v>103551.90513543518</x:v>
      </x:c>
      <x:c r="P1909" s="60" t="n">
        <x:v>49597.17659314738</x:v>
      </x:c>
      <x:c r="Q1909" s="62" t="n">
        <x:v>1.478959576149559</x:v>
      </x:c>
      <x:c r="R1909" s="64" t="n">
        <x:v>0.47895957614955903</x:v>
      </x:c>
    </x:row>
    <x:row r="1910" ht="18" customHeight="1">
      <x:c r="A1910" s="46" t="str">
        <x:v>LME_045</x:v>
      </x:c>
      <x:c r="B1910" s="46" t="str">
        <x:v>Northwest Australian Shelf</x:v>
      </x:c>
      <x:c r="C1910" s="46" t="str">
        <x:v>functional</x:v>
      </x:c>
      <x:c r="D1910" s="46" t="str">
        <x:v>Medium bathydemersals (30 - 89 cm)</x:v>
      </x:c>
      <x:c r="E1910" s="66" t="n">
        <x:v>8</x:v>
      </x:c>
      <x:c r="F1910" s="66" t="n">
        <x:v>8</x:v>
      </x:c>
      <x:c r="G1910" s="60" t="n">
        <x:v>196.84173396789998</x:v>
      </x:c>
      <x:c r="H1910" s="60" t="n">
        <x:v>196.84173396789998</x:v>
      </x:c>
      <x:c r="I1910" s="62" t="n">
        <x:v>0</x:v>
      </x:c>
      <x:c r="J1910" s="64" t="n">
        <x:v>1</x:v>
      </x:c>
      <x:c r="K1910" s="62" t="n">
        <x:v>1831.9145902983987</x:v>
      </x:c>
      <x:c r="L1910" s="60" t="n">
        <x:v>360597.2444354319</x:v>
      </x:c>
      <x:c r="M1910" s="62" t="n">
        <x:v>4.179905671488791</x:v>
      </x:c>
      <x:c r="N1910" s="62" t="n">
        <x:v>1513.2325395042203</x:v>
      </x:c>
      <x:c r="O1910" s="60" t="n">
        <x:v>297867.31697265944</x:v>
      </x:c>
      <x:c r="P1910" s="60" t="n">
        <x:v>62729.927462772466</x:v>
      </x:c>
      <x:c r="Q1910" s="62" t="n">
        <x:v>1.2105968795110553</x:v>
      </x:c>
      <x:c r="R1910" s="64" t="n">
        <x:v>0.21059687951105527</x:v>
      </x:c>
    </x:row>
    <x:row r="1911" ht="18" customHeight="1">
      <x:c r="A1911" s="46" t="str">
        <x:v>LME_045</x:v>
      </x:c>
      <x:c r="B1911" s="46" t="str">
        <x:v>Northwest Australian Shelf</x:v>
      </x:c>
      <x:c r="C1911" s="46" t="str">
        <x:v>functional</x:v>
      </x:c>
      <x:c r="D1911" s="46" t="str">
        <x:v>Medium bathypelagics (30 - 89 cm)</x:v>
      </x:c>
      <x:c r="E1911" s="66" t="n">
        <x:v>2</x:v>
      </x:c>
      <x:c r="F1911" s="66" t="n">
        <x:v>2</x:v>
      </x:c>
      <x:c r="G1911" s="60" t="n">
        <x:v>10.482047701299999</x:v>
      </x:c>
      <x:c r="H1911" s="60" t="n">
        <x:v>10.482047701299999</x:v>
      </x:c>
      <x:c r="I1911" s="62" t="n">
        <x:v>0</x:v>
      </x:c>
      <x:c r="J1911" s="64" t="n">
        <x:v>1</x:v>
      </x:c>
      <x:c r="K1911" s="62" t="n">
        <x:v>241.30014140529408</x:v>
      </x:c>
      <x:c r="L1911" s="60" t="n">
        <x:v>2529.3195925407276</x:v>
      </x:c>
      <x:c r="M1911" s="62" t="n">
        <x:v>3.3810305632647193</x:v>
      </x:c>
      <x:c r="N1911" s="62" t="n">
        <x:v>240.45320118334766</x:v>
      </x:c>
      <x:c r="O1911" s="60" t="n">
        <x:v>2520.4419247341357</x:v>
      </x:c>
      <x:c r="P1911" s="60" t="n">
        <x:v>8.877667806591944</x:v>
      </x:c>
      <x:c r="Q1911" s="62" t="n">
        <x:v>1.0035222663610979</x:v>
      </x:c>
      <x:c r="R1911" s="64" t="n">
        <x:v>0.003522266361097921</x:v>
      </x:c>
    </x:row>
    <x:row r="1912" ht="18" customHeight="1">
      <x:c r="A1912" s="46" t="str">
        <x:v>LME_045</x:v>
      </x:c>
      <x:c r="B1912" s="46" t="str">
        <x:v>Northwest Australian Shelf</x:v>
      </x:c>
      <x:c r="C1912" s="46" t="str">
        <x:v>functional</x:v>
      </x:c>
      <x:c r="D1912" s="46" t="str">
        <x:v>Medium benthopelagics (30 - 89 cm)</x:v>
      </x:c>
      <x:c r="E1912" s="66" t="n">
        <x:v>11</x:v>
      </x:c>
      <x:c r="F1912" s="66" t="n">
        <x:v>11</x:v>
      </x:c>
      <x:c r="G1912" s="60" t="n">
        <x:v>1527.1477897294003</x:v>
      </x:c>
      <x:c r="H1912" s="60" t="n">
        <x:v>1527.1477897294003</x:v>
      </x:c>
      <x:c r="I1912" s="62" t="n">
        <x:v>0</x:v>
      </x:c>
      <x:c r="J1912" s="64" t="n">
        <x:v>1</x:v>
      </x:c>
      <x:c r="K1912" s="62" t="n">
        <x:v>721.3022320418607</x:v>
      </x:c>
      <x:c r="L1912" s="60" t="n">
        <x:v>1101535.1093896106</x:v>
      </x:c>
      <x:c r="M1912" s="62" t="n">
        <x:v>3.7651304537769703</x:v>
      </x:c>
      <x:c r="N1912" s="62" t="n">
        <x:v>582.2780967360649</x:v>
      </x:c>
      <x:c r="O1912" s="60" t="n">
        <x:v>889224.7084383233</x:v>
      </x:c>
      <x:c r="P1912" s="60" t="n">
        <x:v>212310.40095128724</x:v>
      </x:c>
      <x:c r="Q1912" s="62" t="n">
        <x:v>1.2387589986384338</x:v>
      </x:c>
      <x:c r="R1912" s="64" t="n">
        <x:v>0.2387589986384337</x:v>
      </x:c>
    </x:row>
    <x:row r="1913" ht="18" customHeight="1">
      <x:c r="A1913" s="46" t="str">
        <x:v>LME_045</x:v>
      </x:c>
      <x:c r="B1913" s="46" t="str">
        <x:v>Northwest Australian Shelf</x:v>
      </x:c>
      <x:c r="C1913" s="46" t="str">
        <x:v>functional</x:v>
      </x:c>
      <x:c r="D1913" s="46" t="str">
        <x:v>Medium demersals (30 - 89 cm)</x:v>
      </x:c>
      <x:c r="E1913" s="66" t="n">
        <x:v>33</x:v>
      </x:c>
      <x:c r="F1913" s="66" t="n">
        <x:v>33</x:v>
      </x:c>
      <x:c r="G1913" s="60" t="n">
        <x:v>8469.307433331802</x:v>
      </x:c>
      <x:c r="H1913" s="60" t="n">
        <x:v>8469.307433331802</x:v>
      </x:c>
      <x:c r="I1913" s="62" t="n">
        <x:v>0</x:v>
      </x:c>
      <x:c r="J1913" s="64" t="n">
        <x:v>1</x:v>
      </x:c>
      <x:c r="K1913" s="62" t="n">
        <x:v>445.2793513919321</x:v>
      </x:c>
      <x:c r="L1913" s="60" t="n">
        <x:v>3771207.720652854</x:v>
      </x:c>
      <x:c r="M1913" s="62" t="n">
        <x:v>3.536774760388249</x:v>
      </x:c>
      <x:c r="N1913" s="62" t="n">
        <x:v>344.1713857011875</x:v>
      </x:c>
      <x:c r="O1913" s="60" t="n">
        <x:v>2914893.275259174</x:v>
      </x:c>
      <x:c r="P1913" s="60" t="n">
        <x:v>856314.4453936801</x:v>
      </x:c>
      <x:c r="Q1913" s="62" t="n">
        <x:v>1.2937721434475304</x:v>
      </x:c>
      <x:c r="R1913" s="64" t="n">
        <x:v>0.2937721434475305</x:v>
      </x:c>
    </x:row>
    <x:row r="1914" ht="18" customHeight="1">
      <x:c r="A1914" s="46" t="str">
        <x:v>LME_045</x:v>
      </x:c>
      <x:c r="B1914" s="46" t="str">
        <x:v>Northwest Australian Shelf</x:v>
      </x:c>
      <x:c r="C1914" s="46" t="str">
        <x:v>functional</x:v>
      </x:c>
      <x:c r="D1914" s="46" t="str">
        <x:v>Medium pelagics (30 - 89 cm)</x:v>
      </x:c>
      <x:c r="E1914" s="66" t="n">
        <x:v>25</x:v>
      </x:c>
      <x:c r="F1914" s="66" t="n">
        <x:v>25</x:v>
      </x:c>
      <x:c r="G1914" s="60" t="n">
        <x:v>19072.816912316903</x:v>
      </x:c>
      <x:c r="H1914" s="60" t="n">
        <x:v>19072.816912316903</x:v>
      </x:c>
      <x:c r="I1914" s="62" t="n">
        <x:v>0</x:v>
      </x:c>
      <x:c r="J1914" s="64" t="n">
        <x:v>1</x:v>
      </x:c>
      <x:c r="K1914" s="62" t="n">
        <x:v>101.8551470627754</x:v>
      </x:c>
      <x:c r="L1914" s="60" t="n">
        <x:v>1942664.571505428</x:v>
      </x:c>
      <x:c r="M1914" s="62" t="n">
        <x:v>2.8740904205456346</x:v>
      </x:c>
      <x:c r="N1914" s="62" t="n">
        <x:v>74.8325286366511</x:v>
      </x:c>
      <x:c r="O1914" s="60" t="n">
        <x:v>1427267.1177725582</x:v>
      </x:c>
      <x:c r="P1914" s="60" t="n">
        <x:v>515397.4537328698</x:v>
      </x:c>
      <x:c r="Q1914" s="62" t="n">
        <x:v>1.361107915480612</x:v>
      </x:c>
      <x:c r="R1914" s="64" t="n">
        <x:v>0.3611079154806121</x:v>
      </x:c>
    </x:row>
    <x:row r="1915" ht="18" customHeight="1">
      <x:c r="A1915" s="46" t="str">
        <x:v>LME_045</x:v>
      </x:c>
      <x:c r="B1915" s="46" t="str">
        <x:v>Northwest Australian Shelf</x:v>
      </x:c>
      <x:c r="C1915" s="46" t="str">
        <x:v>functional</x:v>
      </x:c>
      <x:c r="D1915" s="46" t="str">
        <x:v>Medium reef assoc. fish (30 - 89 cm)</x:v>
      </x:c>
      <x:c r="E1915" s="66" t="n">
        <x:v>97</x:v>
      </x:c>
      <x:c r="F1915" s="66" t="n">
        <x:v>97</x:v>
      </x:c>
      <x:c r="G1915" s="60" t="n">
        <x:v>3487.284210871601</x:v>
      </x:c>
      <x:c r="H1915" s="60" t="n">
        <x:v>3487.284210871601</x:v>
      </x:c>
      <x:c r="I1915" s="62" t="n">
        <x:v>0</x:v>
      </x:c>
      <x:c r="J1915" s="64" t="n">
        <x:v>1</x:v>
      </x:c>
      <x:c r="K1915" s="62" t="n">
        <x:v>974.9378906966244</x:v>
      </x:c>
      <x:c r="L1915" s="60" t="n">
        <x:v>3399885.512806801</x:v>
      </x:c>
      <x:c r="M1915" s="62" t="n">
        <x:v>3.713511598496761</x:v>
      </x:c>
      <x:c r="N1915" s="62" t="n">
        <x:v>517.0250657275033</x:v>
      </x:c>
      <x:c r="O1915" s="60" t="n">
        <x:v>1803013.3483363737</x:v>
      </x:c>
      <x:c r="P1915" s="60" t="n">
        <x:v>1596872.1644704274</x:v>
      </x:c>
      <x:c r="Q1915" s="62" t="n">
        <x:v>1.88566852039329</x:v>
      </x:c>
      <x:c r="R1915" s="64" t="n">
        <x:v>0.8856685203932899</x:v>
      </x:c>
    </x:row>
    <x:row r="1916" ht="18" customHeight="1">
      <x:c r="A1916" s="46" t="str">
        <x:v>LME_045</x:v>
      </x:c>
      <x:c r="B1916" s="46" t="str">
        <x:v>Northwest Australian Shelf</x:v>
      </x:c>
      <x:c r="C1916" s="46" t="str">
        <x:v>functional</x:v>
      </x:c>
      <x:c r="D1916" s="46" t="str">
        <x:v>Other demersal invertebrates</x:v>
      </x:c>
      <x:c r="E1916" s="66" t="n">
        <x:v>19</x:v>
      </x:c>
      <x:c r="F1916" s="66" t="n">
        <x:v>19</x:v>
      </x:c>
      <x:c r="G1916" s="60" t="n">
        <x:v>1474.9221260101</x:v>
      </x:c>
      <x:c r="H1916" s="60" t="n">
        <x:v>1474.9221260101</x:v>
      </x:c>
      <x:c r="I1916" s="62" t="n">
        <x:v>0</x:v>
      </x:c>
      <x:c r="J1916" s="64" t="n">
        <x:v>1</x:v>
      </x:c>
      <x:c r="K1916" s="62" t="n">
        <x:v>11.25224917004084</x:v>
      </x:c>
      <x:c r="L1916" s="60" t="n">
        <x:v>16596.191268272018</x:v>
      </x:c>
      <x:c r="M1916" s="62" t="n">
        <x:v>2.022981835898717</x:v>
      </x:c>
      <x:c r="N1916" s="62" t="n">
        <x:v>10.543427982259104</x:v>
      </x:c>
      <x:c r="O1916" s="60" t="n">
        <x:v>15550.735215027977</x:v>
      </x:c>
      <x:c r="P1916" s="60" t="n">
        <x:v>1045.456053244041</x:v>
      </x:c>
      <x:c r="Q1916" s="62" t="n">
        <x:v>1.0672287219085133</x:v>
      </x:c>
      <x:c r="R1916" s="64" t="n">
        <x:v>0.06722872190851333</x:v>
      </x:c>
    </x:row>
    <x:row r="1917" ht="18" customHeight="1">
      <x:c r="A1917" s="46" t="str">
        <x:v>LME_045</x:v>
      </x:c>
      <x:c r="B1917" s="46" t="str">
        <x:v>Northwest Australian Shelf</x:v>
      </x:c>
      <x:c r="C1917" s="46" t="str">
        <x:v>functional</x:v>
      </x:c>
      <x:c r="D1917" s="46" t="str">
        <x:v>Shrimps</x:v>
      </x:c>
      <x:c r="E1917" s="66" t="n">
        <x:v>10</x:v>
      </x:c>
      <x:c r="F1917" s="66" t="n">
        <x:v>10</x:v>
      </x:c>
      <x:c r="G1917" s="60" t="n">
        <x:v>2862.6740231665</x:v>
      </x:c>
      <x:c r="H1917" s="60" t="n">
        <x:v>2862.6740231665</x:v>
      </x:c>
      <x:c r="I1917" s="62" t="n">
        <x:v>0</x:v>
      </x:c>
      <x:c r="J1917" s="64" t="n">
        <x:v>1</x:v>
      </x:c>
      <x:c r="K1917" s="62" t="n">
        <x:v>120.42934718197135</x:v>
      </x:c>
      <x:c r="L1917" s="60" t="n">
        <x:v>344749.9638047291</x:v>
      </x:c>
      <x:c r="M1917" s="62" t="n">
        <x:v>2.9775521180635103</x:v>
      </x:c>
      <x:c r="N1917" s="62" t="n">
        <x:v>94.962495331881</x:v>
      </x:c>
      <x:c r="O1917" s="60" t="n">
        <x:v>271846.6685616457</x:v>
      </x:c>
      <x:c r="P1917" s="60" t="n">
        <x:v>72903.29524308338</x:v>
      </x:c>
      <x:c r="Q1917" s="62" t="n">
        <x:v>1.2681779976514642</x:v>
      </x:c>
      <x:c r="R1917" s="64" t="n">
        <x:v>0.26817799765146416</x:v>
      </x:c>
    </x:row>
    <x:row r="1918" ht="18" customHeight="1">
      <x:c r="A1918" s="46" t="str">
        <x:v>LME_045</x:v>
      </x:c>
      <x:c r="B1918" s="46" t="str">
        <x:v>Northwest Australian Shelf</x:v>
      </x:c>
      <x:c r="C1918" s="46" t="str">
        <x:v>functional</x:v>
      </x:c>
      <x:c r="D1918" s="46" t="str">
        <x:v>Small benthopelagics (&lt;30 cm)</x:v>
      </x:c>
      <x:c r="E1918" s="66" t="n">
        <x:v>5</x:v>
      </x:c>
      <x:c r="F1918" s="66" t="n">
        <x:v>5</x:v>
      </x:c>
      <x:c r="G1918" s="60" t="n">
        <x:v>100.29667428789999</x:v>
      </x:c>
      <x:c r="H1918" s="60" t="n">
        <x:v>100.29667428789999</x:v>
      </x:c>
      <x:c r="I1918" s="62" t="n">
        <x:v>0</x:v>
      </x:c>
      <x:c r="J1918" s="64" t="n">
        <x:v>1</x:v>
      </x:c>
      <x:c r="K1918" s="62" t="n">
        <x:v>170.11482390444735</x:v>
      </x:c>
      <x:c r="L1918" s="60" t="n">
        <x:v>17061.95108468782</x:v>
      </x:c>
      <x:c r="M1918" s="62" t="n">
        <x:v>3.22975601558692</x:v>
      </x:c>
      <x:c r="N1918" s="62" t="n">
        <x:v>169.7289855829682</x:v>
      </x:c>
      <x:c r="O1918" s="60" t="n">
        <x:v>17023.252784230634</x:v>
      </x:c>
      <x:c r="P1918" s="60" t="n">
        <x:v>38.698300457184814</x:v>
      </x:c>
      <x:c r="Q1918" s="62" t="n">
        <x:v>1.002273261223791</x:v>
      </x:c>
      <x:c r="R1918" s="64" t="n">
        <x:v>0.002273261223791067</x:v>
      </x:c>
    </x:row>
    <x:row r="1919" ht="18" customHeight="1">
      <x:c r="A1919" s="46" t="str">
        <x:v>LME_045</x:v>
      </x:c>
      <x:c r="B1919" s="46" t="str">
        <x:v>Northwest Australian Shelf</x:v>
      </x:c>
      <x:c r="C1919" s="46" t="str">
        <x:v>functional</x:v>
      </x:c>
      <x:c r="D1919" s="46" t="str">
        <x:v>Small demersals (&lt;30 cm)</x:v>
      </x:c>
      <x:c r="E1919" s="66" t="n">
        <x:v>4</x:v>
      </x:c>
      <x:c r="F1919" s="66" t="n">
        <x:v>4</x:v>
      </x:c>
      <x:c r="G1919" s="60" t="n">
        <x:v>243.9866180872</x:v>
      </x:c>
      <x:c r="H1919" s="60" t="n">
        <x:v>243.9866180872</x:v>
      </x:c>
      <x:c r="I1919" s="62" t="n">
        <x:v>0</x:v>
      </x:c>
      <x:c r="J1919" s="64" t="n">
        <x:v>1</x:v>
      </x:c>
      <x:c r="K1919" s="62" t="n">
        <x:v>372.78436383576155</x:v>
      </x:c>
      <x:c r="L1919" s="60" t="n">
        <x:v>90954.39620807576</x:v>
      </x:c>
      <x:c r="M1919" s="62" t="n">
        <x:v>3.56798200760259</x:v>
      </x:c>
      <x:c r="N1919" s="62" t="n">
        <x:v>369.8128584763425</x:v>
      </x:c>
      <x:c r="O1919" s="60" t="n">
        <x:v>90229.38866480312</x:v>
      </x:c>
      <x:c r="P1919" s="60" t="n">
        <x:v>725.0075432726444</x:v>
      </x:c>
      <x:c r="Q1919" s="62" t="n">
        <x:v>1.0080351596525385</x:v>
      </x:c>
      <x:c r="R1919" s="64" t="n">
        <x:v>0.00803515965253854</x:v>
      </x:c>
    </x:row>
    <x:row r="1920" ht="18" customHeight="1">
      <x:c r="A1920" s="46" t="str">
        <x:v>LME_045</x:v>
      </x:c>
      <x:c r="B1920" s="46" t="str">
        <x:v>Northwest Australian Shelf</x:v>
      </x:c>
      <x:c r="C1920" s="46" t="str">
        <x:v>functional</x:v>
      </x:c>
      <x:c r="D1920" s="46" t="str">
        <x:v>Small pelagics (&lt;30 cm)</x:v>
      </x:c>
      <x:c r="E1920" s="66" t="n">
        <x:v>15</x:v>
      </x:c>
      <x:c r="F1920" s="66" t="n">
        <x:v>15</x:v>
      </x:c>
      <x:c r="G1920" s="60" t="n">
        <x:v>780.6179145835001</x:v>
      </x:c>
      <x:c r="H1920" s="60" t="n">
        <x:v>780.6179145835001</x:v>
      </x:c>
      <x:c r="I1920" s="62" t="n">
        <x:v>0</x:v>
      </x:c>
      <x:c r="J1920" s="64" t="n">
        <x:v>1</x:v>
      </x:c>
      <x:c r="K1920" s="62" t="n">
        <x:v>78.68540561128881</x:v>
      </x:c>
      <x:c r="L1920" s="60" t="n">
        <x:v>61423.23723644111</x:v>
      </x:c>
      <x:c r="M1920" s="62" t="n">
        <x:v>2.6683693516051115</x:v>
      </x:c>
      <x:c r="N1920" s="62" t="n">
        <x:v>46.59822259258077</x:v>
      </x:c>
      <x:c r="O1920" s="60" t="n">
        <x:v>36375.40734351814</x:v>
      </x:c>
      <x:c r="P1920" s="60" t="n">
        <x:v>25047.82989292297</x:v>
      </x:c>
      <x:c r="Q1920" s="62" t="n">
        <x:v>1.6885924233474277</x:v>
      </x:c>
      <x:c r="R1920" s="64" t="n">
        <x:v>0.6885924233474277</x:v>
      </x:c>
    </x:row>
    <x:row r="1921" ht="18" customHeight="1">
      <x:c r="A1921" s="46" t="str">
        <x:v>LME_045</x:v>
      </x:c>
      <x:c r="B1921" s="46" t="str">
        <x:v>Northwest Australian Shelf</x:v>
      </x:c>
      <x:c r="C1921" s="46" t="str">
        <x:v>functional</x:v>
      </x:c>
      <x:c r="D1921" s="46" t="str">
        <x:v>Small reef assoc. fish (&lt;30 cm)</x:v>
      </x:c>
      <x:c r="E1921" s="66" t="n">
        <x:v>15</x:v>
      </x:c>
      <x:c r="F1921" s="66" t="n">
        <x:v>15</x:v>
      </x:c>
      <x:c r="G1921" s="60" t="n">
        <x:v>42.74155992239999</x:v>
      </x:c>
      <x:c r="H1921" s="60" t="n">
        <x:v>42.74155992239999</x:v>
      </x:c>
      <x:c r="I1921" s="62" t="n">
        <x:v>0</x:v>
      </x:c>
      <x:c r="J1921" s="64" t="n">
        <x:v>1</x:v>
      </x:c>
      <x:c r="K1921" s="62" t="n">
        <x:v>180.5507489040984</x:v>
      </x:c>
      <x:c r="L1921" s="60" t="n">
        <x:v>7717.020653318717</x:v>
      </x:c>
      <x:c r="M1921" s="62" t="n">
        <x:v>3.245287212202978</x:v>
      </x:c>
      <x:c r="N1921" s="62" t="n">
        <x:v>175.90865670323035</x:v>
      </x:c>
      <x:c r="O1921" s="60" t="n">
        <x:v>7518.610391350009</x:v>
      </x:c>
      <x:c r="P1921" s="60" t="n">
        <x:v>198.41026196870826</x:v>
      </x:c>
      <x:c r="Q1921" s="62" t="n">
        <x:v>1.0263892197681868</x:v>
      </x:c>
      <x:c r="R1921" s="64" t="n">
        <x:v>0.026389219768186787</x:v>
      </x:c>
    </x:row>
    <x:row r="1922" ht="18" customHeight="1">
      <x:c r="A1922" s="46" t="str">
        <x:v>LME_045</x:v>
      </x:c>
      <x:c r="B1922" s="46" t="str">
        <x:v>Northwest Australian Shelf</x:v>
      </x:c>
      <x:c r="C1922" s="46" t="str">
        <x:v>functional</x:v>
      </x:c>
      <x:c r="D1922" s="46" t="str">
        <x:v>Small to medium flatfishes (&lt;90 cm)</x:v>
      </x:c>
      <x:c r="E1922" s="66" t="n">
        <x:v>6</x:v>
      </x:c>
      <x:c r="F1922" s="66" t="n">
        <x:v>6</x:v>
      </x:c>
      <x:c r="G1922" s="60" t="n">
        <x:v>25.893980348800003</x:v>
      </x:c>
      <x:c r="H1922" s="60" t="n">
        <x:v>25.893980348800003</x:v>
      </x:c>
      <x:c r="I1922" s="62" t="n">
        <x:v>0</x:v>
      </x:c>
      <x:c r="J1922" s="64" t="n">
        <x:v>1</x:v>
      </x:c>
      <x:c r="K1922" s="62" t="n">
        <x:v>501.02669329914414</x:v>
      </x:c>
      <x:c r="L1922" s="60" t="n">
        <x:v>12973.575350512285</x:v>
      </x:c>
      <x:c r="M1922" s="62" t="n">
        <x:v>3.6220591275378204</x:v>
      </x:c>
      <x:c r="N1922" s="62" t="n">
        <x:v>418.8505861465306</x:v>
      </x:c>
      <x:c r="O1922" s="60" t="n">
        <x:v>10845.708846761627</x:v>
      </x:c>
      <x:c r="P1922" s="60" t="n">
        <x:v>2127.866503750658</x:v>
      </x:c>
      <x:c r="Q1922" s="62" t="n">
        <x:v>1.1961943229174927</x:v>
      </x:c>
      <x:c r="R1922" s="64" t="n">
        <x:v>0.1961943229174927</x:v>
      </x:c>
    </x:row>
    <x:row r="1923" ht="18" customHeight="1">
      <x:c r="A1923" s="46" t="str">
        <x:v>LME_045</x:v>
      </x:c>
      <x:c r="B1923" s="46" t="str">
        <x:v>Northwest Australian Shelf</x:v>
      </x:c>
      <x:c r="C1923" s="46" t="str">
        <x:v>functional</x:v>
      </x:c>
      <x:c r="D1923" s="46" t="str">
        <x:v>Small to medium rays (&lt;90 cm)</x:v>
      </x:c>
      <x:c r="E1923" s="66" t="n">
        <x:v>1</x:v>
      </x:c>
      <x:c r="F1923" s="66" t="n">
        <x:v>1</x:v>
      </x:c>
      <x:c r="G1923" s="60" t="n">
        <x:v>22.0450491137</x:v>
      </x:c>
      <x:c r="H1923" s="60" t="n">
        <x:v>22.0450491137</x:v>
      </x:c>
      <x:c r="I1923" s="62" t="n">
        <x:v>0</x:v>
      </x:c>
      <x:c r="J1923" s="64" t="n">
        <x:v>1</x:v>
      </x:c>
      <x:c r="K1923" s="62" t="n">
        <x:v>501.1872336272725</x:v>
      </x:c>
      <x:c r="L1923" s="60" t="n">
        <x:v>11048.697180472658</x:v>
      </x:c>
      <x:c r="M1923" s="62" t="n">
        <x:v>3.7</x:v>
      </x:c>
      <x:c r="N1923" s="62" t="n">
        <x:v>501.18723362727246</x:v>
      </x:c>
      <x:c r="O1923" s="60" t="n">
        <x:v>11048.697180472658</x:v>
      </x:c>
      <x:c r="P1923" s="60" t="n">
        <x:v>0</x:v>
      </x:c>
      <x:c r="Q1923" s="62" t="n">
        <x:v>1</x:v>
      </x:c>
      <x:c r="R1923" s="64" t="n">
        <x:v>0</x:v>
      </x:c>
    </x:row>
    <x:row r="1924" ht="18" customHeight="1">
      <x:c r="A1924" s="46" t="str">
        <x:v>LME_045</x:v>
      </x:c>
      <x:c r="B1924" s="46" t="str">
        <x:v>Northwest Australian Shelf</x:v>
      </x:c>
      <x:c r="C1924" s="46" t="str">
        <x:v>functional</x:v>
      </x:c>
      <x:c r="D1924" s="46" t="str">
        <x:v>Small to medium sharks (&lt;90 cm)</x:v>
      </x:c>
      <x:c r="E1924" s="66" t="n">
        <x:v>2</x:v>
      </x:c>
      <x:c r="F1924" s="66" t="n">
        <x:v>2</x:v>
      </x:c>
      <x:c r="G1924" s="60" t="n">
        <x:v>0.6754635566</x:v>
      </x:c>
      <x:c r="H1924" s="60" t="n">
        <x:v>0.6754635566</x:v>
      </x:c>
      <x:c r="I1924" s="62" t="n">
        <x:v>0</x:v>
      </x:c>
      <x:c r="J1924" s="64" t="n">
        <x:v>1</x:v>
      </x:c>
      <x:c r="K1924" s="62" t="n">
        <x:v>2175.00796859083</x:v>
      </x:c>
      <x:c r="L1924" s="60" t="n">
        <x:v>1469.138618097703</x:v>
      </x:c>
      <x:c r="M1924" s="62" t="n">
        <x:v>4.3243386908092445</x:v>
      </x:c>
      <x:c r="N1924" s="62" t="n">
        <x:v>2110.273235366597</x:v>
      </x:c>
      <x:c r="O1924" s="60" t="n">
        <x:v>1425.4126649585105</x:v>
      </x:c>
      <x:c r="P1924" s="60" t="n">
        <x:v>43.7259531391926</x:v>
      </x:c>
      <x:c r="Q1924" s="62" t="n">
        <x:v>1.0306759959512954</x:v>
      </x:c>
      <x:c r="R1924" s="64" t="n">
        <x:v>0.030675995951295502</x:v>
      </x:c>
    </x:row>
    <x:row r="1925" ht="18" customHeight="1">
      <x:c r="A1925" s="46" t="str">
        <x:v>LME_046</x:v>
      </x:c>
      <x:c r="B1925" s="46" t="str">
        <x:v>New Zealand Shelf</x:v>
      </x:c>
      <x:c r="C1925" s="46" t="str">
        <x:v>functional</x:v>
      </x:c>
      <x:c r="D1925" s="46" t="str">
        <x:v>Cephalopods</x:v>
      </x:c>
      <x:c r="E1925" s="66" t="n">
        <x:v>2</x:v>
      </x:c>
      <x:c r="F1925" s="66" t="n">
        <x:v>2</x:v>
      </x:c>
      <x:c r="G1925" s="60" t="n">
        <x:v>532.5148929106001</x:v>
      </x:c>
      <x:c r="H1925" s="60" t="n">
        <x:v>532.5148929106001</x:v>
      </x:c>
      <x:c r="I1925" s="62" t="n">
        <x:v>0</x:v>
      </x:c>
      <x:c r="J1925" s="64" t="n">
        <x:v>1</x:v>
      </x:c>
      <x:c r="K1925" s="62" t="n">
        <x:v>1274.1163073578887</x:v>
      </x:c>
      <x:c r="L1925" s="60" t="n">
        <x:v>678485.9089683354</x:v>
      </x:c>
      <x:c r="M1925" s="62" t="n">
        <x:v>4.104776650968852</x:v>
      </x:c>
      <x:c r="N1925" s="62" t="n">
        <x:v>1272.848312043344</x:v>
      </x:c>
      <x:c r="O1925" s="60" t="n">
        <x:v>677810.6825791996</x:v>
      </x:c>
      <x:c r="P1925" s="60" t="n">
        <x:v>675.2263891358161</x:v>
      </x:c>
      <x:c r="Q1925" s="62" t="n">
        <x:v>1.0009961872931339</x:v>
      </x:c>
      <x:c r="R1925" s="64" t="n">
        <x:v>0.0009961872931339034</x:v>
      </x:c>
    </x:row>
    <x:row r="1926" ht="18" customHeight="1">
      <x:c r="A1926" s="46" t="str">
        <x:v>LME_046</x:v>
      </x:c>
      <x:c r="B1926" s="46" t="str">
        <x:v>New Zealand Shelf</x:v>
      </x:c>
      <x:c r="C1926" s="46" t="str">
        <x:v>functional</x:v>
      </x:c>
      <x:c r="D1926" s="46" t="str">
        <x:v>Jellyfish</x:v>
      </x:c>
      <x:c r="E1926" s="66" t="n">
        <x:v>1</x:v>
      </x:c>
      <x:c r="F1926" s="66" t="n">
        <x:v>1</x:v>
      </x:c>
      <x:c r="G1926" s="60" t="n">
        <x:v>1.6065636322999999</x:v>
      </x:c>
      <x:c r="H1926" s="60" t="n">
        <x:v>1.6065636322999999</x:v>
      </x:c>
      <x:c r="I1926" s="62" t="n">
        <x:v>0</x:v>
      </x:c>
      <x:c r="J1926" s="64" t="n">
        <x:v>1</x:v>
      </x:c>
      <x:c r="K1926" s="62" t="n">
        <x:v>288.40315031266056</x:v>
      </x:c>
      <x:c r="L1926" s="60" t="n">
        <x:v>463.3380127330708</x:v>
      </x:c>
      <x:c r="M1926" s="62" t="n">
        <x:v>3.4599999999999995</x:v>
      </x:c>
      <x:c r="N1926" s="62" t="n">
        <x:v>288.4031503126603</x:v>
      </x:c>
      <x:c r="O1926" s="60" t="n">
        <x:v>463.33801273307034</x:v>
      </x:c>
      <x:c r="P1926" s="60" t="n">
        <x:v>4.547473508864641e-13</x:v>
      </x:c>
      <x:c r="Q1926" s="62" t="n">
        <x:v>1.0000000000000009</x:v>
      </x:c>
      <x:c r="R1926" s="64" t="n">
        <x:v>9.814591904602585e-16</x:v>
      </x:c>
    </x:row>
    <x:row r="1927" ht="18" customHeight="1">
      <x:c r="A1927" s="46" t="str">
        <x:v>LME_046</x:v>
      </x:c>
      <x:c r="B1927" s="46" t="str">
        <x:v>New Zealand Shelf</x:v>
      </x:c>
      <x:c r="C1927" s="46" t="str">
        <x:v>functional</x:v>
      </x:c>
      <x:c r="D1927" s="46" t="str">
        <x:v>Large bathydemersals (&gt;=90 cm)</x:v>
      </x:c>
      <x:c r="E1927" s="66" t="n">
        <x:v>6</x:v>
      </x:c>
      <x:c r="F1927" s="66" t="n">
        <x:v>6</x:v>
      </x:c>
      <x:c r="G1927" s="60" t="n">
        <x:v>27982.702008064698</x:v>
      </x:c>
      <x:c r="H1927" s="60" t="n">
        <x:v>27982.702008064698</x:v>
      </x:c>
      <x:c r="I1927" s="62" t="n">
        <x:v>0</x:v>
      </x:c>
      <x:c r="J1927" s="64" t="n">
        <x:v>1</x:v>
      </x:c>
      <x:c r="K1927" s="62" t="n">
        <x:v>1759.7479389668267</x:v>
      </x:c>
      <x:c r="L1927" s="60" t="n">
        <x:v>49242502.18541474</x:v>
      </x:c>
      <x:c r="M1927" s="62" t="n">
        <x:v>4.226712032330461</x:v>
      </x:c>
      <x:c r="N1927" s="62" t="n">
        <x:v>1685.4350932423285</x:v>
      </x:c>
      <x:c r="O1927" s="60" t="n">
        <x:v>47163027.96813482</x:v>
      </x:c>
      <x:c r="P1927" s="60" t="n">
        <x:v>2079474.2172799185</x:v>
      </x:c>
      <x:c r="Q1927" s="62" t="n">
        <x:v>1.0440911940320052</x:v>
      </x:c>
      <x:c r="R1927" s="64" t="n">
        <x:v>0.04409119403200516</x:v>
      </x:c>
    </x:row>
    <x:row r="1928" ht="18" customHeight="1">
      <x:c r="A1928" s="46" t="str">
        <x:v>LME_046</x:v>
      </x:c>
      <x:c r="B1928" s="46" t="str">
        <x:v>New Zealand Shelf</x:v>
      </x:c>
      <x:c r="C1928" s="46" t="str">
        <x:v>functional</x:v>
      </x:c>
      <x:c r="D1928" s="46" t="str">
        <x:v>Large bathypelagics (&gt;=90 cm)</x:v>
      </x:c>
      <x:c r="E1928" s="66" t="n">
        <x:v>4</x:v>
      </x:c>
      <x:c r="F1928" s="66" t="n">
        <x:v>4</x:v>
      </x:c>
      <x:c r="G1928" s="60" t="n">
        <x:v>83.5254957609</x:v>
      </x:c>
      <x:c r="H1928" s="60" t="n">
        <x:v>83.5254957609</x:v>
      </x:c>
      <x:c r="I1928" s="62" t="n">
        <x:v>0</x:v>
      </x:c>
      <x:c r="J1928" s="64" t="n">
        <x:v>1</x:v>
      </x:c>
      <x:c r="K1928" s="62" t="n">
        <x:v>1514.6079488152905</x:v>
      </x:c>
      <x:c r="L1928" s="60" t="n">
        <x:v>126508.37980819699</x:v>
      </x:c>
      <x:c r="M1928" s="62" t="n">
        <x:v>4.120428431975148</x:v>
      </x:c>
      <x:c r="N1928" s="62" t="n">
        <x:v>1319.5578419162528</x:v>
      </x:c>
      <x:c r="O1928" s="60" t="n">
        <x:v>110216.72293123833</x:v>
      </x:c>
      <x:c r="P1928" s="60" t="n">
        <x:v>16291.65687695866</x:v>
      </x:c>
      <x:c r="Q1928" s="62" t="n">
        <x:v>1.1478147457452772</x:v>
      </x:c>
      <x:c r="R1928" s="64" t="n">
        <x:v>0.14781474574527723</x:v>
      </x:c>
    </x:row>
    <x:row r="1929" ht="18" customHeight="1">
      <x:c r="A1929" s="46" t="str">
        <x:v>LME_046</x:v>
      </x:c>
      <x:c r="B1929" s="46" t="str">
        <x:v>New Zealand Shelf</x:v>
      </x:c>
      <x:c r="C1929" s="46" t="str">
        <x:v>functional</x:v>
      </x:c>
      <x:c r="D1929" s="46" t="str">
        <x:v>Large benthopelagics (&gt;=90 cm)</x:v>
      </x:c>
      <x:c r="E1929" s="66" t="n">
        <x:v>8</x:v>
      </x:c>
      <x:c r="F1929" s="66" t="n">
        <x:v>8</x:v>
      </x:c>
      <x:c r="G1929" s="60" t="n">
        <x:v>35212.126357636196</x:v>
      </x:c>
      <x:c r="H1929" s="60" t="n">
        <x:v>35212.126357636196</x:v>
      </x:c>
      <x:c r="I1929" s="62" t="n">
        <x:v>0</x:v>
      </x:c>
      <x:c r="J1929" s="64" t="n">
        <x:v>1</x:v>
      </x:c>
      <x:c r="K1929" s="62" t="n">
        <x:v>783.2563423866653</x:v>
      </x:c>
      <x:c r="L1929" s="60" t="n">
        <x:v>27580121.298539218</x:v>
      </x:c>
      <x:c r="M1929" s="62" t="n">
        <x:v>3.741856119182279</x:v>
      </x:c>
      <x:c r="N1929" s="62" t="n">
        <x:v>551.8945675194923</x:v>
      </x:c>
      <x:c r="O1929" s="60" t="n">
        <x:v>19433381.247589342</x:v>
      </x:c>
      <x:c r="P1929" s="60" t="n">
        <x:v>8146740.050949875</x:v>
      </x:c>
      <x:c r="Q1929" s="62" t="n">
        <x:v>1.4192137203071882</x:v>
      </x:c>
      <x:c r="R1929" s="64" t="n">
        <x:v>0.41921372030718823</x:v>
      </x:c>
    </x:row>
    <x:row r="1930" ht="18" customHeight="1">
      <x:c r="A1930" s="46" t="str">
        <x:v>LME_046</x:v>
      </x:c>
      <x:c r="B1930" s="46" t="str">
        <x:v>New Zealand Shelf</x:v>
      </x:c>
      <x:c r="C1930" s="46" t="str">
        <x:v>functional</x:v>
      </x:c>
      <x:c r="D1930" s="46" t="str">
        <x:v>Large demersals (&gt;=90 cm)</x:v>
      </x:c>
      <x:c r="E1930" s="66" t="n">
        <x:v>4</x:v>
      </x:c>
      <x:c r="F1930" s="66" t="n">
        <x:v>4</x:v>
      </x:c>
      <x:c r="G1930" s="60" t="n">
        <x:v>149987.45172010318</x:v>
      </x:c>
      <x:c r="H1930" s="60" t="n">
        <x:v>149987.45172010318</x:v>
      </x:c>
      <x:c r="I1930" s="62" t="n">
        <x:v>0</x:v>
      </x:c>
      <x:c r="J1930" s="64" t="n">
        <x:v>1</x:v>
      </x:c>
      <x:c r="K1930" s="62" t="n">
        <x:v>3174.5739014056458</x:v>
      </x:c>
      <x:c r="L1930" s="60" t="n">
        <x:v>476146249.7689789</x:v>
      </x:c>
      <x:c r="M1930" s="62" t="n">
        <x:v>4.464619596941143</x:v>
      </x:c>
      <x:c r="N1930" s="62" t="n">
        <x:v>2914.872728127549</x:v>
      </x:c>
      <x:c r="O1930" s="60" t="n">
        <x:v>437194332.58027625</x:v>
      </x:c>
      <x:c r="P1930" s="60" t="n">
        <x:v>38951917.18870264</x:v>
      </x:c>
      <x:c r="Q1930" s="62" t="n">
        <x:v>1.089095201575035</x:v>
      </x:c>
      <x:c r="R1930" s="64" t="n">
        <x:v>0.08909520157503509</x:v>
      </x:c>
    </x:row>
    <x:row r="1931" ht="18" customHeight="1">
      <x:c r="A1931" s="46" t="str">
        <x:v>LME_046</x:v>
      </x:c>
      <x:c r="B1931" s="46" t="str">
        <x:v>New Zealand Shelf</x:v>
      </x:c>
      <x:c r="C1931" s="46" t="str">
        <x:v>functional</x:v>
      </x:c>
      <x:c r="D1931" s="46" t="str">
        <x:v>Large flatfishes (&gt;=90 cm)</x:v>
      </x:c>
      <x:c r="E1931" s="66" t="n">
        <x:v>1</x:v>
      </x:c>
      <x:c r="F1931" s="66" t="n">
        <x:v>1</x:v>
      </x:c>
      <x:c r="G1931" s="60" t="n">
        <x:v>0.0549131218</x:v>
      </x:c>
      <x:c r="H1931" s="60" t="n">
        <x:v>0.0549131218</x:v>
      </x:c>
      <x:c r="I1931" s="62" t="n">
        <x:v>0</x:v>
      </x:c>
      <x:c r="J1931" s="64" t="n">
        <x:v>1</x:v>
      </x:c>
      <x:c r="K1931" s="62" t="n">
        <x:v>251.18864315095794</x:v>
      </x:c>
      <x:c r="L1931" s="60" t="n">
        <x:v>13.79355255612529</x:v>
      </x:c>
      <x:c r="M1931" s="62" t="n">
        <x:v>3.4</x:v>
      </x:c>
      <x:c r="N1931" s="62" t="n">
        <x:v>251.18864315095797</x:v>
      </x:c>
      <x:c r="O1931" s="60" t="n">
        <x:v>13.79355255612529</x:v>
      </x:c>
      <x:c r="P1931" s="60" t="n">
        <x:v>0</x:v>
      </x:c>
      <x:c r="Q1931" s="62" t="n">
        <x:v>1</x:v>
      </x:c>
      <x:c r="R1931" s="64" t="n">
        <x:v>0</x:v>
      </x:c>
    </x:row>
    <x:row r="1932" ht="18" customHeight="1">
      <x:c r="A1932" s="46" t="str">
        <x:v>LME_046</x:v>
      </x:c>
      <x:c r="B1932" s="46" t="str">
        <x:v>New Zealand Shelf</x:v>
      </x:c>
      <x:c r="C1932" s="46" t="str">
        <x:v>functional</x:v>
      </x:c>
      <x:c r="D1932" s="46" t="str">
        <x:v>Large pelagics (&gt;=90 cm)</x:v>
      </x:c>
      <x:c r="E1932" s="66" t="n">
        <x:v>17</x:v>
      </x:c>
      <x:c r="F1932" s="66" t="n">
        <x:v>17</x:v>
      </x:c>
      <x:c r="G1932" s="60" t="n">
        <x:v>6890.230604880098</x:v>
      </x:c>
      <x:c r="H1932" s="60" t="n">
        <x:v>6890.230604880098</x:v>
      </x:c>
      <x:c r="I1932" s="62" t="n">
        <x:v>0</x:v>
      </x:c>
      <x:c r="J1932" s="64" t="n">
        <x:v>1</x:v>
      </x:c>
      <x:c r="K1932" s="62" t="n">
        <x:v>2408.6534236074785</x:v>
      </x:c>
      <x:c r="L1932" s="60" t="n">
        <x:v>16596177.535889477</x:v>
      </x:c>
      <x:c r="M1932" s="62" t="n">
        <x:v>4.357105341799239</x:v>
      </x:c>
      <x:c r="N1932" s="62" t="n">
        <x:v>2275.649341826129</x:v>
      </x:c>
      <x:c r="O1932" s="60" t="n">
        <x:v>15679748.741025645</x:v>
      </x:c>
      <x:c r="P1932" s="60" t="n">
        <x:v>916428.7948638313</x:v>
      </x:c>
      <x:c r="Q1932" s="62" t="n">
        <x:v>1.0584466505171743</x:v>
      </x:c>
      <x:c r="R1932" s="64" t="n">
        <x:v>0.0584466505171744</x:v>
      </x:c>
    </x:row>
    <x:row r="1933" ht="18" customHeight="1">
      <x:c r="A1933" s="46" t="str">
        <x:v>LME_046</x:v>
      </x:c>
      <x:c r="B1933" s="46" t="str">
        <x:v>New Zealand Shelf</x:v>
      </x:c>
      <x:c r="C1933" s="46" t="str">
        <x:v>functional</x:v>
      </x:c>
      <x:c r="D1933" s="46" t="str">
        <x:v>Large rays (&gt;=90 cm)</x:v>
      </x:c>
      <x:c r="E1933" s="66" t="n">
        <x:v>6</x:v>
      </x:c>
      <x:c r="F1933" s="66" t="n">
        <x:v>6</x:v>
      </x:c>
      <x:c r="G1933" s="60" t="n">
        <x:v>4094.785837428</x:v>
      </x:c>
      <x:c r="H1933" s="60" t="n">
        <x:v>4094.785837428</x:v>
      </x:c>
      <x:c r="I1933" s="62" t="n">
        <x:v>0</x:v>
      </x:c>
      <x:c r="J1933" s="64" t="n">
        <x:v>1</x:v>
      </x:c>
      <x:c r="K1933" s="62" t="n">
        <x:v>523.8572721368655</x:v>
      </x:c>
      <x:c r="L1933" s="60" t="n">
        <x:v>2145083.3387797023</x:v>
      </x:c>
      <x:c r="M1933" s="62" t="n">
        <x:v>3.6963053226477456</x:v>
      </x:c>
      <x:c r="N1933" s="62" t="n">
        <x:v>496.9415641839338</x:v>
      </x:c>
      <x:c r="O1933" s="60" t="n">
        <x:v>2034869.2790496894</x:v>
      </x:c>
      <x:c r="P1933" s="60" t="n">
        <x:v>110214.0597300129</x:v>
      </x:c>
      <x:c r="Q1933" s="62" t="n">
        <x:v>1.0541627223255758</x:v>
      </x:c>
      <x:c r="R1933" s="64" t="n">
        <x:v>0.05416272232557578</x:v>
      </x:c>
    </x:row>
    <x:row r="1934" ht="18" customHeight="1">
      <x:c r="A1934" s="46" t="str">
        <x:v>LME_046</x:v>
      </x:c>
      <x:c r="B1934" s="46" t="str">
        <x:v>New Zealand Shelf</x:v>
      </x:c>
      <x:c r="C1934" s="46" t="str">
        <x:v>functional</x:v>
      </x:c>
      <x:c r="D1934" s="46" t="str">
        <x:v>Large reef assoc. fish (&gt;=90 cm)</x:v>
      </x:c>
      <x:c r="E1934" s="66" t="n">
        <x:v>1</x:v>
      </x:c>
      <x:c r="F1934" s="66" t="n">
        <x:v>1</x:v>
      </x:c>
      <x:c r="G1934" s="60" t="n">
        <x:v>254.8355450736</x:v>
      </x:c>
      <x:c r="H1934" s="60" t="n">
        <x:v>254.8355450736</x:v>
      </x:c>
      <x:c r="I1934" s="62" t="n">
        <x:v>0</x:v>
      </x:c>
      <x:c r="J1934" s="64" t="n">
        <x:v>1</x:v>
      </x:c>
      <x:c r="K1934" s="62" t="n">
        <x:v>831.7637711026708</x:v>
      </x:c>
      <x:c r="L1934" s="60" t="n">
        <x:v>211962.9739814222</x:v>
      </x:c>
      <x:c r="M1934" s="62" t="n">
        <x:v>3.92</x:v>
      </x:c>
      <x:c r="N1934" s="62" t="n">
        <x:v>831.7637711026708</x:v>
      </x:c>
      <x:c r="O1934" s="60" t="n">
        <x:v>211962.9739814222</x:v>
      </x:c>
      <x:c r="P1934" s="60" t="n">
        <x:v>0</x:v>
      </x:c>
      <x:c r="Q1934" s="62" t="n">
        <x:v>1</x:v>
      </x:c>
      <x:c r="R1934" s="64" t="n">
        <x:v>0</x:v>
      </x:c>
    </x:row>
    <x:row r="1935" ht="18" customHeight="1">
      <x:c r="A1935" s="46" t="str">
        <x:v>LME_046</x:v>
      </x:c>
      <x:c r="B1935" s="46" t="str">
        <x:v>New Zealand Shelf</x:v>
      </x:c>
      <x:c r="C1935" s="46" t="str">
        <x:v>functional</x:v>
      </x:c>
      <x:c r="D1935" s="46" t="str">
        <x:v>Large sharks (&gt;=90 cm)</x:v>
      </x:c>
      <x:c r="E1935" s="66" t="n">
        <x:v>29</x:v>
      </x:c>
      <x:c r="F1935" s="66" t="n">
        <x:v>29</x:v>
      </x:c>
      <x:c r="G1935" s="60" t="n">
        <x:v>18410.2083282495</x:v>
      </x:c>
      <x:c r="H1935" s="60" t="n">
        <x:v>18410.2083282495</x:v>
      </x:c>
      <x:c r="I1935" s="62" t="n">
        <x:v>0</x:v>
      </x:c>
      <x:c r="J1935" s="64" t="n">
        <x:v>1</x:v>
      </x:c>
      <x:c r="K1935" s="62" t="n">
        <x:v>1882.9047044469485</x:v>
      </x:c>
      <x:c r="L1935" s="60" t="n">
        <x:v>34664667.871109374</x:v>
      </x:c>
      <x:c r="M1935" s="62" t="n">
        <x:v>4.225683646957887</x:v>
      </x:c>
      <x:c r="N1935" s="62" t="n">
        <x:v>1681.4487974560034</x:v>
      </x:c>
      <x:c r="O1935" s="60" t="n">
        <x:v>30955822.65444962</x:v>
      </x:c>
      <x:c r="P1935" s="60" t="n">
        <x:v>3708845.2166597545</x:v>
      </x:c>
      <x:c r="Q1935" s="62" t="n">
        <x:v>1.1198109078883305</x:v>
      </x:c>
      <x:c r="R1935" s="64" t="n">
        <x:v>0.11981090788833039</x:v>
      </x:c>
    </x:row>
    <x:row r="1936" ht="18" customHeight="1">
      <x:c r="A1936" s="46" t="str">
        <x:v>LME_046</x:v>
      </x:c>
      <x:c r="B1936" s="46" t="str">
        <x:v>New Zealand Shelf</x:v>
      </x:c>
      <x:c r="C1936" s="46" t="str">
        <x:v>functional</x:v>
      </x:c>
      <x:c r="D1936" s="46" t="str">
        <x:v>Lobsters, crabs</x:v>
      </x:c>
      <x:c r="E1936" s="66" t="n">
        <x:v>8</x:v>
      </x:c>
      <x:c r="F1936" s="66" t="n">
        <x:v>8</x:v>
      </x:c>
      <x:c r="G1936" s="60" t="n">
        <x:v>4936.7618480225</x:v>
      </x:c>
      <x:c r="H1936" s="60" t="n">
        <x:v>4936.7618480225</x:v>
      </x:c>
      <x:c r="I1936" s="62" t="n">
        <x:v>0</x:v>
      </x:c>
      <x:c r="J1936" s="64" t="n">
        <x:v>1</x:v>
      </x:c>
      <x:c r="K1936" s="62" t="n">
        <x:v>82.72310384135878</x:v>
      </x:c>
      <x:c r="L1936" s="60" t="n">
        <x:v>408384.2629940235</x:v>
      </x:c>
      <x:c r="M1936" s="62" t="n">
        <x:v>2.733338866965022</x:v>
      </x:c>
      <x:c r="N1936" s="62" t="n">
        <x:v>54.11764219873318</x:v>
      </x:c>
      <x:c r="O1936" s="60" t="n">
        <x:v>267165.9113116384</x:v>
      </x:c>
      <x:c r="P1936" s="60" t="n">
        <x:v>141218.35168238508</x:v>
      </x:c>
      <x:c r="Q1936" s="62" t="n">
        <x:v>1.528579229996373</x:v>
      </x:c>
      <x:c r="R1936" s="64" t="n">
        <x:v>0.5285792299963729</x:v>
      </x:c>
    </x:row>
    <x:row r="1937" ht="18" customHeight="1">
      <x:c r="A1937" s="46" t="str">
        <x:v>LME_046</x:v>
      </x:c>
      <x:c r="B1937" s="46" t="str">
        <x:v>New Zealand Shelf</x:v>
      </x:c>
      <x:c r="C1937" s="46" t="str">
        <x:v>functional</x:v>
      </x:c>
      <x:c r="D1937" s="46" t="str">
        <x:v>Medium bathydemersals (30 - 89 cm)</x:v>
      </x:c>
      <x:c r="E1937" s="66" t="n">
        <x:v>11</x:v>
      </x:c>
      <x:c r="F1937" s="66" t="n">
        <x:v>11</x:v>
      </x:c>
      <x:c r="G1937" s="60" t="n">
        <x:v>4421.5642559184</x:v>
      </x:c>
      <x:c r="H1937" s="60" t="n">
        <x:v>4421.5642559184</x:v>
      </x:c>
      <x:c r="I1937" s="62" t="n">
        <x:v>0</x:v>
      </x:c>
      <x:c r="J1937" s="64" t="n">
        <x:v>1</x:v>
      </x:c>
      <x:c r="K1937" s="62" t="n">
        <x:v>1184.5574231728122</x:v>
      </x:c>
      <x:c r="L1937" s="60" t="n">
        <x:v>5237596.761383712</x:v>
      </x:c>
      <x:c r="M1937" s="62" t="n">
        <x:v>3.7676246475259125</x:v>
      </x:c>
      <x:c r="N1937" s="62" t="n">
        <x:v>585.6317952825283</x:v>
      </x:c>
      <x:c r="O1937" s="60" t="n">
        <x:v>2589408.6131505487</x:v>
      </x:c>
      <x:c r="P1937" s="60" t="n">
        <x:v>2648188.1482331636</x:v>
      </x:c>
      <x:c r="Q1937" s="62" t="n">
        <x:v>2.0226999843841167</x:v>
      </x:c>
      <x:c r="R1937" s="64" t="n">
        <x:v>1.0226999843841167</x:v>
      </x:c>
    </x:row>
    <x:row r="1938" ht="18" customHeight="1">
      <x:c r="A1938" s="46" t="str">
        <x:v>LME_046</x:v>
      </x:c>
      <x:c r="B1938" s="46" t="str">
        <x:v>New Zealand Shelf</x:v>
      </x:c>
      <x:c r="C1938" s="46" t="str">
        <x:v>functional</x:v>
      </x:c>
      <x:c r="D1938" s="46" t="str">
        <x:v>Medium bathypelagics (30 - 89 cm)</x:v>
      </x:c>
      <x:c r="E1938" s="66" t="n">
        <x:v>10</x:v>
      </x:c>
      <x:c r="F1938" s="66" t="n">
        <x:v>10</x:v>
      </x:c>
      <x:c r="G1938" s="60" t="n">
        <x:v>16023.136463771698</x:v>
      </x:c>
      <x:c r="H1938" s="60" t="n">
        <x:v>16023.136463771698</x:v>
      </x:c>
      <x:c r="I1938" s="62" t="n">
        <x:v>0</x:v>
      </x:c>
      <x:c r="J1938" s="64" t="n">
        <x:v>1</x:v>
      </x:c>
      <x:c r="K1938" s="62" t="n">
        <x:v>933.5775755781846</x:v>
      </x:c>
      <x:c r="L1938" s="60" t="n">
        <x:v>14958840.893006388</x:v>
      </x:c>
      <x:c r="M1938" s="62" t="n">
        <x:v>3.883760736832384</x:v>
      </x:c>
      <x:c r="N1938" s="62" t="n">
        <x:v>765.174937681444</x:v>
      </x:c>
      <x:c r="O1938" s="60" t="n">
        <x:v>12260502.445127781</x:v>
      </x:c>
      <x:c r="P1938" s="60" t="n">
        <x:v>2698338.4478786066</x:v>
      </x:c>
      <x:c r="Q1938" s="62" t="n">
        <x:v>1.2200838391375146</x:v>
      </x:c>
      <x:c r="R1938" s="64" t="n">
        <x:v>0.22008383913751456</x:v>
      </x:c>
    </x:row>
    <x:row r="1939" ht="18" customHeight="1">
      <x:c r="A1939" s="46" t="str">
        <x:v>LME_046</x:v>
      </x:c>
      <x:c r="B1939" s="46" t="str">
        <x:v>New Zealand Shelf</x:v>
      </x:c>
      <x:c r="C1939" s="46" t="str">
        <x:v>functional</x:v>
      </x:c>
      <x:c r="D1939" s="46" t="str">
        <x:v>Medium benthopelagics (30 - 89 cm)</x:v>
      </x:c>
      <x:c r="E1939" s="66" t="n">
        <x:v>15</x:v>
      </x:c>
      <x:c r="F1939" s="66" t="n">
        <x:v>15</x:v>
      </x:c>
      <x:c r="G1939" s="60" t="n">
        <x:v>31756.3072470824</x:v>
      </x:c>
      <x:c r="H1939" s="60" t="n">
        <x:v>31756.3072470824</x:v>
      </x:c>
      <x:c r="I1939" s="62" t="n">
        <x:v>0</x:v>
      </x:c>
      <x:c r="J1939" s="64" t="n">
        <x:v>1</x:v>
      </x:c>
      <x:c r="K1939" s="62" t="n">
        <x:v>623.0901506962877</x:v>
      </x:c>
      <x:c r="L1939" s="60" t="n">
        <x:v>19787042.268142186</x:v>
      </x:c>
      <x:c r="M1939" s="62" t="n">
        <x:v>3.682817613567045</x:v>
      </x:c>
      <x:c r="N1939" s="62" t="n">
        <x:v>481.74544118608634</x:v>
      </x:c>
      <x:c r="O1939" s="60" t="n">
        <x:v>15298456.245186621</x:v>
      </x:c>
      <x:c r="P1939" s="60" t="n">
        <x:v>4488586.022955565</x:v>
      </x:c>
      <x:c r="Q1939" s="62" t="n">
        <x:v>1.2934012393811183</x:v>
      </x:c>
      <x:c r="R1939" s="64" t="n">
        <x:v>0.29340123938111834</x:v>
      </x:c>
    </x:row>
    <x:row r="1940" ht="18" customHeight="1">
      <x:c r="A1940" s="46" t="str">
        <x:v>LME_046</x:v>
      </x:c>
      <x:c r="B1940" s="46" t="str">
        <x:v>New Zealand Shelf</x:v>
      </x:c>
      <x:c r="C1940" s="46" t="str">
        <x:v>functional</x:v>
      </x:c>
      <x:c r="D1940" s="46" t="str">
        <x:v>Medium demersals (30 - 89 cm)</x:v>
      </x:c>
      <x:c r="E1940" s="66" t="n">
        <x:v>16</x:v>
      </x:c>
      <x:c r="F1940" s="66" t="n">
        <x:v>16</x:v>
      </x:c>
      <x:c r="G1940" s="60" t="n">
        <x:v>59057.058629881096</x:v>
      </x:c>
      <x:c r="H1940" s="60" t="n">
        <x:v>59057.058629881096</x:v>
      </x:c>
      <x:c r="I1940" s="62" t="n">
        <x:v>0</x:v>
      </x:c>
      <x:c r="J1940" s="64" t="n">
        <x:v>1</x:v>
      </x:c>
      <x:c r="K1940" s="62" t="n">
        <x:v>535.4836062393593</x:v>
      </x:c>
      <x:c r="L1940" s="60" t="n">
        <x:v>31624086.72901801</x:v>
      </x:c>
      <x:c r="M1940" s="62" t="n">
        <x:v>3.500221031384273</x:v>
      </x:c>
      <x:c r="N1940" s="62" t="n">
        <x:v>316.3887490673388</x:v>
      </x:c>
      <x:c r="O1940" s="60" t="n">
        <x:v>18684988.903504565</x:v>
      </x:c>
      <x:c r="P1940" s="60" t="n">
        <x:v>12939097.825513445</x:v>
      </x:c>
      <x:c r="Q1940" s="62" t="n">
        <x:v>1.6924862461698642</x:v>
      </x:c>
      <x:c r="R1940" s="64" t="n">
        <x:v>0.6924862461698643</x:v>
      </x:c>
    </x:row>
    <x:row r="1941" ht="18" customHeight="1">
      <x:c r="A1941" s="46" t="str">
        <x:v>LME_046</x:v>
      </x:c>
      <x:c r="B1941" s="46" t="str">
        <x:v>New Zealand Shelf</x:v>
      </x:c>
      <x:c r="C1941" s="46" t="str">
        <x:v>functional</x:v>
      </x:c>
      <x:c r="D1941" s="46" t="str">
        <x:v>Medium pelagics (30 - 89 cm)</x:v>
      </x:c>
      <x:c r="E1941" s="66" t="n">
        <x:v>10</x:v>
      </x:c>
      <x:c r="F1941" s="66" t="n">
        <x:v>10</x:v>
      </x:c>
      <x:c r="G1941" s="60" t="n">
        <x:v>59273.740845969805</x:v>
      </x:c>
      <x:c r="H1941" s="60" t="n">
        <x:v>59273.740845969805</x:v>
      </x:c>
      <x:c r="I1941" s="62" t="n">
        <x:v>0</x:v>
      </x:c>
      <x:c r="J1941" s="64" t="n">
        <x:v>1</x:v>
      </x:c>
      <x:c r="K1941" s="62" t="n">
        <x:v>688.9272423813879</x:v>
      </x:c>
      <x:c r="L1941" s="60" t="n">
        <x:v>40835294.82664301</x:v>
      </x:c>
      <x:c r="M1941" s="62" t="n">
        <x:v>3.778832119532593</x:v>
      </x:c>
      <x:c r="N1941" s="62" t="n">
        <x:v>600.9413932377043</x:v>
      </x:c>
      <x:c r="O1941" s="60" t="n">
        <x:v>35620044.40638772</x:v>
      </x:c>
      <x:c r="P1941" s="60" t="n">
        <x:v>5215250.420255296</x:v>
      </x:c>
      <x:c r="Q1941" s="62" t="n">
        <x:v>1.1464133609928921</x:v>
      </x:c>
      <x:c r="R1941" s="64" t="n">
        <x:v>0.1464133609928922</x:v>
      </x:c>
    </x:row>
    <x:row r="1942" ht="18" customHeight="1">
      <x:c r="A1942" s="46" t="str">
        <x:v>LME_046</x:v>
      </x:c>
      <x:c r="B1942" s="46" t="str">
        <x:v>New Zealand Shelf</x:v>
      </x:c>
      <x:c r="C1942" s="46" t="str">
        <x:v>functional</x:v>
      </x:c>
      <x:c r="D1942" s="46" t="str">
        <x:v>Medium reef assoc. fish (30 - 89 cm)</x:v>
      </x:c>
      <x:c r="E1942" s="66" t="n">
        <x:v>6</x:v>
      </x:c>
      <x:c r="F1942" s="66" t="n">
        <x:v>6</x:v>
      </x:c>
      <x:c r="G1942" s="60" t="n">
        <x:v>128.59219492250003</x:v>
      </x:c>
      <x:c r="H1942" s="60" t="n">
        <x:v>128.59219492250003</x:v>
      </x:c>
      <x:c r="I1942" s="62" t="n">
        <x:v>0</x:v>
      </x:c>
      <x:c r="J1942" s="64" t="n">
        <x:v>1</x:v>
      </x:c>
      <x:c r="K1942" s="62" t="n">
        <x:v>544.830162112713</x:v>
      </x:c>
      <x:c r="L1942" s="60" t="n">
        <x:v>70060.90640605528</x:v>
      </x:c>
      <x:c r="M1942" s="62" t="n">
        <x:v>3.443539837106897</x:v>
      </x:c>
      <x:c r="N1942" s="62" t="n">
        <x:v>277.6769542852643</x:v>
      </x:c>
      <x:c r="O1942" s="60" t="n">
        <x:v>35707.08903093683</x:v>
      </x:c>
      <x:c r="P1942" s="60" t="n">
        <x:v>34353.817375118444</x:v>
      </x:c>
      <x:c r="Q1942" s="62" t="n">
        <x:v>1.9621007566691895</x:v>
      </x:c>
      <x:c r="R1942" s="64" t="n">
        <x:v>0.9621007566691895</x:v>
      </x:c>
    </x:row>
    <x:row r="1943" ht="18" customHeight="1">
      <x:c r="A1943" s="46" t="str">
        <x:v>LME_046</x:v>
      </x:c>
      <x:c r="B1943" s="46" t="str">
        <x:v>New Zealand Shelf</x:v>
      </x:c>
      <x:c r="C1943" s="46" t="str">
        <x:v>functional</x:v>
      </x:c>
      <x:c r="D1943" s="46" t="str">
        <x:v>Other demersal invertebrates</x:v>
      </x:c>
      <x:c r="E1943" s="66" t="n">
        <x:v>16</x:v>
      </x:c>
      <x:c r="F1943" s="66" t="n">
        <x:v>16</x:v>
      </x:c>
      <x:c r="G1943" s="60" t="n">
        <x:v>6055.6315499435</x:v>
      </x:c>
      <x:c r="H1943" s="60" t="n">
        <x:v>6055.6315499435</x:v>
      </x:c>
      <x:c r="I1943" s="62" t="n">
        <x:v>0</x:v>
      </x:c>
      <x:c r="J1943" s="64" t="n">
        <x:v>1</x:v>
      </x:c>
      <x:c r="K1943" s="62" t="n">
        <x:v>17.154309606976046</x:v>
      </x:c>
      <x:c r="L1943" s="60" t="n">
        <x:v>103880.17847350302</x:v>
      </x:c>
      <x:c r="M1943" s="62" t="n">
        <x:v>2.1822348618757914</x:v>
      </x:c>
      <x:c r="N1943" s="62" t="n">
        <x:v>15.213700481856549</x:v>
      </x:c>
      <x:c r="O1943" s="60" t="n">
        <x:v>92128.56462932115</x:v>
      </x:c>
      <x:c r="P1943" s="60" t="n">
        <x:v>11751.613844181877</x:v>
      </x:c>
      <x:c r="Q1943" s="62" t="n">
        <x:v>1.127556680074898</x:v>
      </x:c>
      <x:c r="R1943" s="64" t="n">
        <x:v>0.12755668007489795</x:v>
      </x:c>
    </x:row>
    <x:row r="1944" ht="18" customHeight="1">
      <x:c r="A1944" s="46" t="str">
        <x:v>LME_046</x:v>
      </x:c>
      <x:c r="B1944" s="46" t="str">
        <x:v>New Zealand Shelf</x:v>
      </x:c>
      <x:c r="C1944" s="46" t="str">
        <x:v>functional</x:v>
      </x:c>
      <x:c r="D1944" s="46" t="str">
        <x:v>Shrimps</x:v>
      </x:c>
      <x:c r="E1944" s="66" t="n">
        <x:v>4</x:v>
      </x:c>
      <x:c r="F1944" s="66" t="n">
        <x:v>4</x:v>
      </x:c>
      <x:c r="G1944" s="60" t="n">
        <x:v>4.0210568033000005</x:v>
      </x:c>
      <x:c r="H1944" s="60" t="n">
        <x:v>4.0210568033000005</x:v>
      </x:c>
      <x:c r="I1944" s="62" t="n">
        <x:v>0</x:v>
      </x:c>
      <x:c r="J1944" s="64" t="n">
        <x:v>1</x:v>
      </x:c>
      <x:c r="K1944" s="62" t="n">
        <x:v>74.81216575767456</x:v>
      </x:c>
      <x:c r="L1944" s="60" t="n">
        <x:v>300.82396808950466</x:v>
      </x:c>
      <x:c r="M1944" s="62" t="n">
        <x:v>2.7003973975174107</x:v>
      </x:c>
      <x:c r="N1944" s="62" t="n">
        <x:v>50.16460506815527</x:v>
      </x:c>
      <x:c r="O1944" s="60" t="n">
        <x:v>201.71472649416341</x:v>
      </x:c>
      <x:c r="P1944" s="60" t="n">
        <x:v>99.10924159534125</x:v>
      </x:c>
      <x:c r="Q1944" s="62" t="n">
        <x:v>1.4913336934683792</x:v>
      </x:c>
      <x:c r="R1944" s="64" t="n">
        <x:v>0.49133369346837924</x:v>
      </x:c>
    </x:row>
    <x:row r="1945" ht="18" customHeight="1">
      <x:c r="A1945" s="46" t="str">
        <x:v>LME_046</x:v>
      </x:c>
      <x:c r="B1945" s="46" t="str">
        <x:v>New Zealand Shelf</x:v>
      </x:c>
      <x:c r="C1945" s="46" t="str">
        <x:v>functional</x:v>
      </x:c>
      <x:c r="D1945" s="46" t="str">
        <x:v>Small bathydemersals (&lt;30 cm)</x:v>
      </x:c>
      <x:c r="E1945" s="66" t="n">
        <x:v>1</x:v>
      </x:c>
      <x:c r="F1945" s="66" t="n">
        <x:v>1</x:v>
      </x:c>
      <x:c r="G1945" s="60" t="n">
        <x:v>3.3585673764000004</x:v>
      </x:c>
      <x:c r="H1945" s="60" t="n">
        <x:v>3.3585673764000004</x:v>
      </x:c>
      <x:c r="I1945" s="62" t="n">
        <x:v>0</x:v>
      </x:c>
      <x:c r="J1945" s="64" t="n">
        <x:v>1</x:v>
      </x:c>
      <x:c r="K1945" s="62" t="n">
        <x:v>323.5936569296281</x:v>
      </x:c>
      <x:c r="L1945" s="60" t="n">
        <x:v>1086.8110993738228</x:v>
      </x:c>
      <x:c r="M1945" s="62" t="n">
        <x:v>3.51</x:v>
      </x:c>
      <x:c r="N1945" s="62" t="n">
        <x:v>323.5936569296281</x:v>
      </x:c>
      <x:c r="O1945" s="60" t="n">
        <x:v>1086.8110993738228</x:v>
      </x:c>
      <x:c r="P1945" s="60" t="n">
        <x:v>0</x:v>
      </x:c>
      <x:c r="Q1945" s="62" t="n">
        <x:v>1</x:v>
      </x:c>
      <x:c r="R1945" s="64" t="n">
        <x:v>0</x:v>
      </x:c>
    </x:row>
    <x:row r="1946" ht="18" customHeight="1">
      <x:c r="A1946" s="46" t="str">
        <x:v>LME_046</x:v>
      </x:c>
      <x:c r="B1946" s="46" t="str">
        <x:v>New Zealand Shelf</x:v>
      </x:c>
      <x:c r="C1946" s="46" t="str">
        <x:v>functional</x:v>
      </x:c>
      <x:c r="D1946" s="46" t="str">
        <x:v>Small bathypelagics (&lt;30 cm)</x:v>
      </x:c>
      <x:c r="E1946" s="66" t="n">
        <x:v>1</x:v>
      </x:c>
      <x:c r="F1946" s="66" t="n">
        <x:v>1</x:v>
      </x:c>
      <x:c r="G1946" s="60" t="n">
        <x:v>11.0320675114</x:v>
      </x:c>
      <x:c r="H1946" s="60" t="n">
        <x:v>11.0320675114</x:v>
      </x:c>
      <x:c r="I1946" s="62" t="n">
        <x:v>0</x:v>
      </x:c>
      <x:c r="J1946" s="64" t="n">
        <x:v>1</x:v>
      </x:c>
      <x:c r="K1946" s="62" t="n">
        <x:v>316.22776601683796</x:v>
      </x:c>
      <x:c r="L1946" s="60" t="n">
        <x:v>3488.646063676959</x:v>
      </x:c>
      <x:c r="M1946" s="62" t="n">
        <x:v>3.5</x:v>
      </x:c>
      <x:c r="N1946" s="62" t="n">
        <x:v>316.22776601683796</x:v>
      </x:c>
      <x:c r="O1946" s="60" t="n">
        <x:v>3488.646063676959</x:v>
      </x:c>
      <x:c r="P1946" s="60" t="n">
        <x:v>0</x:v>
      </x:c>
      <x:c r="Q1946" s="62" t="n">
        <x:v>1</x:v>
      </x:c>
      <x:c r="R1946" s="64" t="n">
        <x:v>0</x:v>
      </x:c>
    </x:row>
    <x:row r="1947" ht="18" customHeight="1">
      <x:c r="A1947" s="46" t="str">
        <x:v>LME_046</x:v>
      </x:c>
      <x:c r="B1947" s="46" t="str">
        <x:v>New Zealand Shelf</x:v>
      </x:c>
      <x:c r="C1947" s="46" t="str">
        <x:v>functional</x:v>
      </x:c>
      <x:c r="D1947" s="46" t="str">
        <x:v>Small benthopelagics (&lt;30 cm)</x:v>
      </x:c>
      <x:c r="E1947" s="66" t="n">
        <x:v>1</x:v>
      </x:c>
      <x:c r="F1947" s="66" t="n">
        <x:v>1</x:v>
      </x:c>
      <x:c r="G1947" s="60" t="n">
        <x:v>109.8382058674</x:v>
      </x:c>
      <x:c r="H1947" s="60" t="n">
        <x:v>109.8382058674</x:v>
      </x:c>
      <x:c r="I1947" s="62" t="n">
        <x:v>0</x:v>
      </x:c>
      <x:c r="J1947" s="64" t="n">
        <x:v>1</x:v>
      </x:c>
      <x:c r="K1947" s="62" t="n">
        <x:v>141.2537544622754</x:v>
      </x:c>
      <x:c r="L1947" s="60" t="n">
        <x:v>15515.058962170577</x:v>
      </x:c>
      <x:c r="M1947" s="62" t="n">
        <x:v>3.15</x:v>
      </x:c>
      <x:c r="N1947" s="62" t="n">
        <x:v>141.2537544622754</x:v>
      </x:c>
      <x:c r="O1947" s="60" t="n">
        <x:v>15515.058962170577</x:v>
      </x:c>
      <x:c r="P1947" s="60" t="n">
        <x:v>0</x:v>
      </x:c>
      <x:c r="Q1947" s="62" t="n">
        <x:v>1</x:v>
      </x:c>
      <x:c r="R1947" s="64" t="n">
        <x:v>0</x:v>
      </x:c>
    </x:row>
    <x:row r="1948" ht="18" customHeight="1">
      <x:c r="A1948" s="46" t="str">
        <x:v>LME_046</x:v>
      </x:c>
      <x:c r="B1948" s="46" t="str">
        <x:v>New Zealand Shelf</x:v>
      </x:c>
      <x:c r="C1948" s="46" t="str">
        <x:v>functional</x:v>
      </x:c>
      <x:c r="D1948" s="46" t="str">
        <x:v>Small demersals (&lt;30 cm)</x:v>
      </x:c>
      <x:c r="E1948" s="66" t="n">
        <x:v>2</x:v>
      </x:c>
      <x:c r="F1948" s="66" t="n">
        <x:v>2</x:v>
      </x:c>
      <x:c r="G1948" s="60" t="n">
        <x:v>363.26673842980006</x:v>
      </x:c>
      <x:c r="H1948" s="60" t="n">
        <x:v>363.26673842980006</x:v>
      </x:c>
      <x:c r="I1948" s="62" t="n">
        <x:v>0</x:v>
      </x:c>
      <x:c r="J1948" s="64" t="n">
        <x:v>1</x:v>
      </x:c>
      <x:c r="K1948" s="62" t="n">
        <x:v>129.60842278966956</x:v>
      </x:c>
      <x:c r="L1948" s="60" t="n">
        <x:v>47082.42901983383</x:v>
      </x:c>
      <x:c r="M1948" s="62" t="n">
        <x:v>3.111630457785329</x:v>
      </x:c>
      <x:c r="N1948" s="62" t="n">
        <x:v>129.30950754978508</x:v>
      </x:c>
      <x:c r="O1948" s="60" t="n">
        <x:v>46973.843055574034</x:v>
      </x:c>
      <x:c r="P1948" s="60" t="n">
        <x:v>108.5859642597934</x:v>
      </x:c>
      <x:c r="Q1948" s="62" t="n">
        <x:v>1.0023116261560998</x:v>
      </x:c>
      <x:c r="R1948" s="64" t="n">
        <x:v>0.002311626156099832</x:v>
      </x:c>
    </x:row>
    <x:row r="1949" ht="18" customHeight="1">
      <x:c r="A1949" s="46" t="str">
        <x:v>LME_046</x:v>
      </x:c>
      <x:c r="B1949" s="46" t="str">
        <x:v>New Zealand Shelf</x:v>
      </x:c>
      <x:c r="C1949" s="46" t="str">
        <x:v>functional</x:v>
      </x:c>
      <x:c r="D1949" s="46" t="str">
        <x:v>Small pelagics (&lt;30 cm)</x:v>
      </x:c>
      <x:c r="E1949" s="66" t="n">
        <x:v>9</x:v>
      </x:c>
      <x:c r="F1949" s="66" t="n">
        <x:v>9</x:v>
      </x:c>
      <x:c r="G1949" s="60" t="n">
        <x:v>462.80924046250004</x:v>
      </x:c>
      <x:c r="H1949" s="60" t="n">
        <x:v>462.80924046250004</x:v>
      </x:c>
      <x:c r="I1949" s="62" t="n">
        <x:v>0</x:v>
      </x:c>
      <x:c r="J1949" s="64" t="n">
        <x:v>1</x:v>
      </x:c>
      <x:c r="K1949" s="62" t="n">
        <x:v>372.14810783745753</x:v>
      </x:c>
      <x:c r="L1949" s="60" t="n">
        <x:v>172233.58312781027</x:v>
      </x:c>
      <x:c r="M1949" s="62" t="n">
        <x:v>2.830997092752878</x:v>
      </x:c>
      <x:c r="N1949" s="62" t="n">
        <x:v>67.76369713689981</x:v>
      </x:c>
      <x:c r="O1949" s="60" t="n">
        <x:v>31361.665202859487</x:v>
      </x:c>
      <x:c r="P1949" s="60" t="n">
        <x:v>140871.91792495077</x:v>
      </x:c>
      <x:c r="Q1949" s="62" t="n">
        <x:v>5.491850704155415</x:v>
      </x:c>
      <x:c r="R1949" s="64" t="n">
        <x:v>4.491850704155415</x:v>
      </x:c>
    </x:row>
    <x:row r="1950" ht="18" customHeight="1">
      <x:c r="A1950" s="46" t="str">
        <x:v>LME_046</x:v>
      </x:c>
      <x:c r="B1950" s="46" t="str">
        <x:v>New Zealand Shelf</x:v>
      </x:c>
      <x:c r="C1950" s="46" t="str">
        <x:v>functional</x:v>
      </x:c>
      <x:c r="D1950" s="46" t="str">
        <x:v>Small to medium flatfishes (&lt;90 cm)</x:v>
      </x:c>
      <x:c r="E1950" s="66" t="n">
        <x:v>2</x:v>
      </x:c>
      <x:c r="F1950" s="66" t="n">
        <x:v>2</x:v>
      </x:c>
      <x:c r="G1950" s="60" t="n">
        <x:v>1744.0761210575001</x:v>
      </x:c>
      <x:c r="H1950" s="60" t="n">
        <x:v>1744.0761210575001</x:v>
      </x:c>
      <x:c r="I1950" s="62" t="n">
        <x:v>0</x:v>
      </x:c>
      <x:c r="J1950" s="64" t="n">
        <x:v>1</x:v>
      </x:c>
      <x:c r="K1950" s="62" t="n">
        <x:v>376.73990501289126</x:v>
      </x:c>
      <x:c r="L1950" s="60" t="n">
        <x:v>657063.0721824544</x:v>
      </x:c>
      <x:c r="M1950" s="62" t="n">
        <x:v>3.574790128027092</x:v>
      </x:c>
      <x:c r="N1950" s="62" t="n">
        <x:v>375.65582546317984</x:v>
      </x:c>
      <x:c r="O1950" s="60" t="n">
        <x:v>655172.354926476</x:v>
      </x:c>
      <x:c r="P1950" s="60" t="n">
        <x:v>1890.7172559783794</x:v>
      </x:c>
      <x:c r="Q1950" s="62" t="n">
        <x:v>1.0028858318605194</x:v>
      </x:c>
      <x:c r="R1950" s="64" t="n">
        <x:v>0.0028858318605194462</x:v>
      </x:c>
    </x:row>
    <x:row r="1951" ht="18" customHeight="1">
      <x:c r="A1951" s="46" t="str">
        <x:v>LME_046</x:v>
      </x:c>
      <x:c r="B1951" s="46" t="str">
        <x:v>New Zealand Shelf</x:v>
      </x:c>
      <x:c r="C1951" s="46" t="str">
        <x:v>functional</x:v>
      </x:c>
      <x:c r="D1951" s="46" t="str">
        <x:v>Small to medium rays (&lt;90 cm)</x:v>
      </x:c>
      <x:c r="E1951" s="66" t="n">
        <x:v>3</x:v>
      </x:c>
      <x:c r="F1951" s="66" t="n">
        <x:v>3</x:v>
      </x:c>
      <x:c r="G1951" s="60" t="n">
        <x:v>3177.6184165408004</x:v>
      </x:c>
      <x:c r="H1951" s="60" t="n">
        <x:v>3177.6184165408004</x:v>
      </x:c>
      <x:c r="I1951" s="62" t="n">
        <x:v>0</x:v>
      </x:c>
      <x:c r="J1951" s="64" t="n">
        <x:v>1</x:v>
      </x:c>
      <x:c r="K1951" s="62" t="n">
        <x:v>329.5183211703375</x:v>
      </x:c>
      <x:c r="L1951" s="60" t="n">
        <x:v>1047083.4859384708</x:v>
      </x:c>
      <x:c r="M1951" s="62" t="n">
        <x:v>3.517824507827445</x:v>
      </x:c>
      <x:c r="N1951" s="62" t="n">
        <x:v>329.4765485257908</x:v>
      </x:c>
      <x:c r="O1951" s="60" t="n">
        <x:v>1046950.7484138516</x:v>
      </x:c>
      <x:c r="P1951" s="60" t="n">
        <x:v>132.73752461920958</x:v>
      </x:c>
      <x:c r="Q1951" s="62" t="n">
        <x:v>1.000126784879633</x:v>
      </x:c>
      <x:c r="R1951" s="64" t="n">
        <x:v>0.0001267848796328855</x:v>
      </x:c>
    </x:row>
    <x:row r="1952" ht="18" customHeight="1">
      <x:c r="A1952" s="46" t="str">
        <x:v>LME_046</x:v>
      </x:c>
      <x:c r="B1952" s="46" t="str">
        <x:v>New Zealand Shelf</x:v>
      </x:c>
      <x:c r="C1952" s="46" t="str">
        <x:v>functional</x:v>
      </x:c>
      <x:c r="D1952" s="46" t="str">
        <x:v>Small to medium sharks (&lt;90 cm)</x:v>
      </x:c>
      <x:c r="E1952" s="66" t="n">
        <x:v>3</x:v>
      </x:c>
      <x:c r="F1952" s="66" t="n">
        <x:v>3</x:v>
      </x:c>
      <x:c r="G1952" s="60" t="n">
        <x:v>148.9214503112</x:v>
      </x:c>
      <x:c r="H1952" s="60" t="n">
        <x:v>148.9214503112</x:v>
      </x:c>
      <x:c r="I1952" s="62" t="n">
        <x:v>0</x:v>
      </x:c>
      <x:c r="J1952" s="64" t="n">
        <x:v>1</x:v>
      </x:c>
      <x:c r="K1952" s="62" t="n">
        <x:v>1672.1198028913166</x:v>
      </x:c>
      <x:c r="L1952" s="60" t="n">
        <x:v>249014.50614065275</x:v>
      </x:c>
      <x:c r="M1952" s="62" t="n">
        <x:v>4.208677680628066</x:v>
      </x:c>
      <x:c r="N1952" s="62" t="n">
        <x:v>1616.8795962915979</x:v>
      </x:c>
      <x:c r="O1952" s="60" t="n">
        <x:v>240788.0544583323</x:v>
      </x:c>
      <x:c r="P1952" s="60" t="n">
        <x:v>8226.451682320447</x:v>
      </x:c>
      <x:c r="Q1952" s="62" t="n">
        <x:v>1.0341647001585124</x:v>
      </x:c>
      <x:c r="R1952" s="64" t="n">
        <x:v>0.03416470015851227</x:v>
      </x:c>
    </x:row>
    <x:row r="1953" ht="18" customHeight="1">
      <x:c r="A1953" s="46" t="str">
        <x:v>LME_047</x:v>
      </x:c>
      <x:c r="B1953" s="46" t="str">
        <x:v>East China Sea</x:v>
      </x:c>
      <x:c r="C1953" s="46" t="str">
        <x:v>functional</x:v>
      </x:c>
      <x:c r="D1953" s="46" t="str">
        <x:v>Cephalopods</x:v>
      </x:c>
      <x:c r="E1953" s="66" t="n">
        <x:v>12</x:v>
      </x:c>
      <x:c r="F1953" s="66" t="n">
        <x:v>12</x:v>
      </x:c>
      <x:c r="G1953" s="60" t="n">
        <x:v>244503.22427324337</x:v>
      </x:c>
      <x:c r="H1953" s="60" t="n">
        <x:v>244503.22427324337</x:v>
      </x:c>
      <x:c r="I1953" s="62" t="n">
        <x:v>0</x:v>
      </x:c>
      <x:c r="J1953" s="64" t="n">
        <x:v>1</x:v>
      </x:c>
      <x:c r="K1953" s="62" t="n">
        <x:v>982.5953641232232</x:v>
      </x:c>
      <x:c r="L1953" s="60" t="n">
        <x:v>240247734.6840697</x:v>
      </x:c>
      <x:c r="M1953" s="62" t="n">
        <x:v>3.9132250246698677</x:v>
      </x:c>
      <x:c r="N1953" s="62" t="n">
        <x:v>818.8889760963718</x:v>
      </x:c>
      <x:c r="O1953" s="60" t="n">
        <x:v>200220994.97737783</x:v>
      </x:c>
      <x:c r="P1953" s="60" t="n">
        <x:v>40026739.70669186</x:v>
      </x:c>
      <x:c r="Q1953" s="62" t="n">
        <x:v>1.199912799909991</x:v>
      </x:c>
      <x:c r="R1953" s="64" t="n">
        <x:v>0.19991279990999106</x:v>
      </x:c>
    </x:row>
    <x:row r="1954" ht="18" customHeight="1">
      <x:c r="A1954" s="46" t="str">
        <x:v>LME_047</x:v>
      </x:c>
      <x:c r="B1954" s="46" t="str">
        <x:v>East China Sea</x:v>
      </x:c>
      <x:c r="C1954" s="46" t="str">
        <x:v>functional</x:v>
      </x:c>
      <x:c r="D1954" s="46" t="str">
        <x:v>Jellyfish</x:v>
      </x:c>
      <x:c r="E1954" s="66" t="n">
        <x:v>4</x:v>
      </x:c>
      <x:c r="F1954" s="66" t="n">
        <x:v>4</x:v>
      </x:c>
      <x:c r="G1954" s="60" t="n">
        <x:v>162114.0124525696</x:v>
      </x:c>
      <x:c r="H1954" s="60" t="n">
        <x:v>162114.0124525696</x:v>
      </x:c>
      <x:c r="I1954" s="62" t="n">
        <x:v>0</x:v>
      </x:c>
      <x:c r="J1954" s="64" t="n">
        <x:v>1</x:v>
      </x:c>
      <x:c r="K1954" s="62" t="n">
        <x:v>244.20613358393553</x:v>
      </x:c>
      <x:c r="L1954" s="60" t="n">
        <x:v>39589236.180819996</x:v>
      </x:c>
      <x:c r="M1954" s="62" t="n">
        <x:v>3.330054953624773</x:v>
      </x:c>
      <x:c r="N1954" s="62" t="n">
        <x:v>213.8232634500842</x:v>
      </x:c>
      <x:c r="O1954" s="60" t="n">
        <x:v>34663747.19359602</x:v>
      </x:c>
      <x:c r="P1954" s="60" t="n">
        <x:v>4925488.987223975</x:v>
      </x:c>
      <x:c r="Q1954" s="62" t="n">
        <x:v>1.1420933795678598</x:v>
      </x:c>
      <x:c r="R1954" s="64" t="n">
        <x:v>0.14209337956785983</x:v>
      </x:c>
    </x:row>
    <x:row r="1955" ht="18" customHeight="1">
      <x:c r="A1955" s="46" t="str">
        <x:v>LME_047</x:v>
      </x:c>
      <x:c r="B1955" s="46" t="str">
        <x:v>East China Sea</x:v>
      </x:c>
      <x:c r="C1955" s="46" t="str">
        <x:v>functional</x:v>
      </x:c>
      <x:c r="D1955" s="46" t="str">
        <x:v>Large benthopelagics (&gt;=90 cm)</x:v>
      </x:c>
      <x:c r="E1955" s="66" t="n">
        <x:v>8</x:v>
      </x:c>
      <x:c r="F1955" s="66" t="n">
        <x:v>8</x:v>
      </x:c>
      <x:c r="G1955" s="60" t="n">
        <x:v>476355.10137950536</x:v>
      </x:c>
      <x:c r="H1955" s="60" t="n">
        <x:v>476355.10137950536</x:v>
      </x:c>
      <x:c r="I1955" s="62" t="n">
        <x:v>0</x:v>
      </x:c>
      <x:c r="J1955" s="64" t="n">
        <x:v>1</x:v>
      </x:c>
      <x:c r="K1955" s="62" t="n">
        <x:v>2333.8645125820526</x:v>
      </x:c>
      <x:c r="L1955" s="60" t="n">
        <x:v>1111748266.4970536</x:v>
      </x:c>
      <x:c r="M1955" s="62" t="n">
        <x:v>4.247357637866828</x:v>
      </x:c>
      <x:c r="N1955" s="62" t="n">
        <x:v>1767.4927370070802</x:v>
      </x:c>
      <x:c r="O1955" s="60" t="n">
        <x:v>841954181.9245471</x:v>
      </x:c>
      <x:c r="P1955" s="60" t="n">
        <x:v>269794084.57250655</x:v>
      </x:c>
      <x:c r="Q1955" s="62" t="n">
        <x:v>1.3204379648733482</x:v>
      </x:c>
      <x:c r="R1955" s="64" t="n">
        <x:v>0.3204379648733481</x:v>
      </x:c>
    </x:row>
    <x:row r="1956" ht="18" customHeight="1">
      <x:c r="A1956" s="46" t="str">
        <x:v>LME_047</x:v>
      </x:c>
      <x:c r="B1956" s="46" t="str">
        <x:v>East China Sea</x:v>
      </x:c>
      <x:c r="C1956" s="46" t="str">
        <x:v>functional</x:v>
      </x:c>
      <x:c r="D1956" s="46" t="str">
        <x:v>Large demersals (&gt;=90 cm)</x:v>
      </x:c>
      <x:c r="E1956" s="66" t="n">
        <x:v>8</x:v>
      </x:c>
      <x:c r="F1956" s="66" t="n">
        <x:v>8</x:v>
      </x:c>
      <x:c r="G1956" s="60" t="n">
        <x:v>176147.4223718903</x:v>
      </x:c>
      <x:c r="H1956" s="60" t="n">
        <x:v>176147.4223718903</x:v>
      </x:c>
      <x:c r="I1956" s="62" t="n">
        <x:v>0</x:v>
      </x:c>
      <x:c r="J1956" s="64" t="n">
        <x:v>1</x:v>
      </x:c>
      <x:c r="K1956" s="62" t="n">
        <x:v>1960.8820069983117</x:v>
      </x:c>
      <x:c r="L1956" s="60" t="n">
        <x:v>345404311.1081716</x:v>
      </x:c>
      <x:c r="M1956" s="62" t="n">
        <x:v>4.252081924391599</x:v>
      </x:c>
      <x:c r="N1956" s="62" t="n">
        <x:v>1786.8246058733166</x:v>
      </x:c>
      <x:c r="O1956" s="60" t="n">
        <x:v>314744548.5552535</x:v>
      </x:c>
      <x:c r="P1956" s="60" t="n">
        <x:v>30659762.552918077</x:v>
      </x:c>
      <x:c r="Q1956" s="62" t="n">
        <x:v>1.0974115761294456</x:v>
      </x:c>
      <x:c r="R1956" s="64" t="n">
        <x:v>0.09741157612944563</x:v>
      </x:c>
    </x:row>
    <x:row r="1957" ht="18" customHeight="1">
      <x:c r="A1957" s="46" t="str">
        <x:v>LME_047</x:v>
      </x:c>
      <x:c r="B1957" s="46" t="str">
        <x:v>East China Sea</x:v>
      </x:c>
      <x:c r="C1957" s="46" t="str">
        <x:v>functional</x:v>
      </x:c>
      <x:c r="D1957" s="46" t="str">
        <x:v>Large flatfishes (&gt;=90 cm)</x:v>
      </x:c>
      <x:c r="E1957" s="66" t="n">
        <x:v>1</x:v>
      </x:c>
      <x:c r="F1957" s="66" t="n">
        <x:v>1</x:v>
      </x:c>
      <x:c r="G1957" s="60" t="n">
        <x:v>6225.5744773235</x:v>
      </x:c>
      <x:c r="H1957" s="60" t="n">
        <x:v>6225.5744773235</x:v>
      </x:c>
      <x:c r="I1957" s="62" t="n">
        <x:v>0</x:v>
      </x:c>
      <x:c r="J1957" s="64" t="n">
        <x:v>1</x:v>
      </x:c>
      <x:c r="K1957" s="62" t="n">
        <x:v>1778.279410038923</x:v>
      </x:c>
      <x:c r="L1957" s="60" t="n">
        <x:v>11070810.90868821</x:v>
      </x:c>
      <x:c r="M1957" s="62" t="n">
        <x:v>4.25</x:v>
      </x:c>
      <x:c r="N1957" s="62" t="n">
        <x:v>1778.2794100389228</x:v>
      </x:c>
      <x:c r="O1957" s="60" t="n">
        <x:v>11070810.90868821</x:v>
      </x:c>
      <x:c r="P1957" s="60" t="n">
        <x:v>0</x:v>
      </x:c>
      <x:c r="Q1957" s="62" t="n">
        <x:v>1</x:v>
      </x:c>
      <x:c r="R1957" s="64" t="n">
        <x:v>0</x:v>
      </x:c>
    </x:row>
    <x:row r="1958" ht="18" customHeight="1">
      <x:c r="A1958" s="46" t="str">
        <x:v>LME_047</x:v>
      </x:c>
      <x:c r="B1958" s="46" t="str">
        <x:v>East China Sea</x:v>
      </x:c>
      <x:c r="C1958" s="46" t="str">
        <x:v>functional</x:v>
      </x:c>
      <x:c r="D1958" s="46" t="str">
        <x:v>Large pelagics (&gt;=90 cm)</x:v>
      </x:c>
      <x:c r="E1958" s="66" t="n">
        <x:v>22</x:v>
      </x:c>
      <x:c r="F1958" s="66" t="n">
        <x:v>22</x:v>
      </x:c>
      <x:c r="G1958" s="60" t="n">
        <x:v>202034.0561244017</x:v>
      </x:c>
      <x:c r="H1958" s="60" t="n">
        <x:v>202034.0561244017</x:v>
      </x:c>
      <x:c r="I1958" s="62" t="n">
        <x:v>0</x:v>
      </x:c>
      <x:c r="J1958" s="64" t="n">
        <x:v>1</x:v>
      </x:c>
      <x:c r="K1958" s="62" t="n">
        <x:v>2581.864572660559</x:v>
      </x:c>
      <x:c r="L1958" s="60" t="n">
        <x:v>521624571.9785078</x:v>
      </x:c>
      <x:c r="M1958" s="62" t="n">
        <x:v>4.4055812237734795</x:v>
      </x:c>
      <x:c r="N1958" s="62" t="n">
        <x:v>2544.3756095915874</x:v>
      </x:c>
      <x:c r="O1958" s="60" t="n">
        <x:v>514050524.7097855</x:v>
      </x:c>
      <x:c r="P1958" s="60" t="n">
        <x:v>7574047.268722296</x:v>
      </x:c>
      <x:c r="Q1958" s="62" t="n">
        <x:v>1.0147340522081916</x:v>
      </x:c>
      <x:c r="R1958" s="64" t="n">
        <x:v>0.014734052208191658</x:v>
      </x:c>
    </x:row>
    <x:row r="1959" ht="18" customHeight="1">
      <x:c r="A1959" s="46" t="str">
        <x:v>LME_047</x:v>
      </x:c>
      <x:c r="B1959" s="46" t="str">
        <x:v>East China Sea</x:v>
      </x:c>
      <x:c r="C1959" s="46" t="str">
        <x:v>functional</x:v>
      </x:c>
      <x:c r="D1959" s="46" t="str">
        <x:v>Large rays (&gt;=90 cm)</x:v>
      </x:c>
      <x:c r="E1959" s="66" t="n">
        <x:v>2</x:v>
      </x:c>
      <x:c r="F1959" s="66" t="n">
        <x:v>2</x:v>
      </x:c>
      <x:c r="G1959" s="60" t="n">
        <x:v>123.5927614649</x:v>
      </x:c>
      <x:c r="H1959" s="60" t="n">
        <x:v>123.5927614649</x:v>
      </x:c>
      <x:c r="I1959" s="62" t="n">
        <x:v>0</x:v>
      </x:c>
      <x:c r="J1959" s="64" t="n">
        <x:v>1</x:v>
      </x:c>
      <x:c r="K1959" s="62" t="n">
        <x:v>528.1700535106141</x:v>
      </x:c>
      <x:c r="L1959" s="60" t="n">
        <x:v>65277.9954364408</x:v>
      </x:c>
      <x:c r="M1959" s="62" t="n">
        <x:v>3.7224158945628933</x:v>
      </x:c>
      <x:c r="N1959" s="62" t="n">
        <x:v>527.7349957647268</x:v>
      </x:c>
      <x:c r="O1959" s="60" t="n">
        <x:v>65224.22544822989</x:v>
      </x:c>
      <x:c r="P1959" s="60" t="n">
        <x:v>53.769988210908195</x:v>
      </x:c>
      <x:c r="Q1959" s="62" t="n">
        <x:v>1.0008243867649083</x:v>
      </x:c>
      <x:c r="R1959" s="64" t="n">
        <x:v>0.0008243867649081827</x:v>
      </x:c>
    </x:row>
    <x:row r="1960" ht="18" customHeight="1">
      <x:c r="A1960" s="46" t="str">
        <x:v>LME_047</x:v>
      </x:c>
      <x:c r="B1960" s="46" t="str">
        <x:v>East China Sea</x:v>
      </x:c>
      <x:c r="C1960" s="46" t="str">
        <x:v>functional</x:v>
      </x:c>
      <x:c r="D1960" s="46" t="str">
        <x:v>Large reef assoc. fish (&gt;=90 cm)</x:v>
      </x:c>
      <x:c r="E1960" s="66" t="n">
        <x:v>9</x:v>
      </x:c>
      <x:c r="F1960" s="66" t="n">
        <x:v>9</x:v>
      </x:c>
      <x:c r="G1960" s="60" t="n">
        <x:v>8538.7138993152</x:v>
      </x:c>
      <x:c r="H1960" s="60" t="n">
        <x:v>8538.7138993152</x:v>
      </x:c>
      <x:c r="I1960" s="62" t="n">
        <x:v>0</x:v>
      </x:c>
      <x:c r="J1960" s="64" t="n">
        <x:v>1</x:v>
      </x:c>
      <x:c r="K1960" s="62" t="n">
        <x:v>617.8392568624496</x:v>
      </x:c>
      <x:c r="L1960" s="60" t="n">
        <x:v>5275552.650113973</x:v>
      </x:c>
      <x:c r="M1960" s="62" t="n">
        <x:v>3.694247164666593</x:v>
      </x:c>
      <x:c r="N1960" s="62" t="n">
        <x:v>494.59208800418804</x:v>
      </x:c>
      <x:c r="O1960" s="60" t="n">
        <x:v>4223180.336332687</x:v>
      </x:c>
      <x:c r="P1960" s="60" t="n">
        <x:v>1052372.3137812857</x:v>
      </x:c>
      <x:c r="Q1960" s="62" t="n">
        <x:v>1.2491895277896519</x:v>
      </x:c>
      <x:c r="R1960" s="64" t="n">
        <x:v>0.24918952778965192</x:v>
      </x:c>
    </x:row>
    <x:row r="1961" ht="18" customHeight="1">
      <x:c r="A1961" s="46" t="str">
        <x:v>LME_047</x:v>
      </x:c>
      <x:c r="B1961" s="46" t="str">
        <x:v>East China Sea</x:v>
      </x:c>
      <x:c r="C1961" s="46" t="str">
        <x:v>functional</x:v>
      </x:c>
      <x:c r="D1961" s="46" t="str">
        <x:v>Large sharks (&gt;=90 cm)</x:v>
      </x:c>
      <x:c r="E1961" s="66" t="n">
        <x:v>9</x:v>
      </x:c>
      <x:c r="F1961" s="66" t="n">
        <x:v>9</x:v>
      </x:c>
      <x:c r="G1961" s="60" t="n">
        <x:v>2970.086662857</x:v>
      </x:c>
      <x:c r="H1961" s="60" t="n">
        <x:v>2970.086662857</x:v>
      </x:c>
      <x:c r="I1961" s="62" t="n">
        <x:v>0</x:v>
      </x:c>
      <x:c r="J1961" s="64" t="n">
        <x:v>1</x:v>
      </x:c>
      <x:c r="K1961" s="62" t="n">
        <x:v>1145.5708865679117</x:v>
      </x:c>
      <x:c r="L1961" s="60" t="n">
        <x:v>3402444.8115526238</x:v>
      </x:c>
      <x:c r="M1961" s="62" t="n">
        <x:v>4.052951386894772</x:v>
      </x:c>
      <x:c r="N1961" s="62" t="n">
        <x:v>1129.6694571280445</x:v>
      </x:c>
      <x:c r="O1961" s="60" t="n">
        <x:v>3355216.1880529127</x:v>
      </x:c>
      <x:c r="P1961" s="60" t="n">
        <x:v>47228.623499711044</x:v>
      </x:c>
      <x:c r="Q1961" s="62" t="n">
        <x:v>1.0140761789561819</x:v>
      </x:c>
      <x:c r="R1961" s="64" t="n">
        <x:v>0.014076178956181835</x:v>
      </x:c>
    </x:row>
    <x:row r="1962" ht="18" customHeight="1">
      <x:c r="A1962" s="46" t="str">
        <x:v>LME_047</x:v>
      </x:c>
      <x:c r="B1962" s="46" t="str">
        <x:v>East China Sea</x:v>
      </x:c>
      <x:c r="C1962" s="46" t="str">
        <x:v>functional</x:v>
      </x:c>
      <x:c r="D1962" s="46" t="str">
        <x:v>Lobsters, crabs</x:v>
      </x:c>
      <x:c r="E1962" s="66" t="n">
        <x:v>14</x:v>
      </x:c>
      <x:c r="F1962" s="66" t="n">
        <x:v>14</x:v>
      </x:c>
      <x:c r="G1962" s="60" t="n">
        <x:v>190068.9074390354</x:v>
      </x:c>
      <x:c r="H1962" s="60" t="n">
        <x:v>190068.9074390354</x:v>
      </x:c>
      <x:c r="I1962" s="62" t="n">
        <x:v>0</x:v>
      </x:c>
      <x:c r="J1962" s="64" t="n">
        <x:v>1</x:v>
      </x:c>
      <x:c r="K1962" s="62" t="n">
        <x:v>348.7170110093004</x:v>
      </x:c>
      <x:c r="L1962" s="60" t="n">
        <x:v>66280261.2879438</x:v>
      </x:c>
      <x:c r="M1962" s="62" t="n">
        <x:v>3.37967391038888</x:v>
      </x:c>
      <x:c r="N1962" s="62" t="n">
        <x:v>239.7032433566071</x:v>
      </x:c>
      <x:c r="O1962" s="60" t="n">
        <x:v>45560133.57438353</x:v>
      </x:c>
      <x:c r="P1962" s="60" t="n">
        <x:v>20720127.713560276</x:v>
      </x:c>
      <x:c r="Q1962" s="62" t="n">
        <x:v>1.454786368870751</x:v>
      </x:c>
      <x:c r="R1962" s="64" t="n">
        <x:v>0.454786368870751</x:v>
      </x:c>
    </x:row>
    <x:row r="1963" ht="18" customHeight="1">
      <x:c r="A1963" s="46" t="str">
        <x:v>LME_047</x:v>
      </x:c>
      <x:c r="B1963" s="46" t="str">
        <x:v>East China Sea</x:v>
      </x:c>
      <x:c r="C1963" s="46" t="str">
        <x:v>functional</x:v>
      </x:c>
      <x:c r="D1963" s="46" t="str">
        <x:v>Medium bathydemersals (30 - 89 cm)</x:v>
      </x:c>
      <x:c r="E1963" s="66" t="n">
        <x:v>1</x:v>
      </x:c>
      <x:c r="F1963" s="66" t="n">
        <x:v>1</x:v>
      </x:c>
      <x:c r="G1963" s="60" t="n">
        <x:v>51.0150887386</x:v>
      </x:c>
      <x:c r="H1963" s="60" t="n">
        <x:v>51.0150887386</x:v>
      </x:c>
      <x:c r="I1963" s="62" t="n">
        <x:v>0</x:v>
      </x:c>
      <x:c r="J1963" s="64" t="n">
        <x:v>1</x:v>
      </x:c>
      <x:c r="K1963" s="62" t="n">
        <x:v>954.992586021436</x:v>
      </x:c>
      <x:c r="L1963" s="60" t="n">
        <x:v>48719.03152058865</x:v>
      </x:c>
      <x:c r="M1963" s="62" t="n">
        <x:v>3.98</x:v>
      </x:c>
      <x:c r="N1963" s="62" t="n">
        <x:v>954.992586021436</x:v>
      </x:c>
      <x:c r="O1963" s="60" t="n">
        <x:v>48719.03152058865</x:v>
      </x:c>
      <x:c r="P1963" s="60" t="n">
        <x:v>0</x:v>
      </x:c>
      <x:c r="Q1963" s="62" t="n">
        <x:v>1</x:v>
      </x:c>
      <x:c r="R1963" s="64" t="n">
        <x:v>0</x:v>
      </x:c>
    </x:row>
    <x:row r="1964" ht="18" customHeight="1">
      <x:c r="A1964" s="46" t="str">
        <x:v>LME_047</x:v>
      </x:c>
      <x:c r="B1964" s="46" t="str">
        <x:v>East China Sea</x:v>
      </x:c>
      <x:c r="C1964" s="46" t="str">
        <x:v>functional</x:v>
      </x:c>
      <x:c r="D1964" s="46" t="str">
        <x:v>Medium benthopelagics (30 - 89 cm)</x:v>
      </x:c>
      <x:c r="E1964" s="66" t="n">
        <x:v>14</x:v>
      </x:c>
      <x:c r="F1964" s="66" t="n">
        <x:v>14</x:v>
      </x:c>
      <x:c r="G1964" s="60" t="n">
        <x:v>491914.4929935596</x:v>
      </x:c>
      <x:c r="H1964" s="60" t="n">
        <x:v>491914.4929935596</x:v>
      </x:c>
      <x:c r="I1964" s="62" t="n">
        <x:v>0</x:v>
      </x:c>
      <x:c r="J1964" s="64" t="n">
        <x:v>1</x:v>
      </x:c>
      <x:c r="K1964" s="62" t="n">
        <x:v>485.0916374937777</x:v>
      </x:c>
      <x:c r="L1964" s="60" t="n">
        <x:v>238623606.91316724</x:v>
      </x:c>
      <x:c r="M1964" s="62" t="n">
        <x:v>3.601221167929004</x:v>
      </x:c>
      <x:c r="N1964" s="62" t="n">
        <x:v>399.2281607275204</x:v>
      </x:c>
      <x:c r="O1964" s="60" t="n">
        <x:v>196386118.2730295</x:v>
      </x:c>
      <x:c r="P1964" s="60" t="n">
        <x:v>42237488.64013773</x:v>
      </x:c>
      <x:c r="Q1964" s="62" t="n">
        <x:v>1.21507369773161</x:v>
      </x:c>
      <x:c r="R1964" s="64" t="n">
        <x:v>0.21507369773160986</x:v>
      </x:c>
    </x:row>
    <x:row r="1965" ht="18" customHeight="1">
      <x:c r="A1965" s="46" t="str">
        <x:v>LME_047</x:v>
      </x:c>
      <x:c r="B1965" s="46" t="str">
        <x:v>East China Sea</x:v>
      </x:c>
      <x:c r="C1965" s="46" t="str">
        <x:v>functional</x:v>
      </x:c>
      <x:c r="D1965" s="46" t="str">
        <x:v>Medium demersals (30 - 89 cm)</x:v>
      </x:c>
      <x:c r="E1965" s="66" t="n">
        <x:v>31</x:v>
      </x:c>
      <x:c r="F1965" s="66" t="n">
        <x:v>31</x:v>
      </x:c>
      <x:c r="G1965" s="60" t="n">
        <x:v>802517.451637214</x:v>
      </x:c>
      <x:c r="H1965" s="60" t="n">
        <x:v>802517.451637214</x:v>
      </x:c>
      <x:c r="I1965" s="62" t="n">
        <x:v>0</x:v>
      </x:c>
      <x:c r="J1965" s="64" t="n">
        <x:v>1</x:v>
      </x:c>
      <x:c r="K1965" s="62" t="n">
        <x:v>253.2729227921839</x:v>
      </x:c>
      <x:c r="L1965" s="60" t="n">
        <x:v>203255940.56789228</x:v>
      </x:c>
      <x:c r="M1965" s="62" t="n">
        <x:v>3.2791069818779723</x:v>
      </x:c>
      <x:c r="N1965" s="62" t="n">
        <x:v>190.15466394926682</x:v>
      </x:c>
      <x:c r="O1965" s="60" t="n">
        <x:v>152602436.3294964</x:v>
      </x:c>
      <x:c r="P1965" s="60" t="n">
        <x:v>50653504.23839587</x:v>
      </x:c>
      <x:c r="Q1965" s="62" t="n">
        <x:v>1.331931163464689</x:v>
      </x:c>
      <x:c r="R1965" s="64" t="n">
        <x:v>0.331931163464689</x:v>
      </x:c>
    </x:row>
    <x:row r="1966" ht="18" customHeight="1">
      <x:c r="A1966" s="46" t="str">
        <x:v>LME_047</x:v>
      </x:c>
      <x:c r="B1966" s="46" t="str">
        <x:v>East China Sea</x:v>
      </x:c>
      <x:c r="C1966" s="46" t="str">
        <x:v>functional</x:v>
      </x:c>
      <x:c r="D1966" s="46" t="str">
        <x:v>Medium pelagics (30 - 89 cm)</x:v>
      </x:c>
      <x:c r="E1966" s="66" t="n">
        <x:v>23</x:v>
      </x:c>
      <x:c r="F1966" s="66" t="n">
        <x:v>23</x:v>
      </x:c>
      <x:c r="G1966" s="60" t="n">
        <x:v>1256219.369034917</x:v>
      </x:c>
      <x:c r="H1966" s="60" t="n">
        <x:v>1256219.369034917</x:v>
      </x:c>
      <x:c r="I1966" s="62" t="n">
        <x:v>0</x:v>
      </x:c>
      <x:c r="J1966" s="64" t="n">
        <x:v>1</x:v>
      </x:c>
      <x:c r="K1966" s="62" t="n">
        <x:v>276.60974895499373</x:v>
      </x:c>
      <x:c r="L1966" s="60" t="n">
        <x:v>347482524.3011491</x:v>
      </x:c>
      <x:c r="M1966" s="62" t="n">
        <x:v>3.292741658825281</x:v>
      </x:c>
      <x:c r="N1966" s="62" t="n">
        <x:v>196.2192714290926</x:v>
      </x:c>
      <x:c r="O1966" s="60" t="n">
        <x:v>246494449.34714586</x:v>
      </x:c>
      <x:c r="P1966" s="60" t="n">
        <x:v>100988074.95400321</x:v>
      </x:c>
      <x:c r="Q1966" s="62" t="n">
        <x:v>1.4096971563516976</x:v>
      </x:c>
      <x:c r="R1966" s="64" t="n">
        <x:v>0.40969715635169757</x:v>
      </x:c>
    </x:row>
    <x:row r="1967" ht="18" customHeight="1">
      <x:c r="A1967" s="46" t="str">
        <x:v>LME_047</x:v>
      </x:c>
      <x:c r="B1967" s="46" t="str">
        <x:v>East China Sea</x:v>
      </x:c>
      <x:c r="C1967" s="46" t="str">
        <x:v>functional</x:v>
      </x:c>
      <x:c r="D1967" s="46" t="str">
        <x:v>Medium reef assoc. fish (30 - 89 cm)</x:v>
      </x:c>
      <x:c r="E1967" s="66" t="n">
        <x:v>24</x:v>
      </x:c>
      <x:c r="F1967" s="66" t="n">
        <x:v>24</x:v>
      </x:c>
      <x:c r="G1967" s="60" t="n">
        <x:v>142021.1774306962</x:v>
      </x:c>
      <x:c r="H1967" s="60" t="n">
        <x:v>142021.1774306962</x:v>
      </x:c>
      <x:c r="I1967" s="62" t="n">
        <x:v>0</x:v>
      </x:c>
      <x:c r="J1967" s="64" t="n">
        <x:v>1</x:v>
      </x:c>
      <x:c r="K1967" s="62" t="n">
        <x:v>325.97577230303347</x:v>
      </x:c>
      <x:c r="L1967" s="60" t="n">
        <x:v>46295462.996357344</x:v>
      </x:c>
      <x:c r="M1967" s="62" t="n">
        <x:v>3.3429902839988848</x:v>
      </x:c>
      <x:c r="N1967" s="62" t="n">
        <x:v>220.2877179911613</x:v>
      </x:c>
      <x:c r="O1967" s="60" t="n">
        <x:v>31285521.082625885</x:v>
      </x:c>
      <x:c r="P1967" s="60" t="n">
        <x:v>15009941.91373146</x:v>
      </x:c>
      <x:c r="Q1967" s="62" t="n">
        <x:v>1.4797727956676767</x:v>
      </x:c>
      <x:c r="R1967" s="64" t="n">
        <x:v>0.47977279566767667</x:v>
      </x:c>
    </x:row>
    <x:row r="1968" ht="18" customHeight="1">
      <x:c r="A1968" s="46" t="str">
        <x:v>LME_047</x:v>
      </x:c>
      <x:c r="B1968" s="46" t="str">
        <x:v>East China Sea</x:v>
      </x:c>
      <x:c r="C1968" s="46" t="str">
        <x:v>functional</x:v>
      </x:c>
      <x:c r="D1968" s="46" t="str">
        <x:v>Other demersal invertebrates</x:v>
      </x:c>
      <x:c r="E1968" s="66" t="n">
        <x:v>26</x:v>
      </x:c>
      <x:c r="F1968" s="66" t="n">
        <x:v>26</x:v>
      </x:c>
      <x:c r="G1968" s="60" t="n">
        <x:v>267441.1187589663</x:v>
      </x:c>
      <x:c r="H1968" s="60" t="n">
        <x:v>267441.1187589663</x:v>
      </x:c>
      <x:c r="I1968" s="62" t="n">
        <x:v>0</x:v>
      </x:c>
      <x:c r="J1968" s="64" t="n">
        <x:v>1</x:v>
      </x:c>
      <x:c r="K1968" s="62" t="n">
        <x:v>14.87381467148925</x:v>
      </x:c>
      <x:c r="L1968" s="60" t="n">
        <x:v>3977869.6359566115</x:v>
      </x:c>
      <x:c r="M1968" s="62" t="n">
        <x:v>2.087358067374111</x:v>
      </x:c>
      <x:c r="N1968" s="62" t="n">
        <x:v>12.228074256636802</x:v>
      </x:c>
      <x:c r="O1968" s="60" t="n">
        <x:v>3270289.859462661</x:v>
      </x:c>
      <x:c r="P1968" s="60" t="n">
        <x:v>707579.7764939503</x:v>
      </x:c>
      <x:c r="Q1968" s="62" t="n">
        <x:v>1.2163660736208295</x:v>
      </x:c>
      <x:c r="R1968" s="64" t="n">
        <x:v>0.2163660736208295</x:v>
      </x:c>
    </x:row>
    <x:row r="1969" ht="18" customHeight="1">
      <x:c r="A1969" s="46" t="str">
        <x:v>LME_047</x:v>
      </x:c>
      <x:c r="B1969" s="46" t="str">
        <x:v>East China Sea</x:v>
      </x:c>
      <x:c r="C1969" s="46" t="str">
        <x:v>functional</x:v>
      </x:c>
      <x:c r="D1969" s="46" t="str">
        <x:v>Shrimps</x:v>
      </x:c>
      <x:c r="E1969" s="66" t="n">
        <x:v>17</x:v>
      </x:c>
      <x:c r="F1969" s="66" t="n">
        <x:v>17</x:v>
      </x:c>
      <x:c r="G1969" s="60" t="n">
        <x:v>485220.74737202906</x:v>
      </x:c>
      <x:c r="H1969" s="60" t="n">
        <x:v>485220.74737202906</x:v>
      </x:c>
      <x:c r="I1969" s="62" t="n">
        <x:v>0</x:v>
      </x:c>
      <x:c r="J1969" s="64" t="n">
        <x:v>1</x:v>
      </x:c>
      <x:c r="K1969" s="62" t="n">
        <x:v>81.24599095767529</x:v>
      </x:c>
      <x:c r="L1969" s="60" t="n">
        <x:v>39422240.45346432</x:v>
      </x:c>
      <x:c r="M1969" s="62" t="n">
        <x:v>2.641442098876874</x:v>
      </x:c>
      <x:c r="N1969" s="62" t="n">
        <x:v>43.79677164307217</x:v>
      </x:c>
      <x:c r="O1969" s="60" t="n">
        <x:v>21251102.269133568</x:v>
      </x:c>
      <x:c r="P1969" s="60" t="n">
        <x:v>18171138.184330754</x:v>
      </x:c>
      <x:c r="Q1969" s="62" t="n">
        <x:v>1.855068031493296</x:v>
      </x:c>
      <x:c r="R1969" s="64" t="n">
        <x:v>0.8550680314932959</x:v>
      </x:c>
    </x:row>
    <x:row r="1970" ht="18" customHeight="1">
      <x:c r="A1970" s="46" t="str">
        <x:v>LME_047</x:v>
      </x:c>
      <x:c r="B1970" s="46" t="str">
        <x:v>East China Sea</x:v>
      </x:c>
      <x:c r="C1970" s="46" t="str">
        <x:v>functional</x:v>
      </x:c>
      <x:c r="D1970" s="46" t="str">
        <x:v>Small bathydemersals (&lt;30 cm)</x:v>
      </x:c>
      <x:c r="E1970" s="66" t="n">
        <x:v>1</x:v>
      </x:c>
      <x:c r="F1970" s="66" t="n">
        <x:v>1</x:v>
      </x:c>
      <x:c r="G1970" s="60" t="n">
        <x:v>821.8729190527</x:v>
      </x:c>
      <x:c r="H1970" s="60" t="n">
        <x:v>821.8729190527</x:v>
      </x:c>
      <x:c r="I1970" s="62" t="n">
        <x:v>0</x:v>
      </x:c>
      <x:c r="J1970" s="64" t="n">
        <x:v>1</x:v>
      </x:c>
      <x:c r="K1970" s="62" t="n">
        <x:v>323.5936569296281</x:v>
      </x:c>
      <x:c r="L1970" s="60" t="n">
        <x:v>265952.8634076914</x:v>
      </x:c>
      <x:c r="M1970" s="62" t="n">
        <x:v>3.51</x:v>
      </x:c>
      <x:c r="N1970" s="62" t="n">
        <x:v>323.5936569296281</x:v>
      </x:c>
      <x:c r="O1970" s="60" t="n">
        <x:v>265952.8634076914</x:v>
      </x:c>
      <x:c r="P1970" s="60" t="n">
        <x:v>0</x:v>
      </x:c>
      <x:c r="Q1970" s="62" t="n">
        <x:v>1</x:v>
      </x:c>
      <x:c r="R1970" s="64" t="n">
        <x:v>0</x:v>
      </x:c>
    </x:row>
    <x:row r="1971" ht="18" customHeight="1">
      <x:c r="A1971" s="46" t="str">
        <x:v>LME_047</x:v>
      </x:c>
      <x:c r="B1971" s="46" t="str">
        <x:v>East China Sea</x:v>
      </x:c>
      <x:c r="C1971" s="46" t="str">
        <x:v>functional</x:v>
      </x:c>
      <x:c r="D1971" s="46" t="str">
        <x:v>Small bathypelagics (&lt;30 cm)</x:v>
      </x:c>
      <x:c r="E1971" s="66" t="n">
        <x:v>1</x:v>
      </x:c>
      <x:c r="F1971" s="66" t="n">
        <x:v>1</x:v>
      </x:c>
      <x:c r="G1971" s="60" t="n">
        <x:v>1098.2277475731</x:v>
      </x:c>
      <x:c r="H1971" s="60" t="n">
        <x:v>1098.2277475731</x:v>
      </x:c>
      <x:c r="I1971" s="62" t="n">
        <x:v>0</x:v>
      </x:c>
      <x:c r="J1971" s="64" t="n">
        <x:v>1</x:v>
      </x:c>
      <x:c r="K1971" s="62" t="n">
        <x:v>125.89254117941675</x:v>
      </x:c>
      <x:c r="L1971" s="60" t="n">
        <x:v>138258.6819357246</x:v>
      </x:c>
      <x:c r="M1971" s="62" t="n">
        <x:v>3.1</x:v>
      </x:c>
      <x:c r="N1971" s="62" t="n">
        <x:v>125.89254117941675</x:v>
      </x:c>
      <x:c r="O1971" s="60" t="n">
        <x:v>138258.6819357246</x:v>
      </x:c>
      <x:c r="P1971" s="60" t="n">
        <x:v>0</x:v>
      </x:c>
      <x:c r="Q1971" s="62" t="n">
        <x:v>1</x:v>
      </x:c>
      <x:c r="R1971" s="64" t="n">
        <x:v>0</x:v>
      </x:c>
    </x:row>
    <x:row r="1972" ht="18" customHeight="1">
      <x:c r="A1972" s="46" t="str">
        <x:v>LME_047</x:v>
      </x:c>
      <x:c r="B1972" s="46" t="str">
        <x:v>East China Sea</x:v>
      </x:c>
      <x:c r="C1972" s="46" t="str">
        <x:v>functional</x:v>
      </x:c>
      <x:c r="D1972" s="46" t="str">
        <x:v>Small benthopelagics (&lt;30 cm)</x:v>
      </x:c>
      <x:c r="E1972" s="66" t="n">
        <x:v>3</x:v>
      </x:c>
      <x:c r="F1972" s="66" t="n">
        <x:v>3</x:v>
      </x:c>
      <x:c r="G1972" s="60" t="n">
        <x:v>18813.6042749636</x:v>
      </x:c>
      <x:c r="H1972" s="60" t="n">
        <x:v>18813.6042749636</x:v>
      </x:c>
      <x:c r="I1972" s="62" t="n">
        <x:v>0</x:v>
      </x:c>
      <x:c r="J1972" s="64" t="n">
        <x:v>1</x:v>
      </x:c>
      <x:c r="K1972" s="62" t="n">
        <x:v>701.0628056140368</x:v>
      </x:c>
      <x:c r="L1972" s="60" t="n">
        <x:v>13189518.196718218</x:v>
      </x:c>
      <x:c r="M1972" s="62" t="n">
        <x:v>3.80520223130672</x:v>
      </x:c>
      <x:c r="N1972" s="62" t="n">
        <x:v>638.5607658510509</x:v>
      </x:c>
      <x:c r="O1972" s="60" t="n">
        <x:v>12013629.55423936</x:v>
      </x:c>
      <x:c r="P1972" s="60" t="n">
        <x:v>1175888.6424788572</x:v>
      </x:c>
      <x:c r="Q1972" s="62" t="n">
        <x:v>1.0978795489880833</x:v>
      </x:c>
      <x:c r="R1972" s="64" t="n">
        <x:v>0.09787954898808333</x:v>
      </x:c>
    </x:row>
    <x:row r="1973" ht="18" customHeight="1">
      <x:c r="A1973" s="46" t="str">
        <x:v>LME_047</x:v>
      </x:c>
      <x:c r="B1973" s="46" t="str">
        <x:v>East China Sea</x:v>
      </x:c>
      <x:c r="C1973" s="46" t="str">
        <x:v>functional</x:v>
      </x:c>
      <x:c r="D1973" s="46" t="str">
        <x:v>Small demersals (&lt;30 cm)</x:v>
      </x:c>
      <x:c r="E1973" s="66" t="n">
        <x:v>4</x:v>
      </x:c>
      <x:c r="F1973" s="66" t="n">
        <x:v>4</x:v>
      </x:c>
      <x:c r="G1973" s="60" t="n">
        <x:v>147151.0558012176</x:v>
      </x:c>
      <x:c r="H1973" s="60" t="n">
        <x:v>147151.0558012176</x:v>
      </x:c>
      <x:c r="I1973" s="62" t="n">
        <x:v>0</x:v>
      </x:c>
      <x:c r="J1973" s="64" t="n">
        <x:v>1</x:v>
      </x:c>
      <x:c r="K1973" s="62" t="n">
        <x:v>462.75091896397805</x:v>
      </x:c>
      <x:c r="L1973" s="60" t="n">
        <x:v>68094286.29853305</x:v>
      </x:c>
      <x:c r="M1973" s="62" t="n">
        <x:v>3.6277016413314143</x:v>
      </x:c>
      <x:c r="N1973" s="62" t="n">
        <x:v>424.3279520894093</x:v>
      </x:c>
      <x:c r="O1973" s="60" t="n">
        <x:v>62440306.15592505</x:v>
      </x:c>
      <x:c r="P1973" s="60" t="n">
        <x:v>5653980.142608002</x:v>
      </x:c>
      <x:c r="Q1973" s="62" t="n">
        <x:v>1.0905501668824134</x:v>
      </x:c>
      <x:c r="R1973" s="64" t="n">
        <x:v>0.09055016688241346</x:v>
      </x:c>
    </x:row>
    <x:row r="1974" ht="18" customHeight="1">
      <x:c r="A1974" s="46" t="str">
        <x:v>LME_047</x:v>
      </x:c>
      <x:c r="B1974" s="46" t="str">
        <x:v>East China Sea</x:v>
      </x:c>
      <x:c r="C1974" s="46" t="str">
        <x:v>functional</x:v>
      </x:c>
      <x:c r="D1974" s="46" t="str">
        <x:v>Small pelagics (&lt;30 cm)</x:v>
      </x:c>
      <x:c r="E1974" s="66" t="n">
        <x:v>14</x:v>
      </x:c>
      <x:c r="F1974" s="66" t="n">
        <x:v>14</x:v>
      </x:c>
      <x:c r="G1974" s="60" t="n">
        <x:v>549933.5988958498</x:v>
      </x:c>
      <x:c r="H1974" s="60" t="n">
        <x:v>549933.5988958498</x:v>
      </x:c>
      <x:c r="I1974" s="62" t="n">
        <x:v>0</x:v>
      </x:c>
      <x:c r="J1974" s="64" t="n">
        <x:v>1</x:v>
      </x:c>
      <x:c r="K1974" s="62" t="n">
        <x:v>152.23643411784917</x:v>
      </x:c>
      <x:c r="L1974" s="60" t="n">
        <x:v>83719930.09749973</x:v>
      </x:c>
      <x:c r="M1974" s="62" t="n">
        <x:v>3.172402845796297</x:v>
      </x:c>
      <x:c r="N1974" s="62" t="n">
        <x:v>148.73146159234307</x:v>
      </x:c>
      <x:c r="O1974" s="60" t="n">
        <x:v>81792427.94251707</x:v>
      </x:c>
      <x:c r="P1974" s="60" t="n">
        <x:v>1927502.1549826562</x:v>
      </x:c>
      <x:c r="Q1974" s="62" t="n">
        <x:v>1.0235657774621545</x:v>
      </x:c>
      <x:c r="R1974" s="64" t="n">
        <x:v>0.023565777462154394</x:v>
      </x:c>
    </x:row>
    <x:row r="1975" ht="18" customHeight="1">
      <x:c r="A1975" s="46" t="str">
        <x:v>LME_047</x:v>
      </x:c>
      <x:c r="B1975" s="46" t="str">
        <x:v>East China Sea</x:v>
      </x:c>
      <x:c r="C1975" s="46" t="str">
        <x:v>functional</x:v>
      </x:c>
      <x:c r="D1975" s="46" t="str">
        <x:v>Small reef assoc. fish (&lt;30 cm)</x:v>
      </x:c>
      <x:c r="E1975" s="66" t="n">
        <x:v>1</x:v>
      </x:c>
      <x:c r="F1975" s="66" t="n">
        <x:v>1</x:v>
      </x:c>
      <x:c r="G1975" s="60" t="n">
        <x:v>460.141634313</x:v>
      </x:c>
      <x:c r="H1975" s="60" t="n">
        <x:v>460.141634313</x:v>
      </x:c>
      <x:c r="I1975" s="62" t="n">
        <x:v>0</x:v>
      </x:c>
      <x:c r="J1975" s="64" t="n">
        <x:v>1</x:v>
      </x:c>
      <x:c r="K1975" s="62" t="n">
        <x:v>128.82495516931337</x:v>
      </x:c>
      <x:c r="L1975" s="60" t="n">
        <x:v>59277.72541190681</x:v>
      </x:c>
      <x:c r="M1975" s="62" t="n">
        <x:v>3.1100000000000003</x:v>
      </x:c>
      <x:c r="N1975" s="62" t="n">
        <x:v>128.82495516931348</x:v>
      </x:c>
      <x:c r="O1975" s="60" t="n">
        <x:v>59277.72541190686</x:v>
      </x:c>
      <x:c r="P1975" s="60" t="n">
        <x:v>-5.093170329928398e-11</x:v>
      </x:c>
      <x:c r="Q1975" s="62" t="n">
        <x:v>0.9999999999999991</x:v>
      </x:c>
      <x:c r="R1975" s="64" t="n">
        <x:v>-8.592047509477068e-16</x:v>
      </x:c>
    </x:row>
    <x:row r="1976" ht="18" customHeight="1">
      <x:c r="A1976" s="46" t="str">
        <x:v>LME_047</x:v>
      </x:c>
      <x:c r="B1976" s="46" t="str">
        <x:v>East China Sea</x:v>
      </x:c>
      <x:c r="C1976" s="46" t="str">
        <x:v>functional</x:v>
      </x:c>
      <x:c r="D1976" s="46" t="str">
        <x:v>Small to medium flatfishes (&lt;90 cm)</x:v>
      </x:c>
      <x:c r="E1976" s="66" t="n">
        <x:v>5</x:v>
      </x:c>
      <x:c r="F1976" s="66" t="n">
        <x:v>5</x:v>
      </x:c>
      <x:c r="G1976" s="60" t="n">
        <x:v>17085.4187794957</x:v>
      </x:c>
      <x:c r="H1976" s="60" t="n">
        <x:v>17085.4187794957</x:v>
      </x:c>
      <x:c r="I1976" s="62" t="n">
        <x:v>0</x:v>
      </x:c>
      <x:c r="J1976" s="64" t="n">
        <x:v>1</x:v>
      </x:c>
      <x:c r="K1976" s="62" t="n">
        <x:v>430.9405455543866</x:v>
      </x:c>
      <x:c r="L1976" s="60" t="n">
        <x:v>7362799.689861039</x:v>
      </x:c>
      <x:c r="M1976" s="62" t="n">
        <x:v>3.573162613302082</x:v>
      </x:c>
      <x:c r="N1976" s="62" t="n">
        <x:v>374.2506930889017</x:v>
      </x:c>
      <x:c r="O1976" s="60" t="n">
        <x:v>6394229.819940402</x:v>
      </x:c>
      <x:c r="P1976" s="60" t="n">
        <x:v>968569.8699206365</x:v>
      </x:c>
      <x:c r="Q1976" s="62" t="n">
        <x:v>1.1514756111674547</x:v>
      </x:c>
      <x:c r="R1976" s="64" t="n">
        <x:v>0.15147561116745475</x:v>
      </x:c>
    </x:row>
    <x:row r="1977" ht="18" customHeight="1">
      <x:c r="A1977" s="46" t="str">
        <x:v>LME_048</x:v>
      </x:c>
      <x:c r="B1977" s="46" t="str">
        <x:v>Yellow Sea</x:v>
      </x:c>
      <x:c r="C1977" s="46" t="str">
        <x:v>functional</x:v>
      </x:c>
      <x:c r="D1977" s="46" t="str">
        <x:v>Cephalopods</x:v>
      </x:c>
      <x:c r="E1977" s="66" t="n">
        <x:v>11</x:v>
      </x:c>
      <x:c r="F1977" s="66" t="n">
        <x:v>11</x:v>
      </x:c>
      <x:c r="G1977" s="60" t="n">
        <x:v>165339.39911687688</x:v>
      </x:c>
      <x:c r="H1977" s="60" t="n">
        <x:v>165339.39911687688</x:v>
      </x:c>
      <x:c r="I1977" s="62" t="n">
        <x:v>0</x:v>
      </x:c>
      <x:c r="J1977" s="64" t="n">
        <x:v>1</x:v>
      </x:c>
      <x:c r="K1977" s="62" t="n">
        <x:v>940.4449164777087</x:v>
      </x:c>
      <x:c r="L1977" s="60" t="n">
        <x:v>155492597.39294583</x:v>
      </x:c>
      <x:c r="M1977" s="62" t="n">
        <x:v>3.899314363382791</x:v>
      </x:c>
      <x:c r="N1977" s="62" t="n">
        <x:v>793.0751889996837</x:v>
      </x:c>
      <x:c r="O1977" s="60" t="n">
        <x:v>131126575.20371129</x:v>
      </x:c>
      <x:c r="P1977" s="60" t="n">
        <x:v>24366022.18923454</x:v>
      </x:c>
      <x:c r="Q1977" s="62" t="n">
        <x:v>1.1858206252346695</x:v>
      </x:c>
      <x:c r="R1977" s="64" t="n">
        <x:v>0.1858206252346695</x:v>
      </x:c>
    </x:row>
    <x:row r="1978" ht="18" customHeight="1">
      <x:c r="A1978" s="46" t="str">
        <x:v>LME_048</x:v>
      </x:c>
      <x:c r="B1978" s="46" t="str">
        <x:v>Yellow Sea</x:v>
      </x:c>
      <x:c r="C1978" s="46" t="str">
        <x:v>functional</x:v>
      </x:c>
      <x:c r="D1978" s="46" t="str">
        <x:v>Jellyfish</x:v>
      </x:c>
      <x:c r="E1978" s="66" t="n">
        <x:v>3</x:v>
      </x:c>
      <x:c r="F1978" s="66" t="n">
        <x:v>3</x:v>
      </x:c>
      <x:c r="G1978" s="60" t="n">
        <x:v>237933.36303136402</x:v>
      </x:c>
      <x:c r="H1978" s="60" t="n">
        <x:v>237933.36303136402</x:v>
      </x:c>
      <x:c r="I1978" s="62" t="n">
        <x:v>0</x:v>
      </x:c>
      <x:c r="J1978" s="64" t="n">
        <x:v>1</x:v>
      </x:c>
      <x:c r="K1978" s="62" t="n">
        <x:v>344.41710209904926</x:v>
      </x:c>
      <x:c r="L1978" s="60" t="n">
        <x:v>81948319.38794345</x:v>
      </x:c>
      <x:c r="M1978" s="62" t="n">
        <x:v>3.5140963389689115</x:v>
      </x:c>
      <x:c r="N1978" s="62" t="n">
        <x:v>326.66028675394466</x:v>
      </x:c>
      <x:c r="O1978" s="60" t="n">
        <x:v>77723380.59615579</x:v>
      </x:c>
      <x:c r="P1978" s="60" t="n">
        <x:v>4224938.791787654</x:v>
      </x:c>
      <x:c r="Q1978" s="62" t="n">
        <x:v>1.054358659638598</x:v>
      </x:c>
      <x:c r="R1978" s="64" t="n">
        <x:v>0.05435865963859812</x:v>
      </x:c>
    </x:row>
    <x:row r="1979" ht="18" customHeight="1">
      <x:c r="A1979" s="46" t="str">
        <x:v>LME_048</x:v>
      </x:c>
      <x:c r="B1979" s="46" t="str">
        <x:v>Yellow Sea</x:v>
      </x:c>
      <x:c r="C1979" s="46" t="str">
        <x:v>functional</x:v>
      </x:c>
      <x:c r="D1979" s="46" t="str">
        <x:v>Large benthopelagics (&gt;=90 cm)</x:v>
      </x:c>
      <x:c r="E1979" s="66" t="n">
        <x:v>6</x:v>
      </x:c>
      <x:c r="F1979" s="66" t="n">
        <x:v>6</x:v>
      </x:c>
      <x:c r="G1979" s="60" t="n">
        <x:v>201774.4386818392</x:v>
      </x:c>
      <x:c r="H1979" s="60" t="n">
        <x:v>201774.4386818392</x:v>
      </x:c>
      <x:c r="I1979" s="62" t="n">
        <x:v>0</x:v>
      </x:c>
      <x:c r="J1979" s="64" t="n">
        <x:v>1</x:v>
      </x:c>
      <x:c r="K1979" s="62" t="n">
        <x:v>2388.5940076003403</x:v>
      </x:c>
      <x:c r="L1979" s="60" t="n">
        <x:v>481957215.12236345</x:v>
      </x:c>
      <x:c r="M1979" s="62" t="n">
        <x:v>4.2190678869408105</x:v>
      </x:c>
      <x:c r="N1979" s="62" t="n">
        <x:v>1656.028806139605</x:v>
      </x:c>
      <x:c r="O1979" s="60" t="n">
        <x:v>334144282.7997751</x:v>
      </x:c>
      <x:c r="P1979" s="60" t="n">
        <x:v>147812932.32258832</x:v>
      </x:c>
      <x:c r="Q1979" s="62" t="n">
        <x:v>1.4423625958345674</x:v>
      </x:c>
      <x:c r="R1979" s="64" t="n">
        <x:v>0.44236259583456744</x:v>
      </x:c>
    </x:row>
    <x:row r="1980" ht="18" customHeight="1">
      <x:c r="A1980" s="46" t="str">
        <x:v>LME_048</x:v>
      </x:c>
      <x:c r="B1980" s="46" t="str">
        <x:v>Yellow Sea</x:v>
      </x:c>
      <x:c r="C1980" s="46" t="str">
        <x:v>functional</x:v>
      </x:c>
      <x:c r="D1980" s="46" t="str">
        <x:v>Large demersals (&gt;=90 cm)</x:v>
      </x:c>
      <x:c r="E1980" s="66" t="n">
        <x:v>7</x:v>
      </x:c>
      <x:c r="F1980" s="66" t="n">
        <x:v>7</x:v>
      </x:c>
      <x:c r="G1980" s="60" t="n">
        <x:v>74153.8866803906</x:v>
      </x:c>
      <x:c r="H1980" s="60" t="n">
        <x:v>74153.8866803906</x:v>
      </x:c>
      <x:c r="I1980" s="62" t="n">
        <x:v>0</x:v>
      </x:c>
      <x:c r="J1980" s="64" t="n">
        <x:v>1</x:v>
      </x:c>
      <x:c r="K1980" s="62" t="n">
        <x:v>2053.6622651211264</x:v>
      </x:c>
      <x:c r="L1980" s="60" t="n">
        <x:v>152287038.8875863</x:v>
      </x:c>
      <x:c r="M1980" s="62" t="n">
        <x:v>4.2925399013307555</x:v>
      </x:c>
      <x:c r="N1980" s="62" t="n">
        <x:v>1961.2813622955912</x:v>
      </x:c>
      <x:c r="O1980" s="60" t="n">
        <x:v>145436635.88802937</x:v>
      </x:c>
      <x:c r="P1980" s="60" t="n">
        <x:v>6850402.999556929</x:v>
      </x:c>
      <x:c r="Q1980" s="62" t="n">
        <x:v>1.0471023202491496</x:v>
      </x:c>
      <x:c r="R1980" s="64" t="n">
        <x:v>0.04710232024914964</x:v>
      </x:c>
    </x:row>
    <x:row r="1981" ht="18" customHeight="1">
      <x:c r="A1981" s="46" t="str">
        <x:v>LME_048</x:v>
      </x:c>
      <x:c r="B1981" s="46" t="str">
        <x:v>Yellow Sea</x:v>
      </x:c>
      <x:c r="C1981" s="46" t="str">
        <x:v>functional</x:v>
      </x:c>
      <x:c r="D1981" s="46" t="str">
        <x:v>Large flatfishes (&gt;=90 cm)</x:v>
      </x:c>
      <x:c r="E1981" s="66" t="n">
        <x:v>1</x:v>
      </x:c>
      <x:c r="F1981" s="66" t="n">
        <x:v>1</x:v>
      </x:c>
      <x:c r="G1981" s="60" t="n">
        <x:v>3592.9103292158</x:v>
      </x:c>
      <x:c r="H1981" s="60" t="n">
        <x:v>3592.9103292158</x:v>
      </x:c>
      <x:c r="I1981" s="62" t="n">
        <x:v>0</x:v>
      </x:c>
      <x:c r="J1981" s="64" t="n">
        <x:v>1</x:v>
      </x:c>
      <x:c r="K1981" s="62" t="n">
        <x:v>1778.2794100389228</x:v>
      </x:c>
      <x:c r="L1981" s="60" t="n">
        <x:v>6389198.460560625</x:v>
      </x:c>
      <x:c r="M1981" s="62" t="n">
        <x:v>4.25</x:v>
      </x:c>
      <x:c r="N1981" s="62" t="n">
        <x:v>1778.2794100389228</x:v>
      </x:c>
      <x:c r="O1981" s="60" t="n">
        <x:v>6389198.460560625</x:v>
      </x:c>
      <x:c r="P1981" s="60" t="n">
        <x:v>0</x:v>
      </x:c>
      <x:c r="Q1981" s="62" t="n">
        <x:v>1</x:v>
      </x:c>
      <x:c r="R1981" s="64" t="n">
        <x:v>0</x:v>
      </x:c>
    </x:row>
    <x:row r="1982" ht="18" customHeight="1">
      <x:c r="A1982" s="46" t="str">
        <x:v>LME_048</x:v>
      </x:c>
      <x:c r="B1982" s="46" t="str">
        <x:v>Yellow Sea</x:v>
      </x:c>
      <x:c r="C1982" s="46" t="str">
        <x:v>functional</x:v>
      </x:c>
      <x:c r="D1982" s="46" t="str">
        <x:v>Large pelagics (&gt;=90 cm)</x:v>
      </x:c>
      <x:c r="E1982" s="66" t="n">
        <x:v>12</x:v>
      </x:c>
      <x:c r="F1982" s="66" t="n">
        <x:v>12</x:v>
      </x:c>
      <x:c r="G1982" s="60" t="n">
        <x:v>61768.275526439094</x:v>
      </x:c>
      <x:c r="H1982" s="60" t="n">
        <x:v>61768.275526439094</x:v>
      </x:c>
      <x:c r="I1982" s="62" t="n">
        <x:v>0</x:v>
      </x:c>
      <x:c r="J1982" s="64" t="n">
        <x:v>1</x:v>
      </x:c>
      <x:c r="K1982" s="62" t="n">
        <x:v>2810.73253129953</x:v>
      </x:c>
      <x:c r="L1982" s="60" t="n">
        <x:v>173614101.42443496</x:v>
      </x:c>
      <x:c r="M1982" s="62" t="n">
        <x:v>4.4429727329619055</x:v>
      </x:c>
      <x:c r="N1982" s="62" t="n">
        <x:v>2773.145988115143</x:v>
      </x:c>
      <x:c r="O1982" s="60" t="n">
        <x:v>171292445.46893537</x:v>
      </x:c>
      <x:c r="P1982" s="60" t="n">
        <x:v>2321655.9554995894</x:v>
      </x:c>
      <x:c r="Q1982" s="62" t="n">
        <x:v>1.0135537556787386</x:v>
      </x:c>
      <x:c r="R1982" s="64" t="n">
        <x:v>0.01355375567873851</x:v>
      </x:c>
    </x:row>
    <x:row r="1983" ht="18" customHeight="1">
      <x:c r="A1983" s="46" t="str">
        <x:v>LME_048</x:v>
      </x:c>
      <x:c r="B1983" s="46" t="str">
        <x:v>Yellow Sea</x:v>
      </x:c>
      <x:c r="C1983" s="46" t="str">
        <x:v>functional</x:v>
      </x:c>
      <x:c r="D1983" s="46" t="str">
        <x:v>Large rays (&gt;=90 cm)</x:v>
      </x:c>
      <x:c r="E1983" s="66" t="n">
        <x:v>1</x:v>
      </x:c>
      <x:c r="F1983" s="66" t="n">
        <x:v>1</x:v>
      </x:c>
      <x:c r="G1983" s="60" t="n">
        <x:v>0.0111412561</x:v>
      </x:c>
      <x:c r="H1983" s="60" t="n">
        <x:v>0.0111412561</x:v>
      </x:c>
      <x:c r="I1983" s="62" t="n">
        <x:v>0</x:v>
      </x:c>
      <x:c r="J1983" s="64" t="n">
        <x:v>1</x:v>
      </x:c>
      <x:c r="K1983" s="62" t="n">
        <x:v>691.8309709189363</x:v>
      </x:c>
      <x:c r="L1983" s="60" t="n">
        <x:v>7.707866024919522</x:v>
      </x:c>
      <x:c r="M1983" s="62" t="n">
        <x:v>3.8400000000000003</x:v>
      </x:c>
      <x:c r="N1983" s="62" t="n">
        <x:v>691.8309709189369</x:v>
      </x:c>
      <x:c r="O1983" s="60" t="n">
        <x:v>7.707866024919529</x:v>
      </x:c>
      <x:c r="P1983" s="60" t="n">
        <x:v>-7.105427357601002e-15</x:v>
      </x:c>
      <x:c r="Q1983" s="62" t="n">
        <x:v>0.9999999999999991</x:v>
      </x:c>
      <x:c r="R1983" s="64" t="n">
        <x:v>-9.218410562183044e-16</x:v>
      </x:c>
    </x:row>
    <x:row r="1984" ht="18" customHeight="1">
      <x:c r="A1984" s="46" t="str">
        <x:v>LME_048</x:v>
      </x:c>
      <x:c r="B1984" s="46" t="str">
        <x:v>Yellow Sea</x:v>
      </x:c>
      <x:c r="C1984" s="46" t="str">
        <x:v>functional</x:v>
      </x:c>
      <x:c r="D1984" s="46" t="str">
        <x:v>Large reef assoc. fish (&gt;=90 cm)</x:v>
      </x:c>
      <x:c r="E1984" s="66" t="n">
        <x:v>6</x:v>
      </x:c>
      <x:c r="F1984" s="66" t="n">
        <x:v>6</x:v>
      </x:c>
      <x:c r="G1984" s="60" t="n">
        <x:v>8316.522449336002</x:v>
      </x:c>
      <x:c r="H1984" s="60" t="n">
        <x:v>8316.522449336002</x:v>
      </x:c>
      <x:c r="I1984" s="62" t="n">
        <x:v>0</x:v>
      </x:c>
      <x:c r="J1984" s="64" t="n">
        <x:v>1</x:v>
      </x:c>
      <x:c r="K1984" s="62" t="n">
        <x:v>525.7375616951614</x:v>
      </x:c>
      <x:c r="L1984" s="60" t="n">
        <x:v>4372308.234296981</x:v>
      </x:c>
      <x:c r="M1984" s="62" t="n">
        <x:v>3.677840289108083</x:v>
      </x:c>
      <x:c r="N1984" s="62" t="n">
        <x:v>476.2558125134754</x:v>
      </x:c>
      <x:c r="O1984" s="60" t="n">
        <x:v>3960792.1563950763</x:v>
      </x:c>
      <x:c r="P1984" s="60" t="n">
        <x:v>411516.07790190494</x:v>
      </x:c>
      <x:c r="Q1984" s="62" t="n">
        <x:v>1.1038974179035053</x:v>
      </x:c>
      <x:c r="R1984" s="64" t="n">
        <x:v>0.10389741790350525</x:v>
      </x:c>
    </x:row>
    <x:row r="1985" ht="18" customHeight="1">
      <x:c r="A1985" s="46" t="str">
        <x:v>LME_048</x:v>
      </x:c>
      <x:c r="B1985" s="46" t="str">
        <x:v>Yellow Sea</x:v>
      </x:c>
      <x:c r="C1985" s="46" t="str">
        <x:v>functional</x:v>
      </x:c>
      <x:c r="D1985" s="46" t="str">
        <x:v>Large sharks (&gt;=90 cm)</x:v>
      </x:c>
      <x:c r="E1985" s="66" t="n">
        <x:v>4</x:v>
      </x:c>
      <x:c r="F1985" s="66" t="n">
        <x:v>4</x:v>
      </x:c>
      <x:c r="G1985" s="60" t="n">
        <x:v>58.2490803358</x:v>
      </x:c>
      <x:c r="H1985" s="60" t="n">
        <x:v>58.2490803358</x:v>
      </x:c>
      <x:c r="I1985" s="62" t="n">
        <x:v>0</x:v>
      </x:c>
      <x:c r="J1985" s="64" t="n">
        <x:v>1</x:v>
      </x:c>
      <x:c r="K1985" s="62" t="n">
        <x:v>1127.1605378351178</x:v>
      </x:c>
      <x:c r="L1985" s="60" t="n">
        <x:v>65656.06471970132</x:v>
      </x:c>
      <x:c r="M1985" s="62" t="n">
        <x:v>4.051135042600309</x:v>
      </x:c>
      <x:c r="N1985" s="62" t="n">
        <x:v>1124.9547209715129</x:v>
      </x:c>
      <x:c r="O1985" s="60" t="n">
        <x:v>65527.577916007125</x:v>
      </x:c>
      <x:c r="P1985" s="60" t="n">
        <x:v>128.48680369419162</x:v>
      </x:c>
      <x:c r="Q1985" s="62" t="n">
        <x:v>1.0019608050195123</x:v>
      </x:c>
      <x:c r="R1985" s="64" t="n">
        <x:v>0.001960805019512323</x:v>
      </x:c>
    </x:row>
    <x:row r="1986" ht="18" customHeight="1">
      <x:c r="A1986" s="46" t="str">
        <x:v>LME_048</x:v>
      </x:c>
      <x:c r="B1986" s="46" t="str">
        <x:v>Yellow Sea</x:v>
      </x:c>
      <x:c r="C1986" s="46" t="str">
        <x:v>functional</x:v>
      </x:c>
      <x:c r="D1986" s="46" t="str">
        <x:v>Lobsters, crabs</x:v>
      </x:c>
      <x:c r="E1986" s="66" t="n">
        <x:v>12</x:v>
      </x:c>
      <x:c r="F1986" s="66" t="n">
        <x:v>12</x:v>
      </x:c>
      <x:c r="G1986" s="60" t="n">
        <x:v>245206.4949684215</x:v>
      </x:c>
      <x:c r="H1986" s="60" t="n">
        <x:v>245206.4949684215</x:v>
      </x:c>
      <x:c r="I1986" s="62" t="n">
        <x:v>0</x:v>
      </x:c>
      <x:c r="J1986" s="64" t="n">
        <x:v>1</x:v>
      </x:c>
      <x:c r="K1986" s="62" t="n">
        <x:v>276.39304731903275</x:v>
      </x:c>
      <x:c r="L1986" s="60" t="n">
        <x:v>67773370.36674109</x:v>
      </x:c>
      <x:c r="M1986" s="62" t="n">
        <x:v>3.1294270450649737</x:v>
      </x:c>
      <x:c r="N1986" s="62" t="n">
        <x:v>134.7184399636856</x:v>
      </x:c>
      <x:c r="O1986" s="60" t="n">
        <x:v>33033836.471109066</x:v>
      </x:c>
      <x:c r="P1986" s="60" t="n">
        <x:v>34739533.89563203</x:v>
      </x:c>
      <x:c r="Q1986" s="62" t="n">
        <x:v>2.0516348570658676</x:v>
      </x:c>
      <x:c r="R1986" s="64" t="n">
        <x:v>1.0516348570658676</x:v>
      </x:c>
    </x:row>
    <x:row r="1987" ht="18" customHeight="1">
      <x:c r="A1987" s="46" t="str">
        <x:v>LME_048</x:v>
      </x:c>
      <x:c r="B1987" s="46" t="str">
        <x:v>Yellow Sea</x:v>
      </x:c>
      <x:c r="C1987" s="46" t="str">
        <x:v>functional</x:v>
      </x:c>
      <x:c r="D1987" s="46" t="str">
        <x:v>Medium benthopelagics (30 - 89 cm)</x:v>
      </x:c>
      <x:c r="E1987" s="66" t="n">
        <x:v>7</x:v>
      </x:c>
      <x:c r="F1987" s="66" t="n">
        <x:v>7</x:v>
      </x:c>
      <x:c r="G1987" s="60" t="n">
        <x:v>177015.58747701978</x:v>
      </x:c>
      <x:c r="H1987" s="60" t="n">
        <x:v>177015.58747701978</x:v>
      </x:c>
      <x:c r="I1987" s="62" t="n">
        <x:v>0</x:v>
      </x:c>
      <x:c r="J1987" s="64" t="n">
        <x:v>1</x:v>
      </x:c>
      <x:c r="K1987" s="62" t="n">
        <x:v>324.36744329296937</x:v>
      </x:c>
      <x:c r="L1987" s="60" t="n">
        <x:v>57418093.53292387</x:v>
      </x:c>
      <x:c r="M1987" s="62" t="n">
        <x:v>3.491401557708791</x:v>
      </x:c>
      <x:c r="N1987" s="62" t="n">
        <x:v>310.0284561945731</x:v>
      </x:c>
      <x:c r="O1987" s="60" t="n">
        <x:v>54879869.30787585</x:v>
      </x:c>
      <x:c r="P1987" s="60" t="n">
        <x:v>2538224.2250480205</x:v>
      </x:c>
      <x:c r="Q1987" s="62" t="n">
        <x:v>1.0462505515603289</x:v>
      </x:c>
      <x:c r="R1987" s="64" t="n">
        <x:v>0.04625055156032885</x:v>
      </x:c>
    </x:row>
    <x:row r="1988" ht="18" customHeight="1">
      <x:c r="A1988" s="46" t="str">
        <x:v>LME_048</x:v>
      </x:c>
      <x:c r="B1988" s="46" t="str">
        <x:v>Yellow Sea</x:v>
      </x:c>
      <x:c r="C1988" s="46" t="str">
        <x:v>functional</x:v>
      </x:c>
      <x:c r="D1988" s="46" t="str">
        <x:v>Medium demersals (30 - 89 cm)</x:v>
      </x:c>
      <x:c r="E1988" s="66" t="n">
        <x:v>20</x:v>
      </x:c>
      <x:c r="F1988" s="66" t="n">
        <x:v>20</x:v>
      </x:c>
      <x:c r="G1988" s="60" t="n">
        <x:v>363425.6133832902</x:v>
      </x:c>
      <x:c r="H1988" s="60" t="n">
        <x:v>363425.6133832902</x:v>
      </x:c>
      <x:c r="I1988" s="62" t="n">
        <x:v>0</x:v>
      </x:c>
      <x:c r="J1988" s="64" t="n">
        <x:v>1</x:v>
      </x:c>
      <x:c r="K1988" s="62" t="n">
        <x:v>264.4705482794308</x:v>
      </x:c>
      <x:c r="L1988" s="60" t="n">
        <x:v>96115371.23026718</x:v>
      </x:c>
      <x:c r="M1988" s="62" t="n">
        <x:v>3.368763854696356</x:v>
      </x:c>
      <x:c r="N1988" s="62" t="n">
        <x:v>233.75658540952992</x:v>
      </x:c>
      <x:c r="O1988" s="60" t="n">
        <x:v>84953130.43484187</x:v>
      </x:c>
      <x:c r="P1988" s="60" t="n">
        <x:v>11162240.79542531</x:v>
      </x:c>
      <x:c r="Q1988" s="62" t="n">
        <x:v>1.1313929308818893</x:v>
      </x:c>
      <x:c r="R1988" s="64" t="n">
        <x:v>0.13139293088188939</x:v>
      </x:c>
    </x:row>
    <x:row r="1989" ht="18" customHeight="1">
      <x:c r="A1989" s="46" t="str">
        <x:v>LME_048</x:v>
      </x:c>
      <x:c r="B1989" s="46" t="str">
        <x:v>Yellow Sea</x:v>
      </x:c>
      <x:c r="C1989" s="46" t="str">
        <x:v>functional</x:v>
      </x:c>
      <x:c r="D1989" s="46" t="str">
        <x:v>Medium pelagics (30 - 89 cm)</x:v>
      </x:c>
      <x:c r="E1989" s="66" t="n">
        <x:v>15</x:v>
      </x:c>
      <x:c r="F1989" s="66" t="n">
        <x:v>15</x:v>
      </x:c>
      <x:c r="G1989" s="60" t="n">
        <x:v>462894.2454829762</x:v>
      </x:c>
      <x:c r="H1989" s="60" t="n">
        <x:v>462894.2454829762</x:v>
      </x:c>
      <x:c r="I1989" s="62" t="n">
        <x:v>0</x:v>
      </x:c>
      <x:c r="J1989" s="64" t="n">
        <x:v>1</x:v>
      </x:c>
      <x:c r="K1989" s="62" t="n">
        <x:v>391.6723672285779</x:v>
      </x:c>
      <x:c r="L1989" s="60" t="n">
        <x:v>181302884.90480375</x:v>
      </x:c>
      <x:c r="M1989" s="62" t="n">
        <x:v>3.5247666075318325</x:v>
      </x:c>
      <x:c r="N1989" s="62" t="n">
        <x:v>334.7854750762171</x:v>
      </x:c>
      <x:c r="O1989" s="60" t="n">
        <x:v>154970269.88406524</x:v>
      </x:c>
      <x:c r="P1989" s="60" t="n">
        <x:v>26332615.020738512</x:v>
      </x:c>
      <x:c r="Q1989" s="62" t="n">
        <x:v>1.1699204308054583</x:v>
      </x:c>
      <x:c r="R1989" s="64" t="n">
        <x:v>0.16992043080545835</x:v>
      </x:c>
    </x:row>
    <x:row r="1990" ht="18" customHeight="1">
      <x:c r="A1990" s="46" t="str">
        <x:v>LME_048</x:v>
      </x:c>
      <x:c r="B1990" s="46" t="str">
        <x:v>Yellow Sea</x:v>
      </x:c>
      <x:c r="C1990" s="46" t="str">
        <x:v>functional</x:v>
      </x:c>
      <x:c r="D1990" s="46" t="str">
        <x:v>Medium reef assoc. fish (30 - 89 cm)</x:v>
      </x:c>
      <x:c r="E1990" s="66" t="n">
        <x:v>13</x:v>
      </x:c>
      <x:c r="F1990" s="66" t="n">
        <x:v>13</x:v>
      </x:c>
      <x:c r="G1990" s="60" t="n">
        <x:v>54092.5482146484</x:v>
      </x:c>
      <x:c r="H1990" s="60" t="n">
        <x:v>54092.5482146484</x:v>
      </x:c>
      <x:c r="I1990" s="62" t="n">
        <x:v>0</x:v>
      </x:c>
      <x:c r="J1990" s="64" t="n">
        <x:v>1</x:v>
      </x:c>
      <x:c r="K1990" s="62" t="n">
        <x:v>376.7383952405961</x:v>
      </x:c>
      <x:c r="L1990" s="60" t="n">
        <x:v>20378739.80886121</x:v>
      </x:c>
      <x:c r="M1990" s="62" t="n">
        <x:v>3.334360275418728</x:v>
      </x:c>
      <x:c r="N1990" s="62" t="n">
        <x:v>215.95351406415307</x:v>
      </x:c>
      <x:c r="O1990" s="60" t="n">
        <x:v>11681475.871637952</x:v>
      </x:c>
      <x:c r="P1990" s="60" t="n">
        <x:v>8697263.93722326</x:v>
      </x:c>
      <x:c r="Q1990" s="62" t="n">
        <x:v>1.7445346831850064</x:v>
      </x:c>
      <x:c r="R1990" s="64" t="n">
        <x:v>0.7445346831850065</x:v>
      </x:c>
    </x:row>
    <x:row r="1991" ht="18" customHeight="1">
      <x:c r="A1991" s="46" t="str">
        <x:v>LME_048</x:v>
      </x:c>
      <x:c r="B1991" s="46" t="str">
        <x:v>Yellow Sea</x:v>
      </x:c>
      <x:c r="C1991" s="46" t="str">
        <x:v>functional</x:v>
      </x:c>
      <x:c r="D1991" s="46" t="str">
        <x:v>Other demersal invertebrates</x:v>
      </x:c>
      <x:c r="E1991" s="66" t="n">
        <x:v>24</x:v>
      </x:c>
      <x:c r="F1991" s="66" t="n">
        <x:v>24</x:v>
      </x:c>
      <x:c r="G1991" s="60" t="n">
        <x:v>79159.5984173224</x:v>
      </x:c>
      <x:c r="H1991" s="60" t="n">
        <x:v>79159.5984173224</x:v>
      </x:c>
      <x:c r="I1991" s="62" t="n">
        <x:v>0</x:v>
      </x:c>
      <x:c r="J1991" s="64" t="n">
        <x:v>1</x:v>
      </x:c>
      <x:c r="K1991" s="62" t="n">
        <x:v>21.82522650013309</x:v>
      </x:c>
      <x:c r="L1991" s="60" t="n">
        <x:v>1727676.1651176382</x:v>
      </x:c>
      <x:c r="M1991" s="62" t="n">
        <x:v>2.2132504548033594</x:v>
      </x:c>
      <x:c r="N1991" s="62" t="n">
        <x:v>16.339939899410847</x:v>
      </x:c>
      <x:c r="O1991" s="60" t="n">
        <x:v>1293463.080600546</x:v>
      </x:c>
      <x:c r="P1991" s="60" t="n">
        <x:v>434213.0845170922</x:v>
      </x:c>
      <x:c r="Q1991" s="62" t="n">
        <x:v>1.3356980891294479</x:v>
      </x:c>
      <x:c r="R1991" s="64" t="n">
        <x:v>0.3356980891294478</x:v>
      </x:c>
    </x:row>
    <x:row r="1992" ht="18" customHeight="1">
      <x:c r="A1992" s="46" t="str">
        <x:v>LME_048</x:v>
      </x:c>
      <x:c r="B1992" s="46" t="str">
        <x:v>Yellow Sea</x:v>
      </x:c>
      <x:c r="C1992" s="46" t="str">
        <x:v>functional</x:v>
      </x:c>
      <x:c r="D1992" s="46" t="str">
        <x:v>Shrimps</x:v>
      </x:c>
      <x:c r="E1992" s="66" t="n">
        <x:v>13</x:v>
      </x:c>
      <x:c r="F1992" s="66" t="n">
        <x:v>13</x:v>
      </x:c>
      <x:c r="G1992" s="60" t="n">
        <x:v>238928.71941462738</x:v>
      </x:c>
      <x:c r="H1992" s="60" t="n">
        <x:v>238928.71941462738</x:v>
      </x:c>
      <x:c r="I1992" s="62" t="n">
        <x:v>0</x:v>
      </x:c>
      <x:c r="J1992" s="64" t="n">
        <x:v>1</x:v>
      </x:c>
      <x:c r="K1992" s="62" t="n">
        <x:v>94.1750225214905</x:v>
      </x:c>
      <x:c r="L1992" s="60" t="n">
        <x:v>22501117.53190342</x:v>
      </x:c>
      <x:c r="M1992" s="62" t="n">
        <x:v>2.794904990923026</x:v>
      </x:c>
      <x:c r="N1992" s="62" t="n">
        <x:v>62.3598398129805</x:v>
      </x:c>
      <x:c r="O1992" s="60" t="n">
        <x:v>14899556.66941673</x:v>
      </x:c>
      <x:c r="P1992" s="60" t="n">
        <x:v>7601560.86248669</x:v>
      </x:c>
      <x:c r="Q1992" s="62" t="n">
        <x:v>1.5101870499334975</x:v>
      </x:c>
      <x:c r="R1992" s="64" t="n">
        <x:v>0.5101870499334976</x:v>
      </x:c>
    </x:row>
    <x:row r="1993" ht="18" customHeight="1">
      <x:c r="A1993" s="46" t="str">
        <x:v>LME_048</x:v>
      </x:c>
      <x:c r="B1993" s="46" t="str">
        <x:v>Yellow Sea</x:v>
      </x:c>
      <x:c r="C1993" s="46" t="str">
        <x:v>functional</x:v>
      </x:c>
      <x:c r="D1993" s="46" t="str">
        <x:v>Small bathydemersals (&lt;30 cm)</x:v>
      </x:c>
      <x:c r="E1993" s="66" t="n">
        <x:v>1</x:v>
      </x:c>
      <x:c r="F1993" s="66" t="n">
        <x:v>1</x:v>
      </x:c>
      <x:c r="G1993" s="60" t="n">
        <x:v>9917.3769116907</x:v>
      </x:c>
      <x:c r="H1993" s="60" t="n">
        <x:v>9917.3769116907</x:v>
      </x:c>
      <x:c r="I1993" s="62" t="n">
        <x:v>0</x:v>
      </x:c>
      <x:c r="J1993" s="64" t="n">
        <x:v>1</x:v>
      </x:c>
      <x:c r="K1993" s="62" t="n">
        <x:v>323.5936569296281</x:v>
      </x:c>
      <x:c r="L1993" s="60" t="n">
        <x:v>3209200.262003455</x:v>
      </x:c>
      <x:c r="M1993" s="62" t="n">
        <x:v>3.5100000000000002</x:v>
      </x:c>
      <x:c r="N1993" s="62" t="n">
        <x:v>323.5936569296284</x:v>
      </x:c>
      <x:c r="O1993" s="60" t="n">
        <x:v>3209200.2620034586</x:v>
      </x:c>
      <x:c r="P1993" s="60" t="n">
        <x:v>-3.725290298461914e-9</x:v>
      </x:c>
      <x:c r="Q1993" s="62" t="n">
        <x:v>0.9999999999999989</x:v>
      </x:c>
      <x:c r="R1993" s="64" t="n">
        <x:v>-1.16081577786494e-15</x:v>
      </x:c>
    </x:row>
    <x:row r="1994" ht="18" customHeight="1">
      <x:c r="A1994" s="46" t="str">
        <x:v>LME_048</x:v>
      </x:c>
      <x:c r="B1994" s="46" t="str">
        <x:v>Yellow Sea</x:v>
      </x:c>
      <x:c r="C1994" s="46" t="str">
        <x:v>functional</x:v>
      </x:c>
      <x:c r="D1994" s="46" t="str">
        <x:v>Small benthopelagics (&lt;30 cm)</x:v>
      </x:c>
      <x:c r="E1994" s="66" t="n">
        <x:v>2</x:v>
      </x:c>
      <x:c r="F1994" s="66" t="n">
        <x:v>2</x:v>
      </x:c>
      <x:c r="G1994" s="60" t="n">
        <x:v>1639.4354315983999</x:v>
      </x:c>
      <x:c r="H1994" s="60" t="n">
        <x:v>1639.4354315983999</x:v>
      </x:c>
      <x:c r="I1994" s="62" t="n">
        <x:v>0</x:v>
      </x:c>
      <x:c r="J1994" s="64" t="n">
        <x:v>1</x:v>
      </x:c>
      <x:c r="K1994" s="62" t="n">
        <x:v>416.86988514910627</x:v>
      </x:c>
      <x:c r="L1994" s="60" t="n">
        <x:v>683431.2600798004</x:v>
      </x:c>
      <x:c r="M1994" s="62" t="n">
        <x:v>3.6200005166547675</x:v>
      </x:c>
      <x:c r="N1994" s="62" t="n">
        <x:v>416.86987939577654</x:v>
      </x:c>
      <x:c r="O1994" s="60" t="n">
        <x:v>683431.2506475878</x:v>
      </x:c>
      <x:c r="P1994" s="60" t="n">
        <x:v>0.009432212566025555</x:v>
      </x:c>
      <x:c r="Q1994" s="62" t="n">
        <x:v>1.0000000138012604</x:v>
      </x:c>
      <x:c r="R1994" s="64" t="n">
        <x:v>1.3801260268809814e-8</x:v>
      </x:c>
    </x:row>
    <x:row r="1995" ht="18" customHeight="1">
      <x:c r="A1995" s="46" t="str">
        <x:v>LME_048</x:v>
      </x:c>
      <x:c r="B1995" s="46" t="str">
        <x:v>Yellow Sea</x:v>
      </x:c>
      <x:c r="C1995" s="46" t="str">
        <x:v>functional</x:v>
      </x:c>
      <x:c r="D1995" s="46" t="str">
        <x:v>Small demersals (&lt;30 cm)</x:v>
      </x:c>
      <x:c r="E1995" s="66" t="n">
        <x:v>3</x:v>
      </x:c>
      <x:c r="F1995" s="66" t="n">
        <x:v>3</x:v>
      </x:c>
      <x:c r="G1995" s="60" t="n">
        <x:v>28937.592907115097</x:v>
      </x:c>
      <x:c r="H1995" s="60" t="n">
        <x:v>28937.592907115097</x:v>
      </x:c>
      <x:c r="I1995" s="62" t="n">
        <x:v>0</x:v>
      </x:c>
      <x:c r="J1995" s="64" t="n">
        <x:v>1</x:v>
      </x:c>
      <x:c r="K1995" s="62" t="n">
        <x:v>302.91154061490937</x:v>
      </x:c>
      <x:c r="L1995" s="60" t="n">
        <x:v>8765530.849181307</x:v>
      </x:c>
      <x:c r="M1995" s="62" t="n">
        <x:v>3.3529967932966183</x:v>
      </x:c>
      <x:c r="N1995" s="62" t="n">
        <x:v>225.42225675711165</x:v>
      </x:c>
      <x:c r="O1995" s="60" t="n">
        <x:v>6523177.498240473</x:v>
      </x:c>
      <x:c r="P1995" s="60" t="n">
        <x:v>2242353.3509408347</x:v>
      </x:c>
      <x:c r="Q1995" s="62" t="n">
        <x:v>1.343751699466353</x:v>
      </x:c>
      <x:c r="R1995" s="64" t="n">
        <x:v>0.3437516994663529</x:v>
      </x:c>
    </x:row>
    <x:row r="1996" ht="18" customHeight="1">
      <x:c r="A1996" s="46" t="str">
        <x:v>LME_048</x:v>
      </x:c>
      <x:c r="B1996" s="46" t="str">
        <x:v>Yellow Sea</x:v>
      </x:c>
      <x:c r="C1996" s="46" t="str">
        <x:v>functional</x:v>
      </x:c>
      <x:c r="D1996" s="46" t="str">
        <x:v>Small pelagics (&lt;30 cm)</x:v>
      </x:c>
      <x:c r="E1996" s="66" t="n">
        <x:v>9</x:v>
      </x:c>
      <x:c r="F1996" s="66" t="n">
        <x:v>9</x:v>
      </x:c>
      <x:c r="G1996" s="60" t="n">
        <x:v>200691.32088429795</x:v>
      </x:c>
      <x:c r="H1996" s="60" t="n">
        <x:v>200691.32088429795</x:v>
      </x:c>
      <x:c r="I1996" s="62" t="n">
        <x:v>0</x:v>
      </x:c>
      <x:c r="J1996" s="64" t="n">
        <x:v>1</x:v>
      </x:c>
      <x:c r="K1996" s="62" t="n">
        <x:v>139.7545415369999</x:v>
      </x:c>
      <x:c r="L1996" s="60" t="n">
        <x:v>28047523.540639993</x:v>
      </x:c>
      <x:c r="M1996" s="62" t="n">
        <x:v>3.144760758018654</x:v>
      </x:c>
      <x:c r="N1996" s="62" t="n">
        <x:v>139.55993484416675</x:v>
      </x:c>
      <x:c r="O1996" s="60" t="n">
        <x:v>28008467.666402385</x:v>
      </x:c>
      <x:c r="P1996" s="60" t="n">
        <x:v>39055.874237608165</x:v>
      </x:c>
      <x:c r="Q1996" s="62" t="n">
        <x:v>1.0013944309521958</x:v>
      </x:c>
      <x:c r="R1996" s="64" t="n">
        <x:v>0.0013944309521958503</x:v>
      </x:c>
    </x:row>
    <x:row r="1997" ht="18" customHeight="1">
      <x:c r="A1997" s="46" t="str">
        <x:v>LME_048</x:v>
      </x:c>
      <x:c r="B1997" s="46" t="str">
        <x:v>Yellow Sea</x:v>
      </x:c>
      <x:c r="C1997" s="46" t="str">
        <x:v>functional</x:v>
      </x:c>
      <x:c r="D1997" s="46" t="str">
        <x:v>Small reef assoc. fish (&lt;30 cm)</x:v>
      </x:c>
      <x:c r="E1997" s="66" t="n">
        <x:v>1</x:v>
      </x:c>
      <x:c r="F1997" s="66" t="n">
        <x:v>1</x:v>
      </x:c>
      <x:c r="G1997" s="60" t="n">
        <x:v>1064.356947855</x:v>
      </x:c>
      <x:c r="H1997" s="60" t="n">
        <x:v>1064.356947855</x:v>
      </x:c>
      <x:c r="I1997" s="62" t="n">
        <x:v>0</x:v>
      </x:c>
      <x:c r="J1997" s="64" t="n">
        <x:v>1</x:v>
      </x:c>
      <x:c r="K1997" s="62" t="n">
        <x:v>128.82495516931337</x:v>
      </x:c>
      <x:c r="L1997" s="60" t="n">
        <x:v>137115.73609156758</x:v>
      </x:c>
      <x:c r="M1997" s="62" t="n">
        <x:v>3.11</x:v>
      </x:c>
      <x:c r="N1997" s="62" t="n">
        <x:v>128.82495516931337</x:v>
      </x:c>
      <x:c r="O1997" s="60" t="n">
        <x:v>137115.73609156758</x:v>
      </x:c>
      <x:c r="P1997" s="60" t="n">
        <x:v>0</x:v>
      </x:c>
      <x:c r="Q1997" s="62" t="n">
        <x:v>1</x:v>
      </x:c>
      <x:c r="R1997" s="64" t="n">
        <x:v>0</x:v>
      </x:c>
    </x:row>
    <x:row r="1998" ht="18" customHeight="1">
      <x:c r="A1998" s="46" t="str">
        <x:v>LME_048</x:v>
      </x:c>
      <x:c r="B1998" s="46" t="str">
        <x:v>Yellow Sea</x:v>
      </x:c>
      <x:c r="C1998" s="46" t="str">
        <x:v>functional</x:v>
      </x:c>
      <x:c r="D1998" s="46" t="str">
        <x:v>Small to medium flatfishes (&lt;90 cm)</x:v>
      </x:c>
      <x:c r="E1998" s="66" t="n">
        <x:v>4</x:v>
      </x:c>
      <x:c r="F1998" s="66" t="n">
        <x:v>4</x:v>
      </x:c>
      <x:c r="G1998" s="60" t="n">
        <x:v>43068.0224213903</x:v>
      </x:c>
      <x:c r="H1998" s="60" t="n">
        <x:v>43068.0224213903</x:v>
      </x:c>
      <x:c r="I1998" s="62" t="n">
        <x:v>0</x:v>
      </x:c>
      <x:c r="J1998" s="64" t="n">
        <x:v>1</x:v>
      </x:c>
      <x:c r="K1998" s="62" t="n">
        <x:v>232.841239780641</x:v>
      </x:c>
      <x:c r="L1998" s="60" t="n">
        <x:v>10028011.73549696</x:v>
      </x:c>
      <x:c r="M1998" s="62" t="n">
        <x:v>3.2554894761259368</x:v>
      </x:c>
      <x:c r="N1998" s="62" t="n">
        <x:v>180.08994943085577</x:v>
      </x:c>
      <x:c r="O1998" s="60" t="n">
        <x:v>7756117.979955141</x:v>
      </x:c>
      <x:c r="P1998" s="60" t="n">
        <x:v>2271893.755541819</x:v>
      </x:c>
      <x:c r="Q1998" s="62" t="n">
        <x:v>1.29291634828316</x:v>
      </x:c>
      <x:c r="R1998" s="64" t="n">
        <x:v>0.29291634828315993</x:v>
      </x:c>
    </x:row>
    <x:row r="1999" ht="18" customHeight="1">
      <x:c r="A1999" s="46" t="str">
        <x:v>LME_049</x:v>
      </x:c>
      <x:c r="B1999" s="46" t="str">
        <x:v>Kuroshio Current</x:v>
      </x:c>
      <x:c r="C1999" s="46" t="str">
        <x:v>functional</x:v>
      </x:c>
      <x:c r="D1999" s="46" t="str">
        <x:v>Cephalopods</x:v>
      </x:c>
      <x:c r="E1999" s="66" t="n">
        <x:v>12</x:v>
      </x:c>
      <x:c r="F1999" s="66" t="n">
        <x:v>12</x:v>
      </x:c>
      <x:c r="G1999" s="60" t="n">
        <x:v>193499.0365377087</x:v>
      </x:c>
      <x:c r="H1999" s="60" t="n">
        <x:v>193499.0365377087</x:v>
      </x:c>
      <x:c r="I1999" s="62" t="n">
        <x:v>0</x:v>
      </x:c>
      <x:c r="J1999" s="64" t="n">
        <x:v>1</x:v>
      </x:c>
      <x:c r="K1999" s="62" t="n">
        <x:v>1606.1275189868645</x:v>
      </x:c>
      <x:c r="L1999" s="60" t="n">
        <x:v>310784127.4806587</x:v>
      </x:c>
      <x:c r="M1999" s="62" t="n">
        <x:v>4.169013672037414</x:v>
      </x:c>
      <x:c r="N1999" s="62" t="n">
        <x:v>1475.7529907681217</x:v>
      </x:c>
      <x:c r="O1999" s="60" t="n">
        <x:v>285556781.8812736</x:v>
      </x:c>
      <x:c r="P1999" s="60" t="n">
        <x:v>25227345.599385083</x:v>
      </x:c>
      <x:c r="Q1999" s="62" t="n">
        <x:v>1.088344410639401</x:v>
      </x:c>
      <x:c r="R1999" s="64" t="n">
        <x:v>0.08834441063940093</x:v>
      </x:c>
    </x:row>
    <x:row r="2000" ht="18" customHeight="1">
      <x:c r="A2000" s="46" t="str">
        <x:v>LME_049</x:v>
      </x:c>
      <x:c r="B2000" s="46" t="str">
        <x:v>Kuroshio Current</x:v>
      </x:c>
      <x:c r="C2000" s="46" t="str">
        <x:v>functional</x:v>
      </x:c>
      <x:c r="D2000" s="46" t="str">
        <x:v>Jellyfish</x:v>
      </x:c>
      <x:c r="E2000" s="66" t="n">
        <x:v>3</x:v>
      </x:c>
      <x:c r="F2000" s="66" t="n">
        <x:v>3</x:v>
      </x:c>
      <x:c r="G2000" s="60" t="n">
        <x:v>402034.4897938489</x:v>
      </x:c>
      <x:c r="H2000" s="60" t="n">
        <x:v>402034.4897938489</x:v>
      </x:c>
      <x:c r="I2000" s="62" t="n">
        <x:v>0</x:v>
      </x:c>
      <x:c r="J2000" s="64" t="n">
        <x:v>1</x:v>
      </x:c>
      <x:c r="K2000" s="62" t="n">
        <x:v>286.72820995656474</x:v>
      </x:c>
      <x:c r="L2000" s="60" t="n">
        <x:v>115274629.59939109</x:v>
      </x:c>
      <x:c r="M2000" s="62" t="n">
        <x:v>3.4559493332574682</x:v>
      </x:c>
      <x:c r="N2000" s="62" t="n">
        <x:v>285.725718348883</x:v>
      </x:c>
      <x:c r="O2000" s="60" t="n">
        <x:v>114871593.39737414</x:v>
      </x:c>
      <x:c r="P2000" s="60" t="n">
        <x:v>403036.20201694965</x:v>
      </x:c>
      <x:c r="Q2000" s="62" t="n">
        <x:v>1.0035085802337809</x:v>
      </x:c>
      <x:c r="R2000" s="64" t="n">
        <x:v>0.003508580233780954</x:v>
      </x:c>
    </x:row>
    <x:row r="2001" ht="18" customHeight="1">
      <x:c r="A2001" s="46" t="str">
        <x:v>LME_049</x:v>
      </x:c>
      <x:c r="B2001" s="46" t="str">
        <x:v>Kuroshio Current</x:v>
      </x:c>
      <x:c r="C2001" s="46" t="str">
        <x:v>functional</x:v>
      </x:c>
      <x:c r="D2001" s="46" t="str">
        <x:v>Large benthopelagics (&gt;=90 cm)</x:v>
      </x:c>
      <x:c r="E2001" s="66" t="n">
        <x:v>8</x:v>
      </x:c>
      <x:c r="F2001" s="66" t="n">
        <x:v>8</x:v>
      </x:c>
      <x:c r="G2001" s="60" t="n">
        <x:v>141999.09343673318</x:v>
      </x:c>
      <x:c r="H2001" s="60" t="n">
        <x:v>141999.09343673318</x:v>
      </x:c>
      <x:c r="I2001" s="62" t="n">
        <x:v>0</x:v>
      </x:c>
      <x:c r="J2001" s="64" t="n">
        <x:v>1</x:v>
      </x:c>
      <x:c r="K2001" s="62" t="n">
        <x:v>1873.5857682579756</x:v>
      </x:c>
      <x:c r="L2001" s="60" t="n">
        <x:v>266047480.5685978</x:v>
      </x:c>
      <x:c r="M2001" s="62" t="n">
        <x:v>4.140720993432021</x:v>
      </x:c>
      <x:c r="N2001" s="62" t="n">
        <x:v>1382.6778110722666</x:v>
      </x:c>
      <x:c r="O2001" s="60" t="n">
        <x:v>196338995.68734848</x:v>
      </x:c>
      <x:c r="P2001" s="60" t="n">
        <x:v>69708484.88124931</x:v>
      </x:c>
      <x:c r="Q2001" s="62" t="n">
        <x:v>1.35504146609904</x:v>
      </x:c>
      <x:c r="R2001" s="64" t="n">
        <x:v>0.3550414660990401</x:v>
      </x:c>
    </x:row>
    <x:row r="2002" ht="18" customHeight="1">
      <x:c r="A2002" s="46" t="str">
        <x:v>LME_049</x:v>
      </x:c>
      <x:c r="B2002" s="46" t="str">
        <x:v>Kuroshio Current</x:v>
      </x:c>
      <x:c r="C2002" s="46" t="str">
        <x:v>functional</x:v>
      </x:c>
      <x:c r="D2002" s="46" t="str">
        <x:v>Large demersals (&gt;=90 cm)</x:v>
      </x:c>
      <x:c r="E2002" s="66" t="n">
        <x:v>6</x:v>
      </x:c>
      <x:c r="F2002" s="66" t="n">
        <x:v>6</x:v>
      </x:c>
      <x:c r="G2002" s="60" t="n">
        <x:v>22270.2276797094</x:v>
      </x:c>
      <x:c r="H2002" s="60" t="n">
        <x:v>22270.2276797094</x:v>
      </x:c>
      <x:c r="I2002" s="62" t="n">
        <x:v>0</x:v>
      </x:c>
      <x:c r="J2002" s="64" t="n">
        <x:v>1</x:v>
      </x:c>
      <x:c r="K2002" s="62" t="n">
        <x:v>1240.2466748098332</x:v>
      </x:c>
      <x:c r="L2002" s="60" t="n">
        <x:v>27620575.827017486</x:v>
      </x:c>
      <x:c r="M2002" s="62" t="n">
        <x:v>3.973513034866265</x:v>
      </x:c>
      <x:c r="N2002" s="62" t="n">
        <x:v>940.8340677018672</x:v>
      </x:c>
      <x:c r="O2002" s="60" t="n">
        <x:v>20952588.89654771</x:v>
      </x:c>
      <x:c r="P2002" s="60" t="n">
        <x:v>6667986.930469777</x:v>
      </x:c>
      <x:c r="Q2002" s="62" t="n">
        <x:v>1.318241672348587</x:v>
      </x:c>
      <x:c r="R2002" s="64" t="n">
        <x:v>0.31824167234858697</x:v>
      </x:c>
    </x:row>
    <x:row r="2003" ht="18" customHeight="1">
      <x:c r="A2003" s="46" t="str">
        <x:v>LME_049</x:v>
      </x:c>
      <x:c r="B2003" s="46" t="str">
        <x:v>Kuroshio Current</x:v>
      </x:c>
      <x:c r="C2003" s="46" t="str">
        <x:v>functional</x:v>
      </x:c>
      <x:c r="D2003" s="46" t="str">
        <x:v>Large flatfishes (&gt;=90 cm)</x:v>
      </x:c>
      <x:c r="E2003" s="66" t="n">
        <x:v>1</x:v>
      </x:c>
      <x:c r="F2003" s="66" t="n">
        <x:v>1</x:v>
      </x:c>
      <x:c r="G2003" s="60" t="n">
        <x:v>2960.1217273264</x:v>
      </x:c>
      <x:c r="H2003" s="60" t="n">
        <x:v>2960.1217273264</x:v>
      </x:c>
      <x:c r="I2003" s="62" t="n">
        <x:v>0</x:v>
      </x:c>
      <x:c r="J2003" s="64" t="n">
        <x:v>1</x:v>
      </x:c>
      <x:c r="K2003" s="62" t="n">
        <x:v>1778.2794100389228</x:v>
      </x:c>
      <x:c r="L2003" s="60" t="n">
        <x:v>5263923.518913388</x:v>
      </x:c>
      <x:c r="M2003" s="62" t="n">
        <x:v>4.25</x:v>
      </x:c>
      <x:c r="N2003" s="62" t="n">
        <x:v>1778.2794100389228</x:v>
      </x:c>
      <x:c r="O2003" s="60" t="n">
        <x:v>5263923.518913388</x:v>
      </x:c>
      <x:c r="P2003" s="60" t="n">
        <x:v>0</x:v>
      </x:c>
      <x:c r="Q2003" s="62" t="n">
        <x:v>1</x:v>
      </x:c>
      <x:c r="R2003" s="64" t="n">
        <x:v>0</x:v>
      </x:c>
    </x:row>
    <x:row r="2004" ht="18" customHeight="1">
      <x:c r="A2004" s="46" t="str">
        <x:v>LME_049</x:v>
      </x:c>
      <x:c r="B2004" s="46" t="str">
        <x:v>Kuroshio Current</x:v>
      </x:c>
      <x:c r="C2004" s="46" t="str">
        <x:v>functional</x:v>
      </x:c>
      <x:c r="D2004" s="46" t="str">
        <x:v>Large pelagics (&gt;=90 cm)</x:v>
      </x:c>
      <x:c r="E2004" s="66" t="n">
        <x:v>22</x:v>
      </x:c>
      <x:c r="F2004" s="66" t="n">
        <x:v>22</x:v>
      </x:c>
      <x:c r="G2004" s="60" t="n">
        <x:v>177593.1778181953</x:v>
      </x:c>
      <x:c r="H2004" s="60" t="n">
        <x:v>177593.1778181953</x:v>
      </x:c>
      <x:c r="I2004" s="62" t="n">
        <x:v>0</x:v>
      </x:c>
      <x:c r="J2004" s="64" t="n">
        <x:v>1</x:v>
      </x:c>
      <x:c r="K2004" s="62" t="n">
        <x:v>2492.085344624987</x:v>
      </x:c>
      <x:c r="L2004" s="60" t="n">
        <x:v>442577355.7461039</x:v>
      </x:c>
      <x:c r="M2004" s="62" t="n">
        <x:v>4.3930577643741575</x:v>
      </x:c>
      <x:c r="N2004" s="62" t="n">
        <x:v>2472.052924450213</x:v>
      </x:c>
      <x:c r="O2004" s="60" t="n">
        <x:v>439019734.58787644</x:v>
      </x:c>
      <x:c r="P2004" s="60" t="n">
        <x:v>3557621.1582274437</x:v>
      </x:c>
      <x:c r="Q2004" s="62" t="n">
        <x:v>1.0081035563505296</x:v>
      </x:c>
      <x:c r="R2004" s="64" t="n">
        <x:v>0.008103556350529686</x:v>
      </x:c>
    </x:row>
    <x:row r="2005" ht="18" customHeight="1">
      <x:c r="A2005" s="46" t="str">
        <x:v>LME_049</x:v>
      </x:c>
      <x:c r="B2005" s="46" t="str">
        <x:v>Kuroshio Current</x:v>
      </x:c>
      <x:c r="C2005" s="46" t="str">
        <x:v>functional</x:v>
      </x:c>
      <x:c r="D2005" s="46" t="str">
        <x:v>Large rays (&gt;=90 cm)</x:v>
      </x:c>
      <x:c r="E2005" s="66" t="n">
        <x:v>2</x:v>
      </x:c>
      <x:c r="F2005" s="66" t="n">
        <x:v>2</x:v>
      </x:c>
      <x:c r="G2005" s="60" t="n">
        <x:v>259.5566788609</x:v>
      </x:c>
      <x:c r="H2005" s="60" t="n">
        <x:v>259.5566788609</x:v>
      </x:c>
      <x:c r="I2005" s="62" t="n">
        <x:v>0</x:v>
      </x:c>
      <x:c r="J2005" s="64" t="n">
        <x:v>1</x:v>
      </x:c>
      <x:c r="K2005" s="62" t="n">
        <x:v>527.3502336731277</x:v>
      </x:c>
      <x:c r="L2005" s="60" t="n">
        <x:v>136877.27524871659</x:v>
      </x:c>
      <x:c r="M2005" s="62" t="n">
        <x:v>3.721826885386256</x:v>
      </x:c>
      <x:c r="N2005" s="62" t="n">
        <x:v>527.0197436129564</x:v>
      </x:c>
      <x:c r="O2005" s="60" t="n">
        <x:v>136791.49434630197</x:v>
      </x:c>
      <x:c r="P2005" s="60" t="n">
        <x:v>85.78090241461177</x:v>
      </x:c>
      <x:c r="Q2005" s="62" t="n">
        <x:v>1.0006270923702132</x:v>
      </x:c>
      <x:c r="R2005" s="64" t="n">
        <x:v>0.000627092370213081</x:v>
      </x:c>
    </x:row>
    <x:row r="2006" ht="18" customHeight="1">
      <x:c r="A2006" s="46" t="str">
        <x:v>LME_049</x:v>
      </x:c>
      <x:c r="B2006" s="46" t="str">
        <x:v>Kuroshio Current</x:v>
      </x:c>
      <x:c r="C2006" s="46" t="str">
        <x:v>functional</x:v>
      </x:c>
      <x:c r="D2006" s="46" t="str">
        <x:v>Large reef assoc. fish (&gt;=90 cm)</x:v>
      </x:c>
      <x:c r="E2006" s="66" t="n">
        <x:v>7</x:v>
      </x:c>
      <x:c r="F2006" s="66" t="n">
        <x:v>7</x:v>
      </x:c>
      <x:c r="G2006" s="60" t="n">
        <x:v>3504.1007764472</x:v>
      </x:c>
      <x:c r="H2006" s="60" t="n">
        <x:v>3504.1007764472</x:v>
      </x:c>
      <x:c r="I2006" s="62" t="n">
        <x:v>0</x:v>
      </x:c>
      <x:c r="J2006" s="64" t="n">
        <x:v>1</x:v>
      </x:c>
      <x:c r="K2006" s="62" t="n">
        <x:v>469.06328835627204</x:v>
      </x:c>
      <x:c r="L2006" s="60" t="n">
        <x:v>1643645.0329320899</x:v>
      </x:c>
      <x:c r="M2006" s="62" t="n">
        <x:v>3.610979119762529</x:v>
      </x:c>
      <x:c r="N2006" s="62" t="n">
        <x:v>408.29975541138174</x:v>
      </x:c>
      <x:c r="O2006" s="60" t="n">
        <x:v>1430723.4899602246</x:v>
      </x:c>
      <x:c r="P2006" s="60" t="n">
        <x:v>212921.54297186527</x:v>
      </x:c>
      <x:c r="Q2006" s="62" t="n">
        <x:v>1.1488208898966108</x:v>
      </x:c>
      <x:c r="R2006" s="64" t="n">
        <x:v>0.14882088989661077</x:v>
      </x:c>
    </x:row>
    <x:row r="2007" ht="18" customHeight="1">
      <x:c r="A2007" s="46" t="str">
        <x:v>LME_049</x:v>
      </x:c>
      <x:c r="B2007" s="46" t="str">
        <x:v>Kuroshio Current</x:v>
      </x:c>
      <x:c r="C2007" s="46" t="str">
        <x:v>functional</x:v>
      </x:c>
      <x:c r="D2007" s="46" t="str">
        <x:v>Large sharks (&gt;=90 cm)</x:v>
      </x:c>
      <x:c r="E2007" s="66" t="n">
        <x:v>9</x:v>
      </x:c>
      <x:c r="F2007" s="66" t="n">
        <x:v>9</x:v>
      </x:c>
      <x:c r="G2007" s="60" t="n">
        <x:v>35890.3401638259</x:v>
      </x:c>
      <x:c r="H2007" s="60" t="n">
        <x:v>35890.3401638259</x:v>
      </x:c>
      <x:c r="I2007" s="62" t="n">
        <x:v>0</x:v>
      </x:c>
      <x:c r="J2007" s="64" t="n">
        <x:v>1</x:v>
      </x:c>
      <x:c r="K2007" s="62" t="n">
        <x:v>1101.9944200038065</x:v>
      </x:c>
      <x:c r="L2007" s="60" t="n">
        <x:v>39550954.59257464</x:v>
      </x:c>
      <x:c r="M2007" s="62" t="n">
        <x:v>4.037696429754866</x:v>
      </x:c>
      <x:c r="N2007" s="62" t="n">
        <x:v>1090.6776902433523</x:v>
      </x:c>
      <x:c r="O2007" s="60" t="n">
        <x:v>39144793.31192985</x:v>
      </x:c>
      <x:c r="P2007" s="60" t="n">
        <x:v>406161.28064478934</x:v>
      </x:c>
      <x:c r="Q2007" s="62" t="n">
        <x:v>1.010375869848341</x:v>
      </x:c>
      <x:c r="R2007" s="64" t="n">
        <x:v>0.010375869848340897</x:v>
      </x:c>
    </x:row>
    <x:row r="2008" ht="18" customHeight="1">
      <x:c r="A2008" s="46" t="str">
        <x:v>LME_049</x:v>
      </x:c>
      <x:c r="B2008" s="46" t="str">
        <x:v>Kuroshio Current</x:v>
      </x:c>
      <x:c r="C2008" s="46" t="str">
        <x:v>functional</x:v>
      </x:c>
      <x:c r="D2008" s="46" t="str">
        <x:v>Lobsters, crabs</x:v>
      </x:c>
      <x:c r="E2008" s="66" t="n">
        <x:v>13</x:v>
      </x:c>
      <x:c r="F2008" s="66" t="n">
        <x:v>13</x:v>
      </x:c>
      <x:c r="G2008" s="60" t="n">
        <x:v>86858.83969307132</x:v>
      </x:c>
      <x:c r="H2008" s="60" t="n">
        <x:v>86858.83969307132</x:v>
      </x:c>
      <x:c r="I2008" s="62" t="n">
        <x:v>0</x:v>
      </x:c>
      <x:c r="J2008" s="64" t="n">
        <x:v>1</x:v>
      </x:c>
      <x:c r="K2008" s="62" t="n">
        <x:v>379.2546141468097</x:v>
      </x:c>
      <x:c r="L2008" s="60" t="n">
        <x:v>32941615.73303536</x:v>
      </x:c>
      <x:c r="M2008" s="62" t="n">
        <x:v>3.4291014750203272</x:v>
      </x:c>
      <x:c r="N2008" s="62" t="n">
        <x:v>268.59719627718505</x:v>
      </x:c>
      <x:c r="O2008" s="60" t="n">
        <x:v>23330040.81344843</x:v>
      </x:c>
      <x:c r="P2008" s="60" t="n">
        <x:v>9611574.91958693</x:v>
      </x:c>
      <x:c r="Q2008" s="62" t="n">
        <x:v>1.4119827734740356</x:v>
      </x:c>
      <x:c r="R2008" s="64" t="n">
        <x:v>0.41198277347403567</x:v>
      </x:c>
    </x:row>
    <x:row r="2009" ht="18" customHeight="1">
      <x:c r="A2009" s="46" t="str">
        <x:v>LME_049</x:v>
      </x:c>
      <x:c r="B2009" s="46" t="str">
        <x:v>Kuroshio Current</x:v>
      </x:c>
      <x:c r="C2009" s="46" t="str">
        <x:v>functional</x:v>
      </x:c>
      <x:c r="D2009" s="46" t="str">
        <x:v>Medium bathydemersals (30 - 89 cm)</x:v>
      </x:c>
      <x:c r="E2009" s="66" t="n">
        <x:v>1</x:v>
      </x:c>
      <x:c r="F2009" s="66" t="n">
        <x:v>1</x:v>
      </x:c>
      <x:c r="G2009" s="60" t="n">
        <x:v>39.6946494197</x:v>
      </x:c>
      <x:c r="H2009" s="60" t="n">
        <x:v>39.6946494197</x:v>
      </x:c>
      <x:c r="I2009" s="62" t="n">
        <x:v>0</x:v>
      </x:c>
      <x:c r="J2009" s="64" t="n">
        <x:v>1</x:v>
      </x:c>
      <x:c r="K2009" s="62" t="n">
        <x:v>954.9925860214361</x:v>
      </x:c>
      <x:c r="L2009" s="60" t="n">
        <x:v>37908.0959005336</x:v>
      </x:c>
      <x:c r="M2009" s="62" t="n">
        <x:v>3.98</x:v>
      </x:c>
      <x:c r="N2009" s="62" t="n">
        <x:v>954.992586021436</x:v>
      </x:c>
      <x:c r="O2009" s="60" t="n">
        <x:v>37908.0959005336</x:v>
      </x:c>
      <x:c r="P2009" s="60" t="n">
        <x:v>0</x:v>
      </x:c>
      <x:c r="Q2009" s="62" t="n">
        <x:v>1</x:v>
      </x:c>
      <x:c r="R2009" s="64" t="n">
        <x:v>0</x:v>
      </x:c>
    </x:row>
    <x:row r="2010" ht="18" customHeight="1">
      <x:c r="A2010" s="46" t="str">
        <x:v>LME_049</x:v>
      </x:c>
      <x:c r="B2010" s="46" t="str">
        <x:v>Kuroshio Current</x:v>
      </x:c>
      <x:c r="C2010" s="46" t="str">
        <x:v>functional</x:v>
      </x:c>
      <x:c r="D2010" s="46" t="str">
        <x:v>Medium benthopelagics (30 - 89 cm)</x:v>
      </x:c>
      <x:c r="E2010" s="66" t="n">
        <x:v>14</x:v>
      </x:c>
      <x:c r="F2010" s="66" t="n">
        <x:v>14</x:v>
      </x:c>
      <x:c r="G2010" s="60" t="n">
        <x:v>110604.65128141131</x:v>
      </x:c>
      <x:c r="H2010" s="60" t="n">
        <x:v>110604.65128141131</x:v>
      </x:c>
      <x:c r="I2010" s="62" t="n">
        <x:v>0</x:v>
      </x:c>
      <x:c r="J2010" s="64" t="n">
        <x:v>1</x:v>
      </x:c>
      <x:c r="K2010" s="62" t="n">
        <x:v>360.71230712389513</x:v>
      </x:c>
      <x:c r="L2010" s="60" t="n">
        <x:v>39896458.94235176</x:v>
      </x:c>
      <x:c r="M2010" s="62" t="n">
        <x:v>3.52334922622204</x:v>
      </x:c>
      <x:c r="N2010" s="62" t="n">
        <x:v>333.6946364695229</x:v>
      </x:c>
      <x:c r="O2010" s="60" t="n">
        <x:v>36908178.901188895</x:v>
      </x:c>
      <x:c r="P2010" s="60" t="n">
        <x:v>2988280.0411628634</x:v>
      </x:c>
      <x:c r="Q2010" s="62" t="n">
        <x:v>1.0809652529636624</x:v>
      </x:c>
      <x:c r="R2010" s="64" t="n">
        <x:v>0.08096525296366232</x:v>
      </x:c>
    </x:row>
    <x:row r="2011" ht="18" customHeight="1">
      <x:c r="A2011" s="46" t="str">
        <x:v>LME_049</x:v>
      </x:c>
      <x:c r="B2011" s="46" t="str">
        <x:v>Kuroshio Current</x:v>
      </x:c>
      <x:c r="C2011" s="46" t="str">
        <x:v>functional</x:v>
      </x:c>
      <x:c r="D2011" s="46" t="str">
        <x:v>Medium demersals (30 - 89 cm)</x:v>
      </x:c>
      <x:c r="E2011" s="66" t="n">
        <x:v>28</x:v>
      </x:c>
      <x:c r="F2011" s="66" t="n">
        <x:v>28</x:v>
      </x:c>
      <x:c r="G2011" s="60" t="n">
        <x:v>479432.2504993962</x:v>
      </x:c>
      <x:c r="H2011" s="60" t="n">
        <x:v>479432.2504993962</x:v>
      </x:c>
      <x:c r="I2011" s="62" t="n">
        <x:v>0</x:v>
      </x:c>
      <x:c r="J2011" s="64" t="n">
        <x:v>1</x:v>
      </x:c>
      <x:c r="K2011" s="62" t="n">
        <x:v>233.99551722929468</x:v>
      </x:c>
      <x:c r="L2011" s="60" t="n">
        <x:v>112184997.43201098</x:v>
      </x:c>
      <x:c r="M2011" s="62" t="n">
        <x:v>3.33368105788603</x:v>
      </x:c>
      <x:c r="N2011" s="62" t="n">
        <x:v>215.61603620340853</x:v>
      </x:c>
      <x:c r="O2011" s="60" t="n">
        <x:v>103373281.48075943</x:v>
      </x:c>
      <x:c r="P2011" s="60" t="n">
        <x:v>8811715.951251552</x:v>
      </x:c>
      <x:c r="Q2011" s="62" t="n">
        <x:v>1.0852417164767247</x:v>
      </x:c>
      <x:c r="R2011" s="64" t="n">
        <x:v>0.08524171647672471</x:v>
      </x:c>
    </x:row>
    <x:row r="2012" ht="18" customHeight="1">
      <x:c r="A2012" s="46" t="str">
        <x:v>LME_049</x:v>
      </x:c>
      <x:c r="B2012" s="46" t="str">
        <x:v>Kuroshio Current</x:v>
      </x:c>
      <x:c r="C2012" s="46" t="str">
        <x:v>functional</x:v>
      </x:c>
      <x:c r="D2012" s="46" t="str">
        <x:v>Medium pelagics (30 - 89 cm)</x:v>
      </x:c>
      <x:c r="E2012" s="66" t="n">
        <x:v>22</x:v>
      </x:c>
      <x:c r="F2012" s="66" t="n">
        <x:v>22</x:v>
      </x:c>
      <x:c r="G2012" s="60" t="n">
        <x:v>759846.7215098469</x:v>
      </x:c>
      <x:c r="H2012" s="60" t="n">
        <x:v>759846.7215098469</x:v>
      </x:c>
      <x:c r="I2012" s="62" t="n">
        <x:v>0</x:v>
      </x:c>
      <x:c r="J2012" s="64" t="n">
        <x:v>1</x:v>
      </x:c>
      <x:c r="K2012" s="62" t="n">
        <x:v>270.1839732989149</x:v>
      </x:c>
      <x:c r="L2012" s="60" t="n">
        <x:v>205298406.3156845</x:v>
      </x:c>
      <x:c r="M2012" s="62" t="n">
        <x:v>3.2579720902630545</x:v>
      </x:c>
      <x:c r="N2012" s="62" t="n">
        <x:v>181.12236914143617</x:v>
      </x:c>
      <x:c r="O2012" s="60" t="n">
        <x:v>137625238.38421652</x:v>
      </x:c>
      <x:c r="P2012" s="60" t="n">
        <x:v>67673167.93146798</x:v>
      </x:c>
      <x:c r="Q2012" s="62" t="n">
        <x:v>1.4917206228013267</x:v>
      </x:c>
      <x:c r="R2012" s="64" t="n">
        <x:v>0.49172062280132656</x:v>
      </x:c>
    </x:row>
    <x:row r="2013" ht="18" customHeight="1">
      <x:c r="A2013" s="46" t="str">
        <x:v>LME_049</x:v>
      </x:c>
      <x:c r="B2013" s="46" t="str">
        <x:v>Kuroshio Current</x:v>
      </x:c>
      <x:c r="C2013" s="46" t="str">
        <x:v>functional</x:v>
      </x:c>
      <x:c r="D2013" s="46" t="str">
        <x:v>Medium reef assoc. fish (30 - 89 cm)</x:v>
      </x:c>
      <x:c r="E2013" s="66" t="n">
        <x:v>22</x:v>
      </x:c>
      <x:c r="F2013" s="66" t="n">
        <x:v>22</x:v>
      </x:c>
      <x:c r="G2013" s="60" t="n">
        <x:v>54029.81327289759</x:v>
      </x:c>
      <x:c r="H2013" s="60" t="n">
        <x:v>54029.81327289759</x:v>
      </x:c>
      <x:c r="I2013" s="62" t="n">
        <x:v>0</x:v>
      </x:c>
      <x:c r="J2013" s="64" t="n">
        <x:v>1</x:v>
      </x:c>
      <x:c r="K2013" s="62" t="n">
        <x:v>250.9083703745212</x:v>
      </x:c>
      <x:c r="L2013" s="60" t="n">
        <x:v>13556532.399942411</x:v>
      </x:c>
      <x:c r="M2013" s="62" t="n">
        <x:v>3.33490820116831</x:v>
      </x:c>
      <x:c r="N2013" s="62" t="n">
        <x:v>216.22614282287606</x:v>
      </x:c>
      <x:c r="O2013" s="60" t="n">
        <x:v>11682658.12143888</x:v>
      </x:c>
      <x:c r="P2013" s="60" t="n">
        <x:v>1873874.2785035316</x:v>
      </x:c>
      <x:c r="Q2013" s="62" t="n">
        <x:v>1.1603979384678542</x:v>
      </x:c>
      <x:c r="R2013" s="64" t="n">
        <x:v>0.1603979384678543</x:v>
      </x:c>
    </x:row>
    <x:row r="2014" ht="18" customHeight="1">
      <x:c r="A2014" s="46" t="str">
        <x:v>LME_049</x:v>
      </x:c>
      <x:c r="B2014" s="46" t="str">
        <x:v>Kuroshio Current</x:v>
      </x:c>
      <x:c r="C2014" s="46" t="str">
        <x:v>functional</x:v>
      </x:c>
      <x:c r="D2014" s="46" t="str">
        <x:v>Other demersal invertebrates</x:v>
      </x:c>
      <x:c r="E2014" s="66" t="n">
        <x:v>18</x:v>
      </x:c>
      <x:c r="F2014" s="66" t="n">
        <x:v>18</x:v>
      </x:c>
      <x:c r="G2014" s="60" t="n">
        <x:v>171695.38575440212</x:v>
      </x:c>
      <x:c r="H2014" s="60" t="n">
        <x:v>171695.38575440212</x:v>
      </x:c>
      <x:c r="I2014" s="62" t="n">
        <x:v>0</x:v>
      </x:c>
      <x:c r="J2014" s="64" t="n">
        <x:v>1</x:v>
      </x:c>
      <x:c r="K2014" s="62" t="n">
        <x:v>12.217701511753495</x:v>
      </x:c>
      <x:c r="L2014" s="60" t="n">
        <x:v>2097722.974092658</x:v>
      </x:c>
      <x:c r="M2014" s="62" t="n">
        <x:v>2.0523277778720823</x:v>
      </x:c>
      <x:c r="N2014" s="62" t="n">
        <x:v>11.280485142949845</x:v>
      </x:c>
      <x:c r="O2014" s="60" t="n">
        <x:v>1936807.2481155754</x:v>
      </x:c>
      <x:c r="P2014" s="60" t="n">
        <x:v>160915.72597708274</x:v>
      </x:c>
      <x:c r="Q2014" s="62" t="n">
        <x:v>1.0830829841914555</x:v>
      </x:c>
      <x:c r="R2014" s="64" t="n">
        <x:v>0.08308298419145548</x:v>
      </x:c>
    </x:row>
    <x:row r="2015" ht="18" customHeight="1">
      <x:c r="A2015" s="46" t="str">
        <x:v>LME_049</x:v>
      </x:c>
      <x:c r="B2015" s="46" t="str">
        <x:v>Kuroshio Current</x:v>
      </x:c>
      <x:c r="C2015" s="46" t="str">
        <x:v>functional</x:v>
      </x:c>
      <x:c r="D2015" s="46" t="str">
        <x:v>Shrimps</x:v>
      </x:c>
      <x:c r="E2015" s="66" t="n">
        <x:v>15</x:v>
      </x:c>
      <x:c r="F2015" s="66" t="n">
        <x:v>15</x:v>
      </x:c>
      <x:c r="G2015" s="60" t="n">
        <x:v>93668.355335533</x:v>
      </x:c>
      <x:c r="H2015" s="60" t="n">
        <x:v>93668.355335533</x:v>
      </x:c>
      <x:c r="I2015" s="62" t="n">
        <x:v>0</x:v>
      </x:c>
      <x:c r="J2015" s="64" t="n">
        <x:v>1</x:v>
      </x:c>
      <x:c r="K2015" s="62" t="n">
        <x:v>65.86405982760034</x:v>
      </x:c>
      <x:c r="L2015" s="60" t="n">
        <x:v>6169378.159772472</x:v>
      </x:c>
      <x:c r="M2015" s="62" t="n">
        <x:v>2.598418189885853</x:v>
      </x:c>
      <x:c r="N2015" s="62" t="n">
        <x:v>39.66598012028616</x:v>
      </x:c>
      <x:c r="O2015" s="60" t="n">
        <x:v>3715447.1206391514</x:v>
      </x:c>
      <x:c r="P2015" s="60" t="n">
        <x:v>2453931.039133321</x:v>
      </x:c>
      <x:c r="Q2015" s="62" t="n">
        <x:v>1.6604672222360097</x:v>
      </x:c>
      <x:c r="R2015" s="64" t="n">
        <x:v>0.6604672222360097</x:v>
      </x:c>
    </x:row>
    <x:row r="2016" ht="18" customHeight="1">
      <x:c r="A2016" s="46" t="str">
        <x:v>LME_049</x:v>
      </x:c>
      <x:c r="B2016" s="46" t="str">
        <x:v>Kuroshio Current</x:v>
      </x:c>
      <x:c r="C2016" s="46" t="str">
        <x:v>functional</x:v>
      </x:c>
      <x:c r="D2016" s="46" t="str">
        <x:v>Small bathydemersals (&lt;30 cm)</x:v>
      </x:c>
      <x:c r="E2016" s="66" t="n">
        <x:v>1</x:v>
      </x:c>
      <x:c r="F2016" s="66" t="n">
        <x:v>1</x:v>
      </x:c>
      <x:c r="G2016" s="60" t="n">
        <x:v>1382.8641561113</x:v>
      </x:c>
      <x:c r="H2016" s="60" t="n">
        <x:v>1382.8641561113</x:v>
      </x:c>
      <x:c r="I2016" s="62" t="n">
        <x:v>0</x:v>
      </x:c>
      <x:c r="J2016" s="64" t="n">
        <x:v>1</x:v>
      </x:c>
      <x:c r="K2016" s="62" t="n">
        <x:v>323.5936569296281</x:v>
      </x:c>
      <x:c r="L2016" s="60" t="n">
        <x:v>447486.0693129597</x:v>
      </x:c>
      <x:c r="M2016" s="62" t="n">
        <x:v>3.51</x:v>
      </x:c>
      <x:c r="N2016" s="62" t="n">
        <x:v>323.5936569296281</x:v>
      </x:c>
      <x:c r="O2016" s="60" t="n">
        <x:v>447486.0693129597</x:v>
      </x:c>
      <x:c r="P2016" s="60" t="n">
        <x:v>0</x:v>
      </x:c>
      <x:c r="Q2016" s="62" t="n">
        <x:v>1</x:v>
      </x:c>
      <x:c r="R2016" s="64" t="n">
        <x:v>0</x:v>
      </x:c>
    </x:row>
    <x:row r="2017" ht="18" customHeight="1">
      <x:c r="A2017" s="46" t="str">
        <x:v>LME_049</x:v>
      </x:c>
      <x:c r="B2017" s="46" t="str">
        <x:v>Kuroshio Current</x:v>
      </x:c>
      <x:c r="C2017" s="46" t="str">
        <x:v>functional</x:v>
      </x:c>
      <x:c r="D2017" s="46" t="str">
        <x:v>Small bathypelagics (&lt;30 cm)</x:v>
      </x:c>
      <x:c r="E2017" s="66" t="n">
        <x:v>1</x:v>
      </x:c>
      <x:c r="F2017" s="66" t="n">
        <x:v>1</x:v>
      </x:c>
      <x:c r="G2017" s="60" t="n">
        <x:v>406.6967747967</x:v>
      </x:c>
      <x:c r="H2017" s="60" t="n">
        <x:v>406.6967747967</x:v>
      </x:c>
      <x:c r="I2017" s="62" t="n">
        <x:v>0</x:v>
      </x:c>
      <x:c r="J2017" s="64" t="n">
        <x:v>1</x:v>
      </x:c>
      <x:c r="K2017" s="62" t="n">
        <x:v>125.89254117941675</x:v>
      </x:c>
      <x:c r="L2017" s="60" t="n">
        <x:v>51200.09046862954</x:v>
      </x:c>
      <x:c r="M2017" s="62" t="n">
        <x:v>3.1</x:v>
      </x:c>
      <x:c r="N2017" s="62" t="n">
        <x:v>125.89254117941675</x:v>
      </x:c>
      <x:c r="O2017" s="60" t="n">
        <x:v>51200.09046862954</x:v>
      </x:c>
      <x:c r="P2017" s="60" t="n">
        <x:v>0</x:v>
      </x:c>
      <x:c r="Q2017" s="62" t="n">
        <x:v>1</x:v>
      </x:c>
      <x:c r="R2017" s="64" t="n">
        <x:v>0</x:v>
      </x:c>
    </x:row>
    <x:row r="2018" ht="18" customHeight="1">
      <x:c r="A2018" s="46" t="str">
        <x:v>LME_049</x:v>
      </x:c>
      <x:c r="B2018" s="46" t="str">
        <x:v>Kuroshio Current</x:v>
      </x:c>
      <x:c r="C2018" s="46" t="str">
        <x:v>functional</x:v>
      </x:c>
      <x:c r="D2018" s="46" t="str">
        <x:v>Small benthopelagics (&lt;30 cm)</x:v>
      </x:c>
      <x:c r="E2018" s="66" t="n">
        <x:v>3</x:v>
      </x:c>
      <x:c r="F2018" s="66" t="n">
        <x:v>3</x:v>
      </x:c>
      <x:c r="G2018" s="60" t="n">
        <x:v>1028.7208106920998</x:v>
      </x:c>
      <x:c r="H2018" s="60" t="n">
        <x:v>1028.7208106920998</x:v>
      </x:c>
      <x:c r="I2018" s="62" t="n">
        <x:v>0</x:v>
      </x:c>
      <x:c r="J2018" s="64" t="n">
        <x:v>1</x:v>
      </x:c>
      <x:c r="K2018" s="62" t="n">
        <x:v>938.7933958675163</x:v>
      </x:c>
      <x:c r="L2018" s="60" t="n">
        <x:v>965756.3032692207</x:v>
      </x:c>
      <x:c r="M2018" s="62" t="n">
        <x:v>3.9601228808928397</x:v>
      </x:c>
      <x:c r="N2018" s="62" t="n">
        <x:v>912.2689235981769</x:v>
      </x:c>
      <x:c r="O2018" s="60" t="n">
        <x:v>938470.0266531258</x:v>
      </x:c>
      <x:c r="P2018" s="60" t="n">
        <x:v>27286.276616094983</x:v>
      </x:c>
      <x:c r="Q2018" s="62" t="n">
        <x:v>1.0290752776765884</x:v>
      </x:c>
      <x:c r="R2018" s="64" t="n">
        <x:v>0.029075277676588438</x:v>
      </x:c>
    </x:row>
    <x:row r="2019" ht="18" customHeight="1">
      <x:c r="A2019" s="46" t="str">
        <x:v>LME_049</x:v>
      </x:c>
      <x:c r="B2019" s="46" t="str">
        <x:v>Kuroshio Current</x:v>
      </x:c>
      <x:c r="C2019" s="46" t="str">
        <x:v>functional</x:v>
      </x:c>
      <x:c r="D2019" s="46" t="str">
        <x:v>Small demersals (&lt;30 cm)</x:v>
      </x:c>
      <x:c r="E2019" s="66" t="n">
        <x:v>4</x:v>
      </x:c>
      <x:c r="F2019" s="66" t="n">
        <x:v>4</x:v>
      </x:c>
      <x:c r="G2019" s="60" t="n">
        <x:v>34731.762883257295</x:v>
      </x:c>
      <x:c r="H2019" s="60" t="n">
        <x:v>34731.762883257295</x:v>
      </x:c>
      <x:c r="I2019" s="62" t="n">
        <x:v>0</x:v>
      </x:c>
      <x:c r="J2019" s="64" t="n">
        <x:v>1</x:v>
      </x:c>
      <x:c r="K2019" s="62" t="n">
        <x:v>284.4229168409722</x:v>
      </x:c>
      <x:c r="L2019" s="60" t="n">
        <x:v>9878509.306285055</x:v>
      </x:c>
      <x:c r="M2019" s="62" t="n">
        <x:v>3.3136399462641553</x:v>
      </x:c>
      <x:c r="N2019" s="62" t="n">
        <x:v>205.89222470179894</x:v>
      </x:c>
      <x:c r="O2019" s="60" t="n">
        <x:v>7150999.927849211</x:v>
      </x:c>
      <x:c r="P2019" s="60" t="n">
        <x:v>2727509.3784358446</x:v>
      </x:c>
      <x:c r="Q2019" s="62" t="n">
        <x:v>1.381416502021444</x:v>
      </x:c>
      <x:c r="R2019" s="64" t="n">
        <x:v>0.381416502021444</x:v>
      </x:c>
    </x:row>
    <x:row r="2020" ht="18" customHeight="1">
      <x:c r="A2020" s="46" t="str">
        <x:v>LME_049</x:v>
      </x:c>
      <x:c r="B2020" s="46" t="str">
        <x:v>Kuroshio Current</x:v>
      </x:c>
      <x:c r="C2020" s="46" t="str">
        <x:v>functional</x:v>
      </x:c>
      <x:c r="D2020" s="46" t="str">
        <x:v>Small pelagics (&lt;30 cm)</x:v>
      </x:c>
      <x:c r="E2020" s="66" t="n">
        <x:v>13</x:v>
      </x:c>
      <x:c r="F2020" s="66" t="n">
        <x:v>13</x:v>
      </x:c>
      <x:c r="G2020" s="60" t="n">
        <x:v>298769.514454299</x:v>
      </x:c>
      <x:c r="H2020" s="60" t="n">
        <x:v>298769.514454299</x:v>
      </x:c>
      <x:c r="I2020" s="62" t="n">
        <x:v>0</x:v>
      </x:c>
      <x:c r="J2020" s="64" t="n">
        <x:v>1</x:v>
      </x:c>
      <x:c r="K2020" s="62" t="n">
        <x:v>148.8053071294257</x:v>
      </x:c>
      <x:c r="L2020" s="60" t="n">
        <x:v>44458489.35928135</x:v>
      </x:c>
      <x:c r="M2020" s="62" t="n">
        <x:v>3.163271725977601</x:v>
      </x:c>
      <x:c r="N2020" s="62" t="n">
        <x:v>145.63700057862445</x:v>
      </x:c>
      <x:c r="O2020" s="60" t="n">
        <x:v>43511895.94945609</x:v>
      </x:c>
      <x:c r="P2020" s="60" t="n">
        <x:v>946593.4098252654</x:v>
      </x:c>
      <x:c r="Q2020" s="62" t="n">
        <x:v>1.021754818749448</x:v>
      </x:c>
      <x:c r="R2020" s="64" t="n">
        <x:v>0.021754818749448176</x:v>
      </x:c>
    </x:row>
    <x:row r="2021" ht="18" customHeight="1">
      <x:c r="A2021" s="46" t="str">
        <x:v>LME_049</x:v>
      </x:c>
      <x:c r="B2021" s="46" t="str">
        <x:v>Kuroshio Current</x:v>
      </x:c>
      <x:c r="C2021" s="46" t="str">
        <x:v>functional</x:v>
      </x:c>
      <x:c r="D2021" s="46" t="str">
        <x:v>Small reef assoc. fish (&lt;30 cm)</x:v>
      </x:c>
      <x:c r="E2021" s="66" t="n">
        <x:v>1</x:v>
      </x:c>
      <x:c r="F2021" s="66" t="n">
        <x:v>1</x:v>
      </x:c>
      <x:c r="G2021" s="60" t="n">
        <x:v>24.165266374599998</x:v>
      </x:c>
      <x:c r="H2021" s="60" t="n">
        <x:v>24.165266374599998</x:v>
      </x:c>
      <x:c r="I2021" s="62" t="n">
        <x:v>0</x:v>
      </x:c>
      <x:c r="J2021" s="64" t="n">
        <x:v>1</x:v>
      </x:c>
      <x:c r="K2021" s="62" t="n">
        <x:v>128.82495516931337</x:v>
      </x:c>
      <x:c r="L2021" s="60" t="n">
        <x:v>3113.0893573623607</x:v>
      </x:c>
      <x:c r="M2021" s="62" t="n">
        <x:v>3.11</x:v>
      </x:c>
      <x:c r="N2021" s="62" t="n">
        <x:v>128.82495516931337</x:v>
      </x:c>
      <x:c r="O2021" s="60" t="n">
        <x:v>3113.0893573623607</x:v>
      </x:c>
      <x:c r="P2021" s="60" t="n">
        <x:v>0</x:v>
      </x:c>
      <x:c r="Q2021" s="62" t="n">
        <x:v>1</x:v>
      </x:c>
      <x:c r="R2021" s="64" t="n">
        <x:v>0</x:v>
      </x:c>
    </x:row>
    <x:row r="2022" ht="18" customHeight="1">
      <x:c r="A2022" s="46" t="str">
        <x:v>LME_049</x:v>
      </x:c>
      <x:c r="B2022" s="46" t="str">
        <x:v>Kuroshio Current</x:v>
      </x:c>
      <x:c r="C2022" s="46" t="str">
        <x:v>functional</x:v>
      </x:c>
      <x:c r="D2022" s="46" t="str">
        <x:v>Small to medium flatfishes (&lt;90 cm)</x:v>
      </x:c>
      <x:c r="E2022" s="66" t="n">
        <x:v>3</x:v>
      </x:c>
      <x:c r="F2022" s="66" t="n">
        <x:v>3</x:v>
      </x:c>
      <x:c r="G2022" s="60" t="n">
        <x:v>17926.6841703095</x:v>
      </x:c>
      <x:c r="H2022" s="60" t="n">
        <x:v>17926.6841703095</x:v>
      </x:c>
      <x:c r="I2022" s="62" t="n">
        <x:v>0</x:v>
      </x:c>
      <x:c r="J2022" s="64" t="n">
        <x:v>1</x:v>
      </x:c>
      <x:c r="K2022" s="62" t="n">
        <x:v>312.3297434677697</x:v>
      </x:c>
      <x:c r="L2022" s="60" t="n">
        <x:v>5599036.668140494</x:v>
      </x:c>
      <x:c r="M2022" s="62" t="n">
        <x:v>3.4935812809149023</x:v>
      </x:c>
      <x:c r="N2022" s="62" t="n">
        <x:v>311.5883998486883</x:v>
      </x:c>
      <x:c r="O2022" s="60" t="n">
        <x:v>5585746.835219548</x:v>
      </x:c>
      <x:c r="P2022" s="60" t="n">
        <x:v>13289.83292094618</x:v>
      </x:c>
      <x:c r="Q2022" s="62" t="n">
        <x:v>1.0023792401111253</x:v>
      </x:c>
      <x:c r="R2022" s="64" t="n">
        <x:v>0.002379240111125413</x:v>
      </x:c>
    </x:row>
    <x:row r="2023" ht="18" customHeight="1">
      <x:c r="A2023" s="46" t="str">
        <x:v>LME_050</x:v>
      </x:c>
      <x:c r="B2023" s="46" t="str">
        <x:v>Sea of Japan / East Sea</x:v>
      </x:c>
      <x:c r="C2023" s="46" t="str">
        <x:v>functional</x:v>
      </x:c>
      <x:c r="D2023" s="46" t="str">
        <x:v>Cephalopods</x:v>
      </x:c>
      <x:c r="E2023" s="66" t="n">
        <x:v>10</x:v>
      </x:c>
      <x:c r="F2023" s="66" t="n">
        <x:v>10</x:v>
      </x:c>
      <x:c r="G2023" s="60" t="n">
        <x:v>137072.35819004162</x:v>
      </x:c>
      <x:c r="H2023" s="60" t="n">
        <x:v>137072.35819004162</x:v>
      </x:c>
      <x:c r="I2023" s="62" t="n">
        <x:v>0</x:v>
      </x:c>
      <x:c r="J2023" s="64" t="n">
        <x:v>1</x:v>
      </x:c>
      <x:c r="K2023" s="62" t="n">
        <x:v>1582.0586254236232</x:v>
      </x:c>
      <x:c r="L2023" s="60" t="n">
        <x:v>216856506.58171177</x:v>
      </x:c>
      <x:c r="M2023" s="62" t="n">
        <x:v>4.165846455022176</x:v>
      </x:c>
      <x:c r="N2023" s="62" t="n">
        <x:v>1465.0297875485528</x:v>
      </x:c>
      <x:c r="O2023" s="60" t="n">
        <x:v>200815087.7979358</x:v>
      </x:c>
      <x:c r="P2023" s="60" t="n">
        <x:v>16041418.783775955</x:v>
      </x:c>
      <x:c r="Q2023" s="62" t="n">
        <x:v>1.0798815415698104</x:v>
      </x:c>
      <x:c r="R2023" s="64" t="n">
        <x:v>0.0798815415698105</x:v>
      </x:c>
    </x:row>
    <x:row r="2024" ht="18" customHeight="1">
      <x:c r="A2024" s="46" t="str">
        <x:v>LME_050</x:v>
      </x:c>
      <x:c r="B2024" s="46" t="str">
        <x:v>Sea of Japan / East Sea</x:v>
      </x:c>
      <x:c r="C2024" s="46" t="str">
        <x:v>functional</x:v>
      </x:c>
      <x:c r="D2024" s="46" t="str">
        <x:v>Jellyfish</x:v>
      </x:c>
      <x:c r="E2024" s="66" t="n">
        <x:v>3</x:v>
      </x:c>
      <x:c r="F2024" s="66" t="n">
        <x:v>3</x:v>
      </x:c>
      <x:c r="G2024" s="60" t="n">
        <x:v>172.87413681450002</x:v>
      </x:c>
      <x:c r="H2024" s="60" t="n">
        <x:v>172.87413681450002</x:v>
      </x:c>
      <x:c r="I2024" s="62" t="n">
        <x:v>0</x:v>
      </x:c>
      <x:c r="J2024" s="64" t="n">
        <x:v>1</x:v>
      </x:c>
      <x:c r="K2024" s="62" t="n">
        <x:v>139.17115910157705</x:v>
      </x:c>
      <x:c r="L2024" s="60" t="n">
        <x:v>24059.09399915858</x:v>
      </x:c>
      <x:c r="M2024" s="62" t="n">
        <x:v>3.099098155632514</x:v>
      </x:c>
      <x:c r="N2024" s="62" t="n">
        <x:v>125.63138732397036</x:v>
      </x:c>
      <x:c r="O2024" s="60" t="n">
        <x:v>21718.417640439497</x:v>
      </x:c>
      <x:c r="P2024" s="60" t="n">
        <x:v>2340.6763587190835</x:v>
      </x:c>
      <x:c r="Q2024" s="62" t="n">
        <x:v>1.1077737981408353</x:v>
      </x:c>
      <x:c r="R2024" s="64" t="n">
        <x:v>0.10777379814083533</x:v>
      </x:c>
    </x:row>
    <x:row r="2025" ht="18" customHeight="1">
      <x:c r="A2025" s="46" t="str">
        <x:v>LME_050</x:v>
      </x:c>
      <x:c r="B2025" s="46" t="str">
        <x:v>Sea of Japan / East Sea</x:v>
      </x:c>
      <x:c r="C2025" s="46" t="str">
        <x:v>functional</x:v>
      </x:c>
      <x:c r="D2025" s="46" t="str">
        <x:v>Large bathydemersals (&gt;=90 cm)</x:v>
      </x:c>
      <x:c r="E2025" s="66" t="n">
        <x:v>1</x:v>
      </x:c>
      <x:c r="F2025" s="66" t="n">
        <x:v>1</x:v>
      </x:c>
      <x:c r="G2025" s="60" t="n">
        <x:v>0.1560694697</x:v>
      </x:c>
      <x:c r="H2025" s="60" t="n">
        <x:v>0.1560694697</x:v>
      </x:c>
      <x:c r="I2025" s="62" t="n">
        <x:v>0</x:v>
      </x:c>
      <x:c r="J2025" s="64" t="n">
        <x:v>1</x:v>
      </x:c>
      <x:c r="K2025" s="62" t="n">
        <x:v>691.8309709189363</x:v>
      </x:c>
      <x:c r="L2025" s="60" t="n">
        <x:v>107.9736927533545</x:v>
      </x:c>
      <x:c r="M2025" s="62" t="n">
        <x:v>3.84</x:v>
      </x:c>
      <x:c r="N2025" s="62" t="n">
        <x:v>691.8309709189363</x:v>
      </x:c>
      <x:c r="O2025" s="60" t="n">
        <x:v>107.9736927533545</x:v>
      </x:c>
      <x:c r="P2025" s="60" t="n">
        <x:v>0</x:v>
      </x:c>
      <x:c r="Q2025" s="62" t="n">
        <x:v>1</x:v>
      </x:c>
      <x:c r="R2025" s="64" t="n">
        <x:v>0</x:v>
      </x:c>
    </x:row>
    <x:row r="2026" ht="18" customHeight="1">
      <x:c r="A2026" s="46" t="str">
        <x:v>LME_050</x:v>
      </x:c>
      <x:c r="B2026" s="46" t="str">
        <x:v>Sea of Japan / East Sea</x:v>
      </x:c>
      <x:c r="C2026" s="46" t="str">
        <x:v>functional</x:v>
      </x:c>
      <x:c r="D2026" s="46" t="str">
        <x:v>Large benthopelagics (&gt;=90 cm)</x:v>
      </x:c>
      <x:c r="E2026" s="66" t="n">
        <x:v>11</x:v>
      </x:c>
      <x:c r="F2026" s="66" t="n">
        <x:v>11</x:v>
      </x:c>
      <x:c r="G2026" s="60" t="n">
        <x:v>141855.71670439272</x:v>
      </x:c>
      <x:c r="H2026" s="60" t="n">
        <x:v>141855.71670439272</x:v>
      </x:c>
      <x:c r="I2026" s="62" t="n">
        <x:v>0</x:v>
      </x:c>
      <x:c r="J2026" s="64" t="n">
        <x:v>1</x:v>
      </x:c>
      <x:c r="K2026" s="62" t="n">
        <x:v>1352.4260216071523</x:v>
      </x:c>
      <x:c r="L2026" s="60" t="n">
        <x:v>191849362.5847531</x:v>
      </x:c>
      <x:c r="M2026" s="62" t="n">
        <x:v>3.9848764358463415</x:v>
      </x:c>
      <x:c r="N2026" s="62" t="n">
        <x:v>965.7760602100531</x:v>
      </x:c>
      <x:c r="O2026" s="60" t="n">
        <x:v>137000855.1970418</x:v>
      </x:c>
      <x:c r="P2026" s="60" t="n">
        <x:v>54848507.38771129</x:v>
      </x:c>
      <x:c r="Q2026" s="62" t="n">
        <x:v>1.4003515694031639</x:v>
      </x:c>
      <x:c r="R2026" s="64" t="n">
        <x:v>0.40035156940316385</x:v>
      </x:c>
    </x:row>
    <x:row r="2027" ht="18" customHeight="1">
      <x:c r="A2027" s="46" t="str">
        <x:v>LME_050</x:v>
      </x:c>
      <x:c r="B2027" s="46" t="str">
        <x:v>Sea of Japan / East Sea</x:v>
      </x:c>
      <x:c r="C2027" s="46" t="str">
        <x:v>functional</x:v>
      </x:c>
      <x:c r="D2027" s="46" t="str">
        <x:v>Large demersals (&gt;=90 cm)</x:v>
      </x:c>
      <x:c r="E2027" s="66" t="n">
        <x:v>8</x:v>
      </x:c>
      <x:c r="F2027" s="66" t="n">
        <x:v>8</x:v>
      </x:c>
      <x:c r="G2027" s="60" t="n">
        <x:v>99158.66617271109</x:v>
      </x:c>
      <x:c r="H2027" s="60" t="n">
        <x:v>99158.66617271109</x:v>
      </x:c>
      <x:c r="I2027" s="62" t="n">
        <x:v>0</x:v>
      </x:c>
      <x:c r="J2027" s="64" t="n">
        <x:v>1</x:v>
      </x:c>
      <x:c r="K2027" s="62" t="n">
        <x:v>1542.0974118564461</x:v>
      </x:c>
      <x:c r="L2027" s="60" t="n">
        <x:v>152912322.4680751</x:v>
      </x:c>
      <x:c r="M2027" s="62" t="n">
        <x:v>4.183038464698302</x:v>
      </x:c>
      <x:c r="N2027" s="62" t="n">
        <x:v>1524.1877424465242</x:v>
      </x:c>
      <x:c r="O2027" s="60" t="n">
        <x:v>151136423.53779304</x:v>
      </x:c>
      <x:c r="P2027" s="60" t="n">
        <x:v>1775898.9302820563</x:v>
      </x:c>
      <x:c r="Q2027" s="62" t="n">
        <x:v>1.0117503040545217</x:v>
      </x:c>
      <x:c r="R2027" s="64" t="n">
        <x:v>0.011750304054521819</x:v>
      </x:c>
    </x:row>
    <x:row r="2028" ht="18" customHeight="1">
      <x:c r="A2028" s="46" t="str">
        <x:v>LME_050</x:v>
      </x:c>
      <x:c r="B2028" s="46" t="str">
        <x:v>Sea of Japan / East Sea</x:v>
      </x:c>
      <x:c r="C2028" s="46" t="str">
        <x:v>functional</x:v>
      </x:c>
      <x:c r="D2028" s="46" t="str">
        <x:v>Large flatfishes (&gt;=90 cm)</x:v>
      </x:c>
      <x:c r="E2028" s="66" t="n">
        <x:v>3</x:v>
      </x:c>
      <x:c r="F2028" s="66" t="n">
        <x:v>3</x:v>
      </x:c>
      <x:c r="G2028" s="60" t="n">
        <x:v>3582.9937328958003</x:v>
      </x:c>
      <x:c r="H2028" s="60" t="n">
        <x:v>3582.9937328958003</x:v>
      </x:c>
      <x:c r="I2028" s="62" t="n">
        <x:v>0</x:v>
      </x:c>
      <x:c r="J2028" s="64" t="n">
        <x:v>1</x:v>
      </x:c>
      <x:c r="K2028" s="62" t="n">
        <x:v>1670.2939942165076</x:v>
      </x:c>
      <x:c r="L2028" s="60" t="n">
        <x:v>5984652.913371241</x:v>
      </x:c>
      <x:c r="M2028" s="62" t="n">
        <x:v>4.219522063370148</x:v>
      </x:c>
      <x:c r="N2028" s="62" t="n">
        <x:v>1657.7615536170817</x:v>
      </x:c>
      <x:c r="O2028" s="60" t="n">
        <x:v>5939749.25724561</x:v>
      </x:c>
      <x:c r="P2028" s="60" t="n">
        <x:v>44903.65612563118</x:v>
      </x:c>
      <x:c r="Q2028" s="62" t="n">
        <x:v>1.0075598571894016</x:v>
      </x:c>
      <x:c r="R2028" s="64" t="n">
        <x:v>0.007559857189401625</x:v>
      </x:c>
    </x:row>
    <x:row r="2029" ht="18" customHeight="1">
      <x:c r="A2029" s="46" t="str">
        <x:v>LME_050</x:v>
      </x:c>
      <x:c r="B2029" s="46" t="str">
        <x:v>Sea of Japan / East Sea</x:v>
      </x:c>
      <x:c r="C2029" s="46" t="str">
        <x:v>functional</x:v>
      </x:c>
      <x:c r="D2029" s="46" t="str">
        <x:v>Large pelagics (&gt;=90 cm)</x:v>
      </x:c>
      <x:c r="E2029" s="66" t="n">
        <x:v>18</x:v>
      </x:c>
      <x:c r="F2029" s="66" t="n">
        <x:v>18</x:v>
      </x:c>
      <x:c r="G2029" s="60" t="n">
        <x:v>58237.79661084361</x:v>
      </x:c>
      <x:c r="H2029" s="60" t="n">
        <x:v>58237.79661084361</x:v>
      </x:c>
      <x:c r="I2029" s="62" t="n">
        <x:v>0</x:v>
      </x:c>
      <x:c r="J2029" s="64" t="n">
        <x:v>1</x:v>
      </x:c>
      <x:c r="K2029" s="62" t="n">
        <x:v>2545.1276056853467</x:v>
      </x:c>
      <x:c r="L2029" s="60" t="n">
        <x:v>148222623.8485466</x:v>
      </x:c>
      <x:c r="M2029" s="62" t="n">
        <x:v>4.396450896698246</x:v>
      </x:c>
      <x:c r="N2029" s="62" t="n">
        <x:v>2491.4426615333787</x:v>
      </x:c>
      <x:c r="O2029" s="60" t="n">
        <x:v>145096130.98995978</x:v>
      </x:c>
      <x:c r="P2029" s="60" t="n">
        <x:v>3126492.858586818</x:v>
      </x:c>
      <x:c r="Q2029" s="62" t="n">
        <x:v>1.0215477341625543</x:v>
      </x:c>
      <x:c r="R2029" s="64" t="n">
        <x:v>0.021547734162554354</x:v>
      </x:c>
    </x:row>
    <x:row r="2030" ht="18" customHeight="1">
      <x:c r="A2030" s="46" t="str">
        <x:v>LME_050</x:v>
      </x:c>
      <x:c r="B2030" s="46" t="str">
        <x:v>Sea of Japan / East Sea</x:v>
      </x:c>
      <x:c r="C2030" s="46" t="str">
        <x:v>functional</x:v>
      </x:c>
      <x:c r="D2030" s="46" t="str">
        <x:v>Large rays (&gt;=90 cm)</x:v>
      </x:c>
      <x:c r="E2030" s="66" t="n">
        <x:v>2</x:v>
      </x:c>
      <x:c r="F2030" s="66" t="n">
        <x:v>2</x:v>
      </x:c>
      <x:c r="G2030" s="60" t="n">
        <x:v>2134.1115997505</x:v>
      </x:c>
      <x:c r="H2030" s="60" t="n">
        <x:v>2134.1115997505</x:v>
      </x:c>
      <x:c r="I2030" s="62" t="n">
        <x:v>0</x:v>
      </x:c>
      <x:c r="J2030" s="64" t="n">
        <x:v>1</x:v>
      </x:c>
      <x:c r="K2030" s="62" t="n">
        <x:v>524.807921832854</x:v>
      </x:c>
      <x:c r="L2030" s="60" t="n">
        <x:v>1119998.6736244475</x:v>
      </x:c>
      <x:c r="M2030" s="62" t="n">
        <x:v>3.7200003316297785</x:v>
      </x:c>
      <x:c r="N2030" s="62" t="n">
        <x:v>524.807860995938</x:v>
      </x:c>
      <x:c r="O2030" s="60" t="n">
        <x:v>1119998.5437916792</x:v>
      </x:c>
      <x:c r="P2030" s="60" t="n">
        <x:v>0.12983276834711432</x:v>
      </x:c>
      <x:c r="Q2030" s="62" t="n">
        <x:v>1.0000001159222653</x:v>
      </x:c>
      <x:c r="R2030" s="64" t="n">
        <x:v>1.1592226531614432e-7</x:v>
      </x:c>
    </x:row>
    <x:row r="2031" ht="18" customHeight="1">
      <x:c r="A2031" s="46" t="str">
        <x:v>LME_050</x:v>
      </x:c>
      <x:c r="B2031" s="46" t="str">
        <x:v>Sea of Japan / East Sea</x:v>
      </x:c>
      <x:c r="C2031" s="46" t="str">
        <x:v>functional</x:v>
      </x:c>
      <x:c r="D2031" s="46" t="str">
        <x:v>Large reef assoc. fish (&gt;=90 cm)</x:v>
      </x:c>
      <x:c r="E2031" s="66" t="n">
        <x:v>5</x:v>
      </x:c>
      <x:c r="F2031" s="66" t="n">
        <x:v>5</x:v>
      </x:c>
      <x:c r="G2031" s="60" t="n">
        <x:v>2806.7963193941005</x:v>
      </x:c>
      <x:c r="H2031" s="60" t="n">
        <x:v>2806.7963193941005</x:v>
      </x:c>
      <x:c r="I2031" s="62" t="n">
        <x:v>0</x:v>
      </x:c>
      <x:c r="J2031" s="64" t="n">
        <x:v>1</x:v>
      </x:c>
      <x:c r="K2031" s="62" t="n">
        <x:v>468.4621858911788</x:v>
      </x:c>
      <x:c r="L2031" s="60" t="n">
        <x:v>1314877.9391346755</x:v>
      </x:c>
      <x:c r="M2031" s="62" t="n">
        <x:v>3.633580022052659</x:v>
      </x:c>
      <x:c r="N2031" s="62" t="n">
        <x:v>430.11047744778307</x:v>
      </x:c>
      <x:c r="O2031" s="60" t="n">
        <x:v>1207232.5050332767</x:v>
      </x:c>
      <x:c r="P2031" s="60" t="n">
        <x:v>107645.4341013988</x:v>
      </x:c>
      <x:c r="Q2031" s="62" t="n">
        <x:v>1.089167110438624</x:v>
      </x:c>
      <x:c r="R2031" s="64" t="n">
        <x:v>0.08916711043862392</x:v>
      </x:c>
    </x:row>
    <x:row r="2032" ht="18" customHeight="1">
      <x:c r="A2032" s="46" t="str">
        <x:v>LME_050</x:v>
      </x:c>
      <x:c r="B2032" s="46" t="str">
        <x:v>Sea of Japan / East Sea</x:v>
      </x:c>
      <x:c r="C2032" s="46" t="str">
        <x:v>functional</x:v>
      </x:c>
      <x:c r="D2032" s="46" t="str">
        <x:v>Large sharks (&gt;=90 cm)</x:v>
      </x:c>
      <x:c r="E2032" s="66" t="n">
        <x:v>4</x:v>
      </x:c>
      <x:c r="F2032" s="66" t="n">
        <x:v>4</x:v>
      </x:c>
      <x:c r="G2032" s="60" t="n">
        <x:v>1627.0950654007002</x:v>
      </x:c>
      <x:c r="H2032" s="60" t="n">
        <x:v>1627.0950654007002</x:v>
      </x:c>
      <x:c r="I2032" s="62" t="n">
        <x:v>0</x:v>
      </x:c>
      <x:c r="J2032" s="64" t="n">
        <x:v>1</x:v>
      </x:c>
      <x:c r="K2032" s="62" t="n">
        <x:v>1043.743682139982</x:v>
      </x:c>
      <x:c r="L2032" s="60" t="n">
        <x:v>1698270.1947531216</x:v>
      </x:c>
      <x:c r="M2032" s="62" t="n">
        <x:v>4.015654177067446</x:v>
      </x:c>
      <x:c r="N2032" s="62" t="n">
        <x:v>1036.702574556065</x:v>
      </x:c>
      <x:c r="O2032" s="60" t="n">
        <x:v>1686813.6433483749</x:v>
      </x:c>
      <x:c r="P2032" s="60" t="n">
        <x:v>11456.551404746715</x:v>
      </x:c>
      <x:c r="Q2032" s="62" t="n">
        <x:v>1.0067918299392014</x:v>
      </x:c>
      <x:c r="R2032" s="64" t="n">
        <x:v>0.006791829939201299</x:v>
      </x:c>
    </x:row>
    <x:row r="2033" ht="18" customHeight="1">
      <x:c r="A2033" s="46" t="str">
        <x:v>LME_050</x:v>
      </x:c>
      <x:c r="B2033" s="46" t="str">
        <x:v>Sea of Japan / East Sea</x:v>
      </x:c>
      <x:c r="C2033" s="46" t="str">
        <x:v>functional</x:v>
      </x:c>
      <x:c r="D2033" s="46" t="str">
        <x:v>Lobsters, crabs</x:v>
      </x:c>
      <x:c r="E2033" s="66" t="n">
        <x:v>15</x:v>
      </x:c>
      <x:c r="F2033" s="66" t="n">
        <x:v>15</x:v>
      </x:c>
      <x:c r="G2033" s="60" t="n">
        <x:v>55978.73337344289</x:v>
      </x:c>
      <x:c r="H2033" s="60" t="n">
        <x:v>55978.73337344289</x:v>
      </x:c>
      <x:c r="I2033" s="62" t="n">
        <x:v>0</x:v>
      </x:c>
      <x:c r="J2033" s="64" t="n">
        <x:v>1</x:v>
      </x:c>
      <x:c r="K2033" s="62" t="n">
        <x:v>358.9032915410469</x:v>
      </x:c>
      <x:c r="L2033" s="60" t="n">
        <x:v>20090951.664027303</x:v>
      </x:c>
      <x:c r="M2033" s="62" t="n">
        <x:v>3.377477002605479</x:v>
      </x:c>
      <x:c r="N2033" s="62" t="n">
        <x:v>238.4937501433939</x:v>
      </x:c>
      <x:c r="O2033" s="60" t="n">
        <x:v>13350578.050509553</x:v>
      </x:c>
      <x:c r="P2033" s="60" t="n">
        <x:v>6740373.61351775</x:v>
      </x:c>
      <x:c r="Q2033" s="62" t="n">
        <x:v>1.504875038969604</x:v>
      </x:c>
      <x:c r="R2033" s="64" t="n">
        <x:v>0.504875038969604</x:v>
      </x:c>
    </x:row>
    <x:row r="2034" ht="18" customHeight="1">
      <x:c r="A2034" s="46" t="str">
        <x:v>LME_050</x:v>
      </x:c>
      <x:c r="B2034" s="46" t="str">
        <x:v>Sea of Japan / East Sea</x:v>
      </x:c>
      <x:c r="C2034" s="46" t="str">
        <x:v>functional</x:v>
      </x:c>
      <x:c r="D2034" s="46" t="str">
        <x:v>Medium bathydemersals (30 - 89 cm)</x:v>
      </x:c>
      <x:c r="E2034" s="66" t="n">
        <x:v>3</x:v>
      </x:c>
      <x:c r="F2034" s="66" t="n">
        <x:v>3</x:v>
      </x:c>
      <x:c r="G2034" s="60" t="n">
        <x:v>171.68634431729998</x:v>
      </x:c>
      <x:c r="H2034" s="60" t="n">
        <x:v>171.68634431729998</x:v>
      </x:c>
      <x:c r="I2034" s="62" t="n">
        <x:v>0</x:v>
      </x:c>
      <x:c r="J2034" s="64" t="n">
        <x:v>1</x:v>
      </x:c>
      <x:c r="K2034" s="62" t="n">
        <x:v>464.2886839185483</x:v>
      </x:c>
      <x:c r="L2034" s="60" t="n">
        <x:v>79712.02684986594</x:v>
      </x:c>
      <x:c r="M2034" s="62" t="n">
        <x:v>3.6389870272421168</x:v>
      </x:c>
      <x:c r="N2034" s="62" t="n">
        <x:v>435.49886475741783</x:v>
      </x:c>
      <x:c r="O2034" s="60" t="n">
        <x:v>74769.20804453529</x:v>
      </x:c>
      <x:c r="P2034" s="60" t="n">
        <x:v>4942.818805330651</x:v>
      </x:c>
      <x:c r="Q2034" s="62" t="n">
        <x:v>1.0661076790112118</x:v>
      </x:c>
      <x:c r="R2034" s="64" t="n">
        <x:v>0.06610767901121176</x:v>
      </x:c>
    </x:row>
    <x:row r="2035" ht="18" customHeight="1">
      <x:c r="A2035" s="46" t="str">
        <x:v>LME_050</x:v>
      </x:c>
      <x:c r="B2035" s="46" t="str">
        <x:v>Sea of Japan / East Sea</x:v>
      </x:c>
      <x:c r="C2035" s="46" t="str">
        <x:v>functional</x:v>
      </x:c>
      <x:c r="D2035" s="46" t="str">
        <x:v>Medium benthopelagics (30 - 89 cm)</x:v>
      </x:c>
      <x:c r="E2035" s="66" t="n">
        <x:v>11</x:v>
      </x:c>
      <x:c r="F2035" s="66" t="n">
        <x:v>11</x:v>
      </x:c>
      <x:c r="G2035" s="60" t="n">
        <x:v>518604.12077382195</x:v>
      </x:c>
      <x:c r="H2035" s="60" t="n">
        <x:v>518604.12077382195</x:v>
      </x:c>
      <x:c r="I2035" s="62" t="n">
        <x:v>0</x:v>
      </x:c>
      <x:c r="J2035" s="64" t="n">
        <x:v>1</x:v>
      </x:c>
      <x:c r="K2035" s="62" t="n">
        <x:v>369.54678568749773</x:v>
      </x:c>
      <x:c r="L2035" s="60" t="n">
        <x:v>191648485.87625676</x:v>
      </x:c>
      <x:c r="M2035" s="62" t="n">
        <x:v>3.5647812907735807</x:v>
      </x:c>
      <x:c r="N2035" s="62" t="n">
        <x:v>367.09738494400864</x:v>
      </x:c>
      <x:c r="O2035" s="60" t="n">
        <x:v>190378216.55725688</x:v>
      </x:c>
      <x:c r="P2035" s="60" t="n">
        <x:v>1270269.3189998865</x:v>
      </x:c>
      <x:c r="Q2035" s="62" t="n">
        <x:v>1.006672345933117</x:v>
      </x:c>
      <x:c r="R2035" s="64" t="n">
        <x:v>0.006672345933117032</x:v>
      </x:c>
    </x:row>
    <x:row r="2036" ht="18" customHeight="1">
      <x:c r="A2036" s="46" t="str">
        <x:v>LME_050</x:v>
      </x:c>
      <x:c r="B2036" s="46" t="str">
        <x:v>Sea of Japan / East Sea</x:v>
      </x:c>
      <x:c r="C2036" s="46" t="str">
        <x:v>functional</x:v>
      </x:c>
      <x:c r="D2036" s="46" t="str">
        <x:v>Medium demersals (30 - 89 cm)</x:v>
      </x:c>
      <x:c r="E2036" s="66" t="n">
        <x:v>31</x:v>
      </x:c>
      <x:c r="F2036" s="66" t="n">
        <x:v>31</x:v>
      </x:c>
      <x:c r="G2036" s="60" t="n">
        <x:v>506880.3516351972</x:v>
      </x:c>
      <x:c r="H2036" s="60" t="n">
        <x:v>506880.3516351972</x:v>
      </x:c>
      <x:c r="I2036" s="62" t="n">
        <x:v>0</x:v>
      </x:c>
      <x:c r="J2036" s="64" t="n">
        <x:v>1</x:v>
      </x:c>
      <x:c r="K2036" s="62" t="n">
        <x:v>607.0447500431817</x:v>
      </x:c>
      <x:c r="L2036" s="60" t="n">
        <x:v>307699056.3601883</x:v>
      </x:c>
      <x:c r="M2036" s="62" t="n">
        <x:v>3.4981452868137546</x:v>
      </x:c>
      <x:c r="N2036" s="62" t="n">
        <x:v>314.8801523033356</x:v>
      </x:c>
      <x:c r="O2036" s="60" t="n">
        <x:v>159606562.3224592</x:v>
      </x:c>
      <x:c r="P2036" s="60" t="n">
        <x:v>148092494.0377291</x:v>
      </x:c>
      <x:c r="Q2036" s="62" t="n">
        <x:v>1.9278596812237094</x:v>
      </x:c>
      <x:c r="R2036" s="64" t="n">
        <x:v>0.9278596812237095</x:v>
      </x:c>
    </x:row>
    <x:row r="2037" ht="18" customHeight="1">
      <x:c r="A2037" s="46" t="str">
        <x:v>LME_050</x:v>
      </x:c>
      <x:c r="B2037" s="46" t="str">
        <x:v>Sea of Japan / East Sea</x:v>
      </x:c>
      <x:c r="C2037" s="46" t="str">
        <x:v>functional</x:v>
      </x:c>
      <x:c r="D2037" s="46" t="str">
        <x:v>Medium pelagics (30 - 89 cm)</x:v>
      </x:c>
      <x:c r="E2037" s="66" t="n">
        <x:v>17</x:v>
      </x:c>
      <x:c r="F2037" s="66" t="n">
        <x:v>17</x:v>
      </x:c>
      <x:c r="G2037" s="60" t="n">
        <x:v>603089.9486940901</x:v>
      </x:c>
      <x:c r="H2037" s="60" t="n">
        <x:v>603089.9486940901</x:v>
      </x:c>
      <x:c r="I2037" s="62" t="n">
        <x:v>0</x:v>
      </x:c>
      <x:c r="J2037" s="64" t="n">
        <x:v>1</x:v>
      </x:c>
      <x:c r="K2037" s="62" t="n">
        <x:v>235.44911757888266</x:v>
      </x:c>
      <x:c r="L2037" s="60" t="n">
        <x:v>141996996.24071714</x:v>
      </x:c>
      <x:c r="M2037" s="62" t="n">
        <x:v>3.230997482865494</x:v>
      </x:c>
      <x:c r="N2037" s="62" t="n">
        <x:v>170.2148642855143</x:v>
      </x:c>
      <x:c r="O2037" s="60" t="n">
        <x:v>102654873.76892233</x:v>
      </x:c>
      <x:c r="P2037" s="60" t="n">
        <x:v>39342122.471794814</x:v>
      </x:c>
      <x:c r="Q2037" s="62" t="n">
        <x:v>1.3832465135591567</x:v>
      </x:c>
      <x:c r="R2037" s="64" t="n">
        <x:v>0.38324651355915673</x:v>
      </x:c>
    </x:row>
    <x:row r="2038" ht="18" customHeight="1">
      <x:c r="A2038" s="46" t="str">
        <x:v>LME_050</x:v>
      </x:c>
      <x:c r="B2038" s="46" t="str">
        <x:v>Sea of Japan / East Sea</x:v>
      </x:c>
      <x:c r="C2038" s="46" t="str">
        <x:v>functional</x:v>
      </x:c>
      <x:c r="D2038" s="46" t="str">
        <x:v>Medium reef assoc. fish (30 - 89 cm)</x:v>
      </x:c>
      <x:c r="E2038" s="66" t="n">
        <x:v>10</x:v>
      </x:c>
      <x:c r="F2038" s="66" t="n">
        <x:v>10</x:v>
      </x:c>
      <x:c r="G2038" s="60" t="n">
        <x:v>7800.966899621099</x:v>
      </x:c>
      <x:c r="H2038" s="60" t="n">
        <x:v>7800.966899621099</x:v>
      </x:c>
      <x:c r="I2038" s="62" t="n">
        <x:v>0</x:v>
      </x:c>
      <x:c r="J2038" s="64" t="n">
        <x:v>1</x:v>
      </x:c>
      <x:c r="K2038" s="62" t="n">
        <x:v>337.51992826317706</x:v>
      </x:c>
      <x:c r="L2038" s="60" t="n">
        <x:v>2632981.7883435325</x:v>
      </x:c>
      <x:c r="M2038" s="62" t="n">
        <x:v>3.315633611450377</x:v>
      </x:c>
      <x:c r="N2038" s="62" t="n">
        <x:v>206.83956295448814</x:v>
      </x:c>
      <x:c r="O2038" s="60" t="n">
        <x:v>1613548.5841400565</x:v>
      </x:c>
      <x:c r="P2038" s="60" t="n">
        <x:v>1019433.204203476</x:v>
      </x:c>
      <x:c r="Q2038" s="62" t="n">
        <x:v>1.6317957911052208</x:v>
      </x:c>
      <x:c r="R2038" s="64" t="n">
        <x:v>0.6317957911052208</x:v>
      </x:c>
    </x:row>
    <x:row r="2039" ht="18" customHeight="1">
      <x:c r="A2039" s="46" t="str">
        <x:v>LME_050</x:v>
      </x:c>
      <x:c r="B2039" s="46" t="str">
        <x:v>Sea of Japan / East Sea</x:v>
      </x:c>
      <x:c r="C2039" s="46" t="str">
        <x:v>functional</x:v>
      </x:c>
      <x:c r="D2039" s="46" t="str">
        <x:v>Other demersal invertebrates</x:v>
      </x:c>
      <x:c r="E2039" s="66" t="n">
        <x:v>26</x:v>
      </x:c>
      <x:c r="F2039" s="66" t="n">
        <x:v>26</x:v>
      </x:c>
      <x:c r="G2039" s="60" t="n">
        <x:v>123909.2156161666</x:v>
      </x:c>
      <x:c r="H2039" s="60" t="n">
        <x:v>123909.2156161666</x:v>
      </x:c>
      <x:c r="I2039" s="62" t="n">
        <x:v>0</x:v>
      </x:c>
      <x:c r="J2039" s="64" t="n">
        <x:v>1</x:v>
      </x:c>
      <x:c r="K2039" s="62" t="n">
        <x:v>13.679474083322793</x:v>
      </x:c>
      <x:c r="L2039" s="60" t="n">
        <x:v>1695012.903706207</x:v>
      </x:c>
      <x:c r="M2039" s="62" t="n">
        <x:v>2.063984799584212</x:v>
      </x:c>
      <x:c r="N2039" s="62" t="n">
        <x:v>11.58736799366792</x:v>
      </x:c>
      <x:c r="O2039" s="60" t="n">
        <x:v>1435781.679151266</x:v>
      </x:c>
      <x:c r="P2039" s="60" t="n">
        <x:v>259231.22455494083</x:v>
      </x:c>
      <x:c r="Q2039" s="62" t="n">
        <x:v>1.180550586707709</x:v>
      </x:c>
      <x:c r="R2039" s="64" t="n">
        <x:v>0.1805505867077091</x:v>
      </x:c>
    </x:row>
    <x:row r="2040" ht="18" customHeight="1">
      <x:c r="A2040" s="46" t="str">
        <x:v>LME_050</x:v>
      </x:c>
      <x:c r="B2040" s="46" t="str">
        <x:v>Sea of Japan / East Sea</x:v>
      </x:c>
      <x:c r="C2040" s="46" t="str">
        <x:v>functional</x:v>
      </x:c>
      <x:c r="D2040" s="46" t="str">
        <x:v>Shrimps</x:v>
      </x:c>
      <x:c r="E2040" s="66" t="n">
        <x:v>19</x:v>
      </x:c>
      <x:c r="F2040" s="66" t="n">
        <x:v>19</x:v>
      </x:c>
      <x:c r="G2040" s="60" t="n">
        <x:v>55273.29271971979</x:v>
      </x:c>
      <x:c r="H2040" s="60" t="n">
        <x:v>55273.29271971979</x:v>
      </x:c>
      <x:c r="I2040" s="62" t="n">
        <x:v>0</x:v>
      </x:c>
      <x:c r="J2040" s="64" t="n">
        <x:v>1</x:v>
      </x:c>
      <x:c r="K2040" s="62" t="n">
        <x:v>73.6648562624187</x:v>
      </x:c>
      <x:c r="L2040" s="60" t="n">
        <x:v>4071699.1633487525</x:v>
      </x:c>
      <x:c r="M2040" s="62" t="n">
        <x:v>2.6651076748339477</x:v>
      </x:c>
      <x:c r="N2040" s="62" t="n">
        <x:v>46.24956739544203</x:v>
      </x:c>
      <x:c r="O2040" s="60" t="n">
        <x:v>2556365.876808676</x:v>
      </x:c>
      <x:c r="P2040" s="60" t="n">
        <x:v>1515333.2865400766</x:v>
      </x:c>
      <x:c r="Q2040" s="62" t="n">
        <x:v>1.5927685470562583</x:v>
      </x:c>
      <x:c r="R2040" s="64" t="n">
        <x:v>0.5927685470562583</x:v>
      </x:c>
    </x:row>
    <x:row r="2041" ht="18" customHeight="1">
      <x:c r="A2041" s="46" t="str">
        <x:v>LME_050</x:v>
      </x:c>
      <x:c r="B2041" s="46" t="str">
        <x:v>Sea of Japan / East Sea</x:v>
      </x:c>
      <x:c r="C2041" s="46" t="str">
        <x:v>functional</x:v>
      </x:c>
      <x:c r="D2041" s="46" t="str">
        <x:v>Small bathydemersals (&lt;30 cm)</x:v>
      </x:c>
      <x:c r="E2041" s="66" t="n">
        <x:v>1</x:v>
      </x:c>
      <x:c r="F2041" s="66" t="n">
        <x:v>1</x:v>
      </x:c>
      <x:c r="G2041" s="60" t="n">
        <x:v>3849.9036484654</x:v>
      </x:c>
      <x:c r="H2041" s="60" t="n">
        <x:v>3849.9036484654</x:v>
      </x:c>
      <x:c r="I2041" s="62" t="n">
        <x:v>0</x:v>
      </x:c>
      <x:c r="J2041" s="64" t="n">
        <x:v>1</x:v>
      </x:c>
      <x:c r="K2041" s="62" t="n">
        <x:v>323.5936569296281</x:v>
      </x:c>
      <x:c r="L2041" s="60" t="n">
        <x:v>1245804.400433636</x:v>
      </x:c>
      <x:c r="M2041" s="62" t="n">
        <x:v>3.51</x:v>
      </x:c>
      <x:c r="N2041" s="62" t="n">
        <x:v>323.5936569296281</x:v>
      </x:c>
      <x:c r="O2041" s="60" t="n">
        <x:v>1245804.400433636</x:v>
      </x:c>
      <x:c r="P2041" s="60" t="n">
        <x:v>0</x:v>
      </x:c>
      <x:c r="Q2041" s="62" t="n">
        <x:v>1</x:v>
      </x:c>
      <x:c r="R2041" s="64" t="n">
        <x:v>0</x:v>
      </x:c>
    </x:row>
    <x:row r="2042" ht="18" customHeight="1">
      <x:c r="A2042" s="46" t="str">
        <x:v>LME_050</x:v>
      </x:c>
      <x:c r="B2042" s="46" t="str">
        <x:v>Sea of Japan / East Sea</x:v>
      </x:c>
      <x:c r="C2042" s="46" t="str">
        <x:v>functional</x:v>
      </x:c>
      <x:c r="D2042" s="46" t="str">
        <x:v>Small bathypelagics (&lt;30 cm)</x:v>
      </x:c>
      <x:c r="E2042" s="66" t="n">
        <x:v>1</x:v>
      </x:c>
      <x:c r="F2042" s="66" t="n">
        <x:v>1</x:v>
      </x:c>
      <x:c r="G2042" s="60" t="n">
        <x:v>682.8806398402</x:v>
      </x:c>
      <x:c r="H2042" s="60" t="n">
        <x:v>682.8806398402</x:v>
      </x:c>
      <x:c r="I2042" s="62" t="n">
        <x:v>0</x:v>
      </x:c>
      <x:c r="J2042" s="64" t="n">
        <x:v>1</x:v>
      </x:c>
      <x:c r="K2042" s="62" t="n">
        <x:v>125.89254117941674</x:v>
      </x:c>
      <x:c r="L2042" s="60" t="n">
        <x:v>85969.57907170884</x:v>
      </x:c>
      <x:c r="M2042" s="62" t="n">
        <x:v>3.1000000000000005</x:v>
      </x:c>
      <x:c r="N2042" s="62" t="n">
        <x:v>125.89254117941688</x:v>
      </x:c>
      <x:c r="O2042" s="60" t="n">
        <x:v>85969.57907170893</x:v>
      </x:c>
      <x:c r="P2042" s="60" t="n">
        <x:v>-8.731149137020111e-11</x:v>
      </x:c>
      <x:c r="Q2042" s="62" t="n">
        <x:v>0.999999999999999</x:v>
      </x:c>
      <x:c r="R2042" s="64" t="n">
        <x:v>-1.0156091528303618e-15</x:v>
      </x:c>
    </x:row>
    <x:row r="2043" ht="18" customHeight="1">
      <x:c r="A2043" s="46" t="str">
        <x:v>LME_050</x:v>
      </x:c>
      <x:c r="B2043" s="46" t="str">
        <x:v>Sea of Japan / East Sea</x:v>
      </x:c>
      <x:c r="C2043" s="46" t="str">
        <x:v>functional</x:v>
      </x:c>
      <x:c r="D2043" s="46" t="str">
        <x:v>Small benthopelagics (&lt;30 cm)</x:v>
      </x:c>
      <x:c r="E2043" s="66" t="n">
        <x:v>1</x:v>
      </x:c>
      <x:c r="F2043" s="66" t="n">
        <x:v>1</x:v>
      </x:c>
      <x:c r="G2043" s="60" t="n">
        <x:v>153.9063632043</x:v>
      </x:c>
      <x:c r="H2043" s="60" t="n">
        <x:v>153.9063632043</x:v>
      </x:c>
      <x:c r="I2043" s="62" t="n">
        <x:v>0</x:v>
      </x:c>
      <x:c r="J2043" s="64" t="n">
        <x:v>1</x:v>
      </x:c>
      <x:c r="K2043" s="62" t="n">
        <x:v>416.8693834703355</x:v>
      </x:c>
      <x:c r="L2043" s="60" t="n">
        <x:v>64158.85074113806</x:v>
      </x:c>
      <x:c r="M2043" s="62" t="n">
        <x:v>3.62</x:v>
      </x:c>
      <x:c r="N2043" s="62" t="n">
        <x:v>416.8693834703355</x:v>
      </x:c>
      <x:c r="O2043" s="60" t="n">
        <x:v>64158.85074113806</x:v>
      </x:c>
      <x:c r="P2043" s="60" t="n">
        <x:v>0</x:v>
      </x:c>
      <x:c r="Q2043" s="62" t="n">
        <x:v>1</x:v>
      </x:c>
      <x:c r="R2043" s="64" t="n">
        <x:v>0</x:v>
      </x:c>
    </x:row>
    <x:row r="2044" ht="18" customHeight="1">
      <x:c r="A2044" s="46" t="str">
        <x:v>LME_050</x:v>
      </x:c>
      <x:c r="B2044" s="46" t="str">
        <x:v>Sea of Japan / East Sea</x:v>
      </x:c>
      <x:c r="C2044" s="46" t="str">
        <x:v>functional</x:v>
      </x:c>
      <x:c r="D2044" s="46" t="str">
        <x:v>Small demersals (&lt;30 cm)</x:v>
      </x:c>
      <x:c r="E2044" s="66" t="n">
        <x:v>2</x:v>
      </x:c>
      <x:c r="F2044" s="66" t="n">
        <x:v>2</x:v>
      </x:c>
      <x:c r="G2044" s="60" t="n">
        <x:v>43764.287900565</x:v>
      </x:c>
      <x:c r="H2044" s="60" t="n">
        <x:v>43764.287900565</x:v>
      </x:c>
      <x:c r="I2044" s="62" t="n">
        <x:v>0</x:v>
      </x:c>
      <x:c r="J2044" s="64" t="n">
        <x:v>1</x:v>
      </x:c>
      <x:c r="K2044" s="62" t="n">
        <x:v>110.30234488763794</x:v>
      </x:c>
      <x:c r="L2044" s="60" t="n">
        <x:v>4827303.577770001</x:v>
      </x:c>
      <x:c r="M2044" s="62" t="n">
        <x:v>3.0174612948528208</x:v>
      </x:c>
      <x:c r="N2044" s="62" t="n">
        <x:v>104.10253253392835</x:v>
      </x:c>
      <x:c r="O2044" s="60" t="n">
        <x:v>4555973.204992775</x:v>
      </x:c>
      <x:c r="P2044" s="60" t="n">
        <x:v>271330.3727772264</x:v>
      </x:c>
      <x:c r="Q2044" s="62" t="n">
        <x:v>1.0595548657924243</x:v>
      </x:c>
      <x:c r="R2044" s="64" t="n">
        <x:v>0.0595548657924244</x:v>
      </x:c>
    </x:row>
    <x:row r="2045" ht="18" customHeight="1">
      <x:c r="A2045" s="46" t="str">
        <x:v>LME_050</x:v>
      </x:c>
      <x:c r="B2045" s="46" t="str">
        <x:v>Sea of Japan / East Sea</x:v>
      </x:c>
      <x:c r="C2045" s="46" t="str">
        <x:v>functional</x:v>
      </x:c>
      <x:c r="D2045" s="46" t="str">
        <x:v>Small pelagics (&lt;30 cm)</x:v>
      </x:c>
      <x:c r="E2045" s="66" t="n">
        <x:v>11</x:v>
      </x:c>
      <x:c r="F2045" s="66" t="n">
        <x:v>11</x:v>
      </x:c>
      <x:c r="G2045" s="60" t="n">
        <x:v>173588.117621307</x:v>
      </x:c>
      <x:c r="H2045" s="60" t="n">
        <x:v>173588.117621307</x:v>
      </x:c>
      <x:c r="I2045" s="62" t="n">
        <x:v>0</x:v>
      </x:c>
      <x:c r="J2045" s="64" t="n">
        <x:v>1</x:v>
      </x:c>
      <x:c r="K2045" s="62" t="n">
        <x:v>142.3135623139185</x:v>
      </x:c>
      <x:c r="L2045" s="60" t="n">
        <x:v>24703943.39405569</x:v>
      </x:c>
      <x:c r="M2045" s="62" t="n">
        <x:v>3.150083892389855</x:v>
      </x:c>
      <x:c r="N2045" s="62" t="n">
        <x:v>141.2810429960813</x:v>
      </x:c>
      <x:c r="O2045" s="60" t="n">
        <x:v>24524710.309264693</x:v>
      </x:c>
      <x:c r="P2045" s="60" t="n">
        <x:v>179233.0847909972</x:v>
      </x:c>
      <x:c r="Q2045" s="62" t="n">
        <x:v>1.007308265114279</x:v>
      </x:c>
      <x:c r="R2045" s="64" t="n">
        <x:v>0.00730826511427898</x:v>
      </x:c>
    </x:row>
    <x:row r="2046" ht="18" customHeight="1">
      <x:c r="A2046" s="46" t="str">
        <x:v>LME_050</x:v>
      </x:c>
      <x:c r="B2046" s="46" t="str">
        <x:v>Sea of Japan / East Sea</x:v>
      </x:c>
      <x:c r="C2046" s="46" t="str">
        <x:v>functional</x:v>
      </x:c>
      <x:c r="D2046" s="46" t="str">
        <x:v>Small to medium flatfishes (&lt;90 cm)</x:v>
      </x:c>
      <x:c r="E2046" s="66" t="n">
        <x:v>5</x:v>
      </x:c>
      <x:c r="F2046" s="66" t="n">
        <x:v>5</x:v>
      </x:c>
      <x:c r="G2046" s="60" t="n">
        <x:v>46545.85986429691</x:v>
      </x:c>
      <x:c r="H2046" s="60" t="n">
        <x:v>46545.85986429691</x:v>
      </x:c>
      <x:c r="I2046" s="62" t="n">
        <x:v>0</x:v>
      </x:c>
      <x:c r="J2046" s="64" t="n">
        <x:v>1</x:v>
      </x:c>
      <x:c r="K2046" s="62" t="n">
        <x:v>394.679914275617</x:v>
      </x:c>
      <x:c r="L2046" s="60" t="n">
        <x:v>18370715.981125586</x:v>
      </x:c>
      <x:c r="M2046" s="62" t="n">
        <x:v>3.509844161264278</x:v>
      </x:c>
      <x:c r="N2046" s="62" t="n">
        <x:v>323.477562017302</x:v>
      </x:c>
      <x:c r="O2046" s="60" t="n">
        <x:v>15056541.27090175</x:v>
      </x:c>
      <x:c r="P2046" s="60" t="n">
        <x:v>3314174.710223835</x:v>
      </x:c>
      <x:c r="Q2046" s="62" t="n">
        <x:v>1.2201152741917431</x:v>
      </x:c>
      <x:c r="R2046" s="64" t="n">
        <x:v>0.2201152741917431</x:v>
      </x:c>
    </x:row>
    <x:row r="2047" ht="18" customHeight="1">
      <x:c r="A2047" s="46" t="str">
        <x:v>LME_051</x:v>
      </x:c>
      <x:c r="B2047" s="46" t="str">
        <x:v>Oyashio Current</x:v>
      </x:c>
      <x:c r="C2047" s="46" t="str">
        <x:v>functional</x:v>
      </x:c>
      <x:c r="D2047" s="46" t="str">
        <x:v>Cephalopods</x:v>
      </x:c>
      <x:c r="E2047" s="66" t="n">
        <x:v>9</x:v>
      </x:c>
      <x:c r="F2047" s="66" t="n">
        <x:v>9</x:v>
      </x:c>
      <x:c r="G2047" s="60" t="n">
        <x:v>46432.575584225306</x:v>
      </x:c>
      <x:c r="H2047" s="60" t="n">
        <x:v>46432.575584225306</x:v>
      </x:c>
      <x:c r="I2047" s="62" t="n">
        <x:v>0</x:v>
      </x:c>
      <x:c r="J2047" s="64" t="n">
        <x:v>1</x:v>
      </x:c>
      <x:c r="K2047" s="62" t="n">
        <x:v>1319.5179800622045</x:v>
      </x:c>
      <x:c r="L2047" s="60" t="n">
        <x:v>61268618.34398261</x:v>
      </x:c>
      <x:c r="M2047" s="62" t="n">
        <x:v>4.096180478076859</x:v>
      </x:c>
      <x:c r="N2047" s="62" t="n">
        <x:v>1247.9019923053193</x:v>
      </x:c>
      <x:c r="O2047" s="60" t="n">
        <x:v>57943303.57942208</x:v>
      </x:c>
      <x:c r="P2047" s="60" t="n">
        <x:v>3325314.764560528</x:v>
      </x:c>
      <x:c r="Q2047" s="62" t="n">
        <x:v>1.0573891124451087</x:v>
      </x:c>
      <x:c r="R2047" s="64" t="n">
        <x:v>0.05738911244510879</x:v>
      </x:c>
    </x:row>
    <x:row r="2048" ht="18" customHeight="1">
      <x:c r="A2048" s="46" t="str">
        <x:v>LME_051</x:v>
      </x:c>
      <x:c r="B2048" s="46" t="str">
        <x:v>Oyashio Current</x:v>
      </x:c>
      <x:c r="C2048" s="46" t="str">
        <x:v>functional</x:v>
      </x:c>
      <x:c r="D2048" s="46" t="str">
        <x:v>Jellyfish</x:v>
      </x:c>
      <x:c r="E2048" s="66" t="n">
        <x:v>2</x:v>
      </x:c>
      <x:c r="F2048" s="66" t="n">
        <x:v>2</x:v>
      </x:c>
      <x:c r="G2048" s="60" t="n">
        <x:v>178.4466374777</x:v>
      </x:c>
      <x:c r="H2048" s="60" t="n">
        <x:v>178.4466374777</x:v>
      </x:c>
      <x:c r="I2048" s="62" t="n">
        <x:v>0</x:v>
      </x:c>
      <x:c r="J2048" s="64" t="n">
        <x:v>1</x:v>
      </x:c>
      <x:c r="K2048" s="62" t="n">
        <x:v>288.40315031266056</x:v>
      </x:c>
      <x:c r="L2048" s="60" t="n">
        <x:v>51464.57241126996</x:v>
      </x:c>
      <x:c r="M2048" s="62" t="n">
        <x:v>3.46</x:v>
      </x:c>
      <x:c r="N2048" s="62" t="n">
        <x:v>288.40315031266056</x:v>
      </x:c>
      <x:c r="O2048" s="60" t="n">
        <x:v>51464.57241126996</x:v>
      </x:c>
      <x:c r="P2048" s="60" t="n">
        <x:v>0</x:v>
      </x:c>
      <x:c r="Q2048" s="62" t="n">
        <x:v>1</x:v>
      </x:c>
      <x:c r="R2048" s="64" t="n">
        <x:v>0</x:v>
      </x:c>
    </x:row>
    <x:row r="2049" ht="18" customHeight="1">
      <x:c r="A2049" s="46" t="str">
        <x:v>LME_051</x:v>
      </x:c>
      <x:c r="B2049" s="46" t="str">
        <x:v>Oyashio Current</x:v>
      </x:c>
      <x:c r="C2049" s="46" t="str">
        <x:v>functional</x:v>
      </x:c>
      <x:c r="D2049" s="46" t="str">
        <x:v>Large bathydemersals (&gt;=90 cm)</x:v>
      </x:c>
      <x:c r="E2049" s="66" t="n">
        <x:v>1</x:v>
      </x:c>
      <x:c r="F2049" s="66" t="n">
        <x:v>1</x:v>
      </x:c>
      <x:c r="G2049" s="60" t="n">
        <x:v>109.7714833729</x:v>
      </x:c>
      <x:c r="H2049" s="60" t="n">
        <x:v>109.7714833729</x:v>
      </x:c>
      <x:c r="I2049" s="62" t="n">
        <x:v>0</x:v>
      </x:c>
      <x:c r="J2049" s="64" t="n">
        <x:v>1</x:v>
      </x:c>
      <x:c r="K2049" s="62" t="n">
        <x:v>691.8309709189363</x:v>
      </x:c>
      <x:c r="L2049" s="60" t="n">
        <x:v>75943.31192108527</x:v>
      </x:c>
      <x:c r="M2049" s="62" t="n">
        <x:v>3.84</x:v>
      </x:c>
      <x:c r="N2049" s="62" t="n">
        <x:v>691.8309709189363</x:v>
      </x:c>
      <x:c r="O2049" s="60" t="n">
        <x:v>75943.31192108527</x:v>
      </x:c>
      <x:c r="P2049" s="60" t="n">
        <x:v>0</x:v>
      </x:c>
      <x:c r="Q2049" s="62" t="n">
        <x:v>1</x:v>
      </x:c>
      <x:c r="R2049" s="64" t="n">
        <x:v>0</x:v>
      </x:c>
    </x:row>
    <x:row r="2050" ht="18" customHeight="1">
      <x:c r="A2050" s="46" t="str">
        <x:v>LME_051</x:v>
      </x:c>
      <x:c r="B2050" s="46" t="str">
        <x:v>Oyashio Current</x:v>
      </x:c>
      <x:c r="C2050" s="46" t="str">
        <x:v>functional</x:v>
      </x:c>
      <x:c r="D2050" s="46" t="str">
        <x:v>Large benthopelagics (&gt;=90 cm)</x:v>
      </x:c>
      <x:c r="E2050" s="66" t="n">
        <x:v>11</x:v>
      </x:c>
      <x:c r="F2050" s="66" t="n">
        <x:v>11</x:v>
      </x:c>
      <x:c r="G2050" s="60" t="n">
        <x:v>48881.43848319261</x:v>
      </x:c>
      <x:c r="H2050" s="60" t="n">
        <x:v>48881.43848319261</x:v>
      </x:c>
      <x:c r="I2050" s="62" t="n">
        <x:v>0</x:v>
      </x:c>
      <x:c r="J2050" s="64" t="n">
        <x:v>1</x:v>
      </x:c>
      <x:c r="K2050" s="62" t="n">
        <x:v>1042.163949516578</x:v>
      </x:c>
      <x:c r="L2050" s="60" t="n">
        <x:v>50942472.98769566</x:v>
      </x:c>
      <x:c r="M2050" s="62" t="n">
        <x:v>3.8824797189213722</x:v>
      </x:c>
      <x:c r="N2050" s="62" t="n">
        <x:v>762.9212627387698</x:v>
      </x:c>
      <x:c r="O2050" s="60" t="n">
        <x:v>37292688.7720848</x:v>
      </x:c>
      <x:c r="P2050" s="60" t="n">
        <x:v>13649784.215610854</x:v>
      </x:c>
      <x:c r="Q2050" s="62" t="n">
        <x:v>1.366017701191562</x:v>
      </x:c>
      <x:c r="R2050" s="64" t="n">
        <x:v>0.366017701191562</x:v>
      </x:c>
    </x:row>
    <x:row r="2051" ht="18" customHeight="1">
      <x:c r="A2051" s="46" t="str">
        <x:v>LME_051</x:v>
      </x:c>
      <x:c r="B2051" s="46" t="str">
        <x:v>Oyashio Current</x:v>
      </x:c>
      <x:c r="C2051" s="46" t="str">
        <x:v>functional</x:v>
      </x:c>
      <x:c r="D2051" s="46" t="str">
        <x:v>Large demersals (&gt;=90 cm)</x:v>
      </x:c>
      <x:c r="E2051" s="66" t="n">
        <x:v>5</x:v>
      </x:c>
      <x:c r="F2051" s="66" t="n">
        <x:v>5</x:v>
      </x:c>
      <x:c r="G2051" s="60" t="n">
        <x:v>23747.2171284884</x:v>
      </x:c>
      <x:c r="H2051" s="60" t="n">
        <x:v>23747.2171284884</x:v>
      </x:c>
      <x:c r="I2051" s="62" t="n">
        <x:v>0</x:v>
      </x:c>
      <x:c r="J2051" s="64" t="n">
        <x:v>1</x:v>
      </x:c>
      <x:c r="K2051" s="62" t="n">
        <x:v>1515.0610426311569</x:v>
      </x:c>
      <x:c r="L2051" s="60" t="n">
        <x:v>35978483.5422761</x:v>
      </x:c>
      <x:c r="M2051" s="62" t="n">
        <x:v>4.178112515449189</x:v>
      </x:c>
      <x:c r="N2051" s="62" t="n">
        <x:v>1506.9974430822242</x:v>
      </x:c>
      <x:c r="O2051" s="60" t="n">
        <x:v>35786995.49295042</x:v>
      </x:c>
      <x:c r="P2051" s="60" t="n">
        <x:v>191488.04932568222</x:v>
      </x:c>
      <x:c r="Q2051" s="62" t="n">
        <x:v>1.0053507718848151</x:v>
      </x:c>
      <x:c r="R2051" s="64" t="n">
        <x:v>0.005350771884815056</x:v>
      </x:c>
    </x:row>
    <x:row r="2052" ht="18" customHeight="1">
      <x:c r="A2052" s="46" t="str">
        <x:v>LME_051</x:v>
      </x:c>
      <x:c r="B2052" s="46" t="str">
        <x:v>Oyashio Current</x:v>
      </x:c>
      <x:c r="C2052" s="46" t="str">
        <x:v>functional</x:v>
      </x:c>
      <x:c r="D2052" s="46" t="str">
        <x:v>Large flatfishes (&gt;=90 cm)</x:v>
      </x:c>
      <x:c r="E2052" s="66" t="n">
        <x:v>3</x:v>
      </x:c>
      <x:c r="F2052" s="66" t="n">
        <x:v>3</x:v>
      </x:c>
      <x:c r="G2052" s="60" t="n">
        <x:v>1556.8514660572</x:v>
      </x:c>
      <x:c r="H2052" s="60" t="n">
        <x:v>1556.8514660572</x:v>
      </x:c>
      <x:c r="I2052" s="62" t="n">
        <x:v>0</x:v>
      </x:c>
      <x:c r="J2052" s="64" t="n">
        <x:v>1</x:v>
      </x:c>
      <x:c r="K2052" s="62" t="n">
        <x:v>1577.4928270617058</x:v>
      </x:c>
      <x:c r="L2052" s="60" t="n">
        <x:v>2455922.020505734</x:v>
      </x:c>
      <x:c r="M2052" s="62" t="n">
        <x:v>4.193502561898081</x:v>
      </x:c>
      <x:c r="N2052" s="62" t="n">
        <x:v>1561.3582483765704</x:v>
      </x:c>
      <x:c r="O2052" s="60" t="n">
        <x:v>2430802.8780255653</x:v>
      </x:c>
      <x:c r="P2052" s="60" t="n">
        <x:v>25119.14248016849</x:v>
      </x:c>
      <x:c r="Q2052" s="62" t="n">
        <x:v>1.0103336813968937</x:v>
      </x:c>
      <x:c r="R2052" s="64" t="n">
        <x:v>0.010333681396893717</x:v>
      </x:c>
    </x:row>
    <x:row r="2053" ht="18" customHeight="1">
      <x:c r="A2053" s="46" t="str">
        <x:v>LME_051</x:v>
      </x:c>
      <x:c r="B2053" s="46" t="str">
        <x:v>Oyashio Current</x:v>
      </x:c>
      <x:c r="C2053" s="46" t="str">
        <x:v>functional</x:v>
      </x:c>
      <x:c r="D2053" s="46" t="str">
        <x:v>Large pelagics (&gt;=90 cm)</x:v>
      </x:c>
      <x:c r="E2053" s="66" t="n">
        <x:v>11</x:v>
      </x:c>
      <x:c r="F2053" s="66" t="n">
        <x:v>11</x:v>
      </x:c>
      <x:c r="G2053" s="60" t="n">
        <x:v>3168.9616558898992</x:v>
      </x:c>
      <x:c r="H2053" s="60" t="n">
        <x:v>3168.9616558898992</x:v>
      </x:c>
      <x:c r="I2053" s="62" t="n">
        <x:v>0</x:v>
      </x:c>
      <x:c r="J2053" s="64" t="n">
        <x:v>1</x:v>
      </x:c>
      <x:c r="K2053" s="62" t="n">
        <x:v>2154.929121729629</x:v>
      </x:c>
      <x:c r="L2053" s="60" t="n">
        <x:v>6828887.757921691</x:v>
      </x:c>
      <x:c r="M2053" s="62" t="n">
        <x:v>4.31941395487731</x:v>
      </x:c>
      <x:c r="N2053" s="62" t="n">
        <x:v>2086.478696829613</x:v>
      </x:c>
      <x:c r="O2053" s="60" t="n">
        <x:v>6611970.98608417</x:v>
      </x:c>
      <x:c r="P2053" s="60" t="n">
        <x:v>216916.77183752134</x:v>
      </x:c>
      <x:c r="Q2053" s="62" t="n">
        <x:v>1.0328066732739833</x:v>
      </x:c>
      <x:c r="R2053" s="64" t="n">
        <x:v>0.03280667327398342</x:v>
      </x:c>
    </x:row>
    <x:row r="2054" ht="18" customHeight="1">
      <x:c r="A2054" s="46" t="str">
        <x:v>LME_051</x:v>
      </x:c>
      <x:c r="B2054" s="46" t="str">
        <x:v>Oyashio Current</x:v>
      </x:c>
      <x:c r="C2054" s="46" t="str">
        <x:v>functional</x:v>
      </x:c>
      <x:c r="D2054" s="46" t="str">
        <x:v>Large rays (&gt;=90 cm)</x:v>
      </x:c>
      <x:c r="E2054" s="66" t="n">
        <x:v>1</x:v>
      </x:c>
      <x:c r="F2054" s="66" t="n">
        <x:v>1</x:v>
      </x:c>
      <x:c r="G2054" s="60" t="n">
        <x:v>3572.0250857925002</x:v>
      </x:c>
      <x:c r="H2054" s="60" t="n">
        <x:v>3572.0250857925002</x:v>
      </x:c>
      <x:c r="I2054" s="62" t="n">
        <x:v>0</x:v>
      </x:c>
      <x:c r="J2054" s="64" t="n">
        <x:v>1</x:v>
      </x:c>
      <x:c r="K2054" s="62" t="n">
        <x:v>524.8074602497728</x:v>
      </x:c>
      <x:c r="L2054" s="60" t="n">
        <x:v>1874625.413223239</x:v>
      </x:c>
      <x:c r="M2054" s="62" t="n">
        <x:v>3.72</x:v>
      </x:c>
      <x:c r="N2054" s="62" t="n">
        <x:v>524.8074602497728</x:v>
      </x:c>
      <x:c r="O2054" s="60" t="n">
        <x:v>1874625.413223239</x:v>
      </x:c>
      <x:c r="P2054" s="60" t="n">
        <x:v>0</x:v>
      </x:c>
      <x:c r="Q2054" s="62" t="n">
        <x:v>1</x:v>
      </x:c>
      <x:c r="R2054" s="64" t="n">
        <x:v>0</x:v>
      </x:c>
    </x:row>
    <x:row r="2055" ht="18" customHeight="1">
      <x:c r="A2055" s="46" t="str">
        <x:v>LME_051</x:v>
      </x:c>
      <x:c r="B2055" s="46" t="str">
        <x:v>Oyashio Current</x:v>
      </x:c>
      <x:c r="C2055" s="46" t="str">
        <x:v>functional</x:v>
      </x:c>
      <x:c r="D2055" s="46" t="str">
        <x:v>Large reef assoc. fish (&gt;=90 cm)</x:v>
      </x:c>
      <x:c r="E2055" s="66" t="n">
        <x:v>4</x:v>
      </x:c>
      <x:c r="F2055" s="66" t="n">
        <x:v>4</x:v>
      </x:c>
      <x:c r="G2055" s="60" t="n">
        <x:v>517.0683802343001</x:v>
      </x:c>
      <x:c r="H2055" s="60" t="n">
        <x:v>517.0683802343001</x:v>
      </x:c>
      <x:c r="I2055" s="62" t="n">
        <x:v>0</x:v>
      </x:c>
      <x:c r="J2055" s="64" t="n">
        <x:v>1</x:v>
      </x:c>
      <x:c r="K2055" s="62" t="n">
        <x:v>456.4840764208385</x:v>
      </x:c>
      <x:c r="L2055" s="60" t="n">
        <x:v>236033.48199767343</x:v>
      </x:c>
      <x:c r="M2055" s="62" t="n">
        <x:v>3.633929986911605</x:v>
      </x:c>
      <x:c r="N2055" s="62" t="n">
        <x:v>430.4572104201677</x:v>
      </x:c>
      <x:c r="O2055" s="60" t="n">
        <x:v>222575.8125521314</x:v>
      </x:c>
      <x:c r="P2055" s="60" t="n">
        <x:v>13457.669445542037</x:v>
      </x:c>
      <x:c r="Q2055" s="62" t="n">
        <x:v>1.060463305923639</x:v>
      </x:c>
      <x:c r="R2055" s="64" t="n">
        <x:v>0.06046330592363894</x:v>
      </x:c>
    </x:row>
    <x:row r="2056" ht="18" customHeight="1">
      <x:c r="A2056" s="46" t="str">
        <x:v>LME_051</x:v>
      </x:c>
      <x:c r="B2056" s="46" t="str">
        <x:v>Oyashio Current</x:v>
      </x:c>
      <x:c r="C2056" s="46" t="str">
        <x:v>functional</x:v>
      </x:c>
      <x:c r="D2056" s="46" t="str">
        <x:v>Large sharks (&gt;=90 cm)</x:v>
      </x:c>
      <x:c r="E2056" s="66" t="n">
        <x:v>4</x:v>
      </x:c>
      <x:c r="F2056" s="66" t="n">
        <x:v>4</x:v>
      </x:c>
      <x:c r="G2056" s="60" t="n">
        <x:v>2626.7946257920003</x:v>
      </x:c>
      <x:c r="H2056" s="60" t="n">
        <x:v>2626.7946257920003</x:v>
      </x:c>
      <x:c r="I2056" s="62" t="n">
        <x:v>0</x:v>
      </x:c>
      <x:c r="J2056" s="64" t="n">
        <x:v>1</x:v>
      </x:c>
      <x:c r="K2056" s="62" t="n">
        <x:v>1023.551922700312</x:v>
      </x:c>
      <x:c r="L2056" s="60" t="n">
        <x:v>2688660.6897682487</x:v>
      </x:c>
      <x:c r="M2056" s="62" t="n">
        <x:v>4.009547548443066</x:v>
      </x:c>
      <x:c r="N2056" s="62" t="n">
        <x:v>1022.2274723699232</x:v>
      </x:c>
      <x:c r="O2056" s="60" t="n">
        <x:v>2685181.630758255</x:v>
      </x:c>
      <x:c r="P2056" s="60" t="n">
        <x:v>3479.0590099939145</x:v>
      </x:c>
      <x:c r="Q2056" s="62" t="n">
        <x:v>1.001295651277419</x:v>
      </x:c>
      <x:c r="R2056" s="64" t="n">
        <x:v>0.0012956512774189807</x:v>
      </x:c>
    </x:row>
    <x:row r="2057" ht="18" customHeight="1">
      <x:c r="A2057" s="46" t="str">
        <x:v>LME_051</x:v>
      </x:c>
      <x:c r="B2057" s="46" t="str">
        <x:v>Oyashio Current</x:v>
      </x:c>
      <x:c r="C2057" s="46" t="str">
        <x:v>functional</x:v>
      </x:c>
      <x:c r="D2057" s="46" t="str">
        <x:v>Lobsters, crabs</x:v>
      </x:c>
      <x:c r="E2057" s="66" t="n">
        <x:v>8</x:v>
      </x:c>
      <x:c r="F2057" s="66" t="n">
        <x:v>8</x:v>
      </x:c>
      <x:c r="G2057" s="60" t="n">
        <x:v>30856.7941180121</x:v>
      </x:c>
      <x:c r="H2057" s="60" t="n">
        <x:v>30856.7941180121</x:v>
      </x:c>
      <x:c r="I2057" s="62" t="n">
        <x:v>0</x:v>
      </x:c>
      <x:c r="J2057" s="64" t="n">
        <x:v>1</x:v>
      </x:c>
      <x:c r="K2057" s="62" t="n">
        <x:v>388.8054029793111</x:v>
      </x:c>
      <x:c r="L2057" s="60" t="n">
        <x:v>11997288.271703333</x:v>
      </x:c>
      <x:c r="M2057" s="62" t="n">
        <x:v>3.3659808892410843</x:v>
      </x:c>
      <x:c r="N2057" s="62" t="n">
        <x:v>232.2634588550773</x:v>
      </x:c>
      <x:c r="O2057" s="60" t="n">
        <x:v>7166905.731028494</x:v>
      </x:c>
      <x:c r="P2057" s="60" t="n">
        <x:v>4830382.540674838</x:v>
      </x:c>
      <x:c r="Q2057" s="62" t="n">
        <x:v>1.6739843834923234</x:v>
      </x:c>
      <x:c r="R2057" s="64" t="n">
        <x:v>0.6739843834923233</x:v>
      </x:c>
    </x:row>
    <x:row r="2058" ht="18" customHeight="1">
      <x:c r="A2058" s="46" t="str">
        <x:v>LME_051</x:v>
      </x:c>
      <x:c r="B2058" s="46" t="str">
        <x:v>Oyashio Current</x:v>
      </x:c>
      <x:c r="C2058" s="46" t="str">
        <x:v>functional</x:v>
      </x:c>
      <x:c r="D2058" s="46" t="str">
        <x:v>Medium bathydemersals (30 - 89 cm)</x:v>
      </x:c>
      <x:c r="E2058" s="66" t="n">
        <x:v>2</x:v>
      </x:c>
      <x:c r="F2058" s="66" t="n">
        <x:v>2</x:v>
      </x:c>
      <x:c r="G2058" s="60" t="n">
        <x:v>148.7713625894</x:v>
      </x:c>
      <x:c r="H2058" s="60" t="n">
        <x:v>148.7713625894</x:v>
      </x:c>
      <x:c r="I2058" s="62" t="n">
        <x:v>0</x:v>
      </x:c>
      <x:c r="J2058" s="64" t="n">
        <x:v>1</x:v>
      </x:c>
      <x:c r="K2058" s="62" t="n">
        <x:v>401.47423273559286</x:v>
      </x:c>
      <x:c r="L2058" s="60" t="n">
        <x:v>59727.868648608055</x:v>
      </x:c>
      <x:c r="M2058" s="62" t="n">
        <x:v>3.5973333174273674</x:v>
      </x:c>
      <x:c r="N2058" s="62" t="n">
        <x:v>395.67017715697915</x:v>
      </x:c>
      <x:c r="O2058" s="60" t="n">
        <x:v>58864.391391633086</x:v>
      </x:c>
      <x:c r="P2058" s="60" t="n">
        <x:v>863.4772569749694</x:v>
      </x:c>
      <x:c r="Q2058" s="62" t="n">
        <x:v>1.014668923547177</x:v>
      </x:c>
      <x:c r="R2058" s="64" t="n">
        <x:v>0.014668923547176995</x:v>
      </x:c>
    </x:row>
    <x:row r="2059" ht="18" customHeight="1">
      <x:c r="A2059" s="46" t="str">
        <x:v>LME_051</x:v>
      </x:c>
      <x:c r="B2059" s="46" t="str">
        <x:v>Oyashio Current</x:v>
      </x:c>
      <x:c r="C2059" s="46" t="str">
        <x:v>functional</x:v>
      </x:c>
      <x:c r="D2059" s="46" t="str">
        <x:v>Medium benthopelagics (30 - 89 cm)</x:v>
      </x:c>
      <x:c r="E2059" s="66" t="n">
        <x:v>6</x:v>
      </x:c>
      <x:c r="F2059" s="66" t="n">
        <x:v>6</x:v>
      </x:c>
      <x:c r="G2059" s="60" t="n">
        <x:v>351840.7501977339</x:v>
      </x:c>
      <x:c r="H2059" s="60" t="n">
        <x:v>351840.7501977339</x:v>
      </x:c>
      <x:c r="I2059" s="62" t="n">
        <x:v>0</x:v>
      </x:c>
      <x:c r="J2059" s="64" t="n">
        <x:v>1</x:v>
      </x:c>
      <x:c r="K2059" s="62" t="n">
        <x:v>371.5035836385117</x:v>
      </x:c>
      <x:c r="L2059" s="60" t="n">
        <x:v>130710099.56852056</x:v>
      </x:c>
      <x:c r="M2059" s="62" t="n">
        <x:v>3.568614862560663</x:v>
      </x:c>
      <x:c r="N2059" s="62" t="n">
        <x:v>370.3521434867621</x:v>
      </x:c>
      <x:c r="O2059" s="60" t="n">
        <x:v>130304976.00172117</x:v>
      </x:c>
      <x:c r="P2059" s="60" t="n">
        <x:v>405123.56679938734</x:v>
      </x:c>
      <x:c r="Q2059" s="62" t="n">
        <x:v>1.0031090414136912</x:v>
      </x:c>
      <x:c r="R2059" s="64" t="n">
        <x:v>0.0031090414136911867</x:v>
      </x:c>
    </x:row>
    <x:row r="2060" ht="18" customHeight="1">
      <x:c r="A2060" s="46" t="str">
        <x:v>LME_051</x:v>
      </x:c>
      <x:c r="B2060" s="46" t="str">
        <x:v>Oyashio Current</x:v>
      </x:c>
      <x:c r="C2060" s="46" t="str">
        <x:v>functional</x:v>
      </x:c>
      <x:c r="D2060" s="46" t="str">
        <x:v>Medium demersals (30 - 89 cm)</x:v>
      </x:c>
      <x:c r="E2060" s="66" t="n">
        <x:v>17</x:v>
      </x:c>
      <x:c r="F2060" s="66" t="n">
        <x:v>17</x:v>
      </x:c>
      <x:c r="G2060" s="60" t="n">
        <x:v>190224.4300565642</x:v>
      </x:c>
      <x:c r="H2060" s="60" t="n">
        <x:v>190224.4300565642</x:v>
      </x:c>
      <x:c r="I2060" s="62" t="n">
        <x:v>0</x:v>
      </x:c>
      <x:c r="J2060" s="64" t="n">
        <x:v>1</x:v>
      </x:c>
      <x:c r="K2060" s="62" t="n">
        <x:v>763.8095892167801</x:v>
      </x:c>
      <x:c r="L2060" s="60" t="n">
        <x:v>145295243.7805004</x:v>
      </x:c>
      <x:c r="M2060" s="62" t="n">
        <x:v>3.549999850780912</x:v>
      </x:c>
      <x:c r="N2060" s="62" t="n">
        <x:v>354.8132673233891</x:v>
      </x:c>
      <x:c r="O2060" s="60" t="n">
        <x:v>67494151.55309904</x:v>
      </x:c>
      <x:c r="P2060" s="60" t="n">
        <x:v>77801092.22740138</x:v>
      </x:c>
      <x:c r="Q2060" s="62" t="n">
        <x:v>2.1527086486329656</x:v>
      </x:c>
      <x:c r="R2060" s="64" t="n">
        <x:v>1.1527086486329658</x:v>
      </x:c>
    </x:row>
    <x:row r="2061" ht="18" customHeight="1">
      <x:c r="A2061" s="46" t="str">
        <x:v>LME_051</x:v>
      </x:c>
      <x:c r="B2061" s="46" t="str">
        <x:v>Oyashio Current</x:v>
      </x:c>
      <x:c r="C2061" s="46" t="str">
        <x:v>functional</x:v>
      </x:c>
      <x:c r="D2061" s="46" t="str">
        <x:v>Medium pelagics (30 - 89 cm)</x:v>
      </x:c>
      <x:c r="E2061" s="66" t="n">
        <x:v>13</x:v>
      </x:c>
      <x:c r="F2061" s="66" t="n">
        <x:v>13</x:v>
      </x:c>
      <x:c r="G2061" s="60" t="n">
        <x:v>258141.85692159808</x:v>
      </x:c>
      <x:c r="H2061" s="60" t="n">
        <x:v>258141.85692159808</x:v>
      </x:c>
      <x:c r="I2061" s="62" t="n">
        <x:v>0</x:v>
      </x:c>
      <x:c r="J2061" s="64" t="n">
        <x:v>1</x:v>
      </x:c>
      <x:c r="K2061" s="62" t="n">
        <x:v>200.13330352636876</x:v>
      </x:c>
      <x:c r="L2061" s="60" t="n">
        <x:v>51662782.604150645</x:v>
      </x:c>
      <x:c r="M2061" s="62" t="n">
        <x:v>3.1962617789148013</x:v>
      </x:c>
      <x:c r="N2061" s="62" t="n">
        <x:v>157.13096544736035</x:v>
      </x:c>
      <x:c r="O2061" s="60" t="n">
        <x:v>40562079.20046507</x:v>
      </x:c>
      <x:c r="P2061" s="60" t="n">
        <x:v>11100703.403685577</x:v>
      </x:c>
      <x:c r="Q2061" s="62" t="n">
        <x:v>1.2736719522888338</x:v>
      </x:c>
      <x:c r="R2061" s="64" t="n">
        <x:v>0.2736719522888339</x:v>
      </x:c>
    </x:row>
    <x:row r="2062" ht="18" customHeight="1">
      <x:c r="A2062" s="46" t="str">
        <x:v>LME_051</x:v>
      </x:c>
      <x:c r="B2062" s="46" t="str">
        <x:v>Oyashio Current</x:v>
      </x:c>
      <x:c r="C2062" s="46" t="str">
        <x:v>functional</x:v>
      </x:c>
      <x:c r="D2062" s="46" t="str">
        <x:v>Medium reef assoc. fish (30 - 89 cm)</x:v>
      </x:c>
      <x:c r="E2062" s="66" t="n">
        <x:v>8</x:v>
      </x:c>
      <x:c r="F2062" s="66" t="n">
        <x:v>8</x:v>
      </x:c>
      <x:c r="G2062" s="60" t="n">
        <x:v>7081.8644284018</x:v>
      </x:c>
      <x:c r="H2062" s="60" t="n">
        <x:v>7081.8644284018</x:v>
      </x:c>
      <x:c r="I2062" s="62" t="n">
        <x:v>0</x:v>
      </x:c>
      <x:c r="J2062" s="64" t="n">
        <x:v>1</x:v>
      </x:c>
      <x:c r="K2062" s="62" t="n">
        <x:v>1044.2915431149197</x:v>
      </x:c>
      <x:c r="L2062" s="60" t="n">
        <x:v>7395531.132066375</x:v>
      </x:c>
      <x:c r="M2062" s="62" t="n">
        <x:v>4.016895062644653</x:v>
      </x:c>
      <x:c r="N2062" s="62" t="n">
        <x:v>1039.6689231961884</x:v>
      </x:c>
      <x:c r="O2062" s="60" t="n">
        <x:v>7362794.36449789</x:v>
      </x:c>
      <x:c r="P2062" s="60" t="n">
        <x:v>32736.76756848488</x:v>
      </x:c>
      <x:c r="Q2062" s="62" t="n">
        <x:v>1.004446242275397</x:v>
      </x:c>
      <x:c r="R2062" s="64" t="n">
        <x:v>0.004446242275396942</x:v>
      </x:c>
    </x:row>
    <x:row r="2063" ht="18" customHeight="1">
      <x:c r="A2063" s="46" t="str">
        <x:v>LME_051</x:v>
      </x:c>
      <x:c r="B2063" s="46" t="str">
        <x:v>Oyashio Current</x:v>
      </x:c>
      <x:c r="C2063" s="46" t="str">
        <x:v>functional</x:v>
      </x:c>
      <x:c r="D2063" s="46" t="str">
        <x:v>Other demersal invertebrates</x:v>
      </x:c>
      <x:c r="E2063" s="66" t="n">
        <x:v>16</x:v>
      </x:c>
      <x:c r="F2063" s="66" t="n">
        <x:v>16</x:v>
      </x:c>
      <x:c r="G2063" s="60" t="n">
        <x:v>38255.7604142387</x:v>
      </x:c>
      <x:c r="H2063" s="60" t="n">
        <x:v>38255.7604142387</x:v>
      </x:c>
      <x:c r="I2063" s="62" t="n">
        <x:v>0</x:v>
      </x:c>
      <x:c r="J2063" s="64" t="n">
        <x:v>1</x:v>
      </x:c>
      <x:c r="K2063" s="62" t="n">
        <x:v>17.331374048558317</x:v>
      </x:c>
      <x:c r="L2063" s="60" t="n">
        <x:v>663024.8932512011</x:v>
      </x:c>
      <x:c r="M2063" s="62" t="n">
        <x:v>2.1148840398089686</x:v>
      </x:c>
      <x:c r="N2063" s="62" t="n">
        <x:v>13.02818868676487</x:v>
      </x:c>
      <x:c r="O2063" s="60" t="n">
        <x:v>498403.26503237203</x:v>
      </x:c>
      <x:c r="P2063" s="60" t="n">
        <x:v>164621.6282188291</x:v>
      </x:c>
      <x:c r="Q2063" s="62" t="n">
        <x:v>1.3302980533406752</x:v>
      </x:c>
      <x:c r="R2063" s="64" t="n">
        <x:v>0.33029805334067525</x:v>
      </x:c>
    </x:row>
    <x:row r="2064" ht="18" customHeight="1">
      <x:c r="A2064" s="46" t="str">
        <x:v>LME_051</x:v>
      </x:c>
      <x:c r="B2064" s="46" t="str">
        <x:v>Oyashio Current</x:v>
      </x:c>
      <x:c r="C2064" s="46" t="str">
        <x:v>functional</x:v>
      </x:c>
      <x:c r="D2064" s="46" t="str">
        <x:v>Shrimps</x:v>
      </x:c>
      <x:c r="E2064" s="66" t="n">
        <x:v>10</x:v>
      </x:c>
      <x:c r="F2064" s="66" t="n">
        <x:v>10</x:v>
      </x:c>
      <x:c r="G2064" s="60" t="n">
        <x:v>13885.118450503</x:v>
      </x:c>
      <x:c r="H2064" s="60" t="n">
        <x:v>13885.118450503</x:v>
      </x:c>
      <x:c r="I2064" s="62" t="n">
        <x:v>0</x:v>
      </x:c>
      <x:c r="J2064" s="64" t="n">
        <x:v>1</x:v>
      </x:c>
      <x:c r="K2064" s="62" t="n">
        <x:v>55.02565785113966</x:v>
      </x:c>
      <x:c r="L2064" s="60" t="n">
        <x:v>764037.7770799246</x:v>
      </x:c>
      <x:c r="M2064" s="62" t="n">
        <x:v>2.7051664286135333</x:v>
      </x:c>
      <x:c r="N2064" s="62" t="n">
        <x:v>50.718503248026146</x:v>
      </x:c>
      <x:c r="O2064" s="60" t="n">
        <x:v>704232.4252310642</x:v>
      </x:c>
      <x:c r="P2064" s="60" t="n">
        <x:v>59805.35184886039</x:v>
      </x:c>
      <x:c r="Q2064" s="62" t="n">
        <x:v>1.0849227466759115</x:v>
      </x:c>
      <x:c r="R2064" s="64" t="n">
        <x:v>0.0849227466759114</x:v>
      </x:c>
    </x:row>
    <x:row r="2065" ht="18" customHeight="1">
      <x:c r="A2065" s="46" t="str">
        <x:v>LME_051</x:v>
      </x:c>
      <x:c r="B2065" s="46" t="str">
        <x:v>Oyashio Current</x:v>
      </x:c>
      <x:c r="C2065" s="46" t="str">
        <x:v>functional</x:v>
      </x:c>
      <x:c r="D2065" s="46" t="str">
        <x:v>Small bathydemersals (&lt;30 cm)</x:v>
      </x:c>
      <x:c r="E2065" s="66" t="n">
        <x:v>1</x:v>
      </x:c>
      <x:c r="F2065" s="66" t="n">
        <x:v>1</x:v>
      </x:c>
      <x:c r="G2065" s="60" t="n">
        <x:v>1511.7817078331</x:v>
      </x:c>
      <x:c r="H2065" s="60" t="n">
        <x:v>1511.7817078331</x:v>
      </x:c>
      <x:c r="I2065" s="62" t="n">
        <x:v>0</x:v>
      </x:c>
      <x:c r="J2065" s="64" t="n">
        <x:v>1</x:v>
      </x:c>
      <x:c r="K2065" s="62" t="n">
        <x:v>323.5936569296281</x:v>
      </x:c>
      <x:c r="L2065" s="60" t="n">
        <x:v>489202.97131703136</x:v>
      </x:c>
      <x:c r="M2065" s="62" t="n">
        <x:v>3.51</x:v>
      </x:c>
      <x:c r="N2065" s="62" t="n">
        <x:v>323.5936569296281</x:v>
      </x:c>
      <x:c r="O2065" s="60" t="n">
        <x:v>489202.97131703136</x:v>
      </x:c>
      <x:c r="P2065" s="60" t="n">
        <x:v>0</x:v>
      </x:c>
      <x:c r="Q2065" s="62" t="n">
        <x:v>1</x:v>
      </x:c>
      <x:c r="R2065" s="64" t="n">
        <x:v>0</x:v>
      </x:c>
    </x:row>
    <x:row r="2066" ht="18" customHeight="1">
      <x:c r="A2066" s="46" t="str">
        <x:v>LME_051</x:v>
      </x:c>
      <x:c r="B2066" s="46" t="str">
        <x:v>Oyashio Current</x:v>
      </x:c>
      <x:c r="C2066" s="46" t="str">
        <x:v>functional</x:v>
      </x:c>
      <x:c r="D2066" s="46" t="str">
        <x:v>Small bathypelagics (&lt;30 cm)</x:v>
      </x:c>
      <x:c r="E2066" s="66" t="n">
        <x:v>1</x:v>
      </x:c>
      <x:c r="F2066" s="66" t="n">
        <x:v>1</x:v>
      </x:c>
      <x:c r="G2066" s="60" t="n">
        <x:v>122.4792590461</x:v>
      </x:c>
      <x:c r="H2066" s="60" t="n">
        <x:v>122.4792590461</x:v>
      </x:c>
      <x:c r="I2066" s="62" t="n">
        <x:v>0</x:v>
      </x:c>
      <x:c r="J2066" s="64" t="n">
        <x:v>1</x:v>
      </x:c>
      <x:c r="K2066" s="62" t="n">
        <x:v>125.89254117941675</x:v>
      </x:c>
      <x:c r="L2066" s="60" t="n">
        <x:v>15419.225163085595</x:v>
      </x:c>
      <x:c r="M2066" s="62" t="n">
        <x:v>3.1</x:v>
      </x:c>
      <x:c r="N2066" s="62" t="n">
        <x:v>125.89254117941675</x:v>
      </x:c>
      <x:c r="O2066" s="60" t="n">
        <x:v>15419.225163085595</x:v>
      </x:c>
      <x:c r="P2066" s="60" t="n">
        <x:v>0</x:v>
      </x:c>
      <x:c r="Q2066" s="62" t="n">
        <x:v>1</x:v>
      </x:c>
      <x:c r="R2066" s="64" t="n">
        <x:v>0</x:v>
      </x:c>
    </x:row>
    <x:row r="2067" ht="18" customHeight="1">
      <x:c r="A2067" s="46" t="str">
        <x:v>LME_051</x:v>
      </x:c>
      <x:c r="B2067" s="46" t="str">
        <x:v>Oyashio Current</x:v>
      </x:c>
      <x:c r="C2067" s="46" t="str">
        <x:v>functional</x:v>
      </x:c>
      <x:c r="D2067" s="46" t="str">
        <x:v>Small benthopelagics (&lt;30 cm)</x:v>
      </x:c>
      <x:c r="E2067" s="66" t="n">
        <x:v>1</x:v>
      </x:c>
      <x:c r="F2067" s="66" t="n">
        <x:v>1</x:v>
      </x:c>
      <x:c r="G2067" s="60" t="n">
        <x:v>0.3810612237</x:v>
      </x:c>
      <x:c r="H2067" s="60" t="n">
        <x:v>0.3810612237</x:v>
      </x:c>
      <x:c r="I2067" s="62" t="n">
        <x:v>0</x:v>
      </x:c>
      <x:c r="J2067" s="64" t="n">
        <x:v>1</x:v>
      </x:c>
      <x:c r="K2067" s="62" t="n">
        <x:v>416.8693834703355</x:v>
      </x:c>
      <x:c r="L2067" s="60" t="n">
        <x:v>158.8527573882706</x:v>
      </x:c>
      <x:c r="M2067" s="62" t="n">
        <x:v>3.6199999999999997</x:v>
      </x:c>
      <x:c r="N2067" s="62" t="n">
        <x:v>416.8693834703351</x:v>
      </x:c>
      <x:c r="O2067" s="60" t="n">
        <x:v>158.85275738827045</x:v>
      </x:c>
      <x:c r="P2067" s="60" t="n">
        <x:v>1.4210854715202004e-13</x:v>
      </x:c>
      <x:c r="Q2067" s="62" t="n">
        <x:v>1.0000000000000009</x:v>
      </x:c>
      <x:c r="R2067" s="64" t="n">
        <x:v>8.94592888964943e-16</x:v>
      </x:c>
    </x:row>
    <x:row r="2068" ht="18" customHeight="1">
      <x:c r="A2068" s="46" t="str">
        <x:v>LME_051</x:v>
      </x:c>
      <x:c r="B2068" s="46" t="str">
        <x:v>Oyashio Current</x:v>
      </x:c>
      <x:c r="C2068" s="46" t="str">
        <x:v>functional</x:v>
      </x:c>
      <x:c r="D2068" s="46" t="str">
        <x:v>Small demersals (&lt;30 cm)</x:v>
      </x:c>
      <x:c r="E2068" s="66" t="n">
        <x:v>1</x:v>
      </x:c>
      <x:c r="F2068" s="66" t="n">
        <x:v>1</x:v>
      </x:c>
      <x:c r="G2068" s="60" t="n">
        <x:v>22632.7971187329</x:v>
      </x:c>
      <x:c r="H2068" s="60" t="n">
        <x:v>22632.7971187329</x:v>
      </x:c>
      <x:c r="I2068" s="62" t="n">
        <x:v>0</x:v>
      </x:c>
      <x:c r="J2068" s="64" t="n">
        <x:v>1</x:v>
      </x:c>
      <x:c r="K2068" s="62" t="n">
        <x:v>99.99999999999999</x:v>
      </x:c>
      <x:c r="L2068" s="60" t="n">
        <x:v>2263279.7118732897</x:v>
      </x:c>
      <x:c r="M2068" s="62" t="n">
        <x:v>3</x:v>
      </x:c>
      <x:c r="N2068" s="62" t="n">
        <x:v>100</x:v>
      </x:c>
      <x:c r="O2068" s="60" t="n">
        <x:v>2263279.7118732897</x:v>
      </x:c>
      <x:c r="P2068" s="60" t="n">
        <x:v>0</x:v>
      </x:c>
      <x:c r="Q2068" s="62" t="n">
        <x:v>1</x:v>
      </x:c>
      <x:c r="R2068" s="64" t="n">
        <x:v>0</x:v>
      </x:c>
    </x:row>
    <x:row r="2069" ht="18" customHeight="1">
      <x:c r="A2069" s="46" t="str">
        <x:v>LME_051</x:v>
      </x:c>
      <x:c r="B2069" s="46" t="str">
        <x:v>Oyashio Current</x:v>
      </x:c>
      <x:c r="C2069" s="46" t="str">
        <x:v>functional</x:v>
      </x:c>
      <x:c r="D2069" s="46" t="str">
        <x:v>Small pelagics (&lt;30 cm)</x:v>
      </x:c>
      <x:c r="E2069" s="66" t="n">
        <x:v>5</x:v>
      </x:c>
      <x:c r="F2069" s="66" t="n">
        <x:v>5</x:v>
      </x:c>
      <x:c r="G2069" s="60" t="n">
        <x:v>18442.835557229697</x:v>
      </x:c>
      <x:c r="H2069" s="60" t="n">
        <x:v>18442.835557229697</x:v>
      </x:c>
      <x:c r="I2069" s="62" t="n">
        <x:v>0</x:v>
      </x:c>
      <x:c r="J2069" s="64" t="n">
        <x:v>1</x:v>
      </x:c>
      <x:c r="K2069" s="62" t="n">
        <x:v>141.83971606772377</x:v>
      </x:c>
      <x:c r="L2069" s="60" t="n">
        <x:v>2615926.55892118</x:v>
      </x:c>
      <x:c r="M2069" s="62" t="n">
        <x:v>3.1498196342150933</x:v>
      </x:c>
      <x:c r="N2069" s="62" t="n">
        <x:v>141.19510288915768</x:v>
      </x:c>
      <x:c r="O2069" s="60" t="n">
        <x:v>2604038.0640708627</x:v>
      </x:c>
      <x:c r="P2069" s="60" t="n">
        <x:v>11888.494850317482</x:v>
      </x:c>
      <x:c r="Q2069" s="62" t="n">
        <x:v>1.004565407477851</x:v>
      </x:c>
      <x:c r="R2069" s="64" t="n">
        <x:v>0.004565407477850894</x:v>
      </x:c>
    </x:row>
    <x:row r="2070" ht="18" customHeight="1">
      <x:c r="A2070" s="46" t="str">
        <x:v>LME_051</x:v>
      </x:c>
      <x:c r="B2070" s="46" t="str">
        <x:v>Oyashio Current</x:v>
      </x:c>
      <x:c r="C2070" s="46" t="str">
        <x:v>functional</x:v>
      </x:c>
      <x:c r="D2070" s="46" t="str">
        <x:v>Small to medium flatfishes (&lt;90 cm)</x:v>
      </x:c>
      <x:c r="E2070" s="66" t="n">
        <x:v>3</x:v>
      </x:c>
      <x:c r="F2070" s="66" t="n">
        <x:v>3</x:v>
      </x:c>
      <x:c r="G2070" s="60" t="n">
        <x:v>28085.066265593498</x:v>
      </x:c>
      <x:c r="H2070" s="60" t="n">
        <x:v>28085.066265593498</x:v>
      </x:c>
      <x:c r="I2070" s="62" t="n">
        <x:v>0</x:v>
      </x:c>
      <x:c r="J2070" s="64" t="n">
        <x:v>1</x:v>
      </x:c>
      <x:c r="K2070" s="62" t="n">
        <x:v>430.4476903484342</x:v>
      </x:c>
      <x:c r="L2070" s="60" t="n">
        <x:v>12089151.907307446</x:v>
      </x:c>
      <x:c r="M2070" s="62" t="n">
        <x:v>3.579753589075183</x:v>
      </x:c>
      <x:c r="N2070" s="62" t="n">
        <x:v>379.9737448382089</x:v>
      </x:c>
      <x:c r="O2070" s="60" t="n">
        <x:v>10671587.802966813</x:v>
      </x:c>
      <x:c r="P2070" s="60" t="n">
        <x:v>1417564.1043406334</x:v>
      </x:c>
      <x:c r="Q2070" s="62" t="n">
        <x:v>1.1328353503258939</x:v>
      </x:c>
      <x:c r="R2070" s="64" t="n">
        <x:v>0.13283535032589394</x:v>
      </x:c>
    </x:row>
    <x:row r="2071" ht="18" customHeight="1">
      <x:c r="A2071" s="46" t="str">
        <x:v>LME_052</x:v>
      </x:c>
      <x:c r="B2071" s="46" t="str">
        <x:v>Sea of Okhotsk</x:v>
      </x:c>
      <x:c r="C2071" s="46" t="str">
        <x:v>functional</x:v>
      </x:c>
      <x:c r="D2071" s="46" t="str">
        <x:v>Cephalopods</x:v>
      </x:c>
      <x:c r="E2071" s="66" t="n">
        <x:v>9</x:v>
      </x:c>
      <x:c r="F2071" s="66" t="n">
        <x:v>9</x:v>
      </x:c>
      <x:c r="G2071" s="60" t="n">
        <x:v>74184.15420765888</x:v>
      </x:c>
      <x:c r="H2071" s="60" t="n">
        <x:v>74184.15420765888</x:v>
      </x:c>
      <x:c r="I2071" s="62" t="n">
        <x:v>0</x:v>
      </x:c>
      <x:c r="J2071" s="64" t="n">
        <x:v>1</x:v>
      </x:c>
      <x:c r="K2071" s="62" t="n">
        <x:v>1311.5151117680725</x:v>
      </x:c>
      <x:c r="L2071" s="60" t="n">
        <x:v>97293639.29707767</x:v>
      </x:c>
      <x:c r="M2071" s="62" t="n">
        <x:v>4.097005641068263</x:v>
      </x:c>
      <x:c r="N2071" s="62" t="n">
        <x:v>1250.275269987356</x:v>
      </x:c>
      <x:c r="O2071" s="60" t="n">
        <x:v>92750613.43076436</x:v>
      </x:c>
      <x:c r="P2071" s="60" t="n">
        <x:v>4543025.8663133085</x:v>
      </x:c>
      <x:c r="Q2071" s="62" t="n">
        <x:v>1.0489810870060126</x:v>
      </x:c>
      <x:c r="R2071" s="64" t="n">
        <x:v>0.048981087006012586</x:v>
      </x:c>
    </x:row>
    <x:row r="2072" ht="18" customHeight="1">
      <x:c r="A2072" s="46" t="str">
        <x:v>LME_052</x:v>
      </x:c>
      <x:c r="B2072" s="46" t="str">
        <x:v>Sea of Okhotsk</x:v>
      </x:c>
      <x:c r="C2072" s="46" t="str">
        <x:v>functional</x:v>
      </x:c>
      <x:c r="D2072" s="46" t="str">
        <x:v>Jellyfish</x:v>
      </x:c>
      <x:c r="E2072" s="66" t="n">
        <x:v>2</x:v>
      </x:c>
      <x:c r="F2072" s="66" t="n">
        <x:v>2</x:v>
      </x:c>
      <x:c r="G2072" s="60" t="n">
        <x:v>31.798045257100004</x:v>
      </x:c>
      <x:c r="H2072" s="60" t="n">
        <x:v>31.798045257100004</x:v>
      </x:c>
      <x:c r="I2072" s="62" t="n">
        <x:v>0</x:v>
      </x:c>
      <x:c r="J2072" s="64" t="n">
        <x:v>1</x:v>
      </x:c>
      <x:c r="K2072" s="62" t="n">
        <x:v>288.40315031266056</x:v>
      </x:c>
      <x:c r="L2072" s="60" t="n">
        <x:v>9170.656425932195</x:v>
      </x:c>
      <x:c r="M2072" s="62" t="n">
        <x:v>3.46</x:v>
      </x:c>
      <x:c r="N2072" s="62" t="n">
        <x:v>288.40315031266056</x:v>
      </x:c>
      <x:c r="O2072" s="60" t="n">
        <x:v>9170.656425932195</x:v>
      </x:c>
      <x:c r="P2072" s="60" t="n">
        <x:v>0</x:v>
      </x:c>
      <x:c r="Q2072" s="62" t="n">
        <x:v>1</x:v>
      </x:c>
      <x:c r="R2072" s="64" t="n">
        <x:v>0</x:v>
      </x:c>
    </x:row>
    <x:row r="2073" ht="18" customHeight="1">
      <x:c r="A2073" s="46" t="str">
        <x:v>LME_052</x:v>
      </x:c>
      <x:c r="B2073" s="46" t="str">
        <x:v>Sea of Okhotsk</x:v>
      </x:c>
      <x:c r="C2073" s="46" t="str">
        <x:v>functional</x:v>
      </x:c>
      <x:c r="D2073" s="46" t="str">
        <x:v>Large bathydemersals (&gt;=90 cm)</x:v>
      </x:c>
      <x:c r="E2073" s="66" t="n">
        <x:v>1</x:v>
      </x:c>
      <x:c r="F2073" s="66" t="n">
        <x:v>1</x:v>
      </x:c>
      <x:c r="G2073" s="60" t="n">
        <x:v>301.6798206571</x:v>
      </x:c>
      <x:c r="H2073" s="60" t="n">
        <x:v>301.6798206571</x:v>
      </x:c>
      <x:c r="I2073" s="62" t="n">
        <x:v>0</x:v>
      </x:c>
      <x:c r="J2073" s="64" t="n">
        <x:v>1</x:v>
      </x:c>
      <x:c r="K2073" s="62" t="n">
        <x:v>691.8309709189363</x:v>
      </x:c>
      <x:c r="L2073" s="60" t="n">
        <x:v>208711.44323185206</x:v>
      </x:c>
      <x:c r="M2073" s="62" t="n">
        <x:v>3.8400000000000003</x:v>
      </x:c>
      <x:c r="N2073" s="62" t="n">
        <x:v>691.8309709189369</x:v>
      </x:c>
      <x:c r="O2073" s="60" t="n">
        <x:v>208711.44323185226</x:v>
      </x:c>
      <x:c r="P2073" s="60" t="n">
        <x:v>-2.0372681319713593e-10</x:v>
      </x:c>
      <x:c r="Q2073" s="62" t="n">
        <x:v>0.999999999999999</x:v>
      </x:c>
      <x:c r="R2073" s="64" t="n">
        <x:v>-9.761171215265901e-16</x:v>
      </x:c>
    </x:row>
    <x:row r="2074" ht="18" customHeight="1">
      <x:c r="A2074" s="46" t="str">
        <x:v>LME_052</x:v>
      </x:c>
      <x:c r="B2074" s="46" t="str">
        <x:v>Sea of Okhotsk</x:v>
      </x:c>
      <x:c r="C2074" s="46" t="str">
        <x:v>functional</x:v>
      </x:c>
      <x:c r="D2074" s="46" t="str">
        <x:v>Large benthopelagics (&gt;=90 cm)</x:v>
      </x:c>
      <x:c r="E2074" s="66" t="n">
        <x:v>10</x:v>
      </x:c>
      <x:c r="F2074" s="66" t="n">
        <x:v>10</x:v>
      </x:c>
      <x:c r="G2074" s="60" t="n">
        <x:v>185039.8224750349</x:v>
      </x:c>
      <x:c r="H2074" s="60" t="n">
        <x:v>185039.8224750349</x:v>
      </x:c>
      <x:c r="I2074" s="62" t="n">
        <x:v>0</x:v>
      </x:c>
      <x:c r="J2074" s="64" t="n">
        <x:v>1</x:v>
      </x:c>
      <x:c r="K2074" s="62" t="n">
        <x:v>686.2115517237751</x:v>
      </x:c>
      <x:c r="L2074" s="60" t="n">
        <x:v>126976463.71128556</x:v>
      </x:c>
      <x:c r="M2074" s="62" t="n">
        <x:v>3.77956182779121</x:v>
      </x:c>
      <x:c r="N2074" s="62" t="n">
        <x:v>601.9519529374157</x:v>
      </x:c>
      <x:c r="O2074" s="60" t="n">
        <x:v>111385082.51003997</x:v>
      </x:c>
      <x:c r="P2074" s="60" t="n">
        <x:v>15591381.201245591</x:v>
      </x:c>
      <x:c r="Q2074" s="62" t="n">
        <x:v>1.1399772828631718</x:v>
      </x:c>
      <x:c r="R2074" s="64" t="n">
        <x:v>0.13997728286317176</x:v>
      </x:c>
    </x:row>
    <x:row r="2075" ht="18" customHeight="1">
      <x:c r="A2075" s="46" t="str">
        <x:v>LME_052</x:v>
      </x:c>
      <x:c r="B2075" s="46" t="str">
        <x:v>Sea of Okhotsk</x:v>
      </x:c>
      <x:c r="C2075" s="46" t="str">
        <x:v>functional</x:v>
      </x:c>
      <x:c r="D2075" s="46" t="str">
        <x:v>Large demersals (&gt;=90 cm)</x:v>
      </x:c>
      <x:c r="E2075" s="66" t="n">
        <x:v>5</x:v>
      </x:c>
      <x:c r="F2075" s="66" t="n">
        <x:v>5</x:v>
      </x:c>
      <x:c r="G2075" s="60" t="n">
        <x:v>157381.2713690131</x:v>
      </x:c>
      <x:c r="H2075" s="60" t="n">
        <x:v>157381.2713690131</x:v>
      </x:c>
      <x:c r="I2075" s="62" t="n">
        <x:v>0</x:v>
      </x:c>
      <x:c r="J2075" s="64" t="n">
        <x:v>1</x:v>
      </x:c>
      <x:c r="K2075" s="62" t="n">
        <x:v>1485.9424069536751</x:v>
      </x:c>
      <x:c r="L2075" s="60" t="n">
        <x:v>233859505.18750083</x:v>
      </x:c>
      <x:c r="M2075" s="62" t="n">
        <x:v>4.171243954756508</x:v>
      </x:c>
      <x:c r="N2075" s="62" t="n">
        <x:v>1483.3510889064376</x:v>
      </x:c>
      <x:c r="O2075" s="60" t="n">
        <x:v>233451680.2587051</x:v>
      </x:c>
      <x:c r="P2075" s="60" t="n">
        <x:v>407824.9287957251</x:v>
      </x:c>
      <x:c r="Q2075" s="62" t="n">
        <x:v>1.0017469350760029</x:v>
      </x:c>
      <x:c r="R2075" s="64" t="n">
        <x:v>0.0017469350760028117</x:v>
      </x:c>
    </x:row>
    <x:row r="2076" ht="18" customHeight="1">
      <x:c r="A2076" s="46" t="str">
        <x:v>LME_052</x:v>
      </x:c>
      <x:c r="B2076" s="46" t="str">
        <x:v>Sea of Okhotsk</x:v>
      </x:c>
      <x:c r="C2076" s="46" t="str">
        <x:v>functional</x:v>
      </x:c>
      <x:c r="D2076" s="46" t="str">
        <x:v>Large flatfishes (&gt;=90 cm)</x:v>
      </x:c>
      <x:c r="E2076" s="66" t="n">
        <x:v>3</x:v>
      </x:c>
      <x:c r="F2076" s="66" t="n">
        <x:v>3</x:v>
      </x:c>
      <x:c r="G2076" s="60" t="n">
        <x:v>4989.8621398865</x:v>
      </x:c>
      <x:c r="H2076" s="60" t="n">
        <x:v>4989.8621398865</x:v>
      </x:c>
      <x:c r="I2076" s="62" t="n">
        <x:v>0</x:v>
      </x:c>
      <x:c r="J2076" s="64" t="n">
        <x:v>1</x:v>
      </x:c>
      <x:c r="K2076" s="62" t="n">
        <x:v>1527.3154825447918</x:v>
      </x:c>
      <x:c r="L2076" s="60" t="n">
        <x:v>7621093.702012737</x:v>
      </x:c>
      <x:c r="M2076" s="62" t="n">
        <x:v>4.178600024017941</x:v>
      </x:c>
      <x:c r="N2076" s="62" t="n">
        <x:v>1508.6900426855743</x:v>
      </x:c>
      <x:c r="O2076" s="60" t="n">
        <x:v>7528155.324820494</x:v>
      </x:c>
      <x:c r="P2076" s="60" t="n">
        <x:v>92938.377192243</x:v>
      </x:c>
      <x:c r="Q2076" s="62" t="n">
        <x:v>1.0123454383155224</x:v>
      </x:c>
      <x:c r="R2076" s="64" t="n">
        <x:v>0.012345438315522412</x:v>
      </x:c>
    </x:row>
    <x:row r="2077" ht="18" customHeight="1">
      <x:c r="A2077" s="46" t="str">
        <x:v>LME_052</x:v>
      </x:c>
      <x:c r="B2077" s="46" t="str">
        <x:v>Sea of Okhotsk</x:v>
      </x:c>
      <x:c r="C2077" s="46" t="str">
        <x:v>functional</x:v>
      </x:c>
      <x:c r="D2077" s="46" t="str">
        <x:v>Large pelagics (&gt;=90 cm)</x:v>
      </x:c>
      <x:c r="E2077" s="66" t="n">
        <x:v>7</x:v>
      </x:c>
      <x:c r="F2077" s="66" t="n">
        <x:v>7</x:v>
      </x:c>
      <x:c r="G2077" s="60" t="n">
        <x:v>1795.3358928863001</x:v>
      </x:c>
      <x:c r="H2077" s="60" t="n">
        <x:v>1795.3358928863001</x:v>
      </x:c>
      <x:c r="I2077" s="62" t="n">
        <x:v>0</x:v>
      </x:c>
      <x:c r="J2077" s="64" t="n">
        <x:v>1</x:v>
      </x:c>
      <x:c r="K2077" s="62" t="n">
        <x:v>1856.8978225645362</x:v>
      </x:c>
      <x:c r="L2077" s="60" t="n">
        <x:v>3333755.3102725283</x:v>
      </x:c>
      <x:c r="M2077" s="62" t="n">
        <x:v>4.260147745535643</x:v>
      </x:c>
      <x:c r="N2077" s="62" t="n">
        <x:v>1820.3200200910728</x:v>
      </x:c>
      <x:c r="O2077" s="60" t="n">
        <x:v>3268085.868609014</x:v>
      </x:c>
      <x:c r="P2077" s="60" t="n">
        <x:v>65669.44166351436</x:v>
      </x:c>
      <x:c r="Q2077" s="62" t="n">
        <x:v>1.0200941604057254</x:v>
      </x:c>
      <x:c r="R2077" s="64" t="n">
        <x:v>0.020094160405725526</x:v>
      </x:c>
    </x:row>
    <x:row r="2078" ht="18" customHeight="1">
      <x:c r="A2078" s="46" t="str">
        <x:v>LME_052</x:v>
      </x:c>
      <x:c r="B2078" s="46" t="str">
        <x:v>Sea of Okhotsk</x:v>
      </x:c>
      <x:c r="C2078" s="46" t="str">
        <x:v>functional</x:v>
      </x:c>
      <x:c r="D2078" s="46" t="str">
        <x:v>Large rays (&gt;=90 cm)</x:v>
      </x:c>
      <x:c r="E2078" s="66" t="n">
        <x:v>1</x:v>
      </x:c>
      <x:c r="F2078" s="66" t="n">
        <x:v>1</x:v>
      </x:c>
      <x:c r="G2078" s="60" t="n">
        <x:v>6855.2835830245</x:v>
      </x:c>
      <x:c r="H2078" s="60" t="n">
        <x:v>6855.2835830245</x:v>
      </x:c>
      <x:c r="I2078" s="62" t="n">
        <x:v>0</x:v>
      </x:c>
      <x:c r="J2078" s="64" t="n">
        <x:v>1</x:v>
      </x:c>
      <x:c r="K2078" s="62" t="n">
        <x:v>524.8074602497728</x:v>
      </x:c>
      <x:c r="L2078" s="60" t="n">
        <x:v>3597703.9664990506</x:v>
      </x:c>
      <x:c r="M2078" s="62" t="n">
        <x:v>3.72</x:v>
      </x:c>
      <x:c r="N2078" s="62" t="n">
        <x:v>524.8074602497728</x:v>
      </x:c>
      <x:c r="O2078" s="60" t="n">
        <x:v>3597703.9664990506</x:v>
      </x:c>
      <x:c r="P2078" s="60" t="n">
        <x:v>0</x:v>
      </x:c>
      <x:c r="Q2078" s="62" t="n">
        <x:v>1</x:v>
      </x:c>
      <x:c r="R2078" s="64" t="n">
        <x:v>0</x:v>
      </x:c>
    </x:row>
    <x:row r="2079" ht="18" customHeight="1">
      <x:c r="A2079" s="46" t="str">
        <x:v>LME_052</x:v>
      </x:c>
      <x:c r="B2079" s="46" t="str">
        <x:v>Sea of Okhotsk</x:v>
      </x:c>
      <x:c r="C2079" s="46" t="str">
        <x:v>functional</x:v>
      </x:c>
      <x:c r="D2079" s="46" t="str">
        <x:v>Large reef assoc. fish (&gt;=90 cm)</x:v>
      </x:c>
      <x:c r="E2079" s="66" t="n">
        <x:v>3</x:v>
      </x:c>
      <x:c r="F2079" s="66" t="n">
        <x:v>3</x:v>
      </x:c>
      <x:c r="G2079" s="60" t="n">
        <x:v>295.2533549568</x:v>
      </x:c>
      <x:c r="H2079" s="60" t="n">
        <x:v>295.2533549568</x:v>
      </x:c>
      <x:c r="I2079" s="62" t="n">
        <x:v>0</x:v>
      </x:c>
      <x:c r="J2079" s="64" t="n">
        <x:v>1</x:v>
      </x:c>
      <x:c r="K2079" s="62" t="n">
        <x:v>471.2303302934107</x:v>
      </x:c>
      <x:c r="L2079" s="60" t="n">
        <x:v>139132.3359765305</x:v>
      </x:c>
      <x:c r="M2079" s="62" t="n">
        <x:v>3.6489863041097608</x:v>
      </x:c>
      <x:c r="N2079" s="62" t="n">
        <x:v>445.64219442473717</x:v>
      </x:c>
      <x:c r="O2079" s="60" t="n">
        <x:v>131577.35301421423</x:v>
      </x:c>
      <x:c r="P2079" s="60" t="n">
        <x:v>7554.9829623162805</x:v>
      </x:c>
      <x:c r="Q2079" s="62" t="n">
        <x:v>1.057418566259652</x:v>
      </x:c>
      <x:c r="R2079" s="64" t="n">
        <x:v>0.05741856625965199</x:v>
      </x:c>
    </x:row>
    <x:row r="2080" ht="18" customHeight="1">
      <x:c r="A2080" s="46" t="str">
        <x:v>LME_052</x:v>
      </x:c>
      <x:c r="B2080" s="46" t="str">
        <x:v>Sea of Okhotsk</x:v>
      </x:c>
      <x:c r="C2080" s="46" t="str">
        <x:v>functional</x:v>
      </x:c>
      <x:c r="D2080" s="46" t="str">
        <x:v>Large sharks (&gt;=90 cm)</x:v>
      </x:c>
      <x:c r="E2080" s="66" t="n">
        <x:v>4</x:v>
      </x:c>
      <x:c r="F2080" s="66" t="n">
        <x:v>4</x:v>
      </x:c>
      <x:c r="G2080" s="60" t="n">
        <x:v>487.8691487123</x:v>
      </x:c>
      <x:c r="H2080" s="60" t="n">
        <x:v>487.8691487123</x:v>
      </x:c>
      <x:c r="I2080" s="62" t="n">
        <x:v>0</x:v>
      </x:c>
      <x:c r="J2080" s="64" t="n">
        <x:v>1</x:v>
      </x:c>
      <x:c r="K2080" s="62" t="n">
        <x:v>1018.5387657783145</x:v>
      </x:c>
      <x:c r="L2080" s="60" t="n">
        <x:v>496913.64059074305</x:v>
      </x:c>
      <x:c r="M2080" s="62" t="n">
        <x:v>4.007396855961081</x:v>
      </x:c>
      <x:c r="N2080" s="62" t="n">
        <x:v>1017.1777598824432</x:v>
      </x:c>
      <x:c r="O2080" s="60" t="n">
        <x:v>496249.64780293184</x:v>
      </x:c>
      <x:c r="P2080" s="60" t="n">
        <x:v>663.9927878112067</x:v>
      </x:c>
      <x:c r="Q2080" s="62" t="n">
        <x:v>1.0013380216807224</x:v>
      </x:c>
      <x:c r="R2080" s="64" t="n">
        <x:v>0.001338021680722458</x:v>
      </x:c>
    </x:row>
    <x:row r="2081" ht="18" customHeight="1">
      <x:c r="A2081" s="46" t="str">
        <x:v>LME_052</x:v>
      </x:c>
      <x:c r="B2081" s="46" t="str">
        <x:v>Sea of Okhotsk</x:v>
      </x:c>
      <x:c r="C2081" s="46" t="str">
        <x:v>functional</x:v>
      </x:c>
      <x:c r="D2081" s="46" t="str">
        <x:v>Lobsters, crabs</x:v>
      </x:c>
      <x:c r="E2081" s="66" t="n">
        <x:v>9</x:v>
      </x:c>
      <x:c r="F2081" s="66" t="n">
        <x:v>9</x:v>
      </x:c>
      <x:c r="G2081" s="60" t="n">
        <x:v>72635.5215268051</x:v>
      </x:c>
      <x:c r="H2081" s="60" t="n">
        <x:v>72635.5215268051</x:v>
      </x:c>
      <x:c r="I2081" s="62" t="n">
        <x:v>0</x:v>
      </x:c>
      <x:c r="J2081" s="64" t="n">
        <x:v>1</x:v>
      </x:c>
      <x:c r="K2081" s="62" t="n">
        <x:v>223.35156989468555</x:v>
      </x:c>
      <x:c r="L2081" s="60" t="n">
        <x:v>16223257.763131145</x:v>
      </x:c>
      <x:c r="M2081" s="62" t="n">
        <x:v>2.971249918651082</x:v>
      </x:c>
      <x:c r="N2081" s="62" t="n">
        <x:v>93.59441166353075</x:v>
      </x:c>
      <x:c r="O2081" s="60" t="n">
        <x:v>6798278.903175046</x:v>
      </x:c>
      <x:c r="P2081" s="60" t="n">
        <x:v>9424978.8599561</x:v>
      </x:c>
      <x:c r="Q2081" s="62" t="n">
        <x:v>2.386377198433899</x:v>
      </x:c>
      <x:c r="R2081" s="64" t="n">
        <x:v>1.386377198433899</x:v>
      </x:c>
    </x:row>
    <x:row r="2082" ht="18" customHeight="1">
      <x:c r="A2082" s="46" t="str">
        <x:v>LME_052</x:v>
      </x:c>
      <x:c r="B2082" s="46" t="str">
        <x:v>Sea of Okhotsk</x:v>
      </x:c>
      <x:c r="C2082" s="46" t="str">
        <x:v>functional</x:v>
      </x:c>
      <x:c r="D2082" s="46" t="str">
        <x:v>Medium bathydemersals (30 - 89 cm)</x:v>
      </x:c>
      <x:c r="E2082" s="66" t="n">
        <x:v>2</x:v>
      </x:c>
      <x:c r="F2082" s="66" t="n">
        <x:v>2</x:v>
      </x:c>
      <x:c r="G2082" s="60" t="n">
        <x:v>608.9024194958</x:v>
      </x:c>
      <x:c r="H2082" s="60" t="n">
        <x:v>608.9024194958</x:v>
      </x:c>
      <x:c r="I2082" s="62" t="n">
        <x:v>0</x:v>
      </x:c>
      <x:c r="J2082" s="64" t="n">
        <x:v>1</x:v>
      </x:c>
      <x:c r="K2082" s="62" t="n">
        <x:v>389.2778699061341</x:v>
      </x:c>
      <x:c r="L2082" s="60" t="n">
        <x:v>237032.2368420163</x:v>
      </x:c>
      <x:c r="M2082" s="62" t="n">
        <x:v>3.579376293845122</x:v>
      </x:c>
      <x:c r="N2082" s="62" t="n">
        <x:v>379.6437843340529</x:v>
      </x:c>
      <x:c r="O2082" s="60" t="n">
        <x:v>231166.0188275465</x:v>
      </x:c>
      <x:c r="P2082" s="60" t="n">
        <x:v>5866.218014469807</x:v>
      </x:c>
      <x:c r="Q2082" s="62" t="n">
        <x:v>1.0253766450805475</x:v>
      </x:c>
      <x:c r="R2082" s="64" t="n">
        <x:v>0.025376645080547492</x:v>
      </x:c>
    </x:row>
    <x:row r="2083" ht="18" customHeight="1">
      <x:c r="A2083" s="46" t="str">
        <x:v>LME_052</x:v>
      </x:c>
      <x:c r="B2083" s="46" t="str">
        <x:v>Sea of Okhotsk</x:v>
      </x:c>
      <x:c r="C2083" s="46" t="str">
        <x:v>functional</x:v>
      </x:c>
      <x:c r="D2083" s="46" t="str">
        <x:v>Medium benthopelagics (30 - 89 cm)</x:v>
      </x:c>
      <x:c r="E2083" s="66" t="n">
        <x:v>5</x:v>
      </x:c>
      <x:c r="F2083" s="66" t="n">
        <x:v>5</x:v>
      </x:c>
      <x:c r="G2083" s="60" t="n">
        <x:v>2643249.4572871537</x:v>
      </x:c>
      <x:c r="H2083" s="60" t="n">
        <x:v>2643249.4572871537</x:v>
      </x:c>
      <x:c r="I2083" s="62" t="n">
        <x:v>0</x:v>
      </x:c>
      <x:c r="J2083" s="64" t="n">
        <x:v>1</x:v>
      </x:c>
      <x:c r="K2083" s="62" t="n">
        <x:v>372.09747291650996</x:v>
      </x:c>
      <x:c r="L2083" s="60" t="n">
        <x:v>983546443.3444864</x:v>
      </x:c>
      <x:c r="M2083" s="62" t="n">
        <x:v>3.5703546708235447</x:v>
      </x:c>
      <x:c r="N2083" s="62" t="n">
        <x:v>371.83877089324795</x:v>
      </x:c>
      <x:c r="O2083" s="60" t="n">
        <x:v>982862629.3619</x:v>
      </x:c>
      <x:c r="P2083" s="60" t="n">
        <x:v>683813.9825863838</x:v>
      </x:c>
      <x:c r="Q2083" s="62" t="n">
        <x:v>1.0006957370869114</x:v>
      </x:c>
      <x:c r="R2083" s="64" t="n">
        <x:v>0.0006957370869114575</x:v>
      </x:c>
    </x:row>
    <x:row r="2084" ht="18" customHeight="1">
      <x:c r="A2084" s="46" t="str">
        <x:v>LME_052</x:v>
      </x:c>
      <x:c r="B2084" s="46" t="str">
        <x:v>Sea of Okhotsk</x:v>
      </x:c>
      <x:c r="C2084" s="46" t="str">
        <x:v>functional</x:v>
      </x:c>
      <x:c r="D2084" s="46" t="str">
        <x:v>Medium demersals (30 - 89 cm)</x:v>
      </x:c>
      <x:c r="E2084" s="66" t="n">
        <x:v>17</x:v>
      </x:c>
      <x:c r="F2084" s="66" t="n">
        <x:v>17</x:v>
      </x:c>
      <x:c r="G2084" s="60" t="n">
        <x:v>775814.2436010564</x:v>
      </x:c>
      <x:c r="H2084" s="60" t="n">
        <x:v>775814.2436010564</x:v>
      </x:c>
      <x:c r="I2084" s="62" t="n">
        <x:v>0</x:v>
      </x:c>
      <x:c r="J2084" s="64" t="n">
        <x:v>1</x:v>
      </x:c>
      <x:c r="K2084" s="62" t="n">
        <x:v>1488.8385461573246</x:v>
      </x:c>
      <x:c r="L2084" s="60" t="n">
        <x:v>1155062150.5311413</x:v>
      </x:c>
      <x:c r="M2084" s="62" t="n">
        <x:v>3.8447834858620724</x:v>
      </x:c>
      <x:c r="N2084" s="62" t="n">
        <x:v>699.4931821718845</x:v>
      </x:c>
      <x:c r="O2084" s="60" t="n">
        <x:v>542676774.0307765</x:v>
      </x:c>
      <x:c r="P2084" s="60" t="n">
        <x:v>612385376.5003648</x:v>
      </x:c>
      <x:c r="Q2084" s="62" t="n">
        <x:v>2.1284532631677267</x:v>
      </x:c>
      <x:c r="R2084" s="64" t="n">
        <x:v>1.1284532631677267</x:v>
      </x:c>
    </x:row>
    <x:row r="2085" ht="18" customHeight="1">
      <x:c r="A2085" s="46" t="str">
        <x:v>LME_052</x:v>
      </x:c>
      <x:c r="B2085" s="46" t="str">
        <x:v>Sea of Okhotsk</x:v>
      </x:c>
      <x:c r="C2085" s="46" t="str">
        <x:v>functional</x:v>
      </x:c>
      <x:c r="D2085" s="46" t="str">
        <x:v>Medium pelagics (30 - 89 cm)</x:v>
      </x:c>
      <x:c r="E2085" s="66" t="n">
        <x:v>12</x:v>
      </x:c>
      <x:c r="F2085" s="66" t="n">
        <x:v>12</x:v>
      </x:c>
      <x:c r="G2085" s="60" t="n">
        <x:v>663237.9448536249</x:v>
      </x:c>
      <x:c r="H2085" s="60" t="n">
        <x:v>663237.9448536249</x:v>
      </x:c>
      <x:c r="I2085" s="62" t="n">
        <x:v>0</x:v>
      </x:c>
      <x:c r="J2085" s="64" t="n">
        <x:v>1</x:v>
      </x:c>
      <x:c r="K2085" s="62" t="n">
        <x:v>172.42577815203737</x:v>
      </x:c>
      <x:c r="L2085" s="60" t="n">
        <x:v>114359318.74134432</x:v>
      </x:c>
      <x:c r="M2085" s="62" t="n">
        <x:v>3.1843472718801715</x:v>
      </x:c>
      <x:c r="N2085" s="62" t="n">
        <x:v>152.8788023766304</x:v>
      </x:c>
      <x:c r="O2085" s="60" t="n">
        <x:v>101395022.69995981</x:v>
      </x:c>
      <x:c r="P2085" s="60" t="n">
        <x:v>12964296.041384503</x:v>
      </x:c>
      <x:c r="Q2085" s="62" t="n">
        <x:v>1.1278592942352548</x:v>
      </x:c>
      <x:c r="R2085" s="64" t="n">
        <x:v>0.12785929423525483</x:v>
      </x:c>
    </x:row>
    <x:row r="2086" ht="18" customHeight="1">
      <x:c r="A2086" s="46" t="str">
        <x:v>LME_052</x:v>
      </x:c>
      <x:c r="B2086" s="46" t="str">
        <x:v>Sea of Okhotsk</x:v>
      </x:c>
      <x:c r="C2086" s="46" t="str">
        <x:v>functional</x:v>
      </x:c>
      <x:c r="D2086" s="46" t="str">
        <x:v>Medium reef assoc. fish (30 - 89 cm)</x:v>
      </x:c>
      <x:c r="E2086" s="66" t="n">
        <x:v>4</x:v>
      </x:c>
      <x:c r="F2086" s="66" t="n">
        <x:v>4</x:v>
      </x:c>
      <x:c r="G2086" s="60" t="n">
        <x:v>696.6869505685</x:v>
      </x:c>
      <x:c r="H2086" s="60" t="n">
        <x:v>696.6869505685</x:v>
      </x:c>
      <x:c r="I2086" s="62" t="n">
        <x:v>0</x:v>
      </x:c>
      <x:c r="J2086" s="64" t="n">
        <x:v>1</x:v>
      </x:c>
      <x:c r="K2086" s="62" t="n">
        <x:v>1011.3196042854587</x:v>
      </x:c>
      <x:c r="L2086" s="60" t="n">
        <x:v>704573.1711597784</x:v>
      </x:c>
      <x:c r="M2086" s="62" t="n">
        <x:v>3.969506152943133</x:v>
      </x:c>
      <x:c r="N2086" s="62" t="n">
        <x:v>932.1936772652352</x:v>
      </x:c>
      <x:c r="O2086" s="60" t="n">
        <x:v>649447.1703531533</x:v>
      </x:c>
      <x:c r="P2086" s="60" t="n">
        <x:v>55126.00080662512</x:v>
      </x:c>
      <x:c r="Q2086" s="62" t="n">
        <x:v>1.0848814242683495</x:v>
      </x:c>
      <x:c r="R2086" s="64" t="n">
        <x:v>0.0848814242683496</x:v>
      </x:c>
    </x:row>
    <x:row r="2087" ht="18" customHeight="1">
      <x:c r="A2087" s="46" t="str">
        <x:v>LME_052</x:v>
      </x:c>
      <x:c r="B2087" s="46" t="str">
        <x:v>Sea of Okhotsk</x:v>
      </x:c>
      <x:c r="C2087" s="46" t="str">
        <x:v>functional</x:v>
      </x:c>
      <x:c r="D2087" s="46" t="str">
        <x:v>Other demersal invertebrates</x:v>
      </x:c>
      <x:c r="E2087" s="66" t="n">
        <x:v>15</x:v>
      </x:c>
      <x:c r="F2087" s="66" t="n">
        <x:v>15</x:v>
      </x:c>
      <x:c r="G2087" s="60" t="n">
        <x:v>45596.07779321559</x:v>
      </x:c>
      <x:c r="H2087" s="60" t="n">
        <x:v>45596.07779321559</x:v>
      </x:c>
      <x:c r="I2087" s="62" t="n">
        <x:v>0</x:v>
      </x:c>
      <x:c r="J2087" s="64" t="n">
        <x:v>1</x:v>
      </x:c>
      <x:c r="K2087" s="62" t="n">
        <x:v>25.767344033508195</x:v>
      </x:c>
      <x:c r="L2087" s="60" t="n">
        <x:v>1174889.8230763893</x:v>
      </x:c>
      <x:c r="M2087" s="62" t="n">
        <x:v>2.2300422028008473</x:v>
      </x:c>
      <x:c r="N2087" s="62" t="n">
        <x:v>16.984086882245066</x:v>
      </x:c>
      <x:c r="O2087" s="60" t="n">
        <x:v>774407.7467295785</x:v>
      </x:c>
      <x:c r="P2087" s="60" t="n">
        <x:v>400482.0763468108</x:v>
      </x:c>
      <x:c r="Q2087" s="62" t="n">
        <x:v>1.5171462682780448</x:v>
      </x:c>
      <x:c r="R2087" s="64" t="n">
        <x:v>0.5171462682780449</x:v>
      </x:c>
    </x:row>
    <x:row r="2088" ht="18" customHeight="1">
      <x:c r="A2088" s="46" t="str">
        <x:v>LME_052</x:v>
      </x:c>
      <x:c r="B2088" s="46" t="str">
        <x:v>Sea of Okhotsk</x:v>
      </x:c>
      <x:c r="C2088" s="46" t="str">
        <x:v>functional</x:v>
      </x:c>
      <x:c r="D2088" s="46" t="str">
        <x:v>Shrimps</x:v>
      </x:c>
      <x:c r="E2088" s="66" t="n">
        <x:v>10</x:v>
      </x:c>
      <x:c r="F2088" s="66" t="n">
        <x:v>10</x:v>
      </x:c>
      <x:c r="G2088" s="60" t="n">
        <x:v>33568.46112087091</x:v>
      </x:c>
      <x:c r="H2088" s="60" t="n">
        <x:v>33568.46112087091</x:v>
      </x:c>
      <x:c r="I2088" s="62" t="n">
        <x:v>0</x:v>
      </x:c>
      <x:c r="J2088" s="64" t="n">
        <x:v>1</x:v>
      </x:c>
      <x:c r="K2088" s="62" t="n">
        <x:v>73.01142494687797</x:v>
      </x:c>
      <x:c r="L2088" s="60" t="n">
        <x:v>2450881.1797086573</x:v>
      </x:c>
      <x:c r="M2088" s="62" t="n">
        <x:v>2.812218757096653</x:v>
      </x:c>
      <x:c r="N2088" s="62" t="n">
        <x:v>64.89612374421881</x:v>
      </x:c>
      <x:c r="O2088" s="60" t="n">
        <x:v>2178463.0068030367</x:v>
      </x:c>
      <x:c r="P2088" s="60" t="n">
        <x:v>272418.17290562065</x:v>
      </x:c>
      <x:c r="Q2088" s="62" t="n">
        <x:v>1.1250506306762595</x:v>
      </x:c>
      <x:c r="R2088" s="64" t="n">
        <x:v>0.12505063067625966</x:v>
      </x:c>
    </x:row>
    <x:row r="2089" ht="18" customHeight="1">
      <x:c r="A2089" s="46" t="str">
        <x:v>LME_052</x:v>
      </x:c>
      <x:c r="B2089" s="46" t="str">
        <x:v>Sea of Okhotsk</x:v>
      </x:c>
      <x:c r="C2089" s="46" t="str">
        <x:v>functional</x:v>
      </x:c>
      <x:c r="D2089" s="46" t="str">
        <x:v>Small bathydemersals (&lt;30 cm)</x:v>
      </x:c>
      <x:c r="E2089" s="66" t="n">
        <x:v>1</x:v>
      </x:c>
      <x:c r="F2089" s="66" t="n">
        <x:v>1</x:v>
      </x:c>
      <x:c r="G2089" s="60" t="n">
        <x:v>1189.3235408127</x:v>
      </x:c>
      <x:c r="H2089" s="60" t="n">
        <x:v>1189.3235408127</x:v>
      </x:c>
      <x:c r="I2089" s="62" t="n">
        <x:v>0</x:v>
      </x:c>
      <x:c r="J2089" s="64" t="n">
        <x:v>1</x:v>
      </x:c>
      <x:c r="K2089" s="62" t="n">
        <x:v>323.5936569296281</x:v>
      </x:c>
      <x:c r="L2089" s="60" t="n">
        <x:v>384857.55384407536</x:v>
      </x:c>
      <x:c r="M2089" s="62" t="n">
        <x:v>3.51</x:v>
      </x:c>
      <x:c r="N2089" s="62" t="n">
        <x:v>323.5936569296281</x:v>
      </x:c>
      <x:c r="O2089" s="60" t="n">
        <x:v>384857.55384407536</x:v>
      </x:c>
      <x:c r="P2089" s="60" t="n">
        <x:v>0</x:v>
      </x:c>
      <x:c r="Q2089" s="62" t="n">
        <x:v>1</x:v>
      </x:c>
      <x:c r="R2089" s="64" t="n">
        <x:v>0</x:v>
      </x:c>
    </x:row>
    <x:row r="2090" ht="18" customHeight="1">
      <x:c r="A2090" s="46" t="str">
        <x:v>LME_052</x:v>
      </x:c>
      <x:c r="B2090" s="46" t="str">
        <x:v>Sea of Okhotsk</x:v>
      </x:c>
      <x:c r="C2090" s="46" t="str">
        <x:v>functional</x:v>
      </x:c>
      <x:c r="D2090" s="46" t="str">
        <x:v>Small bathypelagics (&lt;30 cm)</x:v>
      </x:c>
      <x:c r="E2090" s="66" t="n">
        <x:v>1</x:v>
      </x:c>
      <x:c r="F2090" s="66" t="n">
        <x:v>1</x:v>
      </x:c>
      <x:c r="G2090" s="60" t="n">
        <x:v>194.2687440237</x:v>
      </x:c>
      <x:c r="H2090" s="60" t="n">
        <x:v>194.2687440237</x:v>
      </x:c>
      <x:c r="I2090" s="62" t="n">
        <x:v>0</x:v>
      </x:c>
      <x:c r="J2090" s="64" t="n">
        <x:v>1</x:v>
      </x:c>
      <x:c r="K2090" s="62" t="n">
        <x:v>125.89254117941675</x:v>
      </x:c>
      <x:c r="L2090" s="60" t="n">
        <x:v>24456.985856877225</x:v>
      </x:c>
      <x:c r="M2090" s="62" t="n">
        <x:v>3.1</x:v>
      </x:c>
      <x:c r="N2090" s="62" t="n">
        <x:v>125.89254117941675</x:v>
      </x:c>
      <x:c r="O2090" s="60" t="n">
        <x:v>24456.985856877225</x:v>
      </x:c>
      <x:c r="P2090" s="60" t="n">
        <x:v>0</x:v>
      </x:c>
      <x:c r="Q2090" s="62" t="n">
        <x:v>1</x:v>
      </x:c>
      <x:c r="R2090" s="64" t="n">
        <x:v>0</x:v>
      </x:c>
    </x:row>
    <x:row r="2091" ht="18" customHeight="1">
      <x:c r="A2091" s="46" t="str">
        <x:v>LME_052</x:v>
      </x:c>
      <x:c r="B2091" s="46" t="str">
        <x:v>Sea of Okhotsk</x:v>
      </x:c>
      <x:c r="C2091" s="46" t="str">
        <x:v>functional</x:v>
      </x:c>
      <x:c r="D2091" s="46" t="str">
        <x:v>Small benthopelagics (&lt;30 cm)</x:v>
      </x:c>
      <x:c r="E2091" s="66" t="n">
        <x:v>1</x:v>
      </x:c>
      <x:c r="F2091" s="66" t="n">
        <x:v>1</x:v>
      </x:c>
      <x:c r="G2091" s="60" t="n">
        <x:v>0.9564359593</x:v>
      </x:c>
      <x:c r="H2091" s="60" t="n">
        <x:v>0.9564359593</x:v>
      </x:c>
      <x:c r="I2091" s="62" t="n">
        <x:v>0</x:v>
      </x:c>
      <x:c r="J2091" s="64" t="n">
        <x:v>1</x:v>
      </x:c>
      <x:c r="K2091" s="62" t="n">
        <x:v>416.8693834703355</x:v>
      </x:c>
      <x:c r="L2091" s="60" t="n">
        <x:v>398.7088686822499</x:v>
      </x:c>
      <x:c r="M2091" s="62" t="n">
        <x:v>3.62</x:v>
      </x:c>
      <x:c r="N2091" s="62" t="n">
        <x:v>416.8693834703355</x:v>
      </x:c>
      <x:c r="O2091" s="60" t="n">
        <x:v>398.7088686822499</x:v>
      </x:c>
      <x:c r="P2091" s="60" t="n">
        <x:v>0</x:v>
      </x:c>
      <x:c r="Q2091" s="62" t="n">
        <x:v>1</x:v>
      </x:c>
      <x:c r="R2091" s="64" t="n">
        <x:v>0</x:v>
      </x:c>
    </x:row>
    <x:row r="2092" ht="18" customHeight="1">
      <x:c r="A2092" s="46" t="str">
        <x:v>LME_052</x:v>
      </x:c>
      <x:c r="B2092" s="46" t="str">
        <x:v>Sea of Okhotsk</x:v>
      </x:c>
      <x:c r="C2092" s="46" t="str">
        <x:v>functional</x:v>
      </x:c>
      <x:c r="D2092" s="46" t="str">
        <x:v>Small demersals (&lt;30 cm)</x:v>
      </x:c>
      <x:c r="E2092" s="66" t="n">
        <x:v>1</x:v>
      </x:c>
      <x:c r="F2092" s="66" t="n">
        <x:v>1</x:v>
      </x:c>
      <x:c r="G2092" s="60" t="n">
        <x:v>22825.8619399928</x:v>
      </x:c>
      <x:c r="H2092" s="60" t="n">
        <x:v>22825.8619399928</x:v>
      </x:c>
      <x:c r="I2092" s="62" t="n">
        <x:v>0</x:v>
      </x:c>
      <x:c r="J2092" s="64" t="n">
        <x:v>1</x:v>
      </x:c>
      <x:c r="K2092" s="62" t="n">
        <x:v>99.99999999999999</x:v>
      </x:c>
      <x:c r="L2092" s="60" t="n">
        <x:v>2282586.1939992798</x:v>
      </x:c>
      <x:c r="M2092" s="62" t="n">
        <x:v>3</x:v>
      </x:c>
      <x:c r="N2092" s="62" t="n">
        <x:v>100</x:v>
      </x:c>
      <x:c r="O2092" s="60" t="n">
        <x:v>2282586.1939992798</x:v>
      </x:c>
      <x:c r="P2092" s="60" t="n">
        <x:v>0</x:v>
      </x:c>
      <x:c r="Q2092" s="62" t="n">
        <x:v>1</x:v>
      </x:c>
      <x:c r="R2092" s="64" t="n">
        <x:v>0</x:v>
      </x:c>
    </x:row>
    <x:row r="2093" ht="18" customHeight="1">
      <x:c r="A2093" s="46" t="str">
        <x:v>LME_052</x:v>
      </x:c>
      <x:c r="B2093" s="46" t="str">
        <x:v>Sea of Okhotsk</x:v>
      </x:c>
      <x:c r="C2093" s="46" t="str">
        <x:v>functional</x:v>
      </x:c>
      <x:c r="D2093" s="46" t="str">
        <x:v>Small pelagics (&lt;30 cm)</x:v>
      </x:c>
      <x:c r="E2093" s="66" t="n">
        <x:v>5</x:v>
      </x:c>
      <x:c r="F2093" s="66" t="n">
        <x:v>5</x:v>
      </x:c>
      <x:c r="G2093" s="60" t="n">
        <x:v>41662.9902237496</x:v>
      </x:c>
      <x:c r="H2093" s="60" t="n">
        <x:v>41662.9902237496</x:v>
      </x:c>
      <x:c r="I2093" s="62" t="n">
        <x:v>0</x:v>
      </x:c>
      <x:c r="J2093" s="64" t="n">
        <x:v>1</x:v>
      </x:c>
      <x:c r="K2093" s="62" t="n">
        <x:v>155.63737075094548</x:v>
      </x:c>
      <x:c r="L2093" s="60" t="n">
        <x:v>6484318.256046733</x:v>
      </x:c>
      <x:c r="M2093" s="62" t="n">
        <x:v>3.179729706268943</x:v>
      </x:c>
      <x:c r="N2093" s="62" t="n">
        <x:v>151.26195398677083</x:v>
      </x:c>
      <x:c r="O2093" s="60" t="n">
        <x:v>6302025.310176095</x:v>
      </x:c>
      <x:c r="P2093" s="60" t="n">
        <x:v>182292.9458706379</x:v>
      </x:c>
      <x:c r="Q2093" s="62" t="n">
        <x:v>1.0289260891377703</x:v>
      </x:c>
      <x:c r="R2093" s="64" t="n">
        <x:v>0.028926089137770245</x:v>
      </x:c>
    </x:row>
    <x:row r="2094" ht="18" customHeight="1">
      <x:c r="A2094" s="46" t="str">
        <x:v>LME_052</x:v>
      </x:c>
      <x:c r="B2094" s="46" t="str">
        <x:v>Sea of Okhotsk</x:v>
      </x:c>
      <x:c r="C2094" s="46" t="str">
        <x:v>functional</x:v>
      </x:c>
      <x:c r="D2094" s="46" t="str">
        <x:v>Small to medium flatfishes (&lt;90 cm)</x:v>
      </x:c>
      <x:c r="E2094" s="66" t="n">
        <x:v>3</x:v>
      </x:c>
      <x:c r="F2094" s="66" t="n">
        <x:v>3</x:v>
      </x:c>
      <x:c r="G2094" s="60" t="n">
        <x:v>68209.09915070189</x:v>
      </x:c>
      <x:c r="H2094" s="60" t="n">
        <x:v>68209.09915070189</x:v>
      </x:c>
      <x:c r="I2094" s="62" t="n">
        <x:v>0</x:v>
      </x:c>
      <x:c r="J2094" s="64" t="n">
        <x:v>1</x:v>
      </x:c>
      <x:c r="K2094" s="62" t="n">
        <x:v>631.472747435941</x:v>
      </x:c>
      <x:c r="L2094" s="60" t="n">
        <x:v>43072187.24082423</x:v>
      </x:c>
      <x:c r="M2094" s="62" t="n">
        <x:v>3.6681899729578498</x:v>
      </x:c>
      <x:c r="N2094" s="62" t="n">
        <x:v>465.7897988861427</x:v>
      </x:c>
      <x:c r="O2094" s="60" t="n">
        <x:v>31771102.575610403</x:v>
      </x:c>
      <x:c r="P2094" s="60" t="n">
        <x:v>11301084.665213827</x:v>
      </x:c>
      <x:c r="Q2094" s="62" t="n">
        <x:v>1.355703257018511</x:v>
      </x:c>
      <x:c r="R2094" s="64" t="n">
        <x:v>0.3557032570185111</x:v>
      </x:c>
    </x:row>
    <x:row r="2095" ht="18" customHeight="1">
      <x:c r="A2095" s="46" t="str">
        <x:v>LME_053</x:v>
      </x:c>
      <x:c r="B2095" s="46" t="str">
        <x:v>West Bering Sea</x:v>
      </x:c>
      <x:c r="C2095" s="46" t="str">
        <x:v>functional</x:v>
      </x:c>
      <x:c r="D2095" s="46" t="str">
        <x:v>Cephalopods</x:v>
      </x:c>
      <x:c r="E2095" s="66" t="n">
        <x:v>5</x:v>
      </x:c>
      <x:c r="F2095" s="66" t="n">
        <x:v>5</x:v>
      </x:c>
      <x:c r="G2095" s="60" t="n">
        <x:v>29423.1921881003</x:v>
      </x:c>
      <x:c r="H2095" s="60" t="n">
        <x:v>29423.1921881003</x:v>
      </x:c>
      <x:c r="I2095" s="62" t="n">
        <x:v>0</x:v>
      </x:c>
      <x:c r="J2095" s="64" t="n">
        <x:v>1</x:v>
      </x:c>
      <x:c r="K2095" s="62" t="n">
        <x:v>1283.7062391783277</x:v>
      </x:c>
      <x:c r="L2095" s="60" t="n">
        <x:v>37770735.38840739</x:v>
      </x:c>
      <x:c r="M2095" s="62" t="n">
        <x:v>4.0983166425123</x:v>
      </x:c>
      <x:c r="N2095" s="62" t="n">
        <x:v>1254.0551687255884</x:v>
      </x:c>
      <x:c r="O2095" s="60" t="n">
        <x:v>36898306.243893534</x:v>
      </x:c>
      <x:c r="P2095" s="60" t="n">
        <x:v>872429.1445138529</x:v>
      </x:c>
      <x:c r="Q2095" s="62" t="n">
        <x:v>1.023644151543087</x:v>
      </x:c>
      <x:c r="R2095" s="64" t="n">
        <x:v>0.023644151543087025</x:v>
      </x:c>
    </x:row>
    <x:row r="2096" ht="18" customHeight="1">
      <x:c r="A2096" s="46" t="str">
        <x:v>LME_053</x:v>
      </x:c>
      <x:c r="B2096" s="46" t="str">
        <x:v>West Bering Sea</x:v>
      </x:c>
      <x:c r="C2096" s="46" t="str">
        <x:v>functional</x:v>
      </x:c>
      <x:c r="D2096" s="46" t="str">
        <x:v>Jellyfish</x:v>
      </x:c>
      <x:c r="E2096" s="66" t="n">
        <x:v>1</x:v>
      </x:c>
      <x:c r="F2096" s="66" t="n">
        <x:v>1</x:v>
      </x:c>
      <x:c r="G2096" s="60" t="n">
        <x:v>90.2704306015</x:v>
      </x:c>
      <x:c r="H2096" s="60" t="n">
        <x:v>90.2704306015</x:v>
      </x:c>
      <x:c r="I2096" s="62" t="n">
        <x:v>0</x:v>
      </x:c>
      <x:c r="J2096" s="64" t="n">
        <x:v>1</x:v>
      </x:c>
      <x:c r="K2096" s="62" t="n">
        <x:v>288.40315031266056</x:v>
      </x:c>
      <x:c r="L2096" s="60" t="n">
        <x:v>26034.276565553</x:v>
      </x:c>
      <x:c r="M2096" s="62" t="n">
        <x:v>3.46</x:v>
      </x:c>
      <x:c r="N2096" s="62" t="n">
        <x:v>288.40315031266056</x:v>
      </x:c>
      <x:c r="O2096" s="60" t="n">
        <x:v>26034.276565553</x:v>
      </x:c>
      <x:c r="P2096" s="60" t="n">
        <x:v>0</x:v>
      </x:c>
      <x:c r="Q2096" s="62" t="n">
        <x:v>1</x:v>
      </x:c>
      <x:c r="R2096" s="64" t="n">
        <x:v>0</x:v>
      </x:c>
    </x:row>
    <x:row r="2097" ht="18" customHeight="1">
      <x:c r="A2097" s="46" t="str">
        <x:v>LME_053</x:v>
      </x:c>
      <x:c r="B2097" s="46" t="str">
        <x:v>West Bering Sea</x:v>
      </x:c>
      <x:c r="C2097" s="46" t="str">
        <x:v>functional</x:v>
      </x:c>
      <x:c r="D2097" s="46" t="str">
        <x:v>Large bathydemersals (&gt;=90 cm)</x:v>
      </x:c>
      <x:c r="E2097" s="66" t="n">
        <x:v>1</x:v>
      </x:c>
      <x:c r="F2097" s="66" t="n">
        <x:v>1</x:v>
      </x:c>
      <x:c r="G2097" s="60" t="n">
        <x:v>18.5198210184</x:v>
      </x:c>
      <x:c r="H2097" s="60" t="n">
        <x:v>18.5198210184</x:v>
      </x:c>
      <x:c r="I2097" s="62" t="n">
        <x:v>0</x:v>
      </x:c>
      <x:c r="J2097" s="64" t="n">
        <x:v>1</x:v>
      </x:c>
      <x:c r="K2097" s="62" t="n">
        <x:v>691.8309709189363</x:v>
      </x:c>
      <x:c r="L2097" s="60" t="n">
        <x:v>12812.585756404595</x:v>
      </x:c>
      <x:c r="M2097" s="62" t="n">
        <x:v>3.8400000000000003</x:v>
      </x:c>
      <x:c r="N2097" s="62" t="n">
        <x:v>691.8309709189369</x:v>
      </x:c>
      <x:c r="O2097" s="60" t="n">
        <x:v>12812.585756404605</x:v>
      </x:c>
      <x:c r="P2097" s="60" t="n">
        <x:v>-1.0913936421275139e-11</x:v>
      </x:c>
      <x:c r="Q2097" s="62" t="n">
        <x:v>0.9999999999999991</x:v>
      </x:c>
      <x:c r="R2097" s="64" t="n">
        <x:v>-8.518137266569793e-16</x:v>
      </x:c>
    </x:row>
    <x:row r="2098" ht="18" customHeight="1">
      <x:c r="A2098" s="46" t="str">
        <x:v>LME_053</x:v>
      </x:c>
      <x:c r="B2098" s="46" t="str">
        <x:v>West Bering Sea</x:v>
      </x:c>
      <x:c r="C2098" s="46" t="str">
        <x:v>functional</x:v>
      </x:c>
      <x:c r="D2098" s="46" t="str">
        <x:v>Large benthopelagics (&gt;=90 cm)</x:v>
      </x:c>
      <x:c r="E2098" s="66" t="n">
        <x:v>7</x:v>
      </x:c>
      <x:c r="F2098" s="66" t="n">
        <x:v>7</x:v>
      </x:c>
      <x:c r="G2098" s="60" t="n">
        <x:v>35793.013380934004</x:v>
      </x:c>
      <x:c r="H2098" s="60" t="n">
        <x:v>35793.013380934004</x:v>
      </x:c>
      <x:c r="I2098" s="62" t="n">
        <x:v>0</x:v>
      </x:c>
      <x:c r="J2098" s="64" t="n">
        <x:v>1</x:v>
      </x:c>
      <x:c r="K2098" s="62" t="n">
        <x:v>617.2661835190835</x:v>
      </x:c>
      <x:c r="L2098" s="60" t="n">
        <x:v>22093816.76629662</x:v>
      </x:c>
      <x:c r="M2098" s="62" t="n">
        <x:v>3.749026832611323</x:v>
      </x:c>
      <x:c r="N2098" s="62" t="n">
        <x:v>561.0826410995487</x:v>
      </x:c>
      <x:c r="O2098" s="60" t="n">
        <x:v>20082838.48068594</x:v>
      </x:c>
      <x:c r="P2098" s="60" t="n">
        <x:v>2010978.2856106833</x:v>
      </x:c>
      <x:c r="Q2098" s="62" t="n">
        <x:v>1.1001341661710162</x:v>
      </x:c>
      <x:c r="R2098" s="64" t="n">
        <x:v>0.10013416617101616</x:v>
      </x:c>
    </x:row>
    <x:row r="2099" ht="18" customHeight="1">
      <x:c r="A2099" s="46" t="str">
        <x:v>LME_053</x:v>
      </x:c>
      <x:c r="B2099" s="46" t="str">
        <x:v>West Bering Sea</x:v>
      </x:c>
      <x:c r="C2099" s="46" t="str">
        <x:v>functional</x:v>
      </x:c>
      <x:c r="D2099" s="46" t="str">
        <x:v>Large demersals (&gt;=90 cm)</x:v>
      </x:c>
      <x:c r="E2099" s="66" t="n">
        <x:v>2</x:v>
      </x:c>
      <x:c r="F2099" s="66" t="n">
        <x:v>2</x:v>
      </x:c>
      <x:c r="G2099" s="60" t="n">
        <x:v>24448.8637201099</x:v>
      </x:c>
      <x:c r="H2099" s="60" t="n">
        <x:v>24448.8637201099</x:v>
      </x:c>
      <x:c r="I2099" s="62" t="n">
        <x:v>0</x:v>
      </x:c>
      <x:c r="J2099" s="64" t="n">
        <x:v>1</x:v>
      </x:c>
      <x:c r="K2099" s="62" t="n">
        <x:v>1492.9695892412028</x:v>
      </x:c>
      <x:c r="L2099" s="60" t="n">
        <x:v>36501410.02562662</x:v>
      </x:c>
      <x:c r="M2099" s="62" t="n">
        <x:v>4.173316961196745</x:v>
      </x:c>
      <x:c r="N2099" s="62" t="n">
        <x:v>1490.4484550470409</x:v>
      </x:c>
      <x:c r="O2099" s="60" t="n">
        <x:v>36439771.15929345</x:v>
      </x:c>
      <x:c r="P2099" s="60" t="n">
        <x:v>61638.866333171725</x:v>
      </x:c>
      <x:c r="Q2099" s="62" t="n">
        <x:v>1.0016915272618954</x:v>
      </x:c>
      <x:c r="R2099" s="64" t="n">
        <x:v>0.0016915272618953207</x:v>
      </x:c>
    </x:row>
    <x:row r="2100" ht="18" customHeight="1">
      <x:c r="A2100" s="46" t="str">
        <x:v>LME_053</x:v>
      </x:c>
      <x:c r="B2100" s="46" t="str">
        <x:v>West Bering Sea</x:v>
      </x:c>
      <x:c r="C2100" s="46" t="str">
        <x:v>functional</x:v>
      </x:c>
      <x:c r="D2100" s="46" t="str">
        <x:v>Large flatfishes (&gt;=90 cm)</x:v>
      </x:c>
      <x:c r="E2100" s="66" t="n">
        <x:v>2</x:v>
      </x:c>
      <x:c r="F2100" s="66" t="n">
        <x:v>2</x:v>
      </x:c>
      <x:c r="G2100" s="60" t="n">
        <x:v>631.5496346164</x:v>
      </x:c>
      <x:c r="H2100" s="60" t="n">
        <x:v>631.5496346164</x:v>
      </x:c>
      <x:c r="I2100" s="62" t="n">
        <x:v>0</x:v>
      </x:c>
      <x:c r="J2100" s="64" t="n">
        <x:v>1</x:v>
      </x:c>
      <x:c r="K2100" s="62" t="n">
        <x:v>1479.8127394382652</x:v>
      </x:c>
      <x:c r="L2100" s="60" t="n">
        <x:v>934575.1948929303</x:v>
      </x:c>
      <x:c r="M2100" s="62" t="n">
        <x:v>4.1658727010407866</x:v>
      </x:c>
      <x:c r="N2100" s="62" t="n">
        <x:v>1465.1183273817057</x:v>
      </x:c>
      <x:c r="O2100" s="60" t="n">
        <x:v>925294.9443277074</x:v>
      </x:c>
      <x:c r="P2100" s="60" t="n">
        <x:v>9280.25056522293</x:v>
      </x:c>
      <x:c r="Q2100" s="62" t="n">
        <x:v>1.0100295053183994</x:v>
      </x:c>
      <x:c r="R2100" s="64" t="n">
        <x:v>0.010029505318399521</x:v>
      </x:c>
    </x:row>
    <x:row r="2101" ht="18" customHeight="1">
      <x:c r="A2101" s="46" t="str">
        <x:v>LME_053</x:v>
      </x:c>
      <x:c r="B2101" s="46" t="str">
        <x:v>West Bering Sea</x:v>
      </x:c>
      <x:c r="C2101" s="46" t="str">
        <x:v>functional</x:v>
      </x:c>
      <x:c r="D2101" s="46" t="str">
        <x:v>Large rays (&gt;=90 cm)</x:v>
      </x:c>
      <x:c r="E2101" s="66" t="n">
        <x:v>1</x:v>
      </x:c>
      <x:c r="F2101" s="66" t="n">
        <x:v>1</x:v>
      </x:c>
      <x:c r="G2101" s="60" t="n">
        <x:v>3226.378593176</x:v>
      </x:c>
      <x:c r="H2101" s="60" t="n">
        <x:v>3226.378593176</x:v>
      </x:c>
      <x:c r="I2101" s="62" t="n">
        <x:v>0</x:v>
      </x:c>
      <x:c r="J2101" s="64" t="n">
        <x:v>1</x:v>
      </x:c>
      <x:c r="K2101" s="62" t="n">
        <x:v>524.8074602497728</x:v>
      </x:c>
      <x:c r="L2101" s="60" t="n">
        <x:v>1693227.5552889316</x:v>
      </x:c>
      <x:c r="M2101" s="62" t="n">
        <x:v>3.7200000000000006</x:v>
      </x:c>
      <x:c r="N2101" s="62" t="n">
        <x:v>524.8074602497734</x:v>
      </x:c>
      <x:c r="O2101" s="60" t="n">
        <x:v>1693227.5552889332</x:v>
      </x:c>
      <x:c r="P2101" s="60" t="n">
        <x:v>-1.6298145055770874e-9</x:v>
      </x:c>
      <x:c r="Q2101" s="62" t="n">
        <x:v>0.999999999999999</x:v>
      </x:c>
      <x:c r="R2101" s="64" t="n">
        <x:v>-9.625490091312476e-16</x:v>
      </x:c>
    </x:row>
    <x:row r="2102" ht="18" customHeight="1">
      <x:c r="A2102" s="46" t="str">
        <x:v>LME_053</x:v>
      </x:c>
      <x:c r="B2102" s="46" t="str">
        <x:v>West Bering Sea</x:v>
      </x:c>
      <x:c r="C2102" s="46" t="str">
        <x:v>functional</x:v>
      </x:c>
      <x:c r="D2102" s="46" t="str">
        <x:v>Large sharks (&gt;=90 cm)</x:v>
      </x:c>
      <x:c r="E2102" s="66" t="n">
        <x:v>1</x:v>
      </x:c>
      <x:c r="F2102" s="66" t="n">
        <x:v>1</x:v>
      </x:c>
      <x:c r="G2102" s="60" t="n">
        <x:v>2.6947672231000004</x:v>
      </x:c>
      <x:c r="H2102" s="60" t="n">
        <x:v>2.6947672231000004</x:v>
      </x:c>
      <x:c r="I2102" s="62" t="n">
        <x:v>0</x:v>
      </x:c>
      <x:c r="J2102" s="64" t="n">
        <x:v>1</x:v>
      </x:c>
      <x:c r="K2102" s="62" t="n">
        <x:v>1122.018454301963</x:v>
      </x:c>
      <x:c r="L2102" s="60" t="n">
        <x:v>3023.5785543662555</x:v>
      </x:c>
      <x:c r="M2102" s="62" t="n">
        <x:v>4.05</x:v>
      </x:c>
      <x:c r="N2102" s="62" t="n">
        <x:v>1122.018454301963</x:v>
      </x:c>
      <x:c r="O2102" s="60" t="n">
        <x:v>3023.5785543662555</x:v>
      </x:c>
      <x:c r="P2102" s="60" t="n">
        <x:v>0</x:v>
      </x:c>
      <x:c r="Q2102" s="62" t="n">
        <x:v>1</x:v>
      </x:c>
      <x:c r="R2102" s="64" t="n">
        <x:v>0</x:v>
      </x:c>
    </x:row>
    <x:row r="2103" ht="18" customHeight="1">
      <x:c r="A2103" s="46" t="str">
        <x:v>LME_053</x:v>
      </x:c>
      <x:c r="B2103" s="46" t="str">
        <x:v>West Bering Sea</x:v>
      </x:c>
      <x:c r="C2103" s="46" t="str">
        <x:v>functional</x:v>
      </x:c>
      <x:c r="D2103" s="46" t="str">
        <x:v>Lobsters, crabs</x:v>
      </x:c>
      <x:c r="E2103" s="66" t="n">
        <x:v>6</x:v>
      </x:c>
      <x:c r="F2103" s="66" t="n">
        <x:v>6</x:v>
      </x:c>
      <x:c r="G2103" s="60" t="n">
        <x:v>24858.0365366239</x:v>
      </x:c>
      <x:c r="H2103" s="60" t="n">
        <x:v>24858.0365366239</x:v>
      </x:c>
      <x:c r="I2103" s="62" t="n">
        <x:v>0</x:v>
      </x:c>
      <x:c r="J2103" s="64" t="n">
        <x:v>1</x:v>
      </x:c>
      <x:c r="K2103" s="62" t="n">
        <x:v>109.85609064876019</x:v>
      </x:c>
      <x:c r="L2103" s="60" t="n">
        <x:v>2730806.7151175477</x:v>
      </x:c>
      <x:c r="M2103" s="62" t="n">
        <x:v>2.628227246556657</x:v>
      </x:c>
      <x:c r="N2103" s="62" t="n">
        <x:v>42.484180619784716</x:v>
      </x:c>
      <x:c r="O2103" s="60" t="n">
        <x:v>1056073.3140751375</x:v>
      </x:c>
      <x:c r="P2103" s="60" t="n">
        <x:v>1674733.4010424102</x:v>
      </x:c>
      <x:c r="Q2103" s="62" t="n">
        <x:v>2.585811684399078</x:v>
      </x:c>
      <x:c r="R2103" s="64" t="n">
        <x:v>1.585811684399078</x:v>
      </x:c>
    </x:row>
    <x:row r="2104" ht="18" customHeight="1">
      <x:c r="A2104" s="46" t="str">
        <x:v>LME_053</x:v>
      </x:c>
      <x:c r="B2104" s="46" t="str">
        <x:v>West Bering Sea</x:v>
      </x:c>
      <x:c r="C2104" s="46" t="str">
        <x:v>functional</x:v>
      </x:c>
      <x:c r="D2104" s="46" t="str">
        <x:v>Medium bathydemersals (30 - 89 cm)</x:v>
      </x:c>
      <x:c r="E2104" s="66" t="n">
        <x:v>2</x:v>
      </x:c>
      <x:c r="F2104" s="66" t="n">
        <x:v>2</x:v>
      </x:c>
      <x:c r="G2104" s="60" t="n">
        <x:v>53.916510077000005</x:v>
      </x:c>
      <x:c r="H2104" s="60" t="n">
        <x:v>53.916510077000005</x:v>
      </x:c>
      <x:c r="I2104" s="62" t="n">
        <x:v>0</x:v>
      </x:c>
      <x:c r="J2104" s="64" t="n">
        <x:v>1</x:v>
      </x:c>
      <x:c r="K2104" s="62" t="n">
        <x:v>374.2579688034806</x:v>
      </x:c>
      <x:c r="L2104" s="60" t="n">
        <x:v>20178.683546390414</x:v>
      </x:c>
      <x:c r="M2104" s="62" t="n">
        <x:v>3.5572621011079315</x:v>
      </x:c>
      <x:c r="N2104" s="62" t="n">
        <x:v>360.79632155497563</x:v>
      </x:c>
      <x:c r="O2104" s="60" t="n">
        <x:v>19452.878506863377</x:v>
      </x:c>
      <x:c r="P2104" s="60" t="n">
        <x:v>725.8050395270366</x:v>
      </x:c>
      <x:c r="Q2104" s="62" t="n">
        <x:v>1.0373109326350318</x:v>
      </x:c>
      <x:c r="R2104" s="64" t="n">
        <x:v>0.037310932635031754</x:v>
      </x:c>
    </x:row>
    <x:row r="2105" ht="18" customHeight="1">
      <x:c r="A2105" s="46" t="str">
        <x:v>LME_053</x:v>
      </x:c>
      <x:c r="B2105" s="46" t="str">
        <x:v>West Bering Sea</x:v>
      </x:c>
      <x:c r="C2105" s="46" t="str">
        <x:v>functional</x:v>
      </x:c>
      <x:c r="D2105" s="46" t="str">
        <x:v>Medium benthopelagics (30 - 89 cm)</x:v>
      </x:c>
      <x:c r="E2105" s="66" t="n">
        <x:v>3</x:v>
      </x:c>
      <x:c r="F2105" s="66" t="n">
        <x:v>3</x:v>
      </x:c>
      <x:c r="G2105" s="60" t="n">
        <x:v>237528.47553457308</x:v>
      </x:c>
      <x:c r="H2105" s="60" t="n">
        <x:v>237528.47553457308</x:v>
      </x:c>
      <x:c r="I2105" s="62" t="n">
        <x:v>0</x:v>
      </x:c>
      <x:c r="J2105" s="64" t="n">
        <x:v>1</x:v>
      </x:c>
      <x:c r="K2105" s="62" t="n">
        <x:v>371.9673153847355</x:v>
      </x:c>
      <x:c r="L2105" s="60" t="n">
        <x:v>88352829.37202398</x:v>
      </x:c>
      <x:c r="M2105" s="62" t="n">
        <x:v>3.570350553801467</x:v>
      </x:c>
      <x:c r="N2105" s="62" t="n">
        <x:v>371.8352459551314</x:v>
      </x:c>
      <x:c r="O2105" s="60" t="n">
        <x:v>88321459.1217454</x:v>
      </x:c>
      <x:c r="P2105" s="60" t="n">
        <x:v>31370.25027859211</x:v>
      </x:c>
      <x:c r="Q2105" s="62" t="n">
        <x:v>1.0003551826542556</x:v>
      </x:c>
      <x:c r="R2105" s="64" t="n">
        <x:v>0.0003551826542556352</x:v>
      </x:c>
    </x:row>
    <x:row r="2106" ht="18" customHeight="1">
      <x:c r="A2106" s="46" t="str">
        <x:v>LME_053</x:v>
      </x:c>
      <x:c r="B2106" s="46" t="str">
        <x:v>West Bering Sea</x:v>
      </x:c>
      <x:c r="C2106" s="46" t="str">
        <x:v>functional</x:v>
      </x:c>
      <x:c r="D2106" s="46" t="str">
        <x:v>Medium demersals (30 - 89 cm)</x:v>
      </x:c>
      <x:c r="E2106" s="66" t="n">
        <x:v>7</x:v>
      </x:c>
      <x:c r="F2106" s="66" t="n">
        <x:v>7</x:v>
      </x:c>
      <x:c r="G2106" s="60" t="n">
        <x:v>230123.27332873974</x:v>
      </x:c>
      <x:c r="H2106" s="60" t="n">
        <x:v>230123.27332873974</x:v>
      </x:c>
      <x:c r="I2106" s="62" t="n">
        <x:v>0</x:v>
      </x:c>
      <x:c r="J2106" s="64" t="n">
        <x:v>1</x:v>
      </x:c>
      <x:c r="K2106" s="62" t="n">
        <x:v>1277.7649551842396</x:v>
      </x:c>
      <x:c r="L2106" s="60" t="n">
        <x:v>294043454.03174764</x:v>
      </x:c>
      <x:c r="M2106" s="62" t="n">
        <x:v>3.7606954183207546</x:v>
      </x:c>
      <x:c r="N2106" s="62" t="n">
        <x:v>576.3621043273982</x:v>
      </x:c>
      <x:c r="O2106" s="60" t="n">
        <x:v>132634334.07046148</x:v>
      </x:c>
      <x:c r="P2106" s="60" t="n">
        <x:v>161409119.96128616</x:v>
      </x:c>
      <x:c r="Q2106" s="62" t="n">
        <x:v>2.216948244151761</x:v>
      </x:c>
      <x:c r="R2106" s="64" t="n">
        <x:v>1.2169482441517607</x:v>
      </x:c>
    </x:row>
    <x:row r="2107" ht="18" customHeight="1">
      <x:c r="A2107" s="46" t="str">
        <x:v>LME_053</x:v>
      </x:c>
      <x:c r="B2107" s="46" t="str">
        <x:v>West Bering Sea</x:v>
      </x:c>
      <x:c r="C2107" s="46" t="str">
        <x:v>functional</x:v>
      </x:c>
      <x:c r="D2107" s="46" t="str">
        <x:v>Medium pelagics (30 - 89 cm)</x:v>
      </x:c>
      <x:c r="E2107" s="66" t="n">
        <x:v>5</x:v>
      </x:c>
      <x:c r="F2107" s="66" t="n">
        <x:v>5</x:v>
      </x:c>
      <x:c r="G2107" s="60" t="n">
        <x:v>76451.8157791084</x:v>
      </x:c>
      <x:c r="H2107" s="60" t="n">
        <x:v>76451.8157791084</x:v>
      </x:c>
      <x:c r="I2107" s="62" t="n">
        <x:v>0</x:v>
      </x:c>
      <x:c r="J2107" s="64" t="n">
        <x:v>1</x:v>
      </x:c>
      <x:c r="K2107" s="62" t="n">
        <x:v>179.26075341640728</x:v>
      </x:c>
      <x:c r="L2107" s="60" t="n">
        <x:v>13704810.096615344</x:v>
      </x:c>
      <x:c r="M2107" s="62" t="n">
        <x:v>3.2041633653728767</x:v>
      </x:c>
      <x:c r="N2107" s="62" t="n">
        <x:v>160.01598358188141</x:v>
      </x:c>
      <x:c r="O2107" s="60" t="n">
        <x:v>12233512.498514831</x:v>
      </x:c>
      <x:c r="P2107" s="60" t="n">
        <x:v>1471297.5981005132</x:v>
      </x:c>
      <x:c r="Q2107" s="62" t="n">
        <x:v>1.1202677970271524</x:v>
      </x:c>
      <x:c r="R2107" s="64" t="n">
        <x:v>0.12026779702715236</x:v>
      </x:c>
    </x:row>
    <x:row r="2108" ht="18" customHeight="1">
      <x:c r="A2108" s="46" t="str">
        <x:v>LME_053</x:v>
      </x:c>
      <x:c r="B2108" s="46" t="str">
        <x:v>West Bering Sea</x:v>
      </x:c>
      <x:c r="C2108" s="46" t="str">
        <x:v>functional</x:v>
      </x:c>
      <x:c r="D2108" s="46" t="str">
        <x:v>Medium reef assoc. fish (30 - 89 cm)</x:v>
      </x:c>
      <x:c r="E2108" s="66" t="n">
        <x:v>1</x:v>
      </x:c>
      <x:c r="F2108" s="66" t="n">
        <x:v>1</x:v>
      </x:c>
      <x:c r="G2108" s="60" t="n">
        <x:v>9.7934661029</x:v>
      </x:c>
      <x:c r="H2108" s="60" t="n">
        <x:v>9.7934661029</x:v>
      </x:c>
      <x:c r="I2108" s="62" t="n">
        <x:v>0</x:v>
      </x:c>
      <x:c r="J2108" s="64" t="n">
        <x:v>1</x:v>
      </x:c>
      <x:c r="K2108" s="62" t="n">
        <x:v>33.88441561392024</x:v>
      </x:c>
      <x:c r="L2108" s="60" t="n">
        <x:v>331.8458757315034</x:v>
      </x:c>
      <x:c r="M2108" s="62" t="n">
        <x:v>2.53</x:v>
      </x:c>
      <x:c r="N2108" s="62" t="n">
        <x:v>33.88441561392024</x:v>
      </x:c>
      <x:c r="O2108" s="60" t="n">
        <x:v>331.8458757315034</x:v>
      </x:c>
      <x:c r="P2108" s="60" t="n">
        <x:v>0</x:v>
      </x:c>
      <x:c r="Q2108" s="62" t="n">
        <x:v>1</x:v>
      </x:c>
      <x:c r="R2108" s="64" t="n">
        <x:v>0</x:v>
      </x:c>
    </x:row>
    <x:row r="2109" ht="18" customHeight="1">
      <x:c r="A2109" s="46" t="str">
        <x:v>LME_053</x:v>
      </x:c>
      <x:c r="B2109" s="46" t="str">
        <x:v>West Bering Sea</x:v>
      </x:c>
      <x:c r="C2109" s="46" t="str">
        <x:v>functional</x:v>
      </x:c>
      <x:c r="D2109" s="46" t="str">
        <x:v>Other demersal invertebrates</x:v>
      </x:c>
      <x:c r="E2109" s="66" t="n">
        <x:v>7</x:v>
      </x:c>
      <x:c r="F2109" s="66" t="n">
        <x:v>7</x:v>
      </x:c>
      <x:c r="G2109" s="60" t="n">
        <x:v>3641.713393941999</x:v>
      </x:c>
      <x:c r="H2109" s="60" t="n">
        <x:v>3641.713393941999</x:v>
      </x:c>
      <x:c r="I2109" s="62" t="n">
        <x:v>0</x:v>
      </x:c>
      <x:c r="J2109" s="64" t="n">
        <x:v>1</x:v>
      </x:c>
      <x:c r="K2109" s="62" t="n">
        <x:v>63.303813310332714</x:v>
      </x:c>
      <x:c r="L2109" s="60" t="n">
        <x:v>230534.34481984246</x:v>
      </x:c>
      <x:c r="M2109" s="62" t="n">
        <x:v>2.7031675215283903</x:v>
      </x:c>
      <x:c r="N2109" s="62" t="n">
        <x:v>50.48559994138582</x:v>
      </x:c>
      <x:c r="O2109" s="60" t="n">
        <x:v>183854.08550774216</x:v>
      </x:c>
      <x:c r="P2109" s="60" t="n">
        <x:v>46680.2593121003</x:v>
      </x:c>
      <x:c r="Q2109" s="62" t="n">
        <x:v>1.2538984063540681</x:v>
      </x:c>
      <x:c r="R2109" s="64" t="n">
        <x:v>0.2538984063540681</x:v>
      </x:c>
    </x:row>
    <x:row r="2110" ht="18" customHeight="1">
      <x:c r="A2110" s="46" t="str">
        <x:v>LME_053</x:v>
      </x:c>
      <x:c r="B2110" s="46" t="str">
        <x:v>West Bering Sea</x:v>
      </x:c>
      <x:c r="C2110" s="46" t="str">
        <x:v>functional</x:v>
      </x:c>
      <x:c r="D2110" s="46" t="str">
        <x:v>Shrimps</x:v>
      </x:c>
      <x:c r="E2110" s="66" t="n">
        <x:v>6</x:v>
      </x:c>
      <x:c r="F2110" s="66" t="n">
        <x:v>6</x:v>
      </x:c>
      <x:c r="G2110" s="60" t="n">
        <x:v>10388.844141261103</x:v>
      </x:c>
      <x:c r="H2110" s="60" t="n">
        <x:v>10388.844141261103</x:v>
      </x:c>
      <x:c r="I2110" s="62" t="n">
        <x:v>0</x:v>
      </x:c>
      <x:c r="J2110" s="64" t="n">
        <x:v>1</x:v>
      </x:c>
      <x:c r="K2110" s="62" t="n">
        <x:v>58.94349788368014</x:v>
      </x:c>
      <x:c r="L2110" s="60" t="n">
        <x:v>612354.8126543066</x:v>
      </x:c>
      <x:c r="M2110" s="62" t="n">
        <x:v>2.7449182058040047</x:v>
      </x:c>
      <x:c r="N2110" s="62" t="n">
        <x:v>55.57995691795003</x:v>
      </x:c>
      <x:c r="O2110" s="60" t="n">
        <x:v>577411.5097985896</x:v>
      </x:c>
      <x:c r="P2110" s="60" t="n">
        <x:v>34943.30285571702</x:v>
      </x:c>
      <x:c r="Q2110" s="62" t="n">
        <x:v>1.0605171567638232</x:v>
      </x:c>
      <x:c r="R2110" s="64" t="n">
        <x:v>0.060517156763823084</x:v>
      </x:c>
    </x:row>
    <x:row r="2111" ht="18" customHeight="1">
      <x:c r="A2111" s="46" t="str">
        <x:v>LME_053</x:v>
      </x:c>
      <x:c r="B2111" s="46" t="str">
        <x:v>West Bering Sea</x:v>
      </x:c>
      <x:c r="C2111" s="46" t="str">
        <x:v>functional</x:v>
      </x:c>
      <x:c r="D2111" s="46" t="str">
        <x:v>Small demersals (&lt;30 cm)</x:v>
      </x:c>
      <x:c r="E2111" s="66" t="n">
        <x:v>1</x:v>
      </x:c>
      <x:c r="F2111" s="66" t="n">
        <x:v>1</x:v>
      </x:c>
      <x:c r="G2111" s="60" t="n">
        <x:v>3096.1231134459003</x:v>
      </x:c>
      <x:c r="H2111" s="60" t="n">
        <x:v>3096.1231134459003</x:v>
      </x:c>
      <x:c r="I2111" s="62" t="n">
        <x:v>0</x:v>
      </x:c>
      <x:c r="J2111" s="64" t="n">
        <x:v>1</x:v>
      </x:c>
      <x:c r="K2111" s="62" t="n">
        <x:v>100</x:v>
      </x:c>
      <x:c r="L2111" s="60" t="n">
        <x:v>309612.31134459004</x:v>
      </x:c>
      <x:c r="M2111" s="62" t="n">
        <x:v>2.9999999999999996</x:v>
      </x:c>
      <x:c r="N2111" s="62" t="n">
        <x:v>99.9999999999999</x:v>
      </x:c>
      <x:c r="O2111" s="60" t="n">
        <x:v>309612.31134458975</x:v>
      </x:c>
      <x:c r="P2111" s="60" t="n">
        <x:v>2.9103830456733704e-10</x:v>
      </x:c>
      <x:c r="Q2111" s="62" t="n">
        <x:v>1.0000000000000009</x:v>
      </x:c>
      <x:c r="R2111" s="64" t="n">
        <x:v>9.400088236265891e-16</x:v>
      </x:c>
    </x:row>
    <x:row r="2112" ht="18" customHeight="1">
      <x:c r="A2112" s="46" t="str">
        <x:v>LME_053</x:v>
      </x:c>
      <x:c r="B2112" s="46" t="str">
        <x:v>West Bering Sea</x:v>
      </x:c>
      <x:c r="C2112" s="46" t="str">
        <x:v>functional</x:v>
      </x:c>
      <x:c r="D2112" s="46" t="str">
        <x:v>Small pelagics (&lt;30 cm)</x:v>
      </x:c>
      <x:c r="E2112" s="66" t="n">
        <x:v>2</x:v>
      </x:c>
      <x:c r="F2112" s="66" t="n">
        <x:v>2</x:v>
      </x:c>
      <x:c r="G2112" s="60" t="n">
        <x:v>1856.3491574334998</x:v>
      </x:c>
      <x:c r="H2112" s="60" t="n">
        <x:v>1856.3491574334998</x:v>
      </x:c>
      <x:c r="I2112" s="62" t="n">
        <x:v>0</x:v>
      </x:c>
      <x:c r="J2112" s="64" t="n">
        <x:v>1</x:v>
      </x:c>
      <x:c r="K2112" s="62" t="n">
        <x:v>163.8655379658285</x:v>
      </x:c>
      <x:c r="L2112" s="60" t="n">
        <x:v>304191.65333525295</x:v>
      </x:c>
      <x:c r="M2112" s="62" t="n">
        <x:v>3.197636300819261</x:v>
      </x:c>
      <x:c r="N2112" s="62" t="n">
        <x:v>157.62906548552164</x:v>
      </x:c>
      <x:c r="O2112" s="60" t="n">
        <x:v>292614.58290107804</x:v>
      </x:c>
      <x:c r="P2112" s="60" t="n">
        <x:v>11577.070434174908</x:v>
      </x:c>
      <x:c r="Q2112" s="62" t="n">
        <x:v>1.0395642292308058</x:v>
      </x:c>
      <x:c r="R2112" s="64" t="n">
        <x:v>0.0395642292308059</x:v>
      </x:c>
    </x:row>
    <x:row r="2113" ht="18" customHeight="1">
      <x:c r="A2113" s="46" t="str">
        <x:v>LME_053</x:v>
      </x:c>
      <x:c r="B2113" s="46" t="str">
        <x:v>West Bering Sea</x:v>
      </x:c>
      <x:c r="C2113" s="46" t="str">
        <x:v>functional</x:v>
      </x:c>
      <x:c r="D2113" s="46" t="str">
        <x:v>Small to medium flatfishes (&lt;90 cm)</x:v>
      </x:c>
      <x:c r="E2113" s="66" t="n">
        <x:v>3</x:v>
      </x:c>
      <x:c r="F2113" s="66" t="n">
        <x:v>3</x:v>
      </x:c>
      <x:c r="G2113" s="60" t="n">
        <x:v>24044.6985805167</x:v>
      </x:c>
      <x:c r="H2113" s="60" t="n">
        <x:v>24044.6985805167</x:v>
      </x:c>
      <x:c r="I2113" s="62" t="n">
        <x:v>0</x:v>
      </x:c>
      <x:c r="J2113" s="64" t="n">
        <x:v>1</x:v>
      </x:c>
      <x:c r="K2113" s="62" t="n">
        <x:v>503.2748809885233</x:v>
      </x:c>
      <x:c r="L2113" s="60" t="n">
        <x:v>12101092.816514457</x:v>
      </x:c>
      <x:c r="M2113" s="62" t="n">
        <x:v>3.6217838848269164</x:v>
      </x:c>
      <x:c r="N2113" s="62" t="n">
        <x:v>418.585215410638</x:v>
      </x:c>
      <x:c r="O2113" s="60" t="n">
        <x:v>10064755.334809445</x:v>
      </x:c>
      <x:c r="P2113" s="60" t="n">
        <x:v>2036337.4817050118</x:v>
      </x:c>
      <x:c r="Q2113" s="62" t="n">
        <x:v>1.2023235949573696</x:v>
      </x:c>
      <x:c r="R2113" s="64" t="n">
        <x:v>0.20232359495736968</x:v>
      </x:c>
    </x:row>
    <x:row r="2114" ht="18" customHeight="1">
      <x:c r="A2114" s="46" t="str">
        <x:v>LME_054</x:v>
      </x:c>
      <x:c r="B2114" s="46" t="str">
        <x:v>Northern Bering - Chukchi Seas</x:v>
      </x:c>
      <x:c r="C2114" s="46" t="str">
        <x:v>functional</x:v>
      </x:c>
      <x:c r="D2114" s="46" t="str">
        <x:v>Cephalopods</x:v>
      </x:c>
      <x:c r="E2114" s="66" t="n">
        <x:v>4</x:v>
      </x:c>
      <x:c r="F2114" s="66" t="n">
        <x:v>4</x:v>
      </x:c>
      <x:c r="G2114" s="60" t="n">
        <x:v>4691.7664163664995</x:v>
      </x:c>
      <x:c r="H2114" s="60" t="n">
        <x:v>4691.7664163664995</x:v>
      </x:c>
      <x:c r="I2114" s="62" t="n">
        <x:v>0</x:v>
      </x:c>
      <x:c r="J2114" s="64" t="n">
        <x:v>1</x:v>
      </x:c>
      <x:c r="K2114" s="62" t="n">
        <x:v>1283.9497325101552</x:v>
      </x:c>
      <x:c r="L2114" s="60" t="n">
        <x:v>6023992.235293896</x:v>
      </x:c>
      <x:c r="M2114" s="62" t="n">
        <x:v>4.098694559054981</x:v>
      </x:c>
      <x:c r="N2114" s="62" t="n">
        <x:v>1255.1469036563315</x:v>
      </x:c>
      <x:c r="O2114" s="60" t="n">
        <x:v>5888856.090181175</x:v>
      </x:c>
      <x:c r="P2114" s="60" t="n">
        <x:v>135136.14511272125</x:v>
      </x:c>
      <x:c r="Q2114" s="62" t="n">
        <x:v>1.022947775093034</x:v>
      </x:c>
      <x:c r="R2114" s="64" t="n">
        <x:v>0.022947775093034018</x:v>
      </x:c>
    </x:row>
    <x:row r="2115" ht="18" customHeight="1">
      <x:c r="A2115" s="46" t="str">
        <x:v>LME_054</x:v>
      </x:c>
      <x:c r="B2115" s="46" t="str">
        <x:v>Northern Bering - Chukchi Seas</x:v>
      </x:c>
      <x:c r="C2115" s="46" t="str">
        <x:v>functional</x:v>
      </x:c>
      <x:c r="D2115" s="46" t="str">
        <x:v>Jellyfish</x:v>
      </x:c>
      <x:c r="E2115" s="66" t="n">
        <x:v>1</x:v>
      </x:c>
      <x:c r="F2115" s="66" t="n">
        <x:v>1</x:v>
      </x:c>
      <x:c r="G2115" s="60" t="n">
        <x:v>0.009897314899999999</x:v>
      </x:c>
      <x:c r="H2115" s="60" t="n">
        <x:v>0.009897314899999999</x:v>
      </x:c>
      <x:c r="I2115" s="62" t="n">
        <x:v>0</x:v>
      </x:c>
      <x:c r="J2115" s="64" t="n">
        <x:v>1</x:v>
      </x:c>
      <x:c r="K2115" s="62" t="n">
        <x:v>288.40315031266056</x:v>
      </x:c>
      <x:c r="L2115" s="60" t="n">
        <x:v>2.8544167967964347</x:v>
      </x:c>
      <x:c r="M2115" s="62" t="n">
        <x:v>3.46</x:v>
      </x:c>
      <x:c r="N2115" s="62" t="n">
        <x:v>288.40315031266056</x:v>
      </x:c>
      <x:c r="O2115" s="60" t="n">
        <x:v>2.8544167967964347</x:v>
      </x:c>
      <x:c r="P2115" s="60" t="n">
        <x:v>0</x:v>
      </x:c>
      <x:c r="Q2115" s="62" t="n">
        <x:v>1</x:v>
      </x:c>
      <x:c r="R2115" s="64" t="n">
        <x:v>0</x:v>
      </x:c>
    </x:row>
    <x:row r="2116" ht="18" customHeight="1">
      <x:c r="A2116" s="46" t="str">
        <x:v>LME_054</x:v>
      </x:c>
      <x:c r="B2116" s="46" t="str">
        <x:v>Northern Bering - Chukchi Seas</x:v>
      </x:c>
      <x:c r="C2116" s="46" t="str">
        <x:v>functional</x:v>
      </x:c>
      <x:c r="D2116" s="46" t="str">
        <x:v>Large benthopelagics (&gt;=90 cm)</x:v>
      </x:c>
      <x:c r="E2116" s="66" t="n">
        <x:v>8</x:v>
      </x:c>
      <x:c r="F2116" s="66" t="n">
        <x:v>8</x:v>
      </x:c>
      <x:c r="G2116" s="60" t="n">
        <x:v>8701.645945472299</x:v>
      </x:c>
      <x:c r="H2116" s="60" t="n">
        <x:v>8701.645945472299</x:v>
      </x:c>
      <x:c r="I2116" s="62" t="n">
        <x:v>0</x:v>
      </x:c>
      <x:c r="J2116" s="64" t="n">
        <x:v>1</x:v>
      </x:c>
      <x:c r="K2116" s="62" t="n">
        <x:v>678.5287220485336</x:v>
      </x:c>
      <x:c r="L2116" s="60" t="n">
        <x:v>5904316.7031001225</x:v>
      </x:c>
      <x:c r="M2116" s="62" t="n">
        <x:v>3.78393399188155</x:v>
      </x:c>
      <x:c r="N2116" s="62" t="n">
        <x:v>608.0425782835861</x:v>
      </x:c>
      <x:c r="O2116" s="60" t="n">
        <x:v>5290971.23599589</x:v>
      </x:c>
      <x:c r="P2116" s="60" t="n">
        <x:v>613345.4671042329</x:v>
      </x:c>
      <x:c r="Q2116" s="62" t="n">
        <x:v>1.1159230394093773</x:v>
      </x:c>
      <x:c r="R2116" s="64" t="n">
        <x:v>0.11592303940937723</x:v>
      </x:c>
    </x:row>
    <x:row r="2117" ht="18" customHeight="1">
      <x:c r="A2117" s="46" t="str">
        <x:v>LME_054</x:v>
      </x:c>
      <x:c r="B2117" s="46" t="str">
        <x:v>Northern Bering - Chukchi Seas</x:v>
      </x:c>
      <x:c r="C2117" s="46" t="str">
        <x:v>functional</x:v>
      </x:c>
      <x:c r="D2117" s="46" t="str">
        <x:v>Large demersals (&gt;=90 cm)</x:v>
      </x:c>
      <x:c r="E2117" s="66" t="n">
        <x:v>4</x:v>
      </x:c>
      <x:c r="F2117" s="66" t="n">
        <x:v>4</x:v>
      </x:c>
      <x:c r="G2117" s="60" t="n">
        <x:v>1940.8734315608</x:v>
      </x:c>
      <x:c r="H2117" s="60" t="n">
        <x:v>1940.8734315608</x:v>
      </x:c>
      <x:c r="I2117" s="62" t="n">
        <x:v>0</x:v>
      </x:c>
      <x:c r="J2117" s="64" t="n">
        <x:v>1</x:v>
      </x:c>
      <x:c r="K2117" s="62" t="n">
        <x:v>1587.5238686135824</x:v>
      </x:c>
      <x:c r="L2117" s="60" t="n">
        <x:v>3081182.8985607205</x:v>
      </x:c>
      <x:c r="M2117" s="62" t="n">
        <x:v>4.199694899218549</x:v>
      </x:c>
      <x:c r="N2117" s="62" t="n">
        <x:v>1583.7801634939185</x:v>
      </x:c>
      <x:c r="O2117" s="60" t="n">
        <x:v>3073916.8407583665</x:v>
      </x:c>
      <x:c r="P2117" s="60" t="n">
        <x:v>7266.057802353986</x:v>
      </x:c>
      <x:c r="Q2117" s="62" t="n">
        <x:v>1.002363778260365</x:v>
      </x:c>
      <x:c r="R2117" s="64" t="n">
        <x:v>0.0023637782603648364</x:v>
      </x:c>
    </x:row>
    <x:row r="2118" ht="18" customHeight="1">
      <x:c r="A2118" s="46" t="str">
        <x:v>LME_054</x:v>
      </x:c>
      <x:c r="B2118" s="46" t="str">
        <x:v>Northern Bering - Chukchi Seas</x:v>
      </x:c>
      <x:c r="C2118" s="46" t="str">
        <x:v>functional</x:v>
      </x:c>
      <x:c r="D2118" s="46" t="str">
        <x:v>Large flatfishes (&gt;=90 cm)</x:v>
      </x:c>
      <x:c r="E2118" s="66" t="n">
        <x:v>2</x:v>
      </x:c>
      <x:c r="F2118" s="66" t="n">
        <x:v>2</x:v>
      </x:c>
      <x:c r="G2118" s="60" t="n">
        <x:v>458.50015904400004</x:v>
      </x:c>
      <x:c r="H2118" s="60" t="n">
        <x:v>458.50015904400004</x:v>
      </x:c>
      <x:c r="I2118" s="62" t="n">
        <x:v>0</x:v>
      </x:c>
      <x:c r="J2118" s="64" t="n">
        <x:v>1</x:v>
      </x:c>
      <x:c r="K2118" s="62" t="n">
        <x:v>1460.312122342858</x:v>
      </x:c>
      <x:c r="L2118" s="60" t="n">
        <x:v>669553.3403480817</x:v>
      </x:c>
      <x:c r="M2118" s="62" t="n">
        <x:v>4.160798363562959</x:v>
      </x:c>
      <x:c r="N2118" s="62" t="n">
        <x:v>1448.0993665512196</x:v>
      </x:c>
      <x:c r="O2118" s="60" t="n">
        <x:v>663953.78987525</x:v>
      </x:c>
      <x:c r="P2118" s="60" t="n">
        <x:v>5599.550472831703</x:v>
      </x:c>
      <x:c r="Q2118" s="62" t="n">
        <x:v>1.0084336448683933</x:v>
      </x:c>
      <x:c r="R2118" s="64" t="n">
        <x:v>0.008433644868393327</x:v>
      </x:c>
    </x:row>
    <x:row r="2119" ht="18" customHeight="1">
      <x:c r="A2119" s="46" t="str">
        <x:v>LME_054</x:v>
      </x:c>
      <x:c r="B2119" s="46" t="str">
        <x:v>Northern Bering - Chukchi Seas</x:v>
      </x:c>
      <x:c r="C2119" s="46" t="str">
        <x:v>functional</x:v>
      </x:c>
      <x:c r="D2119" s="46" t="str">
        <x:v>Large rays (&gt;=90 cm)</x:v>
      </x:c>
      <x:c r="E2119" s="66" t="n">
        <x:v>2</x:v>
      </x:c>
      <x:c r="F2119" s="66" t="n">
        <x:v>2</x:v>
      </x:c>
      <x:c r="G2119" s="60" t="n">
        <x:v>516.1776569367</x:v>
      </x:c>
      <x:c r="H2119" s="60" t="n">
        <x:v>516.1776569367</x:v>
      </x:c>
      <x:c r="I2119" s="62" t="n">
        <x:v>0</x:v>
      </x:c>
      <x:c r="J2119" s="64" t="n">
        <x:v>1</x:v>
      </x:c>
      <x:c r="K2119" s="62" t="n">
        <x:v>537.268100081467</x:v>
      </x:c>
      <x:c r="L2119" s="60" t="n">
        <x:v>277325.78904688405</x:v>
      </x:c>
      <x:c r="M2119" s="62" t="n">
        <x:v>3.7291699225485275</x:v>
      </x:c>
      <x:c r="N2119" s="62" t="n">
        <x:v>536.006334934149</x:v>
      </x:c>
      <x:c r="O2119" s="60" t="n">
        <x:v>276674.4940695371</x:v>
      </x:c>
      <x:c r="P2119" s="60" t="n">
        <x:v>651.2949773469591</x:v>
      </x:c>
      <x:c r="Q2119" s="62" t="n">
        <x:v>1.0023540116321068</x:v>
      </x:c>
      <x:c r="R2119" s="64" t="n">
        <x:v>0.002354011632106818</x:v>
      </x:c>
    </x:row>
    <x:row r="2120" ht="18" customHeight="1">
      <x:c r="A2120" s="46" t="str">
        <x:v>LME_054</x:v>
      </x:c>
      <x:c r="B2120" s="46" t="str">
        <x:v>Northern Bering - Chukchi Seas</x:v>
      </x:c>
      <x:c r="C2120" s="46" t="str">
        <x:v>functional</x:v>
      </x:c>
      <x:c r="D2120" s="46" t="str">
        <x:v>Large reef assoc. fish (&gt;=90 cm)</x:v>
      </x:c>
      <x:c r="E2120" s="66" t="n">
        <x:v>2</x:v>
      </x:c>
      <x:c r="F2120" s="66" t="n">
        <x:v>2</x:v>
      </x:c>
      <x:c r="G2120" s="60" t="n">
        <x:v>1144.0891453243999</x:v>
      </x:c>
      <x:c r="H2120" s="60" t="n">
        <x:v>1144.0891453243999</x:v>
      </x:c>
      <x:c r="I2120" s="62" t="n">
        <x:v>0</x:v>
      </x:c>
      <x:c r="J2120" s="64" t="n">
        <x:v>1</x:v>
      </x:c>
      <x:c r="K2120" s="62" t="n">
        <x:v>626.8606336027481</x:v>
      </x:c>
      <x:c r="L2120" s="60" t="n">
        <x:v>717184.4465360797</x:v>
      </x:c>
      <x:c r="M2120" s="62" t="n">
        <x:v>3.7970653164174597</x:v>
      </x:c>
      <x:c r="N2120" s="62" t="n">
        <x:v>626.7081123599299</x:v>
      </x:c>
      <x:c r="O2120" s="60" t="n">
        <x:v>717009.9486377402</x:v>
      </x:c>
      <x:c r="P2120" s="60" t="n">
        <x:v>174.49789833952673</x:v>
      </x:c>
      <x:c r="Q2120" s="62" t="n">
        <x:v>1.0002433688663193</x:v>
      </x:c>
      <x:c r="R2120" s="64" t="n">
        <x:v>0.00024336886631916104</x:v>
      </x:c>
    </x:row>
    <x:row r="2121" ht="18" customHeight="1">
      <x:c r="A2121" s="46" t="str">
        <x:v>LME_054</x:v>
      </x:c>
      <x:c r="B2121" s="46" t="str">
        <x:v>Northern Bering - Chukchi Seas</x:v>
      </x:c>
      <x:c r="C2121" s="46" t="str">
        <x:v>functional</x:v>
      </x:c>
      <x:c r="D2121" s="46" t="str">
        <x:v>Large sharks (&gt;=90 cm)</x:v>
      </x:c>
      <x:c r="E2121" s="66" t="n">
        <x:v>2</x:v>
      </x:c>
      <x:c r="F2121" s="66" t="n">
        <x:v>2</x:v>
      </x:c>
      <x:c r="G2121" s="60" t="n">
        <x:v>0.014539729900000001</x:v>
      </x:c>
      <x:c r="H2121" s="60" t="n">
        <x:v>0.014539729900000001</x:v>
      </x:c>
      <x:c r="I2121" s="62" t="n">
        <x:v>0</x:v>
      </x:c>
      <x:c r="J2121" s="64" t="n">
        <x:v>1</x:v>
      </x:c>
      <x:c r="K2121" s="62" t="n">
        <x:v>1121.4753630670657</x:v>
      </x:c>
      <x:c r="L2121" s="60" t="n">
        <x:v>16.305948868499573</x:v>
      </x:c>
      <x:c r="M2121" s="62" t="n">
        <x:v>4.049777455288217</x:v>
      </x:c>
      <x:c r="N2121" s="62" t="n">
        <x:v>1121.4436477631052</x:v>
      </x:c>
      <x:c r="O2121" s="60" t="n">
        <x:v>16.30548773654629</x:v>
      </x:c>
      <x:c r="P2121" s="60" t="n">
        <x:v>0.0004611319532834557</x:v>
      </x:c>
      <x:c r="Q2121" s="62" t="n">
        <x:v>1.0000282807825644</x:v>
      </x:c>
      <x:c r="R2121" s="64" t="n">
        <x:v>0.000028280782564381562</x:v>
      </x:c>
    </x:row>
    <x:row r="2122" ht="18" customHeight="1">
      <x:c r="A2122" s="46" t="str">
        <x:v>LME_054</x:v>
      </x:c>
      <x:c r="B2122" s="46" t="str">
        <x:v>Northern Bering - Chukchi Seas</x:v>
      </x:c>
      <x:c r="C2122" s="46" t="str">
        <x:v>functional</x:v>
      </x:c>
      <x:c r="D2122" s="46" t="str">
        <x:v>Lobsters, crabs</x:v>
      </x:c>
      <x:c r="E2122" s="66" t="n">
        <x:v>11</x:v>
      </x:c>
      <x:c r="F2122" s="66" t="n">
        <x:v>11</x:v>
      </x:c>
      <x:c r="G2122" s="60" t="n">
        <x:v>20540.918950721996</x:v>
      </x:c>
      <x:c r="H2122" s="60" t="n">
        <x:v>20540.918950721996</x:v>
      </x:c>
      <x:c r="I2122" s="62" t="n">
        <x:v>0</x:v>
      </x:c>
      <x:c r="J2122" s="64" t="n">
        <x:v>1</x:v>
      </x:c>
      <x:c r="K2122" s="62" t="n">
        <x:v>276.1700777673442</x:v>
      </x:c>
      <x:c r="L2122" s="60" t="n">
        <x:v>5672787.184033608</x:v>
      </x:c>
      <x:c r="M2122" s="62" t="n">
        <x:v>3.238312058808308</x:v>
      </x:c>
      <x:c r="N2122" s="62" t="n">
        <x:v>173.105975151382</x:v>
      </x:c>
      <x:c r="O2122" s="60" t="n">
        <x:v>3555755.805470234</x:v>
      </x:c>
      <x:c r="P2122" s="60" t="n">
        <x:v>2117031.3785633743</x:v>
      </x:c>
      <x:c r="Q2122" s="62" t="n">
        <x:v>1.5953815431606686</x:v>
      </x:c>
      <x:c r="R2122" s="64" t="n">
        <x:v>0.5953815431606687</x:v>
      </x:c>
    </x:row>
    <x:row r="2123" ht="18" customHeight="1">
      <x:c r="A2123" s="46" t="str">
        <x:v>LME_054</x:v>
      </x:c>
      <x:c r="B2123" s="46" t="str">
        <x:v>Northern Bering - Chukchi Seas</x:v>
      </x:c>
      <x:c r="C2123" s="46" t="str">
        <x:v>functional</x:v>
      </x:c>
      <x:c r="D2123" s="46" t="str">
        <x:v>Medium bathydemersals (30 - 89 cm)</x:v>
      </x:c>
      <x:c r="E2123" s="66" t="n">
        <x:v>2</x:v>
      </x:c>
      <x:c r="F2123" s="66" t="n">
        <x:v>2</x:v>
      </x:c>
      <x:c r="G2123" s="60" t="n">
        <x:v>7.9801591835</x:v>
      </x:c>
      <x:c r="H2123" s="60" t="n">
        <x:v>7.9801591835</x:v>
      </x:c>
      <x:c r="I2123" s="62" t="n">
        <x:v>0</x:v>
      </x:c>
      <x:c r="J2123" s="64" t="n">
        <x:v>1</x:v>
      </x:c>
      <x:c r="K2123" s="62" t="n">
        <x:v>333.46034269308745</x:v>
      </x:c>
      <x:c r="L2123" s="60" t="n">
        <x:v>2661.066616075299</x:v>
      </x:c>
      <x:c r="M2123" s="62" t="n">
        <x:v>3.49719469048659</x:v>
      </x:c>
      <x:c r="N2123" s="62" t="n">
        <x:v>314.1916872567151</x:v>
      </x:c>
      <x:c r="O2123" s="60" t="n">
        <x:v>2507.2996784410348</x:v>
      </x:c>
      <x:c r="P2123" s="60" t="n">
        <x:v>153.7669376342642</x:v>
      </x:c>
      <x:c r="Q2123" s="62" t="n">
        <x:v>1.0613277060402575</x:v>
      </x:c>
      <x:c r="R2123" s="64" t="n">
        <x:v>0.061327706040257605</x:v>
      </x:c>
    </x:row>
    <x:row r="2124" ht="18" customHeight="1">
      <x:c r="A2124" s="46" t="str">
        <x:v>LME_054</x:v>
      </x:c>
      <x:c r="B2124" s="46" t="str">
        <x:v>Northern Bering - Chukchi Seas</x:v>
      </x:c>
      <x:c r="C2124" s="46" t="str">
        <x:v>functional</x:v>
      </x:c>
      <x:c r="D2124" s="46" t="str">
        <x:v>Medium benthopelagics (30 - 89 cm)</x:v>
      </x:c>
      <x:c r="E2124" s="66" t="n">
        <x:v>3</x:v>
      </x:c>
      <x:c r="F2124" s="66" t="n">
        <x:v>3</x:v>
      </x:c>
      <x:c r="G2124" s="60" t="n">
        <x:v>194832.5960039579</x:v>
      </x:c>
      <x:c r="H2124" s="60" t="n">
        <x:v>194832.5960039579</x:v>
      </x:c>
      <x:c r="I2124" s="62" t="n">
        <x:v>0</x:v>
      </x:c>
      <x:c r="J2124" s="64" t="n">
        <x:v>1</x:v>
      </x:c>
      <x:c r="K2124" s="62" t="n">
        <x:v>372.18752720172256</x:v>
      </x:c>
      <x:c r="L2124" s="60" t="n">
        <x:v>72514262.1250053</x:v>
      </x:c>
      <x:c r="M2124" s="62" t="n">
        <x:v>3.5702581722773954</x:v>
      </x:c>
      <x:c r="N2124" s="62" t="n">
        <x:v>371.7561589417405</x:v>
      </x:c>
      <x:c r="O2124" s="60" t="n">
        <x:v>72430217.5270793</x:v>
      </x:c>
      <x:c r="P2124" s="60" t="n">
        <x:v>84044.59792600572</x:v>
      </x:c>
      <x:c r="Q2124" s="62" t="n">
        <x:v>1.0011603526925013</x:v>
      </x:c>
      <x:c r="R2124" s="64" t="n">
        <x:v>0.0011603526925013609</x:v>
      </x:c>
    </x:row>
    <x:row r="2125" ht="18" customHeight="1">
      <x:c r="A2125" s="46" t="str">
        <x:v>LME_054</x:v>
      </x:c>
      <x:c r="B2125" s="46" t="str">
        <x:v>Northern Bering - Chukchi Seas</x:v>
      </x:c>
      <x:c r="C2125" s="46" t="str">
        <x:v>functional</x:v>
      </x:c>
      <x:c r="D2125" s="46" t="str">
        <x:v>Medium demersals (30 - 89 cm)</x:v>
      </x:c>
      <x:c r="E2125" s="66" t="n">
        <x:v>15</x:v>
      </x:c>
      <x:c r="F2125" s="66" t="n">
        <x:v>15</x:v>
      </x:c>
      <x:c r="G2125" s="60" t="n">
        <x:v>79612.1857076359</x:v>
      </x:c>
      <x:c r="H2125" s="60" t="n">
        <x:v>79612.1857076359</x:v>
      </x:c>
      <x:c r="I2125" s="62" t="n">
        <x:v>0</x:v>
      </x:c>
      <x:c r="J2125" s="64" t="n">
        <x:v>1</x:v>
      </x:c>
      <x:c r="K2125" s="62" t="n">
        <x:v>1032.7731847114474</x:v>
      </x:c>
      <x:c r="L2125" s="60" t="n">
        <x:v>82221330.5751143</x:v>
      </x:c>
      <x:c r="M2125" s="62" t="n">
        <x:v>3.6588299217483424</x:v>
      </x:c>
      <x:c r="N2125" s="62" t="n">
        <x:v>455.8583579009961</x:v>
      </x:c>
      <x:c r="O2125" s="60" t="n">
        <x:v>36291880.24559205</x:v>
      </x:c>
      <x:c r="P2125" s="60" t="n">
        <x:v>45929450.329522245</x:v>
      </x:c>
      <x:c r="Q2125" s="62" t="n">
        <x:v>2.2655571995364103</x:v>
      </x:c>
      <x:c r="R2125" s="64" t="n">
        <x:v>1.2655571995364103</x:v>
      </x:c>
    </x:row>
    <x:row r="2126" ht="18" customHeight="1">
      <x:c r="A2126" s="46" t="str">
        <x:v>LME_054</x:v>
      </x:c>
      <x:c r="B2126" s="46" t="str">
        <x:v>Northern Bering - Chukchi Seas</x:v>
      </x:c>
      <x:c r="C2126" s="46" t="str">
        <x:v>functional</x:v>
      </x:c>
      <x:c r="D2126" s="46" t="str">
        <x:v>Medium pelagics (30 - 89 cm)</x:v>
      </x:c>
      <x:c r="E2126" s="66" t="n">
        <x:v>7</x:v>
      </x:c>
      <x:c r="F2126" s="66" t="n">
        <x:v>7</x:v>
      </x:c>
      <x:c r="G2126" s="60" t="n">
        <x:v>18365.136628691</x:v>
      </x:c>
      <x:c r="H2126" s="60" t="n">
        <x:v>18365.136628691</x:v>
      </x:c>
      <x:c r="I2126" s="62" t="n">
        <x:v>0</x:v>
      </x:c>
      <x:c r="J2126" s="64" t="n">
        <x:v>1</x:v>
      </x:c>
      <x:c r="K2126" s="62" t="n">
        <x:v>242.68499355139977</x:v>
      </x:c>
      <x:c r="L2126" s="60" t="n">
        <x:v>4456943.064304451</x:v>
      </x:c>
      <x:c r="M2126" s="62" t="n">
        <x:v>3.3428288367765555</x:v>
      </x:c>
      <x:c r="N2126" s="62" t="n">
        <x:v>220.20584213977307</x:v>
      </x:c>
      <x:c r="O2126" s="60" t="n">
        <x:v>4044110.377332895</x:v>
      </x:c>
      <x:c r="P2126" s="60" t="n">
        <x:v>412832.6869715564</x:v>
      </x:c>
      <x:c r="Q2126" s="62" t="n">
        <x:v>1.1020824479186992</x:v>
      </x:c>
      <x:c r="R2126" s="64" t="n">
        <x:v>0.10208244791869923</x:v>
      </x:c>
    </x:row>
    <x:row r="2127" ht="18" customHeight="1">
      <x:c r="A2127" s="46" t="str">
        <x:v>LME_054</x:v>
      </x:c>
      <x:c r="B2127" s="46" t="str">
        <x:v>Northern Bering - Chukchi Seas</x:v>
      </x:c>
      <x:c r="C2127" s="46" t="str">
        <x:v>functional</x:v>
      </x:c>
      <x:c r="D2127" s="46" t="str">
        <x:v>Medium reef assoc. fish (30 - 89 cm)</x:v>
      </x:c>
      <x:c r="E2127" s="66" t="n">
        <x:v>1</x:v>
      </x:c>
      <x:c r="F2127" s="66" t="n">
        <x:v>1</x:v>
      </x:c>
      <x:c r="G2127" s="60" t="n">
        <x:v>0.4557669385</x:v>
      </x:c>
      <x:c r="H2127" s="60" t="n">
        <x:v>0.4557669385</x:v>
      </x:c>
      <x:c r="I2127" s="62" t="n">
        <x:v>0</x:v>
      </x:c>
      <x:c r="J2127" s="64" t="n">
        <x:v>1</x:v>
      </x:c>
      <x:c r="K2127" s="62" t="n">
        <x:v>33.88441561392024</x:v>
      </x:c>
      <x:c r="L2127" s="60" t="n">
        <x:v>15.443396367218025</x:v>
      </x:c>
      <x:c r="M2127" s="62" t="n">
        <x:v>2.53</x:v>
      </x:c>
      <x:c r="N2127" s="62" t="n">
        <x:v>33.88441561392024</x:v>
      </x:c>
      <x:c r="O2127" s="60" t="n">
        <x:v>15.443396367218025</x:v>
      </x:c>
      <x:c r="P2127" s="60" t="n">
        <x:v>0</x:v>
      </x:c>
      <x:c r="Q2127" s="62" t="n">
        <x:v>1</x:v>
      </x:c>
      <x:c r="R2127" s="64" t="n">
        <x:v>0</x:v>
      </x:c>
    </x:row>
    <x:row r="2128" ht="18" customHeight="1">
      <x:c r="A2128" s="46" t="str">
        <x:v>LME_054</x:v>
      </x:c>
      <x:c r="B2128" s="46" t="str">
        <x:v>Northern Bering - Chukchi Seas</x:v>
      </x:c>
      <x:c r="C2128" s="46" t="str">
        <x:v>functional</x:v>
      </x:c>
      <x:c r="D2128" s="46" t="str">
        <x:v>Other demersal invertebrates</x:v>
      </x:c>
      <x:c r="E2128" s="66" t="n">
        <x:v>10</x:v>
      </x:c>
      <x:c r="F2128" s="66" t="n">
        <x:v>10</x:v>
      </x:c>
      <x:c r="G2128" s="60" t="n">
        <x:v>4112.0337852669</x:v>
      </x:c>
      <x:c r="H2128" s="60" t="n">
        <x:v>4112.0337852669</x:v>
      </x:c>
      <x:c r="I2128" s="62" t="n">
        <x:v>0</x:v>
      </x:c>
      <x:c r="J2128" s="64" t="n">
        <x:v>1</x:v>
      </x:c>
      <x:c r="K2128" s="62" t="n">
        <x:v>33.042702128884684</x:v>
      </x:c>
      <x:c r="L2128" s="60" t="n">
        <x:v>135872.70751048435</x:v>
      </x:c>
      <x:c r="M2128" s="62" t="n">
        <x:v>2.47664044243962</x:v>
      </x:c>
      <x:c r="N2128" s="62" t="n">
        <x:v>29.96680504298809</x:v>
      </x:c>
      <x:c r="O2128" s="60" t="n">
        <x:v>123224.51477327353</x:v>
      </x:c>
      <x:c r="P2128" s="60" t="n">
        <x:v>12648.192737210818</x:v>
      </x:c>
      <x:c r="Q2128" s="62" t="n">
        <x:v>1.1026434777242402</x:v>
      </x:c>
      <x:c r="R2128" s="64" t="n">
        <x:v>0.10264347772424028</x:v>
      </x:c>
    </x:row>
    <x:row r="2129" ht="18" customHeight="1">
      <x:c r="A2129" s="46" t="str">
        <x:v>LME_054</x:v>
      </x:c>
      <x:c r="B2129" s="46" t="str">
        <x:v>Northern Bering - Chukchi Seas</x:v>
      </x:c>
      <x:c r="C2129" s="46" t="str">
        <x:v>functional</x:v>
      </x:c>
      <x:c r="D2129" s="46" t="str">
        <x:v>Shrimps</x:v>
      </x:c>
      <x:c r="E2129" s="66" t="n">
        <x:v>5</x:v>
      </x:c>
      <x:c r="F2129" s="66" t="n">
        <x:v>5</x:v>
      </x:c>
      <x:c r="G2129" s="60" t="n">
        <x:v>2777.1110310027</x:v>
      </x:c>
      <x:c r="H2129" s="60" t="n">
        <x:v>2777.1110310027</x:v>
      </x:c>
      <x:c r="I2129" s="62" t="n">
        <x:v>0</x:v>
      </x:c>
      <x:c r="J2129" s="64" t="n">
        <x:v>1</x:v>
      </x:c>
      <x:c r="K2129" s="62" t="n">
        <x:v>81.97906902713356</x:v>
      </x:c>
      <x:c r="L2129" s="60" t="n">
        <x:v>227664.9769065844</x:v>
      </x:c>
      <x:c r="M2129" s="62" t="n">
        <x:v>2.8701934637567144</x:v>
      </x:c>
      <x:c r="N2129" s="62" t="n">
        <x:v>74.164054393789</x:v>
      </x:c>
      <x:c r="O2129" s="60" t="n">
        <x:v>205961.81356087571</x:v>
      </x:c>
      <x:c r="P2129" s="60" t="n">
        <x:v>21703.163345708686</x:v>
      </x:c>
      <x:c r="Q2129" s="62" t="n">
        <x:v>1.1053746952917267</x:v>
      </x:c>
      <x:c r="R2129" s="64" t="n">
        <x:v>0.10537469529172662</x:v>
      </x:c>
    </x:row>
    <x:row r="2130" ht="18" customHeight="1">
      <x:c r="A2130" s="46" t="str">
        <x:v>LME_054</x:v>
      </x:c>
      <x:c r="B2130" s="46" t="str">
        <x:v>Northern Bering - Chukchi Seas</x:v>
      </x:c>
      <x:c r="C2130" s="46" t="str">
        <x:v>functional</x:v>
      </x:c>
      <x:c r="D2130" s="46" t="str">
        <x:v>Small pelagics (&lt;30 cm)</x:v>
      </x:c>
      <x:c r="E2130" s="66" t="n">
        <x:v>2</x:v>
      </x:c>
      <x:c r="F2130" s="66" t="n">
        <x:v>2</x:v>
      </x:c>
      <x:c r="G2130" s="60" t="n">
        <x:v>275.17591558669994</x:v>
      </x:c>
      <x:c r="H2130" s="60" t="n">
        <x:v>275.17591558669994</x:v>
      </x:c>
      <x:c r="I2130" s="62" t="n">
        <x:v>0</x:v>
      </x:c>
      <x:c r="J2130" s="64" t="n">
        <x:v>1</x:v>
      </x:c>
      <x:c r="K2130" s="62" t="n">
        <x:v>210.54213175191148</x:v>
      </x:c>
      <x:c r="L2130" s="60" t="n">
        <x:v>57936.12387440785</x:v>
      </x:c>
      <x:c r="M2130" s="62" t="n">
        <x:v>3.29596999760452</x:v>
      </x:c>
      <x:c r="N2130" s="62" t="n">
        <x:v>197.6833069700025</x:v>
      </x:c>
      <x:c r="O2130" s="60" t="n">
        <x:v>54397.684991677095</x:v>
      </x:c>
      <x:c r="P2130" s="60" t="n">
        <x:v>3538.4388827307557</x:v>
      </x:c>
      <x:c r="Q2130" s="62" t="n">
        <x:v>1.065047600523297</x:v>
      </x:c>
      <x:c r="R2130" s="64" t="n">
        <x:v>0.06504760052329692</x:v>
      </x:c>
    </x:row>
    <x:row r="2131" ht="18" customHeight="1">
      <x:c r="A2131" s="46" t="str">
        <x:v>LME_054</x:v>
      </x:c>
      <x:c r="B2131" s="46" t="str">
        <x:v>Northern Bering - Chukchi Seas</x:v>
      </x:c>
      <x:c r="C2131" s="46" t="str">
        <x:v>functional</x:v>
      </x:c>
      <x:c r="D2131" s="46" t="str">
        <x:v>Small to medium flatfishes (&lt;90 cm)</x:v>
      </x:c>
      <x:c r="E2131" s="66" t="n">
        <x:v>11</x:v>
      </x:c>
      <x:c r="F2131" s="66" t="n">
        <x:v>11</x:v>
      </x:c>
      <x:c r="G2131" s="60" t="n">
        <x:v>10848.119214491502</x:v>
      </x:c>
      <x:c r="H2131" s="60" t="n">
        <x:v>10848.119214491502</x:v>
      </x:c>
      <x:c r="I2131" s="62" t="n">
        <x:v>0</x:v>
      </x:c>
      <x:c r="J2131" s="64" t="n">
        <x:v>1</x:v>
      </x:c>
      <x:c r="K2131" s="62" t="n">
        <x:v>628.0981102841403</x:v>
      </x:c>
      <x:c r="L2131" s="60" t="n">
        <x:v>6813683.178759185</x:v>
      </x:c>
      <x:c r="M2131" s="62" t="n">
        <x:v>3.7001750942878595</x:v>
      </x:c>
      <x:c r="N2131" s="62" t="n">
        <x:v>501.3893377705789</x:v>
      </x:c>
      <x:c r="O2131" s="60" t="n">
        <x:v>5439131.309010187</x:v>
      </x:c>
      <x:c r="P2131" s="60" t="n">
        <x:v>1374551.8697489975</x:v>
      </x:c>
      <x:c r="Q2131" s="62" t="n">
        <x:v>1.2527153311176704</x:v>
      </x:c>
      <x:c r="R2131" s="64" t="n">
        <x:v>0.2527153311176704</x:v>
      </x:c>
    </x:row>
    <x:row r="2132" ht="18" customHeight="1">
      <x:c r="A2132" s="46" t="str">
        <x:v>LME_054</x:v>
      </x:c>
      <x:c r="B2132" s="46" t="str">
        <x:v>Northern Bering - Chukchi Seas</x:v>
      </x:c>
      <x:c r="C2132" s="46" t="str">
        <x:v>functional</x:v>
      </x:c>
      <x:c r="D2132" s="46" t="str">
        <x:v>Small to medium rays (&lt;90 cm)</x:v>
      </x:c>
      <x:c r="E2132" s="66" t="n">
        <x:v>1</x:v>
      </x:c>
      <x:c r="F2132" s="66" t="n">
        <x:v>1</x:v>
      </x:c>
      <x:c r="G2132" s="60" t="n">
        <x:v>3.4309181699</x:v>
      </x:c>
      <x:c r="H2132" s="60" t="n">
        <x:v>3.4309181699</x:v>
      </x:c>
      <x:c r="I2132" s="62" t="n">
        <x:v>0</x:v>
      </x:c>
      <x:c r="J2132" s="64" t="n">
        <x:v>1</x:v>
      </x:c>
      <x:c r="K2132" s="62" t="n">
        <x:v>630.9573444801931</x:v>
      </x:c>
      <x:c r="L2132" s="60" t="n">
        <x:v>2164.763017608948</x:v>
      </x:c>
      <x:c r="M2132" s="62" t="n">
        <x:v>3.8</x:v>
      </x:c>
      <x:c r="N2132" s="62" t="n">
        <x:v>630.957344480193</x:v>
      </x:c>
      <x:c r="O2132" s="60" t="n">
        <x:v>2164.763017608948</x:v>
      </x:c>
      <x:c r="P2132" s="60" t="n">
        <x:v>0</x:v>
      </x:c>
      <x:c r="Q2132" s="62" t="n">
        <x:v>1</x:v>
      </x:c>
      <x:c r="R2132" s="64" t="n">
        <x:v>0</x:v>
      </x:c>
    </x:row>
    <x:row r="2133" ht="18" customHeight="1">
      <x:c r="A2133" s="46" t="str">
        <x:v>LME_055</x:v>
      </x:c>
      <x:c r="B2133" s="46" t="str">
        <x:v>Beaufort Sea</x:v>
      </x:c>
      <x:c r="C2133" s="46" t="str">
        <x:v>functional</x:v>
      </x:c>
      <x:c r="D2133" s="46" t="str">
        <x:v>Large benthopelagics (&gt;=90 cm)</x:v>
      </x:c>
      <x:c r="E2133" s="66" t="n">
        <x:v>2</x:v>
      </x:c>
      <x:c r="F2133" s="66" t="n">
        <x:v>2</x:v>
      </x:c>
      <x:c r="G2133" s="60" t="n">
        <x:v>2.0638226689</x:v>
      </x:c>
      <x:c r="H2133" s="60" t="n">
        <x:v>2.0638226689</x:v>
      </x:c>
      <x:c r="I2133" s="62" t="n">
        <x:v>0</x:v>
      </x:c>
      <x:c r="J2133" s="64" t="n">
        <x:v>1</x:v>
      </x:c>
      <x:c r="K2133" s="62" t="n">
        <x:v>2511.8763786228205</x:v>
      </x:c>
      <x:c r="L2133" s="60" t="n">
        <x:v>5184.067411676216</x:v>
      </x:c>
      <x:c r="M2133" s="62" t="n">
        <x:v>4.399997208626456</x:v>
      </x:c>
      <x:c r="N2133" s="62" t="n">
        <x:v>2511.8702867251295</x:v>
      </x:c>
      <x:c r="O2133" s="60" t="n">
        <x:v>5184.054839079665</x:v>
      </x:c>
      <x:c r="P2133" s="60" t="n">
        <x:v>0.012572596550853632</x:v>
      </x:c>
      <x:c r="Q2133" s="62" t="n">
        <x:v>1.000002425243741</x:v>
      </x:c>
      <x:c r="R2133" s="64" t="n">
        <x:v>0.0000024252437408794213</x:v>
      </x:c>
    </x:row>
    <x:row r="2134" ht="18" customHeight="1">
      <x:c r="A2134" s="46" t="str">
        <x:v>LME_055</x:v>
      </x:c>
      <x:c r="B2134" s="46" t="str">
        <x:v>Beaufort Sea</x:v>
      </x:c>
      <x:c r="C2134" s="46" t="str">
        <x:v>functional</x:v>
      </x:c>
      <x:c r="D2134" s="46" t="str">
        <x:v>Large demersals (&gt;=90 cm)</x:v>
      </x:c>
      <x:c r="E2134" s="66" t="n">
        <x:v>1</x:v>
      </x:c>
      <x:c r="F2134" s="66" t="n">
        <x:v>1</x:v>
      </x:c>
      <x:c r="G2134" s="60" t="n">
        <x:v>18.6184566574</x:v>
      </x:c>
      <x:c r="H2134" s="60" t="n">
        <x:v>18.6184566574</x:v>
      </x:c>
      <x:c r="I2134" s="62" t="n">
        <x:v>0</x:v>
      </x:c>
      <x:c r="J2134" s="64" t="n">
        <x:v>1</x:v>
      </x:c>
      <x:c r="K2134" s="62" t="n">
        <x:v>1412.5375446227554</x:v>
      </x:c>
      <x:c r="L2134" s="60" t="n">
        <x:v>26299.26905150899</x:v>
      </x:c>
      <x:c r="M2134" s="62" t="n">
        <x:v>4.15</x:v>
      </x:c>
      <x:c r="N2134" s="62" t="n">
        <x:v>1412.5375446227554</x:v>
      </x:c>
      <x:c r="O2134" s="60" t="n">
        <x:v>26299.26905150899</x:v>
      </x:c>
      <x:c r="P2134" s="60" t="n">
        <x:v>0</x:v>
      </x:c>
      <x:c r="Q2134" s="62" t="n">
        <x:v>1</x:v>
      </x:c>
      <x:c r="R2134" s="64" t="n">
        <x:v>0</x:v>
      </x:c>
    </x:row>
    <x:row r="2135" ht="18" customHeight="1">
      <x:c r="A2135" s="46" t="str">
        <x:v>LME_055</x:v>
      </x:c>
      <x:c r="B2135" s="46" t="str">
        <x:v>Beaufort Sea</x:v>
      </x:c>
      <x:c r="C2135" s="46" t="str">
        <x:v>functional</x:v>
      </x:c>
      <x:c r="D2135" s="46" t="str">
        <x:v>Large reef assoc. fish (&gt;=90 cm)</x:v>
      </x:c>
      <x:c r="E2135" s="66" t="n">
        <x:v>1</x:v>
      </x:c>
      <x:c r="F2135" s="66" t="n">
        <x:v>1</x:v>
      </x:c>
      <x:c r="G2135" s="60" t="n">
        <x:v>0.0238986163</x:v>
      </x:c>
      <x:c r="H2135" s="60" t="n">
        <x:v>0.0238986163</x:v>
      </x:c>
      <x:c r="I2135" s="62" t="n">
        <x:v>0</x:v>
      </x:c>
      <x:c r="J2135" s="64" t="n">
        <x:v>1</x:v>
      </x:c>
      <x:c r="K2135" s="62" t="n">
        <x:v>645.6542290346556</x:v>
      </x:c>
      <x:c r="L2135" s="60" t="n">
        <x:v>15.430242682171555</x:v>
      </x:c>
      <x:c r="M2135" s="62" t="n">
        <x:v>3.81</x:v>
      </x:c>
      <x:c r="N2135" s="62" t="n">
        <x:v>645.6542290346556</x:v>
      </x:c>
      <x:c r="O2135" s="60" t="n">
        <x:v>15.430242682171555</x:v>
      </x:c>
      <x:c r="P2135" s="60" t="n">
        <x:v>0</x:v>
      </x:c>
      <x:c r="Q2135" s="62" t="n">
        <x:v>1</x:v>
      </x:c>
      <x:c r="R2135" s="64" t="n">
        <x:v>0</x:v>
      </x:c>
    </x:row>
    <x:row r="2136" ht="18" customHeight="1">
      <x:c r="A2136" s="46" t="str">
        <x:v>LME_055</x:v>
      </x:c>
      <x:c r="B2136" s="46" t="str">
        <x:v>Beaufort Sea</x:v>
      </x:c>
      <x:c r="C2136" s="46" t="str">
        <x:v>functional</x:v>
      </x:c>
      <x:c r="D2136" s="46" t="str">
        <x:v>Medium benthopelagics (30 - 89 cm)</x:v>
      </x:c>
      <x:c r="E2136" s="66" t="n">
        <x:v>1</x:v>
      </x:c>
      <x:c r="F2136" s="66" t="n">
        <x:v>1</x:v>
      </x:c>
      <x:c r="G2136" s="60" t="n">
        <x:v>162.08282598070002</x:v>
      </x:c>
      <x:c r="H2136" s="60" t="n">
        <x:v>162.08282598070002</x:v>
      </x:c>
      <x:c r="I2136" s="62" t="n">
        <x:v>0</x:v>
      </x:c>
      <x:c r="J2136" s="64" t="n">
        <x:v>1</x:v>
      </x:c>
      <x:c r="K2136" s="62" t="n">
        <x:v>2454.7089156850284</x:v>
      </x:c>
      <x:c r="L2136" s="60" t="n">
        <x:v>397866.1580142493</x:v>
      </x:c>
      <x:c r="M2136" s="62" t="n">
        <x:v>4.39</x:v>
      </x:c>
      <x:c r="N2136" s="62" t="n">
        <x:v>2454.7089156850284</x:v>
      </x:c>
      <x:c r="O2136" s="60" t="n">
        <x:v>397866.1580142493</x:v>
      </x:c>
      <x:c r="P2136" s="60" t="n">
        <x:v>0</x:v>
      </x:c>
      <x:c r="Q2136" s="62" t="n">
        <x:v>1</x:v>
      </x:c>
      <x:c r="R2136" s="64" t="n">
        <x:v>0</x:v>
      </x:c>
    </x:row>
    <x:row r="2137" ht="18" customHeight="1">
      <x:c r="A2137" s="46" t="str">
        <x:v>LME_055</x:v>
      </x:c>
      <x:c r="B2137" s="46" t="str">
        <x:v>Beaufort Sea</x:v>
      </x:c>
      <x:c r="C2137" s="46" t="str">
        <x:v>functional</x:v>
      </x:c>
      <x:c r="D2137" s="46" t="str">
        <x:v>Medium demersals (30 - 89 cm)</x:v>
      </x:c>
      <x:c r="E2137" s="66" t="n">
        <x:v>8</x:v>
      </x:c>
      <x:c r="F2137" s="66" t="n">
        <x:v>8</x:v>
      </x:c>
      <x:c r="G2137" s="60" t="n">
        <x:v>21.428639332699998</x:v>
      </x:c>
      <x:c r="H2137" s="60" t="n">
        <x:v>21.428639332699998</x:v>
      </x:c>
      <x:c r="I2137" s="62" t="n">
        <x:v>0</x:v>
      </x:c>
      <x:c r="J2137" s="64" t="n">
        <x:v>1</x:v>
      </x:c>
      <x:c r="K2137" s="62" t="n">
        <x:v>414.80496719306507</x:v>
      </x:c>
      <x:c r="L2137" s="60" t="n">
        <x:v>8888.706035392646</x:v>
      </x:c>
      <x:c r="M2137" s="62" t="n">
        <x:v>3.5519347252345015</x:v>
      </x:c>
      <x:c r="N2137" s="62" t="n">
        <x:v>356.3975625966342</x:v>
      </x:c>
      <x:c r="O2137" s="60" t="n">
        <x:v>7637.114827936645</x:v>
      </x:c>
      <x:c r="P2137" s="60" t="n">
        <x:v>1251.591207456001</x:v>
      </x:c>
      <x:c r="Q2137" s="62" t="n">
        <x:v>1.1638827273982666</x:v>
      </x:c>
      <x:c r="R2137" s="64" t="n">
        <x:v>0.16388272739826662</x:v>
      </x:c>
    </x:row>
    <x:row r="2138" ht="18" customHeight="1">
      <x:c r="A2138" s="46" t="str">
        <x:v>LME_055</x:v>
      </x:c>
      <x:c r="B2138" s="46" t="str">
        <x:v>Beaufort Sea</x:v>
      </x:c>
      <x:c r="C2138" s="46" t="str">
        <x:v>functional</x:v>
      </x:c>
      <x:c r="D2138" s="46" t="str">
        <x:v>Medium pelagics (30 - 89 cm)</x:v>
      </x:c>
      <x:c r="E2138" s="66" t="n">
        <x:v>5</x:v>
      </x:c>
      <x:c r="F2138" s="66" t="n">
        <x:v>5</x:v>
      </x:c>
      <x:c r="G2138" s="60" t="n">
        <x:v>8.2695778379</x:v>
      </x:c>
      <x:c r="H2138" s="60" t="n">
        <x:v>8.2695778379</x:v>
      </x:c>
      <x:c r="I2138" s="62" t="n">
        <x:v>0</x:v>
      </x:c>
      <x:c r="J2138" s="64" t="n">
        <x:v>1</x:v>
      </x:c>
      <x:c r="K2138" s="62" t="n">
        <x:v>185.49714316076066</x:v>
      </x:c>
      <x:c r="L2138" s="60" t="n">
        <x:v>1533.98306407599</x:v>
      </x:c>
      <x:c r="M2138" s="62" t="n">
        <x:v>3.254191013903172</x:v>
      </x:c>
      <x:c r="N2138" s="62" t="n">
        <x:v>179.5523170542817</x:v>
      </x:c>
      <x:c r="O2138" s="60" t="n">
        <x:v>1484.821861855682</x:v>
      </x:c>
      <x:c r="P2138" s="60" t="n">
        <x:v>49.161202220307814</x:v>
      </x:c>
      <x:c r="Q2138" s="62" t="n">
        <x:v>1.0331091584002325</x:v>
      </x:c>
      <x:c r="R2138" s="64" t="n">
        <x:v>0.03310915840023243</x:v>
      </x:c>
    </x:row>
    <x:row r="2139" ht="18" customHeight="1">
      <x:c r="A2139" s="46" t="str">
        <x:v>LME_055</x:v>
      </x:c>
      <x:c r="B2139" s="46" t="str">
        <x:v>Beaufort Sea</x:v>
      </x:c>
      <x:c r="C2139" s="46" t="str">
        <x:v>functional</x:v>
      </x:c>
      <x:c r="D2139" s="46" t="str">
        <x:v>Small pelagics (&lt;30 cm)</x:v>
      </x:c>
      <x:c r="E2139" s="66" t="n">
        <x:v>1</x:v>
      </x:c>
      <x:c r="F2139" s="66" t="n">
        <x:v>1</x:v>
      </x:c>
      <x:c r="G2139" s="60" t="n">
        <x:v>0.3013019341</x:v>
      </x:c>
      <x:c r="H2139" s="60" t="n">
        <x:v>0.3013019341</x:v>
      </x:c>
      <x:c r="I2139" s="62" t="n">
        <x:v>0</x:v>
      </x:c>
      <x:c r="J2139" s="64" t="n">
        <x:v>1</x:v>
      </x:c>
      <x:c r="K2139" s="62" t="n">
        <x:v>288.40315031266056</x:v>
      </x:c>
      <x:c r="L2139" s="60" t="n">
        <x:v>86.89642698973765</x:v>
      </x:c>
      <x:c r="M2139" s="62" t="n">
        <x:v>3.46</x:v>
      </x:c>
      <x:c r="N2139" s="62" t="n">
        <x:v>288.40315031266056</x:v>
      </x:c>
      <x:c r="O2139" s="60" t="n">
        <x:v>86.89642698973765</x:v>
      </x:c>
      <x:c r="P2139" s="60" t="n">
        <x:v>0</x:v>
      </x:c>
      <x:c r="Q2139" s="62" t="n">
        <x:v>1</x:v>
      </x:c>
      <x:c r="R2139" s="64" t="n">
        <x:v>0</x:v>
      </x:c>
    </x:row>
    <x:row r="2140" ht="18" customHeight="1">
      <x:c r="A2140" s="46" t="str">
        <x:v>LME_056</x:v>
      </x:c>
      <x:c r="B2140" s="46" t="str">
        <x:v>East Siberian Sea</x:v>
      </x:c>
      <x:c r="C2140" s="46" t="str">
        <x:v>functional</x:v>
      </x:c>
      <x:c r="D2140" s="46" t="str">
        <x:v>Medium demersals (30 - 89 cm)</x:v>
      </x:c>
      <x:c r="E2140" s="66" t="n">
        <x:v>1</x:v>
      </x:c>
      <x:c r="F2140" s="66" t="n">
        <x:v>1</x:v>
      </x:c>
      <x:c r="G2140" s="60" t="n">
        <x:v>343.3194620341</x:v>
      </x:c>
      <x:c r="H2140" s="60" t="n">
        <x:v>343.3194620341</x:v>
      </x:c>
      <x:c r="I2140" s="62" t="n">
        <x:v>0</x:v>
      </x:c>
      <x:c r="J2140" s="64" t="n">
        <x:v>1</x:v>
      </x:c>
      <x:c r="K2140" s="62" t="n">
        <x:v>190.54607179632464</x:v>
      </x:c>
      <x:c r="L2140" s="60" t="n">
        <x:v>65418.17486182517</x:v>
      </x:c>
      <x:c r="M2140" s="62" t="n">
        <x:v>3.28</x:v>
      </x:c>
      <x:c r="N2140" s="62" t="n">
        <x:v>190.54607179632464</x:v>
      </x:c>
      <x:c r="O2140" s="60" t="n">
        <x:v>65418.17486182517</x:v>
      </x:c>
      <x:c r="P2140" s="60" t="n">
        <x:v>0</x:v>
      </x:c>
      <x:c r="Q2140" s="62" t="n">
        <x:v>1</x:v>
      </x:c>
      <x:c r="R2140" s="64" t="n">
        <x:v>0</x:v>
      </x:c>
    </x:row>
    <x:row r="2141" ht="18" customHeight="1">
      <x:c r="A2141" s="46" t="str">
        <x:v>LME_056</x:v>
      </x:c>
      <x:c r="B2141" s="46" t="str">
        <x:v>East Siberian Sea</x:v>
      </x:c>
      <x:c r="C2141" s="46" t="str">
        <x:v>functional</x:v>
      </x:c>
      <x:c r="D2141" s="46" t="str">
        <x:v>Medium pelagics (30 - 89 cm)</x:v>
      </x:c>
      <x:c r="E2141" s="66" t="n">
        <x:v>3</x:v>
      </x:c>
      <x:c r="F2141" s="66" t="n">
        <x:v>3</x:v>
      </x:c>
      <x:c r="G2141" s="60" t="n">
        <x:v>960.7493124575999</x:v>
      </x:c>
      <x:c r="H2141" s="60" t="n">
        <x:v>960.7493124575999</x:v>
      </x:c>
      <x:c r="I2141" s="62" t="n">
        <x:v>0</x:v>
      </x:c>
      <x:c r="J2141" s="64" t="n">
        <x:v>1</x:v>
      </x:c>
      <x:c r="K2141" s="62" t="n">
        <x:v>218.59072388840198</x:v>
      </x:c>
      <x:c r="L2141" s="60" t="n">
        <x:v>210010.88768539127</x:v>
      </x:c>
      <x:c r="M2141" s="62" t="n">
        <x:v>3.2999178833080554</x:v>
      </x:c>
      <x:c r="N2141" s="62" t="n">
        <x:v>199.48850850965903</x:v>
      </x:c>
      <x:c r="O2141" s="60" t="n">
        <x:v>191658.447393847</x:v>
      </x:c>
      <x:c r="P2141" s="60" t="n">
        <x:v>18352.440291544277</x:v>
      </x:c>
      <x:c r="Q2141" s="62" t="n">
        <x:v>1.0957559687094358</x:v>
      </x:c>
      <x:c r="R2141" s="64" t="n">
        <x:v>0.0957559687094359</x:v>
      </x:c>
    </x:row>
    <x:row r="2142" ht="18" customHeight="1">
      <x:c r="A2142" s="46" t="str">
        <x:v>LME_057</x:v>
      </x:c>
      <x:c r="B2142" s="46" t="str">
        <x:v>Laptev Sea</x:v>
      </x:c>
      <x:c r="C2142" s="46" t="str">
        <x:v>functional</x:v>
      </x:c>
      <x:c r="D2142" s="46" t="str">
        <x:v>Large benthopelagics (&gt;=90 cm)</x:v>
      </x:c>
      <x:c r="E2142" s="66" t="n">
        <x:v>1</x:v>
      </x:c>
      <x:c r="F2142" s="66" t="n">
        <x:v>1</x:v>
      </x:c>
      <x:c r="G2142" s="60" t="n">
        <x:v>508.346393164</x:v>
      </x:c>
      <x:c r="H2142" s="60" t="n">
        <x:v>508.346393164</x:v>
      </x:c>
      <x:c r="I2142" s="62" t="n">
        <x:v>0</x:v>
      </x:c>
      <x:c r="J2142" s="64" t="n">
        <x:v>1</x:v>
      </x:c>
      <x:c r="K2142" s="62" t="n">
        <x:v>186.20871366628674</x:v>
      </x:c>
      <x:c r="L2142" s="60" t="n">
        <x:v>94658.5279679649</x:v>
      </x:c>
      <x:c r="M2142" s="62" t="n">
        <x:v>3.27</x:v>
      </x:c>
      <x:c r="N2142" s="62" t="n">
        <x:v>186.20871366628674</x:v>
      </x:c>
      <x:c r="O2142" s="60" t="n">
        <x:v>94658.5279679649</x:v>
      </x:c>
      <x:c r="P2142" s="60" t="n">
        <x:v>0</x:v>
      </x:c>
      <x:c r="Q2142" s="62" t="n">
        <x:v>1</x:v>
      </x:c>
      <x:c r="R2142" s="64" t="n">
        <x:v>0</x:v>
      </x:c>
    </x:row>
    <x:row r="2143" ht="18" customHeight="1">
      <x:c r="A2143" s="46" t="str">
        <x:v>LME_057</x:v>
      </x:c>
      <x:c r="B2143" s="46" t="str">
        <x:v>Laptev Sea</x:v>
      </x:c>
      <x:c r="C2143" s="46" t="str">
        <x:v>functional</x:v>
      </x:c>
      <x:c r="D2143" s="46" t="str">
        <x:v>Medium demersals (30 - 89 cm)</x:v>
      </x:c>
      <x:c r="E2143" s="66" t="n">
        <x:v>1</x:v>
      </x:c>
      <x:c r="F2143" s="66" t="n">
        <x:v>1</x:v>
      </x:c>
      <x:c r="G2143" s="60" t="n">
        <x:v>1128.8195392729</x:v>
      </x:c>
      <x:c r="H2143" s="60" t="n">
        <x:v>1128.8195392729</x:v>
      </x:c>
      <x:c r="I2143" s="62" t="n">
        <x:v>0</x:v>
      </x:c>
      <x:c r="J2143" s="64" t="n">
        <x:v>1</x:v>
      </x:c>
      <x:c r="K2143" s="62" t="n">
        <x:v>190.54607179632464</x:v>
      </x:c>
      <x:c r="L2143" s="60" t="n">
        <x:v>215092.12897538813</x:v>
      </x:c>
      <x:c r="M2143" s="62" t="n">
        <x:v>3.28</x:v>
      </x:c>
      <x:c r="N2143" s="62" t="n">
        <x:v>190.54607179632464</x:v>
      </x:c>
      <x:c r="O2143" s="60" t="n">
        <x:v>215092.12897538813</x:v>
      </x:c>
      <x:c r="P2143" s="60" t="n">
        <x:v>0</x:v>
      </x:c>
      <x:c r="Q2143" s="62" t="n">
        <x:v>1</x:v>
      </x:c>
      <x:c r="R2143" s="64" t="n">
        <x:v>0</x:v>
      </x:c>
    </x:row>
    <x:row r="2144" ht="18" customHeight="1">
      <x:c r="A2144" s="46" t="str">
        <x:v>LME_057</x:v>
      </x:c>
      <x:c r="B2144" s="46" t="str">
        <x:v>Laptev Sea</x:v>
      </x:c>
      <x:c r="C2144" s="46" t="str">
        <x:v>functional</x:v>
      </x:c>
      <x:c r="D2144" s="46" t="str">
        <x:v>Medium pelagics (30 - 89 cm)</x:v>
      </x:c>
      <x:c r="E2144" s="66" t="n">
        <x:v>3</x:v>
      </x:c>
      <x:c r="F2144" s="66" t="n">
        <x:v>3</x:v>
      </x:c>
      <x:c r="G2144" s="60" t="n">
        <x:v>979.0174837988</x:v>
      </x:c>
      <x:c r="H2144" s="60" t="n">
        <x:v>979.0174837988</x:v>
      </x:c>
      <x:c r="I2144" s="62" t="n">
        <x:v>0</x:v>
      </x:c>
      <x:c r="J2144" s="64" t="n">
        <x:v>1</x:v>
      </x:c>
      <x:c r="K2144" s="62" t="n">
        <x:v>201.5840644437085</x:v>
      </x:c>
      <x:c r="L2144" s="60" t="n">
        <x:v>197354.32354561464</x:v>
      </x:c>
      <x:c r="M2144" s="62" t="n">
        <x:v>3.2750421360093016</x:v>
      </x:c>
      <x:c r="N2144" s="62" t="n">
        <x:v>188.38318532808898</x:v>
      </x:c>
      <x:c r="O2144" s="60" t="n">
        <x:v>184430.4320899087</x:v>
      </x:c>
      <x:c r="P2144" s="60" t="n">
        <x:v>12923.891455705947</x:v>
      </x:c>
      <x:c r="Q2144" s="62" t="n">
        <x:v>1.0700746146352118</x:v>
      </x:c>
      <x:c r="R2144" s="64" t="n">
        <x:v>0.07007461463521178</x:v>
      </x:c>
    </x:row>
    <x:row r="2145" ht="18" customHeight="1">
      <x:c r="A2145" s="46" t="str">
        <x:v>LME_058</x:v>
      </x:c>
      <x:c r="B2145" s="46" t="str">
        <x:v>Kara Sea</x:v>
      </x:c>
      <x:c r="C2145" s="46" t="str">
        <x:v>functional</x:v>
      </x:c>
      <x:c r="D2145" s="46" t="str">
        <x:v>Large benthopelagics (&gt;=90 cm)</x:v>
      </x:c>
      <x:c r="E2145" s="66" t="n">
        <x:v>1</x:v>
      </x:c>
      <x:c r="F2145" s="66" t="n">
        <x:v>1</x:v>
      </x:c>
      <x:c r="G2145" s="60" t="n">
        <x:v>189.9309432293</x:v>
      </x:c>
      <x:c r="H2145" s="60" t="n">
        <x:v>189.9309432293</x:v>
      </x:c>
      <x:c r="I2145" s="62" t="n">
        <x:v>0</x:v>
      </x:c>
      <x:c r="J2145" s="64" t="n">
        <x:v>1</x:v>
      </x:c>
      <x:c r="K2145" s="62" t="n">
        <x:v>186.20871366628674</x:v>
      </x:c>
      <x:c r="L2145" s="60" t="n">
        <x:v>35366.796624152485</x:v>
      </x:c>
      <x:c r="M2145" s="62" t="n">
        <x:v>3.2699999999999996</x:v>
      </x:c>
      <x:c r="N2145" s="62" t="n">
        <x:v>186.20871366628657</x:v>
      </x:c>
      <x:c r="O2145" s="60" t="n">
        <x:v>35366.796624152455</x:v>
      </x:c>
      <x:c r="P2145" s="60" t="n">
        <x:v>2.9103830456733704e-11</x:v>
      </x:c>
      <x:c r="Q2145" s="62" t="n">
        <x:v>1.0000000000000009</x:v>
      </x:c>
      <x:c r="R2145" s="64" t="n">
        <x:v>8.229139541820508e-16</x:v>
      </x:c>
    </x:row>
    <x:row r="2146" ht="18" customHeight="1">
      <x:c r="A2146" s="46" t="str">
        <x:v>LME_058</x:v>
      </x:c>
      <x:c r="B2146" s="46" t="str">
        <x:v>Kara Sea</x:v>
      </x:c>
      <x:c r="C2146" s="46" t="str">
        <x:v>functional</x:v>
      </x:c>
      <x:c r="D2146" s="46" t="str">
        <x:v>Medium demersals (30 - 89 cm)</x:v>
      </x:c>
      <x:c r="E2146" s="66" t="n">
        <x:v>1</x:v>
      </x:c>
      <x:c r="F2146" s="66" t="n">
        <x:v>1</x:v>
      </x:c>
      <x:c r="G2146" s="60" t="n">
        <x:v>291.6251263832</x:v>
      </x:c>
      <x:c r="H2146" s="60" t="n">
        <x:v>291.6251263832</x:v>
      </x:c>
      <x:c r="I2146" s="62" t="n">
        <x:v>0</x:v>
      </x:c>
      <x:c r="J2146" s="64" t="n">
        <x:v>1</x:v>
      </x:c>
      <x:c r="K2146" s="62" t="n">
        <x:v>190.54607179632464</x:v>
      </x:c>
      <x:c r="L2146" s="60" t="n">
        <x:v>55568.02226942547</x:v>
      </x:c>
      <x:c r="M2146" s="62" t="n">
        <x:v>3.28</x:v>
      </x:c>
      <x:c r="N2146" s="62" t="n">
        <x:v>190.54607179632464</x:v>
      </x:c>
      <x:c r="O2146" s="60" t="n">
        <x:v>55568.02226942547</x:v>
      </x:c>
      <x:c r="P2146" s="60" t="n">
        <x:v>0</x:v>
      </x:c>
      <x:c r="Q2146" s="62" t="n">
        <x:v>1</x:v>
      </x:c>
      <x:c r="R2146" s="64" t="n">
        <x:v>0</x:v>
      </x:c>
    </x:row>
    <x:row r="2147" ht="18" customHeight="1">
      <x:c r="A2147" s="46" t="str">
        <x:v>LME_058</x:v>
      </x:c>
      <x:c r="B2147" s="46" t="str">
        <x:v>Kara Sea</x:v>
      </x:c>
      <x:c r="C2147" s="46" t="str">
        <x:v>functional</x:v>
      </x:c>
      <x:c r="D2147" s="46" t="str">
        <x:v>Medium pelagics (30 - 89 cm)</x:v>
      </x:c>
      <x:c r="E2147" s="66" t="n">
        <x:v>3</x:v>
      </x:c>
      <x:c r="F2147" s="66" t="n">
        <x:v>3</x:v>
      </x:c>
      <x:c r="G2147" s="60" t="n">
        <x:v>237.7331322953</x:v>
      </x:c>
      <x:c r="H2147" s="60" t="n">
        <x:v>237.7331322953</x:v>
      </x:c>
      <x:c r="I2147" s="62" t="n">
        <x:v>0</x:v>
      </x:c>
      <x:c r="J2147" s="64" t="n">
        <x:v>1</x:v>
      </x:c>
      <x:c r="K2147" s="62" t="n">
        <x:v>194.35282840898796</x:v>
      </x:c>
      <x:c r="L2147" s="60" t="n">
        <x:v>46204.106668119675</x:v>
      </x:c>
      <x:c r="M2147" s="62" t="n">
        <x:v>3.2743857961073335</x:v>
      </x:c>
      <x:c r="N2147" s="62" t="n">
        <x:v>188.09870089694422</x:v>
      </x:c>
      <x:c r="O2147" s="60" t="n">
        <x:v>44717.29334490731</x:v>
      </x:c>
      <x:c r="P2147" s="60" t="n">
        <x:v>1486.8133232123655</x:v>
      </x:c>
      <x:c r="Q2147" s="62" t="n">
        <x:v>1.0332491797243737</x:v>
      </x:c>
      <x:c r="R2147" s="64" t="n">
        <x:v>0.03324917972437375</x:v>
      </x:c>
    </x:row>
    <x:row r="2148" ht="18" customHeight="1">
      <x:c r="A2148" s="46" t="str">
        <x:v>LME_059</x:v>
      </x:c>
      <x:c r="B2148" s="46" t="str">
        <x:v>Iceland Shelf and Sea</x:v>
      </x:c>
      <x:c r="C2148" s="46" t="str">
        <x:v>functional</x:v>
      </x:c>
      <x:c r="D2148" s="46" t="str">
        <x:v>Cephalopods</x:v>
      </x:c>
      <x:c r="E2148" s="66" t="n">
        <x:v>2</x:v>
      </x:c>
      <x:c r="F2148" s="66" t="n">
        <x:v>2</x:v>
      </x:c>
      <x:c r="G2148" s="60" t="n">
        <x:v>3.4973299026</x:v>
      </x:c>
      <x:c r="H2148" s="60" t="n">
        <x:v>3.4973299026</x:v>
      </x:c>
      <x:c r="I2148" s="62" t="n">
        <x:v>0</x:v>
      </x:c>
      <x:c r="J2148" s="64" t="n">
        <x:v>1</x:v>
      </x:c>
      <x:c r="K2148" s="62" t="n">
        <x:v>780.9298925726998</x:v>
      </x:c>
      <x:c r="L2148" s="60" t="n">
        <x:v>2731.169465128709</x:v>
      </x:c>
      <x:c r="M2148" s="62" t="n">
        <x:v>3.884342099135318</x:v>
      </x:c>
      <x:c r="N2148" s="62" t="n">
        <x:v>766.199914413617</x:v>
      </x:c>
      <x:c r="O2148" s="60" t="n">
        <x:v>2679.6538720483036</x:v>
      </x:c>
      <x:c r="P2148" s="60" t="n">
        <x:v>51.515593080405324</x:v>
      </x:c>
      <x:c r="Q2148" s="62" t="n">
        <x:v>1.0192247191392025</x:v>
      </x:c>
      <x:c r="R2148" s="64" t="n">
        <x:v>0.01922471913920258</x:v>
      </x:c>
    </x:row>
    <x:row r="2149" ht="18" customHeight="1">
      <x:c r="A2149" s="46" t="str">
        <x:v>LME_059</x:v>
      </x:c>
      <x:c r="B2149" s="46" t="str">
        <x:v>Iceland Shelf and Sea</x:v>
      </x:c>
      <x:c r="C2149" s="46" t="str">
        <x:v>functional</x:v>
      </x:c>
      <x:c r="D2149" s="46" t="str">
        <x:v>Large bathydemersals (&gt;=90 cm)</x:v>
      </x:c>
      <x:c r="E2149" s="66" t="n">
        <x:v>2</x:v>
      </x:c>
      <x:c r="F2149" s="66" t="n">
        <x:v>2</x:v>
      </x:c>
      <x:c r="G2149" s="60" t="n">
        <x:v>591.1247397031</x:v>
      </x:c>
      <x:c r="H2149" s="60" t="n">
        <x:v>591.1247397031</x:v>
      </x:c>
      <x:c r="I2149" s="62" t="n">
        <x:v>0</x:v>
      </x:c>
      <x:c r="J2149" s="64" t="n">
        <x:v>1</x:v>
      </x:c>
      <x:c r="K2149" s="62" t="n">
        <x:v>2801.72906269368</x:v>
      </x:c>
      <x:c r="L2149" s="60" t="n">
        <x:v>1656171.362903412</x:v>
      </x:c>
      <x:c r="M2149" s="62" t="n">
        <x:v>4.4445645805359835</x:v>
      </x:c>
      <x:c r="N2149" s="62" t="n">
        <x:v>2783.329230203839</x:v>
      </x:c>
      <x:c r="O2149" s="60" t="n">
        <x:v>1645294.766712274</x:v>
      </x:c>
      <x:c r="P2149" s="60" t="n">
        <x:v>10876.59619113803</x:v>
      </x:c>
      <x:c r="Q2149" s="62" t="n">
        <x:v>1.0066107280052148</x:v>
      </x:c>
      <x:c r="R2149" s="64" t="n">
        <x:v>0.006610728005214708</x:v>
      </x:c>
    </x:row>
    <x:row r="2150" ht="18" customHeight="1">
      <x:c r="A2150" s="46" t="str">
        <x:v>LME_059</x:v>
      </x:c>
      <x:c r="B2150" s="46" t="str">
        <x:v>Iceland Shelf and Sea</x:v>
      </x:c>
      <x:c r="C2150" s="46" t="str">
        <x:v>functional</x:v>
      </x:c>
      <x:c r="D2150" s="46" t="str">
        <x:v>Large bathypelagics (&gt;=90 cm)</x:v>
      </x:c>
      <x:c r="E2150" s="66" t="n">
        <x:v>2</x:v>
      </x:c>
      <x:c r="F2150" s="66" t="n">
        <x:v>2</x:v>
      </x:c>
      <x:c r="G2150" s="60" t="n">
        <x:v>9.6284300213</x:v>
      </x:c>
      <x:c r="H2150" s="60" t="n">
        <x:v>9.6284300213</x:v>
      </x:c>
      <x:c r="I2150" s="62" t="n">
        <x:v>0</x:v>
      </x:c>
      <x:c r="J2150" s="64" t="n">
        <x:v>1</x:v>
      </x:c>
      <x:c r="K2150" s="62" t="n">
        <x:v>379.19809290604985</x:v>
      </x:c>
      <x:c r="L2150" s="60" t="n">
        <x:v>3651.082301756317</x:v>
      </x:c>
      <x:c r="M2150" s="62" t="n">
        <x:v>3.551068137477475</x:v>
      </x:c>
      <x:c r="N2150" s="62" t="n">
        <x:v>355.68711877589834</x:v>
      </x:c>
      <x:c r="O2150" s="60" t="n">
        <x:v>3424.7085326115584</x:v>
      </x:c>
      <x:c r="P2150" s="60" t="n">
        <x:v>226.37376914475863</x:v>
      </x:c>
      <x:c r="Q2150" s="62" t="n">
        <x:v>1.0661001562583003</x:v>
      </x:c>
      <x:c r="R2150" s="64" t="n">
        <x:v>0.06610015625830039</x:v>
      </x:c>
    </x:row>
    <x:row r="2151" ht="18" customHeight="1">
      <x:c r="A2151" s="46" t="str">
        <x:v>LME_059</x:v>
      </x:c>
      <x:c r="B2151" s="46" t="str">
        <x:v>Iceland Shelf and Sea</x:v>
      </x:c>
      <x:c r="C2151" s="46" t="str">
        <x:v>functional</x:v>
      </x:c>
      <x:c r="D2151" s="46" t="str">
        <x:v>Large benthopelagics (&gt;=90 cm)</x:v>
      </x:c>
      <x:c r="E2151" s="66" t="n">
        <x:v>4</x:v>
      </x:c>
      <x:c r="F2151" s="66" t="n">
        <x:v>4</x:v>
      </x:c>
      <x:c r="G2151" s="60" t="n">
        <x:v>231838.2044167705</x:v>
      </x:c>
      <x:c r="H2151" s="60" t="n">
        <x:v>231838.2044167705</x:v>
      </x:c>
      <x:c r="I2151" s="62" t="n">
        <x:v>0</x:v>
      </x:c>
      <x:c r="J2151" s="64" t="n">
        <x:v>1</x:v>
      </x:c>
      <x:c r="K2151" s="62" t="n">
        <x:v>1231.0138964754342</x:v>
      </x:c>
      <x:c r="L2151" s="60" t="n">
        <x:v>285396051.37095684</x:v>
      </x:c>
      <x:c r="M2151" s="62" t="n">
        <x:v>4.09015652625061</x:v>
      </x:c>
      <x:c r="N2151" s="62" t="n">
        <x:v>1230.7122580602656</x:v>
      </x:c>
      <x:c r="O2151" s="60" t="n">
        <x:v>285326120.06240106</x:v>
      </x:c>
      <x:c r="P2151" s="60" t="n">
        <x:v>69931.30855578184</x:v>
      </x:c>
      <x:c r="Q2151" s="62" t="n">
        <x:v>1.0002450925577389</x:v>
      </x:c>
      <x:c r="R2151" s="64" t="n">
        <x:v>0.0002450925577388001</x:v>
      </x:c>
    </x:row>
    <x:row r="2152" ht="18" customHeight="1">
      <x:c r="A2152" s="46" t="str">
        <x:v>LME_059</x:v>
      </x:c>
      <x:c r="B2152" s="46" t="str">
        <x:v>Iceland Shelf and Sea</x:v>
      </x:c>
      <x:c r="C2152" s="46" t="str">
        <x:v>functional</x:v>
      </x:c>
      <x:c r="D2152" s="46" t="str">
        <x:v>Large demersals (&gt;=90 cm)</x:v>
      </x:c>
      <x:c r="E2152" s="66" t="n">
        <x:v>9</x:v>
      </x:c>
      <x:c r="F2152" s="66" t="n">
        <x:v>9</x:v>
      </x:c>
      <x:c r="G2152" s="60" t="n">
        <x:v>88453.07862478531</x:v>
      </x:c>
      <x:c r="H2152" s="60" t="n">
        <x:v>88453.07862478531</x:v>
      </x:c>
      <x:c r="I2152" s="62" t="n">
        <x:v>0</x:v>
      </x:c>
      <x:c r="J2152" s="64" t="n">
        <x:v>1</x:v>
      </x:c>
      <x:c r="K2152" s="62" t="n">
        <x:v>1825.2716717588341</x:v>
      </x:c>
      <x:c r="L2152" s="60" t="n">
        <x:v>161450898.69367748</x:v>
      </x:c>
      <x:c r="M2152" s="62" t="n">
        <x:v>4.203940402648447</x:v>
      </x:c>
      <x:c r="N2152" s="62" t="n">
        <x:v>1599.3385395686416</x:v>
      </x:c>
      <x:c r="O2152" s="60" t="n">
        <x:v>141466417.58811438</x:v>
      </x:c>
      <x:c r="P2152" s="60" t="n">
        <x:v>19984481.105563104</x:v>
      </x:c>
      <x:c r="Q2152" s="62" t="n">
        <x:v>1.141266609038965</x:v>
      </x:c>
      <x:c r="R2152" s="64" t="n">
        <x:v>0.1412666090389649</x:v>
      </x:c>
    </x:row>
    <x:row r="2153" ht="18" customHeight="1">
      <x:c r="A2153" s="46" t="str">
        <x:v>LME_059</x:v>
      </x:c>
      <x:c r="B2153" s="46" t="str">
        <x:v>Iceland Shelf and Sea</x:v>
      </x:c>
      <x:c r="C2153" s="46" t="str">
        <x:v>functional</x:v>
      </x:c>
      <x:c r="D2153" s="46" t="str">
        <x:v>Large flatfishes (&gt;=90 cm)</x:v>
      </x:c>
      <x:c r="E2153" s="66" t="n">
        <x:v>2</x:v>
      </x:c>
      <x:c r="F2153" s="66" t="n">
        <x:v>2</x:v>
      </x:c>
      <x:c r="G2153" s="60" t="n">
        <x:v>6043.3365690605</x:v>
      </x:c>
      <x:c r="H2153" s="60" t="n">
        <x:v>6043.3365690605</x:v>
      </x:c>
      <x:c r="I2153" s="62" t="n">
        <x:v>0</x:v>
      </x:c>
      <x:c r="J2153" s="64" t="n">
        <x:v>1</x:v>
      </x:c>
      <x:c r="K2153" s="62" t="n">
        <x:v>227.03705272752526</x:v>
      </x:c>
      <x:c r="L2153" s="60" t="n">
        <x:v>1372061.3232799703</x:v>
      </x:c>
      <x:c r="M2153" s="62" t="n">
        <x:v>3.300768136842931</x:v>
      </x:c>
      <x:c r="N2153" s="62" t="n">
        <x:v>199.87944590426812</x:v>
      </x:c>
      <x:c r="O2153" s="60" t="n">
        <x:v>1207938.7648368136</x:v>
      </x:c>
      <x:c r="P2153" s="60" t="n">
        <x:v>164122.55844315677</x:v>
      </x:c>
      <x:c r="Q2153" s="62" t="n">
        <x:v>1.1358699325005344</x:v>
      </x:c>
      <x:c r="R2153" s="64" t="n">
        <x:v>0.13586993250053442</x:v>
      </x:c>
    </x:row>
    <x:row r="2154" ht="18" customHeight="1">
      <x:c r="A2154" s="46" t="str">
        <x:v>LME_059</x:v>
      </x:c>
      <x:c r="B2154" s="46" t="str">
        <x:v>Iceland Shelf and Sea</x:v>
      </x:c>
      <x:c r="C2154" s="46" t="str">
        <x:v>functional</x:v>
      </x:c>
      <x:c r="D2154" s="46" t="str">
        <x:v>Large rays (&gt;=90 cm)</x:v>
      </x:c>
      <x:c r="E2154" s="66" t="n">
        <x:v>6</x:v>
      </x:c>
      <x:c r="F2154" s="66" t="n">
        <x:v>6</x:v>
      </x:c>
      <x:c r="G2154" s="60" t="n">
        <x:v>1318.840294512</x:v>
      </x:c>
      <x:c r="H2154" s="60" t="n">
        <x:v>1318.840294512</x:v>
      </x:c>
      <x:c r="I2154" s="62" t="n">
        <x:v>0</x:v>
      </x:c>
      <x:c r="J2154" s="64" t="n">
        <x:v>1</x:v>
      </x:c>
      <x:c r="K2154" s="62" t="n">
        <x:v>1254.78718452954</x:v>
      </x:c>
      <x:c r="L2154" s="60" t="n">
        <x:v>1654863.8999948215</x:v>
      </x:c>
      <x:c r="M2154" s="62" t="n">
        <x:v>4.028141279362163</x:v>
      </x:c>
      <x:c r="N2154" s="62" t="n">
        <x:v>1066.9431496605557</x:v>
      </x:c>
      <x:c r="O2154" s="60" t="n">
        <x:v>1407127.617725888</x:v>
      </x:c>
      <x:c r="P2154" s="60" t="n">
        <x:v>247736.2822689335</x:v>
      </x:c>
      <x:c r="Q2154" s="62" t="n">
        <x:v>1.176058147923576</x:v>
      </x:c>
      <x:c r="R2154" s="64" t="n">
        <x:v>0.176058147923576</x:v>
      </x:c>
    </x:row>
    <x:row r="2155" ht="18" customHeight="1">
      <x:c r="A2155" s="46" t="str">
        <x:v>LME_059</x:v>
      </x:c>
      <x:c r="B2155" s="46" t="str">
        <x:v>Iceland Shelf and Sea</x:v>
      </x:c>
      <x:c r="C2155" s="46" t="str">
        <x:v>functional</x:v>
      </x:c>
      <x:c r="D2155" s="46" t="str">
        <x:v>Large reef assoc. fish (&gt;=90 cm)</x:v>
      </x:c>
      <x:c r="E2155" s="66" t="n">
        <x:v>1</x:v>
      </x:c>
      <x:c r="F2155" s="66" t="n">
        <x:v>1</x:v>
      </x:c>
      <x:c r="G2155" s="60" t="n">
        <x:v>1358.0404244062</x:v>
      </x:c>
      <x:c r="H2155" s="60" t="n">
        <x:v>1358.0404244062</x:v>
      </x:c>
      <x:c r="I2155" s="62" t="n">
        <x:v>0</x:v>
      </x:c>
      <x:c r="J2155" s="64" t="n">
        <x:v>1</x:v>
      </x:c>
      <x:c r="K2155" s="62" t="n">
        <x:v>616.5950018614822</x:v>
      </x:c>
      <x:c r="L2155" s="60" t="n">
        <x:v>837360.9380147088</x:v>
      </x:c>
      <x:c r="M2155" s="62" t="n">
        <x:v>3.79</x:v>
      </x:c>
      <x:c r="N2155" s="62" t="n">
        <x:v>616.5950018614822</x:v>
      </x:c>
      <x:c r="O2155" s="60" t="n">
        <x:v>837360.9380147088</x:v>
      </x:c>
      <x:c r="P2155" s="60" t="n">
        <x:v>0</x:v>
      </x:c>
      <x:c r="Q2155" s="62" t="n">
        <x:v>1</x:v>
      </x:c>
      <x:c r="R2155" s="64" t="n">
        <x:v>0</x:v>
      </x:c>
    </x:row>
    <x:row r="2156" ht="18" customHeight="1">
      <x:c r="A2156" s="46" t="str">
        <x:v>LME_059</x:v>
      </x:c>
      <x:c r="B2156" s="46" t="str">
        <x:v>Iceland Shelf and Sea</x:v>
      </x:c>
      <x:c r="C2156" s="46" t="str">
        <x:v>functional</x:v>
      </x:c>
      <x:c r="D2156" s="46" t="str">
        <x:v>Large sharks (&gt;=90 cm)</x:v>
      </x:c>
      <x:c r="E2156" s="66" t="n">
        <x:v>6</x:v>
      </x:c>
      <x:c r="F2156" s="66" t="n">
        <x:v>6</x:v>
      </x:c>
      <x:c r="G2156" s="60" t="n">
        <x:v>28.146417429</x:v>
      </x:c>
      <x:c r="H2156" s="60" t="n">
        <x:v>28.146417429</x:v>
      </x:c>
      <x:c r="I2156" s="62" t="n">
        <x:v>0</x:v>
      </x:c>
      <x:c r="J2156" s="64" t="n">
        <x:v>1</x:v>
      </x:c>
      <x:c r="K2156" s="62" t="n">
        <x:v>1958.5377590434623</x:v>
      </x:c>
      <x:c r="L2156" s="60" t="n">
        <x:v>55125.82131649551</x:v>
      </x:c>
      <x:c r="M2156" s="62" t="n">
        <x:v>4.269886907645031</x:v>
      </x:c>
      <x:c r="N2156" s="62" t="n">
        <x:v>1861.6023034182363</x:v>
      </x:c>
      <x:c r="O2156" s="60" t="n">
        <x:v>52397.43551879759</x:v>
      </x:c>
      <x:c r="P2156" s="60" t="n">
        <x:v>2728.3857976979198</x:v>
      </x:c>
      <x:c r="Q2156" s="62" t="n">
        <x:v>1.0520709796325645</x:v>
      </x:c>
      <x:c r="R2156" s="64" t="n">
        <x:v>0.052070979632564476</x:v>
      </x:c>
    </x:row>
    <x:row r="2157" ht="18" customHeight="1">
      <x:c r="A2157" s="46" t="str">
        <x:v>LME_059</x:v>
      </x:c>
      <x:c r="B2157" s="46" t="str">
        <x:v>Iceland Shelf and Sea</x:v>
      </x:c>
      <x:c r="C2157" s="46" t="str">
        <x:v>functional</x:v>
      </x:c>
      <x:c r="D2157" s="46" t="str">
        <x:v>Lobsters, crabs</x:v>
      </x:c>
      <x:c r="E2157" s="66" t="n">
        <x:v>2</x:v>
      </x:c>
      <x:c r="F2157" s="66" t="n">
        <x:v>2</x:v>
      </x:c>
      <x:c r="G2157" s="60" t="n">
        <x:v>142.890216093</x:v>
      </x:c>
      <x:c r="H2157" s="60" t="n">
        <x:v>142.890216093</x:v>
      </x:c>
      <x:c r="I2157" s="62" t="n">
        <x:v>0</x:v>
      </x:c>
      <x:c r="J2157" s="64" t="n">
        <x:v>1</x:v>
      </x:c>
      <x:c r="K2157" s="62" t="n">
        <x:v>73.81815744706886</x:v>
      </x:c>
      <x:c r="L2157" s="60" t="n">
        <x:v>10547.892469198765</x:v>
      </x:c>
      <x:c r="M2157" s="62" t="n">
        <x:v>2.867538658257567</x:v>
      </x:c>
      <x:c r="N2157" s="62" t="n">
        <x:v>73.71207864340523</x:v>
      </x:c>
      <x:c r="O2157" s="60" t="n">
        <x:v>10532.734846020383</x:v>
      </x:c>
      <x:c r="P2157" s="60" t="n">
        <x:v>15.157623178381982</x:v>
      </x:c>
      <x:c r="Q2157" s="62" t="n">
        <x:v>1.0014390966258977</x:v>
      </x:c>
      <x:c r="R2157" s="64" t="n">
        <x:v>0.0014390966258975974</x:v>
      </x:c>
    </x:row>
    <x:row r="2158" ht="18" customHeight="1">
      <x:c r="A2158" s="46" t="str">
        <x:v>LME_059</x:v>
      </x:c>
      <x:c r="B2158" s="46" t="str">
        <x:v>Iceland Shelf and Sea</x:v>
      </x:c>
      <x:c r="C2158" s="46" t="str">
        <x:v>functional</x:v>
      </x:c>
      <x:c r="D2158" s="46" t="str">
        <x:v>Medium bathydemersals (30 - 89 cm)</x:v>
      </x:c>
      <x:c r="E2158" s="66" t="n">
        <x:v>2</x:v>
      </x:c>
      <x:c r="F2158" s="66" t="n">
        <x:v>2</x:v>
      </x:c>
      <x:c r="G2158" s="60" t="n">
        <x:v>3287.6095585217995</x:v>
      </x:c>
      <x:c r="H2158" s="60" t="n">
        <x:v>3287.6095585217995</x:v>
      </x:c>
      <x:c r="I2158" s="62" t="n">
        <x:v>0</x:v>
      </x:c>
      <x:c r="J2158" s="64" t="n">
        <x:v>1</x:v>
      </x:c>
      <x:c r="K2158" s="62" t="n">
        <x:v>215.38131184126811</x:v>
      </x:c>
      <x:c r="L2158" s="60" t="n">
        <x:v>708089.6595363175</x:v>
      </x:c>
      <x:c r="M2158" s="62" t="n">
        <x:v>3.322749404278419</x:v>
      </x:c>
      <x:c r="N2158" s="62" t="n">
        <x:v>210.25648719546632</x:v>
      </x:c>
      <x:c r="O2158" s="60" t="n">
        <x:v>691241.2370450314</x:v>
      </x:c>
      <x:c r="P2158" s="60" t="n">
        <x:v>16848.422491286066</x:v>
      </x:c>
      <x:c r="Q2158" s="62" t="n">
        <x:v>1.0243741570790987</x:v>
      </x:c>
      <x:c r="R2158" s="64" t="n">
        <x:v>0.02437415707909866</x:v>
      </x:c>
    </x:row>
    <x:row r="2159" ht="18" customHeight="1">
      <x:c r="A2159" s="46" t="str">
        <x:v>LME_059</x:v>
      </x:c>
      <x:c r="B2159" s="46" t="str">
        <x:v>Iceland Shelf and Sea</x:v>
      </x:c>
      <x:c r="C2159" s="46" t="str">
        <x:v>functional</x:v>
      </x:c>
      <x:c r="D2159" s="46" t="str">
        <x:v>Medium bathypelagics (30 - 89 cm)</x:v>
      </x:c>
      <x:c r="E2159" s="66" t="n">
        <x:v>1</x:v>
      </x:c>
      <x:c r="F2159" s="66" t="n">
        <x:v>1</x:v>
      </x:c>
      <x:c r="G2159" s="60" t="n">
        <x:v>9848.1594076503</x:v>
      </x:c>
      <x:c r="H2159" s="60" t="n">
        <x:v>9848.1594076503</x:v>
      </x:c>
      <x:c r="I2159" s="62" t="n">
        <x:v>0</x:v>
      </x:c>
      <x:c r="J2159" s="64" t="n">
        <x:v>1</x:v>
      </x:c>
      <x:c r="K2159" s="62" t="n">
        <x:v>446.683592150963</x:v>
      </x:c>
      <x:c r="L2159" s="60" t="n">
        <x:v>4399011.2202845365</x:v>
      </x:c>
      <x:c r="M2159" s="62" t="n">
        <x:v>3.65</x:v>
      </x:c>
      <x:c r="N2159" s="62" t="n">
        <x:v>446.683592150963</x:v>
      </x:c>
      <x:c r="O2159" s="60" t="n">
        <x:v>4399011.2202845365</x:v>
      </x:c>
      <x:c r="P2159" s="60" t="n">
        <x:v>0</x:v>
      </x:c>
      <x:c r="Q2159" s="62" t="n">
        <x:v>1</x:v>
      </x:c>
      <x:c r="R2159" s="64" t="n">
        <x:v>0</x:v>
      </x:c>
    </x:row>
    <x:row r="2160" ht="18" customHeight="1">
      <x:c r="A2160" s="46" t="str">
        <x:v>LME_059</x:v>
      </x:c>
      <x:c r="B2160" s="46" t="str">
        <x:v>Iceland Shelf and Sea</x:v>
      </x:c>
      <x:c r="C2160" s="46" t="str">
        <x:v>functional</x:v>
      </x:c>
      <x:c r="D2160" s="46" t="str">
        <x:v>Medium benthopelagics (30 - 89 cm)</x:v>
      </x:c>
      <x:c r="E2160" s="66" t="n">
        <x:v>7</x:v>
      </x:c>
      <x:c r="F2160" s="66" t="n">
        <x:v>7</x:v>
      </x:c>
      <x:c r="G2160" s="60" t="n">
        <x:v>85572.43121418862</x:v>
      </x:c>
      <x:c r="H2160" s="60" t="n">
        <x:v>85572.43121418862</x:v>
      </x:c>
      <x:c r="I2160" s="62" t="n">
        <x:v>0</x:v>
      </x:c>
      <x:c r="J2160" s="64" t="n">
        <x:v>1</x:v>
      </x:c>
      <x:c r="K2160" s="62" t="n">
        <x:v>1165.7019213430276</x:v>
      </x:c>
      <x:c r="L2160" s="60" t="n">
        <x:v>99751947.48037374</x:v>
      </x:c>
      <x:c r="M2160" s="62" t="n">
        <x:v>4.054015842987482</x:v>
      </x:c>
      <x:c r="N2160" s="62" t="n">
        <x:v>1132.4416737581776</x:v>
      </x:c>
      <x:c r="O2160" s="60" t="n">
        <x:v>96905787.23175228</x:v>
      </x:c>
      <x:c r="P2160" s="60" t="n">
        <x:v>2846160.248621464</x:v>
      </x:c>
      <x:c r="Q2160" s="62" t="n">
        <x:v>1.029370384679037</x:v>
      </x:c>
      <x:c r="R2160" s="64" t="n">
        <x:v>0.02937038467903687</x:v>
      </x:c>
    </x:row>
    <x:row r="2161" ht="18" customHeight="1">
      <x:c r="A2161" s="46" t="str">
        <x:v>LME_059</x:v>
      </x:c>
      <x:c r="B2161" s="46" t="str">
        <x:v>Iceland Shelf and Sea</x:v>
      </x:c>
      <x:c r="C2161" s="46" t="str">
        <x:v>functional</x:v>
      </x:c>
      <x:c r="D2161" s="46" t="str">
        <x:v>Medium demersals (30 - 89 cm)</x:v>
      </x:c>
      <x:c r="E2161" s="66" t="n">
        <x:v>7</x:v>
      </x:c>
      <x:c r="F2161" s="66" t="n">
        <x:v>7</x:v>
      </x:c>
      <x:c r="G2161" s="60" t="n">
        <x:v>183646.88041889382</x:v>
      </x:c>
      <x:c r="H2161" s="60" t="n">
        <x:v>183646.88041889382</x:v>
      </x:c>
      <x:c r="I2161" s="62" t="n">
        <x:v>0</x:v>
      </x:c>
      <x:c r="J2161" s="64" t="n">
        <x:v>1</x:v>
      </x:c>
      <x:c r="K2161" s="62" t="n">
        <x:v>490.6093237311434</x:v>
      </x:c>
      <x:c r="L2161" s="60" t="n">
        <x:v>90098871.80764766</x:v>
      </x:c>
      <x:c r="M2161" s="62" t="n">
        <x:v>3.5354631336602327</x:v>
      </x:c>
      <x:c r="N2161" s="62" t="n">
        <x:v>343.13351068234925</x:v>
      </x:c>
      <x:c r="O2161" s="60" t="n">
        <x:v>63015398.80399662</x:v>
      </x:c>
      <x:c r="P2161" s="60" t="n">
        <x:v>27083473.003651038</x:v>
      </x:c>
      <x:c r="Q2161" s="62" t="n">
        <x:v>1.4297913449360464</x:v>
      </x:c>
      <x:c r="R2161" s="64" t="n">
        <x:v>0.42979134493604637</x:v>
      </x:c>
    </x:row>
    <x:row r="2162" ht="18" customHeight="1">
      <x:c r="A2162" s="46" t="str">
        <x:v>LME_059</x:v>
      </x:c>
      <x:c r="B2162" s="46" t="str">
        <x:v>Iceland Shelf and Sea</x:v>
      </x:c>
      <x:c r="C2162" s="46" t="str">
        <x:v>functional</x:v>
      </x:c>
      <x:c r="D2162" s="46" t="str">
        <x:v>Medium pelagics (30 - 89 cm)</x:v>
      </x:c>
      <x:c r="E2162" s="66" t="n">
        <x:v>2</x:v>
      </x:c>
      <x:c r="F2162" s="66" t="n">
        <x:v>2</x:v>
      </x:c>
      <x:c r="G2162" s="60" t="n">
        <x:v>65672.61610553</x:v>
      </x:c>
      <x:c r="H2162" s="60" t="n">
        <x:v>65672.61610553</x:v>
      </x:c>
      <x:c r="I2162" s="62" t="n">
        <x:v>0</x:v>
      </x:c>
      <x:c r="J2162" s="64" t="n">
        <x:v>1</x:v>
      </x:c>
      <x:c r="K2162" s="62" t="n">
        <x:v>426.648254468612</x:v>
      </x:c>
      <x:c r="L2162" s="60" t="n">
        <x:v>28019107.02781163</x:v>
      </x:c>
      <x:c r="M2162" s="62" t="n">
        <x:v>3.630041511883609</x:v>
      </x:c>
      <x:c r="N2162" s="62" t="n">
        <x:v>426.6202952019651</x:v>
      </x:c>
      <x:c r="O2162" s="60" t="n">
        <x:v>28017270.86962654</x:v>
      </x:c>
      <x:c r="P2162" s="60" t="n">
        <x:v>1836.1581850908697</x:v>
      </x:c>
      <x:c r="Q2162" s="62" t="n">
        <x:v>1.0000655366539317</x:v>
      </x:c>
      <x:c r="R2162" s="64" t="n">
        <x:v>0.00006553665393160918</x:v>
      </x:c>
    </x:row>
    <x:row r="2163" ht="18" customHeight="1">
      <x:c r="A2163" s="46" t="str">
        <x:v>LME_059</x:v>
      </x:c>
      <x:c r="B2163" s="46" t="str">
        <x:v>Iceland Shelf and Sea</x:v>
      </x:c>
      <x:c r="C2163" s="46" t="str">
        <x:v>functional</x:v>
      </x:c>
      <x:c r="D2163" s="46" t="str">
        <x:v>Other demersal invertebrates</x:v>
      </x:c>
      <x:c r="E2163" s="66" t="n">
        <x:v>4</x:v>
      </x:c>
      <x:c r="F2163" s="66" t="n">
        <x:v>4</x:v>
      </x:c>
      <x:c r="G2163" s="60" t="n">
        <x:v>608.234572457</x:v>
      </x:c>
      <x:c r="H2163" s="60" t="n">
        <x:v>608.234572457</x:v>
      </x:c>
      <x:c r="I2163" s="62" t="n">
        <x:v>0</x:v>
      </x:c>
      <x:c r="J2163" s="64" t="n">
        <x:v>1</x:v>
      </x:c>
      <x:c r="K2163" s="62" t="n">
        <x:v>302.778469619204</x:v>
      </x:c>
      <x:c r="L2163" s="60" t="n">
        <x:v>184160.3330180213</x:v>
      </x:c>
      <x:c r="M2163" s="62" t="n">
        <x:v>3.13583840576857</x:v>
      </x:c>
      <x:c r="N2163" s="62" t="n">
        <x:v>136.72200096099888</x:v>
      </x:c>
      <x:c r="O2163" s="60" t="n">
        <x:v>83159.0477999787</x:v>
      </x:c>
      <x:c r="P2163" s="60" t="n">
        <x:v>101001.28521804261</x:v>
      </x:c>
      <x:c r="Q2163" s="62" t="n">
        <x:v>2.2145555762131814</x:v>
      </x:c>
      <x:c r="R2163" s="64" t="n">
        <x:v>1.2145555762131812</x:v>
      </x:c>
    </x:row>
    <x:row r="2164" ht="18" customHeight="1">
      <x:c r="A2164" s="46" t="str">
        <x:v>LME_059</x:v>
      </x:c>
      <x:c r="B2164" s="46" t="str">
        <x:v>Iceland Shelf and Sea</x:v>
      </x:c>
      <x:c r="C2164" s="46" t="str">
        <x:v>functional</x:v>
      </x:c>
      <x:c r="D2164" s="46" t="str">
        <x:v>Shrimps</x:v>
      </x:c>
      <x:c r="E2164" s="66" t="n">
        <x:v>2</x:v>
      </x:c>
      <x:c r="F2164" s="66" t="n">
        <x:v>2</x:v>
      </x:c>
      <x:c r="G2164" s="60" t="n">
        <x:v>2954.9606595894998</x:v>
      </x:c>
      <x:c r="H2164" s="60" t="n">
        <x:v>2954.9606595894998</x:v>
      </x:c>
      <x:c r="I2164" s="62" t="n">
        <x:v>0</x:v>
      </x:c>
      <x:c r="J2164" s="64" t="n">
        <x:v>1</x:v>
      </x:c>
      <x:c r="K2164" s="62" t="n">
        <x:v>117.38627570934753</x:v>
      </x:c>
      <x:c r="L2164" s="60" t="n">
        <x:v>346871.82669684844</x:v>
      </x:c>
      <x:c r="M2164" s="62" t="n">
        <x:v>3.0694316916470954</x:v>
      </x:c>
      <x:c r="N2164" s="62" t="n">
        <x:v>117.33611149408107</x:v>
      </x:c>
      <x:c r="O2164" s="60" t="n">
        <x:v>346723.5934142169</x:v>
      </x:c>
      <x:c r="P2164" s="60" t="n">
        <x:v>148.23328263155418</x:v>
      </x:c>
      <x:c r="Q2164" s="62" t="n">
        <x:v>1.0004275258028215</x:v>
      </x:c>
      <x:c r="R2164" s="64" t="n">
        <x:v>0.0004275258028214589</x:v>
      </x:c>
    </x:row>
    <x:row r="2165" ht="18" customHeight="1">
      <x:c r="A2165" s="46" t="str">
        <x:v>LME_059</x:v>
      </x:c>
      <x:c r="B2165" s="46" t="str">
        <x:v>Iceland Shelf and Sea</x:v>
      </x:c>
      <x:c r="C2165" s="46" t="str">
        <x:v>functional</x:v>
      </x:c>
      <x:c r="D2165" s="46" t="str">
        <x:v>Small bathypelagics (&lt;30 cm)</x:v>
      </x:c>
      <x:c r="E2165" s="66" t="n">
        <x:v>1</x:v>
      </x:c>
      <x:c r="F2165" s="66" t="n">
        <x:v>1</x:v>
      </x:c>
      <x:c r="G2165" s="60" t="n">
        <x:v>0.0774884332</x:v>
      </x:c>
      <x:c r="H2165" s="60" t="n">
        <x:v>0.0774884332</x:v>
      </x:c>
      <x:c r="I2165" s="62" t="n">
        <x:v>0</x:v>
      </x:c>
      <x:c r="J2165" s="64" t="n">
        <x:v>1</x:v>
      </x:c>
      <x:c r="K2165" s="62" t="n">
        <x:v>102.32929922807536</x:v>
      </x:c>
      <x:c r="L2165" s="60" t="n">
        <x:v>7.929337067637529</x:v>
      </x:c>
      <x:c r="M2165" s="62" t="n">
        <x:v>3.01</x:v>
      </x:c>
      <x:c r="N2165" s="62" t="n">
        <x:v>102.32929922807536</x:v>
      </x:c>
      <x:c r="O2165" s="60" t="n">
        <x:v>7.929337067637529</x:v>
      </x:c>
      <x:c r="P2165" s="60" t="n">
        <x:v>0</x:v>
      </x:c>
      <x:c r="Q2165" s="62" t="n">
        <x:v>1</x:v>
      </x:c>
      <x:c r="R2165" s="64" t="n">
        <x:v>0</x:v>
      </x:c>
    </x:row>
    <x:row r="2166" ht="18" customHeight="1">
      <x:c r="A2166" s="46" t="str">
        <x:v>LME_059</x:v>
      </x:c>
      <x:c r="B2166" s="46" t="str">
        <x:v>Iceland Shelf and Sea</x:v>
      </x:c>
      <x:c r="C2166" s="46" t="str">
        <x:v>functional</x:v>
      </x:c>
      <x:c r="D2166" s="46" t="str">
        <x:v>Small pelagics (&lt;30 cm)</x:v>
      </x:c>
      <x:c r="E2166" s="66" t="n">
        <x:v>1</x:v>
      </x:c>
      <x:c r="F2166" s="66" t="n">
        <x:v>1</x:v>
      </x:c>
      <x:c r="G2166" s="60" t="n">
        <x:v>957.4095374514999</x:v>
      </x:c>
      <x:c r="H2166" s="60" t="n">
        <x:v>957.4095374514999</x:v>
      </x:c>
      <x:c r="I2166" s="62" t="n">
        <x:v>0</x:v>
      </x:c>
      <x:c r="J2166" s="64" t="n">
        <x:v>1</x:v>
      </x:c>
      <x:c r="K2166" s="62" t="n">
        <x:v>141.25375446227537</x:v>
      </x:c>
      <x:c r="L2166" s="60" t="n">
        <x:v>135237.6917230148</x:v>
      </x:c>
      <x:c r="M2166" s="62" t="n">
        <x:v>3.15</x:v>
      </x:c>
      <x:c r="N2166" s="62" t="n">
        <x:v>141.2537544622754</x:v>
      </x:c>
      <x:c r="O2166" s="60" t="n">
        <x:v>135237.6917230148</x:v>
      </x:c>
      <x:c r="P2166" s="60" t="n">
        <x:v>0</x:v>
      </x:c>
      <x:c r="Q2166" s="62" t="n">
        <x:v>1</x:v>
      </x:c>
      <x:c r="R2166" s="64" t="n">
        <x:v>0</x:v>
      </x:c>
    </x:row>
    <x:row r="2167" ht="18" customHeight="1">
      <x:c r="A2167" s="46" t="str">
        <x:v>LME_059</x:v>
      </x:c>
      <x:c r="B2167" s="46" t="str">
        <x:v>Iceland Shelf and Sea</x:v>
      </x:c>
      <x:c r="C2167" s="46" t="str">
        <x:v>functional</x:v>
      </x:c>
      <x:c r="D2167" s="46" t="str">
        <x:v>Small to medium flatfishes (&lt;90 cm)</x:v>
      </x:c>
      <x:c r="E2167" s="66" t="n">
        <x:v>8</x:v>
      </x:c>
      <x:c r="F2167" s="66" t="n">
        <x:v>8</x:v>
      </x:c>
      <x:c r="G2167" s="60" t="n">
        <x:v>15635.1413376487</x:v>
      </x:c>
      <x:c r="H2167" s="60" t="n">
        <x:v>15635.1413376487</x:v>
      </x:c>
      <x:c r="I2167" s="62" t="n">
        <x:v>0</x:v>
      </x:c>
      <x:c r="J2167" s="64" t="n">
        <x:v>1</x:v>
      </x:c>
      <x:c r="K2167" s="62" t="n">
        <x:v>1985.8807501641013</x:v>
      </x:c>
      <x:c r="L2167" s="60" t="n">
        <x:v>31049526.20853155</x:v>
      </x:c>
      <x:c r="M2167" s="62" t="n">
        <x:v>4.166811661138757</x:v>
      </x:c>
      <x:c r="N2167" s="62" t="n">
        <x:v>1468.2893919950434</x:v>
      </x:c>
      <x:c r="O2167" s="60" t="n">
        <x:v>22956912.16841278</x:v>
      </x:c>
      <x:c r="P2167" s="60" t="n">
        <x:v>8092614.040118773</x:v>
      </x:c>
      <x:c r="Q2167" s="62" t="n">
        <x:v>1.3525131768920424</x:v>
      </x:c>
      <x:c r="R2167" s="64" t="n">
        <x:v>0.3525131768920423</x:v>
      </x:c>
    </x:row>
    <x:row r="2168" ht="18" customHeight="1">
      <x:c r="A2168" s="46" t="str">
        <x:v>LME_059</x:v>
      </x:c>
      <x:c r="B2168" s="46" t="str">
        <x:v>Iceland Shelf and Sea</x:v>
      </x:c>
      <x:c r="C2168" s="46" t="str">
        <x:v>functional</x:v>
      </x:c>
      <x:c r="D2168" s="46" t="str">
        <x:v>Small to medium rays (&lt;90 cm)</x:v>
      </x:c>
      <x:c r="E2168" s="66" t="n">
        <x:v>2</x:v>
      </x:c>
      <x:c r="F2168" s="66" t="n">
        <x:v>2</x:v>
      </x:c>
      <x:c r="G2168" s="60" t="n">
        <x:v>4.586832131</x:v>
      </x:c>
      <x:c r="H2168" s="60" t="n">
        <x:v>4.586832131</x:v>
      </x:c>
      <x:c r="I2168" s="62" t="n">
        <x:v>0</x:v>
      </x:c>
      <x:c r="J2168" s="64" t="n">
        <x:v>1</x:v>
      </x:c>
      <x:c r="K2168" s="62" t="n">
        <x:v>633.41150532521</x:v>
      </x:c>
      <x:c r="L2168" s="60" t="n">
        <x:v>2905.352244770751</x:v>
      </x:c>
      <x:c r="M2168" s="62" t="n">
        <x:v>3.8008871840389564</x:v>
      </x:c>
      <x:c r="N2168" s="62" t="n">
        <x:v>632.2475921285723</x:v>
      </x:c>
      <x:c r="O2168" s="60" t="n">
        <x:v>2900.0135703227184</x:v>
      </x:c>
      <x:c r="P2168" s="60" t="n">
        <x:v>5.338674448032634</x:v>
      </x:c>
      <x:c r="Q2168" s="62" t="n">
        <x:v>1.0018409136090485</x:v>
      </x:c>
      <x:c r="R2168" s="64" t="n">
        <x:v>0.0018409136090485733</x:v>
      </x:c>
    </x:row>
    <x:row r="2169" ht="18" customHeight="1">
      <x:c r="A2169" s="46" t="str">
        <x:v>LME_059</x:v>
      </x:c>
      <x:c r="B2169" s="46" t="str">
        <x:v>Iceland Shelf and Sea</x:v>
      </x:c>
      <x:c r="C2169" s="46" t="str">
        <x:v>functional</x:v>
      </x:c>
      <x:c r="D2169" s="46" t="str">
        <x:v>Small to medium sharks (&lt;90 cm)</x:v>
      </x:c>
      <x:c r="E2169" s="66" t="n">
        <x:v>1</x:v>
      </x:c>
      <x:c r="F2169" s="66" t="n">
        <x:v>1</x:v>
      </x:c>
      <x:c r="G2169" s="60" t="n">
        <x:v>0.0170904325</x:v>
      </x:c>
      <x:c r="H2169" s="60" t="n">
        <x:v>0.0170904325</x:v>
      </x:c>
      <x:c r="I2169" s="62" t="n">
        <x:v>0</x:v>
      </x:c>
      <x:c r="J2169" s="64" t="n">
        <x:v>1</x:v>
      </x:c>
      <x:c r="K2169" s="62" t="n">
        <x:v>691.8309709189363</x:v>
      </x:c>
      <x:c r="L2169" s="60" t="n">
        <x:v>11.823690509899542</x:v>
      </x:c>
      <x:c r="M2169" s="62" t="n">
        <x:v>3.84</x:v>
      </x:c>
      <x:c r="N2169" s="62" t="n">
        <x:v>691.8309709189363</x:v>
      </x:c>
      <x:c r="O2169" s="60" t="n">
        <x:v>11.823690509899542</x:v>
      </x:c>
      <x:c r="P2169" s="60" t="n">
        <x:v>0</x:v>
      </x:c>
      <x:c r="Q2169" s="62" t="n">
        <x:v>1</x:v>
      </x:c>
      <x:c r="R2169" s="64" t="n">
        <x:v>0</x:v>
      </x:c>
    </x:row>
    <x:row r="2170" ht="18" customHeight="1">
      <x:c r="A2170" s="46" t="str">
        <x:v>LME_060</x:v>
      </x:c>
      <x:c r="B2170" s="46" t="str">
        <x:v>Faroe Plateau</x:v>
      </x:c>
      <x:c r="C2170" s="46" t="str">
        <x:v>functional</x:v>
      </x:c>
      <x:c r="D2170" s="46" t="str">
        <x:v>Cephalopods</x:v>
      </x:c>
      <x:c r="E2170" s="66" t="n">
        <x:v>3</x:v>
      </x:c>
      <x:c r="F2170" s="66" t="n">
        <x:v>3</x:v>
      </x:c>
      <x:c r="G2170" s="60" t="n">
        <x:v>0.7379492284999999</x:v>
      </x:c>
      <x:c r="H2170" s="60" t="n">
        <x:v>0.7379492284999999</x:v>
      </x:c>
      <x:c r="I2170" s="62" t="n">
        <x:v>0</x:v>
      </x:c>
      <x:c r="J2170" s="64" t="n">
        <x:v>1</x:v>
      </x:c>
      <x:c r="K2170" s="62" t="n">
        <x:v>664.0599087991349</x:v>
      </x:c>
      <x:c r="L2170" s="60" t="n">
        <x:v>490.04249737610184</x:v>
      </x:c>
      <x:c r="M2170" s="62" t="n">
        <x:v>3.818399643862491</x:v>
      </x:c>
      <x:c r="N2170" s="62" t="n">
        <x:v>658.2633018404706</x:v>
      </x:c>
      <x:c r="O2170" s="60" t="n">
        <x:v>485.7648957430378</x:v>
      </x:c>
      <x:c r="P2170" s="60" t="n">
        <x:v>4.277601633064023</x:v>
      </x:c>
      <x:c r="Q2170" s="62" t="n">
        <x:v>1.0088059093412276</x:v>
      </x:c>
      <x:c r="R2170" s="64" t="n">
        <x:v>0.008805909341227509</x:v>
      </x:c>
    </x:row>
    <x:row r="2171" ht="18" customHeight="1">
      <x:c r="A2171" s="46" t="str">
        <x:v>LME_060</x:v>
      </x:c>
      <x:c r="B2171" s="46" t="str">
        <x:v>Faroe Plateau</x:v>
      </x:c>
      <x:c r="C2171" s="46" t="str">
        <x:v>functional</x:v>
      </x:c>
      <x:c r="D2171" s="46" t="str">
        <x:v>Large bathydemersals (&gt;=90 cm)</x:v>
      </x:c>
      <x:c r="E2171" s="66" t="n">
        <x:v>2</x:v>
      </x:c>
      <x:c r="F2171" s="66" t="n">
        <x:v>2</x:v>
      </x:c>
      <x:c r="G2171" s="60" t="n">
        <x:v>2543.7530976598</x:v>
      </x:c>
      <x:c r="H2171" s="60" t="n">
        <x:v>2543.7530976598</x:v>
      </x:c>
      <x:c r="I2171" s="62" t="n">
        <x:v>0</x:v>
      </x:c>
      <x:c r="J2171" s="64" t="n">
        <x:v>1</x:v>
      </x:c>
      <x:c r="K2171" s="62" t="n">
        <x:v>2806.5623608178616</x:v>
      </x:c>
      <x:c r="L2171" s="60" t="n">
        <x:v>7139201.699105836</x:v>
      </x:c>
      <x:c r="M2171" s="62" t="n">
        <x:v>4.447960781511645</x:v>
      </x:c>
      <x:c r="N2171" s="62" t="n">
        <x:v>2805.180307772866</x:v>
      </x:c>
      <x:c r="O2171" s="60" t="n">
        <x:v>7135686.097391499</x:v>
      </x:c>
      <x:c r="P2171" s="60" t="n">
        <x:v>3515.6017143372446</x:v>
      </x:c>
      <x:c r="Q2171" s="62" t="n">
        <x:v>1.0004926788631612</x:v>
      </x:c>
      <x:c r="R2171" s="64" t="n">
        <x:v>0.0004926788631610909</x:v>
      </x:c>
    </x:row>
    <x:row r="2172" ht="18" customHeight="1">
      <x:c r="A2172" s="46" t="str">
        <x:v>LME_060</x:v>
      </x:c>
      <x:c r="B2172" s="46" t="str">
        <x:v>Faroe Plateau</x:v>
      </x:c>
      <x:c r="C2172" s="46" t="str">
        <x:v>functional</x:v>
      </x:c>
      <x:c r="D2172" s="46" t="str">
        <x:v>Large bathypelagics (&gt;=90 cm)</x:v>
      </x:c>
      <x:c r="E2172" s="66" t="n">
        <x:v>2</x:v>
      </x:c>
      <x:c r="F2172" s="66" t="n">
        <x:v>2</x:v>
      </x:c>
      <x:c r="G2172" s="60" t="n">
        <x:v>42.2148659618</x:v>
      </x:c>
      <x:c r="H2172" s="60" t="n">
        <x:v>42.2148659618</x:v>
      </x:c>
      <x:c r="I2172" s="62" t="n">
        <x:v>0</x:v>
      </x:c>
      <x:c r="J2172" s="64" t="n">
        <x:v>1</x:v>
      </x:c>
      <x:c r="K2172" s="62" t="n">
        <x:v>355.98032565750685</x:v>
      </x:c>
      <x:c r="L2172" s="60" t="n">
        <x:v>15027.661732669565</x:v>
      </x:c>
      <x:c r="M2172" s="62" t="n">
        <x:v>3.544787723552999</x:v>
      </x:c>
      <x:c r="N2172" s="62" t="n">
        <x:v>350.5804737366158</x:v>
      </x:c>
      <x:c r="O2172" s="60" t="n">
        <x:v>14799.70770761558</x:v>
      </x:c>
      <x:c r="P2172" s="60" t="n">
        <x:v>227.95402505398488</x:v>
      </x:c>
      <x:c r="Q2172" s="62" t="n">
        <x:v>1.0154026031836214</x:v>
      </x:c>
      <x:c r="R2172" s="64" t="n">
        <x:v>0.01540260318362133</x:v>
      </x:c>
    </x:row>
    <x:row r="2173" ht="18" customHeight="1">
      <x:c r="A2173" s="46" t="str">
        <x:v>LME_060</x:v>
      </x:c>
      <x:c r="B2173" s="46" t="str">
        <x:v>Faroe Plateau</x:v>
      </x:c>
      <x:c r="C2173" s="46" t="str">
        <x:v>functional</x:v>
      </x:c>
      <x:c r="D2173" s="46" t="str">
        <x:v>Large benthopelagics (&gt;=90 cm)</x:v>
      </x:c>
      <x:c r="E2173" s="66" t="n">
        <x:v>6</x:v>
      </x:c>
      <x:c r="F2173" s="66" t="n">
        <x:v>6</x:v>
      </x:c>
      <x:c r="G2173" s="60" t="n">
        <x:v>21642.826085908706</x:v>
      </x:c>
      <x:c r="H2173" s="60" t="n">
        <x:v>21642.826085908706</x:v>
      </x:c>
      <x:c r="I2173" s="62" t="n">
        <x:v>0</x:v>
      </x:c>
      <x:c r="J2173" s="64" t="n">
        <x:v>1</x:v>
      </x:c>
      <x:c r="K2173" s="62" t="n">
        <x:v>1273.3345036292485</x:v>
      </x:c>
      <x:c r="L2173" s="60" t="n">
        <x:v>27558557.211234715</x:v>
      </x:c>
      <x:c r="M2173" s="62" t="n">
        <x:v>4.099427937338333</x:v>
      </x:c>
      <x:c r="N2173" s="62" t="n">
        <x:v>1257.2682180270342</x:v>
      </x:c>
      <x:c r="O2173" s="60" t="n">
        <x:v>27210837.38609945</x:v>
      </x:c>
      <x:c r="P2173" s="60" t="n">
        <x:v>347719.82513526455</x:v>
      </x:c>
      <x:c r="Q2173" s="62" t="n">
        <x:v>1.012778725630579</x:v>
      </x:c>
      <x:c r="R2173" s="64" t="n">
        <x:v>0.012778725630578934</x:v>
      </x:c>
    </x:row>
    <x:row r="2174" ht="18" customHeight="1">
      <x:c r="A2174" s="46" t="str">
        <x:v>LME_060</x:v>
      </x:c>
      <x:c r="B2174" s="46" t="str">
        <x:v>Faroe Plateau</x:v>
      </x:c>
      <x:c r="C2174" s="46" t="str">
        <x:v>functional</x:v>
      </x:c>
      <x:c r="D2174" s="46" t="str">
        <x:v>Large demersals (&gt;=90 cm)</x:v>
      </x:c>
      <x:c r="E2174" s="66" t="n">
        <x:v>10</x:v>
      </x:c>
      <x:c r="F2174" s="66" t="n">
        <x:v>10</x:v>
      </x:c>
      <x:c r="G2174" s="60" t="n">
        <x:v>9197.557679569301</x:v>
      </x:c>
      <x:c r="H2174" s="60" t="n">
        <x:v>9197.557679569301</x:v>
      </x:c>
      <x:c r="I2174" s="62" t="n">
        <x:v>0</x:v>
      </x:c>
      <x:c r="J2174" s="64" t="n">
        <x:v>1</x:v>
      </x:c>
      <x:c r="K2174" s="62" t="n">
        <x:v>2212.2373989623993</x:v>
      </x:c>
      <x:c r="L2174" s="60" t="n">
        <x:v>20347181.077857032</x:v>
      </x:c>
      <x:c r="M2174" s="62" t="n">
        <x:v>4.300196196010266</x:v>
      </x:c>
      <x:c r="N2174" s="62" t="n">
        <x:v>1996.1638943313287</x:v>
      </x:c>
      <x:c r="O2174" s="60" t="n">
        <x:v>18359832.555986077</x:v>
      </x:c>
      <x:c r="P2174" s="60" t="n">
        <x:v>1987348.5218709558</x:v>
      </x:c>
      <x:c r="Q2174" s="62" t="n">
        <x:v>1.1082443707376295</x:v>
      </x:c>
      <x:c r="R2174" s="64" t="n">
        <x:v>0.10824437073762945</x:v>
      </x:c>
    </x:row>
    <x:row r="2175" ht="18" customHeight="1">
      <x:c r="A2175" s="46" t="str">
        <x:v>LME_060</x:v>
      </x:c>
      <x:c r="B2175" s="46" t="str">
        <x:v>Faroe Plateau</x:v>
      </x:c>
      <x:c r="C2175" s="46" t="str">
        <x:v>functional</x:v>
      </x:c>
      <x:c r="D2175" s="46" t="str">
        <x:v>Large flatfishes (&gt;=90 cm)</x:v>
      </x:c>
      <x:c r="E2175" s="66" t="n">
        <x:v>3</x:v>
      </x:c>
      <x:c r="F2175" s="66" t="n">
        <x:v>3</x:v>
      </x:c>
      <x:c r="G2175" s="60" t="n">
        <x:v>317.79970326020003</x:v>
      </x:c>
      <x:c r="H2175" s="60" t="n">
        <x:v>317.79970326020003</x:v>
      </x:c>
      <x:c r="I2175" s="62" t="n">
        <x:v>0</x:v>
      </x:c>
      <x:c r="J2175" s="64" t="n">
        <x:v>1</x:v>
      </x:c>
      <x:c r="K2175" s="62" t="n">
        <x:v>238.45940936609668</x:v>
      </x:c>
      <x:c r="L2175" s="60" t="n">
        <x:v>75782.32953614809</x:v>
      </x:c>
      <x:c r="M2175" s="62" t="n">
        <x:v>3.310402224125172</x:v>
      </x:c>
      <x:c r="N2175" s="62" t="n">
        <x:v>204.36297869710998</x:v>
      </x:c>
      <x:c r="O2175" s="60" t="n">
        <x:v>64946.49398731213</x:v>
      </x:c>
      <x:c r="P2175" s="60" t="n">
        <x:v>10835.835548835952</x:v>
      </x:c>
      <x:c r="Q2175" s="62" t="n">
        <x:v>1.1668425019363298</x:v>
      </x:c>
      <x:c r="R2175" s="64" t="n">
        <x:v>0.16684250193632974</x:v>
      </x:c>
    </x:row>
    <x:row r="2176" ht="18" customHeight="1">
      <x:c r="A2176" s="46" t="str">
        <x:v>LME_060</x:v>
      </x:c>
      <x:c r="B2176" s="46" t="str">
        <x:v>Faroe Plateau</x:v>
      </x:c>
      <x:c r="C2176" s="46" t="str">
        <x:v>functional</x:v>
      </x:c>
      <x:c r="D2176" s="46" t="str">
        <x:v>Large rays (&gt;=90 cm)</x:v>
      </x:c>
      <x:c r="E2176" s="66" t="n">
        <x:v>8</x:v>
      </x:c>
      <x:c r="F2176" s="66" t="n">
        <x:v>8</x:v>
      </x:c>
      <x:c r="G2176" s="60" t="n">
        <x:v>53.157836763700004</x:v>
      </x:c>
      <x:c r="H2176" s="60" t="n">
        <x:v>53.157836763700004</x:v>
      </x:c>
      <x:c r="I2176" s="62" t="n">
        <x:v>0</x:v>
      </x:c>
      <x:c r="J2176" s="64" t="n">
        <x:v>1</x:v>
      </x:c>
      <x:c r="K2176" s="62" t="n">
        <x:v>499.9663356203968</x:v>
      </x:c>
      <x:c r="L2176" s="60" t="n">
        <x:v>26577.128856254305</x:v>
      </x:c>
      <x:c r="M2176" s="62" t="n">
        <x:v>3.65498556186009</x:v>
      </x:c>
      <x:c r="N2176" s="62" t="n">
        <x:v>451.8409226530897</x:v>
      </x:c>
      <x:c r="O2176" s="60" t="n">
        <x:v>24018.88600955254</x:v>
      </x:c>
      <x:c r="P2176" s="60" t="n">
        <x:v>2558.2428467017635</x:v>
      </x:c>
      <x:c r="Q2176" s="62" t="n">
        <x:v>1.1065096376944512</x:v>
      </x:c>
      <x:c r="R2176" s="64" t="n">
        <x:v>0.10650963769445118</x:v>
      </x:c>
    </x:row>
    <x:row r="2177" ht="18" customHeight="1">
      <x:c r="A2177" s="46" t="str">
        <x:v>LME_060</x:v>
      </x:c>
      <x:c r="B2177" s="46" t="str">
        <x:v>Faroe Plateau</x:v>
      </x:c>
      <x:c r="C2177" s="46" t="str">
        <x:v>functional</x:v>
      </x:c>
      <x:c r="D2177" s="46" t="str">
        <x:v>Large reef assoc. fish (&gt;=90 cm)</x:v>
      </x:c>
      <x:c r="E2177" s="66" t="n">
        <x:v>1</x:v>
      </x:c>
      <x:c r="F2177" s="66" t="n">
        <x:v>1</x:v>
      </x:c>
      <x:c r="G2177" s="60" t="n">
        <x:v>1525.4638402142</x:v>
      </x:c>
      <x:c r="H2177" s="60" t="n">
        <x:v>1525.4638402142</x:v>
      </x:c>
      <x:c r="I2177" s="62" t="n">
        <x:v>0</x:v>
      </x:c>
      <x:c r="J2177" s="64" t="n">
        <x:v>1</x:v>
      </x:c>
      <x:c r="K2177" s="62" t="n">
        <x:v>616.5950018614822</x:v>
      </x:c>
      <x:c r="L2177" s="60" t="n">
        <x:v>940593.3793964983</x:v>
      </x:c>
      <x:c r="M2177" s="62" t="n">
        <x:v>3.79</x:v>
      </x:c>
      <x:c r="N2177" s="62" t="n">
        <x:v>616.5950018614822</x:v>
      </x:c>
      <x:c r="O2177" s="60" t="n">
        <x:v>940593.3793964983</x:v>
      </x:c>
      <x:c r="P2177" s="60" t="n">
        <x:v>0</x:v>
      </x:c>
      <x:c r="Q2177" s="62" t="n">
        <x:v>1</x:v>
      </x:c>
      <x:c r="R2177" s="64" t="n">
        <x:v>0</x:v>
      </x:c>
    </x:row>
    <x:row r="2178" ht="18" customHeight="1">
      <x:c r="A2178" s="46" t="str">
        <x:v>LME_060</x:v>
      </x:c>
      <x:c r="B2178" s="46" t="str">
        <x:v>Faroe Plateau</x:v>
      </x:c>
      <x:c r="C2178" s="46" t="str">
        <x:v>functional</x:v>
      </x:c>
      <x:c r="D2178" s="46" t="str">
        <x:v>Large sharks (&gt;=90 cm)</x:v>
      </x:c>
      <x:c r="E2178" s="66" t="n">
        <x:v>6</x:v>
      </x:c>
      <x:c r="F2178" s="66" t="n">
        <x:v>6</x:v>
      </x:c>
      <x:c r="G2178" s="60" t="n">
        <x:v>88.1931783041</x:v>
      </x:c>
      <x:c r="H2178" s="60" t="n">
        <x:v>88.1931783041</x:v>
      </x:c>
      <x:c r="I2178" s="62" t="n">
        <x:v>0</x:v>
      </x:c>
      <x:c r="J2178" s="64" t="n">
        <x:v>1</x:v>
      </x:c>
      <x:c r="K2178" s="62" t="n">
        <x:v>2036.49362024277</x:v>
      </x:c>
      <x:c r="L2178" s="60" t="n">
        <x:v>179604.84496523274</x:v>
      </x:c>
      <x:c r="M2178" s="62" t="n">
        <x:v>4.292422193655642</x:v>
      </x:c>
      <x:c r="N2178" s="62" t="n">
        <x:v>1960.749864436613</x:v>
      </x:c>
      <x:c r="O2178" s="60" t="n">
        <x:v>172924.76240399812</x:v>
      </x:c>
      <x:c r="P2178" s="60" t="n">
        <x:v>6680.082561234623</x:v>
      </x:c>
      <x:c r="Q2178" s="62" t="n">
        <x:v>1.0386299941568125</x:v>
      </x:c>
      <x:c r="R2178" s="64" t="n">
        <x:v>0.03862999415681242</x:v>
      </x:c>
    </x:row>
    <x:row r="2179" ht="18" customHeight="1">
      <x:c r="A2179" s="46" t="str">
        <x:v>LME_060</x:v>
      </x:c>
      <x:c r="B2179" s="46" t="str">
        <x:v>Faroe Plateau</x:v>
      </x:c>
      <x:c r="C2179" s="46" t="str">
        <x:v>functional</x:v>
      </x:c>
      <x:c r="D2179" s="46" t="str">
        <x:v>Lobsters, crabs</x:v>
      </x:c>
      <x:c r="E2179" s="66" t="n">
        <x:v>6</x:v>
      </x:c>
      <x:c r="F2179" s="66" t="n">
        <x:v>6</x:v>
      </x:c>
      <x:c r="G2179" s="60" t="n">
        <x:v>44.7371900637</x:v>
      </x:c>
      <x:c r="H2179" s="60" t="n">
        <x:v>44.7371900637</x:v>
      </x:c>
      <x:c r="I2179" s="62" t="n">
        <x:v>0</x:v>
      </x:c>
      <x:c r="J2179" s="64" t="n">
        <x:v>1</x:v>
      </x:c>
      <x:c r="K2179" s="62" t="n">
        <x:v>59.33582494857408</x:v>
      </x:c>
      <x:c r="L2179" s="60" t="n">
        <x:v>2654.5180783107908</x:v>
      </x:c>
      <x:c r="M2179" s="62" t="n">
        <x:v>2.750952154271275</x:v>
      </x:c>
      <x:c r="N2179" s="62" t="n">
        <x:v>56.35755639273463</x:v>
      </x:c>
      <x:c r="O2179" s="60" t="n">
        <x:v>2521.27871186746</x:v>
      </x:c>
      <x:c r="P2179" s="60" t="n">
        <x:v>133.2393664433307</x:v>
      </x:c>
      <x:c r="Q2179" s="62" t="n">
        <x:v>1.0528459490877322</x:v>
      </x:c>
      <x:c r="R2179" s="64" t="n">
        <x:v>0.05284594908773216</x:v>
      </x:c>
    </x:row>
    <x:row r="2180" ht="18" customHeight="1">
      <x:c r="A2180" s="46" t="str">
        <x:v>LME_060</x:v>
      </x:c>
      <x:c r="B2180" s="46" t="str">
        <x:v>Faroe Plateau</x:v>
      </x:c>
      <x:c r="C2180" s="46" t="str">
        <x:v>functional</x:v>
      </x:c>
      <x:c r="D2180" s="46" t="str">
        <x:v>Medium bathydemersals (30 - 89 cm)</x:v>
      </x:c>
      <x:c r="E2180" s="66" t="n">
        <x:v>4</x:v>
      </x:c>
      <x:c r="F2180" s="66" t="n">
        <x:v>4</x:v>
      </x:c>
      <x:c r="G2180" s="60" t="n">
        <x:v>18426.909917236397</x:v>
      </x:c>
      <x:c r="H2180" s="60" t="n">
        <x:v>18426.909917236397</x:v>
      </x:c>
      <x:c r="I2180" s="62" t="n">
        <x:v>0</x:v>
      </x:c>
      <x:c r="J2180" s="64" t="n">
        <x:v>1</x:v>
      </x:c>
      <x:c r="K2180" s="62" t="n">
        <x:v>226.6751896136033</x:v>
      </x:c>
      <x:c r="L2180" s="60" t="n">
        <x:v>4176923.2994823474</x:v>
      </x:c>
      <x:c r="M2180" s="62" t="n">
        <x:v>3.3512256662702553</x:v>
      </x:c>
      <x:c r="N2180" s="62" t="n">
        <x:v>224.50481832381664</x:v>
      </x:c>
      <x:c r="O2180" s="60" t="n">
        <x:v>4136930.0632384922</x:v>
      </x:c>
      <x:c r="P2180" s="60" t="n">
        <x:v>39993.23624385521</x:v>
      </x:c>
      <x:c r="Q2180" s="62" t="n">
        <x:v>1.0096673706426034</x:v>
      </x:c>
      <x:c r="R2180" s="64" t="n">
        <x:v>0.009667370642603396</x:v>
      </x:c>
    </x:row>
    <x:row r="2181" ht="18" customHeight="1">
      <x:c r="A2181" s="46" t="str">
        <x:v>LME_060</x:v>
      </x:c>
      <x:c r="B2181" s="46" t="str">
        <x:v>Faroe Plateau</x:v>
      </x:c>
      <x:c r="C2181" s="46" t="str">
        <x:v>functional</x:v>
      </x:c>
      <x:c r="D2181" s="46" t="str">
        <x:v>Medium bathypelagics (30 - 89 cm)</x:v>
      </x:c>
      <x:c r="E2181" s="66" t="n">
        <x:v>2</x:v>
      </x:c>
      <x:c r="F2181" s="66" t="n">
        <x:v>2</x:v>
      </x:c>
      <x:c r="G2181" s="60" t="n">
        <x:v>4.5135139951</x:v>
      </x:c>
      <x:c r="H2181" s="60" t="n">
        <x:v>4.5135139951</x:v>
      </x:c>
      <x:c r="I2181" s="62" t="n">
        <x:v>0</x:v>
      </x:c>
      <x:c r="J2181" s="64" t="n">
        <x:v>1</x:v>
      </x:c>
      <x:c r="K2181" s="62" t="n">
        <x:v>523.1920341248741</x:v>
      </x:c>
      <x:c r="L2181" s="60" t="n">
        <x:v>2361.434568147456</x:v>
      </x:c>
      <x:c r="M2181" s="62" t="n">
        <x:v>3.716150736283113</x:v>
      </x:c>
      <x:c r="N2181" s="62" t="n">
        <x:v>520.176509690307</x:v>
      </x:c>
      <x:c r="O2181" s="60" t="n">
        <x:v>2347.8239564094715</x:v>
      </x:c>
      <x:c r="P2181" s="60" t="n">
        <x:v>13.610611737984527</x:v>
      </x:c>
      <x:c r="Q2181" s="62" t="n">
        <x:v>1.005797117667544</x:v>
      </x:c>
      <x:c r="R2181" s="64" t="n">
        <x:v>0.005797117667544054</x:v>
      </x:c>
    </x:row>
    <x:row r="2182" ht="18" customHeight="1">
      <x:c r="A2182" s="46" t="str">
        <x:v>LME_060</x:v>
      </x:c>
      <x:c r="B2182" s="46" t="str">
        <x:v>Faroe Plateau</x:v>
      </x:c>
      <x:c r="C2182" s="46" t="str">
        <x:v>functional</x:v>
      </x:c>
      <x:c r="D2182" s="46" t="str">
        <x:v>Medium benthopelagics (30 - 89 cm)</x:v>
      </x:c>
      <x:c r="E2182" s="66" t="n">
        <x:v>10</x:v>
      </x:c>
      <x:c r="F2182" s="66" t="n">
        <x:v>10</x:v>
      </x:c>
      <x:c r="G2182" s="60" t="n">
        <x:v>277839.4550820987</x:v>
      </x:c>
      <x:c r="H2182" s="60" t="n">
        <x:v>277839.4550820987</x:v>
      </x:c>
      <x:c r="I2182" s="62" t="n">
        <x:v>0</x:v>
      </x:c>
      <x:c r="J2182" s="64" t="n">
        <x:v>1</x:v>
      </x:c>
      <x:c r="K2182" s="62" t="n">
        <x:v>1349.7053300654345</x:v>
      </x:c>
      <x:c r="L2182" s="60" t="n">
        <x:v>375001393.4267845</x:v>
      </x:c>
      <x:c r="M2182" s="62" t="n">
        <x:v>4.130014600868489</x:v>
      </x:c>
      <x:c r="N2182" s="62" t="n">
        <x:v>1349.008235138273</x:v>
      </x:c>
      <x:c r="O2182" s="60" t="n">
        <x:v>374807712.95208144</x:v>
      </x:c>
      <x:c r="P2182" s="60" t="n">
        <x:v>193680.4747030735</x:v>
      </x:c>
      <x:c r="Q2182" s="62" t="n">
        <x:v>1.0005167462354967</x:v>
      </x:c>
      <x:c r="R2182" s="64" t="n">
        <x:v>0.0005167462354965871</x:v>
      </x:c>
    </x:row>
    <x:row r="2183" ht="18" customHeight="1">
      <x:c r="A2183" s="46" t="str">
        <x:v>LME_060</x:v>
      </x:c>
      <x:c r="B2183" s="46" t="str">
        <x:v>Faroe Plateau</x:v>
      </x:c>
      <x:c r="C2183" s="46" t="str">
        <x:v>functional</x:v>
      </x:c>
      <x:c r="D2183" s="46" t="str">
        <x:v>Medium demersals (30 - 89 cm)</x:v>
      </x:c>
      <x:c r="E2183" s="66" t="n">
        <x:v>12</x:v>
      </x:c>
      <x:c r="F2183" s="66" t="n">
        <x:v>12</x:v>
      </x:c>
      <x:c r="G2183" s="60" t="n">
        <x:v>30462.982592970802</x:v>
      </x:c>
      <x:c r="H2183" s="60" t="n">
        <x:v>30462.982592970802</x:v>
      </x:c>
      <x:c r="I2183" s="62" t="n">
        <x:v>0</x:v>
      </x:c>
      <x:c r="J2183" s="64" t="n">
        <x:v>1</x:v>
      </x:c>
      <x:c r="K2183" s="62" t="n">
        <x:v>470.02495639895443</x:v>
      </x:c>
      <x:c r="L2183" s="60" t="n">
        <x:v>14318362.06504321</x:v>
      </x:c>
      <x:c r="M2183" s="62" t="n">
        <x:v>3.5184863669198196</x:v>
      </x:c>
      <x:c r="N2183" s="62" t="n">
        <x:v>329.9790492679469</x:v>
      </x:c>
      <x:c r="O2183" s="60" t="n">
        <x:v>10052146.03389452</x:v>
      </x:c>
      <x:c r="P2183" s="60" t="n">
        <x:v>4266216.031148689</x:v>
      </x:c>
      <x:c r="Q2183" s="62" t="n">
        <x:v>1.4244084812102378</x:v>
      </x:c>
      <x:c r="R2183" s="64" t="n">
        <x:v>0.4244084812102378</x:v>
      </x:c>
    </x:row>
    <x:row r="2184" ht="18" customHeight="1">
      <x:c r="A2184" s="46" t="str">
        <x:v>LME_060</x:v>
      </x:c>
      <x:c r="B2184" s="46" t="str">
        <x:v>Faroe Plateau</x:v>
      </x:c>
      <x:c r="C2184" s="46" t="str">
        <x:v>functional</x:v>
      </x:c>
      <x:c r="D2184" s="46" t="str">
        <x:v>Medium pelagics (30 - 89 cm)</x:v>
      </x:c>
      <x:c r="E2184" s="66" t="n">
        <x:v>4</x:v>
      </x:c>
      <x:c r="F2184" s="66" t="n">
        <x:v>4</x:v>
      </x:c>
      <x:c r="G2184" s="60" t="n">
        <x:v>49793.8724709729</x:v>
      </x:c>
      <x:c r="H2184" s="60" t="n">
        <x:v>49793.8724709729</x:v>
      </x:c>
      <x:c r="I2184" s="62" t="n">
        <x:v>0</x:v>
      </x:c>
      <x:c r="J2184" s="64" t="n">
        <x:v>1</x:v>
      </x:c>
      <x:c r="K2184" s="62" t="n">
        <x:v>428.42716845407233</x:v>
      </x:c>
      <x:c r="L2184" s="60" t="n">
        <x:v>21333047.7891021</x:v>
      </x:c>
      <x:c r="M2184" s="62" t="n">
        <x:v>3.630864855893931</x:v>
      </x:c>
      <x:c r="N2184" s="62" t="n">
        <x:v>427.4298574879526</x:v>
      </x:c>
      <x:c r="O2184" s="60" t="n">
        <x:v>21283387.81404123</x:v>
      </x:c>
      <x:c r="P2184" s="60" t="n">
        <x:v>49659.97506086901</x:v>
      </x:c>
      <x:c r="Q2184" s="62" t="n">
        <x:v>1.0023332739832005</x:v>
      </x:c>
      <x:c r="R2184" s="64" t="n">
        <x:v>0.002333273983200502</x:v>
      </x:c>
    </x:row>
    <x:row r="2185" ht="18" customHeight="1">
      <x:c r="A2185" s="46" t="str">
        <x:v>LME_060</x:v>
      </x:c>
      <x:c r="B2185" s="46" t="str">
        <x:v>Faroe Plateau</x:v>
      </x:c>
      <x:c r="C2185" s="46" t="str">
        <x:v>functional</x:v>
      </x:c>
      <x:c r="D2185" s="46" t="str">
        <x:v>Medium reef assoc. fish (30 - 89 cm)</x:v>
      </x:c>
      <x:c r="E2185" s="66" t="n">
        <x:v>1</x:v>
      </x:c>
      <x:c r="F2185" s="66" t="n">
        <x:v>1</x:v>
      </x:c>
      <x:c r="G2185" s="60" t="n">
        <x:v>0.00028852980000000004</x:v>
      </x:c>
      <x:c r="H2185" s="60" t="n">
        <x:v>0.00028852980000000004</x:v>
      </x:c>
      <x:c r="I2185" s="62" t="n">
        <x:v>0</x:v>
      </x:c>
      <x:c r="J2185" s="64" t="n">
        <x:v>1</x:v>
      </x:c>
      <x:c r="K2185" s="62" t="n">
        <x:v>33.88441561392024</x:v>
      </x:c>
      <x:c r="L2185" s="60" t="n">
        <x:v>0.009776663660201286</x:v>
      </x:c>
      <x:c r="M2185" s="62" t="n">
        <x:v>2.53</x:v>
      </x:c>
      <x:c r="N2185" s="62" t="n">
        <x:v>33.88441561392024</x:v>
      </x:c>
      <x:c r="O2185" s="60" t="n">
        <x:v>0.009776663660201286</x:v>
      </x:c>
      <x:c r="P2185" s="60" t="n">
        <x:v>0</x:v>
      </x:c>
      <x:c r="Q2185" s="62" t="n">
        <x:v>1</x:v>
      </x:c>
      <x:c r="R2185" s="64" t="n">
        <x:v>0</x:v>
      </x:c>
    </x:row>
    <x:row r="2186" ht="18" customHeight="1">
      <x:c r="A2186" s="46" t="str">
        <x:v>LME_060</x:v>
      </x:c>
      <x:c r="B2186" s="46" t="str">
        <x:v>Faroe Plateau</x:v>
      </x:c>
      <x:c r="C2186" s="46" t="str">
        <x:v>functional</x:v>
      </x:c>
      <x:c r="D2186" s="46" t="str">
        <x:v>Other demersal invertebrates</x:v>
      </x:c>
      <x:c r="E2186" s="66" t="n">
        <x:v>12</x:v>
      </x:c>
      <x:c r="F2186" s="66" t="n">
        <x:v>12</x:v>
      </x:c>
      <x:c r="G2186" s="60" t="n">
        <x:v>5382.748382637102</x:v>
      </x:c>
      <x:c r="H2186" s="60" t="n">
        <x:v>5382.748382637102</x:v>
      </x:c>
      <x:c r="I2186" s="62" t="n">
        <x:v>0</x:v>
      </x:c>
      <x:c r="J2186" s="64" t="n">
        <x:v>1</x:v>
      </x:c>
      <x:c r="K2186" s="62" t="n">
        <x:v>10.186893568146463</x:v>
      </x:c>
      <x:c r="L2186" s="60" t="n">
        <x:v>54833.48487803667</x:v>
      </x:c>
      <x:c r="M2186" s="62" t="n">
        <x:v>2.0021704274950727</x:v>
      </x:c>
      <x:c r="N2186" s="62" t="n">
        <x:v>10.050101027977414</x:v>
      </x:c>
      <x:c r="O2186" s="60" t="n">
        <x:v>54097.1650536849</x:v>
      </x:c>
      <x:c r="P2186" s="60" t="n">
        <x:v>736.3198243517691</x:v>
      </x:c>
      <x:c r="Q2186" s="62" t="n">
        <x:v>1.0136110612011011</x:v>
      </x:c>
      <x:c r="R2186" s="64" t="n">
        <x:v>0.01361106120110103</x:v>
      </x:c>
    </x:row>
    <x:row r="2187" ht="18" customHeight="1">
      <x:c r="A2187" s="46" t="str">
        <x:v>LME_060</x:v>
      </x:c>
      <x:c r="B2187" s="46" t="str">
        <x:v>Faroe Plateau</x:v>
      </x:c>
      <x:c r="C2187" s="46" t="str">
        <x:v>functional</x:v>
      </x:c>
      <x:c r="D2187" s="46" t="str">
        <x:v>Shrimps</x:v>
      </x:c>
      <x:c r="E2187" s="66" t="n">
        <x:v>5</x:v>
      </x:c>
      <x:c r="F2187" s="66" t="n">
        <x:v>5</x:v>
      </x:c>
      <x:c r="G2187" s="60" t="n">
        <x:v>28.5930954154</x:v>
      </x:c>
      <x:c r="H2187" s="60" t="n">
        <x:v>28.5930954154</x:v>
      </x:c>
      <x:c r="I2187" s="62" t="n">
        <x:v>0</x:v>
      </x:c>
      <x:c r="J2187" s="64" t="n">
        <x:v>1</x:v>
      </x:c>
      <x:c r="K2187" s="62" t="n">
        <x:v>52.96628343206474</x:v>
      </x:c>
      <x:c r="L2187" s="60" t="n">
        <x:v>1514.4699959721474</x:v>
      </x:c>
      <x:c r="M2187" s="62" t="n">
        <x:v>2.7133559678150245</x:v>
      </x:c>
      <x:c r="N2187" s="62" t="n">
        <x:v>51.683982149553074</x:v>
      </x:c>
      <x:c r="O2187" s="60" t="n">
        <x:v>1477.8050330500014</x:v>
      </x:c>
      <x:c r="P2187" s="60" t="n">
        <x:v>36.66496292214606</x:v>
      </x:c>
      <x:c r="Q2187" s="62" t="n">
        <x:v>1.0248104195764405</x:v>
      </x:c>
      <x:c r="R2187" s="64" t="n">
        <x:v>0.024810419576440503</x:v>
      </x:c>
    </x:row>
    <x:row r="2188" ht="18" customHeight="1">
      <x:c r="A2188" s="46" t="str">
        <x:v>LME_060</x:v>
      </x:c>
      <x:c r="B2188" s="46" t="str">
        <x:v>Faroe Plateau</x:v>
      </x:c>
      <x:c r="C2188" s="46" t="str">
        <x:v>functional</x:v>
      </x:c>
      <x:c r="D2188" s="46" t="str">
        <x:v>Small pelagics (&lt;30 cm)</x:v>
      </x:c>
      <x:c r="E2188" s="66" t="n">
        <x:v>3</x:v>
      </x:c>
      <x:c r="F2188" s="66" t="n">
        <x:v>3</x:v>
      </x:c>
      <x:c r="G2188" s="60" t="n">
        <x:v>110.110890758</x:v>
      </x:c>
      <x:c r="H2188" s="60" t="n">
        <x:v>110.110890758</x:v>
      </x:c>
      <x:c r="I2188" s="62" t="n">
        <x:v>0</x:v>
      </x:c>
      <x:c r="J2188" s="64" t="n">
        <x:v>1</x:v>
      </x:c>
      <x:c r="K2188" s="62" t="n">
        <x:v>142.0595088630803</x:v>
      </x:c>
      <x:c r="L2188" s="60" t="n">
        <x:v>15642.299061557767</x:v>
      </x:c>
      <x:c r="M2188" s="62" t="n">
        <x:v>3.1524489358190793</x:v>
      </x:c>
      <x:c r="N2188" s="62" t="n">
        <x:v>142.05251782272634</x:v>
      </x:c>
      <x:c r="O2188" s="60" t="n">
        <x:v>15641.529271877069</x:v>
      </x:c>
      <x:c r="P2188" s="60" t="n">
        <x:v>0.7697896806985227</x:v>
      </x:c>
      <x:c r="Q2188" s="62" t="n">
        <x:v>1.0000492144768787</x:v>
      </x:c>
      <x:c r="R2188" s="64" t="n">
        <x:v>0.00004921447687871403</x:v>
      </x:c>
    </x:row>
    <x:row r="2189" ht="18" customHeight="1">
      <x:c r="A2189" s="46" t="str">
        <x:v>LME_060</x:v>
      </x:c>
      <x:c r="B2189" s="46" t="str">
        <x:v>Faroe Plateau</x:v>
      </x:c>
      <x:c r="C2189" s="46" t="str">
        <x:v>functional</x:v>
      </x:c>
      <x:c r="D2189" s="46" t="str">
        <x:v>Small reef assoc. fish (&lt;30 cm)</x:v>
      </x:c>
      <x:c r="E2189" s="66" t="n">
        <x:v>1</x:v>
      </x:c>
      <x:c r="F2189" s="66" t="n">
        <x:v>1</x:v>
      </x:c>
      <x:c r="G2189" s="60" t="n">
        <x:v>0.0000532991</x:v>
      </x:c>
      <x:c r="H2189" s="60" t="n">
        <x:v>0.0000532991</x:v>
      </x:c>
      <x:c r="I2189" s="62" t="n">
        <x:v>0</x:v>
      </x:c>
      <x:c r="J2189" s="64" t="n">
        <x:v>1</x:v>
      </x:c>
      <x:c r="K2189" s="62" t="n">
        <x:v>239.88329190194898</x:v>
      </x:c>
      <x:c r="L2189" s="60" t="n">
        <x:v>0.012785563563411168</x:v>
      </x:c>
      <x:c r="M2189" s="62" t="n">
        <x:v>3.38</x:v>
      </x:c>
      <x:c r="N2189" s="62" t="n">
        <x:v>239.88329190194898</x:v>
      </x:c>
      <x:c r="O2189" s="60" t="n">
        <x:v>0.012785563563411168</x:v>
      </x:c>
      <x:c r="P2189" s="60" t="n">
        <x:v>0</x:v>
      </x:c>
      <x:c r="Q2189" s="62" t="n">
        <x:v>1</x:v>
      </x:c>
      <x:c r="R2189" s="64" t="n">
        <x:v>0</x:v>
      </x:c>
    </x:row>
    <x:row r="2190" ht="18" customHeight="1">
      <x:c r="A2190" s="46" t="str">
        <x:v>LME_060</x:v>
      </x:c>
      <x:c r="B2190" s="46" t="str">
        <x:v>Faroe Plateau</x:v>
      </x:c>
      <x:c r="C2190" s="46" t="str">
        <x:v>functional</x:v>
      </x:c>
      <x:c r="D2190" s="46" t="str">
        <x:v>Small to medium flatfishes (&lt;90 cm)</x:v>
      </x:c>
      <x:c r="E2190" s="66" t="n">
        <x:v>10</x:v>
      </x:c>
      <x:c r="F2190" s="66" t="n">
        <x:v>10</x:v>
      </x:c>
      <x:c r="G2190" s="60" t="n">
        <x:v>2598.1289270666</x:v>
      </x:c>
      <x:c r="H2190" s="60" t="n">
        <x:v>2598.1289270666</x:v>
      </x:c>
      <x:c r="I2190" s="62" t="n">
        <x:v>0</x:v>
      </x:c>
      <x:c r="J2190" s="64" t="n">
        <x:v>1</x:v>
      </x:c>
      <x:c r="K2190" s="62" t="n">
        <x:v>1997.0247360851597</x:v>
      </x:c>
      <x:c r="L2190" s="60" t="n">
        <x:v>5188527.734890397</x:v>
      </x:c>
      <x:c r="M2190" s="62" t="n">
        <x:v>4.17611995327875</x:v>
      </x:c>
      <x:c r="N2190" s="62" t="n">
        <x:v>1500.099109609534</x:v>
      </x:c>
      <x:c r="O2190" s="60" t="n">
        <x:v>3897450.890143381</x:v>
      </x:c>
      <x:c r="P2190" s="60" t="n">
        <x:v>1291076.8447470157</x:v>
      </x:c>
      <x:c r="Q2190" s="62" t="n">
        <x:v>1.3312618634944542</x:v>
      </x:c>
      <x:c r="R2190" s="64" t="n">
        <x:v>0.3312618634944542</x:v>
      </x:c>
    </x:row>
    <x:row r="2191" ht="18" customHeight="1">
      <x:c r="A2191" s="46" t="str">
        <x:v>LME_060</x:v>
      </x:c>
      <x:c r="B2191" s="46" t="str">
        <x:v>Faroe Plateau</x:v>
      </x:c>
      <x:c r="C2191" s="46" t="str">
        <x:v>functional</x:v>
      </x:c>
      <x:c r="D2191" s="46" t="str">
        <x:v>Small to medium rays (&lt;90 cm)</x:v>
      </x:c>
      <x:c r="E2191" s="66" t="n">
        <x:v>3</x:v>
      </x:c>
      <x:c r="F2191" s="66" t="n">
        <x:v>3</x:v>
      </x:c>
      <x:c r="G2191" s="60" t="n">
        <x:v>118.44437266</x:v>
      </x:c>
      <x:c r="H2191" s="60" t="n">
        <x:v>118.44437266</x:v>
      </x:c>
      <x:c r="I2191" s="62" t="n">
        <x:v>0</x:v>
      </x:c>
      <x:c r="J2191" s="64" t="n">
        <x:v>1</x:v>
      </x:c>
      <x:c r="K2191" s="62" t="n">
        <x:v>617.6899940171696</x:v>
      </x:c>
      <x:c r="L2191" s="60" t="n">
        <x:v>73161.90383972281</x:v>
      </x:c>
      <x:c r="M2191" s="62" t="n">
        <x:v>3.7864675238324983</x:v>
      </x:c>
      <x:c r="N2191" s="62" t="n">
        <x:v>611.6000663181366</x:v>
      </x:c>
      <x:c r="O2191" s="60" t="n">
        <x:v>72440.58617386608</x:v>
      </x:c>
      <x:c r="P2191" s="60" t="n">
        <x:v>721.317665856739</x:v>
      </x:c>
      <x:c r="Q2191" s="62" t="n">
        <x:v>1.0099573692587949</x:v>
      </x:c>
      <x:c r="R2191" s="64" t="n">
        <x:v>0.009957369258794929</x:v>
      </x:c>
    </x:row>
    <x:row r="2192" ht="18" customHeight="1">
      <x:c r="A2192" s="46" t="str">
        <x:v>LME_061</x:v>
      </x:c>
      <x:c r="B2192" s="46" t="str">
        <x:v>Antarctic</x:v>
      </x:c>
      <x:c r="C2192" s="46" t="str">
        <x:v>functional</x:v>
      </x:c>
      <x:c r="D2192" s="46" t="str">
        <x:v>Large rays (&gt;=90 cm)</x:v>
      </x:c>
      <x:c r="E2192" s="66" t="n">
        <x:v>1</x:v>
      </x:c>
      <x:c r="F2192" s="66" t="n">
        <x:v>1</x:v>
      </x:c>
      <x:c r="G2192" s="60" t="n">
        <x:v>0.0321891454</x:v>
      </x:c>
      <x:c r="H2192" s="60" t="n">
        <x:v>0.0321891454</x:v>
      </x:c>
      <x:c r="I2192" s="62" t="n">
        <x:v>0</x:v>
      </x:c>
      <x:c r="J2192" s="64" t="n">
        <x:v>1</x:v>
      </x:c>
      <x:c r="K2192" s="62" t="n">
        <x:v>407.3802778041126</x:v>
      </x:c>
      <x:c r="L2192" s="60" t="n">
        <x:v>13.113222995328973</x:v>
      </x:c>
      <x:c r="M2192" s="62" t="n">
        <x:v>3.61</x:v>
      </x:c>
      <x:c r="N2192" s="62" t="n">
        <x:v>407.3802778041126</x:v>
      </x:c>
      <x:c r="O2192" s="60" t="n">
        <x:v>13.113222995328973</x:v>
      </x:c>
      <x:c r="P2192" s="60" t="n">
        <x:v>0</x:v>
      </x:c>
      <x:c r="Q2192" s="62" t="n">
        <x:v>1</x:v>
      </x:c>
      <x:c r="R2192" s="64" t="n">
        <x:v>0</x:v>
      </x:c>
    </x:row>
    <x:row r="2193" ht="18" customHeight="1">
      <x:c r="A2193" s="46" t="str">
        <x:v>LME_061</x:v>
      </x:c>
      <x:c r="B2193" s="46" t="str">
        <x:v>Antarctic</x:v>
      </x:c>
      <x:c r="C2193" s="46" t="str">
        <x:v>functional</x:v>
      </x:c>
      <x:c r="D2193" s="46" t="str">
        <x:v>Medium bathydemersals (30 - 89 cm)</x:v>
      </x:c>
      <x:c r="E2193" s="66" t="n">
        <x:v>1</x:v>
      </x:c>
      <x:c r="F2193" s="66" t="n">
        <x:v>1</x:v>
      </x:c>
      <x:c r="G2193" s="60" t="n">
        <x:v>0.0023521774999999997</x:v>
      </x:c>
      <x:c r="H2193" s="60" t="n">
        <x:v>0.0023521774999999997</x:v>
      </x:c>
      <x:c r="I2193" s="62" t="n">
        <x:v>0</x:v>
      </x:c>
      <x:c r="J2193" s="64" t="n">
        <x:v>1</x:v>
      </x:c>
      <x:c r="K2193" s="62" t="n">
        <x:v>371.5352290971724</x:v>
      </x:c>
      <x:c r="L2193" s="60" t="n">
        <x:v>0.8739168063397141</x:v>
      </x:c>
      <x:c r="M2193" s="62" t="n">
        <x:v>3.57</x:v>
      </x:c>
      <x:c r="N2193" s="62" t="n">
        <x:v>371.5352290971724</x:v>
      </x:c>
      <x:c r="O2193" s="60" t="n">
        <x:v>0.8739168063397141</x:v>
      </x:c>
      <x:c r="P2193" s="60" t="n">
        <x:v>0</x:v>
      </x:c>
      <x:c r="Q2193" s="62" t="n">
        <x:v>1</x:v>
      </x:c>
      <x:c r="R2193" s="64" t="n">
        <x:v>0</x:v>
      </x:c>
    </x:row>
    <x:row r="2194" ht="18" customHeight="1">
      <x:c r="A2194" s="46" t="str">
        <x:v>LME_061</x:v>
      </x:c>
      <x:c r="B2194" s="46" t="str">
        <x:v>Antarctic</x:v>
      </x:c>
      <x:c r="C2194" s="46" t="str">
        <x:v>functional</x:v>
      </x:c>
      <x:c r="D2194" s="46" t="str">
        <x:v>Medium bathypelagics (30 - 89 cm)</x:v>
      </x:c>
      <x:c r="E2194" s="66" t="n">
        <x:v>1</x:v>
      </x:c>
      <x:c r="F2194" s="66" t="n">
        <x:v>1</x:v>
      </x:c>
      <x:c r="G2194" s="60" t="n">
        <x:v>0.0276479012</x:v>
      </x:c>
      <x:c r="H2194" s="60" t="n">
        <x:v>0.0276479012</x:v>
      </x:c>
      <x:c r="I2194" s="62" t="n">
        <x:v>0</x:v>
      </x:c>
      <x:c r="J2194" s="64" t="n">
        <x:v>1</x:v>
      </x:c>
      <x:c r="K2194" s="62" t="n">
        <x:v>295.1209226666387</x:v>
      </x:c>
      <x:c r="L2194" s="60" t="n">
        <x:v>8.159474111940067</x:v>
      </x:c>
      <x:c r="M2194" s="62" t="n">
        <x:v>3.47</x:v>
      </x:c>
      <x:c r="N2194" s="62" t="n">
        <x:v>295.1209226666387</x:v>
      </x:c>
      <x:c r="O2194" s="60" t="n">
        <x:v>8.159474111940067</x:v>
      </x:c>
      <x:c r="P2194" s="60" t="n">
        <x:v>0</x:v>
      </x:c>
      <x:c r="Q2194" s="62" t="n">
        <x:v>1</x:v>
      </x:c>
      <x:c r="R2194" s="64" t="n">
        <x:v>0</x:v>
      </x:c>
    </x:row>
    <x:row r="2195" ht="18" customHeight="1">
      <x:c r="A2195" s="46" t="str">
        <x:v>LME_061</x:v>
      </x:c>
      <x:c r="B2195" s="46" t="str">
        <x:v>Antarctic</x:v>
      </x:c>
      <x:c r="C2195" s="46" t="str">
        <x:v>functional</x:v>
      </x:c>
      <x:c r="D2195" s="46" t="str">
        <x:v>Medium benthopelagics (30 - 89 cm)</x:v>
      </x:c>
      <x:c r="E2195" s="66" t="n">
        <x:v>1</x:v>
      </x:c>
      <x:c r="F2195" s="66" t="n">
        <x:v>1</x:v>
      </x:c>
      <x:c r="G2195" s="60" t="n">
        <x:v>0.0003971103</x:v>
      </x:c>
      <x:c r="H2195" s="60" t="n">
        <x:v>0.0003971103</x:v>
      </x:c>
      <x:c r="I2195" s="62" t="n">
        <x:v>0</x:v>
      </x:c>
      <x:c r="J2195" s="64" t="n">
        <x:v>1</x:v>
      </x:c>
      <x:c r="K2195" s="62" t="n">
        <x:v>263.02679918953817</x:v>
      </x:c>
      <x:c r="L2195" s="60" t="n">
        <x:v>0.10445065113419726</x:v>
      </x:c>
      <x:c r="M2195" s="62" t="n">
        <x:v>3.42</x:v>
      </x:c>
      <x:c r="N2195" s="62" t="n">
        <x:v>263.02679918953817</x:v>
      </x:c>
      <x:c r="O2195" s="60" t="n">
        <x:v>0.10445065113419726</x:v>
      </x:c>
      <x:c r="P2195" s="60" t="n">
        <x:v>0</x:v>
      </x:c>
      <x:c r="Q2195" s="62" t="n">
        <x:v>1</x:v>
      </x:c>
      <x:c r="R2195" s="64" t="n">
        <x:v>0</x:v>
      </x:c>
    </x:row>
    <x:row r="2196" ht="18" customHeight="1">
      <x:c r="A2196" s="46" t="str">
        <x:v>LME_061</x:v>
      </x:c>
      <x:c r="B2196" s="46" t="str">
        <x:v>Antarctic</x:v>
      </x:c>
      <x:c r="C2196" s="46" t="str">
        <x:v>functional</x:v>
      </x:c>
      <x:c r="D2196" s="46" t="str">
        <x:v>Medium demersals (30 - 89 cm)</x:v>
      </x:c>
      <x:c r="E2196" s="66" t="n">
        <x:v>1</x:v>
      </x:c>
      <x:c r="F2196" s="66" t="n">
        <x:v>1</x:v>
      </x:c>
      <x:c r="G2196" s="60" t="n">
        <x:v>0.1829741856</x:v>
      </x:c>
      <x:c r="H2196" s="60" t="n">
        <x:v>0.1829741856</x:v>
      </x:c>
      <x:c r="I2196" s="62" t="n">
        <x:v>0</x:v>
      </x:c>
      <x:c r="J2196" s="64" t="n">
        <x:v>1</x:v>
      </x:c>
      <x:c r="K2196" s="62" t="n">
        <x:v>190.54607179632464</x:v>
      </x:c>
      <x:c r="L2196" s="60" t="n">
        <x:v>34.86501230621163</x:v>
      </x:c>
      <x:c r="M2196" s="62" t="n">
        <x:v>3.2799999999999994</x:v>
      </x:c>
      <x:c r="N2196" s="62" t="n">
        <x:v>190.54607179632444</x:v>
      </x:c>
      <x:c r="O2196" s="60" t="n">
        <x:v>34.8650123062116</x:v>
      </x:c>
      <x:c r="P2196" s="60" t="n">
        <x:v>3.552713678800501e-14</x:v>
      </x:c>
      <x:c r="Q2196" s="62" t="n">
        <x:v>1.000000000000001</x:v>
      </x:c>
      <x:c r="R2196" s="64" t="n">
        <x:v>1.0189910869951263e-15</x:v>
      </x:c>
    </x:row>
    <x:row r="2197" ht="18" customHeight="1">
      <x:c r="A2197" s="46" t="str">
        <x:v>LME_061</x:v>
      </x:c>
      <x:c r="B2197" s="46" t="str">
        <x:v>Antarctic</x:v>
      </x:c>
      <x:c r="C2197" s="46" t="str">
        <x:v>functional</x:v>
      </x:c>
      <x:c r="D2197" s="46" t="str">
        <x:v>Other demersal invertebrates</x:v>
      </x:c>
      <x:c r="E2197" s="66" t="n">
        <x:v>1</x:v>
      </x:c>
      <x:c r="F2197" s="66" t="n">
        <x:v>1</x:v>
      </x:c>
      <x:c r="G2197" s="60" t="n">
        <x:v>0.0000046147</x:v>
      </x:c>
      <x:c r="H2197" s="60" t="n">
        <x:v>0.0000046147</x:v>
      </x:c>
      <x:c r="I2197" s="62" t="n">
        <x:v>0</x:v>
      </x:c>
      <x:c r="J2197" s="64" t="n">
        <x:v>1</x:v>
      </x:c>
      <x:c r="K2197" s="62" t="n">
        <x:v>12.589254117941675</x:v>
      </x:c>
      <x:c r="L2197" s="60" t="n">
        <x:v>0.00005809563097806545</x:v>
      </x:c>
      <x:c r="M2197" s="62" t="n">
        <x:v>2.1</x:v>
      </x:c>
      <x:c r="N2197" s="62" t="n">
        <x:v>12.589254117941675</x:v>
      </x:c>
      <x:c r="O2197" s="60" t="n">
        <x:v>0.00005809563097806545</x:v>
      </x:c>
      <x:c r="P2197" s="60" t="n">
        <x:v>0</x:v>
      </x:c>
      <x:c r="Q2197" s="62" t="n">
        <x:v>1</x:v>
      </x:c>
      <x:c r="R2197" s="64" t="n">
        <x:v>0</x:v>
      </x:c>
    </x:row>
    <x:row r="2198" ht="18" customHeight="1">
      <x:c r="A2198" s="46" t="str">
        <x:v>LME_061</x:v>
      </x:c>
      <x:c r="B2198" s="46" t="str">
        <x:v>Antarctic</x:v>
      </x:c>
      <x:c r="C2198" s="46" t="str">
        <x:v>functional</x:v>
      </x:c>
      <x:c r="D2198" s="46" t="str">
        <x:v>Small bathydemersals (&lt;30 cm)</x:v>
      </x:c>
      <x:c r="E2198" s="66" t="n">
        <x:v>1</x:v>
      </x:c>
      <x:c r="F2198" s="66" t="n">
        <x:v>1</x:v>
      </x:c>
      <x:c r="G2198" s="60" t="n">
        <x:v>0.00013419120000000002</x:v>
      </x:c>
      <x:c r="H2198" s="60" t="n">
        <x:v>0.00013419120000000002</x:v>
      </x:c>
      <x:c r="I2198" s="62" t="n">
        <x:v>0</x:v>
      </x:c>
      <x:c r="J2198" s="64" t="n">
        <x:v>1</x:v>
      </x:c>
      <x:c r="K2198" s="62" t="n">
        <x:v>194.98445997580455</x:v>
      </x:c>
      <x:c r="L2198" s="60" t="n">
        <x:v>0.026165198665505186</x:v>
      </x:c>
      <x:c r="M2198" s="62" t="n">
        <x:v>3.29</x:v>
      </x:c>
      <x:c r="N2198" s="62" t="n">
        <x:v>194.98445997580455</x:v>
      </x:c>
      <x:c r="O2198" s="60" t="n">
        <x:v>0.026165198665505186</x:v>
      </x:c>
      <x:c r="P2198" s="60" t="n">
        <x:v>0</x:v>
      </x:c>
      <x:c r="Q2198" s="62" t="n">
        <x:v>1</x:v>
      </x:c>
      <x:c r="R2198" s="64" t="n">
        <x:v>0</x:v>
      </x:c>
    </x:row>
    <x:row r="2199" ht="18" customHeight="1">
      <x:c r="A2199" s="46" t="str">
        <x:v>LME_061</x:v>
      </x:c>
      <x:c r="B2199" s="46" t="str">
        <x:v>Antarctic</x:v>
      </x:c>
      <x:c r="C2199" s="46" t="str">
        <x:v>functional</x:v>
      </x:c>
      <x:c r="D2199" s="46" t="str">
        <x:v>Small demersals (&lt;30 cm)</x:v>
      </x:c>
      <x:c r="E2199" s="66" t="n">
        <x:v>2</x:v>
      </x:c>
      <x:c r="F2199" s="66" t="n">
        <x:v>2</x:v>
      </x:c>
      <x:c r="G2199" s="60" t="n">
        <x:v>0.0017141262</x:v>
      </x:c>
      <x:c r="H2199" s="60" t="n">
        <x:v>0.0017141262</x:v>
      </x:c>
      <x:c r="I2199" s="62" t="n">
        <x:v>0</x:v>
      </x:c>
      <x:c r="J2199" s="64" t="n">
        <x:v>1</x:v>
      </x:c>
      <x:c r="K2199" s="62" t="n">
        <x:v>126.4390828996894</x:v>
      </x:c>
      <x:c r="L2199" s="60" t="n">
        <x:v>0.21673254470232955</x:v>
      </x:c>
      <x:c r="M2199" s="62" t="n">
        <x:v>3.1013945297609946</x:v>
      </x:c>
      <x:c r="N2199" s="62" t="n">
        <x:v>126.29743479353881</x:v>
      </x:c>
      <x:c r="O2199" s="60" t="n">
        <x:v>0.21648974197239645</x:v>
      </x:c>
      <x:c r="P2199" s="60" t="n">
        <x:v>0.00024280272993310037</x:v>
      </x:c>
      <x:c r="Q2199" s="62" t="n">
        <x:v>1.0011215438095171</x:v>
      </x:c>
      <x:c r="R2199" s="64" t="n">
        <x:v>0.0011215438095171224</x:v>
      </x:c>
    </x:row>
    <x:row r="2200" ht="18" customHeight="1">
      <x:c r="A2200" s="46" t="str">
        <x:v>LME_061</x:v>
      </x:c>
      <x:c r="B2200" s="46" t="str">
        <x:v>Antarctic</x:v>
      </x:c>
      <x:c r="C2200" s="46" t="str">
        <x:v>functional</x:v>
      </x:c>
      <x:c r="D2200" s="46" t="str">
        <x:v>Small pelagics (&lt;30 cm)</x:v>
      </x:c>
      <x:c r="E2200" s="66" t="n">
        <x:v>1</x:v>
      </x:c>
      <x:c r="F2200" s="66" t="n">
        <x:v>1</x:v>
      </x:c>
      <x:c r="G2200" s="60" t="n">
        <x:v>0.0022005613000000003</x:v>
      </x:c>
      <x:c r="H2200" s="60" t="n">
        <x:v>0.0022005613000000003</x:v>
      </x:c>
      <x:c r="I2200" s="62" t="n">
        <x:v>0</x:v>
      </x:c>
      <x:c r="J2200" s="64" t="n">
        <x:v>1</x:v>
      </x:c>
      <x:c r="K2200" s="62" t="n">
        <x:v>169.82436524617444</x:v>
      </x:c>
      <x:c r="L2200" s="60" t="n">
        <x:v>0.3737089259577965</x:v>
      </x:c>
      <x:c r="M2200" s="62" t="n">
        <x:v>3.23</x:v>
      </x:c>
      <x:c r="N2200" s="62" t="n">
        <x:v>169.82436524617444</x:v>
      </x:c>
      <x:c r="O2200" s="60" t="n">
        <x:v>0.3737089259577965</x:v>
      </x:c>
      <x:c r="P2200" s="60" t="n">
        <x:v>0</x:v>
      </x:c>
      <x:c r="Q2200" s="62" t="n">
        <x:v>1</x:v>
      </x:c>
      <x:c r="R2200" s="64" t="n">
        <x:v>0</x:v>
      </x:c>
    </x:row>
    <x:row r="2201" ht="18" customHeight="1">
      <x:c r="A2201" s="46" t="str">
        <x:v>LME_062</x:v>
      </x:c>
      <x:c r="B2201" s="46" t="str">
        <x:v>Black Sea</x:v>
      </x:c>
      <x:c r="C2201" s="46" t="str">
        <x:v>functional</x:v>
      </x:c>
      <x:c r="D2201" s="46" t="str">
        <x:v>Cephalopods</x:v>
      </x:c>
      <x:c r="E2201" s="66" t="n">
        <x:v>1</x:v>
      </x:c>
      <x:c r="F2201" s="66" t="n">
        <x:v>1</x:v>
      </x:c>
      <x:c r="G2201" s="60" t="n">
        <x:v>0.077905854</x:v>
      </x:c>
      <x:c r="H2201" s="60" t="n">
        <x:v>0.077905854</x:v>
      </x:c>
      <x:c r="I2201" s="62" t="n">
        <x:v>0</x:v>
      </x:c>
      <x:c r="J2201" s="64" t="n">
        <x:v>1</x:v>
      </x:c>
      <x:c r="K2201" s="62" t="n">
        <x:v>1862.0871366628655</x:v>
      </x:c>
      <x:c r="L2201" s="60" t="n">
        <x:v>145.06748860413524</x:v>
      </x:c>
      <x:c r="M2201" s="62" t="n">
        <x:v>4.27</x:v>
      </x:c>
      <x:c r="N2201" s="62" t="n">
        <x:v>1862.0871366628655</x:v>
      </x:c>
      <x:c r="O2201" s="60" t="n">
        <x:v>145.06748860413524</x:v>
      </x:c>
      <x:c r="P2201" s="60" t="n">
        <x:v>0</x:v>
      </x:c>
      <x:c r="Q2201" s="62" t="n">
        <x:v>1</x:v>
      </x:c>
      <x:c r="R2201" s="64" t="n">
        <x:v>0</x:v>
      </x:c>
    </x:row>
    <x:row r="2202" ht="18" customHeight="1">
      <x:c r="A2202" s="46" t="str">
        <x:v>LME_062</x:v>
      </x:c>
      <x:c r="B2202" s="46" t="str">
        <x:v>Black Sea</x:v>
      </x:c>
      <x:c r="C2202" s="46" t="str">
        <x:v>functional</x:v>
      </x:c>
      <x:c r="D2202" s="46" t="str">
        <x:v>Large bathydemersals (&gt;=90 cm)</x:v>
      </x:c>
      <x:c r="E2202" s="66" t="n">
        <x:v>2</x:v>
      </x:c>
      <x:c r="F2202" s="66" t="n">
        <x:v>2</x:v>
      </x:c>
      <x:c r="G2202" s="60" t="n">
        <x:v>3.8063066539999997</x:v>
      </x:c>
      <x:c r="H2202" s="60" t="n">
        <x:v>3.8063066539999997</x:v>
      </x:c>
      <x:c r="I2202" s="62" t="n">
        <x:v>0</x:v>
      </x:c>
      <x:c r="J2202" s="64" t="n">
        <x:v>1</x:v>
      </x:c>
      <x:c r="K2202" s="62" t="n">
        <x:v>2678.0720753182186</x:v>
      </x:c>
      <x:c r="L2202" s="60" t="n">
        <x:v>10193.563560175324</x:v>
      </x:c>
      <x:c r="M2202" s="62" t="n">
        <x:v>4.425794358414823</x:v>
      </x:c>
      <x:c r="N2202" s="62" t="n">
        <x:v>2665.596186532856</x:v>
      </x:c>
      <x:c r="O2202" s="60" t="n">
        <x:v>10146.076501677033</x:v>
      </x:c>
      <x:c r="P2202" s="60" t="n">
        <x:v>47.487058498290935</x:v>
      </x:c>
      <x:c r="Q2202" s="62" t="n">
        <x:v>1.004680337122477</x:v>
      </x:c>
      <x:c r="R2202" s="64" t="n">
        <x:v>0.004680337122477034</x:v>
      </x:c>
    </x:row>
    <x:row r="2203" ht="18" customHeight="1">
      <x:c r="A2203" s="46" t="str">
        <x:v>LME_062</x:v>
      </x:c>
      <x:c r="B2203" s="46" t="str">
        <x:v>Black Sea</x:v>
      </x:c>
      <x:c r="C2203" s="46" t="str">
        <x:v>functional</x:v>
      </x:c>
      <x:c r="D2203" s="46" t="str">
        <x:v>Large benthopelagics (&gt;=90 cm)</x:v>
      </x:c>
      <x:c r="E2203" s="66" t="n">
        <x:v>3</x:v>
      </x:c>
      <x:c r="F2203" s="66" t="n">
        <x:v>3</x:v>
      </x:c>
      <x:c r="G2203" s="60" t="n">
        <x:v>614.2513241093</x:v>
      </x:c>
      <x:c r="H2203" s="60" t="n">
        <x:v>614.2513241093</x:v>
      </x:c>
      <x:c r="I2203" s="62" t="n">
        <x:v>0</x:v>
      </x:c>
      <x:c r="J2203" s="64" t="n">
        <x:v>1</x:v>
      </x:c>
      <x:c r="K2203" s="62" t="n">
        <x:v>25.240344896791</x:v>
      </x:c>
      <x:c r="L2203" s="60" t="n">
        <x:v>15503.915273829285</x:v>
      </x:c>
      <x:c r="M2203" s="62" t="n">
        <x:v>2.1521537415941765</x:v>
      </x:c>
      <x:c r="N2203" s="62" t="n">
        <x:v>14.195599613823559</x:v>
      </x:c>
      <x:c r="O2203" s="60" t="n">
        <x:v>8719.665859316588</x:v>
      </x:c>
      <x:c r="P2203" s="60" t="n">
        <x:v>6784.249414512697</x:v>
      </x:c>
      <x:c r="Q2203" s="62" t="n">
        <x:v>1.7780400675863075</x:v>
      </x:c>
      <x:c r="R2203" s="64" t="n">
        <x:v>0.7780400675863075</x:v>
      </x:c>
    </x:row>
    <x:row r="2204" ht="18" customHeight="1">
      <x:c r="A2204" s="46" t="str">
        <x:v>LME_062</x:v>
      </x:c>
      <x:c r="B2204" s="46" t="str">
        <x:v>Black Sea</x:v>
      </x:c>
      <x:c r="C2204" s="46" t="str">
        <x:v>functional</x:v>
      </x:c>
      <x:c r="D2204" s="46" t="str">
        <x:v>Large demersals (&gt;=90 cm)</x:v>
      </x:c>
      <x:c r="E2204" s="66" t="n">
        <x:v>11</x:v>
      </x:c>
      <x:c r="F2204" s="66" t="n">
        <x:v>11</x:v>
      </x:c>
      <x:c r="G2204" s="60" t="n">
        <x:v>277.5061913609</x:v>
      </x:c>
      <x:c r="H2204" s="60" t="n">
        <x:v>277.5061913609</x:v>
      </x:c>
      <x:c r="I2204" s="62" t="n">
        <x:v>0</x:v>
      </x:c>
      <x:c r="J2204" s="64" t="n">
        <x:v>1</x:v>
      </x:c>
      <x:c r="K2204" s="62" t="n">
        <x:v>707.0752990237578</x:v>
      </x:c>
      <x:c r="L2204" s="60" t="n">
        <x:v>196217.77323745252</x:v>
      </x:c>
      <x:c r="M2204" s="62" t="n">
        <x:v>3.602003118392047</x:v>
      </x:c>
      <x:c r="N2204" s="62" t="n">
        <x:v>399.94762151990756</x:v>
      </x:c>
      <x:c r="O2204" s="60" t="n">
        <x:v>110987.94119184028</x:v>
      </x:c>
      <x:c r="P2204" s="60" t="n">
        <x:v>85229.83204561225</x:v>
      </x:c>
      <x:c r="Q2204" s="62" t="n">
        <x:v>1.7679197499329617</x:v>
      </x:c>
      <x:c r="R2204" s="64" t="n">
        <x:v>0.7679197499329617</x:v>
      </x:c>
    </x:row>
    <x:row r="2205" ht="18" customHeight="1">
      <x:c r="A2205" s="46" t="str">
        <x:v>LME_062</x:v>
      </x:c>
      <x:c r="B2205" s="46" t="str">
        <x:v>Black Sea</x:v>
      </x:c>
      <x:c r="C2205" s="46" t="str">
        <x:v>functional</x:v>
      </x:c>
      <x:c r="D2205" s="46" t="str">
        <x:v>Large flatfishes (&gt;=90 cm)</x:v>
      </x:c>
      <x:c r="E2205" s="66" t="n">
        <x:v>2</x:v>
      </x:c>
      <x:c r="F2205" s="66" t="n">
        <x:v>2</x:v>
      </x:c>
      <x:c r="G2205" s="60" t="n">
        <x:v>2744.0093329761</x:v>
      </x:c>
      <x:c r="H2205" s="60" t="n">
        <x:v>2744.0093329761</x:v>
      </x:c>
      <x:c r="I2205" s="62" t="n">
        <x:v>0</x:v>
      </x:c>
      <x:c r="J2205" s="64" t="n">
        <x:v>1</x:v>
      </x:c>
      <x:c r="K2205" s="62" t="n">
        <x:v>2284.971954615121</x:v>
      </x:c>
      <x:c r="L2205" s="60" t="n">
        <x:v>6269984.369052533</x:v>
      </x:c>
      <x:c r="M2205" s="62" t="n">
        <x:v>4.3572251171876255</x:v>
      </x:c>
      <x:c r="N2205" s="62" t="n">
        <x:v>2276.2770365921724</x:v>
      </x:c>
      <x:c r="O2205" s="60" t="n">
        <x:v>6246125.432848101</x:v>
      </x:c>
      <x:c r="P2205" s="60" t="n">
        <x:v>23858.93620443251</x:v>
      </x:c>
      <x:c r="Q2205" s="62" t="n">
        <x:v>1.0038197978028043</x:v>
      </x:c>
      <x:c r="R2205" s="64" t="n">
        <x:v>0.0038197978028041845</x:v>
      </x:c>
    </x:row>
    <x:row r="2206" ht="18" customHeight="1">
      <x:c r="A2206" s="46" t="str">
        <x:v>LME_062</x:v>
      </x:c>
      <x:c r="B2206" s="46" t="str">
        <x:v>Black Sea</x:v>
      </x:c>
      <x:c r="C2206" s="46" t="str">
        <x:v>functional</x:v>
      </x:c>
      <x:c r="D2206" s="46" t="str">
        <x:v>Large pelagics (&gt;=90 cm)</x:v>
      </x:c>
      <x:c r="E2206" s="66" t="n">
        <x:v>5</x:v>
      </x:c>
      <x:c r="F2206" s="66" t="n">
        <x:v>5</x:v>
      </x:c>
      <x:c r="G2206" s="60" t="n">
        <x:v>6008.772216345399</x:v>
      </x:c>
      <x:c r="H2206" s="60" t="n">
        <x:v>6008.772216345399</x:v>
      </x:c>
      <x:c r="I2206" s="62" t="n">
        <x:v>0</x:v>
      </x:c>
      <x:c r="J2206" s="64" t="n">
        <x:v>1</x:v>
      </x:c>
      <x:c r="K2206" s="62" t="n">
        <x:v>3388.3272905160998</x:v>
      </x:c>
      <x:c r="L2206" s="60" t="n">
        <x:v>20359686.883138027</x:v>
      </x:c>
      <x:c r="M2206" s="62" t="n">
        <x:v>4.52998439171884</x:v>
      </x:c>
      <x:c r="N2206" s="62" t="n">
        <x:v>3388.3197850388324</x:v>
      </x:c>
      <x:c r="O2206" s="60" t="n">
        <x:v>20359641.78443475</x:v>
      </x:c>
      <x:c r="P2206" s="60" t="n">
        <x:v>45.098703276365995</x:v>
      </x:c>
      <x:c r="Q2206" s="62" t="n">
        <x:v>1.0000022151029844</x:v>
      </x:c>
      <x:c r="R2206" s="64" t="n">
        <x:v>0.0000022151029843189397</x:v>
      </x:c>
    </x:row>
    <x:row r="2207" ht="18" customHeight="1">
      <x:c r="A2207" s="46" t="str">
        <x:v>LME_062</x:v>
      </x:c>
      <x:c r="B2207" s="46" t="str">
        <x:v>Black Sea</x:v>
      </x:c>
      <x:c r="C2207" s="46" t="str">
        <x:v>functional</x:v>
      </x:c>
      <x:c r="D2207" s="46" t="str">
        <x:v>Large rays (&gt;=90 cm)</x:v>
      </x:c>
      <x:c r="E2207" s="66" t="n">
        <x:v>5</x:v>
      </x:c>
      <x:c r="F2207" s="66" t="n">
        <x:v>5</x:v>
      </x:c>
      <x:c r="G2207" s="60" t="n">
        <x:v>9320.3595678584</x:v>
      </x:c>
      <x:c r="H2207" s="60" t="n">
        <x:v>9320.3595678584</x:v>
      </x:c>
      <x:c r="I2207" s="62" t="n">
        <x:v>0</x:v>
      </x:c>
      <x:c r="J2207" s="64" t="n">
        <x:v>1</x:v>
      </x:c>
      <x:c r="K2207" s="62" t="n">
        <x:v>435.5902791339164</x:v>
      </x:c>
      <x:c r="L2207" s="60" t="n">
        <x:v>4059858.025791909</x:v>
      </x:c>
      <x:c r="M2207" s="62" t="n">
        <x:v>3.590335187471029</x:v>
      </x:c>
      <x:c r="N2207" s="62" t="n">
        <x:v>389.3455250337237</x:v>
      </x:c>
      <x:c r="O2207" s="60" t="n">
        <x:v>3628840.289450919</x:v>
      </x:c>
      <x:c r="P2207" s="60" t="n">
        <x:v>431017.7363409903</x:v>
      </x:c>
      <x:c r="Q2207" s="62" t="n">
        <x:v>1.1187756147863448</x:v>
      </x:c>
      <x:c r="R2207" s="64" t="n">
        <x:v>0.1187756147863448</x:v>
      </x:c>
    </x:row>
    <x:row r="2208" ht="18" customHeight="1">
      <x:c r="A2208" s="46" t="str">
        <x:v>LME_062</x:v>
      </x:c>
      <x:c r="B2208" s="46" t="str">
        <x:v>Black Sea</x:v>
      </x:c>
      <x:c r="C2208" s="46" t="str">
        <x:v>functional</x:v>
      </x:c>
      <x:c r="D2208" s="46" t="str">
        <x:v>Large reef assoc. fish (&gt;=90 cm)</x:v>
      </x:c>
      <x:c r="E2208" s="66" t="n">
        <x:v>3</x:v>
      </x:c>
      <x:c r="F2208" s="66" t="n">
        <x:v>3</x:v>
      </x:c>
      <x:c r="G2208" s="60" t="n">
        <x:v>1401.1381500962998</x:v>
      </x:c>
      <x:c r="H2208" s="60" t="n">
        <x:v>1401.1381500962998</x:v>
      </x:c>
      <x:c r="I2208" s="62" t="n">
        <x:v>0</x:v>
      </x:c>
      <x:c r="J2208" s="64" t="n">
        <x:v>1</x:v>
      </x:c>
      <x:c r="K2208" s="62" t="n">
        <x:v>799.1658590883093</x:v>
      </x:c>
      <x:c r="L2208" s="60" t="n">
        <x:v>1119741.7734231139</x:v>
      </x:c>
      <x:c r="M2208" s="62" t="n">
        <x:v>3.9017968034743395</x:v>
      </x:c>
      <x:c r="N2208" s="62" t="n">
        <x:v>797.6214110060706</x:v>
      </x:c>
      <x:c r="O2208" s="60" t="n">
        <x:v>1117577.7882942462</x:v>
      </x:c>
      <x:c r="P2208" s="60" t="n">
        <x:v>2163.9851288676728</x:v>
      </x:c>
      <x:c r="Q2208" s="62" t="n">
        <x:v>1.0019363172313676</x:v>
      </x:c>
      <x:c r="R2208" s="64" t="n">
        <x:v>0.0019363172313674498</x:v>
      </x:c>
    </x:row>
    <x:row r="2209" ht="18" customHeight="1">
      <x:c r="A2209" s="46" t="str">
        <x:v>LME_062</x:v>
      </x:c>
      <x:c r="B2209" s="46" t="str">
        <x:v>Black Sea</x:v>
      </x:c>
      <x:c r="C2209" s="46" t="str">
        <x:v>functional</x:v>
      </x:c>
      <x:c r="D2209" s="46" t="str">
        <x:v>Large sharks (&gt;=90 cm)</x:v>
      </x:c>
      <x:c r="E2209" s="66" t="n">
        <x:v>7</x:v>
      </x:c>
      <x:c r="F2209" s="66" t="n">
        <x:v>7</x:v>
      </x:c>
      <x:c r="G2209" s="60" t="n">
        <x:v>6603.6436950346</x:v>
      </x:c>
      <x:c r="H2209" s="60" t="n">
        <x:v>6603.6436950346</x:v>
      </x:c>
      <x:c r="I2209" s="62" t="n">
        <x:v>0</x:v>
      </x:c>
      <x:c r="J2209" s="64" t="n">
        <x:v>1</x:v>
      </x:c>
      <x:c r="K2209" s="62" t="n">
        <x:v>2316.0578791899666</x:v>
      </x:c>
      <x:c r="L2209" s="60" t="n">
        <x:v>15294421.011248028</x:v>
      </x:c>
      <x:c r="M2209" s="62" t="n">
        <x:v>4.36260774746121</x:v>
      </x:c>
      <x:c r="N2209" s="62" t="n">
        <x:v>2304.6646871363287</x:v>
      </x:c>
      <x:c r="O2209" s="60" t="n">
        <x:v>15219184.430376705</x:v>
      </x:c>
      <x:c r="P2209" s="60" t="n">
        <x:v>75236.58087132312</x:v>
      </x:c>
      <x:c r="Q2209" s="62" t="n">
        <x:v>1.0049435356549825</x:v>
      </x:c>
      <x:c r="R2209" s="64" t="n">
        <x:v>0.004943535654982589</x:v>
      </x:c>
    </x:row>
    <x:row r="2210" ht="18" customHeight="1">
      <x:c r="A2210" s="46" t="str">
        <x:v>LME_062</x:v>
      </x:c>
      <x:c r="B2210" s="46" t="str">
        <x:v>Black Sea</x:v>
      </x:c>
      <x:c r="C2210" s="46" t="str">
        <x:v>functional</x:v>
      </x:c>
      <x:c r="D2210" s="46" t="str">
        <x:v>Lobsters, crabs</x:v>
      </x:c>
      <x:c r="E2210" s="66" t="n">
        <x:v>6</x:v>
      </x:c>
      <x:c r="F2210" s="66" t="n">
        <x:v>6</x:v>
      </x:c>
      <x:c r="G2210" s="60" t="n">
        <x:v>333.67420800089997</x:v>
      </x:c>
      <x:c r="H2210" s="60" t="n">
        <x:v>333.67420800089997</x:v>
      </x:c>
      <x:c r="I2210" s="62" t="n">
        <x:v>0</x:v>
      </x:c>
      <x:c r="J2210" s="64" t="n">
        <x:v>1</x:v>
      </x:c>
      <x:c r="K2210" s="62" t="n">
        <x:v>268.3550738687151</x:v>
      </x:c>
      <x:c r="L2210" s="60" t="n">
        <x:v>89543.16673616652</x:v>
      </x:c>
      <x:c r="M2210" s="62" t="n">
        <x:v>3.4269005220886832</x:v>
      </x:c>
      <x:c r="N2210" s="62" t="n">
        <x:v>267.23942096733447</x:v>
      </x:c>
      <x:c r="O2210" s="60" t="n">
        <x:v>89170.90213789443</x:v>
      </x:c>
      <x:c r="P2210" s="60" t="n">
        <x:v>372.264598272086</x:v>
      </x:c>
      <x:c r="Q2210" s="62" t="n">
        <x:v>1.0041747317717657</x:v>
      </x:c>
      <x:c r="R2210" s="64" t="n">
        <x:v>0.004174731771765791</x:v>
      </x:c>
    </x:row>
    <x:row r="2211" ht="18" customHeight="1">
      <x:c r="A2211" s="46" t="str">
        <x:v>LME_062</x:v>
      </x:c>
      <x:c r="B2211" s="46" t="str">
        <x:v>Black Sea</x:v>
      </x:c>
      <x:c r="C2211" s="46" t="str">
        <x:v>functional</x:v>
      </x:c>
      <x:c r="D2211" s="46" t="str">
        <x:v>Medium bathydemersals (30 - 89 cm)</x:v>
      </x:c>
      <x:c r="E2211" s="66" t="n">
        <x:v>2</x:v>
      </x:c>
      <x:c r="F2211" s="66" t="n">
        <x:v>2</x:v>
      </x:c>
      <x:c r="G2211" s="60" t="n">
        <x:v>2.5583459960000003</x:v>
      </x:c>
      <x:c r="H2211" s="60" t="n">
        <x:v>2.5583459960000003</x:v>
      </x:c>
      <x:c r="I2211" s="62" t="n">
        <x:v>0</x:v>
      </x:c>
      <x:c r="J2211" s="64" t="n">
        <x:v>1</x:v>
      </x:c>
      <x:c r="K2211" s="62" t="n">
        <x:v>2245.3662199557243</x:v>
      </x:c>
      <x:c r="L2211" s="60" t="n">
        <x:v>5744.423678377383</x:v>
      </x:c>
      <x:c r="M2211" s="62" t="n">
        <x:v>4.341259285941009</x:v>
      </x:c>
      <x:c r="N2211" s="62" t="n">
        <x:v>2194.114492051574</x:v>
      </x:c>
      <x:c r="O2211" s="60" t="n">
        <x:v>5613.3040255057185</x:v>
      </x:c>
      <x:c r="P2211" s="60" t="n">
        <x:v>131.11965287166458</x:v>
      </x:c>
      <x:c r="Q2211" s="62" t="n">
        <x:v>1.0233587299522497</x:v>
      </x:c>
      <x:c r="R2211" s="64" t="n">
        <x:v>0.02335872995224976</x:v>
      </x:c>
    </x:row>
    <x:row r="2212" ht="18" customHeight="1">
      <x:c r="A2212" s="46" t="str">
        <x:v>LME_062</x:v>
      </x:c>
      <x:c r="B2212" s="46" t="str">
        <x:v>Black Sea</x:v>
      </x:c>
      <x:c r="C2212" s="46" t="str">
        <x:v>functional</x:v>
      </x:c>
      <x:c r="D2212" s="46" t="str">
        <x:v>Medium benthopelagics (30 - 89 cm)</x:v>
      </x:c>
      <x:c r="E2212" s="66" t="n">
        <x:v>9</x:v>
      </x:c>
      <x:c r="F2212" s="66" t="n">
        <x:v>9</x:v>
      </x:c>
      <x:c r="G2212" s="60" t="n">
        <x:v>22065.300523424998</x:v>
      </x:c>
      <x:c r="H2212" s="60" t="n">
        <x:v>22065.300523424998</x:v>
      </x:c>
      <x:c r="I2212" s="62" t="n">
        <x:v>0</x:v>
      </x:c>
      <x:c r="J2212" s="64" t="n">
        <x:v>1</x:v>
      </x:c>
      <x:c r="K2212" s="62" t="n">
        <x:v>2097.8947166120925</x:v>
      </x:c>
      <x:c r="L2212" s="60" t="n">
        <x:v>46290677.38855134</x:v>
      </x:c>
      <x:c r="M2212" s="62" t="n">
        <x:v>4.238015904316582</x:v>
      </x:c>
      <x:c r="N2212" s="62" t="n">
        <x:v>1729.8797080530667</x:v>
      </x:c>
      <x:c r="O2212" s="60" t="n">
        <x:v>38170315.627565615</x:v>
      </x:c>
      <x:c r="P2212" s="60" t="n">
        <x:v>8120361.760985725</x:v>
      </x:c>
      <x:c r="Q2212" s="62" t="n">
        <x:v>1.212740230922309</x:v>
      </x:c>
      <x:c r="R2212" s="64" t="n">
        <x:v>0.2127402309223089</x:v>
      </x:c>
    </x:row>
    <x:row r="2213" ht="18" customHeight="1">
      <x:c r="A2213" s="46" t="str">
        <x:v>LME_062</x:v>
      </x:c>
      <x:c r="B2213" s="46" t="str">
        <x:v>Black Sea</x:v>
      </x:c>
      <x:c r="C2213" s="46" t="str">
        <x:v>functional</x:v>
      </x:c>
      <x:c r="D2213" s="46" t="str">
        <x:v>Medium demersals (30 - 89 cm)</x:v>
      </x:c>
      <x:c r="E2213" s="66" t="n">
        <x:v>15</x:v>
      </x:c>
      <x:c r="F2213" s="66" t="n">
        <x:v>15</x:v>
      </x:c>
      <x:c r="G2213" s="60" t="n">
        <x:v>79917.9227767643</x:v>
      </x:c>
      <x:c r="H2213" s="60" t="n">
        <x:v>79917.9227767643</x:v>
      </x:c>
      <x:c r="I2213" s="62" t="n">
        <x:v>0</x:v>
      </x:c>
      <x:c r="J2213" s="64" t="n">
        <x:v>1</x:v>
      </x:c>
      <x:c r="K2213" s="62" t="n">
        <x:v>186.5602601308744</x:v>
      </x:c>
      <x:c r="L2213" s="60" t="n">
        <x:v>14909508.462352281</x:v>
      </x:c>
      <x:c r="M2213" s="62" t="n">
        <x:v>3.250580984983671</x:v>
      </x:c>
      <x:c r="N2213" s="62" t="n">
        <x:v>178.06599261286993</x:v>
      </x:c>
      <x:c r="O2213" s="60" t="n">
        <x:v>14230664.246803222</x:v>
      </x:c>
      <x:c r="P2213" s="60" t="n">
        <x:v>678844.2155490592</x:v>
      </x:c>
      <x:c r="Q2213" s="62" t="n">
        <x:v>1.0477029184144764</x:v>
      </x:c>
      <x:c r="R2213" s="64" t="n">
        <x:v>0.04770291841447632</x:v>
      </x:c>
    </x:row>
    <x:row r="2214" ht="18" customHeight="1">
      <x:c r="A2214" s="46" t="str">
        <x:v>LME_062</x:v>
      </x:c>
      <x:c r="B2214" s="46" t="str">
        <x:v>Black Sea</x:v>
      </x:c>
      <x:c r="C2214" s="46" t="str">
        <x:v>functional</x:v>
      </x:c>
      <x:c r="D2214" s="46" t="str">
        <x:v>Medium pelagics (30 - 89 cm)</x:v>
      </x:c>
      <x:c r="E2214" s="66" t="n">
        <x:v>13</x:v>
      </x:c>
      <x:c r="F2214" s="66" t="n">
        <x:v>13</x:v>
      </x:c>
      <x:c r="G2214" s="60" t="n">
        <x:v>40866.53289474921</x:v>
      </x:c>
      <x:c r="H2214" s="60" t="n">
        <x:v>40866.53289474921</x:v>
      </x:c>
      <x:c r="I2214" s="62" t="n">
        <x:v>0</x:v>
      </x:c>
      <x:c r="J2214" s="64" t="n">
        <x:v>1</x:v>
      </x:c>
      <x:c r="K2214" s="62" t="n">
        <x:v>1623.8526005778206</x:v>
      </x:c>
      <x:c r="L2214" s="60" t="n">
        <x:v>66361225.71773755</x:v>
      </x:c>
      <x:c r="M2214" s="62" t="n">
        <x:v>4.058427869501483</x:v>
      </x:c>
      <x:c r="N2214" s="62" t="n">
        <x:v>1144.0048601477897</x:v>
      </x:c>
      <x:c r="O2214" s="60" t="n">
        <x:v>46751512.248982616</x:v>
      </x:c>
      <x:c r="P2214" s="60" t="n">
        <x:v>19609713.468754932</x:v>
      </x:c>
      <x:c r="Q2214" s="62" t="n">
        <x:v>1.4194455435862756</x:v>
      </x:c>
      <x:c r="R2214" s="64" t="n">
        <x:v>0.41944554358627556</x:v>
      </x:c>
    </x:row>
    <x:row r="2215" ht="18" customHeight="1">
      <x:c r="A2215" s="46" t="str">
        <x:v>LME_062</x:v>
      </x:c>
      <x:c r="B2215" s="46" t="str">
        <x:v>Black Sea</x:v>
      </x:c>
      <x:c r="C2215" s="46" t="str">
        <x:v>functional</x:v>
      </x:c>
      <x:c r="D2215" s="46" t="str">
        <x:v>Medium reef assoc. fish (30 - 89 cm)</x:v>
      </x:c>
      <x:c r="E2215" s="66" t="n">
        <x:v>2</x:v>
      </x:c>
      <x:c r="F2215" s="66" t="n">
        <x:v>2</x:v>
      </x:c>
      <x:c r="G2215" s="60" t="n">
        <x:v>957.204434272</x:v>
      </x:c>
      <x:c r="H2215" s="60" t="n">
        <x:v>957.204434272</x:v>
      </x:c>
      <x:c r="I2215" s="62" t="n">
        <x:v>0</x:v>
      </x:c>
      <x:c r="J2215" s="64" t="n">
        <x:v>1</x:v>
      </x:c>
      <x:c r="K2215" s="62" t="n">
        <x:v>169.16424575393438</x:v>
      </x:c>
      <x:c r="L2215" s="60" t="n">
        <x:v>161924.76615594432</x:v>
      </x:c>
      <x:c r="M2215" s="62" t="n">
        <x:v>3.024306410013894</x:v>
      </x:c>
      <x:c r="N2215" s="62" t="n">
        <x:v>105.75633941858486</x:v>
      </x:c>
      <x:c r="O2215" s="60" t="n">
        <x:v>101230.43704384413</x:v>
      </x:c>
      <x:c r="P2215" s="60" t="n">
        <x:v>60694.3291121002</x:v>
      </x:c>
      <x:c r="Q2215" s="62" t="n">
        <x:v>1.5995660088458648</x:v>
      </x:c>
      <x:c r="R2215" s="64" t="n">
        <x:v>0.5995660088458648</x:v>
      </x:c>
    </x:row>
    <x:row r="2216" ht="18" customHeight="1">
      <x:c r="A2216" s="46" t="str">
        <x:v>LME_062</x:v>
      </x:c>
      <x:c r="B2216" s="46" t="str">
        <x:v>Black Sea</x:v>
      </x:c>
      <x:c r="C2216" s="46" t="str">
        <x:v>functional</x:v>
      </x:c>
      <x:c r="D2216" s="46" t="str">
        <x:v>Other demersal invertebrates</x:v>
      </x:c>
      <x:c r="E2216" s="66" t="n">
        <x:v>9</x:v>
      </x:c>
      <x:c r="F2216" s="66" t="n">
        <x:v>9</x:v>
      </x:c>
      <x:c r="G2216" s="60" t="n">
        <x:v>67065.33202657229</x:v>
      </x:c>
      <x:c r="H2216" s="60" t="n">
        <x:v>67065.33202657229</x:v>
      </x:c>
      <x:c r="I2216" s="62" t="n">
        <x:v>0</x:v>
      </x:c>
      <x:c r="J2216" s="64" t="n">
        <x:v>1</x:v>
      </x:c>
      <x:c r="K2216" s="62" t="n">
        <x:v>23.93447031187561</x:v>
      </x:c>
      <x:c r="L2216" s="60" t="n">
        <x:v>1605173.198346075</x:v>
      </x:c>
      <x:c r="M2216" s="62" t="n">
        <x:v>2.2852551645097723</x:v>
      </x:c>
      <x:c r="N2216" s="62" t="n">
        <x:v>19.28657740073395</x:v>
      </x:c>
      <x:c r="O2216" s="60" t="n">
        <x:v>1293460.717036408</x:v>
      </x:c>
      <x:c r="P2216" s="60" t="n">
        <x:v>311712.481309667</x:v>
      </x:c>
      <x:c r="Q2216" s="62" t="n">
        <x:v>1.2409910693104513</x:v>
      </x:c>
      <x:c r="R2216" s="64" t="n">
        <x:v>0.24099106931045128</x:v>
      </x:c>
    </x:row>
    <x:row r="2217" ht="18" customHeight="1">
      <x:c r="A2217" s="46" t="str">
        <x:v>LME_062</x:v>
      </x:c>
      <x:c r="B2217" s="46" t="str">
        <x:v>Black Sea</x:v>
      </x:c>
      <x:c r="C2217" s="46" t="str">
        <x:v>functional</x:v>
      </x:c>
      <x:c r="D2217" s="46" t="str">
        <x:v>Shrimps</x:v>
      </x:c>
      <x:c r="E2217" s="66" t="n">
        <x:v>7</x:v>
      </x:c>
      <x:c r="F2217" s="66" t="n">
        <x:v>7</x:v>
      </x:c>
      <x:c r="G2217" s="60" t="n">
        <x:v>5416.1937477213</x:v>
      </x:c>
      <x:c r="H2217" s="60" t="n">
        <x:v>5416.1937477213</x:v>
      </x:c>
      <x:c r="I2217" s="62" t="n">
        <x:v>0</x:v>
      </x:c>
      <x:c r="J2217" s="64" t="n">
        <x:v>1</x:v>
      </x:c>
      <x:c r="K2217" s="62" t="n">
        <x:v>80.56866330570203</x:v>
      </x:c>
      <x:c r="L2217" s="60" t="n">
        <x:v>436375.4904586058</x:v>
      </x:c>
      <x:c r="M2217" s="62" t="n">
        <x:v>2.8286542093954243</x:v>
      </x:c>
      <x:c r="N2217" s="62" t="n">
        <x:v>67.39911739445199</x:v>
      </x:c>
      <x:c r="O2217" s="60" t="n">
        <x:v>365046.6782337648</x:v>
      </x:c>
      <x:c r="P2217" s="60" t="n">
        <x:v>71328.81222484104</x:v>
      </x:c>
      <x:c r="Q2217" s="62" t="n">
        <x:v>1.1953964149734413</x:v>
      </x:c>
      <x:c r="R2217" s="64" t="n">
        <x:v>0.1953964149734414</x:v>
      </x:c>
    </x:row>
    <x:row r="2218" ht="18" customHeight="1">
      <x:c r="A2218" s="46" t="str">
        <x:v>LME_062</x:v>
      </x:c>
      <x:c r="B2218" s="46" t="str">
        <x:v>Black Sea</x:v>
      </x:c>
      <x:c r="C2218" s="46" t="str">
        <x:v>functional</x:v>
      </x:c>
      <x:c r="D2218" s="46" t="str">
        <x:v>Small benthopelagics (&lt;30 cm)</x:v>
      </x:c>
      <x:c r="E2218" s="66" t="n">
        <x:v>2</x:v>
      </x:c>
      <x:c r="F2218" s="66" t="n">
        <x:v>2</x:v>
      </x:c>
      <x:c r="G2218" s="60" t="n">
        <x:v>2.9235505685</x:v>
      </x:c>
      <x:c r="H2218" s="60" t="n">
        <x:v>2.9235505685</x:v>
      </x:c>
      <x:c r="I2218" s="62" t="n">
        <x:v>0</x:v>
      </x:c>
      <x:c r="J2218" s="64" t="n">
        <x:v>1</x:v>
      </x:c>
      <x:c r="K2218" s="62" t="n">
        <x:v>389.99897898186157</x:v>
      </x:c>
      <x:c r="L2218" s="60" t="n">
        <x:v>1140.181736716841</x:v>
      </x:c>
      <x:c r="M2218" s="62" t="n">
        <x:v>3.5784924701356333</x:v>
      </x:c>
      <x:c r="N2218" s="62" t="n">
        <x:v>378.87196475123005</x:v>
      </x:c>
      <x:c r="O2218" s="60" t="n">
        <x:v>1107.6513479371706</x:v>
      </x:c>
      <x:c r="P2218" s="60" t="n">
        <x:v>32.530388779670375</x:v>
      </x:c>
      <x:c r="Q2218" s="62" t="n">
        <x:v>1.0293687980791548</x:v>
      </x:c>
      <x:c r="R2218" s="64" t="n">
        <x:v>0.029368798079154775</x:v>
      </x:c>
    </x:row>
    <x:row r="2219" ht="18" customHeight="1">
      <x:c r="A2219" s="46" t="str">
        <x:v>LME_062</x:v>
      </x:c>
      <x:c r="B2219" s="46" t="str">
        <x:v>Black Sea</x:v>
      </x:c>
      <x:c r="C2219" s="46" t="str">
        <x:v>functional</x:v>
      </x:c>
      <x:c r="D2219" s="46" t="str">
        <x:v>Small demersals (&lt;30 cm)</x:v>
      </x:c>
      <x:c r="E2219" s="66" t="n">
        <x:v>5</x:v>
      </x:c>
      <x:c r="F2219" s="66" t="n">
        <x:v>5</x:v>
      </x:c>
      <x:c r="G2219" s="60" t="n">
        <x:v>2317.9771843981</x:v>
      </x:c>
      <x:c r="H2219" s="60" t="n">
        <x:v>2317.9771843981</x:v>
      </x:c>
      <x:c r="I2219" s="62" t="n">
        <x:v>0</x:v>
      </x:c>
      <x:c r="J2219" s="64" t="n">
        <x:v>1</x:v>
      </x:c>
      <x:c r="K2219" s="62" t="n">
        <x:v>263.00883770060244</x:v>
      </x:c>
      <x:c r="L2219" s="60" t="n">
        <x:v>609648.4850850593</x:v>
      </x:c>
      <x:c r="M2219" s="62" t="n">
        <x:v>3.302386585888007</x:v>
      </x:c>
      <x:c r="N2219" s="62" t="n">
        <x:v>200.62570963011666</x:v>
      </x:c>
      <x:c r="O2219" s="60" t="n">
        <x:v>465045.81752628856</x:v>
      </x:c>
      <x:c r="P2219" s="60" t="n">
        <x:v>144602.66755877074</x:v>
      </x:c>
      <x:c r="Q2219" s="62" t="n">
        <x:v>1.3109428407032098</x:v>
      </x:c>
      <x:c r="R2219" s="64" t="n">
        <x:v>0.3109428407032099</x:v>
      </x:c>
    </x:row>
    <x:row r="2220" ht="18" customHeight="1">
      <x:c r="A2220" s="46" t="str">
        <x:v>LME_062</x:v>
      </x:c>
      <x:c r="B2220" s="46" t="str">
        <x:v>Black Sea</x:v>
      </x:c>
      <x:c r="C2220" s="46" t="str">
        <x:v>functional</x:v>
      </x:c>
      <x:c r="D2220" s="46" t="str">
        <x:v>Small pelagics (&lt;30 cm)</x:v>
      </x:c>
      <x:c r="E2220" s="66" t="n">
        <x:v>6</x:v>
      </x:c>
      <x:c r="F2220" s="66" t="n">
        <x:v>6</x:v>
      </x:c>
      <x:c r="G2220" s="60" t="n">
        <x:v>862091.542115535</x:v>
      </x:c>
      <x:c r="H2220" s="60" t="n">
        <x:v>862091.542115535</x:v>
      </x:c>
      <x:c r="I2220" s="62" t="n">
        <x:v>0</x:v>
      </x:c>
      <x:c r="J2220" s="64" t="n">
        <x:v>1</x:v>
      </x:c>
      <x:c r="K2220" s="62" t="n">
        <x:v>121.67547650822766</x:v>
      </x:c>
      <x:c r="L2220" s="60" t="n">
        <x:v>104895399.18062054</x:v>
      </x:c>
      <x:c r="M2220" s="62" t="n">
        <x:v>3.0829944709199926</x:v>
      </x:c>
      <x:c r="N2220" s="62" t="n">
        <x:v>121.05827213092306</x:v>
      </x:c>
      <x:c r="O2220" s="60" t="n">
        <x:v>104363312.50718956</x:v>
      </x:c>
      <x:c r="P2220" s="60" t="n">
        <x:v>532086.6734309793</x:v>
      </x:c>
      <x:c r="Q2220" s="62" t="n">
        <x:v>1.005098407291301</x:v>
      </x:c>
      <x:c r="R2220" s="64" t="n">
        <x:v>0.005098407291300992</x:v>
      </x:c>
    </x:row>
    <x:row r="2221" ht="18" customHeight="1">
      <x:c r="A2221" s="46" t="str">
        <x:v>LME_062</x:v>
      </x:c>
      <x:c r="B2221" s="46" t="str">
        <x:v>Black Sea</x:v>
      </x:c>
      <x:c r="C2221" s="46" t="str">
        <x:v>functional</x:v>
      </x:c>
      <x:c r="D2221" s="46" t="str">
        <x:v>Small reef assoc. fish (&lt;30 cm)</x:v>
      </x:c>
      <x:c r="E2221" s="66" t="n">
        <x:v>1</x:v>
      </x:c>
      <x:c r="F2221" s="66" t="n">
        <x:v>1</x:v>
      </x:c>
      <x:c r="G2221" s="60" t="n">
        <x:v>36615.3739054836</x:v>
      </x:c>
      <x:c r="H2221" s="60" t="n">
        <x:v>36615.3739054836</x:v>
      </x:c>
      <x:c r="I2221" s="62" t="n">
        <x:v>0</x:v>
      </x:c>
      <x:c r="J2221" s="64" t="n">
        <x:v>1</x:v>
      </x:c>
      <x:c r="K2221" s="62" t="n">
        <x:v>128.82495516931337</x:v>
      </x:c>
      <x:c r="L2221" s="60" t="n">
        <x:v>4716973.901881571</x:v>
      </x:c>
      <x:c r="M2221" s="62" t="n">
        <x:v>3.11</x:v>
      </x:c>
      <x:c r="N2221" s="62" t="n">
        <x:v>128.82495516931337</x:v>
      </x:c>
      <x:c r="O2221" s="60" t="n">
        <x:v>4716973.901881571</x:v>
      </x:c>
      <x:c r="P2221" s="60" t="n">
        <x:v>0</x:v>
      </x:c>
      <x:c r="Q2221" s="62" t="n">
        <x:v>1</x:v>
      </x:c>
      <x:c r="R2221" s="64" t="n">
        <x:v>0</x:v>
      </x:c>
    </x:row>
    <x:row r="2222" ht="18" customHeight="1">
      <x:c r="A2222" s="46" t="str">
        <x:v>LME_062</x:v>
      </x:c>
      <x:c r="B2222" s="46" t="str">
        <x:v>Black Sea</x:v>
      </x:c>
      <x:c r="C2222" s="46" t="str">
        <x:v>functional</x:v>
      </x:c>
      <x:c r="D2222" s="46" t="str">
        <x:v>Small to medium flatfishes (&lt;90 cm)</x:v>
      </x:c>
      <x:c r="E2222" s="66" t="n">
        <x:v>3</x:v>
      </x:c>
      <x:c r="F2222" s="66" t="n">
        <x:v>3</x:v>
      </x:c>
      <x:c r="G2222" s="60" t="n">
        <x:v>536.3736910491999</x:v>
      </x:c>
      <x:c r="H2222" s="60" t="n">
        <x:v>536.3736910491999</x:v>
      </x:c>
      <x:c r="I2222" s="62" t="n">
        <x:v>0</x:v>
      </x:c>
      <x:c r="J2222" s="64" t="n">
        <x:v>1</x:v>
      </x:c>
      <x:c r="K2222" s="62" t="n">
        <x:v>366.7144450158871</x:v>
      </x:c>
      <x:c r="L2222" s="60" t="n">
        <x:v>196695.98043423024</x:v>
      </x:c>
      <x:c r="M2222" s="62" t="n">
        <x:v>3.5619800858136754</x:v>
      </x:c>
      <x:c r="N2222" s="62" t="n">
        <x:v>364.7372218419839</x:v>
      </x:c>
      <x:c r="O2222" s="60" t="n">
        <x:v>195635.44994241578</x:v>
      </x:c>
      <x:c r="P2222" s="60" t="n">
        <x:v>1060.5304918144539</x:v>
      </x:c>
      <x:c r="Q2222" s="62" t="n">
        <x:v>1.005420952552958</x:v>
      </x:c>
      <x:c r="R2222" s="64" t="n">
        <x:v>0.005420952552958143</x:v>
      </x:c>
    </x:row>
    <x:row r="2223" ht="18" customHeight="1">
      <x:c r="A2223" s="46" t="str">
        <x:v>LME_062</x:v>
      </x:c>
      <x:c r="B2223" s="46" t="str">
        <x:v>Black Sea</x:v>
      </x:c>
      <x:c r="C2223" s="46" t="str">
        <x:v>functional</x:v>
      </x:c>
      <x:c r="D2223" s="46" t="str">
        <x:v>Small to medium rays (&lt;90 cm)</x:v>
      </x:c>
      <x:c r="E2223" s="66" t="n">
        <x:v>1</x:v>
      </x:c>
      <x:c r="F2223" s="66" t="n">
        <x:v>1</x:v>
      </x:c>
      <x:c r="G2223" s="60" t="n">
        <x:v>5.7118598995</x:v>
      </x:c>
      <x:c r="H2223" s="60" t="n">
        <x:v>5.7118598995</x:v>
      </x:c>
      <x:c r="I2223" s="62" t="n">
        <x:v>0</x:v>
      </x:c>
      <x:c r="J2223" s="64" t="n">
        <x:v>1</x:v>
      </x:c>
      <x:c r="K2223" s="62" t="n">
        <x:v>630.957344480193</x:v>
      </x:c>
      <x:c r="L2223" s="60" t="n">
        <x:v>3603.9399542314222</x:v>
      </x:c>
      <x:c r="M2223" s="62" t="n">
        <x:v>3.8</x:v>
      </x:c>
      <x:c r="N2223" s="62" t="n">
        <x:v>630.957344480193</x:v>
      </x:c>
      <x:c r="O2223" s="60" t="n">
        <x:v>3603.9399542314222</x:v>
      </x:c>
      <x:c r="P2223" s="60" t="n">
        <x:v>0</x:v>
      </x:c>
      <x:c r="Q2223" s="62" t="n">
        <x:v>1</x:v>
      </x:c>
      <x:c r="R2223" s="64" t="n">
        <x:v>0</x:v>
      </x:c>
    </x:row>
    <x:row r="2224" ht="18" customHeight="1">
      <x:c r="A2224" s="46" t="str">
        <x:v>LME_063</x:v>
      </x:c>
      <x:c r="B2224" s="46" t="str">
        <x:v>Hudson Bay Complex</x:v>
      </x:c>
      <x:c r="C2224" s="46" t="str">
        <x:v>functional</x:v>
      </x:c>
      <x:c r="D2224" s="46" t="str">
        <x:v>Cephalopods</x:v>
      </x:c>
      <x:c r="E2224" s="66" t="n">
        <x:v>1</x:v>
      </x:c>
      <x:c r="F2224" s="66" t="n">
        <x:v>1</x:v>
      </x:c>
      <x:c r="G2224" s="60" t="n">
        <x:v>0.0005846117</x:v>
      </x:c>
      <x:c r="H2224" s="60" t="n">
        <x:v>0.0005846117</x:v>
      </x:c>
      <x:c r="I2224" s="62" t="n">
        <x:v>0</x:v>
      </x:c>
      <x:c r="J2224" s="64" t="n">
        <x:v>1</x:v>
      </x:c>
      <x:c r="K2224" s="62" t="n">
        <x:v>1348.9628825916532</x:v>
      </x:c>
      <x:c r="L2224" s="60" t="n">
        <x:v>0.7886194840288068</x:v>
      </x:c>
      <x:c r="M2224" s="62" t="n">
        <x:v>4.13</x:v>
      </x:c>
      <x:c r="N2224" s="62" t="n">
        <x:v>1348.9628825916532</x:v>
      </x:c>
      <x:c r="O2224" s="60" t="n">
        <x:v>0.7886194840288068</x:v>
      </x:c>
      <x:c r="P2224" s="60" t="n">
        <x:v>0</x:v>
      </x:c>
      <x:c r="Q2224" s="62" t="n">
        <x:v>1</x:v>
      </x:c>
      <x:c r="R2224" s="64" t="n">
        <x:v>0</x:v>
      </x:c>
    </x:row>
    <x:row r="2225" ht="18" customHeight="1">
      <x:c r="A2225" s="46" t="str">
        <x:v>LME_063</x:v>
      </x:c>
      <x:c r="B2225" s="46" t="str">
        <x:v>Hudson Bay Complex</x:v>
      </x:c>
      <x:c r="C2225" s="46" t="str">
        <x:v>functional</x:v>
      </x:c>
      <x:c r="D2225" s="46" t="str">
        <x:v>Large bathypelagics (&gt;=90 cm)</x:v>
      </x:c>
      <x:c r="E2225" s="66" t="n">
        <x:v>1</x:v>
      </x:c>
      <x:c r="F2225" s="66" t="n">
        <x:v>1</x:v>
      </x:c>
      <x:c r="G2225" s="60" t="n">
        <x:v>0.0094043514</x:v>
      </x:c>
      <x:c r="H2225" s="60" t="n">
        <x:v>0.0094043514</x:v>
      </x:c>
      <x:c r="I2225" s="62" t="n">
        <x:v>0</x:v>
      </x:c>
      <x:c r="J2225" s="64" t="n">
        <x:v>1</x:v>
      </x:c>
      <x:c r="K2225" s="62" t="n">
        <x:v>933.2543007969915</x:v>
      </x:c>
      <x:c r="L2225" s="60" t="n">
        <x:v>8.776651390256209</x:v>
      </x:c>
      <x:c r="M2225" s="62" t="n">
        <x:v>3.97</x:v>
      </x:c>
      <x:c r="N2225" s="62" t="n">
        <x:v>933.2543007969915</x:v>
      </x:c>
      <x:c r="O2225" s="60" t="n">
        <x:v>8.776651390256209</x:v>
      </x:c>
      <x:c r="P2225" s="60" t="n">
        <x:v>0</x:v>
      </x:c>
      <x:c r="Q2225" s="62" t="n">
        <x:v>1</x:v>
      </x:c>
      <x:c r="R2225" s="64" t="n">
        <x:v>0</x:v>
      </x:c>
    </x:row>
    <x:row r="2226" ht="18" customHeight="1">
      <x:c r="A2226" s="46" t="str">
        <x:v>LME_063</x:v>
      </x:c>
      <x:c r="B2226" s="46" t="str">
        <x:v>Hudson Bay Complex</x:v>
      </x:c>
      <x:c r="C2226" s="46" t="str">
        <x:v>functional</x:v>
      </x:c>
      <x:c r="D2226" s="46" t="str">
        <x:v>Large benthopelagics (&gt;=90 cm)</x:v>
      </x:c>
      <x:c r="E2226" s="66" t="n">
        <x:v>5</x:v>
      </x:c>
      <x:c r="F2226" s="66" t="n">
        <x:v>5</x:v>
      </x:c>
      <x:c r="G2226" s="60" t="n">
        <x:v>69.63791194289999</x:v>
      </x:c>
      <x:c r="H2226" s="60" t="n">
        <x:v>69.63791194289999</x:v>
      </x:c>
      <x:c r="I2226" s="62" t="n">
        <x:v>0</x:v>
      </x:c>
      <x:c r="J2226" s="64" t="n">
        <x:v>1</x:v>
      </x:c>
      <x:c r="K2226" s="62" t="n">
        <x:v>2591.103511288661</x:v>
      </x:c>
      <x:c r="L2226" s="60" t="n">
        <x:v>180439.03815405877</x:v>
      </x:c>
      <x:c r="M2226" s="62" t="n">
        <x:v>4.367690683956293</x:v>
      </x:c>
      <x:c r="N2226" s="62" t="n">
        <x:v>2331.7967032883134</x:v>
      </x:c>
      <x:c r="O2226" s="60" t="n">
        <x:v>162381.45349233606</x:v>
      </x:c>
      <x:c r="P2226" s="60" t="n">
        <x:v>18057.584661722707</x:v>
      </x:c>
      <x:c r="Q2226" s="62" t="n">
        <x:v>1.111204723651368</x:v>
      </x:c>
      <x:c r="R2226" s="64" t="n">
        <x:v>0.11120472365136806</x:v>
      </x:c>
    </x:row>
    <x:row r="2227" ht="18" customHeight="1">
      <x:c r="A2227" s="46" t="str">
        <x:v>LME_063</x:v>
      </x:c>
      <x:c r="B2227" s="46" t="str">
        <x:v>Hudson Bay Complex</x:v>
      </x:c>
      <x:c r="C2227" s="46" t="str">
        <x:v>functional</x:v>
      </x:c>
      <x:c r="D2227" s="46" t="str">
        <x:v>Large demersals (&gt;=90 cm)</x:v>
      </x:c>
      <x:c r="E2227" s="66" t="n">
        <x:v>3</x:v>
      </x:c>
      <x:c r="F2227" s="66" t="n">
        <x:v>3</x:v>
      </x:c>
      <x:c r="G2227" s="60" t="n">
        <x:v>2.0691977862</x:v>
      </x:c>
      <x:c r="H2227" s="60" t="n">
        <x:v>2.0691977862</x:v>
      </x:c>
      <x:c r="I2227" s="62" t="n">
        <x:v>0</x:v>
      </x:c>
      <x:c r="J2227" s="64" t="n">
        <x:v>1</x:v>
      </x:c>
      <x:c r="K2227" s="62" t="n">
        <x:v>318.033040051003</x:v>
      </x:c>
      <x:c r="L2227" s="60" t="n">
        <x:v>658.0732624119914</x:v>
      </x:c>
      <x:c r="M2227" s="62" t="n">
        <x:v>3.4043109107140412</x:v>
      </x:c>
      <x:c r="N2227" s="62" t="n">
        <x:v>253.69441747609736</x:v>
      </x:c>
      <x:c r="O2227" s="60" t="n">
        <x:v>524.9439270128393</x:v>
      </x:c>
      <x:c r="P2227" s="60" t="n">
        <x:v>133.12933539915218</x:v>
      </x:c>
      <x:c r="Q2227" s="62" t="n">
        <x:v>1.2536067731209244</x:v>
      </x:c>
      <x:c r="R2227" s="64" t="n">
        <x:v>0.25360677312092433</x:v>
      </x:c>
    </x:row>
    <x:row r="2228" ht="18" customHeight="1">
      <x:c r="A2228" s="46" t="str">
        <x:v>LME_063</x:v>
      </x:c>
      <x:c r="B2228" s="46" t="str">
        <x:v>Hudson Bay Complex</x:v>
      </x:c>
      <x:c r="C2228" s="46" t="str">
        <x:v>functional</x:v>
      </x:c>
      <x:c r="D2228" s="46" t="str">
        <x:v>Large flatfishes (&gt;=90 cm)</x:v>
      </x:c>
      <x:c r="E2228" s="66" t="n">
        <x:v>1</x:v>
      </x:c>
      <x:c r="F2228" s="66" t="n">
        <x:v>1</x:v>
      </x:c>
      <x:c r="G2228" s="60" t="n">
        <x:v>0.24331082089999997</x:v>
      </x:c>
      <x:c r="H2228" s="60" t="n">
        <x:v>0.24331082089999997</x:v>
      </x:c>
      <x:c r="I2228" s="62" t="n">
        <x:v>0</x:v>
      </x:c>
      <x:c r="J2228" s="64" t="n">
        <x:v>1</x:v>
      </x:c>
      <x:c r="K2228" s="62" t="n">
        <x:v>1000</x:v>
      </x:c>
      <x:c r="L2228" s="60" t="n">
        <x:v>243.31082089999998</x:v>
      </x:c>
      <x:c r="M2228" s="62" t="n">
        <x:v>4</x:v>
      </x:c>
      <x:c r="N2228" s="62" t="n">
        <x:v>1000</x:v>
      </x:c>
      <x:c r="O2228" s="60" t="n">
        <x:v>243.31082089999998</x:v>
      </x:c>
      <x:c r="P2228" s="60" t="n">
        <x:v>0</x:v>
      </x:c>
      <x:c r="Q2228" s="62" t="n">
        <x:v>1</x:v>
      </x:c>
      <x:c r="R2228" s="64" t="n">
        <x:v>0</x:v>
      </x:c>
    </x:row>
    <x:row r="2229" ht="18" customHeight="1">
      <x:c r="A2229" s="46" t="str">
        <x:v>LME_063</x:v>
      </x:c>
      <x:c r="B2229" s="46" t="str">
        <x:v>Hudson Bay Complex</x:v>
      </x:c>
      <x:c r="C2229" s="46" t="str">
        <x:v>functional</x:v>
      </x:c>
      <x:c r="D2229" s="46" t="str">
        <x:v>Large rays (&gt;=90 cm)</x:v>
      </x:c>
      <x:c r="E2229" s="66" t="n">
        <x:v>1</x:v>
      </x:c>
      <x:c r="F2229" s="66" t="n">
        <x:v>1</x:v>
      </x:c>
      <x:c r="G2229" s="60" t="n">
        <x:v>0.0048500627</x:v>
      </x:c>
      <x:c r="H2229" s="60" t="n">
        <x:v>0.0048500627</x:v>
      </x:c>
      <x:c r="I2229" s="62" t="n">
        <x:v>0</x:v>
      </x:c>
      <x:c r="J2229" s="64" t="n">
        <x:v>1</x:v>
      </x:c>
      <x:c r="K2229" s="62" t="n">
        <x:v>660.6934480075957</x:v>
      </x:c>
      <x:c r="L2229" s="60" t="n">
        <x:v>3.2044046483160296</x:v>
      </x:c>
      <x:c r="M2229" s="62" t="n">
        <x:v>3.82</x:v>
      </x:c>
      <x:c r="N2229" s="62" t="n">
        <x:v>660.6934480075957</x:v>
      </x:c>
      <x:c r="O2229" s="60" t="n">
        <x:v>3.2044046483160296</x:v>
      </x:c>
      <x:c r="P2229" s="60" t="n">
        <x:v>0</x:v>
      </x:c>
      <x:c r="Q2229" s="62" t="n">
        <x:v>1</x:v>
      </x:c>
      <x:c r="R2229" s="64" t="n">
        <x:v>0</x:v>
      </x:c>
    </x:row>
    <x:row r="2230" ht="18" customHeight="1">
      <x:c r="A2230" s="46" t="str">
        <x:v>LME_063</x:v>
      </x:c>
      <x:c r="B2230" s="46" t="str">
        <x:v>Hudson Bay Complex</x:v>
      </x:c>
      <x:c r="C2230" s="46" t="str">
        <x:v>functional</x:v>
      </x:c>
      <x:c r="D2230" s="46" t="str">
        <x:v>Large reef assoc. fish (&gt;=90 cm)</x:v>
      </x:c>
      <x:c r="E2230" s="66" t="n">
        <x:v>4</x:v>
      </x:c>
      <x:c r="F2230" s="66" t="n">
        <x:v>4</x:v>
      </x:c>
      <x:c r="G2230" s="60" t="n">
        <x:v>1.8939543184</x:v>
      </x:c>
      <x:c r="H2230" s="60" t="n">
        <x:v>1.8939543184</x:v>
      </x:c>
      <x:c r="I2230" s="62" t="n">
        <x:v>0</x:v>
      </x:c>
      <x:c r="J2230" s="64" t="n">
        <x:v>1</x:v>
      </x:c>
      <x:c r="K2230" s="62" t="n">
        <x:v>597.4403079014397</x:v>
      </x:c>
      <x:c r="L2230" s="60" t="n">
        <x:v>1131.5246511361574</x:v>
      </x:c>
      <x:c r="M2230" s="62" t="n">
        <x:v>3.774953306701676</x:v>
      </x:c>
      <x:c r="N2230" s="62" t="n">
        <x:v>595.5981041819866</x:v>
      </x:c>
      <x:c r="O2230" s="60" t="n">
        <x:v>1128.0356014463266</x:v>
      </x:c>
      <x:c r="P2230" s="60" t="n">
        <x:v>3.4890496898308356</x:v>
      </x:c>
      <x:c r="Q2230" s="62" t="n">
        <x:v>1.0030930315367328</x:v>
      </x:c>
      <x:c r="R2230" s="64" t="n">
        <x:v>0.0030930315367327962</x:v>
      </x:c>
    </x:row>
    <x:row r="2231" ht="18" customHeight="1">
      <x:c r="A2231" s="46" t="str">
        <x:v>LME_063</x:v>
      </x:c>
      <x:c r="B2231" s="46" t="str">
        <x:v>Hudson Bay Complex</x:v>
      </x:c>
      <x:c r="C2231" s="46" t="str">
        <x:v>functional</x:v>
      </x:c>
      <x:c r="D2231" s="46" t="str">
        <x:v>Large sharks (&gt;=90 cm)</x:v>
      </x:c>
      <x:c r="E2231" s="66" t="n">
        <x:v>2</x:v>
      </x:c>
      <x:c r="F2231" s="66" t="n">
        <x:v>2</x:v>
      </x:c>
      <x:c r="G2231" s="60" t="n">
        <x:v>2.89193991</x:v>
      </x:c>
      <x:c r="H2231" s="60" t="n">
        <x:v>2.89193991</x:v>
      </x:c>
      <x:c r="I2231" s="62" t="n">
        <x:v>0</x:v>
      </x:c>
      <x:c r="J2231" s="64" t="n">
        <x:v>1</x:v>
      </x:c>
      <x:c r="K2231" s="62" t="n">
        <x:v>1698.1982923348862</x:v>
      </x:c>
      <x:c r="L2231" s="60" t="n">
        <x:v>4911.087416697104</x:v>
      </x:c>
      <x:c r="M2231" s="62" t="n">
        <x:v>4.229985830500192</x:v>
      </x:c>
      <x:c r="N2231" s="62" t="n">
        <x:v>1698.1882456546948</x:v>
      </x:c>
      <x:c r="O2231" s="60" t="n">
        <x:v>4911.058362301696</x:v>
      </x:c>
      <x:c r="P2231" s="60" t="n">
        <x:v>0.029054395407911215</x:v>
      </x:c>
      <x:c r="Q2231" s="62" t="n">
        <x:v>1.0000059161169068</x:v>
      </x:c>
      <x:c r="R2231" s="64" t="n">
        <x:v>0.000005916116906884835</x:v>
      </x:c>
    </x:row>
    <x:row r="2232" ht="18" customHeight="1">
      <x:c r="A2232" s="46" t="str">
        <x:v>LME_063</x:v>
      </x:c>
      <x:c r="B2232" s="46" t="str">
        <x:v>Hudson Bay Complex</x:v>
      </x:c>
      <x:c r="C2232" s="46" t="str">
        <x:v>functional</x:v>
      </x:c>
      <x:c r="D2232" s="46" t="str">
        <x:v>Lobsters, crabs</x:v>
      </x:c>
      <x:c r="E2232" s="66" t="n">
        <x:v>2</x:v>
      </x:c>
      <x:c r="F2232" s="66" t="n">
        <x:v>2</x:v>
      </x:c>
      <x:c r="G2232" s="60" t="n">
        <x:v>0.0395056698</x:v>
      </x:c>
      <x:c r="H2232" s="60" t="n">
        <x:v>0.0395056698</x:v>
      </x:c>
      <x:c r="I2232" s="62" t="n">
        <x:v>0</x:v>
      </x:c>
      <x:c r="J2232" s="64" t="n">
        <x:v>1</x:v>
      </x:c>
      <x:c r="K2232" s="62" t="n">
        <x:v>37.478386850636376</x:v>
      </x:c>
      <x:c r="L2232" s="60" t="n">
        <x:v>1.4806087755579025</x:v>
      </x:c>
      <x:c r="M2232" s="62" t="n">
        <x:v>2.564765044181076</x:v>
      </x:c>
      <x:c r="N2232" s="62" t="n">
        <x:v>36.7083652395434</x:v>
      </x:c>
      <x:c r="O2232" s="60" t="n">
        <x:v>1.4501885560511993</x:v>
      </x:c>
      <x:c r="P2232" s="60" t="n">
        <x:v>0.03042021950670315</x:v>
      </x:c>
      <x:c r="Q2232" s="62" t="n">
        <x:v>1.0209767339424716</x:v>
      </x:c>
      <x:c r="R2232" s="64" t="n">
        <x:v>0.020976733942471654</x:v>
      </x:c>
    </x:row>
    <x:row r="2233" ht="18" customHeight="1">
      <x:c r="A2233" s="46" t="str">
        <x:v>LME_063</x:v>
      </x:c>
      <x:c r="B2233" s="46" t="str">
        <x:v>Hudson Bay Complex</x:v>
      </x:c>
      <x:c r="C2233" s="46" t="str">
        <x:v>functional</x:v>
      </x:c>
      <x:c r="D2233" s="46" t="str">
        <x:v>Medium bathydemersals (30 - 89 cm)</x:v>
      </x:c>
      <x:c r="E2233" s="66" t="n">
        <x:v>1</x:v>
      </x:c>
      <x:c r="F2233" s="66" t="n">
        <x:v>1</x:v>
      </x:c>
      <x:c r="G2233" s="60" t="n">
        <x:v>0.1786781827</x:v>
      </x:c>
      <x:c r="H2233" s="60" t="n">
        <x:v>0.1786781827</x:v>
      </x:c>
      <x:c r="I2233" s="62" t="n">
        <x:v>0</x:v>
      </x:c>
      <x:c r="J2233" s="64" t="n">
        <x:v>1</x:v>
      </x:c>
      <x:c r="K2233" s="62" t="n">
        <x:v>199.52623149688787</x:v>
      </x:c>
      <x:c r="L2233" s="60" t="n">
        <x:v>35.650984444843424</x:v>
      </x:c>
      <x:c r="M2233" s="62" t="n">
        <x:v>3.2999999999999994</x:v>
      </x:c>
      <x:c r="N2233" s="62" t="n">
        <x:v>199.52623149688768</x:v>
      </x:c>
      <x:c r="O2233" s="60" t="n">
        <x:v>35.65098444484339</x:v>
      </x:c>
      <x:c r="P2233" s="60" t="n">
        <x:v>3.552713678800501e-14</x:v>
      </x:c>
      <x:c r="Q2233" s="62" t="n">
        <x:v>1.0000000000000009</x:v>
      </x:c>
      <x:c r="R2233" s="64" t="n">
        <x:v>9.965261083595043e-16</x:v>
      </x:c>
    </x:row>
    <x:row r="2234" ht="18" customHeight="1">
      <x:c r="A2234" s="46" t="str">
        <x:v>LME_063</x:v>
      </x:c>
      <x:c r="B2234" s="46" t="str">
        <x:v>Hudson Bay Complex</x:v>
      </x:c>
      <x:c r="C2234" s="46" t="str">
        <x:v>functional</x:v>
      </x:c>
      <x:c r="D2234" s="46" t="str">
        <x:v>Medium benthopelagics (30 - 89 cm)</x:v>
      </x:c>
      <x:c r="E2234" s="66" t="n">
        <x:v>2</x:v>
      </x:c>
      <x:c r="F2234" s="66" t="n">
        <x:v>2</x:v>
      </x:c>
      <x:c r="G2234" s="60" t="n">
        <x:v>775.2321393749</x:v>
      </x:c>
      <x:c r="H2234" s="60" t="n">
        <x:v>775.2321393749</x:v>
      </x:c>
      <x:c r="I2234" s="62" t="n">
        <x:v>0</x:v>
      </x:c>
      <x:c r="J2234" s="64" t="n">
        <x:v>1</x:v>
      </x:c>
      <x:c r="K2234" s="62" t="n">
        <x:v>2453.648473206771</x:v>
      </x:c>
      <x:c r="L2234" s="60" t="n">
        <x:v>1902147.1551580422</x:v>
      </x:c>
      <x:c r="M2234" s="62" t="n">
        <x:v>4.389684102885494</x:v>
      </x:c>
      <x:c r="N2234" s="62" t="n">
        <x:v>2452.924058759684</x:v>
      </x:c>
      <x:c r="O2234" s="60" t="n">
        <x:v>1901585.565796433</x:v>
      </x:c>
      <x:c r="P2234" s="60" t="n">
        <x:v>561.5893616091926</x:v>
      </x:c>
      <x:c r="Q2234" s="62" t="n">
        <x:v>1.0002953268954657</x:v>
      </x:c>
      <x:c r="R2234" s="64" t="n">
        <x:v>0.00029532689546577645</x:v>
      </x:c>
    </x:row>
    <x:row r="2235" ht="18" customHeight="1">
      <x:c r="A2235" s="46" t="str">
        <x:v>LME_063</x:v>
      </x:c>
      <x:c r="B2235" s="46" t="str">
        <x:v>Hudson Bay Complex</x:v>
      </x:c>
      <x:c r="C2235" s="46" t="str">
        <x:v>functional</x:v>
      </x:c>
      <x:c r="D2235" s="46" t="str">
        <x:v>Medium demersals (30 - 89 cm)</x:v>
      </x:c>
      <x:c r="E2235" s="66" t="n">
        <x:v>6</x:v>
      </x:c>
      <x:c r="F2235" s="66" t="n">
        <x:v>6</x:v>
      </x:c>
      <x:c r="G2235" s="60" t="n">
        <x:v>70.88257152060001</x:v>
      </x:c>
      <x:c r="H2235" s="60" t="n">
        <x:v>70.88257152060001</x:v>
      </x:c>
      <x:c r="I2235" s="62" t="n">
        <x:v>0</x:v>
      </x:c>
      <x:c r="J2235" s="64" t="n">
        <x:v>1</x:v>
      </x:c>
      <x:c r="K2235" s="62" t="n">
        <x:v>482.00617481224293</x:v>
      </x:c>
      <x:c r="L2235" s="60" t="n">
        <x:v>34165.83715949964</x:v>
      </x:c>
      <x:c r="M2235" s="62" t="n">
        <x:v>3.632195301341414</x:v>
      </x:c>
      <x:c r="N2235" s="62" t="n">
        <x:v>428.74128113050654</x:v>
      </x:c>
      <x:c r="O2235" s="60" t="n">
        <x:v>30390.284523566806</x:v>
      </x:c>
      <x:c r="P2235" s="60" t="n">
        <x:v>3775.552635932836</x:v>
      </x:c>
      <x:c r="Q2235" s="62" t="n">
        <x:v>1.1242355145771998</x:v>
      </x:c>
      <x:c r="R2235" s="64" t="n">
        <x:v>0.12423551457719988</x:v>
      </x:c>
    </x:row>
    <x:row r="2236" ht="18" customHeight="1">
      <x:c r="A2236" s="46" t="str">
        <x:v>LME_063</x:v>
      </x:c>
      <x:c r="B2236" s="46" t="str">
        <x:v>Hudson Bay Complex</x:v>
      </x:c>
      <x:c r="C2236" s="46" t="str">
        <x:v>functional</x:v>
      </x:c>
      <x:c r="D2236" s="46" t="str">
        <x:v>Medium pelagics (30 - 89 cm)</x:v>
      </x:c>
      <x:c r="E2236" s="66" t="n">
        <x:v>3</x:v>
      </x:c>
      <x:c r="F2236" s="66" t="n">
        <x:v>3</x:v>
      </x:c>
      <x:c r="G2236" s="60" t="n">
        <x:v>14.8511830984</x:v>
      </x:c>
      <x:c r="H2236" s="60" t="n">
        <x:v>14.8511830984</x:v>
      </x:c>
      <x:c r="I2236" s="62" t="n">
        <x:v>0</x:v>
      </x:c>
      <x:c r="J2236" s="64" t="n">
        <x:v>1</x:v>
      </x:c>
      <x:c r="K2236" s="62" t="n">
        <x:v>200.2329887572617</x:v>
      </x:c>
      <x:c r="L2236" s="60" t="n">
        <x:v>2973.696778373962</x:v>
      </x:c>
      <x:c r="M2236" s="62" t="n">
        <x:v>3.3009773443828565</x:v>
      </x:c>
      <x:c r="N2236" s="62" t="n">
        <x:v>199.97575465870128</x:v>
      </x:c>
      <x:c r="O2236" s="60" t="n">
        <x:v>2969.8765476770895</x:v>
      </x:c>
      <x:c r="P2236" s="60" t="n">
        <x:v>3.820230696872386</x:v>
      </x:c>
      <x:c r="Q2236" s="62" t="n">
        <x:v>1.0012863264299185</x:v>
      </x:c>
      <x:c r="R2236" s="64" t="n">
        <x:v>0.0012863264299185794</x:v>
      </x:c>
    </x:row>
    <x:row r="2237" ht="18" customHeight="1">
      <x:c r="A2237" s="46" t="str">
        <x:v>LME_063</x:v>
      </x:c>
      <x:c r="B2237" s="46" t="str">
        <x:v>Hudson Bay Complex</x:v>
      </x:c>
      <x:c r="C2237" s="46" t="str">
        <x:v>functional</x:v>
      </x:c>
      <x:c r="D2237" s="46" t="str">
        <x:v>Other demersal invertebrates</x:v>
      </x:c>
      <x:c r="E2237" s="66" t="n">
        <x:v>5</x:v>
      </x:c>
      <x:c r="F2237" s="66" t="n">
        <x:v>5</x:v>
      </x:c>
      <x:c r="G2237" s="60" t="n">
        <x:v>0.4996566994</x:v>
      </x:c>
      <x:c r="H2237" s="60" t="n">
        <x:v>0.4996566994</x:v>
      </x:c>
      <x:c r="I2237" s="62" t="n">
        <x:v>0</x:v>
      </x:c>
      <x:c r="J2237" s="64" t="n">
        <x:v>1</x:v>
      </x:c>
      <x:c r="K2237" s="62" t="n">
        <x:v>19.674597597262245</x:v>
      </x:c>
      <x:c r="L2237" s="60" t="n">
        <x:v>9.830544497471225</x:v>
      </x:c>
      <x:c r="M2237" s="62" t="n">
        <x:v>2.121652610456323</x:v>
      </x:c>
      <x:c r="N2237" s="62" t="n">
        <x:v>13.23282625930966</x:v>
      </x:c>
      <x:c r="O2237" s="60" t="n">
        <x:v>6.611870292460313</x:v>
      </x:c>
      <x:c r="P2237" s="60" t="n">
        <x:v>3.2186742050109114</x:v>
      </x:c>
      <x:c r="Q2237" s="62" t="n">
        <x:v>1.4868023815714064</x:v>
      </x:c>
      <x:c r="R2237" s="64" t="n">
        <x:v>0.4868023815714063</x:v>
      </x:c>
    </x:row>
    <x:row r="2238" ht="18" customHeight="1">
      <x:c r="A2238" s="46" t="str">
        <x:v>LME_063</x:v>
      </x:c>
      <x:c r="B2238" s="46" t="str">
        <x:v>Hudson Bay Complex</x:v>
      </x:c>
      <x:c r="C2238" s="46" t="str">
        <x:v>functional</x:v>
      </x:c>
      <x:c r="D2238" s="46" t="str">
        <x:v>Shrimps</x:v>
      </x:c>
      <x:c r="E2238" s="66" t="n">
        <x:v>1</x:v>
      </x:c>
      <x:c r="F2238" s="66" t="n">
        <x:v>1</x:v>
      </x:c>
      <x:c r="G2238" s="60" t="n">
        <x:v>0.000015665</x:v>
      </x:c>
      <x:c r="H2238" s="60" t="n">
        <x:v>0.000015665</x:v>
      </x:c>
      <x:c r="I2238" s="62" t="n">
        <x:v>0</x:v>
      </x:c>
      <x:c r="J2238" s="64" t="n">
        <x:v>1</x:v>
      </x:c>
      <x:c r="K2238" s="62" t="n">
        <x:v>50.11872336272725</x:v>
      </x:c>
      <x:c r="L2238" s="60" t="n">
        <x:v>0.0007851098014771224</x:v>
      </x:c>
      <x:c r="M2238" s="62" t="n">
        <x:v>2.7</x:v>
      </x:c>
      <x:c r="N2238" s="62" t="n">
        <x:v>50.11872336272725</x:v>
      </x:c>
      <x:c r="O2238" s="60" t="n">
        <x:v>0.0007851098014771224</x:v>
      </x:c>
      <x:c r="P2238" s="60" t="n">
        <x:v>0</x:v>
      </x:c>
      <x:c r="Q2238" s="62" t="n">
        <x:v>1</x:v>
      </x:c>
      <x:c r="R2238" s="64" t="n">
        <x:v>0</x:v>
      </x:c>
    </x:row>
    <x:row r="2239" ht="18" customHeight="1">
      <x:c r="A2239" s="46" t="str">
        <x:v>LME_063</x:v>
      </x:c>
      <x:c r="B2239" s="46" t="str">
        <x:v>Hudson Bay Complex</x:v>
      </x:c>
      <x:c r="C2239" s="46" t="str">
        <x:v>functional</x:v>
      </x:c>
      <x:c r="D2239" s="46" t="str">
        <x:v>Small pelagics (&lt;30 cm)</x:v>
      </x:c>
      <x:c r="E2239" s="66" t="n">
        <x:v>3</x:v>
      </x:c>
      <x:c r="F2239" s="66" t="n">
        <x:v>3</x:v>
      </x:c>
      <x:c r="G2239" s="60" t="n">
        <x:v>0.4659284375</x:v>
      </x:c>
      <x:c r="H2239" s="60" t="n">
        <x:v>0.4659284375</x:v>
      </x:c>
      <x:c r="I2239" s="62" t="n">
        <x:v>0</x:v>
      </x:c>
      <x:c r="J2239" s="64" t="n">
        <x:v>1</x:v>
      </x:c>
      <x:c r="K2239" s="62" t="n">
        <x:v>135.979573868199</x:v>
      </x:c>
      <x:c r="L2239" s="60" t="n">
        <x:v>63.35675038432579</x:v>
      </x:c>
      <x:c r="M2239" s="62" t="n">
        <x:v>3.1307536862503693</x:v>
      </x:c>
      <x:c r="N2239" s="62" t="n">
        <x:v>135.1305941344333</x:v>
      </x:c>
      <x:c r="O2239" s="60" t="n">
        <x:v>62.96118658350317</x:v>
      </x:c>
      <x:c r="P2239" s="60" t="n">
        <x:v>0.39556380082262166</x:v>
      </x:c>
      <x:c r="Q2239" s="62" t="n">
        <x:v>1.0062826611486746</x:v>
      </x:c>
      <x:c r="R2239" s="64" t="n">
        <x:v>0.006282661148674502</x:v>
      </x:c>
    </x:row>
    <x:row r="2240" ht="18" customHeight="1">
      <x:c r="A2240" s="46" t="str">
        <x:v>LME_063</x:v>
      </x:c>
      <x:c r="B2240" s="46" t="str">
        <x:v>Hudson Bay Complex</x:v>
      </x:c>
      <x:c r="C2240" s="46" t="str">
        <x:v>functional</x:v>
      </x:c>
      <x:c r="D2240" s="46" t="str">
        <x:v>Small to medium flatfishes (&lt;90 cm)</x:v>
      </x:c>
      <x:c r="E2240" s="66" t="n">
        <x:v>2</x:v>
      </x:c>
      <x:c r="F2240" s="66" t="n">
        <x:v>2</x:v>
      </x:c>
      <x:c r="G2240" s="60" t="n">
        <x:v>330.65858528719997</x:v>
      </x:c>
      <x:c r="H2240" s="60" t="n">
        <x:v>330.65858528719997</x:v>
      </x:c>
      <x:c r="I2240" s="62" t="n">
        <x:v>0</x:v>
      </x:c>
      <x:c r="J2240" s="64" t="n">
        <x:v>1</x:v>
      </x:c>
      <x:c r="K2240" s="62" t="n">
        <x:v>2398.00888046086</x:v>
      </x:c>
      <x:c r="L2240" s="60" t="n">
        <x:v>792922.2239193302</x:v>
      </x:c>
      <x:c r="M2240" s="62" t="n">
        <x:v>4.379557031909406</x:v>
      </x:c>
      <x:c r="N2240" s="62" t="n">
        <x:v>2396.387424655672</x:v>
      </x:c>
      <x:c r="O2240" s="60" t="n">
        <x:v>792386.075636681</x:v>
      </x:c>
      <x:c r="P2240" s="60" t="n">
        <x:v>536.1482826491119</x:v>
      </x:c>
      <x:c r="Q2240" s="62" t="n">
        <x:v>1.000676625068428</x:v>
      </x:c>
      <x:c r="R2240" s="64" t="n">
        <x:v>0.0006766250684280609</x:v>
      </x:c>
    </x:row>
    <x:row r="2241" ht="18" customHeight="1">
      <x:c r="A2241" s="46" t="str">
        <x:v>LME_063</x:v>
      </x:c>
      <x:c r="B2241" s="46" t="str">
        <x:v>Hudson Bay Complex</x:v>
      </x:c>
      <x:c r="C2241" s="46" t="str">
        <x:v>functional</x:v>
      </x:c>
      <x:c r="D2241" s="46" t="str">
        <x:v>Small to medium sharks (&lt;90 cm)</x:v>
      </x:c>
      <x:c r="E2241" s="66" t="n">
        <x:v>1</x:v>
      </x:c>
      <x:c r="F2241" s="66" t="n">
        <x:v>1</x:v>
      </x:c>
      <x:c r="G2241" s="60" t="n">
        <x:v>0.1762128683</x:v>
      </x:c>
      <x:c r="H2241" s="60" t="n">
        <x:v>0.1762128683</x:v>
      </x:c>
      <x:c r="I2241" s="62" t="n">
        <x:v>0</x:v>
      </x:c>
      <x:c r="J2241" s="64" t="n">
        <x:v>1</x:v>
      </x:c>
      <x:c r="K2241" s="62" t="n">
        <x:v>691.8309709189363</x:v>
      </x:c>
      <x:c r="L2241" s="60" t="n">
        <x:v>121.90951976439963</x:v>
      </x:c>
      <x:c r="M2241" s="62" t="n">
        <x:v>3.8400000000000003</x:v>
      </x:c>
      <x:c r="N2241" s="62" t="n">
        <x:v>691.8309709189369</x:v>
      </x:c>
      <x:c r="O2241" s="60" t="n">
        <x:v>121.90951976439976</x:v>
      </x:c>
      <x:c r="P2241" s="60" t="n">
        <x:v>-1.2789769243681803e-13</x:v>
      </x:c>
      <x:c r="Q2241" s="62" t="n">
        <x:v>0.999999999999999</x:v>
      </x:c>
      <x:c r="R2241" s="64" t="n">
        <x:v>-1.049119811840707e-15</x:v>
      </x:c>
    </x:row>
    <x:row r="2242" ht="18" customHeight="1">
      <x:c r="A2242" s="46" t="str">
        <x:v>LME_065</x:v>
      </x:c>
      <x:c r="B2242" s="46" t="str">
        <x:v>Aleutian Islands</x:v>
      </x:c>
      <x:c r="C2242" s="46" t="str">
        <x:v>functional</x:v>
      </x:c>
      <x:c r="D2242" s="46" t="str">
        <x:v>Cephalopods</x:v>
      </x:c>
      <x:c r="E2242" s="66" t="n">
        <x:v>3</x:v>
      </x:c>
      <x:c r="F2242" s="66" t="n">
        <x:v>3</x:v>
      </x:c>
      <x:c r="G2242" s="60" t="n">
        <x:v>234.0693968463</x:v>
      </x:c>
      <x:c r="H2242" s="60" t="n">
        <x:v>234.0693968463</x:v>
      </x:c>
      <x:c r="I2242" s="62" t="n">
        <x:v>0</x:v>
      </x:c>
      <x:c r="J2242" s="64" t="n">
        <x:v>1</x:v>
      </x:c>
      <x:c r="K2242" s="62" t="n">
        <x:v>927.8922862228226</x:v>
      </x:c>
      <x:c r="L2242" s="60" t="n">
        <x:v>217191.18777451044</x:v>
      </x:c>
      <x:c r="M2242" s="62" t="n">
        <x:v>3.892630342319087</x:v>
      </x:c>
      <x:c r="N2242" s="62" t="n">
        <x:v>780.9627908650064</x:v>
      </x:c>
      <x:c r="O2242" s="60" t="n">
        <x:v>182799.48941717518</x:v>
      </x:c>
      <x:c r="P2242" s="60" t="n">
        <x:v>34391.69835733526</x:v>
      </x:c>
      <x:c r="Q2242" s="62" t="n">
        <x:v>1.1881389191347704</x:v>
      </x:c>
      <x:c r="R2242" s="64" t="n">
        <x:v>0.18813891913477054</x:v>
      </x:c>
    </x:row>
    <x:row r="2243" ht="18" customHeight="1">
      <x:c r="A2243" s="46" t="str">
        <x:v>LME_065</x:v>
      </x:c>
      <x:c r="B2243" s="46" t="str">
        <x:v>Aleutian Islands</x:v>
      </x:c>
      <x:c r="C2243" s="46" t="str">
        <x:v>functional</x:v>
      </x:c>
      <x:c r="D2243" s="46" t="str">
        <x:v>Large bathydemersals (&gt;=90 cm)</x:v>
      </x:c>
      <x:c r="E2243" s="66" t="n">
        <x:v>1</x:v>
      </x:c>
      <x:c r="F2243" s="66" t="n">
        <x:v>1</x:v>
      </x:c>
      <x:c r="G2243" s="60" t="n">
        <x:v>864.0181941010001</x:v>
      </x:c>
      <x:c r="H2243" s="60" t="n">
        <x:v>864.0181941010001</x:v>
      </x:c>
      <x:c r="I2243" s="62" t="n">
        <x:v>0</x:v>
      </x:c>
      <x:c r="J2243" s="64" t="n">
        <x:v>1</x:v>
      </x:c>
      <x:c r="K2243" s="62" t="n">
        <x:v>691.8309709189363</x:v>
      </x:c>
      <x:c r="L2243" s="60" t="n">
        <x:v>597754.5461165208</x:v>
      </x:c>
      <x:c r="M2243" s="62" t="n">
        <x:v>3.84</x:v>
      </x:c>
      <x:c r="N2243" s="62" t="n">
        <x:v>691.8309709189363</x:v>
      </x:c>
      <x:c r="O2243" s="60" t="n">
        <x:v>597754.5461165208</x:v>
      </x:c>
      <x:c r="P2243" s="60" t="n">
        <x:v>0</x:v>
      </x:c>
      <x:c r="Q2243" s="62" t="n">
        <x:v>1</x:v>
      </x:c>
      <x:c r="R2243" s="64" t="n">
        <x:v>0</x:v>
      </x:c>
    </x:row>
    <x:row r="2244" ht="18" customHeight="1">
      <x:c r="A2244" s="46" t="str">
        <x:v>LME_065</x:v>
      </x:c>
      <x:c r="B2244" s="46" t="str">
        <x:v>Aleutian Islands</x:v>
      </x:c>
      <x:c r="C2244" s="46" t="str">
        <x:v>functional</x:v>
      </x:c>
      <x:c r="D2244" s="46" t="str">
        <x:v>Large benthopelagics (&gt;=90 cm)</x:v>
      </x:c>
      <x:c r="E2244" s="66" t="n">
        <x:v>6</x:v>
      </x:c>
      <x:c r="F2244" s="66" t="n">
        <x:v>6</x:v>
      </x:c>
      <x:c r="G2244" s="60" t="n">
        <x:v>1714.7434603232998</x:v>
      </x:c>
      <x:c r="H2244" s="60" t="n">
        <x:v>1714.7434603232998</x:v>
      </x:c>
      <x:c r="I2244" s="62" t="n">
        <x:v>0</x:v>
      </x:c>
      <x:c r="J2244" s="64" t="n">
        <x:v>1</x:v>
      </x:c>
      <x:c r="K2244" s="62" t="n">
        <x:v>656.6103776698282</x:v>
      </x:c>
      <x:c r="L2244" s="60" t="n">
        <x:v>1125918.35108975</x:v>
      </x:c>
      <x:c r="M2244" s="62" t="n">
        <x:v>3.776009451149657</x:v>
      </x:c>
      <x:c r="N2244" s="62" t="n">
        <x:v>597.0482794526797</x:v>
      </x:c>
      <x:c r="O2244" s="60" t="n">
        <x:v>1023784.6326887605</x:v>
      </x:c>
      <x:c r="P2244" s="60" t="n">
        <x:v>102133.71840098943</x:v>
      </x:c>
      <x:c r="Q2244" s="62" t="n">
        <x:v>1.0997609410611646</x:v>
      </x:c>
      <x:c r="R2244" s="64" t="n">
        <x:v>0.09976094106116454</x:v>
      </x:c>
    </x:row>
    <x:row r="2245" ht="18" customHeight="1">
      <x:c r="A2245" s="46" t="str">
        <x:v>LME_065</x:v>
      </x:c>
      <x:c r="B2245" s="46" t="str">
        <x:v>Aleutian Islands</x:v>
      </x:c>
      <x:c r="C2245" s="46" t="str">
        <x:v>functional</x:v>
      </x:c>
      <x:c r="D2245" s="46" t="str">
        <x:v>Large demersals (&gt;=90 cm)</x:v>
      </x:c>
      <x:c r="E2245" s="66" t="n">
        <x:v>4</x:v>
      </x:c>
      <x:c r="F2245" s="66" t="n">
        <x:v>4</x:v>
      </x:c>
      <x:c r="G2245" s="60" t="n">
        <x:v>15098.782689014199</x:v>
      </x:c>
      <x:c r="H2245" s="60" t="n">
        <x:v>15098.782689014199</x:v>
      </x:c>
      <x:c r="I2245" s="62" t="n">
        <x:v>0</x:v>
      </x:c>
      <x:c r="J2245" s="64" t="n">
        <x:v>1</x:v>
      </x:c>
      <x:c r="K2245" s="62" t="n">
        <x:v>1452.27842389693</x:v>
      </x:c>
      <x:c r="L2245" s="60" t="n">
        <x:v>21927636.32636379</x:v>
      </x:c>
      <x:c r="M2245" s="62" t="n">
        <x:v>4.161894714988897</x:v>
      </x:c>
      <x:c r="N2245" s="62" t="n">
        <x:v>1451.759628180099</x:v>
      </x:c>
      <x:c r="O2245" s="60" t="n">
        <x:v>21919803.14257537</x:v>
      </x:c>
      <x:c r="P2245" s="60" t="n">
        <x:v>7833.183788422495</x:v>
      </x:c>
      <x:c r="Q2245" s="62" t="n">
        <x:v>1.0003573564843384</x:v>
      </x:c>
      <x:c r="R2245" s="64" t="n">
        <x:v>0.00035735648433848894</x:v>
      </x:c>
    </x:row>
    <x:row r="2246" ht="18" customHeight="1">
      <x:c r="A2246" s="46" t="str">
        <x:v>LME_065</x:v>
      </x:c>
      <x:c r="B2246" s="46" t="str">
        <x:v>Aleutian Islands</x:v>
      </x:c>
      <x:c r="C2246" s="46" t="str">
        <x:v>functional</x:v>
      </x:c>
      <x:c r="D2246" s="46" t="str">
        <x:v>Large flatfishes (&gt;=90 cm)</x:v>
      </x:c>
      <x:c r="E2246" s="66" t="n">
        <x:v>2</x:v>
      </x:c>
      <x:c r="F2246" s="66" t="n">
        <x:v>2</x:v>
      </x:c>
      <x:c r="G2246" s="60" t="n">
        <x:v>438.6943805188</x:v>
      </x:c>
      <x:c r="H2246" s="60" t="n">
        <x:v>438.6943805188</x:v>
      </x:c>
      <x:c r="I2246" s="62" t="n">
        <x:v>0</x:v>
      </x:c>
      <x:c r="J2246" s="64" t="n">
        <x:v>1</x:v>
      </x:c>
      <x:c r="K2246" s="62" t="n">
        <x:v>1520.6090421865952</x:v>
      </x:c>
      <x:c r="L2246" s="60" t="n">
        <x:v>667082.6417733342</x:v>
      </x:c>
      <x:c r="M2246" s="62" t="n">
        <x:v>4.1764884783251555</x:v>
      </x:c>
      <x:c r="N2246" s="62" t="n">
        <x:v>1501.3725743567702</x:v>
      </x:c>
      <x:c r="O2246" s="60" t="n">
        <x:v>658643.7114353593</x:v>
      </x:c>
      <x:c r="P2246" s="60" t="n">
        <x:v>8438.930337974918</x:v>
      </x:c>
      <x:c r="Q2246" s="62" t="n">
        <x:v>1.0128125877336387</x:v>
      </x:c>
      <x:c r="R2246" s="64" t="n">
        <x:v>0.012812587733638648</x:v>
      </x:c>
    </x:row>
    <x:row r="2247" ht="18" customHeight="1">
      <x:c r="A2247" s="46" t="str">
        <x:v>LME_065</x:v>
      </x:c>
      <x:c r="B2247" s="46" t="str">
        <x:v>Aleutian Islands</x:v>
      </x:c>
      <x:c r="C2247" s="46" t="str">
        <x:v>functional</x:v>
      </x:c>
      <x:c r="D2247" s="46" t="str">
        <x:v>Large rays (&gt;=90 cm)</x:v>
      </x:c>
      <x:c r="E2247" s="66" t="n">
        <x:v>1</x:v>
      </x:c>
      <x:c r="F2247" s="66" t="n">
        <x:v>1</x:v>
      </x:c>
      <x:c r="G2247" s="60" t="n">
        <x:v>482.2877997074</x:v>
      </x:c>
      <x:c r="H2247" s="60" t="n">
        <x:v>482.2877997074</x:v>
      </x:c>
      <x:c r="I2247" s="62" t="n">
        <x:v>0</x:v>
      </x:c>
      <x:c r="J2247" s="64" t="n">
        <x:v>1</x:v>
      </x:c>
      <x:c r="K2247" s="62" t="n">
        <x:v>660.6934480075957</x:v>
      </x:c>
      <x:c r="L2247" s="60" t="n">
        <x:v>318644.38932067883</x:v>
      </x:c>
      <x:c r="M2247" s="62" t="n">
        <x:v>3.82</x:v>
      </x:c>
      <x:c r="N2247" s="62" t="n">
        <x:v>660.6934480075957</x:v>
      </x:c>
      <x:c r="O2247" s="60" t="n">
        <x:v>318644.38932067883</x:v>
      </x:c>
      <x:c r="P2247" s="60" t="n">
        <x:v>0</x:v>
      </x:c>
      <x:c r="Q2247" s="62" t="n">
        <x:v>1</x:v>
      </x:c>
      <x:c r="R2247" s="64" t="n">
        <x:v>0</x:v>
      </x:c>
    </x:row>
    <x:row r="2248" ht="18" customHeight="1">
      <x:c r="A2248" s="46" t="str">
        <x:v>LME_065</x:v>
      </x:c>
      <x:c r="B2248" s="46" t="str">
        <x:v>Aleutian Islands</x:v>
      </x:c>
      <x:c r="C2248" s="46" t="str">
        <x:v>functional</x:v>
      </x:c>
      <x:c r="D2248" s="46" t="str">
        <x:v>Large reef assoc. fish (&gt;=90 cm)</x:v>
      </x:c>
      <x:c r="E2248" s="66" t="n">
        <x:v>2</x:v>
      </x:c>
      <x:c r="F2248" s="66" t="n">
        <x:v>2</x:v>
      </x:c>
      <x:c r="G2248" s="60" t="n">
        <x:v>3489.7060062763003</x:v>
      </x:c>
      <x:c r="H2248" s="60" t="n">
        <x:v>3489.7060062763003</x:v>
      </x:c>
      <x:c r="I2248" s="62" t="n">
        <x:v>0</x:v>
      </x:c>
      <x:c r="J2248" s="64" t="n">
        <x:v>1</x:v>
      </x:c>
      <x:c r="K2248" s="62" t="n">
        <x:v>638.7089855285126</x:v>
      </x:c>
      <x:c r="L2248" s="60" t="n">
        <x:v>2228906.583061493</x:v>
      </x:c>
      <x:c r="M2248" s="62" t="n">
        <x:v>3.8052199392882993</x:v>
      </x:c>
      <x:c r="N2248" s="62" t="n">
        <x:v>638.586803144368</x:v>
      </x:c>
      <x:c r="O2248" s="60" t="n">
        <x:v>2228480.2024616823</x:v>
      </x:c>
      <x:c r="P2248" s="60" t="n">
        <x:v>426.38059981074184</x:v>
      </x:c>
      <x:c r="Q2248" s="62" t="n">
        <x:v>1.000191332460275</x:v>
      </x:c>
      <x:c r="R2248" s="64" t="n">
        <x:v>0.00019133246027482862</x:v>
      </x:c>
    </x:row>
    <x:row r="2249" ht="18" customHeight="1">
      <x:c r="A2249" s="46" t="str">
        <x:v>LME_065</x:v>
      </x:c>
      <x:c r="B2249" s="46" t="str">
        <x:v>Aleutian Islands</x:v>
      </x:c>
      <x:c r="C2249" s="46" t="str">
        <x:v>functional</x:v>
      </x:c>
      <x:c r="D2249" s="46" t="str">
        <x:v>Large sharks (&gt;=90 cm)</x:v>
      </x:c>
      <x:c r="E2249" s="66" t="n">
        <x:v>3</x:v>
      </x:c>
      <x:c r="F2249" s="66" t="n">
        <x:v>3</x:v>
      </x:c>
      <x:c r="G2249" s="60" t="n">
        <x:v>32.7938151312</x:v>
      </x:c>
      <x:c r="H2249" s="60" t="n">
        <x:v>32.7938151312</x:v>
      </x:c>
      <x:c r="I2249" s="62" t="n">
        <x:v>0</x:v>
      </x:c>
      <x:c r="J2249" s="64" t="n">
        <x:v>1</x:v>
      </x:c>
      <x:c r="K2249" s="62" t="n">
        <x:v>1121.6487003769616</x:v>
      </x:c>
      <x:c r="L2249" s="60" t="n">
        <x:v>36783.14012231282</x:v>
      </x:c>
      <x:c r="M2249" s="62" t="n">
        <x:v>4.049826001613653</x:v>
      </x:c>
      <x:c r="N2249" s="62" t="n">
        <x:v>1121.5690120343127</x:v>
      </x:c>
      <x:c r="O2249" s="60" t="n">
        <x:v>36780.52683753588</x:v>
      </x:c>
      <x:c r="P2249" s="60" t="n">
        <x:v>2.613284776940418</x:v>
      </x:c>
      <x:c r="Q2249" s="62" t="n">
        <x:v>1.000071050770656</x:v>
      </x:c>
      <x:c r="R2249" s="64" t="n">
        <x:v>0.00007105077065599465</x:v>
      </x:c>
    </x:row>
    <x:row r="2250" ht="18" customHeight="1">
      <x:c r="A2250" s="46" t="str">
        <x:v>LME_065</x:v>
      </x:c>
      <x:c r="B2250" s="46" t="str">
        <x:v>Aleutian Islands</x:v>
      </x:c>
      <x:c r="C2250" s="46" t="str">
        <x:v>functional</x:v>
      </x:c>
      <x:c r="D2250" s="46" t="str">
        <x:v>Lobsters, crabs</x:v>
      </x:c>
      <x:c r="E2250" s="66" t="n">
        <x:v>7</x:v>
      </x:c>
      <x:c r="F2250" s="66" t="n">
        <x:v>7</x:v>
      </x:c>
      <x:c r="G2250" s="60" t="n">
        <x:v>280.82059622239996</x:v>
      </x:c>
      <x:c r="H2250" s="60" t="n">
        <x:v>280.82059622239996</x:v>
      </x:c>
      <x:c r="I2250" s="62" t="n">
        <x:v>0</x:v>
      </x:c>
      <x:c r="J2250" s="64" t="n">
        <x:v>1</x:v>
      </x:c>
      <x:c r="K2250" s="62" t="n">
        <x:v>191.43107039107642</x:v>
      </x:c>
      <x:c r="L2250" s="60" t="n">
        <x:v>53757.78732271429</x:v>
      </x:c>
      <x:c r="M2250" s="62" t="n">
        <x:v>3.1570217387049793</x:v>
      </x:c>
      <x:c r="N2250" s="62" t="n">
        <x:v>143.55612888885742</x:v>
      </x:c>
      <x:c r="O2250" s="60" t="n">
        <x:v>40313.51770594863</x:v>
      </x:c>
      <x:c r="P2250" s="60" t="n">
        <x:v>13444.269616765661</x:v>
      </x:c>
      <x:c r="Q2250" s="62" t="n">
        <x:v>1.333492842644735</x:v>
      </x:c>
      <x:c r="R2250" s="64" t="n">
        <x:v>0.3334928426447349</x:v>
      </x:c>
    </x:row>
    <x:row r="2251" ht="18" customHeight="1">
      <x:c r="A2251" s="46" t="str">
        <x:v>LME_065</x:v>
      </x:c>
      <x:c r="B2251" s="46" t="str">
        <x:v>Aleutian Islands</x:v>
      </x:c>
      <x:c r="C2251" s="46" t="str">
        <x:v>functional</x:v>
      </x:c>
      <x:c r="D2251" s="46" t="str">
        <x:v>Medium benthopelagics (30 - 89 cm)</x:v>
      </x:c>
      <x:c r="E2251" s="66" t="n">
        <x:v>1</x:v>
      </x:c>
      <x:c r="F2251" s="66" t="n">
        <x:v>1</x:v>
      </x:c>
      <x:c r="G2251" s="60" t="n">
        <x:v>86041.6643582491</x:v>
      </x:c>
      <x:c r="H2251" s="60" t="n">
        <x:v>86041.6643582491</x:v>
      </x:c>
      <x:c r="I2251" s="62" t="n">
        <x:v>0</x:v>
      </x:c>
      <x:c r="J2251" s="64" t="n">
        <x:v>1</x:v>
      </x:c>
      <x:c r="K2251" s="62" t="n">
        <x:v>371.5352290971724</x:v>
      </x:c>
      <x:c r="L2251" s="60" t="n">
        <x:v>31967509.47924409</x:v>
      </x:c>
      <x:c r="M2251" s="62" t="n">
        <x:v>3.57</x:v>
      </x:c>
      <x:c r="N2251" s="62" t="n">
        <x:v>371.5352290971724</x:v>
      </x:c>
      <x:c r="O2251" s="60" t="n">
        <x:v>31967509.47924409</x:v>
      </x:c>
      <x:c r="P2251" s="60" t="n">
        <x:v>0</x:v>
      </x:c>
      <x:c r="Q2251" s="62" t="n">
        <x:v>1</x:v>
      </x:c>
      <x:c r="R2251" s="64" t="n">
        <x:v>0</x:v>
      </x:c>
    </x:row>
    <x:row r="2252" ht="18" customHeight="1">
      <x:c r="A2252" s="46" t="str">
        <x:v>LME_065</x:v>
      </x:c>
      <x:c r="B2252" s="46" t="str">
        <x:v>Aleutian Islands</x:v>
      </x:c>
      <x:c r="C2252" s="46" t="str">
        <x:v>functional</x:v>
      </x:c>
      <x:c r="D2252" s="46" t="str">
        <x:v>Medium demersals (30 - 89 cm)</x:v>
      </x:c>
      <x:c r="E2252" s="66" t="n">
        <x:v>7</x:v>
      </x:c>
      <x:c r="F2252" s="66" t="n">
        <x:v>7</x:v>
      </x:c>
      <x:c r="G2252" s="60" t="n">
        <x:v>22410.609057331698</x:v>
      </x:c>
      <x:c r="H2252" s="60" t="n">
        <x:v>22410.609057331698</x:v>
      </x:c>
      <x:c r="I2252" s="62" t="n">
        <x:v>0</x:v>
      </x:c>
      <x:c r="J2252" s="64" t="n">
        <x:v>1</x:v>
      </x:c>
      <x:c r="K2252" s="62" t="n">
        <x:v>793.9837239407677</x:v>
      </x:c>
      <x:c r="L2252" s="60" t="n">
        <x:v>17793658.83512092</x:v>
      </x:c>
      <x:c r="M2252" s="62" t="n">
        <x:v>3.5939827005348137</x:v>
      </x:c>
      <x:c r="N2252" s="62" t="n">
        <x:v>392.6292952927371</x:v>
      </x:c>
      <x:c r="O2252" s="60" t="n">
        <x:v>8799061.641261175</x:v>
      </x:c>
      <x:c r="P2252" s="60" t="n">
        <x:v>8994597.193859745</x:v>
      </x:c>
      <x:c r="Q2252" s="62" t="n">
        <x:v>2.0222223187619974</x:v>
      </x:c>
      <x:c r="R2252" s="64" t="n">
        <x:v>1.0222223187619974</x:v>
      </x:c>
    </x:row>
    <x:row r="2253" ht="18" customHeight="1">
      <x:c r="A2253" s="46" t="str">
        <x:v>LME_065</x:v>
      </x:c>
      <x:c r="B2253" s="46" t="str">
        <x:v>Aleutian Islands</x:v>
      </x:c>
      <x:c r="C2253" s="46" t="str">
        <x:v>functional</x:v>
      </x:c>
      <x:c r="D2253" s="46" t="str">
        <x:v>Medium pelagics (30 - 89 cm)</x:v>
      </x:c>
      <x:c r="E2253" s="66" t="n">
        <x:v>5</x:v>
      </x:c>
      <x:c r="F2253" s="66" t="n">
        <x:v>5</x:v>
      </x:c>
      <x:c r="G2253" s="60" t="n">
        <x:v>2898.1178985512</x:v>
      </x:c>
      <x:c r="H2253" s="60" t="n">
        <x:v>2898.1178985512</x:v>
      </x:c>
      <x:c r="I2253" s="62" t="n">
        <x:v>0</x:v>
      </x:c>
      <x:c r="J2253" s="64" t="n">
        <x:v>1</x:v>
      </x:c>
      <x:c r="K2253" s="62" t="n">
        <x:v>330.10755785798</x:v>
      </x:c>
      <x:c r="L2253" s="60" t="n">
        <x:v>956690.6218752377</x:v>
      </x:c>
      <x:c r="M2253" s="62" t="n">
        <x:v>3.508660084180207</x:v>
      </x:c>
      <x:c r="N2253" s="62" t="n">
        <x:v>322.596821609295</x:v>
      </x:c>
      <x:c r="O2253" s="60" t="n">
        <x:v>934923.6227216263</x:v>
      </x:c>
      <x:c r="P2253" s="60" t="n">
        <x:v>21766.999153611367</x:v>
      </x:c>
      <x:c r="Q2253" s="62" t="n">
        <x:v>1.023282114842971</x:v>
      </x:c>
      <x:c r="R2253" s="64" t="n">
        <x:v>0.02328211484297097</x:v>
      </x:c>
    </x:row>
    <x:row r="2254" ht="18" customHeight="1">
      <x:c r="A2254" s="46" t="str">
        <x:v>LME_065</x:v>
      </x:c>
      <x:c r="B2254" s="46" t="str">
        <x:v>Aleutian Islands</x:v>
      </x:c>
      <x:c r="C2254" s="46" t="str">
        <x:v>functional</x:v>
      </x:c>
      <x:c r="D2254" s="46" t="str">
        <x:v>Medium reef assoc. fish (30 - 89 cm)</x:v>
      </x:c>
      <x:c r="E2254" s="66" t="n">
        <x:v>1</x:v>
      </x:c>
      <x:c r="F2254" s="66" t="n">
        <x:v>1</x:v>
      </x:c>
      <x:c r="G2254" s="60" t="n">
        <x:v>2.9814762331</x:v>
      </x:c>
      <x:c r="H2254" s="60" t="n">
        <x:v>2.9814762331</x:v>
      </x:c>
      <x:c r="I2254" s="62" t="n">
        <x:v>0</x:v>
      </x:c>
      <x:c r="J2254" s="64" t="n">
        <x:v>1</x:v>
      </x:c>
      <x:c r="K2254" s="62" t="n">
        <x:v>2398.83291901949</x:v>
      </x:c>
      <x:c r="L2254" s="60" t="n">
        <x:v>7152.063335234507</x:v>
      </x:c>
      <x:c r="M2254" s="62" t="n">
        <x:v>4.38</x:v>
      </x:c>
      <x:c r="N2254" s="62" t="n">
        <x:v>2398.83291901949</x:v>
      </x:c>
      <x:c r="O2254" s="60" t="n">
        <x:v>7152.063335234507</x:v>
      </x:c>
      <x:c r="P2254" s="60" t="n">
        <x:v>0</x:v>
      </x:c>
      <x:c r="Q2254" s="62" t="n">
        <x:v>1</x:v>
      </x:c>
      <x:c r="R2254" s="64" t="n">
        <x:v>0</x:v>
      </x:c>
    </x:row>
    <x:row r="2255" ht="18" customHeight="1">
      <x:c r="A2255" s="46" t="str">
        <x:v>LME_065</x:v>
      </x:c>
      <x:c r="B2255" s="46" t="str">
        <x:v>Aleutian Islands</x:v>
      </x:c>
      <x:c r="C2255" s="46" t="str">
        <x:v>functional</x:v>
      </x:c>
      <x:c r="D2255" s="46" t="str">
        <x:v>Other demersal invertebrates</x:v>
      </x:c>
      <x:c r="E2255" s="66" t="n">
        <x:v>9</x:v>
      </x:c>
      <x:c r="F2255" s="66" t="n">
        <x:v>9</x:v>
      </x:c>
      <x:c r="G2255" s="60" t="n">
        <x:v>68.5481490877</x:v>
      </x:c>
      <x:c r="H2255" s="60" t="n">
        <x:v>68.5481490877</x:v>
      </x:c>
      <x:c r="I2255" s="62" t="n">
        <x:v>0</x:v>
      </x:c>
      <x:c r="J2255" s="64" t="n">
        <x:v>1</x:v>
      </x:c>
      <x:c r="K2255" s="62" t="n">
        <x:v>12.582770828156628</x:v>
      </x:c>
      <x:c r="L2255" s="60" t="n">
        <x:v>862.5256506648428</x:v>
      </x:c>
      <x:c r="M2255" s="62" t="n">
        <x:v>2.098199315053524</x:v>
      </x:c>
      <x:c r="N2255" s="62" t="n">
        <x:v>12.537164233827811</x:v>
      </x:c>
      <x:c r="O2255" s="60" t="n">
        <x:v>859.3994030374089</x:v>
      </x:c>
      <x:c r="P2255" s="60" t="n">
        <x:v>3.1262476274339406</x:v>
      </x:c>
      <x:c r="Q2255" s="62" t="n">
        <x:v>1.0036377121235887</x:v>
      </x:c>
      <x:c r="R2255" s="64" t="n">
        <x:v>0.003637712123588545</x:v>
      </x:c>
    </x:row>
    <x:row r="2256" ht="18" customHeight="1">
      <x:c r="A2256" s="46" t="str">
        <x:v>LME_065</x:v>
      </x:c>
      <x:c r="B2256" s="46" t="str">
        <x:v>Aleutian Islands</x:v>
      </x:c>
      <x:c r="C2256" s="46" t="str">
        <x:v>functional</x:v>
      </x:c>
      <x:c r="D2256" s="46" t="str">
        <x:v>Shrimps</x:v>
      </x:c>
      <x:c r="E2256" s="66" t="n">
        <x:v>2</x:v>
      </x:c>
      <x:c r="F2256" s="66" t="n">
        <x:v>2</x:v>
      </x:c>
      <x:c r="G2256" s="60" t="n">
        <x:v>4.4595393542</x:v>
      </x:c>
      <x:c r="H2256" s="60" t="n">
        <x:v>4.4595393542</x:v>
      </x:c>
      <x:c r="I2256" s="62" t="n">
        <x:v>0</x:v>
      </x:c>
      <x:c r="J2256" s="64" t="n">
        <x:v>1</x:v>
      </x:c>
      <x:c r="K2256" s="62" t="n">
        <x:v>50.11872336272725</x:v>
      </x:c>
      <x:c r="L2256" s="60" t="n">
        <x:v>223.50641921834514</x:v>
      </x:c>
      <x:c r="M2256" s="62" t="n">
        <x:v>2.7</x:v>
      </x:c>
      <x:c r="N2256" s="62" t="n">
        <x:v>50.11872336272725</x:v>
      </x:c>
      <x:c r="O2256" s="60" t="n">
        <x:v>223.50641921834517</x:v>
      </x:c>
      <x:c r="P2256" s="60" t="n">
        <x:v>-2.842170943040401e-14</x:v>
      </x:c>
      <x:c r="Q2256" s="62" t="n">
        <x:v>0.9999999999999999</x:v>
      </x:c>
      <x:c r="R2256" s="64" t="n">
        <x:v>-1.2716283286091492e-16</x:v>
      </x:c>
    </x:row>
    <x:row r="2257" ht="18" customHeight="1">
      <x:c r="A2257" s="46" t="str">
        <x:v>LME_065</x:v>
      </x:c>
      <x:c r="B2257" s="46" t="str">
        <x:v>Aleutian Islands</x:v>
      </x:c>
      <x:c r="C2257" s="46" t="str">
        <x:v>functional</x:v>
      </x:c>
      <x:c r="D2257" s="46" t="str">
        <x:v>Small pelagics (&lt;30 cm)</x:v>
      </x:c>
      <x:c r="E2257" s="66" t="n">
        <x:v>2</x:v>
      </x:c>
      <x:c r="F2257" s="66" t="n">
        <x:v>2</x:v>
      </x:c>
      <x:c r="G2257" s="60" t="n">
        <x:v>0.48974039160000005</x:v>
      </x:c>
      <x:c r="H2257" s="60" t="n">
        <x:v>0.48974039160000005</x:v>
      </x:c>
      <x:c r="I2257" s="62" t="n">
        <x:v>0</x:v>
      </x:c>
      <x:c r="J2257" s="64" t="n">
        <x:v>1</x:v>
      </x:c>
      <x:c r="K2257" s="62" t="n">
        <x:v>280.40043429447246</x:v>
      </x:c>
      <x:c r="L2257" s="60" t="n">
        <x:v>137.323418496185</x:v>
      </x:c>
      <x:c r="M2257" s="62" t="n">
        <x:v>3.4431406581637565</x:v>
      </x:c>
      <x:c r="N2257" s="62" t="n">
        <x:v>277.42184658035274</x:v>
      </x:c>
      <x:c r="O2257" s="60" t="n">
        <x:v>135.8646837826571</x:v>
      </x:c>
      <x:c r="P2257" s="60" t="n">
        <x:v>1.4587347135279174</x:v>
      </x:c>
      <x:c r="Q2257" s="62" t="n">
        <x:v>1.010736673231886</x:v>
      </x:c>
      <x:c r="R2257" s="64" t="n">
        <x:v>0.010736673231886052</x:v>
      </x:c>
    </x:row>
    <x:row r="2258" ht="18" customHeight="1">
      <x:c r="A2258" s="46" t="str">
        <x:v>LME_065</x:v>
      </x:c>
      <x:c r="B2258" s="46" t="str">
        <x:v>Aleutian Islands</x:v>
      </x:c>
      <x:c r="C2258" s="46" t="str">
        <x:v>functional</x:v>
      </x:c>
      <x:c r="D2258" s="46" t="str">
        <x:v>Small to medium flatfishes (&lt;90 cm)</x:v>
      </x:c>
      <x:c r="E2258" s="66" t="n">
        <x:v>11</x:v>
      </x:c>
      <x:c r="F2258" s="66" t="n">
        <x:v>11</x:v>
      </x:c>
      <x:c r="G2258" s="60" t="n">
        <x:v>17277.2007249003</x:v>
      </x:c>
      <x:c r="H2258" s="60" t="n">
        <x:v>17277.2007249003</x:v>
      </x:c>
      <x:c r="I2258" s="62" t="n">
        <x:v>0</x:v>
      </x:c>
      <x:c r="J2258" s="64" t="n">
        <x:v>1</x:v>
      </x:c>
      <x:c r="K2258" s="62" t="n">
        <x:v>435.2944926304898</x:v>
      </x:c>
      <x:c r="L2258" s="60" t="n">
        <x:v>7520670.323620606</x:v>
      </x:c>
      <x:c r="M2258" s="62" t="n">
        <x:v>3.565859619297957</x:v>
      </x:c>
      <x:c r="N2258" s="62" t="n">
        <x:v>368.00999941047843</x:v>
      </x:c>
      <x:c r="O2258" s="60" t="n">
        <x:v>6358182.628585277</x:v>
      </x:c>
      <x:c r="P2258" s="60" t="n">
        <x:v>1162487.695035329</x:v>
      </x:c>
      <x:c r="Q2258" s="62" t="n">
        <x:v>1.1828333287894228</x:v>
      </x:c>
      <x:c r="R2258" s="64" t="n">
        <x:v>0.1828333287894229</x:v>
      </x:c>
    </x:row>
    <x:row r="2259" ht="18" customHeight="1">
      <x:c r="A2259" s="46" t="str">
        <x:v>LME_065</x:v>
      </x:c>
      <x:c r="B2259" s="46" t="str">
        <x:v>Aleutian Islands</x:v>
      </x:c>
      <x:c r="C2259" s="46" t="str">
        <x:v>functional</x:v>
      </x:c>
      <x:c r="D2259" s="46" t="str">
        <x:v>Small to medium rays (&lt;90 cm)</x:v>
      </x:c>
      <x:c r="E2259" s="66" t="n">
        <x:v>1</x:v>
      </x:c>
      <x:c r="F2259" s="66" t="n">
        <x:v>1</x:v>
      </x:c>
      <x:c r="G2259" s="60" t="n">
        <x:v>167.6845087398</x:v>
      </x:c>
      <x:c r="H2259" s="60" t="n">
        <x:v>167.6845087398</x:v>
      </x:c>
      <x:c r="I2259" s="62" t="n">
        <x:v>0</x:v>
      </x:c>
      <x:c r="J2259" s="64" t="n">
        <x:v>1</x:v>
      </x:c>
      <x:c r="K2259" s="62" t="n">
        <x:v>630.957344480193</x:v>
      </x:c>
      <x:c r="L2259" s="60" t="n">
        <x:v>105801.77234492992</x:v>
      </x:c>
      <x:c r="M2259" s="62" t="n">
        <x:v>3.7999999999999994</x:v>
      </x:c>
      <x:c r="N2259" s="62" t="n">
        <x:v>630.9573444801923</x:v>
      </x:c>
      <x:c r="O2259" s="60" t="n">
        <x:v>105801.77234492982</x:v>
      </x:c>
      <x:c r="P2259" s="60" t="n">
        <x:v>1.0186340659856796e-10</x:v>
      </x:c>
      <x:c r="Q2259" s="62" t="n">
        <x:v>1.0000000000000009</x:v>
      </x:c>
      <x:c r="R2259" s="64" t="n">
        <x:v>9.627759945880473e-16</x:v>
      </x:c>
    </x:row>
    <x:row r="2260" ht="18" customHeight="1">
      <x:c r="A2260" s="46" t="str">
        <x:v>LME_066</x:v>
      </x:c>
      <x:c r="B2260" s="46" t="str">
        <x:v>Canadian High Arctic - North Greenland</x:v>
      </x:c>
      <x:c r="C2260" s="46" t="str">
        <x:v>functional</x:v>
      </x:c>
      <x:c r="D2260" s="46" t="str">
        <x:v>Large demersals (&gt;=90 cm)</x:v>
      </x:c>
      <x:c r="E2260" s="66" t="n">
        <x:v>2</x:v>
      </x:c>
      <x:c r="F2260" s="66" t="n">
        <x:v>2</x:v>
      </x:c>
      <x:c r="G2260" s="60" t="n">
        <x:v>0.083048248</x:v>
      </x:c>
      <x:c r="H2260" s="60" t="n">
        <x:v>0.083048248</x:v>
      </x:c>
      <x:c r="I2260" s="62" t="n">
        <x:v>0</x:v>
      </x:c>
      <x:c r="J2260" s="64" t="n">
        <x:v>1</x:v>
      </x:c>
      <x:c r="K2260" s="62" t="n">
        <x:v>286.3950763610721</x:v>
      </x:c>
      <x:c r="L2260" s="60" t="n">
        <x:v>23.784609327613254</x:v>
      </x:c>
      <x:c r="M2260" s="62" t="n">
        <x:v>3.45530359209986</x:v>
      </x:c>
      <x:c r="N2260" s="62" t="n">
        <x:v>285.3011959014824</x:v>
      </x:c>
      <x:c r="O2260" s="60" t="n">
        <x:v>23.693764471922897</x:v>
      </x:c>
      <x:c r="P2260" s="60" t="n">
        <x:v>0.0908448556903565</x:v>
      </x:c>
      <x:c r="Q2260" s="62" t="n">
        <x:v>1.0038341250415488</x:v>
      </x:c>
      <x:c r="R2260" s="64" t="n">
        <x:v>0.0038341250415487</x:v>
      </x:c>
    </x:row>
    <x:row r="2261" ht="18" customHeight="1">
      <x:c r="A2261" s="46" t="str">
        <x:v>LME_066</x:v>
      </x:c>
      <x:c r="B2261" s="46" t="str">
        <x:v>Canadian High Arctic - North Greenland</x:v>
      </x:c>
      <x:c r="C2261" s="46" t="str">
        <x:v>functional</x:v>
      </x:c>
      <x:c r="D2261" s="46" t="str">
        <x:v>Large rays (&gt;=90 cm)</x:v>
      </x:c>
      <x:c r="E2261" s="66" t="n">
        <x:v>1</x:v>
      </x:c>
      <x:c r="F2261" s="66" t="n">
        <x:v>1</x:v>
      </x:c>
      <x:c r="G2261" s="60" t="n">
        <x:v>9.892e-7</x:v>
      </x:c>
      <x:c r="H2261" s="60" t="n">
        <x:v>9.892e-7</x:v>
      </x:c>
      <x:c r="I2261" s="62" t="n">
        <x:v>0</x:v>
      </x:c>
      <x:c r="J2261" s="64" t="n">
        <x:v>1</x:v>
      </x:c>
      <x:c r="K2261" s="62" t="n">
        <x:v>660.6934480075957</x:v>
      </x:c>
      <x:c r="L2261" s="60" t="n">
        <x:v>0.0006535579587691137</x:v>
      </x:c>
      <x:c r="M2261" s="62" t="n">
        <x:v>3.82</x:v>
      </x:c>
      <x:c r="N2261" s="62" t="n">
        <x:v>660.6934480075957</x:v>
      </x:c>
      <x:c r="O2261" s="60" t="n">
        <x:v>0.0006535579587691137</x:v>
      </x:c>
      <x:c r="P2261" s="60" t="n">
        <x:v>0</x:v>
      </x:c>
      <x:c r="Q2261" s="62" t="n">
        <x:v>1</x:v>
      </x:c>
      <x:c r="R2261" s="64" t="n">
        <x:v>0</x:v>
      </x:c>
    </x:row>
    <x:row r="2262" ht="18" customHeight="1">
      <x:c r="A2262" s="46" t="str">
        <x:v>LME_066</x:v>
      </x:c>
      <x:c r="B2262" s="46" t="str">
        <x:v>Canadian High Arctic - North Greenland</x:v>
      </x:c>
      <x:c r="C2262" s="46" t="str">
        <x:v>functional</x:v>
      </x:c>
      <x:c r="D2262" s="46" t="str">
        <x:v>Large reef assoc. fish (&gt;=90 cm)</x:v>
      </x:c>
      <x:c r="E2262" s="66" t="n">
        <x:v>3</x:v>
      </x:c>
      <x:c r="F2262" s="66" t="n">
        <x:v>3</x:v>
      </x:c>
      <x:c r="G2262" s="60" t="n">
        <x:v>0.047707631699999996</x:v>
      </x:c>
      <x:c r="H2262" s="60" t="n">
        <x:v>0.047707631699999996</x:v>
      </x:c>
      <x:c r="I2262" s="62" t="n">
        <x:v>0</x:v>
      </x:c>
      <x:c r="J2262" s="64" t="n">
        <x:v>1</x:v>
      </x:c>
      <x:c r="K2262" s="62" t="n">
        <x:v>530.724879014686</x:v>
      </x:c>
      <x:c r="L2262" s="60" t="n">
        <x:v>25.3196270620597</x:v>
      </x:c>
      <x:c r="M2262" s="62" t="n">
        <x:v>3.723720057581479</x:v>
      </x:c>
      <x:c r="N2262" s="62" t="n">
        <x:v>529.3221374890679</x:v>
      </x:c>
      <x:c r="O2262" s="60" t="n">
        <x:v>25.252705585985215</x:v>
      </x:c>
      <x:c r="P2262" s="60" t="n">
        <x:v>0.06692147607448362</x:v>
      </x:c>
      <x:c r="Q2262" s="62" t="n">
        <x:v>1.0026500715278455</x:v>
      </x:c>
      <x:c r="R2262" s="64" t="n">
        <x:v>0.002650071527845468</x:v>
      </x:c>
    </x:row>
    <x:row r="2263" ht="18" customHeight="1">
      <x:c r="A2263" s="46" t="str">
        <x:v>LME_066</x:v>
      </x:c>
      <x:c r="B2263" s="46" t="str">
        <x:v>Canadian High Arctic - North Greenland</x:v>
      </x:c>
      <x:c r="C2263" s="46" t="str">
        <x:v>functional</x:v>
      </x:c>
      <x:c r="D2263" s="46" t="str">
        <x:v>Large sharks (&gt;=90 cm)</x:v>
      </x:c>
      <x:c r="E2263" s="66" t="n">
        <x:v>2</x:v>
      </x:c>
      <x:c r="F2263" s="66" t="n">
        <x:v>2</x:v>
      </x:c>
      <x:c r="G2263" s="60" t="n">
        <x:v>0.0302315534</x:v>
      </x:c>
      <x:c r="H2263" s="60" t="n">
        <x:v>0.0302315534</x:v>
      </x:c>
      <x:c r="I2263" s="62" t="n">
        <x:v>0</x:v>
      </x:c>
      <x:c r="J2263" s="64" t="n">
        <x:v>1</x:v>
      </x:c>
      <x:c r="K2263" s="62" t="n">
        <x:v>1657.642608204141</x:v>
      </x:c>
      <x:c r="L2263" s="60" t="n">
        <x:v>50.113111028038766</x:v>
      </x:c>
      <x:c r="M2263" s="62" t="n">
        <x:v>4.21938513715276</x:v>
      </x:c>
      <x:c r="N2263" s="62" t="n">
        <x:v>1657.2389698663405</x:v>
      </x:c>
      <x:c r="O2263" s="60" t="n">
        <x:v>50.10090841407526</x:v>
      </x:c>
      <x:c r="P2263" s="60" t="n">
        <x:v>0.012202613963502529</x:v>
      </x:c>
      <x:c r="Q2263" s="62" t="n">
        <x:v>1.0002435607327247</x:v>
      </x:c>
      <x:c r="R2263" s="64" t="n">
        <x:v>0.0002435607327246455</x:v>
      </x:c>
    </x:row>
    <x:row r="2264" ht="18" customHeight="1">
      <x:c r="A2264" s="46" t="str">
        <x:v>LME_066</x:v>
      </x:c>
      <x:c r="B2264" s="46" t="str">
        <x:v>Canadian High Arctic - North Greenland</x:v>
      </x:c>
      <x:c r="C2264" s="46" t="str">
        <x:v>functional</x:v>
      </x:c>
      <x:c r="D2264" s="46" t="str">
        <x:v>Lobsters, crabs</x:v>
      </x:c>
      <x:c r="E2264" s="66" t="n">
        <x:v>2</x:v>
      </x:c>
      <x:c r="F2264" s="66" t="n">
        <x:v>2</x:v>
      </x:c>
      <x:c r="G2264" s="60" t="n">
        <x:v>0.0052418418</x:v>
      </x:c>
      <x:c r="H2264" s="60" t="n">
        <x:v>0.0052418418</x:v>
      </x:c>
      <x:c r="I2264" s="62" t="n">
        <x:v>0</x:v>
      </x:c>
      <x:c r="J2264" s="64" t="n">
        <x:v>1</x:v>
      </x:c>
      <x:c r="K2264" s="62" t="n">
        <x:v>21.55952594583917</x:v>
      </x:c>
      <x:c r="L2264" s="60" t="n">
        <x:v>0.1130116242910843</x:v>
      </x:c>
      <x:c r="M2264" s="62" t="n">
        <x:v>2.3242757860414636</x:v>
      </x:c>
      <x:c r="N2264" s="62" t="n">
        <x:v>21.09967597970546</x:v>
      </x:c>
      <x:c r="O2264" s="60" t="n">
        <x:v>0.11060116351687603</x:v>
      </x:c>
      <x:c r="P2264" s="60" t="n">
        <x:v>0.00241046077420827</x:v>
      </x:c>
      <x:c r="Q2264" s="62" t="n">
        <x:v>1.0217941719378067</x:v>
      </x:c>
      <x:c r="R2264" s="64" t="n">
        <x:v>0.0217941719378067</x:v>
      </x:c>
    </x:row>
    <x:row r="2265" ht="18" customHeight="1">
      <x:c r="A2265" s="46" t="str">
        <x:v>LME_066</x:v>
      </x:c>
      <x:c r="B2265" s="46" t="str">
        <x:v>Canadian High Arctic - North Greenland</x:v>
      </x:c>
      <x:c r="C2265" s="46" t="str">
        <x:v>functional</x:v>
      </x:c>
      <x:c r="D2265" s="46" t="str">
        <x:v>Medium bathydemersals (30 - 89 cm)</x:v>
      </x:c>
      <x:c r="E2265" s="66" t="n">
        <x:v>1</x:v>
      </x:c>
      <x:c r="F2265" s="66" t="n">
        <x:v>1</x:v>
      </x:c>
      <x:c r="G2265" s="60" t="n">
        <x:v>0.0005845237</x:v>
      </x:c>
      <x:c r="H2265" s="60" t="n">
        <x:v>0.0005845237</x:v>
      </x:c>
      <x:c r="I2265" s="62" t="n">
        <x:v>0</x:v>
      </x:c>
      <x:c r="J2265" s="64" t="n">
        <x:v>1</x:v>
      </x:c>
      <x:c r="K2265" s="62" t="n">
        <x:v>199.52623149688787</x:v>
      </x:c>
      <x:c r="L2265" s="60" t="n">
        <x:v>0.11662781108161745</x:v>
      </x:c>
      <x:c r="M2265" s="62" t="n">
        <x:v>3.3</x:v>
      </x:c>
      <x:c r="N2265" s="62" t="n">
        <x:v>199.52623149688787</x:v>
      </x:c>
      <x:c r="O2265" s="60" t="n">
        <x:v>0.11662781108161745</x:v>
      </x:c>
      <x:c r="P2265" s="60" t="n">
        <x:v>0</x:v>
      </x:c>
      <x:c r="Q2265" s="62" t="n">
        <x:v>1</x:v>
      </x:c>
      <x:c r="R2265" s="64" t="n">
        <x:v>0</x:v>
      </x:c>
    </x:row>
    <x:row r="2266" ht="18" customHeight="1">
      <x:c r="A2266" s="46" t="str">
        <x:v>LME_066</x:v>
      </x:c>
      <x:c r="B2266" s="46" t="str">
        <x:v>Canadian High Arctic - North Greenland</x:v>
      </x:c>
      <x:c r="C2266" s="46" t="str">
        <x:v>functional</x:v>
      </x:c>
      <x:c r="D2266" s="46" t="str">
        <x:v>Medium bathypelagics (30 - 89 cm)</x:v>
      </x:c>
      <x:c r="E2266" s="66" t="n">
        <x:v>1</x:v>
      </x:c>
      <x:c r="F2266" s="66" t="n">
        <x:v>1</x:v>
      </x:c>
      <x:c r="G2266" s="60" t="n">
        <x:v>0.0000578618</x:v>
      </x:c>
      <x:c r="H2266" s="60" t="n">
        <x:v>0.0000578618</x:v>
      </x:c>
      <x:c r="I2266" s="62" t="n">
        <x:v>0</x:v>
      </x:c>
      <x:c r="J2266" s="64" t="n">
        <x:v>1</x:v>
      </x:c>
      <x:c r="K2266" s="62" t="n">
        <x:v>446.683592150963</x:v>
      </x:c>
      <x:c r="L2266" s="60" t="n">
        <x:v>0.02584591667232059</x:v>
      </x:c>
      <x:c r="M2266" s="62" t="n">
        <x:v>3.65</x:v>
      </x:c>
      <x:c r="N2266" s="62" t="n">
        <x:v>446.683592150963</x:v>
      </x:c>
      <x:c r="O2266" s="60" t="n">
        <x:v>0.02584591667232059</x:v>
      </x:c>
      <x:c r="P2266" s="60" t="n">
        <x:v>0</x:v>
      </x:c>
      <x:c r="Q2266" s="62" t="n">
        <x:v>1</x:v>
      </x:c>
      <x:c r="R2266" s="64" t="n">
        <x:v>0</x:v>
      </x:c>
    </x:row>
    <x:row r="2267" ht="18" customHeight="1">
      <x:c r="A2267" s="46" t="str">
        <x:v>LME_066</x:v>
      </x:c>
      <x:c r="B2267" s="46" t="str">
        <x:v>Canadian High Arctic - North Greenland</x:v>
      </x:c>
      <x:c r="C2267" s="46" t="str">
        <x:v>functional</x:v>
      </x:c>
      <x:c r="D2267" s="46" t="str">
        <x:v>Medium benthopelagics (30 - 89 cm)</x:v>
      </x:c>
      <x:c r="E2267" s="66" t="n">
        <x:v>1</x:v>
      </x:c>
      <x:c r="F2267" s="66" t="n">
        <x:v>1</x:v>
      </x:c>
      <x:c r="G2267" s="60" t="n">
        <x:v>0.1267809772</x:v>
      </x:c>
      <x:c r="H2267" s="60" t="n">
        <x:v>0.1267809772</x:v>
      </x:c>
      <x:c r="I2267" s="62" t="n">
        <x:v>0</x:v>
      </x:c>
      <x:c r="J2267" s="64" t="n">
        <x:v>1</x:v>
      </x:c>
      <x:c r="K2267" s="62" t="n">
        <x:v>2454.7089156850284</x:v>
      </x:c>
      <x:c r="L2267" s="60" t="n">
        <x:v>311.2103950721003</x:v>
      </x:c>
      <x:c r="M2267" s="62" t="n">
        <x:v>4.39</x:v>
      </x:c>
      <x:c r="N2267" s="62" t="n">
        <x:v>2454.7089156850284</x:v>
      </x:c>
      <x:c r="O2267" s="60" t="n">
        <x:v>311.2103950721003</x:v>
      </x:c>
      <x:c r="P2267" s="60" t="n">
        <x:v>0</x:v>
      </x:c>
      <x:c r="Q2267" s="62" t="n">
        <x:v>1</x:v>
      </x:c>
      <x:c r="R2267" s="64" t="n">
        <x:v>0</x:v>
      </x:c>
    </x:row>
    <x:row r="2268" ht="18" customHeight="1">
      <x:c r="A2268" s="46" t="str">
        <x:v>LME_066</x:v>
      </x:c>
      <x:c r="B2268" s="46" t="str">
        <x:v>Canadian High Arctic - North Greenland</x:v>
      </x:c>
      <x:c r="C2268" s="46" t="str">
        <x:v>functional</x:v>
      </x:c>
      <x:c r="D2268" s="46" t="str">
        <x:v>Medium demersals (30 - 89 cm)</x:v>
      </x:c>
      <x:c r="E2268" s="66" t="n">
        <x:v>3</x:v>
      </x:c>
      <x:c r="F2268" s="66" t="n">
        <x:v>3</x:v>
      </x:c>
      <x:c r="G2268" s="60" t="n">
        <x:v>53.2935139927</x:v>
      </x:c>
      <x:c r="H2268" s="60" t="n">
        <x:v>53.2935139927</x:v>
      </x:c>
      <x:c r="I2268" s="62" t="n">
        <x:v>0</x:v>
      </x:c>
      <x:c r="J2268" s="64" t="n">
        <x:v>1</x:v>
      </x:c>
      <x:c r="K2268" s="62" t="n">
        <x:v>190.54695704364053</x:v>
      </x:c>
      <x:c r="L2268" s="60" t="n">
        <x:v>10154.916921471662</x:v>
      </x:c>
      <x:c r="M2268" s="62" t="n">
        <x:v>3.2800010017209975</x:v>
      </x:c>
      <x:c r="N2268" s="62" t="n">
        <x:v>190.5465113004612</x:v>
      </x:c>
      <x:c r="O2268" s="60" t="n">
        <x:v>10154.893166251297</x:v>
      </x:c>
      <x:c r="P2268" s="60" t="n">
        <x:v>0.023755220365274</x:v>
      </x:c>
      <x:c r="Q2268" s="62" t="n">
        <x:v>1.000002339288063</x:v>
      </x:c>
      <x:c r="R2268" s="64" t="n">
        <x:v>0.000002339288063041563</x:v>
      </x:c>
    </x:row>
    <x:row r="2269" ht="18" customHeight="1">
      <x:c r="A2269" s="46" t="str">
        <x:v>LME_066</x:v>
      </x:c>
      <x:c r="B2269" s="46" t="str">
        <x:v>Canadian High Arctic - North Greenland</x:v>
      </x:c>
      <x:c r="C2269" s="46" t="str">
        <x:v>functional</x:v>
      </x:c>
      <x:c r="D2269" s="46" t="str">
        <x:v>Other demersal invertebrates</x:v>
      </x:c>
      <x:c r="E2269" s="66" t="n">
        <x:v>5</x:v>
      </x:c>
      <x:c r="F2269" s="66" t="n">
        <x:v>5</x:v>
      </x:c>
      <x:c r="G2269" s="60" t="n">
        <x:v>0.004766464400000001</x:v>
      </x:c>
      <x:c r="H2269" s="60" t="n">
        <x:v>0.004766464400000001</x:v>
      </x:c>
      <x:c r="I2269" s="62" t="n">
        <x:v>0</x:v>
      </x:c>
      <x:c r="J2269" s="64" t="n">
        <x:v>1</x:v>
      </x:c>
      <x:c r="K2269" s="62" t="n">
        <x:v>127.19219560768693</x:v>
      </x:c>
      <x:c r="L2269" s="60" t="n">
        <x:v>0.6062570723218762</x:v>
      </x:c>
      <x:c r="M2269" s="62" t="n">
        <x:v>2.471183840794027</x:v>
      </x:c>
      <x:c r="N2269" s="62" t="n">
        <x:v>29.59264885124538</x:v>
      </x:c>
      <x:c r="O2269" s="60" t="n">
        <x:v>0.14105230725116202</x:v>
      </x:c>
      <x:c r="P2269" s="60" t="n">
        <x:v>0.4652047650707142</x:v>
      </x:c>
      <x:c r="Q2269" s="62" t="n">
        <x:v>4.29810106716196</x:v>
      </x:c>
      <x:c r="R2269" s="64" t="n">
        <x:v>3.2981010671619604</x:v>
      </x:c>
    </x:row>
  </x:sheetData>
  <x:conditionalFormatting sqref="R2:R2269">
    <x:cfRule type="colorScale" priority="1">
      <x:colorScale>
        <x:cfvo type="min"/>
        <x:cfvo type="percentile" val="50"/>
        <x:cfvo type="max"/>
        <x:color rgb="FFFFFFFF"/>
        <x:color rgb="FFFCEAD8"/>
        <x:color rgb="FFF7900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aebe702bc14c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36" hidden="0" customWidth="1"/>
  </x:cols>
  <x:sheetData>
    <x:row r="1" ht="32" customHeight="1">
      <x:c r="A1" s="56" t="str">
        <x:v>unit_id</x:v>
      </x:c>
      <x:c r="B1" s="56" t="str">
        <x:v>area_name</x:v>
      </x:c>
      <x:c r="C1" s="56" t="str">
        <x:v>area_type</x:v>
      </x:c>
      <x:c r="D1" s="56" t="str">
        <x:v>year</x:v>
      </x:c>
      <x:c r="E1" s="56" t="str">
        <x:v>raw_rows_selected</x:v>
      </x:c>
      <x:c r="F1" s="56" t="str">
        <x:v>taxon_rows_standardized</x:v>
      </x:c>
      <x:c r="G1" s="56" t="str">
        <x:v>raw_filtered_tonnes</x:v>
      </x:c>
      <x:c r="H1" s="56" t="str">
        <x:v>standardized_tonnes</x:v>
      </x:c>
      <x:c r="I1" s="56" t="str">
        <x:v>difference_tonnes</x:v>
      </x:c>
      <x:c r="J1" s="56" t="str">
        <x:v>reconciled</x:v>
      </x:c>
      <x:c r="K1" s="56" t="str">
        <x:v>source_data_status</x:v>
      </x:c>
    </x:row>
    <x:row r="2" ht="18" customHeight="1">
      <x:c r="A2" s="46" t="str">
        <x:v>HS_018</x:v>
      </x:c>
      <x:c r="B2" s="46" t="str"/>
      <x:c r="C2" s="46" t="str"/>
      <x:c r="D2" s="58" t="n">
        <x:v>2019</x:v>
      </x:c>
      <x:c r="E2" s="46" t="n">
        <x:v>0</x:v>
      </x:c>
      <x:c r="F2" s="46" t="n">
        <x:v>0</x:v>
      </x:c>
      <x:c r="G2" s="60" t="n">
        <x:v>0</x:v>
      </x:c>
      <x:c r="H2" s="60" t="n">
        <x:v>0</x:v>
      </x:c>
      <x:c r="I2" s="60" t="n">
        <x:v>0</x:v>
      </x:c>
      <x:c r="J2" s="46" t="str">
        <x:v>True</x:v>
      </x:c>
      <x:c r="K2" s="46" t="str">
        <x:v>empty_catch_archive</x:v>
      </x:c>
    </x:row>
    <x:row r="3" ht="18" customHeight="1">
      <x:c r="A3" s="46" t="str">
        <x:v>HS_021</x:v>
      </x:c>
      <x:c r="B3" s="46" t="str">
        <x:v>Atlantic, Northwest</x:v>
      </x:c>
      <x:c r="C3" s="46" t="str">
        <x:v>high_seas</x:v>
      </x:c>
      <x:c r="D3" s="58" t="n">
        <x:v>2019</x:v>
      </x:c>
      <x:c r="E3" s="46" t="n">
        <x:v>561</x:v>
      </x:c>
      <x:c r="F3" s="46" t="n">
        <x:v>67</x:v>
      </x:c>
      <x:c r="G3" s="60" t="n">
        <x:v>87745.0994728874</x:v>
      </x:c>
      <x:c r="H3" s="60" t="n">
        <x:v>87745.09947288739</x:v>
      </x:c>
      <x:c r="I3" s="60" t="n">
        <x:v>-1.4551915228366852e-11</x:v>
      </x:c>
      <x:c r="J3" s="46" t="str">
        <x:v>True</x:v>
      </x:c>
      <x:c r="K3" s="46" t="str">
        <x:v>available</x:v>
      </x:c>
    </x:row>
    <x:row r="4" ht="18" customHeight="1">
      <x:c r="A4" s="46" t="str">
        <x:v>HS_027</x:v>
      </x:c>
      <x:c r="B4" s="46" t="str">
        <x:v>Atlantic, Northeast</x:v>
      </x:c>
      <x:c r="C4" s="46" t="str">
        <x:v>high_seas</x:v>
      </x:c>
      <x:c r="D4" s="58" t="n">
        <x:v>2019</x:v>
      </x:c>
      <x:c r="E4" s="46" t="n">
        <x:v>1237</x:v>
      </x:c>
      <x:c r="F4" s="46" t="n">
        <x:v>131</x:v>
      </x:c>
      <x:c r="G4" s="60" t="n">
        <x:v>734932.2904610422</x:v>
      </x:c>
      <x:c r="H4" s="60" t="n">
        <x:v>734932.2904610422</x:v>
      </x:c>
      <x:c r="I4" s="60" t="n">
        <x:v>0</x:v>
      </x:c>
      <x:c r="J4" s="46" t="str">
        <x:v>True</x:v>
      </x:c>
      <x:c r="K4" s="46" t="str">
        <x:v>available</x:v>
      </x:c>
    </x:row>
    <x:row r="5" ht="18" customHeight="1">
      <x:c r="A5" s="46" t="str">
        <x:v>HS_031</x:v>
      </x:c>
      <x:c r="B5" s="46" t="str">
        <x:v>Atlantic, Western Central</x:v>
      </x:c>
      <x:c r="C5" s="46" t="str">
        <x:v>high_seas</x:v>
      </x:c>
      <x:c r="D5" s="58" t="n">
        <x:v>2019</x:v>
      </x:c>
      <x:c r="E5" s="46" t="n">
        <x:v>290</x:v>
      </x:c>
      <x:c r="F5" s="46" t="n">
        <x:v>32</x:v>
      </x:c>
      <x:c r="G5" s="60" t="n">
        <x:v>16859.0112032287</x:v>
      </x:c>
      <x:c r="H5" s="60" t="n">
        <x:v>16859.0112032287</x:v>
      </x:c>
      <x:c r="I5" s="60" t="n">
        <x:v>0</x:v>
      </x:c>
      <x:c r="J5" s="46" t="str">
        <x:v>True</x:v>
      </x:c>
      <x:c r="K5" s="46" t="str">
        <x:v>available</x:v>
      </x:c>
    </x:row>
    <x:row r="6" ht="18" customHeight="1">
      <x:c r="A6" s="46" t="str">
        <x:v>HS_034</x:v>
      </x:c>
      <x:c r="B6" s="46" t="str">
        <x:v>Atlantic, Eastern Central</x:v>
      </x:c>
      <x:c r="C6" s="46" t="str">
        <x:v>high_seas</x:v>
      </x:c>
      <x:c r="D6" s="58" t="n">
        <x:v>2019</x:v>
      </x:c>
      <x:c r="E6" s="46" t="n">
        <x:v>437</x:v>
      </x:c>
      <x:c r="F6" s="46" t="n">
        <x:v>37</x:v>
      </x:c>
      <x:c r="G6" s="60" t="n">
        <x:v>235319.4552726861</x:v>
      </x:c>
      <x:c r="H6" s="60" t="n">
        <x:v>235319.4552726861</x:v>
      </x:c>
      <x:c r="I6" s="60" t="n">
        <x:v>0</x:v>
      </x:c>
      <x:c r="J6" s="46" t="str">
        <x:v>True</x:v>
      </x:c>
      <x:c r="K6" s="46" t="str">
        <x:v>available</x:v>
      </x:c>
    </x:row>
    <x:row r="7" ht="18" customHeight="1">
      <x:c r="A7" s="46" t="str">
        <x:v>HS_041</x:v>
      </x:c>
      <x:c r="B7" s="46" t="str">
        <x:v>Atlantic, Southwest</x:v>
      </x:c>
      <x:c r="C7" s="46" t="str">
        <x:v>high_seas</x:v>
      </x:c>
      <x:c r="D7" s="58" t="n">
        <x:v>2019</x:v>
      </x:c>
      <x:c r="E7" s="46" t="n">
        <x:v>321</x:v>
      </x:c>
      <x:c r="F7" s="46" t="n">
        <x:v>33</x:v>
      </x:c>
      <x:c r="G7" s="60" t="n">
        <x:v>62238.3652132951</x:v>
      </x:c>
      <x:c r="H7" s="60" t="n">
        <x:v>62238.365213295096</x:v>
      </x:c>
      <x:c r="I7" s="60" t="n">
        <x:v>-7.275957614183426e-12</x:v>
      </x:c>
      <x:c r="J7" s="46" t="str">
        <x:v>True</x:v>
      </x:c>
      <x:c r="K7" s="46" t="str">
        <x:v>available</x:v>
      </x:c>
    </x:row>
    <x:row r="8" ht="18" customHeight="1">
      <x:c r="A8" s="46" t="str">
        <x:v>HS_047</x:v>
      </x:c>
      <x:c r="B8" s="46" t="str">
        <x:v>Atlantic, Southeast</x:v>
      </x:c>
      <x:c r="C8" s="46" t="str">
        <x:v>high_seas</x:v>
      </x:c>
      <x:c r="D8" s="58" t="n">
        <x:v>2019</x:v>
      </x:c>
      <x:c r="E8" s="46" t="n">
        <x:v>257</x:v>
      </x:c>
      <x:c r="F8" s="46" t="n">
        <x:v>35</x:v>
      </x:c>
      <x:c r="G8" s="60" t="n">
        <x:v>41830.7267805337</x:v>
      </x:c>
      <x:c r="H8" s="60" t="n">
        <x:v>41830.7267805337</x:v>
      </x:c>
      <x:c r="I8" s="60" t="n">
        <x:v>0</x:v>
      </x:c>
      <x:c r="J8" s="46" t="str">
        <x:v>True</x:v>
      </x:c>
      <x:c r="K8" s="46" t="str">
        <x:v>available</x:v>
      </x:c>
    </x:row>
    <x:row r="9" ht="18" customHeight="1">
      <x:c r="A9" s="46" t="str">
        <x:v>HS_048</x:v>
      </x:c>
      <x:c r="B9" s="46" t="str">
        <x:v>Atlantic, Antarctic</x:v>
      </x:c>
      <x:c r="C9" s="46" t="str">
        <x:v>high_seas</x:v>
      </x:c>
      <x:c r="D9" s="58" t="n">
        <x:v>2019</x:v>
      </x:c>
      <x:c r="E9" s="46" t="n">
        <x:v>43</x:v>
      </x:c>
      <x:c r="F9" s="46" t="n">
        <x:v>6</x:v>
      </x:c>
      <x:c r="G9" s="60" t="n">
        <x:v>154127.6154029508</x:v>
      </x:c>
      <x:c r="H9" s="60" t="n">
        <x:v>154127.6154029508</x:v>
      </x:c>
      <x:c r="I9" s="60" t="n">
        <x:v>0</x:v>
      </x:c>
      <x:c r="J9" s="46" t="str">
        <x:v>True</x:v>
      </x:c>
      <x:c r="K9" s="46" t="str">
        <x:v>available</x:v>
      </x:c>
    </x:row>
    <x:row r="10" ht="18" customHeight="1">
      <x:c r="A10" s="46" t="str">
        <x:v>HS_051</x:v>
      </x:c>
      <x:c r="B10" s="46" t="str">
        <x:v>Indian Ocean, Western</x:v>
      </x:c>
      <x:c r="C10" s="46" t="str">
        <x:v>high_seas</x:v>
      </x:c>
      <x:c r="D10" s="58" t="n">
        <x:v>2019</x:v>
      </x:c>
      <x:c r="E10" s="46" t="n">
        <x:v>262</x:v>
      </x:c>
      <x:c r="F10" s="46" t="n">
        <x:v>36</x:v>
      </x:c>
      <x:c r="G10" s="60" t="n">
        <x:v>377854.0083285441</x:v>
      </x:c>
      <x:c r="H10" s="60" t="n">
        <x:v>377854.0083285441</x:v>
      </x:c>
      <x:c r="I10" s="60" t="n">
        <x:v>0</x:v>
      </x:c>
      <x:c r="J10" s="46" t="str">
        <x:v>True</x:v>
      </x:c>
      <x:c r="K10" s="46" t="str">
        <x:v>available</x:v>
      </x:c>
    </x:row>
    <x:row r="11" ht="18" customHeight="1">
      <x:c r="A11" s="46" t="str">
        <x:v>HS_057</x:v>
      </x:c>
      <x:c r="B11" s="46" t="str">
        <x:v>Indian Ocean, Eastern</x:v>
      </x:c>
      <x:c r="C11" s="46" t="str">
        <x:v>high_seas</x:v>
      </x:c>
      <x:c r="D11" s="58" t="n">
        <x:v>2019</x:v>
      </x:c>
      <x:c r="E11" s="46" t="n">
        <x:v>257</x:v>
      </x:c>
      <x:c r="F11" s="46" t="n">
        <x:v>34</x:v>
      </x:c>
      <x:c r="G11" s="60" t="n">
        <x:v>249459.5239463328</x:v>
      </x:c>
      <x:c r="H11" s="60" t="n">
        <x:v>249459.5239463328</x:v>
      </x:c>
      <x:c r="I11" s="60" t="n">
        <x:v>0</x:v>
      </x:c>
      <x:c r="J11" s="46" t="str">
        <x:v>True</x:v>
      </x:c>
      <x:c r="K11" s="46" t="str">
        <x:v>available</x:v>
      </x:c>
    </x:row>
    <x:row r="12" ht="18" customHeight="1">
      <x:c r="A12" s="46" t="str">
        <x:v>HS_058</x:v>
      </x:c>
      <x:c r="B12" s="46" t="str">
        <x:v>Indian Ocean, Antarctic</x:v>
      </x:c>
      <x:c r="C12" s="46" t="str">
        <x:v>high_seas</x:v>
      </x:c>
      <x:c r="D12" s="58" t="n">
        <x:v>2019</x:v>
      </x:c>
      <x:c r="E12" s="46" t="n">
        <x:v>51</x:v>
      </x:c>
      <x:c r="F12" s="46" t="n">
        <x:v>6</x:v>
      </x:c>
      <x:c r="G12" s="60" t="n">
        <x:v>1622.2799593135</x:v>
      </x:c>
      <x:c r="H12" s="60" t="n">
        <x:v>1622.2799593135003</x:v>
      </x:c>
      <x:c r="I12" s="60" t="n">
        <x:v>2.2737367544323206e-13</x:v>
      </x:c>
      <x:c r="J12" s="46" t="str">
        <x:v>True</x:v>
      </x:c>
      <x:c r="K12" s="46" t="str">
        <x:v>available</x:v>
      </x:c>
    </x:row>
    <x:row r="13" ht="18" customHeight="1">
      <x:c r="A13" s="46" t="str">
        <x:v>HS_061</x:v>
      </x:c>
      <x:c r="B13" s="46" t="str">
        <x:v>Pacific, Northwest</x:v>
      </x:c>
      <x:c r="C13" s="46" t="str">
        <x:v>high_seas</x:v>
      </x:c>
      <x:c r="D13" s="58" t="n">
        <x:v>2019</x:v>
      </x:c>
      <x:c r="E13" s="46" t="n">
        <x:v>467</x:v>
      </x:c>
      <x:c r="F13" s="46" t="n">
        <x:v>21</x:v>
      </x:c>
      <x:c r="G13" s="60" t="n">
        <x:v>132995.67933726677</x:v>
      </x:c>
      <x:c r="H13" s="60" t="n">
        <x:v>132995.6793372668</x:v>
      </x:c>
      <x:c r="I13" s="60" t="n">
        <x:v>2.9103830456733704e-11</x:v>
      </x:c>
      <x:c r="J13" s="46" t="str">
        <x:v>True</x:v>
      </x:c>
      <x:c r="K13" s="46" t="str">
        <x:v>available</x:v>
      </x:c>
    </x:row>
    <x:row r="14" ht="18" customHeight="1">
      <x:c r="A14" s="46" t="str">
        <x:v>HS_067</x:v>
      </x:c>
      <x:c r="B14" s="46" t="str">
        <x:v>Pacific, Northeast</x:v>
      </x:c>
      <x:c r="C14" s="46" t="str">
        <x:v>high_seas</x:v>
      </x:c>
      <x:c r="D14" s="58" t="n">
        <x:v>2019</x:v>
      </x:c>
      <x:c r="E14" s="46" t="n">
        <x:v>77</x:v>
      </x:c>
      <x:c r="F14" s="46" t="n">
        <x:v>16</x:v>
      </x:c>
      <x:c r="G14" s="60" t="n">
        <x:v>402.2913954087</x:v>
      </x:c>
      <x:c r="H14" s="60" t="n">
        <x:v>402.2913954087</x:v>
      </x:c>
      <x:c r="I14" s="60" t="n">
        <x:v>0</x:v>
      </x:c>
      <x:c r="J14" s="46" t="str">
        <x:v>True</x:v>
      </x:c>
      <x:c r="K14" s="46" t="str">
        <x:v>available</x:v>
      </x:c>
    </x:row>
    <x:row r="15" ht="18" customHeight="1">
      <x:c r="A15" s="46" t="str">
        <x:v>HS_071</x:v>
      </x:c>
      <x:c r="B15" s="46" t="str">
        <x:v>Pacific, Western Central</x:v>
      </x:c>
      <x:c r="C15" s="46" t="str">
        <x:v>high_seas</x:v>
      </x:c>
      <x:c r="D15" s="58" t="n">
        <x:v>2019</x:v>
      </x:c>
      <x:c r="E15" s="46" t="n">
        <x:v>764</x:v>
      </x:c>
      <x:c r="F15" s="46" t="n">
        <x:v>23</x:v>
      </x:c>
      <x:c r="G15" s="60" t="n">
        <x:v>571817.786555246</x:v>
      </x:c>
      <x:c r="H15" s="60" t="n">
        <x:v>571817.786555246</x:v>
      </x:c>
      <x:c r="I15" s="60" t="n">
        <x:v>0</x:v>
      </x:c>
      <x:c r="J15" s="46" t="str">
        <x:v>True</x:v>
      </x:c>
      <x:c r="K15" s="46" t="str">
        <x:v>available</x:v>
      </x:c>
    </x:row>
    <x:row r="16" ht="18" customHeight="1">
      <x:c r="A16" s="46" t="str">
        <x:v>HS_077</x:v>
      </x:c>
      <x:c r="B16" s="46" t="str">
        <x:v>Pacific, Eastern Central</x:v>
      </x:c>
      <x:c r="C16" s="46" t="str">
        <x:v>high_seas</x:v>
      </x:c>
      <x:c r="D16" s="58" t="n">
        <x:v>2019</x:v>
      </x:c>
      <x:c r="E16" s="46" t="n">
        <x:v>1083</x:v>
      </x:c>
      <x:c r="F16" s="46" t="n">
        <x:v>26</x:v>
      </x:c>
      <x:c r="G16" s="60" t="n">
        <x:v>860671.2076084926</x:v>
      </x:c>
      <x:c r="H16" s="60" t="n">
        <x:v>860671.2076084926</x:v>
      </x:c>
      <x:c r="I16" s="60" t="n">
        <x:v>0</x:v>
      </x:c>
      <x:c r="J16" s="46" t="str">
        <x:v>True</x:v>
      </x:c>
      <x:c r="K16" s="46" t="str">
        <x:v>available</x:v>
      </x:c>
    </x:row>
    <x:row r="17" ht="18" customHeight="1">
      <x:c r="A17" s="46" t="str">
        <x:v>HS_081</x:v>
      </x:c>
      <x:c r="B17" s="46" t="str">
        <x:v>Pacific, Southwest</x:v>
      </x:c>
      <x:c r="C17" s="46" t="str">
        <x:v>high_seas</x:v>
      </x:c>
      <x:c r="D17" s="58" t="n">
        <x:v>2019</x:v>
      </x:c>
      <x:c r="E17" s="46" t="n">
        <x:v>728</x:v>
      </x:c>
      <x:c r="F17" s="46" t="n">
        <x:v>27</x:v>
      </x:c>
      <x:c r="G17" s="60" t="n">
        <x:v>45252.4668227171</x:v>
      </x:c>
      <x:c r="H17" s="60" t="n">
        <x:v>45252.46682271709</x:v>
      </x:c>
      <x:c r="I17" s="60" t="n">
        <x:v>-7.275957614183426e-12</x:v>
      </x:c>
      <x:c r="J17" s="46" t="str">
        <x:v>True</x:v>
      </x:c>
      <x:c r="K17" s="46" t="str">
        <x:v>available</x:v>
      </x:c>
    </x:row>
    <x:row r="18" ht="18" customHeight="1">
      <x:c r="A18" s="46" t="str">
        <x:v>HS_087</x:v>
      </x:c>
      <x:c r="B18" s="46" t="str">
        <x:v>Pacific, Southeast</x:v>
      </x:c>
      <x:c r="C18" s="46" t="str">
        <x:v>high_seas</x:v>
      </x:c>
      <x:c r="D18" s="58" t="n">
        <x:v>2019</x:v>
      </x:c>
      <x:c r="E18" s="46" t="n">
        <x:v>543</x:v>
      </x:c>
      <x:c r="F18" s="46" t="n">
        <x:v>25</x:v>
      </x:c>
      <x:c r="G18" s="60" t="n">
        <x:v>245882.4176735426</x:v>
      </x:c>
      <x:c r="H18" s="60" t="n">
        <x:v>245882.41767354263</x:v>
      </x:c>
      <x:c r="I18" s="60" t="n">
        <x:v>2.9103830456733704e-11</x:v>
      </x:c>
      <x:c r="J18" s="46" t="str">
        <x:v>True</x:v>
      </x:c>
      <x:c r="K18" s="46" t="str">
        <x:v>available</x:v>
      </x:c>
    </x:row>
    <x:row r="19" ht="18" customHeight="1">
      <x:c r="A19" s="46" t="str">
        <x:v>HS_088</x:v>
      </x:c>
      <x:c r="B19" s="46" t="str">
        <x:v>Pacific, Antarctic</x:v>
      </x:c>
      <x:c r="C19" s="46" t="str">
        <x:v>high_seas</x:v>
      </x:c>
      <x:c r="D19" s="58" t="n">
        <x:v>2019</x:v>
      </x:c>
      <x:c r="E19" s="46" t="n">
        <x:v>353</x:v>
      </x:c>
      <x:c r="F19" s="46" t="n">
        <x:v>32</x:v>
      </x:c>
      <x:c r="G19" s="60" t="n">
        <x:v>3559.327863</x:v>
      </x:c>
      <x:c r="H19" s="60" t="n">
        <x:v>3559.327863</x:v>
      </x:c>
      <x:c r="I19" s="60" t="n">
        <x:v>0</x:v>
      </x:c>
      <x:c r="J19" s="46" t="str">
        <x:v>True</x:v>
      </x:c>
      <x:c r="K19" s="46" t="str">
        <x:v>available</x:v>
      </x:c>
    </x:row>
    <x:row r="20" ht="18" customHeight="1">
      <x:c r="A20" s="46" t="str">
        <x:v>LME_001</x:v>
      </x:c>
      <x:c r="B20" s="46" t="str">
        <x:v>East Bering Sea</x:v>
      </x:c>
      <x:c r="C20" s="46" t="str">
        <x:v>lme</x:v>
      </x:c>
      <x:c r="D20" s="58" t="n">
        <x:v>2019</x:v>
      </x:c>
      <x:c r="E20" s="46" t="n">
        <x:v>453</x:v>
      </x:c>
      <x:c r="F20" s="46" t="n">
        <x:v>73</x:v>
      </x:c>
      <x:c r="G20" s="60" t="n">
        <x:v>1300999.7714510455</x:v>
      </x:c>
      <x:c r="H20" s="60" t="n">
        <x:v>1300999.771451045</x:v>
      </x:c>
      <x:c r="I20" s="60" t="n">
        <x:v>-4.656612873077393e-10</x:v>
      </x:c>
      <x:c r="J20" s="46" t="str">
        <x:v>True</x:v>
      </x:c>
      <x:c r="K20" s="46" t="str">
        <x:v>available</x:v>
      </x:c>
    </x:row>
    <x:row r="21" ht="18" customHeight="1">
      <x:c r="A21" s="46" t="str">
        <x:v>LME_002</x:v>
      </x:c>
      <x:c r="B21" s="46" t="str">
        <x:v>Gulf of Alaska</x:v>
      </x:c>
      <x:c r="C21" s="46" t="str">
        <x:v>lme</x:v>
      </x:c>
      <x:c r="D21" s="58" t="n">
        <x:v>2019</x:v>
      </x:c>
      <x:c r="E21" s="46" t="n">
        <x:v>1528</x:v>
      </x:c>
      <x:c r="F21" s="46" t="n">
        <x:v>170</x:v>
      </x:c>
      <x:c r="G21" s="60" t="n">
        <x:v>1102866.6258441233</x:v>
      </x:c>
      <x:c r="H21" s="60" t="n">
        <x:v>1102866.6258441233</x:v>
      </x:c>
      <x:c r="I21" s="60" t="n">
        <x:v>0</x:v>
      </x:c>
      <x:c r="J21" s="46" t="str">
        <x:v>True</x:v>
      </x:c>
      <x:c r="K21" s="46" t="str">
        <x:v>available</x:v>
      </x:c>
    </x:row>
    <x:row r="22" ht="18" customHeight="1">
      <x:c r="A22" s="46" t="str">
        <x:v>LME_003</x:v>
      </x:c>
      <x:c r="B22" s="46" t="str">
        <x:v>California Current</x:v>
      </x:c>
      <x:c r="C22" s="46" t="str">
        <x:v>lme</x:v>
      </x:c>
      <x:c r="D22" s="58" t="n">
        <x:v>2019</x:v>
      </x:c>
      <x:c r="E22" s="46" t="n">
        <x:v>2433</x:v>
      </x:c>
      <x:c r="F22" s="46" t="n">
        <x:v>277</x:v>
      </x:c>
      <x:c r="G22" s="60" t="n">
        <x:v>1037537.6190575529</x:v>
      </x:c>
      <x:c r="H22" s="60" t="n">
        <x:v>1037537.6190575529</x:v>
      </x:c>
      <x:c r="I22" s="60" t="n">
        <x:v>0</x:v>
      </x:c>
      <x:c r="J22" s="46" t="str">
        <x:v>True</x:v>
      </x:c>
      <x:c r="K22" s="46" t="str">
        <x:v>available</x:v>
      </x:c>
    </x:row>
    <x:row r="23" ht="18" customHeight="1">
      <x:c r="A23" s="46" t="str">
        <x:v>LME_004</x:v>
      </x:c>
      <x:c r="B23" s="46" t="str">
        <x:v>Gulf of California</x:v>
      </x:c>
      <x:c r="C23" s="46" t="str">
        <x:v>lme</x:v>
      </x:c>
      <x:c r="D23" s="58" t="n">
        <x:v>2019</x:v>
      </x:c>
      <x:c r="E23" s="46" t="n">
        <x:v>644</x:v>
      </x:c>
      <x:c r="F23" s="46" t="n">
        <x:v>129</x:v>
      </x:c>
      <x:c r="G23" s="60" t="n">
        <x:v>664877.8552277526</x:v>
      </x:c>
      <x:c r="H23" s="60" t="n">
        <x:v>664877.8552277526</x:v>
      </x:c>
      <x:c r="I23" s="60" t="n">
        <x:v>0</x:v>
      </x:c>
      <x:c r="J23" s="46" t="str">
        <x:v>True</x:v>
      </x:c>
      <x:c r="K23" s="46" t="str">
        <x:v>available</x:v>
      </x:c>
    </x:row>
    <x:row r="24" ht="18" customHeight="1">
      <x:c r="A24" s="46" t="str">
        <x:v>LME_005</x:v>
      </x:c>
      <x:c r="B24" s="46" t="str">
        <x:v>Gulf of Mexico</x:v>
      </x:c>
      <x:c r="C24" s="46" t="str">
        <x:v>lme</x:v>
      </x:c>
      <x:c r="D24" s="58" t="n">
        <x:v>2019</x:v>
      </x:c>
      <x:c r="E24" s="46" t="n">
        <x:v>12968</x:v>
      </x:c>
      <x:c r="F24" s="46" t="n">
        <x:v>418</x:v>
      </x:c>
      <x:c r="G24" s="60" t="n">
        <x:v>1549275.8254257175</x:v>
      </x:c>
      <x:c r="H24" s="60" t="n">
        <x:v>1549275.8254257175</x:v>
      </x:c>
      <x:c r="I24" s="60" t="n">
        <x:v>0</x:v>
      </x:c>
      <x:c r="J24" s="46" t="str">
        <x:v>True</x:v>
      </x:c>
      <x:c r="K24" s="46" t="str">
        <x:v>available</x:v>
      </x:c>
    </x:row>
    <x:row r="25" ht="18" customHeight="1">
      <x:c r="A25" s="46" t="str">
        <x:v>LME_006</x:v>
      </x:c>
      <x:c r="B25" s="46" t="str">
        <x:v>Southeast U.S. Continental Shelf</x:v>
      </x:c>
      <x:c r="C25" s="46" t="str">
        <x:v>lme</x:v>
      </x:c>
      <x:c r="D25" s="58" t="n">
        <x:v>2019</x:v>
      </x:c>
      <x:c r="E25" s="46" t="n">
        <x:v>5973</x:v>
      </x:c>
      <x:c r="F25" s="46" t="n">
        <x:v>283</x:v>
      </x:c>
      <x:c r="G25" s="60" t="n">
        <x:v>115599.57003481101</x:v>
      </x:c>
      <x:c r="H25" s="60" t="n">
        <x:v>115599.570034811</x:v>
      </x:c>
      <x:c r="I25" s="60" t="n">
        <x:v>-1.4551915228366852e-11</x:v>
      </x:c>
      <x:c r="J25" s="46" t="str">
        <x:v>True</x:v>
      </x:c>
      <x:c r="K25" s="46" t="str">
        <x:v>available</x:v>
      </x:c>
    </x:row>
    <x:row r="26" ht="18" customHeight="1">
      <x:c r="A26" s="46" t="str">
        <x:v>LME_007</x:v>
      </x:c>
      <x:c r="B26" s="46" t="str">
        <x:v>Northeast U.S. Continental Shelf</x:v>
      </x:c>
      <x:c r="C26" s="46" t="str">
        <x:v>lme</x:v>
      </x:c>
      <x:c r="D26" s="58" t="n">
        <x:v>2019</x:v>
      </x:c>
      <x:c r="E26" s="46" t="n">
        <x:v>5309</x:v>
      </x:c>
      <x:c r="F26" s="46" t="n">
        <x:v>232</x:v>
      </x:c>
      <x:c r="G26" s="60" t="n">
        <x:v>700878.7473042158</x:v>
      </x:c>
      <x:c r="H26" s="60" t="n">
        <x:v>700878.7473042159</x:v>
      </x:c>
      <x:c r="I26" s="60" t="n">
        <x:v>1.1641532182693481e-10</x:v>
      </x:c>
      <x:c r="J26" s="46" t="str">
        <x:v>True</x:v>
      </x:c>
      <x:c r="K26" s="46" t="str">
        <x:v>available</x:v>
      </x:c>
    </x:row>
    <x:row r="27" ht="18" customHeight="1">
      <x:c r="A27" s="46" t="str">
        <x:v>LME_008</x:v>
      </x:c>
      <x:c r="B27" s="46" t="str">
        <x:v>Scotian Shelf</x:v>
      </x:c>
      <x:c r="C27" s="46" t="str">
        <x:v>lme</x:v>
      </x:c>
      <x:c r="D27" s="58" t="n">
        <x:v>2019</x:v>
      </x:c>
      <x:c r="E27" s="46" t="n">
        <x:v>574</x:v>
      </x:c>
      <x:c r="F27" s="46" t="n">
        <x:v>92</x:v>
      </x:c>
      <x:c r="G27" s="60" t="n">
        <x:v>148680.2607308072</x:v>
      </x:c>
      <x:c r="H27" s="60" t="n">
        <x:v>148680.2607308072</x:v>
      </x:c>
      <x:c r="I27" s="60" t="n">
        <x:v>0</x:v>
      </x:c>
      <x:c r="J27" s="46" t="str">
        <x:v>True</x:v>
      </x:c>
      <x:c r="K27" s="46" t="str">
        <x:v>available</x:v>
      </x:c>
    </x:row>
    <x:row r="28" ht="18" customHeight="1">
      <x:c r="A28" s="46" t="str">
        <x:v>LME_009</x:v>
      </x:c>
      <x:c r="B28" s="46" t="str">
        <x:v>Newfoundland-Labrador Shelf</x:v>
      </x:c>
      <x:c r="C28" s="46" t="str">
        <x:v>lme</x:v>
      </x:c>
      <x:c r="D28" s="58" t="n">
        <x:v>2019</x:v>
      </x:c>
      <x:c r="E28" s="46" t="n">
        <x:v>1041</x:v>
      </x:c>
      <x:c r="F28" s="46" t="n">
        <x:v>111</x:v>
      </x:c>
      <x:c r="G28" s="60" t="n">
        <x:v>506689.99406100804</x:v>
      </x:c>
      <x:c r="H28" s="60" t="n">
        <x:v>506689.99406100804</x:v>
      </x:c>
      <x:c r="I28" s="60" t="n">
        <x:v>0</x:v>
      </x:c>
      <x:c r="J28" s="46" t="str">
        <x:v>True</x:v>
      </x:c>
      <x:c r="K28" s="46" t="str">
        <x:v>available</x:v>
      </x:c>
    </x:row>
    <x:row r="29" ht="18" customHeight="1">
      <x:c r="A29" s="46" t="str">
        <x:v>LME_010</x:v>
      </x:c>
      <x:c r="B29" s="46" t="str">
        <x:v>Insular Pacific-Hawaiian</x:v>
      </x:c>
      <x:c r="C29" s="46" t="str">
        <x:v>lme</x:v>
      </x:c>
      <x:c r="D29" s="58" t="n">
        <x:v>2019</x:v>
      </x:c>
      <x:c r="E29" s="46" t="n">
        <x:v>632</x:v>
      </x:c>
      <x:c r="F29" s="46" t="n">
        <x:v>140</x:v>
      </x:c>
      <x:c r="G29" s="60" t="n">
        <x:v>21171.953396398498</x:v>
      </x:c>
      <x:c r="H29" s="60" t="n">
        <x:v>21171.9533963985</x:v>
      </x:c>
      <x:c r="I29" s="60" t="n">
        <x:v>3.637978807091713e-12</x:v>
      </x:c>
      <x:c r="J29" s="46" t="str">
        <x:v>True</x:v>
      </x:c>
      <x:c r="K29" s="46" t="str">
        <x:v>available</x:v>
      </x:c>
    </x:row>
    <x:row r="30" ht="18" customHeight="1">
      <x:c r="A30" s="46" t="str">
        <x:v>LME_011</x:v>
      </x:c>
      <x:c r="B30" s="46" t="str">
        <x:v>Pacific Central-American Coastal</x:v>
      </x:c>
      <x:c r="C30" s="46" t="str">
        <x:v>lme</x:v>
      </x:c>
      <x:c r="D30" s="58" t="n">
        <x:v>2019</x:v>
      </x:c>
      <x:c r="E30" s="46" t="n">
        <x:v>4398</x:v>
      </x:c>
      <x:c r="F30" s="46" t="n">
        <x:v>270</x:v>
      </x:c>
      <x:c r="G30" s="60" t="n">
        <x:v>1587670.7135199134</x:v>
      </x:c>
      <x:c r="H30" s="60" t="n">
        <x:v>1587670.7135199131</x:v>
      </x:c>
      <x:c r="I30" s="60" t="n">
        <x:v>-2.3283064365386963e-10</x:v>
      </x:c>
      <x:c r="J30" s="46" t="str">
        <x:v>True</x:v>
      </x:c>
      <x:c r="K30" s="46" t="str">
        <x:v>available</x:v>
      </x:c>
    </x:row>
    <x:row r="31" ht="18" customHeight="1">
      <x:c r="A31" s="46" t="str">
        <x:v>LME_012</x:v>
      </x:c>
      <x:c r="B31" s="46" t="str">
        <x:v>Caribbean Sea</x:v>
      </x:c>
      <x:c r="C31" s="46" t="str">
        <x:v>lme</x:v>
      </x:c>
      <x:c r="D31" s="58" t="n">
        <x:v>2019</x:v>
      </x:c>
      <x:c r="E31" s="46" t="n">
        <x:v>19871</x:v>
      </x:c>
      <x:c r="F31" s="46" t="n">
        <x:v>507</x:v>
      </x:c>
      <x:c r="G31" s="60" t="n">
        <x:v>625707.9632201534</x:v>
      </x:c>
      <x:c r="H31" s="60" t="n">
        <x:v>625707.9632201535</x:v>
      </x:c>
      <x:c r="I31" s="60" t="n">
        <x:v>1.1641532182693481e-10</x:v>
      </x:c>
      <x:c r="J31" s="46" t="str">
        <x:v>True</x:v>
      </x:c>
      <x:c r="K31" s="46" t="str">
        <x:v>available</x:v>
      </x:c>
    </x:row>
    <x:row r="32" ht="18" customHeight="1">
      <x:c r="A32" s="46" t="str">
        <x:v>LME_013</x:v>
      </x:c>
      <x:c r="B32" s="46" t="str">
        <x:v>Humboldt Current</x:v>
      </x:c>
      <x:c r="C32" s="46" t="str">
        <x:v>lme</x:v>
      </x:c>
      <x:c r="D32" s="58" t="n">
        <x:v>2019</x:v>
      </x:c>
      <x:c r="E32" s="46" t="n">
        <x:v>2211</x:v>
      </x:c>
      <x:c r="F32" s="46" t="n">
        <x:v>184</x:v>
      </x:c>
      <x:c r="G32" s="60" t="n">
        <x:v>7390380.680601614</x:v>
      </x:c>
      <x:c r="H32" s="60" t="n">
        <x:v>7390380.680601613</x:v>
      </x:c>
      <x:c r="I32" s="60" t="n">
        <x:v>-9.313225746154785e-10</x:v>
      </x:c>
      <x:c r="J32" s="46" t="str">
        <x:v>True</x:v>
      </x:c>
      <x:c r="K32" s="46" t="str">
        <x:v>available</x:v>
      </x:c>
    </x:row>
    <x:row r="33" ht="18" customHeight="1">
      <x:c r="A33" s="46" t="str">
        <x:v>LME_014</x:v>
      </x:c>
      <x:c r="B33" s="46" t="str">
        <x:v>Patagonian Shelf</x:v>
      </x:c>
      <x:c r="C33" s="46" t="str">
        <x:v>lme</x:v>
      </x:c>
      <x:c r="D33" s="58" t="n">
        <x:v>2019</x:v>
      </x:c>
      <x:c r="E33" s="46" t="n">
        <x:v>5190</x:v>
      </x:c>
      <x:c r="F33" s="46" t="n">
        <x:v>195</x:v>
      </x:c>
      <x:c r="G33" s="60" t="n">
        <x:v>1589890.9385366845</x:v>
      </x:c>
      <x:c r="H33" s="60" t="n">
        <x:v>1589890.9385366838</x:v>
      </x:c>
      <x:c r="I33" s="60" t="n">
        <x:v>-6.984919309616089e-10</x:v>
      </x:c>
      <x:c r="J33" s="46" t="str">
        <x:v>True</x:v>
      </x:c>
      <x:c r="K33" s="46" t="str">
        <x:v>available</x:v>
      </x:c>
    </x:row>
    <x:row r="34" ht="18" customHeight="1">
      <x:c r="A34" s="46" t="str">
        <x:v>LME_015</x:v>
      </x:c>
      <x:c r="B34" s="46" t="str">
        <x:v>South Brazil Shelf</x:v>
      </x:c>
      <x:c r="C34" s="46" t="str">
        <x:v>lme</x:v>
      </x:c>
      <x:c r="D34" s="58" t="n">
        <x:v>2019</x:v>
      </x:c>
      <x:c r="E34" s="46" t="n">
        <x:v>7388</x:v>
      </x:c>
      <x:c r="F34" s="46" t="n">
        <x:v>264</x:v>
      </x:c>
      <x:c r="G34" s="60" t="n">
        <x:v>292432.0999772061</x:v>
      </x:c>
      <x:c r="H34" s="60" t="n">
        <x:v>292432.0999772061</x:v>
      </x:c>
      <x:c r="I34" s="60" t="n">
        <x:v>0</x:v>
      </x:c>
      <x:c r="J34" s="46" t="str">
        <x:v>True</x:v>
      </x:c>
      <x:c r="K34" s="46" t="str">
        <x:v>available</x:v>
      </x:c>
    </x:row>
    <x:row r="35" ht="18" customHeight="1">
      <x:c r="A35" s="46" t="str">
        <x:v>LME_016</x:v>
      </x:c>
      <x:c r="B35" s="46" t="str">
        <x:v>East Brazil Shelf</x:v>
      </x:c>
      <x:c r="C35" s="46" t="str">
        <x:v>lme</x:v>
      </x:c>
      <x:c r="D35" s="58" t="n">
        <x:v>2019</x:v>
      </x:c>
      <x:c r="E35" s="46" t="n">
        <x:v>7252</x:v>
      </x:c>
      <x:c r="F35" s="46" t="n">
        <x:v>254</x:v>
      </x:c>
      <x:c r="G35" s="60" t="n">
        <x:v>306003.2887419415</x:v>
      </x:c>
      <x:c r="H35" s="60" t="n">
        <x:v>306003.2887419415</x:v>
      </x:c>
      <x:c r="I35" s="60" t="n">
        <x:v>0</x:v>
      </x:c>
      <x:c r="J35" s="46" t="str">
        <x:v>True</x:v>
      </x:c>
      <x:c r="K35" s="46" t="str">
        <x:v>available</x:v>
      </x:c>
    </x:row>
    <x:row r="36" ht="18" customHeight="1">
      <x:c r="A36" s="46" t="str">
        <x:v>LME_017</x:v>
      </x:c>
      <x:c r="B36" s="46" t="str">
        <x:v>North Brazil Shelf</x:v>
      </x:c>
      <x:c r="C36" s="46" t="str">
        <x:v>lme</x:v>
      </x:c>
      <x:c r="D36" s="58" t="n">
        <x:v>2019</x:v>
      </x:c>
      <x:c r="E36" s="46" t="n">
        <x:v>9018</x:v>
      </x:c>
      <x:c r="F36" s="46" t="n">
        <x:v>311</x:v>
      </x:c>
      <x:c r="G36" s="60" t="n">
        <x:v>453226.0308527972</x:v>
      </x:c>
      <x:c r="H36" s="60" t="n">
        <x:v>453226.0308527972</x:v>
      </x:c>
      <x:c r="I36" s="60" t="n">
        <x:v>0</x:v>
      </x:c>
      <x:c r="J36" s="46" t="str">
        <x:v>True</x:v>
      </x:c>
      <x:c r="K36" s="46" t="str">
        <x:v>available</x:v>
      </x:c>
    </x:row>
    <x:row r="37" ht="18" customHeight="1">
      <x:c r="A37" s="46" t="str">
        <x:v>LME_018</x:v>
      </x:c>
      <x:c r="B37" s="46" t="str">
        <x:v>Canadian Eastern Arctic -West Greenland</x:v>
      </x:c>
      <x:c r="C37" s="46" t="str">
        <x:v>lme</x:v>
      </x:c>
      <x:c r="D37" s="58" t="n">
        <x:v>2019</x:v>
      </x:c>
      <x:c r="E37" s="46" t="n">
        <x:v>448</x:v>
      </x:c>
      <x:c r="F37" s="46" t="n">
        <x:v>61</x:v>
      </x:c>
      <x:c r="G37" s="60" t="n">
        <x:v>219045.6241691814</x:v>
      </x:c>
      <x:c r="H37" s="60" t="n">
        <x:v>219045.62416918145</x:v>
      </x:c>
      <x:c r="I37" s="60" t="n">
        <x:v>5.820766091346741e-11</x:v>
      </x:c>
      <x:c r="J37" s="46" t="str">
        <x:v>True</x:v>
      </x:c>
      <x:c r="K37" s="46" t="str">
        <x:v>available</x:v>
      </x:c>
    </x:row>
    <x:row r="38" ht="18" customHeight="1">
      <x:c r="A38" s="46" t="str">
        <x:v>LME_019</x:v>
      </x:c>
      <x:c r="B38" s="46" t="str">
        <x:v>Greenland Sea</x:v>
      </x:c>
      <x:c r="C38" s="46" t="str">
        <x:v>lme</x:v>
      </x:c>
      <x:c r="D38" s="58" t="n">
        <x:v>2019</x:v>
      </x:c>
      <x:c r="E38" s="46" t="n">
        <x:v>1241</x:v>
      </x:c>
      <x:c r="F38" s="46" t="n">
        <x:v>64</x:v>
      </x:c>
      <x:c r="G38" s="60" t="n">
        <x:v>87093.82357372019</x:v>
      </x:c>
      <x:c r="H38" s="60" t="n">
        <x:v>87093.82357372019</x:v>
      </x:c>
      <x:c r="I38" s="60" t="n">
        <x:v>0</x:v>
      </x:c>
      <x:c r="J38" s="46" t="str">
        <x:v>True</x:v>
      </x:c>
      <x:c r="K38" s="46" t="str">
        <x:v>available</x:v>
      </x:c>
    </x:row>
    <x:row r="39" ht="18" customHeight="1">
      <x:c r="A39" s="46" t="str">
        <x:v>LME_020</x:v>
      </x:c>
      <x:c r="B39" s="46" t="str">
        <x:v>Barents Sea</x:v>
      </x:c>
      <x:c r="C39" s="46" t="str">
        <x:v>lme</x:v>
      </x:c>
      <x:c r="D39" s="58" t="n">
        <x:v>2019</x:v>
      </x:c>
      <x:c r="E39" s="46" t="n">
        <x:v>1939</x:v>
      </x:c>
      <x:c r="F39" s="46" t="n">
        <x:v>138</x:v>
      </x:c>
      <x:c r="G39" s="60" t="n">
        <x:v>675569.0179631643</x:v>
      </x:c>
      <x:c r="H39" s="60" t="n">
        <x:v>675569.0179631643</x:v>
      </x:c>
      <x:c r="I39" s="60" t="n">
        <x:v>0</x:v>
      </x:c>
      <x:c r="J39" s="46" t="str">
        <x:v>True</x:v>
      </x:c>
      <x:c r="K39" s="46" t="str">
        <x:v>available</x:v>
      </x:c>
    </x:row>
    <x:row r="40" ht="18" customHeight="1">
      <x:c r="A40" s="46" t="str">
        <x:v>LME_021</x:v>
      </x:c>
      <x:c r="B40" s="46" t="str">
        <x:v>Norwegian Sea</x:v>
      </x:c>
      <x:c r="C40" s="46" t="str">
        <x:v>lme</x:v>
      </x:c>
      <x:c r="D40" s="58" t="n">
        <x:v>2019</x:v>
      </x:c>
      <x:c r="E40" s="46" t="n">
        <x:v>1552</x:v>
      </x:c>
      <x:c r="F40" s="46" t="n">
        <x:v>162</x:v>
      </x:c>
      <x:c r="G40" s="60" t="n">
        <x:v>707251.5165434973</x:v>
      </x:c>
      <x:c r="H40" s="60" t="n">
        <x:v>707251.5165434972</x:v>
      </x:c>
      <x:c r="I40" s="60" t="n">
        <x:v>-1.1641532182693481e-10</x:v>
      </x:c>
      <x:c r="J40" s="46" t="str">
        <x:v>True</x:v>
      </x:c>
      <x:c r="K40" s="46" t="str">
        <x:v>available</x:v>
      </x:c>
    </x:row>
    <x:row r="41" ht="18" customHeight="1">
      <x:c r="A41" s="46" t="str">
        <x:v>LME_022</x:v>
      </x:c>
      <x:c r="B41" s="46" t="str">
        <x:v>North Sea</x:v>
      </x:c>
      <x:c r="C41" s="46" t="str">
        <x:v>lme</x:v>
      </x:c>
      <x:c r="D41" s="58" t="n">
        <x:v>2019</x:v>
      </x:c>
      <x:c r="E41" s="46" t="n">
        <x:v>13340</x:v>
      </x:c>
      <x:c r="F41" s="46" t="n">
        <x:v>312</x:v>
      </x:c>
      <x:c r="G41" s="60" t="n">
        <x:v>2717260.6982051707</x:v>
      </x:c>
      <x:c r="H41" s="60" t="n">
        <x:v>2717260.6982051707</x:v>
      </x:c>
      <x:c r="I41" s="60" t="n">
        <x:v>0</x:v>
      </x:c>
      <x:c r="J41" s="46" t="str">
        <x:v>True</x:v>
      </x:c>
      <x:c r="K41" s="46" t="str">
        <x:v>available</x:v>
      </x:c>
    </x:row>
    <x:row r="42" ht="18" customHeight="1">
      <x:c r="A42" s="46" t="str">
        <x:v>LME_023</x:v>
      </x:c>
      <x:c r="B42" s="46" t="str">
        <x:v>Baltic Sea</x:v>
      </x:c>
      <x:c r="C42" s="46" t="str">
        <x:v>lme</x:v>
      </x:c>
      <x:c r="D42" s="58" t="n">
        <x:v>2019</x:v>
      </x:c>
      <x:c r="E42" s="46" t="n">
        <x:v>9364</x:v>
      </x:c>
      <x:c r="F42" s="46" t="n">
        <x:v>117</x:v>
      </x:c>
      <x:c r="G42" s="60" t="n">
        <x:v>937172.6469930056</x:v>
      </x:c>
      <x:c r="H42" s="60" t="n">
        <x:v>937172.6469930056</x:v>
      </x:c>
      <x:c r="I42" s="60" t="n">
        <x:v>0</x:v>
      </x:c>
      <x:c r="J42" s="46" t="str">
        <x:v>True</x:v>
      </x:c>
      <x:c r="K42" s="46" t="str">
        <x:v>available</x:v>
      </x:c>
    </x:row>
    <x:row r="43" ht="18" customHeight="1">
      <x:c r="A43" s="46" t="str">
        <x:v>LME_024</x:v>
      </x:c>
      <x:c r="B43" s="46" t="str">
        <x:v>Celtic-Biscay Shelf</x:v>
      </x:c>
      <x:c r="C43" s="46" t="str">
        <x:v>lme</x:v>
      </x:c>
      <x:c r="D43" s="58" t="n">
        <x:v>2019</x:v>
      </x:c>
      <x:c r="E43" s="46" t="n">
        <x:v>14673</x:v>
      </x:c>
      <x:c r="F43" s="46" t="n">
        <x:v>383</x:v>
      </x:c>
      <x:c r="G43" s="60" t="n">
        <x:v>1139679.567089067</x:v>
      </x:c>
      <x:c r="H43" s="60" t="n">
        <x:v>1139679.567089067</x:v>
      </x:c>
      <x:c r="I43" s="60" t="n">
        <x:v>0</x:v>
      </x:c>
      <x:c r="J43" s="46" t="str">
        <x:v>True</x:v>
      </x:c>
      <x:c r="K43" s="46" t="str">
        <x:v>available</x:v>
      </x:c>
    </x:row>
    <x:row r="44" ht="18" customHeight="1">
      <x:c r="A44" s="46" t="str">
        <x:v>LME_025</x:v>
      </x:c>
      <x:c r="B44" s="46" t="str">
        <x:v>Iberian Coastal</x:v>
      </x:c>
      <x:c r="C44" s="46" t="str">
        <x:v>lme</x:v>
      </x:c>
      <x:c r="D44" s="58" t="n">
        <x:v>2019</x:v>
      </x:c>
      <x:c r="E44" s="46" t="n">
        <x:v>10442</x:v>
      </x:c>
      <x:c r="F44" s="46" t="n">
        <x:v>432</x:v>
      </x:c>
      <x:c r="G44" s="60" t="n">
        <x:v>429516.3330948258</x:v>
      </x:c>
      <x:c r="H44" s="60" t="n">
        <x:v>429516.33309482585</x:v>
      </x:c>
      <x:c r="I44" s="60" t="n">
        <x:v>5.820766091346741e-11</x:v>
      </x:c>
      <x:c r="J44" s="46" t="str">
        <x:v>True</x:v>
      </x:c>
      <x:c r="K44" s="46" t="str">
        <x:v>available</x:v>
      </x:c>
    </x:row>
    <x:row r="45" ht="18" customHeight="1">
      <x:c r="A45" s="46" t="str">
        <x:v>LME_026</x:v>
      </x:c>
      <x:c r="B45" s="46" t="str">
        <x:v>Mediterranean Sea</x:v>
      </x:c>
      <x:c r="C45" s="46" t="str">
        <x:v>lme</x:v>
      </x:c>
      <x:c r="D45" s="58" t="n">
        <x:v>2019</x:v>
      </x:c>
      <x:c r="E45" s="46" t="n">
        <x:v>25132</x:v>
      </x:c>
      <x:c r="F45" s="46" t="n">
        <x:v>482</x:v>
      </x:c>
      <x:c r="G45" s="60" t="n">
        <x:v>1487741.6269238535</x:v>
      </x:c>
      <x:c r="H45" s="60" t="n">
        <x:v>1487741.6269238533</x:v>
      </x:c>
      <x:c r="I45" s="60" t="n">
        <x:v>-2.3283064365386963e-10</x:v>
      </x:c>
      <x:c r="J45" s="46" t="str">
        <x:v>True</x:v>
      </x:c>
      <x:c r="K45" s="46" t="str">
        <x:v>available</x:v>
      </x:c>
    </x:row>
    <x:row r="46" ht="18" customHeight="1">
      <x:c r="A46" s="46" t="str">
        <x:v>LME_027</x:v>
      </x:c>
      <x:c r="B46" s="46" t="str">
        <x:v>Canary Current</x:v>
      </x:c>
      <x:c r="C46" s="46" t="str">
        <x:v>lme</x:v>
      </x:c>
      <x:c r="D46" s="58" t="n">
        <x:v>2019</x:v>
      </x:c>
      <x:c r="E46" s="46" t="n">
        <x:v>8933</x:v>
      </x:c>
      <x:c r="F46" s="46" t="n">
        <x:v>412</x:v>
      </x:c>
      <x:c r="G46" s="60" t="n">
        <x:v>5771015.257329413</x:v>
      </x:c>
      <x:c r="H46" s="60" t="n">
        <x:v>5771015.257329413</x:v>
      </x:c>
      <x:c r="I46" s="60" t="n">
        <x:v>0</x:v>
      </x:c>
      <x:c r="J46" s="46" t="str">
        <x:v>True</x:v>
      </x:c>
      <x:c r="K46" s="46" t="str">
        <x:v>available</x:v>
      </x:c>
    </x:row>
    <x:row r="47" ht="18" customHeight="1">
      <x:c r="A47" s="46" t="str">
        <x:v>LME_028</x:v>
      </x:c>
      <x:c r="B47" s="46" t="str">
        <x:v>Guinea Current</x:v>
      </x:c>
      <x:c r="C47" s="46" t="str">
        <x:v>lme</x:v>
      </x:c>
      <x:c r="D47" s="58" t="n">
        <x:v>2019</x:v>
      </x:c>
      <x:c r="E47" s="46" t="n">
        <x:v>9016</x:v>
      </x:c>
      <x:c r="F47" s="46" t="n">
        <x:v>325</x:v>
      </x:c>
      <x:c r="G47" s="60" t="n">
        <x:v>4469154.981144244</x:v>
      </x:c>
      <x:c r="H47" s="60" t="n">
        <x:v>4469154.981144244</x:v>
      </x:c>
      <x:c r="I47" s="60" t="n">
        <x:v>0</x:v>
      </x:c>
      <x:c r="J47" s="46" t="str">
        <x:v>True</x:v>
      </x:c>
      <x:c r="K47" s="46" t="str">
        <x:v>available</x:v>
      </x:c>
    </x:row>
    <x:row r="48" ht="18" customHeight="1">
      <x:c r="A48" s="46" t="str">
        <x:v>LME_029</x:v>
      </x:c>
      <x:c r="B48" s="46" t="str">
        <x:v>Benguela Current</x:v>
      </x:c>
      <x:c r="C48" s="46" t="str">
        <x:v>lme</x:v>
      </x:c>
      <x:c r="D48" s="58" t="n">
        <x:v>2019</x:v>
      </x:c>
      <x:c r="E48" s="46" t="n">
        <x:v>2387</x:v>
      </x:c>
      <x:c r="F48" s="46" t="n">
        <x:v>147</x:v>
      </x:c>
      <x:c r="G48" s="60" t="n">
        <x:v>1592518.0818040827</x:v>
      </x:c>
      <x:c r="H48" s="60" t="n">
        <x:v>1592518.0818040827</x:v>
      </x:c>
      <x:c r="I48" s="60" t="n">
        <x:v>0</x:v>
      </x:c>
      <x:c r="J48" s="46" t="str">
        <x:v>True</x:v>
      </x:c>
      <x:c r="K48" s="46" t="str">
        <x:v>available</x:v>
      </x:c>
    </x:row>
    <x:row r="49" ht="18" customHeight="1">
      <x:c r="A49" s="46" t="str">
        <x:v>LME_030</x:v>
      </x:c>
      <x:c r="B49" s="46" t="str">
        <x:v>Agulhas Current</x:v>
      </x:c>
      <x:c r="C49" s="46" t="str">
        <x:v>lme</x:v>
      </x:c>
      <x:c r="D49" s="58" t="n">
        <x:v>2019</x:v>
      </x:c>
      <x:c r="E49" s="46" t="n">
        <x:v>3912</x:v>
      </x:c>
      <x:c r="F49" s="46" t="n">
        <x:v>272</x:v>
      </x:c>
      <x:c r="G49" s="60" t="n">
        <x:v>794215.4259763143</x:v>
      </x:c>
      <x:c r="H49" s="60" t="n">
        <x:v>794215.4259763142</x:v>
      </x:c>
      <x:c r="I49" s="60" t="n">
        <x:v>-1.1641532182693481e-10</x:v>
      </x:c>
      <x:c r="J49" s="46" t="str">
        <x:v>True</x:v>
      </x:c>
      <x:c r="K49" s="46" t="str">
        <x:v>available</x:v>
      </x:c>
    </x:row>
    <x:row r="50" ht="18" customHeight="1">
      <x:c r="A50" s="46" t="str">
        <x:v>LME_031</x:v>
      </x:c>
      <x:c r="B50" s="46" t="str">
        <x:v>Somali Coastal Current</x:v>
      </x:c>
      <x:c r="C50" s="46" t="str">
        <x:v>lme</x:v>
      </x:c>
      <x:c r="D50" s="58" t="n">
        <x:v>2019</x:v>
      </x:c>
      <x:c r="E50" s="46" t="n">
        <x:v>2021</x:v>
      </x:c>
      <x:c r="F50" s="46" t="n">
        <x:v>205</x:v>
      </x:c>
      <x:c r="G50" s="60" t="n">
        <x:v>237379.07863162042</x:v>
      </x:c>
      <x:c r="H50" s="60" t="n">
        <x:v>237379.0786316204</x:v>
      </x:c>
      <x:c r="I50" s="60" t="n">
        <x:v>-2.9103830456733704e-11</x:v>
      </x:c>
      <x:c r="J50" s="46" t="str">
        <x:v>True</x:v>
      </x:c>
      <x:c r="K50" s="46" t="str">
        <x:v>available</x:v>
      </x:c>
    </x:row>
    <x:row r="51" ht="18" customHeight="1">
      <x:c r="A51" s="46" t="str">
        <x:v>LME_032</x:v>
      </x:c>
      <x:c r="B51" s="46" t="str">
        <x:v>Arabian Sea</x:v>
      </x:c>
      <x:c r="C51" s="46" t="str">
        <x:v>lme</x:v>
      </x:c>
      <x:c r="D51" s="58" t="n">
        <x:v>2019</x:v>
      </x:c>
      <x:c r="E51" s="46" t="n">
        <x:v>16251</x:v>
      </x:c>
      <x:c r="F51" s="46" t="n">
        <x:v>393</x:v>
      </x:c>
      <x:c r="G51" s="60" t="n">
        <x:v>5436428.793803818</x:v>
      </x:c>
      <x:c r="H51" s="60" t="n">
        <x:v>5436428.7938038185</x:v>
      </x:c>
      <x:c r="I51" s="60" t="n">
        <x:v>9.313225746154785e-10</x:v>
      </x:c>
      <x:c r="J51" s="46" t="str">
        <x:v>True</x:v>
      </x:c>
      <x:c r="K51" s="46" t="str">
        <x:v>available</x:v>
      </x:c>
    </x:row>
    <x:row r="52" ht="18" customHeight="1">
      <x:c r="A52" s="46" t="str">
        <x:v>LME_033</x:v>
      </x:c>
      <x:c r="B52" s="46" t="str">
        <x:v>Red Sea</x:v>
      </x:c>
      <x:c r="C52" s="46" t="str">
        <x:v>lme</x:v>
      </x:c>
      <x:c r="D52" s="58" t="n">
        <x:v>2019</x:v>
      </x:c>
      <x:c r="E52" s="46" t="n">
        <x:v>4755</x:v>
      </x:c>
      <x:c r="F52" s="46" t="n">
        <x:v>193</x:v>
      </x:c>
      <x:c r="G52" s="60" t="n">
        <x:v>147100.3417814472</x:v>
      </x:c>
      <x:c r="H52" s="60" t="n">
        <x:v>147100.34178144718</x:v>
      </x:c>
      <x:c r="I52" s="60" t="n">
        <x:v>-2.9103830456733704e-11</x:v>
      </x:c>
      <x:c r="J52" s="46" t="str">
        <x:v>True</x:v>
      </x:c>
      <x:c r="K52" s="46" t="str">
        <x:v>available</x:v>
      </x:c>
    </x:row>
    <x:row r="53" ht="18" customHeight="1">
      <x:c r="A53" s="46" t="str">
        <x:v>LME_034</x:v>
      </x:c>
      <x:c r="B53" s="46" t="str">
        <x:v>Bay of Bengal</x:v>
      </x:c>
      <x:c r="C53" s="46" t="str">
        <x:v>lme</x:v>
      </x:c>
      <x:c r="D53" s="58" t="n">
        <x:v>2019</x:v>
      </x:c>
      <x:c r="E53" s="46" t="n">
        <x:v>8639</x:v>
      </x:c>
      <x:c r="F53" s="46" t="n">
        <x:v>288</x:v>
      </x:c>
      <x:c r="G53" s="60" t="n">
        <x:v>6697725.785375867</x:v>
      </x:c>
      <x:c r="H53" s="60" t="n">
        <x:v>6697725.785375867</x:v>
      </x:c>
      <x:c r="I53" s="60" t="n">
        <x:v>0</x:v>
      </x:c>
      <x:c r="J53" s="46" t="str">
        <x:v>True</x:v>
      </x:c>
      <x:c r="K53" s="46" t="str">
        <x:v>available</x:v>
      </x:c>
    </x:row>
    <x:row r="54" ht="18" customHeight="1">
      <x:c r="A54" s="46" t="str">
        <x:v>LME_035</x:v>
      </x:c>
      <x:c r="B54" s="46" t="str">
        <x:v>Gulf of Thailand</x:v>
      </x:c>
      <x:c r="C54" s="46" t="str">
        <x:v>lme</x:v>
      </x:c>
      <x:c r="D54" s="58" t="n">
        <x:v>2019</x:v>
      </x:c>
      <x:c r="E54" s="46" t="n">
        <x:v>8389</x:v>
      </x:c>
      <x:c r="F54" s="46" t="n">
        <x:v>214</x:v>
      </x:c>
      <x:c r="G54" s="60" t="n">
        <x:v>2615825.056861822</x:v>
      </x:c>
      <x:c r="H54" s="60" t="n">
        <x:v>2615825.056861822</x:v>
      </x:c>
      <x:c r="I54" s="60" t="n">
        <x:v>0</x:v>
      </x:c>
      <x:c r="J54" s="46" t="str">
        <x:v>True</x:v>
      </x:c>
      <x:c r="K54" s="46" t="str">
        <x:v>available</x:v>
      </x:c>
    </x:row>
    <x:row r="55" ht="18" customHeight="1">
      <x:c r="A55" s="46" t="str">
        <x:v>LME_036</x:v>
      </x:c>
      <x:c r="B55" s="46" t="str">
        <x:v>South China Sea</x:v>
      </x:c>
      <x:c r="C55" s="46" t="str">
        <x:v>lme</x:v>
      </x:c>
      <x:c r="D55" s="58" t="n">
        <x:v>2019</x:v>
      </x:c>
      <x:c r="E55" s="46" t="n">
        <x:v>14092</x:v>
      </x:c>
      <x:c r="F55" s="46" t="n">
        <x:v>340</x:v>
      </x:c>
      <x:c r="G55" s="60" t="n">
        <x:v>11101666.087778974</x:v>
      </x:c>
      <x:c r="H55" s="60" t="n">
        <x:v>11101666.087778976</x:v>
      </x:c>
      <x:c r="I55" s="60" t="n">
        <x:v>1.862645149230957e-9</x:v>
      </x:c>
      <x:c r="J55" s="46" t="str">
        <x:v>True</x:v>
      </x:c>
      <x:c r="K55" s="46" t="str">
        <x:v>available</x:v>
      </x:c>
    </x:row>
    <x:row r="56" ht="18" customHeight="1">
      <x:c r="A56" s="46" t="str">
        <x:v>LME_037</x:v>
      </x:c>
      <x:c r="B56" s="46" t="str">
        <x:v>Sulu-Celebes Sea</x:v>
      </x:c>
      <x:c r="C56" s="46" t="str">
        <x:v>lme</x:v>
      </x:c>
      <x:c r="D56" s="58" t="n">
        <x:v>2019</x:v>
      </x:c>
      <x:c r="E56" s="46" t="n">
        <x:v>5616</x:v>
      </x:c>
      <x:c r="F56" s="46" t="n">
        <x:v>219</x:v>
      </x:c>
      <x:c r="G56" s="60" t="n">
        <x:v>1731971.9673227617</x:v>
      </x:c>
      <x:c r="H56" s="60" t="n">
        <x:v>1731971.9673227617</x:v>
      </x:c>
      <x:c r="I56" s="60" t="n">
        <x:v>0</x:v>
      </x:c>
      <x:c r="J56" s="46" t="str">
        <x:v>True</x:v>
      </x:c>
      <x:c r="K56" s="46" t="str">
        <x:v>available</x:v>
      </x:c>
    </x:row>
    <x:row r="57" ht="18" customHeight="1">
      <x:c r="A57" s="46" t="str">
        <x:v>LME_038</x:v>
      </x:c>
      <x:c r="B57" s="46" t="str">
        <x:v>Indonesian Sea</x:v>
      </x:c>
      <x:c r="C57" s="46" t="str">
        <x:v>lme</x:v>
      </x:c>
      <x:c r="D57" s="58" t="n">
        <x:v>2019</x:v>
      </x:c>
      <x:c r="E57" s="46" t="n">
        <x:v>2314</x:v>
      </x:c>
      <x:c r="F57" s="46" t="n">
        <x:v>142</x:v>
      </x:c>
      <x:c r="G57" s="60" t="n">
        <x:v>2883541.9537540907</x:v>
      </x:c>
      <x:c r="H57" s="60" t="n">
        <x:v>2883541.9537540907</x:v>
      </x:c>
      <x:c r="I57" s="60" t="n">
        <x:v>0</x:v>
      </x:c>
      <x:c r="J57" s="46" t="str">
        <x:v>True</x:v>
      </x:c>
      <x:c r="K57" s="46" t="str">
        <x:v>available</x:v>
      </x:c>
    </x:row>
    <x:row r="58" ht="18" customHeight="1">
      <x:c r="A58" s="46" t="str">
        <x:v>LME_039</x:v>
      </x:c>
      <x:c r="B58" s="46" t="str">
        <x:v>North Australian Shelf</x:v>
      </x:c>
      <x:c r="C58" s="46" t="str">
        <x:v>lme</x:v>
      </x:c>
      <x:c r="D58" s="58" t="n">
        <x:v>2019</x:v>
      </x:c>
      <x:c r="E58" s="46" t="n">
        <x:v>5676</x:v>
      </x:c>
      <x:c r="F58" s="46" t="n">
        <x:v>452</x:v>
      </x:c>
      <x:c r="G58" s="60" t="n">
        <x:v>44872.4444403339</x:v>
      </x:c>
      <x:c r="H58" s="60" t="n">
        <x:v>44872.4444403339</x:v>
      </x:c>
      <x:c r="I58" s="60" t="n">
        <x:v>0</x:v>
      </x:c>
      <x:c r="J58" s="46" t="str">
        <x:v>True</x:v>
      </x:c>
      <x:c r="K58" s="46" t="str">
        <x:v>available</x:v>
      </x:c>
    </x:row>
    <x:row r="59" ht="18" customHeight="1">
      <x:c r="A59" s="46" t="str">
        <x:v>LME_040</x:v>
      </x:c>
      <x:c r="B59" s="46" t="str">
        <x:v>Northeast Australian Shelf-Great Barrier Reef</x:v>
      </x:c>
      <x:c r="C59" s="46" t="str">
        <x:v>lme</x:v>
      </x:c>
      <x:c r="D59" s="58" t="n">
        <x:v>2019</x:v>
      </x:c>
      <x:c r="E59" s="46" t="n">
        <x:v>3146</x:v>
      </x:c>
      <x:c r="F59" s="46" t="n">
        <x:v>332</x:v>
      </x:c>
      <x:c r="G59" s="60" t="n">
        <x:v>22842.5316976432</x:v>
      </x:c>
      <x:c r="H59" s="60" t="n">
        <x:v>22842.5316976432</x:v>
      </x:c>
      <x:c r="I59" s="60" t="n">
        <x:v>0</x:v>
      </x:c>
      <x:c r="J59" s="46" t="str">
        <x:v>True</x:v>
      </x:c>
      <x:c r="K59" s="46" t="str">
        <x:v>available</x:v>
      </x:c>
    </x:row>
    <x:row r="60" ht="18" customHeight="1">
      <x:c r="A60" s="46" t="str">
        <x:v>LME_041</x:v>
      </x:c>
      <x:c r="B60" s="46" t="str">
        <x:v>East-Central Australian Shelf</x:v>
      </x:c>
      <x:c r="C60" s="46" t="str">
        <x:v>lme</x:v>
      </x:c>
      <x:c r="D60" s="58" t="n">
        <x:v>2019</x:v>
      </x:c>
      <x:c r="E60" s="46" t="n">
        <x:v>4133</x:v>
      </x:c>
      <x:c r="F60" s="46" t="n">
        <x:v>382</x:v>
      </x:c>
      <x:c r="G60" s="60" t="n">
        <x:v>39281.0247337031</x:v>
      </x:c>
      <x:c r="H60" s="60" t="n">
        <x:v>39281.0247337031</x:v>
      </x:c>
      <x:c r="I60" s="60" t="n">
        <x:v>0</x:v>
      </x:c>
      <x:c r="J60" s="46" t="str">
        <x:v>True</x:v>
      </x:c>
      <x:c r="K60" s="46" t="str">
        <x:v>available</x:v>
      </x:c>
    </x:row>
    <x:row r="61" ht="18" customHeight="1">
      <x:c r="A61" s="46" t="str">
        <x:v>LME_042</x:v>
      </x:c>
      <x:c r="B61" s="46" t="str">
        <x:v>Southeast Australian Shelf</x:v>
      </x:c>
      <x:c r="C61" s="46" t="str">
        <x:v>lme</x:v>
      </x:c>
      <x:c r="D61" s="58" t="n">
        <x:v>2019</x:v>
      </x:c>
      <x:c r="E61" s="46" t="n">
        <x:v>2895</x:v>
      </x:c>
      <x:c r="F61" s="46" t="n">
        <x:v>246</x:v>
      </x:c>
      <x:c r="G61" s="60" t="n">
        <x:v>32645.754357906102</x:v>
      </x:c>
      <x:c r="H61" s="60" t="n">
        <x:v>32645.754357906095</x:v>
      </x:c>
      <x:c r="I61" s="60" t="n">
        <x:v>-7.275957614183426e-12</x:v>
      </x:c>
      <x:c r="J61" s="46" t="str">
        <x:v>True</x:v>
      </x:c>
      <x:c r="K61" s="46" t="str">
        <x:v>available</x:v>
      </x:c>
    </x:row>
    <x:row r="62" ht="18" customHeight="1">
      <x:c r="A62" s="46" t="str">
        <x:v>LME_043</x:v>
      </x:c>
      <x:c r="B62" s="46" t="str">
        <x:v>Southwest Australian Shelf</x:v>
      </x:c>
      <x:c r="C62" s="46" t="str">
        <x:v>lme</x:v>
      </x:c>
      <x:c r="D62" s="58" t="n">
        <x:v>2019</x:v>
      </x:c>
      <x:c r="E62" s="46" t="n">
        <x:v>2139</x:v>
      </x:c>
      <x:c r="F62" s="46" t="n">
        <x:v>245</x:v>
      </x:c>
      <x:c r="G62" s="60" t="n">
        <x:v>30450.9174249122</x:v>
      </x:c>
      <x:c r="H62" s="60" t="n">
        <x:v>30450.9174249122</x:v>
      </x:c>
      <x:c r="I62" s="60" t="n">
        <x:v>0</x:v>
      </x:c>
      <x:c r="J62" s="46" t="str">
        <x:v>True</x:v>
      </x:c>
      <x:c r="K62" s="46" t="str">
        <x:v>available</x:v>
      </x:c>
    </x:row>
    <x:row r="63" ht="18" customHeight="1">
      <x:c r="A63" s="46" t="str">
        <x:v>LME_044</x:v>
      </x:c>
      <x:c r="B63" s="46" t="str">
        <x:v>West-Central Australian Shelf</x:v>
      </x:c>
      <x:c r="C63" s="46" t="str">
        <x:v>lme</x:v>
      </x:c>
      <x:c r="D63" s="58" t="n">
        <x:v>2019</x:v>
      </x:c>
      <x:c r="E63" s="46" t="n">
        <x:v>2969</x:v>
      </x:c>
      <x:c r="F63" s="46" t="n">
        <x:v>411</x:v>
      </x:c>
      <x:c r="G63" s="60" t="n">
        <x:v>19839.0729312876</x:v>
      </x:c>
      <x:c r="H63" s="60" t="n">
        <x:v>19839.0729312876</x:v>
      </x:c>
      <x:c r="I63" s="60" t="n">
        <x:v>0</x:v>
      </x:c>
      <x:c r="J63" s="46" t="str">
        <x:v>True</x:v>
      </x:c>
      <x:c r="K63" s="46" t="str">
        <x:v>available</x:v>
      </x:c>
    </x:row>
    <x:row r="64" ht="18" customHeight="1">
      <x:c r="A64" s="46" t="str">
        <x:v>LME_045</x:v>
      </x:c>
      <x:c r="B64" s="46" t="str">
        <x:v>Northwest Australian Shelf</x:v>
      </x:c>
      <x:c r="C64" s="46" t="str">
        <x:v>lme</x:v>
      </x:c>
      <x:c r="D64" s="58" t="n">
        <x:v>2019</x:v>
      </x:c>
      <x:c r="E64" s="46" t="n">
        <x:v>3021</x:v>
      </x:c>
      <x:c r="F64" s="46" t="n">
        <x:v>410</x:v>
      </x:c>
      <x:c r="G64" s="60" t="n">
        <x:v>44647.944981429304</x:v>
      </x:c>
      <x:c r="H64" s="60" t="n">
        <x:v>44647.9449814293</x:v>
      </x:c>
      <x:c r="I64" s="60" t="n">
        <x:v>-7.275957614183426e-12</x:v>
      </x:c>
      <x:c r="J64" s="46" t="str">
        <x:v>True</x:v>
      </x:c>
      <x:c r="K64" s="46" t="str">
        <x:v>available</x:v>
      </x:c>
    </x:row>
    <x:row r="65" ht="18" customHeight="1">
      <x:c r="A65" s="46" t="str">
        <x:v>LME_046</x:v>
      </x:c>
      <x:c r="B65" s="46" t="str">
        <x:v>New Zealand Shelf</x:v>
      </x:c>
      <x:c r="C65" s="46" t="str">
        <x:v>lme</x:v>
      </x:c>
      <x:c r="D65" s="58" t="n">
        <x:v>2019</x:v>
      </x:c>
      <x:c r="E65" s="46" t="n">
        <x:v>4667</x:v>
      </x:c>
      <x:c r="F65" s="46" t="n">
        <x:v>197</x:v>
      </x:c>
      <x:c r="G65" s="60" t="n">
        <x:v>431127.77716673305</x:v>
      </x:c>
      <x:c r="H65" s="60" t="n">
        <x:v>431127.77716673305</x:v>
      </x:c>
      <x:c r="I65" s="60" t="n">
        <x:v>0</x:v>
      </x:c>
      <x:c r="J65" s="46" t="str">
        <x:v>True</x:v>
      </x:c>
      <x:c r="K65" s="46" t="str">
        <x:v>available</x:v>
      </x:c>
    </x:row>
    <x:row r="66" ht="18" customHeight="1">
      <x:c r="A66" s="46" t="str">
        <x:v>LME_047</x:v>
      </x:c>
      <x:c r="B66" s="46" t="str">
        <x:v>East China Sea</x:v>
      </x:c>
      <x:c r="C66" s="46" t="str">
        <x:v>lme</x:v>
      </x:c>
      <x:c r="D66" s="58" t="n">
        <x:v>2019</x:v>
      </x:c>
      <x:c r="E66" s="46" t="n">
        <x:v>6581</x:v>
      </x:c>
      <x:c r="F66" s="46" t="n">
        <x:v>254</x:v>
      </x:c>
      <x:c r="G66" s="60" t="n">
        <x:v>5649829.984210193</x:v>
      </x:c>
      <x:c r="H66" s="60" t="n">
        <x:v>5649829.984210193</x:v>
      </x:c>
      <x:c r="I66" s="60" t="n">
        <x:v>0</x:v>
      </x:c>
      <x:c r="J66" s="46" t="str">
        <x:v>True</x:v>
      </x:c>
      <x:c r="K66" s="46" t="str">
        <x:v>available</x:v>
      </x:c>
    </x:row>
    <x:row r="67" ht="18" customHeight="1">
      <x:c r="A67" s="46" t="str">
        <x:v>LME_048</x:v>
      </x:c>
      <x:c r="B67" s="46" t="str">
        <x:v>Yellow Sea</x:v>
      </x:c>
      <x:c r="C67" s="46" t="str">
        <x:v>lme</x:v>
      </x:c>
      <x:c r="D67" s="58" t="n">
        <x:v>2019</x:v>
      </x:c>
      <x:c r="E67" s="46" t="n">
        <x:v>3922</x:v>
      </x:c>
      <x:c r="F67" s="46" t="n">
        <x:v>175</x:v>
      </x:c>
      <x:c r="G67" s="60" t="n">
        <x:v>2658977.968899307</x:v>
      </x:c>
      <x:c r="H67" s="60" t="n">
        <x:v>2658977.968899307</x:v>
      </x:c>
      <x:c r="I67" s="60" t="n">
        <x:v>0</x:v>
      </x:c>
      <x:c r="J67" s="46" t="str">
        <x:v>True</x:v>
      </x:c>
      <x:c r="K67" s="46" t="str">
        <x:v>available</x:v>
      </x:c>
    </x:row>
    <x:row r="68" ht="18" customHeight="1">
      <x:c r="A68" s="46" t="str">
        <x:v>LME_049</x:v>
      </x:c>
      <x:c r="B68" s="46" t="str">
        <x:v>Kuroshio Current</x:v>
      </x:c>
      <x:c r="C68" s="46" t="str">
        <x:v>lme</x:v>
      </x:c>
      <x:c r="D68" s="58" t="n">
        <x:v>2019</x:v>
      </x:c>
      <x:c r="E68" s="46" t="n">
        <x:v>5722</x:v>
      </x:c>
      <x:c r="F68" s="46" t="n">
        <x:v>229</x:v>
      </x:c>
      <x:c r="G68" s="60" t="n">
        <x:v>3090456.2651244747</x:v>
      </x:c>
      <x:c r="H68" s="60" t="n">
        <x:v>3090456.2651244747</x:v>
      </x:c>
      <x:c r="I68" s="60" t="n">
        <x:v>0</x:v>
      </x:c>
      <x:c r="J68" s="46" t="str">
        <x:v>True</x:v>
      </x:c>
      <x:c r="K68" s="46" t="str">
        <x:v>available</x:v>
      </x:c>
    </x:row>
    <x:row r="69" ht="18" customHeight="1">
      <x:c r="A69" s="46" t="str">
        <x:v>LME_050</x:v>
      </x:c>
      <x:c r="B69" s="46" t="str">
        <x:v>Sea of Japan / East Sea</x:v>
      </x:c>
      <x:c r="C69" s="46" t="str">
        <x:v>lme</x:v>
      </x:c>
      <x:c r="D69" s="58" t="n">
        <x:v>2019</x:v>
      </x:c>
      <x:c r="E69" s="46" t="n">
        <x:v>3380</x:v>
      </x:c>
      <x:c r="F69" s="46" t="n">
        <x:v>218</x:v>
      </x:c>
      <x:c r="G69" s="60" t="n">
        <x:v>2586941.83669577</x:v>
      </x:c>
      <x:c r="H69" s="60" t="n">
        <x:v>2586941.83669577</x:v>
      </x:c>
      <x:c r="I69" s="60" t="n">
        <x:v>0</x:v>
      </x:c>
      <x:c r="J69" s="46" t="str">
        <x:v>True</x:v>
      </x:c>
      <x:c r="K69" s="46" t="str">
        <x:v>available</x:v>
      </x:c>
    </x:row>
    <x:row r="70" ht="18" customHeight="1">
      <x:c r="A70" s="46" t="str">
        <x:v>LME_051</x:v>
      </x:c>
      <x:c r="B70" s="46" t="str">
        <x:v>Oyashio Current</x:v>
      </x:c>
      <x:c r="C70" s="46" t="str">
        <x:v>lme</x:v>
      </x:c>
      <x:c r="D70" s="58" t="n">
        <x:v>2019</x:v>
      </x:c>
      <x:c r="E70" s="46" t="n">
        <x:v>1944</x:v>
      </x:c>
      <x:c r="F70" s="46" t="n">
        <x:v>143</x:v>
      </x:c>
      <x:c r="G70" s="60" t="n">
        <x:v>1092021.8374498228</x:v>
      </x:c>
      <x:c r="H70" s="60" t="n">
        <x:v>1092021.837449823</x:v>
      </x:c>
      <x:c r="I70" s="60" t="n">
        <x:v>2.3283064365386963e-10</x:v>
      </x:c>
      <x:c r="J70" s="46" t="str">
        <x:v>True</x:v>
      </x:c>
      <x:c r="K70" s="46" t="str">
        <x:v>available</x:v>
      </x:c>
    </x:row>
    <x:row r="71" ht="18" customHeight="1">
      <x:c r="A71" s="46" t="str">
        <x:v>LME_052</x:v>
      </x:c>
      <x:c r="B71" s="46" t="str">
        <x:v>Sea of Okhotsk</x:v>
      </x:c>
      <x:c r="C71" s="46" t="str">
        <x:v>lme</x:v>
      </x:c>
      <x:c r="D71" s="58" t="n">
        <x:v>2019</x:v>
      </x:c>
      <x:c r="E71" s="46" t="n">
        <x:v>1732</x:v>
      </x:c>
      <x:c r="F71" s="46" t="n">
        <x:v>131</x:v>
      </x:c>
      <x:c r="G71" s="60" t="n">
        <x:v>4800852.125625119</x:v>
      </x:c>
      <x:c r="H71" s="60" t="n">
        <x:v>4800852.125625119</x:v>
      </x:c>
      <x:c r="I71" s="60" t="n">
        <x:v>0</x:v>
      </x:c>
      <x:c r="J71" s="46" t="str">
        <x:v>True</x:v>
      </x:c>
      <x:c r="K71" s="46" t="str">
        <x:v>available</x:v>
      </x:c>
    </x:row>
    <x:row r="72" ht="18" customHeight="1">
      <x:c r="A72" s="46" t="str">
        <x:v>LME_053</x:v>
      </x:c>
      <x:c r="B72" s="46" t="str">
        <x:v>West Bering Sea</x:v>
      </x:c>
      <x:c r="C72" s="46" t="str">
        <x:v>lme</x:v>
      </x:c>
      <x:c r="D72" s="58" t="n">
        <x:v>2019</x:v>
      </x:c>
      <x:c r="E72" s="46" t="n">
        <x:v>512</x:v>
      </x:c>
      <x:c r="F72" s="46" t="n">
        <x:v>63</x:v>
      </x:c>
      <x:c r="G72" s="60" t="n">
        <x:v>705687.5220776038</x:v>
      </x:c>
      <x:c r="H72" s="60" t="n">
        <x:v>705687.5220776038</x:v>
      </x:c>
      <x:c r="I72" s="60" t="n">
        <x:v>0</x:v>
      </x:c>
      <x:c r="J72" s="46" t="str">
        <x:v>True</x:v>
      </x:c>
      <x:c r="K72" s="46" t="str">
        <x:v>available</x:v>
      </x:c>
    </x:row>
    <x:row r="73" ht="18" customHeight="1">
      <x:c r="A73" s="46" t="str">
        <x:v>LME_054</x:v>
      </x:c>
      <x:c r="B73" s="46" t="str">
        <x:v>Northern Bering - Chukchi Seas</x:v>
      </x:c>
      <x:c r="C73" s="46" t="str">
        <x:v>lme</x:v>
      </x:c>
      <x:c r="D73" s="58" t="n">
        <x:v>2019</x:v>
      </x:c>
      <x:c r="E73" s="46" t="n">
        <x:v>871</x:v>
      </x:c>
      <x:c r="F73" s="46" t="n">
        <x:v>93</x:v>
      </x:c>
      <x:c r="G73" s="60" t="n">
        <x:v>348828.221273396</x:v>
      </x:c>
      <x:c r="H73" s="60" t="n">
        <x:v>348828.221273396</x:v>
      </x:c>
      <x:c r="I73" s="60" t="n">
        <x:v>0</x:v>
      </x:c>
      <x:c r="J73" s="46" t="str">
        <x:v>True</x:v>
      </x:c>
      <x:c r="K73" s="46" t="str">
        <x:v>available</x:v>
      </x:c>
    </x:row>
    <x:row r="74" ht="18" customHeight="1">
      <x:c r="A74" s="46" t="str">
        <x:v>LME_055</x:v>
      </x:c>
      <x:c r="B74" s="46" t="str">
        <x:v>Beaufort Sea</x:v>
      </x:c>
      <x:c r="C74" s="46" t="str">
        <x:v>lme</x:v>
      </x:c>
      <x:c r="D74" s="58" t="n">
        <x:v>2019</x:v>
      </x:c>
      <x:c r="E74" s="46" t="n">
        <x:v>97</x:v>
      </x:c>
      <x:c r="F74" s="46" t="n">
        <x:v>19</x:v>
      </x:c>
      <x:c r="G74" s="60" t="n">
        <x:v>212.78852302800001</x:v>
      </x:c>
      <x:c r="H74" s="60" t="n">
        <x:v>212.78852302800001</x:v>
      </x:c>
      <x:c r="I74" s="60" t="n">
        <x:v>0</x:v>
      </x:c>
      <x:c r="J74" s="46" t="str">
        <x:v>True</x:v>
      </x:c>
      <x:c r="K74" s="46" t="str">
        <x:v>available</x:v>
      </x:c>
    </x:row>
    <x:row r="75" ht="18" customHeight="1">
      <x:c r="A75" s="46" t="str">
        <x:v>LME_056</x:v>
      </x:c>
      <x:c r="B75" s="46" t="str">
        <x:v>East Siberian Sea</x:v>
      </x:c>
      <x:c r="C75" s="46" t="str">
        <x:v>lme</x:v>
      </x:c>
      <x:c r="D75" s="58" t="n">
        <x:v>2019</x:v>
      </x:c>
      <x:c r="E75" s="46" t="n">
        <x:v>4</x:v>
      </x:c>
      <x:c r="F75" s="46" t="n">
        <x:v>4</x:v>
      </x:c>
      <x:c r="G75" s="60" t="n">
        <x:v>1304.0687744917</x:v>
      </x:c>
      <x:c r="H75" s="60" t="n">
        <x:v>1304.0687744917</x:v>
      </x:c>
      <x:c r="I75" s="60" t="n">
        <x:v>0</x:v>
      </x:c>
      <x:c r="J75" s="46" t="str">
        <x:v>True</x:v>
      </x:c>
      <x:c r="K75" s="46" t="str">
        <x:v>available</x:v>
      </x:c>
    </x:row>
    <x:row r="76" ht="18" customHeight="1">
      <x:c r="A76" s="46" t="str">
        <x:v>LME_057</x:v>
      </x:c>
      <x:c r="B76" s="46" t="str">
        <x:v>Laptev Sea</x:v>
      </x:c>
      <x:c r="C76" s="46" t="str">
        <x:v>lme</x:v>
      </x:c>
      <x:c r="D76" s="58" t="n">
        <x:v>2019</x:v>
      </x:c>
      <x:c r="E76" s="46" t="n">
        <x:v>5</x:v>
      </x:c>
      <x:c r="F76" s="46" t="n">
        <x:v>5</x:v>
      </x:c>
      <x:c r="G76" s="60" t="n">
        <x:v>2616.1834162357</x:v>
      </x:c>
      <x:c r="H76" s="60" t="n">
        <x:v>2616.1834162357</x:v>
      </x:c>
      <x:c r="I76" s="60" t="n">
        <x:v>0</x:v>
      </x:c>
      <x:c r="J76" s="46" t="str">
        <x:v>True</x:v>
      </x:c>
      <x:c r="K76" s="46" t="str">
        <x:v>available</x:v>
      </x:c>
    </x:row>
    <x:row r="77" ht="18" customHeight="1">
      <x:c r="A77" s="46" t="str">
        <x:v>LME_058</x:v>
      </x:c>
      <x:c r="B77" s="46" t="str">
        <x:v>Kara Sea</x:v>
      </x:c>
      <x:c r="C77" s="46" t="str">
        <x:v>lme</x:v>
      </x:c>
      <x:c r="D77" s="58" t="n">
        <x:v>2019</x:v>
      </x:c>
      <x:c r="E77" s="46" t="n">
        <x:v>5</x:v>
      </x:c>
      <x:c r="F77" s="46" t="n">
        <x:v>5</x:v>
      </x:c>
      <x:c r="G77" s="60" t="n">
        <x:v>719.2892019077999</x:v>
      </x:c>
      <x:c r="H77" s="60" t="n">
        <x:v>719.2892019077999</x:v>
      </x:c>
      <x:c r="I77" s="60" t="n">
        <x:v>0</x:v>
      </x:c>
      <x:c r="J77" s="46" t="str">
        <x:v>True</x:v>
      </x:c>
      <x:c r="K77" s="46" t="str">
        <x:v>available</x:v>
      </x:c>
    </x:row>
    <x:row r="78" ht="18" customHeight="1">
      <x:c r="A78" s="46" t="str">
        <x:v>LME_059</x:v>
      </x:c>
      <x:c r="B78" s="46" t="str">
        <x:v>Iceland Shelf and Sea</x:v>
      </x:c>
      <x:c r="C78" s="46" t="str">
        <x:v>lme</x:v>
      </x:c>
      <x:c r="D78" s="58" t="n">
        <x:v>2019</x:v>
      </x:c>
      <x:c r="E78" s="46" t="n">
        <x:v>1595</x:v>
      </x:c>
      <x:c r="F78" s="46" t="n">
        <x:v>74</x:v>
      </x:c>
      <x:c r="G78" s="60" t="n">
        <x:v>697974.9116856115</x:v>
      </x:c>
      <x:c r="H78" s="60" t="n">
        <x:v>697974.9116856112</x:v>
      </x:c>
      <x:c r="I78" s="60" t="n">
        <x:v>-2.3283064365386963e-10</x:v>
      </x:c>
      <x:c r="J78" s="46" t="str">
        <x:v>True</x:v>
      </x:c>
      <x:c r="K78" s="46" t="str">
        <x:v>available</x:v>
      </x:c>
    </x:row>
    <x:row r="79" ht="18" customHeight="1">
      <x:c r="A79" s="46" t="str">
        <x:v>LME_060</x:v>
      </x:c>
      <x:c r="B79" s="46" t="str">
        <x:v>Faroe Plateau</x:v>
      </x:c>
      <x:c r="C79" s="46" t="str">
        <x:v>lme</x:v>
      </x:c>
      <x:c r="D79" s="58" t="n">
        <x:v>2019</x:v>
      </x:c>
      <x:c r="E79" s="46" t="n">
        <x:v>1872</x:v>
      </x:c>
      <x:c r="F79" s="46" t="n">
        <x:v>114</x:v>
      </x:c>
      <x:c r="G79" s="60" t="n">
        <x:v>420222.2010145739</x:v>
      </x:c>
      <x:c r="H79" s="60" t="n">
        <x:v>420222.20101457386</x:v>
      </x:c>
      <x:c r="I79" s="60" t="n">
        <x:v>-5.820766091346741e-11</x:v>
      </x:c>
      <x:c r="J79" s="46" t="str">
        <x:v>True</x:v>
      </x:c>
      <x:c r="K79" s="46" t="str">
        <x:v>available</x:v>
      </x:c>
    </x:row>
    <x:row r="80" ht="18" customHeight="1">
      <x:c r="A80" s="46" t="str">
        <x:v>LME_061</x:v>
      </x:c>
      <x:c r="B80" s="46" t="str">
        <x:v>Antarctic</x:v>
      </x:c>
      <x:c r="C80" s="46" t="str">
        <x:v>lme</x:v>
      </x:c>
      <x:c r="D80" s="58" t="n">
        <x:v>2019</x:v>
      </x:c>
      <x:c r="E80" s="46" t="n">
        <x:v>73</x:v>
      </x:c>
      <x:c r="F80" s="46" t="n">
        <x:v>10</x:v>
      </x:c>
      <x:c r="G80" s="60" t="n">
        <x:v>0.2496140134</x:v>
      </x:c>
      <x:c r="H80" s="60" t="n">
        <x:v>0.24961401340000003</x:v>
      </x:c>
      <x:c r="I80" s="60" t="n">
        <x:v>2.7755575615628914e-17</x:v>
      </x:c>
      <x:c r="J80" s="46" t="str">
        <x:v>True</x:v>
      </x:c>
      <x:c r="K80" s="46" t="str">
        <x:v>available</x:v>
      </x:c>
    </x:row>
    <x:row r="81" ht="18" customHeight="1">
      <x:c r="A81" s="46" t="str">
        <x:v>LME_062</x:v>
      </x:c>
      <x:c r="B81" s="46" t="str">
        <x:v>Black Sea</x:v>
      </x:c>
      <x:c r="C81" s="46" t="str">
        <x:v>lme</x:v>
      </x:c>
      <x:c r="D81" s="58" t="n">
        <x:v>2019</x:v>
      </x:c>
      <x:c r="E81" s="46" t="n">
        <x:v>3337</x:v>
      </x:c>
      <x:c r="F81" s="46" t="n">
        <x:v>120</x:v>
      </x:c>
      <x:c r="G81" s="60" t="n">
        <x:v>1145168.185954724</x:v>
      </x:c>
      <x:c r="H81" s="60" t="n">
        <x:v>1145168.185954724</x:v>
      </x:c>
      <x:c r="I81" s="60" t="n">
        <x:v>0</x:v>
      </x:c>
      <x:c r="J81" s="46" t="str">
        <x:v>True</x:v>
      </x:c>
      <x:c r="K81" s="46" t="str">
        <x:v>available</x:v>
      </x:c>
    </x:row>
    <x:row r="82" ht="18" customHeight="1">
      <x:c r="A82" s="46" t="str">
        <x:v>LME_063</x:v>
      </x:c>
      <x:c r="B82" s="46" t="str">
        <x:v>Hudson Bay Complex</x:v>
      </x:c>
      <x:c r="C82" s="46" t="str">
        <x:v>lme</x:v>
      </x:c>
      <x:c r="D82" s="58" t="n">
        <x:v>2019</x:v>
      </x:c>
      <x:c r="E82" s="46" t="n">
        <x:v>154</x:v>
      </x:c>
      <x:c r="F82" s="46" t="n">
        <x:v>44</x:v>
      </x:c>
      <x:c r="G82" s="60" t="n">
        <x:v>1269.735630608</x:v>
      </x:c>
      <x:c r="H82" s="60" t="n">
        <x:v>1269.735630608</x:v>
      </x:c>
      <x:c r="I82" s="60" t="n">
        <x:v>0</x:v>
      </x:c>
      <x:c r="J82" s="46" t="str">
        <x:v>True</x:v>
      </x:c>
      <x:c r="K82" s="46" t="str">
        <x:v>available</x:v>
      </x:c>
    </x:row>
    <x:row r="83" ht="18" customHeight="1">
      <x:c r="A83" s="46" t="str">
        <x:v>LME_064</x:v>
      </x:c>
      <x:c r="B83" s="46" t="str"/>
      <x:c r="C83" s="46" t="str"/>
      <x:c r="D83" s="58" t="n">
        <x:v>2019</x:v>
      </x:c>
      <x:c r="E83" s="46" t="n">
        <x:v>0</x:v>
      </x:c>
      <x:c r="F83" s="46" t="n">
        <x:v>0</x:v>
      </x:c>
      <x:c r="G83" s="60" t="n">
        <x:v>0</x:v>
      </x:c>
      <x:c r="H83" s="60" t="n">
        <x:v>0</x:v>
      </x:c>
      <x:c r="I83" s="60" t="n">
        <x:v>0</x:v>
      </x:c>
      <x:c r="J83" s="46" t="str">
        <x:v>True</x:v>
      </x:c>
      <x:c r="K83" s="46" t="str">
        <x:v>empty_catch_archive</x:v>
      </x:c>
    </x:row>
    <x:row r="84" ht="18" customHeight="1">
      <x:c r="A84" s="46" t="str">
        <x:v>LME_065</x:v>
      </x:c>
      <x:c r="B84" s="46" t="str">
        <x:v>Aleutian Islands</x:v>
      </x:c>
      <x:c r="C84" s="46" t="str">
        <x:v>lme</x:v>
      </x:c>
      <x:c r="D84" s="58" t="n">
        <x:v>2019</x:v>
      </x:c>
      <x:c r="E84" s="46" t="n">
        <x:v>435</x:v>
      </x:c>
      <x:c r="F84" s="46" t="n">
        <x:v>68</x:v>
      </x:c>
      <x:c r="G84" s="60" t="n">
        <x:v>151507.6717909796</x:v>
      </x:c>
      <x:c r="H84" s="60" t="n">
        <x:v>151507.6717909796</x:v>
      </x:c>
      <x:c r="I84" s="60" t="n">
        <x:v>0</x:v>
      </x:c>
      <x:c r="J84" s="46" t="str">
        <x:v>True</x:v>
      </x:c>
      <x:c r="K84" s="46" t="str">
        <x:v>available</x:v>
      </x:c>
    </x:row>
    <x:row r="85" ht="18" customHeight="1">
      <x:c r="A85" s="46" t="str">
        <x:v>LME_066</x:v>
      </x:c>
      <x:c r="B85" s="46" t="str">
        <x:v>Canadian High Arctic - North Greenland</x:v>
      </x:c>
      <x:c r="C85" s="46" t="str">
        <x:v>lme</x:v>
      </x:c>
      <x:c r="D85" s="58" t="n">
        <x:v>2019</x:v>
      </x:c>
      <x:c r="E85" s="46" t="n">
        <x:v>110</x:v>
      </x:c>
      <x:c r="F85" s="46" t="n">
        <x:v>21</x:v>
      </x:c>
      <x:c r="G85" s="60" t="n">
        <x:v>53.591934083899986</x:v>
      </x:c>
      <x:c r="H85" s="60" t="n">
        <x:v>53.5919340839</x:v>
      </x:c>
      <x:c r="I85" s="60" t="n">
        <x:v>1.4210854715202004e-14</x:v>
      </x:c>
      <x:c r="J85" s="46" t="str">
        <x:v>True</x:v>
      </x:c>
      <x:c r="K85" s="4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05d3fe6e4ec24c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PPR global configuration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Scope</x:v>
      </x:c>
      <x:c r="B4" s="31" t="str">
        <x:v>all Sea Around Us LMEs and High Seas units</x:v>
      </x:c>
      <x:c r="C4" s="32" t="str">
        <x:v>All Sea Around Us-defined LME and High Seas units</x:v>
      </x:c>
    </x:row>
    <x:row r="5">
      <x:c r="A5" s="42" t="str">
        <x:v>Spatial units</x:v>
      </x:c>
      <x:c r="B5" s="31" t="n">
        <x:v>84</x:v>
      </x:c>
      <x:c r="C5" s="32" t="str">
        <x:v>66 LMEs + 18 High Seas units</x:v>
      </x:c>
    </x:row>
    <x:row r="6">
      <x:c r="A6" s="42" t="str">
        <x:v>Year</x:v>
      </x:c>
      <x:c r="B6" s="31" t="n">
        <x:v>2019</x:v>
      </x:c>
      <x:c r="C6" s="32" t="str">
        <x:v>Latest year present in every configured catch archive</x:v>
      </x:c>
    </x:row>
    <x:row r="7">
      <x:c r="A7" s="42" t="str">
        <x:v>Transfer efficiency</x:v>
      </x:c>
      <x:c r="B7" s="31" t="n">
        <x:v>0.1</x:v>
      </x:c>
      <x:c r="C7" s="32" t="str">
        <x:v>Fixed TE for the approved 1995 trophic-chain method</x:v>
      </x:c>
    </x:row>
    <x:row r="8">
      <x:c r="A8" s="42" t="str">
        <x:v>SPPR</x:v>
      </x:c>
      <x:c r="B8" s="31" t="str">
        <x:v>(1 / TE)^(TL - 1)</x:v>
      </x:c>
      <x:c r="C8" s="32" t="str">
        <x:v>With TE=0.1, SPPR = 10^(TL-1)</x:v>
      </x:c>
    </x:row>
    <x:row r="9">
      <x:c r="A9" s="42" t="str">
        <x:v>PPR</x:v>
      </x:c>
      <x:c r="B9" s="31" t="str">
        <x:v>Catch tonnes × SPPR</x:v>
      </x:c>
      <x:c r="C9" s="32" t="str">
        <x:v>Unit: tonnes primary-production equivalent</x:v>
      </x:c>
    </x:row>
    <x:row r="10">
      <x:c r="A10" s="42" t="str">
        <x:v>Wet-weight/carbon divisor</x:v>
      </x:c>
      <x:c r="B10" s="31" t="str">
        <x:v>Not applied</x:v>
      </x:c>
      <x:c r="C10" s="32" t="str">
        <x:v>The paper's separate /9 conversion is omitted per the approved specification</x:v>
      </x:c>
    </x:row>
    <x:row r="11">
      <x:c r="A11" s="42" t="str">
        <x:v>Catch types</x:v>
      </x:c>
      <x:c r="B11" s="31" t="str">
        <x:v>Landings, Discards</x:v>
      </x:c>
      <x:c r="C11" s="32" t="str">
        <x:v>Sea Around Us reconstructed catch scope</x:v>
      </x:c>
    </x:row>
    <x:row r="12">
      <x:c r="A12" s="42" t="str">
        <x:v>Reporting status</x:v>
      </x:c>
      <x:c r="B12" s="31" t="str">
        <x:v>Reported, Unreported</x:v>
      </x:c>
      <x:c r="C12" s="32" t="str">
        <x:v>Both reported and reconstructed unreported catch</x:v>
      </x:c>
    </x:row>
    <x:row r="13">
      <x:c r="A13" s="42" t="str">
        <x:v>TL primary source</x:v>
      </x:c>
      <x:c r="B13" s="31" t="str">
        <x:v>2020 supplement MeanTL</x:v>
      </x:c>
      <x:c r="C13" s="32" t="str">
        <x:v>The supplement's alternative SPPR columns are not used</x:v>
      </x:c>
    </x:row>
    <x:row r="14">
      <x:c r="A14" s="43" t="str">
        <x:v>TL secondary source</x:v>
      </x:c>
      <x:c r="B14" s="34" t="str">
        <x:v>Sea Around Us exploited organisms</x:v>
      </x:c>
      <x:c r="C14" s="35" t="str">
        <x:v>Exact scientific-name matches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Sources and reproducibility notes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Sea Around Us data</x:v>
      </x:c>
      <x:c r="B4" s="31" t="str">
        <x:v>https://www.seaaroundus.org/data/</x:v>
      </x:c>
      <x:c r="C4" s="32" t="str">
        <x:v>Region, catch, and High Seas definitions</x:v>
      </x:c>
    </x:row>
    <x:row r="5">
      <x:c r="A5" s="42" t="str">
        <x:v>Sea Around Us guide</x:v>
      </x:c>
      <x:c r="B5" s="31" t="str">
        <x:v>https://www.seaaroundus.org/tools-guide/</x:v>
      </x:c>
      <x:c r="C5" s="32" t="str">
        <x:v>Download fields and reconstructed-catch notes</x:v>
      </x:c>
    </x:row>
    <x:row r="6">
      <x:c r="A6" s="42" t="str">
        <x:v>Sea Around Us API</x:v>
      </x:c>
      <x:c r="B6" s="31" t="str">
        <x:v>https://api.seaaroundus.org/api/v1/</x:v>
      </x:c>
      <x:c r="C6" s="32" t="str">
        <x:v>Frozen raw downloads stored with the pipeline</x:v>
      </x:c>
    </x:row>
    <x:row r="7">
      <x:c r="A7" s="42" t="str">
        <x:v>1995 method</x:v>
      </x:c>
      <x:c r="B7" s="31" t="str">
        <x:v>Pauly &amp; Christensen (1995), Nature 374:255-257</x:v>
      </x:c>
      <x:c r="C7" s="32" t="str">
        <x:v>TE=0.1 trophic-chain calculation</x:v>
      </x:c>
    </x:row>
    <x:row r="8">
      <x:c r="A8" s="42" t="str">
        <x:v>2020 supplement</x:v>
      </x:c>
      <x:c r="B8" s="31" t="str">
        <x:v>sources/2020 sup.xlsx</x:v>
      </x:c>
      <x:c r="C8" s="32" t="str">
        <x:v>MeanTL only; no Luong regression SPPR used</x:v>
      </x:c>
    </x:row>
    <x:row r="9">
      <x:c r="A9" s="43" t="str">
        <x:v>Interpretation</x:v>
      </x:c>
      <x:c r="B9" s="34" t="str">
        <x:v>Global fractions sum to 100%</x:v>
      </x:c>
      <x:c r="C9" s="35" t="str">
        <x:v>Fractions and ranks apply to 84 configured units</x:v>
      </x:c>
    </x:row>
  </x:sheetData>
  <x:mergeCells>
    <x:mergeCell ref="A1:C1"/>
  </x:mergeCells>
  <x:pageMargins left="0.7" right="0.7" top="0.75" bottom="0.75" header="0.3" footer="0.3"/>
</x:worksheet>
</file>