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doca\Desktop\אישי\אקדמיה\תואר שני\מחקר\BTN\קוד\simple_PPR_global\global_output\"/>
    </mc:Choice>
  </mc:AlternateContent>
  <xr:revisionPtr revIDLastSave="0" documentId="13_ncr:1_{69C1E868-C06E-4308-A8FC-FB31A8283E43}" xr6:coauthVersionLast="47" xr6:coauthVersionMax="47" xr10:uidLastSave="{00000000-0000-0000-0000-000000000000}"/>
  <bookViews>
    <workbookView xWindow="-9890" yWindow="-21710" windowWidth="38620" windowHeight="21100" xr2:uid="{00000000-000D-0000-FFFF-FFFF00000000}"/>
  </bookViews>
  <sheets>
    <sheet name="summarized summary" sheetId="8" r:id="rId1"/>
    <sheet name="Summary" sheetId="1" r:id="rId2"/>
    <sheet name="Validation" sheetId="2" r:id="rId3"/>
    <sheet name="TL Coverage" sheetId="3" r:id="rId4"/>
    <sheet name="Jensen Comparison" sheetId="4" r:id="rId5"/>
    <sheet name="Ingestion Audit" sheetId="5" r:id="rId6"/>
    <sheet name="Configuration" sheetId="6" r:id="rId7"/>
    <sheet name="Sourc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8" l="1"/>
  <c r="H2" i="8" s="1"/>
  <c r="J41" i="8"/>
  <c r="K41" i="8"/>
  <c r="J42" i="8"/>
  <c r="K42" i="8"/>
  <c r="J43" i="8"/>
  <c r="K43" i="8"/>
  <c r="J44" i="8"/>
  <c r="K44" i="8"/>
  <c r="J45" i="8"/>
  <c r="K45" i="8"/>
  <c r="J46" i="8"/>
  <c r="K46" i="8"/>
  <c r="J47" i="8"/>
  <c r="K47" i="8"/>
  <c r="J48" i="8"/>
  <c r="K48" i="8"/>
  <c r="J49" i="8"/>
  <c r="K49" i="8"/>
  <c r="J50" i="8"/>
  <c r="K50" i="8"/>
  <c r="J51" i="8"/>
  <c r="K51" i="8"/>
  <c r="J52" i="8"/>
  <c r="K52" i="8"/>
  <c r="J53" i="8"/>
  <c r="K53" i="8"/>
  <c r="J54" i="8"/>
  <c r="K54" i="8"/>
  <c r="J55" i="8"/>
  <c r="K55" i="8"/>
  <c r="J56" i="8"/>
  <c r="K56" i="8"/>
  <c r="J57" i="8"/>
  <c r="K57" i="8"/>
  <c r="J58" i="8"/>
  <c r="K58" i="8"/>
  <c r="J59" i="8"/>
  <c r="K59" i="8"/>
  <c r="J60" i="8"/>
  <c r="K60" i="8"/>
  <c r="J61" i="8"/>
  <c r="K61" i="8"/>
  <c r="J62" i="8"/>
  <c r="K62" i="8"/>
  <c r="J63" i="8"/>
  <c r="K63" i="8"/>
  <c r="J64" i="8"/>
  <c r="K64" i="8"/>
  <c r="K40" i="8"/>
  <c r="J40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P2" i="1"/>
  <c r="R2" i="1" s="1"/>
  <c r="R3" i="1" s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T49" i="1"/>
  <c r="S49" i="1"/>
  <c r="Q49" i="1"/>
  <c r="P49" i="1"/>
  <c r="T48" i="1"/>
  <c r="S48" i="1"/>
  <c r="Q48" i="1"/>
  <c r="P48" i="1"/>
  <c r="T47" i="1"/>
  <c r="S47" i="1"/>
  <c r="Q47" i="1"/>
  <c r="P47" i="1"/>
  <c r="T46" i="1"/>
  <c r="S46" i="1"/>
  <c r="Q46" i="1"/>
  <c r="P46" i="1"/>
  <c r="T45" i="1"/>
  <c r="S45" i="1"/>
  <c r="Q45" i="1"/>
  <c r="P45" i="1"/>
  <c r="T44" i="1"/>
  <c r="S44" i="1"/>
  <c r="Q44" i="1"/>
  <c r="P44" i="1"/>
  <c r="T43" i="1"/>
  <c r="S43" i="1"/>
  <c r="Q43" i="1"/>
  <c r="P43" i="1"/>
  <c r="T42" i="1"/>
  <c r="S42" i="1"/>
  <c r="Q42" i="1"/>
  <c r="P42" i="1"/>
  <c r="T41" i="1"/>
  <c r="S41" i="1"/>
  <c r="Q41" i="1"/>
  <c r="P41" i="1"/>
  <c r="T40" i="1"/>
  <c r="S40" i="1"/>
  <c r="Q40" i="1"/>
  <c r="P40" i="1"/>
  <c r="T39" i="1"/>
  <c r="S39" i="1"/>
  <c r="Q39" i="1"/>
  <c r="P39" i="1"/>
  <c r="T38" i="1"/>
  <c r="S38" i="1"/>
  <c r="Q38" i="1"/>
  <c r="P38" i="1"/>
  <c r="T37" i="1"/>
  <c r="S37" i="1"/>
  <c r="Q37" i="1"/>
  <c r="P37" i="1"/>
  <c r="T36" i="1"/>
  <c r="S36" i="1"/>
  <c r="Q36" i="1"/>
  <c r="P36" i="1"/>
  <c r="T35" i="1"/>
  <c r="S35" i="1"/>
  <c r="Q35" i="1"/>
  <c r="P35" i="1"/>
  <c r="T34" i="1"/>
  <c r="S34" i="1"/>
  <c r="Q34" i="1"/>
  <c r="P34" i="1"/>
  <c r="T33" i="1"/>
  <c r="S33" i="1"/>
  <c r="Q33" i="1"/>
  <c r="P33" i="1"/>
  <c r="T32" i="1"/>
  <c r="S32" i="1"/>
  <c r="Q32" i="1"/>
  <c r="P32" i="1"/>
  <c r="T31" i="1"/>
  <c r="S31" i="1"/>
  <c r="Q31" i="1"/>
  <c r="P31" i="1"/>
  <c r="T30" i="1"/>
  <c r="S30" i="1"/>
  <c r="Q30" i="1"/>
  <c r="P30" i="1"/>
  <c r="T29" i="1"/>
  <c r="S29" i="1"/>
  <c r="Q29" i="1"/>
  <c r="P29" i="1"/>
  <c r="T28" i="1"/>
  <c r="S28" i="1"/>
  <c r="Q28" i="1"/>
  <c r="P28" i="1"/>
  <c r="T27" i="1"/>
  <c r="S27" i="1"/>
  <c r="Q27" i="1"/>
  <c r="P27" i="1"/>
  <c r="T26" i="1"/>
  <c r="S26" i="1"/>
  <c r="Q26" i="1"/>
  <c r="P26" i="1"/>
  <c r="T25" i="1"/>
  <c r="S25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H3" i="8" l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</calcChain>
</file>

<file path=xl/sharedStrings.xml><?xml version="1.0" encoding="utf-8"?>
<sst xmlns="http://schemas.openxmlformats.org/spreadsheetml/2006/main" count="15565" uniqueCount="350">
  <si>
    <t>unit_id</t>
  </si>
  <si>
    <t>region_name</t>
  </si>
  <si>
    <t>region_type</t>
  </si>
  <si>
    <t>year</t>
  </si>
  <si>
    <t>total_catch_tonnes</t>
  </si>
  <si>
    <t>matched_catch_tonnes</t>
  </si>
  <si>
    <t>missing_tl_catch_tonnes</t>
  </si>
  <si>
    <t>catch_tl_coverage_fraction</t>
  </si>
  <si>
    <t>taxa_count</t>
  </si>
  <si>
    <t>matched_taxa_count</t>
  </si>
  <si>
    <t>ppr_species</t>
  </si>
  <si>
    <t>ppr_commercial_correct</t>
  </si>
  <si>
    <t>ppr_functional_correct</t>
  </si>
  <si>
    <t>ppr_commercial_jensen</t>
  </si>
  <si>
    <t>ppr_functional_jensen</t>
  </si>
  <si>
    <t>fraction_global_ppr</t>
  </si>
  <si>
    <t>rank_global_ppr</t>
  </si>
  <si>
    <t>LME_036</t>
  </si>
  <si>
    <t>South China Sea</t>
  </si>
  <si>
    <t>LME</t>
  </si>
  <si>
    <t>LME_032</t>
  </si>
  <si>
    <t>Arabian Sea</t>
  </si>
  <si>
    <t>LME_034</t>
  </si>
  <si>
    <t>Bay of Bengal</t>
  </si>
  <si>
    <t>LME_047</t>
  </si>
  <si>
    <t>East China Sea</t>
  </si>
  <si>
    <t>LME_052</t>
  </si>
  <si>
    <t>Sea of Okhotsk</t>
  </si>
  <si>
    <t>LME_013</t>
  </si>
  <si>
    <t>Humboldt Current</t>
  </si>
  <si>
    <t>LME_027</t>
  </si>
  <si>
    <t>Canary Current</t>
  </si>
  <si>
    <t>LME_028</t>
  </si>
  <si>
    <t>Guinea Current</t>
  </si>
  <si>
    <t>HS_077</t>
  </si>
  <si>
    <t>Pacific, Eastern Central</t>
  </si>
  <si>
    <t>High Seas</t>
  </si>
  <si>
    <t>LME_035</t>
  </si>
  <si>
    <t>Gulf of Thailand</t>
  </si>
  <si>
    <t>LME_022</t>
  </si>
  <si>
    <t>North Sea</t>
  </si>
  <si>
    <t>LME_049</t>
  </si>
  <si>
    <t>Kuroshio Current</t>
  </si>
  <si>
    <t>LME_038</t>
  </si>
  <si>
    <t>Indonesian Sea</t>
  </si>
  <si>
    <t>LME_048</t>
  </si>
  <si>
    <t>Yellow Sea</t>
  </si>
  <si>
    <t>HS_071</t>
  </si>
  <si>
    <t>Pacific, Western Central</t>
  </si>
  <si>
    <t>LME_050</t>
  </si>
  <si>
    <t>Sea of Japan / East Sea</t>
  </si>
  <si>
    <t>LME_014</t>
  </si>
  <si>
    <t>Patagonian Shelf</t>
  </si>
  <si>
    <t>LME_003</t>
  </si>
  <si>
    <t>California Current</t>
  </si>
  <si>
    <t>LME_024</t>
  </si>
  <si>
    <t>Celtic-Biscay Shelf</t>
  </si>
  <si>
    <t>LME_026</t>
  </si>
  <si>
    <t>Mediterranean Sea</t>
  </si>
  <si>
    <t>LME_029</t>
  </si>
  <si>
    <t>Benguela Current</t>
  </si>
  <si>
    <t>LME_037</t>
  </si>
  <si>
    <t>Sulu-Celebes Sea</t>
  </si>
  <si>
    <t>LME_002</t>
  </si>
  <si>
    <t>Gulf of Alaska</t>
  </si>
  <si>
    <t>Region</t>
  </si>
  <si>
    <t>Species PPR</t>
  </si>
  <si>
    <t>HS_051</t>
  </si>
  <si>
    <t>Indian Ocean, Western</t>
  </si>
  <si>
    <t>LME_001</t>
  </si>
  <si>
    <t>East Bering Sea</t>
  </si>
  <si>
    <t>LME_011</t>
  </si>
  <si>
    <t>Pacific Central-American Coastal</t>
  </si>
  <si>
    <t>LME_046</t>
  </si>
  <si>
    <t>New Zealand Shelf</t>
  </si>
  <si>
    <t>LME_059</t>
  </si>
  <si>
    <t>Iceland Shelf and Sea</t>
  </si>
  <si>
    <t>LME_020</t>
  </si>
  <si>
    <t>Barents Sea</t>
  </si>
  <si>
    <t>HS_087</t>
  </si>
  <si>
    <t>Pacific, Southeast</t>
  </si>
  <si>
    <t>HS_034</t>
  </si>
  <si>
    <t>Atlantic, Eastern Central</t>
  </si>
  <si>
    <t>HS_057</t>
  </si>
  <si>
    <t>Indian Ocean, Eastern</t>
  </si>
  <si>
    <t>LME_005</t>
  </si>
  <si>
    <t>Gulf of Mexico</t>
  </si>
  <si>
    <t>LME_051</t>
  </si>
  <si>
    <t>Oyashio Current</t>
  </si>
  <si>
    <t>LME_053</t>
  </si>
  <si>
    <t>West Bering Sea</t>
  </si>
  <si>
    <t>LME_030</t>
  </si>
  <si>
    <t>Agulhas Current</t>
  </si>
  <si>
    <t>LME_060</t>
  </si>
  <si>
    <t>Faroe Plateau</t>
  </si>
  <si>
    <t>LME_007</t>
  </si>
  <si>
    <t>Northeast U.S. Continental Shelf</t>
  </si>
  <si>
    <t>LME_012</t>
  </si>
  <si>
    <t>Caribbean Sea</t>
  </si>
  <si>
    <t>LME_025</t>
  </si>
  <si>
    <t>Iberian Coastal</t>
  </si>
  <si>
    <t>LME_021</t>
  </si>
  <si>
    <t>Norwegian Sea</t>
  </si>
  <si>
    <t>LME_017</t>
  </si>
  <si>
    <t>North Brazil Shelf</t>
  </si>
  <si>
    <t>LME_062</t>
  </si>
  <si>
    <t>Black Sea</t>
  </si>
  <si>
    <t>HS_061</t>
  </si>
  <si>
    <t>Pacific, Northwest</t>
  </si>
  <si>
    <t>LME_009</t>
  </si>
  <si>
    <t>Newfoundland-Labrador Shelf</t>
  </si>
  <si>
    <t>LME_004</t>
  </si>
  <si>
    <t>Gulf of California</t>
  </si>
  <si>
    <t>LME_023</t>
  </si>
  <si>
    <t>Baltic Sea</t>
  </si>
  <si>
    <t>LME_015</t>
  </si>
  <si>
    <t>South Brazil Shelf</t>
  </si>
  <si>
    <t>LME_031</t>
  </si>
  <si>
    <t>Somali Coastal Current</t>
  </si>
  <si>
    <t>LME_018</t>
  </si>
  <si>
    <t>Canadian Eastern Arctic -West Greenland</t>
  </si>
  <si>
    <t>LME_016</t>
  </si>
  <si>
    <t>East Brazil Shelf</t>
  </si>
  <si>
    <t>HS_027</t>
  </si>
  <si>
    <t>Atlantic, Northeast</t>
  </si>
  <si>
    <t>LME_054</t>
  </si>
  <si>
    <t>Northern Bering - Chukchi Seas</t>
  </si>
  <si>
    <t>HS_041</t>
  </si>
  <si>
    <t>Atlantic, Southwest</t>
  </si>
  <si>
    <t>LME_033</t>
  </si>
  <si>
    <t>Red Sea</t>
  </si>
  <si>
    <t>LME_006</t>
  </si>
  <si>
    <t>Southeast U.S. Continental Shelf</t>
  </si>
  <si>
    <t>HS_021</t>
  </si>
  <si>
    <t>Atlantic, Northwest</t>
  </si>
  <si>
    <t>HS_081</t>
  </si>
  <si>
    <t>Pacific, Southwest</t>
  </si>
  <si>
    <t>HS_047</t>
  </si>
  <si>
    <t>Atlantic, Southeast</t>
  </si>
  <si>
    <t>LME_065</t>
  </si>
  <si>
    <t>Aleutian Islands</t>
  </si>
  <si>
    <t>LME_019</t>
  </si>
  <si>
    <t>Greenland Sea</t>
  </si>
  <si>
    <t>LME_008</t>
  </si>
  <si>
    <t>Scotian Shelf</t>
  </si>
  <si>
    <t>LME_010</t>
  </si>
  <si>
    <t>Insular Pacific-Hawaiian</t>
  </si>
  <si>
    <t>HS_031</t>
  </si>
  <si>
    <t>Atlantic, Western Central</t>
  </si>
  <si>
    <t>LME_039</t>
  </si>
  <si>
    <t>North Australian Shelf</t>
  </si>
  <si>
    <t>LME_041</t>
  </si>
  <si>
    <t>East-Central Australian Shelf</t>
  </si>
  <si>
    <t>HS_048</t>
  </si>
  <si>
    <t>Atlantic, Antarctic</t>
  </si>
  <si>
    <t>LME_040</t>
  </si>
  <si>
    <t>Northeast Australian Shelf-Great Barrier Reef</t>
  </si>
  <si>
    <t>LME_042</t>
  </si>
  <si>
    <t>Southeast Australian Shelf</t>
  </si>
  <si>
    <t>LME_043</t>
  </si>
  <si>
    <t>Southwest Australian Shelf</t>
  </si>
  <si>
    <t>LME_045</t>
  </si>
  <si>
    <t>Northwest Australian Shelf</t>
  </si>
  <si>
    <t>LME_044</t>
  </si>
  <si>
    <t>West-Central Australian Shelf</t>
  </si>
  <si>
    <t>HS_088</t>
  </si>
  <si>
    <t>Pacific, Antarctic</t>
  </si>
  <si>
    <t>LME_063</t>
  </si>
  <si>
    <t>Hudson Bay Complex</t>
  </si>
  <si>
    <t>HS_067</t>
  </si>
  <si>
    <t>Pacific, Northeast</t>
  </si>
  <si>
    <t>LME_057</t>
  </si>
  <si>
    <t>Laptev Sea</t>
  </si>
  <si>
    <t>LME_055</t>
  </si>
  <si>
    <t>Beaufort Sea</t>
  </si>
  <si>
    <t>HS_058</t>
  </si>
  <si>
    <t>Indian Ocean, Antarctic</t>
  </si>
  <si>
    <t>LME_056</t>
  </si>
  <si>
    <t>East Siberian Sea</t>
  </si>
  <si>
    <t>LME_058</t>
  </si>
  <si>
    <t>Kara Sea</t>
  </si>
  <si>
    <t>LME_066</t>
  </si>
  <si>
    <t>Canadian High Arctic - North Greenland</t>
  </si>
  <si>
    <t>LME_061</t>
  </si>
  <si>
    <t>Antarctic</t>
  </si>
  <si>
    <t>HS_018</t>
  </si>
  <si>
    <t>Arctic Sea</t>
  </si>
  <si>
    <t>LME_064</t>
  </si>
  <si>
    <t>Central Arctic Ocean</t>
  </si>
  <si>
    <t>check</t>
  </si>
  <si>
    <t>value</t>
  </si>
  <si>
    <t>unit</t>
  </si>
  <si>
    <t>raw_filtered_tonnes</t>
  </si>
  <si>
    <t>tonnes</t>
  </si>
  <si>
    <t>species_catch_tonnes</t>
  </si>
  <si>
    <t>catch_difference_tonnes</t>
  </si>
  <si>
    <t>catch_reconciled</t>
  </si>
  <si>
    <t>True</t>
  </si>
  <si>
    <t>boolean</t>
  </si>
  <si>
    <t>catch_coverage_fraction</t>
  </si>
  <si>
    <t>fraction</t>
  </si>
  <si>
    <t>count</t>
  </si>
  <si>
    <t>unmatched_taxa_count</t>
  </si>
  <si>
    <t>species_ppr</t>
  </si>
  <si>
    <t>tonnes_primary_production_equivalent</t>
  </si>
  <si>
    <t>commercial_ppr</t>
  </si>
  <si>
    <t>functional_ppr</t>
  </si>
  <si>
    <t>commercial_ppr_difference</t>
  </si>
  <si>
    <t>functional_ppr_difference</t>
  </si>
  <si>
    <t>commercial_ppr_reconciled</t>
  </si>
  <si>
    <t>functional_ppr_reconciled</t>
  </si>
  <si>
    <t>commercial_jensen_violations</t>
  </si>
  <si>
    <t>functional_jensen_violations</t>
  </si>
  <si>
    <t>match_method</t>
  </si>
  <si>
    <t>tl_source</t>
  </si>
  <si>
    <t>match_confidence</t>
  </si>
  <si>
    <t>catch_tonnes</t>
  </si>
  <si>
    <t>unit_catch_tonnes</t>
  </si>
  <si>
    <t>unit_taxa</t>
  </si>
  <si>
    <t>taxa_fraction</t>
  </si>
  <si>
    <t>catch_fraction</t>
  </si>
  <si>
    <t>exact_2020_supplement</t>
  </si>
  <si>
    <t>2020 supplement MeanTL</t>
  </si>
  <si>
    <t>high</t>
  </si>
  <si>
    <t>exact_sea_around_us</t>
  </si>
  <si>
    <t>Sea Around Us exploited organisms</t>
  </si>
  <si>
    <t>classification</t>
  </si>
  <si>
    <t>group_name</t>
  </si>
  <si>
    <t>taxon_count_total</t>
  </si>
  <si>
    <t>taxon_count_matched</t>
  </si>
  <si>
    <t>catch_tonnes_total</t>
  </si>
  <si>
    <t>catch_tonnes_matched</t>
  </si>
  <si>
    <t>catch_tonnes_missing_tl</t>
  </si>
  <si>
    <t>sppr_correct</t>
  </si>
  <si>
    <t>ppr_correct</t>
  </si>
  <si>
    <t>tl_weighted_jensen</t>
  </si>
  <si>
    <t>sppr_jensen</t>
  </si>
  <si>
    <t>ppr_jensen</t>
  </si>
  <si>
    <t>jensen_difference</t>
  </si>
  <si>
    <t>jensen_ratio_correct_to_error</t>
  </si>
  <si>
    <t>jensen_percent_difference</t>
  </si>
  <si>
    <t>commercial</t>
  </si>
  <si>
    <t>Cod-likes</t>
  </si>
  <si>
    <t>Crustaceans</t>
  </si>
  <si>
    <t>Flatfishes</t>
  </si>
  <si>
    <t>Molluscs</t>
  </si>
  <si>
    <t>Other fishes &amp; inverts</t>
  </si>
  <si>
    <t>Perch-likes</t>
  </si>
  <si>
    <t>Salmon, smelts, etc</t>
  </si>
  <si>
    <t>Scorpionfishes</t>
  </si>
  <si>
    <t>Sharks &amp; rays</t>
  </si>
  <si>
    <t>Tuna &amp; billfishes</t>
  </si>
  <si>
    <t>Anchovies</t>
  </si>
  <si>
    <t>Herring-likes</t>
  </si>
  <si>
    <t>functional</t>
  </si>
  <si>
    <t>Cephalopods</t>
  </si>
  <si>
    <t>Large bathydemersals (&gt;=90 cm)</t>
  </si>
  <si>
    <t>Large bathypelagics (&gt;=90 cm)</t>
  </si>
  <si>
    <t>Large benthopelagics (&gt;=90 cm)</t>
  </si>
  <si>
    <t>Large demersals (&gt;=90 cm)</t>
  </si>
  <si>
    <t>Large flatfishes (&gt;=90 cm)</t>
  </si>
  <si>
    <t>Large pelagics (&gt;=90 cm)</t>
  </si>
  <si>
    <t>Large rays (&gt;=90 cm)</t>
  </si>
  <si>
    <t>Large reef assoc. fish (&gt;=90 cm)</t>
  </si>
  <si>
    <t>Large sharks (&gt;=90 cm)</t>
  </si>
  <si>
    <t>Lobsters, crabs</t>
  </si>
  <si>
    <t>Medium bathydemersals (30 - 89 cm)</t>
  </si>
  <si>
    <t>Medium bathypelagics (30 - 89 cm)</t>
  </si>
  <si>
    <t>Medium benthopelagics (30 - 89 cm)</t>
  </si>
  <si>
    <t>Medium demersals (30 - 89 cm)</t>
  </si>
  <si>
    <t>Medium pelagics (30 - 89 cm)</t>
  </si>
  <si>
    <t>Other demersal invertebrates</t>
  </si>
  <si>
    <t>Shrimps</t>
  </si>
  <si>
    <t>Small pelagics (&lt;30 cm)</t>
  </si>
  <si>
    <t>Small to medium flatfishes (&lt;90 cm)</t>
  </si>
  <si>
    <t>Small to medium sharks (&lt;90 cm)</t>
  </si>
  <si>
    <t>Medium reef assoc. fish (30 - 89 cm)</t>
  </si>
  <si>
    <t>Jellyfish</t>
  </si>
  <si>
    <t>Small demersals (&lt;30 cm)</t>
  </si>
  <si>
    <t>Krill</t>
  </si>
  <si>
    <t>Small bathydemersals (&lt;30 cm)</t>
  </si>
  <si>
    <t>Small bathypelagics (&lt;30 cm)</t>
  </si>
  <si>
    <t>Small to medium rays (&lt;90 cm)</t>
  </si>
  <si>
    <t>Small benthopelagics (&lt;30 cm)</t>
  </si>
  <si>
    <t>Small reef assoc. fish (&lt;30 cm)</t>
  </si>
  <si>
    <t>area_name</t>
  </si>
  <si>
    <t>area_type</t>
  </si>
  <si>
    <t>raw_rows_selected</t>
  </si>
  <si>
    <t>taxon_rows_standardized</t>
  </si>
  <si>
    <t>standardized_tonnes</t>
  </si>
  <si>
    <t>difference_tonnes</t>
  </si>
  <si>
    <t>reconciled</t>
  </si>
  <si>
    <t>source_data_status</t>
  </si>
  <si>
    <t>empty_catch_archive</t>
  </si>
  <si>
    <t>high_seas</t>
  </si>
  <si>
    <t>available</t>
  </si>
  <si>
    <t>lme</t>
  </si>
  <si>
    <t>PPR global configuration</t>
  </si>
  <si>
    <t>Field</t>
  </si>
  <si>
    <t>Value</t>
  </si>
  <si>
    <t>Notes / source</t>
  </si>
  <si>
    <t>Scope</t>
  </si>
  <si>
    <t>all Sea Around Us LMEs and High Seas units</t>
  </si>
  <si>
    <t>All Sea Around Us-defined LME and High Seas units</t>
  </si>
  <si>
    <t>Spatial units</t>
  </si>
  <si>
    <t>66 LMEs + 18 High Seas units</t>
  </si>
  <si>
    <t>Year</t>
  </si>
  <si>
    <t>Latest year present in every configured catch archive</t>
  </si>
  <si>
    <t>Transfer efficiency</t>
  </si>
  <si>
    <t>Fixed TE for the approved 1995 trophic-chain method</t>
  </si>
  <si>
    <t>SPPR</t>
  </si>
  <si>
    <t>(1 / TE)^(TL - 1)</t>
  </si>
  <si>
    <t>With TE=0.1, SPPR = 10^(TL-1)</t>
  </si>
  <si>
    <t>PPR</t>
  </si>
  <si>
    <t>Catch tonnes × SPPR</t>
  </si>
  <si>
    <t>Unit: tonnes primary-production equivalent</t>
  </si>
  <si>
    <t>Wet-weight/carbon divisor</t>
  </si>
  <si>
    <t>Not applied</t>
  </si>
  <si>
    <t>The paper's separate /9 conversion is omitted per the approved specification</t>
  </si>
  <si>
    <t>Catch types</t>
  </si>
  <si>
    <t>Landings, Discards</t>
  </si>
  <si>
    <t>Sea Around Us reconstructed catch scope</t>
  </si>
  <si>
    <t>Reporting status</t>
  </si>
  <si>
    <t>Reported, Unreported</t>
  </si>
  <si>
    <t>Both reported and reconstructed unreported catch</t>
  </si>
  <si>
    <t>TL primary source</t>
  </si>
  <si>
    <t>The supplement's alternative SPPR columns are not used</t>
  </si>
  <si>
    <t>TL secondary source</t>
  </si>
  <si>
    <t>Exact scientific-name matches</t>
  </si>
  <si>
    <t>Sources and reproducibility notes</t>
  </si>
  <si>
    <t>Sea Around Us data</t>
  </si>
  <si>
    <t>https://www.seaaroundus.org/data/</t>
  </si>
  <si>
    <t>Region, catch, and High Seas definitions</t>
  </si>
  <si>
    <t>Sea Around Us guide</t>
  </si>
  <si>
    <t>https://www.seaaroundus.org/tools-guide/</t>
  </si>
  <si>
    <t>Download fields and reconstructed-catch notes</t>
  </si>
  <si>
    <t>Sea Around Us API</t>
  </si>
  <si>
    <t>https://api.seaaroundus.org/api/v1/</t>
  </si>
  <si>
    <t>Frozen raw downloads stored with the pipeline</t>
  </si>
  <si>
    <t>1995 method</t>
  </si>
  <si>
    <t>Pauly &amp; Christensen (1995), Nature 374:255-257</t>
  </si>
  <si>
    <t>TE=0.1 trophic-chain calculation</t>
  </si>
  <si>
    <t>2020 supplement</t>
  </si>
  <si>
    <t>sources/2020 sup.xlsx</t>
  </si>
  <si>
    <t>MeanTL only; no Luong regression SPPR used</t>
  </si>
  <si>
    <t>Interpretation</t>
  </si>
  <si>
    <t>Global fractions sum to 100%</t>
  </si>
  <si>
    <t>Fractions and ranks apply to 84 configured units</t>
  </si>
  <si>
    <t>עמודה1</t>
  </si>
  <si>
    <t>accumulated fraction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</si>
</sst>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>
    <font>
      <sz val="11"/>
      <name val="Carlito"/>
    </font>
    <font>
      <b/>
      <sz val="16"/>
      <color rgb="FFFFFFFF"/>
      <name val="Aptos Display"/>
    </font>
    <font>
      <sz val="10"/>
      <name val="Aptos"/>
    </font>
    <font>
      <b/>
      <sz val="10"/>
      <color rgb="FFFFFFFF"/>
      <name val="Aptos"/>
    </font>
    <font>
      <b/>
      <sz val="10"/>
      <color rgb="FF17324D"/>
      <name val="Aptos"/>
    </font>
    <font>
      <sz val="9"/>
      <color rgb="FF1D2939"/>
      <name val="Aptos"/>
    </font>
    <font>
      <b/>
      <sz val="10"/>
      <color rgb="FFFFFFFF"/>
      <name val="Aptos Display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147D92"/>
      </patternFill>
    </fill>
  </fills>
  <borders count="11">
    <border>
      <left/>
      <right/>
      <top/>
      <bottom/>
      <diagonal/>
    </border>
    <border>
      <left/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/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 style="thin">
        <color rgb="FFD0D5DD"/>
      </top>
      <bottom/>
      <diagonal/>
    </border>
    <border>
      <left/>
      <right/>
      <top/>
      <bottom style="medium">
        <color rgb="FF147D92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3" fillId="3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5" fillId="0" borderId="0" xfId="0" applyFont="1"/>
    <xf numFmtId="0" fontId="6" fillId="2" borderId="10" xfId="0" applyFont="1" applyFill="1" applyBorder="1" applyAlignment="1">
      <alignment vertical="center" wrapText="1"/>
    </xf>
    <xf numFmtId="1" fontId="5" fillId="0" borderId="0" xfId="0" applyNumberFormat="1" applyFont="1"/>
    <xf numFmtId="4" fontId="5" fillId="0" borderId="0" xfId="0" applyNumberFormat="1" applyFont="1"/>
    <xf numFmtId="164" fontId="5" fillId="0" borderId="0" xfId="0" applyNumberFormat="1" applyFont="1"/>
    <xf numFmtId="10" fontId="5" fillId="0" borderId="0" xfId="0" applyNumberFormat="1" applyFont="1"/>
    <xf numFmtId="3" fontId="5" fillId="0" borderId="0" xfId="0" applyNumberFormat="1" applyFont="1"/>
    <xf numFmtId="10" fontId="0" fillId="0" borderId="0" xfId="0" applyNumberFormat="1"/>
    <xf numFmtId="9" fontId="0" fillId="0" borderId="0" xfId="1" applyFont="1"/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1" fillId="2" borderId="0" xfId="0" applyFont="1" applyFill="1"/>
  </cellXfs>
  <cellStyles count="2">
    <cellStyle name="Normal" xfId="0" builtinId="0"/>
    <cellStyle name="Percent" xfId="1" builtinId="5"/>
  </cellStyles>
  <dxfs count="12">
    <dxf>
      <font>
        <b/>
        <color rgb="FFB42318"/>
      </font>
      <fill>
        <patternFill patternType="solid">
          <bgColor rgb="FFFEE4E2"/>
        </patternFill>
      </fill>
    </dxf>
    <dxf>
      <numFmt numFmtId="14" formatCode="0.00%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Top 25 global PPR ranking (tonnes primary-production equivalent)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Species PPR</c:v>
          </c:tx>
          <c:invertIfNegative val="1"/>
          <c:cat>
            <c:strRef>
              <c:f>'summarized summary'!$J$40:$J$64</c:f>
              <c:strCache>
                <c:ptCount val="25"/>
                <c:pt idx="0">
                  <c:v>South China Sea</c:v>
                </c:pt>
                <c:pt idx="1">
                  <c:v>Arabian Sea</c:v>
                </c:pt>
                <c:pt idx="2">
                  <c:v>Bay of Bengal</c:v>
                </c:pt>
                <c:pt idx="3">
                  <c:v>East China Sea</c:v>
                </c:pt>
                <c:pt idx="4">
                  <c:v>Sea of Okhotsk</c:v>
                </c:pt>
                <c:pt idx="5">
                  <c:v>Humboldt Current</c:v>
                </c:pt>
                <c:pt idx="6">
                  <c:v>Canary Current</c:v>
                </c:pt>
                <c:pt idx="7">
                  <c:v>Guinea Current</c:v>
                </c:pt>
                <c:pt idx="8">
                  <c:v>Pacific, Eastern Central</c:v>
                </c:pt>
                <c:pt idx="9">
                  <c:v>Gulf of Thailand</c:v>
                </c:pt>
                <c:pt idx="10">
                  <c:v>North Sea</c:v>
                </c:pt>
                <c:pt idx="11">
                  <c:v>Kuroshio Current</c:v>
                </c:pt>
                <c:pt idx="12">
                  <c:v>Indonesian Sea</c:v>
                </c:pt>
                <c:pt idx="13">
                  <c:v>Yellow Sea</c:v>
                </c:pt>
                <c:pt idx="14">
                  <c:v>Pacific, Western Central</c:v>
                </c:pt>
                <c:pt idx="15">
                  <c:v>Sea of Japan / East Sea</c:v>
                </c:pt>
                <c:pt idx="16">
                  <c:v>Patagonian Shelf</c:v>
                </c:pt>
                <c:pt idx="17">
                  <c:v>California Current</c:v>
                </c:pt>
                <c:pt idx="18">
                  <c:v>Celtic-Biscay Shelf</c:v>
                </c:pt>
                <c:pt idx="19">
                  <c:v>Mediterranean Sea</c:v>
                </c:pt>
                <c:pt idx="20">
                  <c:v>Benguela Current</c:v>
                </c:pt>
                <c:pt idx="21">
                  <c:v>Sulu-Celebes Sea</c:v>
                </c:pt>
                <c:pt idx="22">
                  <c:v>Gulf of Alaska</c:v>
                </c:pt>
                <c:pt idx="23">
                  <c:v>Indian Ocean, Western</c:v>
                </c:pt>
                <c:pt idx="24">
                  <c:v>East Bering Sea</c:v>
                </c:pt>
              </c:strCache>
            </c:strRef>
          </c:cat>
          <c:val>
            <c:numRef>
              <c:f>'summarized summary'!$K$40:$K$64</c:f>
              <c:numCache>
                <c:formatCode>General</c:formatCode>
                <c:ptCount val="25"/>
                <c:pt idx="0">
                  <c:v>8070990713.0926199</c:v>
                </c:pt>
                <c:pt idx="1">
                  <c:v>4734727053.1209135</c:v>
                </c:pt>
                <c:pt idx="2">
                  <c:v>3525461853.6068969</c:v>
                </c:pt>
                <c:pt idx="3">
                  <c:v>3396644855.5552316</c:v>
                </c:pt>
                <c:pt idx="4">
                  <c:v>2799543440.9812036</c:v>
                </c:pt>
                <c:pt idx="5">
                  <c:v>2612052520.1434836</c:v>
                </c:pt>
                <c:pt idx="6">
                  <c:v>2359485422.8161731</c:v>
                </c:pt>
                <c:pt idx="7">
                  <c:v>2256398879.6656098</c:v>
                </c:pt>
                <c:pt idx="8">
                  <c:v>2196179346.0276952</c:v>
                </c:pt>
                <c:pt idx="9">
                  <c:v>1868893899.8381805</c:v>
                </c:pt>
                <c:pt idx="10">
                  <c:v>1700184787.4627526</c:v>
                </c:pt>
                <c:pt idx="11">
                  <c:v>1682486180.5803435</c:v>
                </c:pt>
                <c:pt idx="12">
                  <c:v>1678212214.8416104</c:v>
                </c:pt>
                <c:pt idx="13">
                  <c:v>1554214509.6068287</c:v>
                </c:pt>
                <c:pt idx="14">
                  <c:v>1482147259.8171525</c:v>
                </c:pt>
                <c:pt idx="15">
                  <c:v>1439195574.0782979</c:v>
                </c:pt>
                <c:pt idx="16">
                  <c:v>1391657718.08254</c:v>
                </c:pt>
                <c:pt idx="17">
                  <c:v>1028923753.7644161</c:v>
                </c:pt>
                <c:pt idx="18">
                  <c:v>1010255322.1765621</c:v>
                </c:pt>
                <c:pt idx="19">
                  <c:v>1007915797.3835726</c:v>
                </c:pt>
                <c:pt idx="20">
                  <c:v>997757338.24668729</c:v>
                </c:pt>
                <c:pt idx="21">
                  <c:v>990198790.87030256</c:v>
                </c:pt>
                <c:pt idx="22">
                  <c:v>967218747.55306625</c:v>
                </c:pt>
                <c:pt idx="23">
                  <c:v>907481876.83694828</c:v>
                </c:pt>
                <c:pt idx="24">
                  <c:v>816435933.91241038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27-4FFE-A1C0-8106D839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0"/>
  <c:style val="2"/>
  <c:chart>
    <c:title>
      <c:tx>
        <c:rich>
          <a:bodyPr/>
          <a:lstStyle/>
          <a:p>
            <a:r>
              <a:rPr lang="en-US"/>
              <a:t>Top 25 global PPR ranking (tonnes primary-production equivalent)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Species PPR</c:v>
          </c:tx>
          <c:invertIfNegative val="1"/>
          <c:cat>
            <c:strRef>
              <c:f>Summary!$S$25:$S$49</c:f>
              <c:strCache>
                <c:ptCount val="25"/>
                <c:pt idx="0">
                  <c:v>South China Sea</c:v>
                </c:pt>
                <c:pt idx="1">
                  <c:v>Arabian Sea</c:v>
                </c:pt>
                <c:pt idx="2">
                  <c:v>Bay of Bengal</c:v>
                </c:pt>
                <c:pt idx="3">
                  <c:v>East China Sea</c:v>
                </c:pt>
                <c:pt idx="4">
                  <c:v>Sea of Okhotsk</c:v>
                </c:pt>
                <c:pt idx="5">
                  <c:v>Humboldt Current</c:v>
                </c:pt>
                <c:pt idx="6">
                  <c:v>Canary Current</c:v>
                </c:pt>
                <c:pt idx="7">
                  <c:v>Guinea Current</c:v>
                </c:pt>
                <c:pt idx="8">
                  <c:v>Pacific, Eastern Central</c:v>
                </c:pt>
                <c:pt idx="9">
                  <c:v>Gulf of Thailand</c:v>
                </c:pt>
                <c:pt idx="10">
                  <c:v>North Sea</c:v>
                </c:pt>
                <c:pt idx="11">
                  <c:v>Kuroshio Current</c:v>
                </c:pt>
                <c:pt idx="12">
                  <c:v>Indonesian Sea</c:v>
                </c:pt>
                <c:pt idx="13">
                  <c:v>Yellow Sea</c:v>
                </c:pt>
                <c:pt idx="14">
                  <c:v>Pacific, Western Central</c:v>
                </c:pt>
                <c:pt idx="15">
                  <c:v>Sea of Japan / East Sea</c:v>
                </c:pt>
                <c:pt idx="16">
                  <c:v>Patagonian Shelf</c:v>
                </c:pt>
                <c:pt idx="17">
                  <c:v>California Current</c:v>
                </c:pt>
                <c:pt idx="18">
                  <c:v>Celtic-Biscay Shelf</c:v>
                </c:pt>
                <c:pt idx="19">
                  <c:v>Mediterranean Sea</c:v>
                </c:pt>
                <c:pt idx="20">
                  <c:v>Benguela Current</c:v>
                </c:pt>
                <c:pt idx="21">
                  <c:v>Sulu-Celebes Sea</c:v>
                </c:pt>
                <c:pt idx="22">
                  <c:v>Gulf of Alaska</c:v>
                </c:pt>
                <c:pt idx="23">
                  <c:v>Indian Ocean, Western</c:v>
                </c:pt>
                <c:pt idx="24">
                  <c:v>East Bering Sea</c:v>
                </c:pt>
              </c:strCache>
            </c:strRef>
          </c:cat>
          <c:val>
            <c:numRef>
              <c:f>Summary!$T$25:$T$49</c:f>
              <c:numCache>
                <c:formatCode>General</c:formatCode>
                <c:ptCount val="25"/>
                <c:pt idx="0">
                  <c:v>8070990713.0926199</c:v>
                </c:pt>
                <c:pt idx="1">
                  <c:v>4734727053.1209135</c:v>
                </c:pt>
                <c:pt idx="2">
                  <c:v>3525461853.6068969</c:v>
                </c:pt>
                <c:pt idx="3">
                  <c:v>3396644855.5552316</c:v>
                </c:pt>
                <c:pt idx="4">
                  <c:v>2799543440.9812036</c:v>
                </c:pt>
                <c:pt idx="5">
                  <c:v>2612052520.1434836</c:v>
                </c:pt>
                <c:pt idx="6">
                  <c:v>2359485422.8161731</c:v>
                </c:pt>
                <c:pt idx="7">
                  <c:v>2256398879.6656098</c:v>
                </c:pt>
                <c:pt idx="8">
                  <c:v>2196179346.0276952</c:v>
                </c:pt>
                <c:pt idx="9">
                  <c:v>1868893899.8381805</c:v>
                </c:pt>
                <c:pt idx="10">
                  <c:v>1700184787.4627526</c:v>
                </c:pt>
                <c:pt idx="11">
                  <c:v>1682486180.5803435</c:v>
                </c:pt>
                <c:pt idx="12">
                  <c:v>1678212214.8416104</c:v>
                </c:pt>
                <c:pt idx="13">
                  <c:v>1554214509.6068287</c:v>
                </c:pt>
                <c:pt idx="14">
                  <c:v>1482147259.8171525</c:v>
                </c:pt>
                <c:pt idx="15">
                  <c:v>1439195574.0782979</c:v>
                </c:pt>
                <c:pt idx="16">
                  <c:v>1391657718.08254</c:v>
                </c:pt>
                <c:pt idx="17">
                  <c:v>1028923753.7644161</c:v>
                </c:pt>
                <c:pt idx="18">
                  <c:v>1010255322.1765621</c:v>
                </c:pt>
                <c:pt idx="19">
                  <c:v>1007915797.3835726</c:v>
                </c:pt>
                <c:pt idx="20">
                  <c:v>997757338.24668729</c:v>
                </c:pt>
                <c:pt idx="21">
                  <c:v>990198790.87030256</c:v>
                </c:pt>
                <c:pt idx="22">
                  <c:v>967218747.55306625</c:v>
                </c:pt>
                <c:pt idx="23">
                  <c:v>907481876.83694828</c:v>
                </c:pt>
                <c:pt idx="24">
                  <c:v>816435933.91241038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7A-4FBB-A1B1-BCA1A0BE1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76200</xdr:colOff>
      <xdr:row>3</xdr:row>
      <xdr:rowOff>133350</xdr:rowOff>
    </xdr:from>
    <xdr:to>
      <xdr:col>19</xdr:col>
      <xdr:colOff>577850</xdr:colOff>
      <xdr:row>26</xdr:row>
      <xdr:rowOff>158750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25E8AB9-B8D9-43B5-9769-538037C747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209550</xdr:colOff>
      <xdr:row>1</xdr:row>
      <xdr:rowOff>0</xdr:rowOff>
    </xdr:from>
    <xdr:to>
      <xdr:col>29</xdr:col>
      <xdr:colOff>209550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0A9EF7-D81E-4B51-BFD3-66A8F1888295}" name="טבלה6" displayName="טבלה6" ref="A1:H85" totalsRowShown="0" headerRowDxfId="11" dataDxfId="10">
  <autoFilter ref="A1:H85" xr:uid="{960A9EF7-D81E-4B51-BFD3-66A8F1888295}"/>
  <sortState xmlns:xlrd2="http://schemas.microsoft.com/office/spreadsheetml/2017/richdata2" ref="A2:H85">
    <sortCondition ref="G1:G85"/>
  </sortState>
  <tableColumns count="8">
    <tableColumn id="1" xr3:uid="{48C2ACA1-483A-4A59-AC6E-87383627657B}" name="unit_id" dataDxfId="9"/>
    <tableColumn id="2" xr3:uid="{544661EC-D17E-453A-84E0-75BCD0C40480}" name="region_name" dataDxfId="8"/>
    <tableColumn id="3" xr3:uid="{2916E463-1B93-4A57-A0E9-69F1F0FA0699}" name="region_type" dataDxfId="7"/>
    <tableColumn id="4" xr3:uid="{781E3508-187B-4FA0-A83D-A63686CFCDBD}" name="total_catch_tonnes" dataDxfId="6"/>
    <tableColumn id="5" xr3:uid="{5BE86C2C-0027-4203-B516-8D3EC1D6BA3F}" name="ppr_species" dataDxfId="5"/>
    <tableColumn id="6" xr3:uid="{FF7FEB20-A240-4C84-8EFB-9931ECBBEEE9}" name="fraction_global_ppr" dataDxfId="4" dataCellStyle="Percent">
      <calculatedColumnFormula>E2/SUM($E$2:$E$85)</calculatedColumnFormula>
    </tableColumn>
    <tableColumn id="7" xr3:uid="{F6A82015-7E71-4A1B-BD28-5FC104CB9025}" name="rank_global_ppr" dataDxfId="3">
      <calculatedColumnFormula>RANK(E2,$E$2:$E$85,0)</calculatedColumnFormula>
    </tableColumn>
    <tableColumn id="8" xr3:uid="{F83EE347-7E6C-4352-B96A-2EBB1B7C715F}" name="accumulated fraction" dataDxfId="2" dataCellStyle="Percent">
      <calculatedColumnFormula>F2+H1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ilotSummaryTable" displayName="PilotSummaryTable" ref="A1:R85" totalsRowShown="0">
  <autoFilter ref="A1:R85" xr:uid="{00000000-0009-0000-0100-000001000000}"/>
  <tableColumns count="18">
    <tableColumn id="1" xr3:uid="{00000000-0010-0000-0000-000001000000}" name="unit_id"/>
    <tableColumn id="2" xr3:uid="{00000000-0010-0000-0000-000002000000}" name="region_name"/>
    <tableColumn id="3" xr3:uid="{00000000-0010-0000-0000-000003000000}" name="region_type"/>
    <tableColumn id="4" xr3:uid="{00000000-0010-0000-0000-000004000000}" name="year"/>
    <tableColumn id="5" xr3:uid="{00000000-0010-0000-0000-000005000000}" name="total_catch_tonnes"/>
    <tableColumn id="6" xr3:uid="{00000000-0010-0000-0000-000006000000}" name="matched_catch_tonnes"/>
    <tableColumn id="7" xr3:uid="{00000000-0010-0000-0000-000007000000}" name="missing_tl_catch_tonnes"/>
    <tableColumn id="8" xr3:uid="{00000000-0010-0000-0000-000008000000}" name="catch_tl_coverage_fraction"/>
    <tableColumn id="9" xr3:uid="{00000000-0010-0000-0000-000009000000}" name="taxa_count"/>
    <tableColumn id="10" xr3:uid="{00000000-0010-0000-0000-00000A000000}" name="matched_taxa_count"/>
    <tableColumn id="11" xr3:uid="{00000000-0010-0000-0000-00000B000000}" name="ppr_species"/>
    <tableColumn id="12" xr3:uid="{00000000-0010-0000-0000-00000C000000}" name="ppr_commercial_correct"/>
    <tableColumn id="13" xr3:uid="{00000000-0010-0000-0000-00000D000000}" name="ppr_functional_correct"/>
    <tableColumn id="14" xr3:uid="{00000000-0010-0000-0000-00000E000000}" name="ppr_commercial_jensen"/>
    <tableColumn id="15" xr3:uid="{00000000-0010-0000-0000-00000F000000}" name="ppr_functional_jensen"/>
    <tableColumn id="16" xr3:uid="{00000000-0010-0000-0000-000010000000}" name="fraction_global_ppr"/>
    <tableColumn id="17" xr3:uid="{00000000-0010-0000-0000-000011000000}" name="rank_global_ppr"/>
    <tableColumn id="18" xr3:uid="{B23D7D80-104E-49C8-9C4E-8079BED6BBC5}" name="עמודה1" dataDxfId="1">
      <calculatedColumnFormula>P2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ilotValidationTable" displayName="PilotValidationTable" ref="A1:D1513" totalsRowShown="0">
  <autoFilter ref="A1:D1513" xr:uid="{00000000-0009-0000-0100-000002000000}"/>
  <tableColumns count="4">
    <tableColumn id="1" xr3:uid="{00000000-0010-0000-0100-000001000000}" name="unit_id"/>
    <tableColumn id="2" xr3:uid="{00000000-0010-0000-0100-000002000000}" name="check"/>
    <tableColumn id="3" xr3:uid="{00000000-0010-0000-0100-000003000000}" name="value"/>
    <tableColumn id="4" xr3:uid="{00000000-0010-0000-0100-000004000000}" name="uni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ilotTLCoverageTable" displayName="PilotTLCoverageTable" ref="A1:J165" totalsRowShown="0">
  <autoFilter ref="A1:J165" xr:uid="{00000000-0009-0000-0100-000003000000}"/>
  <tableColumns count="10">
    <tableColumn id="1" xr3:uid="{00000000-0010-0000-0200-000001000000}" name="unit_id"/>
    <tableColumn id="2" xr3:uid="{00000000-0010-0000-0200-000002000000}" name="match_method"/>
    <tableColumn id="3" xr3:uid="{00000000-0010-0000-0200-000003000000}" name="tl_source"/>
    <tableColumn id="4" xr3:uid="{00000000-0010-0000-0200-000004000000}" name="match_confidence"/>
    <tableColumn id="5" xr3:uid="{00000000-0010-0000-0200-000005000000}" name="taxa_count"/>
    <tableColumn id="6" xr3:uid="{00000000-0010-0000-0200-000006000000}" name="catch_tonnes"/>
    <tableColumn id="7" xr3:uid="{00000000-0010-0000-0200-000007000000}" name="unit_catch_tonnes"/>
    <tableColumn id="8" xr3:uid="{00000000-0010-0000-0200-000008000000}" name="unit_taxa"/>
    <tableColumn id="9" xr3:uid="{00000000-0010-0000-0200-000009000000}" name="taxa_fraction"/>
    <tableColumn id="10" xr3:uid="{00000000-0010-0000-0200-00000A000000}" name="catch_fra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ilotJensenTable" displayName="PilotJensenTable" ref="A1:R2269" totalsRowShown="0">
  <autoFilter ref="A1:R2269" xr:uid="{00000000-0009-0000-0100-000004000000}"/>
  <tableColumns count="18">
    <tableColumn id="1" xr3:uid="{00000000-0010-0000-0300-000001000000}" name="unit_id"/>
    <tableColumn id="2" xr3:uid="{00000000-0010-0000-0300-000002000000}" name="region_name"/>
    <tableColumn id="3" xr3:uid="{00000000-0010-0000-0300-000003000000}" name="classification"/>
    <tableColumn id="4" xr3:uid="{00000000-0010-0000-0300-000004000000}" name="group_name"/>
    <tableColumn id="5" xr3:uid="{00000000-0010-0000-0300-000005000000}" name="taxon_count_total"/>
    <tableColumn id="6" xr3:uid="{00000000-0010-0000-0300-000006000000}" name="taxon_count_matched"/>
    <tableColumn id="7" xr3:uid="{00000000-0010-0000-0300-000007000000}" name="catch_tonnes_total"/>
    <tableColumn id="8" xr3:uid="{00000000-0010-0000-0300-000008000000}" name="catch_tonnes_matched"/>
    <tableColumn id="9" xr3:uid="{00000000-0010-0000-0300-000009000000}" name="catch_tonnes_missing_tl"/>
    <tableColumn id="10" xr3:uid="{00000000-0010-0000-0300-00000A000000}" name="catch_coverage_fraction"/>
    <tableColumn id="11" xr3:uid="{00000000-0010-0000-0300-00000B000000}" name="sppr_correct"/>
    <tableColumn id="12" xr3:uid="{00000000-0010-0000-0300-00000C000000}" name="ppr_correct"/>
    <tableColumn id="13" xr3:uid="{00000000-0010-0000-0300-00000D000000}" name="tl_weighted_jensen"/>
    <tableColumn id="14" xr3:uid="{00000000-0010-0000-0300-00000E000000}" name="sppr_jensen"/>
    <tableColumn id="15" xr3:uid="{00000000-0010-0000-0300-00000F000000}" name="ppr_jensen"/>
    <tableColumn id="16" xr3:uid="{00000000-0010-0000-0300-000010000000}" name="jensen_difference"/>
    <tableColumn id="17" xr3:uid="{00000000-0010-0000-0300-000011000000}" name="jensen_ratio_correct_to_error"/>
    <tableColumn id="18" xr3:uid="{00000000-0010-0000-0300-000012000000}" name="jensen_percent_differe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ilotIngestionTable" displayName="PilotIngestionTable" ref="A1:K85" totalsRowShown="0">
  <autoFilter ref="A1:K85" xr:uid="{00000000-0009-0000-0100-000005000000}"/>
  <tableColumns count="11">
    <tableColumn id="1" xr3:uid="{00000000-0010-0000-0400-000001000000}" name="unit_id"/>
    <tableColumn id="2" xr3:uid="{00000000-0010-0000-0400-000002000000}" name="area_name"/>
    <tableColumn id="3" xr3:uid="{00000000-0010-0000-0400-000003000000}" name="area_type"/>
    <tableColumn id="4" xr3:uid="{00000000-0010-0000-0400-000004000000}" name="year"/>
    <tableColumn id="5" xr3:uid="{00000000-0010-0000-0400-000005000000}" name="raw_rows_selected"/>
    <tableColumn id="6" xr3:uid="{00000000-0010-0000-0400-000006000000}" name="taxon_rows_standardized"/>
    <tableColumn id="7" xr3:uid="{00000000-0010-0000-0400-000007000000}" name="raw_filtered_tonnes"/>
    <tableColumn id="8" xr3:uid="{00000000-0010-0000-0400-000008000000}" name="standardized_tonnes"/>
    <tableColumn id="9" xr3:uid="{00000000-0010-0000-0400-000009000000}" name="difference_tonnes"/>
    <tableColumn id="10" xr3:uid="{00000000-0010-0000-0400-00000A000000}" name="reconciled"/>
    <tableColumn id="11" xr3:uid="{00000000-0010-0000-0400-00000B000000}" name="source_data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8960-1AB8-48BD-BDC8-2D7B2852B02C}">
  <dimension ref="A1:K85"/>
  <sheetViews>
    <sheetView tabSelected="1" workbookViewId="0">
      <selection activeCell="G22" sqref="G22"/>
    </sheetView>
  </sheetViews>
  <sheetFormatPr defaultRowHeight="14"/>
  <cols>
    <col min="1" max="1" width="22.25" customWidth="1"/>
    <col min="2" max="2" width="27.75" customWidth="1"/>
    <col min="3" max="3" width="22" customWidth="1"/>
    <col min="4" max="5" width="18" customWidth="1"/>
    <col min="6" max="6" width="16.5" style="18" customWidth="1"/>
    <col min="7" max="7" width="18" customWidth="1"/>
    <col min="8" max="8" width="19.08203125" style="18" customWidth="1"/>
    <col min="11" max="11" width="10.75" bestFit="1" customWidth="1"/>
  </cols>
  <sheetData>
    <row r="1" spans="1:8">
      <c r="A1" s="19" t="s">
        <v>0</v>
      </c>
      <c r="B1" s="19" t="s">
        <v>1</v>
      </c>
      <c r="C1" s="19" t="s">
        <v>2</v>
      </c>
      <c r="D1" s="19" t="s">
        <v>4</v>
      </c>
      <c r="E1" s="19" t="s">
        <v>10</v>
      </c>
      <c r="F1" s="20" t="s">
        <v>15</v>
      </c>
      <c r="G1" s="19" t="s">
        <v>16</v>
      </c>
      <c r="H1" s="20" t="s">
        <v>349</v>
      </c>
    </row>
    <row r="2" spans="1:8">
      <c r="A2" s="19" t="s">
        <v>17</v>
      </c>
      <c r="B2" s="19" t="s">
        <v>18</v>
      </c>
      <c r="C2" s="19" t="s">
        <v>19</v>
      </c>
      <c r="D2" s="19">
        <v>11101666.087778974</v>
      </c>
      <c r="E2" s="19">
        <v>8070990713.0926199</v>
      </c>
      <c r="F2" s="20">
        <f>E2/SUM($E$2:$E$85)</f>
        <v>0.12368825646846707</v>
      </c>
      <c r="G2" s="19">
        <f>RANK(E2,$E$2:$E$85,0)</f>
        <v>1</v>
      </c>
      <c r="H2" s="20">
        <f>F2</f>
        <v>0.12368825646846707</v>
      </c>
    </row>
    <row r="3" spans="1:8">
      <c r="A3" s="19" t="s">
        <v>20</v>
      </c>
      <c r="B3" s="19" t="s">
        <v>21</v>
      </c>
      <c r="C3" s="19" t="s">
        <v>19</v>
      </c>
      <c r="D3" s="19">
        <v>5436428.7938038176</v>
      </c>
      <c r="E3" s="19">
        <v>4734727053.1209135</v>
      </c>
      <c r="F3" s="20">
        <f>E3/SUM($E$2:$E$85)</f>
        <v>7.2559882035870743E-2</v>
      </c>
      <c r="G3" s="19">
        <f>RANK(E3,$E$2:$E$85,0)</f>
        <v>2</v>
      </c>
      <c r="H3" s="20">
        <f>F3+H2</f>
        <v>0.19624813850433781</v>
      </c>
    </row>
    <row r="4" spans="1:8">
      <c r="A4" s="19" t="s">
        <v>22</v>
      </c>
      <c r="B4" s="19" t="s">
        <v>23</v>
      </c>
      <c r="C4" s="19" t="s">
        <v>19</v>
      </c>
      <c r="D4" s="19">
        <v>6697725.785375867</v>
      </c>
      <c r="E4" s="19">
        <v>3525461853.6068969</v>
      </c>
      <c r="F4" s="20">
        <f>E4/SUM($E$2:$E$85)</f>
        <v>5.4027844340269297E-2</v>
      </c>
      <c r="G4" s="19">
        <f>RANK(E4,$E$2:$E$85,0)</f>
        <v>3</v>
      </c>
      <c r="H4" s="20">
        <f>F4+H3</f>
        <v>0.25027598284460711</v>
      </c>
    </row>
    <row r="5" spans="1:8">
      <c r="A5" s="19" t="s">
        <v>24</v>
      </c>
      <c r="B5" s="19" t="s">
        <v>25</v>
      </c>
      <c r="C5" s="19" t="s">
        <v>19</v>
      </c>
      <c r="D5" s="19">
        <v>5649829.9842101932</v>
      </c>
      <c r="E5" s="19">
        <v>3396644855.5552316</v>
      </c>
      <c r="F5" s="20">
        <f>E5/SUM($E$2:$E$85)</f>
        <v>5.2053718677274055E-2</v>
      </c>
      <c r="G5" s="19">
        <f>RANK(E5,$E$2:$E$85,0)</f>
        <v>4</v>
      </c>
      <c r="H5" s="20">
        <f>F5+H4</f>
        <v>0.30232970152188116</v>
      </c>
    </row>
    <row r="6" spans="1:8">
      <c r="A6" s="19" t="s">
        <v>26</v>
      </c>
      <c r="B6" s="19" t="s">
        <v>27</v>
      </c>
      <c r="C6" s="19" t="s">
        <v>19</v>
      </c>
      <c r="D6" s="19">
        <v>4800852.1256251186</v>
      </c>
      <c r="E6" s="19">
        <v>2799543440.9812036</v>
      </c>
      <c r="F6" s="20">
        <f>E6/SUM($E$2:$E$85)</f>
        <v>4.2903115544537018E-2</v>
      </c>
      <c r="G6" s="19">
        <f>RANK(E6,$E$2:$E$85,0)</f>
        <v>5</v>
      </c>
      <c r="H6" s="20">
        <f>F6+H5</f>
        <v>0.34523281706641817</v>
      </c>
    </row>
    <row r="7" spans="1:8">
      <c r="A7" s="19" t="s">
        <v>28</v>
      </c>
      <c r="B7" s="19" t="s">
        <v>29</v>
      </c>
      <c r="C7" s="19" t="s">
        <v>19</v>
      </c>
      <c r="D7" s="19">
        <v>7390380.6806016136</v>
      </c>
      <c r="E7" s="19">
        <v>2612052520.1434836</v>
      </c>
      <c r="F7" s="20">
        <f>E7/SUM($E$2:$E$85)</f>
        <v>4.0029809660977286E-2</v>
      </c>
      <c r="G7" s="19">
        <f>RANK(E7,$E$2:$E$85,0)</f>
        <v>6</v>
      </c>
      <c r="H7" s="20">
        <f>F7+H6</f>
        <v>0.38526262672739547</v>
      </c>
    </row>
    <row r="8" spans="1:8">
      <c r="A8" s="19" t="s">
        <v>30</v>
      </c>
      <c r="B8" s="19" t="s">
        <v>31</v>
      </c>
      <c r="C8" s="19" t="s">
        <v>19</v>
      </c>
      <c r="D8" s="19">
        <v>5771015.2573294146</v>
      </c>
      <c r="E8" s="19">
        <v>2359485422.8161731</v>
      </c>
      <c r="F8" s="20">
        <f>E8/SUM($E$2:$E$85)</f>
        <v>3.6159208762002105E-2</v>
      </c>
      <c r="G8" s="19">
        <f>RANK(E8,$E$2:$E$85,0)</f>
        <v>7</v>
      </c>
      <c r="H8" s="20">
        <f>F8+H7</f>
        <v>0.4214218354893976</v>
      </c>
    </row>
    <row r="9" spans="1:8">
      <c r="A9" s="19" t="s">
        <v>32</v>
      </c>
      <c r="B9" s="19" t="s">
        <v>33</v>
      </c>
      <c r="C9" s="19" t="s">
        <v>19</v>
      </c>
      <c r="D9" s="19">
        <v>4469154.9811442429</v>
      </c>
      <c r="E9" s="19">
        <v>2256398879.6656098</v>
      </c>
      <c r="F9" s="20">
        <f>E9/SUM($E$2:$E$85)</f>
        <v>3.4579403352615279E-2</v>
      </c>
      <c r="G9" s="19">
        <f>RANK(E9,$E$2:$E$85,0)</f>
        <v>8</v>
      </c>
      <c r="H9" s="20">
        <f>F9+H8</f>
        <v>0.45600123884201288</v>
      </c>
    </row>
    <row r="10" spans="1:8">
      <c r="A10" s="19" t="s">
        <v>34</v>
      </c>
      <c r="B10" s="19" t="s">
        <v>35</v>
      </c>
      <c r="C10" s="19" t="s">
        <v>36</v>
      </c>
      <c r="D10" s="19">
        <v>860671.20760849258</v>
      </c>
      <c r="E10" s="19">
        <v>2196179346.0276952</v>
      </c>
      <c r="F10" s="20">
        <f>E10/SUM($E$2:$E$85)</f>
        <v>3.3656536583739537E-2</v>
      </c>
      <c r="G10" s="19">
        <f>RANK(E10,$E$2:$E$85,0)</f>
        <v>9</v>
      </c>
      <c r="H10" s="20">
        <f>F10+H9</f>
        <v>0.4896577754257524</v>
      </c>
    </row>
    <row r="11" spans="1:8">
      <c r="A11" s="19" t="s">
        <v>37</v>
      </c>
      <c r="B11" s="19" t="s">
        <v>38</v>
      </c>
      <c r="C11" s="19" t="s">
        <v>19</v>
      </c>
      <c r="D11" s="19">
        <v>2615825.0568618225</v>
      </c>
      <c r="E11" s="19">
        <v>1868893899.8381805</v>
      </c>
      <c r="F11" s="20">
        <f>E11/SUM($E$2:$E$85)</f>
        <v>2.8640873990915933E-2</v>
      </c>
      <c r="G11" s="19">
        <f>RANK(E11,$E$2:$E$85,0)</f>
        <v>10</v>
      </c>
      <c r="H11" s="20">
        <f>F11+H10</f>
        <v>0.51829864941666837</v>
      </c>
    </row>
    <row r="12" spans="1:8">
      <c r="A12" s="19" t="s">
        <v>39</v>
      </c>
      <c r="B12" s="19" t="s">
        <v>40</v>
      </c>
      <c r="C12" s="19" t="s">
        <v>19</v>
      </c>
      <c r="D12" s="19">
        <v>2717260.6982051712</v>
      </c>
      <c r="E12" s="19">
        <v>1700184787.4627526</v>
      </c>
      <c r="F12" s="20">
        <f>E12/SUM($E$2:$E$85)</f>
        <v>2.6055400075525505E-2</v>
      </c>
      <c r="G12" s="19">
        <f>RANK(E12,$E$2:$E$85,0)</f>
        <v>11</v>
      </c>
      <c r="H12" s="20">
        <f>F12+H11</f>
        <v>0.5443540494921939</v>
      </c>
    </row>
    <row r="13" spans="1:8">
      <c r="A13" s="19" t="s">
        <v>41</v>
      </c>
      <c r="B13" s="19" t="s">
        <v>42</v>
      </c>
      <c r="C13" s="19" t="s">
        <v>19</v>
      </c>
      <c r="D13" s="19">
        <v>3090456.2651244742</v>
      </c>
      <c r="E13" s="19">
        <v>1682486180.5803435</v>
      </c>
      <c r="F13" s="20">
        <f>E13/SUM($E$2:$E$85)</f>
        <v>2.5784168215023565E-2</v>
      </c>
      <c r="G13" s="19">
        <f>RANK(E13,$E$2:$E$85,0)</f>
        <v>12</v>
      </c>
      <c r="H13" s="20">
        <f>F13+H12</f>
        <v>0.57013821770721751</v>
      </c>
    </row>
    <row r="14" spans="1:8">
      <c r="A14" s="19" t="s">
        <v>43</v>
      </c>
      <c r="B14" s="19" t="s">
        <v>44</v>
      </c>
      <c r="C14" s="19" t="s">
        <v>19</v>
      </c>
      <c r="D14" s="19">
        <v>2883541.9537540916</v>
      </c>
      <c r="E14" s="19">
        <v>1678212214.8416104</v>
      </c>
      <c r="F14" s="20">
        <f>E14/SUM($E$2:$E$85)</f>
        <v>2.5718669518615414E-2</v>
      </c>
      <c r="G14" s="19">
        <f>RANK(E14,$E$2:$E$85,0)</f>
        <v>13</v>
      </c>
      <c r="H14" s="20">
        <f>F14+H13</f>
        <v>0.59585688722583297</v>
      </c>
    </row>
    <row r="15" spans="1:8">
      <c r="A15" s="19" t="s">
        <v>45</v>
      </c>
      <c r="B15" s="19" t="s">
        <v>46</v>
      </c>
      <c r="C15" s="19" t="s">
        <v>19</v>
      </c>
      <c r="D15" s="19">
        <v>2658977.9688993068</v>
      </c>
      <c r="E15" s="19">
        <v>1554214509.6068287</v>
      </c>
      <c r="F15" s="20">
        <f>E15/SUM($E$2:$E$85)</f>
        <v>2.3818399711378301E-2</v>
      </c>
      <c r="G15" s="19">
        <f>RANK(E15,$E$2:$E$85,0)</f>
        <v>14</v>
      </c>
      <c r="H15" s="20">
        <f>F15+H14</f>
        <v>0.6196752869372113</v>
      </c>
    </row>
    <row r="16" spans="1:8">
      <c r="A16" s="19" t="s">
        <v>47</v>
      </c>
      <c r="B16" s="19" t="s">
        <v>48</v>
      </c>
      <c r="C16" s="19" t="s">
        <v>36</v>
      </c>
      <c r="D16" s="19">
        <v>571817.78655524598</v>
      </c>
      <c r="E16" s="19">
        <v>1482147259.8171525</v>
      </c>
      <c r="F16" s="20">
        <f>E16/SUM($E$2:$E$85)</f>
        <v>2.2713966217172612E-2</v>
      </c>
      <c r="G16" s="19">
        <f>RANK(E16,$E$2:$E$85,0)</f>
        <v>15</v>
      </c>
      <c r="H16" s="20">
        <f>F16+H15</f>
        <v>0.64238925315438389</v>
      </c>
    </row>
    <row r="17" spans="1:8">
      <c r="A17" s="19" t="s">
        <v>49</v>
      </c>
      <c r="B17" s="19" t="s">
        <v>50</v>
      </c>
      <c r="C17" s="19" t="s">
        <v>19</v>
      </c>
      <c r="D17" s="19">
        <v>2586941.8366957698</v>
      </c>
      <c r="E17" s="19">
        <v>1439195574.0782979</v>
      </c>
      <c r="F17" s="20">
        <f>E17/SUM($E$2:$E$85)</f>
        <v>2.2055729910097889E-2</v>
      </c>
      <c r="G17" s="19">
        <f>RANK(E17,$E$2:$E$85,0)</f>
        <v>16</v>
      </c>
      <c r="H17" s="20">
        <f>F17+H16</f>
        <v>0.66444498306448174</v>
      </c>
    </row>
    <row r="18" spans="1:8">
      <c r="A18" s="19" t="s">
        <v>51</v>
      </c>
      <c r="B18" s="19" t="s">
        <v>52</v>
      </c>
      <c r="C18" s="19" t="s">
        <v>19</v>
      </c>
      <c r="D18" s="19">
        <v>1589890.9385366847</v>
      </c>
      <c r="E18" s="19">
        <v>1391657718.08254</v>
      </c>
      <c r="F18" s="20">
        <f>E18/SUM($E$2:$E$85)</f>
        <v>2.1327210359849105E-2</v>
      </c>
      <c r="G18" s="19">
        <f>RANK(E18,$E$2:$E$85,0)</f>
        <v>17</v>
      </c>
      <c r="H18" s="20">
        <f>F18+H17</f>
        <v>0.68577219342433082</v>
      </c>
    </row>
    <row r="19" spans="1:8">
      <c r="A19" s="19" t="s">
        <v>53</v>
      </c>
      <c r="B19" s="19" t="s">
        <v>54</v>
      </c>
      <c r="C19" s="19" t="s">
        <v>19</v>
      </c>
      <c r="D19" s="19">
        <v>1037537.6190575529</v>
      </c>
      <c r="E19" s="19">
        <v>1028923753.7644161</v>
      </c>
      <c r="F19" s="20">
        <f>E19/SUM($E$2:$E$85)</f>
        <v>1.5768297804588303E-2</v>
      </c>
      <c r="G19" s="19">
        <f>RANK(E19,$E$2:$E$85,0)</f>
        <v>18</v>
      </c>
      <c r="H19" s="20">
        <f>F19+H18</f>
        <v>0.70154049122891915</v>
      </c>
    </row>
    <row r="20" spans="1:8">
      <c r="A20" s="19" t="s">
        <v>55</v>
      </c>
      <c r="B20" s="19" t="s">
        <v>56</v>
      </c>
      <c r="C20" s="19" t="s">
        <v>19</v>
      </c>
      <c r="D20" s="19">
        <v>1139679.5670890671</v>
      </c>
      <c r="E20" s="19">
        <v>1010255322.1765621</v>
      </c>
      <c r="F20" s="20">
        <f>E20/SUM($E$2:$E$85)</f>
        <v>1.5482203341568196E-2</v>
      </c>
      <c r="G20" s="19">
        <f>RANK(E20,$E$2:$E$85,0)</f>
        <v>19</v>
      </c>
      <c r="H20" s="20">
        <f>F20+H19</f>
        <v>0.7170226945704874</v>
      </c>
    </row>
    <row r="21" spans="1:8">
      <c r="A21" s="19" t="s">
        <v>57</v>
      </c>
      <c r="B21" s="19" t="s">
        <v>58</v>
      </c>
      <c r="C21" s="19" t="s">
        <v>19</v>
      </c>
      <c r="D21" s="19">
        <v>1487741.6269238535</v>
      </c>
      <c r="E21" s="19">
        <v>1007915797.3835726</v>
      </c>
      <c r="F21" s="20">
        <f>E21/SUM($E$2:$E$85)</f>
        <v>1.5446350030259064E-2</v>
      </c>
      <c r="G21" s="19">
        <f>RANK(E21,$E$2:$E$85,0)</f>
        <v>20</v>
      </c>
      <c r="H21" s="20">
        <f>F21+H20</f>
        <v>0.73246904460074647</v>
      </c>
    </row>
    <row r="22" spans="1:8">
      <c r="A22" s="19" t="s">
        <v>59</v>
      </c>
      <c r="B22" s="19" t="s">
        <v>60</v>
      </c>
      <c r="C22" s="19" t="s">
        <v>19</v>
      </c>
      <c r="D22" s="19">
        <v>1592518.0818040825</v>
      </c>
      <c r="E22" s="19">
        <v>997757338.24668729</v>
      </c>
      <c r="F22" s="20">
        <f>E22/SUM($E$2:$E$85)</f>
        <v>1.529067123645135E-2</v>
      </c>
      <c r="G22" s="19">
        <f>RANK(E22,$E$2:$E$85,0)</f>
        <v>21</v>
      </c>
      <c r="H22" s="20">
        <f>F22+H21</f>
        <v>0.7477597158371978</v>
      </c>
    </row>
    <row r="23" spans="1:8">
      <c r="A23" s="19" t="s">
        <v>61</v>
      </c>
      <c r="B23" s="19" t="s">
        <v>62</v>
      </c>
      <c r="C23" s="19" t="s">
        <v>19</v>
      </c>
      <c r="D23" s="19">
        <v>1731971.9673227614</v>
      </c>
      <c r="E23" s="19">
        <v>990198790.87030256</v>
      </c>
      <c r="F23" s="20">
        <f>E23/SUM($E$2:$E$85)</f>
        <v>1.5174836194676028E-2</v>
      </c>
      <c r="G23" s="19">
        <f>RANK(E23,$E$2:$E$85,0)</f>
        <v>22</v>
      </c>
      <c r="H23" s="20">
        <f>F23+H22</f>
        <v>0.76293455203187388</v>
      </c>
    </row>
    <row r="24" spans="1:8">
      <c r="A24" s="19" t="s">
        <v>63</v>
      </c>
      <c r="B24" s="19" t="s">
        <v>64</v>
      </c>
      <c r="C24" s="19" t="s">
        <v>19</v>
      </c>
      <c r="D24" s="19">
        <v>1102866.6258441233</v>
      </c>
      <c r="E24" s="19">
        <v>967218747.55306625</v>
      </c>
      <c r="F24" s="20">
        <f>E24/SUM($E$2:$E$85)</f>
        <v>1.4822666108930793E-2</v>
      </c>
      <c r="G24" s="19">
        <f>RANK(E24,$E$2:$E$85,0)</f>
        <v>23</v>
      </c>
      <c r="H24" s="20">
        <f>F24+H23</f>
        <v>0.77775721814080467</v>
      </c>
    </row>
    <row r="25" spans="1:8">
      <c r="A25" s="19" t="s">
        <v>67</v>
      </c>
      <c r="B25" s="19" t="s">
        <v>68</v>
      </c>
      <c r="C25" s="19" t="s">
        <v>36</v>
      </c>
      <c r="D25" s="19">
        <v>377854.00832854409</v>
      </c>
      <c r="E25" s="19">
        <v>907481876.83694828</v>
      </c>
      <c r="F25" s="20">
        <f>E25/SUM($E$2:$E$85)</f>
        <v>1.3907196168694961E-2</v>
      </c>
      <c r="G25" s="19">
        <f>RANK(E25,$E$2:$E$85,0)</f>
        <v>24</v>
      </c>
      <c r="H25" s="20">
        <f>F25+H24</f>
        <v>0.79166441430949963</v>
      </c>
    </row>
    <row r="26" spans="1:8">
      <c r="A26" s="19" t="s">
        <v>69</v>
      </c>
      <c r="B26" s="19" t="s">
        <v>70</v>
      </c>
      <c r="C26" s="19" t="s">
        <v>19</v>
      </c>
      <c r="D26" s="19">
        <v>1300999.7714510453</v>
      </c>
      <c r="E26" s="19">
        <v>816435933.91241038</v>
      </c>
      <c r="F26" s="20">
        <f>E26/SUM($E$2:$E$85)</f>
        <v>1.2511913440814263E-2</v>
      </c>
      <c r="G26" s="19">
        <f>RANK(E26,$E$2:$E$85,0)</f>
        <v>25</v>
      </c>
      <c r="H26" s="20">
        <f>F26+H25</f>
        <v>0.80417632775031389</v>
      </c>
    </row>
    <row r="27" spans="1:8">
      <c r="A27" s="19" t="s">
        <v>71</v>
      </c>
      <c r="B27" s="19" t="s">
        <v>72</v>
      </c>
      <c r="C27" s="19" t="s">
        <v>19</v>
      </c>
      <c r="D27" s="19">
        <v>1587670.7135199129</v>
      </c>
      <c r="E27" s="19">
        <v>748768977.20261955</v>
      </c>
      <c r="F27" s="20">
        <f>E27/SUM($E$2:$E$85)</f>
        <v>1.1474914614587857E-2</v>
      </c>
      <c r="G27" s="19">
        <f>RANK(E27,$E$2:$E$85,0)</f>
        <v>26</v>
      </c>
      <c r="H27" s="20">
        <f>F27+H26</f>
        <v>0.81565124236490172</v>
      </c>
    </row>
    <row r="28" spans="1:8">
      <c r="A28" s="19" t="s">
        <v>73</v>
      </c>
      <c r="B28" s="19" t="s">
        <v>74</v>
      </c>
      <c r="C28" s="19" t="s">
        <v>19</v>
      </c>
      <c r="D28" s="19">
        <v>431127.77716673305</v>
      </c>
      <c r="E28" s="19">
        <v>722610291.63560414</v>
      </c>
      <c r="F28" s="20">
        <f>E28/SUM($E$2:$E$85)</f>
        <v>1.1074031708844653E-2</v>
      </c>
      <c r="G28" s="19">
        <f>RANK(E28,$E$2:$E$85,0)</f>
        <v>27</v>
      </c>
      <c r="H28" s="20">
        <f>F28+H27</f>
        <v>0.82672527407374641</v>
      </c>
    </row>
    <row r="29" spans="1:8">
      <c r="A29" s="19" t="s">
        <v>75</v>
      </c>
      <c r="B29" s="19" t="s">
        <v>76</v>
      </c>
      <c r="C29" s="19" t="s">
        <v>19</v>
      </c>
      <c r="D29" s="19">
        <v>697974.91168561135</v>
      </c>
      <c r="E29" s="19">
        <v>707135211.91527545</v>
      </c>
      <c r="F29" s="20">
        <f>E29/SUM($E$2:$E$85)</f>
        <v>1.0836875491304594E-2</v>
      </c>
      <c r="G29" s="19">
        <f>RANK(E29,$E$2:$E$85,0)</f>
        <v>28</v>
      </c>
      <c r="H29" s="20">
        <f>F29+H28</f>
        <v>0.83756214956505104</v>
      </c>
    </row>
    <row r="30" spans="1:8">
      <c r="A30" s="19" t="s">
        <v>77</v>
      </c>
      <c r="B30" s="19" t="s">
        <v>78</v>
      </c>
      <c r="C30" s="19" t="s">
        <v>19</v>
      </c>
      <c r="D30" s="19">
        <v>675569.01796316425</v>
      </c>
      <c r="E30" s="19">
        <v>661277433.81317008</v>
      </c>
      <c r="F30" s="20">
        <f>E30/SUM($E$2:$E$85)</f>
        <v>1.0134103202177048E-2</v>
      </c>
      <c r="G30" s="19">
        <f>RANK(E30,$E$2:$E$85,0)</f>
        <v>29</v>
      </c>
      <c r="H30" s="20">
        <f>F30+H29</f>
        <v>0.84769625276722804</v>
      </c>
    </row>
    <row r="31" spans="1:8">
      <c r="A31" s="19" t="s">
        <v>79</v>
      </c>
      <c r="B31" s="19" t="s">
        <v>80</v>
      </c>
      <c r="C31" s="19" t="s">
        <v>36</v>
      </c>
      <c r="D31" s="19">
        <v>245882.41767354257</v>
      </c>
      <c r="E31" s="19">
        <v>657270846.14351439</v>
      </c>
      <c r="F31" s="20">
        <f>E31/SUM($E$2:$E$85)</f>
        <v>1.0072702085404126E-2</v>
      </c>
      <c r="G31" s="19">
        <f>RANK(E31,$E$2:$E$85,0)</f>
        <v>30</v>
      </c>
      <c r="H31" s="20">
        <f>F31+H30</f>
        <v>0.85776895485263216</v>
      </c>
    </row>
    <row r="32" spans="1:8">
      <c r="A32" s="19" t="s">
        <v>81</v>
      </c>
      <c r="B32" s="19" t="s">
        <v>82</v>
      </c>
      <c r="C32" s="19" t="s">
        <v>36</v>
      </c>
      <c r="D32" s="19">
        <v>235319.45527268611</v>
      </c>
      <c r="E32" s="19">
        <v>580150840.12894607</v>
      </c>
      <c r="F32" s="20">
        <f>E32/SUM($E$2:$E$85)</f>
        <v>8.8908348993465437E-3</v>
      </c>
      <c r="G32" s="19">
        <f>RANK(E32,$E$2:$E$85,0)</f>
        <v>31</v>
      </c>
      <c r="H32" s="20">
        <f>F32+H31</f>
        <v>0.86665978975197866</v>
      </c>
    </row>
    <row r="33" spans="1:11">
      <c r="A33" s="19" t="s">
        <v>83</v>
      </c>
      <c r="B33" s="19" t="s">
        <v>84</v>
      </c>
      <c r="C33" s="19" t="s">
        <v>36</v>
      </c>
      <c r="D33" s="19">
        <v>249459.52394633277</v>
      </c>
      <c r="E33" s="19">
        <v>577352176.97183883</v>
      </c>
      <c r="F33" s="20">
        <f>E33/SUM($E$2:$E$85)</f>
        <v>8.8479452741876911E-3</v>
      </c>
      <c r="G33" s="19">
        <f>RANK(E33,$E$2:$E$85,0)</f>
        <v>32</v>
      </c>
      <c r="H33" s="20">
        <f>F33+H32</f>
        <v>0.8755077350261663</v>
      </c>
    </row>
    <row r="34" spans="1:11">
      <c r="A34" s="19" t="s">
        <v>85</v>
      </c>
      <c r="B34" s="19" t="s">
        <v>86</v>
      </c>
      <c r="C34" s="19" t="s">
        <v>19</v>
      </c>
      <c r="D34" s="19">
        <v>1549275.8254257175</v>
      </c>
      <c r="E34" s="19">
        <v>558361747.84758687</v>
      </c>
      <c r="F34" s="20">
        <f>E34/SUM($E$2:$E$85)</f>
        <v>8.5569161860044526E-3</v>
      </c>
      <c r="G34" s="19">
        <f>RANK(E34,$E$2:$E$85,0)</f>
        <v>33</v>
      </c>
      <c r="H34" s="20">
        <f>F34+H33</f>
        <v>0.8840646512121707</v>
      </c>
    </row>
    <row r="35" spans="1:11">
      <c r="A35" s="19" t="s">
        <v>87</v>
      </c>
      <c r="B35" s="19" t="s">
        <v>88</v>
      </c>
      <c r="C35" s="19" t="s">
        <v>19</v>
      </c>
      <c r="D35" s="19">
        <v>1092021.8374498228</v>
      </c>
      <c r="E35" s="19">
        <v>528421987.24496377</v>
      </c>
      <c r="F35" s="20">
        <f>E35/SUM($E$2:$E$85)</f>
        <v>8.0980881536521811E-3</v>
      </c>
      <c r="G35" s="19">
        <f>RANK(E35,$E$2:$E$85,0)</f>
        <v>34</v>
      </c>
      <c r="H35" s="20">
        <f>F35+H34</f>
        <v>0.89216273936582291</v>
      </c>
    </row>
    <row r="36" spans="1:11">
      <c r="A36" s="19" t="s">
        <v>89</v>
      </c>
      <c r="B36" s="19" t="s">
        <v>90</v>
      </c>
      <c r="C36" s="19" t="s">
        <v>19</v>
      </c>
      <c r="D36" s="19">
        <v>705687.52207760385</v>
      </c>
      <c r="E36" s="19">
        <v>511445832.05498385</v>
      </c>
      <c r="F36" s="20">
        <f>E36/SUM($E$2:$E$85)</f>
        <v>7.8379278943198835E-3</v>
      </c>
      <c r="G36" s="19">
        <f>RANK(E36,$E$2:$E$85,0)</f>
        <v>35</v>
      </c>
      <c r="H36" s="20">
        <f>F36+H35</f>
        <v>0.90000066726014283</v>
      </c>
    </row>
    <row r="37" spans="1:11">
      <c r="A37" s="19" t="s">
        <v>91</v>
      </c>
      <c r="B37" s="19" t="s">
        <v>92</v>
      </c>
      <c r="C37" s="19" t="s">
        <v>19</v>
      </c>
      <c r="D37" s="19">
        <v>794215.42597631423</v>
      </c>
      <c r="E37" s="19">
        <v>482169734.53988993</v>
      </c>
      <c r="F37" s="20">
        <f>E37/SUM($E$2:$E$85)</f>
        <v>7.389270525408693E-3</v>
      </c>
      <c r="G37" s="19">
        <f>RANK(E37,$E$2:$E$85,0)</f>
        <v>36</v>
      </c>
      <c r="H37" s="20">
        <f>F37+H36</f>
        <v>0.90738993778555155</v>
      </c>
    </row>
    <row r="38" spans="1:11">
      <c r="A38" s="19" t="s">
        <v>93</v>
      </c>
      <c r="B38" s="19" t="s">
        <v>94</v>
      </c>
      <c r="C38" s="19" t="s">
        <v>19</v>
      </c>
      <c r="D38" s="19">
        <v>420222.20101457404</v>
      </c>
      <c r="E38" s="19">
        <v>476451437.82346839</v>
      </c>
      <c r="F38" s="20">
        <f>E38/SUM($E$2:$E$85)</f>
        <v>7.3016373988240976E-3</v>
      </c>
      <c r="G38" s="19">
        <f>RANK(E38,$E$2:$E$85,0)</f>
        <v>37</v>
      </c>
      <c r="H38" s="20">
        <f>F38+H37</f>
        <v>0.9146915751843756</v>
      </c>
    </row>
    <row r="39" spans="1:11">
      <c r="A39" s="19" t="s">
        <v>95</v>
      </c>
      <c r="B39" s="19" t="s">
        <v>96</v>
      </c>
      <c r="C39" s="19" t="s">
        <v>19</v>
      </c>
      <c r="D39" s="19">
        <v>700878.74730421591</v>
      </c>
      <c r="E39" s="19">
        <v>432863601.07882154</v>
      </c>
      <c r="F39" s="20">
        <f>E39/SUM($E$2:$E$85)</f>
        <v>6.6336520520646376E-3</v>
      </c>
      <c r="G39" s="19">
        <f>RANK(E39,$E$2:$E$85,0)</f>
        <v>38</v>
      </c>
      <c r="H39" s="20">
        <f>F39+H38</f>
        <v>0.92132522723644028</v>
      </c>
      <c r="J39" t="s">
        <v>65</v>
      </c>
      <c r="K39" t="s">
        <v>66</v>
      </c>
    </row>
    <row r="40" spans="1:11">
      <c r="A40" s="19" t="s">
        <v>97</v>
      </c>
      <c r="B40" s="19" t="s">
        <v>98</v>
      </c>
      <c r="C40" s="19" t="s">
        <v>19</v>
      </c>
      <c r="D40" s="19">
        <v>625707.96322015335</v>
      </c>
      <c r="E40" s="19">
        <v>398459551.56510031</v>
      </c>
      <c r="F40" s="20">
        <f>E40/SUM($E$2:$E$85)</f>
        <v>6.1064086130523752E-3</v>
      </c>
      <c r="G40" s="19">
        <f>RANK(E40,$E$2:$E$85,0)</f>
        <v>39</v>
      </c>
      <c r="H40" s="20">
        <f>F40+H39</f>
        <v>0.92743163584949262</v>
      </c>
      <c r="J40" t="str">
        <f>B2</f>
        <v>South China Sea</v>
      </c>
      <c r="K40">
        <f>E2</f>
        <v>8070990713.0926199</v>
      </c>
    </row>
    <row r="41" spans="1:11">
      <c r="A41" s="19" t="s">
        <v>99</v>
      </c>
      <c r="B41" s="19" t="s">
        <v>100</v>
      </c>
      <c r="C41" s="19" t="s">
        <v>19</v>
      </c>
      <c r="D41" s="19">
        <v>429516.33309482579</v>
      </c>
      <c r="E41" s="19">
        <v>350502389.22478938</v>
      </c>
      <c r="F41" s="20">
        <f>E41/SUM($E$2:$E$85)</f>
        <v>5.3714631762516703E-3</v>
      </c>
      <c r="G41" s="19">
        <f>RANK(E41,$E$2:$E$85,0)</f>
        <v>40</v>
      </c>
      <c r="H41" s="20">
        <f>F41+H40</f>
        <v>0.93280309902574432</v>
      </c>
      <c r="J41" t="str">
        <f t="shared" ref="J41:J64" si="0">B3</f>
        <v>Arabian Sea</v>
      </c>
      <c r="K41">
        <f t="shared" ref="K41:K64" si="1">E3</f>
        <v>4734727053.1209135</v>
      </c>
    </row>
    <row r="42" spans="1:11">
      <c r="A42" s="19" t="s">
        <v>101</v>
      </c>
      <c r="B42" s="19" t="s">
        <v>102</v>
      </c>
      <c r="C42" s="19" t="s">
        <v>19</v>
      </c>
      <c r="D42" s="19">
        <v>707251.5165434971</v>
      </c>
      <c r="E42" s="19">
        <v>338234665.90229028</v>
      </c>
      <c r="F42" s="20">
        <f>E42/SUM($E$2:$E$85)</f>
        <v>5.183459824180405E-3</v>
      </c>
      <c r="G42" s="19">
        <f>RANK(E42,$E$2:$E$85,0)</f>
        <v>41</v>
      </c>
      <c r="H42" s="20">
        <f>F42+H41</f>
        <v>0.93798655884992477</v>
      </c>
      <c r="J42" t="str">
        <f t="shared" si="0"/>
        <v>Bay of Bengal</v>
      </c>
      <c r="K42">
        <f t="shared" si="1"/>
        <v>3525461853.6068969</v>
      </c>
    </row>
    <row r="43" spans="1:11">
      <c r="A43" s="19" t="s">
        <v>103</v>
      </c>
      <c r="B43" s="19" t="s">
        <v>104</v>
      </c>
      <c r="C43" s="19" t="s">
        <v>19</v>
      </c>
      <c r="D43" s="19">
        <v>453226.03085279715</v>
      </c>
      <c r="E43" s="19">
        <v>292573328.34463125</v>
      </c>
      <c r="F43" s="20">
        <f>E43/SUM($E$2:$E$85)</f>
        <v>4.4836979942772604E-3</v>
      </c>
      <c r="G43" s="19">
        <f>RANK(E43,$E$2:$E$85,0)</f>
        <v>42</v>
      </c>
      <c r="H43" s="20">
        <f>F43+H42</f>
        <v>0.94247025684420205</v>
      </c>
      <c r="J43" t="str">
        <f t="shared" si="0"/>
        <v>East China Sea</v>
      </c>
      <c r="K43">
        <f t="shared" si="1"/>
        <v>3396644855.5552316</v>
      </c>
    </row>
    <row r="44" spans="1:11">
      <c r="A44" s="19" t="s">
        <v>105</v>
      </c>
      <c r="B44" s="19" t="s">
        <v>106</v>
      </c>
      <c r="C44" s="19" t="s">
        <v>19</v>
      </c>
      <c r="D44" s="19">
        <v>1145168.1859547237</v>
      </c>
      <c r="E44" s="19">
        <v>287609386.66594231</v>
      </c>
      <c r="F44" s="20">
        <f>E44/SUM($E$2:$E$85)</f>
        <v>4.4076253889089746E-3</v>
      </c>
      <c r="G44" s="19">
        <f>RANK(E44,$E$2:$E$85,0)</f>
        <v>43</v>
      </c>
      <c r="H44" s="20">
        <f>F44+H43</f>
        <v>0.94687788223311098</v>
      </c>
      <c r="J44" t="str">
        <f t="shared" si="0"/>
        <v>Sea of Okhotsk</v>
      </c>
      <c r="K44">
        <f t="shared" si="1"/>
        <v>2799543440.9812036</v>
      </c>
    </row>
    <row r="45" spans="1:11">
      <c r="A45" s="19" t="s">
        <v>107</v>
      </c>
      <c r="B45" s="19" t="s">
        <v>108</v>
      </c>
      <c r="C45" s="19" t="s">
        <v>36</v>
      </c>
      <c r="D45" s="19">
        <v>132995.67933726683</v>
      </c>
      <c r="E45" s="19">
        <v>284384862.06303293</v>
      </c>
      <c r="F45" s="20">
        <f>E45/SUM($E$2:$E$85)</f>
        <v>4.3582094200085826E-3</v>
      </c>
      <c r="G45" s="19">
        <f>RANK(E45,$E$2:$E$85,0)</f>
        <v>44</v>
      </c>
      <c r="H45" s="20">
        <f>F45+H44</f>
        <v>0.95123609165311951</v>
      </c>
      <c r="J45" t="str">
        <f t="shared" si="0"/>
        <v>Humboldt Current</v>
      </c>
      <c r="K45">
        <f t="shared" si="1"/>
        <v>2612052520.1434836</v>
      </c>
    </row>
    <row r="46" spans="1:11">
      <c r="A46" s="19" t="s">
        <v>109</v>
      </c>
      <c r="B46" s="19" t="s">
        <v>110</v>
      </c>
      <c r="C46" s="19" t="s">
        <v>19</v>
      </c>
      <c r="D46" s="19">
        <v>506689.99406100786</v>
      </c>
      <c r="E46" s="19">
        <v>272326949.81673676</v>
      </c>
      <c r="F46" s="20">
        <f>E46/SUM($E$2:$E$85)</f>
        <v>4.1734214310972847E-3</v>
      </c>
      <c r="G46" s="19">
        <f>RANK(E46,$E$2:$E$85,0)</f>
        <v>45</v>
      </c>
      <c r="H46" s="20">
        <f>F46+H45</f>
        <v>0.95540951308421684</v>
      </c>
      <c r="J46" t="str">
        <f t="shared" si="0"/>
        <v>Canary Current</v>
      </c>
      <c r="K46">
        <f t="shared" si="1"/>
        <v>2359485422.8161731</v>
      </c>
    </row>
    <row r="47" spans="1:11">
      <c r="A47" s="19" t="s">
        <v>111</v>
      </c>
      <c r="B47" s="19" t="s">
        <v>112</v>
      </c>
      <c r="C47" s="19" t="s">
        <v>19</v>
      </c>
      <c r="D47" s="19">
        <v>664877.85522775247</v>
      </c>
      <c r="E47" s="19">
        <v>254257319.81877989</v>
      </c>
      <c r="F47" s="20">
        <f>E47/SUM($E$2:$E$85)</f>
        <v>3.8965036264649467E-3</v>
      </c>
      <c r="G47" s="19">
        <f>RANK(E47,$E$2:$E$85,0)</f>
        <v>46</v>
      </c>
      <c r="H47" s="20">
        <f>F47+H46</f>
        <v>0.95930601671068183</v>
      </c>
      <c r="J47" t="str">
        <f t="shared" si="0"/>
        <v>Guinea Current</v>
      </c>
      <c r="K47">
        <f t="shared" si="1"/>
        <v>2256398879.6656098</v>
      </c>
    </row>
    <row r="48" spans="1:11">
      <c r="A48" s="19" t="s">
        <v>113</v>
      </c>
      <c r="B48" s="19" t="s">
        <v>114</v>
      </c>
      <c r="C48" s="19" t="s">
        <v>19</v>
      </c>
      <c r="D48" s="19">
        <v>937172.64699300553</v>
      </c>
      <c r="E48" s="19">
        <v>250346631.37596366</v>
      </c>
      <c r="F48" s="20">
        <f>E48/SUM($E$2:$E$85)</f>
        <v>3.8365721691906046E-3</v>
      </c>
      <c r="G48" s="19">
        <f>RANK(E48,$E$2:$E$85,0)</f>
        <v>47</v>
      </c>
      <c r="H48" s="20">
        <f>F48+H47</f>
        <v>0.96314258887987247</v>
      </c>
      <c r="J48" t="str">
        <f t="shared" si="0"/>
        <v>Pacific, Eastern Central</v>
      </c>
      <c r="K48">
        <f t="shared" si="1"/>
        <v>2196179346.0276952</v>
      </c>
    </row>
    <row r="49" spans="1:11">
      <c r="A49" s="19" t="s">
        <v>115</v>
      </c>
      <c r="B49" s="19" t="s">
        <v>116</v>
      </c>
      <c r="C49" s="19" t="s">
        <v>19</v>
      </c>
      <c r="D49" s="19">
        <v>292432.09997720609</v>
      </c>
      <c r="E49" s="19">
        <v>226590038.89243433</v>
      </c>
      <c r="F49" s="20">
        <f>E49/SUM($E$2:$E$85)</f>
        <v>3.4725014363184933E-3</v>
      </c>
      <c r="G49" s="19">
        <f>RANK(E49,$E$2:$E$85,0)</f>
        <v>48</v>
      </c>
      <c r="H49" s="20">
        <f>F49+H48</f>
        <v>0.96661509031619097</v>
      </c>
      <c r="J49" t="str">
        <f t="shared" si="0"/>
        <v>Gulf of Thailand</v>
      </c>
      <c r="K49">
        <f t="shared" si="1"/>
        <v>1868893899.8381805</v>
      </c>
    </row>
    <row r="50" spans="1:11">
      <c r="A50" s="19" t="s">
        <v>117</v>
      </c>
      <c r="B50" s="19" t="s">
        <v>118</v>
      </c>
      <c r="C50" s="19" t="s">
        <v>19</v>
      </c>
      <c r="D50" s="19">
        <v>237379.07863162042</v>
      </c>
      <c r="E50" s="19">
        <v>220033882.6044375</v>
      </c>
      <c r="F50" s="20">
        <f>E50/SUM($E$2:$E$85)</f>
        <v>3.3720280781864309E-3</v>
      </c>
      <c r="G50" s="19">
        <f>RANK(E50,$E$2:$E$85,0)</f>
        <v>49</v>
      </c>
      <c r="H50" s="20">
        <f>F50+H49</f>
        <v>0.96998711839437746</v>
      </c>
      <c r="J50" t="str">
        <f t="shared" si="0"/>
        <v>North Sea</v>
      </c>
      <c r="K50">
        <f t="shared" si="1"/>
        <v>1700184787.4627526</v>
      </c>
    </row>
    <row r="51" spans="1:11">
      <c r="A51" s="19" t="s">
        <v>119</v>
      </c>
      <c r="B51" s="19" t="s">
        <v>120</v>
      </c>
      <c r="C51" s="19" t="s">
        <v>19</v>
      </c>
      <c r="D51" s="19">
        <v>219045.62416918142</v>
      </c>
      <c r="E51" s="19">
        <v>208696707.97660503</v>
      </c>
      <c r="F51" s="20">
        <f>E51/SUM($E$2:$E$85)</f>
        <v>3.1982854221924901E-3</v>
      </c>
      <c r="G51" s="19">
        <f>RANK(E51,$E$2:$E$85,0)</f>
        <v>50</v>
      </c>
      <c r="H51" s="20">
        <f>F51+H50</f>
        <v>0.97318540381656993</v>
      </c>
      <c r="J51" t="str">
        <f t="shared" si="0"/>
        <v>Kuroshio Current</v>
      </c>
      <c r="K51">
        <f t="shared" si="1"/>
        <v>1682486180.5803435</v>
      </c>
    </row>
    <row r="52" spans="1:11">
      <c r="A52" s="19" t="s">
        <v>121</v>
      </c>
      <c r="B52" s="19" t="s">
        <v>122</v>
      </c>
      <c r="C52" s="19" t="s">
        <v>19</v>
      </c>
      <c r="D52" s="19">
        <v>306003.28874194151</v>
      </c>
      <c r="E52" s="19">
        <v>201658143.7250421</v>
      </c>
      <c r="F52" s="20">
        <f>E52/SUM($E$2:$E$85)</f>
        <v>3.0904191426656354E-3</v>
      </c>
      <c r="G52" s="19">
        <f>RANK(E52,$E$2:$E$85,0)</f>
        <v>51</v>
      </c>
      <c r="H52" s="20">
        <f>F52+H51</f>
        <v>0.97627582295923554</v>
      </c>
      <c r="J52" t="str">
        <f t="shared" si="0"/>
        <v>Indonesian Sea</v>
      </c>
      <c r="K52">
        <f t="shared" si="1"/>
        <v>1678212214.8416104</v>
      </c>
    </row>
    <row r="53" spans="1:11">
      <c r="A53" s="19" t="s">
        <v>123</v>
      </c>
      <c r="B53" s="19" t="s">
        <v>124</v>
      </c>
      <c r="C53" s="19" t="s">
        <v>36</v>
      </c>
      <c r="D53" s="19">
        <v>734932.29046104196</v>
      </c>
      <c r="E53" s="19">
        <v>192111009.49801588</v>
      </c>
      <c r="F53" s="20">
        <f>E53/SUM($E$2:$E$85)</f>
        <v>2.9441089276265181E-3</v>
      </c>
      <c r="G53" s="19">
        <f>RANK(E53,$E$2:$E$85,0)</f>
        <v>52</v>
      </c>
      <c r="H53" s="20">
        <f>F53+H52</f>
        <v>0.97921993188686207</v>
      </c>
      <c r="J53" t="str">
        <f t="shared" si="0"/>
        <v>Yellow Sea</v>
      </c>
      <c r="K53">
        <f t="shared" si="1"/>
        <v>1554214509.6068287</v>
      </c>
    </row>
    <row r="54" spans="1:11">
      <c r="A54" s="19" t="s">
        <v>125</v>
      </c>
      <c r="B54" s="19" t="s">
        <v>126</v>
      </c>
      <c r="C54" s="19" t="s">
        <v>19</v>
      </c>
      <c r="D54" s="19">
        <v>348828.22127339599</v>
      </c>
      <c r="E54" s="19">
        <v>188778895.78178987</v>
      </c>
      <c r="F54" s="20">
        <f>E54/SUM($E$2:$E$85)</f>
        <v>2.8930441512483112E-3</v>
      </c>
      <c r="G54" s="19">
        <f>RANK(E54,$E$2:$E$85,0)</f>
        <v>53</v>
      </c>
      <c r="H54" s="20">
        <f>F54+H53</f>
        <v>0.98211297603811043</v>
      </c>
      <c r="J54" t="str">
        <f t="shared" si="0"/>
        <v>Pacific, Western Central</v>
      </c>
      <c r="K54">
        <f t="shared" si="1"/>
        <v>1482147259.8171525</v>
      </c>
    </row>
    <row r="55" spans="1:11">
      <c r="A55" s="19" t="s">
        <v>127</v>
      </c>
      <c r="B55" s="19" t="s">
        <v>128</v>
      </c>
      <c r="C55" s="19" t="s">
        <v>36</v>
      </c>
      <c r="D55" s="19">
        <v>62238.365213295096</v>
      </c>
      <c r="E55" s="19">
        <v>149349456.4630281</v>
      </c>
      <c r="F55" s="20">
        <f>E55/SUM($E$2:$E$85)</f>
        <v>2.2887864118662613E-3</v>
      </c>
      <c r="G55" s="19">
        <f>RANK(E55,$E$2:$E$85,0)</f>
        <v>54</v>
      </c>
      <c r="H55" s="20">
        <f>F55+H54</f>
        <v>0.98440176244997668</v>
      </c>
      <c r="J55" t="str">
        <f t="shared" si="0"/>
        <v>Sea of Japan / East Sea</v>
      </c>
      <c r="K55">
        <f t="shared" si="1"/>
        <v>1439195574.0782979</v>
      </c>
    </row>
    <row r="56" spans="1:11">
      <c r="A56" s="19" t="s">
        <v>129</v>
      </c>
      <c r="B56" s="19" t="s">
        <v>130</v>
      </c>
      <c r="C56" s="19" t="s">
        <v>19</v>
      </c>
      <c r="D56" s="19">
        <v>147100.3417814472</v>
      </c>
      <c r="E56" s="19">
        <v>114071139.38229904</v>
      </c>
      <c r="F56" s="20">
        <f>E56/SUM($E$2:$E$85)</f>
        <v>1.7481447873159191E-3</v>
      </c>
      <c r="G56" s="19">
        <f>RANK(E56,$E$2:$E$85,0)</f>
        <v>55</v>
      </c>
      <c r="H56" s="20">
        <f>F56+H55</f>
        <v>0.98614990723729257</v>
      </c>
      <c r="J56" t="str">
        <f t="shared" si="0"/>
        <v>Patagonian Shelf</v>
      </c>
      <c r="K56">
        <f t="shared" si="1"/>
        <v>1391657718.08254</v>
      </c>
    </row>
    <row r="57" spans="1:11">
      <c r="A57" s="19" t="s">
        <v>131</v>
      </c>
      <c r="B57" s="19" t="s">
        <v>132</v>
      </c>
      <c r="C57" s="19" t="s">
        <v>19</v>
      </c>
      <c r="D57" s="19">
        <v>115599.570034811</v>
      </c>
      <c r="E57" s="19">
        <v>104438774.10426635</v>
      </c>
      <c r="F57" s="20">
        <f>E57/SUM($E$2:$E$85)</f>
        <v>1.6005284030008462E-3</v>
      </c>
      <c r="G57" s="19">
        <f>RANK(E57,$E$2:$E$85,0)</f>
        <v>56</v>
      </c>
      <c r="H57" s="20">
        <f>F57+H56</f>
        <v>0.98775043564029341</v>
      </c>
      <c r="J57" t="str">
        <f t="shared" si="0"/>
        <v>California Current</v>
      </c>
      <c r="K57">
        <f t="shared" si="1"/>
        <v>1028923753.7644161</v>
      </c>
    </row>
    <row r="58" spans="1:11">
      <c r="A58" s="19" t="s">
        <v>133</v>
      </c>
      <c r="B58" s="19" t="s">
        <v>134</v>
      </c>
      <c r="C58" s="19" t="s">
        <v>36</v>
      </c>
      <c r="D58" s="19">
        <v>87745.099472887407</v>
      </c>
      <c r="E58" s="19">
        <v>101551846.3748264</v>
      </c>
      <c r="F58" s="20">
        <f>E58/SUM($E$2:$E$85)</f>
        <v>1.5562861197300144E-3</v>
      </c>
      <c r="G58" s="19">
        <f>RANK(E58,$E$2:$E$85,0)</f>
        <v>57</v>
      </c>
      <c r="H58" s="20">
        <f>F58+H57</f>
        <v>0.98930672176002343</v>
      </c>
      <c r="J58" t="str">
        <f t="shared" si="0"/>
        <v>Celtic-Biscay Shelf</v>
      </c>
      <c r="K58">
        <f t="shared" si="1"/>
        <v>1010255322.1765621</v>
      </c>
    </row>
    <row r="59" spans="1:11">
      <c r="A59" s="19" t="s">
        <v>135</v>
      </c>
      <c r="B59" s="19" t="s">
        <v>136</v>
      </c>
      <c r="C59" s="19" t="s">
        <v>36</v>
      </c>
      <c r="D59" s="19">
        <v>45252.466822717106</v>
      </c>
      <c r="E59" s="19">
        <v>91386286.47267893</v>
      </c>
      <c r="F59" s="20">
        <f>E59/SUM($E$2:$E$85)</f>
        <v>1.4004985064097917E-3</v>
      </c>
      <c r="G59" s="19">
        <f>RANK(E59,$E$2:$E$85,0)</f>
        <v>58</v>
      </c>
      <c r="H59" s="20">
        <f>F59+H58</f>
        <v>0.99070722026643321</v>
      </c>
      <c r="J59" t="str">
        <f t="shared" si="0"/>
        <v>Mediterranean Sea</v>
      </c>
      <c r="K59">
        <f t="shared" si="1"/>
        <v>1007915797.3835726</v>
      </c>
    </row>
    <row r="60" spans="1:11">
      <c r="A60" s="19" t="s">
        <v>137</v>
      </c>
      <c r="B60" s="19" t="s">
        <v>138</v>
      </c>
      <c r="C60" s="19" t="s">
        <v>36</v>
      </c>
      <c r="D60" s="19">
        <v>41830.726780533703</v>
      </c>
      <c r="E60" s="19">
        <v>87861469.420374572</v>
      </c>
      <c r="F60" s="20">
        <f>E60/SUM($E$2:$E$85)</f>
        <v>1.3464805436753519E-3</v>
      </c>
      <c r="G60" s="19">
        <f>RANK(E60,$E$2:$E$85,0)</f>
        <v>59</v>
      </c>
      <c r="H60" s="20">
        <f>F60+H59</f>
        <v>0.99205370081010857</v>
      </c>
      <c r="J60" t="str">
        <f t="shared" si="0"/>
        <v>Benguela Current</v>
      </c>
      <c r="K60">
        <f t="shared" si="1"/>
        <v>997757338.24668729</v>
      </c>
    </row>
    <row r="61" spans="1:11">
      <c r="A61" s="19" t="s">
        <v>139</v>
      </c>
      <c r="B61" s="19" t="s">
        <v>140</v>
      </c>
      <c r="C61" s="19" t="s">
        <v>19</v>
      </c>
      <c r="D61" s="19">
        <v>151507.6717909796</v>
      </c>
      <c r="E61" s="19">
        <v>85526381.403974503</v>
      </c>
      <c r="F61" s="20">
        <f>E61/SUM($E$2:$E$85)</f>
        <v>1.3106952261454465E-3</v>
      </c>
      <c r="G61" s="19">
        <f>RANK(E61,$E$2:$E$85,0)</f>
        <v>60</v>
      </c>
      <c r="H61" s="20">
        <f>F61+H60</f>
        <v>0.99336439603625404</v>
      </c>
      <c r="J61" t="str">
        <f t="shared" si="0"/>
        <v>Sulu-Celebes Sea</v>
      </c>
      <c r="K61">
        <f t="shared" si="1"/>
        <v>990198790.87030256</v>
      </c>
    </row>
    <row r="62" spans="1:11">
      <c r="A62" s="19" t="s">
        <v>141</v>
      </c>
      <c r="B62" s="19" t="s">
        <v>142</v>
      </c>
      <c r="C62" s="19" t="s">
        <v>19</v>
      </c>
      <c r="D62" s="19">
        <v>87093.823573720205</v>
      </c>
      <c r="E62" s="19">
        <v>76279788.786548972</v>
      </c>
      <c r="F62" s="20">
        <f>E62/SUM($E$2:$E$85)</f>
        <v>1.1689908233305255E-3</v>
      </c>
      <c r="G62" s="19">
        <f>RANK(E62,$E$2:$E$85,0)</f>
        <v>61</v>
      </c>
      <c r="H62" s="20">
        <f>F62+H61</f>
        <v>0.99453338685958459</v>
      </c>
      <c r="J62" t="str">
        <f t="shared" si="0"/>
        <v>Gulf of Alaska</v>
      </c>
      <c r="K62">
        <f t="shared" si="1"/>
        <v>967218747.55306625</v>
      </c>
    </row>
    <row r="63" spans="1:11">
      <c r="A63" s="19" t="s">
        <v>143</v>
      </c>
      <c r="B63" s="19" t="s">
        <v>144</v>
      </c>
      <c r="C63" s="19" t="s">
        <v>19</v>
      </c>
      <c r="D63" s="19">
        <v>148680.26073080715</v>
      </c>
      <c r="E63" s="19">
        <v>75212513.430698976</v>
      </c>
      <c r="F63" s="20">
        <f>E63/SUM($E$2:$E$85)</f>
        <v>1.1526347856853942E-3</v>
      </c>
      <c r="G63" s="19">
        <f>RANK(E63,$E$2:$E$85,0)</f>
        <v>62</v>
      </c>
      <c r="H63" s="20">
        <f>F63+H62</f>
        <v>0.99568602164526998</v>
      </c>
      <c r="J63" t="str">
        <f t="shared" si="0"/>
        <v>Indian Ocean, Western</v>
      </c>
      <c r="K63">
        <f t="shared" si="1"/>
        <v>907481876.83694828</v>
      </c>
    </row>
    <row r="64" spans="1:11">
      <c r="A64" s="19" t="s">
        <v>145</v>
      </c>
      <c r="B64" s="19" t="s">
        <v>146</v>
      </c>
      <c r="C64" s="19" t="s">
        <v>19</v>
      </c>
      <c r="D64" s="19">
        <v>21171.953396398501</v>
      </c>
      <c r="E64" s="19">
        <v>44813494.471991822</v>
      </c>
      <c r="F64" s="20">
        <f>E64/SUM($E$2:$E$85)</f>
        <v>6.8676860060170252E-4</v>
      </c>
      <c r="G64" s="19">
        <f>RANK(E64,$E$2:$E$85,0)</f>
        <v>63</v>
      </c>
      <c r="H64" s="20">
        <f>F64+H63</f>
        <v>0.99637279024587166</v>
      </c>
      <c r="J64" t="str">
        <f t="shared" si="0"/>
        <v>East Bering Sea</v>
      </c>
      <c r="K64">
        <f t="shared" si="1"/>
        <v>816435933.91241038</v>
      </c>
    </row>
    <row r="65" spans="1:8">
      <c r="A65" s="19" t="s">
        <v>147</v>
      </c>
      <c r="B65" s="19" t="s">
        <v>148</v>
      </c>
      <c r="C65" s="19" t="s">
        <v>36</v>
      </c>
      <c r="D65" s="19">
        <v>16859.0112032287</v>
      </c>
      <c r="E65" s="19">
        <v>32845718.432304144</v>
      </c>
      <c r="F65" s="20">
        <f>E65/SUM($E$2:$E$85)</f>
        <v>5.0336195267274486E-4</v>
      </c>
      <c r="G65" s="19">
        <f>RANK(E65,$E$2:$E$85,0)</f>
        <v>64</v>
      </c>
      <c r="H65" s="20">
        <f>F65+H64</f>
        <v>0.99687615219854442</v>
      </c>
    </row>
    <row r="66" spans="1:8">
      <c r="A66" s="19" t="s">
        <v>149</v>
      </c>
      <c r="B66" s="19" t="s">
        <v>150</v>
      </c>
      <c r="C66" s="19" t="s">
        <v>19</v>
      </c>
      <c r="D66" s="19">
        <v>44872.4444403339</v>
      </c>
      <c r="E66" s="19">
        <v>32609919.10129194</v>
      </c>
      <c r="F66" s="20">
        <f>E66/SUM($E$2:$E$85)</f>
        <v>4.9974831846523449E-4</v>
      </c>
      <c r="G66" s="19">
        <f>RANK(E66,$E$2:$E$85,0)</f>
        <v>65</v>
      </c>
      <c r="H66" s="20">
        <f>F66+H65</f>
        <v>0.99737590051700964</v>
      </c>
    </row>
    <row r="67" spans="1:8">
      <c r="A67" s="19" t="s">
        <v>151</v>
      </c>
      <c r="B67" s="19" t="s">
        <v>152</v>
      </c>
      <c r="C67" s="19" t="s">
        <v>19</v>
      </c>
      <c r="D67" s="19">
        <v>39281.024733703096</v>
      </c>
      <c r="E67" s="19">
        <v>32154354.584904723</v>
      </c>
      <c r="F67" s="20">
        <f>E67/SUM($E$2:$E$85)</f>
        <v>4.9276677397535804E-4</v>
      </c>
      <c r="G67" s="19">
        <f>RANK(E67,$E$2:$E$85,0)</f>
        <v>66</v>
      </c>
      <c r="H67" s="20">
        <f>F67+H66</f>
        <v>0.997868667290985</v>
      </c>
    </row>
    <row r="68" spans="1:8">
      <c r="A68" s="19" t="s">
        <v>153</v>
      </c>
      <c r="B68" s="19" t="s">
        <v>154</v>
      </c>
      <c r="C68" s="19" t="s">
        <v>36</v>
      </c>
      <c r="D68" s="19">
        <v>154127.61540295082</v>
      </c>
      <c r="E68" s="19">
        <v>29368420.191220015</v>
      </c>
      <c r="F68" s="20">
        <f>E68/SUM($E$2:$E$85)</f>
        <v>4.5007221762660476E-4</v>
      </c>
      <c r="G68" s="19">
        <f>RANK(E68,$E$2:$E$85,0)</f>
        <v>67</v>
      </c>
      <c r="H68" s="20">
        <f>F68+H67</f>
        <v>0.99831873950861161</v>
      </c>
    </row>
    <row r="69" spans="1:8">
      <c r="A69" s="19" t="s">
        <v>155</v>
      </c>
      <c r="B69" s="19" t="s">
        <v>156</v>
      </c>
      <c r="C69" s="19" t="s">
        <v>19</v>
      </c>
      <c r="D69" s="19">
        <v>22842.531697643197</v>
      </c>
      <c r="E69" s="19">
        <v>27661702.092581749</v>
      </c>
      <c r="F69" s="20">
        <f>E69/SUM($E$2:$E$85)</f>
        <v>4.2391669429521251E-4</v>
      </c>
      <c r="G69" s="19">
        <f>RANK(E69,$E$2:$E$85,0)</f>
        <v>68</v>
      </c>
      <c r="H69" s="20">
        <f>F69+H68</f>
        <v>0.99874265620290681</v>
      </c>
    </row>
    <row r="70" spans="1:8">
      <c r="A70" s="19" t="s">
        <v>157</v>
      </c>
      <c r="B70" s="19" t="s">
        <v>158</v>
      </c>
      <c r="C70" s="19" t="s">
        <v>19</v>
      </c>
      <c r="D70" s="19">
        <v>32645.754357906098</v>
      </c>
      <c r="E70" s="19">
        <v>22122834.477210246</v>
      </c>
      <c r="F70" s="20">
        <f>E70/SUM($E$2:$E$85)</f>
        <v>3.3903332588250808E-4</v>
      </c>
      <c r="G70" s="19">
        <f>RANK(E70,$E$2:$E$85,0)</f>
        <v>69</v>
      </c>
      <c r="H70" s="20">
        <f>F70+H69</f>
        <v>0.99908168952878929</v>
      </c>
    </row>
    <row r="71" spans="1:8">
      <c r="A71" s="19" t="s">
        <v>159</v>
      </c>
      <c r="B71" s="19" t="s">
        <v>160</v>
      </c>
      <c r="C71" s="19" t="s">
        <v>19</v>
      </c>
      <c r="D71" s="19">
        <v>30450.917424912201</v>
      </c>
      <c r="E71" s="19">
        <v>21615913.499733415</v>
      </c>
      <c r="F71" s="20">
        <f>E71/SUM($E$2:$E$85)</f>
        <v>3.3126474156612551E-4</v>
      </c>
      <c r="G71" s="19">
        <f>RANK(E71,$E$2:$E$85,0)</f>
        <v>70</v>
      </c>
      <c r="H71" s="20">
        <f>F71+H70</f>
        <v>0.99941295427035537</v>
      </c>
    </row>
    <row r="72" spans="1:8">
      <c r="A72" s="19" t="s">
        <v>161</v>
      </c>
      <c r="B72" s="19" t="s">
        <v>162</v>
      </c>
      <c r="C72" s="19" t="s">
        <v>19</v>
      </c>
      <c r="D72" s="19">
        <v>44647.944981429311</v>
      </c>
      <c r="E72" s="19">
        <v>19198827.203371964</v>
      </c>
      <c r="F72" s="20">
        <f>E72/SUM($E$2:$E$85)</f>
        <v>2.9422279710622224E-4</v>
      </c>
      <c r="G72" s="19">
        <f>RANK(E72,$E$2:$E$85,0)</f>
        <v>71</v>
      </c>
      <c r="H72" s="20">
        <f>F72+H71</f>
        <v>0.99970717706746159</v>
      </c>
    </row>
    <row r="73" spans="1:8">
      <c r="A73" s="19" t="s">
        <v>163</v>
      </c>
      <c r="B73" s="19" t="s">
        <v>164</v>
      </c>
      <c r="C73" s="19" t="s">
        <v>19</v>
      </c>
      <c r="D73" s="19">
        <v>19839.072931287603</v>
      </c>
      <c r="E73" s="19">
        <v>8269244.8003081745</v>
      </c>
      <c r="F73" s="20">
        <f>E73/SUM($E$2:$E$85)</f>
        <v>1.2672650830856158E-4</v>
      </c>
      <c r="G73" s="19">
        <f>RANK(E73,$E$2:$E$85,0)</f>
        <v>72</v>
      </c>
      <c r="H73" s="20">
        <f>F73+H72</f>
        <v>0.99983390357577018</v>
      </c>
    </row>
    <row r="74" spans="1:8">
      <c r="A74" s="19" t="s">
        <v>165</v>
      </c>
      <c r="B74" s="19" t="s">
        <v>166</v>
      </c>
      <c r="C74" s="19" t="s">
        <v>36</v>
      </c>
      <c r="D74" s="19">
        <v>3559.327863</v>
      </c>
      <c r="E74" s="19">
        <v>5471586.5471593495</v>
      </c>
      <c r="F74" s="20">
        <f>E74/SUM($E$2:$E$85)</f>
        <v>8.3852283343185323E-5</v>
      </c>
      <c r="G74" s="19">
        <f>RANK(E74,$E$2:$E$85,0)</f>
        <v>73</v>
      </c>
      <c r="H74" s="20">
        <f>F74+H73</f>
        <v>0.99991775585911336</v>
      </c>
    </row>
    <row r="75" spans="1:8">
      <c r="A75" s="19" t="s">
        <v>167</v>
      </c>
      <c r="B75" s="19" t="s">
        <v>168</v>
      </c>
      <c r="C75" s="19" t="s">
        <v>19</v>
      </c>
      <c r="D75" s="19">
        <v>1269.7356306080001</v>
      </c>
      <c r="E75" s="19">
        <v>2919836.9461889495</v>
      </c>
      <c r="F75" s="20">
        <f>E75/SUM($E$2:$E$85)</f>
        <v>4.4746618337755484E-5</v>
      </c>
      <c r="G75" s="19">
        <f>RANK(E75,$E$2:$E$85,0)</f>
        <v>74</v>
      </c>
      <c r="H75" s="20">
        <f>F75+H74</f>
        <v>0.99996250247745111</v>
      </c>
    </row>
    <row r="76" spans="1:8">
      <c r="A76" s="19" t="s">
        <v>169</v>
      </c>
      <c r="B76" s="19" t="s">
        <v>170</v>
      </c>
      <c r="C76" s="19" t="s">
        <v>36</v>
      </c>
      <c r="D76" s="19">
        <v>402.29139540870005</v>
      </c>
      <c r="E76" s="19">
        <v>759816.52371742425</v>
      </c>
      <c r="F76" s="20">
        <f>E76/SUM($E$2:$E$85)</f>
        <v>1.1644218708130407E-5</v>
      </c>
      <c r="G76" s="19">
        <f>RANK(E76,$E$2:$E$85,0)</f>
        <v>75</v>
      </c>
      <c r="H76" s="20">
        <f>F76+H75</f>
        <v>0.99997414669615925</v>
      </c>
    </row>
    <row r="77" spans="1:8">
      <c r="A77" s="19" t="s">
        <v>171</v>
      </c>
      <c r="B77" s="19" t="s">
        <v>172</v>
      </c>
      <c r="C77" s="19" t="s">
        <v>19</v>
      </c>
      <c r="D77" s="19">
        <v>2616.1834162357</v>
      </c>
      <c r="E77" s="19">
        <v>507104.98048896767</v>
      </c>
      <c r="F77" s="20">
        <f>E77/SUM($E$2:$E$85)</f>
        <v>7.7714041699253081E-6</v>
      </c>
      <c r="G77" s="19">
        <f>RANK(E77,$E$2:$E$85,0)</f>
        <v>76</v>
      </c>
      <c r="H77" s="20">
        <f>F77+H76</f>
        <v>0.99998191810032921</v>
      </c>
    </row>
    <row r="78" spans="1:8">
      <c r="A78" s="19" t="s">
        <v>173</v>
      </c>
      <c r="B78" s="19" t="s">
        <v>174</v>
      </c>
      <c r="C78" s="19" t="s">
        <v>19</v>
      </c>
      <c r="D78" s="19">
        <v>212.78852302800001</v>
      </c>
      <c r="E78" s="19">
        <v>439874.51024657505</v>
      </c>
      <c r="F78" s="20">
        <f>E78/SUM($E$2:$E$85)</f>
        <v>6.7410945163226532E-6</v>
      </c>
      <c r="G78" s="19">
        <f>RANK(E78,$E$2:$E$85,0)</f>
        <v>77</v>
      </c>
      <c r="H78" s="20">
        <f>F78+H77</f>
        <v>0.99998865919484559</v>
      </c>
    </row>
    <row r="79" spans="1:8">
      <c r="A79" s="19" t="s">
        <v>175</v>
      </c>
      <c r="B79" s="19" t="s">
        <v>176</v>
      </c>
      <c r="C79" s="19" t="s">
        <v>36</v>
      </c>
      <c r="D79" s="19">
        <v>1622.2799593135003</v>
      </c>
      <c r="E79" s="19">
        <v>316826.04706013901</v>
      </c>
      <c r="F79" s="20">
        <f>E79/SUM($E$2:$E$85)</f>
        <v>4.8553718815579297E-6</v>
      </c>
      <c r="G79" s="19">
        <f>RANK(E79,$E$2:$E$85,0)</f>
        <v>78</v>
      </c>
      <c r="H79" s="20">
        <f>F79+H78</f>
        <v>0.99999351456672714</v>
      </c>
    </row>
    <row r="80" spans="1:8">
      <c r="A80" s="19" t="s">
        <v>177</v>
      </c>
      <c r="B80" s="19" t="s">
        <v>178</v>
      </c>
      <c r="C80" s="19" t="s">
        <v>19</v>
      </c>
      <c r="D80" s="19">
        <v>1304.0687744917002</v>
      </c>
      <c r="E80" s="19">
        <v>275429.06254721642</v>
      </c>
      <c r="F80" s="20">
        <f>E80/SUM($E$2:$E$85)</f>
        <v>4.2209614331417976E-6</v>
      </c>
      <c r="G80" s="19">
        <f>RANK(E80,$E$2:$E$85,0)</f>
        <v>79</v>
      </c>
      <c r="H80" s="20">
        <f>F80+H79</f>
        <v>0.99999773552816029</v>
      </c>
    </row>
    <row r="81" spans="1:8">
      <c r="A81" s="19" t="s">
        <v>179</v>
      </c>
      <c r="B81" s="19" t="s">
        <v>180</v>
      </c>
      <c r="C81" s="19" t="s">
        <v>19</v>
      </c>
      <c r="D81" s="19">
        <v>719.28920190780002</v>
      </c>
      <c r="E81" s="19">
        <v>137138.92556169763</v>
      </c>
      <c r="F81" s="20">
        <f>E81/SUM($E$2:$E$85)</f>
        <v>2.1016595359438391E-6</v>
      </c>
      <c r="G81" s="19">
        <f>RANK(E81,$E$2:$E$85,0)</f>
        <v>80</v>
      </c>
      <c r="H81" s="20">
        <f>F81+H80</f>
        <v>0.99999983718769625</v>
      </c>
    </row>
    <row r="82" spans="1:8">
      <c r="A82" s="19" t="s">
        <v>181</v>
      </c>
      <c r="B82" s="19" t="s">
        <v>182</v>
      </c>
      <c r="C82" s="19" t="s">
        <v>19</v>
      </c>
      <c r="D82" s="19">
        <v>53.5919340839</v>
      </c>
      <c r="E82" s="19">
        <v>10566.207059943801</v>
      </c>
      <c r="F82" s="20">
        <f>E82/SUM($E$2:$E$85)</f>
        <v>1.6192754708653057E-7</v>
      </c>
      <c r="G82" s="19">
        <f>RANK(E82,$E$2:$E$85,0)</f>
        <v>81</v>
      </c>
      <c r="H82" s="20">
        <f>F82+H81</f>
        <v>0.99999999911524329</v>
      </c>
    </row>
    <row r="83" spans="1:8">
      <c r="A83" s="19" t="s">
        <v>183</v>
      </c>
      <c r="B83" s="19" t="s">
        <v>184</v>
      </c>
      <c r="C83" s="19" t="s">
        <v>19</v>
      </c>
      <c r="D83" s="19">
        <v>0.2496140134</v>
      </c>
      <c r="E83" s="19">
        <v>57.732741635911189</v>
      </c>
      <c r="F83" s="20">
        <f>E83/SUM($E$2:$E$85)</f>
        <v>8.8475658168043088E-10</v>
      </c>
      <c r="G83" s="19">
        <f>RANK(E83,$E$2:$E$85,0)</f>
        <v>82</v>
      </c>
      <c r="H83" s="20">
        <f>F83+H82</f>
        <v>0.99999999999999989</v>
      </c>
    </row>
    <row r="84" spans="1:8">
      <c r="A84" s="19" t="s">
        <v>185</v>
      </c>
      <c r="B84" s="19" t="s">
        <v>186</v>
      </c>
      <c r="C84" s="19" t="s">
        <v>36</v>
      </c>
      <c r="D84" s="19">
        <v>0</v>
      </c>
      <c r="E84" s="19">
        <v>0</v>
      </c>
      <c r="F84" s="20">
        <f>E84/SUM($E$2:$E$85)</f>
        <v>0</v>
      </c>
      <c r="G84" s="19">
        <f>RANK(E84,$E$2:$E$85,0)</f>
        <v>83</v>
      </c>
      <c r="H84" s="20">
        <f>F84+H83</f>
        <v>0.99999999999999989</v>
      </c>
    </row>
    <row r="85" spans="1:8">
      <c r="A85" s="19" t="s">
        <v>187</v>
      </c>
      <c r="B85" s="19" t="s">
        <v>188</v>
      </c>
      <c r="C85" s="19" t="s">
        <v>19</v>
      </c>
      <c r="D85" s="19">
        <v>0</v>
      </c>
      <c r="E85" s="19">
        <v>0</v>
      </c>
      <c r="F85" s="20">
        <f>E85/SUM($E$2:$E$85)</f>
        <v>0</v>
      </c>
      <c r="G85" s="19">
        <f>RANK(E85,$E$2:$E$85,0)</f>
        <v>83</v>
      </c>
      <c r="H85" s="20">
        <f>F85+H84</f>
        <v>0.99999999999999989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5"/>
  <sheetViews>
    <sheetView showGridLines="0" topLeftCell="G1" workbookViewId="0">
      <selection activeCell="B1" sqref="B1"/>
    </sheetView>
  </sheetViews>
  <sheetFormatPr defaultRowHeight="14"/>
  <cols>
    <col min="1" max="1" width="22" customWidth="1"/>
    <col min="2" max="2" width="27" customWidth="1"/>
    <col min="3" max="3" width="22" customWidth="1"/>
    <col min="4" max="4" width="15" customWidth="1"/>
    <col min="5" max="7" width="18" customWidth="1"/>
    <col min="8" max="8" width="16" customWidth="1"/>
    <col min="9" max="10" width="15" customWidth="1"/>
    <col min="11" max="15" width="18" customWidth="1"/>
    <col min="16" max="16" width="16" customWidth="1"/>
    <col min="17" max="17" width="18" customWidth="1"/>
  </cols>
  <sheetData>
    <row r="1" spans="1:18" ht="32" customHeight="1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t="s">
        <v>348</v>
      </c>
    </row>
    <row r="2" spans="1:18" ht="18" customHeight="1">
      <c r="A2" s="10" t="s">
        <v>17</v>
      </c>
      <c r="B2" s="10" t="s">
        <v>18</v>
      </c>
      <c r="C2" s="10" t="s">
        <v>19</v>
      </c>
      <c r="D2" s="12">
        <v>2019</v>
      </c>
      <c r="E2" s="13">
        <v>11101666.087778974</v>
      </c>
      <c r="F2" s="13">
        <v>11101666.087778974</v>
      </c>
      <c r="G2" s="14">
        <v>0</v>
      </c>
      <c r="H2" s="15">
        <v>1</v>
      </c>
      <c r="I2" s="16">
        <v>340</v>
      </c>
      <c r="J2" s="16">
        <v>340</v>
      </c>
      <c r="K2" s="13">
        <v>8070990713.0926199</v>
      </c>
      <c r="L2" s="13">
        <v>8070990713.0926218</v>
      </c>
      <c r="M2" s="13">
        <v>8070990713.0926199</v>
      </c>
      <c r="N2" s="13">
        <v>5121239748.8010368</v>
      </c>
      <c r="O2" s="13">
        <v>6177614152.0667267</v>
      </c>
      <c r="P2" s="15">
        <f>K2/SUM($K$2:$K$85)</f>
        <v>0.12368825646846707</v>
      </c>
      <c r="Q2" s="16">
        <f t="shared" ref="Q2:Q33" si="0">RANK(K2,$K$2:$K$85,0)</f>
        <v>1</v>
      </c>
      <c r="R2" s="17">
        <f t="shared" ref="R2" si="1">P2</f>
        <v>0.12368825646846707</v>
      </c>
    </row>
    <row r="3" spans="1:18" ht="18" customHeight="1">
      <c r="A3" s="10" t="s">
        <v>20</v>
      </c>
      <c r="B3" s="10" t="s">
        <v>21</v>
      </c>
      <c r="C3" s="10" t="s">
        <v>19</v>
      </c>
      <c r="D3" s="12">
        <v>2019</v>
      </c>
      <c r="E3" s="13">
        <v>5436428.7938038176</v>
      </c>
      <c r="F3" s="13">
        <v>5436428.7938038176</v>
      </c>
      <c r="G3" s="14">
        <v>0</v>
      </c>
      <c r="H3" s="15">
        <v>1</v>
      </c>
      <c r="I3" s="16">
        <v>393</v>
      </c>
      <c r="J3" s="16">
        <v>393</v>
      </c>
      <c r="K3" s="13">
        <v>4734727053.1209135</v>
      </c>
      <c r="L3" s="13">
        <v>4734727053.1209145</v>
      </c>
      <c r="M3" s="13">
        <v>4734727053.1209135</v>
      </c>
      <c r="N3" s="13">
        <v>3513410168.9238224</v>
      </c>
      <c r="O3" s="13">
        <v>3986670658.2794142</v>
      </c>
      <c r="P3" s="15">
        <f t="shared" ref="P3:P33" si="2">K3/SUM($K$2:$K$85)</f>
        <v>7.2559882035870743E-2</v>
      </c>
      <c r="Q3" s="16">
        <f t="shared" si="0"/>
        <v>2</v>
      </c>
      <c r="R3" s="17">
        <f>P3+R2</f>
        <v>0.19624813850433781</v>
      </c>
    </row>
    <row r="4" spans="1:18" ht="18" customHeight="1">
      <c r="A4" s="10" t="s">
        <v>22</v>
      </c>
      <c r="B4" s="10" t="s">
        <v>23</v>
      </c>
      <c r="C4" s="10" t="s">
        <v>19</v>
      </c>
      <c r="D4" s="12">
        <v>2019</v>
      </c>
      <c r="E4" s="13">
        <v>6697725.785375867</v>
      </c>
      <c r="F4" s="13">
        <v>6697725.785375867</v>
      </c>
      <c r="G4" s="14">
        <v>0</v>
      </c>
      <c r="H4" s="15">
        <v>1</v>
      </c>
      <c r="I4" s="16">
        <v>288</v>
      </c>
      <c r="J4" s="16">
        <v>288</v>
      </c>
      <c r="K4" s="13">
        <v>3525461853.6068969</v>
      </c>
      <c r="L4" s="13">
        <v>3525461853.6068969</v>
      </c>
      <c r="M4" s="13">
        <v>3525461853.6068964</v>
      </c>
      <c r="N4" s="13">
        <v>2348434942.0634265</v>
      </c>
      <c r="O4" s="13">
        <v>2527044613.9797311</v>
      </c>
      <c r="P4" s="15">
        <f t="shared" si="2"/>
        <v>5.4027844340269297E-2</v>
      </c>
      <c r="Q4" s="16">
        <f t="shared" si="0"/>
        <v>3</v>
      </c>
      <c r="R4" s="17">
        <f>P4+R3</f>
        <v>0.25027598284460711</v>
      </c>
    </row>
    <row r="5" spans="1:18" ht="18" customHeight="1">
      <c r="A5" s="10" t="s">
        <v>24</v>
      </c>
      <c r="B5" s="10" t="s">
        <v>25</v>
      </c>
      <c r="C5" s="10" t="s">
        <v>19</v>
      </c>
      <c r="D5" s="12">
        <v>2019</v>
      </c>
      <c r="E5" s="13">
        <v>5649829.9842101932</v>
      </c>
      <c r="F5" s="13">
        <v>5649829.9842101932</v>
      </c>
      <c r="G5" s="14">
        <v>0</v>
      </c>
      <c r="H5" s="15">
        <v>1</v>
      </c>
      <c r="I5" s="16">
        <v>254</v>
      </c>
      <c r="J5" s="16">
        <v>254</v>
      </c>
      <c r="K5" s="13">
        <v>3396644855.5552316</v>
      </c>
      <c r="L5" s="13">
        <v>3396644855.555232</v>
      </c>
      <c r="M5" s="13">
        <v>3396644855.555233</v>
      </c>
      <c r="N5" s="13">
        <v>2016011352.6502066</v>
      </c>
      <c r="O5" s="13">
        <v>2784351281.5292568</v>
      </c>
      <c r="P5" s="15">
        <f t="shared" si="2"/>
        <v>5.2053718677274055E-2</v>
      </c>
      <c r="Q5" s="16">
        <f t="shared" si="0"/>
        <v>4</v>
      </c>
      <c r="R5" s="17">
        <f t="shared" ref="R5:R68" si="3">P5+R4</f>
        <v>0.30232970152188116</v>
      </c>
    </row>
    <row r="6" spans="1:18" ht="18" customHeight="1">
      <c r="A6" s="10" t="s">
        <v>26</v>
      </c>
      <c r="B6" s="10" t="s">
        <v>27</v>
      </c>
      <c r="C6" s="10" t="s">
        <v>19</v>
      </c>
      <c r="D6" s="12">
        <v>2019</v>
      </c>
      <c r="E6" s="13">
        <v>4800852.1256251186</v>
      </c>
      <c r="F6" s="13">
        <v>4800852.1256251186</v>
      </c>
      <c r="G6" s="14">
        <v>0</v>
      </c>
      <c r="H6" s="15">
        <v>1</v>
      </c>
      <c r="I6" s="16">
        <v>131</v>
      </c>
      <c r="J6" s="16">
        <v>131</v>
      </c>
      <c r="K6" s="13">
        <v>2799543440.9812036</v>
      </c>
      <c r="L6" s="13">
        <v>2799543440.9812036</v>
      </c>
      <c r="M6" s="13">
        <v>2799543440.9812036</v>
      </c>
      <c r="N6" s="13">
        <v>2242784197.5693989</v>
      </c>
      <c r="O6" s="13">
        <v>2131158646.7267931</v>
      </c>
      <c r="P6" s="15">
        <f t="shared" si="2"/>
        <v>4.2903115544537018E-2</v>
      </c>
      <c r="Q6" s="16">
        <f t="shared" si="0"/>
        <v>5</v>
      </c>
      <c r="R6" s="17">
        <f t="shared" si="3"/>
        <v>0.34523281706641817</v>
      </c>
    </row>
    <row r="7" spans="1:18" ht="18" customHeight="1">
      <c r="A7" s="10" t="s">
        <v>28</v>
      </c>
      <c r="B7" s="10" t="s">
        <v>29</v>
      </c>
      <c r="C7" s="10" t="s">
        <v>19</v>
      </c>
      <c r="D7" s="12">
        <v>2019</v>
      </c>
      <c r="E7" s="13">
        <v>7390380.6806016136</v>
      </c>
      <c r="F7" s="13">
        <v>7390380.6806016136</v>
      </c>
      <c r="G7" s="14">
        <v>0</v>
      </c>
      <c r="H7" s="15">
        <v>1</v>
      </c>
      <c r="I7" s="16">
        <v>184</v>
      </c>
      <c r="J7" s="16">
        <v>184</v>
      </c>
      <c r="K7" s="13">
        <v>2612052520.1434836</v>
      </c>
      <c r="L7" s="13">
        <v>2612052520.1434832</v>
      </c>
      <c r="M7" s="13">
        <v>2612052520.1434832</v>
      </c>
      <c r="N7" s="13">
        <v>2058671336.4057274</v>
      </c>
      <c r="O7" s="13">
        <v>2239918376.1371608</v>
      </c>
      <c r="P7" s="15">
        <f t="shared" si="2"/>
        <v>4.0029809660977286E-2</v>
      </c>
      <c r="Q7" s="16">
        <f t="shared" si="0"/>
        <v>6</v>
      </c>
      <c r="R7" s="17">
        <f t="shared" si="3"/>
        <v>0.38526262672739547</v>
      </c>
    </row>
    <row r="8" spans="1:18" ht="18" customHeight="1">
      <c r="A8" s="10" t="s">
        <v>30</v>
      </c>
      <c r="B8" s="10" t="s">
        <v>31</v>
      </c>
      <c r="C8" s="10" t="s">
        <v>19</v>
      </c>
      <c r="D8" s="12">
        <v>2019</v>
      </c>
      <c r="E8" s="13">
        <v>5771015.2573294146</v>
      </c>
      <c r="F8" s="13">
        <v>5771015.2573294146</v>
      </c>
      <c r="G8" s="14">
        <v>0</v>
      </c>
      <c r="H8" s="15">
        <v>1</v>
      </c>
      <c r="I8" s="16">
        <v>412</v>
      </c>
      <c r="J8" s="16">
        <v>412</v>
      </c>
      <c r="K8" s="13">
        <v>2359485422.8161731</v>
      </c>
      <c r="L8" s="13">
        <v>2359485422.8161726</v>
      </c>
      <c r="M8" s="13">
        <v>2359485422.8161726</v>
      </c>
      <c r="N8" s="13">
        <v>1988040059.9965241</v>
      </c>
      <c r="O8" s="13">
        <v>1932746132.2922411</v>
      </c>
      <c r="P8" s="15">
        <f t="shared" si="2"/>
        <v>3.6159208762002105E-2</v>
      </c>
      <c r="Q8" s="16">
        <f t="shared" si="0"/>
        <v>7</v>
      </c>
      <c r="R8" s="17">
        <f t="shared" si="3"/>
        <v>0.4214218354893976</v>
      </c>
    </row>
    <row r="9" spans="1:18" ht="18" customHeight="1">
      <c r="A9" s="10" t="s">
        <v>32</v>
      </c>
      <c r="B9" s="10" t="s">
        <v>33</v>
      </c>
      <c r="C9" s="10" t="s">
        <v>19</v>
      </c>
      <c r="D9" s="12">
        <v>2019</v>
      </c>
      <c r="E9" s="13">
        <v>4469154.9811442429</v>
      </c>
      <c r="F9" s="13">
        <v>4469154.9811442429</v>
      </c>
      <c r="G9" s="14">
        <v>0</v>
      </c>
      <c r="H9" s="15">
        <v>1</v>
      </c>
      <c r="I9" s="16">
        <v>325</v>
      </c>
      <c r="J9" s="16">
        <v>325</v>
      </c>
      <c r="K9" s="13">
        <v>2256398879.6656098</v>
      </c>
      <c r="L9" s="13">
        <v>2256398879.6656094</v>
      </c>
      <c r="M9" s="13">
        <v>2256398879.6656098</v>
      </c>
      <c r="N9" s="13">
        <v>1724262907.9504876</v>
      </c>
      <c r="O9" s="13">
        <v>1769169841.9924123</v>
      </c>
      <c r="P9" s="15">
        <f t="shared" si="2"/>
        <v>3.4579403352615279E-2</v>
      </c>
      <c r="Q9" s="16">
        <f t="shared" si="0"/>
        <v>8</v>
      </c>
      <c r="R9" s="17">
        <f t="shared" si="3"/>
        <v>0.45600123884201288</v>
      </c>
    </row>
    <row r="10" spans="1:18" ht="18" customHeight="1">
      <c r="A10" s="10" t="s">
        <v>34</v>
      </c>
      <c r="B10" s="10" t="s">
        <v>35</v>
      </c>
      <c r="C10" s="10" t="s">
        <v>36</v>
      </c>
      <c r="D10" s="12">
        <v>2019</v>
      </c>
      <c r="E10" s="13">
        <v>860671.20760849258</v>
      </c>
      <c r="F10" s="13">
        <v>860671.20760849258</v>
      </c>
      <c r="G10" s="14">
        <v>0</v>
      </c>
      <c r="H10" s="15">
        <v>1</v>
      </c>
      <c r="I10" s="16">
        <v>26</v>
      </c>
      <c r="J10" s="16">
        <v>26</v>
      </c>
      <c r="K10" s="13">
        <v>2196179346.0276952</v>
      </c>
      <c r="L10" s="13">
        <v>2196179346.0276957</v>
      </c>
      <c r="M10" s="13">
        <v>2196179346.0276952</v>
      </c>
      <c r="N10" s="13">
        <v>2177549454.5469604</v>
      </c>
      <c r="O10" s="13">
        <v>2170818471.3741584</v>
      </c>
      <c r="P10" s="15">
        <f t="shared" si="2"/>
        <v>3.3656536583739537E-2</v>
      </c>
      <c r="Q10" s="16">
        <f t="shared" si="0"/>
        <v>9</v>
      </c>
      <c r="R10" s="17">
        <f t="shared" si="3"/>
        <v>0.4896577754257524</v>
      </c>
    </row>
    <row r="11" spans="1:18" ht="18" customHeight="1">
      <c r="A11" s="10" t="s">
        <v>37</v>
      </c>
      <c r="B11" s="10" t="s">
        <v>38</v>
      </c>
      <c r="C11" s="10" t="s">
        <v>19</v>
      </c>
      <c r="D11" s="12">
        <v>2019</v>
      </c>
      <c r="E11" s="13">
        <v>2615825.0568618225</v>
      </c>
      <c r="F11" s="13">
        <v>2615825.0568618225</v>
      </c>
      <c r="G11" s="14">
        <v>0</v>
      </c>
      <c r="H11" s="15">
        <v>1</v>
      </c>
      <c r="I11" s="16">
        <v>214</v>
      </c>
      <c r="J11" s="16">
        <v>214</v>
      </c>
      <c r="K11" s="13">
        <v>1868893899.8381805</v>
      </c>
      <c r="L11" s="13">
        <v>1868893899.8381801</v>
      </c>
      <c r="M11" s="13">
        <v>1868893899.8381803</v>
      </c>
      <c r="N11" s="13">
        <v>1321291448.1609046</v>
      </c>
      <c r="O11" s="13">
        <v>1470605570.760545</v>
      </c>
      <c r="P11" s="15">
        <f t="shared" si="2"/>
        <v>2.8640873990915933E-2</v>
      </c>
      <c r="Q11" s="16">
        <f t="shared" si="0"/>
        <v>10</v>
      </c>
      <c r="R11" s="17">
        <f t="shared" si="3"/>
        <v>0.51829864941666837</v>
      </c>
    </row>
    <row r="12" spans="1:18" ht="18" customHeight="1">
      <c r="A12" s="10" t="s">
        <v>39</v>
      </c>
      <c r="B12" s="10" t="s">
        <v>40</v>
      </c>
      <c r="C12" s="10" t="s">
        <v>19</v>
      </c>
      <c r="D12" s="12">
        <v>2019</v>
      </c>
      <c r="E12" s="13">
        <v>2717260.6982051712</v>
      </c>
      <c r="F12" s="13">
        <v>2717260.6982051712</v>
      </c>
      <c r="G12" s="14">
        <v>0</v>
      </c>
      <c r="H12" s="15">
        <v>1</v>
      </c>
      <c r="I12" s="16">
        <v>312</v>
      </c>
      <c r="J12" s="16">
        <v>312</v>
      </c>
      <c r="K12" s="13">
        <v>1700184787.4627526</v>
      </c>
      <c r="L12" s="13">
        <v>1700184787.4627531</v>
      </c>
      <c r="M12" s="13">
        <v>1700184787.4627523</v>
      </c>
      <c r="N12" s="13">
        <v>1461271647.0493312</v>
      </c>
      <c r="O12" s="13">
        <v>1529129228.171731</v>
      </c>
      <c r="P12" s="15">
        <f t="shared" si="2"/>
        <v>2.6055400075525505E-2</v>
      </c>
      <c r="Q12" s="16">
        <f t="shared" si="0"/>
        <v>11</v>
      </c>
      <c r="R12" s="17">
        <f t="shared" si="3"/>
        <v>0.5443540494921939</v>
      </c>
    </row>
    <row r="13" spans="1:18" ht="18" customHeight="1">
      <c r="A13" s="10" t="s">
        <v>41</v>
      </c>
      <c r="B13" s="10" t="s">
        <v>42</v>
      </c>
      <c r="C13" s="10" t="s">
        <v>19</v>
      </c>
      <c r="D13" s="12">
        <v>2019</v>
      </c>
      <c r="E13" s="13">
        <v>3090456.2651244742</v>
      </c>
      <c r="F13" s="13">
        <v>3090456.2651244742</v>
      </c>
      <c r="G13" s="14">
        <v>0</v>
      </c>
      <c r="H13" s="15">
        <v>1</v>
      </c>
      <c r="I13" s="16">
        <v>229</v>
      </c>
      <c r="J13" s="16">
        <v>229</v>
      </c>
      <c r="K13" s="13">
        <v>1682486180.5803435</v>
      </c>
      <c r="L13" s="13">
        <v>1682486180.5803437</v>
      </c>
      <c r="M13" s="13">
        <v>1682486180.5803432</v>
      </c>
      <c r="N13" s="13">
        <v>1229429462.9598556</v>
      </c>
      <c r="O13" s="13">
        <v>1479014398.4195945</v>
      </c>
      <c r="P13" s="15">
        <f t="shared" si="2"/>
        <v>2.5784168215023565E-2</v>
      </c>
      <c r="Q13" s="16">
        <f t="shared" si="0"/>
        <v>12</v>
      </c>
      <c r="R13" s="17">
        <f t="shared" si="3"/>
        <v>0.57013821770721751</v>
      </c>
    </row>
    <row r="14" spans="1:18" ht="18" customHeight="1">
      <c r="A14" s="10" t="s">
        <v>43</v>
      </c>
      <c r="B14" s="10" t="s">
        <v>44</v>
      </c>
      <c r="C14" s="10" t="s">
        <v>19</v>
      </c>
      <c r="D14" s="12">
        <v>2019</v>
      </c>
      <c r="E14" s="13">
        <v>2883541.9537540916</v>
      </c>
      <c r="F14" s="13">
        <v>2883541.9537540916</v>
      </c>
      <c r="G14" s="14">
        <v>0</v>
      </c>
      <c r="H14" s="15">
        <v>1</v>
      </c>
      <c r="I14" s="16">
        <v>142</v>
      </c>
      <c r="J14" s="16">
        <v>142</v>
      </c>
      <c r="K14" s="13">
        <v>1678212214.8416104</v>
      </c>
      <c r="L14" s="13">
        <v>1678212214.8416104</v>
      </c>
      <c r="M14" s="13">
        <v>1678212214.8416104</v>
      </c>
      <c r="N14" s="13">
        <v>1110962513.3774147</v>
      </c>
      <c r="O14" s="13">
        <v>1252314766.8164849</v>
      </c>
      <c r="P14" s="15">
        <f t="shared" si="2"/>
        <v>2.5718669518615414E-2</v>
      </c>
      <c r="Q14" s="16">
        <f t="shared" si="0"/>
        <v>13</v>
      </c>
      <c r="R14" s="17">
        <f t="shared" si="3"/>
        <v>0.59585688722583297</v>
      </c>
    </row>
    <row r="15" spans="1:18" ht="18" customHeight="1">
      <c r="A15" s="10" t="s">
        <v>45</v>
      </c>
      <c r="B15" s="10" t="s">
        <v>46</v>
      </c>
      <c r="C15" s="10" t="s">
        <v>19</v>
      </c>
      <c r="D15" s="12">
        <v>2019</v>
      </c>
      <c r="E15" s="13">
        <v>2658977.9688993068</v>
      </c>
      <c r="F15" s="13">
        <v>2658977.9688993068</v>
      </c>
      <c r="G15" s="14">
        <v>0</v>
      </c>
      <c r="H15" s="15">
        <v>1</v>
      </c>
      <c r="I15" s="16">
        <v>175</v>
      </c>
      <c r="J15" s="16">
        <v>175</v>
      </c>
      <c r="K15" s="13">
        <v>1554214509.6068287</v>
      </c>
      <c r="L15" s="13">
        <v>1554214509.6068282</v>
      </c>
      <c r="M15" s="13">
        <v>1554214509.6068285</v>
      </c>
      <c r="N15" s="13">
        <v>939968038.6418488</v>
      </c>
      <c r="O15" s="13">
        <v>1272167957.9722326</v>
      </c>
      <c r="P15" s="15">
        <f t="shared" si="2"/>
        <v>2.3818399711378301E-2</v>
      </c>
      <c r="Q15" s="16">
        <f t="shared" si="0"/>
        <v>14</v>
      </c>
      <c r="R15" s="17">
        <f t="shared" si="3"/>
        <v>0.6196752869372113</v>
      </c>
    </row>
    <row r="16" spans="1:18" ht="18" customHeight="1">
      <c r="A16" s="10" t="s">
        <v>47</v>
      </c>
      <c r="B16" s="10" t="s">
        <v>48</v>
      </c>
      <c r="C16" s="10" t="s">
        <v>36</v>
      </c>
      <c r="D16" s="12">
        <v>2019</v>
      </c>
      <c r="E16" s="13">
        <v>571817.78655524598</v>
      </c>
      <c r="F16" s="13">
        <v>571817.78655524598</v>
      </c>
      <c r="G16" s="14">
        <v>0</v>
      </c>
      <c r="H16" s="15">
        <v>1</v>
      </c>
      <c r="I16" s="16">
        <v>23</v>
      </c>
      <c r="J16" s="16">
        <v>23</v>
      </c>
      <c r="K16" s="13">
        <v>1482147259.8171525</v>
      </c>
      <c r="L16" s="13">
        <v>1482147259.8171525</v>
      </c>
      <c r="M16" s="13">
        <v>1482147259.8171527</v>
      </c>
      <c r="N16" s="13">
        <v>1476697755.8816364</v>
      </c>
      <c r="O16" s="13">
        <v>1474269044.8780706</v>
      </c>
      <c r="P16" s="15">
        <f t="shared" si="2"/>
        <v>2.2713966217172612E-2</v>
      </c>
      <c r="Q16" s="16">
        <f t="shared" si="0"/>
        <v>15</v>
      </c>
      <c r="R16" s="17">
        <f t="shared" si="3"/>
        <v>0.64238925315438389</v>
      </c>
    </row>
    <row r="17" spans="1:20" ht="18" customHeight="1">
      <c r="A17" s="10" t="s">
        <v>49</v>
      </c>
      <c r="B17" s="10" t="s">
        <v>50</v>
      </c>
      <c r="C17" s="10" t="s">
        <v>19</v>
      </c>
      <c r="D17" s="12">
        <v>2019</v>
      </c>
      <c r="E17" s="13">
        <v>2586941.8366957698</v>
      </c>
      <c r="F17" s="13">
        <v>2586941.8366957698</v>
      </c>
      <c r="G17" s="14">
        <v>0</v>
      </c>
      <c r="H17" s="15">
        <v>1</v>
      </c>
      <c r="I17" s="16">
        <v>218</v>
      </c>
      <c r="J17" s="16">
        <v>218</v>
      </c>
      <c r="K17" s="13">
        <v>1439195574.0782979</v>
      </c>
      <c r="L17" s="13">
        <v>1439195574.0782981</v>
      </c>
      <c r="M17" s="13">
        <v>1439195574.0782976</v>
      </c>
      <c r="N17" s="13">
        <v>1036169699.9564209</v>
      </c>
      <c r="O17" s="13">
        <v>1161227971.5261807</v>
      </c>
      <c r="P17" s="15">
        <f t="shared" si="2"/>
        <v>2.2055729910097889E-2</v>
      </c>
      <c r="Q17" s="16">
        <f t="shared" si="0"/>
        <v>16</v>
      </c>
      <c r="R17" s="17">
        <f t="shared" si="3"/>
        <v>0.66444498306448174</v>
      </c>
    </row>
    <row r="18" spans="1:20" ht="18" customHeight="1">
      <c r="A18" s="10" t="s">
        <v>51</v>
      </c>
      <c r="B18" s="10" t="s">
        <v>52</v>
      </c>
      <c r="C18" s="10" t="s">
        <v>19</v>
      </c>
      <c r="D18" s="12">
        <v>2019</v>
      </c>
      <c r="E18" s="13">
        <v>1589890.9385366847</v>
      </c>
      <c r="F18" s="13">
        <v>1589890.9385366847</v>
      </c>
      <c r="G18" s="14">
        <v>0</v>
      </c>
      <c r="H18" s="15">
        <v>1</v>
      </c>
      <c r="I18" s="16">
        <v>195</v>
      </c>
      <c r="J18" s="16">
        <v>195</v>
      </c>
      <c r="K18" s="13">
        <v>1391657718.08254</v>
      </c>
      <c r="L18" s="13">
        <v>1391657718.0825403</v>
      </c>
      <c r="M18" s="13">
        <v>1391657718.08254</v>
      </c>
      <c r="N18" s="13">
        <v>1272373321.7534766</v>
      </c>
      <c r="O18" s="13">
        <v>1310989991.8158207</v>
      </c>
      <c r="P18" s="15">
        <f t="shared" si="2"/>
        <v>2.1327210359849105E-2</v>
      </c>
      <c r="Q18" s="16">
        <f t="shared" si="0"/>
        <v>17</v>
      </c>
      <c r="R18" s="17">
        <f t="shared" si="3"/>
        <v>0.68577219342433082</v>
      </c>
    </row>
    <row r="19" spans="1:20" ht="18" customHeight="1">
      <c r="A19" s="10" t="s">
        <v>53</v>
      </c>
      <c r="B19" s="10" t="s">
        <v>54</v>
      </c>
      <c r="C19" s="10" t="s">
        <v>19</v>
      </c>
      <c r="D19" s="12">
        <v>2019</v>
      </c>
      <c r="E19" s="13">
        <v>1037537.6190575529</v>
      </c>
      <c r="F19" s="13">
        <v>1037537.6190575529</v>
      </c>
      <c r="G19" s="14">
        <v>0</v>
      </c>
      <c r="H19" s="15">
        <v>1</v>
      </c>
      <c r="I19" s="16">
        <v>277</v>
      </c>
      <c r="J19" s="16">
        <v>277</v>
      </c>
      <c r="K19" s="13">
        <v>1028923753.7644161</v>
      </c>
      <c r="L19" s="13">
        <v>1028923753.7644159</v>
      </c>
      <c r="M19" s="13">
        <v>1028923753.7644162</v>
      </c>
      <c r="N19" s="13">
        <v>948325445.23913968</v>
      </c>
      <c r="O19" s="13">
        <v>956158720.32247818</v>
      </c>
      <c r="P19" s="15">
        <f t="shared" si="2"/>
        <v>1.5768297804588303E-2</v>
      </c>
      <c r="Q19" s="16">
        <f t="shared" si="0"/>
        <v>18</v>
      </c>
      <c r="R19" s="17">
        <f t="shared" si="3"/>
        <v>0.70154049122891915</v>
      </c>
    </row>
    <row r="20" spans="1:20" ht="18" customHeight="1">
      <c r="A20" s="10" t="s">
        <v>55</v>
      </c>
      <c r="B20" s="10" t="s">
        <v>56</v>
      </c>
      <c r="C20" s="10" t="s">
        <v>19</v>
      </c>
      <c r="D20" s="12">
        <v>2019</v>
      </c>
      <c r="E20" s="13">
        <v>1139679.5670890671</v>
      </c>
      <c r="F20" s="13">
        <v>1139679.5670890671</v>
      </c>
      <c r="G20" s="14">
        <v>0</v>
      </c>
      <c r="H20" s="15">
        <v>1</v>
      </c>
      <c r="I20" s="16">
        <v>383</v>
      </c>
      <c r="J20" s="16">
        <v>383</v>
      </c>
      <c r="K20" s="13">
        <v>1010255322.1765621</v>
      </c>
      <c r="L20" s="13">
        <v>1010255322.1765624</v>
      </c>
      <c r="M20" s="13">
        <v>1010255322.1765624</v>
      </c>
      <c r="N20" s="13">
        <v>875614821.1777916</v>
      </c>
      <c r="O20" s="13">
        <v>905533467.17320228</v>
      </c>
      <c r="P20" s="15">
        <f t="shared" si="2"/>
        <v>1.5482203341568196E-2</v>
      </c>
      <c r="Q20" s="16">
        <f t="shared" si="0"/>
        <v>19</v>
      </c>
      <c r="R20" s="17">
        <f t="shared" si="3"/>
        <v>0.7170226945704874</v>
      </c>
    </row>
    <row r="21" spans="1:20" ht="18" customHeight="1">
      <c r="A21" s="10" t="s">
        <v>57</v>
      </c>
      <c r="B21" s="10" t="s">
        <v>58</v>
      </c>
      <c r="C21" s="10" t="s">
        <v>19</v>
      </c>
      <c r="D21" s="12">
        <v>2019</v>
      </c>
      <c r="E21" s="13">
        <v>1487741.6269238535</v>
      </c>
      <c r="F21" s="13">
        <v>1487741.6269238535</v>
      </c>
      <c r="G21" s="14">
        <v>0</v>
      </c>
      <c r="H21" s="15">
        <v>1</v>
      </c>
      <c r="I21" s="16">
        <v>482</v>
      </c>
      <c r="J21" s="16">
        <v>482</v>
      </c>
      <c r="K21" s="13">
        <v>1007915797.3835726</v>
      </c>
      <c r="L21" s="13">
        <v>1007915797.3835725</v>
      </c>
      <c r="M21" s="13">
        <v>1007915797.3835725</v>
      </c>
      <c r="N21" s="13">
        <v>777778177.45495129</v>
      </c>
      <c r="O21" s="13">
        <v>818089702.41345286</v>
      </c>
      <c r="P21" s="15">
        <f t="shared" si="2"/>
        <v>1.5446350030259064E-2</v>
      </c>
      <c r="Q21" s="16">
        <f t="shared" si="0"/>
        <v>20</v>
      </c>
      <c r="R21" s="17">
        <f t="shared" si="3"/>
        <v>0.73246904460074647</v>
      </c>
    </row>
    <row r="22" spans="1:20" ht="18" customHeight="1">
      <c r="A22" s="10" t="s">
        <v>59</v>
      </c>
      <c r="B22" s="10" t="s">
        <v>60</v>
      </c>
      <c r="C22" s="10" t="s">
        <v>19</v>
      </c>
      <c r="D22" s="12">
        <v>2019</v>
      </c>
      <c r="E22" s="13">
        <v>1592518.0818040825</v>
      </c>
      <c r="F22" s="13">
        <v>1592518.0818040825</v>
      </c>
      <c r="G22" s="14">
        <v>0</v>
      </c>
      <c r="H22" s="15">
        <v>1</v>
      </c>
      <c r="I22" s="16">
        <v>147</v>
      </c>
      <c r="J22" s="16">
        <v>147</v>
      </c>
      <c r="K22" s="13">
        <v>997757338.24668729</v>
      </c>
      <c r="L22" s="13">
        <v>997757338.24668729</v>
      </c>
      <c r="M22" s="13">
        <v>997757338.24668741</v>
      </c>
      <c r="N22" s="13">
        <v>874219072.32419193</v>
      </c>
      <c r="O22" s="13">
        <v>905698527.58729768</v>
      </c>
      <c r="P22" s="15">
        <f t="shared" si="2"/>
        <v>1.529067123645135E-2</v>
      </c>
      <c r="Q22" s="16">
        <f t="shared" si="0"/>
        <v>21</v>
      </c>
      <c r="R22" s="17">
        <f t="shared" si="3"/>
        <v>0.7477597158371978</v>
      </c>
    </row>
    <row r="23" spans="1:20" ht="18" customHeight="1">
      <c r="A23" s="10" t="s">
        <v>61</v>
      </c>
      <c r="B23" s="10" t="s">
        <v>62</v>
      </c>
      <c r="C23" s="10" t="s">
        <v>19</v>
      </c>
      <c r="D23" s="12">
        <v>2019</v>
      </c>
      <c r="E23" s="13">
        <v>1731971.9673227614</v>
      </c>
      <c r="F23" s="13">
        <v>1731971.9673227614</v>
      </c>
      <c r="G23" s="14">
        <v>0</v>
      </c>
      <c r="H23" s="15">
        <v>1</v>
      </c>
      <c r="I23" s="16">
        <v>219</v>
      </c>
      <c r="J23" s="16">
        <v>219</v>
      </c>
      <c r="K23" s="13">
        <v>990198790.87030256</v>
      </c>
      <c r="L23" s="13">
        <v>990198790.87030244</v>
      </c>
      <c r="M23" s="13">
        <v>990198790.87030268</v>
      </c>
      <c r="N23" s="13">
        <v>668224367.65836382</v>
      </c>
      <c r="O23" s="13">
        <v>731176308.53673494</v>
      </c>
      <c r="P23" s="15">
        <f t="shared" si="2"/>
        <v>1.5174836194676028E-2</v>
      </c>
      <c r="Q23" s="16">
        <f t="shared" si="0"/>
        <v>22</v>
      </c>
      <c r="R23" s="17">
        <f t="shared" si="3"/>
        <v>0.76293455203187388</v>
      </c>
    </row>
    <row r="24" spans="1:20" ht="18" customHeight="1">
      <c r="A24" s="10" t="s">
        <v>63</v>
      </c>
      <c r="B24" s="10" t="s">
        <v>64</v>
      </c>
      <c r="C24" s="10" t="s">
        <v>19</v>
      </c>
      <c r="D24" s="12">
        <v>2019</v>
      </c>
      <c r="E24" s="13">
        <v>1102866.6258441233</v>
      </c>
      <c r="F24" s="13">
        <v>1102866.6258441233</v>
      </c>
      <c r="G24" s="14">
        <v>0</v>
      </c>
      <c r="H24" s="15">
        <v>1</v>
      </c>
      <c r="I24" s="16">
        <v>170</v>
      </c>
      <c r="J24" s="16">
        <v>170</v>
      </c>
      <c r="K24" s="13">
        <v>967218747.55306625</v>
      </c>
      <c r="L24" s="13">
        <v>967218747.55306625</v>
      </c>
      <c r="M24" s="13">
        <v>967218747.55306613</v>
      </c>
      <c r="N24" s="13">
        <v>688947934.14238799</v>
      </c>
      <c r="O24" s="13">
        <v>696280979.01654816</v>
      </c>
      <c r="P24" s="15">
        <f t="shared" si="2"/>
        <v>1.4822666108930793E-2</v>
      </c>
      <c r="Q24" s="16">
        <f t="shared" si="0"/>
        <v>23</v>
      </c>
      <c r="R24" s="17">
        <f t="shared" si="3"/>
        <v>0.77775721814080467</v>
      </c>
      <c r="S24" t="s">
        <v>65</v>
      </c>
      <c r="T24" t="s">
        <v>66</v>
      </c>
    </row>
    <row r="25" spans="1:20" ht="18" customHeight="1">
      <c r="A25" s="10" t="s">
        <v>67</v>
      </c>
      <c r="B25" s="10" t="s">
        <v>68</v>
      </c>
      <c r="C25" s="10" t="s">
        <v>36</v>
      </c>
      <c r="D25" s="12">
        <v>2019</v>
      </c>
      <c r="E25" s="13">
        <v>377854.00832854409</v>
      </c>
      <c r="F25" s="13">
        <v>377854.00832854409</v>
      </c>
      <c r="G25" s="14">
        <v>0</v>
      </c>
      <c r="H25" s="15">
        <v>1</v>
      </c>
      <c r="I25" s="16">
        <v>36</v>
      </c>
      <c r="J25" s="16">
        <v>36</v>
      </c>
      <c r="K25" s="13">
        <v>907481876.83694828</v>
      </c>
      <c r="L25" s="13">
        <v>907481876.83694839</v>
      </c>
      <c r="M25" s="13">
        <v>907481876.83694816</v>
      </c>
      <c r="N25" s="13">
        <v>898130651.46629667</v>
      </c>
      <c r="O25" s="13">
        <v>892837267.84596276</v>
      </c>
      <c r="P25" s="15">
        <f t="shared" si="2"/>
        <v>1.3907196168694961E-2</v>
      </c>
      <c r="Q25" s="16">
        <f t="shared" si="0"/>
        <v>24</v>
      </c>
      <c r="R25" s="17">
        <f t="shared" si="3"/>
        <v>0.79166441430949963</v>
      </c>
      <c r="S25" t="str">
        <f t="shared" ref="S25:S49" si="4">B2</f>
        <v>South China Sea</v>
      </c>
      <c r="T25">
        <f t="shared" ref="T25:T49" si="5">K2</f>
        <v>8070990713.0926199</v>
      </c>
    </row>
    <row r="26" spans="1:20" ht="18" customHeight="1">
      <c r="A26" s="10" t="s">
        <v>69</v>
      </c>
      <c r="B26" s="10" t="s">
        <v>70</v>
      </c>
      <c r="C26" s="10" t="s">
        <v>19</v>
      </c>
      <c r="D26" s="12">
        <v>2019</v>
      </c>
      <c r="E26" s="13">
        <v>1300999.7714510453</v>
      </c>
      <c r="F26" s="13">
        <v>1300999.7714510453</v>
      </c>
      <c r="G26" s="14">
        <v>0</v>
      </c>
      <c r="H26" s="15">
        <v>1</v>
      </c>
      <c r="I26" s="16">
        <v>73</v>
      </c>
      <c r="J26" s="16">
        <v>73</v>
      </c>
      <c r="K26" s="13">
        <v>816435933.91241038</v>
      </c>
      <c r="L26" s="13">
        <v>816435933.91241038</v>
      </c>
      <c r="M26" s="13">
        <v>816435933.9124105</v>
      </c>
      <c r="N26" s="13">
        <v>651544945.52610254</v>
      </c>
      <c r="O26" s="13">
        <v>689600284.14612293</v>
      </c>
      <c r="P26" s="15">
        <f t="shared" si="2"/>
        <v>1.2511913440814263E-2</v>
      </c>
      <c r="Q26" s="16">
        <f t="shared" si="0"/>
        <v>25</v>
      </c>
      <c r="R26" s="17">
        <f t="shared" si="3"/>
        <v>0.80417632775031389</v>
      </c>
      <c r="S26" t="str">
        <f t="shared" si="4"/>
        <v>Arabian Sea</v>
      </c>
      <c r="T26">
        <f t="shared" si="5"/>
        <v>4734727053.1209135</v>
      </c>
    </row>
    <row r="27" spans="1:20" ht="18" customHeight="1">
      <c r="A27" s="10" t="s">
        <v>71</v>
      </c>
      <c r="B27" s="10" t="s">
        <v>72</v>
      </c>
      <c r="C27" s="10" t="s">
        <v>19</v>
      </c>
      <c r="D27" s="12">
        <v>2019</v>
      </c>
      <c r="E27" s="13">
        <v>1587670.7135199129</v>
      </c>
      <c r="F27" s="13">
        <v>1587670.7135199129</v>
      </c>
      <c r="G27" s="14">
        <v>0</v>
      </c>
      <c r="H27" s="15">
        <v>1</v>
      </c>
      <c r="I27" s="16">
        <v>270</v>
      </c>
      <c r="J27" s="16">
        <v>270</v>
      </c>
      <c r="K27" s="13">
        <v>748768977.20261955</v>
      </c>
      <c r="L27" s="13">
        <v>748768977.20261931</v>
      </c>
      <c r="M27" s="13">
        <v>748768977.20261943</v>
      </c>
      <c r="N27" s="13">
        <v>571582336.22119927</v>
      </c>
      <c r="O27" s="13">
        <v>616011177.06949246</v>
      </c>
      <c r="P27" s="15">
        <f t="shared" si="2"/>
        <v>1.1474914614587857E-2</v>
      </c>
      <c r="Q27" s="16">
        <f t="shared" si="0"/>
        <v>26</v>
      </c>
      <c r="R27" s="17">
        <f t="shared" si="3"/>
        <v>0.81565124236490172</v>
      </c>
      <c r="S27" t="str">
        <f t="shared" si="4"/>
        <v>Bay of Bengal</v>
      </c>
      <c r="T27">
        <f t="shared" si="5"/>
        <v>3525461853.6068969</v>
      </c>
    </row>
    <row r="28" spans="1:20" ht="18" customHeight="1">
      <c r="A28" s="10" t="s">
        <v>73</v>
      </c>
      <c r="B28" s="10" t="s">
        <v>74</v>
      </c>
      <c r="C28" s="10" t="s">
        <v>19</v>
      </c>
      <c r="D28" s="12">
        <v>2019</v>
      </c>
      <c r="E28" s="13">
        <v>431127.77716673305</v>
      </c>
      <c r="F28" s="13">
        <v>431127.77716673305</v>
      </c>
      <c r="G28" s="14">
        <v>0</v>
      </c>
      <c r="H28" s="15">
        <v>1</v>
      </c>
      <c r="I28" s="16">
        <v>197</v>
      </c>
      <c r="J28" s="16">
        <v>197</v>
      </c>
      <c r="K28" s="13">
        <v>722610291.63560414</v>
      </c>
      <c r="L28" s="13">
        <v>722610291.6356039</v>
      </c>
      <c r="M28" s="13">
        <v>722610291.63560402</v>
      </c>
      <c r="N28" s="13">
        <v>625979302.92339051</v>
      </c>
      <c r="O28" s="13">
        <v>640351591.05682039</v>
      </c>
      <c r="P28" s="15">
        <f t="shared" si="2"/>
        <v>1.1074031708844653E-2</v>
      </c>
      <c r="Q28" s="16">
        <f t="shared" si="0"/>
        <v>27</v>
      </c>
      <c r="R28" s="17">
        <f t="shared" si="3"/>
        <v>0.82672527407374641</v>
      </c>
      <c r="S28" t="str">
        <f t="shared" si="4"/>
        <v>East China Sea</v>
      </c>
      <c r="T28">
        <f t="shared" si="5"/>
        <v>3396644855.5552316</v>
      </c>
    </row>
    <row r="29" spans="1:20" ht="18" customHeight="1">
      <c r="A29" s="10" t="s">
        <v>75</v>
      </c>
      <c r="B29" s="10" t="s">
        <v>76</v>
      </c>
      <c r="C29" s="10" t="s">
        <v>19</v>
      </c>
      <c r="D29" s="12">
        <v>2019</v>
      </c>
      <c r="E29" s="13">
        <v>697974.91168561135</v>
      </c>
      <c r="F29" s="13">
        <v>697974.91168561135</v>
      </c>
      <c r="G29" s="14">
        <v>0</v>
      </c>
      <c r="H29" s="15">
        <v>1</v>
      </c>
      <c r="I29" s="16">
        <v>74</v>
      </c>
      <c r="J29" s="16">
        <v>74</v>
      </c>
      <c r="K29" s="13">
        <v>707135211.91527545</v>
      </c>
      <c r="L29" s="13">
        <v>707135211.91527545</v>
      </c>
      <c r="M29" s="13">
        <v>707135211.91527534</v>
      </c>
      <c r="N29" s="13">
        <v>670516995.66588938</v>
      </c>
      <c r="O29" s="13">
        <v>648512955.90122736</v>
      </c>
      <c r="P29" s="15">
        <f t="shared" si="2"/>
        <v>1.0836875491304594E-2</v>
      </c>
      <c r="Q29" s="16">
        <f t="shared" si="0"/>
        <v>28</v>
      </c>
      <c r="R29" s="17">
        <f t="shared" si="3"/>
        <v>0.83756214956505104</v>
      </c>
      <c r="S29" t="str">
        <f t="shared" si="4"/>
        <v>Sea of Okhotsk</v>
      </c>
      <c r="T29">
        <f t="shared" si="5"/>
        <v>2799543440.9812036</v>
      </c>
    </row>
    <row r="30" spans="1:20" ht="18" customHeight="1">
      <c r="A30" s="10" t="s">
        <v>77</v>
      </c>
      <c r="B30" s="10" t="s">
        <v>78</v>
      </c>
      <c r="C30" s="10" t="s">
        <v>19</v>
      </c>
      <c r="D30" s="12">
        <v>2019</v>
      </c>
      <c r="E30" s="13">
        <v>675569.01796316425</v>
      </c>
      <c r="F30" s="13">
        <v>675569.01796316425</v>
      </c>
      <c r="G30" s="14">
        <v>0</v>
      </c>
      <c r="H30" s="15">
        <v>1</v>
      </c>
      <c r="I30" s="16">
        <v>138</v>
      </c>
      <c r="J30" s="16">
        <v>138</v>
      </c>
      <c r="K30" s="13">
        <v>661277433.81317008</v>
      </c>
      <c r="L30" s="13">
        <v>661277433.81317008</v>
      </c>
      <c r="M30" s="13">
        <v>661277433.81317019</v>
      </c>
      <c r="N30" s="13">
        <v>631761250.39349484</v>
      </c>
      <c r="O30" s="13">
        <v>611750577.6098361</v>
      </c>
      <c r="P30" s="15">
        <f t="shared" si="2"/>
        <v>1.0134103202177048E-2</v>
      </c>
      <c r="Q30" s="16">
        <f t="shared" si="0"/>
        <v>29</v>
      </c>
      <c r="R30" s="17">
        <f t="shared" si="3"/>
        <v>0.84769625276722804</v>
      </c>
      <c r="S30" t="str">
        <f t="shared" si="4"/>
        <v>Humboldt Current</v>
      </c>
      <c r="T30">
        <f t="shared" si="5"/>
        <v>2612052520.1434836</v>
      </c>
    </row>
    <row r="31" spans="1:20" ht="18" customHeight="1">
      <c r="A31" s="10" t="s">
        <v>79</v>
      </c>
      <c r="B31" s="10" t="s">
        <v>80</v>
      </c>
      <c r="C31" s="10" t="s">
        <v>36</v>
      </c>
      <c r="D31" s="12">
        <v>2019</v>
      </c>
      <c r="E31" s="13">
        <v>245882.41767354257</v>
      </c>
      <c r="F31" s="13">
        <v>245882.41767354257</v>
      </c>
      <c r="G31" s="14">
        <v>0</v>
      </c>
      <c r="H31" s="15">
        <v>1</v>
      </c>
      <c r="I31" s="16">
        <v>25</v>
      </c>
      <c r="J31" s="16">
        <v>25</v>
      </c>
      <c r="K31" s="13">
        <v>657270846.14351439</v>
      </c>
      <c r="L31" s="13">
        <v>657270846.14351439</v>
      </c>
      <c r="M31" s="13">
        <v>657270846.14351451</v>
      </c>
      <c r="N31" s="13">
        <v>654505526.66417062</v>
      </c>
      <c r="O31" s="13">
        <v>653973496.14912033</v>
      </c>
      <c r="P31" s="15">
        <f t="shared" si="2"/>
        <v>1.0072702085404126E-2</v>
      </c>
      <c r="Q31" s="16">
        <f t="shared" si="0"/>
        <v>30</v>
      </c>
      <c r="R31" s="17">
        <f t="shared" si="3"/>
        <v>0.85776895485263216</v>
      </c>
      <c r="S31" t="str">
        <f t="shared" si="4"/>
        <v>Canary Current</v>
      </c>
      <c r="T31">
        <f t="shared" si="5"/>
        <v>2359485422.8161731</v>
      </c>
    </row>
    <row r="32" spans="1:20" ht="18" customHeight="1">
      <c r="A32" s="10" t="s">
        <v>81</v>
      </c>
      <c r="B32" s="10" t="s">
        <v>82</v>
      </c>
      <c r="C32" s="10" t="s">
        <v>36</v>
      </c>
      <c r="D32" s="12">
        <v>2019</v>
      </c>
      <c r="E32" s="13">
        <v>235319.45527268611</v>
      </c>
      <c r="F32" s="13">
        <v>235319.45527268611</v>
      </c>
      <c r="G32" s="14">
        <v>0</v>
      </c>
      <c r="H32" s="15">
        <v>1</v>
      </c>
      <c r="I32" s="16">
        <v>37</v>
      </c>
      <c r="J32" s="16">
        <v>37</v>
      </c>
      <c r="K32" s="13">
        <v>580150840.12894607</v>
      </c>
      <c r="L32" s="13">
        <v>580150840.12894595</v>
      </c>
      <c r="M32" s="13">
        <v>580150840.12894607</v>
      </c>
      <c r="N32" s="13">
        <v>577913963.96064293</v>
      </c>
      <c r="O32" s="13">
        <v>573709660.55930734</v>
      </c>
      <c r="P32" s="15">
        <f t="shared" si="2"/>
        <v>8.8908348993465437E-3</v>
      </c>
      <c r="Q32" s="16">
        <f t="shared" si="0"/>
        <v>31</v>
      </c>
      <c r="R32" s="17">
        <f t="shared" si="3"/>
        <v>0.86665978975197866</v>
      </c>
      <c r="S32" t="str">
        <f t="shared" si="4"/>
        <v>Guinea Current</v>
      </c>
      <c r="T32">
        <f t="shared" si="5"/>
        <v>2256398879.6656098</v>
      </c>
    </row>
    <row r="33" spans="1:20" ht="18" customHeight="1">
      <c r="A33" s="10" t="s">
        <v>83</v>
      </c>
      <c r="B33" s="10" t="s">
        <v>84</v>
      </c>
      <c r="C33" s="10" t="s">
        <v>36</v>
      </c>
      <c r="D33" s="12">
        <v>2019</v>
      </c>
      <c r="E33" s="13">
        <v>249459.52394633277</v>
      </c>
      <c r="F33" s="13">
        <v>249459.52394633277</v>
      </c>
      <c r="G33" s="14">
        <v>0</v>
      </c>
      <c r="H33" s="15">
        <v>1</v>
      </c>
      <c r="I33" s="16">
        <v>34</v>
      </c>
      <c r="J33" s="16">
        <v>34</v>
      </c>
      <c r="K33" s="13">
        <v>577352176.97183883</v>
      </c>
      <c r="L33" s="13">
        <v>577352176.97183883</v>
      </c>
      <c r="M33" s="13">
        <v>577352176.97183871</v>
      </c>
      <c r="N33" s="13">
        <v>561837233.66174912</v>
      </c>
      <c r="O33" s="13">
        <v>561492847.46667063</v>
      </c>
      <c r="P33" s="15">
        <f t="shared" si="2"/>
        <v>8.8479452741876911E-3</v>
      </c>
      <c r="Q33" s="16">
        <f t="shared" si="0"/>
        <v>32</v>
      </c>
      <c r="R33" s="17">
        <f t="shared" si="3"/>
        <v>0.8755077350261663</v>
      </c>
      <c r="S33" t="str">
        <f t="shared" si="4"/>
        <v>Pacific, Eastern Central</v>
      </c>
      <c r="T33">
        <f t="shared" si="5"/>
        <v>2196179346.0276952</v>
      </c>
    </row>
    <row r="34" spans="1:20" ht="18" customHeight="1">
      <c r="A34" s="10" t="s">
        <v>85</v>
      </c>
      <c r="B34" s="10" t="s">
        <v>86</v>
      </c>
      <c r="C34" s="10" t="s">
        <v>19</v>
      </c>
      <c r="D34" s="12">
        <v>2019</v>
      </c>
      <c r="E34" s="13">
        <v>1549275.8254257175</v>
      </c>
      <c r="F34" s="13">
        <v>1549275.8254257175</v>
      </c>
      <c r="G34" s="14">
        <v>0</v>
      </c>
      <c r="H34" s="15">
        <v>1</v>
      </c>
      <c r="I34" s="16">
        <v>418</v>
      </c>
      <c r="J34" s="16">
        <v>418</v>
      </c>
      <c r="K34" s="13">
        <v>558361747.84758687</v>
      </c>
      <c r="L34" s="13">
        <v>558361747.84758675</v>
      </c>
      <c r="M34" s="13">
        <v>558361747.84758687</v>
      </c>
      <c r="N34" s="13">
        <v>352850227.10518026</v>
      </c>
      <c r="O34" s="13">
        <v>421891503.66125906</v>
      </c>
      <c r="P34" s="15">
        <f t="shared" ref="P34:P65" si="6">K34/SUM($K$2:$K$85)</f>
        <v>8.5569161860044526E-3</v>
      </c>
      <c r="Q34" s="16">
        <f t="shared" ref="Q34:Q65" si="7">RANK(K34,$K$2:$K$85,0)</f>
        <v>33</v>
      </c>
      <c r="R34" s="17">
        <f t="shared" si="3"/>
        <v>0.8840646512121707</v>
      </c>
      <c r="S34" t="str">
        <f t="shared" si="4"/>
        <v>Gulf of Thailand</v>
      </c>
      <c r="T34">
        <f t="shared" si="5"/>
        <v>1868893899.8381805</v>
      </c>
    </row>
    <row r="35" spans="1:20" ht="18" customHeight="1">
      <c r="A35" s="10" t="s">
        <v>87</v>
      </c>
      <c r="B35" s="10" t="s">
        <v>88</v>
      </c>
      <c r="C35" s="10" t="s">
        <v>19</v>
      </c>
      <c r="D35" s="12">
        <v>2019</v>
      </c>
      <c r="E35" s="13">
        <v>1092021.8374498228</v>
      </c>
      <c r="F35" s="13">
        <v>1092021.8374498228</v>
      </c>
      <c r="G35" s="14">
        <v>0</v>
      </c>
      <c r="H35" s="15">
        <v>1</v>
      </c>
      <c r="I35" s="16">
        <v>143</v>
      </c>
      <c r="J35" s="16">
        <v>143</v>
      </c>
      <c r="K35" s="13">
        <v>528421987.24496377</v>
      </c>
      <c r="L35" s="13">
        <v>528421987.24496371</v>
      </c>
      <c r="M35" s="13">
        <v>528421987.24496382</v>
      </c>
      <c r="N35" s="13">
        <v>405330451.30796736</v>
      </c>
      <c r="O35" s="13">
        <v>415171646.01004821</v>
      </c>
      <c r="P35" s="15">
        <f t="shared" si="6"/>
        <v>8.0980881536521811E-3</v>
      </c>
      <c r="Q35" s="16">
        <f t="shared" si="7"/>
        <v>34</v>
      </c>
      <c r="R35" s="17">
        <f t="shared" si="3"/>
        <v>0.89216273936582291</v>
      </c>
      <c r="S35" t="str">
        <f t="shared" si="4"/>
        <v>North Sea</v>
      </c>
      <c r="T35">
        <f t="shared" si="5"/>
        <v>1700184787.4627526</v>
      </c>
    </row>
    <row r="36" spans="1:20" ht="18" customHeight="1">
      <c r="A36" s="10" t="s">
        <v>89</v>
      </c>
      <c r="B36" s="10" t="s">
        <v>90</v>
      </c>
      <c r="C36" s="10" t="s">
        <v>19</v>
      </c>
      <c r="D36" s="12">
        <v>2019</v>
      </c>
      <c r="E36" s="13">
        <v>705687.52207760385</v>
      </c>
      <c r="F36" s="13">
        <v>705687.52207760385</v>
      </c>
      <c r="G36" s="14">
        <v>0</v>
      </c>
      <c r="H36" s="15">
        <v>1</v>
      </c>
      <c r="I36" s="16">
        <v>63</v>
      </c>
      <c r="J36" s="16">
        <v>63</v>
      </c>
      <c r="K36" s="13">
        <v>511445832.05498385</v>
      </c>
      <c r="L36" s="13">
        <v>511445832.05498385</v>
      </c>
      <c r="M36" s="13">
        <v>511445832.05498391</v>
      </c>
      <c r="N36" s="13">
        <v>392569072.97454214</v>
      </c>
      <c r="O36" s="13">
        <v>341774720.37790668</v>
      </c>
      <c r="P36" s="15">
        <f t="shared" si="6"/>
        <v>7.8379278943198835E-3</v>
      </c>
      <c r="Q36" s="16">
        <f t="shared" si="7"/>
        <v>35</v>
      </c>
      <c r="R36" s="17">
        <f t="shared" si="3"/>
        <v>0.90000066726014283</v>
      </c>
      <c r="S36" t="str">
        <f t="shared" si="4"/>
        <v>Kuroshio Current</v>
      </c>
      <c r="T36">
        <f t="shared" si="5"/>
        <v>1682486180.5803435</v>
      </c>
    </row>
    <row r="37" spans="1:20" ht="18" customHeight="1">
      <c r="A37" s="10" t="s">
        <v>91</v>
      </c>
      <c r="B37" s="10" t="s">
        <v>92</v>
      </c>
      <c r="C37" s="10" t="s">
        <v>19</v>
      </c>
      <c r="D37" s="12">
        <v>2019</v>
      </c>
      <c r="E37" s="13">
        <v>794215.42597631423</v>
      </c>
      <c r="F37" s="13">
        <v>794215.42597631423</v>
      </c>
      <c r="G37" s="14">
        <v>0</v>
      </c>
      <c r="H37" s="15">
        <v>1</v>
      </c>
      <c r="I37" s="16">
        <v>272</v>
      </c>
      <c r="J37" s="16">
        <v>272</v>
      </c>
      <c r="K37" s="13">
        <v>482169734.53988993</v>
      </c>
      <c r="L37" s="13">
        <v>482169734.53988987</v>
      </c>
      <c r="M37" s="13">
        <v>482169734.53988993</v>
      </c>
      <c r="N37" s="13">
        <v>371322087.27435106</v>
      </c>
      <c r="O37" s="13">
        <v>404858007.05632252</v>
      </c>
      <c r="P37" s="15">
        <f t="shared" si="6"/>
        <v>7.389270525408693E-3</v>
      </c>
      <c r="Q37" s="16">
        <f t="shared" si="7"/>
        <v>36</v>
      </c>
      <c r="R37" s="17">
        <f t="shared" si="3"/>
        <v>0.90738993778555155</v>
      </c>
      <c r="S37" t="str">
        <f t="shared" si="4"/>
        <v>Indonesian Sea</v>
      </c>
      <c r="T37">
        <f t="shared" si="5"/>
        <v>1678212214.8416104</v>
      </c>
    </row>
    <row r="38" spans="1:20" ht="18" customHeight="1">
      <c r="A38" s="10" t="s">
        <v>93</v>
      </c>
      <c r="B38" s="10" t="s">
        <v>94</v>
      </c>
      <c r="C38" s="10" t="s">
        <v>19</v>
      </c>
      <c r="D38" s="12">
        <v>2019</v>
      </c>
      <c r="E38" s="13">
        <v>420222.20101457404</v>
      </c>
      <c r="F38" s="13">
        <v>420222.20101457404</v>
      </c>
      <c r="G38" s="14">
        <v>0</v>
      </c>
      <c r="H38" s="15">
        <v>1</v>
      </c>
      <c r="I38" s="16">
        <v>114</v>
      </c>
      <c r="J38" s="16">
        <v>114</v>
      </c>
      <c r="K38" s="13">
        <v>476451437.82346839</v>
      </c>
      <c r="L38" s="13">
        <v>476451437.82346827</v>
      </c>
      <c r="M38" s="13">
        <v>476451437.82346827</v>
      </c>
      <c r="N38" s="13">
        <v>464921354.3871538</v>
      </c>
      <c r="O38" s="13">
        <v>468250278.99803978</v>
      </c>
      <c r="P38" s="15">
        <f t="shared" si="6"/>
        <v>7.3016373988240976E-3</v>
      </c>
      <c r="Q38" s="16">
        <f t="shared" si="7"/>
        <v>37</v>
      </c>
      <c r="R38" s="17">
        <f t="shared" si="3"/>
        <v>0.9146915751843756</v>
      </c>
      <c r="S38" t="str">
        <f t="shared" si="4"/>
        <v>Yellow Sea</v>
      </c>
      <c r="T38">
        <f t="shared" si="5"/>
        <v>1554214509.6068287</v>
      </c>
    </row>
    <row r="39" spans="1:20" ht="18" customHeight="1">
      <c r="A39" s="10" t="s">
        <v>95</v>
      </c>
      <c r="B39" s="10" t="s">
        <v>96</v>
      </c>
      <c r="C39" s="10" t="s">
        <v>19</v>
      </c>
      <c r="D39" s="12">
        <v>2019</v>
      </c>
      <c r="E39" s="13">
        <v>700878.74730421591</v>
      </c>
      <c r="F39" s="13">
        <v>700878.74730421591</v>
      </c>
      <c r="G39" s="14">
        <v>0</v>
      </c>
      <c r="H39" s="15">
        <v>1</v>
      </c>
      <c r="I39" s="16">
        <v>232</v>
      </c>
      <c r="J39" s="16">
        <v>232</v>
      </c>
      <c r="K39" s="13">
        <v>432863601.07882154</v>
      </c>
      <c r="L39" s="13">
        <v>432863601.07882148</v>
      </c>
      <c r="M39" s="13">
        <v>432863601.07882154</v>
      </c>
      <c r="N39" s="13">
        <v>318789633.10278773</v>
      </c>
      <c r="O39" s="13">
        <v>363980234.12803376</v>
      </c>
      <c r="P39" s="15">
        <f t="shared" si="6"/>
        <v>6.6336520520646376E-3</v>
      </c>
      <c r="Q39" s="16">
        <f t="shared" si="7"/>
        <v>38</v>
      </c>
      <c r="R39" s="17">
        <f t="shared" si="3"/>
        <v>0.92132522723644028</v>
      </c>
      <c r="S39" t="str">
        <f t="shared" si="4"/>
        <v>Pacific, Western Central</v>
      </c>
      <c r="T39">
        <f t="shared" si="5"/>
        <v>1482147259.8171525</v>
      </c>
    </row>
    <row r="40" spans="1:20" ht="18" customHeight="1">
      <c r="A40" s="10" t="s">
        <v>97</v>
      </c>
      <c r="B40" s="10" t="s">
        <v>98</v>
      </c>
      <c r="C40" s="10" t="s">
        <v>19</v>
      </c>
      <c r="D40" s="12">
        <v>2019</v>
      </c>
      <c r="E40" s="13">
        <v>625707.96322015335</v>
      </c>
      <c r="F40" s="13">
        <v>625707.96322015335</v>
      </c>
      <c r="G40" s="14">
        <v>0</v>
      </c>
      <c r="H40" s="15">
        <v>1</v>
      </c>
      <c r="I40" s="16">
        <v>507</v>
      </c>
      <c r="J40" s="16">
        <v>507</v>
      </c>
      <c r="K40" s="13">
        <v>398459551.56510031</v>
      </c>
      <c r="L40" s="13">
        <v>398459551.56510025</v>
      </c>
      <c r="M40" s="13">
        <v>398459551.56510031</v>
      </c>
      <c r="N40" s="13">
        <v>269270898.94389629</v>
      </c>
      <c r="O40" s="13">
        <v>318302383.71405965</v>
      </c>
      <c r="P40" s="15">
        <f t="shared" si="6"/>
        <v>6.1064086130523752E-3</v>
      </c>
      <c r="Q40" s="16">
        <f t="shared" si="7"/>
        <v>39</v>
      </c>
      <c r="R40" s="17">
        <f t="shared" si="3"/>
        <v>0.92743163584949262</v>
      </c>
      <c r="S40" t="str">
        <f t="shared" si="4"/>
        <v>Sea of Japan / East Sea</v>
      </c>
      <c r="T40">
        <f t="shared" si="5"/>
        <v>1439195574.0782979</v>
      </c>
    </row>
    <row r="41" spans="1:20" ht="18" customHeight="1">
      <c r="A41" s="10" t="s">
        <v>99</v>
      </c>
      <c r="B41" s="10" t="s">
        <v>100</v>
      </c>
      <c r="C41" s="10" t="s">
        <v>19</v>
      </c>
      <c r="D41" s="12">
        <v>2019</v>
      </c>
      <c r="E41" s="13">
        <v>429516.33309482579</v>
      </c>
      <c r="F41" s="13">
        <v>429516.33309482579</v>
      </c>
      <c r="G41" s="14">
        <v>0</v>
      </c>
      <c r="H41" s="15">
        <v>1</v>
      </c>
      <c r="I41" s="16">
        <v>432</v>
      </c>
      <c r="J41" s="16">
        <v>432</v>
      </c>
      <c r="K41" s="13">
        <v>350502389.22478938</v>
      </c>
      <c r="L41" s="13">
        <v>350502389.22478938</v>
      </c>
      <c r="M41" s="13">
        <v>350502389.22478944</v>
      </c>
      <c r="N41" s="13">
        <v>290052892.74702895</v>
      </c>
      <c r="O41" s="13">
        <v>317576506.32073075</v>
      </c>
      <c r="P41" s="15">
        <f t="shared" si="6"/>
        <v>5.3714631762516703E-3</v>
      </c>
      <c r="Q41" s="16">
        <f t="shared" si="7"/>
        <v>40</v>
      </c>
      <c r="R41" s="17">
        <f t="shared" si="3"/>
        <v>0.93280309902574432</v>
      </c>
      <c r="S41" t="str">
        <f t="shared" si="4"/>
        <v>Patagonian Shelf</v>
      </c>
      <c r="T41">
        <f t="shared" si="5"/>
        <v>1391657718.08254</v>
      </c>
    </row>
    <row r="42" spans="1:20" ht="18" customHeight="1">
      <c r="A42" s="10" t="s">
        <v>101</v>
      </c>
      <c r="B42" s="10" t="s">
        <v>102</v>
      </c>
      <c r="C42" s="10" t="s">
        <v>19</v>
      </c>
      <c r="D42" s="12">
        <v>2019</v>
      </c>
      <c r="E42" s="13">
        <v>707251.5165434971</v>
      </c>
      <c r="F42" s="13">
        <v>707251.5165434971</v>
      </c>
      <c r="G42" s="14">
        <v>0</v>
      </c>
      <c r="H42" s="15">
        <v>1</v>
      </c>
      <c r="I42" s="16">
        <v>162</v>
      </c>
      <c r="J42" s="16">
        <v>162</v>
      </c>
      <c r="K42" s="13">
        <v>338234665.90229028</v>
      </c>
      <c r="L42" s="13">
        <v>338234665.90229028</v>
      </c>
      <c r="M42" s="13">
        <v>338234665.90229023</v>
      </c>
      <c r="N42" s="13">
        <v>335085397.39012265</v>
      </c>
      <c r="O42" s="13">
        <v>329594728.18682873</v>
      </c>
      <c r="P42" s="15">
        <f t="shared" si="6"/>
        <v>5.183459824180405E-3</v>
      </c>
      <c r="Q42" s="16">
        <f t="shared" si="7"/>
        <v>41</v>
      </c>
      <c r="R42" s="17">
        <f t="shared" si="3"/>
        <v>0.93798655884992477</v>
      </c>
      <c r="S42" t="str">
        <f t="shared" si="4"/>
        <v>California Current</v>
      </c>
      <c r="T42">
        <f t="shared" si="5"/>
        <v>1028923753.7644161</v>
      </c>
    </row>
    <row r="43" spans="1:20" ht="18" customHeight="1">
      <c r="A43" s="10" t="s">
        <v>103</v>
      </c>
      <c r="B43" s="10" t="s">
        <v>104</v>
      </c>
      <c r="C43" s="10" t="s">
        <v>19</v>
      </c>
      <c r="D43" s="12">
        <v>2019</v>
      </c>
      <c r="E43" s="13">
        <v>453226.03085279715</v>
      </c>
      <c r="F43" s="13">
        <v>453226.03085279715</v>
      </c>
      <c r="G43" s="14">
        <v>0</v>
      </c>
      <c r="H43" s="15">
        <v>1</v>
      </c>
      <c r="I43" s="16">
        <v>311</v>
      </c>
      <c r="J43" s="16">
        <v>311</v>
      </c>
      <c r="K43" s="13">
        <v>292573328.34463125</v>
      </c>
      <c r="L43" s="13">
        <v>292573328.3446312</v>
      </c>
      <c r="M43" s="13">
        <v>292573328.3446312</v>
      </c>
      <c r="N43" s="13">
        <v>189166998.1074495</v>
      </c>
      <c r="O43" s="13">
        <v>222989340.40241998</v>
      </c>
      <c r="P43" s="15">
        <f t="shared" si="6"/>
        <v>4.4836979942772604E-3</v>
      </c>
      <c r="Q43" s="16">
        <f t="shared" si="7"/>
        <v>42</v>
      </c>
      <c r="R43" s="17">
        <f t="shared" si="3"/>
        <v>0.94247025684420205</v>
      </c>
      <c r="S43" t="str">
        <f t="shared" si="4"/>
        <v>Celtic-Biscay Shelf</v>
      </c>
      <c r="T43">
        <f t="shared" si="5"/>
        <v>1010255322.1765621</v>
      </c>
    </row>
    <row r="44" spans="1:20" ht="18" customHeight="1">
      <c r="A44" s="10" t="s">
        <v>105</v>
      </c>
      <c r="B44" s="10" t="s">
        <v>106</v>
      </c>
      <c r="C44" s="10" t="s">
        <v>19</v>
      </c>
      <c r="D44" s="12">
        <v>2019</v>
      </c>
      <c r="E44" s="13">
        <v>1145168.1859547237</v>
      </c>
      <c r="F44" s="13">
        <v>1145168.1859547237</v>
      </c>
      <c r="G44" s="14">
        <v>0</v>
      </c>
      <c r="H44" s="15">
        <v>1</v>
      </c>
      <c r="I44" s="16">
        <v>120</v>
      </c>
      <c r="J44" s="16">
        <v>120</v>
      </c>
      <c r="K44" s="13">
        <v>287609386.66594231</v>
      </c>
      <c r="L44" s="13">
        <v>287609386.66594231</v>
      </c>
      <c r="M44" s="13">
        <v>287609386.66594237</v>
      </c>
      <c r="N44" s="13">
        <v>257887285.09777054</v>
      </c>
      <c r="O44" s="13">
        <v>257454061.90611702</v>
      </c>
      <c r="P44" s="15">
        <f t="shared" si="6"/>
        <v>4.4076253889089746E-3</v>
      </c>
      <c r="Q44" s="16">
        <f t="shared" si="7"/>
        <v>43</v>
      </c>
      <c r="R44" s="17">
        <f t="shared" si="3"/>
        <v>0.94687788223311098</v>
      </c>
      <c r="S44" t="str">
        <f t="shared" si="4"/>
        <v>Mediterranean Sea</v>
      </c>
      <c r="T44">
        <f t="shared" si="5"/>
        <v>1007915797.3835726</v>
      </c>
    </row>
    <row r="45" spans="1:20" ht="18" customHeight="1">
      <c r="A45" s="10" t="s">
        <v>107</v>
      </c>
      <c r="B45" s="10" t="s">
        <v>108</v>
      </c>
      <c r="C45" s="10" t="s">
        <v>36</v>
      </c>
      <c r="D45" s="12">
        <v>2019</v>
      </c>
      <c r="E45" s="13">
        <v>132995.67933726683</v>
      </c>
      <c r="F45" s="13">
        <v>132995.67933726683</v>
      </c>
      <c r="G45" s="14">
        <v>0</v>
      </c>
      <c r="H45" s="15">
        <v>1</v>
      </c>
      <c r="I45" s="16">
        <v>21</v>
      </c>
      <c r="J45" s="16">
        <v>21</v>
      </c>
      <c r="K45" s="13">
        <v>284384862.06303293</v>
      </c>
      <c r="L45" s="13">
        <v>284384862.06303287</v>
      </c>
      <c r="M45" s="13">
        <v>284384862.06303293</v>
      </c>
      <c r="N45" s="13">
        <v>282590083.81425011</v>
      </c>
      <c r="O45" s="13">
        <v>282258802.37732369</v>
      </c>
      <c r="P45" s="15">
        <f t="shared" si="6"/>
        <v>4.3582094200085826E-3</v>
      </c>
      <c r="Q45" s="16">
        <f t="shared" si="7"/>
        <v>44</v>
      </c>
      <c r="R45" s="17">
        <f t="shared" si="3"/>
        <v>0.95123609165311951</v>
      </c>
      <c r="S45" t="str">
        <f t="shared" si="4"/>
        <v>Benguela Current</v>
      </c>
      <c r="T45">
        <f t="shared" si="5"/>
        <v>997757338.24668729</v>
      </c>
    </row>
    <row r="46" spans="1:20" ht="18" customHeight="1">
      <c r="A46" s="10" t="s">
        <v>109</v>
      </c>
      <c r="B46" s="10" t="s">
        <v>110</v>
      </c>
      <c r="C46" s="10" t="s">
        <v>19</v>
      </c>
      <c r="D46" s="12">
        <v>2019</v>
      </c>
      <c r="E46" s="13">
        <v>506689.99406100786</v>
      </c>
      <c r="F46" s="13">
        <v>506689.99406100786</v>
      </c>
      <c r="G46" s="14">
        <v>0</v>
      </c>
      <c r="H46" s="15">
        <v>1</v>
      </c>
      <c r="I46" s="16">
        <v>111</v>
      </c>
      <c r="J46" s="16">
        <v>111</v>
      </c>
      <c r="K46" s="13">
        <v>272326949.81673676</v>
      </c>
      <c r="L46" s="13">
        <v>272326949.81673688</v>
      </c>
      <c r="M46" s="13">
        <v>272326949.81673676</v>
      </c>
      <c r="N46" s="13">
        <v>222909537.73898321</v>
      </c>
      <c r="O46" s="13">
        <v>248795200.32622927</v>
      </c>
      <c r="P46" s="15">
        <f t="shared" si="6"/>
        <v>4.1734214310972847E-3</v>
      </c>
      <c r="Q46" s="16">
        <f t="shared" si="7"/>
        <v>45</v>
      </c>
      <c r="R46" s="17">
        <f t="shared" si="3"/>
        <v>0.95540951308421684</v>
      </c>
      <c r="S46" t="str">
        <f t="shared" si="4"/>
        <v>Sulu-Celebes Sea</v>
      </c>
      <c r="T46">
        <f t="shared" si="5"/>
        <v>990198790.87030256</v>
      </c>
    </row>
    <row r="47" spans="1:20" ht="18" customHeight="1">
      <c r="A47" s="10" t="s">
        <v>111</v>
      </c>
      <c r="B47" s="10" t="s">
        <v>112</v>
      </c>
      <c r="C47" s="10" t="s">
        <v>19</v>
      </c>
      <c r="D47" s="12">
        <v>2019</v>
      </c>
      <c r="E47" s="13">
        <v>664877.85522775247</v>
      </c>
      <c r="F47" s="13">
        <v>664877.85522775247</v>
      </c>
      <c r="G47" s="14">
        <v>0</v>
      </c>
      <c r="H47" s="15">
        <v>1</v>
      </c>
      <c r="I47" s="16">
        <v>129</v>
      </c>
      <c r="J47" s="16">
        <v>129</v>
      </c>
      <c r="K47" s="13">
        <v>254257319.81877989</v>
      </c>
      <c r="L47" s="13">
        <v>254257319.81877989</v>
      </c>
      <c r="M47" s="13">
        <v>254257319.81877995</v>
      </c>
      <c r="N47" s="13">
        <v>187669905.16739705</v>
      </c>
      <c r="O47" s="13">
        <v>193115605.2914297</v>
      </c>
      <c r="P47" s="15">
        <f t="shared" si="6"/>
        <v>3.8965036264649467E-3</v>
      </c>
      <c r="Q47" s="16">
        <f t="shared" si="7"/>
        <v>46</v>
      </c>
      <c r="R47" s="17">
        <f t="shared" si="3"/>
        <v>0.95930601671068183</v>
      </c>
      <c r="S47" t="str">
        <f t="shared" si="4"/>
        <v>Gulf of Alaska</v>
      </c>
      <c r="T47">
        <f t="shared" si="5"/>
        <v>967218747.55306625</v>
      </c>
    </row>
    <row r="48" spans="1:20" ht="18" customHeight="1">
      <c r="A48" s="10" t="s">
        <v>113</v>
      </c>
      <c r="B48" s="10" t="s">
        <v>114</v>
      </c>
      <c r="C48" s="10" t="s">
        <v>19</v>
      </c>
      <c r="D48" s="12">
        <v>2019</v>
      </c>
      <c r="E48" s="13">
        <v>937172.64699300553</v>
      </c>
      <c r="F48" s="13">
        <v>937172.64699300553</v>
      </c>
      <c r="G48" s="14">
        <v>0</v>
      </c>
      <c r="H48" s="15">
        <v>1</v>
      </c>
      <c r="I48" s="16">
        <v>117</v>
      </c>
      <c r="J48" s="16">
        <v>117</v>
      </c>
      <c r="K48" s="13">
        <v>250346631.37596366</v>
      </c>
      <c r="L48" s="13">
        <v>250346631.3759636</v>
      </c>
      <c r="M48" s="13">
        <v>250346631.37596354</v>
      </c>
      <c r="N48" s="13">
        <v>225670148.64899933</v>
      </c>
      <c r="O48" s="13">
        <v>229959848.8100546</v>
      </c>
      <c r="P48" s="15">
        <f t="shared" si="6"/>
        <v>3.8365721691906046E-3</v>
      </c>
      <c r="Q48" s="16">
        <f t="shared" si="7"/>
        <v>47</v>
      </c>
      <c r="R48" s="17">
        <f t="shared" si="3"/>
        <v>0.96314258887987247</v>
      </c>
      <c r="S48" t="str">
        <f t="shared" si="4"/>
        <v>Indian Ocean, Western</v>
      </c>
      <c r="T48">
        <f t="shared" si="5"/>
        <v>907481876.83694828</v>
      </c>
    </row>
    <row r="49" spans="1:20" ht="18" customHeight="1">
      <c r="A49" s="10" t="s">
        <v>115</v>
      </c>
      <c r="B49" s="10" t="s">
        <v>116</v>
      </c>
      <c r="C49" s="10" t="s">
        <v>19</v>
      </c>
      <c r="D49" s="12">
        <v>2019</v>
      </c>
      <c r="E49" s="13">
        <v>292432.09997720609</v>
      </c>
      <c r="F49" s="13">
        <v>292432.09997720609</v>
      </c>
      <c r="G49" s="14">
        <v>0</v>
      </c>
      <c r="H49" s="15">
        <v>1</v>
      </c>
      <c r="I49" s="16">
        <v>264</v>
      </c>
      <c r="J49" s="16">
        <v>264</v>
      </c>
      <c r="K49" s="13">
        <v>226590038.89243433</v>
      </c>
      <c r="L49" s="13">
        <v>226590038.8924343</v>
      </c>
      <c r="M49" s="13">
        <v>226590038.8924343</v>
      </c>
      <c r="N49" s="13">
        <v>177610722.12126869</v>
      </c>
      <c r="O49" s="13">
        <v>192161835.32496005</v>
      </c>
      <c r="P49" s="15">
        <f t="shared" si="6"/>
        <v>3.4725014363184933E-3</v>
      </c>
      <c r="Q49" s="16">
        <f t="shared" si="7"/>
        <v>48</v>
      </c>
      <c r="R49" s="17">
        <f t="shared" si="3"/>
        <v>0.96661509031619097</v>
      </c>
      <c r="S49" t="str">
        <f t="shared" si="4"/>
        <v>East Bering Sea</v>
      </c>
      <c r="T49">
        <f t="shared" si="5"/>
        <v>816435933.91241038</v>
      </c>
    </row>
    <row r="50" spans="1:20" ht="18" customHeight="1">
      <c r="A50" s="10" t="s">
        <v>117</v>
      </c>
      <c r="B50" s="10" t="s">
        <v>118</v>
      </c>
      <c r="C50" s="10" t="s">
        <v>19</v>
      </c>
      <c r="D50" s="12">
        <v>2019</v>
      </c>
      <c r="E50" s="13">
        <v>237379.07863162042</v>
      </c>
      <c r="F50" s="13">
        <v>237379.07863162042</v>
      </c>
      <c r="G50" s="14">
        <v>0</v>
      </c>
      <c r="H50" s="15">
        <v>1</v>
      </c>
      <c r="I50" s="16">
        <v>205</v>
      </c>
      <c r="J50" s="16">
        <v>205</v>
      </c>
      <c r="K50" s="13">
        <v>220033882.6044375</v>
      </c>
      <c r="L50" s="13">
        <v>220033882.60443753</v>
      </c>
      <c r="M50" s="13">
        <v>220033882.6044375</v>
      </c>
      <c r="N50" s="13">
        <v>156501852.68740436</v>
      </c>
      <c r="O50" s="13">
        <v>180797899.81775981</v>
      </c>
      <c r="P50" s="15">
        <f t="shared" si="6"/>
        <v>3.3720280781864309E-3</v>
      </c>
      <c r="Q50" s="16">
        <f t="shared" si="7"/>
        <v>49</v>
      </c>
      <c r="R50" s="17">
        <f t="shared" si="3"/>
        <v>0.96998711839437746</v>
      </c>
    </row>
    <row r="51" spans="1:20" ht="18" customHeight="1">
      <c r="A51" s="10" t="s">
        <v>119</v>
      </c>
      <c r="B51" s="10" t="s">
        <v>120</v>
      </c>
      <c r="C51" s="10" t="s">
        <v>19</v>
      </c>
      <c r="D51" s="12">
        <v>2019</v>
      </c>
      <c r="E51" s="13">
        <v>219045.62416918142</v>
      </c>
      <c r="F51" s="13">
        <v>219045.62416918142</v>
      </c>
      <c r="G51" s="14">
        <v>0</v>
      </c>
      <c r="H51" s="15">
        <v>1</v>
      </c>
      <c r="I51" s="16">
        <v>61</v>
      </c>
      <c r="J51" s="16">
        <v>61</v>
      </c>
      <c r="K51" s="13">
        <v>208696707.97660503</v>
      </c>
      <c r="L51" s="13">
        <v>208696707.97660506</v>
      </c>
      <c r="M51" s="13">
        <v>208696707.976605</v>
      </c>
      <c r="N51" s="13">
        <v>207626199.11109316</v>
      </c>
      <c r="O51" s="13">
        <v>208407100.77841595</v>
      </c>
      <c r="P51" s="15">
        <f t="shared" si="6"/>
        <v>3.1982854221924901E-3</v>
      </c>
      <c r="Q51" s="16">
        <f t="shared" si="7"/>
        <v>50</v>
      </c>
      <c r="R51" s="17">
        <f t="shared" si="3"/>
        <v>0.97318540381656993</v>
      </c>
    </row>
    <row r="52" spans="1:20" ht="18" customHeight="1">
      <c r="A52" s="10" t="s">
        <v>121</v>
      </c>
      <c r="B52" s="10" t="s">
        <v>122</v>
      </c>
      <c r="C52" s="10" t="s">
        <v>19</v>
      </c>
      <c r="D52" s="12">
        <v>2019</v>
      </c>
      <c r="E52" s="13">
        <v>306003.28874194151</v>
      </c>
      <c r="F52" s="13">
        <v>306003.28874194151</v>
      </c>
      <c r="G52" s="14">
        <v>0</v>
      </c>
      <c r="H52" s="15">
        <v>1</v>
      </c>
      <c r="I52" s="16">
        <v>254</v>
      </c>
      <c r="J52" s="16">
        <v>254</v>
      </c>
      <c r="K52" s="13">
        <v>201658143.7250421</v>
      </c>
      <c r="L52" s="13">
        <v>201658143.72504207</v>
      </c>
      <c r="M52" s="13">
        <v>201658143.72504207</v>
      </c>
      <c r="N52" s="13">
        <v>132379802.06755418</v>
      </c>
      <c r="O52" s="13">
        <v>154874390.16322204</v>
      </c>
      <c r="P52" s="15">
        <f t="shared" si="6"/>
        <v>3.0904191426656354E-3</v>
      </c>
      <c r="Q52" s="16">
        <f t="shared" si="7"/>
        <v>51</v>
      </c>
      <c r="R52" s="17">
        <f t="shared" si="3"/>
        <v>0.97627582295923554</v>
      </c>
    </row>
    <row r="53" spans="1:20" ht="18" customHeight="1">
      <c r="A53" s="10" t="s">
        <v>123</v>
      </c>
      <c r="B53" s="10" t="s">
        <v>124</v>
      </c>
      <c r="C53" s="10" t="s">
        <v>36</v>
      </c>
      <c r="D53" s="12">
        <v>2019</v>
      </c>
      <c r="E53" s="13">
        <v>734932.29046104196</v>
      </c>
      <c r="F53" s="13">
        <v>734932.29046104196</v>
      </c>
      <c r="G53" s="14">
        <v>0</v>
      </c>
      <c r="H53" s="15">
        <v>1</v>
      </c>
      <c r="I53" s="16">
        <v>131</v>
      </c>
      <c r="J53" s="16">
        <v>131</v>
      </c>
      <c r="K53" s="13">
        <v>192111009.49801588</v>
      </c>
      <c r="L53" s="13">
        <v>192111009.49801588</v>
      </c>
      <c r="M53" s="13">
        <v>192111009.49801588</v>
      </c>
      <c r="N53" s="13">
        <v>190119918.21647057</v>
      </c>
      <c r="O53" s="13">
        <v>191769855.84918004</v>
      </c>
      <c r="P53" s="15">
        <f t="shared" si="6"/>
        <v>2.9441089276265181E-3</v>
      </c>
      <c r="Q53" s="16">
        <f t="shared" si="7"/>
        <v>52</v>
      </c>
      <c r="R53" s="17">
        <f t="shared" si="3"/>
        <v>0.97921993188686207</v>
      </c>
    </row>
    <row r="54" spans="1:20" ht="18" customHeight="1">
      <c r="A54" s="10" t="s">
        <v>125</v>
      </c>
      <c r="B54" s="10" t="s">
        <v>126</v>
      </c>
      <c r="C54" s="10" t="s">
        <v>19</v>
      </c>
      <c r="D54" s="12">
        <v>2019</v>
      </c>
      <c r="E54" s="13">
        <v>348828.22127339599</v>
      </c>
      <c r="F54" s="13">
        <v>348828.22127339599</v>
      </c>
      <c r="G54" s="14">
        <v>0</v>
      </c>
      <c r="H54" s="15">
        <v>1</v>
      </c>
      <c r="I54" s="16">
        <v>93</v>
      </c>
      <c r="J54" s="16">
        <v>93</v>
      </c>
      <c r="K54" s="13">
        <v>188778895.78178987</v>
      </c>
      <c r="L54" s="13">
        <v>188778895.78178984</v>
      </c>
      <c r="M54" s="13">
        <v>188778895.78178978</v>
      </c>
      <c r="N54" s="13">
        <v>152040929.93117216</v>
      </c>
      <c r="O54" s="13">
        <v>138060768.34332538</v>
      </c>
      <c r="P54" s="15">
        <f t="shared" si="6"/>
        <v>2.8930441512483112E-3</v>
      </c>
      <c r="Q54" s="16">
        <f t="shared" si="7"/>
        <v>53</v>
      </c>
      <c r="R54" s="17">
        <f t="shared" si="3"/>
        <v>0.98211297603811043</v>
      </c>
    </row>
    <row r="55" spans="1:20" ht="18" customHeight="1">
      <c r="A55" s="10" t="s">
        <v>127</v>
      </c>
      <c r="B55" s="10" t="s">
        <v>128</v>
      </c>
      <c r="C55" s="10" t="s">
        <v>36</v>
      </c>
      <c r="D55" s="12">
        <v>2019</v>
      </c>
      <c r="E55" s="13">
        <v>62238.365213295096</v>
      </c>
      <c r="F55" s="13">
        <v>62238.365213295096</v>
      </c>
      <c r="G55" s="14">
        <v>0</v>
      </c>
      <c r="H55" s="15">
        <v>1</v>
      </c>
      <c r="I55" s="16">
        <v>33</v>
      </c>
      <c r="J55" s="16">
        <v>33</v>
      </c>
      <c r="K55" s="13">
        <v>149349456.4630281</v>
      </c>
      <c r="L55" s="13">
        <v>149349456.46302813</v>
      </c>
      <c r="M55" s="13">
        <v>149349456.4630281</v>
      </c>
      <c r="N55" s="13">
        <v>147948022.15720508</v>
      </c>
      <c r="O55" s="13">
        <v>147484387.13170964</v>
      </c>
      <c r="P55" s="15">
        <f t="shared" si="6"/>
        <v>2.2887864118662613E-3</v>
      </c>
      <c r="Q55" s="16">
        <f t="shared" si="7"/>
        <v>54</v>
      </c>
      <c r="R55" s="17">
        <f t="shared" si="3"/>
        <v>0.98440176244997668</v>
      </c>
    </row>
    <row r="56" spans="1:20" ht="18" customHeight="1">
      <c r="A56" s="10" t="s">
        <v>129</v>
      </c>
      <c r="B56" s="10" t="s">
        <v>130</v>
      </c>
      <c r="C56" s="10" t="s">
        <v>19</v>
      </c>
      <c r="D56" s="12">
        <v>2019</v>
      </c>
      <c r="E56" s="13">
        <v>147100.3417814472</v>
      </c>
      <c r="F56" s="13">
        <v>147100.3417814472</v>
      </c>
      <c r="G56" s="14">
        <v>0</v>
      </c>
      <c r="H56" s="15">
        <v>1</v>
      </c>
      <c r="I56" s="16">
        <v>193</v>
      </c>
      <c r="J56" s="16">
        <v>193</v>
      </c>
      <c r="K56" s="13">
        <v>114071139.38229904</v>
      </c>
      <c r="L56" s="13">
        <v>114071139.38229902</v>
      </c>
      <c r="M56" s="13">
        <v>114071139.38229904</v>
      </c>
      <c r="N56" s="13">
        <v>74674605.889456645</v>
      </c>
      <c r="O56" s="13">
        <v>87236027.584114313</v>
      </c>
      <c r="P56" s="15">
        <f t="shared" si="6"/>
        <v>1.7481447873159191E-3</v>
      </c>
      <c r="Q56" s="16">
        <f t="shared" si="7"/>
        <v>55</v>
      </c>
      <c r="R56" s="17">
        <f t="shared" si="3"/>
        <v>0.98614990723729257</v>
      </c>
    </row>
    <row r="57" spans="1:20" ht="18" customHeight="1">
      <c r="A57" s="10" t="s">
        <v>131</v>
      </c>
      <c r="B57" s="10" t="s">
        <v>132</v>
      </c>
      <c r="C57" s="10" t="s">
        <v>19</v>
      </c>
      <c r="D57" s="12">
        <v>2019</v>
      </c>
      <c r="E57" s="13">
        <v>115599.570034811</v>
      </c>
      <c r="F57" s="13">
        <v>115599.570034811</v>
      </c>
      <c r="G57" s="14">
        <v>0</v>
      </c>
      <c r="H57" s="15">
        <v>1</v>
      </c>
      <c r="I57" s="16">
        <v>283</v>
      </c>
      <c r="J57" s="16">
        <v>283</v>
      </c>
      <c r="K57" s="13">
        <v>104438774.10426635</v>
      </c>
      <c r="L57" s="13">
        <v>104438774.10426632</v>
      </c>
      <c r="M57" s="13">
        <v>104438774.10426633</v>
      </c>
      <c r="N57" s="13">
        <v>65622920.656463981</v>
      </c>
      <c r="O57" s="13">
        <v>91125601.585601553</v>
      </c>
      <c r="P57" s="15">
        <f t="shared" si="6"/>
        <v>1.6005284030008462E-3</v>
      </c>
      <c r="Q57" s="16">
        <f t="shared" si="7"/>
        <v>56</v>
      </c>
      <c r="R57" s="17">
        <f t="shared" si="3"/>
        <v>0.98775043564029341</v>
      </c>
    </row>
    <row r="58" spans="1:20" ht="18" customHeight="1">
      <c r="A58" s="10" t="s">
        <v>133</v>
      </c>
      <c r="B58" s="10" t="s">
        <v>134</v>
      </c>
      <c r="C58" s="10" t="s">
        <v>36</v>
      </c>
      <c r="D58" s="12">
        <v>2019</v>
      </c>
      <c r="E58" s="13">
        <v>87745.099472887407</v>
      </c>
      <c r="F58" s="13">
        <v>87745.099472887407</v>
      </c>
      <c r="G58" s="14">
        <v>0</v>
      </c>
      <c r="H58" s="15">
        <v>1</v>
      </c>
      <c r="I58" s="16">
        <v>67</v>
      </c>
      <c r="J58" s="16">
        <v>67</v>
      </c>
      <c r="K58" s="13">
        <v>101551846.3748264</v>
      </c>
      <c r="L58" s="13">
        <v>101551846.37482642</v>
      </c>
      <c r="M58" s="13">
        <v>101551846.37482639</v>
      </c>
      <c r="N58" s="13">
        <v>94575783.000910982</v>
      </c>
      <c r="O58" s="13">
        <v>94079149.740540043</v>
      </c>
      <c r="P58" s="15">
        <f t="shared" si="6"/>
        <v>1.5562861197300144E-3</v>
      </c>
      <c r="Q58" s="16">
        <f t="shared" si="7"/>
        <v>57</v>
      </c>
      <c r="R58" s="17">
        <f t="shared" si="3"/>
        <v>0.98930672176002343</v>
      </c>
    </row>
    <row r="59" spans="1:20" ht="18" customHeight="1">
      <c r="A59" s="10" t="s">
        <v>135</v>
      </c>
      <c r="B59" s="10" t="s">
        <v>136</v>
      </c>
      <c r="C59" s="10" t="s">
        <v>36</v>
      </c>
      <c r="D59" s="12">
        <v>2019</v>
      </c>
      <c r="E59" s="13">
        <v>45252.466822717106</v>
      </c>
      <c r="F59" s="13">
        <v>45252.466822717106</v>
      </c>
      <c r="G59" s="14">
        <v>0</v>
      </c>
      <c r="H59" s="15">
        <v>1</v>
      </c>
      <c r="I59" s="16">
        <v>27</v>
      </c>
      <c r="J59" s="16">
        <v>27</v>
      </c>
      <c r="K59" s="13">
        <v>91386286.47267893</v>
      </c>
      <c r="L59" s="13">
        <v>91386286.47267893</v>
      </c>
      <c r="M59" s="13">
        <v>91386286.47267893</v>
      </c>
      <c r="N59" s="13">
        <v>87435123.800282106</v>
      </c>
      <c r="O59" s="13">
        <v>86872298.177886695</v>
      </c>
      <c r="P59" s="15">
        <f t="shared" si="6"/>
        <v>1.4004985064097917E-3</v>
      </c>
      <c r="Q59" s="16">
        <f t="shared" si="7"/>
        <v>58</v>
      </c>
      <c r="R59" s="17">
        <f t="shared" si="3"/>
        <v>0.99070722026643321</v>
      </c>
    </row>
    <row r="60" spans="1:20" ht="18" customHeight="1">
      <c r="A60" s="10" t="s">
        <v>137</v>
      </c>
      <c r="B60" s="10" t="s">
        <v>138</v>
      </c>
      <c r="C60" s="10" t="s">
        <v>36</v>
      </c>
      <c r="D60" s="12">
        <v>2019</v>
      </c>
      <c r="E60" s="13">
        <v>41830.726780533703</v>
      </c>
      <c r="F60" s="13">
        <v>41830.726780533703</v>
      </c>
      <c r="G60" s="14">
        <v>0</v>
      </c>
      <c r="H60" s="15">
        <v>1</v>
      </c>
      <c r="I60" s="16">
        <v>35</v>
      </c>
      <c r="J60" s="16">
        <v>35</v>
      </c>
      <c r="K60" s="13">
        <v>87861469.420374572</v>
      </c>
      <c r="L60" s="13">
        <v>87861469.420374557</v>
      </c>
      <c r="M60" s="13">
        <v>87861469.420374557</v>
      </c>
      <c r="N60" s="13">
        <v>81599560.347153276</v>
      </c>
      <c r="O60" s="13">
        <v>81300520.575497985</v>
      </c>
      <c r="P60" s="15">
        <f t="shared" si="6"/>
        <v>1.3464805436753519E-3</v>
      </c>
      <c r="Q60" s="16">
        <f t="shared" si="7"/>
        <v>59</v>
      </c>
      <c r="R60" s="17">
        <f t="shared" si="3"/>
        <v>0.99205370081010857</v>
      </c>
    </row>
    <row r="61" spans="1:20" ht="18" customHeight="1">
      <c r="A61" s="10" t="s">
        <v>139</v>
      </c>
      <c r="B61" s="10" t="s">
        <v>140</v>
      </c>
      <c r="C61" s="10" t="s">
        <v>19</v>
      </c>
      <c r="D61" s="12">
        <v>2019</v>
      </c>
      <c r="E61" s="13">
        <v>151507.6717909796</v>
      </c>
      <c r="F61" s="13">
        <v>151507.6717909796</v>
      </c>
      <c r="G61" s="14">
        <v>0</v>
      </c>
      <c r="H61" s="15">
        <v>1</v>
      </c>
      <c r="I61" s="16">
        <v>68</v>
      </c>
      <c r="J61" s="16">
        <v>68</v>
      </c>
      <c r="K61" s="13">
        <v>85526381.403974503</v>
      </c>
      <c r="L61" s="13">
        <v>85526381.403974518</v>
      </c>
      <c r="M61" s="13">
        <v>85526381.403974503</v>
      </c>
      <c r="N61" s="13">
        <v>70379109.377334327</v>
      </c>
      <c r="O61" s="13">
        <v>75180854.1365574</v>
      </c>
      <c r="P61" s="15">
        <f t="shared" si="6"/>
        <v>1.3106952261454465E-3</v>
      </c>
      <c r="Q61" s="16">
        <f t="shared" si="7"/>
        <v>60</v>
      </c>
      <c r="R61" s="17">
        <f t="shared" si="3"/>
        <v>0.99336439603625404</v>
      </c>
    </row>
    <row r="62" spans="1:20" ht="18" customHeight="1">
      <c r="A62" s="10" t="s">
        <v>141</v>
      </c>
      <c r="B62" s="10" t="s">
        <v>142</v>
      </c>
      <c r="C62" s="10" t="s">
        <v>19</v>
      </c>
      <c r="D62" s="12">
        <v>2019</v>
      </c>
      <c r="E62" s="13">
        <v>87093.823573720205</v>
      </c>
      <c r="F62" s="13">
        <v>87093.823573720205</v>
      </c>
      <c r="G62" s="14">
        <v>0</v>
      </c>
      <c r="H62" s="15">
        <v>1</v>
      </c>
      <c r="I62" s="16">
        <v>64</v>
      </c>
      <c r="J62" s="16">
        <v>64</v>
      </c>
      <c r="K62" s="13">
        <v>76279788.786548972</v>
      </c>
      <c r="L62" s="13">
        <v>76279788.786548987</v>
      </c>
      <c r="M62" s="13">
        <v>76279788.786548972</v>
      </c>
      <c r="N62" s="13">
        <v>74591467.538839698</v>
      </c>
      <c r="O62" s="13">
        <v>75872029.190553308</v>
      </c>
      <c r="P62" s="15">
        <f t="shared" si="6"/>
        <v>1.1689908233305255E-3</v>
      </c>
      <c r="Q62" s="16">
        <f t="shared" si="7"/>
        <v>61</v>
      </c>
      <c r="R62" s="17">
        <f t="shared" si="3"/>
        <v>0.99453338685958459</v>
      </c>
    </row>
    <row r="63" spans="1:20" ht="18" customHeight="1">
      <c r="A63" s="10" t="s">
        <v>143</v>
      </c>
      <c r="B63" s="10" t="s">
        <v>144</v>
      </c>
      <c r="C63" s="10" t="s">
        <v>19</v>
      </c>
      <c r="D63" s="12">
        <v>2019</v>
      </c>
      <c r="E63" s="13">
        <v>148680.26073080715</v>
      </c>
      <c r="F63" s="13">
        <v>148680.26073080715</v>
      </c>
      <c r="G63" s="14">
        <v>0</v>
      </c>
      <c r="H63" s="15">
        <v>1</v>
      </c>
      <c r="I63" s="16">
        <v>92</v>
      </c>
      <c r="J63" s="16">
        <v>92</v>
      </c>
      <c r="K63" s="13">
        <v>75212513.430698976</v>
      </c>
      <c r="L63" s="13">
        <v>75212513.430698991</v>
      </c>
      <c r="M63" s="13">
        <v>75212513.430698991</v>
      </c>
      <c r="N63" s="13">
        <v>64517927.310645588</v>
      </c>
      <c r="O63" s="13">
        <v>61782823.811427511</v>
      </c>
      <c r="P63" s="15">
        <f t="shared" si="6"/>
        <v>1.1526347856853942E-3</v>
      </c>
      <c r="Q63" s="16">
        <f t="shared" si="7"/>
        <v>62</v>
      </c>
      <c r="R63" s="17">
        <f t="shared" si="3"/>
        <v>0.99568602164526998</v>
      </c>
    </row>
    <row r="64" spans="1:20" ht="18" customHeight="1">
      <c r="A64" s="10" t="s">
        <v>145</v>
      </c>
      <c r="B64" s="10" t="s">
        <v>146</v>
      </c>
      <c r="C64" s="10" t="s">
        <v>19</v>
      </c>
      <c r="D64" s="12">
        <v>2019</v>
      </c>
      <c r="E64" s="13">
        <v>21171.953396398501</v>
      </c>
      <c r="F64" s="13">
        <v>21171.953396398501</v>
      </c>
      <c r="G64" s="14">
        <v>0</v>
      </c>
      <c r="H64" s="15">
        <v>1</v>
      </c>
      <c r="I64" s="16">
        <v>140</v>
      </c>
      <c r="J64" s="16">
        <v>140</v>
      </c>
      <c r="K64" s="13">
        <v>44813494.471991822</v>
      </c>
      <c r="L64" s="13">
        <v>44813494.471991822</v>
      </c>
      <c r="M64" s="13">
        <v>44813494.471991822</v>
      </c>
      <c r="N64" s="13">
        <v>40663775.276412711</v>
      </c>
      <c r="O64" s="13">
        <v>43231826.719544135</v>
      </c>
      <c r="P64" s="15">
        <f t="shared" si="6"/>
        <v>6.8676860060170252E-4</v>
      </c>
      <c r="Q64" s="16">
        <f t="shared" si="7"/>
        <v>63</v>
      </c>
      <c r="R64" s="17">
        <f t="shared" si="3"/>
        <v>0.99637279024587166</v>
      </c>
    </row>
    <row r="65" spans="1:18" ht="18" customHeight="1">
      <c r="A65" s="10" t="s">
        <v>147</v>
      </c>
      <c r="B65" s="10" t="s">
        <v>148</v>
      </c>
      <c r="C65" s="10" t="s">
        <v>36</v>
      </c>
      <c r="D65" s="12">
        <v>2019</v>
      </c>
      <c r="E65" s="13">
        <v>16859.0112032287</v>
      </c>
      <c r="F65" s="13">
        <v>16859.0112032287</v>
      </c>
      <c r="G65" s="14">
        <v>0</v>
      </c>
      <c r="H65" s="15">
        <v>1</v>
      </c>
      <c r="I65" s="16">
        <v>32</v>
      </c>
      <c r="J65" s="16">
        <v>32</v>
      </c>
      <c r="K65" s="13">
        <v>32845718.432304144</v>
      </c>
      <c r="L65" s="13">
        <v>32845718.432304144</v>
      </c>
      <c r="M65" s="13">
        <v>32845718.432304144</v>
      </c>
      <c r="N65" s="13">
        <v>32332686.350826941</v>
      </c>
      <c r="O65" s="13">
        <v>32085747.063295085</v>
      </c>
      <c r="P65" s="15">
        <f t="shared" si="6"/>
        <v>5.0336195267274486E-4</v>
      </c>
      <c r="Q65" s="16">
        <f t="shared" si="7"/>
        <v>64</v>
      </c>
      <c r="R65" s="17">
        <f t="shared" si="3"/>
        <v>0.99687615219854442</v>
      </c>
    </row>
    <row r="66" spans="1:18" ht="18" customHeight="1">
      <c r="A66" s="10" t="s">
        <v>149</v>
      </c>
      <c r="B66" s="10" t="s">
        <v>150</v>
      </c>
      <c r="C66" s="10" t="s">
        <v>19</v>
      </c>
      <c r="D66" s="12">
        <v>2019</v>
      </c>
      <c r="E66" s="13">
        <v>44872.4444403339</v>
      </c>
      <c r="F66" s="13">
        <v>44872.4444403339</v>
      </c>
      <c r="G66" s="14">
        <v>0</v>
      </c>
      <c r="H66" s="15">
        <v>1</v>
      </c>
      <c r="I66" s="16">
        <v>452</v>
      </c>
      <c r="J66" s="16">
        <v>452</v>
      </c>
      <c r="K66" s="13">
        <v>32609919.10129194</v>
      </c>
      <c r="L66" s="13">
        <v>32609919.101291947</v>
      </c>
      <c r="M66" s="13">
        <v>32609919.101291936</v>
      </c>
      <c r="N66" s="13">
        <v>21306232.562969234</v>
      </c>
      <c r="O66" s="13">
        <v>23668195.990017269</v>
      </c>
      <c r="P66" s="15">
        <f t="shared" ref="P66:P85" si="8">K66/SUM($K$2:$K$85)</f>
        <v>4.9974831846523449E-4</v>
      </c>
      <c r="Q66" s="16">
        <f t="shared" ref="Q66:Q85" si="9">RANK(K66,$K$2:$K$85,0)</f>
        <v>65</v>
      </c>
      <c r="R66" s="17">
        <f t="shared" si="3"/>
        <v>0.99737590051700964</v>
      </c>
    </row>
    <row r="67" spans="1:18" ht="18" customHeight="1">
      <c r="A67" s="10" t="s">
        <v>151</v>
      </c>
      <c r="B67" s="10" t="s">
        <v>152</v>
      </c>
      <c r="C67" s="10" t="s">
        <v>19</v>
      </c>
      <c r="D67" s="12">
        <v>2019</v>
      </c>
      <c r="E67" s="13">
        <v>39281.024733703096</v>
      </c>
      <c r="F67" s="13">
        <v>39281.024733703096</v>
      </c>
      <c r="G67" s="14">
        <v>0</v>
      </c>
      <c r="H67" s="15">
        <v>1</v>
      </c>
      <c r="I67" s="16">
        <v>382</v>
      </c>
      <c r="J67" s="16">
        <v>382</v>
      </c>
      <c r="K67" s="13">
        <v>32154354.584904723</v>
      </c>
      <c r="L67" s="13">
        <v>32154354.584904719</v>
      </c>
      <c r="M67" s="13">
        <v>32154354.584904719</v>
      </c>
      <c r="N67" s="13">
        <v>21227256.672829352</v>
      </c>
      <c r="O67" s="13">
        <v>27004717.00709983</v>
      </c>
      <c r="P67" s="15">
        <f t="shared" si="8"/>
        <v>4.9276677397535804E-4</v>
      </c>
      <c r="Q67" s="16">
        <f t="shared" si="9"/>
        <v>66</v>
      </c>
      <c r="R67" s="17">
        <f t="shared" si="3"/>
        <v>0.997868667290985</v>
      </c>
    </row>
    <row r="68" spans="1:18" ht="18" customHeight="1">
      <c r="A68" s="10" t="s">
        <v>153</v>
      </c>
      <c r="B68" s="10" t="s">
        <v>154</v>
      </c>
      <c r="C68" s="10" t="s">
        <v>36</v>
      </c>
      <c r="D68" s="12">
        <v>2019</v>
      </c>
      <c r="E68" s="13">
        <v>154127.61540295082</v>
      </c>
      <c r="F68" s="13">
        <v>154127.61540295082</v>
      </c>
      <c r="G68" s="14">
        <v>0</v>
      </c>
      <c r="H68" s="15">
        <v>1</v>
      </c>
      <c r="I68" s="16">
        <v>6</v>
      </c>
      <c r="J68" s="16">
        <v>6</v>
      </c>
      <c r="K68" s="13">
        <v>29368420.191220015</v>
      </c>
      <c r="L68" s="13">
        <v>29368420.191220015</v>
      </c>
      <c r="M68" s="13">
        <v>29368420.191220015</v>
      </c>
      <c r="N68" s="13">
        <v>29368419.84106065</v>
      </c>
      <c r="O68" s="13">
        <v>29368420.191220015</v>
      </c>
      <c r="P68" s="15">
        <f t="shared" si="8"/>
        <v>4.5007221762660476E-4</v>
      </c>
      <c r="Q68" s="16">
        <f t="shared" si="9"/>
        <v>67</v>
      </c>
      <c r="R68" s="17">
        <f t="shared" si="3"/>
        <v>0.99831873950861161</v>
      </c>
    </row>
    <row r="69" spans="1:18" ht="18" customHeight="1">
      <c r="A69" s="10" t="s">
        <v>155</v>
      </c>
      <c r="B69" s="10" t="s">
        <v>156</v>
      </c>
      <c r="C69" s="10" t="s">
        <v>19</v>
      </c>
      <c r="D69" s="12">
        <v>2019</v>
      </c>
      <c r="E69" s="13">
        <v>22842.531697643197</v>
      </c>
      <c r="F69" s="13">
        <v>22842.531697643197</v>
      </c>
      <c r="G69" s="14">
        <v>0</v>
      </c>
      <c r="H69" s="15">
        <v>1</v>
      </c>
      <c r="I69" s="16">
        <v>332</v>
      </c>
      <c r="J69" s="16">
        <v>332</v>
      </c>
      <c r="K69" s="13">
        <v>27661702.092581749</v>
      </c>
      <c r="L69" s="13">
        <v>27661702.092581745</v>
      </c>
      <c r="M69" s="13">
        <v>27661702.092581742</v>
      </c>
      <c r="N69" s="13">
        <v>20349298.750192918</v>
      </c>
      <c r="O69" s="13">
        <v>24055117.92563951</v>
      </c>
      <c r="P69" s="15">
        <f t="shared" si="8"/>
        <v>4.2391669429521251E-4</v>
      </c>
      <c r="Q69" s="16">
        <f t="shared" si="9"/>
        <v>68</v>
      </c>
      <c r="R69" s="17">
        <f t="shared" ref="R69:R85" si="10">P69+R68</f>
        <v>0.99874265620290681</v>
      </c>
    </row>
    <row r="70" spans="1:18" ht="18" customHeight="1">
      <c r="A70" s="10" t="s">
        <v>157</v>
      </c>
      <c r="B70" s="10" t="s">
        <v>158</v>
      </c>
      <c r="C70" s="10" t="s">
        <v>19</v>
      </c>
      <c r="D70" s="12">
        <v>2019</v>
      </c>
      <c r="E70" s="13">
        <v>32645.754357906098</v>
      </c>
      <c r="F70" s="13">
        <v>32645.754357906098</v>
      </c>
      <c r="G70" s="14">
        <v>0</v>
      </c>
      <c r="H70" s="15">
        <v>1</v>
      </c>
      <c r="I70" s="16">
        <v>246</v>
      </c>
      <c r="J70" s="16">
        <v>246</v>
      </c>
      <c r="K70" s="13">
        <v>22122834.477210246</v>
      </c>
      <c r="L70" s="13">
        <v>22122834.477210242</v>
      </c>
      <c r="M70" s="13">
        <v>22122834.477210239</v>
      </c>
      <c r="N70" s="13">
        <v>16994442.064237066</v>
      </c>
      <c r="O70" s="13">
        <v>17411902.077911425</v>
      </c>
      <c r="P70" s="15">
        <f t="shared" si="8"/>
        <v>3.3903332588250808E-4</v>
      </c>
      <c r="Q70" s="16">
        <f t="shared" si="9"/>
        <v>69</v>
      </c>
      <c r="R70" s="17">
        <f t="shared" si="10"/>
        <v>0.99908168952878929</v>
      </c>
    </row>
    <row r="71" spans="1:18" ht="18" customHeight="1">
      <c r="A71" s="10" t="s">
        <v>159</v>
      </c>
      <c r="B71" s="10" t="s">
        <v>160</v>
      </c>
      <c r="C71" s="10" t="s">
        <v>19</v>
      </c>
      <c r="D71" s="12">
        <v>2019</v>
      </c>
      <c r="E71" s="13">
        <v>30450.917424912201</v>
      </c>
      <c r="F71" s="13">
        <v>30450.917424912201</v>
      </c>
      <c r="G71" s="14">
        <v>0</v>
      </c>
      <c r="H71" s="15">
        <v>1</v>
      </c>
      <c r="I71" s="16">
        <v>245</v>
      </c>
      <c r="J71" s="16">
        <v>245</v>
      </c>
      <c r="K71" s="13">
        <v>21615913.499733415</v>
      </c>
      <c r="L71" s="13">
        <v>21615913.499733411</v>
      </c>
      <c r="M71" s="13">
        <v>21615913.499733415</v>
      </c>
      <c r="N71" s="13">
        <v>17708395.819334067</v>
      </c>
      <c r="O71" s="13">
        <v>17052177.810940269</v>
      </c>
      <c r="P71" s="15">
        <f t="shared" si="8"/>
        <v>3.3126474156612551E-4</v>
      </c>
      <c r="Q71" s="16">
        <f t="shared" si="9"/>
        <v>70</v>
      </c>
      <c r="R71" s="17">
        <f t="shared" si="10"/>
        <v>0.99941295427035537</v>
      </c>
    </row>
    <row r="72" spans="1:18" ht="18" customHeight="1">
      <c r="A72" s="10" t="s">
        <v>161</v>
      </c>
      <c r="B72" s="10" t="s">
        <v>162</v>
      </c>
      <c r="C72" s="10" t="s">
        <v>19</v>
      </c>
      <c r="D72" s="12">
        <v>2019</v>
      </c>
      <c r="E72" s="13">
        <v>44647.944981429311</v>
      </c>
      <c r="F72" s="13">
        <v>44647.944981429311</v>
      </c>
      <c r="G72" s="14">
        <v>0</v>
      </c>
      <c r="H72" s="15">
        <v>1</v>
      </c>
      <c r="I72" s="16">
        <v>410</v>
      </c>
      <c r="J72" s="16">
        <v>410</v>
      </c>
      <c r="K72" s="13">
        <v>19198827.203371964</v>
      </c>
      <c r="L72" s="13">
        <v>19198827.203371964</v>
      </c>
      <c r="M72" s="13">
        <v>19198827.203371964</v>
      </c>
      <c r="N72" s="13">
        <v>14488054.060753897</v>
      </c>
      <c r="O72" s="13">
        <v>15071326.5809076</v>
      </c>
      <c r="P72" s="15">
        <f t="shared" si="8"/>
        <v>2.9422279710622224E-4</v>
      </c>
      <c r="Q72" s="16">
        <f t="shared" si="9"/>
        <v>71</v>
      </c>
      <c r="R72" s="17">
        <f t="shared" si="10"/>
        <v>0.99970717706746159</v>
      </c>
    </row>
    <row r="73" spans="1:18" ht="18" customHeight="1">
      <c r="A73" s="10" t="s">
        <v>163</v>
      </c>
      <c r="B73" s="10" t="s">
        <v>164</v>
      </c>
      <c r="C73" s="10" t="s">
        <v>19</v>
      </c>
      <c r="D73" s="12">
        <v>2019</v>
      </c>
      <c r="E73" s="13">
        <v>19839.072931287603</v>
      </c>
      <c r="F73" s="13">
        <v>19839.072931287603</v>
      </c>
      <c r="G73" s="14">
        <v>0</v>
      </c>
      <c r="H73" s="15">
        <v>1</v>
      </c>
      <c r="I73" s="16">
        <v>411</v>
      </c>
      <c r="J73" s="16">
        <v>411</v>
      </c>
      <c r="K73" s="13">
        <v>8269244.8003081745</v>
      </c>
      <c r="L73" s="13">
        <v>8269244.8003081745</v>
      </c>
      <c r="M73" s="13">
        <v>8269244.8003081763</v>
      </c>
      <c r="N73" s="13">
        <v>6187071.010985136</v>
      </c>
      <c r="O73" s="13">
        <v>5984450.0866110222</v>
      </c>
      <c r="P73" s="15">
        <f t="shared" si="8"/>
        <v>1.2672650830856158E-4</v>
      </c>
      <c r="Q73" s="16">
        <f t="shared" si="9"/>
        <v>72</v>
      </c>
      <c r="R73" s="17">
        <f t="shared" si="10"/>
        <v>0.99983390357577018</v>
      </c>
    </row>
    <row r="74" spans="1:18" ht="18" customHeight="1">
      <c r="A74" s="10" t="s">
        <v>165</v>
      </c>
      <c r="B74" s="10" t="s">
        <v>166</v>
      </c>
      <c r="C74" s="10" t="s">
        <v>36</v>
      </c>
      <c r="D74" s="12">
        <v>2019</v>
      </c>
      <c r="E74" s="13">
        <v>3559.327863</v>
      </c>
      <c r="F74" s="13">
        <v>3559.327863</v>
      </c>
      <c r="G74" s="14">
        <v>0</v>
      </c>
      <c r="H74" s="15">
        <v>1</v>
      </c>
      <c r="I74" s="16">
        <v>32</v>
      </c>
      <c r="J74" s="16">
        <v>32</v>
      </c>
      <c r="K74" s="13">
        <v>5471586.5471593495</v>
      </c>
      <c r="L74" s="13">
        <v>5471586.5471593495</v>
      </c>
      <c r="M74" s="13">
        <v>5471586.5471593486</v>
      </c>
      <c r="N74" s="13">
        <v>5441171.0913955523</v>
      </c>
      <c r="O74" s="13">
        <v>5471351.988849449</v>
      </c>
      <c r="P74" s="15">
        <f t="shared" si="8"/>
        <v>8.3852283343185323E-5</v>
      </c>
      <c r="Q74" s="16">
        <f t="shared" si="9"/>
        <v>73</v>
      </c>
      <c r="R74" s="17">
        <f t="shared" si="10"/>
        <v>0.99991775585911336</v>
      </c>
    </row>
    <row r="75" spans="1:18" ht="18" customHeight="1">
      <c r="A75" s="10" t="s">
        <v>167</v>
      </c>
      <c r="B75" s="10" t="s">
        <v>168</v>
      </c>
      <c r="C75" s="10" t="s">
        <v>19</v>
      </c>
      <c r="D75" s="12">
        <v>2019</v>
      </c>
      <c r="E75" s="13">
        <v>1269.7356306080001</v>
      </c>
      <c r="F75" s="13">
        <v>1269.7356306080001</v>
      </c>
      <c r="G75" s="14">
        <v>0</v>
      </c>
      <c r="H75" s="15">
        <v>1</v>
      </c>
      <c r="I75" s="16">
        <v>44</v>
      </c>
      <c r="J75" s="16">
        <v>44</v>
      </c>
      <c r="K75" s="13">
        <v>2919836.9461889495</v>
      </c>
      <c r="L75" s="13">
        <v>2919836.946188949</v>
      </c>
      <c r="M75" s="13">
        <v>2919836.946188949</v>
      </c>
      <c r="N75" s="13">
        <v>2767953.6523261997</v>
      </c>
      <c r="O75" s="13">
        <v>2896761.9589186287</v>
      </c>
      <c r="P75" s="15">
        <f t="shared" si="8"/>
        <v>4.4746618337755484E-5</v>
      </c>
      <c r="Q75" s="16">
        <f t="shared" si="9"/>
        <v>74</v>
      </c>
      <c r="R75" s="17">
        <f t="shared" si="10"/>
        <v>0.99996250247745111</v>
      </c>
    </row>
    <row r="76" spans="1:18" ht="18" customHeight="1">
      <c r="A76" s="10" t="s">
        <v>169</v>
      </c>
      <c r="B76" s="10" t="s">
        <v>170</v>
      </c>
      <c r="C76" s="10" t="s">
        <v>36</v>
      </c>
      <c r="D76" s="12">
        <v>2019</v>
      </c>
      <c r="E76" s="13">
        <v>402.29139540870005</v>
      </c>
      <c r="F76" s="13">
        <v>402.29139540870005</v>
      </c>
      <c r="G76" s="14">
        <v>0</v>
      </c>
      <c r="H76" s="15">
        <v>1</v>
      </c>
      <c r="I76" s="16">
        <v>16</v>
      </c>
      <c r="J76" s="16">
        <v>16</v>
      </c>
      <c r="K76" s="13">
        <v>759816.52371742425</v>
      </c>
      <c r="L76" s="13">
        <v>759816.52371742413</v>
      </c>
      <c r="M76" s="13">
        <v>759816.52371742402</v>
      </c>
      <c r="N76" s="13">
        <v>741062.69048888353</v>
      </c>
      <c r="O76" s="13">
        <v>736055.89928472659</v>
      </c>
      <c r="P76" s="15">
        <f t="shared" si="8"/>
        <v>1.1644218708130407E-5</v>
      </c>
      <c r="Q76" s="16">
        <f t="shared" si="9"/>
        <v>75</v>
      </c>
      <c r="R76" s="17">
        <f t="shared" si="10"/>
        <v>0.99997414669615925</v>
      </c>
    </row>
    <row r="77" spans="1:18" ht="18" customHeight="1">
      <c r="A77" s="10" t="s">
        <v>171</v>
      </c>
      <c r="B77" s="10" t="s">
        <v>172</v>
      </c>
      <c r="C77" s="10" t="s">
        <v>19</v>
      </c>
      <c r="D77" s="12">
        <v>2019</v>
      </c>
      <c r="E77" s="13">
        <v>2616.1834162357</v>
      </c>
      <c r="F77" s="13">
        <v>2616.1834162357</v>
      </c>
      <c r="G77" s="14">
        <v>0</v>
      </c>
      <c r="H77" s="15">
        <v>1</v>
      </c>
      <c r="I77" s="16">
        <v>5</v>
      </c>
      <c r="J77" s="16">
        <v>5</v>
      </c>
      <c r="K77" s="13">
        <v>507104.98048896767</v>
      </c>
      <c r="L77" s="13">
        <v>507104.98048896767</v>
      </c>
      <c r="M77" s="13">
        <v>507104.98048896762</v>
      </c>
      <c r="N77" s="13">
        <v>494176.86281701981</v>
      </c>
      <c r="O77" s="13">
        <v>494181.0890332617</v>
      </c>
      <c r="P77" s="15">
        <f t="shared" si="8"/>
        <v>7.7714041699253081E-6</v>
      </c>
      <c r="Q77" s="16">
        <f t="shared" si="9"/>
        <v>76</v>
      </c>
      <c r="R77" s="17">
        <f t="shared" si="10"/>
        <v>0.99998191810032921</v>
      </c>
    </row>
    <row r="78" spans="1:18" ht="18" customHeight="1">
      <c r="A78" s="10" t="s">
        <v>173</v>
      </c>
      <c r="B78" s="10" t="s">
        <v>174</v>
      </c>
      <c r="C78" s="10" t="s">
        <v>19</v>
      </c>
      <c r="D78" s="12">
        <v>2019</v>
      </c>
      <c r="E78" s="13">
        <v>212.78852302800001</v>
      </c>
      <c r="F78" s="13">
        <v>212.78852302800001</v>
      </c>
      <c r="G78" s="14">
        <v>0</v>
      </c>
      <c r="H78" s="15">
        <v>1</v>
      </c>
      <c r="I78" s="16">
        <v>19</v>
      </c>
      <c r="J78" s="16">
        <v>19</v>
      </c>
      <c r="K78" s="13">
        <v>439874.51024657505</v>
      </c>
      <c r="L78" s="13">
        <v>439874.51024657511</v>
      </c>
      <c r="M78" s="13">
        <v>439874.51024657505</v>
      </c>
      <c r="N78" s="13">
        <v>381706.24857045262</v>
      </c>
      <c r="O78" s="13">
        <v>438573.74526430218</v>
      </c>
      <c r="P78" s="15">
        <f t="shared" si="8"/>
        <v>6.7410945163226532E-6</v>
      </c>
      <c r="Q78" s="16">
        <f t="shared" si="9"/>
        <v>77</v>
      </c>
      <c r="R78" s="17">
        <f t="shared" si="10"/>
        <v>0.99998865919484559</v>
      </c>
    </row>
    <row r="79" spans="1:18" ht="18" customHeight="1">
      <c r="A79" s="10" t="s">
        <v>175</v>
      </c>
      <c r="B79" s="10" t="s">
        <v>176</v>
      </c>
      <c r="C79" s="10" t="s">
        <v>36</v>
      </c>
      <c r="D79" s="12">
        <v>2019</v>
      </c>
      <c r="E79" s="13">
        <v>1622.2799593135003</v>
      </c>
      <c r="F79" s="13">
        <v>1622.2799593135003</v>
      </c>
      <c r="G79" s="14">
        <v>0</v>
      </c>
      <c r="H79" s="15">
        <v>1</v>
      </c>
      <c r="I79" s="16">
        <v>6</v>
      </c>
      <c r="J79" s="16">
        <v>6</v>
      </c>
      <c r="K79" s="13">
        <v>316826.04706013901</v>
      </c>
      <c r="L79" s="13">
        <v>316826.04706013901</v>
      </c>
      <c r="M79" s="13">
        <v>316826.04706013901</v>
      </c>
      <c r="N79" s="13">
        <v>316302.39259131701</v>
      </c>
      <c r="O79" s="13">
        <v>316825.92653248494</v>
      </c>
      <c r="P79" s="15">
        <f t="shared" si="8"/>
        <v>4.8553718815579297E-6</v>
      </c>
      <c r="Q79" s="16">
        <f t="shared" si="9"/>
        <v>78</v>
      </c>
      <c r="R79" s="17">
        <f t="shared" si="10"/>
        <v>0.99999351456672714</v>
      </c>
    </row>
    <row r="80" spans="1:18" ht="18" customHeight="1">
      <c r="A80" s="10" t="s">
        <v>177</v>
      </c>
      <c r="B80" s="10" t="s">
        <v>178</v>
      </c>
      <c r="C80" s="10" t="s">
        <v>19</v>
      </c>
      <c r="D80" s="12">
        <v>2019</v>
      </c>
      <c r="E80" s="13">
        <v>1304.0687744917002</v>
      </c>
      <c r="F80" s="13">
        <v>1304.0687744917002</v>
      </c>
      <c r="G80" s="14">
        <v>0</v>
      </c>
      <c r="H80" s="15">
        <v>1</v>
      </c>
      <c r="I80" s="16">
        <v>4</v>
      </c>
      <c r="J80" s="16">
        <v>4</v>
      </c>
      <c r="K80" s="13">
        <v>275429.06254721642</v>
      </c>
      <c r="L80" s="13">
        <v>275429.06254721642</v>
      </c>
      <c r="M80" s="13">
        <v>275429.06254721642</v>
      </c>
      <c r="N80" s="13">
        <v>257076.62225567218</v>
      </c>
      <c r="O80" s="13">
        <v>257076.62225567218</v>
      </c>
      <c r="P80" s="15">
        <f t="shared" si="8"/>
        <v>4.2209614331417976E-6</v>
      </c>
      <c r="Q80" s="16">
        <f t="shared" si="9"/>
        <v>79</v>
      </c>
      <c r="R80" s="17">
        <f t="shared" si="10"/>
        <v>0.99999773552816029</v>
      </c>
    </row>
    <row r="81" spans="1:18" ht="18" customHeight="1">
      <c r="A81" s="10" t="s">
        <v>179</v>
      </c>
      <c r="B81" s="10" t="s">
        <v>180</v>
      </c>
      <c r="C81" s="10" t="s">
        <v>19</v>
      </c>
      <c r="D81" s="12">
        <v>2019</v>
      </c>
      <c r="E81" s="13">
        <v>719.28920190780002</v>
      </c>
      <c r="F81" s="13">
        <v>719.28920190780002</v>
      </c>
      <c r="G81" s="14">
        <v>0</v>
      </c>
      <c r="H81" s="15">
        <v>1</v>
      </c>
      <c r="I81" s="16">
        <v>5</v>
      </c>
      <c r="J81" s="16">
        <v>5</v>
      </c>
      <c r="K81" s="13">
        <v>137138.92556169763</v>
      </c>
      <c r="L81" s="13">
        <v>137138.92556169763</v>
      </c>
      <c r="M81" s="13">
        <v>137138.92556169763</v>
      </c>
      <c r="N81" s="13">
        <v>135651.10448002513</v>
      </c>
      <c r="O81" s="13">
        <v>135652.11223848525</v>
      </c>
      <c r="P81" s="15">
        <f t="shared" si="8"/>
        <v>2.1016595359438391E-6</v>
      </c>
      <c r="Q81" s="16">
        <f t="shared" si="9"/>
        <v>80</v>
      </c>
      <c r="R81" s="17">
        <f t="shared" si="10"/>
        <v>0.99999983718769625</v>
      </c>
    </row>
    <row r="82" spans="1:18" ht="18" customHeight="1">
      <c r="A82" s="10" t="s">
        <v>181</v>
      </c>
      <c r="B82" s="10" t="s">
        <v>182</v>
      </c>
      <c r="C82" s="10" t="s">
        <v>19</v>
      </c>
      <c r="D82" s="12">
        <v>2019</v>
      </c>
      <c r="E82" s="13">
        <v>53.5919340839</v>
      </c>
      <c r="F82" s="13">
        <v>53.5919340839</v>
      </c>
      <c r="G82" s="14">
        <v>0</v>
      </c>
      <c r="H82" s="15">
        <v>1</v>
      </c>
      <c r="I82" s="16">
        <v>21</v>
      </c>
      <c r="J82" s="16">
        <v>21</v>
      </c>
      <c r="K82" s="13">
        <v>10566.207059943801</v>
      </c>
      <c r="L82" s="13">
        <v>10566.207059943799</v>
      </c>
      <c r="M82" s="13">
        <v>10566.207059943801</v>
      </c>
      <c r="N82" s="13">
        <v>10565.421006259996</v>
      </c>
      <c r="O82" s="13">
        <v>10565.545720551861</v>
      </c>
      <c r="P82" s="15">
        <f t="shared" si="8"/>
        <v>1.6192754708653057E-7</v>
      </c>
      <c r="Q82" s="16">
        <f t="shared" si="9"/>
        <v>81</v>
      </c>
      <c r="R82" s="17">
        <f t="shared" si="10"/>
        <v>0.99999999911524329</v>
      </c>
    </row>
    <row r="83" spans="1:18" ht="18" customHeight="1">
      <c r="A83" s="10" t="s">
        <v>183</v>
      </c>
      <c r="B83" s="10" t="s">
        <v>184</v>
      </c>
      <c r="C83" s="10" t="s">
        <v>19</v>
      </c>
      <c r="D83" s="12">
        <v>2019</v>
      </c>
      <c r="E83" s="13">
        <v>0.2496140134</v>
      </c>
      <c r="F83" s="13">
        <v>0.2496140134</v>
      </c>
      <c r="G83" s="14">
        <v>0</v>
      </c>
      <c r="H83" s="15">
        <v>1</v>
      </c>
      <c r="I83" s="16">
        <v>10</v>
      </c>
      <c r="J83" s="16">
        <v>10</v>
      </c>
      <c r="K83" s="13">
        <v>57.732741635911189</v>
      </c>
      <c r="L83" s="13">
        <v>57.732741635911196</v>
      </c>
      <c r="M83" s="13">
        <v>57.732741635911196</v>
      </c>
      <c r="N83" s="13">
        <v>57.582835226067182</v>
      </c>
      <c r="O83" s="13">
        <v>57.732498833181225</v>
      </c>
      <c r="P83" s="15">
        <f t="shared" si="8"/>
        <v>8.8475658168043088E-10</v>
      </c>
      <c r="Q83" s="16">
        <f t="shared" si="9"/>
        <v>82</v>
      </c>
      <c r="R83" s="17">
        <f t="shared" si="10"/>
        <v>0.99999999999999989</v>
      </c>
    </row>
    <row r="84" spans="1:18" ht="18" customHeight="1">
      <c r="A84" s="10" t="s">
        <v>185</v>
      </c>
      <c r="B84" s="10" t="s">
        <v>186</v>
      </c>
      <c r="C84" s="10" t="s">
        <v>36</v>
      </c>
      <c r="D84" s="12">
        <v>2019</v>
      </c>
      <c r="E84" s="13">
        <v>0</v>
      </c>
      <c r="F84" s="13">
        <v>0</v>
      </c>
      <c r="G84" s="14">
        <v>0</v>
      </c>
      <c r="H84" s="15"/>
      <c r="I84" s="16">
        <v>0</v>
      </c>
      <c r="J84" s="16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5">
        <f t="shared" si="8"/>
        <v>0</v>
      </c>
      <c r="Q84" s="16">
        <f t="shared" si="9"/>
        <v>83</v>
      </c>
      <c r="R84" s="17">
        <f t="shared" si="10"/>
        <v>0.99999999999999989</v>
      </c>
    </row>
    <row r="85" spans="1:18" ht="18" customHeight="1">
      <c r="A85" s="10" t="s">
        <v>187</v>
      </c>
      <c r="B85" s="10" t="s">
        <v>188</v>
      </c>
      <c r="C85" s="10" t="s">
        <v>19</v>
      </c>
      <c r="D85" s="12">
        <v>2019</v>
      </c>
      <c r="E85" s="13">
        <v>0</v>
      </c>
      <c r="F85" s="13">
        <v>0</v>
      </c>
      <c r="G85" s="14">
        <v>0</v>
      </c>
      <c r="H85" s="15"/>
      <c r="I85" s="16">
        <v>0</v>
      </c>
      <c r="J85" s="16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5">
        <f t="shared" si="8"/>
        <v>0</v>
      </c>
      <c r="Q85" s="16">
        <f t="shared" si="9"/>
        <v>83</v>
      </c>
      <c r="R85" s="17">
        <f t="shared" si="10"/>
        <v>0.99999999999999989</v>
      </c>
    </row>
  </sheetData>
  <conditionalFormatting sqref="H2:H85">
    <cfRule type="cellIs" dxfId="0" priority="1" operator="lessThan">
      <formula>0.9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13"/>
  <sheetViews>
    <sheetView showGridLines="0" workbookViewId="0"/>
  </sheetViews>
  <sheetFormatPr defaultRowHeight="14"/>
  <cols>
    <col min="1" max="2" width="22" customWidth="1"/>
    <col min="3" max="3" width="15" customWidth="1"/>
    <col min="4" max="4" width="22" customWidth="1"/>
  </cols>
  <sheetData>
    <row r="1" spans="1:4" ht="32" customHeight="1">
      <c r="A1" s="11" t="s">
        <v>0</v>
      </c>
      <c r="B1" s="11" t="s">
        <v>189</v>
      </c>
      <c r="C1" s="11" t="s">
        <v>190</v>
      </c>
      <c r="D1" s="11" t="s">
        <v>191</v>
      </c>
    </row>
    <row r="2" spans="1:4" ht="18" customHeight="1">
      <c r="A2" s="10" t="s">
        <v>185</v>
      </c>
      <c r="B2" s="10" t="s">
        <v>192</v>
      </c>
      <c r="C2" s="10">
        <v>0</v>
      </c>
      <c r="D2" s="10" t="s">
        <v>193</v>
      </c>
    </row>
    <row r="3" spans="1:4" ht="18" customHeight="1">
      <c r="A3" s="10" t="s">
        <v>185</v>
      </c>
      <c r="B3" s="10" t="s">
        <v>194</v>
      </c>
      <c r="C3" s="10">
        <v>0</v>
      </c>
      <c r="D3" s="10" t="s">
        <v>193</v>
      </c>
    </row>
    <row r="4" spans="1:4" ht="18" customHeight="1">
      <c r="A4" s="10" t="s">
        <v>185</v>
      </c>
      <c r="B4" s="10" t="s">
        <v>195</v>
      </c>
      <c r="C4" s="10">
        <v>0</v>
      </c>
      <c r="D4" s="10" t="s">
        <v>193</v>
      </c>
    </row>
    <row r="5" spans="1:4" ht="18" customHeight="1">
      <c r="A5" s="10" t="s">
        <v>185</v>
      </c>
      <c r="B5" s="10" t="s">
        <v>196</v>
      </c>
      <c r="C5" s="10" t="s">
        <v>197</v>
      </c>
      <c r="D5" s="10" t="s">
        <v>198</v>
      </c>
    </row>
    <row r="6" spans="1:4" ht="18" customHeight="1">
      <c r="A6" s="10" t="s">
        <v>185</v>
      </c>
      <c r="B6" s="10" t="s">
        <v>5</v>
      </c>
      <c r="C6" s="10">
        <v>0</v>
      </c>
      <c r="D6" s="10" t="s">
        <v>193</v>
      </c>
    </row>
    <row r="7" spans="1:4" ht="18" customHeight="1">
      <c r="A7" s="10" t="s">
        <v>185</v>
      </c>
      <c r="B7" s="10" t="s">
        <v>199</v>
      </c>
      <c r="C7" s="10"/>
      <c r="D7" s="10" t="s">
        <v>200</v>
      </c>
    </row>
    <row r="8" spans="1:4" ht="18" customHeight="1">
      <c r="A8" s="10" t="s">
        <v>185</v>
      </c>
      <c r="B8" s="10" t="s">
        <v>8</v>
      </c>
      <c r="C8" s="10">
        <v>0</v>
      </c>
      <c r="D8" s="10" t="s">
        <v>201</v>
      </c>
    </row>
    <row r="9" spans="1:4" ht="18" customHeight="1">
      <c r="A9" s="10" t="s">
        <v>185</v>
      </c>
      <c r="B9" s="10" t="s">
        <v>9</v>
      </c>
      <c r="C9" s="10">
        <v>0</v>
      </c>
      <c r="D9" s="10" t="s">
        <v>201</v>
      </c>
    </row>
    <row r="10" spans="1:4" ht="18" customHeight="1">
      <c r="A10" s="10" t="s">
        <v>185</v>
      </c>
      <c r="B10" s="10" t="s">
        <v>202</v>
      </c>
      <c r="C10" s="10">
        <v>0</v>
      </c>
      <c r="D10" s="10" t="s">
        <v>201</v>
      </c>
    </row>
    <row r="11" spans="1:4" ht="18" customHeight="1">
      <c r="A11" s="10" t="s">
        <v>185</v>
      </c>
      <c r="B11" s="10" t="s">
        <v>203</v>
      </c>
      <c r="C11" s="10">
        <v>0</v>
      </c>
      <c r="D11" s="10" t="s">
        <v>204</v>
      </c>
    </row>
    <row r="12" spans="1:4" ht="18" customHeight="1">
      <c r="A12" s="10" t="s">
        <v>185</v>
      </c>
      <c r="B12" s="10" t="s">
        <v>205</v>
      </c>
      <c r="C12" s="10">
        <v>0</v>
      </c>
      <c r="D12" s="10" t="s">
        <v>204</v>
      </c>
    </row>
    <row r="13" spans="1:4" ht="18" customHeight="1">
      <c r="A13" s="10" t="s">
        <v>185</v>
      </c>
      <c r="B13" s="10" t="s">
        <v>206</v>
      </c>
      <c r="C13" s="10">
        <v>0</v>
      </c>
      <c r="D13" s="10" t="s">
        <v>204</v>
      </c>
    </row>
    <row r="14" spans="1:4" ht="18" customHeight="1">
      <c r="A14" s="10" t="s">
        <v>185</v>
      </c>
      <c r="B14" s="10" t="s">
        <v>207</v>
      </c>
      <c r="C14" s="10">
        <v>0</v>
      </c>
      <c r="D14" s="10" t="s">
        <v>204</v>
      </c>
    </row>
    <row r="15" spans="1:4" ht="18" customHeight="1">
      <c r="A15" s="10" t="s">
        <v>185</v>
      </c>
      <c r="B15" s="10" t="s">
        <v>208</v>
      </c>
      <c r="C15" s="10">
        <v>0</v>
      </c>
      <c r="D15" s="10" t="s">
        <v>204</v>
      </c>
    </row>
    <row r="16" spans="1:4" ht="18" customHeight="1">
      <c r="A16" s="10" t="s">
        <v>185</v>
      </c>
      <c r="B16" s="10" t="s">
        <v>209</v>
      </c>
      <c r="C16" s="10" t="s">
        <v>197</v>
      </c>
      <c r="D16" s="10" t="s">
        <v>198</v>
      </c>
    </row>
    <row r="17" spans="1:4" ht="18" customHeight="1">
      <c r="A17" s="10" t="s">
        <v>185</v>
      </c>
      <c r="B17" s="10" t="s">
        <v>210</v>
      </c>
      <c r="C17" s="10" t="s">
        <v>197</v>
      </c>
      <c r="D17" s="10" t="s">
        <v>198</v>
      </c>
    </row>
    <row r="18" spans="1:4" ht="18" customHeight="1">
      <c r="A18" s="10" t="s">
        <v>185</v>
      </c>
      <c r="B18" s="10" t="s">
        <v>211</v>
      </c>
      <c r="C18" s="10">
        <v>0</v>
      </c>
      <c r="D18" s="10" t="s">
        <v>201</v>
      </c>
    </row>
    <row r="19" spans="1:4" ht="18" customHeight="1">
      <c r="A19" s="10" t="s">
        <v>185</v>
      </c>
      <c r="B19" s="10" t="s">
        <v>212</v>
      </c>
      <c r="C19" s="10">
        <v>0</v>
      </c>
      <c r="D19" s="10" t="s">
        <v>201</v>
      </c>
    </row>
    <row r="20" spans="1:4" ht="18" customHeight="1">
      <c r="A20" s="10" t="s">
        <v>133</v>
      </c>
      <c r="B20" s="10" t="s">
        <v>192</v>
      </c>
      <c r="C20" s="10">
        <v>87745.099472887407</v>
      </c>
      <c r="D20" s="10" t="s">
        <v>193</v>
      </c>
    </row>
    <row r="21" spans="1:4" ht="18" customHeight="1">
      <c r="A21" s="10" t="s">
        <v>133</v>
      </c>
      <c r="B21" s="10" t="s">
        <v>194</v>
      </c>
      <c r="C21" s="10">
        <v>87745.099472887407</v>
      </c>
      <c r="D21" s="10" t="s">
        <v>193</v>
      </c>
    </row>
    <row r="22" spans="1:4" ht="18" customHeight="1">
      <c r="A22" s="10" t="s">
        <v>133</v>
      </c>
      <c r="B22" s="10" t="s">
        <v>195</v>
      </c>
      <c r="C22" s="10">
        <v>0</v>
      </c>
      <c r="D22" s="10" t="s">
        <v>193</v>
      </c>
    </row>
    <row r="23" spans="1:4" ht="18" customHeight="1">
      <c r="A23" s="10" t="s">
        <v>133</v>
      </c>
      <c r="B23" s="10" t="s">
        <v>196</v>
      </c>
      <c r="C23" s="10" t="s">
        <v>197</v>
      </c>
      <c r="D23" s="10" t="s">
        <v>198</v>
      </c>
    </row>
    <row r="24" spans="1:4" ht="18" customHeight="1">
      <c r="A24" s="10" t="s">
        <v>133</v>
      </c>
      <c r="B24" s="10" t="s">
        <v>5</v>
      </c>
      <c r="C24" s="10">
        <v>87745.099472887407</v>
      </c>
      <c r="D24" s="10" t="s">
        <v>193</v>
      </c>
    </row>
    <row r="25" spans="1:4" ht="18" customHeight="1">
      <c r="A25" s="10" t="s">
        <v>133</v>
      </c>
      <c r="B25" s="10" t="s">
        <v>199</v>
      </c>
      <c r="C25" s="10">
        <v>1</v>
      </c>
      <c r="D25" s="10" t="s">
        <v>200</v>
      </c>
    </row>
    <row r="26" spans="1:4" ht="18" customHeight="1">
      <c r="A26" s="10" t="s">
        <v>133</v>
      </c>
      <c r="B26" s="10" t="s">
        <v>8</v>
      </c>
      <c r="C26" s="10">
        <v>67</v>
      </c>
      <c r="D26" s="10" t="s">
        <v>201</v>
      </c>
    </row>
    <row r="27" spans="1:4" ht="18" customHeight="1">
      <c r="A27" s="10" t="s">
        <v>133</v>
      </c>
      <c r="B27" s="10" t="s">
        <v>9</v>
      </c>
      <c r="C27" s="10">
        <v>67</v>
      </c>
      <c r="D27" s="10" t="s">
        <v>201</v>
      </c>
    </row>
    <row r="28" spans="1:4" ht="18" customHeight="1">
      <c r="A28" s="10" t="s">
        <v>133</v>
      </c>
      <c r="B28" s="10" t="s">
        <v>202</v>
      </c>
      <c r="C28" s="10">
        <v>0</v>
      </c>
      <c r="D28" s="10" t="s">
        <v>201</v>
      </c>
    </row>
    <row r="29" spans="1:4" ht="18" customHeight="1">
      <c r="A29" s="10" t="s">
        <v>133</v>
      </c>
      <c r="B29" s="10" t="s">
        <v>203</v>
      </c>
      <c r="C29" s="10">
        <v>101551846.3748264</v>
      </c>
      <c r="D29" s="10" t="s">
        <v>204</v>
      </c>
    </row>
    <row r="30" spans="1:4" ht="18" customHeight="1">
      <c r="A30" s="10" t="s">
        <v>133</v>
      </c>
      <c r="B30" s="10" t="s">
        <v>205</v>
      </c>
      <c r="C30" s="10">
        <v>101551846.37482642</v>
      </c>
      <c r="D30" s="10" t="s">
        <v>204</v>
      </c>
    </row>
    <row r="31" spans="1:4" ht="18" customHeight="1">
      <c r="A31" s="10" t="s">
        <v>133</v>
      </c>
      <c r="B31" s="10" t="s">
        <v>206</v>
      </c>
      <c r="C31" s="10">
        <v>101551846.37482639</v>
      </c>
      <c r="D31" s="10" t="s">
        <v>204</v>
      </c>
    </row>
    <row r="32" spans="1:4" ht="18" customHeight="1">
      <c r="A32" s="10" t="s">
        <v>133</v>
      </c>
      <c r="B32" s="10" t="s">
        <v>207</v>
      </c>
      <c r="C32" s="10">
        <v>1.4901161193847656E-8</v>
      </c>
      <c r="D32" s="10" t="s">
        <v>204</v>
      </c>
    </row>
    <row r="33" spans="1:4" ht="18" customHeight="1">
      <c r="A33" s="10" t="s">
        <v>133</v>
      </c>
      <c r="B33" s="10" t="s">
        <v>208</v>
      </c>
      <c r="C33" s="10">
        <v>-1.4901161193847656E-8</v>
      </c>
      <c r="D33" s="10" t="s">
        <v>204</v>
      </c>
    </row>
    <row r="34" spans="1:4" ht="18" customHeight="1">
      <c r="A34" s="10" t="s">
        <v>133</v>
      </c>
      <c r="B34" s="10" t="s">
        <v>209</v>
      </c>
      <c r="C34" s="10" t="s">
        <v>197</v>
      </c>
      <c r="D34" s="10" t="s">
        <v>198</v>
      </c>
    </row>
    <row r="35" spans="1:4" ht="18" customHeight="1">
      <c r="A35" s="10" t="s">
        <v>133</v>
      </c>
      <c r="B35" s="10" t="s">
        <v>210</v>
      </c>
      <c r="C35" s="10" t="s">
        <v>197</v>
      </c>
      <c r="D35" s="10" t="s">
        <v>198</v>
      </c>
    </row>
    <row r="36" spans="1:4" ht="18" customHeight="1">
      <c r="A36" s="10" t="s">
        <v>133</v>
      </c>
      <c r="B36" s="10" t="s">
        <v>211</v>
      </c>
      <c r="C36" s="10">
        <v>0</v>
      </c>
      <c r="D36" s="10" t="s">
        <v>201</v>
      </c>
    </row>
    <row r="37" spans="1:4" ht="18" customHeight="1">
      <c r="A37" s="10" t="s">
        <v>133</v>
      </c>
      <c r="B37" s="10" t="s">
        <v>212</v>
      </c>
      <c r="C37" s="10">
        <v>0</v>
      </c>
      <c r="D37" s="10" t="s">
        <v>201</v>
      </c>
    </row>
    <row r="38" spans="1:4" ht="18" customHeight="1">
      <c r="A38" s="10" t="s">
        <v>123</v>
      </c>
      <c r="B38" s="10" t="s">
        <v>192</v>
      </c>
      <c r="C38" s="10">
        <v>734932.2904610422</v>
      </c>
      <c r="D38" s="10" t="s">
        <v>193</v>
      </c>
    </row>
    <row r="39" spans="1:4" ht="18" customHeight="1">
      <c r="A39" s="10" t="s">
        <v>123</v>
      </c>
      <c r="B39" s="10" t="s">
        <v>194</v>
      </c>
      <c r="C39" s="10">
        <v>734932.29046104196</v>
      </c>
      <c r="D39" s="10" t="s">
        <v>193</v>
      </c>
    </row>
    <row r="40" spans="1:4" ht="18" customHeight="1">
      <c r="A40" s="10" t="s">
        <v>123</v>
      </c>
      <c r="B40" s="10" t="s">
        <v>195</v>
      </c>
      <c r="C40" s="10">
        <v>-2.3283064365386963E-10</v>
      </c>
      <c r="D40" s="10" t="s">
        <v>193</v>
      </c>
    </row>
    <row r="41" spans="1:4" ht="18" customHeight="1">
      <c r="A41" s="10" t="s">
        <v>123</v>
      </c>
      <c r="B41" s="10" t="s">
        <v>196</v>
      </c>
      <c r="C41" s="10" t="s">
        <v>197</v>
      </c>
      <c r="D41" s="10" t="s">
        <v>198</v>
      </c>
    </row>
    <row r="42" spans="1:4" ht="18" customHeight="1">
      <c r="A42" s="10" t="s">
        <v>123</v>
      </c>
      <c r="B42" s="10" t="s">
        <v>5</v>
      </c>
      <c r="C42" s="10">
        <v>734932.29046104196</v>
      </c>
      <c r="D42" s="10" t="s">
        <v>193</v>
      </c>
    </row>
    <row r="43" spans="1:4" ht="18" customHeight="1">
      <c r="A43" s="10" t="s">
        <v>123</v>
      </c>
      <c r="B43" s="10" t="s">
        <v>199</v>
      </c>
      <c r="C43" s="10">
        <v>1</v>
      </c>
      <c r="D43" s="10" t="s">
        <v>200</v>
      </c>
    </row>
    <row r="44" spans="1:4" ht="18" customHeight="1">
      <c r="A44" s="10" t="s">
        <v>123</v>
      </c>
      <c r="B44" s="10" t="s">
        <v>8</v>
      </c>
      <c r="C44" s="10">
        <v>131</v>
      </c>
      <c r="D44" s="10" t="s">
        <v>201</v>
      </c>
    </row>
    <row r="45" spans="1:4" ht="18" customHeight="1">
      <c r="A45" s="10" t="s">
        <v>123</v>
      </c>
      <c r="B45" s="10" t="s">
        <v>9</v>
      </c>
      <c r="C45" s="10">
        <v>131</v>
      </c>
      <c r="D45" s="10" t="s">
        <v>201</v>
      </c>
    </row>
    <row r="46" spans="1:4" ht="18" customHeight="1">
      <c r="A46" s="10" t="s">
        <v>123</v>
      </c>
      <c r="B46" s="10" t="s">
        <v>202</v>
      </c>
      <c r="C46" s="10">
        <v>0</v>
      </c>
      <c r="D46" s="10" t="s">
        <v>201</v>
      </c>
    </row>
    <row r="47" spans="1:4" ht="18" customHeight="1">
      <c r="A47" s="10" t="s">
        <v>123</v>
      </c>
      <c r="B47" s="10" t="s">
        <v>203</v>
      </c>
      <c r="C47" s="10">
        <v>192111009.49801588</v>
      </c>
      <c r="D47" s="10" t="s">
        <v>204</v>
      </c>
    </row>
    <row r="48" spans="1:4" ht="18" customHeight="1">
      <c r="A48" s="10" t="s">
        <v>123</v>
      </c>
      <c r="B48" s="10" t="s">
        <v>205</v>
      </c>
      <c r="C48" s="10">
        <v>192111009.49801588</v>
      </c>
      <c r="D48" s="10" t="s">
        <v>204</v>
      </c>
    </row>
    <row r="49" spans="1:4" ht="18" customHeight="1">
      <c r="A49" s="10" t="s">
        <v>123</v>
      </c>
      <c r="B49" s="10" t="s">
        <v>206</v>
      </c>
      <c r="C49" s="10">
        <v>192111009.49801588</v>
      </c>
      <c r="D49" s="10" t="s">
        <v>204</v>
      </c>
    </row>
    <row r="50" spans="1:4" ht="18" customHeight="1">
      <c r="A50" s="10" t="s">
        <v>123</v>
      </c>
      <c r="B50" s="10" t="s">
        <v>207</v>
      </c>
      <c r="C50" s="10">
        <v>0</v>
      </c>
      <c r="D50" s="10" t="s">
        <v>204</v>
      </c>
    </row>
    <row r="51" spans="1:4" ht="18" customHeight="1">
      <c r="A51" s="10" t="s">
        <v>123</v>
      </c>
      <c r="B51" s="10" t="s">
        <v>208</v>
      </c>
      <c r="C51" s="10">
        <v>0</v>
      </c>
      <c r="D51" s="10" t="s">
        <v>204</v>
      </c>
    </row>
    <row r="52" spans="1:4" ht="18" customHeight="1">
      <c r="A52" s="10" t="s">
        <v>123</v>
      </c>
      <c r="B52" s="10" t="s">
        <v>209</v>
      </c>
      <c r="C52" s="10" t="s">
        <v>197</v>
      </c>
      <c r="D52" s="10" t="s">
        <v>198</v>
      </c>
    </row>
    <row r="53" spans="1:4" ht="18" customHeight="1">
      <c r="A53" s="10" t="s">
        <v>123</v>
      </c>
      <c r="B53" s="10" t="s">
        <v>210</v>
      </c>
      <c r="C53" s="10" t="s">
        <v>197</v>
      </c>
      <c r="D53" s="10" t="s">
        <v>198</v>
      </c>
    </row>
    <row r="54" spans="1:4" ht="18" customHeight="1">
      <c r="A54" s="10" t="s">
        <v>123</v>
      </c>
      <c r="B54" s="10" t="s">
        <v>211</v>
      </c>
      <c r="C54" s="10">
        <v>0</v>
      </c>
      <c r="D54" s="10" t="s">
        <v>201</v>
      </c>
    </row>
    <row r="55" spans="1:4" ht="18" customHeight="1">
      <c r="A55" s="10" t="s">
        <v>123</v>
      </c>
      <c r="B55" s="10" t="s">
        <v>212</v>
      </c>
      <c r="C55" s="10">
        <v>0</v>
      </c>
      <c r="D55" s="10" t="s">
        <v>201</v>
      </c>
    </row>
    <row r="56" spans="1:4" ht="18" customHeight="1">
      <c r="A56" s="10" t="s">
        <v>147</v>
      </c>
      <c r="B56" s="10" t="s">
        <v>192</v>
      </c>
      <c r="C56" s="10">
        <v>16859.0112032287</v>
      </c>
      <c r="D56" s="10" t="s">
        <v>193</v>
      </c>
    </row>
    <row r="57" spans="1:4" ht="18" customHeight="1">
      <c r="A57" s="10" t="s">
        <v>147</v>
      </c>
      <c r="B57" s="10" t="s">
        <v>194</v>
      </c>
      <c r="C57" s="10">
        <v>16859.0112032287</v>
      </c>
      <c r="D57" s="10" t="s">
        <v>193</v>
      </c>
    </row>
    <row r="58" spans="1:4" ht="18" customHeight="1">
      <c r="A58" s="10" t="s">
        <v>147</v>
      </c>
      <c r="B58" s="10" t="s">
        <v>195</v>
      </c>
      <c r="C58" s="10">
        <v>0</v>
      </c>
      <c r="D58" s="10" t="s">
        <v>193</v>
      </c>
    </row>
    <row r="59" spans="1:4" ht="18" customHeight="1">
      <c r="A59" s="10" t="s">
        <v>147</v>
      </c>
      <c r="B59" s="10" t="s">
        <v>196</v>
      </c>
      <c r="C59" s="10" t="s">
        <v>197</v>
      </c>
      <c r="D59" s="10" t="s">
        <v>198</v>
      </c>
    </row>
    <row r="60" spans="1:4" ht="18" customHeight="1">
      <c r="A60" s="10" t="s">
        <v>147</v>
      </c>
      <c r="B60" s="10" t="s">
        <v>5</v>
      </c>
      <c r="C60" s="10">
        <v>16859.0112032287</v>
      </c>
      <c r="D60" s="10" t="s">
        <v>193</v>
      </c>
    </row>
    <row r="61" spans="1:4" ht="18" customHeight="1">
      <c r="A61" s="10" t="s">
        <v>147</v>
      </c>
      <c r="B61" s="10" t="s">
        <v>199</v>
      </c>
      <c r="C61" s="10">
        <v>1</v>
      </c>
      <c r="D61" s="10" t="s">
        <v>200</v>
      </c>
    </row>
    <row r="62" spans="1:4" ht="18" customHeight="1">
      <c r="A62" s="10" t="s">
        <v>147</v>
      </c>
      <c r="B62" s="10" t="s">
        <v>8</v>
      </c>
      <c r="C62" s="10">
        <v>32</v>
      </c>
      <c r="D62" s="10" t="s">
        <v>201</v>
      </c>
    </row>
    <row r="63" spans="1:4" ht="18" customHeight="1">
      <c r="A63" s="10" t="s">
        <v>147</v>
      </c>
      <c r="B63" s="10" t="s">
        <v>9</v>
      </c>
      <c r="C63" s="10">
        <v>32</v>
      </c>
      <c r="D63" s="10" t="s">
        <v>201</v>
      </c>
    </row>
    <row r="64" spans="1:4" ht="18" customHeight="1">
      <c r="A64" s="10" t="s">
        <v>147</v>
      </c>
      <c r="B64" s="10" t="s">
        <v>202</v>
      </c>
      <c r="C64" s="10">
        <v>0</v>
      </c>
      <c r="D64" s="10" t="s">
        <v>201</v>
      </c>
    </row>
    <row r="65" spans="1:4" ht="18" customHeight="1">
      <c r="A65" s="10" t="s">
        <v>147</v>
      </c>
      <c r="B65" s="10" t="s">
        <v>203</v>
      </c>
      <c r="C65" s="10">
        <v>32845718.432304144</v>
      </c>
      <c r="D65" s="10" t="s">
        <v>204</v>
      </c>
    </row>
    <row r="66" spans="1:4" ht="18" customHeight="1">
      <c r="A66" s="10" t="s">
        <v>147</v>
      </c>
      <c r="B66" s="10" t="s">
        <v>205</v>
      </c>
      <c r="C66" s="10">
        <v>32845718.432304144</v>
      </c>
      <c r="D66" s="10" t="s">
        <v>204</v>
      </c>
    </row>
    <row r="67" spans="1:4" ht="18" customHeight="1">
      <c r="A67" s="10" t="s">
        <v>147</v>
      </c>
      <c r="B67" s="10" t="s">
        <v>206</v>
      </c>
      <c r="C67" s="10">
        <v>32845718.432304144</v>
      </c>
      <c r="D67" s="10" t="s">
        <v>204</v>
      </c>
    </row>
    <row r="68" spans="1:4" ht="18" customHeight="1">
      <c r="A68" s="10" t="s">
        <v>147</v>
      </c>
      <c r="B68" s="10" t="s">
        <v>207</v>
      </c>
      <c r="C68" s="10">
        <v>0</v>
      </c>
      <c r="D68" s="10" t="s">
        <v>204</v>
      </c>
    </row>
    <row r="69" spans="1:4" ht="18" customHeight="1">
      <c r="A69" s="10" t="s">
        <v>147</v>
      </c>
      <c r="B69" s="10" t="s">
        <v>208</v>
      </c>
      <c r="C69" s="10">
        <v>0</v>
      </c>
      <c r="D69" s="10" t="s">
        <v>204</v>
      </c>
    </row>
    <row r="70" spans="1:4" ht="18" customHeight="1">
      <c r="A70" s="10" t="s">
        <v>147</v>
      </c>
      <c r="B70" s="10" t="s">
        <v>209</v>
      </c>
      <c r="C70" s="10" t="s">
        <v>197</v>
      </c>
      <c r="D70" s="10" t="s">
        <v>198</v>
      </c>
    </row>
    <row r="71" spans="1:4" ht="18" customHeight="1">
      <c r="A71" s="10" t="s">
        <v>147</v>
      </c>
      <c r="B71" s="10" t="s">
        <v>210</v>
      </c>
      <c r="C71" s="10" t="s">
        <v>197</v>
      </c>
      <c r="D71" s="10" t="s">
        <v>198</v>
      </c>
    </row>
    <row r="72" spans="1:4" ht="18" customHeight="1">
      <c r="A72" s="10" t="s">
        <v>147</v>
      </c>
      <c r="B72" s="10" t="s">
        <v>211</v>
      </c>
      <c r="C72" s="10">
        <v>0</v>
      </c>
      <c r="D72" s="10" t="s">
        <v>201</v>
      </c>
    </row>
    <row r="73" spans="1:4" ht="18" customHeight="1">
      <c r="A73" s="10" t="s">
        <v>147</v>
      </c>
      <c r="B73" s="10" t="s">
        <v>212</v>
      </c>
      <c r="C73" s="10">
        <v>0</v>
      </c>
      <c r="D73" s="10" t="s">
        <v>201</v>
      </c>
    </row>
    <row r="74" spans="1:4" ht="18" customHeight="1">
      <c r="A74" s="10" t="s">
        <v>81</v>
      </c>
      <c r="B74" s="10" t="s">
        <v>192</v>
      </c>
      <c r="C74" s="10">
        <v>235319.45527268609</v>
      </c>
      <c r="D74" s="10" t="s">
        <v>193</v>
      </c>
    </row>
    <row r="75" spans="1:4" ht="18" customHeight="1">
      <c r="A75" s="10" t="s">
        <v>81</v>
      </c>
      <c r="B75" s="10" t="s">
        <v>194</v>
      </c>
      <c r="C75" s="10">
        <v>235319.45527268611</v>
      </c>
      <c r="D75" s="10" t="s">
        <v>193</v>
      </c>
    </row>
    <row r="76" spans="1:4" ht="18" customHeight="1">
      <c r="A76" s="10" t="s">
        <v>81</v>
      </c>
      <c r="B76" s="10" t="s">
        <v>195</v>
      </c>
      <c r="C76" s="10">
        <v>2.9103830456733704E-11</v>
      </c>
      <c r="D76" s="10" t="s">
        <v>193</v>
      </c>
    </row>
    <row r="77" spans="1:4" ht="18" customHeight="1">
      <c r="A77" s="10" t="s">
        <v>81</v>
      </c>
      <c r="B77" s="10" t="s">
        <v>196</v>
      </c>
      <c r="C77" s="10" t="s">
        <v>197</v>
      </c>
      <c r="D77" s="10" t="s">
        <v>198</v>
      </c>
    </row>
    <row r="78" spans="1:4" ht="18" customHeight="1">
      <c r="A78" s="10" t="s">
        <v>81</v>
      </c>
      <c r="B78" s="10" t="s">
        <v>5</v>
      </c>
      <c r="C78" s="10">
        <v>235319.45527268611</v>
      </c>
      <c r="D78" s="10" t="s">
        <v>193</v>
      </c>
    </row>
    <row r="79" spans="1:4" ht="18" customHeight="1">
      <c r="A79" s="10" t="s">
        <v>81</v>
      </c>
      <c r="B79" s="10" t="s">
        <v>199</v>
      </c>
      <c r="C79" s="10">
        <v>1</v>
      </c>
      <c r="D79" s="10" t="s">
        <v>200</v>
      </c>
    </row>
    <row r="80" spans="1:4" ht="18" customHeight="1">
      <c r="A80" s="10" t="s">
        <v>81</v>
      </c>
      <c r="B80" s="10" t="s">
        <v>8</v>
      </c>
      <c r="C80" s="10">
        <v>37</v>
      </c>
      <c r="D80" s="10" t="s">
        <v>201</v>
      </c>
    </row>
    <row r="81" spans="1:4" ht="18" customHeight="1">
      <c r="A81" s="10" t="s">
        <v>81</v>
      </c>
      <c r="B81" s="10" t="s">
        <v>9</v>
      </c>
      <c r="C81" s="10">
        <v>37</v>
      </c>
      <c r="D81" s="10" t="s">
        <v>201</v>
      </c>
    </row>
    <row r="82" spans="1:4" ht="18" customHeight="1">
      <c r="A82" s="10" t="s">
        <v>81</v>
      </c>
      <c r="B82" s="10" t="s">
        <v>202</v>
      </c>
      <c r="C82" s="10">
        <v>0</v>
      </c>
      <c r="D82" s="10" t="s">
        <v>201</v>
      </c>
    </row>
    <row r="83" spans="1:4" ht="18" customHeight="1">
      <c r="A83" s="10" t="s">
        <v>81</v>
      </c>
      <c r="B83" s="10" t="s">
        <v>203</v>
      </c>
      <c r="C83" s="10">
        <v>580150840.12894607</v>
      </c>
      <c r="D83" s="10" t="s">
        <v>204</v>
      </c>
    </row>
    <row r="84" spans="1:4" ht="18" customHeight="1">
      <c r="A84" s="10" t="s">
        <v>81</v>
      </c>
      <c r="B84" s="10" t="s">
        <v>205</v>
      </c>
      <c r="C84" s="10">
        <v>580150840.12894595</v>
      </c>
      <c r="D84" s="10" t="s">
        <v>204</v>
      </c>
    </row>
    <row r="85" spans="1:4" ht="18" customHeight="1">
      <c r="A85" s="10" t="s">
        <v>81</v>
      </c>
      <c r="B85" s="10" t="s">
        <v>206</v>
      </c>
      <c r="C85" s="10">
        <v>580150840.12894607</v>
      </c>
      <c r="D85" s="10" t="s">
        <v>204</v>
      </c>
    </row>
    <row r="86" spans="1:4" ht="18" customHeight="1">
      <c r="A86" s="10" t="s">
        <v>81</v>
      </c>
      <c r="B86" s="10" t="s">
        <v>207</v>
      </c>
      <c r="C86" s="10">
        <v>-1.1920928955078125E-7</v>
      </c>
      <c r="D86" s="10" t="s">
        <v>204</v>
      </c>
    </row>
    <row r="87" spans="1:4" ht="18" customHeight="1">
      <c r="A87" s="10" t="s">
        <v>81</v>
      </c>
      <c r="B87" s="10" t="s">
        <v>208</v>
      </c>
      <c r="C87" s="10">
        <v>0</v>
      </c>
      <c r="D87" s="10" t="s">
        <v>204</v>
      </c>
    </row>
    <row r="88" spans="1:4" ht="18" customHeight="1">
      <c r="A88" s="10" t="s">
        <v>81</v>
      </c>
      <c r="B88" s="10" t="s">
        <v>209</v>
      </c>
      <c r="C88" s="10" t="s">
        <v>197</v>
      </c>
      <c r="D88" s="10" t="s">
        <v>198</v>
      </c>
    </row>
    <row r="89" spans="1:4" ht="18" customHeight="1">
      <c r="A89" s="10" t="s">
        <v>81</v>
      </c>
      <c r="B89" s="10" t="s">
        <v>210</v>
      </c>
      <c r="C89" s="10" t="s">
        <v>197</v>
      </c>
      <c r="D89" s="10" t="s">
        <v>198</v>
      </c>
    </row>
    <row r="90" spans="1:4" ht="18" customHeight="1">
      <c r="A90" s="10" t="s">
        <v>81</v>
      </c>
      <c r="B90" s="10" t="s">
        <v>211</v>
      </c>
      <c r="C90" s="10">
        <v>0</v>
      </c>
      <c r="D90" s="10" t="s">
        <v>201</v>
      </c>
    </row>
    <row r="91" spans="1:4" ht="18" customHeight="1">
      <c r="A91" s="10" t="s">
        <v>81</v>
      </c>
      <c r="B91" s="10" t="s">
        <v>212</v>
      </c>
      <c r="C91" s="10">
        <v>0</v>
      </c>
      <c r="D91" s="10" t="s">
        <v>201</v>
      </c>
    </row>
    <row r="92" spans="1:4" ht="18" customHeight="1">
      <c r="A92" s="10" t="s">
        <v>127</v>
      </c>
      <c r="B92" s="10" t="s">
        <v>192</v>
      </c>
      <c r="C92" s="10">
        <v>62238.365213295103</v>
      </c>
      <c r="D92" s="10" t="s">
        <v>193</v>
      </c>
    </row>
    <row r="93" spans="1:4" ht="18" customHeight="1">
      <c r="A93" s="10" t="s">
        <v>127</v>
      </c>
      <c r="B93" s="10" t="s">
        <v>194</v>
      </c>
      <c r="C93" s="10">
        <v>62238.365213295096</v>
      </c>
      <c r="D93" s="10" t="s">
        <v>193</v>
      </c>
    </row>
    <row r="94" spans="1:4" ht="18" customHeight="1">
      <c r="A94" s="10" t="s">
        <v>127</v>
      </c>
      <c r="B94" s="10" t="s">
        <v>195</v>
      </c>
      <c r="C94" s="10">
        <v>-7.2759576141834259E-12</v>
      </c>
      <c r="D94" s="10" t="s">
        <v>193</v>
      </c>
    </row>
    <row r="95" spans="1:4" ht="18" customHeight="1">
      <c r="A95" s="10" t="s">
        <v>127</v>
      </c>
      <c r="B95" s="10" t="s">
        <v>196</v>
      </c>
      <c r="C95" s="10" t="s">
        <v>197</v>
      </c>
      <c r="D95" s="10" t="s">
        <v>198</v>
      </c>
    </row>
    <row r="96" spans="1:4" ht="18" customHeight="1">
      <c r="A96" s="10" t="s">
        <v>127</v>
      </c>
      <c r="B96" s="10" t="s">
        <v>5</v>
      </c>
      <c r="C96" s="10">
        <v>62238.365213295096</v>
      </c>
      <c r="D96" s="10" t="s">
        <v>193</v>
      </c>
    </row>
    <row r="97" spans="1:4" ht="18" customHeight="1">
      <c r="A97" s="10" t="s">
        <v>127</v>
      </c>
      <c r="B97" s="10" t="s">
        <v>199</v>
      </c>
      <c r="C97" s="10">
        <v>1</v>
      </c>
      <c r="D97" s="10" t="s">
        <v>200</v>
      </c>
    </row>
    <row r="98" spans="1:4" ht="18" customHeight="1">
      <c r="A98" s="10" t="s">
        <v>127</v>
      </c>
      <c r="B98" s="10" t="s">
        <v>8</v>
      </c>
      <c r="C98" s="10">
        <v>33</v>
      </c>
      <c r="D98" s="10" t="s">
        <v>201</v>
      </c>
    </row>
    <row r="99" spans="1:4" ht="18" customHeight="1">
      <c r="A99" s="10" t="s">
        <v>127</v>
      </c>
      <c r="B99" s="10" t="s">
        <v>9</v>
      </c>
      <c r="C99" s="10">
        <v>33</v>
      </c>
      <c r="D99" s="10" t="s">
        <v>201</v>
      </c>
    </row>
    <row r="100" spans="1:4" ht="18" customHeight="1">
      <c r="A100" s="10" t="s">
        <v>127</v>
      </c>
      <c r="B100" s="10" t="s">
        <v>202</v>
      </c>
      <c r="C100" s="10">
        <v>0</v>
      </c>
      <c r="D100" s="10" t="s">
        <v>201</v>
      </c>
    </row>
    <row r="101" spans="1:4" ht="18" customHeight="1">
      <c r="A101" s="10" t="s">
        <v>127</v>
      </c>
      <c r="B101" s="10" t="s">
        <v>203</v>
      </c>
      <c r="C101" s="10">
        <v>149349456.4630281</v>
      </c>
      <c r="D101" s="10" t="s">
        <v>204</v>
      </c>
    </row>
    <row r="102" spans="1:4" ht="18" customHeight="1">
      <c r="A102" s="10" t="s">
        <v>127</v>
      </c>
      <c r="B102" s="10" t="s">
        <v>205</v>
      </c>
      <c r="C102" s="10">
        <v>149349456.46302813</v>
      </c>
      <c r="D102" s="10" t="s">
        <v>204</v>
      </c>
    </row>
    <row r="103" spans="1:4" ht="18" customHeight="1">
      <c r="A103" s="10" t="s">
        <v>127</v>
      </c>
      <c r="B103" s="10" t="s">
        <v>206</v>
      </c>
      <c r="C103" s="10">
        <v>149349456.4630281</v>
      </c>
      <c r="D103" s="10" t="s">
        <v>204</v>
      </c>
    </row>
    <row r="104" spans="1:4" ht="18" customHeight="1">
      <c r="A104" s="10" t="s">
        <v>127</v>
      </c>
      <c r="B104" s="10" t="s">
        <v>207</v>
      </c>
      <c r="C104" s="10">
        <v>2.9802322387695313E-8</v>
      </c>
      <c r="D104" s="10" t="s">
        <v>204</v>
      </c>
    </row>
    <row r="105" spans="1:4" ht="18" customHeight="1">
      <c r="A105" s="10" t="s">
        <v>127</v>
      </c>
      <c r="B105" s="10" t="s">
        <v>208</v>
      </c>
      <c r="C105" s="10">
        <v>0</v>
      </c>
      <c r="D105" s="10" t="s">
        <v>204</v>
      </c>
    </row>
    <row r="106" spans="1:4" ht="18" customHeight="1">
      <c r="A106" s="10" t="s">
        <v>127</v>
      </c>
      <c r="B106" s="10" t="s">
        <v>209</v>
      </c>
      <c r="C106" s="10" t="s">
        <v>197</v>
      </c>
      <c r="D106" s="10" t="s">
        <v>198</v>
      </c>
    </row>
    <row r="107" spans="1:4" ht="18" customHeight="1">
      <c r="A107" s="10" t="s">
        <v>127</v>
      </c>
      <c r="B107" s="10" t="s">
        <v>210</v>
      </c>
      <c r="C107" s="10" t="s">
        <v>197</v>
      </c>
      <c r="D107" s="10" t="s">
        <v>198</v>
      </c>
    </row>
    <row r="108" spans="1:4" ht="18" customHeight="1">
      <c r="A108" s="10" t="s">
        <v>127</v>
      </c>
      <c r="B108" s="10" t="s">
        <v>211</v>
      </c>
      <c r="C108" s="10">
        <v>0</v>
      </c>
      <c r="D108" s="10" t="s">
        <v>201</v>
      </c>
    </row>
    <row r="109" spans="1:4" ht="18" customHeight="1">
      <c r="A109" s="10" t="s">
        <v>127</v>
      </c>
      <c r="B109" s="10" t="s">
        <v>212</v>
      </c>
      <c r="C109" s="10">
        <v>0</v>
      </c>
      <c r="D109" s="10" t="s">
        <v>201</v>
      </c>
    </row>
    <row r="110" spans="1:4" ht="18" customHeight="1">
      <c r="A110" s="10" t="s">
        <v>137</v>
      </c>
      <c r="B110" s="10" t="s">
        <v>192</v>
      </c>
      <c r="C110" s="10">
        <v>41830.726780533703</v>
      </c>
      <c r="D110" s="10" t="s">
        <v>193</v>
      </c>
    </row>
    <row r="111" spans="1:4" ht="18" customHeight="1">
      <c r="A111" s="10" t="s">
        <v>137</v>
      </c>
      <c r="B111" s="10" t="s">
        <v>194</v>
      </c>
      <c r="C111" s="10">
        <v>41830.726780533703</v>
      </c>
      <c r="D111" s="10" t="s">
        <v>193</v>
      </c>
    </row>
    <row r="112" spans="1:4" ht="18" customHeight="1">
      <c r="A112" s="10" t="s">
        <v>137</v>
      </c>
      <c r="B112" s="10" t="s">
        <v>195</v>
      </c>
      <c r="C112" s="10">
        <v>0</v>
      </c>
      <c r="D112" s="10" t="s">
        <v>193</v>
      </c>
    </row>
    <row r="113" spans="1:4" ht="18" customHeight="1">
      <c r="A113" s="10" t="s">
        <v>137</v>
      </c>
      <c r="B113" s="10" t="s">
        <v>196</v>
      </c>
      <c r="C113" s="10" t="s">
        <v>197</v>
      </c>
      <c r="D113" s="10" t="s">
        <v>198</v>
      </c>
    </row>
    <row r="114" spans="1:4" ht="18" customHeight="1">
      <c r="A114" s="10" t="s">
        <v>137</v>
      </c>
      <c r="B114" s="10" t="s">
        <v>5</v>
      </c>
      <c r="C114" s="10">
        <v>41830.726780533703</v>
      </c>
      <c r="D114" s="10" t="s">
        <v>193</v>
      </c>
    </row>
    <row r="115" spans="1:4" ht="18" customHeight="1">
      <c r="A115" s="10" t="s">
        <v>137</v>
      </c>
      <c r="B115" s="10" t="s">
        <v>199</v>
      </c>
      <c r="C115" s="10">
        <v>1</v>
      </c>
      <c r="D115" s="10" t="s">
        <v>200</v>
      </c>
    </row>
    <row r="116" spans="1:4" ht="18" customHeight="1">
      <c r="A116" s="10" t="s">
        <v>137</v>
      </c>
      <c r="B116" s="10" t="s">
        <v>8</v>
      </c>
      <c r="C116" s="10">
        <v>35</v>
      </c>
      <c r="D116" s="10" t="s">
        <v>201</v>
      </c>
    </row>
    <row r="117" spans="1:4" ht="18" customHeight="1">
      <c r="A117" s="10" t="s">
        <v>137</v>
      </c>
      <c r="B117" s="10" t="s">
        <v>9</v>
      </c>
      <c r="C117" s="10">
        <v>35</v>
      </c>
      <c r="D117" s="10" t="s">
        <v>201</v>
      </c>
    </row>
    <row r="118" spans="1:4" ht="18" customHeight="1">
      <c r="A118" s="10" t="s">
        <v>137</v>
      </c>
      <c r="B118" s="10" t="s">
        <v>202</v>
      </c>
      <c r="C118" s="10">
        <v>0</v>
      </c>
      <c r="D118" s="10" t="s">
        <v>201</v>
      </c>
    </row>
    <row r="119" spans="1:4" ht="18" customHeight="1">
      <c r="A119" s="10" t="s">
        <v>137</v>
      </c>
      <c r="B119" s="10" t="s">
        <v>203</v>
      </c>
      <c r="C119" s="10">
        <v>87861469.420374572</v>
      </c>
      <c r="D119" s="10" t="s">
        <v>204</v>
      </c>
    </row>
    <row r="120" spans="1:4" ht="18" customHeight="1">
      <c r="A120" s="10" t="s">
        <v>137</v>
      </c>
      <c r="B120" s="10" t="s">
        <v>205</v>
      </c>
      <c r="C120" s="10">
        <v>87861469.420374557</v>
      </c>
      <c r="D120" s="10" t="s">
        <v>204</v>
      </c>
    </row>
    <row r="121" spans="1:4" ht="18" customHeight="1">
      <c r="A121" s="10" t="s">
        <v>137</v>
      </c>
      <c r="B121" s="10" t="s">
        <v>206</v>
      </c>
      <c r="C121" s="10">
        <v>87861469.420374557</v>
      </c>
      <c r="D121" s="10" t="s">
        <v>204</v>
      </c>
    </row>
    <row r="122" spans="1:4" ht="18" customHeight="1">
      <c r="A122" s="10" t="s">
        <v>137</v>
      </c>
      <c r="B122" s="10" t="s">
        <v>207</v>
      </c>
      <c r="C122" s="10">
        <v>-1.4901161193847656E-8</v>
      </c>
      <c r="D122" s="10" t="s">
        <v>204</v>
      </c>
    </row>
    <row r="123" spans="1:4" ht="18" customHeight="1">
      <c r="A123" s="10" t="s">
        <v>137</v>
      </c>
      <c r="B123" s="10" t="s">
        <v>208</v>
      </c>
      <c r="C123" s="10">
        <v>-1.4901161193847656E-8</v>
      </c>
      <c r="D123" s="10" t="s">
        <v>204</v>
      </c>
    </row>
    <row r="124" spans="1:4" ht="18" customHeight="1">
      <c r="A124" s="10" t="s">
        <v>137</v>
      </c>
      <c r="B124" s="10" t="s">
        <v>209</v>
      </c>
      <c r="C124" s="10" t="s">
        <v>197</v>
      </c>
      <c r="D124" s="10" t="s">
        <v>198</v>
      </c>
    </row>
    <row r="125" spans="1:4" ht="18" customHeight="1">
      <c r="A125" s="10" t="s">
        <v>137</v>
      </c>
      <c r="B125" s="10" t="s">
        <v>210</v>
      </c>
      <c r="C125" s="10" t="s">
        <v>197</v>
      </c>
      <c r="D125" s="10" t="s">
        <v>198</v>
      </c>
    </row>
    <row r="126" spans="1:4" ht="18" customHeight="1">
      <c r="A126" s="10" t="s">
        <v>137</v>
      </c>
      <c r="B126" s="10" t="s">
        <v>211</v>
      </c>
      <c r="C126" s="10">
        <v>0</v>
      </c>
      <c r="D126" s="10" t="s">
        <v>201</v>
      </c>
    </row>
    <row r="127" spans="1:4" ht="18" customHeight="1">
      <c r="A127" s="10" t="s">
        <v>137</v>
      </c>
      <c r="B127" s="10" t="s">
        <v>212</v>
      </c>
      <c r="C127" s="10">
        <v>0</v>
      </c>
      <c r="D127" s="10" t="s">
        <v>201</v>
      </c>
    </row>
    <row r="128" spans="1:4" ht="18" customHeight="1">
      <c r="A128" s="10" t="s">
        <v>153</v>
      </c>
      <c r="B128" s="10" t="s">
        <v>192</v>
      </c>
      <c r="C128" s="10">
        <v>154127.61540295079</v>
      </c>
      <c r="D128" s="10" t="s">
        <v>193</v>
      </c>
    </row>
    <row r="129" spans="1:4" ht="18" customHeight="1">
      <c r="A129" s="10" t="s">
        <v>153</v>
      </c>
      <c r="B129" s="10" t="s">
        <v>194</v>
      </c>
      <c r="C129" s="10">
        <v>154127.61540295082</v>
      </c>
      <c r="D129" s="10" t="s">
        <v>193</v>
      </c>
    </row>
    <row r="130" spans="1:4" ht="18" customHeight="1">
      <c r="A130" s="10" t="s">
        <v>153</v>
      </c>
      <c r="B130" s="10" t="s">
        <v>195</v>
      </c>
      <c r="C130" s="10">
        <v>2.9103830456733704E-11</v>
      </c>
      <c r="D130" s="10" t="s">
        <v>193</v>
      </c>
    </row>
    <row r="131" spans="1:4" ht="18" customHeight="1">
      <c r="A131" s="10" t="s">
        <v>153</v>
      </c>
      <c r="B131" s="10" t="s">
        <v>196</v>
      </c>
      <c r="C131" s="10" t="s">
        <v>197</v>
      </c>
      <c r="D131" s="10" t="s">
        <v>198</v>
      </c>
    </row>
    <row r="132" spans="1:4" ht="18" customHeight="1">
      <c r="A132" s="10" t="s">
        <v>153</v>
      </c>
      <c r="B132" s="10" t="s">
        <v>5</v>
      </c>
      <c r="C132" s="10">
        <v>154127.61540295082</v>
      </c>
      <c r="D132" s="10" t="s">
        <v>193</v>
      </c>
    </row>
    <row r="133" spans="1:4" ht="18" customHeight="1">
      <c r="A133" s="10" t="s">
        <v>153</v>
      </c>
      <c r="B133" s="10" t="s">
        <v>199</v>
      </c>
      <c r="C133" s="10">
        <v>1</v>
      </c>
      <c r="D133" s="10" t="s">
        <v>200</v>
      </c>
    </row>
    <row r="134" spans="1:4" ht="18" customHeight="1">
      <c r="A134" s="10" t="s">
        <v>153</v>
      </c>
      <c r="B134" s="10" t="s">
        <v>8</v>
      </c>
      <c r="C134" s="10">
        <v>6</v>
      </c>
      <c r="D134" s="10" t="s">
        <v>201</v>
      </c>
    </row>
    <row r="135" spans="1:4" ht="18" customHeight="1">
      <c r="A135" s="10" t="s">
        <v>153</v>
      </c>
      <c r="B135" s="10" t="s">
        <v>9</v>
      </c>
      <c r="C135" s="10">
        <v>6</v>
      </c>
      <c r="D135" s="10" t="s">
        <v>201</v>
      </c>
    </row>
    <row r="136" spans="1:4" ht="18" customHeight="1">
      <c r="A136" s="10" t="s">
        <v>153</v>
      </c>
      <c r="B136" s="10" t="s">
        <v>202</v>
      </c>
      <c r="C136" s="10">
        <v>0</v>
      </c>
      <c r="D136" s="10" t="s">
        <v>201</v>
      </c>
    </row>
    <row r="137" spans="1:4" ht="18" customHeight="1">
      <c r="A137" s="10" t="s">
        <v>153</v>
      </c>
      <c r="B137" s="10" t="s">
        <v>203</v>
      </c>
      <c r="C137" s="10">
        <v>29368420.191220015</v>
      </c>
      <c r="D137" s="10" t="s">
        <v>204</v>
      </c>
    </row>
    <row r="138" spans="1:4" ht="18" customHeight="1">
      <c r="A138" s="10" t="s">
        <v>153</v>
      </c>
      <c r="B138" s="10" t="s">
        <v>205</v>
      </c>
      <c r="C138" s="10">
        <v>29368420.191220015</v>
      </c>
      <c r="D138" s="10" t="s">
        <v>204</v>
      </c>
    </row>
    <row r="139" spans="1:4" ht="18" customHeight="1">
      <c r="A139" s="10" t="s">
        <v>153</v>
      </c>
      <c r="B139" s="10" t="s">
        <v>206</v>
      </c>
      <c r="C139" s="10">
        <v>29368420.191220015</v>
      </c>
      <c r="D139" s="10" t="s">
        <v>204</v>
      </c>
    </row>
    <row r="140" spans="1:4" ht="18" customHeight="1">
      <c r="A140" s="10" t="s">
        <v>153</v>
      </c>
      <c r="B140" s="10" t="s">
        <v>207</v>
      </c>
      <c r="C140" s="10">
        <v>0</v>
      </c>
      <c r="D140" s="10" t="s">
        <v>204</v>
      </c>
    </row>
    <row r="141" spans="1:4" ht="18" customHeight="1">
      <c r="A141" s="10" t="s">
        <v>153</v>
      </c>
      <c r="B141" s="10" t="s">
        <v>208</v>
      </c>
      <c r="C141" s="10">
        <v>0</v>
      </c>
      <c r="D141" s="10" t="s">
        <v>204</v>
      </c>
    </row>
    <row r="142" spans="1:4" ht="18" customHeight="1">
      <c r="A142" s="10" t="s">
        <v>153</v>
      </c>
      <c r="B142" s="10" t="s">
        <v>209</v>
      </c>
      <c r="C142" s="10" t="s">
        <v>197</v>
      </c>
      <c r="D142" s="10" t="s">
        <v>198</v>
      </c>
    </row>
    <row r="143" spans="1:4" ht="18" customHeight="1">
      <c r="A143" s="10" t="s">
        <v>153</v>
      </c>
      <c r="B143" s="10" t="s">
        <v>210</v>
      </c>
      <c r="C143" s="10" t="s">
        <v>197</v>
      </c>
      <c r="D143" s="10" t="s">
        <v>198</v>
      </c>
    </row>
    <row r="144" spans="1:4" ht="18" customHeight="1">
      <c r="A144" s="10" t="s">
        <v>153</v>
      </c>
      <c r="B144" s="10" t="s">
        <v>211</v>
      </c>
      <c r="C144" s="10">
        <v>0</v>
      </c>
      <c r="D144" s="10" t="s">
        <v>201</v>
      </c>
    </row>
    <row r="145" spans="1:4" ht="18" customHeight="1">
      <c r="A145" s="10" t="s">
        <v>153</v>
      </c>
      <c r="B145" s="10" t="s">
        <v>212</v>
      </c>
      <c r="C145" s="10">
        <v>0</v>
      </c>
      <c r="D145" s="10" t="s">
        <v>201</v>
      </c>
    </row>
    <row r="146" spans="1:4" ht="18" customHeight="1">
      <c r="A146" s="10" t="s">
        <v>67</v>
      </c>
      <c r="B146" s="10" t="s">
        <v>192</v>
      </c>
      <c r="C146" s="10">
        <v>377854.00832854409</v>
      </c>
      <c r="D146" s="10" t="s">
        <v>193</v>
      </c>
    </row>
    <row r="147" spans="1:4" ht="18" customHeight="1">
      <c r="A147" s="10" t="s">
        <v>67</v>
      </c>
      <c r="B147" s="10" t="s">
        <v>194</v>
      </c>
      <c r="C147" s="10">
        <v>377854.00832854409</v>
      </c>
      <c r="D147" s="10" t="s">
        <v>193</v>
      </c>
    </row>
    <row r="148" spans="1:4" ht="18" customHeight="1">
      <c r="A148" s="10" t="s">
        <v>67</v>
      </c>
      <c r="B148" s="10" t="s">
        <v>195</v>
      </c>
      <c r="C148" s="10">
        <v>0</v>
      </c>
      <c r="D148" s="10" t="s">
        <v>193</v>
      </c>
    </row>
    <row r="149" spans="1:4" ht="18" customHeight="1">
      <c r="A149" s="10" t="s">
        <v>67</v>
      </c>
      <c r="B149" s="10" t="s">
        <v>196</v>
      </c>
      <c r="C149" s="10" t="s">
        <v>197</v>
      </c>
      <c r="D149" s="10" t="s">
        <v>198</v>
      </c>
    </row>
    <row r="150" spans="1:4" ht="18" customHeight="1">
      <c r="A150" s="10" t="s">
        <v>67</v>
      </c>
      <c r="B150" s="10" t="s">
        <v>5</v>
      </c>
      <c r="C150" s="10">
        <v>377854.00832854409</v>
      </c>
      <c r="D150" s="10" t="s">
        <v>193</v>
      </c>
    </row>
    <row r="151" spans="1:4" ht="18" customHeight="1">
      <c r="A151" s="10" t="s">
        <v>67</v>
      </c>
      <c r="B151" s="10" t="s">
        <v>199</v>
      </c>
      <c r="C151" s="10">
        <v>1</v>
      </c>
      <c r="D151" s="10" t="s">
        <v>200</v>
      </c>
    </row>
    <row r="152" spans="1:4" ht="18" customHeight="1">
      <c r="A152" s="10" t="s">
        <v>67</v>
      </c>
      <c r="B152" s="10" t="s">
        <v>8</v>
      </c>
      <c r="C152" s="10">
        <v>36</v>
      </c>
      <c r="D152" s="10" t="s">
        <v>201</v>
      </c>
    </row>
    <row r="153" spans="1:4" ht="18" customHeight="1">
      <c r="A153" s="10" t="s">
        <v>67</v>
      </c>
      <c r="B153" s="10" t="s">
        <v>9</v>
      </c>
      <c r="C153" s="10">
        <v>36</v>
      </c>
      <c r="D153" s="10" t="s">
        <v>201</v>
      </c>
    </row>
    <row r="154" spans="1:4" ht="18" customHeight="1">
      <c r="A154" s="10" t="s">
        <v>67</v>
      </c>
      <c r="B154" s="10" t="s">
        <v>202</v>
      </c>
      <c r="C154" s="10">
        <v>0</v>
      </c>
      <c r="D154" s="10" t="s">
        <v>201</v>
      </c>
    </row>
    <row r="155" spans="1:4" ht="18" customHeight="1">
      <c r="A155" s="10" t="s">
        <v>67</v>
      </c>
      <c r="B155" s="10" t="s">
        <v>203</v>
      </c>
      <c r="C155" s="10">
        <v>907481876.83694828</v>
      </c>
      <c r="D155" s="10" t="s">
        <v>204</v>
      </c>
    </row>
    <row r="156" spans="1:4" ht="18" customHeight="1">
      <c r="A156" s="10" t="s">
        <v>67</v>
      </c>
      <c r="B156" s="10" t="s">
        <v>205</v>
      </c>
      <c r="C156" s="10">
        <v>907481876.83694839</v>
      </c>
      <c r="D156" s="10" t="s">
        <v>204</v>
      </c>
    </row>
    <row r="157" spans="1:4" ht="18" customHeight="1">
      <c r="A157" s="10" t="s">
        <v>67</v>
      </c>
      <c r="B157" s="10" t="s">
        <v>206</v>
      </c>
      <c r="C157" s="10">
        <v>907481876.83694816</v>
      </c>
      <c r="D157" s="10" t="s">
        <v>204</v>
      </c>
    </row>
    <row r="158" spans="1:4" ht="18" customHeight="1">
      <c r="A158" s="10" t="s">
        <v>67</v>
      </c>
      <c r="B158" s="10" t="s">
        <v>207</v>
      </c>
      <c r="C158" s="10">
        <v>1.1920928955078125E-7</v>
      </c>
      <c r="D158" s="10" t="s">
        <v>204</v>
      </c>
    </row>
    <row r="159" spans="1:4" ht="18" customHeight="1">
      <c r="A159" s="10" t="s">
        <v>67</v>
      </c>
      <c r="B159" s="10" t="s">
        <v>208</v>
      </c>
      <c r="C159" s="10">
        <v>-1.1920928955078125E-7</v>
      </c>
      <c r="D159" s="10" t="s">
        <v>204</v>
      </c>
    </row>
    <row r="160" spans="1:4" ht="18" customHeight="1">
      <c r="A160" s="10" t="s">
        <v>67</v>
      </c>
      <c r="B160" s="10" t="s">
        <v>209</v>
      </c>
      <c r="C160" s="10" t="s">
        <v>197</v>
      </c>
      <c r="D160" s="10" t="s">
        <v>198</v>
      </c>
    </row>
    <row r="161" spans="1:4" ht="18" customHeight="1">
      <c r="A161" s="10" t="s">
        <v>67</v>
      </c>
      <c r="B161" s="10" t="s">
        <v>210</v>
      </c>
      <c r="C161" s="10" t="s">
        <v>197</v>
      </c>
      <c r="D161" s="10" t="s">
        <v>198</v>
      </c>
    </row>
    <row r="162" spans="1:4" ht="18" customHeight="1">
      <c r="A162" s="10" t="s">
        <v>67</v>
      </c>
      <c r="B162" s="10" t="s">
        <v>211</v>
      </c>
      <c r="C162" s="10">
        <v>0</v>
      </c>
      <c r="D162" s="10" t="s">
        <v>201</v>
      </c>
    </row>
    <row r="163" spans="1:4" ht="18" customHeight="1">
      <c r="A163" s="10" t="s">
        <v>67</v>
      </c>
      <c r="B163" s="10" t="s">
        <v>212</v>
      </c>
      <c r="C163" s="10">
        <v>0</v>
      </c>
      <c r="D163" s="10" t="s">
        <v>201</v>
      </c>
    </row>
    <row r="164" spans="1:4" ht="18" customHeight="1">
      <c r="A164" s="10" t="s">
        <v>83</v>
      </c>
      <c r="B164" s="10" t="s">
        <v>192</v>
      </c>
      <c r="C164" s="10">
        <v>249459.5239463328</v>
      </c>
      <c r="D164" s="10" t="s">
        <v>193</v>
      </c>
    </row>
    <row r="165" spans="1:4" ht="18" customHeight="1">
      <c r="A165" s="10" t="s">
        <v>83</v>
      </c>
      <c r="B165" s="10" t="s">
        <v>194</v>
      </c>
      <c r="C165" s="10">
        <v>249459.52394633277</v>
      </c>
      <c r="D165" s="10" t="s">
        <v>193</v>
      </c>
    </row>
    <row r="166" spans="1:4" ht="18" customHeight="1">
      <c r="A166" s="10" t="s">
        <v>83</v>
      </c>
      <c r="B166" s="10" t="s">
        <v>195</v>
      </c>
      <c r="C166" s="10">
        <v>-2.9103830456733704E-11</v>
      </c>
      <c r="D166" s="10" t="s">
        <v>193</v>
      </c>
    </row>
    <row r="167" spans="1:4" ht="18" customHeight="1">
      <c r="A167" s="10" t="s">
        <v>83</v>
      </c>
      <c r="B167" s="10" t="s">
        <v>196</v>
      </c>
      <c r="C167" s="10" t="s">
        <v>197</v>
      </c>
      <c r="D167" s="10" t="s">
        <v>198</v>
      </c>
    </row>
    <row r="168" spans="1:4" ht="18" customHeight="1">
      <c r="A168" s="10" t="s">
        <v>83</v>
      </c>
      <c r="B168" s="10" t="s">
        <v>5</v>
      </c>
      <c r="C168" s="10">
        <v>249459.52394633277</v>
      </c>
      <c r="D168" s="10" t="s">
        <v>193</v>
      </c>
    </row>
    <row r="169" spans="1:4" ht="18" customHeight="1">
      <c r="A169" s="10" t="s">
        <v>83</v>
      </c>
      <c r="B169" s="10" t="s">
        <v>199</v>
      </c>
      <c r="C169" s="10">
        <v>1</v>
      </c>
      <c r="D169" s="10" t="s">
        <v>200</v>
      </c>
    </row>
    <row r="170" spans="1:4" ht="18" customHeight="1">
      <c r="A170" s="10" t="s">
        <v>83</v>
      </c>
      <c r="B170" s="10" t="s">
        <v>8</v>
      </c>
      <c r="C170" s="10">
        <v>34</v>
      </c>
      <c r="D170" s="10" t="s">
        <v>201</v>
      </c>
    </row>
    <row r="171" spans="1:4" ht="18" customHeight="1">
      <c r="A171" s="10" t="s">
        <v>83</v>
      </c>
      <c r="B171" s="10" t="s">
        <v>9</v>
      </c>
      <c r="C171" s="10">
        <v>34</v>
      </c>
      <c r="D171" s="10" t="s">
        <v>201</v>
      </c>
    </row>
    <row r="172" spans="1:4" ht="18" customHeight="1">
      <c r="A172" s="10" t="s">
        <v>83</v>
      </c>
      <c r="B172" s="10" t="s">
        <v>202</v>
      </c>
      <c r="C172" s="10">
        <v>0</v>
      </c>
      <c r="D172" s="10" t="s">
        <v>201</v>
      </c>
    </row>
    <row r="173" spans="1:4" ht="18" customHeight="1">
      <c r="A173" s="10" t="s">
        <v>83</v>
      </c>
      <c r="B173" s="10" t="s">
        <v>203</v>
      </c>
      <c r="C173" s="10">
        <v>577352176.97183883</v>
      </c>
      <c r="D173" s="10" t="s">
        <v>204</v>
      </c>
    </row>
    <row r="174" spans="1:4" ht="18" customHeight="1">
      <c r="A174" s="10" t="s">
        <v>83</v>
      </c>
      <c r="B174" s="10" t="s">
        <v>205</v>
      </c>
      <c r="C174" s="10">
        <v>577352176.97183883</v>
      </c>
      <c r="D174" s="10" t="s">
        <v>204</v>
      </c>
    </row>
    <row r="175" spans="1:4" ht="18" customHeight="1">
      <c r="A175" s="10" t="s">
        <v>83</v>
      </c>
      <c r="B175" s="10" t="s">
        <v>206</v>
      </c>
      <c r="C175" s="10">
        <v>577352176.97183871</v>
      </c>
      <c r="D175" s="10" t="s">
        <v>204</v>
      </c>
    </row>
    <row r="176" spans="1:4" ht="18" customHeight="1">
      <c r="A176" s="10" t="s">
        <v>83</v>
      </c>
      <c r="B176" s="10" t="s">
        <v>207</v>
      </c>
      <c r="C176" s="10">
        <v>0</v>
      </c>
      <c r="D176" s="10" t="s">
        <v>204</v>
      </c>
    </row>
    <row r="177" spans="1:4" ht="18" customHeight="1">
      <c r="A177" s="10" t="s">
        <v>83</v>
      </c>
      <c r="B177" s="10" t="s">
        <v>208</v>
      </c>
      <c r="C177" s="10">
        <v>-1.1920928955078125E-7</v>
      </c>
      <c r="D177" s="10" t="s">
        <v>204</v>
      </c>
    </row>
    <row r="178" spans="1:4" ht="18" customHeight="1">
      <c r="A178" s="10" t="s">
        <v>83</v>
      </c>
      <c r="B178" s="10" t="s">
        <v>209</v>
      </c>
      <c r="C178" s="10" t="s">
        <v>197</v>
      </c>
      <c r="D178" s="10" t="s">
        <v>198</v>
      </c>
    </row>
    <row r="179" spans="1:4" ht="18" customHeight="1">
      <c r="A179" s="10" t="s">
        <v>83</v>
      </c>
      <c r="B179" s="10" t="s">
        <v>210</v>
      </c>
      <c r="C179" s="10" t="s">
        <v>197</v>
      </c>
      <c r="D179" s="10" t="s">
        <v>198</v>
      </c>
    </row>
    <row r="180" spans="1:4" ht="18" customHeight="1">
      <c r="A180" s="10" t="s">
        <v>83</v>
      </c>
      <c r="B180" s="10" t="s">
        <v>211</v>
      </c>
      <c r="C180" s="10">
        <v>0</v>
      </c>
      <c r="D180" s="10" t="s">
        <v>201</v>
      </c>
    </row>
    <row r="181" spans="1:4" ht="18" customHeight="1">
      <c r="A181" s="10" t="s">
        <v>83</v>
      </c>
      <c r="B181" s="10" t="s">
        <v>212</v>
      </c>
      <c r="C181" s="10">
        <v>0</v>
      </c>
      <c r="D181" s="10" t="s">
        <v>201</v>
      </c>
    </row>
    <row r="182" spans="1:4" ht="18" customHeight="1">
      <c r="A182" s="10" t="s">
        <v>175</v>
      </c>
      <c r="B182" s="10" t="s">
        <v>192</v>
      </c>
      <c r="C182" s="10">
        <v>1622.2799593135001</v>
      </c>
      <c r="D182" s="10" t="s">
        <v>193</v>
      </c>
    </row>
    <row r="183" spans="1:4" ht="18" customHeight="1">
      <c r="A183" s="10" t="s">
        <v>175</v>
      </c>
      <c r="B183" s="10" t="s">
        <v>194</v>
      </c>
      <c r="C183" s="10">
        <v>1622.2799593135003</v>
      </c>
      <c r="D183" s="10" t="s">
        <v>193</v>
      </c>
    </row>
    <row r="184" spans="1:4" ht="18" customHeight="1">
      <c r="A184" s="10" t="s">
        <v>175</v>
      </c>
      <c r="B184" s="10" t="s">
        <v>195</v>
      </c>
      <c r="C184" s="10">
        <v>2.2737367544323206E-13</v>
      </c>
      <c r="D184" s="10" t="s">
        <v>193</v>
      </c>
    </row>
    <row r="185" spans="1:4" ht="18" customHeight="1">
      <c r="A185" s="10" t="s">
        <v>175</v>
      </c>
      <c r="B185" s="10" t="s">
        <v>196</v>
      </c>
      <c r="C185" s="10" t="s">
        <v>197</v>
      </c>
      <c r="D185" s="10" t="s">
        <v>198</v>
      </c>
    </row>
    <row r="186" spans="1:4" ht="18" customHeight="1">
      <c r="A186" s="10" t="s">
        <v>175</v>
      </c>
      <c r="B186" s="10" t="s">
        <v>5</v>
      </c>
      <c r="C186" s="10">
        <v>1622.2799593135003</v>
      </c>
      <c r="D186" s="10" t="s">
        <v>193</v>
      </c>
    </row>
    <row r="187" spans="1:4" ht="18" customHeight="1">
      <c r="A187" s="10" t="s">
        <v>175</v>
      </c>
      <c r="B187" s="10" t="s">
        <v>199</v>
      </c>
      <c r="C187" s="10">
        <v>1</v>
      </c>
      <c r="D187" s="10" t="s">
        <v>200</v>
      </c>
    </row>
    <row r="188" spans="1:4" ht="18" customHeight="1">
      <c r="A188" s="10" t="s">
        <v>175</v>
      </c>
      <c r="B188" s="10" t="s">
        <v>8</v>
      </c>
      <c r="C188" s="10">
        <v>6</v>
      </c>
      <c r="D188" s="10" t="s">
        <v>201</v>
      </c>
    </row>
    <row r="189" spans="1:4" ht="18" customHeight="1">
      <c r="A189" s="10" t="s">
        <v>175</v>
      </c>
      <c r="B189" s="10" t="s">
        <v>9</v>
      </c>
      <c r="C189" s="10">
        <v>6</v>
      </c>
      <c r="D189" s="10" t="s">
        <v>201</v>
      </c>
    </row>
    <row r="190" spans="1:4" ht="18" customHeight="1">
      <c r="A190" s="10" t="s">
        <v>175</v>
      </c>
      <c r="B190" s="10" t="s">
        <v>202</v>
      </c>
      <c r="C190" s="10">
        <v>0</v>
      </c>
      <c r="D190" s="10" t="s">
        <v>201</v>
      </c>
    </row>
    <row r="191" spans="1:4" ht="18" customHeight="1">
      <c r="A191" s="10" t="s">
        <v>175</v>
      </c>
      <c r="B191" s="10" t="s">
        <v>203</v>
      </c>
      <c r="C191" s="10">
        <v>316826.04706013901</v>
      </c>
      <c r="D191" s="10" t="s">
        <v>204</v>
      </c>
    </row>
    <row r="192" spans="1:4" ht="18" customHeight="1">
      <c r="A192" s="10" t="s">
        <v>175</v>
      </c>
      <c r="B192" s="10" t="s">
        <v>205</v>
      </c>
      <c r="C192" s="10">
        <v>316826.04706013901</v>
      </c>
      <c r="D192" s="10" t="s">
        <v>204</v>
      </c>
    </row>
    <row r="193" spans="1:4" ht="18" customHeight="1">
      <c r="A193" s="10" t="s">
        <v>175</v>
      </c>
      <c r="B193" s="10" t="s">
        <v>206</v>
      </c>
      <c r="C193" s="10">
        <v>316826.04706013901</v>
      </c>
      <c r="D193" s="10" t="s">
        <v>204</v>
      </c>
    </row>
    <row r="194" spans="1:4" ht="18" customHeight="1">
      <c r="A194" s="10" t="s">
        <v>175</v>
      </c>
      <c r="B194" s="10" t="s">
        <v>207</v>
      </c>
      <c r="C194" s="10">
        <v>0</v>
      </c>
      <c r="D194" s="10" t="s">
        <v>204</v>
      </c>
    </row>
    <row r="195" spans="1:4" ht="18" customHeight="1">
      <c r="A195" s="10" t="s">
        <v>175</v>
      </c>
      <c r="B195" s="10" t="s">
        <v>208</v>
      </c>
      <c r="C195" s="10">
        <v>0</v>
      </c>
      <c r="D195" s="10" t="s">
        <v>204</v>
      </c>
    </row>
    <row r="196" spans="1:4" ht="18" customHeight="1">
      <c r="A196" s="10" t="s">
        <v>175</v>
      </c>
      <c r="B196" s="10" t="s">
        <v>209</v>
      </c>
      <c r="C196" s="10" t="s">
        <v>197</v>
      </c>
      <c r="D196" s="10" t="s">
        <v>198</v>
      </c>
    </row>
    <row r="197" spans="1:4" ht="18" customHeight="1">
      <c r="A197" s="10" t="s">
        <v>175</v>
      </c>
      <c r="B197" s="10" t="s">
        <v>210</v>
      </c>
      <c r="C197" s="10" t="s">
        <v>197</v>
      </c>
      <c r="D197" s="10" t="s">
        <v>198</v>
      </c>
    </row>
    <row r="198" spans="1:4" ht="18" customHeight="1">
      <c r="A198" s="10" t="s">
        <v>175</v>
      </c>
      <c r="B198" s="10" t="s">
        <v>211</v>
      </c>
      <c r="C198" s="10">
        <v>0</v>
      </c>
      <c r="D198" s="10" t="s">
        <v>201</v>
      </c>
    </row>
    <row r="199" spans="1:4" ht="18" customHeight="1">
      <c r="A199" s="10" t="s">
        <v>175</v>
      </c>
      <c r="B199" s="10" t="s">
        <v>212</v>
      </c>
      <c r="C199" s="10">
        <v>0</v>
      </c>
      <c r="D199" s="10" t="s">
        <v>201</v>
      </c>
    </row>
    <row r="200" spans="1:4" ht="18" customHeight="1">
      <c r="A200" s="10" t="s">
        <v>107</v>
      </c>
      <c r="B200" s="10" t="s">
        <v>192</v>
      </c>
      <c r="C200" s="10">
        <v>132995.67933726677</v>
      </c>
      <c r="D200" s="10" t="s">
        <v>193</v>
      </c>
    </row>
    <row r="201" spans="1:4" ht="18" customHeight="1">
      <c r="A201" s="10" t="s">
        <v>107</v>
      </c>
      <c r="B201" s="10" t="s">
        <v>194</v>
      </c>
      <c r="C201" s="10">
        <v>132995.67933726683</v>
      </c>
      <c r="D201" s="10" t="s">
        <v>193</v>
      </c>
    </row>
    <row r="202" spans="1:4" ht="18" customHeight="1">
      <c r="A202" s="10" t="s">
        <v>107</v>
      </c>
      <c r="B202" s="10" t="s">
        <v>195</v>
      </c>
      <c r="C202" s="10">
        <v>5.8207660913467407E-11</v>
      </c>
      <c r="D202" s="10" t="s">
        <v>193</v>
      </c>
    </row>
    <row r="203" spans="1:4" ht="18" customHeight="1">
      <c r="A203" s="10" t="s">
        <v>107</v>
      </c>
      <c r="B203" s="10" t="s">
        <v>196</v>
      </c>
      <c r="C203" s="10" t="s">
        <v>197</v>
      </c>
      <c r="D203" s="10" t="s">
        <v>198</v>
      </c>
    </row>
    <row r="204" spans="1:4" ht="18" customHeight="1">
      <c r="A204" s="10" t="s">
        <v>107</v>
      </c>
      <c r="B204" s="10" t="s">
        <v>5</v>
      </c>
      <c r="C204" s="10">
        <v>132995.67933726683</v>
      </c>
      <c r="D204" s="10" t="s">
        <v>193</v>
      </c>
    </row>
    <row r="205" spans="1:4" ht="18" customHeight="1">
      <c r="A205" s="10" t="s">
        <v>107</v>
      </c>
      <c r="B205" s="10" t="s">
        <v>199</v>
      </c>
      <c r="C205" s="10">
        <v>1</v>
      </c>
      <c r="D205" s="10" t="s">
        <v>200</v>
      </c>
    </row>
    <row r="206" spans="1:4" ht="18" customHeight="1">
      <c r="A206" s="10" t="s">
        <v>107</v>
      </c>
      <c r="B206" s="10" t="s">
        <v>8</v>
      </c>
      <c r="C206" s="10">
        <v>21</v>
      </c>
      <c r="D206" s="10" t="s">
        <v>201</v>
      </c>
    </row>
    <row r="207" spans="1:4" ht="18" customHeight="1">
      <c r="A207" s="10" t="s">
        <v>107</v>
      </c>
      <c r="B207" s="10" t="s">
        <v>9</v>
      </c>
      <c r="C207" s="10">
        <v>21</v>
      </c>
      <c r="D207" s="10" t="s">
        <v>201</v>
      </c>
    </row>
    <row r="208" spans="1:4" ht="18" customHeight="1">
      <c r="A208" s="10" t="s">
        <v>107</v>
      </c>
      <c r="B208" s="10" t="s">
        <v>202</v>
      </c>
      <c r="C208" s="10">
        <v>0</v>
      </c>
      <c r="D208" s="10" t="s">
        <v>201</v>
      </c>
    </row>
    <row r="209" spans="1:4" ht="18" customHeight="1">
      <c r="A209" s="10" t="s">
        <v>107</v>
      </c>
      <c r="B209" s="10" t="s">
        <v>203</v>
      </c>
      <c r="C209" s="10">
        <v>284384862.06303293</v>
      </c>
      <c r="D209" s="10" t="s">
        <v>204</v>
      </c>
    </row>
    <row r="210" spans="1:4" ht="18" customHeight="1">
      <c r="A210" s="10" t="s">
        <v>107</v>
      </c>
      <c r="B210" s="10" t="s">
        <v>205</v>
      </c>
      <c r="C210" s="10">
        <v>284384862.06303287</v>
      </c>
      <c r="D210" s="10" t="s">
        <v>204</v>
      </c>
    </row>
    <row r="211" spans="1:4" ht="18" customHeight="1">
      <c r="A211" s="10" t="s">
        <v>107</v>
      </c>
      <c r="B211" s="10" t="s">
        <v>206</v>
      </c>
      <c r="C211" s="10">
        <v>284384862.06303293</v>
      </c>
      <c r="D211" s="10" t="s">
        <v>204</v>
      </c>
    </row>
    <row r="212" spans="1:4" ht="18" customHeight="1">
      <c r="A212" s="10" t="s">
        <v>107</v>
      </c>
      <c r="B212" s="10" t="s">
        <v>207</v>
      </c>
      <c r="C212" s="10">
        <v>-5.9604644775390625E-8</v>
      </c>
      <c r="D212" s="10" t="s">
        <v>204</v>
      </c>
    </row>
    <row r="213" spans="1:4" ht="18" customHeight="1">
      <c r="A213" s="10" t="s">
        <v>107</v>
      </c>
      <c r="B213" s="10" t="s">
        <v>208</v>
      </c>
      <c r="C213" s="10">
        <v>0</v>
      </c>
      <c r="D213" s="10" t="s">
        <v>204</v>
      </c>
    </row>
    <row r="214" spans="1:4" ht="18" customHeight="1">
      <c r="A214" s="10" t="s">
        <v>107</v>
      </c>
      <c r="B214" s="10" t="s">
        <v>209</v>
      </c>
      <c r="C214" s="10" t="s">
        <v>197</v>
      </c>
      <c r="D214" s="10" t="s">
        <v>198</v>
      </c>
    </row>
    <row r="215" spans="1:4" ht="18" customHeight="1">
      <c r="A215" s="10" t="s">
        <v>107</v>
      </c>
      <c r="B215" s="10" t="s">
        <v>210</v>
      </c>
      <c r="C215" s="10" t="s">
        <v>197</v>
      </c>
      <c r="D215" s="10" t="s">
        <v>198</v>
      </c>
    </row>
    <row r="216" spans="1:4" ht="18" customHeight="1">
      <c r="A216" s="10" t="s">
        <v>107</v>
      </c>
      <c r="B216" s="10" t="s">
        <v>211</v>
      </c>
      <c r="C216" s="10">
        <v>0</v>
      </c>
      <c r="D216" s="10" t="s">
        <v>201</v>
      </c>
    </row>
    <row r="217" spans="1:4" ht="18" customHeight="1">
      <c r="A217" s="10" t="s">
        <v>107</v>
      </c>
      <c r="B217" s="10" t="s">
        <v>212</v>
      </c>
      <c r="C217" s="10">
        <v>0</v>
      </c>
      <c r="D217" s="10" t="s">
        <v>201</v>
      </c>
    </row>
    <row r="218" spans="1:4" ht="18" customHeight="1">
      <c r="A218" s="10" t="s">
        <v>169</v>
      </c>
      <c r="B218" s="10" t="s">
        <v>192</v>
      </c>
      <c r="C218" s="10">
        <v>402.2913954087</v>
      </c>
      <c r="D218" s="10" t="s">
        <v>193</v>
      </c>
    </row>
    <row r="219" spans="1:4" ht="18" customHeight="1">
      <c r="A219" s="10" t="s">
        <v>169</v>
      </c>
      <c r="B219" s="10" t="s">
        <v>194</v>
      </c>
      <c r="C219" s="10">
        <v>402.29139540870005</v>
      </c>
      <c r="D219" s="10" t="s">
        <v>193</v>
      </c>
    </row>
    <row r="220" spans="1:4" ht="18" customHeight="1">
      <c r="A220" s="10" t="s">
        <v>169</v>
      </c>
      <c r="B220" s="10" t="s">
        <v>195</v>
      </c>
      <c r="C220" s="10">
        <v>5.6843418860808015E-14</v>
      </c>
      <c r="D220" s="10" t="s">
        <v>193</v>
      </c>
    </row>
    <row r="221" spans="1:4" ht="18" customHeight="1">
      <c r="A221" s="10" t="s">
        <v>169</v>
      </c>
      <c r="B221" s="10" t="s">
        <v>196</v>
      </c>
      <c r="C221" s="10" t="s">
        <v>197</v>
      </c>
      <c r="D221" s="10" t="s">
        <v>198</v>
      </c>
    </row>
    <row r="222" spans="1:4" ht="18" customHeight="1">
      <c r="A222" s="10" t="s">
        <v>169</v>
      </c>
      <c r="B222" s="10" t="s">
        <v>5</v>
      </c>
      <c r="C222" s="10">
        <v>402.29139540870005</v>
      </c>
      <c r="D222" s="10" t="s">
        <v>193</v>
      </c>
    </row>
    <row r="223" spans="1:4" ht="18" customHeight="1">
      <c r="A223" s="10" t="s">
        <v>169</v>
      </c>
      <c r="B223" s="10" t="s">
        <v>199</v>
      </c>
      <c r="C223" s="10">
        <v>1</v>
      </c>
      <c r="D223" s="10" t="s">
        <v>200</v>
      </c>
    </row>
    <row r="224" spans="1:4" ht="18" customHeight="1">
      <c r="A224" s="10" t="s">
        <v>169</v>
      </c>
      <c r="B224" s="10" t="s">
        <v>8</v>
      </c>
      <c r="C224" s="10">
        <v>16</v>
      </c>
      <c r="D224" s="10" t="s">
        <v>201</v>
      </c>
    </row>
    <row r="225" spans="1:4" ht="18" customHeight="1">
      <c r="A225" s="10" t="s">
        <v>169</v>
      </c>
      <c r="B225" s="10" t="s">
        <v>9</v>
      </c>
      <c r="C225" s="10">
        <v>16</v>
      </c>
      <c r="D225" s="10" t="s">
        <v>201</v>
      </c>
    </row>
    <row r="226" spans="1:4" ht="18" customHeight="1">
      <c r="A226" s="10" t="s">
        <v>169</v>
      </c>
      <c r="B226" s="10" t="s">
        <v>202</v>
      </c>
      <c r="C226" s="10">
        <v>0</v>
      </c>
      <c r="D226" s="10" t="s">
        <v>201</v>
      </c>
    </row>
    <row r="227" spans="1:4" ht="18" customHeight="1">
      <c r="A227" s="10" t="s">
        <v>169</v>
      </c>
      <c r="B227" s="10" t="s">
        <v>203</v>
      </c>
      <c r="C227" s="10">
        <v>759816.52371742425</v>
      </c>
      <c r="D227" s="10" t="s">
        <v>204</v>
      </c>
    </row>
    <row r="228" spans="1:4" ht="18" customHeight="1">
      <c r="A228" s="10" t="s">
        <v>169</v>
      </c>
      <c r="B228" s="10" t="s">
        <v>205</v>
      </c>
      <c r="C228" s="10">
        <v>759816.52371742413</v>
      </c>
      <c r="D228" s="10" t="s">
        <v>204</v>
      </c>
    </row>
    <row r="229" spans="1:4" ht="18" customHeight="1">
      <c r="A229" s="10" t="s">
        <v>169</v>
      </c>
      <c r="B229" s="10" t="s">
        <v>206</v>
      </c>
      <c r="C229" s="10">
        <v>759816.52371742402</v>
      </c>
      <c r="D229" s="10" t="s">
        <v>204</v>
      </c>
    </row>
    <row r="230" spans="1:4" ht="18" customHeight="1">
      <c r="A230" s="10" t="s">
        <v>169</v>
      </c>
      <c r="B230" s="10" t="s">
        <v>207</v>
      </c>
      <c r="C230" s="10">
        <v>-1.1641532182693481E-10</v>
      </c>
      <c r="D230" s="10" t="s">
        <v>204</v>
      </c>
    </row>
    <row r="231" spans="1:4" ht="18" customHeight="1">
      <c r="A231" s="10" t="s">
        <v>169</v>
      </c>
      <c r="B231" s="10" t="s">
        <v>208</v>
      </c>
      <c r="C231" s="10">
        <v>-2.3283064365386963E-10</v>
      </c>
      <c r="D231" s="10" t="s">
        <v>204</v>
      </c>
    </row>
    <row r="232" spans="1:4" ht="18" customHeight="1">
      <c r="A232" s="10" t="s">
        <v>169</v>
      </c>
      <c r="B232" s="10" t="s">
        <v>209</v>
      </c>
      <c r="C232" s="10" t="s">
        <v>197</v>
      </c>
      <c r="D232" s="10" t="s">
        <v>198</v>
      </c>
    </row>
    <row r="233" spans="1:4" ht="18" customHeight="1">
      <c r="A233" s="10" t="s">
        <v>169</v>
      </c>
      <c r="B233" s="10" t="s">
        <v>210</v>
      </c>
      <c r="C233" s="10" t="s">
        <v>197</v>
      </c>
      <c r="D233" s="10" t="s">
        <v>198</v>
      </c>
    </row>
    <row r="234" spans="1:4" ht="18" customHeight="1">
      <c r="A234" s="10" t="s">
        <v>169</v>
      </c>
      <c r="B234" s="10" t="s">
        <v>211</v>
      </c>
      <c r="C234" s="10">
        <v>0</v>
      </c>
      <c r="D234" s="10" t="s">
        <v>201</v>
      </c>
    </row>
    <row r="235" spans="1:4" ht="18" customHeight="1">
      <c r="A235" s="10" t="s">
        <v>169</v>
      </c>
      <c r="B235" s="10" t="s">
        <v>212</v>
      </c>
      <c r="C235" s="10">
        <v>0</v>
      </c>
      <c r="D235" s="10" t="s">
        <v>201</v>
      </c>
    </row>
    <row r="236" spans="1:4" ht="18" customHeight="1">
      <c r="A236" s="10" t="s">
        <v>47</v>
      </c>
      <c r="B236" s="10" t="s">
        <v>192</v>
      </c>
      <c r="C236" s="10">
        <v>571817.78655524598</v>
      </c>
      <c r="D236" s="10" t="s">
        <v>193</v>
      </c>
    </row>
    <row r="237" spans="1:4" ht="18" customHeight="1">
      <c r="A237" s="10" t="s">
        <v>47</v>
      </c>
      <c r="B237" s="10" t="s">
        <v>194</v>
      </c>
      <c r="C237" s="10">
        <v>571817.78655524598</v>
      </c>
      <c r="D237" s="10" t="s">
        <v>193</v>
      </c>
    </row>
    <row r="238" spans="1:4" ht="18" customHeight="1">
      <c r="A238" s="10" t="s">
        <v>47</v>
      </c>
      <c r="B238" s="10" t="s">
        <v>195</v>
      </c>
      <c r="C238" s="10">
        <v>0</v>
      </c>
      <c r="D238" s="10" t="s">
        <v>193</v>
      </c>
    </row>
    <row r="239" spans="1:4" ht="18" customHeight="1">
      <c r="A239" s="10" t="s">
        <v>47</v>
      </c>
      <c r="B239" s="10" t="s">
        <v>196</v>
      </c>
      <c r="C239" s="10" t="s">
        <v>197</v>
      </c>
      <c r="D239" s="10" t="s">
        <v>198</v>
      </c>
    </row>
    <row r="240" spans="1:4" ht="18" customHeight="1">
      <c r="A240" s="10" t="s">
        <v>47</v>
      </c>
      <c r="B240" s="10" t="s">
        <v>5</v>
      </c>
      <c r="C240" s="10">
        <v>571817.78655524598</v>
      </c>
      <c r="D240" s="10" t="s">
        <v>193</v>
      </c>
    </row>
    <row r="241" spans="1:4" ht="18" customHeight="1">
      <c r="A241" s="10" t="s">
        <v>47</v>
      </c>
      <c r="B241" s="10" t="s">
        <v>199</v>
      </c>
      <c r="C241" s="10">
        <v>1</v>
      </c>
      <c r="D241" s="10" t="s">
        <v>200</v>
      </c>
    </row>
    <row r="242" spans="1:4" ht="18" customHeight="1">
      <c r="A242" s="10" t="s">
        <v>47</v>
      </c>
      <c r="B242" s="10" t="s">
        <v>8</v>
      </c>
      <c r="C242" s="10">
        <v>23</v>
      </c>
      <c r="D242" s="10" t="s">
        <v>201</v>
      </c>
    </row>
    <row r="243" spans="1:4" ht="18" customHeight="1">
      <c r="A243" s="10" t="s">
        <v>47</v>
      </c>
      <c r="B243" s="10" t="s">
        <v>9</v>
      </c>
      <c r="C243" s="10">
        <v>23</v>
      </c>
      <c r="D243" s="10" t="s">
        <v>201</v>
      </c>
    </row>
    <row r="244" spans="1:4" ht="18" customHeight="1">
      <c r="A244" s="10" t="s">
        <v>47</v>
      </c>
      <c r="B244" s="10" t="s">
        <v>202</v>
      </c>
      <c r="C244" s="10">
        <v>0</v>
      </c>
      <c r="D244" s="10" t="s">
        <v>201</v>
      </c>
    </row>
    <row r="245" spans="1:4" ht="18" customHeight="1">
      <c r="A245" s="10" t="s">
        <v>47</v>
      </c>
      <c r="B245" s="10" t="s">
        <v>203</v>
      </c>
      <c r="C245" s="10">
        <v>1482147259.8171525</v>
      </c>
      <c r="D245" s="10" t="s">
        <v>204</v>
      </c>
    </row>
    <row r="246" spans="1:4" ht="18" customHeight="1">
      <c r="A246" s="10" t="s">
        <v>47</v>
      </c>
      <c r="B246" s="10" t="s">
        <v>205</v>
      </c>
      <c r="C246" s="10">
        <v>1482147259.8171525</v>
      </c>
      <c r="D246" s="10" t="s">
        <v>204</v>
      </c>
    </row>
    <row r="247" spans="1:4" ht="18" customHeight="1">
      <c r="A247" s="10" t="s">
        <v>47</v>
      </c>
      <c r="B247" s="10" t="s">
        <v>206</v>
      </c>
      <c r="C247" s="10">
        <v>1482147259.8171527</v>
      </c>
      <c r="D247" s="10" t="s">
        <v>204</v>
      </c>
    </row>
    <row r="248" spans="1:4" ht="18" customHeight="1">
      <c r="A248" s="10" t="s">
        <v>47</v>
      </c>
      <c r="B248" s="10" t="s">
        <v>207</v>
      </c>
      <c r="C248" s="10">
        <v>0</v>
      </c>
      <c r="D248" s="10" t="s">
        <v>204</v>
      </c>
    </row>
    <row r="249" spans="1:4" ht="18" customHeight="1">
      <c r="A249" s="10" t="s">
        <v>47</v>
      </c>
      <c r="B249" s="10" t="s">
        <v>208</v>
      </c>
      <c r="C249" s="10">
        <v>2.384185791015625E-7</v>
      </c>
      <c r="D249" s="10" t="s">
        <v>204</v>
      </c>
    </row>
    <row r="250" spans="1:4" ht="18" customHeight="1">
      <c r="A250" s="10" t="s">
        <v>47</v>
      </c>
      <c r="B250" s="10" t="s">
        <v>209</v>
      </c>
      <c r="C250" s="10" t="s">
        <v>197</v>
      </c>
      <c r="D250" s="10" t="s">
        <v>198</v>
      </c>
    </row>
    <row r="251" spans="1:4" ht="18" customHeight="1">
      <c r="A251" s="10" t="s">
        <v>47</v>
      </c>
      <c r="B251" s="10" t="s">
        <v>210</v>
      </c>
      <c r="C251" s="10" t="s">
        <v>197</v>
      </c>
      <c r="D251" s="10" t="s">
        <v>198</v>
      </c>
    </row>
    <row r="252" spans="1:4" ht="18" customHeight="1">
      <c r="A252" s="10" t="s">
        <v>47</v>
      </c>
      <c r="B252" s="10" t="s">
        <v>211</v>
      </c>
      <c r="C252" s="10">
        <v>0</v>
      </c>
      <c r="D252" s="10" t="s">
        <v>201</v>
      </c>
    </row>
    <row r="253" spans="1:4" ht="18" customHeight="1">
      <c r="A253" s="10" t="s">
        <v>47</v>
      </c>
      <c r="B253" s="10" t="s">
        <v>212</v>
      </c>
      <c r="C253" s="10">
        <v>0</v>
      </c>
      <c r="D253" s="10" t="s">
        <v>201</v>
      </c>
    </row>
    <row r="254" spans="1:4" ht="18" customHeight="1">
      <c r="A254" s="10" t="s">
        <v>34</v>
      </c>
      <c r="B254" s="10" t="s">
        <v>192</v>
      </c>
      <c r="C254" s="10">
        <v>860671.20760849258</v>
      </c>
      <c r="D254" s="10" t="s">
        <v>193</v>
      </c>
    </row>
    <row r="255" spans="1:4" ht="18" customHeight="1">
      <c r="A255" s="10" t="s">
        <v>34</v>
      </c>
      <c r="B255" s="10" t="s">
        <v>194</v>
      </c>
      <c r="C255" s="10">
        <v>860671.20760849258</v>
      </c>
      <c r="D255" s="10" t="s">
        <v>193</v>
      </c>
    </row>
    <row r="256" spans="1:4" ht="18" customHeight="1">
      <c r="A256" s="10" t="s">
        <v>34</v>
      </c>
      <c r="B256" s="10" t="s">
        <v>195</v>
      </c>
      <c r="C256" s="10">
        <v>0</v>
      </c>
      <c r="D256" s="10" t="s">
        <v>193</v>
      </c>
    </row>
    <row r="257" spans="1:4" ht="18" customHeight="1">
      <c r="A257" s="10" t="s">
        <v>34</v>
      </c>
      <c r="B257" s="10" t="s">
        <v>196</v>
      </c>
      <c r="C257" s="10" t="s">
        <v>197</v>
      </c>
      <c r="D257" s="10" t="s">
        <v>198</v>
      </c>
    </row>
    <row r="258" spans="1:4" ht="18" customHeight="1">
      <c r="A258" s="10" t="s">
        <v>34</v>
      </c>
      <c r="B258" s="10" t="s">
        <v>5</v>
      </c>
      <c r="C258" s="10">
        <v>860671.20760849258</v>
      </c>
      <c r="D258" s="10" t="s">
        <v>193</v>
      </c>
    </row>
    <row r="259" spans="1:4" ht="18" customHeight="1">
      <c r="A259" s="10" t="s">
        <v>34</v>
      </c>
      <c r="B259" s="10" t="s">
        <v>199</v>
      </c>
      <c r="C259" s="10">
        <v>1</v>
      </c>
      <c r="D259" s="10" t="s">
        <v>200</v>
      </c>
    </row>
    <row r="260" spans="1:4" ht="18" customHeight="1">
      <c r="A260" s="10" t="s">
        <v>34</v>
      </c>
      <c r="B260" s="10" t="s">
        <v>8</v>
      </c>
      <c r="C260" s="10">
        <v>26</v>
      </c>
      <c r="D260" s="10" t="s">
        <v>201</v>
      </c>
    </row>
    <row r="261" spans="1:4" ht="18" customHeight="1">
      <c r="A261" s="10" t="s">
        <v>34</v>
      </c>
      <c r="B261" s="10" t="s">
        <v>9</v>
      </c>
      <c r="C261" s="10">
        <v>26</v>
      </c>
      <c r="D261" s="10" t="s">
        <v>201</v>
      </c>
    </row>
    <row r="262" spans="1:4" ht="18" customHeight="1">
      <c r="A262" s="10" t="s">
        <v>34</v>
      </c>
      <c r="B262" s="10" t="s">
        <v>202</v>
      </c>
      <c r="C262" s="10">
        <v>0</v>
      </c>
      <c r="D262" s="10" t="s">
        <v>201</v>
      </c>
    </row>
    <row r="263" spans="1:4" ht="18" customHeight="1">
      <c r="A263" s="10" t="s">
        <v>34</v>
      </c>
      <c r="B263" s="10" t="s">
        <v>203</v>
      </c>
      <c r="C263" s="10">
        <v>2196179346.0276952</v>
      </c>
      <c r="D263" s="10" t="s">
        <v>204</v>
      </c>
    </row>
    <row r="264" spans="1:4" ht="18" customHeight="1">
      <c r="A264" s="10" t="s">
        <v>34</v>
      </c>
      <c r="B264" s="10" t="s">
        <v>205</v>
      </c>
      <c r="C264" s="10">
        <v>2196179346.0276957</v>
      </c>
      <c r="D264" s="10" t="s">
        <v>204</v>
      </c>
    </row>
    <row r="265" spans="1:4" ht="18" customHeight="1">
      <c r="A265" s="10" t="s">
        <v>34</v>
      </c>
      <c r="B265" s="10" t="s">
        <v>206</v>
      </c>
      <c r="C265" s="10">
        <v>2196179346.0276952</v>
      </c>
      <c r="D265" s="10" t="s">
        <v>204</v>
      </c>
    </row>
    <row r="266" spans="1:4" ht="18" customHeight="1">
      <c r="A266" s="10" t="s">
        <v>34</v>
      </c>
      <c r="B266" s="10" t="s">
        <v>207</v>
      </c>
      <c r="C266" s="10">
        <v>4.76837158203125E-7</v>
      </c>
      <c r="D266" s="10" t="s">
        <v>204</v>
      </c>
    </row>
    <row r="267" spans="1:4" ht="18" customHeight="1">
      <c r="A267" s="10" t="s">
        <v>34</v>
      </c>
      <c r="B267" s="10" t="s">
        <v>208</v>
      </c>
      <c r="C267" s="10">
        <v>0</v>
      </c>
      <c r="D267" s="10" t="s">
        <v>204</v>
      </c>
    </row>
    <row r="268" spans="1:4" ht="18" customHeight="1">
      <c r="A268" s="10" t="s">
        <v>34</v>
      </c>
      <c r="B268" s="10" t="s">
        <v>209</v>
      </c>
      <c r="C268" s="10" t="s">
        <v>197</v>
      </c>
      <c r="D268" s="10" t="s">
        <v>198</v>
      </c>
    </row>
    <row r="269" spans="1:4" ht="18" customHeight="1">
      <c r="A269" s="10" t="s">
        <v>34</v>
      </c>
      <c r="B269" s="10" t="s">
        <v>210</v>
      </c>
      <c r="C269" s="10" t="s">
        <v>197</v>
      </c>
      <c r="D269" s="10" t="s">
        <v>198</v>
      </c>
    </row>
    <row r="270" spans="1:4" ht="18" customHeight="1">
      <c r="A270" s="10" t="s">
        <v>34</v>
      </c>
      <c r="B270" s="10" t="s">
        <v>211</v>
      </c>
      <c r="C270" s="10">
        <v>0</v>
      </c>
      <c r="D270" s="10" t="s">
        <v>201</v>
      </c>
    </row>
    <row r="271" spans="1:4" ht="18" customHeight="1">
      <c r="A271" s="10" t="s">
        <v>34</v>
      </c>
      <c r="B271" s="10" t="s">
        <v>212</v>
      </c>
      <c r="C271" s="10">
        <v>0</v>
      </c>
      <c r="D271" s="10" t="s">
        <v>201</v>
      </c>
    </row>
    <row r="272" spans="1:4" ht="18" customHeight="1">
      <c r="A272" s="10" t="s">
        <v>135</v>
      </c>
      <c r="B272" s="10" t="s">
        <v>192</v>
      </c>
      <c r="C272" s="10">
        <v>45252.466822717099</v>
      </c>
      <c r="D272" s="10" t="s">
        <v>193</v>
      </c>
    </row>
    <row r="273" spans="1:4" ht="18" customHeight="1">
      <c r="A273" s="10" t="s">
        <v>135</v>
      </c>
      <c r="B273" s="10" t="s">
        <v>194</v>
      </c>
      <c r="C273" s="10">
        <v>45252.466822717106</v>
      </c>
      <c r="D273" s="10" t="s">
        <v>193</v>
      </c>
    </row>
    <row r="274" spans="1:4" ht="18" customHeight="1">
      <c r="A274" s="10" t="s">
        <v>135</v>
      </c>
      <c r="B274" s="10" t="s">
        <v>195</v>
      </c>
      <c r="C274" s="10">
        <v>7.2759576141834259E-12</v>
      </c>
      <c r="D274" s="10" t="s">
        <v>193</v>
      </c>
    </row>
    <row r="275" spans="1:4" ht="18" customHeight="1">
      <c r="A275" s="10" t="s">
        <v>135</v>
      </c>
      <c r="B275" s="10" t="s">
        <v>196</v>
      </c>
      <c r="C275" s="10" t="s">
        <v>197</v>
      </c>
      <c r="D275" s="10" t="s">
        <v>198</v>
      </c>
    </row>
    <row r="276" spans="1:4" ht="18" customHeight="1">
      <c r="A276" s="10" t="s">
        <v>135</v>
      </c>
      <c r="B276" s="10" t="s">
        <v>5</v>
      </c>
      <c r="C276" s="10">
        <v>45252.466822717106</v>
      </c>
      <c r="D276" s="10" t="s">
        <v>193</v>
      </c>
    </row>
    <row r="277" spans="1:4" ht="18" customHeight="1">
      <c r="A277" s="10" t="s">
        <v>135</v>
      </c>
      <c r="B277" s="10" t="s">
        <v>199</v>
      </c>
      <c r="C277" s="10">
        <v>1</v>
      </c>
      <c r="D277" s="10" t="s">
        <v>200</v>
      </c>
    </row>
    <row r="278" spans="1:4" ht="18" customHeight="1">
      <c r="A278" s="10" t="s">
        <v>135</v>
      </c>
      <c r="B278" s="10" t="s">
        <v>8</v>
      </c>
      <c r="C278" s="10">
        <v>27</v>
      </c>
      <c r="D278" s="10" t="s">
        <v>201</v>
      </c>
    </row>
    <row r="279" spans="1:4" ht="18" customHeight="1">
      <c r="A279" s="10" t="s">
        <v>135</v>
      </c>
      <c r="B279" s="10" t="s">
        <v>9</v>
      </c>
      <c r="C279" s="10">
        <v>27</v>
      </c>
      <c r="D279" s="10" t="s">
        <v>201</v>
      </c>
    </row>
    <row r="280" spans="1:4" ht="18" customHeight="1">
      <c r="A280" s="10" t="s">
        <v>135</v>
      </c>
      <c r="B280" s="10" t="s">
        <v>202</v>
      </c>
      <c r="C280" s="10">
        <v>0</v>
      </c>
      <c r="D280" s="10" t="s">
        <v>201</v>
      </c>
    </row>
    <row r="281" spans="1:4" ht="18" customHeight="1">
      <c r="A281" s="10" t="s">
        <v>135</v>
      </c>
      <c r="B281" s="10" t="s">
        <v>203</v>
      </c>
      <c r="C281" s="10">
        <v>91386286.47267893</v>
      </c>
      <c r="D281" s="10" t="s">
        <v>204</v>
      </c>
    </row>
    <row r="282" spans="1:4" ht="18" customHeight="1">
      <c r="A282" s="10" t="s">
        <v>135</v>
      </c>
      <c r="B282" s="10" t="s">
        <v>205</v>
      </c>
      <c r="C282" s="10">
        <v>91386286.47267893</v>
      </c>
      <c r="D282" s="10" t="s">
        <v>204</v>
      </c>
    </row>
    <row r="283" spans="1:4" ht="18" customHeight="1">
      <c r="A283" s="10" t="s">
        <v>135</v>
      </c>
      <c r="B283" s="10" t="s">
        <v>206</v>
      </c>
      <c r="C283" s="10">
        <v>91386286.47267893</v>
      </c>
      <c r="D283" s="10" t="s">
        <v>204</v>
      </c>
    </row>
    <row r="284" spans="1:4" ht="18" customHeight="1">
      <c r="A284" s="10" t="s">
        <v>135</v>
      </c>
      <c r="B284" s="10" t="s">
        <v>207</v>
      </c>
      <c r="C284" s="10">
        <v>0</v>
      </c>
      <c r="D284" s="10" t="s">
        <v>204</v>
      </c>
    </row>
    <row r="285" spans="1:4" ht="18" customHeight="1">
      <c r="A285" s="10" t="s">
        <v>135</v>
      </c>
      <c r="B285" s="10" t="s">
        <v>208</v>
      </c>
      <c r="C285" s="10">
        <v>0</v>
      </c>
      <c r="D285" s="10" t="s">
        <v>204</v>
      </c>
    </row>
    <row r="286" spans="1:4" ht="18" customHeight="1">
      <c r="A286" s="10" t="s">
        <v>135</v>
      </c>
      <c r="B286" s="10" t="s">
        <v>209</v>
      </c>
      <c r="C286" s="10" t="s">
        <v>197</v>
      </c>
      <c r="D286" s="10" t="s">
        <v>198</v>
      </c>
    </row>
    <row r="287" spans="1:4" ht="18" customHeight="1">
      <c r="A287" s="10" t="s">
        <v>135</v>
      </c>
      <c r="B287" s="10" t="s">
        <v>210</v>
      </c>
      <c r="C287" s="10" t="s">
        <v>197</v>
      </c>
      <c r="D287" s="10" t="s">
        <v>198</v>
      </c>
    </row>
    <row r="288" spans="1:4" ht="18" customHeight="1">
      <c r="A288" s="10" t="s">
        <v>135</v>
      </c>
      <c r="B288" s="10" t="s">
        <v>211</v>
      </c>
      <c r="C288" s="10">
        <v>0</v>
      </c>
      <c r="D288" s="10" t="s">
        <v>201</v>
      </c>
    </row>
    <row r="289" spans="1:4" ht="18" customHeight="1">
      <c r="A289" s="10" t="s">
        <v>135</v>
      </c>
      <c r="B289" s="10" t="s">
        <v>212</v>
      </c>
      <c r="C289" s="10">
        <v>0</v>
      </c>
      <c r="D289" s="10" t="s">
        <v>201</v>
      </c>
    </row>
    <row r="290" spans="1:4" ht="18" customHeight="1">
      <c r="A290" s="10" t="s">
        <v>79</v>
      </c>
      <c r="B290" s="10" t="s">
        <v>192</v>
      </c>
      <c r="C290" s="10">
        <v>245882.4176735426</v>
      </c>
      <c r="D290" s="10" t="s">
        <v>193</v>
      </c>
    </row>
    <row r="291" spans="1:4" ht="18" customHeight="1">
      <c r="A291" s="10" t="s">
        <v>79</v>
      </c>
      <c r="B291" s="10" t="s">
        <v>194</v>
      </c>
      <c r="C291" s="10">
        <v>245882.41767354257</v>
      </c>
      <c r="D291" s="10" t="s">
        <v>193</v>
      </c>
    </row>
    <row r="292" spans="1:4" ht="18" customHeight="1">
      <c r="A292" s="10" t="s">
        <v>79</v>
      </c>
      <c r="B292" s="10" t="s">
        <v>195</v>
      </c>
      <c r="C292" s="10">
        <v>-2.9103830456733704E-11</v>
      </c>
      <c r="D292" s="10" t="s">
        <v>193</v>
      </c>
    </row>
    <row r="293" spans="1:4" ht="18" customHeight="1">
      <c r="A293" s="10" t="s">
        <v>79</v>
      </c>
      <c r="B293" s="10" t="s">
        <v>196</v>
      </c>
      <c r="C293" s="10" t="s">
        <v>197</v>
      </c>
      <c r="D293" s="10" t="s">
        <v>198</v>
      </c>
    </row>
    <row r="294" spans="1:4" ht="18" customHeight="1">
      <c r="A294" s="10" t="s">
        <v>79</v>
      </c>
      <c r="B294" s="10" t="s">
        <v>5</v>
      </c>
      <c r="C294" s="10">
        <v>245882.41767354257</v>
      </c>
      <c r="D294" s="10" t="s">
        <v>193</v>
      </c>
    </row>
    <row r="295" spans="1:4" ht="18" customHeight="1">
      <c r="A295" s="10" t="s">
        <v>79</v>
      </c>
      <c r="B295" s="10" t="s">
        <v>199</v>
      </c>
      <c r="C295" s="10">
        <v>1</v>
      </c>
      <c r="D295" s="10" t="s">
        <v>200</v>
      </c>
    </row>
    <row r="296" spans="1:4" ht="18" customHeight="1">
      <c r="A296" s="10" t="s">
        <v>79</v>
      </c>
      <c r="B296" s="10" t="s">
        <v>8</v>
      </c>
      <c r="C296" s="10">
        <v>25</v>
      </c>
      <c r="D296" s="10" t="s">
        <v>201</v>
      </c>
    </row>
    <row r="297" spans="1:4" ht="18" customHeight="1">
      <c r="A297" s="10" t="s">
        <v>79</v>
      </c>
      <c r="B297" s="10" t="s">
        <v>9</v>
      </c>
      <c r="C297" s="10">
        <v>25</v>
      </c>
      <c r="D297" s="10" t="s">
        <v>201</v>
      </c>
    </row>
    <row r="298" spans="1:4" ht="18" customHeight="1">
      <c r="A298" s="10" t="s">
        <v>79</v>
      </c>
      <c r="B298" s="10" t="s">
        <v>202</v>
      </c>
      <c r="C298" s="10">
        <v>0</v>
      </c>
      <c r="D298" s="10" t="s">
        <v>201</v>
      </c>
    </row>
    <row r="299" spans="1:4" ht="18" customHeight="1">
      <c r="A299" s="10" t="s">
        <v>79</v>
      </c>
      <c r="B299" s="10" t="s">
        <v>203</v>
      </c>
      <c r="C299" s="10">
        <v>657270846.14351439</v>
      </c>
      <c r="D299" s="10" t="s">
        <v>204</v>
      </c>
    </row>
    <row r="300" spans="1:4" ht="18" customHeight="1">
      <c r="A300" s="10" t="s">
        <v>79</v>
      </c>
      <c r="B300" s="10" t="s">
        <v>205</v>
      </c>
      <c r="C300" s="10">
        <v>657270846.14351439</v>
      </c>
      <c r="D300" s="10" t="s">
        <v>204</v>
      </c>
    </row>
    <row r="301" spans="1:4" ht="18" customHeight="1">
      <c r="A301" s="10" t="s">
        <v>79</v>
      </c>
      <c r="B301" s="10" t="s">
        <v>206</v>
      </c>
      <c r="C301" s="10">
        <v>657270846.14351451</v>
      </c>
      <c r="D301" s="10" t="s">
        <v>204</v>
      </c>
    </row>
    <row r="302" spans="1:4" ht="18" customHeight="1">
      <c r="A302" s="10" t="s">
        <v>79</v>
      </c>
      <c r="B302" s="10" t="s">
        <v>207</v>
      </c>
      <c r="C302" s="10">
        <v>0</v>
      </c>
      <c r="D302" s="10" t="s">
        <v>204</v>
      </c>
    </row>
    <row r="303" spans="1:4" ht="18" customHeight="1">
      <c r="A303" s="10" t="s">
        <v>79</v>
      </c>
      <c r="B303" s="10" t="s">
        <v>208</v>
      </c>
      <c r="C303" s="10">
        <v>1.1920928955078125E-7</v>
      </c>
      <c r="D303" s="10" t="s">
        <v>204</v>
      </c>
    </row>
    <row r="304" spans="1:4" ht="18" customHeight="1">
      <c r="A304" s="10" t="s">
        <v>79</v>
      </c>
      <c r="B304" s="10" t="s">
        <v>209</v>
      </c>
      <c r="C304" s="10" t="s">
        <v>197</v>
      </c>
      <c r="D304" s="10" t="s">
        <v>198</v>
      </c>
    </row>
    <row r="305" spans="1:4" ht="18" customHeight="1">
      <c r="A305" s="10" t="s">
        <v>79</v>
      </c>
      <c r="B305" s="10" t="s">
        <v>210</v>
      </c>
      <c r="C305" s="10" t="s">
        <v>197</v>
      </c>
      <c r="D305" s="10" t="s">
        <v>198</v>
      </c>
    </row>
    <row r="306" spans="1:4" ht="18" customHeight="1">
      <c r="A306" s="10" t="s">
        <v>79</v>
      </c>
      <c r="B306" s="10" t="s">
        <v>211</v>
      </c>
      <c r="C306" s="10">
        <v>0</v>
      </c>
      <c r="D306" s="10" t="s">
        <v>201</v>
      </c>
    </row>
    <row r="307" spans="1:4" ht="18" customHeight="1">
      <c r="A307" s="10" t="s">
        <v>79</v>
      </c>
      <c r="B307" s="10" t="s">
        <v>212</v>
      </c>
      <c r="C307" s="10">
        <v>0</v>
      </c>
      <c r="D307" s="10" t="s">
        <v>201</v>
      </c>
    </row>
    <row r="308" spans="1:4" ht="18" customHeight="1">
      <c r="A308" s="10" t="s">
        <v>165</v>
      </c>
      <c r="B308" s="10" t="s">
        <v>192</v>
      </c>
      <c r="C308" s="10">
        <v>3559.327863</v>
      </c>
      <c r="D308" s="10" t="s">
        <v>193</v>
      </c>
    </row>
    <row r="309" spans="1:4" ht="18" customHeight="1">
      <c r="A309" s="10" t="s">
        <v>165</v>
      </c>
      <c r="B309" s="10" t="s">
        <v>194</v>
      </c>
      <c r="C309" s="10">
        <v>3559.327863</v>
      </c>
      <c r="D309" s="10" t="s">
        <v>193</v>
      </c>
    </row>
    <row r="310" spans="1:4" ht="18" customHeight="1">
      <c r="A310" s="10" t="s">
        <v>165</v>
      </c>
      <c r="B310" s="10" t="s">
        <v>195</v>
      </c>
      <c r="C310" s="10">
        <v>0</v>
      </c>
      <c r="D310" s="10" t="s">
        <v>193</v>
      </c>
    </row>
    <row r="311" spans="1:4" ht="18" customHeight="1">
      <c r="A311" s="10" t="s">
        <v>165</v>
      </c>
      <c r="B311" s="10" t="s">
        <v>196</v>
      </c>
      <c r="C311" s="10" t="s">
        <v>197</v>
      </c>
      <c r="D311" s="10" t="s">
        <v>198</v>
      </c>
    </row>
    <row r="312" spans="1:4" ht="18" customHeight="1">
      <c r="A312" s="10" t="s">
        <v>165</v>
      </c>
      <c r="B312" s="10" t="s">
        <v>5</v>
      </c>
      <c r="C312" s="10">
        <v>3559.327863</v>
      </c>
      <c r="D312" s="10" t="s">
        <v>193</v>
      </c>
    </row>
    <row r="313" spans="1:4" ht="18" customHeight="1">
      <c r="A313" s="10" t="s">
        <v>165</v>
      </c>
      <c r="B313" s="10" t="s">
        <v>199</v>
      </c>
      <c r="C313" s="10">
        <v>1</v>
      </c>
      <c r="D313" s="10" t="s">
        <v>200</v>
      </c>
    </row>
    <row r="314" spans="1:4" ht="18" customHeight="1">
      <c r="A314" s="10" t="s">
        <v>165</v>
      </c>
      <c r="B314" s="10" t="s">
        <v>8</v>
      </c>
      <c r="C314" s="10">
        <v>32</v>
      </c>
      <c r="D314" s="10" t="s">
        <v>201</v>
      </c>
    </row>
    <row r="315" spans="1:4" ht="18" customHeight="1">
      <c r="A315" s="10" t="s">
        <v>165</v>
      </c>
      <c r="B315" s="10" t="s">
        <v>9</v>
      </c>
      <c r="C315" s="10">
        <v>32</v>
      </c>
      <c r="D315" s="10" t="s">
        <v>201</v>
      </c>
    </row>
    <row r="316" spans="1:4" ht="18" customHeight="1">
      <c r="A316" s="10" t="s">
        <v>165</v>
      </c>
      <c r="B316" s="10" t="s">
        <v>202</v>
      </c>
      <c r="C316" s="10">
        <v>0</v>
      </c>
      <c r="D316" s="10" t="s">
        <v>201</v>
      </c>
    </row>
    <row r="317" spans="1:4" ht="18" customHeight="1">
      <c r="A317" s="10" t="s">
        <v>165</v>
      </c>
      <c r="B317" s="10" t="s">
        <v>203</v>
      </c>
      <c r="C317" s="10">
        <v>5471586.5471593495</v>
      </c>
      <c r="D317" s="10" t="s">
        <v>204</v>
      </c>
    </row>
    <row r="318" spans="1:4" ht="18" customHeight="1">
      <c r="A318" s="10" t="s">
        <v>165</v>
      </c>
      <c r="B318" s="10" t="s">
        <v>205</v>
      </c>
      <c r="C318" s="10">
        <v>5471586.5471593495</v>
      </c>
      <c r="D318" s="10" t="s">
        <v>204</v>
      </c>
    </row>
    <row r="319" spans="1:4" ht="18" customHeight="1">
      <c r="A319" s="10" t="s">
        <v>165</v>
      </c>
      <c r="B319" s="10" t="s">
        <v>206</v>
      </c>
      <c r="C319" s="10">
        <v>5471586.5471593486</v>
      </c>
      <c r="D319" s="10" t="s">
        <v>204</v>
      </c>
    </row>
    <row r="320" spans="1:4" ht="18" customHeight="1">
      <c r="A320" s="10" t="s">
        <v>165</v>
      </c>
      <c r="B320" s="10" t="s">
        <v>207</v>
      </c>
      <c r="C320" s="10">
        <v>0</v>
      </c>
      <c r="D320" s="10" t="s">
        <v>204</v>
      </c>
    </row>
    <row r="321" spans="1:4" ht="18" customHeight="1">
      <c r="A321" s="10" t="s">
        <v>165</v>
      </c>
      <c r="B321" s="10" t="s">
        <v>208</v>
      </c>
      <c r="C321" s="10">
        <v>-9.3132257461547852E-10</v>
      </c>
      <c r="D321" s="10" t="s">
        <v>204</v>
      </c>
    </row>
    <row r="322" spans="1:4" ht="18" customHeight="1">
      <c r="A322" s="10" t="s">
        <v>165</v>
      </c>
      <c r="B322" s="10" t="s">
        <v>209</v>
      </c>
      <c r="C322" s="10" t="s">
        <v>197</v>
      </c>
      <c r="D322" s="10" t="s">
        <v>198</v>
      </c>
    </row>
    <row r="323" spans="1:4" ht="18" customHeight="1">
      <c r="A323" s="10" t="s">
        <v>165</v>
      </c>
      <c r="B323" s="10" t="s">
        <v>210</v>
      </c>
      <c r="C323" s="10" t="s">
        <v>197</v>
      </c>
      <c r="D323" s="10" t="s">
        <v>198</v>
      </c>
    </row>
    <row r="324" spans="1:4" ht="18" customHeight="1">
      <c r="A324" s="10" t="s">
        <v>165</v>
      </c>
      <c r="B324" s="10" t="s">
        <v>211</v>
      </c>
      <c r="C324" s="10">
        <v>0</v>
      </c>
      <c r="D324" s="10" t="s">
        <v>201</v>
      </c>
    </row>
    <row r="325" spans="1:4" ht="18" customHeight="1">
      <c r="A325" s="10" t="s">
        <v>165</v>
      </c>
      <c r="B325" s="10" t="s">
        <v>212</v>
      </c>
      <c r="C325" s="10">
        <v>0</v>
      </c>
      <c r="D325" s="10" t="s">
        <v>201</v>
      </c>
    </row>
    <row r="326" spans="1:4" ht="18" customHeight="1">
      <c r="A326" s="10" t="s">
        <v>69</v>
      </c>
      <c r="B326" s="10" t="s">
        <v>192</v>
      </c>
      <c r="C326" s="10">
        <v>1300999.7714510455</v>
      </c>
      <c r="D326" s="10" t="s">
        <v>193</v>
      </c>
    </row>
    <row r="327" spans="1:4" ht="18" customHeight="1">
      <c r="A327" s="10" t="s">
        <v>69</v>
      </c>
      <c r="B327" s="10" t="s">
        <v>194</v>
      </c>
      <c r="C327" s="10">
        <v>1300999.7714510453</v>
      </c>
      <c r="D327" s="10" t="s">
        <v>193</v>
      </c>
    </row>
    <row r="328" spans="1:4" ht="18" customHeight="1">
      <c r="A328" s="10" t="s">
        <v>69</v>
      </c>
      <c r="B328" s="10" t="s">
        <v>195</v>
      </c>
      <c r="C328" s="10">
        <v>-2.3283064365386963E-10</v>
      </c>
      <c r="D328" s="10" t="s">
        <v>193</v>
      </c>
    </row>
    <row r="329" spans="1:4" ht="18" customHeight="1">
      <c r="A329" s="10" t="s">
        <v>69</v>
      </c>
      <c r="B329" s="10" t="s">
        <v>196</v>
      </c>
      <c r="C329" s="10" t="s">
        <v>197</v>
      </c>
      <c r="D329" s="10" t="s">
        <v>198</v>
      </c>
    </row>
    <row r="330" spans="1:4" ht="18" customHeight="1">
      <c r="A330" s="10" t="s">
        <v>69</v>
      </c>
      <c r="B330" s="10" t="s">
        <v>5</v>
      </c>
      <c r="C330" s="10">
        <v>1300999.7714510453</v>
      </c>
      <c r="D330" s="10" t="s">
        <v>193</v>
      </c>
    </row>
    <row r="331" spans="1:4" ht="18" customHeight="1">
      <c r="A331" s="10" t="s">
        <v>69</v>
      </c>
      <c r="B331" s="10" t="s">
        <v>199</v>
      </c>
      <c r="C331" s="10">
        <v>1</v>
      </c>
      <c r="D331" s="10" t="s">
        <v>200</v>
      </c>
    </row>
    <row r="332" spans="1:4" ht="18" customHeight="1">
      <c r="A332" s="10" t="s">
        <v>69</v>
      </c>
      <c r="B332" s="10" t="s">
        <v>8</v>
      </c>
      <c r="C332" s="10">
        <v>73</v>
      </c>
      <c r="D332" s="10" t="s">
        <v>201</v>
      </c>
    </row>
    <row r="333" spans="1:4" ht="18" customHeight="1">
      <c r="A333" s="10" t="s">
        <v>69</v>
      </c>
      <c r="B333" s="10" t="s">
        <v>9</v>
      </c>
      <c r="C333" s="10">
        <v>73</v>
      </c>
      <c r="D333" s="10" t="s">
        <v>201</v>
      </c>
    </row>
    <row r="334" spans="1:4" ht="18" customHeight="1">
      <c r="A334" s="10" t="s">
        <v>69</v>
      </c>
      <c r="B334" s="10" t="s">
        <v>202</v>
      </c>
      <c r="C334" s="10">
        <v>0</v>
      </c>
      <c r="D334" s="10" t="s">
        <v>201</v>
      </c>
    </row>
    <row r="335" spans="1:4" ht="18" customHeight="1">
      <c r="A335" s="10" t="s">
        <v>69</v>
      </c>
      <c r="B335" s="10" t="s">
        <v>203</v>
      </c>
      <c r="C335" s="10">
        <v>816435933.91241038</v>
      </c>
      <c r="D335" s="10" t="s">
        <v>204</v>
      </c>
    </row>
    <row r="336" spans="1:4" ht="18" customHeight="1">
      <c r="A336" s="10" t="s">
        <v>69</v>
      </c>
      <c r="B336" s="10" t="s">
        <v>205</v>
      </c>
      <c r="C336" s="10">
        <v>816435933.91241038</v>
      </c>
      <c r="D336" s="10" t="s">
        <v>204</v>
      </c>
    </row>
    <row r="337" spans="1:4" ht="18" customHeight="1">
      <c r="A337" s="10" t="s">
        <v>69</v>
      </c>
      <c r="B337" s="10" t="s">
        <v>206</v>
      </c>
      <c r="C337" s="10">
        <v>816435933.9124105</v>
      </c>
      <c r="D337" s="10" t="s">
        <v>204</v>
      </c>
    </row>
    <row r="338" spans="1:4" ht="18" customHeight="1">
      <c r="A338" s="10" t="s">
        <v>69</v>
      </c>
      <c r="B338" s="10" t="s">
        <v>207</v>
      </c>
      <c r="C338" s="10">
        <v>0</v>
      </c>
      <c r="D338" s="10" t="s">
        <v>204</v>
      </c>
    </row>
    <row r="339" spans="1:4" ht="18" customHeight="1">
      <c r="A339" s="10" t="s">
        <v>69</v>
      </c>
      <c r="B339" s="10" t="s">
        <v>208</v>
      </c>
      <c r="C339" s="10">
        <v>1.1920928955078125E-7</v>
      </c>
      <c r="D339" s="10" t="s">
        <v>204</v>
      </c>
    </row>
    <row r="340" spans="1:4" ht="18" customHeight="1">
      <c r="A340" s="10" t="s">
        <v>69</v>
      </c>
      <c r="B340" s="10" t="s">
        <v>209</v>
      </c>
      <c r="C340" s="10" t="s">
        <v>197</v>
      </c>
      <c r="D340" s="10" t="s">
        <v>198</v>
      </c>
    </row>
    <row r="341" spans="1:4" ht="18" customHeight="1">
      <c r="A341" s="10" t="s">
        <v>69</v>
      </c>
      <c r="B341" s="10" t="s">
        <v>210</v>
      </c>
      <c r="C341" s="10" t="s">
        <v>197</v>
      </c>
      <c r="D341" s="10" t="s">
        <v>198</v>
      </c>
    </row>
    <row r="342" spans="1:4" ht="18" customHeight="1">
      <c r="A342" s="10" t="s">
        <v>69</v>
      </c>
      <c r="B342" s="10" t="s">
        <v>211</v>
      </c>
      <c r="C342" s="10">
        <v>0</v>
      </c>
      <c r="D342" s="10" t="s">
        <v>201</v>
      </c>
    </row>
    <row r="343" spans="1:4" ht="18" customHeight="1">
      <c r="A343" s="10" t="s">
        <v>69</v>
      </c>
      <c r="B343" s="10" t="s">
        <v>212</v>
      </c>
      <c r="C343" s="10">
        <v>0</v>
      </c>
      <c r="D343" s="10" t="s">
        <v>201</v>
      </c>
    </row>
    <row r="344" spans="1:4" ht="18" customHeight="1">
      <c r="A344" s="10" t="s">
        <v>63</v>
      </c>
      <c r="B344" s="10" t="s">
        <v>192</v>
      </c>
      <c r="C344" s="10">
        <v>1102866.6258441233</v>
      </c>
      <c r="D344" s="10" t="s">
        <v>193</v>
      </c>
    </row>
    <row r="345" spans="1:4" ht="18" customHeight="1">
      <c r="A345" s="10" t="s">
        <v>63</v>
      </c>
      <c r="B345" s="10" t="s">
        <v>194</v>
      </c>
      <c r="C345" s="10">
        <v>1102866.6258441233</v>
      </c>
      <c r="D345" s="10" t="s">
        <v>193</v>
      </c>
    </row>
    <row r="346" spans="1:4" ht="18" customHeight="1">
      <c r="A346" s="10" t="s">
        <v>63</v>
      </c>
      <c r="B346" s="10" t="s">
        <v>195</v>
      </c>
      <c r="C346" s="10">
        <v>0</v>
      </c>
      <c r="D346" s="10" t="s">
        <v>193</v>
      </c>
    </row>
    <row r="347" spans="1:4" ht="18" customHeight="1">
      <c r="A347" s="10" t="s">
        <v>63</v>
      </c>
      <c r="B347" s="10" t="s">
        <v>196</v>
      </c>
      <c r="C347" s="10" t="s">
        <v>197</v>
      </c>
      <c r="D347" s="10" t="s">
        <v>198</v>
      </c>
    </row>
    <row r="348" spans="1:4" ht="18" customHeight="1">
      <c r="A348" s="10" t="s">
        <v>63</v>
      </c>
      <c r="B348" s="10" t="s">
        <v>5</v>
      </c>
      <c r="C348" s="10">
        <v>1102866.6258441233</v>
      </c>
      <c r="D348" s="10" t="s">
        <v>193</v>
      </c>
    </row>
    <row r="349" spans="1:4" ht="18" customHeight="1">
      <c r="A349" s="10" t="s">
        <v>63</v>
      </c>
      <c r="B349" s="10" t="s">
        <v>199</v>
      </c>
      <c r="C349" s="10">
        <v>1</v>
      </c>
      <c r="D349" s="10" t="s">
        <v>200</v>
      </c>
    </row>
    <row r="350" spans="1:4" ht="18" customHeight="1">
      <c r="A350" s="10" t="s">
        <v>63</v>
      </c>
      <c r="B350" s="10" t="s">
        <v>8</v>
      </c>
      <c r="C350" s="10">
        <v>170</v>
      </c>
      <c r="D350" s="10" t="s">
        <v>201</v>
      </c>
    </row>
    <row r="351" spans="1:4" ht="18" customHeight="1">
      <c r="A351" s="10" t="s">
        <v>63</v>
      </c>
      <c r="B351" s="10" t="s">
        <v>9</v>
      </c>
      <c r="C351" s="10">
        <v>170</v>
      </c>
      <c r="D351" s="10" t="s">
        <v>201</v>
      </c>
    </row>
    <row r="352" spans="1:4" ht="18" customHeight="1">
      <c r="A352" s="10" t="s">
        <v>63</v>
      </c>
      <c r="B352" s="10" t="s">
        <v>202</v>
      </c>
      <c r="C352" s="10">
        <v>0</v>
      </c>
      <c r="D352" s="10" t="s">
        <v>201</v>
      </c>
    </row>
    <row r="353" spans="1:4" ht="18" customHeight="1">
      <c r="A353" s="10" t="s">
        <v>63</v>
      </c>
      <c r="B353" s="10" t="s">
        <v>203</v>
      </c>
      <c r="C353" s="10">
        <v>967218747.55306625</v>
      </c>
      <c r="D353" s="10" t="s">
        <v>204</v>
      </c>
    </row>
    <row r="354" spans="1:4" ht="18" customHeight="1">
      <c r="A354" s="10" t="s">
        <v>63</v>
      </c>
      <c r="B354" s="10" t="s">
        <v>205</v>
      </c>
      <c r="C354" s="10">
        <v>967218747.55306625</v>
      </c>
      <c r="D354" s="10" t="s">
        <v>204</v>
      </c>
    </row>
    <row r="355" spans="1:4" ht="18" customHeight="1">
      <c r="A355" s="10" t="s">
        <v>63</v>
      </c>
      <c r="B355" s="10" t="s">
        <v>206</v>
      </c>
      <c r="C355" s="10">
        <v>967218747.55306613</v>
      </c>
      <c r="D355" s="10" t="s">
        <v>204</v>
      </c>
    </row>
    <row r="356" spans="1:4" ht="18" customHeight="1">
      <c r="A356" s="10" t="s">
        <v>63</v>
      </c>
      <c r="B356" s="10" t="s">
        <v>207</v>
      </c>
      <c r="C356" s="10">
        <v>0</v>
      </c>
      <c r="D356" s="10" t="s">
        <v>204</v>
      </c>
    </row>
    <row r="357" spans="1:4" ht="18" customHeight="1">
      <c r="A357" s="10" t="s">
        <v>63</v>
      </c>
      <c r="B357" s="10" t="s">
        <v>208</v>
      </c>
      <c r="C357" s="10">
        <v>-1.1920928955078125E-7</v>
      </c>
      <c r="D357" s="10" t="s">
        <v>204</v>
      </c>
    </row>
    <row r="358" spans="1:4" ht="18" customHeight="1">
      <c r="A358" s="10" t="s">
        <v>63</v>
      </c>
      <c r="B358" s="10" t="s">
        <v>209</v>
      </c>
      <c r="C358" s="10" t="s">
        <v>197</v>
      </c>
      <c r="D358" s="10" t="s">
        <v>198</v>
      </c>
    </row>
    <row r="359" spans="1:4" ht="18" customHeight="1">
      <c r="A359" s="10" t="s">
        <v>63</v>
      </c>
      <c r="B359" s="10" t="s">
        <v>210</v>
      </c>
      <c r="C359" s="10" t="s">
        <v>197</v>
      </c>
      <c r="D359" s="10" t="s">
        <v>198</v>
      </c>
    </row>
    <row r="360" spans="1:4" ht="18" customHeight="1">
      <c r="A360" s="10" t="s">
        <v>63</v>
      </c>
      <c r="B360" s="10" t="s">
        <v>211</v>
      </c>
      <c r="C360" s="10">
        <v>0</v>
      </c>
      <c r="D360" s="10" t="s">
        <v>201</v>
      </c>
    </row>
    <row r="361" spans="1:4" ht="18" customHeight="1">
      <c r="A361" s="10" t="s">
        <v>63</v>
      </c>
      <c r="B361" s="10" t="s">
        <v>212</v>
      </c>
      <c r="C361" s="10">
        <v>0</v>
      </c>
      <c r="D361" s="10" t="s">
        <v>201</v>
      </c>
    </row>
    <row r="362" spans="1:4" ht="18" customHeight="1">
      <c r="A362" s="10" t="s">
        <v>53</v>
      </c>
      <c r="B362" s="10" t="s">
        <v>192</v>
      </c>
      <c r="C362" s="10">
        <v>1037537.6190575529</v>
      </c>
      <c r="D362" s="10" t="s">
        <v>193</v>
      </c>
    </row>
    <row r="363" spans="1:4" ht="18" customHeight="1">
      <c r="A363" s="10" t="s">
        <v>53</v>
      </c>
      <c r="B363" s="10" t="s">
        <v>194</v>
      </c>
      <c r="C363" s="10">
        <v>1037537.6190575529</v>
      </c>
      <c r="D363" s="10" t="s">
        <v>193</v>
      </c>
    </row>
    <row r="364" spans="1:4" ht="18" customHeight="1">
      <c r="A364" s="10" t="s">
        <v>53</v>
      </c>
      <c r="B364" s="10" t="s">
        <v>195</v>
      </c>
      <c r="C364" s="10">
        <v>0</v>
      </c>
      <c r="D364" s="10" t="s">
        <v>193</v>
      </c>
    </row>
    <row r="365" spans="1:4" ht="18" customHeight="1">
      <c r="A365" s="10" t="s">
        <v>53</v>
      </c>
      <c r="B365" s="10" t="s">
        <v>196</v>
      </c>
      <c r="C365" s="10" t="s">
        <v>197</v>
      </c>
      <c r="D365" s="10" t="s">
        <v>198</v>
      </c>
    </row>
    <row r="366" spans="1:4" ht="18" customHeight="1">
      <c r="A366" s="10" t="s">
        <v>53</v>
      </c>
      <c r="B366" s="10" t="s">
        <v>5</v>
      </c>
      <c r="C366" s="10">
        <v>1037537.6190575529</v>
      </c>
      <c r="D366" s="10" t="s">
        <v>193</v>
      </c>
    </row>
    <row r="367" spans="1:4" ht="18" customHeight="1">
      <c r="A367" s="10" t="s">
        <v>53</v>
      </c>
      <c r="B367" s="10" t="s">
        <v>199</v>
      </c>
      <c r="C367" s="10">
        <v>1</v>
      </c>
      <c r="D367" s="10" t="s">
        <v>200</v>
      </c>
    </row>
    <row r="368" spans="1:4" ht="18" customHeight="1">
      <c r="A368" s="10" t="s">
        <v>53</v>
      </c>
      <c r="B368" s="10" t="s">
        <v>8</v>
      </c>
      <c r="C368" s="10">
        <v>277</v>
      </c>
      <c r="D368" s="10" t="s">
        <v>201</v>
      </c>
    </row>
    <row r="369" spans="1:4" ht="18" customHeight="1">
      <c r="A369" s="10" t="s">
        <v>53</v>
      </c>
      <c r="B369" s="10" t="s">
        <v>9</v>
      </c>
      <c r="C369" s="10">
        <v>277</v>
      </c>
      <c r="D369" s="10" t="s">
        <v>201</v>
      </c>
    </row>
    <row r="370" spans="1:4" ht="18" customHeight="1">
      <c r="A370" s="10" t="s">
        <v>53</v>
      </c>
      <c r="B370" s="10" t="s">
        <v>202</v>
      </c>
      <c r="C370" s="10">
        <v>0</v>
      </c>
      <c r="D370" s="10" t="s">
        <v>201</v>
      </c>
    </row>
    <row r="371" spans="1:4" ht="18" customHeight="1">
      <c r="A371" s="10" t="s">
        <v>53</v>
      </c>
      <c r="B371" s="10" t="s">
        <v>203</v>
      </c>
      <c r="C371" s="10">
        <v>1028923753.7644161</v>
      </c>
      <c r="D371" s="10" t="s">
        <v>204</v>
      </c>
    </row>
    <row r="372" spans="1:4" ht="18" customHeight="1">
      <c r="A372" s="10" t="s">
        <v>53</v>
      </c>
      <c r="B372" s="10" t="s">
        <v>205</v>
      </c>
      <c r="C372" s="10">
        <v>1028923753.7644159</v>
      </c>
      <c r="D372" s="10" t="s">
        <v>204</v>
      </c>
    </row>
    <row r="373" spans="1:4" ht="18" customHeight="1">
      <c r="A373" s="10" t="s">
        <v>53</v>
      </c>
      <c r="B373" s="10" t="s">
        <v>206</v>
      </c>
      <c r="C373" s="10">
        <v>1028923753.7644162</v>
      </c>
      <c r="D373" s="10" t="s">
        <v>204</v>
      </c>
    </row>
    <row r="374" spans="1:4" ht="18" customHeight="1">
      <c r="A374" s="10" t="s">
        <v>53</v>
      </c>
      <c r="B374" s="10" t="s">
        <v>207</v>
      </c>
      <c r="C374" s="10">
        <v>-2.384185791015625E-7</v>
      </c>
      <c r="D374" s="10" t="s">
        <v>204</v>
      </c>
    </row>
    <row r="375" spans="1:4" ht="18" customHeight="1">
      <c r="A375" s="10" t="s">
        <v>53</v>
      </c>
      <c r="B375" s="10" t="s">
        <v>208</v>
      </c>
      <c r="C375" s="10">
        <v>1.1920928955078125E-7</v>
      </c>
      <c r="D375" s="10" t="s">
        <v>204</v>
      </c>
    </row>
    <row r="376" spans="1:4" ht="18" customHeight="1">
      <c r="A376" s="10" t="s">
        <v>53</v>
      </c>
      <c r="B376" s="10" t="s">
        <v>209</v>
      </c>
      <c r="C376" s="10" t="s">
        <v>197</v>
      </c>
      <c r="D376" s="10" t="s">
        <v>198</v>
      </c>
    </row>
    <row r="377" spans="1:4" ht="18" customHeight="1">
      <c r="A377" s="10" t="s">
        <v>53</v>
      </c>
      <c r="B377" s="10" t="s">
        <v>210</v>
      </c>
      <c r="C377" s="10" t="s">
        <v>197</v>
      </c>
      <c r="D377" s="10" t="s">
        <v>198</v>
      </c>
    </row>
    <row r="378" spans="1:4" ht="18" customHeight="1">
      <c r="A378" s="10" t="s">
        <v>53</v>
      </c>
      <c r="B378" s="10" t="s">
        <v>211</v>
      </c>
      <c r="C378" s="10">
        <v>0</v>
      </c>
      <c r="D378" s="10" t="s">
        <v>201</v>
      </c>
    </row>
    <row r="379" spans="1:4" ht="18" customHeight="1">
      <c r="A379" s="10" t="s">
        <v>53</v>
      </c>
      <c r="B379" s="10" t="s">
        <v>212</v>
      </c>
      <c r="C379" s="10">
        <v>0</v>
      </c>
      <c r="D379" s="10" t="s">
        <v>201</v>
      </c>
    </row>
    <row r="380" spans="1:4" ht="18" customHeight="1">
      <c r="A380" s="10" t="s">
        <v>111</v>
      </c>
      <c r="B380" s="10" t="s">
        <v>192</v>
      </c>
      <c r="C380" s="10">
        <v>664877.85522775259</v>
      </c>
      <c r="D380" s="10" t="s">
        <v>193</v>
      </c>
    </row>
    <row r="381" spans="1:4" ht="18" customHeight="1">
      <c r="A381" s="10" t="s">
        <v>111</v>
      </c>
      <c r="B381" s="10" t="s">
        <v>194</v>
      </c>
      <c r="C381" s="10">
        <v>664877.85522775247</v>
      </c>
      <c r="D381" s="10" t="s">
        <v>193</v>
      </c>
    </row>
    <row r="382" spans="1:4" ht="18" customHeight="1">
      <c r="A382" s="10" t="s">
        <v>111</v>
      </c>
      <c r="B382" s="10" t="s">
        <v>195</v>
      </c>
      <c r="C382" s="10">
        <v>-1.1641532182693481E-10</v>
      </c>
      <c r="D382" s="10" t="s">
        <v>193</v>
      </c>
    </row>
    <row r="383" spans="1:4" ht="18" customHeight="1">
      <c r="A383" s="10" t="s">
        <v>111</v>
      </c>
      <c r="B383" s="10" t="s">
        <v>196</v>
      </c>
      <c r="C383" s="10" t="s">
        <v>197</v>
      </c>
      <c r="D383" s="10" t="s">
        <v>198</v>
      </c>
    </row>
    <row r="384" spans="1:4" ht="18" customHeight="1">
      <c r="A384" s="10" t="s">
        <v>111</v>
      </c>
      <c r="B384" s="10" t="s">
        <v>5</v>
      </c>
      <c r="C384" s="10">
        <v>664877.85522775247</v>
      </c>
      <c r="D384" s="10" t="s">
        <v>193</v>
      </c>
    </row>
    <row r="385" spans="1:4" ht="18" customHeight="1">
      <c r="A385" s="10" t="s">
        <v>111</v>
      </c>
      <c r="B385" s="10" t="s">
        <v>199</v>
      </c>
      <c r="C385" s="10">
        <v>1</v>
      </c>
      <c r="D385" s="10" t="s">
        <v>200</v>
      </c>
    </row>
    <row r="386" spans="1:4" ht="18" customHeight="1">
      <c r="A386" s="10" t="s">
        <v>111</v>
      </c>
      <c r="B386" s="10" t="s">
        <v>8</v>
      </c>
      <c r="C386" s="10">
        <v>129</v>
      </c>
      <c r="D386" s="10" t="s">
        <v>201</v>
      </c>
    </row>
    <row r="387" spans="1:4" ht="18" customHeight="1">
      <c r="A387" s="10" t="s">
        <v>111</v>
      </c>
      <c r="B387" s="10" t="s">
        <v>9</v>
      </c>
      <c r="C387" s="10">
        <v>129</v>
      </c>
      <c r="D387" s="10" t="s">
        <v>201</v>
      </c>
    </row>
    <row r="388" spans="1:4" ht="18" customHeight="1">
      <c r="A388" s="10" t="s">
        <v>111</v>
      </c>
      <c r="B388" s="10" t="s">
        <v>202</v>
      </c>
      <c r="C388" s="10">
        <v>0</v>
      </c>
      <c r="D388" s="10" t="s">
        <v>201</v>
      </c>
    </row>
    <row r="389" spans="1:4" ht="18" customHeight="1">
      <c r="A389" s="10" t="s">
        <v>111</v>
      </c>
      <c r="B389" s="10" t="s">
        <v>203</v>
      </c>
      <c r="C389" s="10">
        <v>254257319.81877989</v>
      </c>
      <c r="D389" s="10" t="s">
        <v>204</v>
      </c>
    </row>
    <row r="390" spans="1:4" ht="18" customHeight="1">
      <c r="A390" s="10" t="s">
        <v>111</v>
      </c>
      <c r="B390" s="10" t="s">
        <v>205</v>
      </c>
      <c r="C390" s="10">
        <v>254257319.81877989</v>
      </c>
      <c r="D390" s="10" t="s">
        <v>204</v>
      </c>
    </row>
    <row r="391" spans="1:4" ht="18" customHeight="1">
      <c r="A391" s="10" t="s">
        <v>111</v>
      </c>
      <c r="B391" s="10" t="s">
        <v>206</v>
      </c>
      <c r="C391" s="10">
        <v>254257319.81877995</v>
      </c>
      <c r="D391" s="10" t="s">
        <v>204</v>
      </c>
    </row>
    <row r="392" spans="1:4" ht="18" customHeight="1">
      <c r="A392" s="10" t="s">
        <v>111</v>
      </c>
      <c r="B392" s="10" t="s">
        <v>207</v>
      </c>
      <c r="C392" s="10">
        <v>0</v>
      </c>
      <c r="D392" s="10" t="s">
        <v>204</v>
      </c>
    </row>
    <row r="393" spans="1:4" ht="18" customHeight="1">
      <c r="A393" s="10" t="s">
        <v>111</v>
      </c>
      <c r="B393" s="10" t="s">
        <v>208</v>
      </c>
      <c r="C393" s="10">
        <v>5.9604644775390625E-8</v>
      </c>
      <c r="D393" s="10" t="s">
        <v>204</v>
      </c>
    </row>
    <row r="394" spans="1:4" ht="18" customHeight="1">
      <c r="A394" s="10" t="s">
        <v>111</v>
      </c>
      <c r="B394" s="10" t="s">
        <v>209</v>
      </c>
      <c r="C394" s="10" t="s">
        <v>197</v>
      </c>
      <c r="D394" s="10" t="s">
        <v>198</v>
      </c>
    </row>
    <row r="395" spans="1:4" ht="18" customHeight="1">
      <c r="A395" s="10" t="s">
        <v>111</v>
      </c>
      <c r="B395" s="10" t="s">
        <v>210</v>
      </c>
      <c r="C395" s="10" t="s">
        <v>197</v>
      </c>
      <c r="D395" s="10" t="s">
        <v>198</v>
      </c>
    </row>
    <row r="396" spans="1:4" ht="18" customHeight="1">
      <c r="A396" s="10" t="s">
        <v>111</v>
      </c>
      <c r="B396" s="10" t="s">
        <v>211</v>
      </c>
      <c r="C396" s="10">
        <v>0</v>
      </c>
      <c r="D396" s="10" t="s">
        <v>201</v>
      </c>
    </row>
    <row r="397" spans="1:4" ht="18" customHeight="1">
      <c r="A397" s="10" t="s">
        <v>111</v>
      </c>
      <c r="B397" s="10" t="s">
        <v>212</v>
      </c>
      <c r="C397" s="10">
        <v>0</v>
      </c>
      <c r="D397" s="10" t="s">
        <v>201</v>
      </c>
    </row>
    <row r="398" spans="1:4" ht="18" customHeight="1">
      <c r="A398" s="10" t="s">
        <v>85</v>
      </c>
      <c r="B398" s="10" t="s">
        <v>192</v>
      </c>
      <c r="C398" s="10">
        <v>1549275.8254257175</v>
      </c>
      <c r="D398" s="10" t="s">
        <v>193</v>
      </c>
    </row>
    <row r="399" spans="1:4" ht="18" customHeight="1">
      <c r="A399" s="10" t="s">
        <v>85</v>
      </c>
      <c r="B399" s="10" t="s">
        <v>194</v>
      </c>
      <c r="C399" s="10">
        <v>1549275.8254257175</v>
      </c>
      <c r="D399" s="10" t="s">
        <v>193</v>
      </c>
    </row>
    <row r="400" spans="1:4" ht="18" customHeight="1">
      <c r="A400" s="10" t="s">
        <v>85</v>
      </c>
      <c r="B400" s="10" t="s">
        <v>195</v>
      </c>
      <c r="C400" s="10">
        <v>0</v>
      </c>
      <c r="D400" s="10" t="s">
        <v>193</v>
      </c>
    </row>
    <row r="401" spans="1:4" ht="18" customHeight="1">
      <c r="A401" s="10" t="s">
        <v>85</v>
      </c>
      <c r="B401" s="10" t="s">
        <v>196</v>
      </c>
      <c r="C401" s="10" t="s">
        <v>197</v>
      </c>
      <c r="D401" s="10" t="s">
        <v>198</v>
      </c>
    </row>
    <row r="402" spans="1:4" ht="18" customHeight="1">
      <c r="A402" s="10" t="s">
        <v>85</v>
      </c>
      <c r="B402" s="10" t="s">
        <v>5</v>
      </c>
      <c r="C402" s="10">
        <v>1549275.8254257175</v>
      </c>
      <c r="D402" s="10" t="s">
        <v>193</v>
      </c>
    </row>
    <row r="403" spans="1:4" ht="18" customHeight="1">
      <c r="A403" s="10" t="s">
        <v>85</v>
      </c>
      <c r="B403" s="10" t="s">
        <v>199</v>
      </c>
      <c r="C403" s="10">
        <v>1</v>
      </c>
      <c r="D403" s="10" t="s">
        <v>200</v>
      </c>
    </row>
    <row r="404" spans="1:4" ht="18" customHeight="1">
      <c r="A404" s="10" t="s">
        <v>85</v>
      </c>
      <c r="B404" s="10" t="s">
        <v>8</v>
      </c>
      <c r="C404" s="10">
        <v>418</v>
      </c>
      <c r="D404" s="10" t="s">
        <v>201</v>
      </c>
    </row>
    <row r="405" spans="1:4" ht="18" customHeight="1">
      <c r="A405" s="10" t="s">
        <v>85</v>
      </c>
      <c r="B405" s="10" t="s">
        <v>9</v>
      </c>
      <c r="C405" s="10">
        <v>418</v>
      </c>
      <c r="D405" s="10" t="s">
        <v>201</v>
      </c>
    </row>
    <row r="406" spans="1:4" ht="18" customHeight="1">
      <c r="A406" s="10" t="s">
        <v>85</v>
      </c>
      <c r="B406" s="10" t="s">
        <v>202</v>
      </c>
      <c r="C406" s="10">
        <v>0</v>
      </c>
      <c r="D406" s="10" t="s">
        <v>201</v>
      </c>
    </row>
    <row r="407" spans="1:4" ht="18" customHeight="1">
      <c r="A407" s="10" t="s">
        <v>85</v>
      </c>
      <c r="B407" s="10" t="s">
        <v>203</v>
      </c>
      <c r="C407" s="10">
        <v>558361747.84758687</v>
      </c>
      <c r="D407" s="10" t="s">
        <v>204</v>
      </c>
    </row>
    <row r="408" spans="1:4" ht="18" customHeight="1">
      <c r="A408" s="10" t="s">
        <v>85</v>
      </c>
      <c r="B408" s="10" t="s">
        <v>205</v>
      </c>
      <c r="C408" s="10">
        <v>558361747.84758675</v>
      </c>
      <c r="D408" s="10" t="s">
        <v>204</v>
      </c>
    </row>
    <row r="409" spans="1:4" ht="18" customHeight="1">
      <c r="A409" s="10" t="s">
        <v>85</v>
      </c>
      <c r="B409" s="10" t="s">
        <v>206</v>
      </c>
      <c r="C409" s="10">
        <v>558361747.84758687</v>
      </c>
      <c r="D409" s="10" t="s">
        <v>204</v>
      </c>
    </row>
    <row r="410" spans="1:4" ht="18" customHeight="1">
      <c r="A410" s="10" t="s">
        <v>85</v>
      </c>
      <c r="B410" s="10" t="s">
        <v>207</v>
      </c>
      <c r="C410" s="10">
        <v>-1.1920928955078125E-7</v>
      </c>
      <c r="D410" s="10" t="s">
        <v>204</v>
      </c>
    </row>
    <row r="411" spans="1:4" ht="18" customHeight="1">
      <c r="A411" s="10" t="s">
        <v>85</v>
      </c>
      <c r="B411" s="10" t="s">
        <v>208</v>
      </c>
      <c r="C411" s="10">
        <v>0</v>
      </c>
      <c r="D411" s="10" t="s">
        <v>204</v>
      </c>
    </row>
    <row r="412" spans="1:4" ht="18" customHeight="1">
      <c r="A412" s="10" t="s">
        <v>85</v>
      </c>
      <c r="B412" s="10" t="s">
        <v>209</v>
      </c>
      <c r="C412" s="10" t="s">
        <v>197</v>
      </c>
      <c r="D412" s="10" t="s">
        <v>198</v>
      </c>
    </row>
    <row r="413" spans="1:4" ht="18" customHeight="1">
      <c r="A413" s="10" t="s">
        <v>85</v>
      </c>
      <c r="B413" s="10" t="s">
        <v>210</v>
      </c>
      <c r="C413" s="10" t="s">
        <v>197</v>
      </c>
      <c r="D413" s="10" t="s">
        <v>198</v>
      </c>
    </row>
    <row r="414" spans="1:4" ht="18" customHeight="1">
      <c r="A414" s="10" t="s">
        <v>85</v>
      </c>
      <c r="B414" s="10" t="s">
        <v>211</v>
      </c>
      <c r="C414" s="10">
        <v>0</v>
      </c>
      <c r="D414" s="10" t="s">
        <v>201</v>
      </c>
    </row>
    <row r="415" spans="1:4" ht="18" customHeight="1">
      <c r="A415" s="10" t="s">
        <v>85</v>
      </c>
      <c r="B415" s="10" t="s">
        <v>212</v>
      </c>
      <c r="C415" s="10">
        <v>0</v>
      </c>
      <c r="D415" s="10" t="s">
        <v>201</v>
      </c>
    </row>
    <row r="416" spans="1:4" ht="18" customHeight="1">
      <c r="A416" s="10" t="s">
        <v>131</v>
      </c>
      <c r="B416" s="10" t="s">
        <v>192</v>
      </c>
      <c r="C416" s="10">
        <v>115599.57003481101</v>
      </c>
      <c r="D416" s="10" t="s">
        <v>193</v>
      </c>
    </row>
    <row r="417" spans="1:4" ht="18" customHeight="1">
      <c r="A417" s="10" t="s">
        <v>131</v>
      </c>
      <c r="B417" s="10" t="s">
        <v>194</v>
      </c>
      <c r="C417" s="10">
        <v>115599.570034811</v>
      </c>
      <c r="D417" s="10" t="s">
        <v>193</v>
      </c>
    </row>
    <row r="418" spans="1:4" ht="18" customHeight="1">
      <c r="A418" s="10" t="s">
        <v>131</v>
      </c>
      <c r="B418" s="10" t="s">
        <v>195</v>
      </c>
      <c r="C418" s="10">
        <v>-1.4551915228366852E-11</v>
      </c>
      <c r="D418" s="10" t="s">
        <v>193</v>
      </c>
    </row>
    <row r="419" spans="1:4" ht="18" customHeight="1">
      <c r="A419" s="10" t="s">
        <v>131</v>
      </c>
      <c r="B419" s="10" t="s">
        <v>196</v>
      </c>
      <c r="C419" s="10" t="s">
        <v>197</v>
      </c>
      <c r="D419" s="10" t="s">
        <v>198</v>
      </c>
    </row>
    <row r="420" spans="1:4" ht="18" customHeight="1">
      <c r="A420" s="10" t="s">
        <v>131</v>
      </c>
      <c r="B420" s="10" t="s">
        <v>5</v>
      </c>
      <c r="C420" s="10">
        <v>115599.570034811</v>
      </c>
      <c r="D420" s="10" t="s">
        <v>193</v>
      </c>
    </row>
    <row r="421" spans="1:4" ht="18" customHeight="1">
      <c r="A421" s="10" t="s">
        <v>131</v>
      </c>
      <c r="B421" s="10" t="s">
        <v>199</v>
      </c>
      <c r="C421" s="10">
        <v>1</v>
      </c>
      <c r="D421" s="10" t="s">
        <v>200</v>
      </c>
    </row>
    <row r="422" spans="1:4" ht="18" customHeight="1">
      <c r="A422" s="10" t="s">
        <v>131</v>
      </c>
      <c r="B422" s="10" t="s">
        <v>8</v>
      </c>
      <c r="C422" s="10">
        <v>283</v>
      </c>
      <c r="D422" s="10" t="s">
        <v>201</v>
      </c>
    </row>
    <row r="423" spans="1:4" ht="18" customHeight="1">
      <c r="A423" s="10" t="s">
        <v>131</v>
      </c>
      <c r="B423" s="10" t="s">
        <v>9</v>
      </c>
      <c r="C423" s="10">
        <v>283</v>
      </c>
      <c r="D423" s="10" t="s">
        <v>201</v>
      </c>
    </row>
    <row r="424" spans="1:4" ht="18" customHeight="1">
      <c r="A424" s="10" t="s">
        <v>131</v>
      </c>
      <c r="B424" s="10" t="s">
        <v>202</v>
      </c>
      <c r="C424" s="10">
        <v>0</v>
      </c>
      <c r="D424" s="10" t="s">
        <v>201</v>
      </c>
    </row>
    <row r="425" spans="1:4" ht="18" customHeight="1">
      <c r="A425" s="10" t="s">
        <v>131</v>
      </c>
      <c r="B425" s="10" t="s">
        <v>203</v>
      </c>
      <c r="C425" s="10">
        <v>104438774.10426635</v>
      </c>
      <c r="D425" s="10" t="s">
        <v>204</v>
      </c>
    </row>
    <row r="426" spans="1:4" ht="18" customHeight="1">
      <c r="A426" s="10" t="s">
        <v>131</v>
      </c>
      <c r="B426" s="10" t="s">
        <v>205</v>
      </c>
      <c r="C426" s="10">
        <v>104438774.10426632</v>
      </c>
      <c r="D426" s="10" t="s">
        <v>204</v>
      </c>
    </row>
    <row r="427" spans="1:4" ht="18" customHeight="1">
      <c r="A427" s="10" t="s">
        <v>131</v>
      </c>
      <c r="B427" s="10" t="s">
        <v>206</v>
      </c>
      <c r="C427" s="10">
        <v>104438774.10426633</v>
      </c>
      <c r="D427" s="10" t="s">
        <v>204</v>
      </c>
    </row>
    <row r="428" spans="1:4" ht="18" customHeight="1">
      <c r="A428" s="10" t="s">
        <v>131</v>
      </c>
      <c r="B428" s="10" t="s">
        <v>207</v>
      </c>
      <c r="C428" s="10">
        <v>-2.9802322387695313E-8</v>
      </c>
      <c r="D428" s="10" t="s">
        <v>204</v>
      </c>
    </row>
    <row r="429" spans="1:4" ht="18" customHeight="1">
      <c r="A429" s="10" t="s">
        <v>131</v>
      </c>
      <c r="B429" s="10" t="s">
        <v>208</v>
      </c>
      <c r="C429" s="10">
        <v>-1.4901161193847656E-8</v>
      </c>
      <c r="D429" s="10" t="s">
        <v>204</v>
      </c>
    </row>
    <row r="430" spans="1:4" ht="18" customHeight="1">
      <c r="A430" s="10" t="s">
        <v>131</v>
      </c>
      <c r="B430" s="10" t="s">
        <v>209</v>
      </c>
      <c r="C430" s="10" t="s">
        <v>197</v>
      </c>
      <c r="D430" s="10" t="s">
        <v>198</v>
      </c>
    </row>
    <row r="431" spans="1:4" ht="18" customHeight="1">
      <c r="A431" s="10" t="s">
        <v>131</v>
      </c>
      <c r="B431" s="10" t="s">
        <v>210</v>
      </c>
      <c r="C431" s="10" t="s">
        <v>197</v>
      </c>
      <c r="D431" s="10" t="s">
        <v>198</v>
      </c>
    </row>
    <row r="432" spans="1:4" ht="18" customHeight="1">
      <c r="A432" s="10" t="s">
        <v>131</v>
      </c>
      <c r="B432" s="10" t="s">
        <v>211</v>
      </c>
      <c r="C432" s="10">
        <v>0</v>
      </c>
      <c r="D432" s="10" t="s">
        <v>201</v>
      </c>
    </row>
    <row r="433" spans="1:4" ht="18" customHeight="1">
      <c r="A433" s="10" t="s">
        <v>131</v>
      </c>
      <c r="B433" s="10" t="s">
        <v>212</v>
      </c>
      <c r="C433" s="10">
        <v>0</v>
      </c>
      <c r="D433" s="10" t="s">
        <v>201</v>
      </c>
    </row>
    <row r="434" spans="1:4" ht="18" customHeight="1">
      <c r="A434" s="10" t="s">
        <v>95</v>
      </c>
      <c r="B434" s="10" t="s">
        <v>192</v>
      </c>
      <c r="C434" s="10">
        <v>700878.74730421579</v>
      </c>
      <c r="D434" s="10" t="s">
        <v>193</v>
      </c>
    </row>
    <row r="435" spans="1:4" ht="18" customHeight="1">
      <c r="A435" s="10" t="s">
        <v>95</v>
      </c>
      <c r="B435" s="10" t="s">
        <v>194</v>
      </c>
      <c r="C435" s="10">
        <v>700878.74730421591</v>
      </c>
      <c r="D435" s="10" t="s">
        <v>193</v>
      </c>
    </row>
    <row r="436" spans="1:4" ht="18" customHeight="1">
      <c r="A436" s="10" t="s">
        <v>95</v>
      </c>
      <c r="B436" s="10" t="s">
        <v>195</v>
      </c>
      <c r="C436" s="10">
        <v>1.1641532182693481E-10</v>
      </c>
      <c r="D436" s="10" t="s">
        <v>193</v>
      </c>
    </row>
    <row r="437" spans="1:4" ht="18" customHeight="1">
      <c r="A437" s="10" t="s">
        <v>95</v>
      </c>
      <c r="B437" s="10" t="s">
        <v>196</v>
      </c>
      <c r="C437" s="10" t="s">
        <v>197</v>
      </c>
      <c r="D437" s="10" t="s">
        <v>198</v>
      </c>
    </row>
    <row r="438" spans="1:4" ht="18" customHeight="1">
      <c r="A438" s="10" t="s">
        <v>95</v>
      </c>
      <c r="B438" s="10" t="s">
        <v>5</v>
      </c>
      <c r="C438" s="10">
        <v>700878.74730421591</v>
      </c>
      <c r="D438" s="10" t="s">
        <v>193</v>
      </c>
    </row>
    <row r="439" spans="1:4" ht="18" customHeight="1">
      <c r="A439" s="10" t="s">
        <v>95</v>
      </c>
      <c r="B439" s="10" t="s">
        <v>199</v>
      </c>
      <c r="C439" s="10">
        <v>1</v>
      </c>
      <c r="D439" s="10" t="s">
        <v>200</v>
      </c>
    </row>
    <row r="440" spans="1:4" ht="18" customHeight="1">
      <c r="A440" s="10" t="s">
        <v>95</v>
      </c>
      <c r="B440" s="10" t="s">
        <v>8</v>
      </c>
      <c r="C440" s="10">
        <v>232</v>
      </c>
      <c r="D440" s="10" t="s">
        <v>201</v>
      </c>
    </row>
    <row r="441" spans="1:4" ht="18" customHeight="1">
      <c r="A441" s="10" t="s">
        <v>95</v>
      </c>
      <c r="B441" s="10" t="s">
        <v>9</v>
      </c>
      <c r="C441" s="10">
        <v>232</v>
      </c>
      <c r="D441" s="10" t="s">
        <v>201</v>
      </c>
    </row>
    <row r="442" spans="1:4" ht="18" customHeight="1">
      <c r="A442" s="10" t="s">
        <v>95</v>
      </c>
      <c r="B442" s="10" t="s">
        <v>202</v>
      </c>
      <c r="C442" s="10">
        <v>0</v>
      </c>
      <c r="D442" s="10" t="s">
        <v>201</v>
      </c>
    </row>
    <row r="443" spans="1:4" ht="18" customHeight="1">
      <c r="A443" s="10" t="s">
        <v>95</v>
      </c>
      <c r="B443" s="10" t="s">
        <v>203</v>
      </c>
      <c r="C443" s="10">
        <v>432863601.07882154</v>
      </c>
      <c r="D443" s="10" t="s">
        <v>204</v>
      </c>
    </row>
    <row r="444" spans="1:4" ht="18" customHeight="1">
      <c r="A444" s="10" t="s">
        <v>95</v>
      </c>
      <c r="B444" s="10" t="s">
        <v>205</v>
      </c>
      <c r="C444" s="10">
        <v>432863601.07882148</v>
      </c>
      <c r="D444" s="10" t="s">
        <v>204</v>
      </c>
    </row>
    <row r="445" spans="1:4" ht="18" customHeight="1">
      <c r="A445" s="10" t="s">
        <v>95</v>
      </c>
      <c r="B445" s="10" t="s">
        <v>206</v>
      </c>
      <c r="C445" s="10">
        <v>432863601.07882154</v>
      </c>
      <c r="D445" s="10" t="s">
        <v>204</v>
      </c>
    </row>
    <row r="446" spans="1:4" ht="18" customHeight="1">
      <c r="A446" s="10" t="s">
        <v>95</v>
      </c>
      <c r="B446" s="10" t="s">
        <v>207</v>
      </c>
      <c r="C446" s="10">
        <v>-5.9604644775390625E-8</v>
      </c>
      <c r="D446" s="10" t="s">
        <v>204</v>
      </c>
    </row>
    <row r="447" spans="1:4" ht="18" customHeight="1">
      <c r="A447" s="10" t="s">
        <v>95</v>
      </c>
      <c r="B447" s="10" t="s">
        <v>208</v>
      </c>
      <c r="C447" s="10">
        <v>0</v>
      </c>
      <c r="D447" s="10" t="s">
        <v>204</v>
      </c>
    </row>
    <row r="448" spans="1:4" ht="18" customHeight="1">
      <c r="A448" s="10" t="s">
        <v>95</v>
      </c>
      <c r="B448" s="10" t="s">
        <v>209</v>
      </c>
      <c r="C448" s="10" t="s">
        <v>197</v>
      </c>
      <c r="D448" s="10" t="s">
        <v>198</v>
      </c>
    </row>
    <row r="449" spans="1:4" ht="18" customHeight="1">
      <c r="A449" s="10" t="s">
        <v>95</v>
      </c>
      <c r="B449" s="10" t="s">
        <v>210</v>
      </c>
      <c r="C449" s="10" t="s">
        <v>197</v>
      </c>
      <c r="D449" s="10" t="s">
        <v>198</v>
      </c>
    </row>
    <row r="450" spans="1:4" ht="18" customHeight="1">
      <c r="A450" s="10" t="s">
        <v>95</v>
      </c>
      <c r="B450" s="10" t="s">
        <v>211</v>
      </c>
      <c r="C450" s="10">
        <v>0</v>
      </c>
      <c r="D450" s="10" t="s">
        <v>201</v>
      </c>
    </row>
    <row r="451" spans="1:4" ht="18" customHeight="1">
      <c r="A451" s="10" t="s">
        <v>95</v>
      </c>
      <c r="B451" s="10" t="s">
        <v>212</v>
      </c>
      <c r="C451" s="10">
        <v>0</v>
      </c>
      <c r="D451" s="10" t="s">
        <v>201</v>
      </c>
    </row>
    <row r="452" spans="1:4" ht="18" customHeight="1">
      <c r="A452" s="10" t="s">
        <v>143</v>
      </c>
      <c r="B452" s="10" t="s">
        <v>192</v>
      </c>
      <c r="C452" s="10">
        <v>148680.2607308072</v>
      </c>
      <c r="D452" s="10" t="s">
        <v>193</v>
      </c>
    </row>
    <row r="453" spans="1:4" ht="18" customHeight="1">
      <c r="A453" s="10" t="s">
        <v>143</v>
      </c>
      <c r="B453" s="10" t="s">
        <v>194</v>
      </c>
      <c r="C453" s="10">
        <v>148680.26073080715</v>
      </c>
      <c r="D453" s="10" t="s">
        <v>193</v>
      </c>
    </row>
    <row r="454" spans="1:4" ht="18" customHeight="1">
      <c r="A454" s="10" t="s">
        <v>143</v>
      </c>
      <c r="B454" s="10" t="s">
        <v>195</v>
      </c>
      <c r="C454" s="10">
        <v>-5.8207660913467407E-11</v>
      </c>
      <c r="D454" s="10" t="s">
        <v>193</v>
      </c>
    </row>
    <row r="455" spans="1:4" ht="18" customHeight="1">
      <c r="A455" s="10" t="s">
        <v>143</v>
      </c>
      <c r="B455" s="10" t="s">
        <v>196</v>
      </c>
      <c r="C455" s="10" t="s">
        <v>197</v>
      </c>
      <c r="D455" s="10" t="s">
        <v>198</v>
      </c>
    </row>
    <row r="456" spans="1:4" ht="18" customHeight="1">
      <c r="A456" s="10" t="s">
        <v>143</v>
      </c>
      <c r="B456" s="10" t="s">
        <v>5</v>
      </c>
      <c r="C456" s="10">
        <v>148680.26073080715</v>
      </c>
      <c r="D456" s="10" t="s">
        <v>193</v>
      </c>
    </row>
    <row r="457" spans="1:4" ht="18" customHeight="1">
      <c r="A457" s="10" t="s">
        <v>143</v>
      </c>
      <c r="B457" s="10" t="s">
        <v>199</v>
      </c>
      <c r="C457" s="10">
        <v>1</v>
      </c>
      <c r="D457" s="10" t="s">
        <v>200</v>
      </c>
    </row>
    <row r="458" spans="1:4" ht="18" customHeight="1">
      <c r="A458" s="10" t="s">
        <v>143</v>
      </c>
      <c r="B458" s="10" t="s">
        <v>8</v>
      </c>
      <c r="C458" s="10">
        <v>92</v>
      </c>
      <c r="D458" s="10" t="s">
        <v>201</v>
      </c>
    </row>
    <row r="459" spans="1:4" ht="18" customHeight="1">
      <c r="A459" s="10" t="s">
        <v>143</v>
      </c>
      <c r="B459" s="10" t="s">
        <v>9</v>
      </c>
      <c r="C459" s="10">
        <v>92</v>
      </c>
      <c r="D459" s="10" t="s">
        <v>201</v>
      </c>
    </row>
    <row r="460" spans="1:4" ht="18" customHeight="1">
      <c r="A460" s="10" t="s">
        <v>143</v>
      </c>
      <c r="B460" s="10" t="s">
        <v>202</v>
      </c>
      <c r="C460" s="10">
        <v>0</v>
      </c>
      <c r="D460" s="10" t="s">
        <v>201</v>
      </c>
    </row>
    <row r="461" spans="1:4" ht="18" customHeight="1">
      <c r="A461" s="10" t="s">
        <v>143</v>
      </c>
      <c r="B461" s="10" t="s">
        <v>203</v>
      </c>
      <c r="C461" s="10">
        <v>75212513.430698976</v>
      </c>
      <c r="D461" s="10" t="s">
        <v>204</v>
      </c>
    </row>
    <row r="462" spans="1:4" ht="18" customHeight="1">
      <c r="A462" s="10" t="s">
        <v>143</v>
      </c>
      <c r="B462" s="10" t="s">
        <v>205</v>
      </c>
      <c r="C462" s="10">
        <v>75212513.430698991</v>
      </c>
      <c r="D462" s="10" t="s">
        <v>204</v>
      </c>
    </row>
    <row r="463" spans="1:4" ht="18" customHeight="1">
      <c r="A463" s="10" t="s">
        <v>143</v>
      </c>
      <c r="B463" s="10" t="s">
        <v>206</v>
      </c>
      <c r="C463" s="10">
        <v>75212513.430698991</v>
      </c>
      <c r="D463" s="10" t="s">
        <v>204</v>
      </c>
    </row>
    <row r="464" spans="1:4" ht="18" customHeight="1">
      <c r="A464" s="10" t="s">
        <v>143</v>
      </c>
      <c r="B464" s="10" t="s">
        <v>207</v>
      </c>
      <c r="C464" s="10">
        <v>1.4901161193847656E-8</v>
      </c>
      <c r="D464" s="10" t="s">
        <v>204</v>
      </c>
    </row>
    <row r="465" spans="1:4" ht="18" customHeight="1">
      <c r="A465" s="10" t="s">
        <v>143</v>
      </c>
      <c r="B465" s="10" t="s">
        <v>208</v>
      </c>
      <c r="C465" s="10">
        <v>1.4901161193847656E-8</v>
      </c>
      <c r="D465" s="10" t="s">
        <v>204</v>
      </c>
    </row>
    <row r="466" spans="1:4" ht="18" customHeight="1">
      <c r="A466" s="10" t="s">
        <v>143</v>
      </c>
      <c r="B466" s="10" t="s">
        <v>209</v>
      </c>
      <c r="C466" s="10" t="s">
        <v>197</v>
      </c>
      <c r="D466" s="10" t="s">
        <v>198</v>
      </c>
    </row>
    <row r="467" spans="1:4" ht="18" customHeight="1">
      <c r="A467" s="10" t="s">
        <v>143</v>
      </c>
      <c r="B467" s="10" t="s">
        <v>210</v>
      </c>
      <c r="C467" s="10" t="s">
        <v>197</v>
      </c>
      <c r="D467" s="10" t="s">
        <v>198</v>
      </c>
    </row>
    <row r="468" spans="1:4" ht="18" customHeight="1">
      <c r="A468" s="10" t="s">
        <v>143</v>
      </c>
      <c r="B468" s="10" t="s">
        <v>211</v>
      </c>
      <c r="C468" s="10">
        <v>0</v>
      </c>
      <c r="D468" s="10" t="s">
        <v>201</v>
      </c>
    </row>
    <row r="469" spans="1:4" ht="18" customHeight="1">
      <c r="A469" s="10" t="s">
        <v>143</v>
      </c>
      <c r="B469" s="10" t="s">
        <v>212</v>
      </c>
      <c r="C469" s="10">
        <v>0</v>
      </c>
      <c r="D469" s="10" t="s">
        <v>201</v>
      </c>
    </row>
    <row r="470" spans="1:4" ht="18" customHeight="1">
      <c r="A470" s="10" t="s">
        <v>109</v>
      </c>
      <c r="B470" s="10" t="s">
        <v>192</v>
      </c>
      <c r="C470" s="10">
        <v>506689.99406100804</v>
      </c>
      <c r="D470" s="10" t="s">
        <v>193</v>
      </c>
    </row>
    <row r="471" spans="1:4" ht="18" customHeight="1">
      <c r="A471" s="10" t="s">
        <v>109</v>
      </c>
      <c r="B471" s="10" t="s">
        <v>194</v>
      </c>
      <c r="C471" s="10">
        <v>506689.99406100786</v>
      </c>
      <c r="D471" s="10" t="s">
        <v>193</v>
      </c>
    </row>
    <row r="472" spans="1:4" ht="18" customHeight="1">
      <c r="A472" s="10" t="s">
        <v>109</v>
      </c>
      <c r="B472" s="10" t="s">
        <v>195</v>
      </c>
      <c r="C472" s="10">
        <v>-1.7462298274040222E-10</v>
      </c>
      <c r="D472" s="10" t="s">
        <v>193</v>
      </c>
    </row>
    <row r="473" spans="1:4" ht="18" customHeight="1">
      <c r="A473" s="10" t="s">
        <v>109</v>
      </c>
      <c r="B473" s="10" t="s">
        <v>196</v>
      </c>
      <c r="C473" s="10" t="s">
        <v>197</v>
      </c>
      <c r="D473" s="10" t="s">
        <v>198</v>
      </c>
    </row>
    <row r="474" spans="1:4" ht="18" customHeight="1">
      <c r="A474" s="10" t="s">
        <v>109</v>
      </c>
      <c r="B474" s="10" t="s">
        <v>5</v>
      </c>
      <c r="C474" s="10">
        <v>506689.99406100786</v>
      </c>
      <c r="D474" s="10" t="s">
        <v>193</v>
      </c>
    </row>
    <row r="475" spans="1:4" ht="18" customHeight="1">
      <c r="A475" s="10" t="s">
        <v>109</v>
      </c>
      <c r="B475" s="10" t="s">
        <v>199</v>
      </c>
      <c r="C475" s="10">
        <v>1</v>
      </c>
      <c r="D475" s="10" t="s">
        <v>200</v>
      </c>
    </row>
    <row r="476" spans="1:4" ht="18" customHeight="1">
      <c r="A476" s="10" t="s">
        <v>109</v>
      </c>
      <c r="B476" s="10" t="s">
        <v>8</v>
      </c>
      <c r="C476" s="10">
        <v>111</v>
      </c>
      <c r="D476" s="10" t="s">
        <v>201</v>
      </c>
    </row>
    <row r="477" spans="1:4" ht="18" customHeight="1">
      <c r="A477" s="10" t="s">
        <v>109</v>
      </c>
      <c r="B477" s="10" t="s">
        <v>9</v>
      </c>
      <c r="C477" s="10">
        <v>111</v>
      </c>
      <c r="D477" s="10" t="s">
        <v>201</v>
      </c>
    </row>
    <row r="478" spans="1:4" ht="18" customHeight="1">
      <c r="A478" s="10" t="s">
        <v>109</v>
      </c>
      <c r="B478" s="10" t="s">
        <v>202</v>
      </c>
      <c r="C478" s="10">
        <v>0</v>
      </c>
      <c r="D478" s="10" t="s">
        <v>201</v>
      </c>
    </row>
    <row r="479" spans="1:4" ht="18" customHeight="1">
      <c r="A479" s="10" t="s">
        <v>109</v>
      </c>
      <c r="B479" s="10" t="s">
        <v>203</v>
      </c>
      <c r="C479" s="10">
        <v>272326949.81673676</v>
      </c>
      <c r="D479" s="10" t="s">
        <v>204</v>
      </c>
    </row>
    <row r="480" spans="1:4" ht="18" customHeight="1">
      <c r="A480" s="10" t="s">
        <v>109</v>
      </c>
      <c r="B480" s="10" t="s">
        <v>205</v>
      </c>
      <c r="C480" s="10">
        <v>272326949.81673688</v>
      </c>
      <c r="D480" s="10" t="s">
        <v>204</v>
      </c>
    </row>
    <row r="481" spans="1:4" ht="18" customHeight="1">
      <c r="A481" s="10" t="s">
        <v>109</v>
      </c>
      <c r="B481" s="10" t="s">
        <v>206</v>
      </c>
      <c r="C481" s="10">
        <v>272326949.81673676</v>
      </c>
      <c r="D481" s="10" t="s">
        <v>204</v>
      </c>
    </row>
    <row r="482" spans="1:4" ht="18" customHeight="1">
      <c r="A482" s="10" t="s">
        <v>109</v>
      </c>
      <c r="B482" s="10" t="s">
        <v>207</v>
      </c>
      <c r="C482" s="10">
        <v>1.1920928955078125E-7</v>
      </c>
      <c r="D482" s="10" t="s">
        <v>204</v>
      </c>
    </row>
    <row r="483" spans="1:4" ht="18" customHeight="1">
      <c r="A483" s="10" t="s">
        <v>109</v>
      </c>
      <c r="B483" s="10" t="s">
        <v>208</v>
      </c>
      <c r="C483" s="10">
        <v>0</v>
      </c>
      <c r="D483" s="10" t="s">
        <v>204</v>
      </c>
    </row>
    <row r="484" spans="1:4" ht="18" customHeight="1">
      <c r="A484" s="10" t="s">
        <v>109</v>
      </c>
      <c r="B484" s="10" t="s">
        <v>209</v>
      </c>
      <c r="C484" s="10" t="s">
        <v>197</v>
      </c>
      <c r="D484" s="10" t="s">
        <v>198</v>
      </c>
    </row>
    <row r="485" spans="1:4" ht="18" customHeight="1">
      <c r="A485" s="10" t="s">
        <v>109</v>
      </c>
      <c r="B485" s="10" t="s">
        <v>210</v>
      </c>
      <c r="C485" s="10" t="s">
        <v>197</v>
      </c>
      <c r="D485" s="10" t="s">
        <v>198</v>
      </c>
    </row>
    <row r="486" spans="1:4" ht="18" customHeight="1">
      <c r="A486" s="10" t="s">
        <v>109</v>
      </c>
      <c r="B486" s="10" t="s">
        <v>211</v>
      </c>
      <c r="C486" s="10">
        <v>0</v>
      </c>
      <c r="D486" s="10" t="s">
        <v>201</v>
      </c>
    </row>
    <row r="487" spans="1:4" ht="18" customHeight="1">
      <c r="A487" s="10" t="s">
        <v>109</v>
      </c>
      <c r="B487" s="10" t="s">
        <v>212</v>
      </c>
      <c r="C487" s="10">
        <v>0</v>
      </c>
      <c r="D487" s="10" t="s">
        <v>201</v>
      </c>
    </row>
    <row r="488" spans="1:4" ht="18" customHeight="1">
      <c r="A488" s="10" t="s">
        <v>145</v>
      </c>
      <c r="B488" s="10" t="s">
        <v>192</v>
      </c>
      <c r="C488" s="10">
        <v>21171.953396398498</v>
      </c>
      <c r="D488" s="10" t="s">
        <v>193</v>
      </c>
    </row>
    <row r="489" spans="1:4" ht="18" customHeight="1">
      <c r="A489" s="10" t="s">
        <v>145</v>
      </c>
      <c r="B489" s="10" t="s">
        <v>194</v>
      </c>
      <c r="C489" s="10">
        <v>21171.953396398501</v>
      </c>
      <c r="D489" s="10" t="s">
        <v>193</v>
      </c>
    </row>
    <row r="490" spans="1:4" ht="18" customHeight="1">
      <c r="A490" s="10" t="s">
        <v>145</v>
      </c>
      <c r="B490" s="10" t="s">
        <v>195</v>
      </c>
      <c r="C490" s="10">
        <v>3.637978807091713E-12</v>
      </c>
      <c r="D490" s="10" t="s">
        <v>193</v>
      </c>
    </row>
    <row r="491" spans="1:4" ht="18" customHeight="1">
      <c r="A491" s="10" t="s">
        <v>145</v>
      </c>
      <c r="B491" s="10" t="s">
        <v>196</v>
      </c>
      <c r="C491" s="10" t="s">
        <v>197</v>
      </c>
      <c r="D491" s="10" t="s">
        <v>198</v>
      </c>
    </row>
    <row r="492" spans="1:4" ht="18" customHeight="1">
      <c r="A492" s="10" t="s">
        <v>145</v>
      </c>
      <c r="B492" s="10" t="s">
        <v>5</v>
      </c>
      <c r="C492" s="10">
        <v>21171.953396398501</v>
      </c>
      <c r="D492" s="10" t="s">
        <v>193</v>
      </c>
    </row>
    <row r="493" spans="1:4" ht="18" customHeight="1">
      <c r="A493" s="10" t="s">
        <v>145</v>
      </c>
      <c r="B493" s="10" t="s">
        <v>199</v>
      </c>
      <c r="C493" s="10">
        <v>1</v>
      </c>
      <c r="D493" s="10" t="s">
        <v>200</v>
      </c>
    </row>
    <row r="494" spans="1:4" ht="18" customHeight="1">
      <c r="A494" s="10" t="s">
        <v>145</v>
      </c>
      <c r="B494" s="10" t="s">
        <v>8</v>
      </c>
      <c r="C494" s="10">
        <v>140</v>
      </c>
      <c r="D494" s="10" t="s">
        <v>201</v>
      </c>
    </row>
    <row r="495" spans="1:4" ht="18" customHeight="1">
      <c r="A495" s="10" t="s">
        <v>145</v>
      </c>
      <c r="B495" s="10" t="s">
        <v>9</v>
      </c>
      <c r="C495" s="10">
        <v>140</v>
      </c>
      <c r="D495" s="10" t="s">
        <v>201</v>
      </c>
    </row>
    <row r="496" spans="1:4" ht="18" customHeight="1">
      <c r="A496" s="10" t="s">
        <v>145</v>
      </c>
      <c r="B496" s="10" t="s">
        <v>202</v>
      </c>
      <c r="C496" s="10">
        <v>0</v>
      </c>
      <c r="D496" s="10" t="s">
        <v>201</v>
      </c>
    </row>
    <row r="497" spans="1:4" ht="18" customHeight="1">
      <c r="A497" s="10" t="s">
        <v>145</v>
      </c>
      <c r="B497" s="10" t="s">
        <v>203</v>
      </c>
      <c r="C497" s="10">
        <v>44813494.471991822</v>
      </c>
      <c r="D497" s="10" t="s">
        <v>204</v>
      </c>
    </row>
    <row r="498" spans="1:4" ht="18" customHeight="1">
      <c r="A498" s="10" t="s">
        <v>145</v>
      </c>
      <c r="B498" s="10" t="s">
        <v>205</v>
      </c>
      <c r="C498" s="10">
        <v>44813494.471991822</v>
      </c>
      <c r="D498" s="10" t="s">
        <v>204</v>
      </c>
    </row>
    <row r="499" spans="1:4" ht="18" customHeight="1">
      <c r="A499" s="10" t="s">
        <v>145</v>
      </c>
      <c r="B499" s="10" t="s">
        <v>206</v>
      </c>
      <c r="C499" s="10">
        <v>44813494.471991822</v>
      </c>
      <c r="D499" s="10" t="s">
        <v>204</v>
      </c>
    </row>
    <row r="500" spans="1:4" ht="18" customHeight="1">
      <c r="A500" s="10" t="s">
        <v>145</v>
      </c>
      <c r="B500" s="10" t="s">
        <v>207</v>
      </c>
      <c r="C500" s="10">
        <v>0</v>
      </c>
      <c r="D500" s="10" t="s">
        <v>204</v>
      </c>
    </row>
    <row r="501" spans="1:4" ht="18" customHeight="1">
      <c r="A501" s="10" t="s">
        <v>145</v>
      </c>
      <c r="B501" s="10" t="s">
        <v>208</v>
      </c>
      <c r="C501" s="10">
        <v>0</v>
      </c>
      <c r="D501" s="10" t="s">
        <v>204</v>
      </c>
    </row>
    <row r="502" spans="1:4" ht="18" customHeight="1">
      <c r="A502" s="10" t="s">
        <v>145</v>
      </c>
      <c r="B502" s="10" t="s">
        <v>209</v>
      </c>
      <c r="C502" s="10" t="s">
        <v>197</v>
      </c>
      <c r="D502" s="10" t="s">
        <v>198</v>
      </c>
    </row>
    <row r="503" spans="1:4" ht="18" customHeight="1">
      <c r="A503" s="10" t="s">
        <v>145</v>
      </c>
      <c r="B503" s="10" t="s">
        <v>210</v>
      </c>
      <c r="C503" s="10" t="s">
        <v>197</v>
      </c>
      <c r="D503" s="10" t="s">
        <v>198</v>
      </c>
    </row>
    <row r="504" spans="1:4" ht="18" customHeight="1">
      <c r="A504" s="10" t="s">
        <v>145</v>
      </c>
      <c r="B504" s="10" t="s">
        <v>211</v>
      </c>
      <c r="C504" s="10">
        <v>0</v>
      </c>
      <c r="D504" s="10" t="s">
        <v>201</v>
      </c>
    </row>
    <row r="505" spans="1:4" ht="18" customHeight="1">
      <c r="A505" s="10" t="s">
        <v>145</v>
      </c>
      <c r="B505" s="10" t="s">
        <v>212</v>
      </c>
      <c r="C505" s="10">
        <v>0</v>
      </c>
      <c r="D505" s="10" t="s">
        <v>201</v>
      </c>
    </row>
    <row r="506" spans="1:4" ht="18" customHeight="1">
      <c r="A506" s="10" t="s">
        <v>71</v>
      </c>
      <c r="B506" s="10" t="s">
        <v>192</v>
      </c>
      <c r="C506" s="10">
        <v>1587670.7135199134</v>
      </c>
      <c r="D506" s="10" t="s">
        <v>193</v>
      </c>
    </row>
    <row r="507" spans="1:4" ht="18" customHeight="1">
      <c r="A507" s="10" t="s">
        <v>71</v>
      </c>
      <c r="B507" s="10" t="s">
        <v>194</v>
      </c>
      <c r="C507" s="10">
        <v>1587670.7135199129</v>
      </c>
      <c r="D507" s="10" t="s">
        <v>193</v>
      </c>
    </row>
    <row r="508" spans="1:4" ht="18" customHeight="1">
      <c r="A508" s="10" t="s">
        <v>71</v>
      </c>
      <c r="B508" s="10" t="s">
        <v>195</v>
      </c>
      <c r="C508" s="10">
        <v>-4.6566128730773926E-10</v>
      </c>
      <c r="D508" s="10" t="s">
        <v>193</v>
      </c>
    </row>
    <row r="509" spans="1:4" ht="18" customHeight="1">
      <c r="A509" s="10" t="s">
        <v>71</v>
      </c>
      <c r="B509" s="10" t="s">
        <v>196</v>
      </c>
      <c r="C509" s="10" t="s">
        <v>197</v>
      </c>
      <c r="D509" s="10" t="s">
        <v>198</v>
      </c>
    </row>
    <row r="510" spans="1:4" ht="18" customHeight="1">
      <c r="A510" s="10" t="s">
        <v>71</v>
      </c>
      <c r="B510" s="10" t="s">
        <v>5</v>
      </c>
      <c r="C510" s="10">
        <v>1587670.7135199129</v>
      </c>
      <c r="D510" s="10" t="s">
        <v>193</v>
      </c>
    </row>
    <row r="511" spans="1:4" ht="18" customHeight="1">
      <c r="A511" s="10" t="s">
        <v>71</v>
      </c>
      <c r="B511" s="10" t="s">
        <v>199</v>
      </c>
      <c r="C511" s="10">
        <v>1</v>
      </c>
      <c r="D511" s="10" t="s">
        <v>200</v>
      </c>
    </row>
    <row r="512" spans="1:4" ht="18" customHeight="1">
      <c r="A512" s="10" t="s">
        <v>71</v>
      </c>
      <c r="B512" s="10" t="s">
        <v>8</v>
      </c>
      <c r="C512" s="10">
        <v>270</v>
      </c>
      <c r="D512" s="10" t="s">
        <v>201</v>
      </c>
    </row>
    <row r="513" spans="1:4" ht="18" customHeight="1">
      <c r="A513" s="10" t="s">
        <v>71</v>
      </c>
      <c r="B513" s="10" t="s">
        <v>9</v>
      </c>
      <c r="C513" s="10">
        <v>270</v>
      </c>
      <c r="D513" s="10" t="s">
        <v>201</v>
      </c>
    </row>
    <row r="514" spans="1:4" ht="18" customHeight="1">
      <c r="A514" s="10" t="s">
        <v>71</v>
      </c>
      <c r="B514" s="10" t="s">
        <v>202</v>
      </c>
      <c r="C514" s="10">
        <v>0</v>
      </c>
      <c r="D514" s="10" t="s">
        <v>201</v>
      </c>
    </row>
    <row r="515" spans="1:4" ht="18" customHeight="1">
      <c r="A515" s="10" t="s">
        <v>71</v>
      </c>
      <c r="B515" s="10" t="s">
        <v>203</v>
      </c>
      <c r="C515" s="10">
        <v>748768977.20261955</v>
      </c>
      <c r="D515" s="10" t="s">
        <v>204</v>
      </c>
    </row>
    <row r="516" spans="1:4" ht="18" customHeight="1">
      <c r="A516" s="10" t="s">
        <v>71</v>
      </c>
      <c r="B516" s="10" t="s">
        <v>205</v>
      </c>
      <c r="C516" s="10">
        <v>748768977.20261931</v>
      </c>
      <c r="D516" s="10" t="s">
        <v>204</v>
      </c>
    </row>
    <row r="517" spans="1:4" ht="18" customHeight="1">
      <c r="A517" s="10" t="s">
        <v>71</v>
      </c>
      <c r="B517" s="10" t="s">
        <v>206</v>
      </c>
      <c r="C517" s="10">
        <v>748768977.20261943</v>
      </c>
      <c r="D517" s="10" t="s">
        <v>204</v>
      </c>
    </row>
    <row r="518" spans="1:4" ht="18" customHeight="1">
      <c r="A518" s="10" t="s">
        <v>71</v>
      </c>
      <c r="B518" s="10" t="s">
        <v>207</v>
      </c>
      <c r="C518" s="10">
        <v>-2.384185791015625E-7</v>
      </c>
      <c r="D518" s="10" t="s">
        <v>204</v>
      </c>
    </row>
    <row r="519" spans="1:4" ht="18" customHeight="1">
      <c r="A519" s="10" t="s">
        <v>71</v>
      </c>
      <c r="B519" s="10" t="s">
        <v>208</v>
      </c>
      <c r="C519" s="10">
        <v>-1.1920928955078125E-7</v>
      </c>
      <c r="D519" s="10" t="s">
        <v>204</v>
      </c>
    </row>
    <row r="520" spans="1:4" ht="18" customHeight="1">
      <c r="A520" s="10" t="s">
        <v>71</v>
      </c>
      <c r="B520" s="10" t="s">
        <v>209</v>
      </c>
      <c r="C520" s="10" t="s">
        <v>197</v>
      </c>
      <c r="D520" s="10" t="s">
        <v>198</v>
      </c>
    </row>
    <row r="521" spans="1:4" ht="18" customHeight="1">
      <c r="A521" s="10" t="s">
        <v>71</v>
      </c>
      <c r="B521" s="10" t="s">
        <v>210</v>
      </c>
      <c r="C521" s="10" t="s">
        <v>197</v>
      </c>
      <c r="D521" s="10" t="s">
        <v>198</v>
      </c>
    </row>
    <row r="522" spans="1:4" ht="18" customHeight="1">
      <c r="A522" s="10" t="s">
        <v>71</v>
      </c>
      <c r="B522" s="10" t="s">
        <v>211</v>
      </c>
      <c r="C522" s="10">
        <v>0</v>
      </c>
      <c r="D522" s="10" t="s">
        <v>201</v>
      </c>
    </row>
    <row r="523" spans="1:4" ht="18" customHeight="1">
      <c r="A523" s="10" t="s">
        <v>71</v>
      </c>
      <c r="B523" s="10" t="s">
        <v>212</v>
      </c>
      <c r="C523" s="10">
        <v>0</v>
      </c>
      <c r="D523" s="10" t="s">
        <v>201</v>
      </c>
    </row>
    <row r="524" spans="1:4" ht="18" customHeight="1">
      <c r="A524" s="10" t="s">
        <v>97</v>
      </c>
      <c r="B524" s="10" t="s">
        <v>192</v>
      </c>
      <c r="C524" s="10">
        <v>625707.96322015335</v>
      </c>
      <c r="D524" s="10" t="s">
        <v>193</v>
      </c>
    </row>
    <row r="525" spans="1:4" ht="18" customHeight="1">
      <c r="A525" s="10" t="s">
        <v>97</v>
      </c>
      <c r="B525" s="10" t="s">
        <v>194</v>
      </c>
      <c r="C525" s="10">
        <v>625707.96322015335</v>
      </c>
      <c r="D525" s="10" t="s">
        <v>193</v>
      </c>
    </row>
    <row r="526" spans="1:4" ht="18" customHeight="1">
      <c r="A526" s="10" t="s">
        <v>97</v>
      </c>
      <c r="B526" s="10" t="s">
        <v>195</v>
      </c>
      <c r="C526" s="10">
        <v>0</v>
      </c>
      <c r="D526" s="10" t="s">
        <v>193</v>
      </c>
    </row>
    <row r="527" spans="1:4" ht="18" customHeight="1">
      <c r="A527" s="10" t="s">
        <v>97</v>
      </c>
      <c r="B527" s="10" t="s">
        <v>196</v>
      </c>
      <c r="C527" s="10" t="s">
        <v>197</v>
      </c>
      <c r="D527" s="10" t="s">
        <v>198</v>
      </c>
    </row>
    <row r="528" spans="1:4" ht="18" customHeight="1">
      <c r="A528" s="10" t="s">
        <v>97</v>
      </c>
      <c r="B528" s="10" t="s">
        <v>5</v>
      </c>
      <c r="C528" s="10">
        <v>625707.96322015335</v>
      </c>
      <c r="D528" s="10" t="s">
        <v>193</v>
      </c>
    </row>
    <row r="529" spans="1:4" ht="18" customHeight="1">
      <c r="A529" s="10" t="s">
        <v>97</v>
      </c>
      <c r="B529" s="10" t="s">
        <v>199</v>
      </c>
      <c r="C529" s="10">
        <v>1</v>
      </c>
      <c r="D529" s="10" t="s">
        <v>200</v>
      </c>
    </row>
    <row r="530" spans="1:4" ht="18" customHeight="1">
      <c r="A530" s="10" t="s">
        <v>97</v>
      </c>
      <c r="B530" s="10" t="s">
        <v>8</v>
      </c>
      <c r="C530" s="10">
        <v>507</v>
      </c>
      <c r="D530" s="10" t="s">
        <v>201</v>
      </c>
    </row>
    <row r="531" spans="1:4" ht="18" customHeight="1">
      <c r="A531" s="10" t="s">
        <v>97</v>
      </c>
      <c r="B531" s="10" t="s">
        <v>9</v>
      </c>
      <c r="C531" s="10">
        <v>507</v>
      </c>
      <c r="D531" s="10" t="s">
        <v>201</v>
      </c>
    </row>
    <row r="532" spans="1:4" ht="18" customHeight="1">
      <c r="A532" s="10" t="s">
        <v>97</v>
      </c>
      <c r="B532" s="10" t="s">
        <v>202</v>
      </c>
      <c r="C532" s="10">
        <v>0</v>
      </c>
      <c r="D532" s="10" t="s">
        <v>201</v>
      </c>
    </row>
    <row r="533" spans="1:4" ht="18" customHeight="1">
      <c r="A533" s="10" t="s">
        <v>97</v>
      </c>
      <c r="B533" s="10" t="s">
        <v>203</v>
      </c>
      <c r="C533" s="10">
        <v>398459551.56510031</v>
      </c>
      <c r="D533" s="10" t="s">
        <v>204</v>
      </c>
    </row>
    <row r="534" spans="1:4" ht="18" customHeight="1">
      <c r="A534" s="10" t="s">
        <v>97</v>
      </c>
      <c r="B534" s="10" t="s">
        <v>205</v>
      </c>
      <c r="C534" s="10">
        <v>398459551.56510025</v>
      </c>
      <c r="D534" s="10" t="s">
        <v>204</v>
      </c>
    </row>
    <row r="535" spans="1:4" ht="18" customHeight="1">
      <c r="A535" s="10" t="s">
        <v>97</v>
      </c>
      <c r="B535" s="10" t="s">
        <v>206</v>
      </c>
      <c r="C535" s="10">
        <v>398459551.56510031</v>
      </c>
      <c r="D535" s="10" t="s">
        <v>204</v>
      </c>
    </row>
    <row r="536" spans="1:4" ht="18" customHeight="1">
      <c r="A536" s="10" t="s">
        <v>97</v>
      </c>
      <c r="B536" s="10" t="s">
        <v>207</v>
      </c>
      <c r="C536" s="10">
        <v>-5.9604644775390625E-8</v>
      </c>
      <c r="D536" s="10" t="s">
        <v>204</v>
      </c>
    </row>
    <row r="537" spans="1:4" ht="18" customHeight="1">
      <c r="A537" s="10" t="s">
        <v>97</v>
      </c>
      <c r="B537" s="10" t="s">
        <v>208</v>
      </c>
      <c r="C537" s="10">
        <v>0</v>
      </c>
      <c r="D537" s="10" t="s">
        <v>204</v>
      </c>
    </row>
    <row r="538" spans="1:4" ht="18" customHeight="1">
      <c r="A538" s="10" t="s">
        <v>97</v>
      </c>
      <c r="B538" s="10" t="s">
        <v>209</v>
      </c>
      <c r="C538" s="10" t="s">
        <v>197</v>
      </c>
      <c r="D538" s="10" t="s">
        <v>198</v>
      </c>
    </row>
    <row r="539" spans="1:4" ht="18" customHeight="1">
      <c r="A539" s="10" t="s">
        <v>97</v>
      </c>
      <c r="B539" s="10" t="s">
        <v>210</v>
      </c>
      <c r="C539" s="10" t="s">
        <v>197</v>
      </c>
      <c r="D539" s="10" t="s">
        <v>198</v>
      </c>
    </row>
    <row r="540" spans="1:4" ht="18" customHeight="1">
      <c r="A540" s="10" t="s">
        <v>97</v>
      </c>
      <c r="B540" s="10" t="s">
        <v>211</v>
      </c>
      <c r="C540" s="10">
        <v>0</v>
      </c>
      <c r="D540" s="10" t="s">
        <v>201</v>
      </c>
    </row>
    <row r="541" spans="1:4" ht="18" customHeight="1">
      <c r="A541" s="10" t="s">
        <v>97</v>
      </c>
      <c r="B541" s="10" t="s">
        <v>212</v>
      </c>
      <c r="C541" s="10">
        <v>0</v>
      </c>
      <c r="D541" s="10" t="s">
        <v>201</v>
      </c>
    </row>
    <row r="542" spans="1:4" ht="18" customHeight="1">
      <c r="A542" s="10" t="s">
        <v>28</v>
      </c>
      <c r="B542" s="10" t="s">
        <v>192</v>
      </c>
      <c r="C542" s="10">
        <v>7390380.6806016136</v>
      </c>
      <c r="D542" s="10" t="s">
        <v>193</v>
      </c>
    </row>
    <row r="543" spans="1:4" ht="18" customHeight="1">
      <c r="A543" s="10" t="s">
        <v>28</v>
      </c>
      <c r="B543" s="10" t="s">
        <v>194</v>
      </c>
      <c r="C543" s="10">
        <v>7390380.6806016136</v>
      </c>
      <c r="D543" s="10" t="s">
        <v>193</v>
      </c>
    </row>
    <row r="544" spans="1:4" ht="18" customHeight="1">
      <c r="A544" s="10" t="s">
        <v>28</v>
      </c>
      <c r="B544" s="10" t="s">
        <v>195</v>
      </c>
      <c r="C544" s="10">
        <v>0</v>
      </c>
      <c r="D544" s="10" t="s">
        <v>193</v>
      </c>
    </row>
    <row r="545" spans="1:4" ht="18" customHeight="1">
      <c r="A545" s="10" t="s">
        <v>28</v>
      </c>
      <c r="B545" s="10" t="s">
        <v>196</v>
      </c>
      <c r="C545" s="10" t="s">
        <v>197</v>
      </c>
      <c r="D545" s="10" t="s">
        <v>198</v>
      </c>
    </row>
    <row r="546" spans="1:4" ht="18" customHeight="1">
      <c r="A546" s="10" t="s">
        <v>28</v>
      </c>
      <c r="B546" s="10" t="s">
        <v>5</v>
      </c>
      <c r="C546" s="10">
        <v>7390380.6806016136</v>
      </c>
      <c r="D546" s="10" t="s">
        <v>193</v>
      </c>
    </row>
    <row r="547" spans="1:4" ht="18" customHeight="1">
      <c r="A547" s="10" t="s">
        <v>28</v>
      </c>
      <c r="B547" s="10" t="s">
        <v>199</v>
      </c>
      <c r="C547" s="10">
        <v>1</v>
      </c>
      <c r="D547" s="10" t="s">
        <v>200</v>
      </c>
    </row>
    <row r="548" spans="1:4" ht="18" customHeight="1">
      <c r="A548" s="10" t="s">
        <v>28</v>
      </c>
      <c r="B548" s="10" t="s">
        <v>8</v>
      </c>
      <c r="C548" s="10">
        <v>184</v>
      </c>
      <c r="D548" s="10" t="s">
        <v>201</v>
      </c>
    </row>
    <row r="549" spans="1:4" ht="18" customHeight="1">
      <c r="A549" s="10" t="s">
        <v>28</v>
      </c>
      <c r="B549" s="10" t="s">
        <v>9</v>
      </c>
      <c r="C549" s="10">
        <v>184</v>
      </c>
      <c r="D549" s="10" t="s">
        <v>201</v>
      </c>
    </row>
    <row r="550" spans="1:4" ht="18" customHeight="1">
      <c r="A550" s="10" t="s">
        <v>28</v>
      </c>
      <c r="B550" s="10" t="s">
        <v>202</v>
      </c>
      <c r="C550" s="10">
        <v>0</v>
      </c>
      <c r="D550" s="10" t="s">
        <v>201</v>
      </c>
    </row>
    <row r="551" spans="1:4" ht="18" customHeight="1">
      <c r="A551" s="10" t="s">
        <v>28</v>
      </c>
      <c r="B551" s="10" t="s">
        <v>203</v>
      </c>
      <c r="C551" s="10">
        <v>2612052520.1434836</v>
      </c>
      <c r="D551" s="10" t="s">
        <v>204</v>
      </c>
    </row>
    <row r="552" spans="1:4" ht="18" customHeight="1">
      <c r="A552" s="10" t="s">
        <v>28</v>
      </c>
      <c r="B552" s="10" t="s">
        <v>205</v>
      </c>
      <c r="C552" s="10">
        <v>2612052520.1434832</v>
      </c>
      <c r="D552" s="10" t="s">
        <v>204</v>
      </c>
    </row>
    <row r="553" spans="1:4" ht="18" customHeight="1">
      <c r="A553" s="10" t="s">
        <v>28</v>
      </c>
      <c r="B553" s="10" t="s">
        <v>206</v>
      </c>
      <c r="C553" s="10">
        <v>2612052520.1434832</v>
      </c>
      <c r="D553" s="10" t="s">
        <v>204</v>
      </c>
    </row>
    <row r="554" spans="1:4" ht="18" customHeight="1">
      <c r="A554" s="10" t="s">
        <v>28</v>
      </c>
      <c r="B554" s="10" t="s">
        <v>207</v>
      </c>
      <c r="C554" s="10">
        <v>-4.76837158203125E-7</v>
      </c>
      <c r="D554" s="10" t="s">
        <v>204</v>
      </c>
    </row>
    <row r="555" spans="1:4" ht="18" customHeight="1">
      <c r="A555" s="10" t="s">
        <v>28</v>
      </c>
      <c r="B555" s="10" t="s">
        <v>208</v>
      </c>
      <c r="C555" s="10">
        <v>-4.76837158203125E-7</v>
      </c>
      <c r="D555" s="10" t="s">
        <v>204</v>
      </c>
    </row>
    <row r="556" spans="1:4" ht="18" customHeight="1">
      <c r="A556" s="10" t="s">
        <v>28</v>
      </c>
      <c r="B556" s="10" t="s">
        <v>209</v>
      </c>
      <c r="C556" s="10" t="s">
        <v>197</v>
      </c>
      <c r="D556" s="10" t="s">
        <v>198</v>
      </c>
    </row>
    <row r="557" spans="1:4" ht="18" customHeight="1">
      <c r="A557" s="10" t="s">
        <v>28</v>
      </c>
      <c r="B557" s="10" t="s">
        <v>210</v>
      </c>
      <c r="C557" s="10" t="s">
        <v>197</v>
      </c>
      <c r="D557" s="10" t="s">
        <v>198</v>
      </c>
    </row>
    <row r="558" spans="1:4" ht="18" customHeight="1">
      <c r="A558" s="10" t="s">
        <v>28</v>
      </c>
      <c r="B558" s="10" t="s">
        <v>211</v>
      </c>
      <c r="C558" s="10">
        <v>0</v>
      </c>
      <c r="D558" s="10" t="s">
        <v>201</v>
      </c>
    </row>
    <row r="559" spans="1:4" ht="18" customHeight="1">
      <c r="A559" s="10" t="s">
        <v>28</v>
      </c>
      <c r="B559" s="10" t="s">
        <v>212</v>
      </c>
      <c r="C559" s="10">
        <v>0</v>
      </c>
      <c r="D559" s="10" t="s">
        <v>201</v>
      </c>
    </row>
    <row r="560" spans="1:4" ht="18" customHeight="1">
      <c r="A560" s="10" t="s">
        <v>51</v>
      </c>
      <c r="B560" s="10" t="s">
        <v>192</v>
      </c>
      <c r="C560" s="10">
        <v>1589890.9385366845</v>
      </c>
      <c r="D560" s="10" t="s">
        <v>193</v>
      </c>
    </row>
    <row r="561" spans="1:4" ht="18" customHeight="1">
      <c r="A561" s="10" t="s">
        <v>51</v>
      </c>
      <c r="B561" s="10" t="s">
        <v>194</v>
      </c>
      <c r="C561" s="10">
        <v>1589890.9385366847</v>
      </c>
      <c r="D561" s="10" t="s">
        <v>193</v>
      </c>
    </row>
    <row r="562" spans="1:4" ht="18" customHeight="1">
      <c r="A562" s="10" t="s">
        <v>51</v>
      </c>
      <c r="B562" s="10" t="s">
        <v>195</v>
      </c>
      <c r="C562" s="10">
        <v>2.3283064365386963E-10</v>
      </c>
      <c r="D562" s="10" t="s">
        <v>193</v>
      </c>
    </row>
    <row r="563" spans="1:4" ht="18" customHeight="1">
      <c r="A563" s="10" t="s">
        <v>51</v>
      </c>
      <c r="B563" s="10" t="s">
        <v>196</v>
      </c>
      <c r="C563" s="10" t="s">
        <v>197</v>
      </c>
      <c r="D563" s="10" t="s">
        <v>198</v>
      </c>
    </row>
    <row r="564" spans="1:4" ht="18" customHeight="1">
      <c r="A564" s="10" t="s">
        <v>51</v>
      </c>
      <c r="B564" s="10" t="s">
        <v>5</v>
      </c>
      <c r="C564" s="10">
        <v>1589890.9385366847</v>
      </c>
      <c r="D564" s="10" t="s">
        <v>193</v>
      </c>
    </row>
    <row r="565" spans="1:4" ht="18" customHeight="1">
      <c r="A565" s="10" t="s">
        <v>51</v>
      </c>
      <c r="B565" s="10" t="s">
        <v>199</v>
      </c>
      <c r="C565" s="10">
        <v>1</v>
      </c>
      <c r="D565" s="10" t="s">
        <v>200</v>
      </c>
    </row>
    <row r="566" spans="1:4" ht="18" customHeight="1">
      <c r="A566" s="10" t="s">
        <v>51</v>
      </c>
      <c r="B566" s="10" t="s">
        <v>8</v>
      </c>
      <c r="C566" s="10">
        <v>195</v>
      </c>
      <c r="D566" s="10" t="s">
        <v>201</v>
      </c>
    </row>
    <row r="567" spans="1:4" ht="18" customHeight="1">
      <c r="A567" s="10" t="s">
        <v>51</v>
      </c>
      <c r="B567" s="10" t="s">
        <v>9</v>
      </c>
      <c r="C567" s="10">
        <v>195</v>
      </c>
      <c r="D567" s="10" t="s">
        <v>201</v>
      </c>
    </row>
    <row r="568" spans="1:4" ht="18" customHeight="1">
      <c r="A568" s="10" t="s">
        <v>51</v>
      </c>
      <c r="B568" s="10" t="s">
        <v>202</v>
      </c>
      <c r="C568" s="10">
        <v>0</v>
      </c>
      <c r="D568" s="10" t="s">
        <v>201</v>
      </c>
    </row>
    <row r="569" spans="1:4" ht="18" customHeight="1">
      <c r="A569" s="10" t="s">
        <v>51</v>
      </c>
      <c r="B569" s="10" t="s">
        <v>203</v>
      </c>
      <c r="C569" s="10">
        <v>1391657718.08254</v>
      </c>
      <c r="D569" s="10" t="s">
        <v>204</v>
      </c>
    </row>
    <row r="570" spans="1:4" ht="18" customHeight="1">
      <c r="A570" s="10" t="s">
        <v>51</v>
      </c>
      <c r="B570" s="10" t="s">
        <v>205</v>
      </c>
      <c r="C570" s="10">
        <v>1391657718.0825403</v>
      </c>
      <c r="D570" s="10" t="s">
        <v>204</v>
      </c>
    </row>
    <row r="571" spans="1:4" ht="18" customHeight="1">
      <c r="A571" s="10" t="s">
        <v>51</v>
      </c>
      <c r="B571" s="10" t="s">
        <v>206</v>
      </c>
      <c r="C571" s="10">
        <v>1391657718.08254</v>
      </c>
      <c r="D571" s="10" t="s">
        <v>204</v>
      </c>
    </row>
    <row r="572" spans="1:4" ht="18" customHeight="1">
      <c r="A572" s="10" t="s">
        <v>51</v>
      </c>
      <c r="B572" s="10" t="s">
        <v>207</v>
      </c>
      <c r="C572" s="10">
        <v>2.384185791015625E-7</v>
      </c>
      <c r="D572" s="10" t="s">
        <v>204</v>
      </c>
    </row>
    <row r="573" spans="1:4" ht="18" customHeight="1">
      <c r="A573" s="10" t="s">
        <v>51</v>
      </c>
      <c r="B573" s="10" t="s">
        <v>208</v>
      </c>
      <c r="C573" s="10">
        <v>0</v>
      </c>
      <c r="D573" s="10" t="s">
        <v>204</v>
      </c>
    </row>
    <row r="574" spans="1:4" ht="18" customHeight="1">
      <c r="A574" s="10" t="s">
        <v>51</v>
      </c>
      <c r="B574" s="10" t="s">
        <v>209</v>
      </c>
      <c r="C574" s="10" t="s">
        <v>197</v>
      </c>
      <c r="D574" s="10" t="s">
        <v>198</v>
      </c>
    </row>
    <row r="575" spans="1:4" ht="18" customHeight="1">
      <c r="A575" s="10" t="s">
        <v>51</v>
      </c>
      <c r="B575" s="10" t="s">
        <v>210</v>
      </c>
      <c r="C575" s="10" t="s">
        <v>197</v>
      </c>
      <c r="D575" s="10" t="s">
        <v>198</v>
      </c>
    </row>
    <row r="576" spans="1:4" ht="18" customHeight="1">
      <c r="A576" s="10" t="s">
        <v>51</v>
      </c>
      <c r="B576" s="10" t="s">
        <v>211</v>
      </c>
      <c r="C576" s="10">
        <v>0</v>
      </c>
      <c r="D576" s="10" t="s">
        <v>201</v>
      </c>
    </row>
    <row r="577" spans="1:4" ht="18" customHeight="1">
      <c r="A577" s="10" t="s">
        <v>51</v>
      </c>
      <c r="B577" s="10" t="s">
        <v>212</v>
      </c>
      <c r="C577" s="10">
        <v>0</v>
      </c>
      <c r="D577" s="10" t="s">
        <v>201</v>
      </c>
    </row>
    <row r="578" spans="1:4" ht="18" customHeight="1">
      <c r="A578" s="10" t="s">
        <v>115</v>
      </c>
      <c r="B578" s="10" t="s">
        <v>192</v>
      </c>
      <c r="C578" s="10">
        <v>292432.09997720609</v>
      </c>
      <c r="D578" s="10" t="s">
        <v>193</v>
      </c>
    </row>
    <row r="579" spans="1:4" ht="18" customHeight="1">
      <c r="A579" s="10" t="s">
        <v>115</v>
      </c>
      <c r="B579" s="10" t="s">
        <v>194</v>
      </c>
      <c r="C579" s="10">
        <v>292432.09997720609</v>
      </c>
      <c r="D579" s="10" t="s">
        <v>193</v>
      </c>
    </row>
    <row r="580" spans="1:4" ht="18" customHeight="1">
      <c r="A580" s="10" t="s">
        <v>115</v>
      </c>
      <c r="B580" s="10" t="s">
        <v>195</v>
      </c>
      <c r="C580" s="10">
        <v>0</v>
      </c>
      <c r="D580" s="10" t="s">
        <v>193</v>
      </c>
    </row>
    <row r="581" spans="1:4" ht="18" customHeight="1">
      <c r="A581" s="10" t="s">
        <v>115</v>
      </c>
      <c r="B581" s="10" t="s">
        <v>196</v>
      </c>
      <c r="C581" s="10" t="s">
        <v>197</v>
      </c>
      <c r="D581" s="10" t="s">
        <v>198</v>
      </c>
    </row>
    <row r="582" spans="1:4" ht="18" customHeight="1">
      <c r="A582" s="10" t="s">
        <v>115</v>
      </c>
      <c r="B582" s="10" t="s">
        <v>5</v>
      </c>
      <c r="C582" s="10">
        <v>292432.09997720609</v>
      </c>
      <c r="D582" s="10" t="s">
        <v>193</v>
      </c>
    </row>
    <row r="583" spans="1:4" ht="18" customHeight="1">
      <c r="A583" s="10" t="s">
        <v>115</v>
      </c>
      <c r="B583" s="10" t="s">
        <v>199</v>
      </c>
      <c r="C583" s="10">
        <v>1</v>
      </c>
      <c r="D583" s="10" t="s">
        <v>200</v>
      </c>
    </row>
    <row r="584" spans="1:4" ht="18" customHeight="1">
      <c r="A584" s="10" t="s">
        <v>115</v>
      </c>
      <c r="B584" s="10" t="s">
        <v>8</v>
      </c>
      <c r="C584" s="10">
        <v>264</v>
      </c>
      <c r="D584" s="10" t="s">
        <v>201</v>
      </c>
    </row>
    <row r="585" spans="1:4" ht="18" customHeight="1">
      <c r="A585" s="10" t="s">
        <v>115</v>
      </c>
      <c r="B585" s="10" t="s">
        <v>9</v>
      </c>
      <c r="C585" s="10">
        <v>264</v>
      </c>
      <c r="D585" s="10" t="s">
        <v>201</v>
      </c>
    </row>
    <row r="586" spans="1:4" ht="18" customHeight="1">
      <c r="A586" s="10" t="s">
        <v>115</v>
      </c>
      <c r="B586" s="10" t="s">
        <v>202</v>
      </c>
      <c r="C586" s="10">
        <v>0</v>
      </c>
      <c r="D586" s="10" t="s">
        <v>201</v>
      </c>
    </row>
    <row r="587" spans="1:4" ht="18" customHeight="1">
      <c r="A587" s="10" t="s">
        <v>115</v>
      </c>
      <c r="B587" s="10" t="s">
        <v>203</v>
      </c>
      <c r="C587" s="10">
        <v>226590038.89243433</v>
      </c>
      <c r="D587" s="10" t="s">
        <v>204</v>
      </c>
    </row>
    <row r="588" spans="1:4" ht="18" customHeight="1">
      <c r="A588" s="10" t="s">
        <v>115</v>
      </c>
      <c r="B588" s="10" t="s">
        <v>205</v>
      </c>
      <c r="C588" s="10">
        <v>226590038.8924343</v>
      </c>
      <c r="D588" s="10" t="s">
        <v>204</v>
      </c>
    </row>
    <row r="589" spans="1:4" ht="18" customHeight="1">
      <c r="A589" s="10" t="s">
        <v>115</v>
      </c>
      <c r="B589" s="10" t="s">
        <v>206</v>
      </c>
      <c r="C589" s="10">
        <v>226590038.8924343</v>
      </c>
      <c r="D589" s="10" t="s">
        <v>204</v>
      </c>
    </row>
    <row r="590" spans="1:4" ht="18" customHeight="1">
      <c r="A590" s="10" t="s">
        <v>115</v>
      </c>
      <c r="B590" s="10" t="s">
        <v>207</v>
      </c>
      <c r="C590" s="10">
        <v>-2.9802322387695313E-8</v>
      </c>
      <c r="D590" s="10" t="s">
        <v>204</v>
      </c>
    </row>
    <row r="591" spans="1:4" ht="18" customHeight="1">
      <c r="A591" s="10" t="s">
        <v>115</v>
      </c>
      <c r="B591" s="10" t="s">
        <v>208</v>
      </c>
      <c r="C591" s="10">
        <v>-2.9802322387695313E-8</v>
      </c>
      <c r="D591" s="10" t="s">
        <v>204</v>
      </c>
    </row>
    <row r="592" spans="1:4" ht="18" customHeight="1">
      <c r="A592" s="10" t="s">
        <v>115</v>
      </c>
      <c r="B592" s="10" t="s">
        <v>209</v>
      </c>
      <c r="C592" s="10" t="s">
        <v>197</v>
      </c>
      <c r="D592" s="10" t="s">
        <v>198</v>
      </c>
    </row>
    <row r="593" spans="1:4" ht="18" customHeight="1">
      <c r="A593" s="10" t="s">
        <v>115</v>
      </c>
      <c r="B593" s="10" t="s">
        <v>210</v>
      </c>
      <c r="C593" s="10" t="s">
        <v>197</v>
      </c>
      <c r="D593" s="10" t="s">
        <v>198</v>
      </c>
    </row>
    <row r="594" spans="1:4" ht="18" customHeight="1">
      <c r="A594" s="10" t="s">
        <v>115</v>
      </c>
      <c r="B594" s="10" t="s">
        <v>211</v>
      </c>
      <c r="C594" s="10">
        <v>0</v>
      </c>
      <c r="D594" s="10" t="s">
        <v>201</v>
      </c>
    </row>
    <row r="595" spans="1:4" ht="18" customHeight="1">
      <c r="A595" s="10" t="s">
        <v>115</v>
      </c>
      <c r="B595" s="10" t="s">
        <v>212</v>
      </c>
      <c r="C595" s="10">
        <v>0</v>
      </c>
      <c r="D595" s="10" t="s">
        <v>201</v>
      </c>
    </row>
    <row r="596" spans="1:4" ht="18" customHeight="1">
      <c r="A596" s="10" t="s">
        <v>121</v>
      </c>
      <c r="B596" s="10" t="s">
        <v>192</v>
      </c>
      <c r="C596" s="10">
        <v>306003.28874194151</v>
      </c>
      <c r="D596" s="10" t="s">
        <v>193</v>
      </c>
    </row>
    <row r="597" spans="1:4" ht="18" customHeight="1">
      <c r="A597" s="10" t="s">
        <v>121</v>
      </c>
      <c r="B597" s="10" t="s">
        <v>194</v>
      </c>
      <c r="C597" s="10">
        <v>306003.28874194151</v>
      </c>
      <c r="D597" s="10" t="s">
        <v>193</v>
      </c>
    </row>
    <row r="598" spans="1:4" ht="18" customHeight="1">
      <c r="A598" s="10" t="s">
        <v>121</v>
      </c>
      <c r="B598" s="10" t="s">
        <v>195</v>
      </c>
      <c r="C598" s="10">
        <v>0</v>
      </c>
      <c r="D598" s="10" t="s">
        <v>193</v>
      </c>
    </row>
    <row r="599" spans="1:4" ht="18" customHeight="1">
      <c r="A599" s="10" t="s">
        <v>121</v>
      </c>
      <c r="B599" s="10" t="s">
        <v>196</v>
      </c>
      <c r="C599" s="10" t="s">
        <v>197</v>
      </c>
      <c r="D599" s="10" t="s">
        <v>198</v>
      </c>
    </row>
    <row r="600" spans="1:4" ht="18" customHeight="1">
      <c r="A600" s="10" t="s">
        <v>121</v>
      </c>
      <c r="B600" s="10" t="s">
        <v>5</v>
      </c>
      <c r="C600" s="10">
        <v>306003.28874194151</v>
      </c>
      <c r="D600" s="10" t="s">
        <v>193</v>
      </c>
    </row>
    <row r="601" spans="1:4" ht="18" customHeight="1">
      <c r="A601" s="10" t="s">
        <v>121</v>
      </c>
      <c r="B601" s="10" t="s">
        <v>199</v>
      </c>
      <c r="C601" s="10">
        <v>1</v>
      </c>
      <c r="D601" s="10" t="s">
        <v>200</v>
      </c>
    </row>
    <row r="602" spans="1:4" ht="18" customHeight="1">
      <c r="A602" s="10" t="s">
        <v>121</v>
      </c>
      <c r="B602" s="10" t="s">
        <v>8</v>
      </c>
      <c r="C602" s="10">
        <v>254</v>
      </c>
      <c r="D602" s="10" t="s">
        <v>201</v>
      </c>
    </row>
    <row r="603" spans="1:4" ht="18" customHeight="1">
      <c r="A603" s="10" t="s">
        <v>121</v>
      </c>
      <c r="B603" s="10" t="s">
        <v>9</v>
      </c>
      <c r="C603" s="10">
        <v>254</v>
      </c>
      <c r="D603" s="10" t="s">
        <v>201</v>
      </c>
    </row>
    <row r="604" spans="1:4" ht="18" customHeight="1">
      <c r="A604" s="10" t="s">
        <v>121</v>
      </c>
      <c r="B604" s="10" t="s">
        <v>202</v>
      </c>
      <c r="C604" s="10">
        <v>0</v>
      </c>
      <c r="D604" s="10" t="s">
        <v>201</v>
      </c>
    </row>
    <row r="605" spans="1:4" ht="18" customHeight="1">
      <c r="A605" s="10" t="s">
        <v>121</v>
      </c>
      <c r="B605" s="10" t="s">
        <v>203</v>
      </c>
      <c r="C605" s="10">
        <v>201658143.7250421</v>
      </c>
      <c r="D605" s="10" t="s">
        <v>204</v>
      </c>
    </row>
    <row r="606" spans="1:4" ht="18" customHeight="1">
      <c r="A606" s="10" t="s">
        <v>121</v>
      </c>
      <c r="B606" s="10" t="s">
        <v>205</v>
      </c>
      <c r="C606" s="10">
        <v>201658143.72504207</v>
      </c>
      <c r="D606" s="10" t="s">
        <v>204</v>
      </c>
    </row>
    <row r="607" spans="1:4" ht="18" customHeight="1">
      <c r="A607" s="10" t="s">
        <v>121</v>
      </c>
      <c r="B607" s="10" t="s">
        <v>206</v>
      </c>
      <c r="C607" s="10">
        <v>201658143.72504207</v>
      </c>
      <c r="D607" s="10" t="s">
        <v>204</v>
      </c>
    </row>
    <row r="608" spans="1:4" ht="18" customHeight="1">
      <c r="A608" s="10" t="s">
        <v>121</v>
      </c>
      <c r="B608" s="10" t="s">
        <v>207</v>
      </c>
      <c r="C608" s="10">
        <v>-2.9802322387695313E-8</v>
      </c>
      <c r="D608" s="10" t="s">
        <v>204</v>
      </c>
    </row>
    <row r="609" spans="1:4" ht="18" customHeight="1">
      <c r="A609" s="10" t="s">
        <v>121</v>
      </c>
      <c r="B609" s="10" t="s">
        <v>208</v>
      </c>
      <c r="C609" s="10">
        <v>-2.9802322387695313E-8</v>
      </c>
      <c r="D609" s="10" t="s">
        <v>204</v>
      </c>
    </row>
    <row r="610" spans="1:4" ht="18" customHeight="1">
      <c r="A610" s="10" t="s">
        <v>121</v>
      </c>
      <c r="B610" s="10" t="s">
        <v>209</v>
      </c>
      <c r="C610" s="10" t="s">
        <v>197</v>
      </c>
      <c r="D610" s="10" t="s">
        <v>198</v>
      </c>
    </row>
    <row r="611" spans="1:4" ht="18" customHeight="1">
      <c r="A611" s="10" t="s">
        <v>121</v>
      </c>
      <c r="B611" s="10" t="s">
        <v>210</v>
      </c>
      <c r="C611" s="10" t="s">
        <v>197</v>
      </c>
      <c r="D611" s="10" t="s">
        <v>198</v>
      </c>
    </row>
    <row r="612" spans="1:4" ht="18" customHeight="1">
      <c r="A612" s="10" t="s">
        <v>121</v>
      </c>
      <c r="B612" s="10" t="s">
        <v>211</v>
      </c>
      <c r="C612" s="10">
        <v>0</v>
      </c>
      <c r="D612" s="10" t="s">
        <v>201</v>
      </c>
    </row>
    <row r="613" spans="1:4" ht="18" customHeight="1">
      <c r="A613" s="10" t="s">
        <v>121</v>
      </c>
      <c r="B613" s="10" t="s">
        <v>212</v>
      </c>
      <c r="C613" s="10">
        <v>0</v>
      </c>
      <c r="D613" s="10" t="s">
        <v>201</v>
      </c>
    </row>
    <row r="614" spans="1:4" ht="18" customHeight="1">
      <c r="A614" s="10" t="s">
        <v>103</v>
      </c>
      <c r="B614" s="10" t="s">
        <v>192</v>
      </c>
      <c r="C614" s="10">
        <v>453226.03085279721</v>
      </c>
      <c r="D614" s="10" t="s">
        <v>193</v>
      </c>
    </row>
    <row r="615" spans="1:4" ht="18" customHeight="1">
      <c r="A615" s="10" t="s">
        <v>103</v>
      </c>
      <c r="B615" s="10" t="s">
        <v>194</v>
      </c>
      <c r="C615" s="10">
        <v>453226.03085279715</v>
      </c>
      <c r="D615" s="10" t="s">
        <v>193</v>
      </c>
    </row>
    <row r="616" spans="1:4" ht="18" customHeight="1">
      <c r="A616" s="10" t="s">
        <v>103</v>
      </c>
      <c r="B616" s="10" t="s">
        <v>195</v>
      </c>
      <c r="C616" s="10">
        <v>-5.8207660913467407E-11</v>
      </c>
      <c r="D616" s="10" t="s">
        <v>193</v>
      </c>
    </row>
    <row r="617" spans="1:4" ht="18" customHeight="1">
      <c r="A617" s="10" t="s">
        <v>103</v>
      </c>
      <c r="B617" s="10" t="s">
        <v>196</v>
      </c>
      <c r="C617" s="10" t="s">
        <v>197</v>
      </c>
      <c r="D617" s="10" t="s">
        <v>198</v>
      </c>
    </row>
    <row r="618" spans="1:4" ht="18" customHeight="1">
      <c r="A618" s="10" t="s">
        <v>103</v>
      </c>
      <c r="B618" s="10" t="s">
        <v>5</v>
      </c>
      <c r="C618" s="10">
        <v>453226.03085279715</v>
      </c>
      <c r="D618" s="10" t="s">
        <v>193</v>
      </c>
    </row>
    <row r="619" spans="1:4" ht="18" customHeight="1">
      <c r="A619" s="10" t="s">
        <v>103</v>
      </c>
      <c r="B619" s="10" t="s">
        <v>199</v>
      </c>
      <c r="C619" s="10">
        <v>1</v>
      </c>
      <c r="D619" s="10" t="s">
        <v>200</v>
      </c>
    </row>
    <row r="620" spans="1:4" ht="18" customHeight="1">
      <c r="A620" s="10" t="s">
        <v>103</v>
      </c>
      <c r="B620" s="10" t="s">
        <v>8</v>
      </c>
      <c r="C620" s="10">
        <v>311</v>
      </c>
      <c r="D620" s="10" t="s">
        <v>201</v>
      </c>
    </row>
    <row r="621" spans="1:4" ht="18" customHeight="1">
      <c r="A621" s="10" t="s">
        <v>103</v>
      </c>
      <c r="B621" s="10" t="s">
        <v>9</v>
      </c>
      <c r="C621" s="10">
        <v>311</v>
      </c>
      <c r="D621" s="10" t="s">
        <v>201</v>
      </c>
    </row>
    <row r="622" spans="1:4" ht="18" customHeight="1">
      <c r="A622" s="10" t="s">
        <v>103</v>
      </c>
      <c r="B622" s="10" t="s">
        <v>202</v>
      </c>
      <c r="C622" s="10">
        <v>0</v>
      </c>
      <c r="D622" s="10" t="s">
        <v>201</v>
      </c>
    </row>
    <row r="623" spans="1:4" ht="18" customHeight="1">
      <c r="A623" s="10" t="s">
        <v>103</v>
      </c>
      <c r="B623" s="10" t="s">
        <v>203</v>
      </c>
      <c r="C623" s="10">
        <v>292573328.34463125</v>
      </c>
      <c r="D623" s="10" t="s">
        <v>204</v>
      </c>
    </row>
    <row r="624" spans="1:4" ht="18" customHeight="1">
      <c r="A624" s="10" t="s">
        <v>103</v>
      </c>
      <c r="B624" s="10" t="s">
        <v>205</v>
      </c>
      <c r="C624" s="10">
        <v>292573328.3446312</v>
      </c>
      <c r="D624" s="10" t="s">
        <v>204</v>
      </c>
    </row>
    <row r="625" spans="1:4" ht="18" customHeight="1">
      <c r="A625" s="10" t="s">
        <v>103</v>
      </c>
      <c r="B625" s="10" t="s">
        <v>206</v>
      </c>
      <c r="C625" s="10">
        <v>292573328.3446312</v>
      </c>
      <c r="D625" s="10" t="s">
        <v>204</v>
      </c>
    </row>
    <row r="626" spans="1:4" ht="18" customHeight="1">
      <c r="A626" s="10" t="s">
        <v>103</v>
      </c>
      <c r="B626" s="10" t="s">
        <v>207</v>
      </c>
      <c r="C626" s="10">
        <v>-5.9604644775390625E-8</v>
      </c>
      <c r="D626" s="10" t="s">
        <v>204</v>
      </c>
    </row>
    <row r="627" spans="1:4" ht="18" customHeight="1">
      <c r="A627" s="10" t="s">
        <v>103</v>
      </c>
      <c r="B627" s="10" t="s">
        <v>208</v>
      </c>
      <c r="C627" s="10">
        <v>-5.9604644775390625E-8</v>
      </c>
      <c r="D627" s="10" t="s">
        <v>204</v>
      </c>
    </row>
    <row r="628" spans="1:4" ht="18" customHeight="1">
      <c r="A628" s="10" t="s">
        <v>103</v>
      </c>
      <c r="B628" s="10" t="s">
        <v>209</v>
      </c>
      <c r="C628" s="10" t="s">
        <v>197</v>
      </c>
      <c r="D628" s="10" t="s">
        <v>198</v>
      </c>
    </row>
    <row r="629" spans="1:4" ht="18" customHeight="1">
      <c r="A629" s="10" t="s">
        <v>103</v>
      </c>
      <c r="B629" s="10" t="s">
        <v>210</v>
      </c>
      <c r="C629" s="10" t="s">
        <v>197</v>
      </c>
      <c r="D629" s="10" t="s">
        <v>198</v>
      </c>
    </row>
    <row r="630" spans="1:4" ht="18" customHeight="1">
      <c r="A630" s="10" t="s">
        <v>103</v>
      </c>
      <c r="B630" s="10" t="s">
        <v>211</v>
      </c>
      <c r="C630" s="10">
        <v>0</v>
      </c>
      <c r="D630" s="10" t="s">
        <v>201</v>
      </c>
    </row>
    <row r="631" spans="1:4" ht="18" customHeight="1">
      <c r="A631" s="10" t="s">
        <v>103</v>
      </c>
      <c r="B631" s="10" t="s">
        <v>212</v>
      </c>
      <c r="C631" s="10">
        <v>0</v>
      </c>
      <c r="D631" s="10" t="s">
        <v>201</v>
      </c>
    </row>
    <row r="632" spans="1:4" ht="18" customHeight="1">
      <c r="A632" s="10" t="s">
        <v>119</v>
      </c>
      <c r="B632" s="10" t="s">
        <v>192</v>
      </c>
      <c r="C632" s="10">
        <v>219045.62416918139</v>
      </c>
      <c r="D632" s="10" t="s">
        <v>193</v>
      </c>
    </row>
    <row r="633" spans="1:4" ht="18" customHeight="1">
      <c r="A633" s="10" t="s">
        <v>119</v>
      </c>
      <c r="B633" s="10" t="s">
        <v>194</v>
      </c>
      <c r="C633" s="10">
        <v>219045.62416918142</v>
      </c>
      <c r="D633" s="10" t="s">
        <v>193</v>
      </c>
    </row>
    <row r="634" spans="1:4" ht="18" customHeight="1">
      <c r="A634" s="10" t="s">
        <v>119</v>
      </c>
      <c r="B634" s="10" t="s">
        <v>195</v>
      </c>
      <c r="C634" s="10">
        <v>2.9103830456733704E-11</v>
      </c>
      <c r="D634" s="10" t="s">
        <v>193</v>
      </c>
    </row>
    <row r="635" spans="1:4" ht="18" customHeight="1">
      <c r="A635" s="10" t="s">
        <v>119</v>
      </c>
      <c r="B635" s="10" t="s">
        <v>196</v>
      </c>
      <c r="C635" s="10" t="s">
        <v>197</v>
      </c>
      <c r="D635" s="10" t="s">
        <v>198</v>
      </c>
    </row>
    <row r="636" spans="1:4" ht="18" customHeight="1">
      <c r="A636" s="10" t="s">
        <v>119</v>
      </c>
      <c r="B636" s="10" t="s">
        <v>5</v>
      </c>
      <c r="C636" s="10">
        <v>219045.62416918142</v>
      </c>
      <c r="D636" s="10" t="s">
        <v>193</v>
      </c>
    </row>
    <row r="637" spans="1:4" ht="18" customHeight="1">
      <c r="A637" s="10" t="s">
        <v>119</v>
      </c>
      <c r="B637" s="10" t="s">
        <v>199</v>
      </c>
      <c r="C637" s="10">
        <v>1</v>
      </c>
      <c r="D637" s="10" t="s">
        <v>200</v>
      </c>
    </row>
    <row r="638" spans="1:4" ht="18" customHeight="1">
      <c r="A638" s="10" t="s">
        <v>119</v>
      </c>
      <c r="B638" s="10" t="s">
        <v>8</v>
      </c>
      <c r="C638" s="10">
        <v>61</v>
      </c>
      <c r="D638" s="10" t="s">
        <v>201</v>
      </c>
    </row>
    <row r="639" spans="1:4" ht="18" customHeight="1">
      <c r="A639" s="10" t="s">
        <v>119</v>
      </c>
      <c r="B639" s="10" t="s">
        <v>9</v>
      </c>
      <c r="C639" s="10">
        <v>61</v>
      </c>
      <c r="D639" s="10" t="s">
        <v>201</v>
      </c>
    </row>
    <row r="640" spans="1:4" ht="18" customHeight="1">
      <c r="A640" s="10" t="s">
        <v>119</v>
      </c>
      <c r="B640" s="10" t="s">
        <v>202</v>
      </c>
      <c r="C640" s="10">
        <v>0</v>
      </c>
      <c r="D640" s="10" t="s">
        <v>201</v>
      </c>
    </row>
    <row r="641" spans="1:4" ht="18" customHeight="1">
      <c r="A641" s="10" t="s">
        <v>119</v>
      </c>
      <c r="B641" s="10" t="s">
        <v>203</v>
      </c>
      <c r="C641" s="10">
        <v>208696707.97660503</v>
      </c>
      <c r="D641" s="10" t="s">
        <v>204</v>
      </c>
    </row>
    <row r="642" spans="1:4" ht="18" customHeight="1">
      <c r="A642" s="10" t="s">
        <v>119</v>
      </c>
      <c r="B642" s="10" t="s">
        <v>205</v>
      </c>
      <c r="C642" s="10">
        <v>208696707.97660506</v>
      </c>
      <c r="D642" s="10" t="s">
        <v>204</v>
      </c>
    </row>
    <row r="643" spans="1:4" ht="18" customHeight="1">
      <c r="A643" s="10" t="s">
        <v>119</v>
      </c>
      <c r="B643" s="10" t="s">
        <v>206</v>
      </c>
      <c r="C643" s="10">
        <v>208696707.976605</v>
      </c>
      <c r="D643" s="10" t="s">
        <v>204</v>
      </c>
    </row>
    <row r="644" spans="1:4" ht="18" customHeight="1">
      <c r="A644" s="10" t="s">
        <v>119</v>
      </c>
      <c r="B644" s="10" t="s">
        <v>207</v>
      </c>
      <c r="C644" s="10">
        <v>2.9802322387695313E-8</v>
      </c>
      <c r="D644" s="10" t="s">
        <v>204</v>
      </c>
    </row>
    <row r="645" spans="1:4" ht="18" customHeight="1">
      <c r="A645" s="10" t="s">
        <v>119</v>
      </c>
      <c r="B645" s="10" t="s">
        <v>208</v>
      </c>
      <c r="C645" s="10">
        <v>-2.9802322387695313E-8</v>
      </c>
      <c r="D645" s="10" t="s">
        <v>204</v>
      </c>
    </row>
    <row r="646" spans="1:4" ht="18" customHeight="1">
      <c r="A646" s="10" t="s">
        <v>119</v>
      </c>
      <c r="B646" s="10" t="s">
        <v>209</v>
      </c>
      <c r="C646" s="10" t="s">
        <v>197</v>
      </c>
      <c r="D646" s="10" t="s">
        <v>198</v>
      </c>
    </row>
    <row r="647" spans="1:4" ht="18" customHeight="1">
      <c r="A647" s="10" t="s">
        <v>119</v>
      </c>
      <c r="B647" s="10" t="s">
        <v>210</v>
      </c>
      <c r="C647" s="10" t="s">
        <v>197</v>
      </c>
      <c r="D647" s="10" t="s">
        <v>198</v>
      </c>
    </row>
    <row r="648" spans="1:4" ht="18" customHeight="1">
      <c r="A648" s="10" t="s">
        <v>119</v>
      </c>
      <c r="B648" s="10" t="s">
        <v>211</v>
      </c>
      <c r="C648" s="10">
        <v>0</v>
      </c>
      <c r="D648" s="10" t="s">
        <v>201</v>
      </c>
    </row>
    <row r="649" spans="1:4" ht="18" customHeight="1">
      <c r="A649" s="10" t="s">
        <v>119</v>
      </c>
      <c r="B649" s="10" t="s">
        <v>212</v>
      </c>
      <c r="C649" s="10">
        <v>0</v>
      </c>
      <c r="D649" s="10" t="s">
        <v>201</v>
      </c>
    </row>
    <row r="650" spans="1:4" ht="18" customHeight="1">
      <c r="A650" s="10" t="s">
        <v>141</v>
      </c>
      <c r="B650" s="10" t="s">
        <v>192</v>
      </c>
      <c r="C650" s="10">
        <v>87093.82357372019</v>
      </c>
      <c r="D650" s="10" t="s">
        <v>193</v>
      </c>
    </row>
    <row r="651" spans="1:4" ht="18" customHeight="1">
      <c r="A651" s="10" t="s">
        <v>141</v>
      </c>
      <c r="B651" s="10" t="s">
        <v>194</v>
      </c>
      <c r="C651" s="10">
        <v>87093.823573720205</v>
      </c>
      <c r="D651" s="10" t="s">
        <v>193</v>
      </c>
    </row>
    <row r="652" spans="1:4" ht="18" customHeight="1">
      <c r="A652" s="10" t="s">
        <v>141</v>
      </c>
      <c r="B652" s="10" t="s">
        <v>195</v>
      </c>
      <c r="C652" s="10">
        <v>1.4551915228366852E-11</v>
      </c>
      <c r="D652" s="10" t="s">
        <v>193</v>
      </c>
    </row>
    <row r="653" spans="1:4" ht="18" customHeight="1">
      <c r="A653" s="10" t="s">
        <v>141</v>
      </c>
      <c r="B653" s="10" t="s">
        <v>196</v>
      </c>
      <c r="C653" s="10" t="s">
        <v>197</v>
      </c>
      <c r="D653" s="10" t="s">
        <v>198</v>
      </c>
    </row>
    <row r="654" spans="1:4" ht="18" customHeight="1">
      <c r="A654" s="10" t="s">
        <v>141</v>
      </c>
      <c r="B654" s="10" t="s">
        <v>5</v>
      </c>
      <c r="C654" s="10">
        <v>87093.823573720205</v>
      </c>
      <c r="D654" s="10" t="s">
        <v>193</v>
      </c>
    </row>
    <row r="655" spans="1:4" ht="18" customHeight="1">
      <c r="A655" s="10" t="s">
        <v>141</v>
      </c>
      <c r="B655" s="10" t="s">
        <v>199</v>
      </c>
      <c r="C655" s="10">
        <v>1</v>
      </c>
      <c r="D655" s="10" t="s">
        <v>200</v>
      </c>
    </row>
    <row r="656" spans="1:4" ht="18" customHeight="1">
      <c r="A656" s="10" t="s">
        <v>141</v>
      </c>
      <c r="B656" s="10" t="s">
        <v>8</v>
      </c>
      <c r="C656" s="10">
        <v>64</v>
      </c>
      <c r="D656" s="10" t="s">
        <v>201</v>
      </c>
    </row>
    <row r="657" spans="1:4" ht="18" customHeight="1">
      <c r="A657" s="10" t="s">
        <v>141</v>
      </c>
      <c r="B657" s="10" t="s">
        <v>9</v>
      </c>
      <c r="C657" s="10">
        <v>64</v>
      </c>
      <c r="D657" s="10" t="s">
        <v>201</v>
      </c>
    </row>
    <row r="658" spans="1:4" ht="18" customHeight="1">
      <c r="A658" s="10" t="s">
        <v>141</v>
      </c>
      <c r="B658" s="10" t="s">
        <v>202</v>
      </c>
      <c r="C658" s="10">
        <v>0</v>
      </c>
      <c r="D658" s="10" t="s">
        <v>201</v>
      </c>
    </row>
    <row r="659" spans="1:4" ht="18" customHeight="1">
      <c r="A659" s="10" t="s">
        <v>141</v>
      </c>
      <c r="B659" s="10" t="s">
        <v>203</v>
      </c>
      <c r="C659" s="10">
        <v>76279788.786548972</v>
      </c>
      <c r="D659" s="10" t="s">
        <v>204</v>
      </c>
    </row>
    <row r="660" spans="1:4" ht="18" customHeight="1">
      <c r="A660" s="10" t="s">
        <v>141</v>
      </c>
      <c r="B660" s="10" t="s">
        <v>205</v>
      </c>
      <c r="C660" s="10">
        <v>76279788.786548987</v>
      </c>
      <c r="D660" s="10" t="s">
        <v>204</v>
      </c>
    </row>
    <row r="661" spans="1:4" ht="18" customHeight="1">
      <c r="A661" s="10" t="s">
        <v>141</v>
      </c>
      <c r="B661" s="10" t="s">
        <v>206</v>
      </c>
      <c r="C661" s="10">
        <v>76279788.786548972</v>
      </c>
      <c r="D661" s="10" t="s">
        <v>204</v>
      </c>
    </row>
    <row r="662" spans="1:4" ht="18" customHeight="1">
      <c r="A662" s="10" t="s">
        <v>141</v>
      </c>
      <c r="B662" s="10" t="s">
        <v>207</v>
      </c>
      <c r="C662" s="10">
        <v>1.4901161193847656E-8</v>
      </c>
      <c r="D662" s="10" t="s">
        <v>204</v>
      </c>
    </row>
    <row r="663" spans="1:4" ht="18" customHeight="1">
      <c r="A663" s="10" t="s">
        <v>141</v>
      </c>
      <c r="B663" s="10" t="s">
        <v>208</v>
      </c>
      <c r="C663" s="10">
        <v>0</v>
      </c>
      <c r="D663" s="10" t="s">
        <v>204</v>
      </c>
    </row>
    <row r="664" spans="1:4" ht="18" customHeight="1">
      <c r="A664" s="10" t="s">
        <v>141</v>
      </c>
      <c r="B664" s="10" t="s">
        <v>209</v>
      </c>
      <c r="C664" s="10" t="s">
        <v>197</v>
      </c>
      <c r="D664" s="10" t="s">
        <v>198</v>
      </c>
    </row>
    <row r="665" spans="1:4" ht="18" customHeight="1">
      <c r="A665" s="10" t="s">
        <v>141</v>
      </c>
      <c r="B665" s="10" t="s">
        <v>210</v>
      </c>
      <c r="C665" s="10" t="s">
        <v>197</v>
      </c>
      <c r="D665" s="10" t="s">
        <v>198</v>
      </c>
    </row>
    <row r="666" spans="1:4" ht="18" customHeight="1">
      <c r="A666" s="10" t="s">
        <v>141</v>
      </c>
      <c r="B666" s="10" t="s">
        <v>211</v>
      </c>
      <c r="C666" s="10">
        <v>0</v>
      </c>
      <c r="D666" s="10" t="s">
        <v>201</v>
      </c>
    </row>
    <row r="667" spans="1:4" ht="18" customHeight="1">
      <c r="A667" s="10" t="s">
        <v>141</v>
      </c>
      <c r="B667" s="10" t="s">
        <v>212</v>
      </c>
      <c r="C667" s="10">
        <v>0</v>
      </c>
      <c r="D667" s="10" t="s">
        <v>201</v>
      </c>
    </row>
    <row r="668" spans="1:4" ht="18" customHeight="1">
      <c r="A668" s="10" t="s">
        <v>77</v>
      </c>
      <c r="B668" s="10" t="s">
        <v>192</v>
      </c>
      <c r="C668" s="10">
        <v>675569.01796316425</v>
      </c>
      <c r="D668" s="10" t="s">
        <v>193</v>
      </c>
    </row>
    <row r="669" spans="1:4" ht="18" customHeight="1">
      <c r="A669" s="10" t="s">
        <v>77</v>
      </c>
      <c r="B669" s="10" t="s">
        <v>194</v>
      </c>
      <c r="C669" s="10">
        <v>675569.01796316425</v>
      </c>
      <c r="D669" s="10" t="s">
        <v>193</v>
      </c>
    </row>
    <row r="670" spans="1:4" ht="18" customHeight="1">
      <c r="A670" s="10" t="s">
        <v>77</v>
      </c>
      <c r="B670" s="10" t="s">
        <v>195</v>
      </c>
      <c r="C670" s="10">
        <v>0</v>
      </c>
      <c r="D670" s="10" t="s">
        <v>193</v>
      </c>
    </row>
    <row r="671" spans="1:4" ht="18" customHeight="1">
      <c r="A671" s="10" t="s">
        <v>77</v>
      </c>
      <c r="B671" s="10" t="s">
        <v>196</v>
      </c>
      <c r="C671" s="10" t="s">
        <v>197</v>
      </c>
      <c r="D671" s="10" t="s">
        <v>198</v>
      </c>
    </row>
    <row r="672" spans="1:4" ht="18" customHeight="1">
      <c r="A672" s="10" t="s">
        <v>77</v>
      </c>
      <c r="B672" s="10" t="s">
        <v>5</v>
      </c>
      <c r="C672" s="10">
        <v>675569.01796316425</v>
      </c>
      <c r="D672" s="10" t="s">
        <v>193</v>
      </c>
    </row>
    <row r="673" spans="1:4" ht="18" customHeight="1">
      <c r="A673" s="10" t="s">
        <v>77</v>
      </c>
      <c r="B673" s="10" t="s">
        <v>199</v>
      </c>
      <c r="C673" s="10">
        <v>1</v>
      </c>
      <c r="D673" s="10" t="s">
        <v>200</v>
      </c>
    </row>
    <row r="674" spans="1:4" ht="18" customHeight="1">
      <c r="A674" s="10" t="s">
        <v>77</v>
      </c>
      <c r="B674" s="10" t="s">
        <v>8</v>
      </c>
      <c r="C674" s="10">
        <v>138</v>
      </c>
      <c r="D674" s="10" t="s">
        <v>201</v>
      </c>
    </row>
    <row r="675" spans="1:4" ht="18" customHeight="1">
      <c r="A675" s="10" t="s">
        <v>77</v>
      </c>
      <c r="B675" s="10" t="s">
        <v>9</v>
      </c>
      <c r="C675" s="10">
        <v>138</v>
      </c>
      <c r="D675" s="10" t="s">
        <v>201</v>
      </c>
    </row>
    <row r="676" spans="1:4" ht="18" customHeight="1">
      <c r="A676" s="10" t="s">
        <v>77</v>
      </c>
      <c r="B676" s="10" t="s">
        <v>202</v>
      </c>
      <c r="C676" s="10">
        <v>0</v>
      </c>
      <c r="D676" s="10" t="s">
        <v>201</v>
      </c>
    </row>
    <row r="677" spans="1:4" ht="18" customHeight="1">
      <c r="A677" s="10" t="s">
        <v>77</v>
      </c>
      <c r="B677" s="10" t="s">
        <v>203</v>
      </c>
      <c r="C677" s="10">
        <v>661277433.81317008</v>
      </c>
      <c r="D677" s="10" t="s">
        <v>204</v>
      </c>
    </row>
    <row r="678" spans="1:4" ht="18" customHeight="1">
      <c r="A678" s="10" t="s">
        <v>77</v>
      </c>
      <c r="B678" s="10" t="s">
        <v>205</v>
      </c>
      <c r="C678" s="10">
        <v>661277433.81317008</v>
      </c>
      <c r="D678" s="10" t="s">
        <v>204</v>
      </c>
    </row>
    <row r="679" spans="1:4" ht="18" customHeight="1">
      <c r="A679" s="10" t="s">
        <v>77</v>
      </c>
      <c r="B679" s="10" t="s">
        <v>206</v>
      </c>
      <c r="C679" s="10">
        <v>661277433.81317019</v>
      </c>
      <c r="D679" s="10" t="s">
        <v>204</v>
      </c>
    </row>
    <row r="680" spans="1:4" ht="18" customHeight="1">
      <c r="A680" s="10" t="s">
        <v>77</v>
      </c>
      <c r="B680" s="10" t="s">
        <v>207</v>
      </c>
      <c r="C680" s="10">
        <v>0</v>
      </c>
      <c r="D680" s="10" t="s">
        <v>204</v>
      </c>
    </row>
    <row r="681" spans="1:4" ht="18" customHeight="1">
      <c r="A681" s="10" t="s">
        <v>77</v>
      </c>
      <c r="B681" s="10" t="s">
        <v>208</v>
      </c>
      <c r="C681" s="10">
        <v>1.1920928955078125E-7</v>
      </c>
      <c r="D681" s="10" t="s">
        <v>204</v>
      </c>
    </row>
    <row r="682" spans="1:4" ht="18" customHeight="1">
      <c r="A682" s="10" t="s">
        <v>77</v>
      </c>
      <c r="B682" s="10" t="s">
        <v>209</v>
      </c>
      <c r="C682" s="10" t="s">
        <v>197</v>
      </c>
      <c r="D682" s="10" t="s">
        <v>198</v>
      </c>
    </row>
    <row r="683" spans="1:4" ht="18" customHeight="1">
      <c r="A683" s="10" t="s">
        <v>77</v>
      </c>
      <c r="B683" s="10" t="s">
        <v>210</v>
      </c>
      <c r="C683" s="10" t="s">
        <v>197</v>
      </c>
      <c r="D683" s="10" t="s">
        <v>198</v>
      </c>
    </row>
    <row r="684" spans="1:4" ht="18" customHeight="1">
      <c r="A684" s="10" t="s">
        <v>77</v>
      </c>
      <c r="B684" s="10" t="s">
        <v>211</v>
      </c>
      <c r="C684" s="10">
        <v>0</v>
      </c>
      <c r="D684" s="10" t="s">
        <v>201</v>
      </c>
    </row>
    <row r="685" spans="1:4" ht="18" customHeight="1">
      <c r="A685" s="10" t="s">
        <v>77</v>
      </c>
      <c r="B685" s="10" t="s">
        <v>212</v>
      </c>
      <c r="C685" s="10">
        <v>0</v>
      </c>
      <c r="D685" s="10" t="s">
        <v>201</v>
      </c>
    </row>
    <row r="686" spans="1:4" ht="18" customHeight="1">
      <c r="A686" s="10" t="s">
        <v>101</v>
      </c>
      <c r="B686" s="10" t="s">
        <v>192</v>
      </c>
      <c r="C686" s="10">
        <v>707251.51654349733</v>
      </c>
      <c r="D686" s="10" t="s">
        <v>193</v>
      </c>
    </row>
    <row r="687" spans="1:4" ht="18" customHeight="1">
      <c r="A687" s="10" t="s">
        <v>101</v>
      </c>
      <c r="B687" s="10" t="s">
        <v>194</v>
      </c>
      <c r="C687" s="10">
        <v>707251.5165434971</v>
      </c>
      <c r="D687" s="10" t="s">
        <v>193</v>
      </c>
    </row>
    <row r="688" spans="1:4" ht="18" customHeight="1">
      <c r="A688" s="10" t="s">
        <v>101</v>
      </c>
      <c r="B688" s="10" t="s">
        <v>195</v>
      </c>
      <c r="C688" s="10">
        <v>-2.3283064365386963E-10</v>
      </c>
      <c r="D688" s="10" t="s">
        <v>193</v>
      </c>
    </row>
    <row r="689" spans="1:4" ht="18" customHeight="1">
      <c r="A689" s="10" t="s">
        <v>101</v>
      </c>
      <c r="B689" s="10" t="s">
        <v>196</v>
      </c>
      <c r="C689" s="10" t="s">
        <v>197</v>
      </c>
      <c r="D689" s="10" t="s">
        <v>198</v>
      </c>
    </row>
    <row r="690" spans="1:4" ht="18" customHeight="1">
      <c r="A690" s="10" t="s">
        <v>101</v>
      </c>
      <c r="B690" s="10" t="s">
        <v>5</v>
      </c>
      <c r="C690" s="10">
        <v>707251.5165434971</v>
      </c>
      <c r="D690" s="10" t="s">
        <v>193</v>
      </c>
    </row>
    <row r="691" spans="1:4" ht="18" customHeight="1">
      <c r="A691" s="10" t="s">
        <v>101</v>
      </c>
      <c r="B691" s="10" t="s">
        <v>199</v>
      </c>
      <c r="C691" s="10">
        <v>1</v>
      </c>
      <c r="D691" s="10" t="s">
        <v>200</v>
      </c>
    </row>
    <row r="692" spans="1:4" ht="18" customHeight="1">
      <c r="A692" s="10" t="s">
        <v>101</v>
      </c>
      <c r="B692" s="10" t="s">
        <v>8</v>
      </c>
      <c r="C692" s="10">
        <v>162</v>
      </c>
      <c r="D692" s="10" t="s">
        <v>201</v>
      </c>
    </row>
    <row r="693" spans="1:4" ht="18" customHeight="1">
      <c r="A693" s="10" t="s">
        <v>101</v>
      </c>
      <c r="B693" s="10" t="s">
        <v>9</v>
      </c>
      <c r="C693" s="10">
        <v>162</v>
      </c>
      <c r="D693" s="10" t="s">
        <v>201</v>
      </c>
    </row>
    <row r="694" spans="1:4" ht="18" customHeight="1">
      <c r="A694" s="10" t="s">
        <v>101</v>
      </c>
      <c r="B694" s="10" t="s">
        <v>202</v>
      </c>
      <c r="C694" s="10">
        <v>0</v>
      </c>
      <c r="D694" s="10" t="s">
        <v>201</v>
      </c>
    </row>
    <row r="695" spans="1:4" ht="18" customHeight="1">
      <c r="A695" s="10" t="s">
        <v>101</v>
      </c>
      <c r="B695" s="10" t="s">
        <v>203</v>
      </c>
      <c r="C695" s="10">
        <v>338234665.90229028</v>
      </c>
      <c r="D695" s="10" t="s">
        <v>204</v>
      </c>
    </row>
    <row r="696" spans="1:4" ht="18" customHeight="1">
      <c r="A696" s="10" t="s">
        <v>101</v>
      </c>
      <c r="B696" s="10" t="s">
        <v>205</v>
      </c>
      <c r="C696" s="10">
        <v>338234665.90229028</v>
      </c>
      <c r="D696" s="10" t="s">
        <v>204</v>
      </c>
    </row>
    <row r="697" spans="1:4" ht="18" customHeight="1">
      <c r="A697" s="10" t="s">
        <v>101</v>
      </c>
      <c r="B697" s="10" t="s">
        <v>206</v>
      </c>
      <c r="C697" s="10">
        <v>338234665.90229023</v>
      </c>
      <c r="D697" s="10" t="s">
        <v>204</v>
      </c>
    </row>
    <row r="698" spans="1:4" ht="18" customHeight="1">
      <c r="A698" s="10" t="s">
        <v>101</v>
      </c>
      <c r="B698" s="10" t="s">
        <v>207</v>
      </c>
      <c r="C698" s="10">
        <v>0</v>
      </c>
      <c r="D698" s="10" t="s">
        <v>204</v>
      </c>
    </row>
    <row r="699" spans="1:4" ht="18" customHeight="1">
      <c r="A699" s="10" t="s">
        <v>101</v>
      </c>
      <c r="B699" s="10" t="s">
        <v>208</v>
      </c>
      <c r="C699" s="10">
        <v>-5.9604644775390625E-8</v>
      </c>
      <c r="D699" s="10" t="s">
        <v>204</v>
      </c>
    </row>
    <row r="700" spans="1:4" ht="18" customHeight="1">
      <c r="A700" s="10" t="s">
        <v>101</v>
      </c>
      <c r="B700" s="10" t="s">
        <v>209</v>
      </c>
      <c r="C700" s="10" t="s">
        <v>197</v>
      </c>
      <c r="D700" s="10" t="s">
        <v>198</v>
      </c>
    </row>
    <row r="701" spans="1:4" ht="18" customHeight="1">
      <c r="A701" s="10" t="s">
        <v>101</v>
      </c>
      <c r="B701" s="10" t="s">
        <v>210</v>
      </c>
      <c r="C701" s="10" t="s">
        <v>197</v>
      </c>
      <c r="D701" s="10" t="s">
        <v>198</v>
      </c>
    </row>
    <row r="702" spans="1:4" ht="18" customHeight="1">
      <c r="A702" s="10" t="s">
        <v>101</v>
      </c>
      <c r="B702" s="10" t="s">
        <v>211</v>
      </c>
      <c r="C702" s="10">
        <v>0</v>
      </c>
      <c r="D702" s="10" t="s">
        <v>201</v>
      </c>
    </row>
    <row r="703" spans="1:4" ht="18" customHeight="1">
      <c r="A703" s="10" t="s">
        <v>101</v>
      </c>
      <c r="B703" s="10" t="s">
        <v>212</v>
      </c>
      <c r="C703" s="10">
        <v>0</v>
      </c>
      <c r="D703" s="10" t="s">
        <v>201</v>
      </c>
    </row>
    <row r="704" spans="1:4" ht="18" customHeight="1">
      <c r="A704" s="10" t="s">
        <v>39</v>
      </c>
      <c r="B704" s="10" t="s">
        <v>192</v>
      </c>
      <c r="C704" s="10">
        <v>2717260.6982051707</v>
      </c>
      <c r="D704" s="10" t="s">
        <v>193</v>
      </c>
    </row>
    <row r="705" spans="1:4" ht="18" customHeight="1">
      <c r="A705" s="10" t="s">
        <v>39</v>
      </c>
      <c r="B705" s="10" t="s">
        <v>194</v>
      </c>
      <c r="C705" s="10">
        <v>2717260.6982051712</v>
      </c>
      <c r="D705" s="10" t="s">
        <v>193</v>
      </c>
    </row>
    <row r="706" spans="1:4" ht="18" customHeight="1">
      <c r="A706" s="10" t="s">
        <v>39</v>
      </c>
      <c r="B706" s="10" t="s">
        <v>195</v>
      </c>
      <c r="C706" s="10">
        <v>4.6566128730773926E-10</v>
      </c>
      <c r="D706" s="10" t="s">
        <v>193</v>
      </c>
    </row>
    <row r="707" spans="1:4" ht="18" customHeight="1">
      <c r="A707" s="10" t="s">
        <v>39</v>
      </c>
      <c r="B707" s="10" t="s">
        <v>196</v>
      </c>
      <c r="C707" s="10" t="s">
        <v>197</v>
      </c>
      <c r="D707" s="10" t="s">
        <v>198</v>
      </c>
    </row>
    <row r="708" spans="1:4" ht="18" customHeight="1">
      <c r="A708" s="10" t="s">
        <v>39</v>
      </c>
      <c r="B708" s="10" t="s">
        <v>5</v>
      </c>
      <c r="C708" s="10">
        <v>2717260.6982051712</v>
      </c>
      <c r="D708" s="10" t="s">
        <v>193</v>
      </c>
    </row>
    <row r="709" spans="1:4" ht="18" customHeight="1">
      <c r="A709" s="10" t="s">
        <v>39</v>
      </c>
      <c r="B709" s="10" t="s">
        <v>199</v>
      </c>
      <c r="C709" s="10">
        <v>1</v>
      </c>
      <c r="D709" s="10" t="s">
        <v>200</v>
      </c>
    </row>
    <row r="710" spans="1:4" ht="18" customHeight="1">
      <c r="A710" s="10" t="s">
        <v>39</v>
      </c>
      <c r="B710" s="10" t="s">
        <v>8</v>
      </c>
      <c r="C710" s="10">
        <v>312</v>
      </c>
      <c r="D710" s="10" t="s">
        <v>201</v>
      </c>
    </row>
    <row r="711" spans="1:4" ht="18" customHeight="1">
      <c r="A711" s="10" t="s">
        <v>39</v>
      </c>
      <c r="B711" s="10" t="s">
        <v>9</v>
      </c>
      <c r="C711" s="10">
        <v>312</v>
      </c>
      <c r="D711" s="10" t="s">
        <v>201</v>
      </c>
    </row>
    <row r="712" spans="1:4" ht="18" customHeight="1">
      <c r="A712" s="10" t="s">
        <v>39</v>
      </c>
      <c r="B712" s="10" t="s">
        <v>202</v>
      </c>
      <c r="C712" s="10">
        <v>0</v>
      </c>
      <c r="D712" s="10" t="s">
        <v>201</v>
      </c>
    </row>
    <row r="713" spans="1:4" ht="18" customHeight="1">
      <c r="A713" s="10" t="s">
        <v>39</v>
      </c>
      <c r="B713" s="10" t="s">
        <v>203</v>
      </c>
      <c r="C713" s="10">
        <v>1700184787.4627526</v>
      </c>
      <c r="D713" s="10" t="s">
        <v>204</v>
      </c>
    </row>
    <row r="714" spans="1:4" ht="18" customHeight="1">
      <c r="A714" s="10" t="s">
        <v>39</v>
      </c>
      <c r="B714" s="10" t="s">
        <v>205</v>
      </c>
      <c r="C714" s="10">
        <v>1700184787.4627531</v>
      </c>
      <c r="D714" s="10" t="s">
        <v>204</v>
      </c>
    </row>
    <row r="715" spans="1:4" ht="18" customHeight="1">
      <c r="A715" s="10" t="s">
        <v>39</v>
      </c>
      <c r="B715" s="10" t="s">
        <v>206</v>
      </c>
      <c r="C715" s="10">
        <v>1700184787.4627523</v>
      </c>
      <c r="D715" s="10" t="s">
        <v>204</v>
      </c>
    </row>
    <row r="716" spans="1:4" ht="18" customHeight="1">
      <c r="A716" s="10" t="s">
        <v>39</v>
      </c>
      <c r="B716" s="10" t="s">
        <v>207</v>
      </c>
      <c r="C716" s="10">
        <v>4.76837158203125E-7</v>
      </c>
      <c r="D716" s="10" t="s">
        <v>204</v>
      </c>
    </row>
    <row r="717" spans="1:4" ht="18" customHeight="1">
      <c r="A717" s="10" t="s">
        <v>39</v>
      </c>
      <c r="B717" s="10" t="s">
        <v>208</v>
      </c>
      <c r="C717" s="10">
        <v>-2.384185791015625E-7</v>
      </c>
      <c r="D717" s="10" t="s">
        <v>204</v>
      </c>
    </row>
    <row r="718" spans="1:4" ht="18" customHeight="1">
      <c r="A718" s="10" t="s">
        <v>39</v>
      </c>
      <c r="B718" s="10" t="s">
        <v>209</v>
      </c>
      <c r="C718" s="10" t="s">
        <v>197</v>
      </c>
      <c r="D718" s="10" t="s">
        <v>198</v>
      </c>
    </row>
    <row r="719" spans="1:4" ht="18" customHeight="1">
      <c r="A719" s="10" t="s">
        <v>39</v>
      </c>
      <c r="B719" s="10" t="s">
        <v>210</v>
      </c>
      <c r="C719" s="10" t="s">
        <v>197</v>
      </c>
      <c r="D719" s="10" t="s">
        <v>198</v>
      </c>
    </row>
    <row r="720" spans="1:4" ht="18" customHeight="1">
      <c r="A720" s="10" t="s">
        <v>39</v>
      </c>
      <c r="B720" s="10" t="s">
        <v>211</v>
      </c>
      <c r="C720" s="10">
        <v>0</v>
      </c>
      <c r="D720" s="10" t="s">
        <v>201</v>
      </c>
    </row>
    <row r="721" spans="1:4" ht="18" customHeight="1">
      <c r="A721" s="10" t="s">
        <v>39</v>
      </c>
      <c r="B721" s="10" t="s">
        <v>212</v>
      </c>
      <c r="C721" s="10">
        <v>0</v>
      </c>
      <c r="D721" s="10" t="s">
        <v>201</v>
      </c>
    </row>
    <row r="722" spans="1:4" ht="18" customHeight="1">
      <c r="A722" s="10" t="s">
        <v>113</v>
      </c>
      <c r="B722" s="10" t="s">
        <v>192</v>
      </c>
      <c r="C722" s="10">
        <v>937172.64699300565</v>
      </c>
      <c r="D722" s="10" t="s">
        <v>193</v>
      </c>
    </row>
    <row r="723" spans="1:4" ht="18" customHeight="1">
      <c r="A723" s="10" t="s">
        <v>113</v>
      </c>
      <c r="B723" s="10" t="s">
        <v>194</v>
      </c>
      <c r="C723" s="10">
        <v>937172.64699300553</v>
      </c>
      <c r="D723" s="10" t="s">
        <v>193</v>
      </c>
    </row>
    <row r="724" spans="1:4" ht="18" customHeight="1">
      <c r="A724" s="10" t="s">
        <v>113</v>
      </c>
      <c r="B724" s="10" t="s">
        <v>195</v>
      </c>
      <c r="C724" s="10">
        <v>-1.1641532182693481E-10</v>
      </c>
      <c r="D724" s="10" t="s">
        <v>193</v>
      </c>
    </row>
    <row r="725" spans="1:4" ht="18" customHeight="1">
      <c r="A725" s="10" t="s">
        <v>113</v>
      </c>
      <c r="B725" s="10" t="s">
        <v>196</v>
      </c>
      <c r="C725" s="10" t="s">
        <v>197</v>
      </c>
      <c r="D725" s="10" t="s">
        <v>198</v>
      </c>
    </row>
    <row r="726" spans="1:4" ht="18" customHeight="1">
      <c r="A726" s="10" t="s">
        <v>113</v>
      </c>
      <c r="B726" s="10" t="s">
        <v>5</v>
      </c>
      <c r="C726" s="10">
        <v>937172.64699300553</v>
      </c>
      <c r="D726" s="10" t="s">
        <v>193</v>
      </c>
    </row>
    <row r="727" spans="1:4" ht="18" customHeight="1">
      <c r="A727" s="10" t="s">
        <v>113</v>
      </c>
      <c r="B727" s="10" t="s">
        <v>199</v>
      </c>
      <c r="C727" s="10">
        <v>1</v>
      </c>
      <c r="D727" s="10" t="s">
        <v>200</v>
      </c>
    </row>
    <row r="728" spans="1:4" ht="18" customHeight="1">
      <c r="A728" s="10" t="s">
        <v>113</v>
      </c>
      <c r="B728" s="10" t="s">
        <v>8</v>
      </c>
      <c r="C728" s="10">
        <v>117</v>
      </c>
      <c r="D728" s="10" t="s">
        <v>201</v>
      </c>
    </row>
    <row r="729" spans="1:4" ht="18" customHeight="1">
      <c r="A729" s="10" t="s">
        <v>113</v>
      </c>
      <c r="B729" s="10" t="s">
        <v>9</v>
      </c>
      <c r="C729" s="10">
        <v>117</v>
      </c>
      <c r="D729" s="10" t="s">
        <v>201</v>
      </c>
    </row>
    <row r="730" spans="1:4" ht="18" customHeight="1">
      <c r="A730" s="10" t="s">
        <v>113</v>
      </c>
      <c r="B730" s="10" t="s">
        <v>202</v>
      </c>
      <c r="C730" s="10">
        <v>0</v>
      </c>
      <c r="D730" s="10" t="s">
        <v>201</v>
      </c>
    </row>
    <row r="731" spans="1:4" ht="18" customHeight="1">
      <c r="A731" s="10" t="s">
        <v>113</v>
      </c>
      <c r="B731" s="10" t="s">
        <v>203</v>
      </c>
      <c r="C731" s="10">
        <v>250346631.37596366</v>
      </c>
      <c r="D731" s="10" t="s">
        <v>204</v>
      </c>
    </row>
    <row r="732" spans="1:4" ht="18" customHeight="1">
      <c r="A732" s="10" t="s">
        <v>113</v>
      </c>
      <c r="B732" s="10" t="s">
        <v>205</v>
      </c>
      <c r="C732" s="10">
        <v>250346631.3759636</v>
      </c>
      <c r="D732" s="10" t="s">
        <v>204</v>
      </c>
    </row>
    <row r="733" spans="1:4" ht="18" customHeight="1">
      <c r="A733" s="10" t="s">
        <v>113</v>
      </c>
      <c r="B733" s="10" t="s">
        <v>206</v>
      </c>
      <c r="C733" s="10">
        <v>250346631.37596354</v>
      </c>
      <c r="D733" s="10" t="s">
        <v>204</v>
      </c>
    </row>
    <row r="734" spans="1:4" ht="18" customHeight="1">
      <c r="A734" s="10" t="s">
        <v>113</v>
      </c>
      <c r="B734" s="10" t="s">
        <v>207</v>
      </c>
      <c r="C734" s="10">
        <v>-5.9604644775390625E-8</v>
      </c>
      <c r="D734" s="10" t="s">
        <v>204</v>
      </c>
    </row>
    <row r="735" spans="1:4" ht="18" customHeight="1">
      <c r="A735" s="10" t="s">
        <v>113</v>
      </c>
      <c r="B735" s="10" t="s">
        <v>208</v>
      </c>
      <c r="C735" s="10">
        <v>-1.1920928955078125E-7</v>
      </c>
      <c r="D735" s="10" t="s">
        <v>204</v>
      </c>
    </row>
    <row r="736" spans="1:4" ht="18" customHeight="1">
      <c r="A736" s="10" t="s">
        <v>113</v>
      </c>
      <c r="B736" s="10" t="s">
        <v>209</v>
      </c>
      <c r="C736" s="10" t="s">
        <v>197</v>
      </c>
      <c r="D736" s="10" t="s">
        <v>198</v>
      </c>
    </row>
    <row r="737" spans="1:4" ht="18" customHeight="1">
      <c r="A737" s="10" t="s">
        <v>113</v>
      </c>
      <c r="B737" s="10" t="s">
        <v>210</v>
      </c>
      <c r="C737" s="10" t="s">
        <v>197</v>
      </c>
      <c r="D737" s="10" t="s">
        <v>198</v>
      </c>
    </row>
    <row r="738" spans="1:4" ht="18" customHeight="1">
      <c r="A738" s="10" t="s">
        <v>113</v>
      </c>
      <c r="B738" s="10" t="s">
        <v>211</v>
      </c>
      <c r="C738" s="10">
        <v>0</v>
      </c>
      <c r="D738" s="10" t="s">
        <v>201</v>
      </c>
    </row>
    <row r="739" spans="1:4" ht="18" customHeight="1">
      <c r="A739" s="10" t="s">
        <v>113</v>
      </c>
      <c r="B739" s="10" t="s">
        <v>212</v>
      </c>
      <c r="C739" s="10">
        <v>0</v>
      </c>
      <c r="D739" s="10" t="s">
        <v>201</v>
      </c>
    </row>
    <row r="740" spans="1:4" ht="18" customHeight="1">
      <c r="A740" s="10" t="s">
        <v>55</v>
      </c>
      <c r="B740" s="10" t="s">
        <v>192</v>
      </c>
      <c r="C740" s="10">
        <v>1139679.5670890671</v>
      </c>
      <c r="D740" s="10" t="s">
        <v>193</v>
      </c>
    </row>
    <row r="741" spans="1:4" ht="18" customHeight="1">
      <c r="A741" s="10" t="s">
        <v>55</v>
      </c>
      <c r="B741" s="10" t="s">
        <v>194</v>
      </c>
      <c r="C741" s="10">
        <v>1139679.5670890671</v>
      </c>
      <c r="D741" s="10" t="s">
        <v>193</v>
      </c>
    </row>
    <row r="742" spans="1:4" ht="18" customHeight="1">
      <c r="A742" s="10" t="s">
        <v>55</v>
      </c>
      <c r="B742" s="10" t="s">
        <v>195</v>
      </c>
      <c r="C742" s="10">
        <v>0</v>
      </c>
      <c r="D742" s="10" t="s">
        <v>193</v>
      </c>
    </row>
    <row r="743" spans="1:4" ht="18" customHeight="1">
      <c r="A743" s="10" t="s">
        <v>55</v>
      </c>
      <c r="B743" s="10" t="s">
        <v>196</v>
      </c>
      <c r="C743" s="10" t="s">
        <v>197</v>
      </c>
      <c r="D743" s="10" t="s">
        <v>198</v>
      </c>
    </row>
    <row r="744" spans="1:4" ht="18" customHeight="1">
      <c r="A744" s="10" t="s">
        <v>55</v>
      </c>
      <c r="B744" s="10" t="s">
        <v>5</v>
      </c>
      <c r="C744" s="10">
        <v>1139679.5670890671</v>
      </c>
      <c r="D744" s="10" t="s">
        <v>193</v>
      </c>
    </row>
    <row r="745" spans="1:4" ht="18" customHeight="1">
      <c r="A745" s="10" t="s">
        <v>55</v>
      </c>
      <c r="B745" s="10" t="s">
        <v>199</v>
      </c>
      <c r="C745" s="10">
        <v>1</v>
      </c>
      <c r="D745" s="10" t="s">
        <v>200</v>
      </c>
    </row>
    <row r="746" spans="1:4" ht="18" customHeight="1">
      <c r="A746" s="10" t="s">
        <v>55</v>
      </c>
      <c r="B746" s="10" t="s">
        <v>8</v>
      </c>
      <c r="C746" s="10">
        <v>383</v>
      </c>
      <c r="D746" s="10" t="s">
        <v>201</v>
      </c>
    </row>
    <row r="747" spans="1:4" ht="18" customHeight="1">
      <c r="A747" s="10" t="s">
        <v>55</v>
      </c>
      <c r="B747" s="10" t="s">
        <v>9</v>
      </c>
      <c r="C747" s="10">
        <v>383</v>
      </c>
      <c r="D747" s="10" t="s">
        <v>201</v>
      </c>
    </row>
    <row r="748" spans="1:4" ht="18" customHeight="1">
      <c r="A748" s="10" t="s">
        <v>55</v>
      </c>
      <c r="B748" s="10" t="s">
        <v>202</v>
      </c>
      <c r="C748" s="10">
        <v>0</v>
      </c>
      <c r="D748" s="10" t="s">
        <v>201</v>
      </c>
    </row>
    <row r="749" spans="1:4" ht="18" customHeight="1">
      <c r="A749" s="10" t="s">
        <v>55</v>
      </c>
      <c r="B749" s="10" t="s">
        <v>203</v>
      </c>
      <c r="C749" s="10">
        <v>1010255322.1765621</v>
      </c>
      <c r="D749" s="10" t="s">
        <v>204</v>
      </c>
    </row>
    <row r="750" spans="1:4" ht="18" customHeight="1">
      <c r="A750" s="10" t="s">
        <v>55</v>
      </c>
      <c r="B750" s="10" t="s">
        <v>205</v>
      </c>
      <c r="C750" s="10">
        <v>1010255322.1765624</v>
      </c>
      <c r="D750" s="10" t="s">
        <v>204</v>
      </c>
    </row>
    <row r="751" spans="1:4" ht="18" customHeight="1">
      <c r="A751" s="10" t="s">
        <v>55</v>
      </c>
      <c r="B751" s="10" t="s">
        <v>206</v>
      </c>
      <c r="C751" s="10">
        <v>1010255322.1765624</v>
      </c>
      <c r="D751" s="10" t="s">
        <v>204</v>
      </c>
    </row>
    <row r="752" spans="1:4" ht="18" customHeight="1">
      <c r="A752" s="10" t="s">
        <v>55</v>
      </c>
      <c r="B752" s="10" t="s">
        <v>207</v>
      </c>
      <c r="C752" s="10">
        <v>3.5762786865234375E-7</v>
      </c>
      <c r="D752" s="10" t="s">
        <v>204</v>
      </c>
    </row>
    <row r="753" spans="1:4" ht="18" customHeight="1">
      <c r="A753" s="10" t="s">
        <v>55</v>
      </c>
      <c r="B753" s="10" t="s">
        <v>208</v>
      </c>
      <c r="C753" s="10">
        <v>3.5762786865234375E-7</v>
      </c>
      <c r="D753" s="10" t="s">
        <v>204</v>
      </c>
    </row>
    <row r="754" spans="1:4" ht="18" customHeight="1">
      <c r="A754" s="10" t="s">
        <v>55</v>
      </c>
      <c r="B754" s="10" t="s">
        <v>209</v>
      </c>
      <c r="C754" s="10" t="s">
        <v>197</v>
      </c>
      <c r="D754" s="10" t="s">
        <v>198</v>
      </c>
    </row>
    <row r="755" spans="1:4" ht="18" customHeight="1">
      <c r="A755" s="10" t="s">
        <v>55</v>
      </c>
      <c r="B755" s="10" t="s">
        <v>210</v>
      </c>
      <c r="C755" s="10" t="s">
        <v>197</v>
      </c>
      <c r="D755" s="10" t="s">
        <v>198</v>
      </c>
    </row>
    <row r="756" spans="1:4" ht="18" customHeight="1">
      <c r="A756" s="10" t="s">
        <v>55</v>
      </c>
      <c r="B756" s="10" t="s">
        <v>211</v>
      </c>
      <c r="C756" s="10">
        <v>0</v>
      </c>
      <c r="D756" s="10" t="s">
        <v>201</v>
      </c>
    </row>
    <row r="757" spans="1:4" ht="18" customHeight="1">
      <c r="A757" s="10" t="s">
        <v>55</v>
      </c>
      <c r="B757" s="10" t="s">
        <v>212</v>
      </c>
      <c r="C757" s="10">
        <v>0</v>
      </c>
      <c r="D757" s="10" t="s">
        <v>201</v>
      </c>
    </row>
    <row r="758" spans="1:4" ht="18" customHeight="1">
      <c r="A758" s="10" t="s">
        <v>99</v>
      </c>
      <c r="B758" s="10" t="s">
        <v>192</v>
      </c>
      <c r="C758" s="10">
        <v>429516.33309482579</v>
      </c>
      <c r="D758" s="10" t="s">
        <v>193</v>
      </c>
    </row>
    <row r="759" spans="1:4" ht="18" customHeight="1">
      <c r="A759" s="10" t="s">
        <v>99</v>
      </c>
      <c r="B759" s="10" t="s">
        <v>194</v>
      </c>
      <c r="C759" s="10">
        <v>429516.33309482579</v>
      </c>
      <c r="D759" s="10" t="s">
        <v>193</v>
      </c>
    </row>
    <row r="760" spans="1:4" ht="18" customHeight="1">
      <c r="A760" s="10" t="s">
        <v>99</v>
      </c>
      <c r="B760" s="10" t="s">
        <v>195</v>
      </c>
      <c r="C760" s="10">
        <v>0</v>
      </c>
      <c r="D760" s="10" t="s">
        <v>193</v>
      </c>
    </row>
    <row r="761" spans="1:4" ht="18" customHeight="1">
      <c r="A761" s="10" t="s">
        <v>99</v>
      </c>
      <c r="B761" s="10" t="s">
        <v>196</v>
      </c>
      <c r="C761" s="10" t="s">
        <v>197</v>
      </c>
      <c r="D761" s="10" t="s">
        <v>198</v>
      </c>
    </row>
    <row r="762" spans="1:4" ht="18" customHeight="1">
      <c r="A762" s="10" t="s">
        <v>99</v>
      </c>
      <c r="B762" s="10" t="s">
        <v>5</v>
      </c>
      <c r="C762" s="10">
        <v>429516.33309482579</v>
      </c>
      <c r="D762" s="10" t="s">
        <v>193</v>
      </c>
    </row>
    <row r="763" spans="1:4" ht="18" customHeight="1">
      <c r="A763" s="10" t="s">
        <v>99</v>
      </c>
      <c r="B763" s="10" t="s">
        <v>199</v>
      </c>
      <c r="C763" s="10">
        <v>1</v>
      </c>
      <c r="D763" s="10" t="s">
        <v>200</v>
      </c>
    </row>
    <row r="764" spans="1:4" ht="18" customHeight="1">
      <c r="A764" s="10" t="s">
        <v>99</v>
      </c>
      <c r="B764" s="10" t="s">
        <v>8</v>
      </c>
      <c r="C764" s="10">
        <v>432</v>
      </c>
      <c r="D764" s="10" t="s">
        <v>201</v>
      </c>
    </row>
    <row r="765" spans="1:4" ht="18" customHeight="1">
      <c r="A765" s="10" t="s">
        <v>99</v>
      </c>
      <c r="B765" s="10" t="s">
        <v>9</v>
      </c>
      <c r="C765" s="10">
        <v>432</v>
      </c>
      <c r="D765" s="10" t="s">
        <v>201</v>
      </c>
    </row>
    <row r="766" spans="1:4" ht="18" customHeight="1">
      <c r="A766" s="10" t="s">
        <v>99</v>
      </c>
      <c r="B766" s="10" t="s">
        <v>202</v>
      </c>
      <c r="C766" s="10">
        <v>0</v>
      </c>
      <c r="D766" s="10" t="s">
        <v>201</v>
      </c>
    </row>
    <row r="767" spans="1:4" ht="18" customHeight="1">
      <c r="A767" s="10" t="s">
        <v>99</v>
      </c>
      <c r="B767" s="10" t="s">
        <v>203</v>
      </c>
      <c r="C767" s="10">
        <v>350502389.22478938</v>
      </c>
      <c r="D767" s="10" t="s">
        <v>204</v>
      </c>
    </row>
    <row r="768" spans="1:4" ht="18" customHeight="1">
      <c r="A768" s="10" t="s">
        <v>99</v>
      </c>
      <c r="B768" s="10" t="s">
        <v>205</v>
      </c>
      <c r="C768" s="10">
        <v>350502389.22478938</v>
      </c>
      <c r="D768" s="10" t="s">
        <v>204</v>
      </c>
    </row>
    <row r="769" spans="1:4" ht="18" customHeight="1">
      <c r="A769" s="10" t="s">
        <v>99</v>
      </c>
      <c r="B769" s="10" t="s">
        <v>206</v>
      </c>
      <c r="C769" s="10">
        <v>350502389.22478944</v>
      </c>
      <c r="D769" s="10" t="s">
        <v>204</v>
      </c>
    </row>
    <row r="770" spans="1:4" ht="18" customHeight="1">
      <c r="A770" s="10" t="s">
        <v>99</v>
      </c>
      <c r="B770" s="10" t="s">
        <v>207</v>
      </c>
      <c r="C770" s="10">
        <v>0</v>
      </c>
      <c r="D770" s="10" t="s">
        <v>204</v>
      </c>
    </row>
    <row r="771" spans="1:4" ht="18" customHeight="1">
      <c r="A771" s="10" t="s">
        <v>99</v>
      </c>
      <c r="B771" s="10" t="s">
        <v>208</v>
      </c>
      <c r="C771" s="10">
        <v>5.9604644775390625E-8</v>
      </c>
      <c r="D771" s="10" t="s">
        <v>204</v>
      </c>
    </row>
    <row r="772" spans="1:4" ht="18" customHeight="1">
      <c r="A772" s="10" t="s">
        <v>99</v>
      </c>
      <c r="B772" s="10" t="s">
        <v>209</v>
      </c>
      <c r="C772" s="10" t="s">
        <v>197</v>
      </c>
      <c r="D772" s="10" t="s">
        <v>198</v>
      </c>
    </row>
    <row r="773" spans="1:4" ht="18" customHeight="1">
      <c r="A773" s="10" t="s">
        <v>99</v>
      </c>
      <c r="B773" s="10" t="s">
        <v>210</v>
      </c>
      <c r="C773" s="10" t="s">
        <v>197</v>
      </c>
      <c r="D773" s="10" t="s">
        <v>198</v>
      </c>
    </row>
    <row r="774" spans="1:4" ht="18" customHeight="1">
      <c r="A774" s="10" t="s">
        <v>99</v>
      </c>
      <c r="B774" s="10" t="s">
        <v>211</v>
      </c>
      <c r="C774" s="10">
        <v>0</v>
      </c>
      <c r="D774" s="10" t="s">
        <v>201</v>
      </c>
    </row>
    <row r="775" spans="1:4" ht="18" customHeight="1">
      <c r="A775" s="10" t="s">
        <v>99</v>
      </c>
      <c r="B775" s="10" t="s">
        <v>212</v>
      </c>
      <c r="C775" s="10">
        <v>0</v>
      </c>
      <c r="D775" s="10" t="s">
        <v>201</v>
      </c>
    </row>
    <row r="776" spans="1:4" ht="18" customHeight="1">
      <c r="A776" s="10" t="s">
        <v>57</v>
      </c>
      <c r="B776" s="10" t="s">
        <v>192</v>
      </c>
      <c r="C776" s="10">
        <v>1487741.6269238535</v>
      </c>
      <c r="D776" s="10" t="s">
        <v>193</v>
      </c>
    </row>
    <row r="777" spans="1:4" ht="18" customHeight="1">
      <c r="A777" s="10" t="s">
        <v>57</v>
      </c>
      <c r="B777" s="10" t="s">
        <v>194</v>
      </c>
      <c r="C777" s="10">
        <v>1487741.6269238535</v>
      </c>
      <c r="D777" s="10" t="s">
        <v>193</v>
      </c>
    </row>
    <row r="778" spans="1:4" ht="18" customHeight="1">
      <c r="A778" s="10" t="s">
        <v>57</v>
      </c>
      <c r="B778" s="10" t="s">
        <v>195</v>
      </c>
      <c r="C778" s="10">
        <v>0</v>
      </c>
      <c r="D778" s="10" t="s">
        <v>193</v>
      </c>
    </row>
    <row r="779" spans="1:4" ht="18" customHeight="1">
      <c r="A779" s="10" t="s">
        <v>57</v>
      </c>
      <c r="B779" s="10" t="s">
        <v>196</v>
      </c>
      <c r="C779" s="10" t="s">
        <v>197</v>
      </c>
      <c r="D779" s="10" t="s">
        <v>198</v>
      </c>
    </row>
    <row r="780" spans="1:4" ht="18" customHeight="1">
      <c r="A780" s="10" t="s">
        <v>57</v>
      </c>
      <c r="B780" s="10" t="s">
        <v>5</v>
      </c>
      <c r="C780" s="10">
        <v>1487741.6269238535</v>
      </c>
      <c r="D780" s="10" t="s">
        <v>193</v>
      </c>
    </row>
    <row r="781" spans="1:4" ht="18" customHeight="1">
      <c r="A781" s="10" t="s">
        <v>57</v>
      </c>
      <c r="B781" s="10" t="s">
        <v>199</v>
      </c>
      <c r="C781" s="10">
        <v>1</v>
      </c>
      <c r="D781" s="10" t="s">
        <v>200</v>
      </c>
    </row>
    <row r="782" spans="1:4" ht="18" customHeight="1">
      <c r="A782" s="10" t="s">
        <v>57</v>
      </c>
      <c r="B782" s="10" t="s">
        <v>8</v>
      </c>
      <c r="C782" s="10">
        <v>482</v>
      </c>
      <c r="D782" s="10" t="s">
        <v>201</v>
      </c>
    </row>
    <row r="783" spans="1:4" ht="18" customHeight="1">
      <c r="A783" s="10" t="s">
        <v>57</v>
      </c>
      <c r="B783" s="10" t="s">
        <v>9</v>
      </c>
      <c r="C783" s="10">
        <v>482</v>
      </c>
      <c r="D783" s="10" t="s">
        <v>201</v>
      </c>
    </row>
    <row r="784" spans="1:4" ht="18" customHeight="1">
      <c r="A784" s="10" t="s">
        <v>57</v>
      </c>
      <c r="B784" s="10" t="s">
        <v>202</v>
      </c>
      <c r="C784" s="10">
        <v>0</v>
      </c>
      <c r="D784" s="10" t="s">
        <v>201</v>
      </c>
    </row>
    <row r="785" spans="1:4" ht="18" customHeight="1">
      <c r="A785" s="10" t="s">
        <v>57</v>
      </c>
      <c r="B785" s="10" t="s">
        <v>203</v>
      </c>
      <c r="C785" s="10">
        <v>1007915797.3835726</v>
      </c>
      <c r="D785" s="10" t="s">
        <v>204</v>
      </c>
    </row>
    <row r="786" spans="1:4" ht="18" customHeight="1">
      <c r="A786" s="10" t="s">
        <v>57</v>
      </c>
      <c r="B786" s="10" t="s">
        <v>205</v>
      </c>
      <c r="C786" s="10">
        <v>1007915797.3835725</v>
      </c>
      <c r="D786" s="10" t="s">
        <v>204</v>
      </c>
    </row>
    <row r="787" spans="1:4" ht="18" customHeight="1">
      <c r="A787" s="10" t="s">
        <v>57</v>
      </c>
      <c r="B787" s="10" t="s">
        <v>206</v>
      </c>
      <c r="C787" s="10">
        <v>1007915797.3835725</v>
      </c>
      <c r="D787" s="10" t="s">
        <v>204</v>
      </c>
    </row>
    <row r="788" spans="1:4" ht="18" customHeight="1">
      <c r="A788" s="10" t="s">
        <v>57</v>
      </c>
      <c r="B788" s="10" t="s">
        <v>207</v>
      </c>
      <c r="C788" s="10">
        <v>-1.1920928955078125E-7</v>
      </c>
      <c r="D788" s="10" t="s">
        <v>204</v>
      </c>
    </row>
    <row r="789" spans="1:4" ht="18" customHeight="1">
      <c r="A789" s="10" t="s">
        <v>57</v>
      </c>
      <c r="B789" s="10" t="s">
        <v>208</v>
      </c>
      <c r="C789" s="10">
        <v>-1.1920928955078125E-7</v>
      </c>
      <c r="D789" s="10" t="s">
        <v>204</v>
      </c>
    </row>
    <row r="790" spans="1:4" ht="18" customHeight="1">
      <c r="A790" s="10" t="s">
        <v>57</v>
      </c>
      <c r="B790" s="10" t="s">
        <v>209</v>
      </c>
      <c r="C790" s="10" t="s">
        <v>197</v>
      </c>
      <c r="D790" s="10" t="s">
        <v>198</v>
      </c>
    </row>
    <row r="791" spans="1:4" ht="18" customHeight="1">
      <c r="A791" s="10" t="s">
        <v>57</v>
      </c>
      <c r="B791" s="10" t="s">
        <v>210</v>
      </c>
      <c r="C791" s="10" t="s">
        <v>197</v>
      </c>
      <c r="D791" s="10" t="s">
        <v>198</v>
      </c>
    </row>
    <row r="792" spans="1:4" ht="18" customHeight="1">
      <c r="A792" s="10" t="s">
        <v>57</v>
      </c>
      <c r="B792" s="10" t="s">
        <v>211</v>
      </c>
      <c r="C792" s="10">
        <v>0</v>
      </c>
      <c r="D792" s="10" t="s">
        <v>201</v>
      </c>
    </row>
    <row r="793" spans="1:4" ht="18" customHeight="1">
      <c r="A793" s="10" t="s">
        <v>57</v>
      </c>
      <c r="B793" s="10" t="s">
        <v>212</v>
      </c>
      <c r="C793" s="10">
        <v>0</v>
      </c>
      <c r="D793" s="10" t="s">
        <v>201</v>
      </c>
    </row>
    <row r="794" spans="1:4" ht="18" customHeight="1">
      <c r="A794" s="10" t="s">
        <v>30</v>
      </c>
      <c r="B794" s="10" t="s">
        <v>192</v>
      </c>
      <c r="C794" s="10">
        <v>5771015.2573294127</v>
      </c>
      <c r="D794" s="10" t="s">
        <v>193</v>
      </c>
    </row>
    <row r="795" spans="1:4" ht="18" customHeight="1">
      <c r="A795" s="10" t="s">
        <v>30</v>
      </c>
      <c r="B795" s="10" t="s">
        <v>194</v>
      </c>
      <c r="C795" s="10">
        <v>5771015.2573294146</v>
      </c>
      <c r="D795" s="10" t="s">
        <v>193</v>
      </c>
    </row>
    <row r="796" spans="1:4" ht="18" customHeight="1">
      <c r="A796" s="10" t="s">
        <v>30</v>
      </c>
      <c r="B796" s="10" t="s">
        <v>195</v>
      </c>
      <c r="C796" s="10">
        <v>1.862645149230957E-9</v>
      </c>
      <c r="D796" s="10" t="s">
        <v>193</v>
      </c>
    </row>
    <row r="797" spans="1:4" ht="18" customHeight="1">
      <c r="A797" s="10" t="s">
        <v>30</v>
      </c>
      <c r="B797" s="10" t="s">
        <v>196</v>
      </c>
      <c r="C797" s="10" t="s">
        <v>197</v>
      </c>
      <c r="D797" s="10" t="s">
        <v>198</v>
      </c>
    </row>
    <row r="798" spans="1:4" ht="18" customHeight="1">
      <c r="A798" s="10" t="s">
        <v>30</v>
      </c>
      <c r="B798" s="10" t="s">
        <v>5</v>
      </c>
      <c r="C798" s="10">
        <v>5771015.2573294146</v>
      </c>
      <c r="D798" s="10" t="s">
        <v>193</v>
      </c>
    </row>
    <row r="799" spans="1:4" ht="18" customHeight="1">
      <c r="A799" s="10" t="s">
        <v>30</v>
      </c>
      <c r="B799" s="10" t="s">
        <v>199</v>
      </c>
      <c r="C799" s="10">
        <v>1</v>
      </c>
      <c r="D799" s="10" t="s">
        <v>200</v>
      </c>
    </row>
    <row r="800" spans="1:4" ht="18" customHeight="1">
      <c r="A800" s="10" t="s">
        <v>30</v>
      </c>
      <c r="B800" s="10" t="s">
        <v>8</v>
      </c>
      <c r="C800" s="10">
        <v>412</v>
      </c>
      <c r="D800" s="10" t="s">
        <v>201</v>
      </c>
    </row>
    <row r="801" spans="1:4" ht="18" customHeight="1">
      <c r="A801" s="10" t="s">
        <v>30</v>
      </c>
      <c r="B801" s="10" t="s">
        <v>9</v>
      </c>
      <c r="C801" s="10">
        <v>412</v>
      </c>
      <c r="D801" s="10" t="s">
        <v>201</v>
      </c>
    </row>
    <row r="802" spans="1:4" ht="18" customHeight="1">
      <c r="A802" s="10" t="s">
        <v>30</v>
      </c>
      <c r="B802" s="10" t="s">
        <v>202</v>
      </c>
      <c r="C802" s="10">
        <v>0</v>
      </c>
      <c r="D802" s="10" t="s">
        <v>201</v>
      </c>
    </row>
    <row r="803" spans="1:4" ht="18" customHeight="1">
      <c r="A803" s="10" t="s">
        <v>30</v>
      </c>
      <c r="B803" s="10" t="s">
        <v>203</v>
      </c>
      <c r="C803" s="10">
        <v>2359485422.8161731</v>
      </c>
      <c r="D803" s="10" t="s">
        <v>204</v>
      </c>
    </row>
    <row r="804" spans="1:4" ht="18" customHeight="1">
      <c r="A804" s="10" t="s">
        <v>30</v>
      </c>
      <c r="B804" s="10" t="s">
        <v>205</v>
      </c>
      <c r="C804" s="10">
        <v>2359485422.8161726</v>
      </c>
      <c r="D804" s="10" t="s">
        <v>204</v>
      </c>
    </row>
    <row r="805" spans="1:4" ht="18" customHeight="1">
      <c r="A805" s="10" t="s">
        <v>30</v>
      </c>
      <c r="B805" s="10" t="s">
        <v>206</v>
      </c>
      <c r="C805" s="10">
        <v>2359485422.8161726</v>
      </c>
      <c r="D805" s="10" t="s">
        <v>204</v>
      </c>
    </row>
    <row r="806" spans="1:4" ht="18" customHeight="1">
      <c r="A806" s="10" t="s">
        <v>30</v>
      </c>
      <c r="B806" s="10" t="s">
        <v>207</v>
      </c>
      <c r="C806" s="10">
        <v>-4.76837158203125E-7</v>
      </c>
      <c r="D806" s="10" t="s">
        <v>204</v>
      </c>
    </row>
    <row r="807" spans="1:4" ht="18" customHeight="1">
      <c r="A807" s="10" t="s">
        <v>30</v>
      </c>
      <c r="B807" s="10" t="s">
        <v>208</v>
      </c>
      <c r="C807" s="10">
        <v>-4.76837158203125E-7</v>
      </c>
      <c r="D807" s="10" t="s">
        <v>204</v>
      </c>
    </row>
    <row r="808" spans="1:4" ht="18" customHeight="1">
      <c r="A808" s="10" t="s">
        <v>30</v>
      </c>
      <c r="B808" s="10" t="s">
        <v>209</v>
      </c>
      <c r="C808" s="10" t="s">
        <v>197</v>
      </c>
      <c r="D808" s="10" t="s">
        <v>198</v>
      </c>
    </row>
    <row r="809" spans="1:4" ht="18" customHeight="1">
      <c r="A809" s="10" t="s">
        <v>30</v>
      </c>
      <c r="B809" s="10" t="s">
        <v>210</v>
      </c>
      <c r="C809" s="10" t="s">
        <v>197</v>
      </c>
      <c r="D809" s="10" t="s">
        <v>198</v>
      </c>
    </row>
    <row r="810" spans="1:4" ht="18" customHeight="1">
      <c r="A810" s="10" t="s">
        <v>30</v>
      </c>
      <c r="B810" s="10" t="s">
        <v>211</v>
      </c>
      <c r="C810" s="10">
        <v>0</v>
      </c>
      <c r="D810" s="10" t="s">
        <v>201</v>
      </c>
    </row>
    <row r="811" spans="1:4" ht="18" customHeight="1">
      <c r="A811" s="10" t="s">
        <v>30</v>
      </c>
      <c r="B811" s="10" t="s">
        <v>212</v>
      </c>
      <c r="C811" s="10">
        <v>0</v>
      </c>
      <c r="D811" s="10" t="s">
        <v>201</v>
      </c>
    </row>
    <row r="812" spans="1:4" ht="18" customHeight="1">
      <c r="A812" s="10" t="s">
        <v>32</v>
      </c>
      <c r="B812" s="10" t="s">
        <v>192</v>
      </c>
      <c r="C812" s="10">
        <v>4469154.9811442439</v>
      </c>
      <c r="D812" s="10" t="s">
        <v>193</v>
      </c>
    </row>
    <row r="813" spans="1:4" ht="18" customHeight="1">
      <c r="A813" s="10" t="s">
        <v>32</v>
      </c>
      <c r="B813" s="10" t="s">
        <v>194</v>
      </c>
      <c r="C813" s="10">
        <v>4469154.9811442429</v>
      </c>
      <c r="D813" s="10" t="s">
        <v>193</v>
      </c>
    </row>
    <row r="814" spans="1:4" ht="18" customHeight="1">
      <c r="A814" s="10" t="s">
        <v>32</v>
      </c>
      <c r="B814" s="10" t="s">
        <v>195</v>
      </c>
      <c r="C814" s="10">
        <v>-9.3132257461547852E-10</v>
      </c>
      <c r="D814" s="10" t="s">
        <v>193</v>
      </c>
    </row>
    <row r="815" spans="1:4" ht="18" customHeight="1">
      <c r="A815" s="10" t="s">
        <v>32</v>
      </c>
      <c r="B815" s="10" t="s">
        <v>196</v>
      </c>
      <c r="C815" s="10" t="s">
        <v>197</v>
      </c>
      <c r="D815" s="10" t="s">
        <v>198</v>
      </c>
    </row>
    <row r="816" spans="1:4" ht="18" customHeight="1">
      <c r="A816" s="10" t="s">
        <v>32</v>
      </c>
      <c r="B816" s="10" t="s">
        <v>5</v>
      </c>
      <c r="C816" s="10">
        <v>4469154.9811442429</v>
      </c>
      <c r="D816" s="10" t="s">
        <v>193</v>
      </c>
    </row>
    <row r="817" spans="1:4" ht="18" customHeight="1">
      <c r="A817" s="10" t="s">
        <v>32</v>
      </c>
      <c r="B817" s="10" t="s">
        <v>199</v>
      </c>
      <c r="C817" s="10">
        <v>1</v>
      </c>
      <c r="D817" s="10" t="s">
        <v>200</v>
      </c>
    </row>
    <row r="818" spans="1:4" ht="18" customHeight="1">
      <c r="A818" s="10" t="s">
        <v>32</v>
      </c>
      <c r="B818" s="10" t="s">
        <v>8</v>
      </c>
      <c r="C818" s="10">
        <v>325</v>
      </c>
      <c r="D818" s="10" t="s">
        <v>201</v>
      </c>
    </row>
    <row r="819" spans="1:4" ht="18" customHeight="1">
      <c r="A819" s="10" t="s">
        <v>32</v>
      </c>
      <c r="B819" s="10" t="s">
        <v>9</v>
      </c>
      <c r="C819" s="10">
        <v>325</v>
      </c>
      <c r="D819" s="10" t="s">
        <v>201</v>
      </c>
    </row>
    <row r="820" spans="1:4" ht="18" customHeight="1">
      <c r="A820" s="10" t="s">
        <v>32</v>
      </c>
      <c r="B820" s="10" t="s">
        <v>202</v>
      </c>
      <c r="C820" s="10">
        <v>0</v>
      </c>
      <c r="D820" s="10" t="s">
        <v>201</v>
      </c>
    </row>
    <row r="821" spans="1:4" ht="18" customHeight="1">
      <c r="A821" s="10" t="s">
        <v>32</v>
      </c>
      <c r="B821" s="10" t="s">
        <v>203</v>
      </c>
      <c r="C821" s="10">
        <v>2256398879.6656098</v>
      </c>
      <c r="D821" s="10" t="s">
        <v>204</v>
      </c>
    </row>
    <row r="822" spans="1:4" ht="18" customHeight="1">
      <c r="A822" s="10" t="s">
        <v>32</v>
      </c>
      <c r="B822" s="10" t="s">
        <v>205</v>
      </c>
      <c r="C822" s="10">
        <v>2256398879.6656094</v>
      </c>
      <c r="D822" s="10" t="s">
        <v>204</v>
      </c>
    </row>
    <row r="823" spans="1:4" ht="18" customHeight="1">
      <c r="A823" s="10" t="s">
        <v>32</v>
      </c>
      <c r="B823" s="10" t="s">
        <v>206</v>
      </c>
      <c r="C823" s="10">
        <v>2256398879.6656098</v>
      </c>
      <c r="D823" s="10" t="s">
        <v>204</v>
      </c>
    </row>
    <row r="824" spans="1:4" ht="18" customHeight="1">
      <c r="A824" s="10" t="s">
        <v>32</v>
      </c>
      <c r="B824" s="10" t="s">
        <v>207</v>
      </c>
      <c r="C824" s="10">
        <v>-4.76837158203125E-7</v>
      </c>
      <c r="D824" s="10" t="s">
        <v>204</v>
      </c>
    </row>
    <row r="825" spans="1:4" ht="18" customHeight="1">
      <c r="A825" s="10" t="s">
        <v>32</v>
      </c>
      <c r="B825" s="10" t="s">
        <v>208</v>
      </c>
      <c r="C825" s="10">
        <v>0</v>
      </c>
      <c r="D825" s="10" t="s">
        <v>204</v>
      </c>
    </row>
    <row r="826" spans="1:4" ht="18" customHeight="1">
      <c r="A826" s="10" t="s">
        <v>32</v>
      </c>
      <c r="B826" s="10" t="s">
        <v>209</v>
      </c>
      <c r="C826" s="10" t="s">
        <v>197</v>
      </c>
      <c r="D826" s="10" t="s">
        <v>198</v>
      </c>
    </row>
    <row r="827" spans="1:4" ht="18" customHeight="1">
      <c r="A827" s="10" t="s">
        <v>32</v>
      </c>
      <c r="B827" s="10" t="s">
        <v>210</v>
      </c>
      <c r="C827" s="10" t="s">
        <v>197</v>
      </c>
      <c r="D827" s="10" t="s">
        <v>198</v>
      </c>
    </row>
    <row r="828" spans="1:4" ht="18" customHeight="1">
      <c r="A828" s="10" t="s">
        <v>32</v>
      </c>
      <c r="B828" s="10" t="s">
        <v>211</v>
      </c>
      <c r="C828" s="10">
        <v>0</v>
      </c>
      <c r="D828" s="10" t="s">
        <v>201</v>
      </c>
    </row>
    <row r="829" spans="1:4" ht="18" customHeight="1">
      <c r="A829" s="10" t="s">
        <v>32</v>
      </c>
      <c r="B829" s="10" t="s">
        <v>212</v>
      </c>
      <c r="C829" s="10">
        <v>0</v>
      </c>
      <c r="D829" s="10" t="s">
        <v>201</v>
      </c>
    </row>
    <row r="830" spans="1:4" ht="18" customHeight="1">
      <c r="A830" s="10" t="s">
        <v>59</v>
      </c>
      <c r="B830" s="10" t="s">
        <v>192</v>
      </c>
      <c r="C830" s="10">
        <v>1592518.0818040827</v>
      </c>
      <c r="D830" s="10" t="s">
        <v>193</v>
      </c>
    </row>
    <row r="831" spans="1:4" ht="18" customHeight="1">
      <c r="A831" s="10" t="s">
        <v>59</v>
      </c>
      <c r="B831" s="10" t="s">
        <v>194</v>
      </c>
      <c r="C831" s="10">
        <v>1592518.0818040825</v>
      </c>
      <c r="D831" s="10" t="s">
        <v>193</v>
      </c>
    </row>
    <row r="832" spans="1:4" ht="18" customHeight="1">
      <c r="A832" s="10" t="s">
        <v>59</v>
      </c>
      <c r="B832" s="10" t="s">
        <v>195</v>
      </c>
      <c r="C832" s="10">
        <v>-2.3283064365386963E-10</v>
      </c>
      <c r="D832" s="10" t="s">
        <v>193</v>
      </c>
    </row>
    <row r="833" spans="1:4" ht="18" customHeight="1">
      <c r="A833" s="10" t="s">
        <v>59</v>
      </c>
      <c r="B833" s="10" t="s">
        <v>196</v>
      </c>
      <c r="C833" s="10" t="s">
        <v>197</v>
      </c>
      <c r="D833" s="10" t="s">
        <v>198</v>
      </c>
    </row>
    <row r="834" spans="1:4" ht="18" customHeight="1">
      <c r="A834" s="10" t="s">
        <v>59</v>
      </c>
      <c r="B834" s="10" t="s">
        <v>5</v>
      </c>
      <c r="C834" s="10">
        <v>1592518.0818040825</v>
      </c>
      <c r="D834" s="10" t="s">
        <v>193</v>
      </c>
    </row>
    <row r="835" spans="1:4" ht="18" customHeight="1">
      <c r="A835" s="10" t="s">
        <v>59</v>
      </c>
      <c r="B835" s="10" t="s">
        <v>199</v>
      </c>
      <c r="C835" s="10">
        <v>1</v>
      </c>
      <c r="D835" s="10" t="s">
        <v>200</v>
      </c>
    </row>
    <row r="836" spans="1:4" ht="18" customHeight="1">
      <c r="A836" s="10" t="s">
        <v>59</v>
      </c>
      <c r="B836" s="10" t="s">
        <v>8</v>
      </c>
      <c r="C836" s="10">
        <v>147</v>
      </c>
      <c r="D836" s="10" t="s">
        <v>201</v>
      </c>
    </row>
    <row r="837" spans="1:4" ht="18" customHeight="1">
      <c r="A837" s="10" t="s">
        <v>59</v>
      </c>
      <c r="B837" s="10" t="s">
        <v>9</v>
      </c>
      <c r="C837" s="10">
        <v>147</v>
      </c>
      <c r="D837" s="10" t="s">
        <v>201</v>
      </c>
    </row>
    <row r="838" spans="1:4" ht="18" customHeight="1">
      <c r="A838" s="10" t="s">
        <v>59</v>
      </c>
      <c r="B838" s="10" t="s">
        <v>202</v>
      </c>
      <c r="C838" s="10">
        <v>0</v>
      </c>
      <c r="D838" s="10" t="s">
        <v>201</v>
      </c>
    </row>
    <row r="839" spans="1:4" ht="18" customHeight="1">
      <c r="A839" s="10" t="s">
        <v>59</v>
      </c>
      <c r="B839" s="10" t="s">
        <v>203</v>
      </c>
      <c r="C839" s="10">
        <v>997757338.24668729</v>
      </c>
      <c r="D839" s="10" t="s">
        <v>204</v>
      </c>
    </row>
    <row r="840" spans="1:4" ht="18" customHeight="1">
      <c r="A840" s="10" t="s">
        <v>59</v>
      </c>
      <c r="B840" s="10" t="s">
        <v>205</v>
      </c>
      <c r="C840" s="10">
        <v>997757338.24668729</v>
      </c>
      <c r="D840" s="10" t="s">
        <v>204</v>
      </c>
    </row>
    <row r="841" spans="1:4" ht="18" customHeight="1">
      <c r="A841" s="10" t="s">
        <v>59</v>
      </c>
      <c r="B841" s="10" t="s">
        <v>206</v>
      </c>
      <c r="C841" s="10">
        <v>997757338.24668741</v>
      </c>
      <c r="D841" s="10" t="s">
        <v>204</v>
      </c>
    </row>
    <row r="842" spans="1:4" ht="18" customHeight="1">
      <c r="A842" s="10" t="s">
        <v>59</v>
      </c>
      <c r="B842" s="10" t="s">
        <v>207</v>
      </c>
      <c r="C842" s="10">
        <v>0</v>
      </c>
      <c r="D842" s="10" t="s">
        <v>204</v>
      </c>
    </row>
    <row r="843" spans="1:4" ht="18" customHeight="1">
      <c r="A843" s="10" t="s">
        <v>59</v>
      </c>
      <c r="B843" s="10" t="s">
        <v>208</v>
      </c>
      <c r="C843" s="10">
        <v>1.1920928955078125E-7</v>
      </c>
      <c r="D843" s="10" t="s">
        <v>204</v>
      </c>
    </row>
    <row r="844" spans="1:4" ht="18" customHeight="1">
      <c r="A844" s="10" t="s">
        <v>59</v>
      </c>
      <c r="B844" s="10" t="s">
        <v>209</v>
      </c>
      <c r="C844" s="10" t="s">
        <v>197</v>
      </c>
      <c r="D844" s="10" t="s">
        <v>198</v>
      </c>
    </row>
    <row r="845" spans="1:4" ht="18" customHeight="1">
      <c r="A845" s="10" t="s">
        <v>59</v>
      </c>
      <c r="B845" s="10" t="s">
        <v>210</v>
      </c>
      <c r="C845" s="10" t="s">
        <v>197</v>
      </c>
      <c r="D845" s="10" t="s">
        <v>198</v>
      </c>
    </row>
    <row r="846" spans="1:4" ht="18" customHeight="1">
      <c r="A846" s="10" t="s">
        <v>59</v>
      </c>
      <c r="B846" s="10" t="s">
        <v>211</v>
      </c>
      <c r="C846" s="10">
        <v>0</v>
      </c>
      <c r="D846" s="10" t="s">
        <v>201</v>
      </c>
    </row>
    <row r="847" spans="1:4" ht="18" customHeight="1">
      <c r="A847" s="10" t="s">
        <v>59</v>
      </c>
      <c r="B847" s="10" t="s">
        <v>212</v>
      </c>
      <c r="C847" s="10">
        <v>0</v>
      </c>
      <c r="D847" s="10" t="s">
        <v>201</v>
      </c>
    </row>
    <row r="848" spans="1:4" ht="18" customHeight="1">
      <c r="A848" s="10" t="s">
        <v>91</v>
      </c>
      <c r="B848" s="10" t="s">
        <v>192</v>
      </c>
      <c r="C848" s="10">
        <v>794215.42597631435</v>
      </c>
      <c r="D848" s="10" t="s">
        <v>193</v>
      </c>
    </row>
    <row r="849" spans="1:4" ht="18" customHeight="1">
      <c r="A849" s="10" t="s">
        <v>91</v>
      </c>
      <c r="B849" s="10" t="s">
        <v>194</v>
      </c>
      <c r="C849" s="10">
        <v>794215.42597631423</v>
      </c>
      <c r="D849" s="10" t="s">
        <v>193</v>
      </c>
    </row>
    <row r="850" spans="1:4" ht="18" customHeight="1">
      <c r="A850" s="10" t="s">
        <v>91</v>
      </c>
      <c r="B850" s="10" t="s">
        <v>195</v>
      </c>
      <c r="C850" s="10">
        <v>-1.1641532182693481E-10</v>
      </c>
      <c r="D850" s="10" t="s">
        <v>193</v>
      </c>
    </row>
    <row r="851" spans="1:4" ht="18" customHeight="1">
      <c r="A851" s="10" t="s">
        <v>91</v>
      </c>
      <c r="B851" s="10" t="s">
        <v>196</v>
      </c>
      <c r="C851" s="10" t="s">
        <v>197</v>
      </c>
      <c r="D851" s="10" t="s">
        <v>198</v>
      </c>
    </row>
    <row r="852" spans="1:4" ht="18" customHeight="1">
      <c r="A852" s="10" t="s">
        <v>91</v>
      </c>
      <c r="B852" s="10" t="s">
        <v>5</v>
      </c>
      <c r="C852" s="10">
        <v>794215.42597631423</v>
      </c>
      <c r="D852" s="10" t="s">
        <v>193</v>
      </c>
    </row>
    <row r="853" spans="1:4" ht="18" customHeight="1">
      <c r="A853" s="10" t="s">
        <v>91</v>
      </c>
      <c r="B853" s="10" t="s">
        <v>199</v>
      </c>
      <c r="C853" s="10">
        <v>1</v>
      </c>
      <c r="D853" s="10" t="s">
        <v>200</v>
      </c>
    </row>
    <row r="854" spans="1:4" ht="18" customHeight="1">
      <c r="A854" s="10" t="s">
        <v>91</v>
      </c>
      <c r="B854" s="10" t="s">
        <v>8</v>
      </c>
      <c r="C854" s="10">
        <v>272</v>
      </c>
      <c r="D854" s="10" t="s">
        <v>201</v>
      </c>
    </row>
    <row r="855" spans="1:4" ht="18" customHeight="1">
      <c r="A855" s="10" t="s">
        <v>91</v>
      </c>
      <c r="B855" s="10" t="s">
        <v>9</v>
      </c>
      <c r="C855" s="10">
        <v>272</v>
      </c>
      <c r="D855" s="10" t="s">
        <v>201</v>
      </c>
    </row>
    <row r="856" spans="1:4" ht="18" customHeight="1">
      <c r="A856" s="10" t="s">
        <v>91</v>
      </c>
      <c r="B856" s="10" t="s">
        <v>202</v>
      </c>
      <c r="C856" s="10">
        <v>0</v>
      </c>
      <c r="D856" s="10" t="s">
        <v>201</v>
      </c>
    </row>
    <row r="857" spans="1:4" ht="18" customHeight="1">
      <c r="A857" s="10" t="s">
        <v>91</v>
      </c>
      <c r="B857" s="10" t="s">
        <v>203</v>
      </c>
      <c r="C857" s="10">
        <v>482169734.53988993</v>
      </c>
      <c r="D857" s="10" t="s">
        <v>204</v>
      </c>
    </row>
    <row r="858" spans="1:4" ht="18" customHeight="1">
      <c r="A858" s="10" t="s">
        <v>91</v>
      </c>
      <c r="B858" s="10" t="s">
        <v>205</v>
      </c>
      <c r="C858" s="10">
        <v>482169734.53988987</v>
      </c>
      <c r="D858" s="10" t="s">
        <v>204</v>
      </c>
    </row>
    <row r="859" spans="1:4" ht="18" customHeight="1">
      <c r="A859" s="10" t="s">
        <v>91</v>
      </c>
      <c r="B859" s="10" t="s">
        <v>206</v>
      </c>
      <c r="C859" s="10">
        <v>482169734.53988993</v>
      </c>
      <c r="D859" s="10" t="s">
        <v>204</v>
      </c>
    </row>
    <row r="860" spans="1:4" ht="18" customHeight="1">
      <c r="A860" s="10" t="s">
        <v>91</v>
      </c>
      <c r="B860" s="10" t="s">
        <v>207</v>
      </c>
      <c r="C860" s="10">
        <v>-5.9604644775390625E-8</v>
      </c>
      <c r="D860" s="10" t="s">
        <v>204</v>
      </c>
    </row>
    <row r="861" spans="1:4" ht="18" customHeight="1">
      <c r="A861" s="10" t="s">
        <v>91</v>
      </c>
      <c r="B861" s="10" t="s">
        <v>208</v>
      </c>
      <c r="C861" s="10">
        <v>0</v>
      </c>
      <c r="D861" s="10" t="s">
        <v>204</v>
      </c>
    </row>
    <row r="862" spans="1:4" ht="18" customHeight="1">
      <c r="A862" s="10" t="s">
        <v>91</v>
      </c>
      <c r="B862" s="10" t="s">
        <v>209</v>
      </c>
      <c r="C862" s="10" t="s">
        <v>197</v>
      </c>
      <c r="D862" s="10" t="s">
        <v>198</v>
      </c>
    </row>
    <row r="863" spans="1:4" ht="18" customHeight="1">
      <c r="A863" s="10" t="s">
        <v>91</v>
      </c>
      <c r="B863" s="10" t="s">
        <v>210</v>
      </c>
      <c r="C863" s="10" t="s">
        <v>197</v>
      </c>
      <c r="D863" s="10" t="s">
        <v>198</v>
      </c>
    </row>
    <row r="864" spans="1:4" ht="18" customHeight="1">
      <c r="A864" s="10" t="s">
        <v>91</v>
      </c>
      <c r="B864" s="10" t="s">
        <v>211</v>
      </c>
      <c r="C864" s="10">
        <v>0</v>
      </c>
      <c r="D864" s="10" t="s">
        <v>201</v>
      </c>
    </row>
    <row r="865" spans="1:4" ht="18" customHeight="1">
      <c r="A865" s="10" t="s">
        <v>91</v>
      </c>
      <c r="B865" s="10" t="s">
        <v>212</v>
      </c>
      <c r="C865" s="10">
        <v>0</v>
      </c>
      <c r="D865" s="10" t="s">
        <v>201</v>
      </c>
    </row>
    <row r="866" spans="1:4" ht="18" customHeight="1">
      <c r="A866" s="10" t="s">
        <v>117</v>
      </c>
      <c r="B866" s="10" t="s">
        <v>192</v>
      </c>
      <c r="C866" s="10">
        <v>237379.07863162042</v>
      </c>
      <c r="D866" s="10" t="s">
        <v>193</v>
      </c>
    </row>
    <row r="867" spans="1:4" ht="18" customHeight="1">
      <c r="A867" s="10" t="s">
        <v>117</v>
      </c>
      <c r="B867" s="10" t="s">
        <v>194</v>
      </c>
      <c r="C867" s="10">
        <v>237379.07863162042</v>
      </c>
      <c r="D867" s="10" t="s">
        <v>193</v>
      </c>
    </row>
    <row r="868" spans="1:4" ht="18" customHeight="1">
      <c r="A868" s="10" t="s">
        <v>117</v>
      </c>
      <c r="B868" s="10" t="s">
        <v>195</v>
      </c>
      <c r="C868" s="10">
        <v>0</v>
      </c>
      <c r="D868" s="10" t="s">
        <v>193</v>
      </c>
    </row>
    <row r="869" spans="1:4" ht="18" customHeight="1">
      <c r="A869" s="10" t="s">
        <v>117</v>
      </c>
      <c r="B869" s="10" t="s">
        <v>196</v>
      </c>
      <c r="C869" s="10" t="s">
        <v>197</v>
      </c>
      <c r="D869" s="10" t="s">
        <v>198</v>
      </c>
    </row>
    <row r="870" spans="1:4" ht="18" customHeight="1">
      <c r="A870" s="10" t="s">
        <v>117</v>
      </c>
      <c r="B870" s="10" t="s">
        <v>5</v>
      </c>
      <c r="C870" s="10">
        <v>237379.07863162042</v>
      </c>
      <c r="D870" s="10" t="s">
        <v>193</v>
      </c>
    </row>
    <row r="871" spans="1:4" ht="18" customHeight="1">
      <c r="A871" s="10" t="s">
        <v>117</v>
      </c>
      <c r="B871" s="10" t="s">
        <v>199</v>
      </c>
      <c r="C871" s="10">
        <v>1</v>
      </c>
      <c r="D871" s="10" t="s">
        <v>200</v>
      </c>
    </row>
    <row r="872" spans="1:4" ht="18" customHeight="1">
      <c r="A872" s="10" t="s">
        <v>117</v>
      </c>
      <c r="B872" s="10" t="s">
        <v>8</v>
      </c>
      <c r="C872" s="10">
        <v>205</v>
      </c>
      <c r="D872" s="10" t="s">
        <v>201</v>
      </c>
    </row>
    <row r="873" spans="1:4" ht="18" customHeight="1">
      <c r="A873" s="10" t="s">
        <v>117</v>
      </c>
      <c r="B873" s="10" t="s">
        <v>9</v>
      </c>
      <c r="C873" s="10">
        <v>205</v>
      </c>
      <c r="D873" s="10" t="s">
        <v>201</v>
      </c>
    </row>
    <row r="874" spans="1:4" ht="18" customHeight="1">
      <c r="A874" s="10" t="s">
        <v>117</v>
      </c>
      <c r="B874" s="10" t="s">
        <v>202</v>
      </c>
      <c r="C874" s="10">
        <v>0</v>
      </c>
      <c r="D874" s="10" t="s">
        <v>201</v>
      </c>
    </row>
    <row r="875" spans="1:4" ht="18" customHeight="1">
      <c r="A875" s="10" t="s">
        <v>117</v>
      </c>
      <c r="B875" s="10" t="s">
        <v>203</v>
      </c>
      <c r="C875" s="10">
        <v>220033882.6044375</v>
      </c>
      <c r="D875" s="10" t="s">
        <v>204</v>
      </c>
    </row>
    <row r="876" spans="1:4" ht="18" customHeight="1">
      <c r="A876" s="10" t="s">
        <v>117</v>
      </c>
      <c r="B876" s="10" t="s">
        <v>205</v>
      </c>
      <c r="C876" s="10">
        <v>220033882.60443753</v>
      </c>
      <c r="D876" s="10" t="s">
        <v>204</v>
      </c>
    </row>
    <row r="877" spans="1:4" ht="18" customHeight="1">
      <c r="A877" s="10" t="s">
        <v>117</v>
      </c>
      <c r="B877" s="10" t="s">
        <v>206</v>
      </c>
      <c r="C877" s="10">
        <v>220033882.6044375</v>
      </c>
      <c r="D877" s="10" t="s">
        <v>204</v>
      </c>
    </row>
    <row r="878" spans="1:4" ht="18" customHeight="1">
      <c r="A878" s="10" t="s">
        <v>117</v>
      </c>
      <c r="B878" s="10" t="s">
        <v>207</v>
      </c>
      <c r="C878" s="10">
        <v>2.9802322387695313E-8</v>
      </c>
      <c r="D878" s="10" t="s">
        <v>204</v>
      </c>
    </row>
    <row r="879" spans="1:4" ht="18" customHeight="1">
      <c r="A879" s="10" t="s">
        <v>117</v>
      </c>
      <c r="B879" s="10" t="s">
        <v>208</v>
      </c>
      <c r="C879" s="10">
        <v>0</v>
      </c>
      <c r="D879" s="10" t="s">
        <v>204</v>
      </c>
    </row>
    <row r="880" spans="1:4" ht="18" customHeight="1">
      <c r="A880" s="10" t="s">
        <v>117</v>
      </c>
      <c r="B880" s="10" t="s">
        <v>209</v>
      </c>
      <c r="C880" s="10" t="s">
        <v>197</v>
      </c>
      <c r="D880" s="10" t="s">
        <v>198</v>
      </c>
    </row>
    <row r="881" spans="1:4" ht="18" customHeight="1">
      <c r="A881" s="10" t="s">
        <v>117</v>
      </c>
      <c r="B881" s="10" t="s">
        <v>210</v>
      </c>
      <c r="C881" s="10" t="s">
        <v>197</v>
      </c>
      <c r="D881" s="10" t="s">
        <v>198</v>
      </c>
    </row>
    <row r="882" spans="1:4" ht="18" customHeight="1">
      <c r="A882" s="10" t="s">
        <v>117</v>
      </c>
      <c r="B882" s="10" t="s">
        <v>211</v>
      </c>
      <c r="C882" s="10">
        <v>0</v>
      </c>
      <c r="D882" s="10" t="s">
        <v>201</v>
      </c>
    </row>
    <row r="883" spans="1:4" ht="18" customHeight="1">
      <c r="A883" s="10" t="s">
        <v>117</v>
      </c>
      <c r="B883" s="10" t="s">
        <v>212</v>
      </c>
      <c r="C883" s="10">
        <v>0</v>
      </c>
      <c r="D883" s="10" t="s">
        <v>201</v>
      </c>
    </row>
    <row r="884" spans="1:4" ht="18" customHeight="1">
      <c r="A884" s="10" t="s">
        <v>20</v>
      </c>
      <c r="B884" s="10" t="s">
        <v>192</v>
      </c>
      <c r="C884" s="10">
        <v>5436428.7938038176</v>
      </c>
      <c r="D884" s="10" t="s">
        <v>193</v>
      </c>
    </row>
    <row r="885" spans="1:4" ht="18" customHeight="1">
      <c r="A885" s="10" t="s">
        <v>20</v>
      </c>
      <c r="B885" s="10" t="s">
        <v>194</v>
      </c>
      <c r="C885" s="10">
        <v>5436428.7938038176</v>
      </c>
      <c r="D885" s="10" t="s">
        <v>193</v>
      </c>
    </row>
    <row r="886" spans="1:4" ht="18" customHeight="1">
      <c r="A886" s="10" t="s">
        <v>20</v>
      </c>
      <c r="B886" s="10" t="s">
        <v>195</v>
      </c>
      <c r="C886" s="10">
        <v>0</v>
      </c>
      <c r="D886" s="10" t="s">
        <v>193</v>
      </c>
    </row>
    <row r="887" spans="1:4" ht="18" customHeight="1">
      <c r="A887" s="10" t="s">
        <v>20</v>
      </c>
      <c r="B887" s="10" t="s">
        <v>196</v>
      </c>
      <c r="C887" s="10" t="s">
        <v>197</v>
      </c>
      <c r="D887" s="10" t="s">
        <v>198</v>
      </c>
    </row>
    <row r="888" spans="1:4" ht="18" customHeight="1">
      <c r="A888" s="10" t="s">
        <v>20</v>
      </c>
      <c r="B888" s="10" t="s">
        <v>5</v>
      </c>
      <c r="C888" s="10">
        <v>5436428.7938038176</v>
      </c>
      <c r="D888" s="10" t="s">
        <v>193</v>
      </c>
    </row>
    <row r="889" spans="1:4" ht="18" customHeight="1">
      <c r="A889" s="10" t="s">
        <v>20</v>
      </c>
      <c r="B889" s="10" t="s">
        <v>199</v>
      </c>
      <c r="C889" s="10">
        <v>1</v>
      </c>
      <c r="D889" s="10" t="s">
        <v>200</v>
      </c>
    </row>
    <row r="890" spans="1:4" ht="18" customHeight="1">
      <c r="A890" s="10" t="s">
        <v>20</v>
      </c>
      <c r="B890" s="10" t="s">
        <v>8</v>
      </c>
      <c r="C890" s="10">
        <v>393</v>
      </c>
      <c r="D890" s="10" t="s">
        <v>201</v>
      </c>
    </row>
    <row r="891" spans="1:4" ht="18" customHeight="1">
      <c r="A891" s="10" t="s">
        <v>20</v>
      </c>
      <c r="B891" s="10" t="s">
        <v>9</v>
      </c>
      <c r="C891" s="10">
        <v>393</v>
      </c>
      <c r="D891" s="10" t="s">
        <v>201</v>
      </c>
    </row>
    <row r="892" spans="1:4" ht="18" customHeight="1">
      <c r="A892" s="10" t="s">
        <v>20</v>
      </c>
      <c r="B892" s="10" t="s">
        <v>202</v>
      </c>
      <c r="C892" s="10">
        <v>0</v>
      </c>
      <c r="D892" s="10" t="s">
        <v>201</v>
      </c>
    </row>
    <row r="893" spans="1:4" ht="18" customHeight="1">
      <c r="A893" s="10" t="s">
        <v>20</v>
      </c>
      <c r="B893" s="10" t="s">
        <v>203</v>
      </c>
      <c r="C893" s="10">
        <v>4734727053.1209135</v>
      </c>
      <c r="D893" s="10" t="s">
        <v>204</v>
      </c>
    </row>
    <row r="894" spans="1:4" ht="18" customHeight="1">
      <c r="A894" s="10" t="s">
        <v>20</v>
      </c>
      <c r="B894" s="10" t="s">
        <v>205</v>
      </c>
      <c r="C894" s="10">
        <v>4734727053.1209145</v>
      </c>
      <c r="D894" s="10" t="s">
        <v>204</v>
      </c>
    </row>
    <row r="895" spans="1:4" ht="18" customHeight="1">
      <c r="A895" s="10" t="s">
        <v>20</v>
      </c>
      <c r="B895" s="10" t="s">
        <v>206</v>
      </c>
      <c r="C895" s="10">
        <v>4734727053.1209135</v>
      </c>
      <c r="D895" s="10" t="s">
        <v>204</v>
      </c>
    </row>
    <row r="896" spans="1:4" ht="18" customHeight="1">
      <c r="A896" s="10" t="s">
        <v>20</v>
      </c>
      <c r="B896" s="10" t="s">
        <v>207</v>
      </c>
      <c r="C896" s="10">
        <v>9.5367431640625E-7</v>
      </c>
      <c r="D896" s="10" t="s">
        <v>204</v>
      </c>
    </row>
    <row r="897" spans="1:4" ht="18" customHeight="1">
      <c r="A897" s="10" t="s">
        <v>20</v>
      </c>
      <c r="B897" s="10" t="s">
        <v>208</v>
      </c>
      <c r="C897" s="10">
        <v>0</v>
      </c>
      <c r="D897" s="10" t="s">
        <v>204</v>
      </c>
    </row>
    <row r="898" spans="1:4" ht="18" customHeight="1">
      <c r="A898" s="10" t="s">
        <v>20</v>
      </c>
      <c r="B898" s="10" t="s">
        <v>209</v>
      </c>
      <c r="C898" s="10" t="s">
        <v>197</v>
      </c>
      <c r="D898" s="10" t="s">
        <v>198</v>
      </c>
    </row>
    <row r="899" spans="1:4" ht="18" customHeight="1">
      <c r="A899" s="10" t="s">
        <v>20</v>
      </c>
      <c r="B899" s="10" t="s">
        <v>210</v>
      </c>
      <c r="C899" s="10" t="s">
        <v>197</v>
      </c>
      <c r="D899" s="10" t="s">
        <v>198</v>
      </c>
    </row>
    <row r="900" spans="1:4" ht="18" customHeight="1">
      <c r="A900" s="10" t="s">
        <v>20</v>
      </c>
      <c r="B900" s="10" t="s">
        <v>211</v>
      </c>
      <c r="C900" s="10">
        <v>0</v>
      </c>
      <c r="D900" s="10" t="s">
        <v>201</v>
      </c>
    </row>
    <row r="901" spans="1:4" ht="18" customHeight="1">
      <c r="A901" s="10" t="s">
        <v>20</v>
      </c>
      <c r="B901" s="10" t="s">
        <v>212</v>
      </c>
      <c r="C901" s="10">
        <v>0</v>
      </c>
      <c r="D901" s="10" t="s">
        <v>201</v>
      </c>
    </row>
    <row r="902" spans="1:4" ht="18" customHeight="1">
      <c r="A902" s="10" t="s">
        <v>129</v>
      </c>
      <c r="B902" s="10" t="s">
        <v>192</v>
      </c>
      <c r="C902" s="10">
        <v>147100.3417814472</v>
      </c>
      <c r="D902" s="10" t="s">
        <v>193</v>
      </c>
    </row>
    <row r="903" spans="1:4" ht="18" customHeight="1">
      <c r="A903" s="10" t="s">
        <v>129</v>
      </c>
      <c r="B903" s="10" t="s">
        <v>194</v>
      </c>
      <c r="C903" s="10">
        <v>147100.3417814472</v>
      </c>
      <c r="D903" s="10" t="s">
        <v>193</v>
      </c>
    </row>
    <row r="904" spans="1:4" ht="18" customHeight="1">
      <c r="A904" s="10" t="s">
        <v>129</v>
      </c>
      <c r="B904" s="10" t="s">
        <v>195</v>
      </c>
      <c r="C904" s="10">
        <v>0</v>
      </c>
      <c r="D904" s="10" t="s">
        <v>193</v>
      </c>
    </row>
    <row r="905" spans="1:4" ht="18" customHeight="1">
      <c r="A905" s="10" t="s">
        <v>129</v>
      </c>
      <c r="B905" s="10" t="s">
        <v>196</v>
      </c>
      <c r="C905" s="10" t="s">
        <v>197</v>
      </c>
      <c r="D905" s="10" t="s">
        <v>198</v>
      </c>
    </row>
    <row r="906" spans="1:4" ht="18" customHeight="1">
      <c r="A906" s="10" t="s">
        <v>129</v>
      </c>
      <c r="B906" s="10" t="s">
        <v>5</v>
      </c>
      <c r="C906" s="10">
        <v>147100.3417814472</v>
      </c>
      <c r="D906" s="10" t="s">
        <v>193</v>
      </c>
    </row>
    <row r="907" spans="1:4" ht="18" customHeight="1">
      <c r="A907" s="10" t="s">
        <v>129</v>
      </c>
      <c r="B907" s="10" t="s">
        <v>199</v>
      </c>
      <c r="C907" s="10">
        <v>1</v>
      </c>
      <c r="D907" s="10" t="s">
        <v>200</v>
      </c>
    </row>
    <row r="908" spans="1:4" ht="18" customHeight="1">
      <c r="A908" s="10" t="s">
        <v>129</v>
      </c>
      <c r="B908" s="10" t="s">
        <v>8</v>
      </c>
      <c r="C908" s="10">
        <v>193</v>
      </c>
      <c r="D908" s="10" t="s">
        <v>201</v>
      </c>
    </row>
    <row r="909" spans="1:4" ht="18" customHeight="1">
      <c r="A909" s="10" t="s">
        <v>129</v>
      </c>
      <c r="B909" s="10" t="s">
        <v>9</v>
      </c>
      <c r="C909" s="10">
        <v>193</v>
      </c>
      <c r="D909" s="10" t="s">
        <v>201</v>
      </c>
    </row>
    <row r="910" spans="1:4" ht="18" customHeight="1">
      <c r="A910" s="10" t="s">
        <v>129</v>
      </c>
      <c r="B910" s="10" t="s">
        <v>202</v>
      </c>
      <c r="C910" s="10">
        <v>0</v>
      </c>
      <c r="D910" s="10" t="s">
        <v>201</v>
      </c>
    </row>
    <row r="911" spans="1:4" ht="18" customHeight="1">
      <c r="A911" s="10" t="s">
        <v>129</v>
      </c>
      <c r="B911" s="10" t="s">
        <v>203</v>
      </c>
      <c r="C911" s="10">
        <v>114071139.38229904</v>
      </c>
      <c r="D911" s="10" t="s">
        <v>204</v>
      </c>
    </row>
    <row r="912" spans="1:4" ht="18" customHeight="1">
      <c r="A912" s="10" t="s">
        <v>129</v>
      </c>
      <c r="B912" s="10" t="s">
        <v>205</v>
      </c>
      <c r="C912" s="10">
        <v>114071139.38229902</v>
      </c>
      <c r="D912" s="10" t="s">
        <v>204</v>
      </c>
    </row>
    <row r="913" spans="1:4" ht="18" customHeight="1">
      <c r="A913" s="10" t="s">
        <v>129</v>
      </c>
      <c r="B913" s="10" t="s">
        <v>206</v>
      </c>
      <c r="C913" s="10">
        <v>114071139.38229904</v>
      </c>
      <c r="D913" s="10" t="s">
        <v>204</v>
      </c>
    </row>
    <row r="914" spans="1:4" ht="18" customHeight="1">
      <c r="A914" s="10" t="s">
        <v>129</v>
      </c>
      <c r="B914" s="10" t="s">
        <v>207</v>
      </c>
      <c r="C914" s="10">
        <v>-1.4901161193847656E-8</v>
      </c>
      <c r="D914" s="10" t="s">
        <v>204</v>
      </c>
    </row>
    <row r="915" spans="1:4" ht="18" customHeight="1">
      <c r="A915" s="10" t="s">
        <v>129</v>
      </c>
      <c r="B915" s="10" t="s">
        <v>208</v>
      </c>
      <c r="C915" s="10">
        <v>0</v>
      </c>
      <c r="D915" s="10" t="s">
        <v>204</v>
      </c>
    </row>
    <row r="916" spans="1:4" ht="18" customHeight="1">
      <c r="A916" s="10" t="s">
        <v>129</v>
      </c>
      <c r="B916" s="10" t="s">
        <v>209</v>
      </c>
      <c r="C916" s="10" t="s">
        <v>197</v>
      </c>
      <c r="D916" s="10" t="s">
        <v>198</v>
      </c>
    </row>
    <row r="917" spans="1:4" ht="18" customHeight="1">
      <c r="A917" s="10" t="s">
        <v>129</v>
      </c>
      <c r="B917" s="10" t="s">
        <v>210</v>
      </c>
      <c r="C917" s="10" t="s">
        <v>197</v>
      </c>
      <c r="D917" s="10" t="s">
        <v>198</v>
      </c>
    </row>
    <row r="918" spans="1:4" ht="18" customHeight="1">
      <c r="A918" s="10" t="s">
        <v>129</v>
      </c>
      <c r="B918" s="10" t="s">
        <v>211</v>
      </c>
      <c r="C918" s="10">
        <v>0</v>
      </c>
      <c r="D918" s="10" t="s">
        <v>201</v>
      </c>
    </row>
    <row r="919" spans="1:4" ht="18" customHeight="1">
      <c r="A919" s="10" t="s">
        <v>129</v>
      </c>
      <c r="B919" s="10" t="s">
        <v>212</v>
      </c>
      <c r="C919" s="10">
        <v>0</v>
      </c>
      <c r="D919" s="10" t="s">
        <v>201</v>
      </c>
    </row>
    <row r="920" spans="1:4" ht="18" customHeight="1">
      <c r="A920" s="10" t="s">
        <v>22</v>
      </c>
      <c r="B920" s="10" t="s">
        <v>192</v>
      </c>
      <c r="C920" s="10">
        <v>6697725.785375867</v>
      </c>
      <c r="D920" s="10" t="s">
        <v>193</v>
      </c>
    </row>
    <row r="921" spans="1:4" ht="18" customHeight="1">
      <c r="A921" s="10" t="s">
        <v>22</v>
      </c>
      <c r="B921" s="10" t="s">
        <v>194</v>
      </c>
      <c r="C921" s="10">
        <v>6697725.785375867</v>
      </c>
      <c r="D921" s="10" t="s">
        <v>193</v>
      </c>
    </row>
    <row r="922" spans="1:4" ht="18" customHeight="1">
      <c r="A922" s="10" t="s">
        <v>22</v>
      </c>
      <c r="B922" s="10" t="s">
        <v>195</v>
      </c>
      <c r="C922" s="10">
        <v>0</v>
      </c>
      <c r="D922" s="10" t="s">
        <v>193</v>
      </c>
    </row>
    <row r="923" spans="1:4" ht="18" customHeight="1">
      <c r="A923" s="10" t="s">
        <v>22</v>
      </c>
      <c r="B923" s="10" t="s">
        <v>196</v>
      </c>
      <c r="C923" s="10" t="s">
        <v>197</v>
      </c>
      <c r="D923" s="10" t="s">
        <v>198</v>
      </c>
    </row>
    <row r="924" spans="1:4" ht="18" customHeight="1">
      <c r="A924" s="10" t="s">
        <v>22</v>
      </c>
      <c r="B924" s="10" t="s">
        <v>5</v>
      </c>
      <c r="C924" s="10">
        <v>6697725.785375867</v>
      </c>
      <c r="D924" s="10" t="s">
        <v>193</v>
      </c>
    </row>
    <row r="925" spans="1:4" ht="18" customHeight="1">
      <c r="A925" s="10" t="s">
        <v>22</v>
      </c>
      <c r="B925" s="10" t="s">
        <v>199</v>
      </c>
      <c r="C925" s="10">
        <v>1</v>
      </c>
      <c r="D925" s="10" t="s">
        <v>200</v>
      </c>
    </row>
    <row r="926" spans="1:4" ht="18" customHeight="1">
      <c r="A926" s="10" t="s">
        <v>22</v>
      </c>
      <c r="B926" s="10" t="s">
        <v>8</v>
      </c>
      <c r="C926" s="10">
        <v>288</v>
      </c>
      <c r="D926" s="10" t="s">
        <v>201</v>
      </c>
    </row>
    <row r="927" spans="1:4" ht="18" customHeight="1">
      <c r="A927" s="10" t="s">
        <v>22</v>
      </c>
      <c r="B927" s="10" t="s">
        <v>9</v>
      </c>
      <c r="C927" s="10">
        <v>288</v>
      </c>
      <c r="D927" s="10" t="s">
        <v>201</v>
      </c>
    </row>
    <row r="928" spans="1:4" ht="18" customHeight="1">
      <c r="A928" s="10" t="s">
        <v>22</v>
      </c>
      <c r="B928" s="10" t="s">
        <v>202</v>
      </c>
      <c r="C928" s="10">
        <v>0</v>
      </c>
      <c r="D928" s="10" t="s">
        <v>201</v>
      </c>
    </row>
    <row r="929" spans="1:4" ht="18" customHeight="1">
      <c r="A929" s="10" t="s">
        <v>22</v>
      </c>
      <c r="B929" s="10" t="s">
        <v>203</v>
      </c>
      <c r="C929" s="10">
        <v>3525461853.6068969</v>
      </c>
      <c r="D929" s="10" t="s">
        <v>204</v>
      </c>
    </row>
    <row r="930" spans="1:4" ht="18" customHeight="1">
      <c r="A930" s="10" t="s">
        <v>22</v>
      </c>
      <c r="B930" s="10" t="s">
        <v>205</v>
      </c>
      <c r="C930" s="10">
        <v>3525461853.6068969</v>
      </c>
      <c r="D930" s="10" t="s">
        <v>204</v>
      </c>
    </row>
    <row r="931" spans="1:4" ht="18" customHeight="1">
      <c r="A931" s="10" t="s">
        <v>22</v>
      </c>
      <c r="B931" s="10" t="s">
        <v>206</v>
      </c>
      <c r="C931" s="10">
        <v>3525461853.6068964</v>
      </c>
      <c r="D931" s="10" t="s">
        <v>204</v>
      </c>
    </row>
    <row r="932" spans="1:4" ht="18" customHeight="1">
      <c r="A932" s="10" t="s">
        <v>22</v>
      </c>
      <c r="B932" s="10" t="s">
        <v>207</v>
      </c>
      <c r="C932" s="10">
        <v>0</v>
      </c>
      <c r="D932" s="10" t="s">
        <v>204</v>
      </c>
    </row>
    <row r="933" spans="1:4" ht="18" customHeight="1">
      <c r="A933" s="10" t="s">
        <v>22</v>
      </c>
      <c r="B933" s="10" t="s">
        <v>208</v>
      </c>
      <c r="C933" s="10">
        <v>-4.76837158203125E-7</v>
      </c>
      <c r="D933" s="10" t="s">
        <v>204</v>
      </c>
    </row>
    <row r="934" spans="1:4" ht="18" customHeight="1">
      <c r="A934" s="10" t="s">
        <v>22</v>
      </c>
      <c r="B934" s="10" t="s">
        <v>209</v>
      </c>
      <c r="C934" s="10" t="s">
        <v>197</v>
      </c>
      <c r="D934" s="10" t="s">
        <v>198</v>
      </c>
    </row>
    <row r="935" spans="1:4" ht="18" customHeight="1">
      <c r="A935" s="10" t="s">
        <v>22</v>
      </c>
      <c r="B935" s="10" t="s">
        <v>210</v>
      </c>
      <c r="C935" s="10" t="s">
        <v>197</v>
      </c>
      <c r="D935" s="10" t="s">
        <v>198</v>
      </c>
    </row>
    <row r="936" spans="1:4" ht="18" customHeight="1">
      <c r="A936" s="10" t="s">
        <v>22</v>
      </c>
      <c r="B936" s="10" t="s">
        <v>211</v>
      </c>
      <c r="C936" s="10">
        <v>0</v>
      </c>
      <c r="D936" s="10" t="s">
        <v>201</v>
      </c>
    </row>
    <row r="937" spans="1:4" ht="18" customHeight="1">
      <c r="A937" s="10" t="s">
        <v>22</v>
      </c>
      <c r="B937" s="10" t="s">
        <v>212</v>
      </c>
      <c r="C937" s="10">
        <v>0</v>
      </c>
      <c r="D937" s="10" t="s">
        <v>201</v>
      </c>
    </row>
    <row r="938" spans="1:4" ht="18" customHeight="1">
      <c r="A938" s="10" t="s">
        <v>37</v>
      </c>
      <c r="B938" s="10" t="s">
        <v>192</v>
      </c>
      <c r="C938" s="10">
        <v>2615825.056861822</v>
      </c>
      <c r="D938" s="10" t="s">
        <v>193</v>
      </c>
    </row>
    <row r="939" spans="1:4" ht="18" customHeight="1">
      <c r="A939" s="10" t="s">
        <v>37</v>
      </c>
      <c r="B939" s="10" t="s">
        <v>194</v>
      </c>
      <c r="C939" s="10">
        <v>2615825.0568618225</v>
      </c>
      <c r="D939" s="10" t="s">
        <v>193</v>
      </c>
    </row>
    <row r="940" spans="1:4" ht="18" customHeight="1">
      <c r="A940" s="10" t="s">
        <v>37</v>
      </c>
      <c r="B940" s="10" t="s">
        <v>195</v>
      </c>
      <c r="C940" s="10">
        <v>4.6566128730773926E-10</v>
      </c>
      <c r="D940" s="10" t="s">
        <v>193</v>
      </c>
    </row>
    <row r="941" spans="1:4" ht="18" customHeight="1">
      <c r="A941" s="10" t="s">
        <v>37</v>
      </c>
      <c r="B941" s="10" t="s">
        <v>196</v>
      </c>
      <c r="C941" s="10" t="s">
        <v>197</v>
      </c>
      <c r="D941" s="10" t="s">
        <v>198</v>
      </c>
    </row>
    <row r="942" spans="1:4" ht="18" customHeight="1">
      <c r="A942" s="10" t="s">
        <v>37</v>
      </c>
      <c r="B942" s="10" t="s">
        <v>5</v>
      </c>
      <c r="C942" s="10">
        <v>2615825.0568618225</v>
      </c>
      <c r="D942" s="10" t="s">
        <v>193</v>
      </c>
    </row>
    <row r="943" spans="1:4" ht="18" customHeight="1">
      <c r="A943" s="10" t="s">
        <v>37</v>
      </c>
      <c r="B943" s="10" t="s">
        <v>199</v>
      </c>
      <c r="C943" s="10">
        <v>1</v>
      </c>
      <c r="D943" s="10" t="s">
        <v>200</v>
      </c>
    </row>
    <row r="944" spans="1:4" ht="18" customHeight="1">
      <c r="A944" s="10" t="s">
        <v>37</v>
      </c>
      <c r="B944" s="10" t="s">
        <v>8</v>
      </c>
      <c r="C944" s="10">
        <v>214</v>
      </c>
      <c r="D944" s="10" t="s">
        <v>201</v>
      </c>
    </row>
    <row r="945" spans="1:4" ht="18" customHeight="1">
      <c r="A945" s="10" t="s">
        <v>37</v>
      </c>
      <c r="B945" s="10" t="s">
        <v>9</v>
      </c>
      <c r="C945" s="10">
        <v>214</v>
      </c>
      <c r="D945" s="10" t="s">
        <v>201</v>
      </c>
    </row>
    <row r="946" spans="1:4" ht="18" customHeight="1">
      <c r="A946" s="10" t="s">
        <v>37</v>
      </c>
      <c r="B946" s="10" t="s">
        <v>202</v>
      </c>
      <c r="C946" s="10">
        <v>0</v>
      </c>
      <c r="D946" s="10" t="s">
        <v>201</v>
      </c>
    </row>
    <row r="947" spans="1:4" ht="18" customHeight="1">
      <c r="A947" s="10" t="s">
        <v>37</v>
      </c>
      <c r="B947" s="10" t="s">
        <v>203</v>
      </c>
      <c r="C947" s="10">
        <v>1868893899.8381805</v>
      </c>
      <c r="D947" s="10" t="s">
        <v>204</v>
      </c>
    </row>
    <row r="948" spans="1:4" ht="18" customHeight="1">
      <c r="A948" s="10" t="s">
        <v>37</v>
      </c>
      <c r="B948" s="10" t="s">
        <v>205</v>
      </c>
      <c r="C948" s="10">
        <v>1868893899.8381801</v>
      </c>
      <c r="D948" s="10" t="s">
        <v>204</v>
      </c>
    </row>
    <row r="949" spans="1:4" ht="18" customHeight="1">
      <c r="A949" s="10" t="s">
        <v>37</v>
      </c>
      <c r="B949" s="10" t="s">
        <v>206</v>
      </c>
      <c r="C949" s="10">
        <v>1868893899.8381803</v>
      </c>
      <c r="D949" s="10" t="s">
        <v>204</v>
      </c>
    </row>
    <row r="950" spans="1:4" ht="18" customHeight="1">
      <c r="A950" s="10" t="s">
        <v>37</v>
      </c>
      <c r="B950" s="10" t="s">
        <v>207</v>
      </c>
      <c r="C950" s="10">
        <v>-4.76837158203125E-7</v>
      </c>
      <c r="D950" s="10" t="s">
        <v>204</v>
      </c>
    </row>
    <row r="951" spans="1:4" ht="18" customHeight="1">
      <c r="A951" s="10" t="s">
        <v>37</v>
      </c>
      <c r="B951" s="10" t="s">
        <v>208</v>
      </c>
      <c r="C951" s="10">
        <v>-2.384185791015625E-7</v>
      </c>
      <c r="D951" s="10" t="s">
        <v>204</v>
      </c>
    </row>
    <row r="952" spans="1:4" ht="18" customHeight="1">
      <c r="A952" s="10" t="s">
        <v>37</v>
      </c>
      <c r="B952" s="10" t="s">
        <v>209</v>
      </c>
      <c r="C952" s="10" t="s">
        <v>197</v>
      </c>
      <c r="D952" s="10" t="s">
        <v>198</v>
      </c>
    </row>
    <row r="953" spans="1:4" ht="18" customHeight="1">
      <c r="A953" s="10" t="s">
        <v>37</v>
      </c>
      <c r="B953" s="10" t="s">
        <v>210</v>
      </c>
      <c r="C953" s="10" t="s">
        <v>197</v>
      </c>
      <c r="D953" s="10" t="s">
        <v>198</v>
      </c>
    </row>
    <row r="954" spans="1:4" ht="18" customHeight="1">
      <c r="A954" s="10" t="s">
        <v>37</v>
      </c>
      <c r="B954" s="10" t="s">
        <v>211</v>
      </c>
      <c r="C954" s="10">
        <v>0</v>
      </c>
      <c r="D954" s="10" t="s">
        <v>201</v>
      </c>
    </row>
    <row r="955" spans="1:4" ht="18" customHeight="1">
      <c r="A955" s="10" t="s">
        <v>37</v>
      </c>
      <c r="B955" s="10" t="s">
        <v>212</v>
      </c>
      <c r="C955" s="10">
        <v>0</v>
      </c>
      <c r="D955" s="10" t="s">
        <v>201</v>
      </c>
    </row>
    <row r="956" spans="1:4" ht="18" customHeight="1">
      <c r="A956" s="10" t="s">
        <v>17</v>
      </c>
      <c r="B956" s="10" t="s">
        <v>192</v>
      </c>
      <c r="C956" s="10">
        <v>11101666.087778974</v>
      </c>
      <c r="D956" s="10" t="s">
        <v>193</v>
      </c>
    </row>
    <row r="957" spans="1:4" ht="18" customHeight="1">
      <c r="A957" s="10" t="s">
        <v>17</v>
      </c>
      <c r="B957" s="10" t="s">
        <v>194</v>
      </c>
      <c r="C957" s="10">
        <v>11101666.087778974</v>
      </c>
      <c r="D957" s="10" t="s">
        <v>193</v>
      </c>
    </row>
    <row r="958" spans="1:4" ht="18" customHeight="1">
      <c r="A958" s="10" t="s">
        <v>17</v>
      </c>
      <c r="B958" s="10" t="s">
        <v>195</v>
      </c>
      <c r="C958" s="10">
        <v>0</v>
      </c>
      <c r="D958" s="10" t="s">
        <v>193</v>
      </c>
    </row>
    <row r="959" spans="1:4" ht="18" customHeight="1">
      <c r="A959" s="10" t="s">
        <v>17</v>
      </c>
      <c r="B959" s="10" t="s">
        <v>196</v>
      </c>
      <c r="C959" s="10" t="s">
        <v>197</v>
      </c>
      <c r="D959" s="10" t="s">
        <v>198</v>
      </c>
    </row>
    <row r="960" spans="1:4" ht="18" customHeight="1">
      <c r="A960" s="10" t="s">
        <v>17</v>
      </c>
      <c r="B960" s="10" t="s">
        <v>5</v>
      </c>
      <c r="C960" s="10">
        <v>11101666.087778974</v>
      </c>
      <c r="D960" s="10" t="s">
        <v>193</v>
      </c>
    </row>
    <row r="961" spans="1:4" ht="18" customHeight="1">
      <c r="A961" s="10" t="s">
        <v>17</v>
      </c>
      <c r="B961" s="10" t="s">
        <v>199</v>
      </c>
      <c r="C961" s="10">
        <v>1</v>
      </c>
      <c r="D961" s="10" t="s">
        <v>200</v>
      </c>
    </row>
    <row r="962" spans="1:4" ht="18" customHeight="1">
      <c r="A962" s="10" t="s">
        <v>17</v>
      </c>
      <c r="B962" s="10" t="s">
        <v>8</v>
      </c>
      <c r="C962" s="10">
        <v>340</v>
      </c>
      <c r="D962" s="10" t="s">
        <v>201</v>
      </c>
    </row>
    <row r="963" spans="1:4" ht="18" customHeight="1">
      <c r="A963" s="10" t="s">
        <v>17</v>
      </c>
      <c r="B963" s="10" t="s">
        <v>9</v>
      </c>
      <c r="C963" s="10">
        <v>340</v>
      </c>
      <c r="D963" s="10" t="s">
        <v>201</v>
      </c>
    </row>
    <row r="964" spans="1:4" ht="18" customHeight="1">
      <c r="A964" s="10" t="s">
        <v>17</v>
      </c>
      <c r="B964" s="10" t="s">
        <v>202</v>
      </c>
      <c r="C964" s="10">
        <v>0</v>
      </c>
      <c r="D964" s="10" t="s">
        <v>201</v>
      </c>
    </row>
    <row r="965" spans="1:4" ht="18" customHeight="1">
      <c r="A965" s="10" t="s">
        <v>17</v>
      </c>
      <c r="B965" s="10" t="s">
        <v>203</v>
      </c>
      <c r="C965" s="10">
        <v>8070990713.0926199</v>
      </c>
      <c r="D965" s="10" t="s">
        <v>204</v>
      </c>
    </row>
    <row r="966" spans="1:4" ht="18" customHeight="1">
      <c r="A966" s="10" t="s">
        <v>17</v>
      </c>
      <c r="B966" s="10" t="s">
        <v>205</v>
      </c>
      <c r="C966" s="10">
        <v>8070990713.0926218</v>
      </c>
      <c r="D966" s="10" t="s">
        <v>204</v>
      </c>
    </row>
    <row r="967" spans="1:4" ht="18" customHeight="1">
      <c r="A967" s="10" t="s">
        <v>17</v>
      </c>
      <c r="B967" s="10" t="s">
        <v>206</v>
      </c>
      <c r="C967" s="10">
        <v>8070990713.0926199</v>
      </c>
      <c r="D967" s="10" t="s">
        <v>204</v>
      </c>
    </row>
    <row r="968" spans="1:4" ht="18" customHeight="1">
      <c r="A968" s="10" t="s">
        <v>17</v>
      </c>
      <c r="B968" s="10" t="s">
        <v>207</v>
      </c>
      <c r="C968" s="10">
        <v>1.9073486328125E-6</v>
      </c>
      <c r="D968" s="10" t="s">
        <v>204</v>
      </c>
    </row>
    <row r="969" spans="1:4" ht="18" customHeight="1">
      <c r="A969" s="10" t="s">
        <v>17</v>
      </c>
      <c r="B969" s="10" t="s">
        <v>208</v>
      </c>
      <c r="C969" s="10">
        <v>0</v>
      </c>
      <c r="D969" s="10" t="s">
        <v>204</v>
      </c>
    </row>
    <row r="970" spans="1:4" ht="18" customHeight="1">
      <c r="A970" s="10" t="s">
        <v>17</v>
      </c>
      <c r="B970" s="10" t="s">
        <v>209</v>
      </c>
      <c r="C970" s="10" t="s">
        <v>197</v>
      </c>
      <c r="D970" s="10" t="s">
        <v>198</v>
      </c>
    </row>
    <row r="971" spans="1:4" ht="18" customHeight="1">
      <c r="A971" s="10" t="s">
        <v>17</v>
      </c>
      <c r="B971" s="10" t="s">
        <v>210</v>
      </c>
      <c r="C971" s="10" t="s">
        <v>197</v>
      </c>
      <c r="D971" s="10" t="s">
        <v>198</v>
      </c>
    </row>
    <row r="972" spans="1:4" ht="18" customHeight="1">
      <c r="A972" s="10" t="s">
        <v>17</v>
      </c>
      <c r="B972" s="10" t="s">
        <v>211</v>
      </c>
      <c r="C972" s="10">
        <v>0</v>
      </c>
      <c r="D972" s="10" t="s">
        <v>201</v>
      </c>
    </row>
    <row r="973" spans="1:4" ht="18" customHeight="1">
      <c r="A973" s="10" t="s">
        <v>17</v>
      </c>
      <c r="B973" s="10" t="s">
        <v>212</v>
      </c>
      <c r="C973" s="10">
        <v>0</v>
      </c>
      <c r="D973" s="10" t="s">
        <v>201</v>
      </c>
    </row>
    <row r="974" spans="1:4" ht="18" customHeight="1">
      <c r="A974" s="10" t="s">
        <v>61</v>
      </c>
      <c r="B974" s="10" t="s">
        <v>192</v>
      </c>
      <c r="C974" s="10">
        <v>1731971.9673227617</v>
      </c>
      <c r="D974" s="10" t="s">
        <v>193</v>
      </c>
    </row>
    <row r="975" spans="1:4" ht="18" customHeight="1">
      <c r="A975" s="10" t="s">
        <v>61</v>
      </c>
      <c r="B975" s="10" t="s">
        <v>194</v>
      </c>
      <c r="C975" s="10">
        <v>1731971.9673227614</v>
      </c>
      <c r="D975" s="10" t="s">
        <v>193</v>
      </c>
    </row>
    <row r="976" spans="1:4" ht="18" customHeight="1">
      <c r="A976" s="10" t="s">
        <v>61</v>
      </c>
      <c r="B976" s="10" t="s">
        <v>195</v>
      </c>
      <c r="C976" s="10">
        <v>-2.3283064365386963E-10</v>
      </c>
      <c r="D976" s="10" t="s">
        <v>193</v>
      </c>
    </row>
    <row r="977" spans="1:4" ht="18" customHeight="1">
      <c r="A977" s="10" t="s">
        <v>61</v>
      </c>
      <c r="B977" s="10" t="s">
        <v>196</v>
      </c>
      <c r="C977" s="10" t="s">
        <v>197</v>
      </c>
      <c r="D977" s="10" t="s">
        <v>198</v>
      </c>
    </row>
    <row r="978" spans="1:4" ht="18" customHeight="1">
      <c r="A978" s="10" t="s">
        <v>61</v>
      </c>
      <c r="B978" s="10" t="s">
        <v>5</v>
      </c>
      <c r="C978" s="10">
        <v>1731971.9673227614</v>
      </c>
      <c r="D978" s="10" t="s">
        <v>193</v>
      </c>
    </row>
    <row r="979" spans="1:4" ht="18" customHeight="1">
      <c r="A979" s="10" t="s">
        <v>61</v>
      </c>
      <c r="B979" s="10" t="s">
        <v>199</v>
      </c>
      <c r="C979" s="10">
        <v>1</v>
      </c>
      <c r="D979" s="10" t="s">
        <v>200</v>
      </c>
    </row>
    <row r="980" spans="1:4" ht="18" customHeight="1">
      <c r="A980" s="10" t="s">
        <v>61</v>
      </c>
      <c r="B980" s="10" t="s">
        <v>8</v>
      </c>
      <c r="C980" s="10">
        <v>219</v>
      </c>
      <c r="D980" s="10" t="s">
        <v>201</v>
      </c>
    </row>
    <row r="981" spans="1:4" ht="18" customHeight="1">
      <c r="A981" s="10" t="s">
        <v>61</v>
      </c>
      <c r="B981" s="10" t="s">
        <v>9</v>
      </c>
      <c r="C981" s="10">
        <v>219</v>
      </c>
      <c r="D981" s="10" t="s">
        <v>201</v>
      </c>
    </row>
    <row r="982" spans="1:4" ht="18" customHeight="1">
      <c r="A982" s="10" t="s">
        <v>61</v>
      </c>
      <c r="B982" s="10" t="s">
        <v>202</v>
      </c>
      <c r="C982" s="10">
        <v>0</v>
      </c>
      <c r="D982" s="10" t="s">
        <v>201</v>
      </c>
    </row>
    <row r="983" spans="1:4" ht="18" customHeight="1">
      <c r="A983" s="10" t="s">
        <v>61</v>
      </c>
      <c r="B983" s="10" t="s">
        <v>203</v>
      </c>
      <c r="C983" s="10">
        <v>990198790.87030256</v>
      </c>
      <c r="D983" s="10" t="s">
        <v>204</v>
      </c>
    </row>
    <row r="984" spans="1:4" ht="18" customHeight="1">
      <c r="A984" s="10" t="s">
        <v>61</v>
      </c>
      <c r="B984" s="10" t="s">
        <v>205</v>
      </c>
      <c r="C984" s="10">
        <v>990198790.87030244</v>
      </c>
      <c r="D984" s="10" t="s">
        <v>204</v>
      </c>
    </row>
    <row r="985" spans="1:4" ht="18" customHeight="1">
      <c r="A985" s="10" t="s">
        <v>61</v>
      </c>
      <c r="B985" s="10" t="s">
        <v>206</v>
      </c>
      <c r="C985" s="10">
        <v>990198790.87030268</v>
      </c>
      <c r="D985" s="10" t="s">
        <v>204</v>
      </c>
    </row>
    <row r="986" spans="1:4" ht="18" customHeight="1">
      <c r="A986" s="10" t="s">
        <v>61</v>
      </c>
      <c r="B986" s="10" t="s">
        <v>207</v>
      </c>
      <c r="C986" s="10">
        <v>-1.1920928955078125E-7</v>
      </c>
      <c r="D986" s="10" t="s">
        <v>204</v>
      </c>
    </row>
    <row r="987" spans="1:4" ht="18" customHeight="1">
      <c r="A987" s="10" t="s">
        <v>61</v>
      </c>
      <c r="B987" s="10" t="s">
        <v>208</v>
      </c>
      <c r="C987" s="10">
        <v>1.1920928955078125E-7</v>
      </c>
      <c r="D987" s="10" t="s">
        <v>204</v>
      </c>
    </row>
    <row r="988" spans="1:4" ht="18" customHeight="1">
      <c r="A988" s="10" t="s">
        <v>61</v>
      </c>
      <c r="B988" s="10" t="s">
        <v>209</v>
      </c>
      <c r="C988" s="10" t="s">
        <v>197</v>
      </c>
      <c r="D988" s="10" t="s">
        <v>198</v>
      </c>
    </row>
    <row r="989" spans="1:4" ht="18" customHeight="1">
      <c r="A989" s="10" t="s">
        <v>61</v>
      </c>
      <c r="B989" s="10" t="s">
        <v>210</v>
      </c>
      <c r="C989" s="10" t="s">
        <v>197</v>
      </c>
      <c r="D989" s="10" t="s">
        <v>198</v>
      </c>
    </row>
    <row r="990" spans="1:4" ht="18" customHeight="1">
      <c r="A990" s="10" t="s">
        <v>61</v>
      </c>
      <c r="B990" s="10" t="s">
        <v>211</v>
      </c>
      <c r="C990" s="10">
        <v>0</v>
      </c>
      <c r="D990" s="10" t="s">
        <v>201</v>
      </c>
    </row>
    <row r="991" spans="1:4" ht="18" customHeight="1">
      <c r="A991" s="10" t="s">
        <v>61</v>
      </c>
      <c r="B991" s="10" t="s">
        <v>212</v>
      </c>
      <c r="C991" s="10">
        <v>0</v>
      </c>
      <c r="D991" s="10" t="s">
        <v>201</v>
      </c>
    </row>
    <row r="992" spans="1:4" ht="18" customHeight="1">
      <c r="A992" s="10" t="s">
        <v>43</v>
      </c>
      <c r="B992" s="10" t="s">
        <v>192</v>
      </c>
      <c r="C992" s="10">
        <v>2883541.9537540907</v>
      </c>
      <c r="D992" s="10" t="s">
        <v>193</v>
      </c>
    </row>
    <row r="993" spans="1:4" ht="18" customHeight="1">
      <c r="A993" s="10" t="s">
        <v>43</v>
      </c>
      <c r="B993" s="10" t="s">
        <v>194</v>
      </c>
      <c r="C993" s="10">
        <v>2883541.9537540916</v>
      </c>
      <c r="D993" s="10" t="s">
        <v>193</v>
      </c>
    </row>
    <row r="994" spans="1:4" ht="18" customHeight="1">
      <c r="A994" s="10" t="s">
        <v>43</v>
      </c>
      <c r="B994" s="10" t="s">
        <v>195</v>
      </c>
      <c r="C994" s="10">
        <v>9.3132257461547852E-10</v>
      </c>
      <c r="D994" s="10" t="s">
        <v>193</v>
      </c>
    </row>
    <row r="995" spans="1:4" ht="18" customHeight="1">
      <c r="A995" s="10" t="s">
        <v>43</v>
      </c>
      <c r="B995" s="10" t="s">
        <v>196</v>
      </c>
      <c r="C995" s="10" t="s">
        <v>197</v>
      </c>
      <c r="D995" s="10" t="s">
        <v>198</v>
      </c>
    </row>
    <row r="996" spans="1:4" ht="18" customHeight="1">
      <c r="A996" s="10" t="s">
        <v>43</v>
      </c>
      <c r="B996" s="10" t="s">
        <v>5</v>
      </c>
      <c r="C996" s="10">
        <v>2883541.9537540916</v>
      </c>
      <c r="D996" s="10" t="s">
        <v>193</v>
      </c>
    </row>
    <row r="997" spans="1:4" ht="18" customHeight="1">
      <c r="A997" s="10" t="s">
        <v>43</v>
      </c>
      <c r="B997" s="10" t="s">
        <v>199</v>
      </c>
      <c r="C997" s="10">
        <v>1</v>
      </c>
      <c r="D997" s="10" t="s">
        <v>200</v>
      </c>
    </row>
    <row r="998" spans="1:4" ht="18" customHeight="1">
      <c r="A998" s="10" t="s">
        <v>43</v>
      </c>
      <c r="B998" s="10" t="s">
        <v>8</v>
      </c>
      <c r="C998" s="10">
        <v>142</v>
      </c>
      <c r="D998" s="10" t="s">
        <v>201</v>
      </c>
    </row>
    <row r="999" spans="1:4" ht="18" customHeight="1">
      <c r="A999" s="10" t="s">
        <v>43</v>
      </c>
      <c r="B999" s="10" t="s">
        <v>9</v>
      </c>
      <c r="C999" s="10">
        <v>142</v>
      </c>
      <c r="D999" s="10" t="s">
        <v>201</v>
      </c>
    </row>
    <row r="1000" spans="1:4" ht="18" customHeight="1">
      <c r="A1000" s="10" t="s">
        <v>43</v>
      </c>
      <c r="B1000" s="10" t="s">
        <v>202</v>
      </c>
      <c r="C1000" s="10">
        <v>0</v>
      </c>
      <c r="D1000" s="10" t="s">
        <v>201</v>
      </c>
    </row>
    <row r="1001" spans="1:4" ht="18" customHeight="1">
      <c r="A1001" s="10" t="s">
        <v>43</v>
      </c>
      <c r="B1001" s="10" t="s">
        <v>203</v>
      </c>
      <c r="C1001" s="10">
        <v>1678212214.8416104</v>
      </c>
      <c r="D1001" s="10" t="s">
        <v>204</v>
      </c>
    </row>
    <row r="1002" spans="1:4" ht="18" customHeight="1">
      <c r="A1002" s="10" t="s">
        <v>43</v>
      </c>
      <c r="B1002" s="10" t="s">
        <v>205</v>
      </c>
      <c r="C1002" s="10">
        <v>1678212214.8416104</v>
      </c>
      <c r="D1002" s="10" t="s">
        <v>204</v>
      </c>
    </row>
    <row r="1003" spans="1:4" ht="18" customHeight="1">
      <c r="A1003" s="10" t="s">
        <v>43</v>
      </c>
      <c r="B1003" s="10" t="s">
        <v>206</v>
      </c>
      <c r="C1003" s="10">
        <v>1678212214.8416104</v>
      </c>
      <c r="D1003" s="10" t="s">
        <v>204</v>
      </c>
    </row>
    <row r="1004" spans="1:4" ht="18" customHeight="1">
      <c r="A1004" s="10" t="s">
        <v>43</v>
      </c>
      <c r="B1004" s="10" t="s">
        <v>207</v>
      </c>
      <c r="C1004" s="10">
        <v>0</v>
      </c>
      <c r="D1004" s="10" t="s">
        <v>204</v>
      </c>
    </row>
    <row r="1005" spans="1:4" ht="18" customHeight="1">
      <c r="A1005" s="10" t="s">
        <v>43</v>
      </c>
      <c r="B1005" s="10" t="s">
        <v>208</v>
      </c>
      <c r="C1005" s="10">
        <v>0</v>
      </c>
      <c r="D1005" s="10" t="s">
        <v>204</v>
      </c>
    </row>
    <row r="1006" spans="1:4" ht="18" customHeight="1">
      <c r="A1006" s="10" t="s">
        <v>43</v>
      </c>
      <c r="B1006" s="10" t="s">
        <v>209</v>
      </c>
      <c r="C1006" s="10" t="s">
        <v>197</v>
      </c>
      <c r="D1006" s="10" t="s">
        <v>198</v>
      </c>
    </row>
    <row r="1007" spans="1:4" ht="18" customHeight="1">
      <c r="A1007" s="10" t="s">
        <v>43</v>
      </c>
      <c r="B1007" s="10" t="s">
        <v>210</v>
      </c>
      <c r="C1007" s="10" t="s">
        <v>197</v>
      </c>
      <c r="D1007" s="10" t="s">
        <v>198</v>
      </c>
    </row>
    <row r="1008" spans="1:4" ht="18" customHeight="1">
      <c r="A1008" s="10" t="s">
        <v>43</v>
      </c>
      <c r="B1008" s="10" t="s">
        <v>211</v>
      </c>
      <c r="C1008" s="10">
        <v>0</v>
      </c>
      <c r="D1008" s="10" t="s">
        <v>201</v>
      </c>
    </row>
    <row r="1009" spans="1:4" ht="18" customHeight="1">
      <c r="A1009" s="10" t="s">
        <v>43</v>
      </c>
      <c r="B1009" s="10" t="s">
        <v>212</v>
      </c>
      <c r="C1009" s="10">
        <v>0</v>
      </c>
      <c r="D1009" s="10" t="s">
        <v>201</v>
      </c>
    </row>
    <row r="1010" spans="1:4" ht="18" customHeight="1">
      <c r="A1010" s="10" t="s">
        <v>149</v>
      </c>
      <c r="B1010" s="10" t="s">
        <v>192</v>
      </c>
      <c r="C1010" s="10">
        <v>44872.4444403339</v>
      </c>
      <c r="D1010" s="10" t="s">
        <v>193</v>
      </c>
    </row>
    <row r="1011" spans="1:4" ht="18" customHeight="1">
      <c r="A1011" s="10" t="s">
        <v>149</v>
      </c>
      <c r="B1011" s="10" t="s">
        <v>194</v>
      </c>
      <c r="C1011" s="10">
        <v>44872.4444403339</v>
      </c>
      <c r="D1011" s="10" t="s">
        <v>193</v>
      </c>
    </row>
    <row r="1012" spans="1:4" ht="18" customHeight="1">
      <c r="A1012" s="10" t="s">
        <v>149</v>
      </c>
      <c r="B1012" s="10" t="s">
        <v>195</v>
      </c>
      <c r="C1012" s="10">
        <v>0</v>
      </c>
      <c r="D1012" s="10" t="s">
        <v>193</v>
      </c>
    </row>
    <row r="1013" spans="1:4" ht="18" customHeight="1">
      <c r="A1013" s="10" t="s">
        <v>149</v>
      </c>
      <c r="B1013" s="10" t="s">
        <v>196</v>
      </c>
      <c r="C1013" s="10" t="s">
        <v>197</v>
      </c>
      <c r="D1013" s="10" t="s">
        <v>198</v>
      </c>
    </row>
    <row r="1014" spans="1:4" ht="18" customHeight="1">
      <c r="A1014" s="10" t="s">
        <v>149</v>
      </c>
      <c r="B1014" s="10" t="s">
        <v>5</v>
      </c>
      <c r="C1014" s="10">
        <v>44872.4444403339</v>
      </c>
      <c r="D1014" s="10" t="s">
        <v>193</v>
      </c>
    </row>
    <row r="1015" spans="1:4" ht="18" customHeight="1">
      <c r="A1015" s="10" t="s">
        <v>149</v>
      </c>
      <c r="B1015" s="10" t="s">
        <v>199</v>
      </c>
      <c r="C1015" s="10">
        <v>1</v>
      </c>
      <c r="D1015" s="10" t="s">
        <v>200</v>
      </c>
    </row>
    <row r="1016" spans="1:4" ht="18" customHeight="1">
      <c r="A1016" s="10" t="s">
        <v>149</v>
      </c>
      <c r="B1016" s="10" t="s">
        <v>8</v>
      </c>
      <c r="C1016" s="10">
        <v>452</v>
      </c>
      <c r="D1016" s="10" t="s">
        <v>201</v>
      </c>
    </row>
    <row r="1017" spans="1:4" ht="18" customHeight="1">
      <c r="A1017" s="10" t="s">
        <v>149</v>
      </c>
      <c r="B1017" s="10" t="s">
        <v>9</v>
      </c>
      <c r="C1017" s="10">
        <v>452</v>
      </c>
      <c r="D1017" s="10" t="s">
        <v>201</v>
      </c>
    </row>
    <row r="1018" spans="1:4" ht="18" customHeight="1">
      <c r="A1018" s="10" t="s">
        <v>149</v>
      </c>
      <c r="B1018" s="10" t="s">
        <v>202</v>
      </c>
      <c r="C1018" s="10">
        <v>0</v>
      </c>
      <c r="D1018" s="10" t="s">
        <v>201</v>
      </c>
    </row>
    <row r="1019" spans="1:4" ht="18" customHeight="1">
      <c r="A1019" s="10" t="s">
        <v>149</v>
      </c>
      <c r="B1019" s="10" t="s">
        <v>203</v>
      </c>
      <c r="C1019" s="10">
        <v>32609919.10129194</v>
      </c>
      <c r="D1019" s="10" t="s">
        <v>204</v>
      </c>
    </row>
    <row r="1020" spans="1:4" ht="18" customHeight="1">
      <c r="A1020" s="10" t="s">
        <v>149</v>
      </c>
      <c r="B1020" s="10" t="s">
        <v>205</v>
      </c>
      <c r="C1020" s="10">
        <v>32609919.101291947</v>
      </c>
      <c r="D1020" s="10" t="s">
        <v>204</v>
      </c>
    </row>
    <row r="1021" spans="1:4" ht="18" customHeight="1">
      <c r="A1021" s="10" t="s">
        <v>149</v>
      </c>
      <c r="B1021" s="10" t="s">
        <v>206</v>
      </c>
      <c r="C1021" s="10">
        <v>32609919.101291936</v>
      </c>
      <c r="D1021" s="10" t="s">
        <v>204</v>
      </c>
    </row>
    <row r="1022" spans="1:4" ht="18" customHeight="1">
      <c r="A1022" s="10" t="s">
        <v>149</v>
      </c>
      <c r="B1022" s="10" t="s">
        <v>207</v>
      </c>
      <c r="C1022" s="10">
        <v>7.4505805969238281E-9</v>
      </c>
      <c r="D1022" s="10" t="s">
        <v>204</v>
      </c>
    </row>
    <row r="1023" spans="1:4" ht="18" customHeight="1">
      <c r="A1023" s="10" t="s">
        <v>149</v>
      </c>
      <c r="B1023" s="10" t="s">
        <v>208</v>
      </c>
      <c r="C1023" s="10">
        <v>-3.7252902984619141E-9</v>
      </c>
      <c r="D1023" s="10" t="s">
        <v>204</v>
      </c>
    </row>
    <row r="1024" spans="1:4" ht="18" customHeight="1">
      <c r="A1024" s="10" t="s">
        <v>149</v>
      </c>
      <c r="B1024" s="10" t="s">
        <v>209</v>
      </c>
      <c r="C1024" s="10" t="s">
        <v>197</v>
      </c>
      <c r="D1024" s="10" t="s">
        <v>198</v>
      </c>
    </row>
    <row r="1025" spans="1:4" ht="18" customHeight="1">
      <c r="A1025" s="10" t="s">
        <v>149</v>
      </c>
      <c r="B1025" s="10" t="s">
        <v>210</v>
      </c>
      <c r="C1025" s="10" t="s">
        <v>197</v>
      </c>
      <c r="D1025" s="10" t="s">
        <v>198</v>
      </c>
    </row>
    <row r="1026" spans="1:4" ht="18" customHeight="1">
      <c r="A1026" s="10" t="s">
        <v>149</v>
      </c>
      <c r="B1026" s="10" t="s">
        <v>211</v>
      </c>
      <c r="C1026" s="10">
        <v>0</v>
      </c>
      <c r="D1026" s="10" t="s">
        <v>201</v>
      </c>
    </row>
    <row r="1027" spans="1:4" ht="18" customHeight="1">
      <c r="A1027" s="10" t="s">
        <v>149</v>
      </c>
      <c r="B1027" s="10" t="s">
        <v>212</v>
      </c>
      <c r="C1027" s="10">
        <v>0</v>
      </c>
      <c r="D1027" s="10" t="s">
        <v>201</v>
      </c>
    </row>
    <row r="1028" spans="1:4" ht="18" customHeight="1">
      <c r="A1028" s="10" t="s">
        <v>155</v>
      </c>
      <c r="B1028" s="10" t="s">
        <v>192</v>
      </c>
      <c r="C1028" s="10">
        <v>22842.5316976432</v>
      </c>
      <c r="D1028" s="10" t="s">
        <v>193</v>
      </c>
    </row>
    <row r="1029" spans="1:4" ht="18" customHeight="1">
      <c r="A1029" s="10" t="s">
        <v>155</v>
      </c>
      <c r="B1029" s="10" t="s">
        <v>194</v>
      </c>
      <c r="C1029" s="10">
        <v>22842.531697643197</v>
      </c>
      <c r="D1029" s="10" t="s">
        <v>193</v>
      </c>
    </row>
    <row r="1030" spans="1:4" ht="18" customHeight="1">
      <c r="A1030" s="10" t="s">
        <v>155</v>
      </c>
      <c r="B1030" s="10" t="s">
        <v>195</v>
      </c>
      <c r="C1030" s="10">
        <v>-3.637978807091713E-12</v>
      </c>
      <c r="D1030" s="10" t="s">
        <v>193</v>
      </c>
    </row>
    <row r="1031" spans="1:4" ht="18" customHeight="1">
      <c r="A1031" s="10" t="s">
        <v>155</v>
      </c>
      <c r="B1031" s="10" t="s">
        <v>196</v>
      </c>
      <c r="C1031" s="10" t="s">
        <v>197</v>
      </c>
      <c r="D1031" s="10" t="s">
        <v>198</v>
      </c>
    </row>
    <row r="1032" spans="1:4" ht="18" customHeight="1">
      <c r="A1032" s="10" t="s">
        <v>155</v>
      </c>
      <c r="B1032" s="10" t="s">
        <v>5</v>
      </c>
      <c r="C1032" s="10">
        <v>22842.531697643197</v>
      </c>
      <c r="D1032" s="10" t="s">
        <v>193</v>
      </c>
    </row>
    <row r="1033" spans="1:4" ht="18" customHeight="1">
      <c r="A1033" s="10" t="s">
        <v>155</v>
      </c>
      <c r="B1033" s="10" t="s">
        <v>199</v>
      </c>
      <c r="C1033" s="10">
        <v>1</v>
      </c>
      <c r="D1033" s="10" t="s">
        <v>200</v>
      </c>
    </row>
    <row r="1034" spans="1:4" ht="18" customHeight="1">
      <c r="A1034" s="10" t="s">
        <v>155</v>
      </c>
      <c r="B1034" s="10" t="s">
        <v>8</v>
      </c>
      <c r="C1034" s="10">
        <v>332</v>
      </c>
      <c r="D1034" s="10" t="s">
        <v>201</v>
      </c>
    </row>
    <row r="1035" spans="1:4" ht="18" customHeight="1">
      <c r="A1035" s="10" t="s">
        <v>155</v>
      </c>
      <c r="B1035" s="10" t="s">
        <v>9</v>
      </c>
      <c r="C1035" s="10">
        <v>332</v>
      </c>
      <c r="D1035" s="10" t="s">
        <v>201</v>
      </c>
    </row>
    <row r="1036" spans="1:4" ht="18" customHeight="1">
      <c r="A1036" s="10" t="s">
        <v>155</v>
      </c>
      <c r="B1036" s="10" t="s">
        <v>202</v>
      </c>
      <c r="C1036" s="10">
        <v>0</v>
      </c>
      <c r="D1036" s="10" t="s">
        <v>201</v>
      </c>
    </row>
    <row r="1037" spans="1:4" ht="18" customHeight="1">
      <c r="A1037" s="10" t="s">
        <v>155</v>
      </c>
      <c r="B1037" s="10" t="s">
        <v>203</v>
      </c>
      <c r="C1037" s="10">
        <v>27661702.092581749</v>
      </c>
      <c r="D1037" s="10" t="s">
        <v>204</v>
      </c>
    </row>
    <row r="1038" spans="1:4" ht="18" customHeight="1">
      <c r="A1038" s="10" t="s">
        <v>155</v>
      </c>
      <c r="B1038" s="10" t="s">
        <v>205</v>
      </c>
      <c r="C1038" s="10">
        <v>27661702.092581745</v>
      </c>
      <c r="D1038" s="10" t="s">
        <v>204</v>
      </c>
    </row>
    <row r="1039" spans="1:4" ht="18" customHeight="1">
      <c r="A1039" s="10" t="s">
        <v>155</v>
      </c>
      <c r="B1039" s="10" t="s">
        <v>206</v>
      </c>
      <c r="C1039" s="10">
        <v>27661702.092581742</v>
      </c>
      <c r="D1039" s="10" t="s">
        <v>204</v>
      </c>
    </row>
    <row r="1040" spans="1:4" ht="18" customHeight="1">
      <c r="A1040" s="10" t="s">
        <v>155</v>
      </c>
      <c r="B1040" s="10" t="s">
        <v>207</v>
      </c>
      <c r="C1040" s="10">
        <v>-3.7252902984619141E-9</v>
      </c>
      <c r="D1040" s="10" t="s">
        <v>204</v>
      </c>
    </row>
    <row r="1041" spans="1:4" ht="18" customHeight="1">
      <c r="A1041" s="10" t="s">
        <v>155</v>
      </c>
      <c r="B1041" s="10" t="s">
        <v>208</v>
      </c>
      <c r="C1041" s="10">
        <v>-7.4505805969238281E-9</v>
      </c>
      <c r="D1041" s="10" t="s">
        <v>204</v>
      </c>
    </row>
    <row r="1042" spans="1:4" ht="18" customHeight="1">
      <c r="A1042" s="10" t="s">
        <v>155</v>
      </c>
      <c r="B1042" s="10" t="s">
        <v>209</v>
      </c>
      <c r="C1042" s="10" t="s">
        <v>197</v>
      </c>
      <c r="D1042" s="10" t="s">
        <v>198</v>
      </c>
    </row>
    <row r="1043" spans="1:4" ht="18" customHeight="1">
      <c r="A1043" s="10" t="s">
        <v>155</v>
      </c>
      <c r="B1043" s="10" t="s">
        <v>210</v>
      </c>
      <c r="C1043" s="10" t="s">
        <v>197</v>
      </c>
      <c r="D1043" s="10" t="s">
        <v>198</v>
      </c>
    </row>
    <row r="1044" spans="1:4" ht="18" customHeight="1">
      <c r="A1044" s="10" t="s">
        <v>155</v>
      </c>
      <c r="B1044" s="10" t="s">
        <v>211</v>
      </c>
      <c r="C1044" s="10">
        <v>0</v>
      </c>
      <c r="D1044" s="10" t="s">
        <v>201</v>
      </c>
    </row>
    <row r="1045" spans="1:4" ht="18" customHeight="1">
      <c r="A1045" s="10" t="s">
        <v>155</v>
      </c>
      <c r="B1045" s="10" t="s">
        <v>212</v>
      </c>
      <c r="C1045" s="10">
        <v>0</v>
      </c>
      <c r="D1045" s="10" t="s">
        <v>201</v>
      </c>
    </row>
    <row r="1046" spans="1:4" ht="18" customHeight="1">
      <c r="A1046" s="10" t="s">
        <v>151</v>
      </c>
      <c r="B1046" s="10" t="s">
        <v>192</v>
      </c>
      <c r="C1046" s="10">
        <v>39281.024733703103</v>
      </c>
      <c r="D1046" s="10" t="s">
        <v>193</v>
      </c>
    </row>
    <row r="1047" spans="1:4" ht="18" customHeight="1">
      <c r="A1047" s="10" t="s">
        <v>151</v>
      </c>
      <c r="B1047" s="10" t="s">
        <v>194</v>
      </c>
      <c r="C1047" s="10">
        <v>39281.024733703096</v>
      </c>
      <c r="D1047" s="10" t="s">
        <v>193</v>
      </c>
    </row>
    <row r="1048" spans="1:4" ht="18" customHeight="1">
      <c r="A1048" s="10" t="s">
        <v>151</v>
      </c>
      <c r="B1048" s="10" t="s">
        <v>195</v>
      </c>
      <c r="C1048" s="10">
        <v>-7.2759576141834259E-12</v>
      </c>
      <c r="D1048" s="10" t="s">
        <v>193</v>
      </c>
    </row>
    <row r="1049" spans="1:4" ht="18" customHeight="1">
      <c r="A1049" s="10" t="s">
        <v>151</v>
      </c>
      <c r="B1049" s="10" t="s">
        <v>196</v>
      </c>
      <c r="C1049" s="10" t="s">
        <v>197</v>
      </c>
      <c r="D1049" s="10" t="s">
        <v>198</v>
      </c>
    </row>
    <row r="1050" spans="1:4" ht="18" customHeight="1">
      <c r="A1050" s="10" t="s">
        <v>151</v>
      </c>
      <c r="B1050" s="10" t="s">
        <v>5</v>
      </c>
      <c r="C1050" s="10">
        <v>39281.024733703096</v>
      </c>
      <c r="D1050" s="10" t="s">
        <v>193</v>
      </c>
    </row>
    <row r="1051" spans="1:4" ht="18" customHeight="1">
      <c r="A1051" s="10" t="s">
        <v>151</v>
      </c>
      <c r="B1051" s="10" t="s">
        <v>199</v>
      </c>
      <c r="C1051" s="10">
        <v>1</v>
      </c>
      <c r="D1051" s="10" t="s">
        <v>200</v>
      </c>
    </row>
    <row r="1052" spans="1:4" ht="18" customHeight="1">
      <c r="A1052" s="10" t="s">
        <v>151</v>
      </c>
      <c r="B1052" s="10" t="s">
        <v>8</v>
      </c>
      <c r="C1052" s="10">
        <v>382</v>
      </c>
      <c r="D1052" s="10" t="s">
        <v>201</v>
      </c>
    </row>
    <row r="1053" spans="1:4" ht="18" customHeight="1">
      <c r="A1053" s="10" t="s">
        <v>151</v>
      </c>
      <c r="B1053" s="10" t="s">
        <v>9</v>
      </c>
      <c r="C1053" s="10">
        <v>382</v>
      </c>
      <c r="D1053" s="10" t="s">
        <v>201</v>
      </c>
    </row>
    <row r="1054" spans="1:4" ht="18" customHeight="1">
      <c r="A1054" s="10" t="s">
        <v>151</v>
      </c>
      <c r="B1054" s="10" t="s">
        <v>202</v>
      </c>
      <c r="C1054" s="10">
        <v>0</v>
      </c>
      <c r="D1054" s="10" t="s">
        <v>201</v>
      </c>
    </row>
    <row r="1055" spans="1:4" ht="18" customHeight="1">
      <c r="A1055" s="10" t="s">
        <v>151</v>
      </c>
      <c r="B1055" s="10" t="s">
        <v>203</v>
      </c>
      <c r="C1055" s="10">
        <v>32154354.584904723</v>
      </c>
      <c r="D1055" s="10" t="s">
        <v>204</v>
      </c>
    </row>
    <row r="1056" spans="1:4" ht="18" customHeight="1">
      <c r="A1056" s="10" t="s">
        <v>151</v>
      </c>
      <c r="B1056" s="10" t="s">
        <v>205</v>
      </c>
      <c r="C1056" s="10">
        <v>32154354.584904719</v>
      </c>
      <c r="D1056" s="10" t="s">
        <v>204</v>
      </c>
    </row>
    <row r="1057" spans="1:4" ht="18" customHeight="1">
      <c r="A1057" s="10" t="s">
        <v>151</v>
      </c>
      <c r="B1057" s="10" t="s">
        <v>206</v>
      </c>
      <c r="C1057" s="10">
        <v>32154354.584904719</v>
      </c>
      <c r="D1057" s="10" t="s">
        <v>204</v>
      </c>
    </row>
    <row r="1058" spans="1:4" ht="18" customHeight="1">
      <c r="A1058" s="10" t="s">
        <v>151</v>
      </c>
      <c r="B1058" s="10" t="s">
        <v>207</v>
      </c>
      <c r="C1058" s="10">
        <v>-3.7252902984619141E-9</v>
      </c>
      <c r="D1058" s="10" t="s">
        <v>204</v>
      </c>
    </row>
    <row r="1059" spans="1:4" ht="18" customHeight="1">
      <c r="A1059" s="10" t="s">
        <v>151</v>
      </c>
      <c r="B1059" s="10" t="s">
        <v>208</v>
      </c>
      <c r="C1059" s="10">
        <v>-3.7252902984619141E-9</v>
      </c>
      <c r="D1059" s="10" t="s">
        <v>204</v>
      </c>
    </row>
    <row r="1060" spans="1:4" ht="18" customHeight="1">
      <c r="A1060" s="10" t="s">
        <v>151</v>
      </c>
      <c r="B1060" s="10" t="s">
        <v>209</v>
      </c>
      <c r="C1060" s="10" t="s">
        <v>197</v>
      </c>
      <c r="D1060" s="10" t="s">
        <v>198</v>
      </c>
    </row>
    <row r="1061" spans="1:4" ht="18" customHeight="1">
      <c r="A1061" s="10" t="s">
        <v>151</v>
      </c>
      <c r="B1061" s="10" t="s">
        <v>210</v>
      </c>
      <c r="C1061" s="10" t="s">
        <v>197</v>
      </c>
      <c r="D1061" s="10" t="s">
        <v>198</v>
      </c>
    </row>
    <row r="1062" spans="1:4" ht="18" customHeight="1">
      <c r="A1062" s="10" t="s">
        <v>151</v>
      </c>
      <c r="B1062" s="10" t="s">
        <v>211</v>
      </c>
      <c r="C1062" s="10">
        <v>0</v>
      </c>
      <c r="D1062" s="10" t="s">
        <v>201</v>
      </c>
    </row>
    <row r="1063" spans="1:4" ht="18" customHeight="1">
      <c r="A1063" s="10" t="s">
        <v>151</v>
      </c>
      <c r="B1063" s="10" t="s">
        <v>212</v>
      </c>
      <c r="C1063" s="10">
        <v>0</v>
      </c>
      <c r="D1063" s="10" t="s">
        <v>201</v>
      </c>
    </row>
    <row r="1064" spans="1:4" ht="18" customHeight="1">
      <c r="A1064" s="10" t="s">
        <v>157</v>
      </c>
      <c r="B1064" s="10" t="s">
        <v>192</v>
      </c>
      <c r="C1064" s="10">
        <v>32645.754357906102</v>
      </c>
      <c r="D1064" s="10" t="s">
        <v>193</v>
      </c>
    </row>
    <row r="1065" spans="1:4" ht="18" customHeight="1">
      <c r="A1065" s="10" t="s">
        <v>157</v>
      </c>
      <c r="B1065" s="10" t="s">
        <v>194</v>
      </c>
      <c r="C1065" s="10">
        <v>32645.754357906098</v>
      </c>
      <c r="D1065" s="10" t="s">
        <v>193</v>
      </c>
    </row>
    <row r="1066" spans="1:4" ht="18" customHeight="1">
      <c r="A1066" s="10" t="s">
        <v>157</v>
      </c>
      <c r="B1066" s="10" t="s">
        <v>195</v>
      </c>
      <c r="C1066" s="10">
        <v>-3.637978807091713E-12</v>
      </c>
      <c r="D1066" s="10" t="s">
        <v>193</v>
      </c>
    </row>
    <row r="1067" spans="1:4" ht="18" customHeight="1">
      <c r="A1067" s="10" t="s">
        <v>157</v>
      </c>
      <c r="B1067" s="10" t="s">
        <v>196</v>
      </c>
      <c r="C1067" s="10" t="s">
        <v>197</v>
      </c>
      <c r="D1067" s="10" t="s">
        <v>198</v>
      </c>
    </row>
    <row r="1068" spans="1:4" ht="18" customHeight="1">
      <c r="A1068" s="10" t="s">
        <v>157</v>
      </c>
      <c r="B1068" s="10" t="s">
        <v>5</v>
      </c>
      <c r="C1068" s="10">
        <v>32645.754357906098</v>
      </c>
      <c r="D1068" s="10" t="s">
        <v>193</v>
      </c>
    </row>
    <row r="1069" spans="1:4" ht="18" customHeight="1">
      <c r="A1069" s="10" t="s">
        <v>157</v>
      </c>
      <c r="B1069" s="10" t="s">
        <v>199</v>
      </c>
      <c r="C1069" s="10">
        <v>1</v>
      </c>
      <c r="D1069" s="10" t="s">
        <v>200</v>
      </c>
    </row>
    <row r="1070" spans="1:4" ht="18" customHeight="1">
      <c r="A1070" s="10" t="s">
        <v>157</v>
      </c>
      <c r="B1070" s="10" t="s">
        <v>8</v>
      </c>
      <c r="C1070" s="10">
        <v>246</v>
      </c>
      <c r="D1070" s="10" t="s">
        <v>201</v>
      </c>
    </row>
    <row r="1071" spans="1:4" ht="18" customHeight="1">
      <c r="A1071" s="10" t="s">
        <v>157</v>
      </c>
      <c r="B1071" s="10" t="s">
        <v>9</v>
      </c>
      <c r="C1071" s="10">
        <v>246</v>
      </c>
      <c r="D1071" s="10" t="s">
        <v>201</v>
      </c>
    </row>
    <row r="1072" spans="1:4" ht="18" customHeight="1">
      <c r="A1072" s="10" t="s">
        <v>157</v>
      </c>
      <c r="B1072" s="10" t="s">
        <v>202</v>
      </c>
      <c r="C1072" s="10">
        <v>0</v>
      </c>
      <c r="D1072" s="10" t="s">
        <v>201</v>
      </c>
    </row>
    <row r="1073" spans="1:4" ht="18" customHeight="1">
      <c r="A1073" s="10" t="s">
        <v>157</v>
      </c>
      <c r="B1073" s="10" t="s">
        <v>203</v>
      </c>
      <c r="C1073" s="10">
        <v>22122834.477210246</v>
      </c>
      <c r="D1073" s="10" t="s">
        <v>204</v>
      </c>
    </row>
    <row r="1074" spans="1:4" ht="18" customHeight="1">
      <c r="A1074" s="10" t="s">
        <v>157</v>
      </c>
      <c r="B1074" s="10" t="s">
        <v>205</v>
      </c>
      <c r="C1074" s="10">
        <v>22122834.477210242</v>
      </c>
      <c r="D1074" s="10" t="s">
        <v>204</v>
      </c>
    </row>
    <row r="1075" spans="1:4" ht="18" customHeight="1">
      <c r="A1075" s="10" t="s">
        <v>157</v>
      </c>
      <c r="B1075" s="10" t="s">
        <v>206</v>
      </c>
      <c r="C1075" s="10">
        <v>22122834.477210239</v>
      </c>
      <c r="D1075" s="10" t="s">
        <v>204</v>
      </c>
    </row>
    <row r="1076" spans="1:4" ht="18" customHeight="1">
      <c r="A1076" s="10" t="s">
        <v>157</v>
      </c>
      <c r="B1076" s="10" t="s">
        <v>207</v>
      </c>
      <c r="C1076" s="10">
        <v>-3.7252902984619141E-9</v>
      </c>
      <c r="D1076" s="10" t="s">
        <v>204</v>
      </c>
    </row>
    <row r="1077" spans="1:4" ht="18" customHeight="1">
      <c r="A1077" s="10" t="s">
        <v>157</v>
      </c>
      <c r="B1077" s="10" t="s">
        <v>208</v>
      </c>
      <c r="C1077" s="10">
        <v>-7.4505805969238281E-9</v>
      </c>
      <c r="D1077" s="10" t="s">
        <v>204</v>
      </c>
    </row>
    <row r="1078" spans="1:4" ht="18" customHeight="1">
      <c r="A1078" s="10" t="s">
        <v>157</v>
      </c>
      <c r="B1078" s="10" t="s">
        <v>209</v>
      </c>
      <c r="C1078" s="10" t="s">
        <v>197</v>
      </c>
      <c r="D1078" s="10" t="s">
        <v>198</v>
      </c>
    </row>
    <row r="1079" spans="1:4" ht="18" customHeight="1">
      <c r="A1079" s="10" t="s">
        <v>157</v>
      </c>
      <c r="B1079" s="10" t="s">
        <v>210</v>
      </c>
      <c r="C1079" s="10" t="s">
        <v>197</v>
      </c>
      <c r="D1079" s="10" t="s">
        <v>198</v>
      </c>
    </row>
    <row r="1080" spans="1:4" ht="18" customHeight="1">
      <c r="A1080" s="10" t="s">
        <v>157</v>
      </c>
      <c r="B1080" s="10" t="s">
        <v>211</v>
      </c>
      <c r="C1080" s="10">
        <v>0</v>
      </c>
      <c r="D1080" s="10" t="s">
        <v>201</v>
      </c>
    </row>
    <row r="1081" spans="1:4" ht="18" customHeight="1">
      <c r="A1081" s="10" t="s">
        <v>157</v>
      </c>
      <c r="B1081" s="10" t="s">
        <v>212</v>
      </c>
      <c r="C1081" s="10">
        <v>0</v>
      </c>
      <c r="D1081" s="10" t="s">
        <v>201</v>
      </c>
    </row>
    <row r="1082" spans="1:4" ht="18" customHeight="1">
      <c r="A1082" s="10" t="s">
        <v>159</v>
      </c>
      <c r="B1082" s="10" t="s">
        <v>192</v>
      </c>
      <c r="C1082" s="10">
        <v>30450.917424912201</v>
      </c>
      <c r="D1082" s="10" t="s">
        <v>193</v>
      </c>
    </row>
    <row r="1083" spans="1:4" ht="18" customHeight="1">
      <c r="A1083" s="10" t="s">
        <v>159</v>
      </c>
      <c r="B1083" s="10" t="s">
        <v>194</v>
      </c>
      <c r="C1083" s="10">
        <v>30450.917424912201</v>
      </c>
      <c r="D1083" s="10" t="s">
        <v>193</v>
      </c>
    </row>
    <row r="1084" spans="1:4" ht="18" customHeight="1">
      <c r="A1084" s="10" t="s">
        <v>159</v>
      </c>
      <c r="B1084" s="10" t="s">
        <v>195</v>
      </c>
      <c r="C1084" s="10">
        <v>0</v>
      </c>
      <c r="D1084" s="10" t="s">
        <v>193</v>
      </c>
    </row>
    <row r="1085" spans="1:4" ht="18" customHeight="1">
      <c r="A1085" s="10" t="s">
        <v>159</v>
      </c>
      <c r="B1085" s="10" t="s">
        <v>196</v>
      </c>
      <c r="C1085" s="10" t="s">
        <v>197</v>
      </c>
      <c r="D1085" s="10" t="s">
        <v>198</v>
      </c>
    </row>
    <row r="1086" spans="1:4" ht="18" customHeight="1">
      <c r="A1086" s="10" t="s">
        <v>159</v>
      </c>
      <c r="B1086" s="10" t="s">
        <v>5</v>
      </c>
      <c r="C1086" s="10">
        <v>30450.917424912201</v>
      </c>
      <c r="D1086" s="10" t="s">
        <v>193</v>
      </c>
    </row>
    <row r="1087" spans="1:4" ht="18" customHeight="1">
      <c r="A1087" s="10" t="s">
        <v>159</v>
      </c>
      <c r="B1087" s="10" t="s">
        <v>199</v>
      </c>
      <c r="C1087" s="10">
        <v>1</v>
      </c>
      <c r="D1087" s="10" t="s">
        <v>200</v>
      </c>
    </row>
    <row r="1088" spans="1:4" ht="18" customHeight="1">
      <c r="A1088" s="10" t="s">
        <v>159</v>
      </c>
      <c r="B1088" s="10" t="s">
        <v>8</v>
      </c>
      <c r="C1088" s="10">
        <v>245</v>
      </c>
      <c r="D1088" s="10" t="s">
        <v>201</v>
      </c>
    </row>
    <row r="1089" spans="1:4" ht="18" customHeight="1">
      <c r="A1089" s="10" t="s">
        <v>159</v>
      </c>
      <c r="B1089" s="10" t="s">
        <v>9</v>
      </c>
      <c r="C1089" s="10">
        <v>245</v>
      </c>
      <c r="D1089" s="10" t="s">
        <v>201</v>
      </c>
    </row>
    <row r="1090" spans="1:4" ht="18" customHeight="1">
      <c r="A1090" s="10" t="s">
        <v>159</v>
      </c>
      <c r="B1090" s="10" t="s">
        <v>202</v>
      </c>
      <c r="C1090" s="10">
        <v>0</v>
      </c>
      <c r="D1090" s="10" t="s">
        <v>201</v>
      </c>
    </row>
    <row r="1091" spans="1:4" ht="18" customHeight="1">
      <c r="A1091" s="10" t="s">
        <v>159</v>
      </c>
      <c r="B1091" s="10" t="s">
        <v>203</v>
      </c>
      <c r="C1091" s="10">
        <v>21615913.499733415</v>
      </c>
      <c r="D1091" s="10" t="s">
        <v>204</v>
      </c>
    </row>
    <row r="1092" spans="1:4" ht="18" customHeight="1">
      <c r="A1092" s="10" t="s">
        <v>159</v>
      </c>
      <c r="B1092" s="10" t="s">
        <v>205</v>
      </c>
      <c r="C1092" s="10">
        <v>21615913.499733411</v>
      </c>
      <c r="D1092" s="10" t="s">
        <v>204</v>
      </c>
    </row>
    <row r="1093" spans="1:4" ht="18" customHeight="1">
      <c r="A1093" s="10" t="s">
        <v>159</v>
      </c>
      <c r="B1093" s="10" t="s">
        <v>206</v>
      </c>
      <c r="C1093" s="10">
        <v>21615913.499733415</v>
      </c>
      <c r="D1093" s="10" t="s">
        <v>204</v>
      </c>
    </row>
    <row r="1094" spans="1:4" ht="18" customHeight="1">
      <c r="A1094" s="10" t="s">
        <v>159</v>
      </c>
      <c r="B1094" s="10" t="s">
        <v>207</v>
      </c>
      <c r="C1094" s="10">
        <v>-3.7252902984619141E-9</v>
      </c>
      <c r="D1094" s="10" t="s">
        <v>204</v>
      </c>
    </row>
    <row r="1095" spans="1:4" ht="18" customHeight="1">
      <c r="A1095" s="10" t="s">
        <v>159</v>
      </c>
      <c r="B1095" s="10" t="s">
        <v>208</v>
      </c>
      <c r="C1095" s="10">
        <v>0</v>
      </c>
      <c r="D1095" s="10" t="s">
        <v>204</v>
      </c>
    </row>
    <row r="1096" spans="1:4" ht="18" customHeight="1">
      <c r="A1096" s="10" t="s">
        <v>159</v>
      </c>
      <c r="B1096" s="10" t="s">
        <v>209</v>
      </c>
      <c r="C1096" s="10" t="s">
        <v>197</v>
      </c>
      <c r="D1096" s="10" t="s">
        <v>198</v>
      </c>
    </row>
    <row r="1097" spans="1:4" ht="18" customHeight="1">
      <c r="A1097" s="10" t="s">
        <v>159</v>
      </c>
      <c r="B1097" s="10" t="s">
        <v>210</v>
      </c>
      <c r="C1097" s="10" t="s">
        <v>197</v>
      </c>
      <c r="D1097" s="10" t="s">
        <v>198</v>
      </c>
    </row>
    <row r="1098" spans="1:4" ht="18" customHeight="1">
      <c r="A1098" s="10" t="s">
        <v>159</v>
      </c>
      <c r="B1098" s="10" t="s">
        <v>211</v>
      </c>
      <c r="C1098" s="10">
        <v>0</v>
      </c>
      <c r="D1098" s="10" t="s">
        <v>201</v>
      </c>
    </row>
    <row r="1099" spans="1:4" ht="18" customHeight="1">
      <c r="A1099" s="10" t="s">
        <v>159</v>
      </c>
      <c r="B1099" s="10" t="s">
        <v>212</v>
      </c>
      <c r="C1099" s="10">
        <v>0</v>
      </c>
      <c r="D1099" s="10" t="s">
        <v>201</v>
      </c>
    </row>
    <row r="1100" spans="1:4" ht="18" customHeight="1">
      <c r="A1100" s="10" t="s">
        <v>163</v>
      </c>
      <c r="B1100" s="10" t="s">
        <v>192</v>
      </c>
      <c r="C1100" s="10">
        <v>19839.072931287599</v>
      </c>
      <c r="D1100" s="10" t="s">
        <v>193</v>
      </c>
    </row>
    <row r="1101" spans="1:4" ht="18" customHeight="1">
      <c r="A1101" s="10" t="s">
        <v>163</v>
      </c>
      <c r="B1101" s="10" t="s">
        <v>194</v>
      </c>
      <c r="C1101" s="10">
        <v>19839.072931287603</v>
      </c>
      <c r="D1101" s="10" t="s">
        <v>193</v>
      </c>
    </row>
    <row r="1102" spans="1:4" ht="18" customHeight="1">
      <c r="A1102" s="10" t="s">
        <v>163</v>
      </c>
      <c r="B1102" s="10" t="s">
        <v>195</v>
      </c>
      <c r="C1102" s="10">
        <v>3.637978807091713E-12</v>
      </c>
      <c r="D1102" s="10" t="s">
        <v>193</v>
      </c>
    </row>
    <row r="1103" spans="1:4" ht="18" customHeight="1">
      <c r="A1103" s="10" t="s">
        <v>163</v>
      </c>
      <c r="B1103" s="10" t="s">
        <v>196</v>
      </c>
      <c r="C1103" s="10" t="s">
        <v>197</v>
      </c>
      <c r="D1103" s="10" t="s">
        <v>198</v>
      </c>
    </row>
    <row r="1104" spans="1:4" ht="18" customHeight="1">
      <c r="A1104" s="10" t="s">
        <v>163</v>
      </c>
      <c r="B1104" s="10" t="s">
        <v>5</v>
      </c>
      <c r="C1104" s="10">
        <v>19839.072931287603</v>
      </c>
      <c r="D1104" s="10" t="s">
        <v>193</v>
      </c>
    </row>
    <row r="1105" spans="1:4" ht="18" customHeight="1">
      <c r="A1105" s="10" t="s">
        <v>163</v>
      </c>
      <c r="B1105" s="10" t="s">
        <v>199</v>
      </c>
      <c r="C1105" s="10">
        <v>1</v>
      </c>
      <c r="D1105" s="10" t="s">
        <v>200</v>
      </c>
    </row>
    <row r="1106" spans="1:4" ht="18" customHeight="1">
      <c r="A1106" s="10" t="s">
        <v>163</v>
      </c>
      <c r="B1106" s="10" t="s">
        <v>8</v>
      </c>
      <c r="C1106" s="10">
        <v>411</v>
      </c>
      <c r="D1106" s="10" t="s">
        <v>201</v>
      </c>
    </row>
    <row r="1107" spans="1:4" ht="18" customHeight="1">
      <c r="A1107" s="10" t="s">
        <v>163</v>
      </c>
      <c r="B1107" s="10" t="s">
        <v>9</v>
      </c>
      <c r="C1107" s="10">
        <v>411</v>
      </c>
      <c r="D1107" s="10" t="s">
        <v>201</v>
      </c>
    </row>
    <row r="1108" spans="1:4" ht="18" customHeight="1">
      <c r="A1108" s="10" t="s">
        <v>163</v>
      </c>
      <c r="B1108" s="10" t="s">
        <v>202</v>
      </c>
      <c r="C1108" s="10">
        <v>0</v>
      </c>
      <c r="D1108" s="10" t="s">
        <v>201</v>
      </c>
    </row>
    <row r="1109" spans="1:4" ht="18" customHeight="1">
      <c r="A1109" s="10" t="s">
        <v>163</v>
      </c>
      <c r="B1109" s="10" t="s">
        <v>203</v>
      </c>
      <c r="C1109" s="10">
        <v>8269244.8003081745</v>
      </c>
      <c r="D1109" s="10" t="s">
        <v>204</v>
      </c>
    </row>
    <row r="1110" spans="1:4" ht="18" customHeight="1">
      <c r="A1110" s="10" t="s">
        <v>163</v>
      </c>
      <c r="B1110" s="10" t="s">
        <v>205</v>
      </c>
      <c r="C1110" s="10">
        <v>8269244.8003081745</v>
      </c>
      <c r="D1110" s="10" t="s">
        <v>204</v>
      </c>
    </row>
    <row r="1111" spans="1:4" ht="18" customHeight="1">
      <c r="A1111" s="10" t="s">
        <v>163</v>
      </c>
      <c r="B1111" s="10" t="s">
        <v>206</v>
      </c>
      <c r="C1111" s="10">
        <v>8269244.8003081763</v>
      </c>
      <c r="D1111" s="10" t="s">
        <v>204</v>
      </c>
    </row>
    <row r="1112" spans="1:4" ht="18" customHeight="1">
      <c r="A1112" s="10" t="s">
        <v>163</v>
      </c>
      <c r="B1112" s="10" t="s">
        <v>207</v>
      </c>
      <c r="C1112" s="10">
        <v>0</v>
      </c>
      <c r="D1112" s="10" t="s">
        <v>204</v>
      </c>
    </row>
    <row r="1113" spans="1:4" ht="18" customHeight="1">
      <c r="A1113" s="10" t="s">
        <v>163</v>
      </c>
      <c r="B1113" s="10" t="s">
        <v>208</v>
      </c>
      <c r="C1113" s="10">
        <v>1.862645149230957E-9</v>
      </c>
      <c r="D1113" s="10" t="s">
        <v>204</v>
      </c>
    </row>
    <row r="1114" spans="1:4" ht="18" customHeight="1">
      <c r="A1114" s="10" t="s">
        <v>163</v>
      </c>
      <c r="B1114" s="10" t="s">
        <v>209</v>
      </c>
      <c r="C1114" s="10" t="s">
        <v>197</v>
      </c>
      <c r="D1114" s="10" t="s">
        <v>198</v>
      </c>
    </row>
    <row r="1115" spans="1:4" ht="18" customHeight="1">
      <c r="A1115" s="10" t="s">
        <v>163</v>
      </c>
      <c r="B1115" s="10" t="s">
        <v>210</v>
      </c>
      <c r="C1115" s="10" t="s">
        <v>197</v>
      </c>
      <c r="D1115" s="10" t="s">
        <v>198</v>
      </c>
    </row>
    <row r="1116" spans="1:4" ht="18" customHeight="1">
      <c r="A1116" s="10" t="s">
        <v>163</v>
      </c>
      <c r="B1116" s="10" t="s">
        <v>211</v>
      </c>
      <c r="C1116" s="10">
        <v>0</v>
      </c>
      <c r="D1116" s="10" t="s">
        <v>201</v>
      </c>
    </row>
    <row r="1117" spans="1:4" ht="18" customHeight="1">
      <c r="A1117" s="10" t="s">
        <v>163</v>
      </c>
      <c r="B1117" s="10" t="s">
        <v>212</v>
      </c>
      <c r="C1117" s="10">
        <v>0</v>
      </c>
      <c r="D1117" s="10" t="s">
        <v>201</v>
      </c>
    </row>
    <row r="1118" spans="1:4" ht="18" customHeight="1">
      <c r="A1118" s="10" t="s">
        <v>161</v>
      </c>
      <c r="B1118" s="10" t="s">
        <v>192</v>
      </c>
      <c r="C1118" s="10">
        <v>44647.944981429304</v>
      </c>
      <c r="D1118" s="10" t="s">
        <v>193</v>
      </c>
    </row>
    <row r="1119" spans="1:4" ht="18" customHeight="1">
      <c r="A1119" s="10" t="s">
        <v>161</v>
      </c>
      <c r="B1119" s="10" t="s">
        <v>194</v>
      </c>
      <c r="C1119" s="10">
        <v>44647.944981429311</v>
      </c>
      <c r="D1119" s="10" t="s">
        <v>193</v>
      </c>
    </row>
    <row r="1120" spans="1:4" ht="18" customHeight="1">
      <c r="A1120" s="10" t="s">
        <v>161</v>
      </c>
      <c r="B1120" s="10" t="s">
        <v>195</v>
      </c>
      <c r="C1120" s="10">
        <v>7.2759576141834259E-12</v>
      </c>
      <c r="D1120" s="10" t="s">
        <v>193</v>
      </c>
    </row>
    <row r="1121" spans="1:4" ht="18" customHeight="1">
      <c r="A1121" s="10" t="s">
        <v>161</v>
      </c>
      <c r="B1121" s="10" t="s">
        <v>196</v>
      </c>
      <c r="C1121" s="10" t="s">
        <v>197</v>
      </c>
      <c r="D1121" s="10" t="s">
        <v>198</v>
      </c>
    </row>
    <row r="1122" spans="1:4" ht="18" customHeight="1">
      <c r="A1122" s="10" t="s">
        <v>161</v>
      </c>
      <c r="B1122" s="10" t="s">
        <v>5</v>
      </c>
      <c r="C1122" s="10">
        <v>44647.944981429311</v>
      </c>
      <c r="D1122" s="10" t="s">
        <v>193</v>
      </c>
    </row>
    <row r="1123" spans="1:4" ht="18" customHeight="1">
      <c r="A1123" s="10" t="s">
        <v>161</v>
      </c>
      <c r="B1123" s="10" t="s">
        <v>199</v>
      </c>
      <c r="C1123" s="10">
        <v>1</v>
      </c>
      <c r="D1123" s="10" t="s">
        <v>200</v>
      </c>
    </row>
    <row r="1124" spans="1:4" ht="18" customHeight="1">
      <c r="A1124" s="10" t="s">
        <v>161</v>
      </c>
      <c r="B1124" s="10" t="s">
        <v>8</v>
      </c>
      <c r="C1124" s="10">
        <v>410</v>
      </c>
      <c r="D1124" s="10" t="s">
        <v>201</v>
      </c>
    </row>
    <row r="1125" spans="1:4" ht="18" customHeight="1">
      <c r="A1125" s="10" t="s">
        <v>161</v>
      </c>
      <c r="B1125" s="10" t="s">
        <v>9</v>
      </c>
      <c r="C1125" s="10">
        <v>410</v>
      </c>
      <c r="D1125" s="10" t="s">
        <v>201</v>
      </c>
    </row>
    <row r="1126" spans="1:4" ht="18" customHeight="1">
      <c r="A1126" s="10" t="s">
        <v>161</v>
      </c>
      <c r="B1126" s="10" t="s">
        <v>202</v>
      </c>
      <c r="C1126" s="10">
        <v>0</v>
      </c>
      <c r="D1126" s="10" t="s">
        <v>201</v>
      </c>
    </row>
    <row r="1127" spans="1:4" ht="18" customHeight="1">
      <c r="A1127" s="10" t="s">
        <v>161</v>
      </c>
      <c r="B1127" s="10" t="s">
        <v>203</v>
      </c>
      <c r="C1127" s="10">
        <v>19198827.203371964</v>
      </c>
      <c r="D1127" s="10" t="s">
        <v>204</v>
      </c>
    </row>
    <row r="1128" spans="1:4" ht="18" customHeight="1">
      <c r="A1128" s="10" t="s">
        <v>161</v>
      </c>
      <c r="B1128" s="10" t="s">
        <v>205</v>
      </c>
      <c r="C1128" s="10">
        <v>19198827.203371964</v>
      </c>
      <c r="D1128" s="10" t="s">
        <v>204</v>
      </c>
    </row>
    <row r="1129" spans="1:4" ht="18" customHeight="1">
      <c r="A1129" s="10" t="s">
        <v>161</v>
      </c>
      <c r="B1129" s="10" t="s">
        <v>206</v>
      </c>
      <c r="C1129" s="10">
        <v>19198827.203371964</v>
      </c>
      <c r="D1129" s="10" t="s">
        <v>204</v>
      </c>
    </row>
    <row r="1130" spans="1:4" ht="18" customHeight="1">
      <c r="A1130" s="10" t="s">
        <v>161</v>
      </c>
      <c r="B1130" s="10" t="s">
        <v>207</v>
      </c>
      <c r="C1130" s="10">
        <v>0</v>
      </c>
      <c r="D1130" s="10" t="s">
        <v>204</v>
      </c>
    </row>
    <row r="1131" spans="1:4" ht="18" customHeight="1">
      <c r="A1131" s="10" t="s">
        <v>161</v>
      </c>
      <c r="B1131" s="10" t="s">
        <v>208</v>
      </c>
      <c r="C1131" s="10">
        <v>0</v>
      </c>
      <c r="D1131" s="10" t="s">
        <v>204</v>
      </c>
    </row>
    <row r="1132" spans="1:4" ht="18" customHeight="1">
      <c r="A1132" s="10" t="s">
        <v>161</v>
      </c>
      <c r="B1132" s="10" t="s">
        <v>209</v>
      </c>
      <c r="C1132" s="10" t="s">
        <v>197</v>
      </c>
      <c r="D1132" s="10" t="s">
        <v>198</v>
      </c>
    </row>
    <row r="1133" spans="1:4" ht="18" customHeight="1">
      <c r="A1133" s="10" t="s">
        <v>161</v>
      </c>
      <c r="B1133" s="10" t="s">
        <v>210</v>
      </c>
      <c r="C1133" s="10" t="s">
        <v>197</v>
      </c>
      <c r="D1133" s="10" t="s">
        <v>198</v>
      </c>
    </row>
    <row r="1134" spans="1:4" ht="18" customHeight="1">
      <c r="A1134" s="10" t="s">
        <v>161</v>
      </c>
      <c r="B1134" s="10" t="s">
        <v>211</v>
      </c>
      <c r="C1134" s="10">
        <v>0</v>
      </c>
      <c r="D1134" s="10" t="s">
        <v>201</v>
      </c>
    </row>
    <row r="1135" spans="1:4" ht="18" customHeight="1">
      <c r="A1135" s="10" t="s">
        <v>161</v>
      </c>
      <c r="B1135" s="10" t="s">
        <v>212</v>
      </c>
      <c r="C1135" s="10">
        <v>0</v>
      </c>
      <c r="D1135" s="10" t="s">
        <v>201</v>
      </c>
    </row>
    <row r="1136" spans="1:4" ht="18" customHeight="1">
      <c r="A1136" s="10" t="s">
        <v>73</v>
      </c>
      <c r="B1136" s="10" t="s">
        <v>192</v>
      </c>
      <c r="C1136" s="10">
        <v>431127.77716673305</v>
      </c>
      <c r="D1136" s="10" t="s">
        <v>193</v>
      </c>
    </row>
    <row r="1137" spans="1:4" ht="18" customHeight="1">
      <c r="A1137" s="10" t="s">
        <v>73</v>
      </c>
      <c r="B1137" s="10" t="s">
        <v>194</v>
      </c>
      <c r="C1137" s="10">
        <v>431127.77716673305</v>
      </c>
      <c r="D1137" s="10" t="s">
        <v>193</v>
      </c>
    </row>
    <row r="1138" spans="1:4" ht="18" customHeight="1">
      <c r="A1138" s="10" t="s">
        <v>73</v>
      </c>
      <c r="B1138" s="10" t="s">
        <v>195</v>
      </c>
      <c r="C1138" s="10">
        <v>0</v>
      </c>
      <c r="D1138" s="10" t="s">
        <v>193</v>
      </c>
    </row>
    <row r="1139" spans="1:4" ht="18" customHeight="1">
      <c r="A1139" s="10" t="s">
        <v>73</v>
      </c>
      <c r="B1139" s="10" t="s">
        <v>196</v>
      </c>
      <c r="C1139" s="10" t="s">
        <v>197</v>
      </c>
      <c r="D1139" s="10" t="s">
        <v>198</v>
      </c>
    </row>
    <row r="1140" spans="1:4" ht="18" customHeight="1">
      <c r="A1140" s="10" t="s">
        <v>73</v>
      </c>
      <c r="B1140" s="10" t="s">
        <v>5</v>
      </c>
      <c r="C1140" s="10">
        <v>431127.77716673305</v>
      </c>
      <c r="D1140" s="10" t="s">
        <v>193</v>
      </c>
    </row>
    <row r="1141" spans="1:4" ht="18" customHeight="1">
      <c r="A1141" s="10" t="s">
        <v>73</v>
      </c>
      <c r="B1141" s="10" t="s">
        <v>199</v>
      </c>
      <c r="C1141" s="10">
        <v>1</v>
      </c>
      <c r="D1141" s="10" t="s">
        <v>200</v>
      </c>
    </row>
    <row r="1142" spans="1:4" ht="18" customHeight="1">
      <c r="A1142" s="10" t="s">
        <v>73</v>
      </c>
      <c r="B1142" s="10" t="s">
        <v>8</v>
      </c>
      <c r="C1142" s="10">
        <v>197</v>
      </c>
      <c r="D1142" s="10" t="s">
        <v>201</v>
      </c>
    </row>
    <row r="1143" spans="1:4" ht="18" customHeight="1">
      <c r="A1143" s="10" t="s">
        <v>73</v>
      </c>
      <c r="B1143" s="10" t="s">
        <v>9</v>
      </c>
      <c r="C1143" s="10">
        <v>197</v>
      </c>
      <c r="D1143" s="10" t="s">
        <v>201</v>
      </c>
    </row>
    <row r="1144" spans="1:4" ht="18" customHeight="1">
      <c r="A1144" s="10" t="s">
        <v>73</v>
      </c>
      <c r="B1144" s="10" t="s">
        <v>202</v>
      </c>
      <c r="C1144" s="10">
        <v>0</v>
      </c>
      <c r="D1144" s="10" t="s">
        <v>201</v>
      </c>
    </row>
    <row r="1145" spans="1:4" ht="18" customHeight="1">
      <c r="A1145" s="10" t="s">
        <v>73</v>
      </c>
      <c r="B1145" s="10" t="s">
        <v>203</v>
      </c>
      <c r="C1145" s="10">
        <v>722610291.63560414</v>
      </c>
      <c r="D1145" s="10" t="s">
        <v>204</v>
      </c>
    </row>
    <row r="1146" spans="1:4" ht="18" customHeight="1">
      <c r="A1146" s="10" t="s">
        <v>73</v>
      </c>
      <c r="B1146" s="10" t="s">
        <v>205</v>
      </c>
      <c r="C1146" s="10">
        <v>722610291.6356039</v>
      </c>
      <c r="D1146" s="10" t="s">
        <v>204</v>
      </c>
    </row>
    <row r="1147" spans="1:4" ht="18" customHeight="1">
      <c r="A1147" s="10" t="s">
        <v>73</v>
      </c>
      <c r="B1147" s="10" t="s">
        <v>206</v>
      </c>
      <c r="C1147" s="10">
        <v>722610291.63560402</v>
      </c>
      <c r="D1147" s="10" t="s">
        <v>204</v>
      </c>
    </row>
    <row r="1148" spans="1:4" ht="18" customHeight="1">
      <c r="A1148" s="10" t="s">
        <v>73</v>
      </c>
      <c r="B1148" s="10" t="s">
        <v>207</v>
      </c>
      <c r="C1148" s="10">
        <v>-2.384185791015625E-7</v>
      </c>
      <c r="D1148" s="10" t="s">
        <v>204</v>
      </c>
    </row>
    <row r="1149" spans="1:4" ht="18" customHeight="1">
      <c r="A1149" s="10" t="s">
        <v>73</v>
      </c>
      <c r="B1149" s="10" t="s">
        <v>208</v>
      </c>
      <c r="C1149" s="10">
        <v>-1.1920928955078125E-7</v>
      </c>
      <c r="D1149" s="10" t="s">
        <v>204</v>
      </c>
    </row>
    <row r="1150" spans="1:4" ht="18" customHeight="1">
      <c r="A1150" s="10" t="s">
        <v>73</v>
      </c>
      <c r="B1150" s="10" t="s">
        <v>209</v>
      </c>
      <c r="C1150" s="10" t="s">
        <v>197</v>
      </c>
      <c r="D1150" s="10" t="s">
        <v>198</v>
      </c>
    </row>
    <row r="1151" spans="1:4" ht="18" customHeight="1">
      <c r="A1151" s="10" t="s">
        <v>73</v>
      </c>
      <c r="B1151" s="10" t="s">
        <v>210</v>
      </c>
      <c r="C1151" s="10" t="s">
        <v>197</v>
      </c>
      <c r="D1151" s="10" t="s">
        <v>198</v>
      </c>
    </row>
    <row r="1152" spans="1:4" ht="18" customHeight="1">
      <c r="A1152" s="10" t="s">
        <v>73</v>
      </c>
      <c r="B1152" s="10" t="s">
        <v>211</v>
      </c>
      <c r="C1152" s="10">
        <v>0</v>
      </c>
      <c r="D1152" s="10" t="s">
        <v>201</v>
      </c>
    </row>
    <row r="1153" spans="1:4" ht="18" customHeight="1">
      <c r="A1153" s="10" t="s">
        <v>73</v>
      </c>
      <c r="B1153" s="10" t="s">
        <v>212</v>
      </c>
      <c r="C1153" s="10">
        <v>0</v>
      </c>
      <c r="D1153" s="10" t="s">
        <v>201</v>
      </c>
    </row>
    <row r="1154" spans="1:4" ht="18" customHeight="1">
      <c r="A1154" s="10" t="s">
        <v>24</v>
      </c>
      <c r="B1154" s="10" t="s">
        <v>192</v>
      </c>
      <c r="C1154" s="10">
        <v>5649829.9842101932</v>
      </c>
      <c r="D1154" s="10" t="s">
        <v>193</v>
      </c>
    </row>
    <row r="1155" spans="1:4" ht="18" customHeight="1">
      <c r="A1155" s="10" t="s">
        <v>24</v>
      </c>
      <c r="B1155" s="10" t="s">
        <v>194</v>
      </c>
      <c r="C1155" s="10">
        <v>5649829.9842101932</v>
      </c>
      <c r="D1155" s="10" t="s">
        <v>193</v>
      </c>
    </row>
    <row r="1156" spans="1:4" ht="18" customHeight="1">
      <c r="A1156" s="10" t="s">
        <v>24</v>
      </c>
      <c r="B1156" s="10" t="s">
        <v>195</v>
      </c>
      <c r="C1156" s="10">
        <v>0</v>
      </c>
      <c r="D1156" s="10" t="s">
        <v>193</v>
      </c>
    </row>
    <row r="1157" spans="1:4" ht="18" customHeight="1">
      <c r="A1157" s="10" t="s">
        <v>24</v>
      </c>
      <c r="B1157" s="10" t="s">
        <v>196</v>
      </c>
      <c r="C1157" s="10" t="s">
        <v>197</v>
      </c>
      <c r="D1157" s="10" t="s">
        <v>198</v>
      </c>
    </row>
    <row r="1158" spans="1:4" ht="18" customHeight="1">
      <c r="A1158" s="10" t="s">
        <v>24</v>
      </c>
      <c r="B1158" s="10" t="s">
        <v>5</v>
      </c>
      <c r="C1158" s="10">
        <v>5649829.9842101932</v>
      </c>
      <c r="D1158" s="10" t="s">
        <v>193</v>
      </c>
    </row>
    <row r="1159" spans="1:4" ht="18" customHeight="1">
      <c r="A1159" s="10" t="s">
        <v>24</v>
      </c>
      <c r="B1159" s="10" t="s">
        <v>199</v>
      </c>
      <c r="C1159" s="10">
        <v>1</v>
      </c>
      <c r="D1159" s="10" t="s">
        <v>200</v>
      </c>
    </row>
    <row r="1160" spans="1:4" ht="18" customHeight="1">
      <c r="A1160" s="10" t="s">
        <v>24</v>
      </c>
      <c r="B1160" s="10" t="s">
        <v>8</v>
      </c>
      <c r="C1160" s="10">
        <v>254</v>
      </c>
      <c r="D1160" s="10" t="s">
        <v>201</v>
      </c>
    </row>
    <row r="1161" spans="1:4" ht="18" customHeight="1">
      <c r="A1161" s="10" t="s">
        <v>24</v>
      </c>
      <c r="B1161" s="10" t="s">
        <v>9</v>
      </c>
      <c r="C1161" s="10">
        <v>254</v>
      </c>
      <c r="D1161" s="10" t="s">
        <v>201</v>
      </c>
    </row>
    <row r="1162" spans="1:4" ht="18" customHeight="1">
      <c r="A1162" s="10" t="s">
        <v>24</v>
      </c>
      <c r="B1162" s="10" t="s">
        <v>202</v>
      </c>
      <c r="C1162" s="10">
        <v>0</v>
      </c>
      <c r="D1162" s="10" t="s">
        <v>201</v>
      </c>
    </row>
    <row r="1163" spans="1:4" ht="18" customHeight="1">
      <c r="A1163" s="10" t="s">
        <v>24</v>
      </c>
      <c r="B1163" s="10" t="s">
        <v>203</v>
      </c>
      <c r="C1163" s="10">
        <v>3396644855.5552316</v>
      </c>
      <c r="D1163" s="10" t="s">
        <v>204</v>
      </c>
    </row>
    <row r="1164" spans="1:4" ht="18" customHeight="1">
      <c r="A1164" s="10" t="s">
        <v>24</v>
      </c>
      <c r="B1164" s="10" t="s">
        <v>205</v>
      </c>
      <c r="C1164" s="10">
        <v>3396644855.555232</v>
      </c>
      <c r="D1164" s="10" t="s">
        <v>204</v>
      </c>
    </row>
    <row r="1165" spans="1:4" ht="18" customHeight="1">
      <c r="A1165" s="10" t="s">
        <v>24</v>
      </c>
      <c r="B1165" s="10" t="s">
        <v>206</v>
      </c>
      <c r="C1165" s="10">
        <v>3396644855.555233</v>
      </c>
      <c r="D1165" s="10" t="s">
        <v>204</v>
      </c>
    </row>
    <row r="1166" spans="1:4" ht="18" customHeight="1">
      <c r="A1166" s="10" t="s">
        <v>24</v>
      </c>
      <c r="B1166" s="10" t="s">
        <v>207</v>
      </c>
      <c r="C1166" s="10">
        <v>4.76837158203125E-7</v>
      </c>
      <c r="D1166" s="10" t="s">
        <v>204</v>
      </c>
    </row>
    <row r="1167" spans="1:4" ht="18" customHeight="1">
      <c r="A1167" s="10" t="s">
        <v>24</v>
      </c>
      <c r="B1167" s="10" t="s">
        <v>208</v>
      </c>
      <c r="C1167" s="10">
        <v>1.430511474609375E-6</v>
      </c>
      <c r="D1167" s="10" t="s">
        <v>204</v>
      </c>
    </row>
    <row r="1168" spans="1:4" ht="18" customHeight="1">
      <c r="A1168" s="10" t="s">
        <v>24</v>
      </c>
      <c r="B1168" s="10" t="s">
        <v>209</v>
      </c>
      <c r="C1168" s="10" t="s">
        <v>197</v>
      </c>
      <c r="D1168" s="10" t="s">
        <v>198</v>
      </c>
    </row>
    <row r="1169" spans="1:4" ht="18" customHeight="1">
      <c r="A1169" s="10" t="s">
        <v>24</v>
      </c>
      <c r="B1169" s="10" t="s">
        <v>210</v>
      </c>
      <c r="C1169" s="10" t="s">
        <v>197</v>
      </c>
      <c r="D1169" s="10" t="s">
        <v>198</v>
      </c>
    </row>
    <row r="1170" spans="1:4" ht="18" customHeight="1">
      <c r="A1170" s="10" t="s">
        <v>24</v>
      </c>
      <c r="B1170" s="10" t="s">
        <v>211</v>
      </c>
      <c r="C1170" s="10">
        <v>0</v>
      </c>
      <c r="D1170" s="10" t="s">
        <v>201</v>
      </c>
    </row>
    <row r="1171" spans="1:4" ht="18" customHeight="1">
      <c r="A1171" s="10" t="s">
        <v>24</v>
      </c>
      <c r="B1171" s="10" t="s">
        <v>212</v>
      </c>
      <c r="C1171" s="10">
        <v>0</v>
      </c>
      <c r="D1171" s="10" t="s">
        <v>201</v>
      </c>
    </row>
    <row r="1172" spans="1:4" ht="18" customHeight="1">
      <c r="A1172" s="10" t="s">
        <v>45</v>
      </c>
      <c r="B1172" s="10" t="s">
        <v>192</v>
      </c>
      <c r="C1172" s="10">
        <v>2658977.9688993068</v>
      </c>
      <c r="D1172" s="10" t="s">
        <v>193</v>
      </c>
    </row>
    <row r="1173" spans="1:4" ht="18" customHeight="1">
      <c r="A1173" s="10" t="s">
        <v>45</v>
      </c>
      <c r="B1173" s="10" t="s">
        <v>194</v>
      </c>
      <c r="C1173" s="10">
        <v>2658977.9688993068</v>
      </c>
      <c r="D1173" s="10" t="s">
        <v>193</v>
      </c>
    </row>
    <row r="1174" spans="1:4" ht="18" customHeight="1">
      <c r="A1174" s="10" t="s">
        <v>45</v>
      </c>
      <c r="B1174" s="10" t="s">
        <v>195</v>
      </c>
      <c r="C1174" s="10">
        <v>0</v>
      </c>
      <c r="D1174" s="10" t="s">
        <v>193</v>
      </c>
    </row>
    <row r="1175" spans="1:4" ht="18" customHeight="1">
      <c r="A1175" s="10" t="s">
        <v>45</v>
      </c>
      <c r="B1175" s="10" t="s">
        <v>196</v>
      </c>
      <c r="C1175" s="10" t="s">
        <v>197</v>
      </c>
      <c r="D1175" s="10" t="s">
        <v>198</v>
      </c>
    </row>
    <row r="1176" spans="1:4" ht="18" customHeight="1">
      <c r="A1176" s="10" t="s">
        <v>45</v>
      </c>
      <c r="B1176" s="10" t="s">
        <v>5</v>
      </c>
      <c r="C1176" s="10">
        <v>2658977.9688993068</v>
      </c>
      <c r="D1176" s="10" t="s">
        <v>193</v>
      </c>
    </row>
    <row r="1177" spans="1:4" ht="18" customHeight="1">
      <c r="A1177" s="10" t="s">
        <v>45</v>
      </c>
      <c r="B1177" s="10" t="s">
        <v>199</v>
      </c>
      <c r="C1177" s="10">
        <v>1</v>
      </c>
      <c r="D1177" s="10" t="s">
        <v>200</v>
      </c>
    </row>
    <row r="1178" spans="1:4" ht="18" customHeight="1">
      <c r="A1178" s="10" t="s">
        <v>45</v>
      </c>
      <c r="B1178" s="10" t="s">
        <v>8</v>
      </c>
      <c r="C1178" s="10">
        <v>175</v>
      </c>
      <c r="D1178" s="10" t="s">
        <v>201</v>
      </c>
    </row>
    <row r="1179" spans="1:4" ht="18" customHeight="1">
      <c r="A1179" s="10" t="s">
        <v>45</v>
      </c>
      <c r="B1179" s="10" t="s">
        <v>9</v>
      </c>
      <c r="C1179" s="10">
        <v>175</v>
      </c>
      <c r="D1179" s="10" t="s">
        <v>201</v>
      </c>
    </row>
    <row r="1180" spans="1:4" ht="18" customHeight="1">
      <c r="A1180" s="10" t="s">
        <v>45</v>
      </c>
      <c r="B1180" s="10" t="s">
        <v>202</v>
      </c>
      <c r="C1180" s="10">
        <v>0</v>
      </c>
      <c r="D1180" s="10" t="s">
        <v>201</v>
      </c>
    </row>
    <row r="1181" spans="1:4" ht="18" customHeight="1">
      <c r="A1181" s="10" t="s">
        <v>45</v>
      </c>
      <c r="B1181" s="10" t="s">
        <v>203</v>
      </c>
      <c r="C1181" s="10">
        <v>1554214509.6068287</v>
      </c>
      <c r="D1181" s="10" t="s">
        <v>204</v>
      </c>
    </row>
    <row r="1182" spans="1:4" ht="18" customHeight="1">
      <c r="A1182" s="10" t="s">
        <v>45</v>
      </c>
      <c r="B1182" s="10" t="s">
        <v>205</v>
      </c>
      <c r="C1182" s="10">
        <v>1554214509.6068282</v>
      </c>
      <c r="D1182" s="10" t="s">
        <v>204</v>
      </c>
    </row>
    <row r="1183" spans="1:4" ht="18" customHeight="1">
      <c r="A1183" s="10" t="s">
        <v>45</v>
      </c>
      <c r="B1183" s="10" t="s">
        <v>206</v>
      </c>
      <c r="C1183" s="10">
        <v>1554214509.6068285</v>
      </c>
      <c r="D1183" s="10" t="s">
        <v>204</v>
      </c>
    </row>
    <row r="1184" spans="1:4" ht="18" customHeight="1">
      <c r="A1184" s="10" t="s">
        <v>45</v>
      </c>
      <c r="B1184" s="10" t="s">
        <v>207</v>
      </c>
      <c r="C1184" s="10">
        <v>-4.76837158203125E-7</v>
      </c>
      <c r="D1184" s="10" t="s">
        <v>204</v>
      </c>
    </row>
    <row r="1185" spans="1:4" ht="18" customHeight="1">
      <c r="A1185" s="10" t="s">
        <v>45</v>
      </c>
      <c r="B1185" s="10" t="s">
        <v>208</v>
      </c>
      <c r="C1185" s="10">
        <v>-2.384185791015625E-7</v>
      </c>
      <c r="D1185" s="10" t="s">
        <v>204</v>
      </c>
    </row>
    <row r="1186" spans="1:4" ht="18" customHeight="1">
      <c r="A1186" s="10" t="s">
        <v>45</v>
      </c>
      <c r="B1186" s="10" t="s">
        <v>209</v>
      </c>
      <c r="C1186" s="10" t="s">
        <v>197</v>
      </c>
      <c r="D1186" s="10" t="s">
        <v>198</v>
      </c>
    </row>
    <row r="1187" spans="1:4" ht="18" customHeight="1">
      <c r="A1187" s="10" t="s">
        <v>45</v>
      </c>
      <c r="B1187" s="10" t="s">
        <v>210</v>
      </c>
      <c r="C1187" s="10" t="s">
        <v>197</v>
      </c>
      <c r="D1187" s="10" t="s">
        <v>198</v>
      </c>
    </row>
    <row r="1188" spans="1:4" ht="18" customHeight="1">
      <c r="A1188" s="10" t="s">
        <v>45</v>
      </c>
      <c r="B1188" s="10" t="s">
        <v>211</v>
      </c>
      <c r="C1188" s="10">
        <v>0</v>
      </c>
      <c r="D1188" s="10" t="s">
        <v>201</v>
      </c>
    </row>
    <row r="1189" spans="1:4" ht="18" customHeight="1">
      <c r="A1189" s="10" t="s">
        <v>45</v>
      </c>
      <c r="B1189" s="10" t="s">
        <v>212</v>
      </c>
      <c r="C1189" s="10">
        <v>0</v>
      </c>
      <c r="D1189" s="10" t="s">
        <v>201</v>
      </c>
    </row>
    <row r="1190" spans="1:4" ht="18" customHeight="1">
      <c r="A1190" s="10" t="s">
        <v>41</v>
      </c>
      <c r="B1190" s="10" t="s">
        <v>192</v>
      </c>
      <c r="C1190" s="10">
        <v>3090456.2651244747</v>
      </c>
      <c r="D1190" s="10" t="s">
        <v>193</v>
      </c>
    </row>
    <row r="1191" spans="1:4" ht="18" customHeight="1">
      <c r="A1191" s="10" t="s">
        <v>41</v>
      </c>
      <c r="B1191" s="10" t="s">
        <v>194</v>
      </c>
      <c r="C1191" s="10">
        <v>3090456.2651244742</v>
      </c>
      <c r="D1191" s="10" t="s">
        <v>193</v>
      </c>
    </row>
    <row r="1192" spans="1:4" ht="18" customHeight="1">
      <c r="A1192" s="10" t="s">
        <v>41</v>
      </c>
      <c r="B1192" s="10" t="s">
        <v>195</v>
      </c>
      <c r="C1192" s="10">
        <v>-4.6566128730773926E-10</v>
      </c>
      <c r="D1192" s="10" t="s">
        <v>193</v>
      </c>
    </row>
    <row r="1193" spans="1:4" ht="18" customHeight="1">
      <c r="A1193" s="10" t="s">
        <v>41</v>
      </c>
      <c r="B1193" s="10" t="s">
        <v>196</v>
      </c>
      <c r="C1193" s="10" t="s">
        <v>197</v>
      </c>
      <c r="D1193" s="10" t="s">
        <v>198</v>
      </c>
    </row>
    <row r="1194" spans="1:4" ht="18" customHeight="1">
      <c r="A1194" s="10" t="s">
        <v>41</v>
      </c>
      <c r="B1194" s="10" t="s">
        <v>5</v>
      </c>
      <c r="C1194" s="10">
        <v>3090456.2651244742</v>
      </c>
      <c r="D1194" s="10" t="s">
        <v>193</v>
      </c>
    </row>
    <row r="1195" spans="1:4" ht="18" customHeight="1">
      <c r="A1195" s="10" t="s">
        <v>41</v>
      </c>
      <c r="B1195" s="10" t="s">
        <v>199</v>
      </c>
      <c r="C1195" s="10">
        <v>1</v>
      </c>
      <c r="D1195" s="10" t="s">
        <v>200</v>
      </c>
    </row>
    <row r="1196" spans="1:4" ht="18" customHeight="1">
      <c r="A1196" s="10" t="s">
        <v>41</v>
      </c>
      <c r="B1196" s="10" t="s">
        <v>8</v>
      </c>
      <c r="C1196" s="10">
        <v>229</v>
      </c>
      <c r="D1196" s="10" t="s">
        <v>201</v>
      </c>
    </row>
    <row r="1197" spans="1:4" ht="18" customHeight="1">
      <c r="A1197" s="10" t="s">
        <v>41</v>
      </c>
      <c r="B1197" s="10" t="s">
        <v>9</v>
      </c>
      <c r="C1197" s="10">
        <v>229</v>
      </c>
      <c r="D1197" s="10" t="s">
        <v>201</v>
      </c>
    </row>
    <row r="1198" spans="1:4" ht="18" customHeight="1">
      <c r="A1198" s="10" t="s">
        <v>41</v>
      </c>
      <c r="B1198" s="10" t="s">
        <v>202</v>
      </c>
      <c r="C1198" s="10">
        <v>0</v>
      </c>
      <c r="D1198" s="10" t="s">
        <v>201</v>
      </c>
    </row>
    <row r="1199" spans="1:4" ht="18" customHeight="1">
      <c r="A1199" s="10" t="s">
        <v>41</v>
      </c>
      <c r="B1199" s="10" t="s">
        <v>203</v>
      </c>
      <c r="C1199" s="10">
        <v>1682486180.5803435</v>
      </c>
      <c r="D1199" s="10" t="s">
        <v>204</v>
      </c>
    </row>
    <row r="1200" spans="1:4" ht="18" customHeight="1">
      <c r="A1200" s="10" t="s">
        <v>41</v>
      </c>
      <c r="B1200" s="10" t="s">
        <v>205</v>
      </c>
      <c r="C1200" s="10">
        <v>1682486180.5803437</v>
      </c>
      <c r="D1200" s="10" t="s">
        <v>204</v>
      </c>
    </row>
    <row r="1201" spans="1:4" ht="18" customHeight="1">
      <c r="A1201" s="10" t="s">
        <v>41</v>
      </c>
      <c r="B1201" s="10" t="s">
        <v>206</v>
      </c>
      <c r="C1201" s="10">
        <v>1682486180.5803432</v>
      </c>
      <c r="D1201" s="10" t="s">
        <v>204</v>
      </c>
    </row>
    <row r="1202" spans="1:4" ht="18" customHeight="1">
      <c r="A1202" s="10" t="s">
        <v>41</v>
      </c>
      <c r="B1202" s="10" t="s">
        <v>207</v>
      </c>
      <c r="C1202" s="10">
        <v>2.384185791015625E-7</v>
      </c>
      <c r="D1202" s="10" t="s">
        <v>204</v>
      </c>
    </row>
    <row r="1203" spans="1:4" ht="18" customHeight="1">
      <c r="A1203" s="10" t="s">
        <v>41</v>
      </c>
      <c r="B1203" s="10" t="s">
        <v>208</v>
      </c>
      <c r="C1203" s="10">
        <v>-2.384185791015625E-7</v>
      </c>
      <c r="D1203" s="10" t="s">
        <v>204</v>
      </c>
    </row>
    <row r="1204" spans="1:4" ht="18" customHeight="1">
      <c r="A1204" s="10" t="s">
        <v>41</v>
      </c>
      <c r="B1204" s="10" t="s">
        <v>209</v>
      </c>
      <c r="C1204" s="10" t="s">
        <v>197</v>
      </c>
      <c r="D1204" s="10" t="s">
        <v>198</v>
      </c>
    </row>
    <row r="1205" spans="1:4" ht="18" customHeight="1">
      <c r="A1205" s="10" t="s">
        <v>41</v>
      </c>
      <c r="B1205" s="10" t="s">
        <v>210</v>
      </c>
      <c r="C1205" s="10" t="s">
        <v>197</v>
      </c>
      <c r="D1205" s="10" t="s">
        <v>198</v>
      </c>
    </row>
    <row r="1206" spans="1:4" ht="18" customHeight="1">
      <c r="A1206" s="10" t="s">
        <v>41</v>
      </c>
      <c r="B1206" s="10" t="s">
        <v>211</v>
      </c>
      <c r="C1206" s="10">
        <v>0</v>
      </c>
      <c r="D1206" s="10" t="s">
        <v>201</v>
      </c>
    </row>
    <row r="1207" spans="1:4" ht="18" customHeight="1">
      <c r="A1207" s="10" t="s">
        <v>41</v>
      </c>
      <c r="B1207" s="10" t="s">
        <v>212</v>
      </c>
      <c r="C1207" s="10">
        <v>0</v>
      </c>
      <c r="D1207" s="10" t="s">
        <v>201</v>
      </c>
    </row>
    <row r="1208" spans="1:4" ht="18" customHeight="1">
      <c r="A1208" s="10" t="s">
        <v>49</v>
      </c>
      <c r="B1208" s="10" t="s">
        <v>192</v>
      </c>
      <c r="C1208" s="10">
        <v>2586941.8366957698</v>
      </c>
      <c r="D1208" s="10" t="s">
        <v>193</v>
      </c>
    </row>
    <row r="1209" spans="1:4" ht="18" customHeight="1">
      <c r="A1209" s="10" t="s">
        <v>49</v>
      </c>
      <c r="B1209" s="10" t="s">
        <v>194</v>
      </c>
      <c r="C1209" s="10">
        <v>2586941.8366957698</v>
      </c>
      <c r="D1209" s="10" t="s">
        <v>193</v>
      </c>
    </row>
    <row r="1210" spans="1:4" ht="18" customHeight="1">
      <c r="A1210" s="10" t="s">
        <v>49</v>
      </c>
      <c r="B1210" s="10" t="s">
        <v>195</v>
      </c>
      <c r="C1210" s="10">
        <v>0</v>
      </c>
      <c r="D1210" s="10" t="s">
        <v>193</v>
      </c>
    </row>
    <row r="1211" spans="1:4" ht="18" customHeight="1">
      <c r="A1211" s="10" t="s">
        <v>49</v>
      </c>
      <c r="B1211" s="10" t="s">
        <v>196</v>
      </c>
      <c r="C1211" s="10" t="s">
        <v>197</v>
      </c>
      <c r="D1211" s="10" t="s">
        <v>198</v>
      </c>
    </row>
    <row r="1212" spans="1:4" ht="18" customHeight="1">
      <c r="A1212" s="10" t="s">
        <v>49</v>
      </c>
      <c r="B1212" s="10" t="s">
        <v>5</v>
      </c>
      <c r="C1212" s="10">
        <v>2586941.8366957698</v>
      </c>
      <c r="D1212" s="10" t="s">
        <v>193</v>
      </c>
    </row>
    <row r="1213" spans="1:4" ht="18" customHeight="1">
      <c r="A1213" s="10" t="s">
        <v>49</v>
      </c>
      <c r="B1213" s="10" t="s">
        <v>199</v>
      </c>
      <c r="C1213" s="10">
        <v>1</v>
      </c>
      <c r="D1213" s="10" t="s">
        <v>200</v>
      </c>
    </row>
    <row r="1214" spans="1:4" ht="18" customHeight="1">
      <c r="A1214" s="10" t="s">
        <v>49</v>
      </c>
      <c r="B1214" s="10" t="s">
        <v>8</v>
      </c>
      <c r="C1214" s="10">
        <v>218</v>
      </c>
      <c r="D1214" s="10" t="s">
        <v>201</v>
      </c>
    </row>
    <row r="1215" spans="1:4" ht="18" customHeight="1">
      <c r="A1215" s="10" t="s">
        <v>49</v>
      </c>
      <c r="B1215" s="10" t="s">
        <v>9</v>
      </c>
      <c r="C1215" s="10">
        <v>218</v>
      </c>
      <c r="D1215" s="10" t="s">
        <v>201</v>
      </c>
    </row>
    <row r="1216" spans="1:4" ht="18" customHeight="1">
      <c r="A1216" s="10" t="s">
        <v>49</v>
      </c>
      <c r="B1216" s="10" t="s">
        <v>202</v>
      </c>
      <c r="C1216" s="10">
        <v>0</v>
      </c>
      <c r="D1216" s="10" t="s">
        <v>201</v>
      </c>
    </row>
    <row r="1217" spans="1:4" ht="18" customHeight="1">
      <c r="A1217" s="10" t="s">
        <v>49</v>
      </c>
      <c r="B1217" s="10" t="s">
        <v>203</v>
      </c>
      <c r="C1217" s="10">
        <v>1439195574.0782979</v>
      </c>
      <c r="D1217" s="10" t="s">
        <v>204</v>
      </c>
    </row>
    <row r="1218" spans="1:4" ht="18" customHeight="1">
      <c r="A1218" s="10" t="s">
        <v>49</v>
      </c>
      <c r="B1218" s="10" t="s">
        <v>205</v>
      </c>
      <c r="C1218" s="10">
        <v>1439195574.0782981</v>
      </c>
      <c r="D1218" s="10" t="s">
        <v>204</v>
      </c>
    </row>
    <row r="1219" spans="1:4" ht="18" customHeight="1">
      <c r="A1219" s="10" t="s">
        <v>49</v>
      </c>
      <c r="B1219" s="10" t="s">
        <v>206</v>
      </c>
      <c r="C1219" s="10">
        <v>1439195574.0782976</v>
      </c>
      <c r="D1219" s="10" t="s">
        <v>204</v>
      </c>
    </row>
    <row r="1220" spans="1:4" ht="18" customHeight="1">
      <c r="A1220" s="10" t="s">
        <v>49</v>
      </c>
      <c r="B1220" s="10" t="s">
        <v>207</v>
      </c>
      <c r="C1220" s="10">
        <v>2.384185791015625E-7</v>
      </c>
      <c r="D1220" s="10" t="s">
        <v>204</v>
      </c>
    </row>
    <row r="1221" spans="1:4" ht="18" customHeight="1">
      <c r="A1221" s="10" t="s">
        <v>49</v>
      </c>
      <c r="B1221" s="10" t="s">
        <v>208</v>
      </c>
      <c r="C1221" s="10">
        <v>-2.384185791015625E-7</v>
      </c>
      <c r="D1221" s="10" t="s">
        <v>204</v>
      </c>
    </row>
    <row r="1222" spans="1:4" ht="18" customHeight="1">
      <c r="A1222" s="10" t="s">
        <v>49</v>
      </c>
      <c r="B1222" s="10" t="s">
        <v>209</v>
      </c>
      <c r="C1222" s="10" t="s">
        <v>197</v>
      </c>
      <c r="D1222" s="10" t="s">
        <v>198</v>
      </c>
    </row>
    <row r="1223" spans="1:4" ht="18" customHeight="1">
      <c r="A1223" s="10" t="s">
        <v>49</v>
      </c>
      <c r="B1223" s="10" t="s">
        <v>210</v>
      </c>
      <c r="C1223" s="10" t="s">
        <v>197</v>
      </c>
      <c r="D1223" s="10" t="s">
        <v>198</v>
      </c>
    </row>
    <row r="1224" spans="1:4" ht="18" customHeight="1">
      <c r="A1224" s="10" t="s">
        <v>49</v>
      </c>
      <c r="B1224" s="10" t="s">
        <v>211</v>
      </c>
      <c r="C1224" s="10">
        <v>0</v>
      </c>
      <c r="D1224" s="10" t="s">
        <v>201</v>
      </c>
    </row>
    <row r="1225" spans="1:4" ht="18" customHeight="1">
      <c r="A1225" s="10" t="s">
        <v>49</v>
      </c>
      <c r="B1225" s="10" t="s">
        <v>212</v>
      </c>
      <c r="C1225" s="10">
        <v>0</v>
      </c>
      <c r="D1225" s="10" t="s">
        <v>201</v>
      </c>
    </row>
    <row r="1226" spans="1:4" ht="18" customHeight="1">
      <c r="A1226" s="10" t="s">
        <v>87</v>
      </c>
      <c r="B1226" s="10" t="s">
        <v>192</v>
      </c>
      <c r="C1226" s="10">
        <v>1092021.8374498228</v>
      </c>
      <c r="D1226" s="10" t="s">
        <v>193</v>
      </c>
    </row>
    <row r="1227" spans="1:4" ht="18" customHeight="1">
      <c r="A1227" s="10" t="s">
        <v>87</v>
      </c>
      <c r="B1227" s="10" t="s">
        <v>194</v>
      </c>
      <c r="C1227" s="10">
        <v>1092021.8374498228</v>
      </c>
      <c r="D1227" s="10" t="s">
        <v>193</v>
      </c>
    </row>
    <row r="1228" spans="1:4" ht="18" customHeight="1">
      <c r="A1228" s="10" t="s">
        <v>87</v>
      </c>
      <c r="B1228" s="10" t="s">
        <v>195</v>
      </c>
      <c r="C1228" s="10">
        <v>0</v>
      </c>
      <c r="D1228" s="10" t="s">
        <v>193</v>
      </c>
    </row>
    <row r="1229" spans="1:4" ht="18" customHeight="1">
      <c r="A1229" s="10" t="s">
        <v>87</v>
      </c>
      <c r="B1229" s="10" t="s">
        <v>196</v>
      </c>
      <c r="C1229" s="10" t="s">
        <v>197</v>
      </c>
      <c r="D1229" s="10" t="s">
        <v>198</v>
      </c>
    </row>
    <row r="1230" spans="1:4" ht="18" customHeight="1">
      <c r="A1230" s="10" t="s">
        <v>87</v>
      </c>
      <c r="B1230" s="10" t="s">
        <v>5</v>
      </c>
      <c r="C1230" s="10">
        <v>1092021.8374498228</v>
      </c>
      <c r="D1230" s="10" t="s">
        <v>193</v>
      </c>
    </row>
    <row r="1231" spans="1:4" ht="18" customHeight="1">
      <c r="A1231" s="10" t="s">
        <v>87</v>
      </c>
      <c r="B1231" s="10" t="s">
        <v>199</v>
      </c>
      <c r="C1231" s="10">
        <v>1</v>
      </c>
      <c r="D1231" s="10" t="s">
        <v>200</v>
      </c>
    </row>
    <row r="1232" spans="1:4" ht="18" customHeight="1">
      <c r="A1232" s="10" t="s">
        <v>87</v>
      </c>
      <c r="B1232" s="10" t="s">
        <v>8</v>
      </c>
      <c r="C1232" s="10">
        <v>143</v>
      </c>
      <c r="D1232" s="10" t="s">
        <v>201</v>
      </c>
    </row>
    <row r="1233" spans="1:4" ht="18" customHeight="1">
      <c r="A1233" s="10" t="s">
        <v>87</v>
      </c>
      <c r="B1233" s="10" t="s">
        <v>9</v>
      </c>
      <c r="C1233" s="10">
        <v>143</v>
      </c>
      <c r="D1233" s="10" t="s">
        <v>201</v>
      </c>
    </row>
    <row r="1234" spans="1:4" ht="18" customHeight="1">
      <c r="A1234" s="10" t="s">
        <v>87</v>
      </c>
      <c r="B1234" s="10" t="s">
        <v>202</v>
      </c>
      <c r="C1234" s="10">
        <v>0</v>
      </c>
      <c r="D1234" s="10" t="s">
        <v>201</v>
      </c>
    </row>
    <row r="1235" spans="1:4" ht="18" customHeight="1">
      <c r="A1235" s="10" t="s">
        <v>87</v>
      </c>
      <c r="B1235" s="10" t="s">
        <v>203</v>
      </c>
      <c r="C1235" s="10">
        <v>528421987.24496377</v>
      </c>
      <c r="D1235" s="10" t="s">
        <v>204</v>
      </c>
    </row>
    <row r="1236" spans="1:4" ht="18" customHeight="1">
      <c r="A1236" s="10" t="s">
        <v>87</v>
      </c>
      <c r="B1236" s="10" t="s">
        <v>205</v>
      </c>
      <c r="C1236" s="10">
        <v>528421987.24496371</v>
      </c>
      <c r="D1236" s="10" t="s">
        <v>204</v>
      </c>
    </row>
    <row r="1237" spans="1:4" ht="18" customHeight="1">
      <c r="A1237" s="10" t="s">
        <v>87</v>
      </c>
      <c r="B1237" s="10" t="s">
        <v>206</v>
      </c>
      <c r="C1237" s="10">
        <v>528421987.24496382</v>
      </c>
      <c r="D1237" s="10" t="s">
        <v>204</v>
      </c>
    </row>
    <row r="1238" spans="1:4" ht="18" customHeight="1">
      <c r="A1238" s="10" t="s">
        <v>87</v>
      </c>
      <c r="B1238" s="10" t="s">
        <v>207</v>
      </c>
      <c r="C1238" s="10">
        <v>-5.9604644775390625E-8</v>
      </c>
      <c r="D1238" s="10" t="s">
        <v>204</v>
      </c>
    </row>
    <row r="1239" spans="1:4" ht="18" customHeight="1">
      <c r="A1239" s="10" t="s">
        <v>87</v>
      </c>
      <c r="B1239" s="10" t="s">
        <v>208</v>
      </c>
      <c r="C1239" s="10">
        <v>5.9604644775390625E-8</v>
      </c>
      <c r="D1239" s="10" t="s">
        <v>204</v>
      </c>
    </row>
    <row r="1240" spans="1:4" ht="18" customHeight="1">
      <c r="A1240" s="10" t="s">
        <v>87</v>
      </c>
      <c r="B1240" s="10" t="s">
        <v>209</v>
      </c>
      <c r="C1240" s="10" t="s">
        <v>197</v>
      </c>
      <c r="D1240" s="10" t="s">
        <v>198</v>
      </c>
    </row>
    <row r="1241" spans="1:4" ht="18" customHeight="1">
      <c r="A1241" s="10" t="s">
        <v>87</v>
      </c>
      <c r="B1241" s="10" t="s">
        <v>210</v>
      </c>
      <c r="C1241" s="10" t="s">
        <v>197</v>
      </c>
      <c r="D1241" s="10" t="s">
        <v>198</v>
      </c>
    </row>
    <row r="1242" spans="1:4" ht="18" customHeight="1">
      <c r="A1242" s="10" t="s">
        <v>87</v>
      </c>
      <c r="B1242" s="10" t="s">
        <v>211</v>
      </c>
      <c r="C1242" s="10">
        <v>0</v>
      </c>
      <c r="D1242" s="10" t="s">
        <v>201</v>
      </c>
    </row>
    <row r="1243" spans="1:4" ht="18" customHeight="1">
      <c r="A1243" s="10" t="s">
        <v>87</v>
      </c>
      <c r="B1243" s="10" t="s">
        <v>212</v>
      </c>
      <c r="C1243" s="10">
        <v>0</v>
      </c>
      <c r="D1243" s="10" t="s">
        <v>201</v>
      </c>
    </row>
    <row r="1244" spans="1:4" ht="18" customHeight="1">
      <c r="A1244" s="10" t="s">
        <v>26</v>
      </c>
      <c r="B1244" s="10" t="s">
        <v>192</v>
      </c>
      <c r="C1244" s="10">
        <v>4800852.1256251186</v>
      </c>
      <c r="D1244" s="10" t="s">
        <v>193</v>
      </c>
    </row>
    <row r="1245" spans="1:4" ht="18" customHeight="1">
      <c r="A1245" s="10" t="s">
        <v>26</v>
      </c>
      <c r="B1245" s="10" t="s">
        <v>194</v>
      </c>
      <c r="C1245" s="10">
        <v>4800852.1256251186</v>
      </c>
      <c r="D1245" s="10" t="s">
        <v>193</v>
      </c>
    </row>
    <row r="1246" spans="1:4" ht="18" customHeight="1">
      <c r="A1246" s="10" t="s">
        <v>26</v>
      </c>
      <c r="B1246" s="10" t="s">
        <v>195</v>
      </c>
      <c r="C1246" s="10">
        <v>0</v>
      </c>
      <c r="D1246" s="10" t="s">
        <v>193</v>
      </c>
    </row>
    <row r="1247" spans="1:4" ht="18" customHeight="1">
      <c r="A1247" s="10" t="s">
        <v>26</v>
      </c>
      <c r="B1247" s="10" t="s">
        <v>196</v>
      </c>
      <c r="C1247" s="10" t="s">
        <v>197</v>
      </c>
      <c r="D1247" s="10" t="s">
        <v>198</v>
      </c>
    </row>
    <row r="1248" spans="1:4" ht="18" customHeight="1">
      <c r="A1248" s="10" t="s">
        <v>26</v>
      </c>
      <c r="B1248" s="10" t="s">
        <v>5</v>
      </c>
      <c r="C1248" s="10">
        <v>4800852.1256251186</v>
      </c>
      <c r="D1248" s="10" t="s">
        <v>193</v>
      </c>
    </row>
    <row r="1249" spans="1:4" ht="18" customHeight="1">
      <c r="A1249" s="10" t="s">
        <v>26</v>
      </c>
      <c r="B1249" s="10" t="s">
        <v>199</v>
      </c>
      <c r="C1249" s="10">
        <v>1</v>
      </c>
      <c r="D1249" s="10" t="s">
        <v>200</v>
      </c>
    </row>
    <row r="1250" spans="1:4" ht="18" customHeight="1">
      <c r="A1250" s="10" t="s">
        <v>26</v>
      </c>
      <c r="B1250" s="10" t="s">
        <v>8</v>
      </c>
      <c r="C1250" s="10">
        <v>131</v>
      </c>
      <c r="D1250" s="10" t="s">
        <v>201</v>
      </c>
    </row>
    <row r="1251" spans="1:4" ht="18" customHeight="1">
      <c r="A1251" s="10" t="s">
        <v>26</v>
      </c>
      <c r="B1251" s="10" t="s">
        <v>9</v>
      </c>
      <c r="C1251" s="10">
        <v>131</v>
      </c>
      <c r="D1251" s="10" t="s">
        <v>201</v>
      </c>
    </row>
    <row r="1252" spans="1:4" ht="18" customHeight="1">
      <c r="A1252" s="10" t="s">
        <v>26</v>
      </c>
      <c r="B1252" s="10" t="s">
        <v>202</v>
      </c>
      <c r="C1252" s="10">
        <v>0</v>
      </c>
      <c r="D1252" s="10" t="s">
        <v>201</v>
      </c>
    </row>
    <row r="1253" spans="1:4" ht="18" customHeight="1">
      <c r="A1253" s="10" t="s">
        <v>26</v>
      </c>
      <c r="B1253" s="10" t="s">
        <v>203</v>
      </c>
      <c r="C1253" s="10">
        <v>2799543440.9812036</v>
      </c>
      <c r="D1253" s="10" t="s">
        <v>204</v>
      </c>
    </row>
    <row r="1254" spans="1:4" ht="18" customHeight="1">
      <c r="A1254" s="10" t="s">
        <v>26</v>
      </c>
      <c r="B1254" s="10" t="s">
        <v>205</v>
      </c>
      <c r="C1254" s="10">
        <v>2799543440.9812036</v>
      </c>
      <c r="D1254" s="10" t="s">
        <v>204</v>
      </c>
    </row>
    <row r="1255" spans="1:4" ht="18" customHeight="1">
      <c r="A1255" s="10" t="s">
        <v>26</v>
      </c>
      <c r="B1255" s="10" t="s">
        <v>206</v>
      </c>
      <c r="C1255" s="10">
        <v>2799543440.9812036</v>
      </c>
      <c r="D1255" s="10" t="s">
        <v>204</v>
      </c>
    </row>
    <row r="1256" spans="1:4" ht="18" customHeight="1">
      <c r="A1256" s="10" t="s">
        <v>26</v>
      </c>
      <c r="B1256" s="10" t="s">
        <v>207</v>
      </c>
      <c r="C1256" s="10">
        <v>0</v>
      </c>
      <c r="D1256" s="10" t="s">
        <v>204</v>
      </c>
    </row>
    <row r="1257" spans="1:4" ht="18" customHeight="1">
      <c r="A1257" s="10" t="s">
        <v>26</v>
      </c>
      <c r="B1257" s="10" t="s">
        <v>208</v>
      </c>
      <c r="C1257" s="10">
        <v>0</v>
      </c>
      <c r="D1257" s="10" t="s">
        <v>204</v>
      </c>
    </row>
    <row r="1258" spans="1:4" ht="18" customHeight="1">
      <c r="A1258" s="10" t="s">
        <v>26</v>
      </c>
      <c r="B1258" s="10" t="s">
        <v>209</v>
      </c>
      <c r="C1258" s="10" t="s">
        <v>197</v>
      </c>
      <c r="D1258" s="10" t="s">
        <v>198</v>
      </c>
    </row>
    <row r="1259" spans="1:4" ht="18" customHeight="1">
      <c r="A1259" s="10" t="s">
        <v>26</v>
      </c>
      <c r="B1259" s="10" t="s">
        <v>210</v>
      </c>
      <c r="C1259" s="10" t="s">
        <v>197</v>
      </c>
      <c r="D1259" s="10" t="s">
        <v>198</v>
      </c>
    </row>
    <row r="1260" spans="1:4" ht="18" customHeight="1">
      <c r="A1260" s="10" t="s">
        <v>26</v>
      </c>
      <c r="B1260" s="10" t="s">
        <v>211</v>
      </c>
      <c r="C1260" s="10">
        <v>0</v>
      </c>
      <c r="D1260" s="10" t="s">
        <v>201</v>
      </c>
    </row>
    <row r="1261" spans="1:4" ht="18" customHeight="1">
      <c r="A1261" s="10" t="s">
        <v>26</v>
      </c>
      <c r="B1261" s="10" t="s">
        <v>212</v>
      </c>
      <c r="C1261" s="10">
        <v>0</v>
      </c>
      <c r="D1261" s="10" t="s">
        <v>201</v>
      </c>
    </row>
    <row r="1262" spans="1:4" ht="18" customHeight="1">
      <c r="A1262" s="10" t="s">
        <v>89</v>
      </c>
      <c r="B1262" s="10" t="s">
        <v>192</v>
      </c>
      <c r="C1262" s="10">
        <v>705687.52207760385</v>
      </c>
      <c r="D1262" s="10" t="s">
        <v>193</v>
      </c>
    </row>
    <row r="1263" spans="1:4" ht="18" customHeight="1">
      <c r="A1263" s="10" t="s">
        <v>89</v>
      </c>
      <c r="B1263" s="10" t="s">
        <v>194</v>
      </c>
      <c r="C1263" s="10">
        <v>705687.52207760385</v>
      </c>
      <c r="D1263" s="10" t="s">
        <v>193</v>
      </c>
    </row>
    <row r="1264" spans="1:4" ht="18" customHeight="1">
      <c r="A1264" s="10" t="s">
        <v>89</v>
      </c>
      <c r="B1264" s="10" t="s">
        <v>195</v>
      </c>
      <c r="C1264" s="10">
        <v>0</v>
      </c>
      <c r="D1264" s="10" t="s">
        <v>193</v>
      </c>
    </row>
    <row r="1265" spans="1:4" ht="18" customHeight="1">
      <c r="A1265" s="10" t="s">
        <v>89</v>
      </c>
      <c r="B1265" s="10" t="s">
        <v>196</v>
      </c>
      <c r="C1265" s="10" t="s">
        <v>197</v>
      </c>
      <c r="D1265" s="10" t="s">
        <v>198</v>
      </c>
    </row>
    <row r="1266" spans="1:4" ht="18" customHeight="1">
      <c r="A1266" s="10" t="s">
        <v>89</v>
      </c>
      <c r="B1266" s="10" t="s">
        <v>5</v>
      </c>
      <c r="C1266" s="10">
        <v>705687.52207760385</v>
      </c>
      <c r="D1266" s="10" t="s">
        <v>193</v>
      </c>
    </row>
    <row r="1267" spans="1:4" ht="18" customHeight="1">
      <c r="A1267" s="10" t="s">
        <v>89</v>
      </c>
      <c r="B1267" s="10" t="s">
        <v>199</v>
      </c>
      <c r="C1267" s="10">
        <v>1</v>
      </c>
      <c r="D1267" s="10" t="s">
        <v>200</v>
      </c>
    </row>
    <row r="1268" spans="1:4" ht="18" customHeight="1">
      <c r="A1268" s="10" t="s">
        <v>89</v>
      </c>
      <c r="B1268" s="10" t="s">
        <v>8</v>
      </c>
      <c r="C1268" s="10">
        <v>63</v>
      </c>
      <c r="D1268" s="10" t="s">
        <v>201</v>
      </c>
    </row>
    <row r="1269" spans="1:4" ht="18" customHeight="1">
      <c r="A1269" s="10" t="s">
        <v>89</v>
      </c>
      <c r="B1269" s="10" t="s">
        <v>9</v>
      </c>
      <c r="C1269" s="10">
        <v>63</v>
      </c>
      <c r="D1269" s="10" t="s">
        <v>201</v>
      </c>
    </row>
    <row r="1270" spans="1:4" ht="18" customHeight="1">
      <c r="A1270" s="10" t="s">
        <v>89</v>
      </c>
      <c r="B1270" s="10" t="s">
        <v>202</v>
      </c>
      <c r="C1270" s="10">
        <v>0</v>
      </c>
      <c r="D1270" s="10" t="s">
        <v>201</v>
      </c>
    </row>
    <row r="1271" spans="1:4" ht="18" customHeight="1">
      <c r="A1271" s="10" t="s">
        <v>89</v>
      </c>
      <c r="B1271" s="10" t="s">
        <v>203</v>
      </c>
      <c r="C1271" s="10">
        <v>511445832.05498385</v>
      </c>
      <c r="D1271" s="10" t="s">
        <v>204</v>
      </c>
    </row>
    <row r="1272" spans="1:4" ht="18" customHeight="1">
      <c r="A1272" s="10" t="s">
        <v>89</v>
      </c>
      <c r="B1272" s="10" t="s">
        <v>205</v>
      </c>
      <c r="C1272" s="10">
        <v>511445832.05498385</v>
      </c>
      <c r="D1272" s="10" t="s">
        <v>204</v>
      </c>
    </row>
    <row r="1273" spans="1:4" ht="18" customHeight="1">
      <c r="A1273" s="10" t="s">
        <v>89</v>
      </c>
      <c r="B1273" s="10" t="s">
        <v>206</v>
      </c>
      <c r="C1273" s="10">
        <v>511445832.05498391</v>
      </c>
      <c r="D1273" s="10" t="s">
        <v>204</v>
      </c>
    </row>
    <row r="1274" spans="1:4" ht="18" customHeight="1">
      <c r="A1274" s="10" t="s">
        <v>89</v>
      </c>
      <c r="B1274" s="10" t="s">
        <v>207</v>
      </c>
      <c r="C1274" s="10">
        <v>0</v>
      </c>
      <c r="D1274" s="10" t="s">
        <v>204</v>
      </c>
    </row>
    <row r="1275" spans="1:4" ht="18" customHeight="1">
      <c r="A1275" s="10" t="s">
        <v>89</v>
      </c>
      <c r="B1275" s="10" t="s">
        <v>208</v>
      </c>
      <c r="C1275" s="10">
        <v>5.9604644775390625E-8</v>
      </c>
      <c r="D1275" s="10" t="s">
        <v>204</v>
      </c>
    </row>
    <row r="1276" spans="1:4" ht="18" customHeight="1">
      <c r="A1276" s="10" t="s">
        <v>89</v>
      </c>
      <c r="B1276" s="10" t="s">
        <v>209</v>
      </c>
      <c r="C1276" s="10" t="s">
        <v>197</v>
      </c>
      <c r="D1276" s="10" t="s">
        <v>198</v>
      </c>
    </row>
    <row r="1277" spans="1:4" ht="18" customHeight="1">
      <c r="A1277" s="10" t="s">
        <v>89</v>
      </c>
      <c r="B1277" s="10" t="s">
        <v>210</v>
      </c>
      <c r="C1277" s="10" t="s">
        <v>197</v>
      </c>
      <c r="D1277" s="10" t="s">
        <v>198</v>
      </c>
    </row>
    <row r="1278" spans="1:4" ht="18" customHeight="1">
      <c r="A1278" s="10" t="s">
        <v>89</v>
      </c>
      <c r="B1278" s="10" t="s">
        <v>211</v>
      </c>
      <c r="C1278" s="10">
        <v>0</v>
      </c>
      <c r="D1278" s="10" t="s">
        <v>201</v>
      </c>
    </row>
    <row r="1279" spans="1:4" ht="18" customHeight="1">
      <c r="A1279" s="10" t="s">
        <v>89</v>
      </c>
      <c r="B1279" s="10" t="s">
        <v>212</v>
      </c>
      <c r="C1279" s="10">
        <v>0</v>
      </c>
      <c r="D1279" s="10" t="s">
        <v>201</v>
      </c>
    </row>
    <row r="1280" spans="1:4" ht="18" customHeight="1">
      <c r="A1280" s="10" t="s">
        <v>125</v>
      </c>
      <c r="B1280" s="10" t="s">
        <v>192</v>
      </c>
      <c r="C1280" s="10">
        <v>348828.22127339599</v>
      </c>
      <c r="D1280" s="10" t="s">
        <v>193</v>
      </c>
    </row>
    <row r="1281" spans="1:4" ht="18" customHeight="1">
      <c r="A1281" s="10" t="s">
        <v>125</v>
      </c>
      <c r="B1281" s="10" t="s">
        <v>194</v>
      </c>
      <c r="C1281" s="10">
        <v>348828.22127339599</v>
      </c>
      <c r="D1281" s="10" t="s">
        <v>193</v>
      </c>
    </row>
    <row r="1282" spans="1:4" ht="18" customHeight="1">
      <c r="A1282" s="10" t="s">
        <v>125</v>
      </c>
      <c r="B1282" s="10" t="s">
        <v>195</v>
      </c>
      <c r="C1282" s="10">
        <v>0</v>
      </c>
      <c r="D1282" s="10" t="s">
        <v>193</v>
      </c>
    </row>
    <row r="1283" spans="1:4" ht="18" customHeight="1">
      <c r="A1283" s="10" t="s">
        <v>125</v>
      </c>
      <c r="B1283" s="10" t="s">
        <v>196</v>
      </c>
      <c r="C1283" s="10" t="s">
        <v>197</v>
      </c>
      <c r="D1283" s="10" t="s">
        <v>198</v>
      </c>
    </row>
    <row r="1284" spans="1:4" ht="18" customHeight="1">
      <c r="A1284" s="10" t="s">
        <v>125</v>
      </c>
      <c r="B1284" s="10" t="s">
        <v>5</v>
      </c>
      <c r="C1284" s="10">
        <v>348828.22127339599</v>
      </c>
      <c r="D1284" s="10" t="s">
        <v>193</v>
      </c>
    </row>
    <row r="1285" spans="1:4" ht="18" customHeight="1">
      <c r="A1285" s="10" t="s">
        <v>125</v>
      </c>
      <c r="B1285" s="10" t="s">
        <v>199</v>
      </c>
      <c r="C1285" s="10">
        <v>1</v>
      </c>
      <c r="D1285" s="10" t="s">
        <v>200</v>
      </c>
    </row>
    <row r="1286" spans="1:4" ht="18" customHeight="1">
      <c r="A1286" s="10" t="s">
        <v>125</v>
      </c>
      <c r="B1286" s="10" t="s">
        <v>8</v>
      </c>
      <c r="C1286" s="10">
        <v>93</v>
      </c>
      <c r="D1286" s="10" t="s">
        <v>201</v>
      </c>
    </row>
    <row r="1287" spans="1:4" ht="18" customHeight="1">
      <c r="A1287" s="10" t="s">
        <v>125</v>
      </c>
      <c r="B1287" s="10" t="s">
        <v>9</v>
      </c>
      <c r="C1287" s="10">
        <v>93</v>
      </c>
      <c r="D1287" s="10" t="s">
        <v>201</v>
      </c>
    </row>
    <row r="1288" spans="1:4" ht="18" customHeight="1">
      <c r="A1288" s="10" t="s">
        <v>125</v>
      </c>
      <c r="B1288" s="10" t="s">
        <v>202</v>
      </c>
      <c r="C1288" s="10">
        <v>0</v>
      </c>
      <c r="D1288" s="10" t="s">
        <v>201</v>
      </c>
    </row>
    <row r="1289" spans="1:4" ht="18" customHeight="1">
      <c r="A1289" s="10" t="s">
        <v>125</v>
      </c>
      <c r="B1289" s="10" t="s">
        <v>203</v>
      </c>
      <c r="C1289" s="10">
        <v>188778895.78178987</v>
      </c>
      <c r="D1289" s="10" t="s">
        <v>204</v>
      </c>
    </row>
    <row r="1290" spans="1:4" ht="18" customHeight="1">
      <c r="A1290" s="10" t="s">
        <v>125</v>
      </c>
      <c r="B1290" s="10" t="s">
        <v>205</v>
      </c>
      <c r="C1290" s="10">
        <v>188778895.78178984</v>
      </c>
      <c r="D1290" s="10" t="s">
        <v>204</v>
      </c>
    </row>
    <row r="1291" spans="1:4" ht="18" customHeight="1">
      <c r="A1291" s="10" t="s">
        <v>125</v>
      </c>
      <c r="B1291" s="10" t="s">
        <v>206</v>
      </c>
      <c r="C1291" s="10">
        <v>188778895.78178978</v>
      </c>
      <c r="D1291" s="10" t="s">
        <v>204</v>
      </c>
    </row>
    <row r="1292" spans="1:4" ht="18" customHeight="1">
      <c r="A1292" s="10" t="s">
        <v>125</v>
      </c>
      <c r="B1292" s="10" t="s">
        <v>207</v>
      </c>
      <c r="C1292" s="10">
        <v>-2.9802322387695313E-8</v>
      </c>
      <c r="D1292" s="10" t="s">
        <v>204</v>
      </c>
    </row>
    <row r="1293" spans="1:4" ht="18" customHeight="1">
      <c r="A1293" s="10" t="s">
        <v>125</v>
      </c>
      <c r="B1293" s="10" t="s">
        <v>208</v>
      </c>
      <c r="C1293" s="10">
        <v>-8.9406967163085938E-8</v>
      </c>
      <c r="D1293" s="10" t="s">
        <v>204</v>
      </c>
    </row>
    <row r="1294" spans="1:4" ht="18" customHeight="1">
      <c r="A1294" s="10" t="s">
        <v>125</v>
      </c>
      <c r="B1294" s="10" t="s">
        <v>209</v>
      </c>
      <c r="C1294" s="10" t="s">
        <v>197</v>
      </c>
      <c r="D1294" s="10" t="s">
        <v>198</v>
      </c>
    </row>
    <row r="1295" spans="1:4" ht="18" customHeight="1">
      <c r="A1295" s="10" t="s">
        <v>125</v>
      </c>
      <c r="B1295" s="10" t="s">
        <v>210</v>
      </c>
      <c r="C1295" s="10" t="s">
        <v>197</v>
      </c>
      <c r="D1295" s="10" t="s">
        <v>198</v>
      </c>
    </row>
    <row r="1296" spans="1:4" ht="18" customHeight="1">
      <c r="A1296" s="10" t="s">
        <v>125</v>
      </c>
      <c r="B1296" s="10" t="s">
        <v>211</v>
      </c>
      <c r="C1296" s="10">
        <v>0</v>
      </c>
      <c r="D1296" s="10" t="s">
        <v>201</v>
      </c>
    </row>
    <row r="1297" spans="1:4" ht="18" customHeight="1">
      <c r="A1297" s="10" t="s">
        <v>125</v>
      </c>
      <c r="B1297" s="10" t="s">
        <v>212</v>
      </c>
      <c r="C1297" s="10">
        <v>0</v>
      </c>
      <c r="D1297" s="10" t="s">
        <v>201</v>
      </c>
    </row>
    <row r="1298" spans="1:4" ht="18" customHeight="1">
      <c r="A1298" s="10" t="s">
        <v>173</v>
      </c>
      <c r="B1298" s="10" t="s">
        <v>192</v>
      </c>
      <c r="C1298" s="10">
        <v>212.78852302800001</v>
      </c>
      <c r="D1298" s="10" t="s">
        <v>193</v>
      </c>
    </row>
    <row r="1299" spans="1:4" ht="18" customHeight="1">
      <c r="A1299" s="10" t="s">
        <v>173</v>
      </c>
      <c r="B1299" s="10" t="s">
        <v>194</v>
      </c>
      <c r="C1299" s="10">
        <v>212.78852302800001</v>
      </c>
      <c r="D1299" s="10" t="s">
        <v>193</v>
      </c>
    </row>
    <row r="1300" spans="1:4" ht="18" customHeight="1">
      <c r="A1300" s="10" t="s">
        <v>173</v>
      </c>
      <c r="B1300" s="10" t="s">
        <v>195</v>
      </c>
      <c r="C1300" s="10">
        <v>0</v>
      </c>
      <c r="D1300" s="10" t="s">
        <v>193</v>
      </c>
    </row>
    <row r="1301" spans="1:4" ht="18" customHeight="1">
      <c r="A1301" s="10" t="s">
        <v>173</v>
      </c>
      <c r="B1301" s="10" t="s">
        <v>196</v>
      </c>
      <c r="C1301" s="10" t="s">
        <v>197</v>
      </c>
      <c r="D1301" s="10" t="s">
        <v>198</v>
      </c>
    </row>
    <row r="1302" spans="1:4" ht="18" customHeight="1">
      <c r="A1302" s="10" t="s">
        <v>173</v>
      </c>
      <c r="B1302" s="10" t="s">
        <v>5</v>
      </c>
      <c r="C1302" s="10">
        <v>212.78852302800001</v>
      </c>
      <c r="D1302" s="10" t="s">
        <v>193</v>
      </c>
    </row>
    <row r="1303" spans="1:4" ht="18" customHeight="1">
      <c r="A1303" s="10" t="s">
        <v>173</v>
      </c>
      <c r="B1303" s="10" t="s">
        <v>199</v>
      </c>
      <c r="C1303" s="10">
        <v>1</v>
      </c>
      <c r="D1303" s="10" t="s">
        <v>200</v>
      </c>
    </row>
    <row r="1304" spans="1:4" ht="18" customHeight="1">
      <c r="A1304" s="10" t="s">
        <v>173</v>
      </c>
      <c r="B1304" s="10" t="s">
        <v>8</v>
      </c>
      <c r="C1304" s="10">
        <v>19</v>
      </c>
      <c r="D1304" s="10" t="s">
        <v>201</v>
      </c>
    </row>
    <row r="1305" spans="1:4" ht="18" customHeight="1">
      <c r="A1305" s="10" t="s">
        <v>173</v>
      </c>
      <c r="B1305" s="10" t="s">
        <v>9</v>
      </c>
      <c r="C1305" s="10">
        <v>19</v>
      </c>
      <c r="D1305" s="10" t="s">
        <v>201</v>
      </c>
    </row>
    <row r="1306" spans="1:4" ht="18" customHeight="1">
      <c r="A1306" s="10" t="s">
        <v>173</v>
      </c>
      <c r="B1306" s="10" t="s">
        <v>202</v>
      </c>
      <c r="C1306" s="10">
        <v>0</v>
      </c>
      <c r="D1306" s="10" t="s">
        <v>201</v>
      </c>
    </row>
    <row r="1307" spans="1:4" ht="18" customHeight="1">
      <c r="A1307" s="10" t="s">
        <v>173</v>
      </c>
      <c r="B1307" s="10" t="s">
        <v>203</v>
      </c>
      <c r="C1307" s="10">
        <v>439874.51024657505</v>
      </c>
      <c r="D1307" s="10" t="s">
        <v>204</v>
      </c>
    </row>
    <row r="1308" spans="1:4" ht="18" customHeight="1">
      <c r="A1308" s="10" t="s">
        <v>173</v>
      </c>
      <c r="B1308" s="10" t="s">
        <v>205</v>
      </c>
      <c r="C1308" s="10">
        <v>439874.51024657511</v>
      </c>
      <c r="D1308" s="10" t="s">
        <v>204</v>
      </c>
    </row>
    <row r="1309" spans="1:4" ht="18" customHeight="1">
      <c r="A1309" s="10" t="s">
        <v>173</v>
      </c>
      <c r="B1309" s="10" t="s">
        <v>206</v>
      </c>
      <c r="C1309" s="10">
        <v>439874.51024657505</v>
      </c>
      <c r="D1309" s="10" t="s">
        <v>204</v>
      </c>
    </row>
    <row r="1310" spans="1:4" ht="18" customHeight="1">
      <c r="A1310" s="10" t="s">
        <v>173</v>
      </c>
      <c r="B1310" s="10" t="s">
        <v>207</v>
      </c>
      <c r="C1310" s="10">
        <v>5.8207660913467407E-11</v>
      </c>
      <c r="D1310" s="10" t="s">
        <v>204</v>
      </c>
    </row>
    <row r="1311" spans="1:4" ht="18" customHeight="1">
      <c r="A1311" s="10" t="s">
        <v>173</v>
      </c>
      <c r="B1311" s="10" t="s">
        <v>208</v>
      </c>
      <c r="C1311" s="10">
        <v>0</v>
      </c>
      <c r="D1311" s="10" t="s">
        <v>204</v>
      </c>
    </row>
    <row r="1312" spans="1:4" ht="18" customHeight="1">
      <c r="A1312" s="10" t="s">
        <v>173</v>
      </c>
      <c r="B1312" s="10" t="s">
        <v>209</v>
      </c>
      <c r="C1312" s="10" t="s">
        <v>197</v>
      </c>
      <c r="D1312" s="10" t="s">
        <v>198</v>
      </c>
    </row>
    <row r="1313" spans="1:4" ht="18" customHeight="1">
      <c r="A1313" s="10" t="s">
        <v>173</v>
      </c>
      <c r="B1313" s="10" t="s">
        <v>210</v>
      </c>
      <c r="C1313" s="10" t="s">
        <v>197</v>
      </c>
      <c r="D1313" s="10" t="s">
        <v>198</v>
      </c>
    </row>
    <row r="1314" spans="1:4" ht="18" customHeight="1">
      <c r="A1314" s="10" t="s">
        <v>173</v>
      </c>
      <c r="B1314" s="10" t="s">
        <v>211</v>
      </c>
      <c r="C1314" s="10">
        <v>0</v>
      </c>
      <c r="D1314" s="10" t="s">
        <v>201</v>
      </c>
    </row>
    <row r="1315" spans="1:4" ht="18" customHeight="1">
      <c r="A1315" s="10" t="s">
        <v>173</v>
      </c>
      <c r="B1315" s="10" t="s">
        <v>212</v>
      </c>
      <c r="C1315" s="10">
        <v>0</v>
      </c>
      <c r="D1315" s="10" t="s">
        <v>201</v>
      </c>
    </row>
    <row r="1316" spans="1:4" ht="18" customHeight="1">
      <c r="A1316" s="10" t="s">
        <v>177</v>
      </c>
      <c r="B1316" s="10" t="s">
        <v>192</v>
      </c>
      <c r="C1316" s="10">
        <v>1304.0687744917</v>
      </c>
      <c r="D1316" s="10" t="s">
        <v>193</v>
      </c>
    </row>
    <row r="1317" spans="1:4" ht="18" customHeight="1">
      <c r="A1317" s="10" t="s">
        <v>177</v>
      </c>
      <c r="B1317" s="10" t="s">
        <v>194</v>
      </c>
      <c r="C1317" s="10">
        <v>1304.0687744917002</v>
      </c>
      <c r="D1317" s="10" t="s">
        <v>193</v>
      </c>
    </row>
    <row r="1318" spans="1:4" ht="18" customHeight="1">
      <c r="A1318" s="10" t="s">
        <v>177</v>
      </c>
      <c r="B1318" s="10" t="s">
        <v>195</v>
      </c>
      <c r="C1318" s="10">
        <v>2.2737367544323206E-13</v>
      </c>
      <c r="D1318" s="10" t="s">
        <v>193</v>
      </c>
    </row>
    <row r="1319" spans="1:4" ht="18" customHeight="1">
      <c r="A1319" s="10" t="s">
        <v>177</v>
      </c>
      <c r="B1319" s="10" t="s">
        <v>196</v>
      </c>
      <c r="C1319" s="10" t="s">
        <v>197</v>
      </c>
      <c r="D1319" s="10" t="s">
        <v>198</v>
      </c>
    </row>
    <row r="1320" spans="1:4" ht="18" customHeight="1">
      <c r="A1320" s="10" t="s">
        <v>177</v>
      </c>
      <c r="B1320" s="10" t="s">
        <v>5</v>
      </c>
      <c r="C1320" s="10">
        <v>1304.0687744917002</v>
      </c>
      <c r="D1320" s="10" t="s">
        <v>193</v>
      </c>
    </row>
    <row r="1321" spans="1:4" ht="18" customHeight="1">
      <c r="A1321" s="10" t="s">
        <v>177</v>
      </c>
      <c r="B1321" s="10" t="s">
        <v>199</v>
      </c>
      <c r="C1321" s="10">
        <v>1</v>
      </c>
      <c r="D1321" s="10" t="s">
        <v>200</v>
      </c>
    </row>
    <row r="1322" spans="1:4" ht="18" customHeight="1">
      <c r="A1322" s="10" t="s">
        <v>177</v>
      </c>
      <c r="B1322" s="10" t="s">
        <v>8</v>
      </c>
      <c r="C1322" s="10">
        <v>4</v>
      </c>
      <c r="D1322" s="10" t="s">
        <v>201</v>
      </c>
    </row>
    <row r="1323" spans="1:4" ht="18" customHeight="1">
      <c r="A1323" s="10" t="s">
        <v>177</v>
      </c>
      <c r="B1323" s="10" t="s">
        <v>9</v>
      </c>
      <c r="C1323" s="10">
        <v>4</v>
      </c>
      <c r="D1323" s="10" t="s">
        <v>201</v>
      </c>
    </row>
    <row r="1324" spans="1:4" ht="18" customHeight="1">
      <c r="A1324" s="10" t="s">
        <v>177</v>
      </c>
      <c r="B1324" s="10" t="s">
        <v>202</v>
      </c>
      <c r="C1324" s="10">
        <v>0</v>
      </c>
      <c r="D1324" s="10" t="s">
        <v>201</v>
      </c>
    </row>
    <row r="1325" spans="1:4" ht="18" customHeight="1">
      <c r="A1325" s="10" t="s">
        <v>177</v>
      </c>
      <c r="B1325" s="10" t="s">
        <v>203</v>
      </c>
      <c r="C1325" s="10">
        <v>275429.06254721642</v>
      </c>
      <c r="D1325" s="10" t="s">
        <v>204</v>
      </c>
    </row>
    <row r="1326" spans="1:4" ht="18" customHeight="1">
      <c r="A1326" s="10" t="s">
        <v>177</v>
      </c>
      <c r="B1326" s="10" t="s">
        <v>205</v>
      </c>
      <c r="C1326" s="10">
        <v>275429.06254721642</v>
      </c>
      <c r="D1326" s="10" t="s">
        <v>204</v>
      </c>
    </row>
    <row r="1327" spans="1:4" ht="18" customHeight="1">
      <c r="A1327" s="10" t="s">
        <v>177</v>
      </c>
      <c r="B1327" s="10" t="s">
        <v>206</v>
      </c>
      <c r="C1327" s="10">
        <v>275429.06254721642</v>
      </c>
      <c r="D1327" s="10" t="s">
        <v>204</v>
      </c>
    </row>
    <row r="1328" spans="1:4" ht="18" customHeight="1">
      <c r="A1328" s="10" t="s">
        <v>177</v>
      </c>
      <c r="B1328" s="10" t="s">
        <v>207</v>
      </c>
      <c r="C1328" s="10">
        <v>0</v>
      </c>
      <c r="D1328" s="10" t="s">
        <v>204</v>
      </c>
    </row>
    <row r="1329" spans="1:4" ht="18" customHeight="1">
      <c r="A1329" s="10" t="s">
        <v>177</v>
      </c>
      <c r="B1329" s="10" t="s">
        <v>208</v>
      </c>
      <c r="C1329" s="10">
        <v>0</v>
      </c>
      <c r="D1329" s="10" t="s">
        <v>204</v>
      </c>
    </row>
    <row r="1330" spans="1:4" ht="18" customHeight="1">
      <c r="A1330" s="10" t="s">
        <v>177</v>
      </c>
      <c r="B1330" s="10" t="s">
        <v>209</v>
      </c>
      <c r="C1330" s="10" t="s">
        <v>197</v>
      </c>
      <c r="D1330" s="10" t="s">
        <v>198</v>
      </c>
    </row>
    <row r="1331" spans="1:4" ht="18" customHeight="1">
      <c r="A1331" s="10" t="s">
        <v>177</v>
      </c>
      <c r="B1331" s="10" t="s">
        <v>210</v>
      </c>
      <c r="C1331" s="10" t="s">
        <v>197</v>
      </c>
      <c r="D1331" s="10" t="s">
        <v>198</v>
      </c>
    </row>
    <row r="1332" spans="1:4" ht="18" customHeight="1">
      <c r="A1332" s="10" t="s">
        <v>177</v>
      </c>
      <c r="B1332" s="10" t="s">
        <v>211</v>
      </c>
      <c r="C1332" s="10">
        <v>0</v>
      </c>
      <c r="D1332" s="10" t="s">
        <v>201</v>
      </c>
    </row>
    <row r="1333" spans="1:4" ht="18" customHeight="1">
      <c r="A1333" s="10" t="s">
        <v>177</v>
      </c>
      <c r="B1333" s="10" t="s">
        <v>212</v>
      </c>
      <c r="C1333" s="10">
        <v>0</v>
      </c>
      <c r="D1333" s="10" t="s">
        <v>201</v>
      </c>
    </row>
    <row r="1334" spans="1:4" ht="18" customHeight="1">
      <c r="A1334" s="10" t="s">
        <v>171</v>
      </c>
      <c r="B1334" s="10" t="s">
        <v>192</v>
      </c>
      <c r="C1334" s="10">
        <v>2616.1834162357</v>
      </c>
      <c r="D1334" s="10" t="s">
        <v>193</v>
      </c>
    </row>
    <row r="1335" spans="1:4" ht="18" customHeight="1">
      <c r="A1335" s="10" t="s">
        <v>171</v>
      </c>
      <c r="B1335" s="10" t="s">
        <v>194</v>
      </c>
      <c r="C1335" s="10">
        <v>2616.1834162357</v>
      </c>
      <c r="D1335" s="10" t="s">
        <v>193</v>
      </c>
    </row>
    <row r="1336" spans="1:4" ht="18" customHeight="1">
      <c r="A1336" s="10" t="s">
        <v>171</v>
      </c>
      <c r="B1336" s="10" t="s">
        <v>195</v>
      </c>
      <c r="C1336" s="10">
        <v>0</v>
      </c>
      <c r="D1336" s="10" t="s">
        <v>193</v>
      </c>
    </row>
    <row r="1337" spans="1:4" ht="18" customHeight="1">
      <c r="A1337" s="10" t="s">
        <v>171</v>
      </c>
      <c r="B1337" s="10" t="s">
        <v>196</v>
      </c>
      <c r="C1337" s="10" t="s">
        <v>197</v>
      </c>
      <c r="D1337" s="10" t="s">
        <v>198</v>
      </c>
    </row>
    <row r="1338" spans="1:4" ht="18" customHeight="1">
      <c r="A1338" s="10" t="s">
        <v>171</v>
      </c>
      <c r="B1338" s="10" t="s">
        <v>5</v>
      </c>
      <c r="C1338" s="10">
        <v>2616.1834162357</v>
      </c>
      <c r="D1338" s="10" t="s">
        <v>193</v>
      </c>
    </row>
    <row r="1339" spans="1:4" ht="18" customHeight="1">
      <c r="A1339" s="10" t="s">
        <v>171</v>
      </c>
      <c r="B1339" s="10" t="s">
        <v>199</v>
      </c>
      <c r="C1339" s="10">
        <v>1</v>
      </c>
      <c r="D1339" s="10" t="s">
        <v>200</v>
      </c>
    </row>
    <row r="1340" spans="1:4" ht="18" customHeight="1">
      <c r="A1340" s="10" t="s">
        <v>171</v>
      </c>
      <c r="B1340" s="10" t="s">
        <v>8</v>
      </c>
      <c r="C1340" s="10">
        <v>5</v>
      </c>
      <c r="D1340" s="10" t="s">
        <v>201</v>
      </c>
    </row>
    <row r="1341" spans="1:4" ht="18" customHeight="1">
      <c r="A1341" s="10" t="s">
        <v>171</v>
      </c>
      <c r="B1341" s="10" t="s">
        <v>9</v>
      </c>
      <c r="C1341" s="10">
        <v>5</v>
      </c>
      <c r="D1341" s="10" t="s">
        <v>201</v>
      </c>
    </row>
    <row r="1342" spans="1:4" ht="18" customHeight="1">
      <c r="A1342" s="10" t="s">
        <v>171</v>
      </c>
      <c r="B1342" s="10" t="s">
        <v>202</v>
      </c>
      <c r="C1342" s="10">
        <v>0</v>
      </c>
      <c r="D1342" s="10" t="s">
        <v>201</v>
      </c>
    </row>
    <row r="1343" spans="1:4" ht="18" customHeight="1">
      <c r="A1343" s="10" t="s">
        <v>171</v>
      </c>
      <c r="B1343" s="10" t="s">
        <v>203</v>
      </c>
      <c r="C1343" s="10">
        <v>507104.98048896767</v>
      </c>
      <c r="D1343" s="10" t="s">
        <v>204</v>
      </c>
    </row>
    <row r="1344" spans="1:4" ht="18" customHeight="1">
      <c r="A1344" s="10" t="s">
        <v>171</v>
      </c>
      <c r="B1344" s="10" t="s">
        <v>205</v>
      </c>
      <c r="C1344" s="10">
        <v>507104.98048896767</v>
      </c>
      <c r="D1344" s="10" t="s">
        <v>204</v>
      </c>
    </row>
    <row r="1345" spans="1:4" ht="18" customHeight="1">
      <c r="A1345" s="10" t="s">
        <v>171</v>
      </c>
      <c r="B1345" s="10" t="s">
        <v>206</v>
      </c>
      <c r="C1345" s="10">
        <v>507104.98048896762</v>
      </c>
      <c r="D1345" s="10" t="s">
        <v>204</v>
      </c>
    </row>
    <row r="1346" spans="1:4" ht="18" customHeight="1">
      <c r="A1346" s="10" t="s">
        <v>171</v>
      </c>
      <c r="B1346" s="10" t="s">
        <v>207</v>
      </c>
      <c r="C1346" s="10">
        <v>0</v>
      </c>
      <c r="D1346" s="10" t="s">
        <v>204</v>
      </c>
    </row>
    <row r="1347" spans="1:4" ht="18" customHeight="1">
      <c r="A1347" s="10" t="s">
        <v>171</v>
      </c>
      <c r="B1347" s="10" t="s">
        <v>208</v>
      </c>
      <c r="C1347" s="10">
        <v>-5.8207660913467407E-11</v>
      </c>
      <c r="D1347" s="10" t="s">
        <v>204</v>
      </c>
    </row>
    <row r="1348" spans="1:4" ht="18" customHeight="1">
      <c r="A1348" s="10" t="s">
        <v>171</v>
      </c>
      <c r="B1348" s="10" t="s">
        <v>209</v>
      </c>
      <c r="C1348" s="10" t="s">
        <v>197</v>
      </c>
      <c r="D1348" s="10" t="s">
        <v>198</v>
      </c>
    </row>
    <row r="1349" spans="1:4" ht="18" customHeight="1">
      <c r="A1349" s="10" t="s">
        <v>171</v>
      </c>
      <c r="B1349" s="10" t="s">
        <v>210</v>
      </c>
      <c r="C1349" s="10" t="s">
        <v>197</v>
      </c>
      <c r="D1349" s="10" t="s">
        <v>198</v>
      </c>
    </row>
    <row r="1350" spans="1:4" ht="18" customHeight="1">
      <c r="A1350" s="10" t="s">
        <v>171</v>
      </c>
      <c r="B1350" s="10" t="s">
        <v>211</v>
      </c>
      <c r="C1350" s="10">
        <v>0</v>
      </c>
      <c r="D1350" s="10" t="s">
        <v>201</v>
      </c>
    </row>
    <row r="1351" spans="1:4" ht="18" customHeight="1">
      <c r="A1351" s="10" t="s">
        <v>171</v>
      </c>
      <c r="B1351" s="10" t="s">
        <v>212</v>
      </c>
      <c r="C1351" s="10">
        <v>0</v>
      </c>
      <c r="D1351" s="10" t="s">
        <v>201</v>
      </c>
    </row>
    <row r="1352" spans="1:4" ht="18" customHeight="1">
      <c r="A1352" s="10" t="s">
        <v>179</v>
      </c>
      <c r="B1352" s="10" t="s">
        <v>192</v>
      </c>
      <c r="C1352" s="10">
        <v>719.28920190779991</v>
      </c>
      <c r="D1352" s="10" t="s">
        <v>193</v>
      </c>
    </row>
    <row r="1353" spans="1:4" ht="18" customHeight="1">
      <c r="A1353" s="10" t="s">
        <v>179</v>
      </c>
      <c r="B1353" s="10" t="s">
        <v>194</v>
      </c>
      <c r="C1353" s="10">
        <v>719.28920190780002</v>
      </c>
      <c r="D1353" s="10" t="s">
        <v>193</v>
      </c>
    </row>
    <row r="1354" spans="1:4" ht="18" customHeight="1">
      <c r="A1354" s="10" t="s">
        <v>179</v>
      </c>
      <c r="B1354" s="10" t="s">
        <v>195</v>
      </c>
      <c r="C1354" s="10">
        <v>1.1368683772161603E-13</v>
      </c>
      <c r="D1354" s="10" t="s">
        <v>193</v>
      </c>
    </row>
    <row r="1355" spans="1:4" ht="18" customHeight="1">
      <c r="A1355" s="10" t="s">
        <v>179</v>
      </c>
      <c r="B1355" s="10" t="s">
        <v>196</v>
      </c>
      <c r="C1355" s="10" t="s">
        <v>197</v>
      </c>
      <c r="D1355" s="10" t="s">
        <v>198</v>
      </c>
    </row>
    <row r="1356" spans="1:4" ht="18" customHeight="1">
      <c r="A1356" s="10" t="s">
        <v>179</v>
      </c>
      <c r="B1356" s="10" t="s">
        <v>5</v>
      </c>
      <c r="C1356" s="10">
        <v>719.28920190780002</v>
      </c>
      <c r="D1356" s="10" t="s">
        <v>193</v>
      </c>
    </row>
    <row r="1357" spans="1:4" ht="18" customHeight="1">
      <c r="A1357" s="10" t="s">
        <v>179</v>
      </c>
      <c r="B1357" s="10" t="s">
        <v>199</v>
      </c>
      <c r="C1357" s="10">
        <v>1</v>
      </c>
      <c r="D1357" s="10" t="s">
        <v>200</v>
      </c>
    </row>
    <row r="1358" spans="1:4" ht="18" customHeight="1">
      <c r="A1358" s="10" t="s">
        <v>179</v>
      </c>
      <c r="B1358" s="10" t="s">
        <v>8</v>
      </c>
      <c r="C1358" s="10">
        <v>5</v>
      </c>
      <c r="D1358" s="10" t="s">
        <v>201</v>
      </c>
    </row>
    <row r="1359" spans="1:4" ht="18" customHeight="1">
      <c r="A1359" s="10" t="s">
        <v>179</v>
      </c>
      <c r="B1359" s="10" t="s">
        <v>9</v>
      </c>
      <c r="C1359" s="10">
        <v>5</v>
      </c>
      <c r="D1359" s="10" t="s">
        <v>201</v>
      </c>
    </row>
    <row r="1360" spans="1:4" ht="18" customHeight="1">
      <c r="A1360" s="10" t="s">
        <v>179</v>
      </c>
      <c r="B1360" s="10" t="s">
        <v>202</v>
      </c>
      <c r="C1360" s="10">
        <v>0</v>
      </c>
      <c r="D1360" s="10" t="s">
        <v>201</v>
      </c>
    </row>
    <row r="1361" spans="1:4" ht="18" customHeight="1">
      <c r="A1361" s="10" t="s">
        <v>179</v>
      </c>
      <c r="B1361" s="10" t="s">
        <v>203</v>
      </c>
      <c r="C1361" s="10">
        <v>137138.92556169763</v>
      </c>
      <c r="D1361" s="10" t="s">
        <v>204</v>
      </c>
    </row>
    <row r="1362" spans="1:4" ht="18" customHeight="1">
      <c r="A1362" s="10" t="s">
        <v>179</v>
      </c>
      <c r="B1362" s="10" t="s">
        <v>205</v>
      </c>
      <c r="C1362" s="10">
        <v>137138.92556169763</v>
      </c>
      <c r="D1362" s="10" t="s">
        <v>204</v>
      </c>
    </row>
    <row r="1363" spans="1:4" ht="18" customHeight="1">
      <c r="A1363" s="10" t="s">
        <v>179</v>
      </c>
      <c r="B1363" s="10" t="s">
        <v>206</v>
      </c>
      <c r="C1363" s="10">
        <v>137138.92556169763</v>
      </c>
      <c r="D1363" s="10" t="s">
        <v>204</v>
      </c>
    </row>
    <row r="1364" spans="1:4" ht="18" customHeight="1">
      <c r="A1364" s="10" t="s">
        <v>179</v>
      </c>
      <c r="B1364" s="10" t="s">
        <v>207</v>
      </c>
      <c r="C1364" s="10">
        <v>0</v>
      </c>
      <c r="D1364" s="10" t="s">
        <v>204</v>
      </c>
    </row>
    <row r="1365" spans="1:4" ht="18" customHeight="1">
      <c r="A1365" s="10" t="s">
        <v>179</v>
      </c>
      <c r="B1365" s="10" t="s">
        <v>208</v>
      </c>
      <c r="C1365" s="10">
        <v>0</v>
      </c>
      <c r="D1365" s="10" t="s">
        <v>204</v>
      </c>
    </row>
    <row r="1366" spans="1:4" ht="18" customHeight="1">
      <c r="A1366" s="10" t="s">
        <v>179</v>
      </c>
      <c r="B1366" s="10" t="s">
        <v>209</v>
      </c>
      <c r="C1366" s="10" t="s">
        <v>197</v>
      </c>
      <c r="D1366" s="10" t="s">
        <v>198</v>
      </c>
    </row>
    <row r="1367" spans="1:4" ht="18" customHeight="1">
      <c r="A1367" s="10" t="s">
        <v>179</v>
      </c>
      <c r="B1367" s="10" t="s">
        <v>210</v>
      </c>
      <c r="C1367" s="10" t="s">
        <v>197</v>
      </c>
      <c r="D1367" s="10" t="s">
        <v>198</v>
      </c>
    </row>
    <row r="1368" spans="1:4" ht="18" customHeight="1">
      <c r="A1368" s="10" t="s">
        <v>179</v>
      </c>
      <c r="B1368" s="10" t="s">
        <v>211</v>
      </c>
      <c r="C1368" s="10">
        <v>0</v>
      </c>
      <c r="D1368" s="10" t="s">
        <v>201</v>
      </c>
    </row>
    <row r="1369" spans="1:4" ht="18" customHeight="1">
      <c r="A1369" s="10" t="s">
        <v>179</v>
      </c>
      <c r="B1369" s="10" t="s">
        <v>212</v>
      </c>
      <c r="C1369" s="10">
        <v>0</v>
      </c>
      <c r="D1369" s="10" t="s">
        <v>201</v>
      </c>
    </row>
    <row r="1370" spans="1:4" ht="18" customHeight="1">
      <c r="A1370" s="10" t="s">
        <v>75</v>
      </c>
      <c r="B1370" s="10" t="s">
        <v>192</v>
      </c>
      <c r="C1370" s="10">
        <v>697974.91168561147</v>
      </c>
      <c r="D1370" s="10" t="s">
        <v>193</v>
      </c>
    </row>
    <row r="1371" spans="1:4" ht="18" customHeight="1">
      <c r="A1371" s="10" t="s">
        <v>75</v>
      </c>
      <c r="B1371" s="10" t="s">
        <v>194</v>
      </c>
      <c r="C1371" s="10">
        <v>697974.91168561135</v>
      </c>
      <c r="D1371" s="10" t="s">
        <v>193</v>
      </c>
    </row>
    <row r="1372" spans="1:4" ht="18" customHeight="1">
      <c r="A1372" s="10" t="s">
        <v>75</v>
      </c>
      <c r="B1372" s="10" t="s">
        <v>195</v>
      </c>
      <c r="C1372" s="10">
        <v>-1.1641532182693481E-10</v>
      </c>
      <c r="D1372" s="10" t="s">
        <v>193</v>
      </c>
    </row>
    <row r="1373" spans="1:4" ht="18" customHeight="1">
      <c r="A1373" s="10" t="s">
        <v>75</v>
      </c>
      <c r="B1373" s="10" t="s">
        <v>196</v>
      </c>
      <c r="C1373" s="10" t="s">
        <v>197</v>
      </c>
      <c r="D1373" s="10" t="s">
        <v>198</v>
      </c>
    </row>
    <row r="1374" spans="1:4" ht="18" customHeight="1">
      <c r="A1374" s="10" t="s">
        <v>75</v>
      </c>
      <c r="B1374" s="10" t="s">
        <v>5</v>
      </c>
      <c r="C1374" s="10">
        <v>697974.91168561135</v>
      </c>
      <c r="D1374" s="10" t="s">
        <v>193</v>
      </c>
    </row>
    <row r="1375" spans="1:4" ht="18" customHeight="1">
      <c r="A1375" s="10" t="s">
        <v>75</v>
      </c>
      <c r="B1375" s="10" t="s">
        <v>199</v>
      </c>
      <c r="C1375" s="10">
        <v>1</v>
      </c>
      <c r="D1375" s="10" t="s">
        <v>200</v>
      </c>
    </row>
    <row r="1376" spans="1:4" ht="18" customHeight="1">
      <c r="A1376" s="10" t="s">
        <v>75</v>
      </c>
      <c r="B1376" s="10" t="s">
        <v>8</v>
      </c>
      <c r="C1376" s="10">
        <v>74</v>
      </c>
      <c r="D1376" s="10" t="s">
        <v>201</v>
      </c>
    </row>
    <row r="1377" spans="1:4" ht="18" customHeight="1">
      <c r="A1377" s="10" t="s">
        <v>75</v>
      </c>
      <c r="B1377" s="10" t="s">
        <v>9</v>
      </c>
      <c r="C1377" s="10">
        <v>74</v>
      </c>
      <c r="D1377" s="10" t="s">
        <v>201</v>
      </c>
    </row>
    <row r="1378" spans="1:4" ht="18" customHeight="1">
      <c r="A1378" s="10" t="s">
        <v>75</v>
      </c>
      <c r="B1378" s="10" t="s">
        <v>202</v>
      </c>
      <c r="C1378" s="10">
        <v>0</v>
      </c>
      <c r="D1378" s="10" t="s">
        <v>201</v>
      </c>
    </row>
    <row r="1379" spans="1:4" ht="18" customHeight="1">
      <c r="A1379" s="10" t="s">
        <v>75</v>
      </c>
      <c r="B1379" s="10" t="s">
        <v>203</v>
      </c>
      <c r="C1379" s="10">
        <v>707135211.91527545</v>
      </c>
      <c r="D1379" s="10" t="s">
        <v>204</v>
      </c>
    </row>
    <row r="1380" spans="1:4" ht="18" customHeight="1">
      <c r="A1380" s="10" t="s">
        <v>75</v>
      </c>
      <c r="B1380" s="10" t="s">
        <v>205</v>
      </c>
      <c r="C1380" s="10">
        <v>707135211.91527545</v>
      </c>
      <c r="D1380" s="10" t="s">
        <v>204</v>
      </c>
    </row>
    <row r="1381" spans="1:4" ht="18" customHeight="1">
      <c r="A1381" s="10" t="s">
        <v>75</v>
      </c>
      <c r="B1381" s="10" t="s">
        <v>206</v>
      </c>
      <c r="C1381" s="10">
        <v>707135211.91527534</v>
      </c>
      <c r="D1381" s="10" t="s">
        <v>204</v>
      </c>
    </row>
    <row r="1382" spans="1:4" ht="18" customHeight="1">
      <c r="A1382" s="10" t="s">
        <v>75</v>
      </c>
      <c r="B1382" s="10" t="s">
        <v>207</v>
      </c>
      <c r="C1382" s="10">
        <v>0</v>
      </c>
      <c r="D1382" s="10" t="s">
        <v>204</v>
      </c>
    </row>
    <row r="1383" spans="1:4" ht="18" customHeight="1">
      <c r="A1383" s="10" t="s">
        <v>75</v>
      </c>
      <c r="B1383" s="10" t="s">
        <v>208</v>
      </c>
      <c r="C1383" s="10">
        <v>-1.1920928955078125E-7</v>
      </c>
      <c r="D1383" s="10" t="s">
        <v>204</v>
      </c>
    </row>
    <row r="1384" spans="1:4" ht="18" customHeight="1">
      <c r="A1384" s="10" t="s">
        <v>75</v>
      </c>
      <c r="B1384" s="10" t="s">
        <v>209</v>
      </c>
      <c r="C1384" s="10" t="s">
        <v>197</v>
      </c>
      <c r="D1384" s="10" t="s">
        <v>198</v>
      </c>
    </row>
    <row r="1385" spans="1:4" ht="18" customHeight="1">
      <c r="A1385" s="10" t="s">
        <v>75</v>
      </c>
      <c r="B1385" s="10" t="s">
        <v>210</v>
      </c>
      <c r="C1385" s="10" t="s">
        <v>197</v>
      </c>
      <c r="D1385" s="10" t="s">
        <v>198</v>
      </c>
    </row>
    <row r="1386" spans="1:4" ht="18" customHeight="1">
      <c r="A1386" s="10" t="s">
        <v>75</v>
      </c>
      <c r="B1386" s="10" t="s">
        <v>211</v>
      </c>
      <c r="C1386" s="10">
        <v>0</v>
      </c>
      <c r="D1386" s="10" t="s">
        <v>201</v>
      </c>
    </row>
    <row r="1387" spans="1:4" ht="18" customHeight="1">
      <c r="A1387" s="10" t="s">
        <v>75</v>
      </c>
      <c r="B1387" s="10" t="s">
        <v>212</v>
      </c>
      <c r="C1387" s="10">
        <v>0</v>
      </c>
      <c r="D1387" s="10" t="s">
        <v>201</v>
      </c>
    </row>
    <row r="1388" spans="1:4" ht="18" customHeight="1">
      <c r="A1388" s="10" t="s">
        <v>93</v>
      </c>
      <c r="B1388" s="10" t="s">
        <v>192</v>
      </c>
      <c r="C1388" s="10">
        <v>420222.20101457392</v>
      </c>
      <c r="D1388" s="10" t="s">
        <v>193</v>
      </c>
    </row>
    <row r="1389" spans="1:4" ht="18" customHeight="1">
      <c r="A1389" s="10" t="s">
        <v>93</v>
      </c>
      <c r="B1389" s="10" t="s">
        <v>194</v>
      </c>
      <c r="C1389" s="10">
        <v>420222.20101457404</v>
      </c>
      <c r="D1389" s="10" t="s">
        <v>193</v>
      </c>
    </row>
    <row r="1390" spans="1:4" ht="18" customHeight="1">
      <c r="A1390" s="10" t="s">
        <v>93</v>
      </c>
      <c r="B1390" s="10" t="s">
        <v>195</v>
      </c>
      <c r="C1390" s="10">
        <v>1.1641532182693481E-10</v>
      </c>
      <c r="D1390" s="10" t="s">
        <v>193</v>
      </c>
    </row>
    <row r="1391" spans="1:4" ht="18" customHeight="1">
      <c r="A1391" s="10" t="s">
        <v>93</v>
      </c>
      <c r="B1391" s="10" t="s">
        <v>196</v>
      </c>
      <c r="C1391" s="10" t="s">
        <v>197</v>
      </c>
      <c r="D1391" s="10" t="s">
        <v>198</v>
      </c>
    </row>
    <row r="1392" spans="1:4" ht="18" customHeight="1">
      <c r="A1392" s="10" t="s">
        <v>93</v>
      </c>
      <c r="B1392" s="10" t="s">
        <v>5</v>
      </c>
      <c r="C1392" s="10">
        <v>420222.20101457404</v>
      </c>
      <c r="D1392" s="10" t="s">
        <v>193</v>
      </c>
    </row>
    <row r="1393" spans="1:4" ht="18" customHeight="1">
      <c r="A1393" s="10" t="s">
        <v>93</v>
      </c>
      <c r="B1393" s="10" t="s">
        <v>199</v>
      </c>
      <c r="C1393" s="10">
        <v>1</v>
      </c>
      <c r="D1393" s="10" t="s">
        <v>200</v>
      </c>
    </row>
    <row r="1394" spans="1:4" ht="18" customHeight="1">
      <c r="A1394" s="10" t="s">
        <v>93</v>
      </c>
      <c r="B1394" s="10" t="s">
        <v>8</v>
      </c>
      <c r="C1394" s="10">
        <v>114</v>
      </c>
      <c r="D1394" s="10" t="s">
        <v>201</v>
      </c>
    </row>
    <row r="1395" spans="1:4" ht="18" customHeight="1">
      <c r="A1395" s="10" t="s">
        <v>93</v>
      </c>
      <c r="B1395" s="10" t="s">
        <v>9</v>
      </c>
      <c r="C1395" s="10">
        <v>114</v>
      </c>
      <c r="D1395" s="10" t="s">
        <v>201</v>
      </c>
    </row>
    <row r="1396" spans="1:4" ht="18" customHeight="1">
      <c r="A1396" s="10" t="s">
        <v>93</v>
      </c>
      <c r="B1396" s="10" t="s">
        <v>202</v>
      </c>
      <c r="C1396" s="10">
        <v>0</v>
      </c>
      <c r="D1396" s="10" t="s">
        <v>201</v>
      </c>
    </row>
    <row r="1397" spans="1:4" ht="18" customHeight="1">
      <c r="A1397" s="10" t="s">
        <v>93</v>
      </c>
      <c r="B1397" s="10" t="s">
        <v>203</v>
      </c>
      <c r="C1397" s="10">
        <v>476451437.82346839</v>
      </c>
      <c r="D1397" s="10" t="s">
        <v>204</v>
      </c>
    </row>
    <row r="1398" spans="1:4" ht="18" customHeight="1">
      <c r="A1398" s="10" t="s">
        <v>93</v>
      </c>
      <c r="B1398" s="10" t="s">
        <v>205</v>
      </c>
      <c r="C1398" s="10">
        <v>476451437.82346827</v>
      </c>
      <c r="D1398" s="10" t="s">
        <v>204</v>
      </c>
    </row>
    <row r="1399" spans="1:4" ht="18" customHeight="1">
      <c r="A1399" s="10" t="s">
        <v>93</v>
      </c>
      <c r="B1399" s="10" t="s">
        <v>206</v>
      </c>
      <c r="C1399" s="10">
        <v>476451437.82346827</v>
      </c>
      <c r="D1399" s="10" t="s">
        <v>204</v>
      </c>
    </row>
    <row r="1400" spans="1:4" ht="18" customHeight="1">
      <c r="A1400" s="10" t="s">
        <v>93</v>
      </c>
      <c r="B1400" s="10" t="s">
        <v>207</v>
      </c>
      <c r="C1400" s="10">
        <v>-1.1920928955078125E-7</v>
      </c>
      <c r="D1400" s="10" t="s">
        <v>204</v>
      </c>
    </row>
    <row r="1401" spans="1:4" ht="18" customHeight="1">
      <c r="A1401" s="10" t="s">
        <v>93</v>
      </c>
      <c r="B1401" s="10" t="s">
        <v>208</v>
      </c>
      <c r="C1401" s="10">
        <v>-1.1920928955078125E-7</v>
      </c>
      <c r="D1401" s="10" t="s">
        <v>204</v>
      </c>
    </row>
    <row r="1402" spans="1:4" ht="18" customHeight="1">
      <c r="A1402" s="10" t="s">
        <v>93</v>
      </c>
      <c r="B1402" s="10" t="s">
        <v>209</v>
      </c>
      <c r="C1402" s="10" t="s">
        <v>197</v>
      </c>
      <c r="D1402" s="10" t="s">
        <v>198</v>
      </c>
    </row>
    <row r="1403" spans="1:4" ht="18" customHeight="1">
      <c r="A1403" s="10" t="s">
        <v>93</v>
      </c>
      <c r="B1403" s="10" t="s">
        <v>210</v>
      </c>
      <c r="C1403" s="10" t="s">
        <v>197</v>
      </c>
      <c r="D1403" s="10" t="s">
        <v>198</v>
      </c>
    </row>
    <row r="1404" spans="1:4" ht="18" customHeight="1">
      <c r="A1404" s="10" t="s">
        <v>93</v>
      </c>
      <c r="B1404" s="10" t="s">
        <v>211</v>
      </c>
      <c r="C1404" s="10">
        <v>0</v>
      </c>
      <c r="D1404" s="10" t="s">
        <v>201</v>
      </c>
    </row>
    <row r="1405" spans="1:4" ht="18" customHeight="1">
      <c r="A1405" s="10" t="s">
        <v>93</v>
      </c>
      <c r="B1405" s="10" t="s">
        <v>212</v>
      </c>
      <c r="C1405" s="10">
        <v>0</v>
      </c>
      <c r="D1405" s="10" t="s">
        <v>201</v>
      </c>
    </row>
    <row r="1406" spans="1:4" ht="18" customHeight="1">
      <c r="A1406" s="10" t="s">
        <v>183</v>
      </c>
      <c r="B1406" s="10" t="s">
        <v>192</v>
      </c>
      <c r="C1406" s="10">
        <v>0.2496140134</v>
      </c>
      <c r="D1406" s="10" t="s">
        <v>193</v>
      </c>
    </row>
    <row r="1407" spans="1:4" ht="18" customHeight="1">
      <c r="A1407" s="10" t="s">
        <v>183</v>
      </c>
      <c r="B1407" s="10" t="s">
        <v>194</v>
      </c>
      <c r="C1407" s="10">
        <v>0.2496140134</v>
      </c>
      <c r="D1407" s="10" t="s">
        <v>193</v>
      </c>
    </row>
    <row r="1408" spans="1:4" ht="18" customHeight="1">
      <c r="A1408" s="10" t="s">
        <v>183</v>
      </c>
      <c r="B1408" s="10" t="s">
        <v>195</v>
      </c>
      <c r="C1408" s="10">
        <v>0</v>
      </c>
      <c r="D1408" s="10" t="s">
        <v>193</v>
      </c>
    </row>
    <row r="1409" spans="1:4" ht="18" customHeight="1">
      <c r="A1409" s="10" t="s">
        <v>183</v>
      </c>
      <c r="B1409" s="10" t="s">
        <v>196</v>
      </c>
      <c r="C1409" s="10" t="s">
        <v>197</v>
      </c>
      <c r="D1409" s="10" t="s">
        <v>198</v>
      </c>
    </row>
    <row r="1410" spans="1:4" ht="18" customHeight="1">
      <c r="A1410" s="10" t="s">
        <v>183</v>
      </c>
      <c r="B1410" s="10" t="s">
        <v>5</v>
      </c>
      <c r="C1410" s="10">
        <v>0.2496140134</v>
      </c>
      <c r="D1410" s="10" t="s">
        <v>193</v>
      </c>
    </row>
    <row r="1411" spans="1:4" ht="18" customHeight="1">
      <c r="A1411" s="10" t="s">
        <v>183</v>
      </c>
      <c r="B1411" s="10" t="s">
        <v>199</v>
      </c>
      <c r="C1411" s="10">
        <v>1</v>
      </c>
      <c r="D1411" s="10" t="s">
        <v>200</v>
      </c>
    </row>
    <row r="1412" spans="1:4" ht="18" customHeight="1">
      <c r="A1412" s="10" t="s">
        <v>183</v>
      </c>
      <c r="B1412" s="10" t="s">
        <v>8</v>
      </c>
      <c r="C1412" s="10">
        <v>10</v>
      </c>
      <c r="D1412" s="10" t="s">
        <v>201</v>
      </c>
    </row>
    <row r="1413" spans="1:4" ht="18" customHeight="1">
      <c r="A1413" s="10" t="s">
        <v>183</v>
      </c>
      <c r="B1413" s="10" t="s">
        <v>9</v>
      </c>
      <c r="C1413" s="10">
        <v>10</v>
      </c>
      <c r="D1413" s="10" t="s">
        <v>201</v>
      </c>
    </row>
    <row r="1414" spans="1:4" ht="18" customHeight="1">
      <c r="A1414" s="10" t="s">
        <v>183</v>
      </c>
      <c r="B1414" s="10" t="s">
        <v>202</v>
      </c>
      <c r="C1414" s="10">
        <v>0</v>
      </c>
      <c r="D1414" s="10" t="s">
        <v>201</v>
      </c>
    </row>
    <row r="1415" spans="1:4" ht="18" customHeight="1">
      <c r="A1415" s="10" t="s">
        <v>183</v>
      </c>
      <c r="B1415" s="10" t="s">
        <v>203</v>
      </c>
      <c r="C1415" s="10">
        <v>57.732741635911189</v>
      </c>
      <c r="D1415" s="10" t="s">
        <v>204</v>
      </c>
    </row>
    <row r="1416" spans="1:4" ht="18" customHeight="1">
      <c r="A1416" s="10" t="s">
        <v>183</v>
      </c>
      <c r="B1416" s="10" t="s">
        <v>205</v>
      </c>
      <c r="C1416" s="10">
        <v>57.732741635911196</v>
      </c>
      <c r="D1416" s="10" t="s">
        <v>204</v>
      </c>
    </row>
    <row r="1417" spans="1:4" ht="18" customHeight="1">
      <c r="A1417" s="10" t="s">
        <v>183</v>
      </c>
      <c r="B1417" s="10" t="s">
        <v>206</v>
      </c>
      <c r="C1417" s="10">
        <v>57.732741635911196</v>
      </c>
      <c r="D1417" s="10" t="s">
        <v>204</v>
      </c>
    </row>
    <row r="1418" spans="1:4" ht="18" customHeight="1">
      <c r="A1418" s="10" t="s">
        <v>183</v>
      </c>
      <c r="B1418" s="10" t="s">
        <v>207</v>
      </c>
      <c r="C1418" s="10">
        <v>7.1054273576010019E-15</v>
      </c>
      <c r="D1418" s="10" t="s">
        <v>204</v>
      </c>
    </row>
    <row r="1419" spans="1:4" ht="18" customHeight="1">
      <c r="A1419" s="10" t="s">
        <v>183</v>
      </c>
      <c r="B1419" s="10" t="s">
        <v>208</v>
      </c>
      <c r="C1419" s="10">
        <v>7.1054273576010019E-15</v>
      </c>
      <c r="D1419" s="10" t="s">
        <v>204</v>
      </c>
    </row>
    <row r="1420" spans="1:4" ht="18" customHeight="1">
      <c r="A1420" s="10" t="s">
        <v>183</v>
      </c>
      <c r="B1420" s="10" t="s">
        <v>209</v>
      </c>
      <c r="C1420" s="10" t="s">
        <v>197</v>
      </c>
      <c r="D1420" s="10" t="s">
        <v>198</v>
      </c>
    </row>
    <row r="1421" spans="1:4" ht="18" customHeight="1">
      <c r="A1421" s="10" t="s">
        <v>183</v>
      </c>
      <c r="B1421" s="10" t="s">
        <v>210</v>
      </c>
      <c r="C1421" s="10" t="s">
        <v>197</v>
      </c>
      <c r="D1421" s="10" t="s">
        <v>198</v>
      </c>
    </row>
    <row r="1422" spans="1:4" ht="18" customHeight="1">
      <c r="A1422" s="10" t="s">
        <v>183</v>
      </c>
      <c r="B1422" s="10" t="s">
        <v>211</v>
      </c>
      <c r="C1422" s="10">
        <v>0</v>
      </c>
      <c r="D1422" s="10" t="s">
        <v>201</v>
      </c>
    </row>
    <row r="1423" spans="1:4" ht="18" customHeight="1">
      <c r="A1423" s="10" t="s">
        <v>183</v>
      </c>
      <c r="B1423" s="10" t="s">
        <v>212</v>
      </c>
      <c r="C1423" s="10">
        <v>0</v>
      </c>
      <c r="D1423" s="10" t="s">
        <v>201</v>
      </c>
    </row>
    <row r="1424" spans="1:4" ht="18" customHeight="1">
      <c r="A1424" s="10" t="s">
        <v>105</v>
      </c>
      <c r="B1424" s="10" t="s">
        <v>192</v>
      </c>
      <c r="C1424" s="10">
        <v>1145168.185954724</v>
      </c>
      <c r="D1424" s="10" t="s">
        <v>193</v>
      </c>
    </row>
    <row r="1425" spans="1:4" ht="18" customHeight="1">
      <c r="A1425" s="10" t="s">
        <v>105</v>
      </c>
      <c r="B1425" s="10" t="s">
        <v>194</v>
      </c>
      <c r="C1425" s="10">
        <v>1145168.1859547237</v>
      </c>
      <c r="D1425" s="10" t="s">
        <v>193</v>
      </c>
    </row>
    <row r="1426" spans="1:4" ht="18" customHeight="1">
      <c r="A1426" s="10" t="s">
        <v>105</v>
      </c>
      <c r="B1426" s="10" t="s">
        <v>195</v>
      </c>
      <c r="C1426" s="10">
        <v>-2.3283064365386963E-10</v>
      </c>
      <c r="D1426" s="10" t="s">
        <v>193</v>
      </c>
    </row>
    <row r="1427" spans="1:4" ht="18" customHeight="1">
      <c r="A1427" s="10" t="s">
        <v>105</v>
      </c>
      <c r="B1427" s="10" t="s">
        <v>196</v>
      </c>
      <c r="C1427" s="10" t="s">
        <v>197</v>
      </c>
      <c r="D1427" s="10" t="s">
        <v>198</v>
      </c>
    </row>
    <row r="1428" spans="1:4" ht="18" customHeight="1">
      <c r="A1428" s="10" t="s">
        <v>105</v>
      </c>
      <c r="B1428" s="10" t="s">
        <v>5</v>
      </c>
      <c r="C1428" s="10">
        <v>1145168.1859547237</v>
      </c>
      <c r="D1428" s="10" t="s">
        <v>193</v>
      </c>
    </row>
    <row r="1429" spans="1:4" ht="18" customHeight="1">
      <c r="A1429" s="10" t="s">
        <v>105</v>
      </c>
      <c r="B1429" s="10" t="s">
        <v>199</v>
      </c>
      <c r="C1429" s="10">
        <v>1</v>
      </c>
      <c r="D1429" s="10" t="s">
        <v>200</v>
      </c>
    </row>
    <row r="1430" spans="1:4" ht="18" customHeight="1">
      <c r="A1430" s="10" t="s">
        <v>105</v>
      </c>
      <c r="B1430" s="10" t="s">
        <v>8</v>
      </c>
      <c r="C1430" s="10">
        <v>120</v>
      </c>
      <c r="D1430" s="10" t="s">
        <v>201</v>
      </c>
    </row>
    <row r="1431" spans="1:4" ht="18" customHeight="1">
      <c r="A1431" s="10" t="s">
        <v>105</v>
      </c>
      <c r="B1431" s="10" t="s">
        <v>9</v>
      </c>
      <c r="C1431" s="10">
        <v>120</v>
      </c>
      <c r="D1431" s="10" t="s">
        <v>201</v>
      </c>
    </row>
    <row r="1432" spans="1:4" ht="18" customHeight="1">
      <c r="A1432" s="10" t="s">
        <v>105</v>
      </c>
      <c r="B1432" s="10" t="s">
        <v>202</v>
      </c>
      <c r="C1432" s="10">
        <v>0</v>
      </c>
      <c r="D1432" s="10" t="s">
        <v>201</v>
      </c>
    </row>
    <row r="1433" spans="1:4" ht="18" customHeight="1">
      <c r="A1433" s="10" t="s">
        <v>105</v>
      </c>
      <c r="B1433" s="10" t="s">
        <v>203</v>
      </c>
      <c r="C1433" s="10">
        <v>287609386.66594231</v>
      </c>
      <c r="D1433" s="10" t="s">
        <v>204</v>
      </c>
    </row>
    <row r="1434" spans="1:4" ht="18" customHeight="1">
      <c r="A1434" s="10" t="s">
        <v>105</v>
      </c>
      <c r="B1434" s="10" t="s">
        <v>205</v>
      </c>
      <c r="C1434" s="10">
        <v>287609386.66594231</v>
      </c>
      <c r="D1434" s="10" t="s">
        <v>204</v>
      </c>
    </row>
    <row r="1435" spans="1:4" ht="18" customHeight="1">
      <c r="A1435" s="10" t="s">
        <v>105</v>
      </c>
      <c r="B1435" s="10" t="s">
        <v>206</v>
      </c>
      <c r="C1435" s="10">
        <v>287609386.66594237</v>
      </c>
      <c r="D1435" s="10" t="s">
        <v>204</v>
      </c>
    </row>
    <row r="1436" spans="1:4" ht="18" customHeight="1">
      <c r="A1436" s="10" t="s">
        <v>105</v>
      </c>
      <c r="B1436" s="10" t="s">
        <v>207</v>
      </c>
      <c r="C1436" s="10">
        <v>0</v>
      </c>
      <c r="D1436" s="10" t="s">
        <v>204</v>
      </c>
    </row>
    <row r="1437" spans="1:4" ht="18" customHeight="1">
      <c r="A1437" s="10" t="s">
        <v>105</v>
      </c>
      <c r="B1437" s="10" t="s">
        <v>208</v>
      </c>
      <c r="C1437" s="10">
        <v>5.9604644775390625E-8</v>
      </c>
      <c r="D1437" s="10" t="s">
        <v>204</v>
      </c>
    </row>
    <row r="1438" spans="1:4" ht="18" customHeight="1">
      <c r="A1438" s="10" t="s">
        <v>105</v>
      </c>
      <c r="B1438" s="10" t="s">
        <v>209</v>
      </c>
      <c r="C1438" s="10" t="s">
        <v>197</v>
      </c>
      <c r="D1438" s="10" t="s">
        <v>198</v>
      </c>
    </row>
    <row r="1439" spans="1:4" ht="18" customHeight="1">
      <c r="A1439" s="10" t="s">
        <v>105</v>
      </c>
      <c r="B1439" s="10" t="s">
        <v>210</v>
      </c>
      <c r="C1439" s="10" t="s">
        <v>197</v>
      </c>
      <c r="D1439" s="10" t="s">
        <v>198</v>
      </c>
    </row>
    <row r="1440" spans="1:4" ht="18" customHeight="1">
      <c r="A1440" s="10" t="s">
        <v>105</v>
      </c>
      <c r="B1440" s="10" t="s">
        <v>211</v>
      </c>
      <c r="C1440" s="10">
        <v>0</v>
      </c>
      <c r="D1440" s="10" t="s">
        <v>201</v>
      </c>
    </row>
    <row r="1441" spans="1:4" ht="18" customHeight="1">
      <c r="A1441" s="10" t="s">
        <v>105</v>
      </c>
      <c r="B1441" s="10" t="s">
        <v>212</v>
      </c>
      <c r="C1441" s="10">
        <v>0</v>
      </c>
      <c r="D1441" s="10" t="s">
        <v>201</v>
      </c>
    </row>
    <row r="1442" spans="1:4" ht="18" customHeight="1">
      <c r="A1442" s="10" t="s">
        <v>167</v>
      </c>
      <c r="B1442" s="10" t="s">
        <v>192</v>
      </c>
      <c r="C1442" s="10">
        <v>1269.7356306080001</v>
      </c>
      <c r="D1442" s="10" t="s">
        <v>193</v>
      </c>
    </row>
    <row r="1443" spans="1:4" ht="18" customHeight="1">
      <c r="A1443" s="10" t="s">
        <v>167</v>
      </c>
      <c r="B1443" s="10" t="s">
        <v>194</v>
      </c>
      <c r="C1443" s="10">
        <v>1269.7356306080001</v>
      </c>
      <c r="D1443" s="10" t="s">
        <v>193</v>
      </c>
    </row>
    <row r="1444" spans="1:4" ht="18" customHeight="1">
      <c r="A1444" s="10" t="s">
        <v>167</v>
      </c>
      <c r="B1444" s="10" t="s">
        <v>195</v>
      </c>
      <c r="C1444" s="10">
        <v>0</v>
      </c>
      <c r="D1444" s="10" t="s">
        <v>193</v>
      </c>
    </row>
    <row r="1445" spans="1:4" ht="18" customHeight="1">
      <c r="A1445" s="10" t="s">
        <v>167</v>
      </c>
      <c r="B1445" s="10" t="s">
        <v>196</v>
      </c>
      <c r="C1445" s="10" t="s">
        <v>197</v>
      </c>
      <c r="D1445" s="10" t="s">
        <v>198</v>
      </c>
    </row>
    <row r="1446" spans="1:4" ht="18" customHeight="1">
      <c r="A1446" s="10" t="s">
        <v>167</v>
      </c>
      <c r="B1446" s="10" t="s">
        <v>5</v>
      </c>
      <c r="C1446" s="10">
        <v>1269.7356306080001</v>
      </c>
      <c r="D1446" s="10" t="s">
        <v>193</v>
      </c>
    </row>
    <row r="1447" spans="1:4" ht="18" customHeight="1">
      <c r="A1447" s="10" t="s">
        <v>167</v>
      </c>
      <c r="B1447" s="10" t="s">
        <v>199</v>
      </c>
      <c r="C1447" s="10">
        <v>1</v>
      </c>
      <c r="D1447" s="10" t="s">
        <v>200</v>
      </c>
    </row>
    <row r="1448" spans="1:4" ht="18" customHeight="1">
      <c r="A1448" s="10" t="s">
        <v>167</v>
      </c>
      <c r="B1448" s="10" t="s">
        <v>8</v>
      </c>
      <c r="C1448" s="10">
        <v>44</v>
      </c>
      <c r="D1448" s="10" t="s">
        <v>201</v>
      </c>
    </row>
    <row r="1449" spans="1:4" ht="18" customHeight="1">
      <c r="A1449" s="10" t="s">
        <v>167</v>
      </c>
      <c r="B1449" s="10" t="s">
        <v>9</v>
      </c>
      <c r="C1449" s="10">
        <v>44</v>
      </c>
      <c r="D1449" s="10" t="s">
        <v>201</v>
      </c>
    </row>
    <row r="1450" spans="1:4" ht="18" customHeight="1">
      <c r="A1450" s="10" t="s">
        <v>167</v>
      </c>
      <c r="B1450" s="10" t="s">
        <v>202</v>
      </c>
      <c r="C1450" s="10">
        <v>0</v>
      </c>
      <c r="D1450" s="10" t="s">
        <v>201</v>
      </c>
    </row>
    <row r="1451" spans="1:4" ht="18" customHeight="1">
      <c r="A1451" s="10" t="s">
        <v>167</v>
      </c>
      <c r="B1451" s="10" t="s">
        <v>203</v>
      </c>
      <c r="C1451" s="10">
        <v>2919836.9461889495</v>
      </c>
      <c r="D1451" s="10" t="s">
        <v>204</v>
      </c>
    </row>
    <row r="1452" spans="1:4" ht="18" customHeight="1">
      <c r="A1452" s="10" t="s">
        <v>167</v>
      </c>
      <c r="B1452" s="10" t="s">
        <v>205</v>
      </c>
      <c r="C1452" s="10">
        <v>2919836.946188949</v>
      </c>
      <c r="D1452" s="10" t="s">
        <v>204</v>
      </c>
    </row>
    <row r="1453" spans="1:4" ht="18" customHeight="1">
      <c r="A1453" s="10" t="s">
        <v>167</v>
      </c>
      <c r="B1453" s="10" t="s">
        <v>206</v>
      </c>
      <c r="C1453" s="10">
        <v>2919836.946188949</v>
      </c>
      <c r="D1453" s="10" t="s">
        <v>204</v>
      </c>
    </row>
    <row r="1454" spans="1:4" ht="18" customHeight="1">
      <c r="A1454" s="10" t="s">
        <v>167</v>
      </c>
      <c r="B1454" s="10" t="s">
        <v>207</v>
      </c>
      <c r="C1454" s="10">
        <v>-4.6566128730773926E-10</v>
      </c>
      <c r="D1454" s="10" t="s">
        <v>204</v>
      </c>
    </row>
    <row r="1455" spans="1:4" ht="18" customHeight="1">
      <c r="A1455" s="10" t="s">
        <v>167</v>
      </c>
      <c r="B1455" s="10" t="s">
        <v>208</v>
      </c>
      <c r="C1455" s="10">
        <v>-4.6566128730773926E-10</v>
      </c>
      <c r="D1455" s="10" t="s">
        <v>204</v>
      </c>
    </row>
    <row r="1456" spans="1:4" ht="18" customHeight="1">
      <c r="A1456" s="10" t="s">
        <v>167</v>
      </c>
      <c r="B1456" s="10" t="s">
        <v>209</v>
      </c>
      <c r="C1456" s="10" t="s">
        <v>197</v>
      </c>
      <c r="D1456" s="10" t="s">
        <v>198</v>
      </c>
    </row>
    <row r="1457" spans="1:4" ht="18" customHeight="1">
      <c r="A1457" s="10" t="s">
        <v>167</v>
      </c>
      <c r="B1457" s="10" t="s">
        <v>210</v>
      </c>
      <c r="C1457" s="10" t="s">
        <v>197</v>
      </c>
      <c r="D1457" s="10" t="s">
        <v>198</v>
      </c>
    </row>
    <row r="1458" spans="1:4" ht="18" customHeight="1">
      <c r="A1458" s="10" t="s">
        <v>167</v>
      </c>
      <c r="B1458" s="10" t="s">
        <v>211</v>
      </c>
      <c r="C1458" s="10">
        <v>0</v>
      </c>
      <c r="D1458" s="10" t="s">
        <v>201</v>
      </c>
    </row>
    <row r="1459" spans="1:4" ht="18" customHeight="1">
      <c r="A1459" s="10" t="s">
        <v>167</v>
      </c>
      <c r="B1459" s="10" t="s">
        <v>212</v>
      </c>
      <c r="C1459" s="10">
        <v>0</v>
      </c>
      <c r="D1459" s="10" t="s">
        <v>201</v>
      </c>
    </row>
    <row r="1460" spans="1:4" ht="18" customHeight="1">
      <c r="A1460" s="10" t="s">
        <v>187</v>
      </c>
      <c r="B1460" s="10" t="s">
        <v>192</v>
      </c>
      <c r="C1460" s="10">
        <v>0</v>
      </c>
      <c r="D1460" s="10" t="s">
        <v>193</v>
      </c>
    </row>
    <row r="1461" spans="1:4" ht="18" customHeight="1">
      <c r="A1461" s="10" t="s">
        <v>187</v>
      </c>
      <c r="B1461" s="10" t="s">
        <v>194</v>
      </c>
      <c r="C1461" s="10">
        <v>0</v>
      </c>
      <c r="D1461" s="10" t="s">
        <v>193</v>
      </c>
    </row>
    <row r="1462" spans="1:4" ht="18" customHeight="1">
      <c r="A1462" s="10" t="s">
        <v>187</v>
      </c>
      <c r="B1462" s="10" t="s">
        <v>195</v>
      </c>
      <c r="C1462" s="10">
        <v>0</v>
      </c>
      <c r="D1462" s="10" t="s">
        <v>193</v>
      </c>
    </row>
    <row r="1463" spans="1:4" ht="18" customHeight="1">
      <c r="A1463" s="10" t="s">
        <v>187</v>
      </c>
      <c r="B1463" s="10" t="s">
        <v>196</v>
      </c>
      <c r="C1463" s="10" t="s">
        <v>197</v>
      </c>
      <c r="D1463" s="10" t="s">
        <v>198</v>
      </c>
    </row>
    <row r="1464" spans="1:4" ht="18" customHeight="1">
      <c r="A1464" s="10" t="s">
        <v>187</v>
      </c>
      <c r="B1464" s="10" t="s">
        <v>5</v>
      </c>
      <c r="C1464" s="10">
        <v>0</v>
      </c>
      <c r="D1464" s="10" t="s">
        <v>193</v>
      </c>
    </row>
    <row r="1465" spans="1:4" ht="18" customHeight="1">
      <c r="A1465" s="10" t="s">
        <v>187</v>
      </c>
      <c r="B1465" s="10" t="s">
        <v>199</v>
      </c>
      <c r="C1465" s="10"/>
      <c r="D1465" s="10" t="s">
        <v>200</v>
      </c>
    </row>
    <row r="1466" spans="1:4" ht="18" customHeight="1">
      <c r="A1466" s="10" t="s">
        <v>187</v>
      </c>
      <c r="B1466" s="10" t="s">
        <v>8</v>
      </c>
      <c r="C1466" s="10">
        <v>0</v>
      </c>
      <c r="D1466" s="10" t="s">
        <v>201</v>
      </c>
    </row>
    <row r="1467" spans="1:4" ht="18" customHeight="1">
      <c r="A1467" s="10" t="s">
        <v>187</v>
      </c>
      <c r="B1467" s="10" t="s">
        <v>9</v>
      </c>
      <c r="C1467" s="10">
        <v>0</v>
      </c>
      <c r="D1467" s="10" t="s">
        <v>201</v>
      </c>
    </row>
    <row r="1468" spans="1:4" ht="18" customHeight="1">
      <c r="A1468" s="10" t="s">
        <v>187</v>
      </c>
      <c r="B1468" s="10" t="s">
        <v>202</v>
      </c>
      <c r="C1468" s="10">
        <v>0</v>
      </c>
      <c r="D1468" s="10" t="s">
        <v>201</v>
      </c>
    </row>
    <row r="1469" spans="1:4" ht="18" customHeight="1">
      <c r="A1469" s="10" t="s">
        <v>187</v>
      </c>
      <c r="B1469" s="10" t="s">
        <v>203</v>
      </c>
      <c r="C1469" s="10">
        <v>0</v>
      </c>
      <c r="D1469" s="10" t="s">
        <v>204</v>
      </c>
    </row>
    <row r="1470" spans="1:4" ht="18" customHeight="1">
      <c r="A1470" s="10" t="s">
        <v>187</v>
      </c>
      <c r="B1470" s="10" t="s">
        <v>205</v>
      </c>
      <c r="C1470" s="10">
        <v>0</v>
      </c>
      <c r="D1470" s="10" t="s">
        <v>204</v>
      </c>
    </row>
    <row r="1471" spans="1:4" ht="18" customHeight="1">
      <c r="A1471" s="10" t="s">
        <v>187</v>
      </c>
      <c r="B1471" s="10" t="s">
        <v>206</v>
      </c>
      <c r="C1471" s="10">
        <v>0</v>
      </c>
      <c r="D1471" s="10" t="s">
        <v>204</v>
      </c>
    </row>
    <row r="1472" spans="1:4" ht="18" customHeight="1">
      <c r="A1472" s="10" t="s">
        <v>187</v>
      </c>
      <c r="B1472" s="10" t="s">
        <v>207</v>
      </c>
      <c r="C1472" s="10">
        <v>0</v>
      </c>
      <c r="D1472" s="10" t="s">
        <v>204</v>
      </c>
    </row>
    <row r="1473" spans="1:4" ht="18" customHeight="1">
      <c r="A1473" s="10" t="s">
        <v>187</v>
      </c>
      <c r="B1473" s="10" t="s">
        <v>208</v>
      </c>
      <c r="C1473" s="10">
        <v>0</v>
      </c>
      <c r="D1473" s="10" t="s">
        <v>204</v>
      </c>
    </row>
    <row r="1474" spans="1:4" ht="18" customHeight="1">
      <c r="A1474" s="10" t="s">
        <v>187</v>
      </c>
      <c r="B1474" s="10" t="s">
        <v>209</v>
      </c>
      <c r="C1474" s="10" t="s">
        <v>197</v>
      </c>
      <c r="D1474" s="10" t="s">
        <v>198</v>
      </c>
    </row>
    <row r="1475" spans="1:4" ht="18" customHeight="1">
      <c r="A1475" s="10" t="s">
        <v>187</v>
      </c>
      <c r="B1475" s="10" t="s">
        <v>210</v>
      </c>
      <c r="C1475" s="10" t="s">
        <v>197</v>
      </c>
      <c r="D1475" s="10" t="s">
        <v>198</v>
      </c>
    </row>
    <row r="1476" spans="1:4" ht="18" customHeight="1">
      <c r="A1476" s="10" t="s">
        <v>187</v>
      </c>
      <c r="B1476" s="10" t="s">
        <v>211</v>
      </c>
      <c r="C1476" s="10">
        <v>0</v>
      </c>
      <c r="D1476" s="10" t="s">
        <v>201</v>
      </c>
    </row>
    <row r="1477" spans="1:4" ht="18" customHeight="1">
      <c r="A1477" s="10" t="s">
        <v>187</v>
      </c>
      <c r="B1477" s="10" t="s">
        <v>212</v>
      </c>
      <c r="C1477" s="10">
        <v>0</v>
      </c>
      <c r="D1477" s="10" t="s">
        <v>201</v>
      </c>
    </row>
    <row r="1478" spans="1:4" ht="18" customHeight="1">
      <c r="A1478" s="10" t="s">
        <v>139</v>
      </c>
      <c r="B1478" s="10" t="s">
        <v>192</v>
      </c>
      <c r="C1478" s="10">
        <v>151507.6717909796</v>
      </c>
      <c r="D1478" s="10" t="s">
        <v>193</v>
      </c>
    </row>
    <row r="1479" spans="1:4" ht="18" customHeight="1">
      <c r="A1479" s="10" t="s">
        <v>139</v>
      </c>
      <c r="B1479" s="10" t="s">
        <v>194</v>
      </c>
      <c r="C1479" s="10">
        <v>151507.6717909796</v>
      </c>
      <c r="D1479" s="10" t="s">
        <v>193</v>
      </c>
    </row>
    <row r="1480" spans="1:4" ht="18" customHeight="1">
      <c r="A1480" s="10" t="s">
        <v>139</v>
      </c>
      <c r="B1480" s="10" t="s">
        <v>195</v>
      </c>
      <c r="C1480" s="10">
        <v>0</v>
      </c>
      <c r="D1480" s="10" t="s">
        <v>193</v>
      </c>
    </row>
    <row r="1481" spans="1:4" ht="18" customHeight="1">
      <c r="A1481" s="10" t="s">
        <v>139</v>
      </c>
      <c r="B1481" s="10" t="s">
        <v>196</v>
      </c>
      <c r="C1481" s="10" t="s">
        <v>197</v>
      </c>
      <c r="D1481" s="10" t="s">
        <v>198</v>
      </c>
    </row>
    <row r="1482" spans="1:4" ht="18" customHeight="1">
      <c r="A1482" s="10" t="s">
        <v>139</v>
      </c>
      <c r="B1482" s="10" t="s">
        <v>5</v>
      </c>
      <c r="C1482" s="10">
        <v>151507.6717909796</v>
      </c>
      <c r="D1482" s="10" t="s">
        <v>193</v>
      </c>
    </row>
    <row r="1483" spans="1:4" ht="18" customHeight="1">
      <c r="A1483" s="10" t="s">
        <v>139</v>
      </c>
      <c r="B1483" s="10" t="s">
        <v>199</v>
      </c>
      <c r="C1483" s="10">
        <v>1</v>
      </c>
      <c r="D1483" s="10" t="s">
        <v>200</v>
      </c>
    </row>
    <row r="1484" spans="1:4" ht="18" customHeight="1">
      <c r="A1484" s="10" t="s">
        <v>139</v>
      </c>
      <c r="B1484" s="10" t="s">
        <v>8</v>
      </c>
      <c r="C1484" s="10">
        <v>68</v>
      </c>
      <c r="D1484" s="10" t="s">
        <v>201</v>
      </c>
    </row>
    <row r="1485" spans="1:4" ht="18" customHeight="1">
      <c r="A1485" s="10" t="s">
        <v>139</v>
      </c>
      <c r="B1485" s="10" t="s">
        <v>9</v>
      </c>
      <c r="C1485" s="10">
        <v>68</v>
      </c>
      <c r="D1485" s="10" t="s">
        <v>201</v>
      </c>
    </row>
    <row r="1486" spans="1:4" ht="18" customHeight="1">
      <c r="A1486" s="10" t="s">
        <v>139</v>
      </c>
      <c r="B1486" s="10" t="s">
        <v>202</v>
      </c>
      <c r="C1486" s="10">
        <v>0</v>
      </c>
      <c r="D1486" s="10" t="s">
        <v>201</v>
      </c>
    </row>
    <row r="1487" spans="1:4" ht="18" customHeight="1">
      <c r="A1487" s="10" t="s">
        <v>139</v>
      </c>
      <c r="B1487" s="10" t="s">
        <v>203</v>
      </c>
      <c r="C1487" s="10">
        <v>85526381.403974503</v>
      </c>
      <c r="D1487" s="10" t="s">
        <v>204</v>
      </c>
    </row>
    <row r="1488" spans="1:4" ht="18" customHeight="1">
      <c r="A1488" s="10" t="s">
        <v>139</v>
      </c>
      <c r="B1488" s="10" t="s">
        <v>205</v>
      </c>
      <c r="C1488" s="10">
        <v>85526381.403974518</v>
      </c>
      <c r="D1488" s="10" t="s">
        <v>204</v>
      </c>
    </row>
    <row r="1489" spans="1:4" ht="18" customHeight="1">
      <c r="A1489" s="10" t="s">
        <v>139</v>
      </c>
      <c r="B1489" s="10" t="s">
        <v>206</v>
      </c>
      <c r="C1489" s="10">
        <v>85526381.403974503</v>
      </c>
      <c r="D1489" s="10" t="s">
        <v>204</v>
      </c>
    </row>
    <row r="1490" spans="1:4" ht="18" customHeight="1">
      <c r="A1490" s="10" t="s">
        <v>139</v>
      </c>
      <c r="B1490" s="10" t="s">
        <v>207</v>
      </c>
      <c r="C1490" s="10">
        <v>1.4901161193847656E-8</v>
      </c>
      <c r="D1490" s="10" t="s">
        <v>204</v>
      </c>
    </row>
    <row r="1491" spans="1:4" ht="18" customHeight="1">
      <c r="A1491" s="10" t="s">
        <v>139</v>
      </c>
      <c r="B1491" s="10" t="s">
        <v>208</v>
      </c>
      <c r="C1491" s="10">
        <v>0</v>
      </c>
      <c r="D1491" s="10" t="s">
        <v>204</v>
      </c>
    </row>
    <row r="1492" spans="1:4" ht="18" customHeight="1">
      <c r="A1492" s="10" t="s">
        <v>139</v>
      </c>
      <c r="B1492" s="10" t="s">
        <v>209</v>
      </c>
      <c r="C1492" s="10" t="s">
        <v>197</v>
      </c>
      <c r="D1492" s="10" t="s">
        <v>198</v>
      </c>
    </row>
    <row r="1493" spans="1:4" ht="18" customHeight="1">
      <c r="A1493" s="10" t="s">
        <v>139</v>
      </c>
      <c r="B1493" s="10" t="s">
        <v>210</v>
      </c>
      <c r="C1493" s="10" t="s">
        <v>197</v>
      </c>
      <c r="D1493" s="10" t="s">
        <v>198</v>
      </c>
    </row>
    <row r="1494" spans="1:4" ht="18" customHeight="1">
      <c r="A1494" s="10" t="s">
        <v>139</v>
      </c>
      <c r="B1494" s="10" t="s">
        <v>211</v>
      </c>
      <c r="C1494" s="10">
        <v>0</v>
      </c>
      <c r="D1494" s="10" t="s">
        <v>201</v>
      </c>
    </row>
    <row r="1495" spans="1:4" ht="18" customHeight="1">
      <c r="A1495" s="10" t="s">
        <v>139</v>
      </c>
      <c r="B1495" s="10" t="s">
        <v>212</v>
      </c>
      <c r="C1495" s="10">
        <v>0</v>
      </c>
      <c r="D1495" s="10" t="s">
        <v>201</v>
      </c>
    </row>
    <row r="1496" spans="1:4" ht="18" customHeight="1">
      <c r="A1496" s="10" t="s">
        <v>181</v>
      </c>
      <c r="B1496" s="10" t="s">
        <v>192</v>
      </c>
      <c r="C1496" s="10">
        <v>53.591934083899986</v>
      </c>
      <c r="D1496" s="10" t="s">
        <v>193</v>
      </c>
    </row>
    <row r="1497" spans="1:4" ht="18" customHeight="1">
      <c r="A1497" s="10" t="s">
        <v>181</v>
      </c>
      <c r="B1497" s="10" t="s">
        <v>194</v>
      </c>
      <c r="C1497" s="10">
        <v>53.5919340839</v>
      </c>
      <c r="D1497" s="10" t="s">
        <v>193</v>
      </c>
    </row>
    <row r="1498" spans="1:4" ht="18" customHeight="1">
      <c r="A1498" s="10" t="s">
        <v>181</v>
      </c>
      <c r="B1498" s="10" t="s">
        <v>195</v>
      </c>
      <c r="C1498" s="10">
        <v>1.4210854715202004E-14</v>
      </c>
      <c r="D1498" s="10" t="s">
        <v>193</v>
      </c>
    </row>
    <row r="1499" spans="1:4" ht="18" customHeight="1">
      <c r="A1499" s="10" t="s">
        <v>181</v>
      </c>
      <c r="B1499" s="10" t="s">
        <v>196</v>
      </c>
      <c r="C1499" s="10" t="s">
        <v>197</v>
      </c>
      <c r="D1499" s="10" t="s">
        <v>198</v>
      </c>
    </row>
    <row r="1500" spans="1:4" ht="18" customHeight="1">
      <c r="A1500" s="10" t="s">
        <v>181</v>
      </c>
      <c r="B1500" s="10" t="s">
        <v>5</v>
      </c>
      <c r="C1500" s="10">
        <v>53.5919340839</v>
      </c>
      <c r="D1500" s="10" t="s">
        <v>193</v>
      </c>
    </row>
    <row r="1501" spans="1:4" ht="18" customHeight="1">
      <c r="A1501" s="10" t="s">
        <v>181</v>
      </c>
      <c r="B1501" s="10" t="s">
        <v>199</v>
      </c>
      <c r="C1501" s="10">
        <v>1</v>
      </c>
      <c r="D1501" s="10" t="s">
        <v>200</v>
      </c>
    </row>
    <row r="1502" spans="1:4" ht="18" customHeight="1">
      <c r="A1502" s="10" t="s">
        <v>181</v>
      </c>
      <c r="B1502" s="10" t="s">
        <v>8</v>
      </c>
      <c r="C1502" s="10">
        <v>21</v>
      </c>
      <c r="D1502" s="10" t="s">
        <v>201</v>
      </c>
    </row>
    <row r="1503" spans="1:4" ht="18" customHeight="1">
      <c r="A1503" s="10" t="s">
        <v>181</v>
      </c>
      <c r="B1503" s="10" t="s">
        <v>9</v>
      </c>
      <c r="C1503" s="10">
        <v>21</v>
      </c>
      <c r="D1503" s="10" t="s">
        <v>201</v>
      </c>
    </row>
    <row r="1504" spans="1:4" ht="18" customHeight="1">
      <c r="A1504" s="10" t="s">
        <v>181</v>
      </c>
      <c r="B1504" s="10" t="s">
        <v>202</v>
      </c>
      <c r="C1504" s="10">
        <v>0</v>
      </c>
      <c r="D1504" s="10" t="s">
        <v>201</v>
      </c>
    </row>
    <row r="1505" spans="1:4" ht="18" customHeight="1">
      <c r="A1505" s="10" t="s">
        <v>181</v>
      </c>
      <c r="B1505" s="10" t="s">
        <v>203</v>
      </c>
      <c r="C1505" s="10">
        <v>10566.207059943801</v>
      </c>
      <c r="D1505" s="10" t="s">
        <v>204</v>
      </c>
    </row>
    <row r="1506" spans="1:4" ht="18" customHeight="1">
      <c r="A1506" s="10" t="s">
        <v>181</v>
      </c>
      <c r="B1506" s="10" t="s">
        <v>205</v>
      </c>
      <c r="C1506" s="10">
        <v>10566.207059943799</v>
      </c>
      <c r="D1506" s="10" t="s">
        <v>204</v>
      </c>
    </row>
    <row r="1507" spans="1:4" ht="18" customHeight="1">
      <c r="A1507" s="10" t="s">
        <v>181</v>
      </c>
      <c r="B1507" s="10" t="s">
        <v>206</v>
      </c>
      <c r="C1507" s="10">
        <v>10566.207059943801</v>
      </c>
      <c r="D1507" s="10" t="s">
        <v>204</v>
      </c>
    </row>
    <row r="1508" spans="1:4" ht="18" customHeight="1">
      <c r="A1508" s="10" t="s">
        <v>181</v>
      </c>
      <c r="B1508" s="10" t="s">
        <v>207</v>
      </c>
      <c r="C1508" s="10">
        <v>-1.8189894035458565E-12</v>
      </c>
      <c r="D1508" s="10" t="s">
        <v>204</v>
      </c>
    </row>
    <row r="1509" spans="1:4" ht="18" customHeight="1">
      <c r="A1509" s="10" t="s">
        <v>181</v>
      </c>
      <c r="B1509" s="10" t="s">
        <v>208</v>
      </c>
      <c r="C1509" s="10">
        <v>0</v>
      </c>
      <c r="D1509" s="10" t="s">
        <v>204</v>
      </c>
    </row>
    <row r="1510" spans="1:4" ht="18" customHeight="1">
      <c r="A1510" s="10" t="s">
        <v>181</v>
      </c>
      <c r="B1510" s="10" t="s">
        <v>209</v>
      </c>
      <c r="C1510" s="10" t="s">
        <v>197</v>
      </c>
      <c r="D1510" s="10" t="s">
        <v>198</v>
      </c>
    </row>
    <row r="1511" spans="1:4" ht="18" customHeight="1">
      <c r="A1511" s="10" t="s">
        <v>181</v>
      </c>
      <c r="B1511" s="10" t="s">
        <v>210</v>
      </c>
      <c r="C1511" s="10" t="s">
        <v>197</v>
      </c>
      <c r="D1511" s="10" t="s">
        <v>198</v>
      </c>
    </row>
    <row r="1512" spans="1:4" ht="18" customHeight="1">
      <c r="A1512" s="10" t="s">
        <v>181</v>
      </c>
      <c r="B1512" s="10" t="s">
        <v>211</v>
      </c>
      <c r="C1512" s="10">
        <v>0</v>
      </c>
      <c r="D1512" s="10" t="s">
        <v>201</v>
      </c>
    </row>
    <row r="1513" spans="1:4" ht="18" customHeight="1">
      <c r="A1513" s="10" t="s">
        <v>181</v>
      </c>
      <c r="B1513" s="10" t="s">
        <v>212</v>
      </c>
      <c r="C1513" s="10">
        <v>0</v>
      </c>
      <c r="D1513" s="10" t="s">
        <v>201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5"/>
  <sheetViews>
    <sheetView showGridLines="0" workbookViewId="0">
      <selection activeCell="M9" sqref="M9"/>
    </sheetView>
  </sheetViews>
  <sheetFormatPr defaultRowHeight="14"/>
  <cols>
    <col min="1" max="2" width="22" customWidth="1"/>
    <col min="3" max="3" width="36" customWidth="1"/>
    <col min="4" max="4" width="22" customWidth="1"/>
    <col min="5" max="5" width="15" customWidth="1"/>
    <col min="6" max="7" width="18" customWidth="1"/>
    <col min="8" max="8" width="22" customWidth="1"/>
    <col min="9" max="10" width="16" customWidth="1"/>
  </cols>
  <sheetData>
    <row r="1" spans="1:10" ht="32" customHeight="1">
      <c r="A1" s="11" t="s">
        <v>0</v>
      </c>
      <c r="B1" s="11" t="s">
        <v>213</v>
      </c>
      <c r="C1" s="11" t="s">
        <v>214</v>
      </c>
      <c r="D1" s="11" t="s">
        <v>215</v>
      </c>
      <c r="E1" s="11" t="s">
        <v>8</v>
      </c>
      <c r="F1" s="11" t="s">
        <v>216</v>
      </c>
      <c r="G1" s="11" t="s">
        <v>217</v>
      </c>
      <c r="H1" s="11" t="s">
        <v>218</v>
      </c>
      <c r="I1" s="11" t="s">
        <v>219</v>
      </c>
      <c r="J1" s="11" t="s">
        <v>220</v>
      </c>
    </row>
    <row r="2" spans="1:10" ht="18" customHeight="1">
      <c r="A2" s="10" t="s">
        <v>133</v>
      </c>
      <c r="B2" s="10" t="s">
        <v>221</v>
      </c>
      <c r="C2" s="14" t="s">
        <v>222</v>
      </c>
      <c r="D2" s="10" t="s">
        <v>223</v>
      </c>
      <c r="E2" s="16">
        <v>47</v>
      </c>
      <c r="F2" s="13">
        <v>49444.6035574501</v>
      </c>
      <c r="G2" s="13">
        <v>87745.099472887407</v>
      </c>
      <c r="H2" s="10">
        <v>67</v>
      </c>
      <c r="I2" s="15">
        <v>0.70149253731343286</v>
      </c>
      <c r="J2" s="15">
        <v>0.56350273524652073</v>
      </c>
    </row>
    <row r="3" spans="1:10" ht="18" customHeight="1">
      <c r="A3" s="10" t="s">
        <v>133</v>
      </c>
      <c r="B3" s="10" t="s">
        <v>224</v>
      </c>
      <c r="C3" s="14" t="s">
        <v>225</v>
      </c>
      <c r="D3" s="10" t="s">
        <v>223</v>
      </c>
      <c r="E3" s="16">
        <v>20</v>
      </c>
      <c r="F3" s="13">
        <v>38300.495915437299</v>
      </c>
      <c r="G3" s="13">
        <v>87745.099472887407</v>
      </c>
      <c r="H3" s="10">
        <v>67</v>
      </c>
      <c r="I3" s="15">
        <v>0.29850746268656714</v>
      </c>
      <c r="J3" s="15">
        <v>0.43649726475347916</v>
      </c>
    </row>
    <row r="4" spans="1:10" ht="18" customHeight="1">
      <c r="A4" s="10" t="s">
        <v>123</v>
      </c>
      <c r="B4" s="10" t="s">
        <v>224</v>
      </c>
      <c r="C4" s="14" t="s">
        <v>225</v>
      </c>
      <c r="D4" s="10" t="s">
        <v>223</v>
      </c>
      <c r="E4" s="16">
        <v>62</v>
      </c>
      <c r="F4" s="13">
        <v>699792.77262846241</v>
      </c>
      <c r="G4" s="13">
        <v>734932.29046104196</v>
      </c>
      <c r="H4" s="10">
        <v>131</v>
      </c>
      <c r="I4" s="15">
        <v>0.47328244274809161</v>
      </c>
      <c r="J4" s="15">
        <v>0.95218672755481237</v>
      </c>
    </row>
    <row r="5" spans="1:10" ht="18" customHeight="1">
      <c r="A5" s="10" t="s">
        <v>123</v>
      </c>
      <c r="B5" s="10" t="s">
        <v>221</v>
      </c>
      <c r="C5" s="14" t="s">
        <v>222</v>
      </c>
      <c r="D5" s="10" t="s">
        <v>223</v>
      </c>
      <c r="E5" s="16">
        <v>69</v>
      </c>
      <c r="F5" s="13">
        <v>35139.517832579601</v>
      </c>
      <c r="G5" s="13">
        <v>734932.29046104196</v>
      </c>
      <c r="H5" s="10">
        <v>131</v>
      </c>
      <c r="I5" s="15">
        <v>0.52671755725190839</v>
      </c>
      <c r="J5" s="15">
        <v>4.7813272445187675E-2</v>
      </c>
    </row>
    <row r="6" spans="1:10" ht="18" customHeight="1">
      <c r="A6" s="10" t="s">
        <v>147</v>
      </c>
      <c r="B6" s="10" t="s">
        <v>221</v>
      </c>
      <c r="C6" s="14" t="s">
        <v>222</v>
      </c>
      <c r="D6" s="10" t="s">
        <v>223</v>
      </c>
      <c r="E6" s="16">
        <v>23</v>
      </c>
      <c r="F6" s="13">
        <v>12502.163959035101</v>
      </c>
      <c r="G6" s="13">
        <v>16859.0112032287</v>
      </c>
      <c r="H6" s="10">
        <v>32</v>
      </c>
      <c r="I6" s="15">
        <v>0.71875</v>
      </c>
      <c r="J6" s="15">
        <v>0.74157160276640588</v>
      </c>
    </row>
    <row r="7" spans="1:10" ht="18" customHeight="1">
      <c r="A7" s="10" t="s">
        <v>147</v>
      </c>
      <c r="B7" s="10" t="s">
        <v>224</v>
      </c>
      <c r="C7" s="14" t="s">
        <v>225</v>
      </c>
      <c r="D7" s="10" t="s">
        <v>223</v>
      </c>
      <c r="E7" s="16">
        <v>9</v>
      </c>
      <c r="F7" s="13">
        <v>4356.8472441936001</v>
      </c>
      <c r="G7" s="13">
        <v>16859.0112032287</v>
      </c>
      <c r="H7" s="10">
        <v>32</v>
      </c>
      <c r="I7" s="15">
        <v>0.28125</v>
      </c>
      <c r="J7" s="15">
        <v>0.25842839723359412</v>
      </c>
    </row>
    <row r="8" spans="1:10" ht="18" customHeight="1">
      <c r="A8" s="10" t="s">
        <v>81</v>
      </c>
      <c r="B8" s="10" t="s">
        <v>221</v>
      </c>
      <c r="C8" s="14" t="s">
        <v>222</v>
      </c>
      <c r="D8" s="10" t="s">
        <v>223</v>
      </c>
      <c r="E8" s="16">
        <v>26</v>
      </c>
      <c r="F8" s="13">
        <v>211390.9655708007</v>
      </c>
      <c r="G8" s="13">
        <v>235319.45527268611</v>
      </c>
      <c r="H8" s="10">
        <v>37</v>
      </c>
      <c r="I8" s="15">
        <v>0.70270270270270274</v>
      </c>
      <c r="J8" s="15">
        <v>0.8983148687210869</v>
      </c>
    </row>
    <row r="9" spans="1:10" ht="18" customHeight="1">
      <c r="A9" s="10" t="s">
        <v>81</v>
      </c>
      <c r="B9" s="10" t="s">
        <v>224</v>
      </c>
      <c r="C9" s="14" t="s">
        <v>225</v>
      </c>
      <c r="D9" s="10" t="s">
        <v>223</v>
      </c>
      <c r="E9" s="16">
        <v>11</v>
      </c>
      <c r="F9" s="13">
        <v>23928.489701885399</v>
      </c>
      <c r="G9" s="13">
        <v>235319.45527268611</v>
      </c>
      <c r="H9" s="10">
        <v>37</v>
      </c>
      <c r="I9" s="15">
        <v>0.29729729729729731</v>
      </c>
      <c r="J9" s="15">
        <v>0.10168513127891307</v>
      </c>
    </row>
    <row r="10" spans="1:10" ht="18" customHeight="1">
      <c r="A10" s="10" t="s">
        <v>127</v>
      </c>
      <c r="B10" s="10" t="s">
        <v>221</v>
      </c>
      <c r="C10" s="14" t="s">
        <v>222</v>
      </c>
      <c r="D10" s="10" t="s">
        <v>223</v>
      </c>
      <c r="E10" s="16">
        <v>24</v>
      </c>
      <c r="F10" s="13">
        <v>56631.115207309398</v>
      </c>
      <c r="G10" s="13">
        <v>62238.365213295103</v>
      </c>
      <c r="H10" s="10">
        <v>33</v>
      </c>
      <c r="I10" s="15">
        <v>0.72727272727272729</v>
      </c>
      <c r="J10" s="15">
        <v>0.9099068558955673</v>
      </c>
    </row>
    <row r="11" spans="1:10" ht="18" customHeight="1">
      <c r="A11" s="10" t="s">
        <v>127</v>
      </c>
      <c r="B11" s="10" t="s">
        <v>224</v>
      </c>
      <c r="C11" s="14" t="s">
        <v>225</v>
      </c>
      <c r="D11" s="10" t="s">
        <v>223</v>
      </c>
      <c r="E11" s="16">
        <v>9</v>
      </c>
      <c r="F11" s="13">
        <v>5607.2500059857002</v>
      </c>
      <c r="G11" s="13">
        <v>62238.365213295103</v>
      </c>
      <c r="H11" s="10">
        <v>33</v>
      </c>
      <c r="I11" s="15">
        <v>0.27272727272727271</v>
      </c>
      <c r="J11" s="15">
        <v>9.0093144104432588E-2</v>
      </c>
    </row>
    <row r="12" spans="1:10" ht="18" customHeight="1">
      <c r="A12" s="10" t="s">
        <v>137</v>
      </c>
      <c r="B12" s="10" t="s">
        <v>221</v>
      </c>
      <c r="C12" s="14" t="s">
        <v>222</v>
      </c>
      <c r="D12" s="10" t="s">
        <v>223</v>
      </c>
      <c r="E12" s="16">
        <v>25</v>
      </c>
      <c r="F12" s="13">
        <v>33834.187928344298</v>
      </c>
      <c r="G12" s="13">
        <v>41830.726780533703</v>
      </c>
      <c r="H12" s="10">
        <v>35</v>
      </c>
      <c r="I12" s="15">
        <v>0.7142857142857143</v>
      </c>
      <c r="J12" s="15">
        <v>0.80883576577228711</v>
      </c>
    </row>
    <row r="13" spans="1:10" ht="18" customHeight="1">
      <c r="A13" s="10" t="s">
        <v>137</v>
      </c>
      <c r="B13" s="10" t="s">
        <v>224</v>
      </c>
      <c r="C13" s="14" t="s">
        <v>225</v>
      </c>
      <c r="D13" s="10" t="s">
        <v>223</v>
      </c>
      <c r="E13" s="16">
        <v>10</v>
      </c>
      <c r="F13" s="13">
        <v>7996.538852189401</v>
      </c>
      <c r="G13" s="13">
        <v>41830.726780533703</v>
      </c>
      <c r="H13" s="10">
        <v>35</v>
      </c>
      <c r="I13" s="15">
        <v>0.2857142857142857</v>
      </c>
      <c r="J13" s="15">
        <v>0.19116423422771275</v>
      </c>
    </row>
    <row r="14" spans="1:10" ht="18" customHeight="1">
      <c r="A14" s="10" t="s">
        <v>153</v>
      </c>
      <c r="B14" s="10" t="s">
        <v>224</v>
      </c>
      <c r="C14" s="14" t="s">
        <v>225</v>
      </c>
      <c r="D14" s="10" t="s">
        <v>223</v>
      </c>
      <c r="E14" s="16">
        <v>4</v>
      </c>
      <c r="F14" s="13">
        <v>154127.56802295081</v>
      </c>
      <c r="G14" s="13">
        <v>154127.61540295079</v>
      </c>
      <c r="H14" s="10">
        <v>6</v>
      </c>
      <c r="I14" s="15">
        <v>0.66666666666666663</v>
      </c>
      <c r="J14" s="15">
        <v>0.9999996925924024</v>
      </c>
    </row>
    <row r="15" spans="1:10" ht="18" customHeight="1">
      <c r="A15" s="10" t="s">
        <v>153</v>
      </c>
      <c r="B15" s="10" t="s">
        <v>221</v>
      </c>
      <c r="C15" s="14" t="s">
        <v>222</v>
      </c>
      <c r="D15" s="10" t="s">
        <v>223</v>
      </c>
      <c r="E15" s="16">
        <v>2</v>
      </c>
      <c r="F15" s="13">
        <v>4.7379999999999999E-2</v>
      </c>
      <c r="G15" s="13">
        <v>154127.61540295079</v>
      </c>
      <c r="H15" s="10">
        <v>6</v>
      </c>
      <c r="I15" s="15">
        <v>0.33333333333333331</v>
      </c>
      <c r="J15" s="15">
        <v>3.0740759776325524E-7</v>
      </c>
    </row>
    <row r="16" spans="1:10" ht="18" customHeight="1">
      <c r="A16" s="10" t="s">
        <v>67</v>
      </c>
      <c r="B16" s="10" t="s">
        <v>221</v>
      </c>
      <c r="C16" s="14" t="s">
        <v>222</v>
      </c>
      <c r="D16" s="10" t="s">
        <v>223</v>
      </c>
      <c r="E16" s="16">
        <v>26</v>
      </c>
      <c r="F16" s="13">
        <v>338908.46917852783</v>
      </c>
      <c r="G16" s="13">
        <v>377854.00832854409</v>
      </c>
      <c r="H16" s="10">
        <v>36</v>
      </c>
      <c r="I16" s="15">
        <v>0.72222222222222221</v>
      </c>
      <c r="J16" s="15">
        <v>0.89692966518393236</v>
      </c>
    </row>
    <row r="17" spans="1:10" ht="18" customHeight="1">
      <c r="A17" s="10" t="s">
        <v>67</v>
      </c>
      <c r="B17" s="10" t="s">
        <v>224</v>
      </c>
      <c r="C17" s="14" t="s">
        <v>225</v>
      </c>
      <c r="D17" s="10" t="s">
        <v>223</v>
      </c>
      <c r="E17" s="16">
        <v>10</v>
      </c>
      <c r="F17" s="13">
        <v>38945.539150016302</v>
      </c>
      <c r="G17" s="13">
        <v>377854.00832854409</v>
      </c>
      <c r="H17" s="10">
        <v>36</v>
      </c>
      <c r="I17" s="15">
        <v>0.27777777777777779</v>
      </c>
      <c r="J17" s="15">
        <v>0.10307033481606778</v>
      </c>
    </row>
    <row r="18" spans="1:10" ht="18" customHeight="1">
      <c r="A18" s="10" t="s">
        <v>83</v>
      </c>
      <c r="B18" s="10" t="s">
        <v>221</v>
      </c>
      <c r="C18" s="14" t="s">
        <v>222</v>
      </c>
      <c r="D18" s="10" t="s">
        <v>223</v>
      </c>
      <c r="E18" s="16">
        <v>22</v>
      </c>
      <c r="F18" s="13">
        <v>208641.26102033429</v>
      </c>
      <c r="G18" s="13">
        <v>249459.5239463328</v>
      </c>
      <c r="H18" s="10">
        <v>34</v>
      </c>
      <c r="I18" s="15">
        <v>0.6470588235294118</v>
      </c>
      <c r="J18" s="15">
        <v>0.83637320283357908</v>
      </c>
    </row>
    <row r="19" spans="1:10" ht="18" customHeight="1">
      <c r="A19" s="10" t="s">
        <v>83</v>
      </c>
      <c r="B19" s="10" t="s">
        <v>224</v>
      </c>
      <c r="C19" s="14" t="s">
        <v>225</v>
      </c>
      <c r="D19" s="10" t="s">
        <v>223</v>
      </c>
      <c r="E19" s="16">
        <v>12</v>
      </c>
      <c r="F19" s="13">
        <v>40818.262925998504</v>
      </c>
      <c r="G19" s="13">
        <v>249459.5239463328</v>
      </c>
      <c r="H19" s="10">
        <v>34</v>
      </c>
      <c r="I19" s="15">
        <v>0.35294117647058826</v>
      </c>
      <c r="J19" s="15">
        <v>0.16362679716642087</v>
      </c>
    </row>
    <row r="20" spans="1:10" ht="18" customHeight="1">
      <c r="A20" s="10" t="s">
        <v>175</v>
      </c>
      <c r="B20" s="10" t="s">
        <v>224</v>
      </c>
      <c r="C20" s="14" t="s">
        <v>225</v>
      </c>
      <c r="D20" s="10" t="s">
        <v>223</v>
      </c>
      <c r="E20" s="16">
        <v>3</v>
      </c>
      <c r="F20" s="13">
        <v>1610.6266293135002</v>
      </c>
      <c r="G20" s="13">
        <v>1622.2799593135003</v>
      </c>
      <c r="H20" s="10">
        <v>6</v>
      </c>
      <c r="I20" s="15">
        <v>0.5</v>
      </c>
      <c r="J20" s="15">
        <v>0.99281669607449785</v>
      </c>
    </row>
    <row r="21" spans="1:10" ht="18" customHeight="1">
      <c r="A21" s="10" t="s">
        <v>175</v>
      </c>
      <c r="B21" s="10" t="s">
        <v>221</v>
      </c>
      <c r="C21" s="14" t="s">
        <v>222</v>
      </c>
      <c r="D21" s="10" t="s">
        <v>223</v>
      </c>
      <c r="E21" s="16">
        <v>3</v>
      </c>
      <c r="F21" s="13">
        <v>11.65333</v>
      </c>
      <c r="G21" s="13">
        <v>1622.2799593135003</v>
      </c>
      <c r="H21" s="10">
        <v>6</v>
      </c>
      <c r="I21" s="15">
        <v>0.5</v>
      </c>
      <c r="J21" s="15">
        <v>7.1833039255020676E-3</v>
      </c>
    </row>
    <row r="22" spans="1:10" ht="18" customHeight="1">
      <c r="A22" s="10" t="s">
        <v>107</v>
      </c>
      <c r="B22" s="10" t="s">
        <v>221</v>
      </c>
      <c r="C22" s="14" t="s">
        <v>222</v>
      </c>
      <c r="D22" s="10" t="s">
        <v>223</v>
      </c>
      <c r="E22" s="16">
        <v>13</v>
      </c>
      <c r="F22" s="13">
        <v>105462.8685152573</v>
      </c>
      <c r="G22" s="13">
        <v>132995.6793372668</v>
      </c>
      <c r="H22" s="10">
        <v>21</v>
      </c>
      <c r="I22" s="15">
        <v>0.61904761904761907</v>
      </c>
      <c r="J22" s="15">
        <v>0.79297965949564109</v>
      </c>
    </row>
    <row r="23" spans="1:10" ht="18" customHeight="1">
      <c r="A23" s="10" t="s">
        <v>107</v>
      </c>
      <c r="B23" s="10" t="s">
        <v>224</v>
      </c>
      <c r="C23" s="14" t="s">
        <v>225</v>
      </c>
      <c r="D23" s="10" t="s">
        <v>223</v>
      </c>
      <c r="E23" s="16">
        <v>8</v>
      </c>
      <c r="F23" s="13">
        <v>27532.810822009498</v>
      </c>
      <c r="G23" s="13">
        <v>132995.6793372668</v>
      </c>
      <c r="H23" s="10">
        <v>21</v>
      </c>
      <c r="I23" s="15">
        <v>0.38095238095238093</v>
      </c>
      <c r="J23" s="15">
        <v>0.20702034050435886</v>
      </c>
    </row>
    <row r="24" spans="1:10" ht="18" customHeight="1">
      <c r="A24" s="10" t="s">
        <v>169</v>
      </c>
      <c r="B24" s="10" t="s">
        <v>221</v>
      </c>
      <c r="C24" s="14" t="s">
        <v>222</v>
      </c>
      <c r="D24" s="10" t="s">
        <v>223</v>
      </c>
      <c r="E24" s="16">
        <v>8</v>
      </c>
      <c r="F24" s="13">
        <v>312.39643210700001</v>
      </c>
      <c r="G24" s="13">
        <v>402.2913954087</v>
      </c>
      <c r="H24" s="10">
        <v>16</v>
      </c>
      <c r="I24" s="15">
        <v>0.5</v>
      </c>
      <c r="J24" s="15">
        <v>0.7765426645271073</v>
      </c>
    </row>
    <row r="25" spans="1:10" ht="18" customHeight="1">
      <c r="A25" s="10" t="s">
        <v>169</v>
      </c>
      <c r="B25" s="10" t="s">
        <v>224</v>
      </c>
      <c r="C25" s="14" t="s">
        <v>225</v>
      </c>
      <c r="D25" s="10" t="s">
        <v>223</v>
      </c>
      <c r="E25" s="16">
        <v>8</v>
      </c>
      <c r="F25" s="13">
        <v>89.894963301700002</v>
      </c>
      <c r="G25" s="13">
        <v>402.2913954087</v>
      </c>
      <c r="H25" s="10">
        <v>16</v>
      </c>
      <c r="I25" s="15">
        <v>0.5</v>
      </c>
      <c r="J25" s="15">
        <v>0.2234573354728927</v>
      </c>
    </row>
    <row r="26" spans="1:10" ht="18" customHeight="1">
      <c r="A26" s="10" t="s">
        <v>47</v>
      </c>
      <c r="B26" s="10" t="s">
        <v>221</v>
      </c>
      <c r="C26" s="14" t="s">
        <v>222</v>
      </c>
      <c r="D26" s="10" t="s">
        <v>223</v>
      </c>
      <c r="E26" s="16">
        <v>14</v>
      </c>
      <c r="F26" s="13">
        <v>549678.07274725067</v>
      </c>
      <c r="G26" s="13">
        <v>571817.78655524598</v>
      </c>
      <c r="H26" s="10">
        <v>23</v>
      </c>
      <c r="I26" s="15">
        <v>0.60869565217391308</v>
      </c>
      <c r="J26" s="15">
        <v>0.96128187277739341</v>
      </c>
    </row>
    <row r="27" spans="1:10" ht="18" customHeight="1">
      <c r="A27" s="10" t="s">
        <v>47</v>
      </c>
      <c r="B27" s="10" t="s">
        <v>224</v>
      </c>
      <c r="C27" s="14" t="s">
        <v>225</v>
      </c>
      <c r="D27" s="10" t="s">
        <v>223</v>
      </c>
      <c r="E27" s="16">
        <v>9</v>
      </c>
      <c r="F27" s="13">
        <v>22139.7138079953</v>
      </c>
      <c r="G27" s="13">
        <v>571817.78655524598</v>
      </c>
      <c r="H27" s="10">
        <v>23</v>
      </c>
      <c r="I27" s="15">
        <v>0.39130434782608697</v>
      </c>
      <c r="J27" s="15">
        <v>3.8718127222606563E-2</v>
      </c>
    </row>
    <row r="28" spans="1:10" ht="18" customHeight="1">
      <c r="A28" s="10" t="s">
        <v>34</v>
      </c>
      <c r="B28" s="10" t="s">
        <v>221</v>
      </c>
      <c r="C28" s="14" t="s">
        <v>222</v>
      </c>
      <c r="D28" s="10" t="s">
        <v>223</v>
      </c>
      <c r="E28" s="16">
        <v>16</v>
      </c>
      <c r="F28" s="13">
        <v>795872.24877143477</v>
      </c>
      <c r="G28" s="13">
        <v>860671.20760849258</v>
      </c>
      <c r="H28" s="10">
        <v>26</v>
      </c>
      <c r="I28" s="15">
        <v>0.61538461538461542</v>
      </c>
      <c r="J28" s="15">
        <v>0.92471113444457875</v>
      </c>
    </row>
    <row r="29" spans="1:10" ht="18" customHeight="1">
      <c r="A29" s="10" t="s">
        <v>34</v>
      </c>
      <c r="B29" s="10" t="s">
        <v>224</v>
      </c>
      <c r="C29" s="14" t="s">
        <v>225</v>
      </c>
      <c r="D29" s="10" t="s">
        <v>223</v>
      </c>
      <c r="E29" s="16">
        <v>10</v>
      </c>
      <c r="F29" s="13">
        <v>64798.958837057799</v>
      </c>
      <c r="G29" s="13">
        <v>860671.20760849258</v>
      </c>
      <c r="H29" s="10">
        <v>26</v>
      </c>
      <c r="I29" s="15">
        <v>0.38461538461538464</v>
      </c>
      <c r="J29" s="15">
        <v>7.5288865555421192E-2</v>
      </c>
    </row>
    <row r="30" spans="1:10" ht="18" customHeight="1">
      <c r="A30" s="10" t="s">
        <v>135</v>
      </c>
      <c r="B30" s="10" t="s">
        <v>221</v>
      </c>
      <c r="C30" s="14" t="s">
        <v>222</v>
      </c>
      <c r="D30" s="10" t="s">
        <v>223</v>
      </c>
      <c r="E30" s="16">
        <v>17</v>
      </c>
      <c r="F30" s="13">
        <v>38623.133168963803</v>
      </c>
      <c r="G30" s="13">
        <v>45252.466822717099</v>
      </c>
      <c r="H30" s="10">
        <v>27</v>
      </c>
      <c r="I30" s="15">
        <v>0.62962962962962965</v>
      </c>
      <c r="J30" s="15">
        <v>0.85350337519223773</v>
      </c>
    </row>
    <row r="31" spans="1:10" ht="18" customHeight="1">
      <c r="A31" s="10" t="s">
        <v>135</v>
      </c>
      <c r="B31" s="10" t="s">
        <v>224</v>
      </c>
      <c r="C31" s="14" t="s">
        <v>225</v>
      </c>
      <c r="D31" s="10" t="s">
        <v>223</v>
      </c>
      <c r="E31" s="16">
        <v>10</v>
      </c>
      <c r="F31" s="13">
        <v>6629.3336537532996</v>
      </c>
      <c r="G31" s="13">
        <v>45252.466822717099</v>
      </c>
      <c r="H31" s="10">
        <v>27</v>
      </c>
      <c r="I31" s="15">
        <v>0.37037037037037035</v>
      </c>
      <c r="J31" s="15">
        <v>0.14649662480776232</v>
      </c>
    </row>
    <row r="32" spans="1:10" ht="18" customHeight="1">
      <c r="A32" s="10" t="s">
        <v>79</v>
      </c>
      <c r="B32" s="10" t="s">
        <v>221</v>
      </c>
      <c r="C32" s="14" t="s">
        <v>222</v>
      </c>
      <c r="D32" s="10" t="s">
        <v>223</v>
      </c>
      <c r="E32" s="16">
        <v>16</v>
      </c>
      <c r="F32" s="13">
        <v>237905.69624999192</v>
      </c>
      <c r="G32" s="13">
        <v>245882.4176735426</v>
      </c>
      <c r="H32" s="10">
        <v>25</v>
      </c>
      <c r="I32" s="15">
        <v>0.64</v>
      </c>
      <c r="J32" s="15">
        <v>0.9675587970094659</v>
      </c>
    </row>
    <row r="33" spans="1:10" ht="18" customHeight="1">
      <c r="A33" s="10" t="s">
        <v>79</v>
      </c>
      <c r="B33" s="10" t="s">
        <v>224</v>
      </c>
      <c r="C33" s="14" t="s">
        <v>225</v>
      </c>
      <c r="D33" s="10" t="s">
        <v>223</v>
      </c>
      <c r="E33" s="16">
        <v>9</v>
      </c>
      <c r="F33" s="13">
        <v>7976.7214235506999</v>
      </c>
      <c r="G33" s="13">
        <v>245882.4176735426</v>
      </c>
      <c r="H33" s="10">
        <v>25</v>
      </c>
      <c r="I33" s="15">
        <v>0.36</v>
      </c>
      <c r="J33" s="15">
        <v>3.2441202990534164E-2</v>
      </c>
    </row>
    <row r="34" spans="1:10" ht="18" customHeight="1">
      <c r="A34" s="10" t="s">
        <v>165</v>
      </c>
      <c r="B34" s="10" t="s">
        <v>221</v>
      </c>
      <c r="C34" s="14" t="s">
        <v>222</v>
      </c>
      <c r="D34" s="10" t="s">
        <v>223</v>
      </c>
      <c r="E34" s="16">
        <v>13</v>
      </c>
      <c r="F34" s="13">
        <v>3333.825386</v>
      </c>
      <c r="G34" s="13">
        <v>3559.327863</v>
      </c>
      <c r="H34" s="10">
        <v>32</v>
      </c>
      <c r="I34" s="15">
        <v>0.40625</v>
      </c>
      <c r="J34" s="15">
        <v>0.93664464593325381</v>
      </c>
    </row>
    <row r="35" spans="1:10" ht="18" customHeight="1">
      <c r="A35" s="10" t="s">
        <v>165</v>
      </c>
      <c r="B35" s="10" t="s">
        <v>224</v>
      </c>
      <c r="C35" s="14" t="s">
        <v>225</v>
      </c>
      <c r="D35" s="10" t="s">
        <v>223</v>
      </c>
      <c r="E35" s="16">
        <v>19</v>
      </c>
      <c r="F35" s="13">
        <v>225.50247700000003</v>
      </c>
      <c r="G35" s="13">
        <v>3559.327863</v>
      </c>
      <c r="H35" s="10">
        <v>32</v>
      </c>
      <c r="I35" s="15">
        <v>0.59375</v>
      </c>
      <c r="J35" s="15">
        <v>6.3355354066746181E-2</v>
      </c>
    </row>
    <row r="36" spans="1:10" ht="18" customHeight="1">
      <c r="A36" s="10" t="s">
        <v>69</v>
      </c>
      <c r="B36" s="10" t="s">
        <v>224</v>
      </c>
      <c r="C36" s="14" t="s">
        <v>225</v>
      </c>
      <c r="D36" s="10" t="s">
        <v>223</v>
      </c>
      <c r="E36" s="16">
        <v>38</v>
      </c>
      <c r="F36" s="13">
        <v>857354.75091844227</v>
      </c>
      <c r="G36" s="13">
        <v>1300999.7714510453</v>
      </c>
      <c r="H36" s="10">
        <v>73</v>
      </c>
      <c r="I36" s="15">
        <v>0.52054794520547942</v>
      </c>
      <c r="J36" s="15">
        <v>0.65899684975517558</v>
      </c>
    </row>
    <row r="37" spans="1:10" ht="18" customHeight="1">
      <c r="A37" s="10" t="s">
        <v>69</v>
      </c>
      <c r="B37" s="10" t="s">
        <v>221</v>
      </c>
      <c r="C37" s="14" t="s">
        <v>222</v>
      </c>
      <c r="D37" s="10" t="s">
        <v>223</v>
      </c>
      <c r="E37" s="16">
        <v>35</v>
      </c>
      <c r="F37" s="13">
        <v>443645.02053260308</v>
      </c>
      <c r="G37" s="13">
        <v>1300999.7714510453</v>
      </c>
      <c r="H37" s="10">
        <v>73</v>
      </c>
      <c r="I37" s="15">
        <v>0.47945205479452052</v>
      </c>
      <c r="J37" s="15">
        <v>0.34100315024482447</v>
      </c>
    </row>
    <row r="38" spans="1:10" ht="18" customHeight="1">
      <c r="A38" s="10" t="s">
        <v>63</v>
      </c>
      <c r="B38" s="10" t="s">
        <v>224</v>
      </c>
      <c r="C38" s="14" t="s">
        <v>225</v>
      </c>
      <c r="D38" s="10" t="s">
        <v>223</v>
      </c>
      <c r="E38" s="16">
        <v>84</v>
      </c>
      <c r="F38" s="13">
        <v>619378.73750705773</v>
      </c>
      <c r="G38" s="13">
        <v>1102866.6258441233</v>
      </c>
      <c r="H38" s="10">
        <v>170</v>
      </c>
      <c r="I38" s="15">
        <v>0.49411764705882355</v>
      </c>
      <c r="J38" s="15">
        <v>0.56160801586773135</v>
      </c>
    </row>
    <row r="39" spans="1:10" ht="18" customHeight="1">
      <c r="A39" s="10" t="s">
        <v>63</v>
      </c>
      <c r="B39" s="10" t="s">
        <v>221</v>
      </c>
      <c r="C39" s="14" t="s">
        <v>222</v>
      </c>
      <c r="D39" s="10" t="s">
        <v>223</v>
      </c>
      <c r="E39" s="16">
        <v>86</v>
      </c>
      <c r="F39" s="13">
        <v>483487.88833706552</v>
      </c>
      <c r="G39" s="13">
        <v>1102866.6258441233</v>
      </c>
      <c r="H39" s="10">
        <v>170</v>
      </c>
      <c r="I39" s="15">
        <v>0.50588235294117645</v>
      </c>
      <c r="J39" s="15">
        <v>0.4383919841322686</v>
      </c>
    </row>
    <row r="40" spans="1:10" ht="18" customHeight="1">
      <c r="A40" s="10" t="s">
        <v>53</v>
      </c>
      <c r="B40" s="10" t="s">
        <v>221</v>
      </c>
      <c r="C40" s="14" t="s">
        <v>222</v>
      </c>
      <c r="D40" s="10" t="s">
        <v>223</v>
      </c>
      <c r="E40" s="16">
        <v>122</v>
      </c>
      <c r="F40" s="13">
        <v>663879.78810951044</v>
      </c>
      <c r="G40" s="13">
        <v>1037537.6190575529</v>
      </c>
      <c r="H40" s="10">
        <v>277</v>
      </c>
      <c r="I40" s="15">
        <v>0.44043321299638988</v>
      </c>
      <c r="J40" s="15">
        <v>0.63986093218725459</v>
      </c>
    </row>
    <row r="41" spans="1:10" ht="18" customHeight="1">
      <c r="A41" s="10" t="s">
        <v>53</v>
      </c>
      <c r="B41" s="10" t="s">
        <v>224</v>
      </c>
      <c r="C41" s="14" t="s">
        <v>225</v>
      </c>
      <c r="D41" s="10" t="s">
        <v>223</v>
      </c>
      <c r="E41" s="16">
        <v>155</v>
      </c>
      <c r="F41" s="13">
        <v>373657.83094804239</v>
      </c>
      <c r="G41" s="13">
        <v>1037537.6190575529</v>
      </c>
      <c r="H41" s="10">
        <v>277</v>
      </c>
      <c r="I41" s="15">
        <v>0.55956678700361007</v>
      </c>
      <c r="J41" s="15">
        <v>0.36013906781274535</v>
      </c>
    </row>
    <row r="42" spans="1:10" ht="18" customHeight="1">
      <c r="A42" s="10" t="s">
        <v>111</v>
      </c>
      <c r="B42" s="10" t="s">
        <v>224</v>
      </c>
      <c r="C42" s="14" t="s">
        <v>225</v>
      </c>
      <c r="D42" s="10" t="s">
        <v>223</v>
      </c>
      <c r="E42" s="16">
        <v>81</v>
      </c>
      <c r="F42" s="13">
        <v>395524.13011649041</v>
      </c>
      <c r="G42" s="13">
        <v>664877.85522775259</v>
      </c>
      <c r="H42" s="10">
        <v>129</v>
      </c>
      <c r="I42" s="15">
        <v>0.62790697674418605</v>
      </c>
      <c r="J42" s="15">
        <v>0.59488239382104913</v>
      </c>
    </row>
    <row r="43" spans="1:10" ht="18" customHeight="1">
      <c r="A43" s="10" t="s">
        <v>111</v>
      </c>
      <c r="B43" s="10" t="s">
        <v>221</v>
      </c>
      <c r="C43" s="14" t="s">
        <v>222</v>
      </c>
      <c r="D43" s="10" t="s">
        <v>223</v>
      </c>
      <c r="E43" s="16">
        <v>48</v>
      </c>
      <c r="F43" s="13">
        <v>269353.72511126223</v>
      </c>
      <c r="G43" s="13">
        <v>664877.85522775259</v>
      </c>
      <c r="H43" s="10">
        <v>129</v>
      </c>
      <c r="I43" s="15">
        <v>0.37209302325581395</v>
      </c>
      <c r="J43" s="15">
        <v>0.40511760617895093</v>
      </c>
    </row>
    <row r="44" spans="1:10" ht="18" customHeight="1">
      <c r="A44" s="10" t="s">
        <v>85</v>
      </c>
      <c r="B44" s="10" t="s">
        <v>224</v>
      </c>
      <c r="C44" s="14" t="s">
        <v>225</v>
      </c>
      <c r="D44" s="10" t="s">
        <v>223</v>
      </c>
      <c r="E44" s="16">
        <v>201</v>
      </c>
      <c r="F44" s="13">
        <v>1082457.5680425193</v>
      </c>
      <c r="G44" s="13">
        <v>1549275.8254257175</v>
      </c>
      <c r="H44" s="10">
        <v>418</v>
      </c>
      <c r="I44" s="15">
        <v>0.48086124401913877</v>
      </c>
      <c r="J44" s="15">
        <v>0.69868615405851076</v>
      </c>
    </row>
    <row r="45" spans="1:10" ht="18" customHeight="1">
      <c r="A45" s="10" t="s">
        <v>85</v>
      </c>
      <c r="B45" s="10" t="s">
        <v>221</v>
      </c>
      <c r="C45" s="14" t="s">
        <v>222</v>
      </c>
      <c r="D45" s="10" t="s">
        <v>223</v>
      </c>
      <c r="E45" s="16">
        <v>217</v>
      </c>
      <c r="F45" s="13">
        <v>466818.25738319819</v>
      </c>
      <c r="G45" s="13">
        <v>1549275.8254257175</v>
      </c>
      <c r="H45" s="10">
        <v>418</v>
      </c>
      <c r="I45" s="15">
        <v>0.51913875598086123</v>
      </c>
      <c r="J45" s="15">
        <v>0.30131384594148919</v>
      </c>
    </row>
    <row r="46" spans="1:10" ht="18" customHeight="1">
      <c r="A46" s="10" t="s">
        <v>131</v>
      </c>
      <c r="B46" s="10" t="s">
        <v>221</v>
      </c>
      <c r="C46" s="14" t="s">
        <v>222</v>
      </c>
      <c r="D46" s="10" t="s">
        <v>223</v>
      </c>
      <c r="E46" s="16">
        <v>157</v>
      </c>
      <c r="F46" s="13">
        <v>61274.194444970002</v>
      </c>
      <c r="G46" s="13">
        <v>115599.570034811</v>
      </c>
      <c r="H46" s="10">
        <v>283</v>
      </c>
      <c r="I46" s="15">
        <v>0.55477031802120136</v>
      </c>
      <c r="J46" s="15">
        <v>0.53005555666442561</v>
      </c>
    </row>
    <row r="47" spans="1:10" ht="18" customHeight="1">
      <c r="A47" s="10" t="s">
        <v>131</v>
      </c>
      <c r="B47" s="10" t="s">
        <v>224</v>
      </c>
      <c r="C47" s="14" t="s">
        <v>225</v>
      </c>
      <c r="D47" s="10" t="s">
        <v>223</v>
      </c>
      <c r="E47" s="16">
        <v>126</v>
      </c>
      <c r="F47" s="13">
        <v>54325.375589841002</v>
      </c>
      <c r="G47" s="13">
        <v>115599.570034811</v>
      </c>
      <c r="H47" s="10">
        <v>283</v>
      </c>
      <c r="I47" s="15">
        <v>0.44522968197879859</v>
      </c>
      <c r="J47" s="15">
        <v>0.46994444333557439</v>
      </c>
    </row>
    <row r="48" spans="1:10" ht="18" customHeight="1">
      <c r="A48" s="10" t="s">
        <v>95</v>
      </c>
      <c r="B48" s="10" t="s">
        <v>221</v>
      </c>
      <c r="C48" s="14" t="s">
        <v>222</v>
      </c>
      <c r="D48" s="10" t="s">
        <v>223</v>
      </c>
      <c r="E48" s="16">
        <v>122</v>
      </c>
      <c r="F48" s="13">
        <v>388648.91128195671</v>
      </c>
      <c r="G48" s="13">
        <v>700878.74730421591</v>
      </c>
      <c r="H48" s="10">
        <v>232</v>
      </c>
      <c r="I48" s="15">
        <v>0.52586206896551724</v>
      </c>
      <c r="J48" s="15">
        <v>0.55451661614339687</v>
      </c>
    </row>
    <row r="49" spans="1:10" ht="18" customHeight="1">
      <c r="A49" s="10" t="s">
        <v>95</v>
      </c>
      <c r="B49" s="10" t="s">
        <v>224</v>
      </c>
      <c r="C49" s="14" t="s">
        <v>225</v>
      </c>
      <c r="D49" s="10" t="s">
        <v>223</v>
      </c>
      <c r="E49" s="16">
        <v>110</v>
      </c>
      <c r="F49" s="13">
        <v>312229.8360222592</v>
      </c>
      <c r="G49" s="13">
        <v>700878.74730421591</v>
      </c>
      <c r="H49" s="10">
        <v>232</v>
      </c>
      <c r="I49" s="15">
        <v>0.47413793103448276</v>
      </c>
      <c r="J49" s="15">
        <v>0.44548338385660319</v>
      </c>
    </row>
    <row r="50" spans="1:10" ht="18" customHeight="1">
      <c r="A50" s="10" t="s">
        <v>143</v>
      </c>
      <c r="B50" s="10" t="s">
        <v>221</v>
      </c>
      <c r="C50" s="14" t="s">
        <v>222</v>
      </c>
      <c r="D50" s="10" t="s">
        <v>223</v>
      </c>
      <c r="E50" s="16">
        <v>48</v>
      </c>
      <c r="F50" s="13">
        <v>107720.41651085101</v>
      </c>
      <c r="G50" s="13">
        <v>148680.2607308072</v>
      </c>
      <c r="H50" s="10">
        <v>92</v>
      </c>
      <c r="I50" s="15">
        <v>0.52173913043478259</v>
      </c>
      <c r="J50" s="15">
        <v>0.72451054350707678</v>
      </c>
    </row>
    <row r="51" spans="1:10" ht="18" customHeight="1">
      <c r="A51" s="10" t="s">
        <v>143</v>
      </c>
      <c r="B51" s="10" t="s">
        <v>224</v>
      </c>
      <c r="C51" s="14" t="s">
        <v>225</v>
      </c>
      <c r="D51" s="10" t="s">
        <v>223</v>
      </c>
      <c r="E51" s="16">
        <v>44</v>
      </c>
      <c r="F51" s="13">
        <v>40959.844219956198</v>
      </c>
      <c r="G51" s="13">
        <v>148680.2607308072</v>
      </c>
      <c r="H51" s="10">
        <v>92</v>
      </c>
      <c r="I51" s="15">
        <v>0.47826086956521741</v>
      </c>
      <c r="J51" s="15">
        <v>0.27548945649292328</v>
      </c>
    </row>
    <row r="52" spans="1:10" ht="18" customHeight="1">
      <c r="A52" s="10" t="s">
        <v>109</v>
      </c>
      <c r="B52" s="10" t="s">
        <v>221</v>
      </c>
      <c r="C52" s="14" t="s">
        <v>222</v>
      </c>
      <c r="D52" s="10" t="s">
        <v>223</v>
      </c>
      <c r="E52" s="16">
        <v>62</v>
      </c>
      <c r="F52" s="13">
        <v>271225.06575504231</v>
      </c>
      <c r="G52" s="13">
        <v>506689.99406100798</v>
      </c>
      <c r="H52" s="10">
        <v>111</v>
      </c>
      <c r="I52" s="15">
        <v>0.55855855855855852</v>
      </c>
      <c r="J52" s="15">
        <v>0.53528798463382621</v>
      </c>
    </row>
    <row r="53" spans="1:10" ht="18" customHeight="1">
      <c r="A53" s="10" t="s">
        <v>109</v>
      </c>
      <c r="B53" s="10" t="s">
        <v>224</v>
      </c>
      <c r="C53" s="14" t="s">
        <v>225</v>
      </c>
      <c r="D53" s="10" t="s">
        <v>223</v>
      </c>
      <c r="E53" s="16">
        <v>49</v>
      </c>
      <c r="F53" s="13">
        <v>235464.9283059657</v>
      </c>
      <c r="G53" s="13">
        <v>506689.99406100798</v>
      </c>
      <c r="H53" s="10">
        <v>111</v>
      </c>
      <c r="I53" s="15">
        <v>0.44144144144144143</v>
      </c>
      <c r="J53" s="15">
        <v>0.4647120153661739</v>
      </c>
    </row>
    <row r="54" spans="1:10" ht="18" customHeight="1">
      <c r="A54" s="10" t="s">
        <v>145</v>
      </c>
      <c r="B54" s="10" t="s">
        <v>221</v>
      </c>
      <c r="C54" s="14" t="s">
        <v>222</v>
      </c>
      <c r="D54" s="10" t="s">
        <v>223</v>
      </c>
      <c r="E54" s="16">
        <v>95</v>
      </c>
      <c r="F54" s="13">
        <v>19678.494591493702</v>
      </c>
      <c r="G54" s="13">
        <v>21171.953396398501</v>
      </c>
      <c r="H54" s="10">
        <v>140</v>
      </c>
      <c r="I54" s="15">
        <v>0.6785714285714286</v>
      </c>
      <c r="J54" s="15">
        <v>0.92946050952677572</v>
      </c>
    </row>
    <row r="55" spans="1:10" ht="18" customHeight="1">
      <c r="A55" s="10" t="s">
        <v>145</v>
      </c>
      <c r="B55" s="10" t="s">
        <v>224</v>
      </c>
      <c r="C55" s="14" t="s">
        <v>225</v>
      </c>
      <c r="D55" s="10" t="s">
        <v>223</v>
      </c>
      <c r="E55" s="16">
        <v>45</v>
      </c>
      <c r="F55" s="13">
        <v>1493.4588049048</v>
      </c>
      <c r="G55" s="13">
        <v>21171.953396398501</v>
      </c>
      <c r="H55" s="10">
        <v>140</v>
      </c>
      <c r="I55" s="15">
        <v>0.32142857142857145</v>
      </c>
      <c r="J55" s="15">
        <v>7.0539490473224262E-2</v>
      </c>
    </row>
    <row r="56" spans="1:10" ht="18" customHeight="1">
      <c r="A56" s="10" t="s">
        <v>71</v>
      </c>
      <c r="B56" s="10" t="s">
        <v>221</v>
      </c>
      <c r="C56" s="14" t="s">
        <v>222</v>
      </c>
      <c r="D56" s="10" t="s">
        <v>223</v>
      </c>
      <c r="E56" s="16">
        <v>106</v>
      </c>
      <c r="F56" s="13">
        <v>949479.36343768437</v>
      </c>
      <c r="G56" s="13">
        <v>1587670.7135199131</v>
      </c>
      <c r="H56" s="10">
        <v>270</v>
      </c>
      <c r="I56" s="15">
        <v>0.3925925925925926</v>
      </c>
      <c r="J56" s="15">
        <v>0.59803292669716157</v>
      </c>
    </row>
    <row r="57" spans="1:10" ht="18" customHeight="1">
      <c r="A57" s="10" t="s">
        <v>71</v>
      </c>
      <c r="B57" s="10" t="s">
        <v>224</v>
      </c>
      <c r="C57" s="14" t="s">
        <v>225</v>
      </c>
      <c r="D57" s="10" t="s">
        <v>223</v>
      </c>
      <c r="E57" s="16">
        <v>164</v>
      </c>
      <c r="F57" s="13">
        <v>638191.35008222889</v>
      </c>
      <c r="G57" s="13">
        <v>1587670.7135199131</v>
      </c>
      <c r="H57" s="10">
        <v>270</v>
      </c>
      <c r="I57" s="15">
        <v>0.6074074074074074</v>
      </c>
      <c r="J57" s="15">
        <v>0.40196707330283854</v>
      </c>
    </row>
    <row r="58" spans="1:10" ht="18" customHeight="1">
      <c r="A58" s="10" t="s">
        <v>97</v>
      </c>
      <c r="B58" s="10" t="s">
        <v>224</v>
      </c>
      <c r="C58" s="14" t="s">
        <v>225</v>
      </c>
      <c r="D58" s="10" t="s">
        <v>223</v>
      </c>
      <c r="E58" s="16">
        <v>252</v>
      </c>
      <c r="F58" s="13">
        <v>386949.67894315039</v>
      </c>
      <c r="G58" s="13">
        <v>625707.96322015335</v>
      </c>
      <c r="H58" s="10">
        <v>507</v>
      </c>
      <c r="I58" s="15">
        <v>0.49704142011834318</v>
      </c>
      <c r="J58" s="15">
        <v>0.61841897768368881</v>
      </c>
    </row>
    <row r="59" spans="1:10" ht="18" customHeight="1">
      <c r="A59" s="10" t="s">
        <v>97</v>
      </c>
      <c r="B59" s="10" t="s">
        <v>221</v>
      </c>
      <c r="C59" s="14" t="s">
        <v>222</v>
      </c>
      <c r="D59" s="10" t="s">
        <v>223</v>
      </c>
      <c r="E59" s="16">
        <v>255</v>
      </c>
      <c r="F59" s="13">
        <v>238758.284277003</v>
      </c>
      <c r="G59" s="13">
        <v>625707.96322015335</v>
      </c>
      <c r="H59" s="10">
        <v>507</v>
      </c>
      <c r="I59" s="15">
        <v>0.50295857988165682</v>
      </c>
      <c r="J59" s="15">
        <v>0.38158102231631125</v>
      </c>
    </row>
    <row r="60" spans="1:10" ht="18" customHeight="1">
      <c r="A60" s="10" t="s">
        <v>28</v>
      </c>
      <c r="B60" s="10" t="s">
        <v>221</v>
      </c>
      <c r="C60" s="14" t="s">
        <v>222</v>
      </c>
      <c r="D60" s="10" t="s">
        <v>223</v>
      </c>
      <c r="E60" s="16">
        <v>79</v>
      </c>
      <c r="F60" s="13">
        <v>6493516.7799464632</v>
      </c>
      <c r="G60" s="13">
        <v>7390380.6806016127</v>
      </c>
      <c r="H60" s="10">
        <v>184</v>
      </c>
      <c r="I60" s="15">
        <v>0.42934782608695654</v>
      </c>
      <c r="J60" s="15">
        <v>0.8786444245004521</v>
      </c>
    </row>
    <row r="61" spans="1:10" ht="18" customHeight="1">
      <c r="A61" s="10" t="s">
        <v>28</v>
      </c>
      <c r="B61" s="10" t="s">
        <v>224</v>
      </c>
      <c r="C61" s="14" t="s">
        <v>225</v>
      </c>
      <c r="D61" s="10" t="s">
        <v>223</v>
      </c>
      <c r="E61" s="16">
        <v>105</v>
      </c>
      <c r="F61" s="13">
        <v>896863.90065514925</v>
      </c>
      <c r="G61" s="13">
        <v>7390380.6806016127</v>
      </c>
      <c r="H61" s="10">
        <v>184</v>
      </c>
      <c r="I61" s="15">
        <v>0.57065217391304346</v>
      </c>
      <c r="J61" s="15">
        <v>0.12135557549954791</v>
      </c>
    </row>
    <row r="62" spans="1:10" ht="18" customHeight="1">
      <c r="A62" s="10" t="s">
        <v>51</v>
      </c>
      <c r="B62" s="10" t="s">
        <v>221</v>
      </c>
      <c r="C62" s="14" t="s">
        <v>222</v>
      </c>
      <c r="D62" s="10" t="s">
        <v>223</v>
      </c>
      <c r="E62" s="16">
        <v>99</v>
      </c>
      <c r="F62" s="13">
        <v>1139217.2180863454</v>
      </c>
      <c r="G62" s="13">
        <v>1589890.9385366843</v>
      </c>
      <c r="H62" s="10">
        <v>195</v>
      </c>
      <c r="I62" s="15">
        <v>0.50769230769230766</v>
      </c>
      <c r="J62" s="15">
        <v>0.71653796526123148</v>
      </c>
    </row>
    <row r="63" spans="1:10" ht="18" customHeight="1">
      <c r="A63" s="10" t="s">
        <v>51</v>
      </c>
      <c r="B63" s="10" t="s">
        <v>224</v>
      </c>
      <c r="C63" s="14" t="s">
        <v>225</v>
      </c>
      <c r="D63" s="10" t="s">
        <v>223</v>
      </c>
      <c r="E63" s="16">
        <v>96</v>
      </c>
      <c r="F63" s="13">
        <v>450673.72045033879</v>
      </c>
      <c r="G63" s="13">
        <v>1589890.9385366843</v>
      </c>
      <c r="H63" s="10">
        <v>195</v>
      </c>
      <c r="I63" s="15">
        <v>0.49230769230769234</v>
      </c>
      <c r="J63" s="15">
        <v>0.28346203473876846</v>
      </c>
    </row>
    <row r="64" spans="1:10" ht="18" customHeight="1">
      <c r="A64" s="10" t="s">
        <v>115</v>
      </c>
      <c r="B64" s="10" t="s">
        <v>221</v>
      </c>
      <c r="C64" s="14" t="s">
        <v>222</v>
      </c>
      <c r="D64" s="10" t="s">
        <v>223</v>
      </c>
      <c r="E64" s="16">
        <v>147</v>
      </c>
      <c r="F64" s="13">
        <v>199375.49143988339</v>
      </c>
      <c r="G64" s="13">
        <v>292432.09997720609</v>
      </c>
      <c r="H64" s="10">
        <v>264</v>
      </c>
      <c r="I64" s="15">
        <v>0.55681818181818177</v>
      </c>
      <c r="J64" s="15">
        <v>0.68178387890872416</v>
      </c>
    </row>
    <row r="65" spans="1:10" ht="18" customHeight="1">
      <c r="A65" s="10" t="s">
        <v>115</v>
      </c>
      <c r="B65" s="10" t="s">
        <v>224</v>
      </c>
      <c r="C65" s="14" t="s">
        <v>225</v>
      </c>
      <c r="D65" s="10" t="s">
        <v>223</v>
      </c>
      <c r="E65" s="16">
        <v>117</v>
      </c>
      <c r="F65" s="13">
        <v>93056.608537322696</v>
      </c>
      <c r="G65" s="13">
        <v>292432.09997720609</v>
      </c>
      <c r="H65" s="10">
        <v>264</v>
      </c>
      <c r="I65" s="15">
        <v>0.44318181818181818</v>
      </c>
      <c r="J65" s="15">
        <v>0.31821612109127584</v>
      </c>
    </row>
    <row r="66" spans="1:10" ht="18" customHeight="1">
      <c r="A66" s="10" t="s">
        <v>121</v>
      </c>
      <c r="B66" s="10" t="s">
        <v>221</v>
      </c>
      <c r="C66" s="14" t="s">
        <v>222</v>
      </c>
      <c r="D66" s="10" t="s">
        <v>223</v>
      </c>
      <c r="E66" s="16">
        <v>141</v>
      </c>
      <c r="F66" s="13">
        <v>176897.45757191521</v>
      </c>
      <c r="G66" s="13">
        <v>306003.28874194151</v>
      </c>
      <c r="H66" s="10">
        <v>254</v>
      </c>
      <c r="I66" s="15">
        <v>0.55511811023622049</v>
      </c>
      <c r="J66" s="15">
        <v>0.57809005353892207</v>
      </c>
    </row>
    <row r="67" spans="1:10" ht="18" customHeight="1">
      <c r="A67" s="10" t="s">
        <v>121</v>
      </c>
      <c r="B67" s="10" t="s">
        <v>224</v>
      </c>
      <c r="C67" s="14" t="s">
        <v>225</v>
      </c>
      <c r="D67" s="10" t="s">
        <v>223</v>
      </c>
      <c r="E67" s="16">
        <v>113</v>
      </c>
      <c r="F67" s="13">
        <v>129105.8311700263</v>
      </c>
      <c r="G67" s="13">
        <v>306003.28874194151</v>
      </c>
      <c r="H67" s="10">
        <v>254</v>
      </c>
      <c r="I67" s="15">
        <v>0.44488188976377951</v>
      </c>
      <c r="J67" s="15">
        <v>0.42190994646107788</v>
      </c>
    </row>
    <row r="68" spans="1:10" ht="18" customHeight="1">
      <c r="A68" s="10" t="s">
        <v>103</v>
      </c>
      <c r="B68" s="10" t="s">
        <v>221</v>
      </c>
      <c r="C68" s="14" t="s">
        <v>222</v>
      </c>
      <c r="D68" s="10" t="s">
        <v>223</v>
      </c>
      <c r="E68" s="16">
        <v>158</v>
      </c>
      <c r="F68" s="13">
        <v>246642.6611292279</v>
      </c>
      <c r="G68" s="13">
        <v>453226.03085279721</v>
      </c>
      <c r="H68" s="10">
        <v>311</v>
      </c>
      <c r="I68" s="15">
        <v>0.50803858520900325</v>
      </c>
      <c r="J68" s="15">
        <v>0.54419350244543807</v>
      </c>
    </row>
    <row r="69" spans="1:10" ht="18" customHeight="1">
      <c r="A69" s="10" t="s">
        <v>103</v>
      </c>
      <c r="B69" s="10" t="s">
        <v>224</v>
      </c>
      <c r="C69" s="14" t="s">
        <v>225</v>
      </c>
      <c r="D69" s="10" t="s">
        <v>223</v>
      </c>
      <c r="E69" s="16">
        <v>153</v>
      </c>
      <c r="F69" s="13">
        <v>206583.36972356931</v>
      </c>
      <c r="G69" s="13">
        <v>453226.03085279721</v>
      </c>
      <c r="H69" s="10">
        <v>311</v>
      </c>
      <c r="I69" s="15">
        <v>0.49196141479099681</v>
      </c>
      <c r="J69" s="15">
        <v>0.45580649755456193</v>
      </c>
    </row>
    <row r="70" spans="1:10" ht="18" customHeight="1">
      <c r="A70" s="10" t="s">
        <v>119</v>
      </c>
      <c r="B70" s="10" t="s">
        <v>221</v>
      </c>
      <c r="C70" s="14" t="s">
        <v>222</v>
      </c>
      <c r="D70" s="10" t="s">
        <v>223</v>
      </c>
      <c r="E70" s="16">
        <v>28</v>
      </c>
      <c r="F70" s="13">
        <v>169647.4816779808</v>
      </c>
      <c r="G70" s="13">
        <v>219045.62416918142</v>
      </c>
      <c r="H70" s="10">
        <v>61</v>
      </c>
      <c r="I70" s="15">
        <v>0.45901639344262296</v>
      </c>
      <c r="J70" s="15">
        <v>0.77448468702096684</v>
      </c>
    </row>
    <row r="71" spans="1:10" ht="18" customHeight="1">
      <c r="A71" s="10" t="s">
        <v>119</v>
      </c>
      <c r="B71" s="10" t="s">
        <v>224</v>
      </c>
      <c r="C71" s="14" t="s">
        <v>225</v>
      </c>
      <c r="D71" s="10" t="s">
        <v>223</v>
      </c>
      <c r="E71" s="16">
        <v>33</v>
      </c>
      <c r="F71" s="13">
        <v>49398.142491200597</v>
      </c>
      <c r="G71" s="13">
        <v>219045.62416918142</v>
      </c>
      <c r="H71" s="10">
        <v>61</v>
      </c>
      <c r="I71" s="15">
        <v>0.54098360655737709</v>
      </c>
      <c r="J71" s="15">
        <v>0.22551531297903307</v>
      </c>
    </row>
    <row r="72" spans="1:10" ht="18" customHeight="1">
      <c r="A72" s="10" t="s">
        <v>141</v>
      </c>
      <c r="B72" s="10" t="s">
        <v>221</v>
      </c>
      <c r="C72" s="14" t="s">
        <v>222</v>
      </c>
      <c r="D72" s="10" t="s">
        <v>223</v>
      </c>
      <c r="E72" s="16">
        <v>29</v>
      </c>
      <c r="F72" s="13">
        <v>53579.0212137005</v>
      </c>
      <c r="G72" s="13">
        <v>87093.823573720205</v>
      </c>
      <c r="H72" s="10">
        <v>64</v>
      </c>
      <c r="I72" s="15">
        <v>0.453125</v>
      </c>
      <c r="J72" s="15">
        <v>0.61518738086345193</v>
      </c>
    </row>
    <row r="73" spans="1:10" ht="18" customHeight="1">
      <c r="A73" s="10" t="s">
        <v>141</v>
      </c>
      <c r="B73" s="10" t="s">
        <v>224</v>
      </c>
      <c r="C73" s="14" t="s">
        <v>225</v>
      </c>
      <c r="D73" s="10" t="s">
        <v>223</v>
      </c>
      <c r="E73" s="16">
        <v>35</v>
      </c>
      <c r="F73" s="13">
        <v>33514.802360019705</v>
      </c>
      <c r="G73" s="13">
        <v>87093.823573720205</v>
      </c>
      <c r="H73" s="10">
        <v>64</v>
      </c>
      <c r="I73" s="15">
        <v>0.546875</v>
      </c>
      <c r="J73" s="15">
        <v>0.38481261913654807</v>
      </c>
    </row>
    <row r="74" spans="1:10" ht="18" customHeight="1">
      <c r="A74" s="10" t="s">
        <v>77</v>
      </c>
      <c r="B74" s="10" t="s">
        <v>221</v>
      </c>
      <c r="C74" s="14" t="s">
        <v>222</v>
      </c>
      <c r="D74" s="10" t="s">
        <v>223</v>
      </c>
      <c r="E74" s="16">
        <v>65</v>
      </c>
      <c r="F74" s="13">
        <v>604631.92746998172</v>
      </c>
      <c r="G74" s="13">
        <v>675569.01796316425</v>
      </c>
      <c r="H74" s="10">
        <v>138</v>
      </c>
      <c r="I74" s="15">
        <v>0.47101449275362317</v>
      </c>
      <c r="J74" s="15">
        <v>0.89499653091395848</v>
      </c>
    </row>
    <row r="75" spans="1:10" ht="18" customHeight="1">
      <c r="A75" s="10" t="s">
        <v>77</v>
      </c>
      <c r="B75" s="10" t="s">
        <v>224</v>
      </c>
      <c r="C75" s="14" t="s">
        <v>225</v>
      </c>
      <c r="D75" s="10" t="s">
        <v>223</v>
      </c>
      <c r="E75" s="16">
        <v>73</v>
      </c>
      <c r="F75" s="13">
        <v>70937.090493182593</v>
      </c>
      <c r="G75" s="13">
        <v>675569.01796316425</v>
      </c>
      <c r="H75" s="10">
        <v>138</v>
      </c>
      <c r="I75" s="15">
        <v>0.52898550724637683</v>
      </c>
      <c r="J75" s="15">
        <v>0.10500346908604159</v>
      </c>
    </row>
    <row r="76" spans="1:10" ht="18" customHeight="1">
      <c r="A76" s="10" t="s">
        <v>101</v>
      </c>
      <c r="B76" s="10" t="s">
        <v>224</v>
      </c>
      <c r="C76" s="14" t="s">
        <v>225</v>
      </c>
      <c r="D76" s="10" t="s">
        <v>223</v>
      </c>
      <c r="E76" s="16">
        <v>81</v>
      </c>
      <c r="F76" s="13">
        <v>405556.07004396571</v>
      </c>
      <c r="G76" s="13">
        <v>707251.51654349733</v>
      </c>
      <c r="H76" s="10">
        <v>162</v>
      </c>
      <c r="I76" s="15">
        <v>0.5</v>
      </c>
      <c r="J76" s="15">
        <v>0.57342552197839403</v>
      </c>
    </row>
    <row r="77" spans="1:10" ht="18" customHeight="1">
      <c r="A77" s="10" t="s">
        <v>101</v>
      </c>
      <c r="B77" s="10" t="s">
        <v>221</v>
      </c>
      <c r="C77" s="14" t="s">
        <v>222</v>
      </c>
      <c r="D77" s="10" t="s">
        <v>223</v>
      </c>
      <c r="E77" s="16">
        <v>81</v>
      </c>
      <c r="F77" s="13">
        <v>301695.44649953162</v>
      </c>
      <c r="G77" s="13">
        <v>707251.51654349733</v>
      </c>
      <c r="H77" s="10">
        <v>162</v>
      </c>
      <c r="I77" s="15">
        <v>0.5</v>
      </c>
      <c r="J77" s="15">
        <v>0.42657447802160603</v>
      </c>
    </row>
    <row r="78" spans="1:10" ht="18" customHeight="1">
      <c r="A78" s="10" t="s">
        <v>39</v>
      </c>
      <c r="B78" s="10" t="s">
        <v>221</v>
      </c>
      <c r="C78" s="14" t="s">
        <v>222</v>
      </c>
      <c r="D78" s="10" t="s">
        <v>223</v>
      </c>
      <c r="E78" s="16">
        <v>164</v>
      </c>
      <c r="F78" s="13">
        <v>2360936.4714387595</v>
      </c>
      <c r="G78" s="13">
        <v>2717260.6982051707</v>
      </c>
      <c r="H78" s="10">
        <v>312</v>
      </c>
      <c r="I78" s="15">
        <v>0.52564102564102566</v>
      </c>
      <c r="J78" s="15">
        <v>0.8688663818669391</v>
      </c>
    </row>
    <row r="79" spans="1:10" ht="18" customHeight="1">
      <c r="A79" s="10" t="s">
        <v>39</v>
      </c>
      <c r="B79" s="10" t="s">
        <v>224</v>
      </c>
      <c r="C79" s="14" t="s">
        <v>225</v>
      </c>
      <c r="D79" s="10" t="s">
        <v>223</v>
      </c>
      <c r="E79" s="16">
        <v>148</v>
      </c>
      <c r="F79" s="13">
        <v>356324.22676641122</v>
      </c>
      <c r="G79" s="13">
        <v>2717260.6982051707</v>
      </c>
      <c r="H79" s="10">
        <v>312</v>
      </c>
      <c r="I79" s="15">
        <v>0.47435897435897434</v>
      </c>
      <c r="J79" s="15">
        <v>0.13113361813306088</v>
      </c>
    </row>
    <row r="80" spans="1:10" ht="18" customHeight="1">
      <c r="A80" s="10" t="s">
        <v>113</v>
      </c>
      <c r="B80" s="10" t="s">
        <v>221</v>
      </c>
      <c r="C80" s="14" t="s">
        <v>222</v>
      </c>
      <c r="D80" s="10" t="s">
        <v>223</v>
      </c>
      <c r="E80" s="16">
        <v>71</v>
      </c>
      <c r="F80" s="13">
        <v>918052.15074988082</v>
      </c>
      <c r="G80" s="13">
        <v>937172.64699300565</v>
      </c>
      <c r="H80" s="10">
        <v>117</v>
      </c>
      <c r="I80" s="15">
        <v>0.60683760683760679</v>
      </c>
      <c r="J80" s="15">
        <v>0.97959767999581027</v>
      </c>
    </row>
    <row r="81" spans="1:10" ht="18" customHeight="1">
      <c r="A81" s="10" t="s">
        <v>113</v>
      </c>
      <c r="B81" s="10" t="s">
        <v>224</v>
      </c>
      <c r="C81" s="14" t="s">
        <v>225</v>
      </c>
      <c r="D81" s="10" t="s">
        <v>223</v>
      </c>
      <c r="E81" s="16">
        <v>46</v>
      </c>
      <c r="F81" s="13">
        <v>19120.496243124802</v>
      </c>
      <c r="G81" s="13">
        <v>937172.64699300565</v>
      </c>
      <c r="H81" s="10">
        <v>117</v>
      </c>
      <c r="I81" s="15">
        <v>0.39316239316239315</v>
      </c>
      <c r="J81" s="15">
        <v>2.0402320004189692E-2</v>
      </c>
    </row>
    <row r="82" spans="1:10" ht="18" customHeight="1">
      <c r="A82" s="10" t="s">
        <v>55</v>
      </c>
      <c r="B82" s="10" t="s">
        <v>221</v>
      </c>
      <c r="C82" s="14" t="s">
        <v>222</v>
      </c>
      <c r="D82" s="10" t="s">
        <v>223</v>
      </c>
      <c r="E82" s="16">
        <v>208</v>
      </c>
      <c r="F82" s="13">
        <v>943721.57935837738</v>
      </c>
      <c r="G82" s="13">
        <v>1139679.5670890671</v>
      </c>
      <c r="H82" s="10">
        <v>383</v>
      </c>
      <c r="I82" s="15">
        <v>0.54308093994778073</v>
      </c>
      <c r="J82" s="15">
        <v>0.828058698787415</v>
      </c>
    </row>
    <row r="83" spans="1:10" ht="18" customHeight="1">
      <c r="A83" s="10" t="s">
        <v>55</v>
      </c>
      <c r="B83" s="10" t="s">
        <v>224</v>
      </c>
      <c r="C83" s="14" t="s">
        <v>225</v>
      </c>
      <c r="D83" s="10" t="s">
        <v>223</v>
      </c>
      <c r="E83" s="16">
        <v>175</v>
      </c>
      <c r="F83" s="13">
        <v>195957.9877306897</v>
      </c>
      <c r="G83" s="13">
        <v>1139679.5670890671</v>
      </c>
      <c r="H83" s="10">
        <v>383</v>
      </c>
      <c r="I83" s="15">
        <v>0.45691906005221933</v>
      </c>
      <c r="J83" s="15">
        <v>0.17194130121258494</v>
      </c>
    </row>
    <row r="84" spans="1:10" ht="18" customHeight="1">
      <c r="A84" s="10" t="s">
        <v>99</v>
      </c>
      <c r="B84" s="10" t="s">
        <v>221</v>
      </c>
      <c r="C84" s="14" t="s">
        <v>222</v>
      </c>
      <c r="D84" s="10" t="s">
        <v>223</v>
      </c>
      <c r="E84" s="16">
        <v>229</v>
      </c>
      <c r="F84" s="13">
        <v>274323.76109727338</v>
      </c>
      <c r="G84" s="13">
        <v>429516.33309482579</v>
      </c>
      <c r="H84" s="10">
        <v>432</v>
      </c>
      <c r="I84" s="15">
        <v>0.53009259259259256</v>
      </c>
      <c r="J84" s="15">
        <v>0.63868062739469789</v>
      </c>
    </row>
    <row r="85" spans="1:10" ht="18" customHeight="1">
      <c r="A85" s="10" t="s">
        <v>99</v>
      </c>
      <c r="B85" s="10" t="s">
        <v>224</v>
      </c>
      <c r="C85" s="14" t="s">
        <v>225</v>
      </c>
      <c r="D85" s="10" t="s">
        <v>223</v>
      </c>
      <c r="E85" s="16">
        <v>203</v>
      </c>
      <c r="F85" s="13">
        <v>155192.57199755241</v>
      </c>
      <c r="G85" s="13">
        <v>429516.33309482579</v>
      </c>
      <c r="H85" s="10">
        <v>432</v>
      </c>
      <c r="I85" s="15">
        <v>0.46990740740740738</v>
      </c>
      <c r="J85" s="15">
        <v>0.36131937260530211</v>
      </c>
    </row>
    <row r="86" spans="1:10" ht="18" customHeight="1">
      <c r="A86" s="10" t="s">
        <v>57</v>
      </c>
      <c r="B86" s="10" t="s">
        <v>221</v>
      </c>
      <c r="C86" s="14" t="s">
        <v>222</v>
      </c>
      <c r="D86" s="10" t="s">
        <v>223</v>
      </c>
      <c r="E86" s="16">
        <v>244</v>
      </c>
      <c r="F86" s="13">
        <v>960876.54665875842</v>
      </c>
      <c r="G86" s="13">
        <v>1487741.6269238533</v>
      </c>
      <c r="H86" s="10">
        <v>482</v>
      </c>
      <c r="I86" s="15">
        <v>0.50622406639004147</v>
      </c>
      <c r="J86" s="15">
        <v>0.64586251353706237</v>
      </c>
    </row>
    <row r="87" spans="1:10" ht="18" customHeight="1">
      <c r="A87" s="10" t="s">
        <v>57</v>
      </c>
      <c r="B87" s="10" t="s">
        <v>224</v>
      </c>
      <c r="C87" s="14" t="s">
        <v>225</v>
      </c>
      <c r="D87" s="10" t="s">
        <v>223</v>
      </c>
      <c r="E87" s="16">
        <v>238</v>
      </c>
      <c r="F87" s="13">
        <v>526865.08026509488</v>
      </c>
      <c r="G87" s="13">
        <v>1487741.6269238533</v>
      </c>
      <c r="H87" s="10">
        <v>482</v>
      </c>
      <c r="I87" s="15">
        <v>0.49377593360995853</v>
      </c>
      <c r="J87" s="15">
        <v>0.35413748646293763</v>
      </c>
    </row>
    <row r="88" spans="1:10" ht="18" customHeight="1">
      <c r="A88" s="10" t="s">
        <v>30</v>
      </c>
      <c r="B88" s="10" t="s">
        <v>221</v>
      </c>
      <c r="C88" s="14" t="s">
        <v>222</v>
      </c>
      <c r="D88" s="10" t="s">
        <v>223</v>
      </c>
      <c r="E88" s="16">
        <v>236</v>
      </c>
      <c r="F88" s="13">
        <v>3346234.7466529934</v>
      </c>
      <c r="G88" s="13">
        <v>5771015.2573294137</v>
      </c>
      <c r="H88" s="10">
        <v>412</v>
      </c>
      <c r="I88" s="15">
        <v>0.57281553398058249</v>
      </c>
      <c r="J88" s="15">
        <v>0.57983467335373018</v>
      </c>
    </row>
    <row r="89" spans="1:10" ht="18" customHeight="1">
      <c r="A89" s="10" t="s">
        <v>30</v>
      </c>
      <c r="B89" s="10" t="s">
        <v>224</v>
      </c>
      <c r="C89" s="14" t="s">
        <v>225</v>
      </c>
      <c r="D89" s="10" t="s">
        <v>223</v>
      </c>
      <c r="E89" s="16">
        <v>176</v>
      </c>
      <c r="F89" s="13">
        <v>2424780.5106764198</v>
      </c>
      <c r="G89" s="13">
        <v>5771015.2573294137</v>
      </c>
      <c r="H89" s="10">
        <v>412</v>
      </c>
      <c r="I89" s="15">
        <v>0.42718446601941745</v>
      </c>
      <c r="J89" s="15">
        <v>0.42016532664626982</v>
      </c>
    </row>
    <row r="90" spans="1:10" ht="18" customHeight="1">
      <c r="A90" s="10" t="s">
        <v>32</v>
      </c>
      <c r="B90" s="10" t="s">
        <v>224</v>
      </c>
      <c r="C90" s="14" t="s">
        <v>225</v>
      </c>
      <c r="D90" s="10" t="s">
        <v>223</v>
      </c>
      <c r="E90" s="16">
        <v>153</v>
      </c>
      <c r="F90" s="13">
        <v>2833655.7651303564</v>
      </c>
      <c r="G90" s="13">
        <v>4469154.9811442439</v>
      </c>
      <c r="H90" s="10">
        <v>325</v>
      </c>
      <c r="I90" s="15">
        <v>0.47076923076923077</v>
      </c>
      <c r="J90" s="15">
        <v>0.63404732596783919</v>
      </c>
    </row>
    <row r="91" spans="1:10" ht="18" customHeight="1">
      <c r="A91" s="10" t="s">
        <v>32</v>
      </c>
      <c r="B91" s="10" t="s">
        <v>221</v>
      </c>
      <c r="C91" s="14" t="s">
        <v>222</v>
      </c>
      <c r="D91" s="10" t="s">
        <v>223</v>
      </c>
      <c r="E91" s="16">
        <v>172</v>
      </c>
      <c r="F91" s="13">
        <v>1635499.2160138872</v>
      </c>
      <c r="G91" s="13">
        <v>4469154.9811442439</v>
      </c>
      <c r="H91" s="10">
        <v>325</v>
      </c>
      <c r="I91" s="15">
        <v>0.52923076923076928</v>
      </c>
      <c r="J91" s="15">
        <v>0.36595267403216081</v>
      </c>
    </row>
    <row r="92" spans="1:10" ht="18" customHeight="1">
      <c r="A92" s="10" t="s">
        <v>59</v>
      </c>
      <c r="B92" s="10" t="s">
        <v>224</v>
      </c>
      <c r="C92" s="14" t="s">
        <v>225</v>
      </c>
      <c r="D92" s="10" t="s">
        <v>223</v>
      </c>
      <c r="E92" s="16">
        <v>71</v>
      </c>
      <c r="F92" s="13">
        <v>855542.15220034402</v>
      </c>
      <c r="G92" s="13">
        <v>1592518.0818040827</v>
      </c>
      <c r="H92" s="10">
        <v>147</v>
      </c>
      <c r="I92" s="15">
        <v>0.48299319727891155</v>
      </c>
      <c r="J92" s="15">
        <v>0.53722602083810811</v>
      </c>
    </row>
    <row r="93" spans="1:10" ht="18" customHeight="1">
      <c r="A93" s="10" t="s">
        <v>59</v>
      </c>
      <c r="B93" s="10" t="s">
        <v>221</v>
      </c>
      <c r="C93" s="14" t="s">
        <v>222</v>
      </c>
      <c r="D93" s="10" t="s">
        <v>223</v>
      </c>
      <c r="E93" s="16">
        <v>76</v>
      </c>
      <c r="F93" s="13">
        <v>736975.92960373859</v>
      </c>
      <c r="G93" s="13">
        <v>1592518.0818040827</v>
      </c>
      <c r="H93" s="10">
        <v>147</v>
      </c>
      <c r="I93" s="15">
        <v>0.51700680272108845</v>
      </c>
      <c r="J93" s="15">
        <v>0.46277397916189189</v>
      </c>
    </row>
    <row r="94" spans="1:10" ht="18" customHeight="1">
      <c r="A94" s="10" t="s">
        <v>91</v>
      </c>
      <c r="B94" s="10" t="s">
        <v>224</v>
      </c>
      <c r="C94" s="14" t="s">
        <v>225</v>
      </c>
      <c r="D94" s="10" t="s">
        <v>223</v>
      </c>
      <c r="E94" s="16">
        <v>140</v>
      </c>
      <c r="F94" s="13">
        <v>514692.66511834948</v>
      </c>
      <c r="G94" s="13">
        <v>794215.42597631423</v>
      </c>
      <c r="H94" s="10">
        <v>272</v>
      </c>
      <c r="I94" s="15">
        <v>0.51470588235294112</v>
      </c>
      <c r="J94" s="15">
        <v>0.64805171025940145</v>
      </c>
    </row>
    <row r="95" spans="1:10" ht="18" customHeight="1">
      <c r="A95" s="10" t="s">
        <v>91</v>
      </c>
      <c r="B95" s="10" t="s">
        <v>221</v>
      </c>
      <c r="C95" s="14" t="s">
        <v>222</v>
      </c>
      <c r="D95" s="10" t="s">
        <v>223</v>
      </c>
      <c r="E95" s="16">
        <v>132</v>
      </c>
      <c r="F95" s="13">
        <v>279522.76085796469</v>
      </c>
      <c r="G95" s="13">
        <v>794215.42597631423</v>
      </c>
      <c r="H95" s="10">
        <v>272</v>
      </c>
      <c r="I95" s="15">
        <v>0.48529411764705882</v>
      </c>
      <c r="J95" s="15">
        <v>0.3519482897405985</v>
      </c>
    </row>
    <row r="96" spans="1:10" ht="18" customHeight="1">
      <c r="A96" s="10" t="s">
        <v>117</v>
      </c>
      <c r="B96" s="10" t="s">
        <v>224</v>
      </c>
      <c r="C96" s="14" t="s">
        <v>225</v>
      </c>
      <c r="D96" s="10" t="s">
        <v>223</v>
      </c>
      <c r="E96" s="16">
        <v>117</v>
      </c>
      <c r="F96" s="13">
        <v>166699.55708681731</v>
      </c>
      <c r="G96" s="13">
        <v>237379.07863162039</v>
      </c>
      <c r="H96" s="10">
        <v>205</v>
      </c>
      <c r="I96" s="15">
        <v>0.57073170731707312</v>
      </c>
      <c r="J96" s="15">
        <v>0.70225041755053752</v>
      </c>
    </row>
    <row r="97" spans="1:10" ht="18" customHeight="1">
      <c r="A97" s="10" t="s">
        <v>117</v>
      </c>
      <c r="B97" s="10" t="s">
        <v>221</v>
      </c>
      <c r="C97" s="14" t="s">
        <v>222</v>
      </c>
      <c r="D97" s="10" t="s">
        <v>223</v>
      </c>
      <c r="E97" s="16">
        <v>88</v>
      </c>
      <c r="F97" s="13">
        <v>70679.521544803094</v>
      </c>
      <c r="G97" s="13">
        <v>237379.07863162039</v>
      </c>
      <c r="H97" s="10">
        <v>205</v>
      </c>
      <c r="I97" s="15">
        <v>0.42926829268292682</v>
      </c>
      <c r="J97" s="15">
        <v>0.29774958244946248</v>
      </c>
    </row>
    <row r="98" spans="1:10" ht="18" customHeight="1">
      <c r="A98" s="10" t="s">
        <v>20</v>
      </c>
      <c r="B98" s="10" t="s">
        <v>224</v>
      </c>
      <c r="C98" s="14" t="s">
        <v>225</v>
      </c>
      <c r="D98" s="10" t="s">
        <v>223</v>
      </c>
      <c r="E98" s="16">
        <v>193</v>
      </c>
      <c r="F98" s="13">
        <v>3023975.7984092738</v>
      </c>
      <c r="G98" s="13">
        <v>5436428.7938038176</v>
      </c>
      <c r="H98" s="10">
        <v>393</v>
      </c>
      <c r="I98" s="15">
        <v>0.4910941475826972</v>
      </c>
      <c r="J98" s="15">
        <v>0.55624306196300355</v>
      </c>
    </row>
    <row r="99" spans="1:10" ht="18" customHeight="1">
      <c r="A99" s="10" t="s">
        <v>20</v>
      </c>
      <c r="B99" s="10" t="s">
        <v>221</v>
      </c>
      <c r="C99" s="14" t="s">
        <v>222</v>
      </c>
      <c r="D99" s="10" t="s">
        <v>223</v>
      </c>
      <c r="E99" s="16">
        <v>200</v>
      </c>
      <c r="F99" s="13">
        <v>2412452.9953945437</v>
      </c>
      <c r="G99" s="13">
        <v>5436428.7938038176</v>
      </c>
      <c r="H99" s="10">
        <v>393</v>
      </c>
      <c r="I99" s="15">
        <v>0.5089058524173028</v>
      </c>
      <c r="J99" s="15">
        <v>0.4437569380369964</v>
      </c>
    </row>
    <row r="100" spans="1:10" ht="18" customHeight="1">
      <c r="A100" s="10" t="s">
        <v>129</v>
      </c>
      <c r="B100" s="10" t="s">
        <v>224</v>
      </c>
      <c r="C100" s="14" t="s">
        <v>225</v>
      </c>
      <c r="D100" s="10" t="s">
        <v>223</v>
      </c>
      <c r="E100" s="16">
        <v>102</v>
      </c>
      <c r="F100" s="13">
        <v>107195.887761954</v>
      </c>
      <c r="G100" s="13">
        <v>147100.3417814472</v>
      </c>
      <c r="H100" s="10">
        <v>193</v>
      </c>
      <c r="I100" s="15">
        <v>0.52849740932642486</v>
      </c>
      <c r="J100" s="15">
        <v>0.72872629977447079</v>
      </c>
    </row>
    <row r="101" spans="1:10" ht="18" customHeight="1">
      <c r="A101" s="10" t="s">
        <v>129</v>
      </c>
      <c r="B101" s="10" t="s">
        <v>221</v>
      </c>
      <c r="C101" s="14" t="s">
        <v>222</v>
      </c>
      <c r="D101" s="10" t="s">
        <v>223</v>
      </c>
      <c r="E101" s="16">
        <v>91</v>
      </c>
      <c r="F101" s="13">
        <v>39904.454019493198</v>
      </c>
      <c r="G101" s="13">
        <v>147100.3417814472</v>
      </c>
      <c r="H101" s="10">
        <v>193</v>
      </c>
      <c r="I101" s="15">
        <v>0.47150259067357514</v>
      </c>
      <c r="J101" s="15">
        <v>0.27127370022552921</v>
      </c>
    </row>
    <row r="102" spans="1:10" ht="18" customHeight="1">
      <c r="A102" s="10" t="s">
        <v>22</v>
      </c>
      <c r="B102" s="10" t="s">
        <v>224</v>
      </c>
      <c r="C102" s="14" t="s">
        <v>225</v>
      </c>
      <c r="D102" s="10" t="s">
        <v>223</v>
      </c>
      <c r="E102" s="16">
        <v>179</v>
      </c>
      <c r="F102" s="13">
        <v>5179539.0390417539</v>
      </c>
      <c r="G102" s="13">
        <v>6697725.785375867</v>
      </c>
      <c r="H102" s="10">
        <v>288</v>
      </c>
      <c r="I102" s="15">
        <v>0.62152777777777779</v>
      </c>
      <c r="J102" s="15">
        <v>0.77332802282694313</v>
      </c>
    </row>
    <row r="103" spans="1:10" ht="18" customHeight="1">
      <c r="A103" s="10" t="s">
        <v>22</v>
      </c>
      <c r="B103" s="10" t="s">
        <v>221</v>
      </c>
      <c r="C103" s="14" t="s">
        <v>222</v>
      </c>
      <c r="D103" s="10" t="s">
        <v>223</v>
      </c>
      <c r="E103" s="16">
        <v>109</v>
      </c>
      <c r="F103" s="13">
        <v>1518186.7463341132</v>
      </c>
      <c r="G103" s="13">
        <v>6697725.785375867</v>
      </c>
      <c r="H103" s="10">
        <v>288</v>
      </c>
      <c r="I103" s="15">
        <v>0.37847222222222221</v>
      </c>
      <c r="J103" s="15">
        <v>0.2266719771730569</v>
      </c>
    </row>
    <row r="104" spans="1:10" ht="18" customHeight="1">
      <c r="A104" s="10" t="s">
        <v>37</v>
      </c>
      <c r="B104" s="10" t="s">
        <v>224</v>
      </c>
      <c r="C104" s="14" t="s">
        <v>225</v>
      </c>
      <c r="D104" s="10" t="s">
        <v>223</v>
      </c>
      <c r="E104" s="16">
        <v>145</v>
      </c>
      <c r="F104" s="13">
        <v>2297500.6793667916</v>
      </c>
      <c r="G104" s="13">
        <v>2615825.056861822</v>
      </c>
      <c r="H104" s="10">
        <v>214</v>
      </c>
      <c r="I104" s="15">
        <v>0.67757009345794394</v>
      </c>
      <c r="J104" s="15">
        <v>0.87830823140867043</v>
      </c>
    </row>
    <row r="105" spans="1:10" ht="18" customHeight="1">
      <c r="A105" s="10" t="s">
        <v>37</v>
      </c>
      <c r="B105" s="10" t="s">
        <v>221</v>
      </c>
      <c r="C105" s="14" t="s">
        <v>222</v>
      </c>
      <c r="D105" s="10" t="s">
        <v>223</v>
      </c>
      <c r="E105" s="16">
        <v>69</v>
      </c>
      <c r="F105" s="13">
        <v>318324.37749503017</v>
      </c>
      <c r="G105" s="13">
        <v>2615825.056861822</v>
      </c>
      <c r="H105" s="10">
        <v>214</v>
      </c>
      <c r="I105" s="15">
        <v>0.32242990654205606</v>
      </c>
      <c r="J105" s="15">
        <v>0.1216917685913295</v>
      </c>
    </row>
    <row r="106" spans="1:10" ht="18" customHeight="1">
      <c r="A106" s="10" t="s">
        <v>17</v>
      </c>
      <c r="B106" s="10" t="s">
        <v>224</v>
      </c>
      <c r="C106" s="14" t="s">
        <v>225</v>
      </c>
      <c r="D106" s="10" t="s">
        <v>223</v>
      </c>
      <c r="E106" s="16">
        <v>208</v>
      </c>
      <c r="F106" s="13">
        <v>8813719.1783860698</v>
      </c>
      <c r="G106" s="13">
        <v>11101666.087778976</v>
      </c>
      <c r="H106" s="10">
        <v>340</v>
      </c>
      <c r="I106" s="15">
        <v>0.61176470588235299</v>
      </c>
      <c r="J106" s="15">
        <v>0.7939095905693343</v>
      </c>
    </row>
    <row r="107" spans="1:10" ht="18" customHeight="1">
      <c r="A107" s="10" t="s">
        <v>17</v>
      </c>
      <c r="B107" s="10" t="s">
        <v>221</v>
      </c>
      <c r="C107" s="14" t="s">
        <v>222</v>
      </c>
      <c r="D107" s="10" t="s">
        <v>223</v>
      </c>
      <c r="E107" s="16">
        <v>132</v>
      </c>
      <c r="F107" s="13">
        <v>2287946.9093929054</v>
      </c>
      <c r="G107" s="13">
        <v>11101666.087778976</v>
      </c>
      <c r="H107" s="10">
        <v>340</v>
      </c>
      <c r="I107" s="15">
        <v>0.38823529411764707</v>
      </c>
      <c r="J107" s="15">
        <v>0.20609040943066564</v>
      </c>
    </row>
    <row r="108" spans="1:10" ht="18" customHeight="1">
      <c r="A108" s="10" t="s">
        <v>61</v>
      </c>
      <c r="B108" s="10" t="s">
        <v>224</v>
      </c>
      <c r="C108" s="14" t="s">
        <v>225</v>
      </c>
      <c r="D108" s="10" t="s">
        <v>223</v>
      </c>
      <c r="E108" s="16">
        <v>142</v>
      </c>
      <c r="F108" s="13">
        <v>1057086.8939323956</v>
      </c>
      <c r="G108" s="13">
        <v>1731971.9673227617</v>
      </c>
      <c r="H108" s="10">
        <v>219</v>
      </c>
      <c r="I108" s="15">
        <v>0.64840182648401823</v>
      </c>
      <c r="J108" s="15">
        <v>0.61033718436356321</v>
      </c>
    </row>
    <row r="109" spans="1:10" ht="18" customHeight="1">
      <c r="A109" s="10" t="s">
        <v>61</v>
      </c>
      <c r="B109" s="10" t="s">
        <v>221</v>
      </c>
      <c r="C109" s="14" t="s">
        <v>222</v>
      </c>
      <c r="D109" s="10" t="s">
        <v>223</v>
      </c>
      <c r="E109" s="16">
        <v>77</v>
      </c>
      <c r="F109" s="13">
        <v>674885.07339036604</v>
      </c>
      <c r="G109" s="13">
        <v>1731971.9673227617</v>
      </c>
      <c r="H109" s="10">
        <v>219</v>
      </c>
      <c r="I109" s="15">
        <v>0.35159817351598172</v>
      </c>
      <c r="J109" s="15">
        <v>0.38966281563643679</v>
      </c>
    </row>
    <row r="110" spans="1:10" ht="18" customHeight="1">
      <c r="A110" s="10" t="s">
        <v>43</v>
      </c>
      <c r="B110" s="10" t="s">
        <v>224</v>
      </c>
      <c r="C110" s="14" t="s">
        <v>225</v>
      </c>
      <c r="D110" s="10" t="s">
        <v>223</v>
      </c>
      <c r="E110" s="16">
        <v>90</v>
      </c>
      <c r="F110" s="13">
        <v>1944118.6713466921</v>
      </c>
      <c r="G110" s="13">
        <v>2883541.9537540907</v>
      </c>
      <c r="H110" s="10">
        <v>142</v>
      </c>
      <c r="I110" s="15">
        <v>0.63380281690140849</v>
      </c>
      <c r="J110" s="15">
        <v>0.67421202899983435</v>
      </c>
    </row>
    <row r="111" spans="1:10" ht="18" customHeight="1">
      <c r="A111" s="10" t="s">
        <v>43</v>
      </c>
      <c r="B111" s="10" t="s">
        <v>221</v>
      </c>
      <c r="C111" s="14" t="s">
        <v>222</v>
      </c>
      <c r="D111" s="10" t="s">
        <v>223</v>
      </c>
      <c r="E111" s="16">
        <v>52</v>
      </c>
      <c r="F111" s="13">
        <v>939423.28240739868</v>
      </c>
      <c r="G111" s="13">
        <v>2883541.9537540907</v>
      </c>
      <c r="H111" s="10">
        <v>142</v>
      </c>
      <c r="I111" s="15">
        <v>0.36619718309859156</v>
      </c>
      <c r="J111" s="15">
        <v>0.32578797100016565</v>
      </c>
    </row>
    <row r="112" spans="1:10" ht="18" customHeight="1">
      <c r="A112" s="10" t="s">
        <v>149</v>
      </c>
      <c r="B112" s="10" t="s">
        <v>224</v>
      </c>
      <c r="C112" s="14" t="s">
        <v>225</v>
      </c>
      <c r="D112" s="10" t="s">
        <v>223</v>
      </c>
      <c r="E112" s="16">
        <v>217</v>
      </c>
      <c r="F112" s="13">
        <v>25880.7640581048</v>
      </c>
      <c r="G112" s="13">
        <v>44872.4444403339</v>
      </c>
      <c r="H112" s="10">
        <v>452</v>
      </c>
      <c r="I112" s="15">
        <v>0.48008849557522126</v>
      </c>
      <c r="J112" s="15">
        <v>0.57676296401721538</v>
      </c>
    </row>
    <row r="113" spans="1:10" ht="18" customHeight="1">
      <c r="A113" s="10" t="s">
        <v>149</v>
      </c>
      <c r="B113" s="10" t="s">
        <v>221</v>
      </c>
      <c r="C113" s="14" t="s">
        <v>222</v>
      </c>
      <c r="D113" s="10" t="s">
        <v>223</v>
      </c>
      <c r="E113" s="16">
        <v>235</v>
      </c>
      <c r="F113" s="13">
        <v>18991.6803822291</v>
      </c>
      <c r="G113" s="13">
        <v>44872.4444403339</v>
      </c>
      <c r="H113" s="10">
        <v>452</v>
      </c>
      <c r="I113" s="15">
        <v>0.51991150442477874</v>
      </c>
      <c r="J113" s="15">
        <v>0.42323703598278456</v>
      </c>
    </row>
    <row r="114" spans="1:10" ht="18" customHeight="1">
      <c r="A114" s="10" t="s">
        <v>155</v>
      </c>
      <c r="B114" s="10" t="s">
        <v>224</v>
      </c>
      <c r="C114" s="14" t="s">
        <v>225</v>
      </c>
      <c r="D114" s="10" t="s">
        <v>223</v>
      </c>
      <c r="E114" s="16">
        <v>161</v>
      </c>
      <c r="F114" s="13">
        <v>13568.633957775401</v>
      </c>
      <c r="G114" s="13">
        <v>22842.5316976432</v>
      </c>
      <c r="H114" s="10">
        <v>332</v>
      </c>
      <c r="I114" s="15">
        <v>0.48493975903614456</v>
      </c>
      <c r="J114" s="15">
        <v>0.594007447921167</v>
      </c>
    </row>
    <row r="115" spans="1:10" ht="18" customHeight="1">
      <c r="A115" s="10" t="s">
        <v>155</v>
      </c>
      <c r="B115" s="10" t="s">
        <v>221</v>
      </c>
      <c r="C115" s="14" t="s">
        <v>222</v>
      </c>
      <c r="D115" s="10" t="s">
        <v>223</v>
      </c>
      <c r="E115" s="16">
        <v>171</v>
      </c>
      <c r="F115" s="13">
        <v>9273.8977398677998</v>
      </c>
      <c r="G115" s="13">
        <v>22842.5316976432</v>
      </c>
      <c r="H115" s="10">
        <v>332</v>
      </c>
      <c r="I115" s="15">
        <v>0.51506024096385539</v>
      </c>
      <c r="J115" s="15">
        <v>0.40599255207883295</v>
      </c>
    </row>
    <row r="116" spans="1:10" ht="18" customHeight="1">
      <c r="A116" s="10" t="s">
        <v>151</v>
      </c>
      <c r="B116" s="10" t="s">
        <v>224</v>
      </c>
      <c r="C116" s="14" t="s">
        <v>225</v>
      </c>
      <c r="D116" s="10" t="s">
        <v>223</v>
      </c>
      <c r="E116" s="16">
        <v>183</v>
      </c>
      <c r="F116" s="13">
        <v>20760.254472359</v>
      </c>
      <c r="G116" s="13">
        <v>39281.024733703103</v>
      </c>
      <c r="H116" s="10">
        <v>382</v>
      </c>
      <c r="I116" s="15">
        <v>0.47905759162303663</v>
      </c>
      <c r="J116" s="15">
        <v>0.528505929086588</v>
      </c>
    </row>
    <row r="117" spans="1:10" ht="18" customHeight="1">
      <c r="A117" s="10" t="s">
        <v>151</v>
      </c>
      <c r="B117" s="10" t="s">
        <v>221</v>
      </c>
      <c r="C117" s="14" t="s">
        <v>222</v>
      </c>
      <c r="D117" s="10" t="s">
        <v>223</v>
      </c>
      <c r="E117" s="16">
        <v>199</v>
      </c>
      <c r="F117" s="13">
        <v>18520.7702613441</v>
      </c>
      <c r="G117" s="13">
        <v>39281.024733703103</v>
      </c>
      <c r="H117" s="10">
        <v>382</v>
      </c>
      <c r="I117" s="15">
        <v>0.52094240837696337</v>
      </c>
      <c r="J117" s="15">
        <v>0.47149407091341194</v>
      </c>
    </row>
    <row r="118" spans="1:10" ht="18" customHeight="1">
      <c r="A118" s="10" t="s">
        <v>157</v>
      </c>
      <c r="B118" s="10" t="s">
        <v>221</v>
      </c>
      <c r="C118" s="14" t="s">
        <v>222</v>
      </c>
      <c r="D118" s="10" t="s">
        <v>223</v>
      </c>
      <c r="E118" s="16">
        <v>111</v>
      </c>
      <c r="F118" s="13">
        <v>17532.7393653736</v>
      </c>
      <c r="G118" s="13">
        <v>32645.754357906098</v>
      </c>
      <c r="H118" s="10">
        <v>246</v>
      </c>
      <c r="I118" s="15">
        <v>0.45121951219512196</v>
      </c>
      <c r="J118" s="15">
        <v>0.53706032255087244</v>
      </c>
    </row>
    <row r="119" spans="1:10" ht="18" customHeight="1">
      <c r="A119" s="10" t="s">
        <v>157</v>
      </c>
      <c r="B119" s="10" t="s">
        <v>224</v>
      </c>
      <c r="C119" s="14" t="s">
        <v>225</v>
      </c>
      <c r="D119" s="10" t="s">
        <v>223</v>
      </c>
      <c r="E119" s="16">
        <v>135</v>
      </c>
      <c r="F119" s="13">
        <v>15113.0149925325</v>
      </c>
      <c r="G119" s="13">
        <v>32645.754357906098</v>
      </c>
      <c r="H119" s="10">
        <v>246</v>
      </c>
      <c r="I119" s="15">
        <v>0.54878048780487809</v>
      </c>
      <c r="J119" s="15">
        <v>0.46293967744912756</v>
      </c>
    </row>
    <row r="120" spans="1:10" ht="18" customHeight="1">
      <c r="A120" s="10" t="s">
        <v>159</v>
      </c>
      <c r="B120" s="10" t="s">
        <v>221</v>
      </c>
      <c r="C120" s="14" t="s">
        <v>222</v>
      </c>
      <c r="D120" s="10" t="s">
        <v>223</v>
      </c>
      <c r="E120" s="16">
        <v>111</v>
      </c>
      <c r="F120" s="13">
        <v>18686.796942834499</v>
      </c>
      <c r="G120" s="13">
        <v>30450.917424912201</v>
      </c>
      <c r="H120" s="10">
        <v>245</v>
      </c>
      <c r="I120" s="15">
        <v>0.45306122448979591</v>
      </c>
      <c r="J120" s="15">
        <v>0.61366942355394005</v>
      </c>
    </row>
    <row r="121" spans="1:10" ht="18" customHeight="1">
      <c r="A121" s="10" t="s">
        <v>159</v>
      </c>
      <c r="B121" s="10" t="s">
        <v>224</v>
      </c>
      <c r="C121" s="14" t="s">
        <v>225</v>
      </c>
      <c r="D121" s="10" t="s">
        <v>223</v>
      </c>
      <c r="E121" s="16">
        <v>134</v>
      </c>
      <c r="F121" s="13">
        <v>11764.1204820777</v>
      </c>
      <c r="G121" s="13">
        <v>30450.917424912201</v>
      </c>
      <c r="H121" s="10">
        <v>245</v>
      </c>
      <c r="I121" s="15">
        <v>0.54693877551020409</v>
      </c>
      <c r="J121" s="15">
        <v>0.38633057644605989</v>
      </c>
    </row>
    <row r="122" spans="1:10" ht="18" customHeight="1">
      <c r="A122" s="10" t="s">
        <v>163</v>
      </c>
      <c r="B122" s="10" t="s">
        <v>224</v>
      </c>
      <c r="C122" s="14" t="s">
        <v>225</v>
      </c>
      <c r="D122" s="10" t="s">
        <v>223</v>
      </c>
      <c r="E122" s="16">
        <v>194</v>
      </c>
      <c r="F122" s="13">
        <v>13664.710434395</v>
      </c>
      <c r="G122" s="13">
        <v>19839.072931287599</v>
      </c>
      <c r="H122" s="10">
        <v>411</v>
      </c>
      <c r="I122" s="15">
        <v>0.47201946472019463</v>
      </c>
      <c r="J122" s="15">
        <v>0.68877767029349435</v>
      </c>
    </row>
    <row r="123" spans="1:10" ht="18" customHeight="1">
      <c r="A123" s="10" t="s">
        <v>163</v>
      </c>
      <c r="B123" s="10" t="s">
        <v>221</v>
      </c>
      <c r="C123" s="14" t="s">
        <v>222</v>
      </c>
      <c r="D123" s="10" t="s">
        <v>223</v>
      </c>
      <c r="E123" s="16">
        <v>217</v>
      </c>
      <c r="F123" s="13">
        <v>6174.3624968925997</v>
      </c>
      <c r="G123" s="13">
        <v>19839.072931287599</v>
      </c>
      <c r="H123" s="10">
        <v>411</v>
      </c>
      <c r="I123" s="15">
        <v>0.52798053527980537</v>
      </c>
      <c r="J123" s="15">
        <v>0.3112223297065056</v>
      </c>
    </row>
    <row r="124" spans="1:10" ht="18" customHeight="1">
      <c r="A124" s="10" t="s">
        <v>161</v>
      </c>
      <c r="B124" s="10" t="s">
        <v>221</v>
      </c>
      <c r="C124" s="14" t="s">
        <v>222</v>
      </c>
      <c r="D124" s="10" t="s">
        <v>223</v>
      </c>
      <c r="E124" s="16">
        <v>211</v>
      </c>
      <c r="F124" s="13">
        <v>25041.116485450002</v>
      </c>
      <c r="G124" s="13">
        <v>44647.944981429304</v>
      </c>
      <c r="H124" s="10">
        <v>410</v>
      </c>
      <c r="I124" s="15">
        <v>0.51463414634146343</v>
      </c>
      <c r="J124" s="15">
        <v>0.5608570897465831</v>
      </c>
    </row>
    <row r="125" spans="1:10" ht="18" customHeight="1">
      <c r="A125" s="10" t="s">
        <v>161</v>
      </c>
      <c r="B125" s="10" t="s">
        <v>224</v>
      </c>
      <c r="C125" s="14" t="s">
        <v>225</v>
      </c>
      <c r="D125" s="10" t="s">
        <v>223</v>
      </c>
      <c r="E125" s="16">
        <v>199</v>
      </c>
      <c r="F125" s="13">
        <v>19606.828495979298</v>
      </c>
      <c r="G125" s="13">
        <v>44647.944981429304</v>
      </c>
      <c r="H125" s="10">
        <v>410</v>
      </c>
      <c r="I125" s="15">
        <v>0.48536585365853657</v>
      </c>
      <c r="J125" s="15">
        <v>0.43914291025341678</v>
      </c>
    </row>
    <row r="126" spans="1:10" ht="18" customHeight="1">
      <c r="A126" s="10" t="s">
        <v>73</v>
      </c>
      <c r="B126" s="10" t="s">
        <v>221</v>
      </c>
      <c r="C126" s="14" t="s">
        <v>222</v>
      </c>
      <c r="D126" s="10" t="s">
        <v>223</v>
      </c>
      <c r="E126" s="16">
        <v>87</v>
      </c>
      <c r="F126" s="13">
        <v>280158.3272979933</v>
      </c>
      <c r="G126" s="13">
        <v>431127.77716673311</v>
      </c>
      <c r="H126" s="10">
        <v>197</v>
      </c>
      <c r="I126" s="15">
        <v>0.44162436548223349</v>
      </c>
      <c r="J126" s="15">
        <v>0.64982666888022311</v>
      </c>
    </row>
    <row r="127" spans="1:10" ht="18" customHeight="1">
      <c r="A127" s="10" t="s">
        <v>73</v>
      </c>
      <c r="B127" s="10" t="s">
        <v>224</v>
      </c>
      <c r="C127" s="14" t="s">
        <v>225</v>
      </c>
      <c r="D127" s="10" t="s">
        <v>223</v>
      </c>
      <c r="E127" s="16">
        <v>110</v>
      </c>
      <c r="F127" s="13">
        <v>150969.44986873979</v>
      </c>
      <c r="G127" s="13">
        <v>431127.77716673311</v>
      </c>
      <c r="H127" s="10">
        <v>197</v>
      </c>
      <c r="I127" s="15">
        <v>0.55837563451776651</v>
      </c>
      <c r="J127" s="15">
        <v>0.35017333111977683</v>
      </c>
    </row>
    <row r="128" spans="1:10" ht="18" customHeight="1">
      <c r="A128" s="10" t="s">
        <v>24</v>
      </c>
      <c r="B128" s="10" t="s">
        <v>224</v>
      </c>
      <c r="C128" s="14" t="s">
        <v>225</v>
      </c>
      <c r="D128" s="10" t="s">
        <v>223</v>
      </c>
      <c r="E128" s="16">
        <v>160</v>
      </c>
      <c r="F128" s="13">
        <v>2860946.2095963345</v>
      </c>
      <c r="G128" s="13">
        <v>5649829.9842101932</v>
      </c>
      <c r="H128" s="10">
        <v>254</v>
      </c>
      <c r="I128" s="15">
        <v>0.62992125984251968</v>
      </c>
      <c r="J128" s="15">
        <v>0.50637739853976771</v>
      </c>
    </row>
    <row r="129" spans="1:10" ht="18" customHeight="1">
      <c r="A129" s="10" t="s">
        <v>24</v>
      </c>
      <c r="B129" s="10" t="s">
        <v>221</v>
      </c>
      <c r="C129" s="14" t="s">
        <v>222</v>
      </c>
      <c r="D129" s="10" t="s">
        <v>223</v>
      </c>
      <c r="E129" s="16">
        <v>94</v>
      </c>
      <c r="F129" s="13">
        <v>2788883.7746138587</v>
      </c>
      <c r="G129" s="13">
        <v>5649829.9842101932</v>
      </c>
      <c r="H129" s="10">
        <v>254</v>
      </c>
      <c r="I129" s="15">
        <v>0.37007874015748032</v>
      </c>
      <c r="J129" s="15">
        <v>0.49362260146023229</v>
      </c>
    </row>
    <row r="130" spans="1:10" ht="18" customHeight="1">
      <c r="A130" s="10" t="s">
        <v>45</v>
      </c>
      <c r="B130" s="10" t="s">
        <v>224</v>
      </c>
      <c r="C130" s="14" t="s">
        <v>225</v>
      </c>
      <c r="D130" s="10" t="s">
        <v>223</v>
      </c>
      <c r="E130" s="16">
        <v>122</v>
      </c>
      <c r="F130" s="13">
        <v>1611687.8018338387</v>
      </c>
      <c r="G130" s="13">
        <v>2658977.9688993068</v>
      </c>
      <c r="H130" s="10">
        <v>175</v>
      </c>
      <c r="I130" s="15">
        <v>0.69714285714285718</v>
      </c>
      <c r="J130" s="15">
        <v>0.60613055869018817</v>
      </c>
    </row>
    <row r="131" spans="1:10" ht="18" customHeight="1">
      <c r="A131" s="10" t="s">
        <v>45</v>
      </c>
      <c r="B131" s="10" t="s">
        <v>221</v>
      </c>
      <c r="C131" s="14" t="s">
        <v>222</v>
      </c>
      <c r="D131" s="10" t="s">
        <v>223</v>
      </c>
      <c r="E131" s="16">
        <v>53</v>
      </c>
      <c r="F131" s="13">
        <v>1047290.1670654682</v>
      </c>
      <c r="G131" s="13">
        <v>2658977.9688993068</v>
      </c>
      <c r="H131" s="10">
        <v>175</v>
      </c>
      <c r="I131" s="15">
        <v>0.30285714285714288</v>
      </c>
      <c r="J131" s="15">
        <v>0.39386944130981183</v>
      </c>
    </row>
    <row r="132" spans="1:10" ht="18" customHeight="1">
      <c r="A132" s="10" t="s">
        <v>41</v>
      </c>
      <c r="B132" s="10" t="s">
        <v>224</v>
      </c>
      <c r="C132" s="14" t="s">
        <v>225</v>
      </c>
      <c r="D132" s="10" t="s">
        <v>223</v>
      </c>
      <c r="E132" s="16">
        <v>140</v>
      </c>
      <c r="F132" s="13">
        <v>1737369.3964359923</v>
      </c>
      <c r="G132" s="13">
        <v>3090456.2651244747</v>
      </c>
      <c r="H132" s="10">
        <v>229</v>
      </c>
      <c r="I132" s="15">
        <v>0.611353711790393</v>
      </c>
      <c r="J132" s="15">
        <v>0.56217245849489994</v>
      </c>
    </row>
    <row r="133" spans="1:10" ht="18" customHeight="1">
      <c r="A133" s="10" t="s">
        <v>41</v>
      </c>
      <c r="B133" s="10" t="s">
        <v>221</v>
      </c>
      <c r="C133" s="14" t="s">
        <v>222</v>
      </c>
      <c r="D133" s="10" t="s">
        <v>223</v>
      </c>
      <c r="E133" s="16">
        <v>89</v>
      </c>
      <c r="F133" s="13">
        <v>1353086.8686884821</v>
      </c>
      <c r="G133" s="13">
        <v>3090456.2651244747</v>
      </c>
      <c r="H133" s="10">
        <v>229</v>
      </c>
      <c r="I133" s="15">
        <v>0.388646288209607</v>
      </c>
      <c r="J133" s="15">
        <v>0.43782754150509995</v>
      </c>
    </row>
    <row r="134" spans="1:10" ht="18" customHeight="1">
      <c r="A134" s="10" t="s">
        <v>49</v>
      </c>
      <c r="B134" s="10" t="s">
        <v>224</v>
      </c>
      <c r="C134" s="14" t="s">
        <v>225</v>
      </c>
      <c r="D134" s="10" t="s">
        <v>223</v>
      </c>
      <c r="E134" s="16">
        <v>138</v>
      </c>
      <c r="F134" s="13">
        <v>1538340.3968175815</v>
      </c>
      <c r="G134" s="13">
        <v>2586941.8366957698</v>
      </c>
      <c r="H134" s="10">
        <v>218</v>
      </c>
      <c r="I134" s="15">
        <v>0.6330275229357798</v>
      </c>
      <c r="J134" s="15">
        <v>0.59465596597349935</v>
      </c>
    </row>
    <row r="135" spans="1:10" ht="18" customHeight="1">
      <c r="A135" s="10" t="s">
        <v>49</v>
      </c>
      <c r="B135" s="10" t="s">
        <v>221</v>
      </c>
      <c r="C135" s="14" t="s">
        <v>222</v>
      </c>
      <c r="D135" s="10" t="s">
        <v>223</v>
      </c>
      <c r="E135" s="16">
        <v>80</v>
      </c>
      <c r="F135" s="13">
        <v>1048601.4398781885</v>
      </c>
      <c r="G135" s="13">
        <v>2586941.8366957698</v>
      </c>
      <c r="H135" s="10">
        <v>218</v>
      </c>
      <c r="I135" s="15">
        <v>0.3669724770642202</v>
      </c>
      <c r="J135" s="15">
        <v>0.40534403402650077</v>
      </c>
    </row>
    <row r="136" spans="1:10" ht="18" customHeight="1">
      <c r="A136" s="10" t="s">
        <v>87</v>
      </c>
      <c r="B136" s="10" t="s">
        <v>224</v>
      </c>
      <c r="C136" s="14" t="s">
        <v>225</v>
      </c>
      <c r="D136" s="10" t="s">
        <v>223</v>
      </c>
      <c r="E136" s="16">
        <v>92</v>
      </c>
      <c r="F136" s="13">
        <v>786705.21403250261</v>
      </c>
      <c r="G136" s="13">
        <v>1092021.837449823</v>
      </c>
      <c r="H136" s="10">
        <v>143</v>
      </c>
      <c r="I136" s="15">
        <v>0.64335664335664333</v>
      </c>
      <c r="J136" s="15">
        <v>0.72041161362640849</v>
      </c>
    </row>
    <row r="137" spans="1:10" ht="18" customHeight="1">
      <c r="A137" s="10" t="s">
        <v>87</v>
      </c>
      <c r="B137" s="10" t="s">
        <v>221</v>
      </c>
      <c r="C137" s="14" t="s">
        <v>222</v>
      </c>
      <c r="D137" s="10" t="s">
        <v>223</v>
      </c>
      <c r="E137" s="16">
        <v>51</v>
      </c>
      <c r="F137" s="13">
        <v>305316.62341732043</v>
      </c>
      <c r="G137" s="13">
        <v>1092021.837449823</v>
      </c>
      <c r="H137" s="10">
        <v>143</v>
      </c>
      <c r="I137" s="15">
        <v>0.35664335664335667</v>
      </c>
      <c r="J137" s="15">
        <v>0.27958838637359146</v>
      </c>
    </row>
    <row r="138" spans="1:10" ht="18" customHeight="1">
      <c r="A138" s="10" t="s">
        <v>26</v>
      </c>
      <c r="B138" s="10" t="s">
        <v>224</v>
      </c>
      <c r="C138" s="14" t="s">
        <v>225</v>
      </c>
      <c r="D138" s="10" t="s">
        <v>223</v>
      </c>
      <c r="E138" s="16">
        <v>84</v>
      </c>
      <c r="F138" s="13">
        <v>3826894.7341824351</v>
      </c>
      <c r="G138" s="13">
        <v>4800852.1256251186</v>
      </c>
      <c r="H138" s="10">
        <v>131</v>
      </c>
      <c r="I138" s="15">
        <v>0.64122137404580148</v>
      </c>
      <c r="J138" s="15">
        <v>0.79712822516568038</v>
      </c>
    </row>
    <row r="139" spans="1:10" ht="18" customHeight="1">
      <c r="A139" s="10" t="s">
        <v>26</v>
      </c>
      <c r="B139" s="10" t="s">
        <v>221</v>
      </c>
      <c r="C139" s="14" t="s">
        <v>222</v>
      </c>
      <c r="D139" s="10" t="s">
        <v>223</v>
      </c>
      <c r="E139" s="16">
        <v>47</v>
      </c>
      <c r="F139" s="13">
        <v>973957.39144268341</v>
      </c>
      <c r="G139" s="13">
        <v>4800852.1256251186</v>
      </c>
      <c r="H139" s="10">
        <v>131</v>
      </c>
      <c r="I139" s="15">
        <v>0.35877862595419846</v>
      </c>
      <c r="J139" s="15">
        <v>0.20287177483431953</v>
      </c>
    </row>
    <row r="140" spans="1:10" ht="18" customHeight="1">
      <c r="A140" s="10" t="s">
        <v>89</v>
      </c>
      <c r="B140" s="10" t="s">
        <v>224</v>
      </c>
      <c r="C140" s="14" t="s">
        <v>225</v>
      </c>
      <c r="D140" s="10" t="s">
        <v>223</v>
      </c>
      <c r="E140" s="16">
        <v>39</v>
      </c>
      <c r="F140" s="13">
        <v>517378.11479175341</v>
      </c>
      <c r="G140" s="13">
        <v>705687.52207760385</v>
      </c>
      <c r="H140" s="10">
        <v>63</v>
      </c>
      <c r="I140" s="15">
        <v>0.61904761904761907</v>
      </c>
      <c r="J140" s="15">
        <v>0.73315468759961688</v>
      </c>
    </row>
    <row r="141" spans="1:10" ht="18" customHeight="1">
      <c r="A141" s="10" t="s">
        <v>89</v>
      </c>
      <c r="B141" s="10" t="s">
        <v>221</v>
      </c>
      <c r="C141" s="14" t="s">
        <v>222</v>
      </c>
      <c r="D141" s="10" t="s">
        <v>223</v>
      </c>
      <c r="E141" s="16">
        <v>24</v>
      </c>
      <c r="F141" s="13">
        <v>188309.40728585041</v>
      </c>
      <c r="G141" s="13">
        <v>705687.52207760385</v>
      </c>
      <c r="H141" s="10">
        <v>63</v>
      </c>
      <c r="I141" s="15">
        <v>0.38095238095238093</v>
      </c>
      <c r="J141" s="15">
        <v>0.26684531240038306</v>
      </c>
    </row>
    <row r="142" spans="1:10" ht="18" customHeight="1">
      <c r="A142" s="10" t="s">
        <v>125</v>
      </c>
      <c r="B142" s="10" t="s">
        <v>224</v>
      </c>
      <c r="C142" s="14" t="s">
        <v>225</v>
      </c>
      <c r="D142" s="10" t="s">
        <v>223</v>
      </c>
      <c r="E142" s="16">
        <v>52</v>
      </c>
      <c r="F142" s="13">
        <v>280191.19136090181</v>
      </c>
      <c r="G142" s="13">
        <v>348828.22127339599</v>
      </c>
      <c r="H142" s="10">
        <v>93</v>
      </c>
      <c r="I142" s="15">
        <v>0.55913978494623651</v>
      </c>
      <c r="J142" s="15">
        <v>0.80323544447770023</v>
      </c>
    </row>
    <row r="143" spans="1:10" ht="18" customHeight="1">
      <c r="A143" s="10" t="s">
        <v>125</v>
      </c>
      <c r="B143" s="10" t="s">
        <v>221</v>
      </c>
      <c r="C143" s="14" t="s">
        <v>222</v>
      </c>
      <c r="D143" s="10" t="s">
        <v>223</v>
      </c>
      <c r="E143" s="16">
        <v>41</v>
      </c>
      <c r="F143" s="13">
        <v>68637.029912494196</v>
      </c>
      <c r="G143" s="13">
        <v>348828.22127339599</v>
      </c>
      <c r="H143" s="10">
        <v>93</v>
      </c>
      <c r="I143" s="15">
        <v>0.44086021505376344</v>
      </c>
      <c r="J143" s="15">
        <v>0.19676455552229977</v>
      </c>
    </row>
    <row r="144" spans="1:10" ht="18" customHeight="1">
      <c r="A144" s="10" t="s">
        <v>173</v>
      </c>
      <c r="B144" s="10" t="s">
        <v>224</v>
      </c>
      <c r="C144" s="14" t="s">
        <v>225</v>
      </c>
      <c r="D144" s="10" t="s">
        <v>223</v>
      </c>
      <c r="E144" s="16">
        <v>8</v>
      </c>
      <c r="F144" s="13">
        <v>175.12480220340001</v>
      </c>
      <c r="G144" s="13">
        <v>212.78852302800001</v>
      </c>
      <c r="H144" s="10">
        <v>19</v>
      </c>
      <c r="I144" s="15">
        <v>0.42105263157894735</v>
      </c>
      <c r="J144" s="15">
        <v>0.82299928450725712</v>
      </c>
    </row>
    <row r="145" spans="1:10" ht="18" customHeight="1">
      <c r="A145" s="10" t="s">
        <v>173</v>
      </c>
      <c r="B145" s="10" t="s">
        <v>221</v>
      </c>
      <c r="C145" s="14" t="s">
        <v>222</v>
      </c>
      <c r="D145" s="10" t="s">
        <v>223</v>
      </c>
      <c r="E145" s="16">
        <v>11</v>
      </c>
      <c r="F145" s="13">
        <v>37.663720824599999</v>
      </c>
      <c r="G145" s="13">
        <v>212.78852302800001</v>
      </c>
      <c r="H145" s="10">
        <v>19</v>
      </c>
      <c r="I145" s="15">
        <v>0.57894736842105265</v>
      </c>
      <c r="J145" s="15">
        <v>0.17700071549274288</v>
      </c>
    </row>
    <row r="146" spans="1:10" ht="18" customHeight="1">
      <c r="A146" s="10" t="s">
        <v>177</v>
      </c>
      <c r="B146" s="10" t="s">
        <v>221</v>
      </c>
      <c r="C146" s="14" t="s">
        <v>222</v>
      </c>
      <c r="D146" s="10" t="s">
        <v>223</v>
      </c>
      <c r="E146" s="16">
        <v>2</v>
      </c>
      <c r="F146" s="13">
        <v>818.67068547809993</v>
      </c>
      <c r="G146" s="13">
        <v>1304.0687744917</v>
      </c>
      <c r="H146" s="10">
        <v>4</v>
      </c>
      <c r="I146" s="15">
        <v>0.5</v>
      </c>
      <c r="J146" s="15">
        <v>0.62778183290003353</v>
      </c>
    </row>
    <row r="147" spans="1:10" ht="18" customHeight="1">
      <c r="A147" s="10" t="s">
        <v>177</v>
      </c>
      <c r="B147" s="10" t="s">
        <v>224</v>
      </c>
      <c r="C147" s="14" t="s">
        <v>225</v>
      </c>
      <c r="D147" s="10" t="s">
        <v>223</v>
      </c>
      <c r="E147" s="16">
        <v>2</v>
      </c>
      <c r="F147" s="13">
        <v>485.39808901360004</v>
      </c>
      <c r="G147" s="13">
        <v>1304.0687744917</v>
      </c>
      <c r="H147" s="10">
        <v>4</v>
      </c>
      <c r="I147" s="15">
        <v>0.5</v>
      </c>
      <c r="J147" s="15">
        <v>0.37221816709996647</v>
      </c>
    </row>
    <row r="148" spans="1:10" ht="18" customHeight="1">
      <c r="A148" s="10" t="s">
        <v>171</v>
      </c>
      <c r="B148" s="10" t="s">
        <v>224</v>
      </c>
      <c r="C148" s="14" t="s">
        <v>225</v>
      </c>
      <c r="D148" s="10" t="s">
        <v>223</v>
      </c>
      <c r="E148" s="16">
        <v>3</v>
      </c>
      <c r="F148" s="13">
        <v>1803.0208838031001</v>
      </c>
      <c r="G148" s="13">
        <v>2616.1834162357</v>
      </c>
      <c r="H148" s="10">
        <v>5</v>
      </c>
      <c r="I148" s="15">
        <v>0.6</v>
      </c>
      <c r="J148" s="15">
        <v>0.68917984595949311</v>
      </c>
    </row>
    <row r="149" spans="1:10" ht="18" customHeight="1">
      <c r="A149" s="10" t="s">
        <v>171</v>
      </c>
      <c r="B149" s="10" t="s">
        <v>221</v>
      </c>
      <c r="C149" s="14" t="s">
        <v>222</v>
      </c>
      <c r="D149" s="10" t="s">
        <v>223</v>
      </c>
      <c r="E149" s="16">
        <v>2</v>
      </c>
      <c r="F149" s="13">
        <v>813.16253243259996</v>
      </c>
      <c r="G149" s="13">
        <v>2616.1834162357</v>
      </c>
      <c r="H149" s="10">
        <v>5</v>
      </c>
      <c r="I149" s="15">
        <v>0.4</v>
      </c>
      <c r="J149" s="15">
        <v>0.31082015404050695</v>
      </c>
    </row>
    <row r="150" spans="1:10" ht="18" customHeight="1">
      <c r="A150" s="10" t="s">
        <v>179</v>
      </c>
      <c r="B150" s="10" t="s">
        <v>224</v>
      </c>
      <c r="C150" s="14" t="s">
        <v>225</v>
      </c>
      <c r="D150" s="10" t="s">
        <v>223</v>
      </c>
      <c r="E150" s="16">
        <v>3</v>
      </c>
      <c r="F150" s="13">
        <v>593.82978409420002</v>
      </c>
      <c r="G150" s="13">
        <v>719.28920190780002</v>
      </c>
      <c r="H150" s="10">
        <v>5</v>
      </c>
      <c r="I150" s="15">
        <v>0.6</v>
      </c>
      <c r="J150" s="15">
        <v>0.82557861638845842</v>
      </c>
    </row>
    <row r="151" spans="1:10" ht="18" customHeight="1">
      <c r="A151" s="10" t="s">
        <v>179</v>
      </c>
      <c r="B151" s="10" t="s">
        <v>221</v>
      </c>
      <c r="C151" s="14" t="s">
        <v>222</v>
      </c>
      <c r="D151" s="10" t="s">
        <v>223</v>
      </c>
      <c r="E151" s="16">
        <v>2</v>
      </c>
      <c r="F151" s="13">
        <v>125.4594178136</v>
      </c>
      <c r="G151" s="13">
        <v>719.28920190780002</v>
      </c>
      <c r="H151" s="10">
        <v>5</v>
      </c>
      <c r="I151" s="15">
        <v>0.4</v>
      </c>
      <c r="J151" s="15">
        <v>0.17442138361154161</v>
      </c>
    </row>
    <row r="152" spans="1:10" ht="18" customHeight="1">
      <c r="A152" s="10" t="s">
        <v>75</v>
      </c>
      <c r="B152" s="10" t="s">
        <v>221</v>
      </c>
      <c r="C152" s="14" t="s">
        <v>222</v>
      </c>
      <c r="D152" s="10" t="s">
        <v>223</v>
      </c>
      <c r="E152" s="16">
        <v>52</v>
      </c>
      <c r="F152" s="13">
        <v>575061.28136507515</v>
      </c>
      <c r="G152" s="13">
        <v>697974.91168561135</v>
      </c>
      <c r="H152" s="10">
        <v>74</v>
      </c>
      <c r="I152" s="15">
        <v>0.70270270270270274</v>
      </c>
      <c r="J152" s="15">
        <v>0.82389964415239592</v>
      </c>
    </row>
    <row r="153" spans="1:10" ht="18" customHeight="1">
      <c r="A153" s="10" t="s">
        <v>75</v>
      </c>
      <c r="B153" s="10" t="s">
        <v>224</v>
      </c>
      <c r="C153" s="14" t="s">
        <v>225</v>
      </c>
      <c r="D153" s="10" t="s">
        <v>223</v>
      </c>
      <c r="E153" s="16">
        <v>22</v>
      </c>
      <c r="F153" s="13">
        <v>122913.63032053621</v>
      </c>
      <c r="G153" s="13">
        <v>697974.91168561135</v>
      </c>
      <c r="H153" s="10">
        <v>74</v>
      </c>
      <c r="I153" s="15">
        <v>0.29729729729729731</v>
      </c>
      <c r="J153" s="15">
        <v>0.17610035584760411</v>
      </c>
    </row>
    <row r="154" spans="1:10" ht="18" customHeight="1">
      <c r="A154" s="10" t="s">
        <v>93</v>
      </c>
      <c r="B154" s="10" t="s">
        <v>221</v>
      </c>
      <c r="C154" s="14" t="s">
        <v>222</v>
      </c>
      <c r="D154" s="10" t="s">
        <v>223</v>
      </c>
      <c r="E154" s="16">
        <v>60</v>
      </c>
      <c r="F154" s="13">
        <v>378656.5320043856</v>
      </c>
      <c r="G154" s="13">
        <v>420222.20101457392</v>
      </c>
      <c r="H154" s="10">
        <v>114</v>
      </c>
      <c r="I154" s="15">
        <v>0.52631578947368418</v>
      </c>
      <c r="J154" s="15">
        <v>0.90108645162051604</v>
      </c>
    </row>
    <row r="155" spans="1:10" ht="18" customHeight="1">
      <c r="A155" s="10" t="s">
        <v>93</v>
      </c>
      <c r="B155" s="10" t="s">
        <v>224</v>
      </c>
      <c r="C155" s="14" t="s">
        <v>225</v>
      </c>
      <c r="D155" s="10" t="s">
        <v>223</v>
      </c>
      <c r="E155" s="16">
        <v>54</v>
      </c>
      <c r="F155" s="13">
        <v>41565.6690101883</v>
      </c>
      <c r="G155" s="13">
        <v>420222.20101457392</v>
      </c>
      <c r="H155" s="10">
        <v>114</v>
      </c>
      <c r="I155" s="15">
        <v>0.47368421052631576</v>
      </c>
      <c r="J155" s="15">
        <v>9.8913548379483976E-2</v>
      </c>
    </row>
    <row r="156" spans="1:10" ht="18" customHeight="1">
      <c r="A156" s="10" t="s">
        <v>183</v>
      </c>
      <c r="B156" s="10" t="s">
        <v>224</v>
      </c>
      <c r="C156" s="14" t="s">
        <v>225</v>
      </c>
      <c r="D156" s="10" t="s">
        <v>223</v>
      </c>
      <c r="E156" s="16">
        <v>6</v>
      </c>
      <c r="F156" s="13">
        <v>0.2214252491</v>
      </c>
      <c r="G156" s="13">
        <v>0.2496140134</v>
      </c>
      <c r="H156" s="10">
        <v>10</v>
      </c>
      <c r="I156" s="15">
        <v>0.6</v>
      </c>
      <c r="J156" s="15">
        <v>0.88707058583754972</v>
      </c>
    </row>
    <row r="157" spans="1:10" ht="18" customHeight="1">
      <c r="A157" s="10" t="s">
        <v>183</v>
      </c>
      <c r="B157" s="10" t="s">
        <v>221</v>
      </c>
      <c r="C157" s="14" t="s">
        <v>222</v>
      </c>
      <c r="D157" s="10" t="s">
        <v>223</v>
      </c>
      <c r="E157" s="16">
        <v>4</v>
      </c>
      <c r="F157" s="13">
        <v>2.8188764300000002E-2</v>
      </c>
      <c r="G157" s="13">
        <v>0.2496140134</v>
      </c>
      <c r="H157" s="10">
        <v>10</v>
      </c>
      <c r="I157" s="15">
        <v>0.4</v>
      </c>
      <c r="J157" s="15">
        <v>0.11292941416245023</v>
      </c>
    </row>
    <row r="158" spans="1:10" ht="18" customHeight="1">
      <c r="A158" s="10" t="s">
        <v>105</v>
      </c>
      <c r="B158" s="10" t="s">
        <v>221</v>
      </c>
      <c r="C158" s="14" t="s">
        <v>222</v>
      </c>
      <c r="D158" s="10" t="s">
        <v>223</v>
      </c>
      <c r="E158" s="16">
        <v>64</v>
      </c>
      <c r="F158" s="13">
        <v>959859.90031962993</v>
      </c>
      <c r="G158" s="13">
        <v>1145168.185954724</v>
      </c>
      <c r="H158" s="10">
        <v>120</v>
      </c>
      <c r="I158" s="15">
        <v>0.53333333333333333</v>
      </c>
      <c r="J158" s="15">
        <v>0.83818247144143032</v>
      </c>
    </row>
    <row r="159" spans="1:10" ht="18" customHeight="1">
      <c r="A159" s="10" t="s">
        <v>105</v>
      </c>
      <c r="B159" s="10" t="s">
        <v>224</v>
      </c>
      <c r="C159" s="14" t="s">
        <v>225</v>
      </c>
      <c r="D159" s="10" t="s">
        <v>223</v>
      </c>
      <c r="E159" s="16">
        <v>56</v>
      </c>
      <c r="F159" s="13">
        <v>185308.2856350941</v>
      </c>
      <c r="G159" s="13">
        <v>1145168.185954724</v>
      </c>
      <c r="H159" s="10">
        <v>120</v>
      </c>
      <c r="I159" s="15">
        <v>0.46666666666666667</v>
      </c>
      <c r="J159" s="15">
        <v>0.16181752855856979</v>
      </c>
    </row>
    <row r="160" spans="1:10" ht="18" customHeight="1">
      <c r="A160" s="10" t="s">
        <v>167</v>
      </c>
      <c r="B160" s="10" t="s">
        <v>224</v>
      </c>
      <c r="C160" s="14" t="s">
        <v>225</v>
      </c>
      <c r="D160" s="10" t="s">
        <v>223</v>
      </c>
      <c r="E160" s="16">
        <v>26</v>
      </c>
      <c r="F160" s="13">
        <v>857.0044020437</v>
      </c>
      <c r="G160" s="13">
        <v>1269.7356306080001</v>
      </c>
      <c r="H160" s="10">
        <v>44</v>
      </c>
      <c r="I160" s="15">
        <v>0.59090909090909094</v>
      </c>
      <c r="J160" s="15">
        <v>0.67494711606488678</v>
      </c>
    </row>
    <row r="161" spans="1:10" ht="18" customHeight="1">
      <c r="A161" s="10" t="s">
        <v>167</v>
      </c>
      <c r="B161" s="10" t="s">
        <v>221</v>
      </c>
      <c r="C161" s="14" t="s">
        <v>222</v>
      </c>
      <c r="D161" s="10" t="s">
        <v>223</v>
      </c>
      <c r="E161" s="16">
        <v>18</v>
      </c>
      <c r="F161" s="13">
        <v>412.73122856429995</v>
      </c>
      <c r="G161" s="13">
        <v>1269.7356306080001</v>
      </c>
      <c r="H161" s="10">
        <v>44</v>
      </c>
      <c r="I161" s="15">
        <v>0.40909090909090912</v>
      </c>
      <c r="J161" s="15">
        <v>0.32505288393511317</v>
      </c>
    </row>
    <row r="162" spans="1:10" ht="18" customHeight="1">
      <c r="A162" s="10" t="s">
        <v>139</v>
      </c>
      <c r="B162" s="10" t="s">
        <v>224</v>
      </c>
      <c r="C162" s="14" t="s">
        <v>225</v>
      </c>
      <c r="D162" s="10" t="s">
        <v>223</v>
      </c>
      <c r="E162" s="16">
        <v>39</v>
      </c>
      <c r="F162" s="13">
        <v>99013.327296590389</v>
      </c>
      <c r="G162" s="13">
        <v>151507.6717909796</v>
      </c>
      <c r="H162" s="10">
        <v>68</v>
      </c>
      <c r="I162" s="15">
        <v>0.57352941176470584</v>
      </c>
      <c r="J162" s="15">
        <v>0.65352022195410309</v>
      </c>
    </row>
    <row r="163" spans="1:10" ht="18" customHeight="1">
      <c r="A163" s="10" t="s">
        <v>139</v>
      </c>
      <c r="B163" s="10" t="s">
        <v>221</v>
      </c>
      <c r="C163" s="14" t="s">
        <v>222</v>
      </c>
      <c r="D163" s="10" t="s">
        <v>223</v>
      </c>
      <c r="E163" s="16">
        <v>29</v>
      </c>
      <c r="F163" s="13">
        <v>52494.344494389203</v>
      </c>
      <c r="G163" s="13">
        <v>151507.6717909796</v>
      </c>
      <c r="H163" s="10">
        <v>68</v>
      </c>
      <c r="I163" s="15">
        <v>0.4264705882352941</v>
      </c>
      <c r="J163" s="15">
        <v>0.34647977804589686</v>
      </c>
    </row>
    <row r="164" spans="1:10" ht="18" customHeight="1">
      <c r="A164" s="10" t="s">
        <v>181</v>
      </c>
      <c r="B164" s="10" t="s">
        <v>224</v>
      </c>
      <c r="C164" s="14" t="s">
        <v>225</v>
      </c>
      <c r="D164" s="10" t="s">
        <v>223</v>
      </c>
      <c r="E164" s="16">
        <v>18</v>
      </c>
      <c r="F164" s="13">
        <v>53.560771256600006</v>
      </c>
      <c r="G164" s="13">
        <v>53.5919340839</v>
      </c>
      <c r="H164" s="10">
        <v>21</v>
      </c>
      <c r="I164" s="15">
        <v>0.8571428571428571</v>
      </c>
      <c r="J164" s="15">
        <v>0.99941851646460067</v>
      </c>
    </row>
    <row r="165" spans="1:10" ht="18" customHeight="1">
      <c r="A165" s="10" t="s">
        <v>181</v>
      </c>
      <c r="B165" s="10" t="s">
        <v>221</v>
      </c>
      <c r="C165" s="14" t="s">
        <v>222</v>
      </c>
      <c r="D165" s="10" t="s">
        <v>223</v>
      </c>
      <c r="E165" s="16">
        <v>3</v>
      </c>
      <c r="F165" s="13">
        <v>3.1162827299999998E-2</v>
      </c>
      <c r="G165" s="13">
        <v>53.5919340839</v>
      </c>
      <c r="H165" s="10">
        <v>21</v>
      </c>
      <c r="I165" s="15">
        <v>0.14285714285714285</v>
      </c>
      <c r="J165" s="15">
        <v>5.814835353994414E-4</v>
      </c>
    </row>
  </sheetData>
  <conditionalFormatting sqref="J2:J165">
    <cfRule type="dataBar" priority="1">
      <dataBar>
        <cfvo type="min"/>
        <cfvo type="max"/>
        <color rgb="FF147D92"/>
      </dataBar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269"/>
  <sheetViews>
    <sheetView showGridLines="0" workbookViewId="0"/>
  </sheetViews>
  <sheetFormatPr defaultRowHeight="14"/>
  <cols>
    <col min="1" max="2" width="22" customWidth="1"/>
    <col min="3" max="3" width="15" customWidth="1"/>
    <col min="4" max="6" width="22" customWidth="1"/>
    <col min="7" max="9" width="18" customWidth="1"/>
    <col min="10" max="10" width="16" customWidth="1"/>
    <col min="11" max="12" width="18" customWidth="1"/>
    <col min="13" max="13" width="15" customWidth="1"/>
    <col min="14" max="16" width="18" customWidth="1"/>
    <col min="17" max="18" width="16" customWidth="1"/>
  </cols>
  <sheetData>
    <row r="1" spans="1:18" ht="32" customHeight="1">
      <c r="A1" s="11" t="s">
        <v>0</v>
      </c>
      <c r="B1" s="11" t="s">
        <v>1</v>
      </c>
      <c r="C1" s="11" t="s">
        <v>226</v>
      </c>
      <c r="D1" s="11" t="s">
        <v>227</v>
      </c>
      <c r="E1" s="11" t="s">
        <v>228</v>
      </c>
      <c r="F1" s="11" t="s">
        <v>229</v>
      </c>
      <c r="G1" s="11" t="s">
        <v>230</v>
      </c>
      <c r="H1" s="11" t="s">
        <v>231</v>
      </c>
      <c r="I1" s="11" t="s">
        <v>232</v>
      </c>
      <c r="J1" s="11" t="s">
        <v>199</v>
      </c>
      <c r="K1" s="11" t="s">
        <v>233</v>
      </c>
      <c r="L1" s="11" t="s">
        <v>234</v>
      </c>
      <c r="M1" s="11" t="s">
        <v>235</v>
      </c>
      <c r="N1" s="11" t="s">
        <v>236</v>
      </c>
      <c r="O1" s="11" t="s">
        <v>237</v>
      </c>
      <c r="P1" s="11" t="s">
        <v>238</v>
      </c>
      <c r="Q1" s="11" t="s">
        <v>239</v>
      </c>
      <c r="R1" s="11" t="s">
        <v>240</v>
      </c>
    </row>
    <row r="2" spans="1:18" ht="18" customHeight="1">
      <c r="A2" s="10" t="s">
        <v>133</v>
      </c>
      <c r="B2" s="10" t="s">
        <v>134</v>
      </c>
      <c r="C2" s="10" t="s">
        <v>241</v>
      </c>
      <c r="D2" s="10" t="s">
        <v>242</v>
      </c>
      <c r="E2" s="16">
        <v>11</v>
      </c>
      <c r="F2" s="16">
        <v>11</v>
      </c>
      <c r="G2" s="13">
        <v>29072.9492116375</v>
      </c>
      <c r="H2" s="13">
        <v>29072.9492116375</v>
      </c>
      <c r="I2" s="14">
        <v>0</v>
      </c>
      <c r="J2" s="15">
        <v>1</v>
      </c>
      <c r="K2" s="14">
        <v>1262.5161866961553</v>
      </c>
      <c r="L2" s="13">
        <v>36705068.974687569</v>
      </c>
      <c r="M2" s="14">
        <v>4.0959658573937272</v>
      </c>
      <c r="N2" s="14">
        <v>1247.2854534755938</v>
      </c>
      <c r="O2" s="13">
        <v>36262266.641310185</v>
      </c>
      <c r="P2" s="13">
        <v>442802.33337738365</v>
      </c>
      <c r="Q2" s="14">
        <v>1.0122111046658331</v>
      </c>
      <c r="R2" s="15">
        <v>1.2211104665833014E-2</v>
      </c>
    </row>
    <row r="3" spans="1:18" ht="18" customHeight="1">
      <c r="A3" s="10" t="s">
        <v>133</v>
      </c>
      <c r="B3" s="10" t="s">
        <v>134</v>
      </c>
      <c r="C3" s="10" t="s">
        <v>241</v>
      </c>
      <c r="D3" s="10" t="s">
        <v>243</v>
      </c>
      <c r="E3" s="16">
        <v>3</v>
      </c>
      <c r="F3" s="16">
        <v>3</v>
      </c>
      <c r="G3" s="13">
        <v>8.8019263175999995</v>
      </c>
      <c r="H3" s="13">
        <v>8.8019263175999995</v>
      </c>
      <c r="I3" s="14">
        <v>0</v>
      </c>
      <c r="J3" s="15">
        <v>1</v>
      </c>
      <c r="K3" s="14">
        <v>158.38478875513309</v>
      </c>
      <c r="L3" s="13">
        <v>1394.0912404513224</v>
      </c>
      <c r="M3" s="14">
        <v>3.1537593275554734</v>
      </c>
      <c r="N3" s="14">
        <v>142.48177852407005</v>
      </c>
      <c r="O3" s="13">
        <v>1254.1141161694666</v>
      </c>
      <c r="P3" s="13">
        <v>139.97712428185582</v>
      </c>
      <c r="Q3" s="14">
        <v>1.1116143439238195</v>
      </c>
      <c r="R3" s="15">
        <v>0.11161434392381955</v>
      </c>
    </row>
    <row r="4" spans="1:18" ht="18" customHeight="1">
      <c r="A4" s="10" t="s">
        <v>133</v>
      </c>
      <c r="B4" s="10" t="s">
        <v>134</v>
      </c>
      <c r="C4" s="10" t="s">
        <v>241</v>
      </c>
      <c r="D4" s="10" t="s">
        <v>244</v>
      </c>
      <c r="E4" s="16">
        <v>5</v>
      </c>
      <c r="F4" s="16">
        <v>5</v>
      </c>
      <c r="G4" s="13">
        <v>15789.6647557821</v>
      </c>
      <c r="H4" s="13">
        <v>15789.6647557821</v>
      </c>
      <c r="I4" s="14">
        <v>0</v>
      </c>
      <c r="J4" s="15">
        <v>1</v>
      </c>
      <c r="K4" s="14">
        <v>1835.4040135079313</v>
      </c>
      <c r="L4" s="13">
        <v>28980414.064707194</v>
      </c>
      <c r="M4" s="14">
        <v>4.1579876245092366</v>
      </c>
      <c r="N4" s="14">
        <v>1438.7575793816582</v>
      </c>
      <c r="O4" s="13">
        <v>22717499.843276933</v>
      </c>
      <c r="P4" s="13">
        <v>6262914.2214302607</v>
      </c>
      <c r="Q4" s="14">
        <v>1.2756867729563877</v>
      </c>
      <c r="R4" s="15">
        <v>0.27568677295638772</v>
      </c>
    </row>
    <row r="5" spans="1:18" ht="18" customHeight="1">
      <c r="A5" s="10" t="s">
        <v>133</v>
      </c>
      <c r="B5" s="10" t="s">
        <v>134</v>
      </c>
      <c r="C5" s="10" t="s">
        <v>241</v>
      </c>
      <c r="D5" s="10" t="s">
        <v>245</v>
      </c>
      <c r="E5" s="16">
        <v>1</v>
      </c>
      <c r="F5" s="16">
        <v>1</v>
      </c>
      <c r="G5" s="13">
        <v>3.4029850746000001</v>
      </c>
      <c r="H5" s="13">
        <v>3.4029850746000001</v>
      </c>
      <c r="I5" s="14">
        <v>0</v>
      </c>
      <c r="J5" s="15">
        <v>1</v>
      </c>
      <c r="K5" s="14">
        <v>12.589254117941673</v>
      </c>
      <c r="L5" s="13">
        <v>42.841043863702104</v>
      </c>
      <c r="M5" s="14">
        <v>2.1</v>
      </c>
      <c r="N5" s="14">
        <v>12.589254117941675</v>
      </c>
      <c r="O5" s="13">
        <v>42.841043863702104</v>
      </c>
      <c r="P5" s="13">
        <v>0</v>
      </c>
      <c r="Q5" s="14">
        <v>1</v>
      </c>
      <c r="R5" s="15">
        <v>0</v>
      </c>
    </row>
    <row r="6" spans="1:18" ht="18" customHeight="1">
      <c r="A6" s="10" t="s">
        <v>133</v>
      </c>
      <c r="B6" s="10" t="s">
        <v>134</v>
      </c>
      <c r="C6" s="10" t="s">
        <v>241</v>
      </c>
      <c r="D6" s="10" t="s">
        <v>246</v>
      </c>
      <c r="E6" s="16">
        <v>8</v>
      </c>
      <c r="F6" s="16">
        <v>8</v>
      </c>
      <c r="G6" s="13">
        <v>4263.8936655487996</v>
      </c>
      <c r="H6" s="13">
        <v>4263.8936655487996</v>
      </c>
      <c r="I6" s="14">
        <v>0</v>
      </c>
      <c r="J6" s="15">
        <v>1</v>
      </c>
      <c r="K6" s="14">
        <v>240.17457173037587</v>
      </c>
      <c r="L6" s="13">
        <v>1024078.8350270455</v>
      </c>
      <c r="M6" s="14">
        <v>3.3161445809274701</v>
      </c>
      <c r="N6" s="14">
        <v>207.08306340448553</v>
      </c>
      <c r="O6" s="13">
        <v>882980.16229282634</v>
      </c>
      <c r="P6" s="13">
        <v>141098.67273421912</v>
      </c>
      <c r="Q6" s="14">
        <v>1.1597982364267727</v>
      </c>
      <c r="R6" s="15">
        <v>0.1597982364267726</v>
      </c>
    </row>
    <row r="7" spans="1:18" ht="18" customHeight="1">
      <c r="A7" s="10" t="s">
        <v>133</v>
      </c>
      <c r="B7" s="10" t="s">
        <v>134</v>
      </c>
      <c r="C7" s="10" t="s">
        <v>241</v>
      </c>
      <c r="D7" s="10" t="s">
        <v>247</v>
      </c>
      <c r="E7" s="16">
        <v>9</v>
      </c>
      <c r="F7" s="16">
        <v>9</v>
      </c>
      <c r="G7" s="13">
        <v>122.1513190902</v>
      </c>
      <c r="H7" s="13">
        <v>122.1513190902</v>
      </c>
      <c r="I7" s="14">
        <v>0</v>
      </c>
      <c r="J7" s="15">
        <v>1</v>
      </c>
      <c r="K7" s="14">
        <v>430.45796849551374</v>
      </c>
      <c r="L7" s="13">
        <v>52581.008664614761</v>
      </c>
      <c r="M7" s="14">
        <v>3.4775297234903038</v>
      </c>
      <c r="N7" s="14">
        <v>300.28229296293915</v>
      </c>
      <c r="O7" s="13">
        <v>36679.878184852903</v>
      </c>
      <c r="P7" s="13">
        <v>15901.130479761858</v>
      </c>
      <c r="Q7" s="14">
        <v>1.4335109947646525</v>
      </c>
      <c r="R7" s="15">
        <v>0.43351099476465249</v>
      </c>
    </row>
    <row r="8" spans="1:18" ht="18" customHeight="1">
      <c r="A8" s="10" t="s">
        <v>133</v>
      </c>
      <c r="B8" s="10" t="s">
        <v>134</v>
      </c>
      <c r="C8" s="10" t="s">
        <v>241</v>
      </c>
      <c r="D8" s="10" t="s">
        <v>248</v>
      </c>
      <c r="E8" s="16">
        <v>2</v>
      </c>
      <c r="F8" s="16">
        <v>2</v>
      </c>
      <c r="G8" s="13">
        <v>13.795119683300001</v>
      </c>
      <c r="H8" s="13">
        <v>13.795119683300001</v>
      </c>
      <c r="I8" s="14">
        <v>0</v>
      </c>
      <c r="J8" s="15">
        <v>1</v>
      </c>
      <c r="K8" s="14">
        <v>141.36726683797556</v>
      </c>
      <c r="L8" s="13">
        <v>1950.1783653308803</v>
      </c>
      <c r="M8" s="14">
        <v>3.1501758745325668</v>
      </c>
      <c r="N8" s="14">
        <v>141.31096902526767</v>
      </c>
      <c r="O8" s="13">
        <v>1949.4017302666668</v>
      </c>
      <c r="P8" s="13">
        <v>0.77663506421345119</v>
      </c>
      <c r="Q8" s="14">
        <v>1.0003983966219765</v>
      </c>
      <c r="R8" s="15">
        <v>3.9839662197653432E-4</v>
      </c>
    </row>
    <row r="9" spans="1:18" ht="18" customHeight="1">
      <c r="A9" s="10" t="s">
        <v>133</v>
      </c>
      <c r="B9" s="10" t="s">
        <v>134</v>
      </c>
      <c r="C9" s="10" t="s">
        <v>241</v>
      </c>
      <c r="D9" s="10" t="s">
        <v>249</v>
      </c>
      <c r="E9" s="16">
        <v>4</v>
      </c>
      <c r="F9" s="16">
        <v>4</v>
      </c>
      <c r="G9" s="13">
        <v>32837.704052825808</v>
      </c>
      <c r="H9" s="13">
        <v>32837.704052825808</v>
      </c>
      <c r="I9" s="14">
        <v>0</v>
      </c>
      <c r="J9" s="15">
        <v>1</v>
      </c>
      <c r="K9" s="14">
        <v>616.20903871386395</v>
      </c>
      <c r="L9" s="13">
        <v>20234890.047962144</v>
      </c>
      <c r="M9" s="14">
        <v>3.7896598092663534</v>
      </c>
      <c r="N9" s="14">
        <v>616.11220094674979</v>
      </c>
      <c r="O9" s="13">
        <v>20231710.118024513</v>
      </c>
      <c r="P9" s="13">
        <v>3179.9299376308918</v>
      </c>
      <c r="Q9" s="14">
        <v>1.0001571755387497</v>
      </c>
      <c r="R9" s="15">
        <v>1.5717553874983011E-4</v>
      </c>
    </row>
    <row r="10" spans="1:18" ht="18" customHeight="1">
      <c r="A10" s="10" t="s">
        <v>133</v>
      </c>
      <c r="B10" s="10" t="s">
        <v>134</v>
      </c>
      <c r="C10" s="10" t="s">
        <v>241</v>
      </c>
      <c r="D10" s="10" t="s">
        <v>250</v>
      </c>
      <c r="E10" s="16">
        <v>11</v>
      </c>
      <c r="F10" s="16">
        <v>11</v>
      </c>
      <c r="G10" s="13">
        <v>4212.1143044505006</v>
      </c>
      <c r="H10" s="13">
        <v>4212.1143044505006</v>
      </c>
      <c r="I10" s="14">
        <v>0</v>
      </c>
      <c r="J10" s="15">
        <v>1</v>
      </c>
      <c r="K10" s="14">
        <v>2334.5163995703488</v>
      </c>
      <c r="L10" s="13">
        <v>9833249.9206045475</v>
      </c>
      <c r="M10" s="14">
        <v>4.3639156040377696</v>
      </c>
      <c r="N10" s="14">
        <v>2311.6155328571845</v>
      </c>
      <c r="O10" s="13">
        <v>9736788.8523377124</v>
      </c>
      <c r="P10" s="13">
        <v>96461.068266835064</v>
      </c>
      <c r="Q10" s="14">
        <v>1.0099068665994206</v>
      </c>
      <c r="R10" s="15">
        <v>9.9068665994205742E-3</v>
      </c>
    </row>
    <row r="11" spans="1:18" ht="18" customHeight="1">
      <c r="A11" s="10" t="s">
        <v>133</v>
      </c>
      <c r="B11" s="10" t="s">
        <v>134</v>
      </c>
      <c r="C11" s="10" t="s">
        <v>241</v>
      </c>
      <c r="D11" s="10" t="s">
        <v>251</v>
      </c>
      <c r="E11" s="16">
        <v>13</v>
      </c>
      <c r="F11" s="16">
        <v>13</v>
      </c>
      <c r="G11" s="13">
        <v>1420.6221324769999</v>
      </c>
      <c r="H11" s="13">
        <v>1420.6221324769999</v>
      </c>
      <c r="I11" s="14">
        <v>0</v>
      </c>
      <c r="J11" s="15">
        <v>1</v>
      </c>
      <c r="K11" s="14">
        <v>3321.2043545295387</v>
      </c>
      <c r="L11" s="13">
        <v>4718176.4125236515</v>
      </c>
      <c r="M11" s="14">
        <v>4.5200451569484388</v>
      </c>
      <c r="N11" s="14">
        <v>3311.6555353045724</v>
      </c>
      <c r="O11" s="13">
        <v>4704611.1485936427</v>
      </c>
      <c r="P11" s="13">
        <v>13565.263930008747</v>
      </c>
      <c r="Q11" s="14">
        <v>1.002883397479952</v>
      </c>
      <c r="R11" s="15">
        <v>2.8833974799519473E-3</v>
      </c>
    </row>
    <row r="12" spans="1:18" ht="18" customHeight="1">
      <c r="A12" s="10" t="s">
        <v>123</v>
      </c>
      <c r="B12" s="10" t="s">
        <v>124</v>
      </c>
      <c r="C12" s="10" t="s">
        <v>241</v>
      </c>
      <c r="D12" s="10" t="s">
        <v>252</v>
      </c>
      <c r="E12" s="16">
        <v>1</v>
      </c>
      <c r="F12" s="16">
        <v>1</v>
      </c>
      <c r="G12" s="13">
        <v>7.3269717099999992E-2</v>
      </c>
      <c r="H12" s="13">
        <v>7.3269717099999992E-2</v>
      </c>
      <c r="I12" s="14">
        <v>0</v>
      </c>
      <c r="J12" s="15">
        <v>1</v>
      </c>
      <c r="K12" s="14">
        <v>128.82495516931337</v>
      </c>
      <c r="L12" s="13">
        <v>9.4389680206757713</v>
      </c>
      <c r="M12" s="14">
        <v>3.11</v>
      </c>
      <c r="N12" s="14">
        <v>128.82495516931337</v>
      </c>
      <c r="O12" s="13">
        <v>9.4389680206757713</v>
      </c>
      <c r="P12" s="13">
        <v>0</v>
      </c>
      <c r="Q12" s="14">
        <v>1</v>
      </c>
      <c r="R12" s="15">
        <v>0</v>
      </c>
    </row>
    <row r="13" spans="1:18" ht="18" customHeight="1">
      <c r="A13" s="10" t="s">
        <v>123</v>
      </c>
      <c r="B13" s="10" t="s">
        <v>124</v>
      </c>
      <c r="C13" s="10" t="s">
        <v>241</v>
      </c>
      <c r="D13" s="10" t="s">
        <v>242</v>
      </c>
      <c r="E13" s="16">
        <v>15</v>
      </c>
      <c r="F13" s="16">
        <v>15</v>
      </c>
      <c r="G13" s="13">
        <v>26895.4619577919</v>
      </c>
      <c r="H13" s="13">
        <v>26895.4619577919</v>
      </c>
      <c r="I13" s="14">
        <v>0</v>
      </c>
      <c r="J13" s="15">
        <v>1</v>
      </c>
      <c r="K13" s="14">
        <v>1307.3525109358495</v>
      </c>
      <c r="L13" s="13">
        <v>35161849.723298863</v>
      </c>
      <c r="M13" s="14">
        <v>4.1153250223381939</v>
      </c>
      <c r="N13" s="14">
        <v>1304.1424225471037</v>
      </c>
      <c r="O13" s="13">
        <v>35075512.913158201</v>
      </c>
      <c r="P13" s="13">
        <v>86336.810140661895</v>
      </c>
      <c r="Q13" s="14">
        <v>1.0024614553849696</v>
      </c>
      <c r="R13" s="15">
        <v>2.4614553849695402E-3</v>
      </c>
    </row>
    <row r="14" spans="1:18" ht="18" customHeight="1">
      <c r="A14" s="10" t="s">
        <v>123</v>
      </c>
      <c r="B14" s="10" t="s">
        <v>124</v>
      </c>
      <c r="C14" s="10" t="s">
        <v>241</v>
      </c>
      <c r="D14" s="10" t="s">
        <v>243</v>
      </c>
      <c r="E14" s="16">
        <v>14</v>
      </c>
      <c r="F14" s="16">
        <v>14</v>
      </c>
      <c r="G14" s="13">
        <v>262.8419529171</v>
      </c>
      <c r="H14" s="13">
        <v>262.8419529171</v>
      </c>
      <c r="I14" s="14">
        <v>0</v>
      </c>
      <c r="J14" s="15">
        <v>1</v>
      </c>
      <c r="K14" s="14">
        <v>193.91966245832478</v>
      </c>
      <c r="L14" s="13">
        <v>50970.222789570929</v>
      </c>
      <c r="M14" s="14">
        <v>3.1314198506633559</v>
      </c>
      <c r="N14" s="14">
        <v>135.33803003844992</v>
      </c>
      <c r="O14" s="13">
        <v>35572.512119259321</v>
      </c>
      <c r="P14" s="13">
        <v>15397.710670311608</v>
      </c>
      <c r="Q14" s="14">
        <v>1.4328541829907799</v>
      </c>
      <c r="R14" s="15">
        <v>0.43285418299077982</v>
      </c>
    </row>
    <row r="15" spans="1:18" ht="18" customHeight="1">
      <c r="A15" s="10" t="s">
        <v>123</v>
      </c>
      <c r="B15" s="10" t="s">
        <v>124</v>
      </c>
      <c r="C15" s="10" t="s">
        <v>241</v>
      </c>
      <c r="D15" s="10" t="s">
        <v>244</v>
      </c>
      <c r="E15" s="16">
        <v>9</v>
      </c>
      <c r="F15" s="16">
        <v>9</v>
      </c>
      <c r="G15" s="13">
        <v>37.100744513599992</v>
      </c>
      <c r="H15" s="13">
        <v>37.100744513599992</v>
      </c>
      <c r="I15" s="14">
        <v>0</v>
      </c>
      <c r="J15" s="15">
        <v>1</v>
      </c>
      <c r="K15" s="14">
        <v>197.60665370998913</v>
      </c>
      <c r="L15" s="13">
        <v>7331.3539734817332</v>
      </c>
      <c r="M15" s="14">
        <v>3.2604988607764254</v>
      </c>
      <c r="N15" s="14">
        <v>182.17922942343475</v>
      </c>
      <c r="O15" s="13">
        <v>6758.9850465233712</v>
      </c>
      <c r="P15" s="13">
        <v>572.36892695836195</v>
      </c>
      <c r="Q15" s="14">
        <v>1.0846826739545419</v>
      </c>
      <c r="R15" s="15">
        <v>8.4682673954541765E-2</v>
      </c>
    </row>
    <row r="16" spans="1:18" ht="18" customHeight="1">
      <c r="A16" s="10" t="s">
        <v>123</v>
      </c>
      <c r="B16" s="10" t="s">
        <v>124</v>
      </c>
      <c r="C16" s="10" t="s">
        <v>241</v>
      </c>
      <c r="D16" s="10" t="s">
        <v>253</v>
      </c>
      <c r="E16" s="16">
        <v>5</v>
      </c>
      <c r="F16" s="16">
        <v>5</v>
      </c>
      <c r="G16" s="13">
        <v>54.419268462300003</v>
      </c>
      <c r="H16" s="13">
        <v>54.419268462300003</v>
      </c>
      <c r="I16" s="14">
        <v>0</v>
      </c>
      <c r="J16" s="15">
        <v>1</v>
      </c>
      <c r="K16" s="14">
        <v>227.25012616669702</v>
      </c>
      <c r="L16" s="13">
        <v>12366.785623957032</v>
      </c>
      <c r="M16" s="14">
        <v>3.3363206081580512</v>
      </c>
      <c r="N16" s="14">
        <v>216.93049545665519</v>
      </c>
      <c r="O16" s="13">
        <v>11805.19886991547</v>
      </c>
      <c r="P16" s="13">
        <v>561.58675404156202</v>
      </c>
      <c r="Q16" s="14">
        <v>1.0475711388033215</v>
      </c>
      <c r="R16" s="15">
        <v>4.7571138803321422E-2</v>
      </c>
    </row>
    <row r="17" spans="1:18" ht="18" customHeight="1">
      <c r="A17" s="10" t="s">
        <v>123</v>
      </c>
      <c r="B17" s="10" t="s">
        <v>124</v>
      </c>
      <c r="C17" s="10" t="s">
        <v>241</v>
      </c>
      <c r="D17" s="10" t="s">
        <v>245</v>
      </c>
      <c r="E17" s="16">
        <v>10</v>
      </c>
      <c r="F17" s="16">
        <v>10</v>
      </c>
      <c r="G17" s="13">
        <v>24.851964369300003</v>
      </c>
      <c r="H17" s="13">
        <v>24.851964369300003</v>
      </c>
      <c r="I17" s="14">
        <v>0</v>
      </c>
      <c r="J17" s="15">
        <v>1</v>
      </c>
      <c r="K17" s="14">
        <v>15.373019849752227</v>
      </c>
      <c r="L17" s="13">
        <v>382.04974155458405</v>
      </c>
      <c r="M17" s="14">
        <v>2.1771318259126002</v>
      </c>
      <c r="N17" s="14">
        <v>15.035982996297671</v>
      </c>
      <c r="O17" s="13">
        <v>373.67371368139038</v>
      </c>
      <c r="P17" s="13">
        <v>8.3760278731936637</v>
      </c>
      <c r="Q17" s="14">
        <v>1.0224153521281281</v>
      </c>
      <c r="R17" s="15">
        <v>2.2415352128128046E-2</v>
      </c>
    </row>
    <row r="18" spans="1:18" ht="18" customHeight="1">
      <c r="A18" s="10" t="s">
        <v>123</v>
      </c>
      <c r="B18" s="10" t="s">
        <v>124</v>
      </c>
      <c r="C18" s="10" t="s">
        <v>241</v>
      </c>
      <c r="D18" s="10" t="s">
        <v>246</v>
      </c>
      <c r="E18" s="16">
        <v>20</v>
      </c>
      <c r="F18" s="16">
        <v>20</v>
      </c>
      <c r="G18" s="13">
        <v>699326.35056977207</v>
      </c>
      <c r="H18" s="13">
        <v>699326.35056977207</v>
      </c>
      <c r="I18" s="14">
        <v>0</v>
      </c>
      <c r="J18" s="15">
        <v>1</v>
      </c>
      <c r="K18" s="14">
        <v>193.6117318078214</v>
      </c>
      <c r="L18" s="13">
        <v>135397785.83265719</v>
      </c>
      <c r="M18" s="14">
        <v>3.2814500592734386</v>
      </c>
      <c r="N18" s="14">
        <v>191.18334649329222</v>
      </c>
      <c r="O18" s="13">
        <v>133699551.99287027</v>
      </c>
      <c r="P18" s="13">
        <v>1698233.839786917</v>
      </c>
      <c r="Q18" s="14">
        <v>1.0127018663449034</v>
      </c>
      <c r="R18" s="15">
        <v>1.2701866344903518E-2</v>
      </c>
    </row>
    <row r="19" spans="1:18" ht="18" customHeight="1">
      <c r="A19" s="10" t="s">
        <v>123</v>
      </c>
      <c r="B19" s="10" t="s">
        <v>124</v>
      </c>
      <c r="C19" s="10" t="s">
        <v>241</v>
      </c>
      <c r="D19" s="10" t="s">
        <v>247</v>
      </c>
      <c r="E19" s="16">
        <v>22</v>
      </c>
      <c r="F19" s="16">
        <v>22</v>
      </c>
      <c r="G19" s="13">
        <v>301.69782332620002</v>
      </c>
      <c r="H19" s="13">
        <v>301.69782332620002</v>
      </c>
      <c r="I19" s="14">
        <v>0</v>
      </c>
      <c r="J19" s="15">
        <v>1</v>
      </c>
      <c r="K19" s="14">
        <v>550.51546007883371</v>
      </c>
      <c r="L19" s="13">
        <v>166089.31601320571</v>
      </c>
      <c r="M19" s="14">
        <v>3.6960160587380875</v>
      </c>
      <c r="N19" s="14">
        <v>496.61068409089046</v>
      </c>
      <c r="O19" s="13">
        <v>149826.3624307568</v>
      </c>
      <c r="P19" s="13">
        <v>16262.953582448914</v>
      </c>
      <c r="Q19" s="14">
        <v>1.1085453408772767</v>
      </c>
      <c r="R19" s="15">
        <v>0.1085453408772768</v>
      </c>
    </row>
    <row r="20" spans="1:18" ht="18" customHeight="1">
      <c r="A20" s="10" t="s">
        <v>123</v>
      </c>
      <c r="B20" s="10" t="s">
        <v>124</v>
      </c>
      <c r="C20" s="10" t="s">
        <v>241</v>
      </c>
      <c r="D20" s="10" t="s">
        <v>248</v>
      </c>
      <c r="E20" s="16">
        <v>4</v>
      </c>
      <c r="F20" s="16">
        <v>4</v>
      </c>
      <c r="G20" s="13">
        <v>0.82656076509999998</v>
      </c>
      <c r="H20" s="13">
        <v>0.82656076509999998</v>
      </c>
      <c r="I20" s="14">
        <v>0</v>
      </c>
      <c r="J20" s="15">
        <v>1</v>
      </c>
      <c r="K20" s="14">
        <v>458.00123840575577</v>
      </c>
      <c r="L20" s="13">
        <v>378.56585403340898</v>
      </c>
      <c r="M20" s="14">
        <v>3.644665432086573</v>
      </c>
      <c r="N20" s="14">
        <v>441.23040524257345</v>
      </c>
      <c r="O20" s="13">
        <v>364.70374134268457</v>
      </c>
      <c r="P20" s="13">
        <v>13.862112690724416</v>
      </c>
      <c r="Q20" s="14">
        <v>1.0380092418018252</v>
      </c>
      <c r="R20" s="15">
        <v>3.800924180182521E-2</v>
      </c>
    </row>
    <row r="21" spans="1:18" ht="18" customHeight="1">
      <c r="A21" s="10" t="s">
        <v>123</v>
      </c>
      <c r="B21" s="10" t="s">
        <v>124</v>
      </c>
      <c r="C21" s="10" t="s">
        <v>241</v>
      </c>
      <c r="D21" s="10" t="s">
        <v>249</v>
      </c>
      <c r="E21" s="16">
        <v>3</v>
      </c>
      <c r="F21" s="16">
        <v>3</v>
      </c>
      <c r="G21" s="13">
        <v>32.438987671200003</v>
      </c>
      <c r="H21" s="13">
        <v>32.438987671200003</v>
      </c>
      <c r="I21" s="14">
        <v>0</v>
      </c>
      <c r="J21" s="15">
        <v>1</v>
      </c>
      <c r="K21" s="14">
        <v>543.81318120903381</v>
      </c>
      <c r="L21" s="13">
        <v>17640.749080675901</v>
      </c>
      <c r="M21" s="14">
        <v>3.7349882756979391</v>
      </c>
      <c r="N21" s="14">
        <v>543.23566599407957</v>
      </c>
      <c r="O21" s="13">
        <v>17622.015071738071</v>
      </c>
      <c r="P21" s="13">
        <v>18.734008937830367</v>
      </c>
      <c r="Q21" s="14">
        <v>1.0010631025374548</v>
      </c>
      <c r="R21" s="15">
        <v>1.0631025374547372E-3</v>
      </c>
    </row>
    <row r="22" spans="1:18" ht="18" customHeight="1">
      <c r="A22" s="10" t="s">
        <v>123</v>
      </c>
      <c r="B22" s="10" t="s">
        <v>124</v>
      </c>
      <c r="C22" s="10" t="s">
        <v>241</v>
      </c>
      <c r="D22" s="10" t="s">
        <v>250</v>
      </c>
      <c r="E22" s="16">
        <v>14</v>
      </c>
      <c r="F22" s="16">
        <v>14</v>
      </c>
      <c r="G22" s="13">
        <v>4611.5947320140003</v>
      </c>
      <c r="H22" s="13">
        <v>4611.5947320140003</v>
      </c>
      <c r="I22" s="14">
        <v>0</v>
      </c>
      <c r="J22" s="15">
        <v>1</v>
      </c>
      <c r="K22" s="14">
        <v>2248.0247959284602</v>
      </c>
      <c r="L22" s="13">
        <v>10366979.306340536</v>
      </c>
      <c r="M22" s="14">
        <v>4.347131236568111</v>
      </c>
      <c r="N22" s="14">
        <v>2223.9818394372201</v>
      </c>
      <c r="O22" s="13">
        <v>10256102.93484349</v>
      </c>
      <c r="P22" s="13">
        <v>110876.3714970462</v>
      </c>
      <c r="Q22" s="14">
        <v>1.0108107701532871</v>
      </c>
      <c r="R22" s="15">
        <v>1.0810770153287097E-2</v>
      </c>
    </row>
    <row r="23" spans="1:18" ht="18" customHeight="1">
      <c r="A23" s="10" t="s">
        <v>123</v>
      </c>
      <c r="B23" s="10" t="s">
        <v>124</v>
      </c>
      <c r="C23" s="10" t="s">
        <v>241</v>
      </c>
      <c r="D23" s="10" t="s">
        <v>251</v>
      </c>
      <c r="E23" s="16">
        <v>14</v>
      </c>
      <c r="F23" s="16">
        <v>14</v>
      </c>
      <c r="G23" s="13">
        <v>3384.6326297221999</v>
      </c>
      <c r="H23" s="13">
        <v>3384.6326297221999</v>
      </c>
      <c r="I23" s="14">
        <v>0</v>
      </c>
      <c r="J23" s="15">
        <v>1</v>
      </c>
      <c r="K23" s="14">
        <v>3229.0730928076537</v>
      </c>
      <c r="L23" s="13">
        <v>10929226.153674766</v>
      </c>
      <c r="M23" s="14">
        <v>4.5065748495602493</v>
      </c>
      <c r="N23" s="14">
        <v>3210.5160808927299</v>
      </c>
      <c r="O23" s="13">
        <v>10866417.48563737</v>
      </c>
      <c r="P23" s="13">
        <v>62808.668037395924</v>
      </c>
      <c r="Q23" s="14">
        <v>1.005780071317931</v>
      </c>
      <c r="R23" s="15">
        <v>5.780071317930951E-3</v>
      </c>
    </row>
    <row r="24" spans="1:18" ht="18" customHeight="1">
      <c r="A24" s="10" t="s">
        <v>147</v>
      </c>
      <c r="B24" s="10" t="s">
        <v>148</v>
      </c>
      <c r="C24" s="10" t="s">
        <v>241</v>
      </c>
      <c r="D24" s="10" t="s">
        <v>246</v>
      </c>
      <c r="E24" s="16">
        <v>2</v>
      </c>
      <c r="F24" s="16">
        <v>2</v>
      </c>
      <c r="G24" s="13">
        <v>3850.3552854922</v>
      </c>
      <c r="H24" s="13">
        <v>3850.3552854922</v>
      </c>
      <c r="I24" s="14">
        <v>0</v>
      </c>
      <c r="J24" s="15">
        <v>1</v>
      </c>
      <c r="K24" s="14">
        <v>196.37228491108365</v>
      </c>
      <c r="L24" s="13">
        <v>756103.06513157114</v>
      </c>
      <c r="M24" s="14">
        <v>3.2922377243986141</v>
      </c>
      <c r="N24" s="14">
        <v>195.99172007028758</v>
      </c>
      <c r="O24" s="13">
        <v>754637.75528533955</v>
      </c>
      <c r="P24" s="13">
        <v>1465.3098462315975</v>
      </c>
      <c r="Q24" s="14">
        <v>1.0019417393788859</v>
      </c>
      <c r="R24" s="15">
        <v>1.9417393788858899E-3</v>
      </c>
    </row>
    <row r="25" spans="1:18" ht="18" customHeight="1">
      <c r="A25" s="10" t="s">
        <v>147</v>
      </c>
      <c r="B25" s="10" t="s">
        <v>148</v>
      </c>
      <c r="C25" s="10" t="s">
        <v>241</v>
      </c>
      <c r="D25" s="10" t="s">
        <v>247</v>
      </c>
      <c r="E25" s="16">
        <v>6</v>
      </c>
      <c r="F25" s="16">
        <v>6</v>
      </c>
      <c r="G25" s="13">
        <v>766.82857549650009</v>
      </c>
      <c r="H25" s="13">
        <v>766.82857549650009</v>
      </c>
      <c r="I25" s="14">
        <v>0</v>
      </c>
      <c r="J25" s="15">
        <v>1</v>
      </c>
      <c r="K25" s="14">
        <v>2028.539365953817</v>
      </c>
      <c r="L25" s="13">
        <v>1555541.952332939</v>
      </c>
      <c r="M25" s="14">
        <v>4.3037153144300175</v>
      </c>
      <c r="N25" s="14">
        <v>2012.4046604934399</v>
      </c>
      <c r="O25" s="13">
        <v>1543169.3991287025</v>
      </c>
      <c r="P25" s="13">
        <v>12372.553204236552</v>
      </c>
      <c r="Q25" s="14">
        <v>1.0080176247735486</v>
      </c>
      <c r="R25" s="15">
        <v>8.0176247735487035E-3</v>
      </c>
    </row>
    <row r="26" spans="1:18" ht="18" customHeight="1">
      <c r="A26" s="10" t="s">
        <v>147</v>
      </c>
      <c r="B26" s="10" t="s">
        <v>148</v>
      </c>
      <c r="C26" s="10" t="s">
        <v>241</v>
      </c>
      <c r="D26" s="10" t="s">
        <v>250</v>
      </c>
      <c r="E26" s="16">
        <v>9</v>
      </c>
      <c r="F26" s="16">
        <v>9</v>
      </c>
      <c r="G26" s="13">
        <v>757.02193267040002</v>
      </c>
      <c r="H26" s="13">
        <v>757.02193267040002</v>
      </c>
      <c r="I26" s="14">
        <v>0</v>
      </c>
      <c r="J26" s="15">
        <v>1</v>
      </c>
      <c r="K26" s="14">
        <v>1865.8178354020285</v>
      </c>
      <c r="L26" s="13">
        <v>1412465.023766946</v>
      </c>
      <c r="M26" s="14">
        <v>4.2480515557321823</v>
      </c>
      <c r="N26" s="14">
        <v>1770.319103009942</v>
      </c>
      <c r="O26" s="13">
        <v>1340170.3888039151</v>
      </c>
      <c r="P26" s="13">
        <v>72294.634963030927</v>
      </c>
      <c r="Q26" s="14">
        <v>1.0539443607820294</v>
      </c>
      <c r="R26" s="15">
        <v>5.3944360782029334E-2</v>
      </c>
    </row>
    <row r="27" spans="1:18" ht="18" customHeight="1">
      <c r="A27" s="10" t="s">
        <v>147</v>
      </c>
      <c r="B27" s="10" t="s">
        <v>148</v>
      </c>
      <c r="C27" s="10" t="s">
        <v>241</v>
      </c>
      <c r="D27" s="10" t="s">
        <v>251</v>
      </c>
      <c r="E27" s="16">
        <v>15</v>
      </c>
      <c r="F27" s="16">
        <v>15</v>
      </c>
      <c r="G27" s="13">
        <v>11484.805409569601</v>
      </c>
      <c r="H27" s="13">
        <v>11484.805409569601</v>
      </c>
      <c r="I27" s="14">
        <v>0</v>
      </c>
      <c r="J27" s="15">
        <v>1</v>
      </c>
      <c r="K27" s="14">
        <v>2535.6640667857891</v>
      </c>
      <c r="L27" s="13">
        <v>29121608.391072687</v>
      </c>
      <c r="M27" s="14">
        <v>4.3976781806933998</v>
      </c>
      <c r="N27" s="14">
        <v>2498.493251239538</v>
      </c>
      <c r="O27" s="13">
        <v>28694708.807608984</v>
      </c>
      <c r="P27" s="13">
        <v>426899.58346370235</v>
      </c>
      <c r="Q27" s="14">
        <v>1.0148772927554679</v>
      </c>
      <c r="R27" s="15">
        <v>1.4877292755467909E-2</v>
      </c>
    </row>
    <row r="28" spans="1:18" ht="18" customHeight="1">
      <c r="A28" s="10" t="s">
        <v>81</v>
      </c>
      <c r="B28" s="10" t="s">
        <v>82</v>
      </c>
      <c r="C28" s="10" t="s">
        <v>241</v>
      </c>
      <c r="D28" s="10" t="s">
        <v>246</v>
      </c>
      <c r="E28" s="16">
        <v>2</v>
      </c>
      <c r="F28" s="16">
        <v>2</v>
      </c>
      <c r="G28" s="13">
        <v>21164.582657384897</v>
      </c>
      <c r="H28" s="13">
        <v>21164.582657384897</v>
      </c>
      <c r="I28" s="14">
        <v>0</v>
      </c>
      <c r="J28" s="15">
        <v>1</v>
      </c>
      <c r="K28" s="14">
        <v>194.79585901936471</v>
      </c>
      <c r="L28" s="13">
        <v>4122773.0595316398</v>
      </c>
      <c r="M28" s="14">
        <v>3.2889265057360446</v>
      </c>
      <c r="N28" s="14">
        <v>194.50309024215645</v>
      </c>
      <c r="O28" s="13">
        <v>4116576.730546914</v>
      </c>
      <c r="P28" s="13">
        <v>6196.3289847257547</v>
      </c>
      <c r="Q28" s="14">
        <v>1.0015052140140486</v>
      </c>
      <c r="R28" s="15">
        <v>1.5052140140486418E-3</v>
      </c>
    </row>
    <row r="29" spans="1:18" ht="18" customHeight="1">
      <c r="A29" s="10" t="s">
        <v>81</v>
      </c>
      <c r="B29" s="10" t="s">
        <v>82</v>
      </c>
      <c r="C29" s="10" t="s">
        <v>241</v>
      </c>
      <c r="D29" s="10" t="s">
        <v>247</v>
      </c>
      <c r="E29" s="16">
        <v>5</v>
      </c>
      <c r="F29" s="16">
        <v>5</v>
      </c>
      <c r="G29" s="13">
        <v>2839.6174870201999</v>
      </c>
      <c r="H29" s="13">
        <v>2839.6174870201999</v>
      </c>
      <c r="I29" s="14">
        <v>0</v>
      </c>
      <c r="J29" s="15">
        <v>1</v>
      </c>
      <c r="K29" s="14">
        <v>1951.3791572602477</v>
      </c>
      <c r="L29" s="13">
        <v>5541170.3787629399</v>
      </c>
      <c r="M29" s="14">
        <v>4.287574396565617</v>
      </c>
      <c r="N29" s="14">
        <v>1938.9847641700326</v>
      </c>
      <c r="O29" s="13">
        <v>5505975.0434029624</v>
      </c>
      <c r="P29" s="13">
        <v>35195.335359977558</v>
      </c>
      <c r="Q29" s="14">
        <v>1.006392207571327</v>
      </c>
      <c r="R29" s="15">
        <v>6.3922075713269333E-3</v>
      </c>
    </row>
    <row r="30" spans="1:18" ht="18" customHeight="1">
      <c r="A30" s="10" t="s">
        <v>81</v>
      </c>
      <c r="B30" s="10" t="s">
        <v>82</v>
      </c>
      <c r="C30" s="10" t="s">
        <v>241</v>
      </c>
      <c r="D30" s="10" t="s">
        <v>250</v>
      </c>
      <c r="E30" s="16">
        <v>14</v>
      </c>
      <c r="F30" s="16">
        <v>14</v>
      </c>
      <c r="G30" s="13">
        <v>14724.078504572301</v>
      </c>
      <c r="H30" s="13">
        <v>14724.078504572301</v>
      </c>
      <c r="I30" s="14">
        <v>0</v>
      </c>
      <c r="J30" s="15">
        <v>1</v>
      </c>
      <c r="K30" s="14">
        <v>2191.5718104516695</v>
      </c>
      <c r="L30" s="13">
        <v>32268875.385498025</v>
      </c>
      <c r="M30" s="14">
        <v>4.3350642171340255</v>
      </c>
      <c r="N30" s="14">
        <v>2163.0383386443882</v>
      </c>
      <c r="O30" s="13">
        <v>31848746.306599617</v>
      </c>
      <c r="P30" s="13">
        <v>420129.07889840752</v>
      </c>
      <c r="Q30" s="14">
        <v>1.0131913851444554</v>
      </c>
      <c r="R30" s="15">
        <v>1.3191385144455416E-2</v>
      </c>
    </row>
    <row r="31" spans="1:18" ht="18" customHeight="1">
      <c r="A31" s="10" t="s">
        <v>81</v>
      </c>
      <c r="B31" s="10" t="s">
        <v>82</v>
      </c>
      <c r="C31" s="10" t="s">
        <v>241</v>
      </c>
      <c r="D31" s="10" t="s">
        <v>251</v>
      </c>
      <c r="E31" s="16">
        <v>16</v>
      </c>
      <c r="F31" s="16">
        <v>16</v>
      </c>
      <c r="G31" s="13">
        <v>196591.17662370868</v>
      </c>
      <c r="H31" s="13">
        <v>196591.17662370868</v>
      </c>
      <c r="I31" s="14">
        <v>0</v>
      </c>
      <c r="J31" s="15">
        <v>1</v>
      </c>
      <c r="K31" s="14">
        <v>2737.7526832516292</v>
      </c>
      <c r="L31" s="13">
        <v>538218021.30515337</v>
      </c>
      <c r="M31" s="14">
        <v>4.4359592901017502</v>
      </c>
      <c r="N31" s="14">
        <v>2728.7219858645426</v>
      </c>
      <c r="O31" s="13">
        <v>536442665.8800934</v>
      </c>
      <c r="P31" s="13">
        <v>1775355.4250599742</v>
      </c>
      <c r="Q31" s="14">
        <v>1.0033094970590144</v>
      </c>
      <c r="R31" s="15">
        <v>3.3094970590143266E-3</v>
      </c>
    </row>
    <row r="32" spans="1:18" ht="18" customHeight="1">
      <c r="A32" s="10" t="s">
        <v>127</v>
      </c>
      <c r="B32" s="10" t="s">
        <v>128</v>
      </c>
      <c r="C32" s="10" t="s">
        <v>241</v>
      </c>
      <c r="D32" s="10" t="s">
        <v>246</v>
      </c>
      <c r="E32" s="16">
        <v>2</v>
      </c>
      <c r="F32" s="16">
        <v>2</v>
      </c>
      <c r="G32" s="13">
        <v>5311.4274258874002</v>
      </c>
      <c r="H32" s="13">
        <v>5311.4274258874002</v>
      </c>
      <c r="I32" s="14">
        <v>0</v>
      </c>
      <c r="J32" s="15">
        <v>1</v>
      </c>
      <c r="K32" s="14">
        <v>192.93693146645884</v>
      </c>
      <c r="L32" s="13">
        <v>1024770.5092575073</v>
      </c>
      <c r="M32" s="14">
        <v>3.2850219037893997</v>
      </c>
      <c r="N32" s="14">
        <v>192.76221310148574</v>
      </c>
      <c r="O32" s="13">
        <v>1023842.5053419829</v>
      </c>
      <c r="P32" s="13">
        <v>928.00391552434303</v>
      </c>
      <c r="Q32" s="14">
        <v>1.0009063932300939</v>
      </c>
      <c r="R32" s="15">
        <v>9.063932300938922E-4</v>
      </c>
    </row>
    <row r="33" spans="1:18" ht="18" customHeight="1">
      <c r="A33" s="10" t="s">
        <v>127</v>
      </c>
      <c r="B33" s="10" t="s">
        <v>128</v>
      </c>
      <c r="C33" s="10" t="s">
        <v>241</v>
      </c>
      <c r="D33" s="10" t="s">
        <v>247</v>
      </c>
      <c r="E33" s="16">
        <v>7</v>
      </c>
      <c r="F33" s="16">
        <v>7</v>
      </c>
      <c r="G33" s="13">
        <v>676.65364450140009</v>
      </c>
      <c r="H33" s="13">
        <v>676.65364450140009</v>
      </c>
      <c r="I33" s="14">
        <v>0</v>
      </c>
      <c r="J33" s="15">
        <v>1</v>
      </c>
      <c r="K33" s="14">
        <v>2023.3664873994665</v>
      </c>
      <c r="L33" s="13">
        <v>1369118.3078608452</v>
      </c>
      <c r="M33" s="14">
        <v>4.2897013338390506</v>
      </c>
      <c r="N33" s="14">
        <v>1948.5041443112668</v>
      </c>
      <c r="O33" s="13">
        <v>1318462.4305743007</v>
      </c>
      <c r="P33" s="13">
        <v>50655.877286544535</v>
      </c>
      <c r="Q33" s="14">
        <v>1.0384204176864407</v>
      </c>
      <c r="R33" s="15">
        <v>3.8420417686440757E-2</v>
      </c>
    </row>
    <row r="34" spans="1:18" ht="18" customHeight="1">
      <c r="A34" s="10" t="s">
        <v>127</v>
      </c>
      <c r="B34" s="10" t="s">
        <v>128</v>
      </c>
      <c r="C34" s="10" t="s">
        <v>241</v>
      </c>
      <c r="D34" s="10" t="s">
        <v>250</v>
      </c>
      <c r="E34" s="16">
        <v>9</v>
      </c>
      <c r="F34" s="16">
        <v>9</v>
      </c>
      <c r="G34" s="13">
        <v>8355.5895987365984</v>
      </c>
      <c r="H34" s="13">
        <v>8355.5895987365984</v>
      </c>
      <c r="I34" s="14">
        <v>0</v>
      </c>
      <c r="J34" s="15">
        <v>1</v>
      </c>
      <c r="K34" s="14">
        <v>2287.2695005318351</v>
      </c>
      <c r="L34" s="13">
        <v>19111485.248151258</v>
      </c>
      <c r="M34" s="14">
        <v>4.357798503130919</v>
      </c>
      <c r="N34" s="14">
        <v>2279.2843214828904</v>
      </c>
      <c r="O34" s="13">
        <v>19044764.369145844</v>
      </c>
      <c r="P34" s="13">
        <v>66720.879005413502</v>
      </c>
      <c r="Q34" s="14">
        <v>1.0035033712001975</v>
      </c>
      <c r="R34" s="15">
        <v>3.5033712001975234E-3</v>
      </c>
    </row>
    <row r="35" spans="1:18" ht="18" customHeight="1">
      <c r="A35" s="10" t="s">
        <v>127</v>
      </c>
      <c r="B35" s="10" t="s">
        <v>128</v>
      </c>
      <c r="C35" s="10" t="s">
        <v>241</v>
      </c>
      <c r="D35" s="10" t="s">
        <v>251</v>
      </c>
      <c r="E35" s="16">
        <v>15</v>
      </c>
      <c r="F35" s="16">
        <v>15</v>
      </c>
      <c r="G35" s="13">
        <v>47894.694544169695</v>
      </c>
      <c r="H35" s="13">
        <v>47894.694544169695</v>
      </c>
      <c r="I35" s="14">
        <v>0</v>
      </c>
      <c r="J35" s="15">
        <v>1</v>
      </c>
      <c r="K35" s="14">
        <v>2669.2744074159923</v>
      </c>
      <c r="L35" s="13">
        <v>127844082.39775851</v>
      </c>
      <c r="M35" s="14">
        <v>4.4220123280586909</v>
      </c>
      <c r="N35" s="14">
        <v>2642.4837668695277</v>
      </c>
      <c r="O35" s="13">
        <v>126560952.85214296</v>
      </c>
      <c r="P35" s="13">
        <v>1283129.5456155539</v>
      </c>
      <c r="Q35" s="14">
        <v>1.0101384314569328</v>
      </c>
      <c r="R35" s="15">
        <v>1.013843145693279E-2</v>
      </c>
    </row>
    <row r="36" spans="1:18" ht="18" customHeight="1">
      <c r="A36" s="10" t="s">
        <v>137</v>
      </c>
      <c r="B36" s="10" t="s">
        <v>138</v>
      </c>
      <c r="C36" s="10" t="s">
        <v>241</v>
      </c>
      <c r="D36" s="10" t="s">
        <v>246</v>
      </c>
      <c r="E36" s="16">
        <v>2</v>
      </c>
      <c r="F36" s="16">
        <v>2</v>
      </c>
      <c r="G36" s="13">
        <v>5385.8782913581008</v>
      </c>
      <c r="H36" s="13">
        <v>5385.8782913581008</v>
      </c>
      <c r="I36" s="14">
        <v>0</v>
      </c>
      <c r="J36" s="15">
        <v>1</v>
      </c>
      <c r="K36" s="14">
        <v>191.74654108796497</v>
      </c>
      <c r="L36" s="13">
        <v>1032723.5330886747</v>
      </c>
      <c r="M36" s="14">
        <v>3.2825215370688858</v>
      </c>
      <c r="N36" s="14">
        <v>191.65561041855861</v>
      </c>
      <c r="O36" s="13">
        <v>1032233.7915703002</v>
      </c>
      <c r="P36" s="13">
        <v>489.74151837441605</v>
      </c>
      <c r="Q36" s="14">
        <v>1.0004744482522989</v>
      </c>
      <c r="R36" s="15">
        <v>4.7444825229891948E-4</v>
      </c>
    </row>
    <row r="37" spans="1:18" ht="18" customHeight="1">
      <c r="A37" s="10" t="s">
        <v>137</v>
      </c>
      <c r="B37" s="10" t="s">
        <v>138</v>
      </c>
      <c r="C37" s="10" t="s">
        <v>241</v>
      </c>
      <c r="D37" s="10" t="s">
        <v>247</v>
      </c>
      <c r="E37" s="16">
        <v>5</v>
      </c>
      <c r="F37" s="16">
        <v>5</v>
      </c>
      <c r="G37" s="13">
        <v>39.648962495700005</v>
      </c>
      <c r="H37" s="13">
        <v>39.648962495700005</v>
      </c>
      <c r="I37" s="14">
        <v>0</v>
      </c>
      <c r="J37" s="15">
        <v>1</v>
      </c>
      <c r="K37" s="14">
        <v>1957.4718920840171</v>
      </c>
      <c r="L37" s="13">
        <v>77611.729635626121</v>
      </c>
      <c r="M37" s="14">
        <v>4.2888194050203676</v>
      </c>
      <c r="N37" s="14">
        <v>1944.5513003855585</v>
      </c>
      <c r="O37" s="13">
        <v>77099.441579951686</v>
      </c>
      <c r="P37" s="13">
        <v>512.28805567443487</v>
      </c>
      <c r="Q37" s="14">
        <v>1.0066445105849853</v>
      </c>
      <c r="R37" s="15">
        <v>6.6445105849851716E-3</v>
      </c>
    </row>
    <row r="38" spans="1:18" ht="18" customHeight="1">
      <c r="A38" s="10" t="s">
        <v>137</v>
      </c>
      <c r="B38" s="10" t="s">
        <v>138</v>
      </c>
      <c r="C38" s="10" t="s">
        <v>241</v>
      </c>
      <c r="D38" s="10" t="s">
        <v>250</v>
      </c>
      <c r="E38" s="16">
        <v>8</v>
      </c>
      <c r="F38" s="16">
        <v>8</v>
      </c>
      <c r="G38" s="13">
        <v>5486.8857655569009</v>
      </c>
      <c r="H38" s="13">
        <v>5486.8857655569009</v>
      </c>
      <c r="I38" s="14">
        <v>0</v>
      </c>
      <c r="J38" s="15">
        <v>1</v>
      </c>
      <c r="K38" s="14">
        <v>1764.6428031204132</v>
      </c>
      <c r="L38" s="13">
        <v>9682393.4777338244</v>
      </c>
      <c r="M38" s="14">
        <v>4.2199656516416084</v>
      </c>
      <c r="N38" s="14">
        <v>1659.4556558695895</v>
      </c>
      <c r="O38" s="13">
        <v>9105243.6167637408</v>
      </c>
      <c r="P38" s="13">
        <v>577149.86097008362</v>
      </c>
      <c r="Q38" s="14">
        <v>1.063386536951904</v>
      </c>
      <c r="R38" s="15">
        <v>6.3386536951904077E-2</v>
      </c>
    </row>
    <row r="39" spans="1:18" ht="18" customHeight="1">
      <c r="A39" s="10" t="s">
        <v>137</v>
      </c>
      <c r="B39" s="10" t="s">
        <v>138</v>
      </c>
      <c r="C39" s="10" t="s">
        <v>241</v>
      </c>
      <c r="D39" s="10" t="s">
        <v>251</v>
      </c>
      <c r="E39" s="16">
        <v>20</v>
      </c>
      <c r="F39" s="16">
        <v>20</v>
      </c>
      <c r="G39" s="13">
        <v>30918.313761122998</v>
      </c>
      <c r="H39" s="13">
        <v>30918.313761122998</v>
      </c>
      <c r="I39" s="14">
        <v>0</v>
      </c>
      <c r="J39" s="15">
        <v>1</v>
      </c>
      <c r="K39" s="14">
        <v>2492.6566589418421</v>
      </c>
      <c r="L39" s="13">
        <v>77068740.679916427</v>
      </c>
      <c r="M39" s="14">
        <v>4.3633910633377431</v>
      </c>
      <c r="N39" s="14">
        <v>2308.8252499397136</v>
      </c>
      <c r="O39" s="13">
        <v>71384983.497239292</v>
      </c>
      <c r="P39" s="13">
        <v>5683757.1826771349</v>
      </c>
      <c r="Q39" s="14">
        <v>1.0796211878776569</v>
      </c>
      <c r="R39" s="15">
        <v>7.9621187877657013E-2</v>
      </c>
    </row>
    <row r="40" spans="1:18" ht="18" customHeight="1">
      <c r="A40" s="10" t="s">
        <v>153</v>
      </c>
      <c r="B40" s="10" t="s">
        <v>154</v>
      </c>
      <c r="C40" s="10" t="s">
        <v>241</v>
      </c>
      <c r="D40" s="10" t="s">
        <v>246</v>
      </c>
      <c r="E40" s="16">
        <v>3</v>
      </c>
      <c r="F40" s="16">
        <v>3</v>
      </c>
      <c r="G40" s="13">
        <v>154127.5393257442</v>
      </c>
      <c r="H40" s="13">
        <v>154127.5393257442</v>
      </c>
      <c r="I40" s="14">
        <v>0</v>
      </c>
      <c r="J40" s="15">
        <v>1</v>
      </c>
      <c r="K40" s="14">
        <v>190.54607628094629</v>
      </c>
      <c r="L40" s="13">
        <v>29368397.865357805</v>
      </c>
      <c r="M40" s="14">
        <v>3.2800000052089846</v>
      </c>
      <c r="N40" s="14">
        <v>190.54607408175914</v>
      </c>
      <c r="O40" s="13">
        <v>29368397.5264025</v>
      </c>
      <c r="P40" s="13">
        <v>0.33895530551671982</v>
      </c>
      <c r="Q40" s="14">
        <v>1.0000000115414982</v>
      </c>
      <c r="R40" s="15">
        <v>1.1541498143097369E-8</v>
      </c>
    </row>
    <row r="41" spans="1:18" ht="18" customHeight="1">
      <c r="A41" s="10" t="s">
        <v>153</v>
      </c>
      <c r="B41" s="10" t="s">
        <v>154</v>
      </c>
      <c r="C41" s="10" t="s">
        <v>241</v>
      </c>
      <c r="D41" s="10" t="s">
        <v>247</v>
      </c>
      <c r="E41" s="16">
        <v>2</v>
      </c>
      <c r="F41" s="16">
        <v>2</v>
      </c>
      <c r="G41" s="13">
        <v>4.7379999999999999E-2</v>
      </c>
      <c r="H41" s="13">
        <v>4.7379999999999999E-2</v>
      </c>
      <c r="I41" s="14">
        <v>0</v>
      </c>
      <c r="J41" s="15">
        <v>1</v>
      </c>
      <c r="K41" s="14">
        <v>224.46572848400177</v>
      </c>
      <c r="L41" s="13">
        <v>10.635186215572004</v>
      </c>
      <c r="M41" s="14">
        <v>3.3506922760869569</v>
      </c>
      <c r="N41" s="14">
        <v>224.2292560842676</v>
      </c>
      <c r="O41" s="13">
        <v>10.623982153272598</v>
      </c>
      <c r="P41" s="13">
        <v>1.1204062299405848E-2</v>
      </c>
      <c r="Q41" s="14">
        <v>1.001054601009091</v>
      </c>
      <c r="R41" s="15">
        <v>1.0546010090909804E-3</v>
      </c>
    </row>
    <row r="42" spans="1:18" ht="18" customHeight="1">
      <c r="A42" s="10" t="s">
        <v>153</v>
      </c>
      <c r="B42" s="10" t="s">
        <v>154</v>
      </c>
      <c r="C42" s="10" t="s">
        <v>241</v>
      </c>
      <c r="D42" s="10" t="s">
        <v>250</v>
      </c>
      <c r="E42" s="16">
        <v>1</v>
      </c>
      <c r="F42" s="16">
        <v>1</v>
      </c>
      <c r="G42" s="13">
        <v>2.86972066E-2</v>
      </c>
      <c r="H42" s="13">
        <v>2.86972066E-2</v>
      </c>
      <c r="I42" s="14">
        <v>0</v>
      </c>
      <c r="J42" s="15">
        <v>1</v>
      </c>
      <c r="K42" s="14">
        <v>407.38027780411261</v>
      </c>
      <c r="L42" s="13">
        <v>11.690675996910015</v>
      </c>
      <c r="M42" s="14">
        <v>3.61</v>
      </c>
      <c r="N42" s="14">
        <v>407.38027780411261</v>
      </c>
      <c r="O42" s="13">
        <v>11.690675996910015</v>
      </c>
      <c r="P42" s="13">
        <v>0</v>
      </c>
      <c r="Q42" s="14">
        <v>1</v>
      </c>
      <c r="R42" s="15">
        <v>0</v>
      </c>
    </row>
    <row r="43" spans="1:18" ht="18" customHeight="1">
      <c r="A43" s="10" t="s">
        <v>67</v>
      </c>
      <c r="B43" s="10" t="s">
        <v>68</v>
      </c>
      <c r="C43" s="10" t="s">
        <v>241</v>
      </c>
      <c r="D43" s="10" t="s">
        <v>246</v>
      </c>
      <c r="E43" s="16">
        <v>2</v>
      </c>
      <c r="F43" s="16">
        <v>2</v>
      </c>
      <c r="G43" s="13">
        <v>38349.497354102205</v>
      </c>
      <c r="H43" s="13">
        <v>38349.497354102205</v>
      </c>
      <c r="I43" s="14">
        <v>0</v>
      </c>
      <c r="J43" s="15">
        <v>1</v>
      </c>
      <c r="K43" s="14">
        <v>211.37066862470542</v>
      </c>
      <c r="L43" s="13">
        <v>8105958.8971579541</v>
      </c>
      <c r="M43" s="14">
        <v>3.3237412212149255</v>
      </c>
      <c r="N43" s="14">
        <v>210.7372076658481</v>
      </c>
      <c r="O43" s="13">
        <v>8081665.9877923289</v>
      </c>
      <c r="P43" s="13">
        <v>24292.909365625121</v>
      </c>
      <c r="Q43" s="14">
        <v>1.0030059284066331</v>
      </c>
      <c r="R43" s="15">
        <v>3.0059284066330516E-3</v>
      </c>
    </row>
    <row r="44" spans="1:18" ht="18" customHeight="1">
      <c r="A44" s="10" t="s">
        <v>67</v>
      </c>
      <c r="B44" s="10" t="s">
        <v>68</v>
      </c>
      <c r="C44" s="10" t="s">
        <v>241</v>
      </c>
      <c r="D44" s="10" t="s">
        <v>247</v>
      </c>
      <c r="E44" s="16">
        <v>7</v>
      </c>
      <c r="F44" s="16">
        <v>7</v>
      </c>
      <c r="G44" s="13">
        <v>251.71120243299998</v>
      </c>
      <c r="H44" s="13">
        <v>251.71120243299998</v>
      </c>
      <c r="I44" s="14">
        <v>0</v>
      </c>
      <c r="J44" s="15">
        <v>1</v>
      </c>
      <c r="K44" s="14">
        <v>2759.2866494092896</v>
      </c>
      <c r="L44" s="13">
        <v>694543.36038013594</v>
      </c>
      <c r="M44" s="14">
        <v>4.4045636063251932</v>
      </c>
      <c r="N44" s="14">
        <v>2538.4207332420333</v>
      </c>
      <c r="O44" s="13">
        <v>638948.93504520971</v>
      </c>
      <c r="P44" s="13">
        <v>55594.425334926229</v>
      </c>
      <c r="Q44" s="14">
        <v>1.0870091838105851</v>
      </c>
      <c r="R44" s="15">
        <v>8.7009183810585061E-2</v>
      </c>
    </row>
    <row r="45" spans="1:18" ht="18" customHeight="1">
      <c r="A45" s="10" t="s">
        <v>67</v>
      </c>
      <c r="B45" s="10" t="s">
        <v>68</v>
      </c>
      <c r="C45" s="10" t="s">
        <v>241</v>
      </c>
      <c r="D45" s="10" t="s">
        <v>250</v>
      </c>
      <c r="E45" s="16">
        <v>10</v>
      </c>
      <c r="F45" s="16">
        <v>10</v>
      </c>
      <c r="G45" s="13">
        <v>2875.7957787779001</v>
      </c>
      <c r="H45" s="13">
        <v>2875.7957787779001</v>
      </c>
      <c r="I45" s="14">
        <v>0</v>
      </c>
      <c r="J45" s="15">
        <v>1</v>
      </c>
      <c r="K45" s="14">
        <v>2286.1040762813623</v>
      </c>
      <c r="L45" s="13">
        <v>6574368.4524168922</v>
      </c>
      <c r="M45" s="14">
        <v>4.3560121718757312</v>
      </c>
      <c r="N45" s="14">
        <v>2269.9284697772737</v>
      </c>
      <c r="O45" s="13">
        <v>6527850.7115132613</v>
      </c>
      <c r="P45" s="13">
        <v>46517.740903630853</v>
      </c>
      <c r="Q45" s="14">
        <v>1.0071260423927262</v>
      </c>
      <c r="R45" s="15">
        <v>7.1260423927261181E-3</v>
      </c>
    </row>
    <row r="46" spans="1:18" ht="18" customHeight="1">
      <c r="A46" s="10" t="s">
        <v>67</v>
      </c>
      <c r="B46" s="10" t="s">
        <v>68</v>
      </c>
      <c r="C46" s="10" t="s">
        <v>241</v>
      </c>
      <c r="D46" s="10" t="s">
        <v>251</v>
      </c>
      <c r="E46" s="16">
        <v>17</v>
      </c>
      <c r="F46" s="16">
        <v>17</v>
      </c>
      <c r="G46" s="13">
        <v>336377.00399323105</v>
      </c>
      <c r="H46" s="13">
        <v>336377.00399323105</v>
      </c>
      <c r="I46" s="14">
        <v>0</v>
      </c>
      <c r="J46" s="15">
        <v>1</v>
      </c>
      <c r="K46" s="14">
        <v>2652.1046193304742</v>
      </c>
      <c r="L46" s="13">
        <v>892107006.12699342</v>
      </c>
      <c r="M46" s="14">
        <v>4.4190764558988285</v>
      </c>
      <c r="N46" s="14">
        <v>2624.6805677884931</v>
      </c>
      <c r="O46" s="13">
        <v>882882185.8319459</v>
      </c>
      <c r="P46" s="13">
        <v>9224820.2950475216</v>
      </c>
      <c r="Q46" s="14">
        <v>1.0104485291957215</v>
      </c>
      <c r="R46" s="15">
        <v>1.0448529195721522E-2</v>
      </c>
    </row>
    <row r="47" spans="1:18" ht="18" customHeight="1">
      <c r="A47" s="10" t="s">
        <v>83</v>
      </c>
      <c r="B47" s="10" t="s">
        <v>84</v>
      </c>
      <c r="C47" s="10" t="s">
        <v>241</v>
      </c>
      <c r="D47" s="10" t="s">
        <v>246</v>
      </c>
      <c r="E47" s="16">
        <v>2</v>
      </c>
      <c r="F47" s="16">
        <v>2</v>
      </c>
      <c r="G47" s="13">
        <v>22751.881488910301</v>
      </c>
      <c r="H47" s="13">
        <v>22751.881488910301</v>
      </c>
      <c r="I47" s="14">
        <v>0</v>
      </c>
      <c r="J47" s="15">
        <v>1</v>
      </c>
      <c r="K47" s="14">
        <v>196.51625069859568</v>
      </c>
      <c r="L47" s="13">
        <v>4471114.4465394355</v>
      </c>
      <c r="M47" s="14">
        <v>3.2925401186975694</v>
      </c>
      <c r="N47" s="14">
        <v>196.12823439281132</v>
      </c>
      <c r="O47" s="13">
        <v>4462286.3455344643</v>
      </c>
      <c r="P47" s="13">
        <v>8828.1010049711913</v>
      </c>
      <c r="Q47" s="14">
        <v>1.0019783806599067</v>
      </c>
      <c r="R47" s="15">
        <v>1.9783806599067135E-3</v>
      </c>
    </row>
    <row r="48" spans="1:18" ht="18" customHeight="1">
      <c r="A48" s="10" t="s">
        <v>83</v>
      </c>
      <c r="B48" s="10" t="s">
        <v>84</v>
      </c>
      <c r="C48" s="10" t="s">
        <v>241</v>
      </c>
      <c r="D48" s="10" t="s">
        <v>247</v>
      </c>
      <c r="E48" s="16">
        <v>6</v>
      </c>
      <c r="F48" s="16">
        <v>6</v>
      </c>
      <c r="G48" s="13">
        <v>2405.5874379947004</v>
      </c>
      <c r="H48" s="13">
        <v>2405.5874379947004</v>
      </c>
      <c r="I48" s="14">
        <v>0</v>
      </c>
      <c r="J48" s="15">
        <v>1</v>
      </c>
      <c r="K48" s="14">
        <v>3077.0901111667822</v>
      </c>
      <c r="L48" s="13">
        <v>7402209.3170005269</v>
      </c>
      <c r="M48" s="14">
        <v>4.4858309568325643</v>
      </c>
      <c r="N48" s="14">
        <v>3060.771838363291</v>
      </c>
      <c r="O48" s="13">
        <v>7362954.2849346781</v>
      </c>
      <c r="P48" s="13">
        <v>39255.03206584882</v>
      </c>
      <c r="Q48" s="14">
        <v>1.0053314241195506</v>
      </c>
      <c r="R48" s="15">
        <v>5.3314241195505504E-3</v>
      </c>
    </row>
    <row r="49" spans="1:18" ht="18" customHeight="1">
      <c r="A49" s="10" t="s">
        <v>83</v>
      </c>
      <c r="B49" s="10" t="s">
        <v>84</v>
      </c>
      <c r="C49" s="10" t="s">
        <v>241</v>
      </c>
      <c r="D49" s="10" t="s">
        <v>250</v>
      </c>
      <c r="E49" s="16">
        <v>10</v>
      </c>
      <c r="F49" s="16">
        <v>10</v>
      </c>
      <c r="G49" s="13">
        <v>7718.8080732854996</v>
      </c>
      <c r="H49" s="13">
        <v>7718.8080732854996</v>
      </c>
      <c r="I49" s="14">
        <v>0</v>
      </c>
      <c r="J49" s="15">
        <v>1</v>
      </c>
      <c r="K49" s="14">
        <v>2315.1726535058169</v>
      </c>
      <c r="L49" s="13">
        <v>17870373.368930511</v>
      </c>
      <c r="M49" s="14">
        <v>4.3522149702125317</v>
      </c>
      <c r="N49" s="14">
        <v>2250.1681346616201</v>
      </c>
      <c r="O49" s="13">
        <v>17368615.964075886</v>
      </c>
      <c r="P49" s="13">
        <v>501757.40485462546</v>
      </c>
      <c r="Q49" s="14">
        <v>1.0288887385092991</v>
      </c>
      <c r="R49" s="15">
        <v>2.8888738509299062E-2</v>
      </c>
    </row>
    <row r="50" spans="1:18" ht="18" customHeight="1">
      <c r="A50" s="10" t="s">
        <v>83</v>
      </c>
      <c r="B50" s="10" t="s">
        <v>84</v>
      </c>
      <c r="C50" s="10" t="s">
        <v>241</v>
      </c>
      <c r="D50" s="10" t="s">
        <v>251</v>
      </c>
      <c r="E50" s="16">
        <v>16</v>
      </c>
      <c r="F50" s="16">
        <v>16</v>
      </c>
      <c r="G50" s="13">
        <v>216583.24694614229</v>
      </c>
      <c r="H50" s="13">
        <v>216583.24694614229</v>
      </c>
      <c r="I50" s="14">
        <v>0</v>
      </c>
      <c r="J50" s="15">
        <v>1</v>
      </c>
      <c r="K50" s="14">
        <v>2528.3972216721918</v>
      </c>
      <c r="L50" s="13">
        <v>547608479.83936834</v>
      </c>
      <c r="M50" s="14">
        <v>4.3908116711074259</v>
      </c>
      <c r="N50" s="14">
        <v>2459.3009135173616</v>
      </c>
      <c r="O50" s="13">
        <v>532643377.06720406</v>
      </c>
      <c r="P50" s="13">
        <v>14965102.772164285</v>
      </c>
      <c r="Q50" s="14">
        <v>1.0280959144832775</v>
      </c>
      <c r="R50" s="15">
        <v>2.8095914483277477E-2</v>
      </c>
    </row>
    <row r="51" spans="1:18" ht="18" customHeight="1">
      <c r="A51" s="10" t="s">
        <v>175</v>
      </c>
      <c r="B51" s="10" t="s">
        <v>176</v>
      </c>
      <c r="C51" s="10" t="s">
        <v>241</v>
      </c>
      <c r="D51" s="10" t="s">
        <v>246</v>
      </c>
      <c r="E51" s="16">
        <v>1</v>
      </c>
      <c r="F51" s="16">
        <v>1</v>
      </c>
      <c r="G51" s="13">
        <v>1610.6000393135002</v>
      </c>
      <c r="H51" s="13">
        <v>1610.6000393135002</v>
      </c>
      <c r="I51" s="14">
        <v>0</v>
      </c>
      <c r="J51" s="15">
        <v>1</v>
      </c>
      <c r="K51" s="14">
        <v>190.54607179632464</v>
      </c>
      <c r="L51" s="13">
        <v>306893.51072619349</v>
      </c>
      <c r="M51" s="14">
        <v>3.28</v>
      </c>
      <c r="N51" s="14">
        <v>190.54607179632464</v>
      </c>
      <c r="O51" s="13">
        <v>306893.51072619349</v>
      </c>
      <c r="P51" s="13">
        <v>0</v>
      </c>
      <c r="Q51" s="14">
        <v>1</v>
      </c>
      <c r="R51" s="15">
        <v>0</v>
      </c>
    </row>
    <row r="52" spans="1:18" ht="18" customHeight="1">
      <c r="A52" s="10" t="s">
        <v>175</v>
      </c>
      <c r="B52" s="10" t="s">
        <v>176</v>
      </c>
      <c r="C52" s="10" t="s">
        <v>241</v>
      </c>
      <c r="D52" s="10" t="s">
        <v>247</v>
      </c>
      <c r="E52" s="16">
        <v>4</v>
      </c>
      <c r="F52" s="16">
        <v>4</v>
      </c>
      <c r="G52" s="13">
        <v>11.657250000000001</v>
      </c>
      <c r="H52" s="13">
        <v>11.657250000000001</v>
      </c>
      <c r="I52" s="14">
        <v>0</v>
      </c>
      <c r="J52" s="15">
        <v>1</v>
      </c>
      <c r="K52" s="14">
        <v>851.25574411183425</v>
      </c>
      <c r="L52" s="13">
        <v>9923.3010230476812</v>
      </c>
      <c r="M52" s="14">
        <v>3.9065154131549034</v>
      </c>
      <c r="N52" s="14">
        <v>806.3348177508185</v>
      </c>
      <c r="O52" s="13">
        <v>9399.6465542257301</v>
      </c>
      <c r="P52" s="13">
        <v>523.65446882195101</v>
      </c>
      <c r="Q52" s="14">
        <v>1.0557100169459601</v>
      </c>
      <c r="R52" s="15">
        <v>5.571001694596011E-2</v>
      </c>
    </row>
    <row r="53" spans="1:18" ht="18" customHeight="1">
      <c r="A53" s="10" t="s">
        <v>175</v>
      </c>
      <c r="B53" s="10" t="s">
        <v>176</v>
      </c>
      <c r="C53" s="10" t="s">
        <v>241</v>
      </c>
      <c r="D53" s="10" t="s">
        <v>250</v>
      </c>
      <c r="E53" s="16">
        <v>1</v>
      </c>
      <c r="F53" s="16">
        <v>1</v>
      </c>
      <c r="G53" s="13">
        <v>2.2669999999999999E-2</v>
      </c>
      <c r="H53" s="13">
        <v>2.2669999999999999E-2</v>
      </c>
      <c r="I53" s="14">
        <v>0</v>
      </c>
      <c r="J53" s="15">
        <v>1</v>
      </c>
      <c r="K53" s="14">
        <v>407.38027780411261</v>
      </c>
      <c r="L53" s="13">
        <v>9.2353108978192324</v>
      </c>
      <c r="M53" s="14">
        <v>3.6100000000000003</v>
      </c>
      <c r="N53" s="14">
        <v>407.38027780411301</v>
      </c>
      <c r="O53" s="13">
        <v>9.2353108978192413</v>
      </c>
      <c r="P53" s="13">
        <v>-8.8817841970012523E-15</v>
      </c>
      <c r="Q53" s="14">
        <v>0.999999999999999</v>
      </c>
      <c r="R53" s="15">
        <v>-9.6172010831801361E-16</v>
      </c>
    </row>
    <row r="54" spans="1:18" ht="18" customHeight="1">
      <c r="A54" s="10" t="s">
        <v>107</v>
      </c>
      <c r="B54" s="10" t="s">
        <v>108</v>
      </c>
      <c r="C54" s="10" t="s">
        <v>241</v>
      </c>
      <c r="D54" s="10" t="s">
        <v>246</v>
      </c>
      <c r="E54" s="16">
        <v>2</v>
      </c>
      <c r="F54" s="16">
        <v>2</v>
      </c>
      <c r="G54" s="13">
        <v>26655.707668161202</v>
      </c>
      <c r="H54" s="13">
        <v>26655.707668161202</v>
      </c>
      <c r="I54" s="14">
        <v>0</v>
      </c>
      <c r="J54" s="15">
        <v>1</v>
      </c>
      <c r="K54" s="14">
        <v>222.27982240729324</v>
      </c>
      <c r="L54" s="13">
        <v>5925025.9666195968</v>
      </c>
      <c r="M54" s="14">
        <v>3.3466554563765629</v>
      </c>
      <c r="N54" s="14">
        <v>222.15467472139895</v>
      </c>
      <c r="O54" s="13">
        <v>5921690.0664890511</v>
      </c>
      <c r="P54" s="13">
        <v>3335.9001305457205</v>
      </c>
      <c r="Q54" s="14">
        <v>1.0005633358201949</v>
      </c>
      <c r="R54" s="15">
        <v>5.6333582019492011E-4</v>
      </c>
    </row>
    <row r="55" spans="1:18" ht="18" customHeight="1">
      <c r="A55" s="10" t="s">
        <v>107</v>
      </c>
      <c r="B55" s="10" t="s">
        <v>108</v>
      </c>
      <c r="C55" s="10" t="s">
        <v>241</v>
      </c>
      <c r="D55" s="10" t="s">
        <v>247</v>
      </c>
      <c r="E55" s="16">
        <v>3</v>
      </c>
      <c r="F55" s="16">
        <v>3</v>
      </c>
      <c r="G55" s="13">
        <v>416.71112384380007</v>
      </c>
      <c r="H55" s="13">
        <v>416.71112384380007</v>
      </c>
      <c r="I55" s="14">
        <v>0</v>
      </c>
      <c r="J55" s="15">
        <v>1</v>
      </c>
      <c r="K55" s="14">
        <v>1952.3159433687267</v>
      </c>
      <c r="L55" s="13">
        <v>813551.7708593508</v>
      </c>
      <c r="M55" s="14">
        <v>4.2878110234866442</v>
      </c>
      <c r="N55" s="14">
        <v>1940.041514900862</v>
      </c>
      <c r="O55" s="13">
        <v>808436.87997796666</v>
      </c>
      <c r="P55" s="13">
        <v>5114.8908813841408</v>
      </c>
      <c r="Q55" s="14">
        <v>1.0063268895915827</v>
      </c>
      <c r="R55" s="15">
        <v>6.3268895915826392E-3</v>
      </c>
    </row>
    <row r="56" spans="1:18" ht="18" customHeight="1">
      <c r="A56" s="10" t="s">
        <v>107</v>
      </c>
      <c r="B56" s="10" t="s">
        <v>108</v>
      </c>
      <c r="C56" s="10" t="s">
        <v>241</v>
      </c>
      <c r="D56" s="10" t="s">
        <v>250</v>
      </c>
      <c r="E56" s="16">
        <v>7</v>
      </c>
      <c r="F56" s="16">
        <v>7</v>
      </c>
      <c r="G56" s="13">
        <v>5742.7680373349003</v>
      </c>
      <c r="H56" s="13">
        <v>5742.7680373349003</v>
      </c>
      <c r="I56" s="14">
        <v>0</v>
      </c>
      <c r="J56" s="15">
        <v>1</v>
      </c>
      <c r="K56" s="14">
        <v>2292.0258225138004</v>
      </c>
      <c r="L56" s="13">
        <v>13162572.634278487</v>
      </c>
      <c r="M56" s="14">
        <v>4.3563688717756737</v>
      </c>
      <c r="N56" s="14">
        <v>2271.7936002179868</v>
      </c>
      <c r="O56" s="13">
        <v>13046383.674753835</v>
      </c>
      <c r="P56" s="13">
        <v>116188.95952465199</v>
      </c>
      <c r="Q56" s="14">
        <v>1.0089058364694188</v>
      </c>
      <c r="R56" s="15">
        <v>8.9058364694187403E-3</v>
      </c>
    </row>
    <row r="57" spans="1:18" ht="18" customHeight="1">
      <c r="A57" s="10" t="s">
        <v>107</v>
      </c>
      <c r="B57" s="10" t="s">
        <v>108</v>
      </c>
      <c r="C57" s="10" t="s">
        <v>241</v>
      </c>
      <c r="D57" s="10" t="s">
        <v>251</v>
      </c>
      <c r="E57" s="16">
        <v>9</v>
      </c>
      <c r="F57" s="16">
        <v>9</v>
      </c>
      <c r="G57" s="13">
        <v>100180.4925079269</v>
      </c>
      <c r="H57" s="13">
        <v>100180.4925079269</v>
      </c>
      <c r="I57" s="14">
        <v>0</v>
      </c>
      <c r="J57" s="15">
        <v>1</v>
      </c>
      <c r="K57" s="14">
        <v>2640.0719847763562</v>
      </c>
      <c r="L57" s="13">
        <v>264483711.69127545</v>
      </c>
      <c r="M57" s="14">
        <v>4.4188646284730719</v>
      </c>
      <c r="N57" s="14">
        <v>2623.4006902315223</v>
      </c>
      <c r="O57" s="13">
        <v>262813573.19302928</v>
      </c>
      <c r="P57" s="13">
        <v>1670138.4982461631</v>
      </c>
      <c r="Q57" s="14">
        <v>1.0063548411063972</v>
      </c>
      <c r="R57" s="15">
        <v>6.3548411063970916E-3</v>
      </c>
    </row>
    <row r="58" spans="1:18" ht="18" customHeight="1">
      <c r="A58" s="10" t="s">
        <v>169</v>
      </c>
      <c r="B58" s="10" t="s">
        <v>170</v>
      </c>
      <c r="C58" s="10" t="s">
        <v>241</v>
      </c>
      <c r="D58" s="10" t="s">
        <v>246</v>
      </c>
      <c r="E58" s="16">
        <v>2</v>
      </c>
      <c r="F58" s="16">
        <v>2</v>
      </c>
      <c r="G58" s="13">
        <v>32.417013487399998</v>
      </c>
      <c r="H58" s="13">
        <v>32.417013487399998</v>
      </c>
      <c r="I58" s="14">
        <v>0</v>
      </c>
      <c r="J58" s="15">
        <v>1</v>
      </c>
      <c r="K58" s="14">
        <v>202.6789313028726</v>
      </c>
      <c r="L58" s="13">
        <v>6570.2456496570385</v>
      </c>
      <c r="M58" s="14">
        <v>3.3054845794143901</v>
      </c>
      <c r="N58" s="14">
        <v>202.06196841499147</v>
      </c>
      <c r="O58" s="13">
        <v>6550.2455553993714</v>
      </c>
      <c r="P58" s="13">
        <v>20.000094257667115</v>
      </c>
      <c r="Q58" s="14">
        <v>1.0030533350373683</v>
      </c>
      <c r="R58" s="15">
        <v>3.0533350373683358E-3</v>
      </c>
    </row>
    <row r="59" spans="1:18" ht="18" customHeight="1">
      <c r="A59" s="10" t="s">
        <v>169</v>
      </c>
      <c r="B59" s="10" t="s">
        <v>170</v>
      </c>
      <c r="C59" s="10" t="s">
        <v>241</v>
      </c>
      <c r="D59" s="10" t="s">
        <v>247</v>
      </c>
      <c r="E59" s="16">
        <v>2</v>
      </c>
      <c r="F59" s="16">
        <v>2</v>
      </c>
      <c r="G59" s="13">
        <v>5.391441048299999</v>
      </c>
      <c r="H59" s="13">
        <v>5.391441048299999</v>
      </c>
      <c r="I59" s="14">
        <v>0</v>
      </c>
      <c r="J59" s="15">
        <v>1</v>
      </c>
      <c r="K59" s="14">
        <v>1819.5449068937687</v>
      </c>
      <c r="L59" s="13">
        <v>9809.969100252265</v>
      </c>
      <c r="M59" s="14">
        <v>4.2599530590707131</v>
      </c>
      <c r="N59" s="14">
        <v>1819.5041859908147</v>
      </c>
      <c r="O59" s="13">
        <v>9809.7495559045547</v>
      </c>
      <c r="P59" s="13">
        <v>0.21954434771032538</v>
      </c>
      <c r="Q59" s="14">
        <v>1.0000223802194397</v>
      </c>
      <c r="R59" s="15">
        <v>2.2380219439769506E-5</v>
      </c>
    </row>
    <row r="60" spans="1:18" ht="18" customHeight="1">
      <c r="A60" s="10" t="s">
        <v>169</v>
      </c>
      <c r="B60" s="10" t="s">
        <v>170</v>
      </c>
      <c r="C60" s="10" t="s">
        <v>241</v>
      </c>
      <c r="D60" s="10" t="s">
        <v>250</v>
      </c>
      <c r="E60" s="16">
        <v>4</v>
      </c>
      <c r="F60" s="16">
        <v>4</v>
      </c>
      <c r="G60" s="13">
        <v>96.979940719500007</v>
      </c>
      <c r="H60" s="13">
        <v>96.979940719500007</v>
      </c>
      <c r="I60" s="14">
        <v>0</v>
      </c>
      <c r="J60" s="15">
        <v>1</v>
      </c>
      <c r="K60" s="14">
        <v>1769.0484616046681</v>
      </c>
      <c r="L60" s="13">
        <v>171562.2149363434</v>
      </c>
      <c r="M60" s="14">
        <v>4.2183549350025755</v>
      </c>
      <c r="N60" s="14">
        <v>1653.3124456650928</v>
      </c>
      <c r="O60" s="13">
        <v>160338.14297141228</v>
      </c>
      <c r="P60" s="13">
        <v>11224.071964931121</v>
      </c>
      <c r="Q60" s="14">
        <v>1.0700025069326913</v>
      </c>
      <c r="R60" s="15">
        <v>7.0002506932691208E-2</v>
      </c>
    </row>
    <row r="61" spans="1:18" ht="18" customHeight="1">
      <c r="A61" s="10" t="s">
        <v>169</v>
      </c>
      <c r="B61" s="10" t="s">
        <v>170</v>
      </c>
      <c r="C61" s="10" t="s">
        <v>241</v>
      </c>
      <c r="D61" s="10" t="s">
        <v>251</v>
      </c>
      <c r="E61" s="16">
        <v>8</v>
      </c>
      <c r="F61" s="16">
        <v>8</v>
      </c>
      <c r="G61" s="13">
        <v>267.50300015350001</v>
      </c>
      <c r="H61" s="13">
        <v>267.50300015350001</v>
      </c>
      <c r="I61" s="14">
        <v>0</v>
      </c>
      <c r="J61" s="15">
        <v>1</v>
      </c>
      <c r="K61" s="14">
        <v>2137.8231036774</v>
      </c>
      <c r="L61" s="13">
        <v>571874.09403117141</v>
      </c>
      <c r="M61" s="14">
        <v>4.3242310708416447</v>
      </c>
      <c r="N61" s="14">
        <v>2109.7503657241996</v>
      </c>
      <c r="O61" s="13">
        <v>564364.55240616726</v>
      </c>
      <c r="P61" s="13">
        <v>7509.5416250041453</v>
      </c>
      <c r="Q61" s="14">
        <v>1.0133061894000734</v>
      </c>
      <c r="R61" s="15">
        <v>1.330618940007346E-2</v>
      </c>
    </row>
    <row r="62" spans="1:18" ht="18" customHeight="1">
      <c r="A62" s="10" t="s">
        <v>47</v>
      </c>
      <c r="B62" s="10" t="s">
        <v>48</v>
      </c>
      <c r="C62" s="10" t="s">
        <v>241</v>
      </c>
      <c r="D62" s="10" t="s">
        <v>246</v>
      </c>
      <c r="E62" s="16">
        <v>2</v>
      </c>
      <c r="F62" s="16">
        <v>2</v>
      </c>
      <c r="G62" s="13">
        <v>11447.2441360498</v>
      </c>
      <c r="H62" s="13">
        <v>11447.2441360498</v>
      </c>
      <c r="I62" s="14">
        <v>0</v>
      </c>
      <c r="J62" s="15">
        <v>1</v>
      </c>
      <c r="K62" s="14">
        <v>202.72607725491756</v>
      </c>
      <c r="L62" s="13">
        <v>2320654.8990807338</v>
      </c>
      <c r="M62" s="14">
        <v>3.3055836075749245</v>
      </c>
      <c r="N62" s="14">
        <v>202.10804799320675</v>
      </c>
      <c r="O62" s="13">
        <v>2313580.1672387077</v>
      </c>
      <c r="P62" s="13">
        <v>7074.7318420261145</v>
      </c>
      <c r="Q62" s="14">
        <v>1.0030579151490868</v>
      </c>
      <c r="R62" s="15">
        <v>3.0579151490868423E-3</v>
      </c>
    </row>
    <row r="63" spans="1:18" ht="18" customHeight="1">
      <c r="A63" s="10" t="s">
        <v>47</v>
      </c>
      <c r="B63" s="10" t="s">
        <v>48</v>
      </c>
      <c r="C63" s="10" t="s">
        <v>241</v>
      </c>
      <c r="D63" s="10" t="s">
        <v>247</v>
      </c>
      <c r="E63" s="16">
        <v>4</v>
      </c>
      <c r="F63" s="16">
        <v>4</v>
      </c>
      <c r="G63" s="13">
        <v>6578.2319181244002</v>
      </c>
      <c r="H63" s="13">
        <v>6578.2319181244002</v>
      </c>
      <c r="I63" s="14">
        <v>0</v>
      </c>
      <c r="J63" s="15">
        <v>1</v>
      </c>
      <c r="K63" s="14">
        <v>1936.9937998799257</v>
      </c>
      <c r="L63" s="13">
        <v>12741994.439579194</v>
      </c>
      <c r="M63" s="14">
        <v>4.2765683213780212</v>
      </c>
      <c r="N63" s="14">
        <v>1890.4636075646829</v>
      </c>
      <c r="O63" s="13">
        <v>12435908.043334598</v>
      </c>
      <c r="P63" s="13">
        <v>306086.39624459669</v>
      </c>
      <c r="Q63" s="14">
        <v>1.0246131118996697</v>
      </c>
      <c r="R63" s="15">
        <v>2.4613111899669683E-2</v>
      </c>
    </row>
    <row r="64" spans="1:18" ht="18" customHeight="1">
      <c r="A64" s="10" t="s">
        <v>47</v>
      </c>
      <c r="B64" s="10" t="s">
        <v>48</v>
      </c>
      <c r="C64" s="10" t="s">
        <v>241</v>
      </c>
      <c r="D64" s="10" t="s">
        <v>250</v>
      </c>
      <c r="E64" s="16">
        <v>7</v>
      </c>
      <c r="F64" s="16">
        <v>7</v>
      </c>
      <c r="G64" s="13">
        <v>22977.887308863603</v>
      </c>
      <c r="H64" s="13">
        <v>22977.887308863603</v>
      </c>
      <c r="I64" s="14">
        <v>0</v>
      </c>
      <c r="J64" s="15">
        <v>1</v>
      </c>
      <c r="K64" s="14">
        <v>2081.3799999334074</v>
      </c>
      <c r="L64" s="13">
        <v>47825715.085392363</v>
      </c>
      <c r="M64" s="14">
        <v>4.2994971312941672</v>
      </c>
      <c r="N64" s="14">
        <v>1992.9533417889393</v>
      </c>
      <c r="O64" s="13">
        <v>45793857.299449377</v>
      </c>
      <c r="P64" s="13">
        <v>2031857.7859429866</v>
      </c>
      <c r="Q64" s="14">
        <v>1.0443696579795958</v>
      </c>
      <c r="R64" s="15">
        <v>4.4369657979595828E-2</v>
      </c>
    </row>
    <row r="65" spans="1:18" ht="18" customHeight="1">
      <c r="A65" s="10" t="s">
        <v>47</v>
      </c>
      <c r="B65" s="10" t="s">
        <v>48</v>
      </c>
      <c r="C65" s="10" t="s">
        <v>241</v>
      </c>
      <c r="D65" s="10" t="s">
        <v>251</v>
      </c>
      <c r="E65" s="16">
        <v>10</v>
      </c>
      <c r="F65" s="16">
        <v>10</v>
      </c>
      <c r="G65" s="13">
        <v>530814.42319220817</v>
      </c>
      <c r="H65" s="13">
        <v>530814.42319220817</v>
      </c>
      <c r="I65" s="14">
        <v>0</v>
      </c>
      <c r="J65" s="15">
        <v>1</v>
      </c>
      <c r="K65" s="14">
        <v>2673.7383789573214</v>
      </c>
      <c r="L65" s="13">
        <v>1419258895.3931003</v>
      </c>
      <c r="M65" s="14">
        <v>4.426167894304057</v>
      </c>
      <c r="N65" s="14">
        <v>2667.8898471807793</v>
      </c>
      <c r="O65" s="13">
        <v>1416154410.3716137</v>
      </c>
      <c r="P65" s="13">
        <v>3104485.0214865208</v>
      </c>
      <c r="Q65" s="14">
        <v>1.0021921938728926</v>
      </c>
      <c r="R65" s="15">
        <v>2.1921938728926256E-3</v>
      </c>
    </row>
    <row r="66" spans="1:18" ht="18" customHeight="1">
      <c r="A66" s="10" t="s">
        <v>34</v>
      </c>
      <c r="B66" s="10" t="s">
        <v>35</v>
      </c>
      <c r="C66" s="10" t="s">
        <v>241</v>
      </c>
      <c r="D66" s="10" t="s">
        <v>246</v>
      </c>
      <c r="E66" s="16">
        <v>2</v>
      </c>
      <c r="F66" s="16">
        <v>2</v>
      </c>
      <c r="G66" s="13">
        <v>33612.665203153301</v>
      </c>
      <c r="H66" s="13">
        <v>33612.665203153301</v>
      </c>
      <c r="I66" s="14">
        <v>0</v>
      </c>
      <c r="J66" s="15">
        <v>1</v>
      </c>
      <c r="K66" s="14">
        <v>202.38184710387696</v>
      </c>
      <c r="L66" s="13">
        <v>6802593.2698983774</v>
      </c>
      <c r="M66" s="14">
        <v>3.30486056610096</v>
      </c>
      <c r="N66" s="14">
        <v>201.77184541850934</v>
      </c>
      <c r="O66" s="13">
        <v>6782089.4874747563</v>
      </c>
      <c r="P66" s="13">
        <v>20503.782423621044</v>
      </c>
      <c r="Q66" s="14">
        <v>1.003023224990099</v>
      </c>
      <c r="R66" s="15">
        <v>3.023224990098947E-3</v>
      </c>
    </row>
    <row r="67" spans="1:18" ht="18" customHeight="1">
      <c r="A67" s="10" t="s">
        <v>34</v>
      </c>
      <c r="B67" s="10" t="s">
        <v>35</v>
      </c>
      <c r="C67" s="10" t="s">
        <v>241</v>
      </c>
      <c r="D67" s="10" t="s">
        <v>247</v>
      </c>
      <c r="E67" s="16">
        <v>5</v>
      </c>
      <c r="F67" s="16">
        <v>5</v>
      </c>
      <c r="G67" s="13">
        <v>18111.6321857724</v>
      </c>
      <c r="H67" s="13">
        <v>18111.6321857724</v>
      </c>
      <c r="I67" s="14">
        <v>0</v>
      </c>
      <c r="J67" s="15">
        <v>1</v>
      </c>
      <c r="K67" s="14">
        <v>2010.7739659569172</v>
      </c>
      <c r="L67" s="13">
        <v>36418398.480138518</v>
      </c>
      <c r="M67" s="14">
        <v>4.2921358518345709</v>
      </c>
      <c r="N67" s="14">
        <v>1959.4575163565628</v>
      </c>
      <c r="O67" s="13">
        <v>35488973.819897167</v>
      </c>
      <c r="P67" s="13">
        <v>929424.66024135053</v>
      </c>
      <c r="Q67" s="14">
        <v>1.0261891105941265</v>
      </c>
      <c r="R67" s="15">
        <v>2.6189110594126604E-2</v>
      </c>
    </row>
    <row r="68" spans="1:18" ht="18" customHeight="1">
      <c r="A68" s="10" t="s">
        <v>34</v>
      </c>
      <c r="B68" s="10" t="s">
        <v>35</v>
      </c>
      <c r="C68" s="10" t="s">
        <v>241</v>
      </c>
      <c r="D68" s="10" t="s">
        <v>250</v>
      </c>
      <c r="E68" s="16">
        <v>7</v>
      </c>
      <c r="F68" s="16">
        <v>7</v>
      </c>
      <c r="G68" s="13">
        <v>69815.976126674708</v>
      </c>
      <c r="H68" s="13">
        <v>69815.976126674708</v>
      </c>
      <c r="I68" s="14">
        <v>0</v>
      </c>
      <c r="J68" s="15">
        <v>1</v>
      </c>
      <c r="K68" s="14">
        <v>2083.5948316686536</v>
      </c>
      <c r="L68" s="13">
        <v>145468207.02544153</v>
      </c>
      <c r="M68" s="14">
        <v>4.3013416710504329</v>
      </c>
      <c r="N68" s="14">
        <v>2001.4358333552041</v>
      </c>
      <c r="O68" s="13">
        <v>139732196.36059824</v>
      </c>
      <c r="P68" s="13">
        <v>5736010.664843291</v>
      </c>
      <c r="Q68" s="14">
        <v>1.0410500286565361</v>
      </c>
      <c r="R68" s="15">
        <v>4.1050028656536126E-2</v>
      </c>
    </row>
    <row r="69" spans="1:18" ht="18" customHeight="1">
      <c r="A69" s="10" t="s">
        <v>34</v>
      </c>
      <c r="B69" s="10" t="s">
        <v>35</v>
      </c>
      <c r="C69" s="10" t="s">
        <v>241</v>
      </c>
      <c r="D69" s="10" t="s">
        <v>251</v>
      </c>
      <c r="E69" s="16">
        <v>12</v>
      </c>
      <c r="F69" s="16">
        <v>12</v>
      </c>
      <c r="G69" s="13">
        <v>739130.93409289198</v>
      </c>
      <c r="H69" s="13">
        <v>739130.93409289198</v>
      </c>
      <c r="I69" s="14">
        <v>0</v>
      </c>
      <c r="J69" s="15">
        <v>1</v>
      </c>
      <c r="K69" s="14">
        <v>2716.0142468072117</v>
      </c>
      <c r="L69" s="13">
        <v>2007490147.2522171</v>
      </c>
      <c r="M69" s="14">
        <v>4.4313404069722786</v>
      </c>
      <c r="N69" s="14">
        <v>2699.8547927479863</v>
      </c>
      <c r="O69" s="13">
        <v>1995546194.8789904</v>
      </c>
      <c r="P69" s="13">
        <v>11943952.373226643</v>
      </c>
      <c r="Q69" s="14">
        <v>1.0059853048773701</v>
      </c>
      <c r="R69" s="15">
        <v>5.9853048773701387E-3</v>
      </c>
    </row>
    <row r="70" spans="1:18" ht="18" customHeight="1">
      <c r="A70" s="10" t="s">
        <v>135</v>
      </c>
      <c r="B70" s="10" t="s">
        <v>136</v>
      </c>
      <c r="C70" s="10" t="s">
        <v>241</v>
      </c>
      <c r="D70" s="10" t="s">
        <v>246</v>
      </c>
      <c r="E70" s="16">
        <v>2</v>
      </c>
      <c r="F70" s="16">
        <v>2</v>
      </c>
      <c r="G70" s="13">
        <v>3492.4651876563998</v>
      </c>
      <c r="H70" s="13">
        <v>3492.4651876563998</v>
      </c>
      <c r="I70" s="14">
        <v>0</v>
      </c>
      <c r="J70" s="15">
        <v>1</v>
      </c>
      <c r="K70" s="14">
        <v>200.68876379769731</v>
      </c>
      <c r="L70" s="13">
        <v>700898.52111725579</v>
      </c>
      <c r="M70" s="14">
        <v>3.3013043132696942</v>
      </c>
      <c r="N70" s="14">
        <v>200.12636783119578</v>
      </c>
      <c r="O70" s="13">
        <v>698934.37278257089</v>
      </c>
      <c r="P70" s="13">
        <v>1964.1483346848981</v>
      </c>
      <c r="Q70" s="14">
        <v>1.0028102042354352</v>
      </c>
      <c r="R70" s="15">
        <v>2.8102042354353038E-3</v>
      </c>
    </row>
    <row r="71" spans="1:18" ht="18" customHeight="1">
      <c r="A71" s="10" t="s">
        <v>135</v>
      </c>
      <c r="B71" s="10" t="s">
        <v>136</v>
      </c>
      <c r="C71" s="10" t="s">
        <v>241</v>
      </c>
      <c r="D71" s="10" t="s">
        <v>247</v>
      </c>
      <c r="E71" s="16">
        <v>5</v>
      </c>
      <c r="F71" s="16">
        <v>5</v>
      </c>
      <c r="G71" s="13">
        <v>900.44258927440012</v>
      </c>
      <c r="H71" s="13">
        <v>900.44258927440012</v>
      </c>
      <c r="I71" s="14">
        <v>0</v>
      </c>
      <c r="J71" s="15">
        <v>1</v>
      </c>
      <c r="K71" s="14">
        <v>1956.5212883585396</v>
      </c>
      <c r="L71" s="13">
        <v>1761735.0948600485</v>
      </c>
      <c r="M71" s="14">
        <v>4.2885782964988728</v>
      </c>
      <c r="N71" s="14">
        <v>1943.4720378418215</v>
      </c>
      <c r="O71" s="13">
        <v>1749984.9939366847</v>
      </c>
      <c r="P71" s="13">
        <v>11750.100923363818</v>
      </c>
      <c r="Q71" s="14">
        <v>1.0067144009600513</v>
      </c>
      <c r="R71" s="15">
        <v>6.7144009600512847E-3</v>
      </c>
    </row>
    <row r="72" spans="1:18" ht="18" customHeight="1">
      <c r="A72" s="10" t="s">
        <v>135</v>
      </c>
      <c r="B72" s="10" t="s">
        <v>136</v>
      </c>
      <c r="C72" s="10" t="s">
        <v>241</v>
      </c>
      <c r="D72" s="10" t="s">
        <v>250</v>
      </c>
      <c r="E72" s="16">
        <v>8</v>
      </c>
      <c r="F72" s="16">
        <v>8</v>
      </c>
      <c r="G72" s="13">
        <v>13144.379964776101</v>
      </c>
      <c r="H72" s="13">
        <v>13144.379964776101</v>
      </c>
      <c r="I72" s="14">
        <v>0</v>
      </c>
      <c r="J72" s="15">
        <v>1</v>
      </c>
      <c r="K72" s="14">
        <v>2196.2300994140164</v>
      </c>
      <c r="L72" s="13">
        <v>28868082.916775819</v>
      </c>
      <c r="M72" s="14">
        <v>4.3297597049709582</v>
      </c>
      <c r="N72" s="14">
        <v>2136.779482806935</v>
      </c>
      <c r="O72" s="13">
        <v>28086641.422952116</v>
      </c>
      <c r="P72" s="13">
        <v>781441.49382370338</v>
      </c>
      <c r="Q72" s="14">
        <v>1.0278225325006327</v>
      </c>
      <c r="R72" s="15">
        <v>2.7822532500632751E-2</v>
      </c>
    </row>
    <row r="73" spans="1:18" ht="18" customHeight="1">
      <c r="A73" s="10" t="s">
        <v>135</v>
      </c>
      <c r="B73" s="10" t="s">
        <v>136</v>
      </c>
      <c r="C73" s="10" t="s">
        <v>241</v>
      </c>
      <c r="D73" s="10" t="s">
        <v>251</v>
      </c>
      <c r="E73" s="16">
        <v>12</v>
      </c>
      <c r="F73" s="16">
        <v>12</v>
      </c>
      <c r="G73" s="13">
        <v>27715.179081010196</v>
      </c>
      <c r="H73" s="13">
        <v>27715.179081010196</v>
      </c>
      <c r="I73" s="14">
        <v>0</v>
      </c>
      <c r="J73" s="15">
        <v>1</v>
      </c>
      <c r="K73" s="14">
        <v>2166.8837052932663</v>
      </c>
      <c r="L73" s="13">
        <v>60055569.939925797</v>
      </c>
      <c r="M73" s="14">
        <v>4.3123912418989345</v>
      </c>
      <c r="N73" s="14">
        <v>2053.0108372850818</v>
      </c>
      <c r="O73" s="13">
        <v>56899563.010610729</v>
      </c>
      <c r="P73" s="13">
        <v>3156006.9293150678</v>
      </c>
      <c r="Q73" s="14">
        <v>1.0554662771087808</v>
      </c>
      <c r="R73" s="15">
        <v>5.5466277108780784E-2</v>
      </c>
    </row>
    <row r="74" spans="1:18" ht="18" customHeight="1">
      <c r="A74" s="10" t="s">
        <v>79</v>
      </c>
      <c r="B74" s="10" t="s">
        <v>80</v>
      </c>
      <c r="C74" s="10" t="s">
        <v>241</v>
      </c>
      <c r="D74" s="10" t="s">
        <v>246</v>
      </c>
      <c r="E74" s="16">
        <v>2</v>
      </c>
      <c r="F74" s="16">
        <v>2</v>
      </c>
      <c r="G74" s="13">
        <v>3103.5338506599001</v>
      </c>
      <c r="H74" s="13">
        <v>3103.5338506599001</v>
      </c>
      <c r="I74" s="14">
        <v>0</v>
      </c>
      <c r="J74" s="15">
        <v>1</v>
      </c>
      <c r="K74" s="14">
        <v>201.77683875644794</v>
      </c>
      <c r="L74" s="13">
        <v>626221.24935978069</v>
      </c>
      <c r="M74" s="14">
        <v>3.3035897705998578</v>
      </c>
      <c r="N74" s="14">
        <v>201.18230079829095</v>
      </c>
      <c r="O74" s="13">
        <v>624376.08068113821</v>
      </c>
      <c r="P74" s="13">
        <v>1845.1686786424834</v>
      </c>
      <c r="Q74" s="14">
        <v>1.0029552199959832</v>
      </c>
      <c r="R74" s="15">
        <v>2.9552199959831426E-3</v>
      </c>
    </row>
    <row r="75" spans="1:18" ht="18" customHeight="1">
      <c r="A75" s="10" t="s">
        <v>79</v>
      </c>
      <c r="B75" s="10" t="s">
        <v>80</v>
      </c>
      <c r="C75" s="10" t="s">
        <v>241</v>
      </c>
      <c r="D75" s="10" t="s">
        <v>247</v>
      </c>
      <c r="E75" s="16">
        <v>5</v>
      </c>
      <c r="F75" s="16">
        <v>5</v>
      </c>
      <c r="G75" s="13">
        <v>2995.8482341383001</v>
      </c>
      <c r="H75" s="13">
        <v>2995.8482341383001</v>
      </c>
      <c r="I75" s="14">
        <v>0</v>
      </c>
      <c r="J75" s="15">
        <v>1</v>
      </c>
      <c r="K75" s="14">
        <v>2344.1374963595536</v>
      </c>
      <c r="L75" s="13">
        <v>7022680.1790461438</v>
      </c>
      <c r="M75" s="14">
        <v>4.3524730560197922</v>
      </c>
      <c r="N75" s="14">
        <v>2251.5057271787682</v>
      </c>
      <c r="O75" s="13">
        <v>6745169.4569207821</v>
      </c>
      <c r="P75" s="13">
        <v>277510.72212536167</v>
      </c>
      <c r="Q75" s="14">
        <v>1.0411421423728096</v>
      </c>
      <c r="R75" s="15">
        <v>4.1142142372809609E-2</v>
      </c>
    </row>
    <row r="76" spans="1:18" ht="18" customHeight="1">
      <c r="A76" s="10" t="s">
        <v>79</v>
      </c>
      <c r="B76" s="10" t="s">
        <v>80</v>
      </c>
      <c r="C76" s="10" t="s">
        <v>241</v>
      </c>
      <c r="D76" s="10" t="s">
        <v>250</v>
      </c>
      <c r="E76" s="16">
        <v>6</v>
      </c>
      <c r="F76" s="16">
        <v>6</v>
      </c>
      <c r="G76" s="13">
        <v>5079.5806851539</v>
      </c>
      <c r="H76" s="13">
        <v>5079.5806851539</v>
      </c>
      <c r="I76" s="14">
        <v>0</v>
      </c>
      <c r="J76" s="15">
        <v>1</v>
      </c>
      <c r="K76" s="14">
        <v>1802.8361345683602</v>
      </c>
      <c r="L76" s="13">
        <v>9157651.6076509599</v>
      </c>
      <c r="M76" s="14">
        <v>4.2263467997793152</v>
      </c>
      <c r="N76" s="14">
        <v>1684.0182735176274</v>
      </c>
      <c r="O76" s="13">
        <v>8554106.6956063583</v>
      </c>
      <c r="P76" s="13">
        <v>603544.91204460151</v>
      </c>
      <c r="Q76" s="14">
        <v>1.0705561589914001</v>
      </c>
      <c r="R76" s="15">
        <v>7.0556158991399998E-2</v>
      </c>
    </row>
    <row r="77" spans="1:18" ht="18" customHeight="1">
      <c r="A77" s="10" t="s">
        <v>79</v>
      </c>
      <c r="B77" s="10" t="s">
        <v>80</v>
      </c>
      <c r="C77" s="10" t="s">
        <v>241</v>
      </c>
      <c r="D77" s="10" t="s">
        <v>251</v>
      </c>
      <c r="E77" s="16">
        <v>12</v>
      </c>
      <c r="F77" s="16">
        <v>12</v>
      </c>
      <c r="G77" s="13">
        <v>234703.45490359049</v>
      </c>
      <c r="H77" s="13">
        <v>234703.45490359049</v>
      </c>
      <c r="I77" s="14">
        <v>0</v>
      </c>
      <c r="J77" s="15">
        <v>1</v>
      </c>
      <c r="K77" s="14">
        <v>2728.8234566915175</v>
      </c>
      <c r="L77" s="13">
        <v>640464293.10745752</v>
      </c>
      <c r="M77" s="14">
        <v>4.4346971047346262</v>
      </c>
      <c r="N77" s="14">
        <v>2720.8030435396599</v>
      </c>
      <c r="O77" s="13">
        <v>638581874.43096232</v>
      </c>
      <c r="P77" s="13">
        <v>1882418.6764951944</v>
      </c>
      <c r="Q77" s="14">
        <v>1.0029478110041452</v>
      </c>
      <c r="R77" s="15">
        <v>2.9478110041450986E-3</v>
      </c>
    </row>
    <row r="78" spans="1:18" ht="18" customHeight="1">
      <c r="A78" s="10" t="s">
        <v>165</v>
      </c>
      <c r="B78" s="10" t="s">
        <v>166</v>
      </c>
      <c r="C78" s="10" t="s">
        <v>241</v>
      </c>
      <c r="D78" s="10" t="s">
        <v>242</v>
      </c>
      <c r="E78" s="16">
        <v>5</v>
      </c>
      <c r="F78" s="16">
        <v>5</v>
      </c>
      <c r="G78" s="13">
        <v>123.449815</v>
      </c>
      <c r="H78" s="13">
        <v>123.449815</v>
      </c>
      <c r="I78" s="14">
        <v>0</v>
      </c>
      <c r="J78" s="15">
        <v>1</v>
      </c>
      <c r="K78" s="14">
        <v>371.82744379911486</v>
      </c>
      <c r="L78" s="13">
        <v>45902.029148923626</v>
      </c>
      <c r="M78" s="14">
        <v>3.5683148944370635</v>
      </c>
      <c r="N78" s="14">
        <v>370.09642879399712</v>
      </c>
      <c r="O78" s="13">
        <v>45688.335666779618</v>
      </c>
      <c r="P78" s="13">
        <v>213.69348214400816</v>
      </c>
      <c r="Q78" s="14">
        <v>1.0046771999685553</v>
      </c>
      <c r="R78" s="15">
        <v>4.6771999685553556E-3</v>
      </c>
    </row>
    <row r="79" spans="1:18" ht="18" customHeight="1">
      <c r="A79" s="10" t="s">
        <v>165</v>
      </c>
      <c r="B79" s="10" t="s">
        <v>166</v>
      </c>
      <c r="C79" s="10" t="s">
        <v>241</v>
      </c>
      <c r="D79" s="10" t="s">
        <v>243</v>
      </c>
      <c r="E79" s="16">
        <v>5</v>
      </c>
      <c r="F79" s="16">
        <v>5</v>
      </c>
      <c r="G79" s="13">
        <v>0.26576900000000003</v>
      </c>
      <c r="H79" s="13">
        <v>0.26576900000000003</v>
      </c>
      <c r="I79" s="14">
        <v>0</v>
      </c>
      <c r="J79" s="15">
        <v>1</v>
      </c>
      <c r="K79" s="14">
        <v>20.930750074071174</v>
      </c>
      <c r="L79" s="13">
        <v>5.5627445164358225</v>
      </c>
      <c r="M79" s="14">
        <v>2.2874784117033964</v>
      </c>
      <c r="N79" s="14">
        <v>19.3855627007683</v>
      </c>
      <c r="O79" s="13">
        <v>5.1520816134204912</v>
      </c>
      <c r="P79" s="13">
        <v>0.41066290301533126</v>
      </c>
      <c r="Q79" s="14">
        <v>1.0797081517392133</v>
      </c>
      <c r="R79" s="15">
        <v>7.9708151739213279E-2</v>
      </c>
    </row>
    <row r="80" spans="1:18" ht="18" customHeight="1">
      <c r="A80" s="10" t="s">
        <v>165</v>
      </c>
      <c r="B80" s="10" t="s">
        <v>166</v>
      </c>
      <c r="C80" s="10" t="s">
        <v>241</v>
      </c>
      <c r="D80" s="10" t="s">
        <v>245</v>
      </c>
      <c r="E80" s="16">
        <v>1</v>
      </c>
      <c r="F80" s="16">
        <v>1</v>
      </c>
      <c r="G80" s="13">
        <v>3.97E-4</v>
      </c>
      <c r="H80" s="13">
        <v>3.97E-4</v>
      </c>
      <c r="I80" s="14">
        <v>0</v>
      </c>
      <c r="J80" s="15">
        <v>1</v>
      </c>
      <c r="K80" s="14">
        <v>12.589254117941675</v>
      </c>
      <c r="L80" s="13">
        <v>4.9979338848228447E-3</v>
      </c>
      <c r="M80" s="14">
        <v>2.1</v>
      </c>
      <c r="N80" s="14">
        <v>12.589254117941675</v>
      </c>
      <c r="O80" s="13">
        <v>4.9979338848228447E-3</v>
      </c>
      <c r="P80" s="13">
        <v>0</v>
      </c>
      <c r="Q80" s="14">
        <v>1</v>
      </c>
      <c r="R80" s="15">
        <v>0</v>
      </c>
    </row>
    <row r="81" spans="1:18" ht="18" customHeight="1">
      <c r="A81" s="10" t="s">
        <v>165</v>
      </c>
      <c r="B81" s="10" t="s">
        <v>166</v>
      </c>
      <c r="C81" s="10" t="s">
        <v>241</v>
      </c>
      <c r="D81" s="10" t="s">
        <v>246</v>
      </c>
      <c r="E81" s="16">
        <v>6</v>
      </c>
      <c r="F81" s="16">
        <v>6</v>
      </c>
      <c r="G81" s="13">
        <v>84.407037000000031</v>
      </c>
      <c r="H81" s="13">
        <v>84.407037000000031</v>
      </c>
      <c r="I81" s="14">
        <v>0</v>
      </c>
      <c r="J81" s="15">
        <v>1</v>
      </c>
      <c r="K81" s="14">
        <v>190.54874232534871</v>
      </c>
      <c r="L81" s="13">
        <v>16083.65474375918</v>
      </c>
      <c r="M81" s="14">
        <v>3.2800045483174567</v>
      </c>
      <c r="N81" s="14">
        <v>190.54806737443823</v>
      </c>
      <c r="O81" s="13">
        <v>16083.597773152707</v>
      </c>
      <c r="P81" s="13">
        <v>5.6970606472532381E-2</v>
      </c>
      <c r="Q81" s="14">
        <v>1.0000035421556344</v>
      </c>
      <c r="R81" s="15">
        <v>3.5421556343338597E-6</v>
      </c>
    </row>
    <row r="82" spans="1:18" ht="18" customHeight="1">
      <c r="A82" s="10" t="s">
        <v>165</v>
      </c>
      <c r="B82" s="10" t="s">
        <v>166</v>
      </c>
      <c r="C82" s="10" t="s">
        <v>241</v>
      </c>
      <c r="D82" s="10" t="s">
        <v>247</v>
      </c>
      <c r="E82" s="16">
        <v>13</v>
      </c>
      <c r="F82" s="16">
        <v>13</v>
      </c>
      <c r="G82" s="13">
        <v>3349.338988</v>
      </c>
      <c r="H82" s="13">
        <v>3349.338988</v>
      </c>
      <c r="I82" s="14">
        <v>0</v>
      </c>
      <c r="J82" s="15">
        <v>1</v>
      </c>
      <c r="K82" s="14">
        <v>1614.8939756491002</v>
      </c>
      <c r="L82" s="13">
        <v>5408827.3541278541</v>
      </c>
      <c r="M82" s="14">
        <v>4.2057122653331147</v>
      </c>
      <c r="N82" s="14">
        <v>1605.8769531184398</v>
      </c>
      <c r="O82" s="13">
        <v>5378626.2890102388</v>
      </c>
      <c r="P82" s="13">
        <v>30201.065117615275</v>
      </c>
      <c r="Q82" s="14">
        <v>1.0056150145957012</v>
      </c>
      <c r="R82" s="15">
        <v>5.6150145957013118E-3</v>
      </c>
    </row>
    <row r="83" spans="1:18" ht="18" customHeight="1">
      <c r="A83" s="10" t="s">
        <v>165</v>
      </c>
      <c r="B83" s="10" t="s">
        <v>166</v>
      </c>
      <c r="C83" s="10" t="s">
        <v>241</v>
      </c>
      <c r="D83" s="10" t="s">
        <v>250</v>
      </c>
      <c r="E83" s="16">
        <v>2</v>
      </c>
      <c r="F83" s="16">
        <v>2</v>
      </c>
      <c r="G83" s="13">
        <v>1.8658570000000001</v>
      </c>
      <c r="H83" s="13">
        <v>1.8658570000000001</v>
      </c>
      <c r="I83" s="14">
        <v>0</v>
      </c>
      <c r="J83" s="15">
        <v>1</v>
      </c>
      <c r="K83" s="14">
        <v>411.57569758130643</v>
      </c>
      <c r="L83" s="13">
        <v>767.94139636196371</v>
      </c>
      <c r="M83" s="14">
        <v>3.6143198969695964</v>
      </c>
      <c r="N83" s="14">
        <v>411.4526814399905</v>
      </c>
      <c r="O83" s="13">
        <v>767.71186583357644</v>
      </c>
      <c r="P83" s="13">
        <v>0.22953052838727217</v>
      </c>
      <c r="Q83" s="14">
        <v>1.0002989800452518</v>
      </c>
      <c r="R83" s="15">
        <v>2.9898004525180742E-4</v>
      </c>
    </row>
    <row r="84" spans="1:18" ht="18" customHeight="1">
      <c r="A84" s="10" t="s">
        <v>69</v>
      </c>
      <c r="B84" s="10" t="s">
        <v>70</v>
      </c>
      <c r="C84" s="10" t="s">
        <v>241</v>
      </c>
      <c r="D84" s="10" t="s">
        <v>242</v>
      </c>
      <c r="E84" s="16">
        <v>5</v>
      </c>
      <c r="F84" s="16">
        <v>5</v>
      </c>
      <c r="G84" s="13">
        <v>900467.21390583727</v>
      </c>
      <c r="H84" s="13">
        <v>900467.21390583727</v>
      </c>
      <c r="I84" s="14">
        <v>0</v>
      </c>
      <c r="J84" s="15">
        <v>1</v>
      </c>
      <c r="K84" s="14">
        <v>495.42689822556372</v>
      </c>
      <c r="L84" s="13">
        <v>446115678.73918414</v>
      </c>
      <c r="M84" s="14">
        <v>3.6380659152630677</v>
      </c>
      <c r="N84" s="14">
        <v>434.57617718392947</v>
      </c>
      <c r="O84" s="13">
        <v>391321599.49866247</v>
      </c>
      <c r="P84" s="13">
        <v>54794079.240521669</v>
      </c>
      <c r="Q84" s="14">
        <v>1.1400231403293877</v>
      </c>
      <c r="R84" s="15">
        <v>0.1400231403293877</v>
      </c>
    </row>
    <row r="85" spans="1:18" ht="18" customHeight="1">
      <c r="A85" s="10" t="s">
        <v>69</v>
      </c>
      <c r="B85" s="10" t="s">
        <v>70</v>
      </c>
      <c r="C85" s="10" t="s">
        <v>241</v>
      </c>
      <c r="D85" s="10" t="s">
        <v>243</v>
      </c>
      <c r="E85" s="16">
        <v>9</v>
      </c>
      <c r="F85" s="16">
        <v>9</v>
      </c>
      <c r="G85" s="13">
        <v>7646.588618008599</v>
      </c>
      <c r="H85" s="13">
        <v>7646.588618008599</v>
      </c>
      <c r="I85" s="14">
        <v>0</v>
      </c>
      <c r="J85" s="15">
        <v>1</v>
      </c>
      <c r="K85" s="14">
        <v>220.05447368047456</v>
      </c>
      <c r="L85" s="13">
        <v>1682666.0337869895</v>
      </c>
      <c r="M85" s="14">
        <v>3.2245729225225066</v>
      </c>
      <c r="N85" s="14">
        <v>167.71539235478835</v>
      </c>
      <c r="O85" s="13">
        <v>1282450.610244971</v>
      </c>
      <c r="P85" s="13">
        <v>400215.42354201851</v>
      </c>
      <c r="Q85" s="14">
        <v>1.3120708277924014</v>
      </c>
      <c r="R85" s="15">
        <v>0.31207082779240147</v>
      </c>
    </row>
    <row r="86" spans="1:18" ht="18" customHeight="1">
      <c r="A86" s="10" t="s">
        <v>69</v>
      </c>
      <c r="B86" s="10" t="s">
        <v>70</v>
      </c>
      <c r="C86" s="10" t="s">
        <v>241</v>
      </c>
      <c r="D86" s="10" t="s">
        <v>244</v>
      </c>
      <c r="E86" s="16">
        <v>15</v>
      </c>
      <c r="F86" s="16">
        <v>15</v>
      </c>
      <c r="G86" s="13">
        <v>118815.8974802802</v>
      </c>
      <c r="H86" s="13">
        <v>118815.8974802802</v>
      </c>
      <c r="I86" s="14">
        <v>0</v>
      </c>
      <c r="J86" s="15">
        <v>1</v>
      </c>
      <c r="K86" s="14">
        <v>565.06971407113167</v>
      </c>
      <c r="L86" s="13">
        <v>67139265.216286823</v>
      </c>
      <c r="M86" s="14">
        <v>3.6474642090519538</v>
      </c>
      <c r="N86" s="14">
        <v>444.08306221588651</v>
      </c>
      <c r="O86" s="13">
        <v>52764127.592971668</v>
      </c>
      <c r="P86" s="13">
        <v>14375137.623315156</v>
      </c>
      <c r="Q86" s="14">
        <v>1.2724414915794033</v>
      </c>
      <c r="R86" s="15">
        <v>0.27244149157940339</v>
      </c>
    </row>
    <row r="87" spans="1:18" ht="18" customHeight="1">
      <c r="A87" s="10" t="s">
        <v>69</v>
      </c>
      <c r="B87" s="10" t="s">
        <v>70</v>
      </c>
      <c r="C87" s="10" t="s">
        <v>241</v>
      </c>
      <c r="D87" s="10" t="s">
        <v>253</v>
      </c>
      <c r="E87" s="16">
        <v>1</v>
      </c>
      <c r="F87" s="16">
        <v>1</v>
      </c>
      <c r="G87" s="13">
        <v>9651.0177963192</v>
      </c>
      <c r="H87" s="13">
        <v>9651.0177963192</v>
      </c>
      <c r="I87" s="14">
        <v>0</v>
      </c>
      <c r="J87" s="15">
        <v>1</v>
      </c>
      <c r="K87" s="14">
        <v>144.54397707459279</v>
      </c>
      <c r="L87" s="13">
        <v>1394996.4950976495</v>
      </c>
      <c r="M87" s="14">
        <v>3.16</v>
      </c>
      <c r="N87" s="14">
        <v>144.54397707459279</v>
      </c>
      <c r="O87" s="13">
        <v>1394996.4950976495</v>
      </c>
      <c r="P87" s="13">
        <v>0</v>
      </c>
      <c r="Q87" s="14">
        <v>1</v>
      </c>
      <c r="R87" s="15">
        <v>0</v>
      </c>
    </row>
    <row r="88" spans="1:18" ht="18" customHeight="1">
      <c r="A88" s="10" t="s">
        <v>69</v>
      </c>
      <c r="B88" s="10" t="s">
        <v>70</v>
      </c>
      <c r="C88" s="10" t="s">
        <v>241</v>
      </c>
      <c r="D88" s="10" t="s">
        <v>245</v>
      </c>
      <c r="E88" s="16">
        <v>6</v>
      </c>
      <c r="F88" s="16">
        <v>6</v>
      </c>
      <c r="G88" s="13">
        <v>73.539178679999992</v>
      </c>
      <c r="H88" s="13">
        <v>73.539178679999992</v>
      </c>
      <c r="I88" s="14">
        <v>0</v>
      </c>
      <c r="J88" s="15">
        <v>1</v>
      </c>
      <c r="K88" s="14">
        <v>10.551480000235559</v>
      </c>
      <c r="L88" s="13">
        <v>775.94717307576911</v>
      </c>
      <c r="M88" s="14">
        <v>2.0199522817432563</v>
      </c>
      <c r="N88" s="14">
        <v>10.470135007592502</v>
      </c>
      <c r="O88" s="13">
        <v>769.96512912706805</v>
      </c>
      <c r="P88" s="13">
        <v>5.9820439487010617</v>
      </c>
      <c r="Q88" s="14">
        <v>1.0077692400894611</v>
      </c>
      <c r="R88" s="15">
        <v>7.7692400894610377E-3</v>
      </c>
    </row>
    <row r="89" spans="1:18" ht="18" customHeight="1">
      <c r="A89" s="10" t="s">
        <v>69</v>
      </c>
      <c r="B89" s="10" t="s">
        <v>70</v>
      </c>
      <c r="C89" s="10" t="s">
        <v>241</v>
      </c>
      <c r="D89" s="10" t="s">
        <v>246</v>
      </c>
      <c r="E89" s="16">
        <v>7</v>
      </c>
      <c r="F89" s="16">
        <v>7</v>
      </c>
      <c r="G89" s="13">
        <v>13078.7075267686</v>
      </c>
      <c r="H89" s="13">
        <v>13078.7075267686</v>
      </c>
      <c r="I89" s="14">
        <v>0</v>
      </c>
      <c r="J89" s="15">
        <v>1</v>
      </c>
      <c r="K89" s="14">
        <v>208.14052374797805</v>
      </c>
      <c r="L89" s="13">
        <v>2722209.034568239</v>
      </c>
      <c r="M89" s="14">
        <v>3.2919966388682522</v>
      </c>
      <c r="N89" s="14">
        <v>195.88295134940211</v>
      </c>
      <c r="O89" s="13">
        <v>2561895.8301790729</v>
      </c>
      <c r="P89" s="13">
        <v>160313.20438916609</v>
      </c>
      <c r="Q89" s="14">
        <v>1.0625760042624217</v>
      </c>
      <c r="R89" s="15">
        <v>6.2576004262421714E-2</v>
      </c>
    </row>
    <row r="90" spans="1:18" ht="18" customHeight="1">
      <c r="A90" s="10" t="s">
        <v>69</v>
      </c>
      <c r="B90" s="10" t="s">
        <v>70</v>
      </c>
      <c r="C90" s="10" t="s">
        <v>241</v>
      </c>
      <c r="D90" s="10" t="s">
        <v>247</v>
      </c>
      <c r="E90" s="16">
        <v>1</v>
      </c>
      <c r="F90" s="16">
        <v>1</v>
      </c>
      <c r="G90" s="13">
        <v>3.054059E-4</v>
      </c>
      <c r="H90" s="13">
        <v>3.054059E-4</v>
      </c>
      <c r="I90" s="14">
        <v>0</v>
      </c>
      <c r="J90" s="15">
        <v>1</v>
      </c>
      <c r="K90" s="14">
        <v>1819.7008586099826</v>
      </c>
      <c r="L90" s="13">
        <v>0.55574737845455446</v>
      </c>
      <c r="M90" s="14">
        <v>4.26</v>
      </c>
      <c r="N90" s="14">
        <v>1819.7008586099826</v>
      </c>
      <c r="O90" s="13">
        <v>0.55574737845455446</v>
      </c>
      <c r="P90" s="13">
        <v>0</v>
      </c>
      <c r="Q90" s="14">
        <v>1</v>
      </c>
      <c r="R90" s="15">
        <v>0</v>
      </c>
    </row>
    <row r="91" spans="1:18" ht="18" customHeight="1">
      <c r="A91" s="10" t="s">
        <v>69</v>
      </c>
      <c r="B91" s="10" t="s">
        <v>70</v>
      </c>
      <c r="C91" s="10" t="s">
        <v>241</v>
      </c>
      <c r="D91" s="10" t="s">
        <v>248</v>
      </c>
      <c r="E91" s="16">
        <v>14</v>
      </c>
      <c r="F91" s="16">
        <v>14</v>
      </c>
      <c r="G91" s="13">
        <v>151074.52322968937</v>
      </c>
      <c r="H91" s="13">
        <v>151074.52322968937</v>
      </c>
      <c r="I91" s="14">
        <v>0</v>
      </c>
      <c r="J91" s="15">
        <v>1</v>
      </c>
      <c r="K91" s="14">
        <v>1701.5597616376394</v>
      </c>
      <c r="L91" s="13">
        <v>257062329.73623025</v>
      </c>
      <c r="M91" s="14">
        <v>4.0363564280599773</v>
      </c>
      <c r="N91" s="14">
        <v>1087.3176255627384</v>
      </c>
      <c r="O91" s="13">
        <v>164265991.88112861</v>
      </c>
      <c r="P91" s="13">
        <v>92796337.855101645</v>
      </c>
      <c r="Q91" s="14">
        <v>1.5649150916292758</v>
      </c>
      <c r="R91" s="15">
        <v>0.56491509162927578</v>
      </c>
    </row>
    <row r="92" spans="1:18" ht="18" customHeight="1">
      <c r="A92" s="10" t="s">
        <v>69</v>
      </c>
      <c r="B92" s="10" t="s">
        <v>70</v>
      </c>
      <c r="C92" s="10" t="s">
        <v>241</v>
      </c>
      <c r="D92" s="10" t="s">
        <v>249</v>
      </c>
      <c r="E92" s="16">
        <v>10</v>
      </c>
      <c r="F92" s="16">
        <v>10</v>
      </c>
      <c r="G92" s="13">
        <v>86330.687263321277</v>
      </c>
      <c r="H92" s="13">
        <v>86330.687263321277</v>
      </c>
      <c r="I92" s="14">
        <v>0</v>
      </c>
      <c r="J92" s="15">
        <v>1</v>
      </c>
      <c r="K92" s="14">
        <v>360.60808472705179</v>
      </c>
      <c r="L92" s="13">
        <v>31131543.787196372</v>
      </c>
      <c r="M92" s="14">
        <v>3.5229085621284901</v>
      </c>
      <c r="N92" s="14">
        <v>333.3562193956472</v>
      </c>
      <c r="O92" s="13">
        <v>28778871.523928732</v>
      </c>
      <c r="P92" s="13">
        <v>2352672.26326764</v>
      </c>
      <c r="Q92" s="14">
        <v>1.0817499831885857</v>
      </c>
      <c r="R92" s="15">
        <v>8.1749983188585645E-2</v>
      </c>
    </row>
    <row r="93" spans="1:18" ht="18" customHeight="1">
      <c r="A93" s="10" t="s">
        <v>69</v>
      </c>
      <c r="B93" s="10" t="s">
        <v>70</v>
      </c>
      <c r="C93" s="10" t="s">
        <v>241</v>
      </c>
      <c r="D93" s="10" t="s">
        <v>250</v>
      </c>
      <c r="E93" s="16">
        <v>5</v>
      </c>
      <c r="F93" s="16">
        <v>5</v>
      </c>
      <c r="G93" s="13">
        <v>13861.596146735001</v>
      </c>
      <c r="H93" s="13">
        <v>13861.596146735001</v>
      </c>
      <c r="I93" s="14">
        <v>0</v>
      </c>
      <c r="J93" s="15">
        <v>1</v>
      </c>
      <c r="K93" s="14">
        <v>662.72803433991737</v>
      </c>
      <c r="L93" s="13">
        <v>9186468.3671394605</v>
      </c>
      <c r="M93" s="14">
        <v>3.8207569299797064</v>
      </c>
      <c r="N93" s="14">
        <v>661.84597184168797</v>
      </c>
      <c r="O93" s="13">
        <v>9174241.5730128232</v>
      </c>
      <c r="P93" s="13">
        <v>12226.79412663728</v>
      </c>
      <c r="Q93" s="14">
        <v>1.0013327307799049</v>
      </c>
      <c r="R93" s="15">
        <v>1.3327307799048938E-3</v>
      </c>
    </row>
    <row r="94" spans="1:18" ht="18" customHeight="1">
      <c r="A94" s="10" t="s">
        <v>63</v>
      </c>
      <c r="B94" s="10" t="s">
        <v>64</v>
      </c>
      <c r="C94" s="10" t="s">
        <v>241</v>
      </c>
      <c r="D94" s="10" t="s">
        <v>252</v>
      </c>
      <c r="E94" s="16">
        <v>1</v>
      </c>
      <c r="F94" s="16">
        <v>1</v>
      </c>
      <c r="G94" s="13">
        <v>5.2133157999999999E-3</v>
      </c>
      <c r="H94" s="13">
        <v>5.2133157999999999E-3</v>
      </c>
      <c r="I94" s="14">
        <v>0</v>
      </c>
      <c r="J94" s="15">
        <v>1</v>
      </c>
      <c r="K94" s="14">
        <v>93.325430079699146</v>
      </c>
      <c r="L94" s="13">
        <v>0.48653493917629081</v>
      </c>
      <c r="M94" s="14">
        <v>2.97</v>
      </c>
      <c r="N94" s="14">
        <v>93.325430079699146</v>
      </c>
      <c r="O94" s="13">
        <v>0.48653493917629081</v>
      </c>
      <c r="P94" s="13">
        <v>0</v>
      </c>
      <c r="Q94" s="14">
        <v>1</v>
      </c>
      <c r="R94" s="15">
        <v>0</v>
      </c>
    </row>
    <row r="95" spans="1:18" ht="18" customHeight="1">
      <c r="A95" s="10" t="s">
        <v>63</v>
      </c>
      <c r="B95" s="10" t="s">
        <v>64</v>
      </c>
      <c r="C95" s="10" t="s">
        <v>241</v>
      </c>
      <c r="D95" s="10" t="s">
        <v>242</v>
      </c>
      <c r="E95" s="16">
        <v>6</v>
      </c>
      <c r="F95" s="16">
        <v>6</v>
      </c>
      <c r="G95" s="13">
        <v>706803.89408852672</v>
      </c>
      <c r="H95" s="13">
        <v>706803.89408852672</v>
      </c>
      <c r="I95" s="14">
        <v>0</v>
      </c>
      <c r="J95" s="15">
        <v>1</v>
      </c>
      <c r="K95" s="14">
        <v>822.33010718460218</v>
      </c>
      <c r="L95" s="13">
        <v>581226121.98431242</v>
      </c>
      <c r="M95" s="14">
        <v>3.771814822437368</v>
      </c>
      <c r="N95" s="14">
        <v>591.30945369567451</v>
      </c>
      <c r="O95" s="13">
        <v>417939824.4834621</v>
      </c>
      <c r="P95" s="13">
        <v>163286297.50085032</v>
      </c>
      <c r="Q95" s="14">
        <v>1.3906933197922888</v>
      </c>
      <c r="R95" s="15">
        <v>0.39069331979228883</v>
      </c>
    </row>
    <row r="96" spans="1:18" ht="18" customHeight="1">
      <c r="A96" s="10" t="s">
        <v>63</v>
      </c>
      <c r="B96" s="10" t="s">
        <v>64</v>
      </c>
      <c r="C96" s="10" t="s">
        <v>241</v>
      </c>
      <c r="D96" s="10" t="s">
        <v>243</v>
      </c>
      <c r="E96" s="16">
        <v>17</v>
      </c>
      <c r="F96" s="16">
        <v>17</v>
      </c>
      <c r="G96" s="13">
        <v>27630.049904951098</v>
      </c>
      <c r="H96" s="13">
        <v>27630.049904951098</v>
      </c>
      <c r="I96" s="14">
        <v>0</v>
      </c>
      <c r="J96" s="15">
        <v>1</v>
      </c>
      <c r="K96" s="14">
        <v>644.79582575970142</v>
      </c>
      <c r="L96" s="13">
        <v>17815740.844244704</v>
      </c>
      <c r="M96" s="14">
        <v>3.6759176637224109</v>
      </c>
      <c r="N96" s="14">
        <v>474.15208400617524</v>
      </c>
      <c r="O96" s="13">
        <v>13100845.743627187</v>
      </c>
      <c r="P96" s="13">
        <v>4714895.1006175168</v>
      </c>
      <c r="Q96" s="14">
        <v>1.3598924216714057</v>
      </c>
      <c r="R96" s="15">
        <v>0.35989242167140573</v>
      </c>
    </row>
    <row r="97" spans="1:18" ht="18" customHeight="1">
      <c r="A97" s="10" t="s">
        <v>63</v>
      </c>
      <c r="B97" s="10" t="s">
        <v>64</v>
      </c>
      <c r="C97" s="10" t="s">
        <v>241</v>
      </c>
      <c r="D97" s="10" t="s">
        <v>244</v>
      </c>
      <c r="E97" s="16">
        <v>21</v>
      </c>
      <c r="F97" s="16">
        <v>21</v>
      </c>
      <c r="G97" s="13">
        <v>69768.852100181015</v>
      </c>
      <c r="H97" s="13">
        <v>69768.852100181015</v>
      </c>
      <c r="I97" s="14">
        <v>0</v>
      </c>
      <c r="J97" s="15">
        <v>1</v>
      </c>
      <c r="K97" s="14">
        <v>744.18615769932387</v>
      </c>
      <c r="L97" s="13">
        <v>51921013.971526109</v>
      </c>
      <c r="M97" s="14">
        <v>3.7457963772897322</v>
      </c>
      <c r="N97" s="14">
        <v>556.92456882518638</v>
      </c>
      <c r="O97" s="13">
        <v>38855987.873321511</v>
      </c>
      <c r="P97" s="13">
        <v>13065026.098204598</v>
      </c>
      <c r="Q97" s="14">
        <v>1.3362422837066776</v>
      </c>
      <c r="R97" s="15">
        <v>0.33624228370667764</v>
      </c>
    </row>
    <row r="98" spans="1:18" ht="18" customHeight="1">
      <c r="A98" s="10" t="s">
        <v>63</v>
      </c>
      <c r="B98" s="10" t="s">
        <v>64</v>
      </c>
      <c r="C98" s="10" t="s">
        <v>241</v>
      </c>
      <c r="D98" s="10" t="s">
        <v>253</v>
      </c>
      <c r="E98" s="16">
        <v>3</v>
      </c>
      <c r="F98" s="16">
        <v>3</v>
      </c>
      <c r="G98" s="13">
        <v>27995.947775677399</v>
      </c>
      <c r="H98" s="13">
        <v>27995.947775677399</v>
      </c>
      <c r="I98" s="14">
        <v>0</v>
      </c>
      <c r="J98" s="15">
        <v>1</v>
      </c>
      <c r="K98" s="14">
        <v>144.8848136611816</v>
      </c>
      <c r="L98" s="13">
        <v>4056187.6767471912</v>
      </c>
      <c r="M98" s="14">
        <v>3.1606779302880259</v>
      </c>
      <c r="N98" s="14">
        <v>144.76978528836781</v>
      </c>
      <c r="O98" s="13">
        <v>4052967.3484291756</v>
      </c>
      <c r="P98" s="13">
        <v>3220.3283180156723</v>
      </c>
      <c r="Q98" s="14">
        <v>1.0007945606369772</v>
      </c>
      <c r="R98" s="15">
        <v>7.9456063697719835E-4</v>
      </c>
    </row>
    <row r="99" spans="1:18" ht="18" customHeight="1">
      <c r="A99" s="10" t="s">
        <v>63</v>
      </c>
      <c r="B99" s="10" t="s">
        <v>64</v>
      </c>
      <c r="C99" s="10" t="s">
        <v>241</v>
      </c>
      <c r="D99" s="10" t="s">
        <v>245</v>
      </c>
      <c r="E99" s="16">
        <v>14</v>
      </c>
      <c r="F99" s="16">
        <v>14</v>
      </c>
      <c r="G99" s="13">
        <v>2547.1570238147997</v>
      </c>
      <c r="H99" s="13">
        <v>2547.1570238147997</v>
      </c>
      <c r="I99" s="14">
        <v>0</v>
      </c>
      <c r="J99" s="15">
        <v>1</v>
      </c>
      <c r="K99" s="14">
        <v>14.781416708396502</v>
      </c>
      <c r="L99" s="13">
        <v>37650.589390725589</v>
      </c>
      <c r="M99" s="14">
        <v>2.1562814453232471</v>
      </c>
      <c r="N99" s="14">
        <v>14.331163320316847</v>
      </c>
      <c r="O99" s="13">
        <v>36503.723310782079</v>
      </c>
      <c r="P99" s="13">
        <v>1146.8660799435092</v>
      </c>
      <c r="Q99" s="14">
        <v>1.0314177836101657</v>
      </c>
      <c r="R99" s="15">
        <v>3.1417783610165603E-2</v>
      </c>
    </row>
    <row r="100" spans="1:18" ht="18" customHeight="1">
      <c r="A100" s="10" t="s">
        <v>63</v>
      </c>
      <c r="B100" s="10" t="s">
        <v>64</v>
      </c>
      <c r="C100" s="10" t="s">
        <v>241</v>
      </c>
      <c r="D100" s="10" t="s">
        <v>246</v>
      </c>
      <c r="E100" s="16">
        <v>19</v>
      </c>
      <c r="F100" s="16">
        <v>19</v>
      </c>
      <c r="G100" s="13">
        <v>35364.443310730399</v>
      </c>
      <c r="H100" s="13">
        <v>35364.443310730399</v>
      </c>
      <c r="I100" s="14">
        <v>0</v>
      </c>
      <c r="J100" s="15">
        <v>1</v>
      </c>
      <c r="K100" s="14">
        <v>177.0365482354278</v>
      </c>
      <c r="L100" s="13">
        <v>6260798.9739991743</v>
      </c>
      <c r="M100" s="14">
        <v>3.1812978702740278</v>
      </c>
      <c r="N100" s="14">
        <v>151.80912262089294</v>
      </c>
      <c r="O100" s="13">
        <v>5368645.1109782886</v>
      </c>
      <c r="P100" s="13">
        <v>892153.86302088574</v>
      </c>
      <c r="Q100" s="14">
        <v>1.166178587814741</v>
      </c>
      <c r="R100" s="15">
        <v>0.16617858781474104</v>
      </c>
    </row>
    <row r="101" spans="1:18" ht="18" customHeight="1">
      <c r="A101" s="10" t="s">
        <v>63</v>
      </c>
      <c r="B101" s="10" t="s">
        <v>64</v>
      </c>
      <c r="C101" s="10" t="s">
        <v>241</v>
      </c>
      <c r="D101" s="10" t="s">
        <v>247</v>
      </c>
      <c r="E101" s="16">
        <v>17</v>
      </c>
      <c r="F101" s="16">
        <v>17</v>
      </c>
      <c r="G101" s="13">
        <v>169.1047980331</v>
      </c>
      <c r="H101" s="13">
        <v>169.1047980331</v>
      </c>
      <c r="I101" s="14">
        <v>0</v>
      </c>
      <c r="J101" s="15">
        <v>1</v>
      </c>
      <c r="K101" s="14">
        <v>343.67356110036718</v>
      </c>
      <c r="L101" s="13">
        <v>58116.848139193848</v>
      </c>
      <c r="M101" s="14">
        <v>3.5280693356944957</v>
      </c>
      <c r="N101" s="14">
        <v>337.34116132721118</v>
      </c>
      <c r="O101" s="13">
        <v>57046.008954489451</v>
      </c>
      <c r="P101" s="13">
        <v>1070.8391847043968</v>
      </c>
      <c r="Q101" s="14">
        <v>1.0187715004840865</v>
      </c>
      <c r="R101" s="15">
        <v>1.8771500484086417E-2</v>
      </c>
    </row>
    <row r="102" spans="1:18" ht="18" customHeight="1">
      <c r="A102" s="10" t="s">
        <v>63</v>
      </c>
      <c r="B102" s="10" t="s">
        <v>64</v>
      </c>
      <c r="C102" s="10" t="s">
        <v>241</v>
      </c>
      <c r="D102" s="10" t="s">
        <v>248</v>
      </c>
      <c r="E102" s="16">
        <v>17</v>
      </c>
      <c r="F102" s="16">
        <v>17</v>
      </c>
      <c r="G102" s="13">
        <v>157619.02607067299</v>
      </c>
      <c r="H102" s="13">
        <v>157619.02607067299</v>
      </c>
      <c r="I102" s="14">
        <v>0</v>
      </c>
      <c r="J102" s="15">
        <v>1</v>
      </c>
      <c r="K102" s="14">
        <v>1707.7482543290891</v>
      </c>
      <c r="L102" s="13">
        <v>269173616.621243</v>
      </c>
      <c r="M102" s="14">
        <v>4.0477439982398611</v>
      </c>
      <c r="N102" s="14">
        <v>1116.2050890518558</v>
      </c>
      <c r="O102" s="13">
        <v>175935159.03148234</v>
      </c>
      <c r="P102" s="13">
        <v>93238457.589760661</v>
      </c>
      <c r="Q102" s="14">
        <v>1.5299592082846629</v>
      </c>
      <c r="R102" s="15">
        <v>0.52995920828466303</v>
      </c>
    </row>
    <row r="103" spans="1:18" ht="18" customHeight="1">
      <c r="A103" s="10" t="s">
        <v>63</v>
      </c>
      <c r="B103" s="10" t="s">
        <v>64</v>
      </c>
      <c r="C103" s="10" t="s">
        <v>241</v>
      </c>
      <c r="D103" s="10" t="s">
        <v>249</v>
      </c>
      <c r="E103" s="16">
        <v>34</v>
      </c>
      <c r="F103" s="16">
        <v>34</v>
      </c>
      <c r="G103" s="13">
        <v>64246.360095209893</v>
      </c>
      <c r="H103" s="13">
        <v>64246.360095209893</v>
      </c>
      <c r="I103" s="14">
        <v>0</v>
      </c>
      <c r="J103" s="15">
        <v>1</v>
      </c>
      <c r="K103" s="14">
        <v>439.69943846407705</v>
      </c>
      <c r="L103" s="13">
        <v>28249088.457224678</v>
      </c>
      <c r="M103" s="14">
        <v>3.594656462160672</v>
      </c>
      <c r="N103" s="14">
        <v>393.23889055870802</v>
      </c>
      <c r="O103" s="13">
        <v>25264167.36627559</v>
      </c>
      <c r="P103" s="13">
        <v>2984921.0909490883</v>
      </c>
      <c r="Q103" s="14">
        <v>1.1181484055133981</v>
      </c>
      <c r="R103" s="15">
        <v>0.11814840551339814</v>
      </c>
    </row>
    <row r="104" spans="1:18" ht="18" customHeight="1">
      <c r="A104" s="10" t="s">
        <v>63</v>
      </c>
      <c r="B104" s="10" t="s">
        <v>64</v>
      </c>
      <c r="C104" s="10" t="s">
        <v>241</v>
      </c>
      <c r="D104" s="10" t="s">
        <v>250</v>
      </c>
      <c r="E104" s="16">
        <v>17</v>
      </c>
      <c r="F104" s="16">
        <v>17</v>
      </c>
      <c r="G104" s="13">
        <v>9848.127002097699</v>
      </c>
      <c r="H104" s="13">
        <v>9848.127002097699</v>
      </c>
      <c r="I104" s="14">
        <v>0</v>
      </c>
      <c r="J104" s="15">
        <v>1</v>
      </c>
      <c r="K104" s="14">
        <v>671.60241374728912</v>
      </c>
      <c r="L104" s="13">
        <v>6614025.8654986685</v>
      </c>
      <c r="M104" s="14">
        <v>3.8220375487881553</v>
      </c>
      <c r="N104" s="14">
        <v>663.80045963067198</v>
      </c>
      <c r="O104" s="13">
        <v>6537191.2304936843</v>
      </c>
      <c r="P104" s="13">
        <v>76834.635004984215</v>
      </c>
      <c r="Q104" s="14">
        <v>1.0117534629622853</v>
      </c>
      <c r="R104" s="15">
        <v>1.1753462962285365E-2</v>
      </c>
    </row>
    <row r="105" spans="1:18" ht="18" customHeight="1">
      <c r="A105" s="10" t="s">
        <v>63</v>
      </c>
      <c r="B105" s="10" t="s">
        <v>64</v>
      </c>
      <c r="C105" s="10" t="s">
        <v>241</v>
      </c>
      <c r="D105" s="10" t="s">
        <v>251</v>
      </c>
      <c r="E105" s="16">
        <v>4</v>
      </c>
      <c r="F105" s="16">
        <v>4</v>
      </c>
      <c r="G105" s="13">
        <v>873.65846091239996</v>
      </c>
      <c r="H105" s="13">
        <v>873.65846091239996</v>
      </c>
      <c r="I105" s="14">
        <v>0</v>
      </c>
      <c r="J105" s="15">
        <v>1</v>
      </c>
      <c r="K105" s="14">
        <v>2067.6103019924144</v>
      </c>
      <c r="L105" s="13">
        <v>1806385.2342053151</v>
      </c>
      <c r="M105" s="14">
        <v>4.3138332681755935</v>
      </c>
      <c r="N105" s="14">
        <v>2059.8389599965431</v>
      </c>
      <c r="O105" s="13">
        <v>1799595.7355179784</v>
      </c>
      <c r="P105" s="13">
        <v>6789.498687336687</v>
      </c>
      <c r="Q105" s="14">
        <v>1.0037727910515317</v>
      </c>
      <c r="R105" s="15">
        <v>3.7727910515316168E-3</v>
      </c>
    </row>
    <row r="106" spans="1:18" ht="18" customHeight="1">
      <c r="A106" s="10" t="s">
        <v>53</v>
      </c>
      <c r="B106" s="10" t="s">
        <v>54</v>
      </c>
      <c r="C106" s="10" t="s">
        <v>241</v>
      </c>
      <c r="D106" s="10" t="s">
        <v>252</v>
      </c>
      <c r="E106" s="16">
        <v>2</v>
      </c>
      <c r="F106" s="16">
        <v>2</v>
      </c>
      <c r="G106" s="13">
        <v>86015.900322801695</v>
      </c>
      <c r="H106" s="13">
        <v>86015.900322801695</v>
      </c>
      <c r="I106" s="14">
        <v>0</v>
      </c>
      <c r="J106" s="15">
        <v>1</v>
      </c>
      <c r="K106" s="14">
        <v>61.106060487230074</v>
      </c>
      <c r="L106" s="13">
        <v>5256092.8079886734</v>
      </c>
      <c r="M106" s="14">
        <v>2.7175498798788151</v>
      </c>
      <c r="N106" s="14">
        <v>52.185503723918337</v>
      </c>
      <c r="O106" s="13">
        <v>4488783.0866117561</v>
      </c>
      <c r="P106" s="13">
        <v>767309.72137691732</v>
      </c>
      <c r="Q106" s="14">
        <v>1.1709393629791325</v>
      </c>
      <c r="R106" s="15">
        <v>0.1709393629791324</v>
      </c>
    </row>
    <row r="107" spans="1:18" ht="18" customHeight="1">
      <c r="A107" s="10" t="s">
        <v>53</v>
      </c>
      <c r="B107" s="10" t="s">
        <v>54</v>
      </c>
      <c r="C107" s="10" t="s">
        <v>241</v>
      </c>
      <c r="D107" s="10" t="s">
        <v>242</v>
      </c>
      <c r="E107" s="16">
        <v>7</v>
      </c>
      <c r="F107" s="16">
        <v>7</v>
      </c>
      <c r="G107" s="13">
        <v>296748.68664511514</v>
      </c>
      <c r="H107" s="13">
        <v>296748.68664511514</v>
      </c>
      <c r="I107" s="14">
        <v>0</v>
      </c>
      <c r="J107" s="15">
        <v>1</v>
      </c>
      <c r="K107" s="14">
        <v>2237.7766301294691</v>
      </c>
      <c r="L107" s="13">
        <v>664057275.99605155</v>
      </c>
      <c r="M107" s="14">
        <v>4.3497140388714159</v>
      </c>
      <c r="N107" s="14">
        <v>2237.2475382102775</v>
      </c>
      <c r="O107" s="13">
        <v>663900268.66391695</v>
      </c>
      <c r="P107" s="13">
        <v>157007.33213460445</v>
      </c>
      <c r="Q107" s="14">
        <v>1.0002364923461329</v>
      </c>
      <c r="R107" s="15">
        <v>2.3649234613291824E-4</v>
      </c>
    </row>
    <row r="108" spans="1:18" ht="18" customHeight="1">
      <c r="A108" s="10" t="s">
        <v>53</v>
      </c>
      <c r="B108" s="10" t="s">
        <v>54</v>
      </c>
      <c r="C108" s="10" t="s">
        <v>241</v>
      </c>
      <c r="D108" s="10" t="s">
        <v>243</v>
      </c>
      <c r="E108" s="16">
        <v>27</v>
      </c>
      <c r="F108" s="16">
        <v>27</v>
      </c>
      <c r="G108" s="13">
        <v>69141.995590192222</v>
      </c>
      <c r="H108" s="13">
        <v>69141.995590192222</v>
      </c>
      <c r="I108" s="14">
        <v>0</v>
      </c>
      <c r="J108" s="15">
        <v>1</v>
      </c>
      <c r="K108" s="14">
        <v>489.33649898728248</v>
      </c>
      <c r="L108" s="13">
        <v>33833702.055098787</v>
      </c>
      <c r="M108" s="14">
        <v>3.4448973993077403</v>
      </c>
      <c r="N108" s="14">
        <v>278.54630340950894</v>
      </c>
      <c r="O108" s="13">
        <v>19259247.282004613</v>
      </c>
      <c r="P108" s="13">
        <v>14574454.773094174</v>
      </c>
      <c r="Q108" s="14">
        <v>1.7567510069156338</v>
      </c>
      <c r="R108" s="15">
        <v>0.75675100691563379</v>
      </c>
    </row>
    <row r="109" spans="1:18" ht="18" customHeight="1">
      <c r="A109" s="10" t="s">
        <v>53</v>
      </c>
      <c r="B109" s="10" t="s">
        <v>54</v>
      </c>
      <c r="C109" s="10" t="s">
        <v>241</v>
      </c>
      <c r="D109" s="10" t="s">
        <v>244</v>
      </c>
      <c r="E109" s="16">
        <v>22</v>
      </c>
      <c r="F109" s="16">
        <v>22</v>
      </c>
      <c r="G109" s="13">
        <v>16199.6579316234</v>
      </c>
      <c r="H109" s="13">
        <v>16199.6579316234</v>
      </c>
      <c r="I109" s="14">
        <v>0</v>
      </c>
      <c r="J109" s="15">
        <v>1</v>
      </c>
      <c r="K109" s="14">
        <v>709.95407383272641</v>
      </c>
      <c r="L109" s="13">
        <v>11501013.143252671</v>
      </c>
      <c r="M109" s="14">
        <v>3.6706846796233812</v>
      </c>
      <c r="N109" s="14">
        <v>468.4731227900719</v>
      </c>
      <c r="O109" s="13">
        <v>7589104.339358571</v>
      </c>
      <c r="P109" s="13">
        <v>3911908.8038940998</v>
      </c>
      <c r="Q109" s="14">
        <v>1.5154638319579006</v>
      </c>
      <c r="R109" s="15">
        <v>0.51546383195790046</v>
      </c>
    </row>
    <row r="110" spans="1:18" ht="18" customHeight="1">
      <c r="A110" s="10" t="s">
        <v>53</v>
      </c>
      <c r="B110" s="10" t="s">
        <v>54</v>
      </c>
      <c r="C110" s="10" t="s">
        <v>241</v>
      </c>
      <c r="D110" s="10" t="s">
        <v>253</v>
      </c>
      <c r="E110" s="16">
        <v>5</v>
      </c>
      <c r="F110" s="16">
        <v>5</v>
      </c>
      <c r="G110" s="13">
        <v>85281.135050957411</v>
      </c>
      <c r="H110" s="13">
        <v>85281.135050957411</v>
      </c>
      <c r="I110" s="14">
        <v>0</v>
      </c>
      <c r="J110" s="15">
        <v>1</v>
      </c>
      <c r="K110" s="14">
        <v>75.415320523318186</v>
      </c>
      <c r="L110" s="13">
        <v>6431504.1344603384</v>
      </c>
      <c r="M110" s="14">
        <v>2.872831891315812</v>
      </c>
      <c r="N110" s="14">
        <v>74.615987554281375</v>
      </c>
      <c r="O110" s="13">
        <v>6363336.1115772277</v>
      </c>
      <c r="P110" s="13">
        <v>68168.02288311068</v>
      </c>
      <c r="Q110" s="14">
        <v>1.0107126233296224</v>
      </c>
      <c r="R110" s="15">
        <v>1.0712623329622365E-2</v>
      </c>
    </row>
    <row r="111" spans="1:18" ht="18" customHeight="1">
      <c r="A111" s="10" t="s">
        <v>53</v>
      </c>
      <c r="B111" s="10" t="s">
        <v>54</v>
      </c>
      <c r="C111" s="10" t="s">
        <v>241</v>
      </c>
      <c r="D111" s="10" t="s">
        <v>245</v>
      </c>
      <c r="E111" s="16">
        <v>21</v>
      </c>
      <c r="F111" s="16">
        <v>21</v>
      </c>
      <c r="G111" s="13">
        <v>23704.251192193897</v>
      </c>
      <c r="H111" s="13">
        <v>23704.251192193897</v>
      </c>
      <c r="I111" s="14">
        <v>0</v>
      </c>
      <c r="J111" s="15">
        <v>1</v>
      </c>
      <c r="K111" s="14">
        <v>27.07227857176937</v>
      </c>
      <c r="L111" s="13">
        <v>641728.09161026939</v>
      </c>
      <c r="M111" s="14">
        <v>2.2601596773344919</v>
      </c>
      <c r="N111" s="14">
        <v>18.203700322178474</v>
      </c>
      <c r="O111" s="13">
        <v>431505.08506433951</v>
      </c>
      <c r="P111" s="13">
        <v>210223.00654592988</v>
      </c>
      <c r="Q111" s="14">
        <v>1.4871854673846649</v>
      </c>
      <c r="R111" s="15">
        <v>0.48718546738466501</v>
      </c>
    </row>
    <row r="112" spans="1:18" ht="18" customHeight="1">
      <c r="A112" s="10" t="s">
        <v>53</v>
      </c>
      <c r="B112" s="10" t="s">
        <v>54</v>
      </c>
      <c r="C112" s="10" t="s">
        <v>241</v>
      </c>
      <c r="D112" s="10" t="s">
        <v>246</v>
      </c>
      <c r="E112" s="16">
        <v>28</v>
      </c>
      <c r="F112" s="16">
        <v>28</v>
      </c>
      <c r="G112" s="13">
        <v>274697.16283429292</v>
      </c>
      <c r="H112" s="13">
        <v>274697.16283429292</v>
      </c>
      <c r="I112" s="14">
        <v>0</v>
      </c>
      <c r="J112" s="15">
        <v>1</v>
      </c>
      <c r="K112" s="14">
        <v>369.81256664114829</v>
      </c>
      <c r="L112" s="13">
        <v>101586462.83679132</v>
      </c>
      <c r="M112" s="14">
        <v>3.4736230585997245</v>
      </c>
      <c r="N112" s="14">
        <v>297.59323784866268</v>
      </c>
      <c r="O112" s="13">
        <v>81748018.115698561</v>
      </c>
      <c r="P112" s="13">
        <v>19838444.721092761</v>
      </c>
      <c r="Q112" s="14">
        <v>1.2426779899790998</v>
      </c>
      <c r="R112" s="15">
        <v>0.24267798997909976</v>
      </c>
    </row>
    <row r="113" spans="1:18" ht="18" customHeight="1">
      <c r="A113" s="10" t="s">
        <v>53</v>
      </c>
      <c r="B113" s="10" t="s">
        <v>54</v>
      </c>
      <c r="C113" s="10" t="s">
        <v>241</v>
      </c>
      <c r="D113" s="10" t="s">
        <v>247</v>
      </c>
      <c r="E113" s="16">
        <v>59</v>
      </c>
      <c r="F113" s="16">
        <v>59</v>
      </c>
      <c r="G113" s="13">
        <v>105901.82907491212</v>
      </c>
      <c r="H113" s="13">
        <v>105901.82907491212</v>
      </c>
      <c r="I113" s="14">
        <v>0</v>
      </c>
      <c r="J113" s="15">
        <v>1</v>
      </c>
      <c r="K113" s="14">
        <v>783.8421652039018</v>
      </c>
      <c r="L113" s="13">
        <v>83010319.001132637</v>
      </c>
      <c r="M113" s="14">
        <v>3.6830621714664256</v>
      </c>
      <c r="N113" s="14">
        <v>482.01679584494508</v>
      </c>
      <c r="O113" s="13">
        <v>51046460.324808188</v>
      </c>
      <c r="P113" s="13">
        <v>31963858.676324449</v>
      </c>
      <c r="Q113" s="14">
        <v>1.6261718926824444</v>
      </c>
      <c r="R113" s="15">
        <v>0.62617189268244444</v>
      </c>
    </row>
    <row r="114" spans="1:18" ht="18" customHeight="1">
      <c r="A114" s="10" t="s">
        <v>53</v>
      </c>
      <c r="B114" s="10" t="s">
        <v>54</v>
      </c>
      <c r="C114" s="10" t="s">
        <v>241</v>
      </c>
      <c r="D114" s="10" t="s">
        <v>248</v>
      </c>
      <c r="E114" s="16">
        <v>11</v>
      </c>
      <c r="F114" s="16">
        <v>11</v>
      </c>
      <c r="G114" s="13">
        <v>10035.496652576299</v>
      </c>
      <c r="H114" s="13">
        <v>10035.496652576299</v>
      </c>
      <c r="I114" s="14">
        <v>0</v>
      </c>
      <c r="J114" s="15">
        <v>1</v>
      </c>
      <c r="K114" s="14">
        <v>2034.5056957970655</v>
      </c>
      <c r="L114" s="13">
        <v>20417275.099818867</v>
      </c>
      <c r="M114" s="14">
        <v>4.2676172918477757</v>
      </c>
      <c r="N114" s="14">
        <v>1851.8989772890675</v>
      </c>
      <c r="O114" s="13">
        <v>18584725.98749391</v>
      </c>
      <c r="P114" s="13">
        <v>1832549.1123249568</v>
      </c>
      <c r="Q114" s="14">
        <v>1.0986051187172801</v>
      </c>
      <c r="R114" s="15">
        <v>9.860511871728006E-2</v>
      </c>
    </row>
    <row r="115" spans="1:18" ht="18" customHeight="1">
      <c r="A115" s="10" t="s">
        <v>53</v>
      </c>
      <c r="B115" s="10" t="s">
        <v>54</v>
      </c>
      <c r="C115" s="10" t="s">
        <v>241</v>
      </c>
      <c r="D115" s="10" t="s">
        <v>249</v>
      </c>
      <c r="E115" s="16">
        <v>50</v>
      </c>
      <c r="F115" s="16">
        <v>50</v>
      </c>
      <c r="G115" s="13">
        <v>26654.983233390798</v>
      </c>
      <c r="H115" s="13">
        <v>26654.983233390798</v>
      </c>
      <c r="I115" s="14">
        <v>0</v>
      </c>
      <c r="J115" s="15">
        <v>1</v>
      </c>
      <c r="K115" s="14">
        <v>651.55747428981635</v>
      </c>
      <c r="L115" s="13">
        <v>17367253.552785512</v>
      </c>
      <c r="M115" s="14">
        <v>3.7506601786566134</v>
      </c>
      <c r="N115" s="14">
        <v>563.19680014504979</v>
      </c>
      <c r="O115" s="13">
        <v>15012001.26496565</v>
      </c>
      <c r="P115" s="13">
        <v>2355252.2878198624</v>
      </c>
      <c r="Q115" s="14">
        <v>1.1568912929228461</v>
      </c>
      <c r="R115" s="15">
        <v>0.15689129292284612</v>
      </c>
    </row>
    <row r="116" spans="1:18" ht="18" customHeight="1">
      <c r="A116" s="10" t="s">
        <v>53</v>
      </c>
      <c r="B116" s="10" t="s">
        <v>54</v>
      </c>
      <c r="C116" s="10" t="s">
        <v>241</v>
      </c>
      <c r="D116" s="10" t="s">
        <v>250</v>
      </c>
      <c r="E116" s="16">
        <v>31</v>
      </c>
      <c r="F116" s="16">
        <v>31</v>
      </c>
      <c r="G116" s="13">
        <v>16089.065474423</v>
      </c>
      <c r="H116" s="13">
        <v>16089.065474423</v>
      </c>
      <c r="I116" s="14">
        <v>0</v>
      </c>
      <c r="J116" s="15">
        <v>1</v>
      </c>
      <c r="K116" s="14">
        <v>1305.6891805720234</v>
      </c>
      <c r="L116" s="13">
        <v>21007318.715468999</v>
      </c>
      <c r="M116" s="14">
        <v>4.0676772054501535</v>
      </c>
      <c r="N116" s="14">
        <v>1168.6304696168245</v>
      </c>
      <c r="O116" s="13">
        <v>18802172.141070787</v>
      </c>
      <c r="P116" s="13">
        <v>2205146.5743982121</v>
      </c>
      <c r="Q116" s="14">
        <v>1.1172814799190871</v>
      </c>
      <c r="R116" s="15">
        <v>0.11728147991908709</v>
      </c>
    </row>
    <row r="117" spans="1:18" ht="18" customHeight="1">
      <c r="A117" s="10" t="s">
        <v>53</v>
      </c>
      <c r="B117" s="10" t="s">
        <v>54</v>
      </c>
      <c r="C117" s="10" t="s">
        <v>241</v>
      </c>
      <c r="D117" s="10" t="s">
        <v>251</v>
      </c>
      <c r="E117" s="16">
        <v>14</v>
      </c>
      <c r="F117" s="16">
        <v>14</v>
      </c>
      <c r="G117" s="13">
        <v>27067.455055073995</v>
      </c>
      <c r="H117" s="13">
        <v>27067.455055073995</v>
      </c>
      <c r="I117" s="14">
        <v>0</v>
      </c>
      <c r="J117" s="15">
        <v>1</v>
      </c>
      <c r="K117" s="14">
        <v>2357.5843462237108</v>
      </c>
      <c r="L117" s="13">
        <v>63813808.329956301</v>
      </c>
      <c r="M117" s="14">
        <v>4.3535925266604085</v>
      </c>
      <c r="N117" s="14">
        <v>2257.316866777825</v>
      </c>
      <c r="O117" s="13">
        <v>61099822.836569235</v>
      </c>
      <c r="P117" s="13">
        <v>2713985.4933870658</v>
      </c>
      <c r="Q117" s="14">
        <v>1.0444188766413689</v>
      </c>
      <c r="R117" s="15">
        <v>4.441887664136894E-2</v>
      </c>
    </row>
    <row r="118" spans="1:18" ht="18" customHeight="1">
      <c r="A118" s="10" t="s">
        <v>111</v>
      </c>
      <c r="B118" s="10" t="s">
        <v>112</v>
      </c>
      <c r="C118" s="10" t="s">
        <v>241</v>
      </c>
      <c r="D118" s="10" t="s">
        <v>252</v>
      </c>
      <c r="E118" s="16">
        <v>2</v>
      </c>
      <c r="F118" s="16">
        <v>2</v>
      </c>
      <c r="G118" s="13">
        <v>76885.210247908806</v>
      </c>
      <c r="H118" s="13">
        <v>76885.210247908806</v>
      </c>
      <c r="I118" s="14">
        <v>0</v>
      </c>
      <c r="J118" s="15">
        <v>1</v>
      </c>
      <c r="K118" s="14">
        <v>44.997507673047863</v>
      </c>
      <c r="L118" s="13">
        <v>3459642.8380741747</v>
      </c>
      <c r="M118" s="14">
        <v>2.5913336892966972</v>
      </c>
      <c r="N118" s="14">
        <v>39.024171295452398</v>
      </c>
      <c r="O118" s="13">
        <v>3000381.6148012653</v>
      </c>
      <c r="P118" s="13">
        <v>459261.22327290941</v>
      </c>
      <c r="Q118" s="14">
        <v>1.1530676034699436</v>
      </c>
      <c r="R118" s="15">
        <v>0.15306760346994369</v>
      </c>
    </row>
    <row r="119" spans="1:18" ht="18" customHeight="1">
      <c r="A119" s="10" t="s">
        <v>111</v>
      </c>
      <c r="B119" s="10" t="s">
        <v>112</v>
      </c>
      <c r="C119" s="10" t="s">
        <v>241</v>
      </c>
      <c r="D119" s="10" t="s">
        <v>242</v>
      </c>
      <c r="E119" s="16">
        <v>3</v>
      </c>
      <c r="F119" s="16">
        <v>3</v>
      </c>
      <c r="G119" s="13">
        <v>6626.2595020798999</v>
      </c>
      <c r="H119" s="13">
        <v>6626.2595020798999</v>
      </c>
      <c r="I119" s="14">
        <v>0</v>
      </c>
      <c r="J119" s="15">
        <v>1</v>
      </c>
      <c r="K119" s="14">
        <v>2221.6744087305128</v>
      </c>
      <c r="L119" s="13">
        <v>14721391.161378304</v>
      </c>
      <c r="M119" s="14">
        <v>4.3447397359862032</v>
      </c>
      <c r="N119" s="14">
        <v>2211.7688434452998</v>
      </c>
      <c r="O119" s="13">
        <v>14655754.315283688</v>
      </c>
      <c r="P119" s="13">
        <v>65636.846094615757</v>
      </c>
      <c r="Q119" s="14">
        <v>1.0044785716710716</v>
      </c>
      <c r="R119" s="15">
        <v>4.4785716710716598E-3</v>
      </c>
    </row>
    <row r="120" spans="1:18" ht="18" customHeight="1">
      <c r="A120" s="10" t="s">
        <v>111</v>
      </c>
      <c r="B120" s="10" t="s">
        <v>112</v>
      </c>
      <c r="C120" s="10" t="s">
        <v>241</v>
      </c>
      <c r="D120" s="10" t="s">
        <v>243</v>
      </c>
      <c r="E120" s="16">
        <v>20</v>
      </c>
      <c r="F120" s="16">
        <v>20</v>
      </c>
      <c r="G120" s="13">
        <v>47327.695126286897</v>
      </c>
      <c r="H120" s="13">
        <v>47327.695126286897</v>
      </c>
      <c r="I120" s="14">
        <v>0</v>
      </c>
      <c r="J120" s="15">
        <v>1</v>
      </c>
      <c r="K120" s="14">
        <v>263.72651475877456</v>
      </c>
      <c r="L120" s="13">
        <v>12481568.087221483</v>
      </c>
      <c r="M120" s="14">
        <v>3.1169444318544723</v>
      </c>
      <c r="N120" s="14">
        <v>130.90144233862875</v>
      </c>
      <c r="O120" s="13">
        <v>6195263.5545938453</v>
      </c>
      <c r="P120" s="13">
        <v>6286304.5326276375</v>
      </c>
      <c r="Q120" s="14">
        <v>2.0146952550495265</v>
      </c>
      <c r="R120" s="15">
        <v>1.0146952550495265</v>
      </c>
    </row>
    <row r="121" spans="1:18" ht="18" customHeight="1">
      <c r="A121" s="10" t="s">
        <v>111</v>
      </c>
      <c r="B121" s="10" t="s">
        <v>112</v>
      </c>
      <c r="C121" s="10" t="s">
        <v>241</v>
      </c>
      <c r="D121" s="10" t="s">
        <v>244</v>
      </c>
      <c r="E121" s="16">
        <v>4</v>
      </c>
      <c r="F121" s="16">
        <v>4</v>
      </c>
      <c r="G121" s="13">
        <v>14274.940141704699</v>
      </c>
      <c r="H121" s="13">
        <v>14274.940141704699</v>
      </c>
      <c r="I121" s="14">
        <v>0</v>
      </c>
      <c r="J121" s="15">
        <v>1</v>
      </c>
      <c r="K121" s="14">
        <v>794.92227197997033</v>
      </c>
      <c r="L121" s="13">
        <v>11347467.849821979</v>
      </c>
      <c r="M121" s="14">
        <v>3.8015535776013145</v>
      </c>
      <c r="N121" s="14">
        <v>633.21847514723231</v>
      </c>
      <c r="O121" s="13">
        <v>9039155.8293482661</v>
      </c>
      <c r="P121" s="13">
        <v>2308312.0204737131</v>
      </c>
      <c r="Q121" s="14">
        <v>1.2553680967617686</v>
      </c>
      <c r="R121" s="15">
        <v>0.25536809676176864</v>
      </c>
    </row>
    <row r="122" spans="1:18" ht="18" customHeight="1">
      <c r="A122" s="10" t="s">
        <v>111</v>
      </c>
      <c r="B122" s="10" t="s">
        <v>112</v>
      </c>
      <c r="C122" s="10" t="s">
        <v>241</v>
      </c>
      <c r="D122" s="10" t="s">
        <v>253</v>
      </c>
      <c r="E122" s="16">
        <v>3</v>
      </c>
      <c r="F122" s="16">
        <v>3</v>
      </c>
      <c r="G122" s="13">
        <v>106018.7635782452</v>
      </c>
      <c r="H122" s="13">
        <v>106018.7635782452</v>
      </c>
      <c r="I122" s="14">
        <v>0</v>
      </c>
      <c r="J122" s="15">
        <v>1</v>
      </c>
      <c r="K122" s="14">
        <v>72.931144033508801</v>
      </c>
      <c r="L122" s="13">
        <v>7732069.7167795179</v>
      </c>
      <c r="M122" s="14">
        <v>2.8621837437805966</v>
      </c>
      <c r="N122" s="14">
        <v>72.808778290371663</v>
      </c>
      <c r="O122" s="13">
        <v>7719096.6519877845</v>
      </c>
      <c r="P122" s="13">
        <v>12973.064791733399</v>
      </c>
      <c r="Q122" s="14">
        <v>1.0016806454662532</v>
      </c>
      <c r="R122" s="15">
        <v>1.6806454662531836E-3</v>
      </c>
    </row>
    <row r="123" spans="1:18" ht="18" customHeight="1">
      <c r="A123" s="10" t="s">
        <v>111</v>
      </c>
      <c r="B123" s="10" t="s">
        <v>112</v>
      </c>
      <c r="C123" s="10" t="s">
        <v>241</v>
      </c>
      <c r="D123" s="10" t="s">
        <v>245</v>
      </c>
      <c r="E123" s="16">
        <v>10</v>
      </c>
      <c r="F123" s="16">
        <v>10</v>
      </c>
      <c r="G123" s="13">
        <v>14808.3444128788</v>
      </c>
      <c r="H123" s="13">
        <v>14808.3444128788</v>
      </c>
      <c r="I123" s="14">
        <v>0</v>
      </c>
      <c r="J123" s="15">
        <v>1</v>
      </c>
      <c r="K123" s="14">
        <v>41.03729223321821</v>
      </c>
      <c r="L123" s="13">
        <v>607694.35716145148</v>
      </c>
      <c r="M123" s="14">
        <v>2.3291235624767328</v>
      </c>
      <c r="N123" s="14">
        <v>21.336518787442131</v>
      </c>
      <c r="O123" s="13">
        <v>315958.51877630223</v>
      </c>
      <c r="P123" s="13">
        <v>291735.83838514925</v>
      </c>
      <c r="Q123" s="14">
        <v>1.9233358844541788</v>
      </c>
      <c r="R123" s="15">
        <v>0.92333588445417869</v>
      </c>
    </row>
    <row r="124" spans="1:18" ht="18" customHeight="1">
      <c r="A124" s="10" t="s">
        <v>111</v>
      </c>
      <c r="B124" s="10" t="s">
        <v>112</v>
      </c>
      <c r="C124" s="10" t="s">
        <v>241</v>
      </c>
      <c r="D124" s="10" t="s">
        <v>246</v>
      </c>
      <c r="E124" s="16">
        <v>16</v>
      </c>
      <c r="F124" s="16">
        <v>16</v>
      </c>
      <c r="G124" s="13">
        <v>231851.68023806822</v>
      </c>
      <c r="H124" s="13">
        <v>231851.68023806822</v>
      </c>
      <c r="I124" s="14">
        <v>0</v>
      </c>
      <c r="J124" s="15">
        <v>1</v>
      </c>
      <c r="K124" s="14">
        <v>303.23312381043223</v>
      </c>
      <c r="L124" s="13">
        <v>70305109.25928688</v>
      </c>
      <c r="M124" s="14">
        <v>3.3836114475268566</v>
      </c>
      <c r="N124" s="14">
        <v>241.88639809126826</v>
      </c>
      <c r="O124" s="13">
        <v>56081767.824194804</v>
      </c>
      <c r="P124" s="13">
        <v>14223341.435092077</v>
      </c>
      <c r="Q124" s="14">
        <v>1.2536179223108554</v>
      </c>
      <c r="R124" s="15">
        <v>0.25361792231085556</v>
      </c>
    </row>
    <row r="125" spans="1:18" ht="18" customHeight="1">
      <c r="A125" s="10" t="s">
        <v>111</v>
      </c>
      <c r="B125" s="10" t="s">
        <v>112</v>
      </c>
      <c r="C125" s="10" t="s">
        <v>241</v>
      </c>
      <c r="D125" s="10" t="s">
        <v>247</v>
      </c>
      <c r="E125" s="16">
        <v>46</v>
      </c>
      <c r="F125" s="16">
        <v>46</v>
      </c>
      <c r="G125" s="13">
        <v>130501.49345998281</v>
      </c>
      <c r="H125" s="13">
        <v>130501.49345998281</v>
      </c>
      <c r="I125" s="14">
        <v>0</v>
      </c>
      <c r="J125" s="15">
        <v>1</v>
      </c>
      <c r="K125" s="14">
        <v>758.90058562131912</v>
      </c>
      <c r="L125" s="13">
        <v>99037659.811237708</v>
      </c>
      <c r="M125" s="14">
        <v>3.665284781908793</v>
      </c>
      <c r="N125" s="14">
        <v>462.68432005401536</v>
      </c>
      <c r="O125" s="13">
        <v>60380994.767565683</v>
      </c>
      <c r="P125" s="13">
        <v>38656665.043672025</v>
      </c>
      <c r="Q125" s="14">
        <v>1.6402124574541934</v>
      </c>
      <c r="R125" s="15">
        <v>0.64021245745419353</v>
      </c>
    </row>
    <row r="126" spans="1:18" ht="18" customHeight="1">
      <c r="A126" s="10" t="s">
        <v>111</v>
      </c>
      <c r="B126" s="10" t="s">
        <v>112</v>
      </c>
      <c r="C126" s="10" t="s">
        <v>241</v>
      </c>
      <c r="D126" s="10" t="s">
        <v>249</v>
      </c>
      <c r="E126" s="16">
        <v>3</v>
      </c>
      <c r="F126" s="16">
        <v>3</v>
      </c>
      <c r="G126" s="13">
        <v>20798.2685250309</v>
      </c>
      <c r="H126" s="13">
        <v>20798.2685250309</v>
      </c>
      <c r="I126" s="14">
        <v>0</v>
      </c>
      <c r="J126" s="15">
        <v>1</v>
      </c>
      <c r="K126" s="14">
        <v>414.24785725103743</v>
      </c>
      <c r="L126" s="13">
        <v>8615638.1710257456</v>
      </c>
      <c r="M126" s="14">
        <v>3.6140678524917194</v>
      </c>
      <c r="N126" s="14">
        <v>411.21396256653497</v>
      </c>
      <c r="O126" s="13">
        <v>8552538.4147007987</v>
      </c>
      <c r="P126" s="13">
        <v>63099.75632494688</v>
      </c>
      <c r="Q126" s="14">
        <v>1.007377898030424</v>
      </c>
      <c r="R126" s="15">
        <v>7.3778980304240304E-3</v>
      </c>
    </row>
    <row r="127" spans="1:18" ht="18" customHeight="1">
      <c r="A127" s="10" t="s">
        <v>111</v>
      </c>
      <c r="B127" s="10" t="s">
        <v>112</v>
      </c>
      <c r="C127" s="10" t="s">
        <v>241</v>
      </c>
      <c r="D127" s="10" t="s">
        <v>250</v>
      </c>
      <c r="E127" s="16">
        <v>10</v>
      </c>
      <c r="F127" s="16">
        <v>10</v>
      </c>
      <c r="G127" s="13">
        <v>9302.7208807609004</v>
      </c>
      <c r="H127" s="13">
        <v>9302.7208807609004</v>
      </c>
      <c r="I127" s="14">
        <v>0</v>
      </c>
      <c r="J127" s="15">
        <v>1</v>
      </c>
      <c r="K127" s="14">
        <v>1212.1293411375468</v>
      </c>
      <c r="L127" s="13">
        <v>11276100.93198321</v>
      </c>
      <c r="M127" s="14">
        <v>3.9909705255518642</v>
      </c>
      <c r="N127" s="14">
        <v>979.42351220138028</v>
      </c>
      <c r="O127" s="13">
        <v>9111303.5580639597</v>
      </c>
      <c r="P127" s="13">
        <v>2164797.3739192504</v>
      </c>
      <c r="Q127" s="14">
        <v>1.2375946932426916</v>
      </c>
      <c r="R127" s="15">
        <v>0.23759469324269153</v>
      </c>
    </row>
    <row r="128" spans="1:18" ht="18" customHeight="1">
      <c r="A128" s="10" t="s">
        <v>111</v>
      </c>
      <c r="B128" s="10" t="s">
        <v>112</v>
      </c>
      <c r="C128" s="10" t="s">
        <v>241</v>
      </c>
      <c r="D128" s="10" t="s">
        <v>251</v>
      </c>
      <c r="E128" s="16">
        <v>12</v>
      </c>
      <c r="F128" s="16">
        <v>12</v>
      </c>
      <c r="G128" s="13">
        <v>6482.4791148055001</v>
      </c>
      <c r="H128" s="13">
        <v>6482.4791148055001</v>
      </c>
      <c r="I128" s="14">
        <v>0</v>
      </c>
      <c r="J128" s="15">
        <v>1</v>
      </c>
      <c r="K128" s="14">
        <v>2263.4824385777756</v>
      </c>
      <c r="L128" s="13">
        <v>14672977.634809455</v>
      </c>
      <c r="M128" s="14">
        <v>4.2892387309852653</v>
      </c>
      <c r="N128" s="14">
        <v>1946.4297369293129</v>
      </c>
      <c r="O128" s="13">
        <v>12617690.118080635</v>
      </c>
      <c r="P128" s="13">
        <v>2055287.5167288203</v>
      </c>
      <c r="Q128" s="14">
        <v>1.1628893638609556</v>
      </c>
      <c r="R128" s="15">
        <v>0.16288936386095559</v>
      </c>
    </row>
    <row r="129" spans="1:18" ht="18" customHeight="1">
      <c r="A129" s="10" t="s">
        <v>85</v>
      </c>
      <c r="B129" s="10" t="s">
        <v>86</v>
      </c>
      <c r="C129" s="10" t="s">
        <v>241</v>
      </c>
      <c r="D129" s="10" t="s">
        <v>252</v>
      </c>
      <c r="E129" s="16">
        <v>3</v>
      </c>
      <c r="F129" s="16">
        <v>3</v>
      </c>
      <c r="G129" s="13">
        <v>297.24301791069996</v>
      </c>
      <c r="H129" s="13">
        <v>297.24301791069996</v>
      </c>
      <c r="I129" s="14">
        <v>0</v>
      </c>
      <c r="J129" s="15">
        <v>1</v>
      </c>
      <c r="K129" s="14">
        <v>172.30832709273875</v>
      </c>
      <c r="L129" s="13">
        <v>51217.447156189693</v>
      </c>
      <c r="M129" s="14">
        <v>3.2320909212859084</v>
      </c>
      <c r="N129" s="14">
        <v>170.64396015620764</v>
      </c>
      <c r="O129" s="13">
        <v>50722.725705064397</v>
      </c>
      <c r="P129" s="13">
        <v>494.72145112529688</v>
      </c>
      <c r="Q129" s="14">
        <v>1.0097534476755436</v>
      </c>
      <c r="R129" s="15">
        <v>9.7534476755436177E-3</v>
      </c>
    </row>
    <row r="130" spans="1:18" ht="18" customHeight="1">
      <c r="A130" s="10" t="s">
        <v>85</v>
      </c>
      <c r="B130" s="10" t="s">
        <v>86</v>
      </c>
      <c r="C130" s="10" t="s">
        <v>241</v>
      </c>
      <c r="D130" s="10" t="s">
        <v>242</v>
      </c>
      <c r="E130" s="16">
        <v>1</v>
      </c>
      <c r="F130" s="16">
        <v>1</v>
      </c>
      <c r="G130" s="13">
        <v>262.22226695040001</v>
      </c>
      <c r="H130" s="13">
        <v>262.22226695040001</v>
      </c>
      <c r="I130" s="14">
        <v>0</v>
      </c>
      <c r="J130" s="15">
        <v>1</v>
      </c>
      <c r="K130" s="14">
        <v>812.83051616409955</v>
      </c>
      <c r="L130" s="13">
        <v>213142.26059501394</v>
      </c>
      <c r="M130" s="14">
        <v>3.91</v>
      </c>
      <c r="N130" s="14">
        <v>812.83051616409955</v>
      </c>
      <c r="O130" s="13">
        <v>213142.26059501394</v>
      </c>
      <c r="P130" s="13">
        <v>0</v>
      </c>
      <c r="Q130" s="14">
        <v>1</v>
      </c>
      <c r="R130" s="15">
        <v>0</v>
      </c>
    </row>
    <row r="131" spans="1:18" ht="18" customHeight="1">
      <c r="A131" s="10" t="s">
        <v>85</v>
      </c>
      <c r="B131" s="10" t="s">
        <v>86</v>
      </c>
      <c r="C131" s="10" t="s">
        <v>241</v>
      </c>
      <c r="D131" s="10" t="s">
        <v>243</v>
      </c>
      <c r="E131" s="16">
        <v>35</v>
      </c>
      <c r="F131" s="16">
        <v>35</v>
      </c>
      <c r="G131" s="13">
        <v>191750.41955023183</v>
      </c>
      <c r="H131" s="13">
        <v>191750.41955023183</v>
      </c>
      <c r="I131" s="14">
        <v>0</v>
      </c>
      <c r="J131" s="15">
        <v>1</v>
      </c>
      <c r="K131" s="14">
        <v>286.66514987529712</v>
      </c>
      <c r="L131" s="13">
        <v>54968162.759018309</v>
      </c>
      <c r="M131" s="14">
        <v>3.1127733978884753</v>
      </c>
      <c r="N131" s="14">
        <v>129.65026174646246</v>
      </c>
      <c r="O131" s="13">
        <v>24860492.084681548</v>
      </c>
      <c r="P131" s="13">
        <v>30107670.674336761</v>
      </c>
      <c r="Q131" s="14">
        <v>2.2110649528489583</v>
      </c>
      <c r="R131" s="15">
        <v>1.2110649528489583</v>
      </c>
    </row>
    <row r="132" spans="1:18" ht="18" customHeight="1">
      <c r="A132" s="10" t="s">
        <v>85</v>
      </c>
      <c r="B132" s="10" t="s">
        <v>86</v>
      </c>
      <c r="C132" s="10" t="s">
        <v>241</v>
      </c>
      <c r="D132" s="10" t="s">
        <v>244</v>
      </c>
      <c r="E132" s="16">
        <v>2</v>
      </c>
      <c r="F132" s="16">
        <v>2</v>
      </c>
      <c r="G132" s="13">
        <v>462.72810892849998</v>
      </c>
      <c r="H132" s="13">
        <v>462.72810892849998</v>
      </c>
      <c r="I132" s="14">
        <v>0</v>
      </c>
      <c r="J132" s="15">
        <v>1</v>
      </c>
      <c r="K132" s="14">
        <v>543.10834216870774</v>
      </c>
      <c r="L132" s="13">
        <v>251311.49611501885</v>
      </c>
      <c r="M132" s="14">
        <v>3.7279074645430508</v>
      </c>
      <c r="N132" s="14">
        <v>534.45047149416632</v>
      </c>
      <c r="O132" s="13">
        <v>247305.25599044075</v>
      </c>
      <c r="P132" s="13">
        <v>4006.2401245780929</v>
      </c>
      <c r="Q132" s="14">
        <v>1.0161995753326527</v>
      </c>
      <c r="R132" s="15">
        <v>1.6199575332652649E-2</v>
      </c>
    </row>
    <row r="133" spans="1:18" ht="18" customHeight="1">
      <c r="A133" s="10" t="s">
        <v>85</v>
      </c>
      <c r="B133" s="10" t="s">
        <v>86</v>
      </c>
      <c r="C133" s="10" t="s">
        <v>241</v>
      </c>
      <c r="D133" s="10" t="s">
        <v>253</v>
      </c>
      <c r="E133" s="16">
        <v>9</v>
      </c>
      <c r="F133" s="16">
        <v>9</v>
      </c>
      <c r="G133" s="13">
        <v>637387.52365250036</v>
      </c>
      <c r="H133" s="13">
        <v>637387.52365250036</v>
      </c>
      <c r="I133" s="14">
        <v>0</v>
      </c>
      <c r="J133" s="15">
        <v>1</v>
      </c>
      <c r="K133" s="14">
        <v>128.17856078416293</v>
      </c>
      <c r="L133" s="13">
        <v>81699415.443559095</v>
      </c>
      <c r="M133" s="14">
        <v>2.9451848281486739</v>
      </c>
      <c r="N133" s="14">
        <v>88.142391182449217</v>
      </c>
      <c r="O133" s="13">
        <v>56180860.444591291</v>
      </c>
      <c r="P133" s="13">
        <v>25518554.998967804</v>
      </c>
      <c r="Q133" s="14">
        <v>1.454221505278219</v>
      </c>
      <c r="R133" s="15">
        <v>0.45422150527821892</v>
      </c>
    </row>
    <row r="134" spans="1:18" ht="18" customHeight="1">
      <c r="A134" s="10" t="s">
        <v>85</v>
      </c>
      <c r="B134" s="10" t="s">
        <v>86</v>
      </c>
      <c r="C134" s="10" t="s">
        <v>241</v>
      </c>
      <c r="D134" s="10" t="s">
        <v>245</v>
      </c>
      <c r="E134" s="16">
        <v>32</v>
      </c>
      <c r="F134" s="16">
        <v>32</v>
      </c>
      <c r="G134" s="13">
        <v>80197.492916221294</v>
      </c>
      <c r="H134" s="13">
        <v>80197.492916221294</v>
      </c>
      <c r="I134" s="14">
        <v>0</v>
      </c>
      <c r="J134" s="15">
        <v>1</v>
      </c>
      <c r="K134" s="14">
        <v>18.217995778457386</v>
      </c>
      <c r="L134" s="13">
        <v>1461037.5873905856</v>
      </c>
      <c r="M134" s="14">
        <v>2.0862589523360016</v>
      </c>
      <c r="N134" s="14">
        <v>12.197166501396776</v>
      </c>
      <c r="O134" s="13">
        <v>978182.1740937396</v>
      </c>
      <c r="P134" s="13">
        <v>482855.41329684597</v>
      </c>
      <c r="Q134" s="14">
        <v>1.4936252429095827</v>
      </c>
      <c r="R134" s="15">
        <v>0.49362524290958276</v>
      </c>
    </row>
    <row r="135" spans="1:18" ht="18" customHeight="1">
      <c r="A135" s="10" t="s">
        <v>85</v>
      </c>
      <c r="B135" s="10" t="s">
        <v>86</v>
      </c>
      <c r="C135" s="10" t="s">
        <v>241</v>
      </c>
      <c r="D135" s="10" t="s">
        <v>246</v>
      </c>
      <c r="E135" s="16">
        <v>94</v>
      </c>
      <c r="F135" s="16">
        <v>94</v>
      </c>
      <c r="G135" s="13">
        <v>346261.55158372887</v>
      </c>
      <c r="H135" s="13">
        <v>346261.55158372887</v>
      </c>
      <c r="I135" s="14">
        <v>0</v>
      </c>
      <c r="J135" s="15">
        <v>1</v>
      </c>
      <c r="K135" s="14">
        <v>277.04387831310856</v>
      </c>
      <c r="L135" s="13">
        <v>95929643.161470741</v>
      </c>
      <c r="M135" s="14">
        <v>3.3442422611417713</v>
      </c>
      <c r="N135" s="14">
        <v>220.92367610375271</v>
      </c>
      <c r="O135" s="13">
        <v>76497374.869266585</v>
      </c>
      <c r="P135" s="13">
        <v>19432268.292204157</v>
      </c>
      <c r="Q135" s="14">
        <v>1.2540252959714469</v>
      </c>
      <c r="R135" s="15">
        <v>0.25402529597144674</v>
      </c>
    </row>
    <row r="136" spans="1:18" ht="18" customHeight="1">
      <c r="A136" s="10" t="s">
        <v>85</v>
      </c>
      <c r="B136" s="10" t="s">
        <v>86</v>
      </c>
      <c r="C136" s="10" t="s">
        <v>241</v>
      </c>
      <c r="D136" s="10" t="s">
        <v>247</v>
      </c>
      <c r="E136" s="16">
        <v>183</v>
      </c>
      <c r="F136" s="16">
        <v>183</v>
      </c>
      <c r="G136" s="13">
        <v>272280.41690009809</v>
      </c>
      <c r="H136" s="13">
        <v>272280.41690009809</v>
      </c>
      <c r="I136" s="14">
        <v>0</v>
      </c>
      <c r="J136" s="15">
        <v>1</v>
      </c>
      <c r="K136" s="14">
        <v>1045.2103888148797</v>
      </c>
      <c r="L136" s="13">
        <v>284590320.41482908</v>
      </c>
      <c r="M136" s="14">
        <v>3.764904804010099</v>
      </c>
      <c r="N136" s="14">
        <v>581.97563655232727</v>
      </c>
      <c r="O136" s="13">
        <v>158460568.94616765</v>
      </c>
      <c r="P136" s="13">
        <v>126129751.46866143</v>
      </c>
      <c r="Q136" s="14">
        <v>1.7959693209956247</v>
      </c>
      <c r="R136" s="15">
        <v>0.79596932099562467</v>
      </c>
    </row>
    <row r="137" spans="1:18" ht="18" customHeight="1">
      <c r="A137" s="10" t="s">
        <v>85</v>
      </c>
      <c r="B137" s="10" t="s">
        <v>86</v>
      </c>
      <c r="C137" s="10" t="s">
        <v>241</v>
      </c>
      <c r="D137" s="10" t="s">
        <v>249</v>
      </c>
      <c r="E137" s="16">
        <v>5</v>
      </c>
      <c r="F137" s="16">
        <v>5</v>
      </c>
      <c r="G137" s="13">
        <v>69.360423701900004</v>
      </c>
      <c r="H137" s="13">
        <v>69.360423701900004</v>
      </c>
      <c r="I137" s="14">
        <v>0</v>
      </c>
      <c r="J137" s="15">
        <v>1</v>
      </c>
      <c r="K137" s="14">
        <v>773.67859572952375</v>
      </c>
      <c r="L137" s="13">
        <v>53662.675208890767</v>
      </c>
      <c r="M137" s="14">
        <v>3.8534030612832391</v>
      </c>
      <c r="N137" s="14">
        <v>713.51492393432136</v>
      </c>
      <c r="O137" s="13">
        <v>49489.697441713484</v>
      </c>
      <c r="P137" s="13">
        <v>4172.9777671772827</v>
      </c>
      <c r="Q137" s="14">
        <v>1.0843201309139545</v>
      </c>
      <c r="R137" s="15">
        <v>8.4320130913954558E-2</v>
      </c>
    </row>
    <row r="138" spans="1:18" ht="18" customHeight="1">
      <c r="A138" s="10" t="s">
        <v>85</v>
      </c>
      <c r="B138" s="10" t="s">
        <v>86</v>
      </c>
      <c r="C138" s="10" t="s">
        <v>241</v>
      </c>
      <c r="D138" s="10" t="s">
        <v>250</v>
      </c>
      <c r="E138" s="16">
        <v>36</v>
      </c>
      <c r="F138" s="16">
        <v>36</v>
      </c>
      <c r="G138" s="13">
        <v>12119.114291927703</v>
      </c>
      <c r="H138" s="13">
        <v>12119.114291927703</v>
      </c>
      <c r="I138" s="14">
        <v>0</v>
      </c>
      <c r="J138" s="15">
        <v>1</v>
      </c>
      <c r="K138" s="14">
        <v>1211.7277778588957</v>
      </c>
      <c r="L138" s="13">
        <v>14685067.430575538</v>
      </c>
      <c r="M138" s="14">
        <v>3.957108471888898</v>
      </c>
      <c r="N138" s="14">
        <v>905.9588501380149</v>
      </c>
      <c r="O138" s="13">
        <v>10979418.848606003</v>
      </c>
      <c r="P138" s="13">
        <v>3705648.581969535</v>
      </c>
      <c r="Q138" s="14">
        <v>1.3375086271018817</v>
      </c>
      <c r="R138" s="15">
        <v>0.33750862710188173</v>
      </c>
    </row>
    <row r="139" spans="1:18" ht="18" customHeight="1">
      <c r="A139" s="10" t="s">
        <v>85</v>
      </c>
      <c r="B139" s="10" t="s">
        <v>86</v>
      </c>
      <c r="C139" s="10" t="s">
        <v>241</v>
      </c>
      <c r="D139" s="10" t="s">
        <v>251</v>
      </c>
      <c r="E139" s="16">
        <v>18</v>
      </c>
      <c r="F139" s="16">
        <v>18</v>
      </c>
      <c r="G139" s="13">
        <v>8187.7527135179998</v>
      </c>
      <c r="H139" s="13">
        <v>8187.7527135179998</v>
      </c>
      <c r="I139" s="14">
        <v>0</v>
      </c>
      <c r="J139" s="15">
        <v>1</v>
      </c>
      <c r="K139" s="14">
        <v>2987.2381381629725</v>
      </c>
      <c r="L139" s="13">
        <v>24458767.171668336</v>
      </c>
      <c r="M139" s="14">
        <v>4.4730250450203162</v>
      </c>
      <c r="N139" s="14">
        <v>2971.8374075792449</v>
      </c>
      <c r="O139" s="13">
        <v>24332669.798041262</v>
      </c>
      <c r="P139" s="13">
        <v>126097.37362707406</v>
      </c>
      <c r="Q139" s="14">
        <v>1.0051822251595763</v>
      </c>
      <c r="R139" s="15">
        <v>5.1822251595763933E-3</v>
      </c>
    </row>
    <row r="140" spans="1:18" ht="18" customHeight="1">
      <c r="A140" s="10" t="s">
        <v>131</v>
      </c>
      <c r="B140" s="10" t="s">
        <v>132</v>
      </c>
      <c r="C140" s="10" t="s">
        <v>241</v>
      </c>
      <c r="D140" s="10" t="s">
        <v>252</v>
      </c>
      <c r="E140" s="16">
        <v>2</v>
      </c>
      <c r="F140" s="16">
        <v>2</v>
      </c>
      <c r="G140" s="13">
        <v>4.9026608353999999</v>
      </c>
      <c r="H140" s="13">
        <v>4.9026608353999999</v>
      </c>
      <c r="I140" s="14">
        <v>0</v>
      </c>
      <c r="J140" s="15">
        <v>1</v>
      </c>
      <c r="K140" s="14">
        <v>218.73834916046212</v>
      </c>
      <c r="L140" s="13">
        <v>1072.3999376290481</v>
      </c>
      <c r="M140" s="14">
        <v>3.339910262323508</v>
      </c>
      <c r="N140" s="14">
        <v>218.73096164493845</v>
      </c>
      <c r="O140" s="13">
        <v>1072.3637191460193</v>
      </c>
      <c r="P140" s="13">
        <v>3.6218483028733317E-2</v>
      </c>
      <c r="Q140" s="14">
        <v>1.00003377443901</v>
      </c>
      <c r="R140" s="15">
        <v>3.3774439009906111E-5</v>
      </c>
    </row>
    <row r="141" spans="1:18" ht="18" customHeight="1">
      <c r="A141" s="10" t="s">
        <v>131</v>
      </c>
      <c r="B141" s="10" t="s">
        <v>132</v>
      </c>
      <c r="C141" s="10" t="s">
        <v>241</v>
      </c>
      <c r="D141" s="10" t="s">
        <v>242</v>
      </c>
      <c r="E141" s="16">
        <v>2</v>
      </c>
      <c r="F141" s="16">
        <v>2</v>
      </c>
      <c r="G141" s="13">
        <v>0.34977737479999998</v>
      </c>
      <c r="H141" s="13">
        <v>0.34977737479999998</v>
      </c>
      <c r="I141" s="14">
        <v>0</v>
      </c>
      <c r="J141" s="15">
        <v>1</v>
      </c>
      <c r="K141" s="14">
        <v>776.60015522911829</v>
      </c>
      <c r="L141" s="13">
        <v>271.63716356531347</v>
      </c>
      <c r="M141" s="14">
        <v>3.8860999390976043</v>
      </c>
      <c r="N141" s="14">
        <v>769.30745162380822</v>
      </c>
      <c r="O141" s="13">
        <v>269.08634084305362</v>
      </c>
      <c r="P141" s="13">
        <v>2.5508227222598521</v>
      </c>
      <c r="Q141" s="14">
        <v>1.0094795696959871</v>
      </c>
      <c r="R141" s="15">
        <v>9.4795696959870442E-3</v>
      </c>
    </row>
    <row r="142" spans="1:18" ht="18" customHeight="1">
      <c r="A142" s="10" t="s">
        <v>131</v>
      </c>
      <c r="B142" s="10" t="s">
        <v>132</v>
      </c>
      <c r="C142" s="10" t="s">
        <v>241</v>
      </c>
      <c r="D142" s="10" t="s">
        <v>243</v>
      </c>
      <c r="E142" s="16">
        <v>20</v>
      </c>
      <c r="F142" s="16">
        <v>20</v>
      </c>
      <c r="G142" s="13">
        <v>30493.668794595003</v>
      </c>
      <c r="H142" s="13">
        <v>30493.668794595003</v>
      </c>
      <c r="I142" s="14">
        <v>0</v>
      </c>
      <c r="J142" s="15">
        <v>1</v>
      </c>
      <c r="K142" s="14">
        <v>496.76357951175009</v>
      </c>
      <c r="L142" s="13">
        <v>15148144.062848767</v>
      </c>
      <c r="M142" s="14">
        <v>3.4527899568298919</v>
      </c>
      <c r="N142" s="14">
        <v>283.65468226889232</v>
      </c>
      <c r="O142" s="13">
        <v>8649671.9331436828</v>
      </c>
      <c r="P142" s="13">
        <v>6498472.1297050845</v>
      </c>
      <c r="Q142" s="14">
        <v>1.75129694859343</v>
      </c>
      <c r="R142" s="15">
        <v>0.7512969485934301</v>
      </c>
    </row>
    <row r="143" spans="1:18" ht="18" customHeight="1">
      <c r="A143" s="10" t="s">
        <v>131</v>
      </c>
      <c r="B143" s="10" t="s">
        <v>132</v>
      </c>
      <c r="C143" s="10" t="s">
        <v>241</v>
      </c>
      <c r="D143" s="10" t="s">
        <v>244</v>
      </c>
      <c r="E143" s="16">
        <v>5</v>
      </c>
      <c r="F143" s="16">
        <v>5</v>
      </c>
      <c r="G143" s="13">
        <v>2975.3840267695996</v>
      </c>
      <c r="H143" s="13">
        <v>2975.3840267695996</v>
      </c>
      <c r="I143" s="14">
        <v>0</v>
      </c>
      <c r="J143" s="15">
        <v>1</v>
      </c>
      <c r="K143" s="14">
        <v>1489.975291903449</v>
      </c>
      <c r="L143" s="13">
        <v>4433248.6838108934</v>
      </c>
      <c r="M143" s="14">
        <v>4.1620723447738319</v>
      </c>
      <c r="N143" s="14">
        <v>1452.3535304861441</v>
      </c>
      <c r="O143" s="13">
        <v>4321309.4958309075</v>
      </c>
      <c r="P143" s="13">
        <v>111939.18797998596</v>
      </c>
      <c r="Q143" s="14">
        <v>1.0259039969453663</v>
      </c>
      <c r="R143" s="15">
        <v>2.5903996945366242E-2</v>
      </c>
    </row>
    <row r="144" spans="1:18" ht="18" customHeight="1">
      <c r="A144" s="10" t="s">
        <v>131</v>
      </c>
      <c r="B144" s="10" t="s">
        <v>132</v>
      </c>
      <c r="C144" s="10" t="s">
        <v>241</v>
      </c>
      <c r="D144" s="10" t="s">
        <v>253</v>
      </c>
      <c r="E144" s="16">
        <v>9</v>
      </c>
      <c r="F144" s="16">
        <v>9</v>
      </c>
      <c r="G144" s="13">
        <v>1306.7959215621001</v>
      </c>
      <c r="H144" s="13">
        <v>1306.7959215621001</v>
      </c>
      <c r="I144" s="14">
        <v>0</v>
      </c>
      <c r="J144" s="15">
        <v>1</v>
      </c>
      <c r="K144" s="14">
        <v>1355.8564757809079</v>
      </c>
      <c r="L144" s="13">
        <v>1771827.712774053</v>
      </c>
      <c r="M144" s="14">
        <v>3.6448603547857061</v>
      </c>
      <c r="N144" s="14">
        <v>441.42848541358819</v>
      </c>
      <c r="O144" s="13">
        <v>576856.94439981203</v>
      </c>
      <c r="P144" s="13">
        <v>1194970.768374241</v>
      </c>
      <c r="Q144" s="14">
        <v>3.0715201229267377</v>
      </c>
      <c r="R144" s="15">
        <v>2.0715201229267377</v>
      </c>
    </row>
    <row r="145" spans="1:18" ht="18" customHeight="1">
      <c r="A145" s="10" t="s">
        <v>131</v>
      </c>
      <c r="B145" s="10" t="s">
        <v>132</v>
      </c>
      <c r="C145" s="10" t="s">
        <v>241</v>
      </c>
      <c r="D145" s="10" t="s">
        <v>245</v>
      </c>
      <c r="E145" s="16">
        <v>14</v>
      </c>
      <c r="F145" s="16">
        <v>14</v>
      </c>
      <c r="G145" s="13">
        <v>4883.4944768372006</v>
      </c>
      <c r="H145" s="13">
        <v>4883.4944768372006</v>
      </c>
      <c r="I145" s="14">
        <v>0</v>
      </c>
      <c r="J145" s="15">
        <v>1</v>
      </c>
      <c r="K145" s="14">
        <v>75.657556225187889</v>
      </c>
      <c r="L145" s="13">
        <v>369473.25795670506</v>
      </c>
      <c r="M145" s="14">
        <v>2.6814485104581607</v>
      </c>
      <c r="N145" s="14">
        <v>48.022914135295359</v>
      </c>
      <c r="O145" s="13">
        <v>234519.63594134201</v>
      </c>
      <c r="P145" s="13">
        <v>134953.62201536304</v>
      </c>
      <c r="Q145" s="14">
        <v>1.5754470045703022</v>
      </c>
      <c r="R145" s="15">
        <v>0.57544700457030218</v>
      </c>
    </row>
    <row r="146" spans="1:18" ht="18" customHeight="1">
      <c r="A146" s="10" t="s">
        <v>131</v>
      </c>
      <c r="B146" s="10" t="s">
        <v>132</v>
      </c>
      <c r="C146" s="10" t="s">
        <v>241</v>
      </c>
      <c r="D146" s="10" t="s">
        <v>246</v>
      </c>
      <c r="E146" s="16">
        <v>47</v>
      </c>
      <c r="F146" s="16">
        <v>47</v>
      </c>
      <c r="G146" s="13">
        <v>21359.144613287295</v>
      </c>
      <c r="H146" s="13">
        <v>21359.144613287295</v>
      </c>
      <c r="I146" s="14">
        <v>0</v>
      </c>
      <c r="J146" s="15">
        <v>1</v>
      </c>
      <c r="K146" s="14">
        <v>225.02557251920774</v>
      </c>
      <c r="L146" s="13">
        <v>4806353.7451255256</v>
      </c>
      <c r="M146" s="14">
        <v>3.267644692018786</v>
      </c>
      <c r="N146" s="14">
        <v>185.2015819550524</v>
      </c>
      <c r="O146" s="13">
        <v>3955747.3715875433</v>
      </c>
      <c r="P146" s="13">
        <v>850606.37353798235</v>
      </c>
      <c r="Q146" s="14">
        <v>1.2150305096952165</v>
      </c>
      <c r="R146" s="15">
        <v>0.21503050969521648</v>
      </c>
    </row>
    <row r="147" spans="1:18" ht="18" customHeight="1">
      <c r="A147" s="10" t="s">
        <v>131</v>
      </c>
      <c r="B147" s="10" t="s">
        <v>132</v>
      </c>
      <c r="C147" s="10" t="s">
        <v>241</v>
      </c>
      <c r="D147" s="10" t="s">
        <v>247</v>
      </c>
      <c r="E147" s="16">
        <v>135</v>
      </c>
      <c r="F147" s="16">
        <v>135</v>
      </c>
      <c r="G147" s="13">
        <v>50248.868013686901</v>
      </c>
      <c r="H147" s="13">
        <v>50248.868013686901</v>
      </c>
      <c r="I147" s="14">
        <v>0</v>
      </c>
      <c r="J147" s="15">
        <v>1</v>
      </c>
      <c r="K147" s="14">
        <v>1327.6145817092502</v>
      </c>
      <c r="L147" s="13">
        <v>66711129.889354259</v>
      </c>
      <c r="M147" s="14">
        <v>3.8684314422101926</v>
      </c>
      <c r="N147" s="14">
        <v>738.63765234302377</v>
      </c>
      <c r="O147" s="13">
        <v>37115705.902524151</v>
      </c>
      <c r="P147" s="13">
        <v>29595423.986830108</v>
      </c>
      <c r="Q147" s="14">
        <v>1.7973827593244669</v>
      </c>
      <c r="R147" s="15">
        <v>0.79738275932446678</v>
      </c>
    </row>
    <row r="148" spans="1:18" ht="18" customHeight="1">
      <c r="A148" s="10" t="s">
        <v>131</v>
      </c>
      <c r="B148" s="10" t="s">
        <v>132</v>
      </c>
      <c r="C148" s="10" t="s">
        <v>241</v>
      </c>
      <c r="D148" s="10" t="s">
        <v>249</v>
      </c>
      <c r="E148" s="16">
        <v>4</v>
      </c>
      <c r="F148" s="16">
        <v>4</v>
      </c>
      <c r="G148" s="13">
        <v>12.592600626999999</v>
      </c>
      <c r="H148" s="13">
        <v>12.592600626999999</v>
      </c>
      <c r="I148" s="14">
        <v>0</v>
      </c>
      <c r="J148" s="15">
        <v>1</v>
      </c>
      <c r="K148" s="14">
        <v>383.7794215400649</v>
      </c>
      <c r="L148" s="13">
        <v>4832.7809843151181</v>
      </c>
      <c r="M148" s="14">
        <v>3.5684973870105572</v>
      </c>
      <c r="N148" s="14">
        <v>370.25197772407711</v>
      </c>
      <c r="O148" s="13">
        <v>4662.435286836203</v>
      </c>
      <c r="P148" s="13">
        <v>170.3456974789151</v>
      </c>
      <c r="Q148" s="14">
        <v>1.0365357773350474</v>
      </c>
      <c r="R148" s="15">
        <v>3.6535777335047342E-2</v>
      </c>
    </row>
    <row r="149" spans="1:18" ht="18" customHeight="1">
      <c r="A149" s="10" t="s">
        <v>131</v>
      </c>
      <c r="B149" s="10" t="s">
        <v>132</v>
      </c>
      <c r="C149" s="10" t="s">
        <v>241</v>
      </c>
      <c r="D149" s="10" t="s">
        <v>250</v>
      </c>
      <c r="E149" s="16">
        <v>30</v>
      </c>
      <c r="F149" s="16">
        <v>30</v>
      </c>
      <c r="G149" s="13">
        <v>1243.3850085454999</v>
      </c>
      <c r="H149" s="13">
        <v>1243.3850085454999</v>
      </c>
      <c r="I149" s="14">
        <v>0</v>
      </c>
      <c r="J149" s="15">
        <v>1</v>
      </c>
      <c r="K149" s="14">
        <v>1887.1222165944459</v>
      </c>
      <c r="L149" s="13">
        <v>2346419.4734066878</v>
      </c>
      <c r="M149" s="14">
        <v>4.2093414897602495</v>
      </c>
      <c r="N149" s="14">
        <v>1619.3528492599271</v>
      </c>
      <c r="O149" s="13">
        <v>2013479.0563152339</v>
      </c>
      <c r="P149" s="13">
        <v>332940.41709145391</v>
      </c>
      <c r="Q149" s="14">
        <v>1.1653557885527508</v>
      </c>
      <c r="R149" s="15">
        <v>0.16535578855275074</v>
      </c>
    </row>
    <row r="150" spans="1:18" ht="18" customHeight="1">
      <c r="A150" s="10" t="s">
        <v>131</v>
      </c>
      <c r="B150" s="10" t="s">
        <v>132</v>
      </c>
      <c r="C150" s="10" t="s">
        <v>241</v>
      </c>
      <c r="D150" s="10" t="s">
        <v>251</v>
      </c>
      <c r="E150" s="16">
        <v>15</v>
      </c>
      <c r="F150" s="16">
        <v>15</v>
      </c>
      <c r="G150" s="13">
        <v>3070.9841406902001</v>
      </c>
      <c r="H150" s="13">
        <v>3070.9841406902001</v>
      </c>
      <c r="I150" s="14">
        <v>0</v>
      </c>
      <c r="J150" s="15">
        <v>1</v>
      </c>
      <c r="K150" s="14">
        <v>2880.5099784448262</v>
      </c>
      <c r="L150" s="13">
        <v>8846000.4609039314</v>
      </c>
      <c r="M150" s="14">
        <v>4.4547119374037765</v>
      </c>
      <c r="N150" s="14">
        <v>2849.1278464915872</v>
      </c>
      <c r="O150" s="13">
        <v>8749626.4313744865</v>
      </c>
      <c r="P150" s="13">
        <v>96374.029529444873</v>
      </c>
      <c r="Q150" s="14">
        <v>1.011014645057744</v>
      </c>
      <c r="R150" s="15">
        <v>1.1014645057743955E-2</v>
      </c>
    </row>
    <row r="151" spans="1:18" ht="18" customHeight="1">
      <c r="A151" s="10" t="s">
        <v>95</v>
      </c>
      <c r="B151" s="10" t="s">
        <v>96</v>
      </c>
      <c r="C151" s="10" t="s">
        <v>241</v>
      </c>
      <c r="D151" s="10" t="s">
        <v>252</v>
      </c>
      <c r="E151" s="16">
        <v>1</v>
      </c>
      <c r="F151" s="16">
        <v>1</v>
      </c>
      <c r="G151" s="13">
        <v>1.78273771E-2</v>
      </c>
      <c r="H151" s="13">
        <v>1.78273771E-2</v>
      </c>
      <c r="I151" s="14">
        <v>0</v>
      </c>
      <c r="J151" s="15">
        <v>1</v>
      </c>
      <c r="K151" s="14">
        <v>288.40315031266056</v>
      </c>
      <c r="L151" s="13">
        <v>5.1414717174517826</v>
      </c>
      <c r="M151" s="14">
        <v>3.46</v>
      </c>
      <c r="N151" s="14">
        <v>288.40315031266056</v>
      </c>
      <c r="O151" s="13">
        <v>5.1414717174517826</v>
      </c>
      <c r="P151" s="13">
        <v>0</v>
      </c>
      <c r="Q151" s="14">
        <v>1</v>
      </c>
      <c r="R151" s="15">
        <v>0</v>
      </c>
    </row>
    <row r="152" spans="1:18" ht="18" customHeight="1">
      <c r="A152" s="10" t="s">
        <v>95</v>
      </c>
      <c r="B152" s="10" t="s">
        <v>96</v>
      </c>
      <c r="C152" s="10" t="s">
        <v>241</v>
      </c>
      <c r="D152" s="10" t="s">
        <v>242</v>
      </c>
      <c r="E152" s="16">
        <v>12</v>
      </c>
      <c r="F152" s="16">
        <v>12</v>
      </c>
      <c r="G152" s="13">
        <v>45984.184848767705</v>
      </c>
      <c r="H152" s="13">
        <v>45984.184848767705</v>
      </c>
      <c r="I152" s="14">
        <v>0</v>
      </c>
      <c r="J152" s="15">
        <v>1</v>
      </c>
      <c r="K152" s="14">
        <v>1583.2095781804094</v>
      </c>
      <c r="L152" s="13">
        <v>72802601.89738749</v>
      </c>
      <c r="M152" s="14">
        <v>4.1564482164550505</v>
      </c>
      <c r="N152" s="14">
        <v>1433.6667611473324</v>
      </c>
      <c r="O152" s="13">
        <v>65925997.356133029</v>
      </c>
      <c r="P152" s="13">
        <v>6876604.5412544608</v>
      </c>
      <c r="Q152" s="14">
        <v>1.1043079333954853</v>
      </c>
      <c r="R152" s="15">
        <v>0.10430793339548525</v>
      </c>
    </row>
    <row r="153" spans="1:18" ht="18" customHeight="1">
      <c r="A153" s="10" t="s">
        <v>95</v>
      </c>
      <c r="B153" s="10" t="s">
        <v>96</v>
      </c>
      <c r="C153" s="10" t="s">
        <v>241</v>
      </c>
      <c r="D153" s="10" t="s">
        <v>243</v>
      </c>
      <c r="E153" s="16">
        <v>17</v>
      </c>
      <c r="F153" s="16">
        <v>17</v>
      </c>
      <c r="G153" s="13">
        <v>99396.539481732005</v>
      </c>
      <c r="H153" s="13">
        <v>99396.539481732005</v>
      </c>
      <c r="I153" s="14">
        <v>0</v>
      </c>
      <c r="J153" s="15">
        <v>1</v>
      </c>
      <c r="K153" s="14">
        <v>570.49384775182864</v>
      </c>
      <c r="L153" s="13">
        <v>56705114.262149848</v>
      </c>
      <c r="M153" s="14">
        <v>3.6618431932236177</v>
      </c>
      <c r="N153" s="14">
        <v>459.03224429612817</v>
      </c>
      <c r="O153" s="13">
        <v>45626216.593568154</v>
      </c>
      <c r="P153" s="13">
        <v>11078897.668581694</v>
      </c>
      <c r="Q153" s="14">
        <v>1.2428186796041174</v>
      </c>
      <c r="R153" s="15">
        <v>0.24281867960411749</v>
      </c>
    </row>
    <row r="154" spans="1:18" ht="18" customHeight="1">
      <c r="A154" s="10" t="s">
        <v>95</v>
      </c>
      <c r="B154" s="10" t="s">
        <v>96</v>
      </c>
      <c r="C154" s="10" t="s">
        <v>241</v>
      </c>
      <c r="D154" s="10" t="s">
        <v>244</v>
      </c>
      <c r="E154" s="16">
        <v>11</v>
      </c>
      <c r="F154" s="16">
        <v>11</v>
      </c>
      <c r="G154" s="13">
        <v>17634.2454305262</v>
      </c>
      <c r="H154" s="13">
        <v>17634.2454305262</v>
      </c>
      <c r="I154" s="14">
        <v>0</v>
      </c>
      <c r="J154" s="15">
        <v>1</v>
      </c>
      <c r="K154" s="14">
        <v>1771.6393945148795</v>
      </c>
      <c r="L154" s="13">
        <v>31241523.89726422</v>
      </c>
      <c r="M154" s="14">
        <v>4.0858533416906466</v>
      </c>
      <c r="N154" s="14">
        <v>1218.5780238784475</v>
      </c>
      <c r="O154" s="13">
        <v>21488703.949318159</v>
      </c>
      <c r="P154" s="13">
        <v>9752819.9479460604</v>
      </c>
      <c r="Q154" s="14">
        <v>1.4538579884086271</v>
      </c>
      <c r="R154" s="15">
        <v>0.45385798840862712</v>
      </c>
    </row>
    <row r="155" spans="1:18" ht="18" customHeight="1">
      <c r="A155" s="10" t="s">
        <v>95</v>
      </c>
      <c r="B155" s="10" t="s">
        <v>96</v>
      </c>
      <c r="C155" s="10" t="s">
        <v>241</v>
      </c>
      <c r="D155" s="10" t="s">
        <v>253</v>
      </c>
      <c r="E155" s="16">
        <v>10</v>
      </c>
      <c r="F155" s="16">
        <v>10</v>
      </c>
      <c r="G155" s="13">
        <v>186844.30491604109</v>
      </c>
      <c r="H155" s="13">
        <v>186844.30491604109</v>
      </c>
      <c r="I155" s="14">
        <v>0</v>
      </c>
      <c r="J155" s="15">
        <v>1</v>
      </c>
      <c r="K155" s="14">
        <v>175.58511145540012</v>
      </c>
      <c r="L155" s="13">
        <v>32807078.103489842</v>
      </c>
      <c r="M155" s="14">
        <v>3.2329012411800204</v>
      </c>
      <c r="N155" s="14">
        <v>170.96265008143655</v>
      </c>
      <c r="O155" s="13">
        <v>31943397.521070369</v>
      </c>
      <c r="P155" s="13">
        <v>863680.58241947368</v>
      </c>
      <c r="Q155" s="14">
        <v>1.0270378434807936</v>
      </c>
      <c r="R155" s="15">
        <v>2.7037843480793685E-2</v>
      </c>
    </row>
    <row r="156" spans="1:18" ht="18" customHeight="1">
      <c r="A156" s="10" t="s">
        <v>95</v>
      </c>
      <c r="B156" s="10" t="s">
        <v>96</v>
      </c>
      <c r="C156" s="10" t="s">
        <v>241</v>
      </c>
      <c r="D156" s="10" t="s">
        <v>245</v>
      </c>
      <c r="E156" s="16">
        <v>18</v>
      </c>
      <c r="F156" s="16">
        <v>18</v>
      </c>
      <c r="G156" s="13">
        <v>148201.41528790048</v>
      </c>
      <c r="H156" s="13">
        <v>148201.41528790048</v>
      </c>
      <c r="I156" s="14">
        <v>0</v>
      </c>
      <c r="J156" s="15">
        <v>1</v>
      </c>
      <c r="K156" s="14">
        <v>11.437785038211713</v>
      </c>
      <c r="L156" s="13">
        <v>1695095.9304217487</v>
      </c>
      <c r="M156" s="14">
        <v>2.0218445287845284</v>
      </c>
      <c r="N156" s="14">
        <v>10.515853539105454</v>
      </c>
      <c r="O156" s="13">
        <v>1558464.3774557053</v>
      </c>
      <c r="P156" s="13">
        <v>136631.55296604335</v>
      </c>
      <c r="Q156" s="14">
        <v>1.0876706294622551</v>
      </c>
      <c r="R156" s="15">
        <v>8.7670629462255192E-2</v>
      </c>
    </row>
    <row r="157" spans="1:18" ht="18" customHeight="1">
      <c r="A157" s="10" t="s">
        <v>95</v>
      </c>
      <c r="B157" s="10" t="s">
        <v>96</v>
      </c>
      <c r="C157" s="10" t="s">
        <v>241</v>
      </c>
      <c r="D157" s="10" t="s">
        <v>246</v>
      </c>
      <c r="E157" s="16">
        <v>38</v>
      </c>
      <c r="F157" s="16">
        <v>38</v>
      </c>
      <c r="G157" s="13">
        <v>94483.897985564399</v>
      </c>
      <c r="H157" s="13">
        <v>94483.897985564399</v>
      </c>
      <c r="I157" s="14">
        <v>0</v>
      </c>
      <c r="J157" s="15">
        <v>1</v>
      </c>
      <c r="K157" s="14">
        <v>575.87635431998706</v>
      </c>
      <c r="L157" s="13">
        <v>54411042.713868394</v>
      </c>
      <c r="M157" s="14">
        <v>3.4467602117862302</v>
      </c>
      <c r="N157" s="14">
        <v>279.7436336892012</v>
      </c>
      <c r="O157" s="13">
        <v>26431268.947601583</v>
      </c>
      <c r="P157" s="13">
        <v>27979773.766266812</v>
      </c>
      <c r="Q157" s="14">
        <v>2.0585860944374272</v>
      </c>
      <c r="R157" s="15">
        <v>1.0585860944374275</v>
      </c>
    </row>
    <row r="158" spans="1:18" ht="18" customHeight="1">
      <c r="A158" s="10" t="s">
        <v>95</v>
      </c>
      <c r="B158" s="10" t="s">
        <v>96</v>
      </c>
      <c r="C158" s="10" t="s">
        <v>241</v>
      </c>
      <c r="D158" s="10" t="s">
        <v>247</v>
      </c>
      <c r="E158" s="16">
        <v>65</v>
      </c>
      <c r="F158" s="16">
        <v>65</v>
      </c>
      <c r="G158" s="13">
        <v>60755.530297761106</v>
      </c>
      <c r="H158" s="13">
        <v>60755.530297761106</v>
      </c>
      <c r="I158" s="14">
        <v>0</v>
      </c>
      <c r="J158" s="15">
        <v>1</v>
      </c>
      <c r="K158" s="14">
        <v>1863.7126317052243</v>
      </c>
      <c r="L158" s="13">
        <v>113230849.26188685</v>
      </c>
      <c r="M158" s="14">
        <v>4.0403700587866354</v>
      </c>
      <c r="N158" s="14">
        <v>1097.4128944408833</v>
      </c>
      <c r="O158" s="13">
        <v>66673902.357356794</v>
      </c>
      <c r="P158" s="13">
        <v>46556946.904530056</v>
      </c>
      <c r="Q158" s="14">
        <v>1.6982784156684803</v>
      </c>
      <c r="R158" s="15">
        <v>0.69827841566848026</v>
      </c>
    </row>
    <row r="159" spans="1:18" ht="18" customHeight="1">
      <c r="A159" s="10" t="s">
        <v>95</v>
      </c>
      <c r="B159" s="10" t="s">
        <v>96</v>
      </c>
      <c r="C159" s="10" t="s">
        <v>241</v>
      </c>
      <c r="D159" s="10" t="s">
        <v>248</v>
      </c>
      <c r="E159" s="16">
        <v>6</v>
      </c>
      <c r="F159" s="16">
        <v>6</v>
      </c>
      <c r="G159" s="13">
        <v>900.66784098790004</v>
      </c>
      <c r="H159" s="13">
        <v>900.66784098790004</v>
      </c>
      <c r="I159" s="14">
        <v>0</v>
      </c>
      <c r="J159" s="15">
        <v>1</v>
      </c>
      <c r="K159" s="14">
        <v>342.83499240962755</v>
      </c>
      <c r="L159" s="13">
        <v>308780.45242868236</v>
      </c>
      <c r="M159" s="14">
        <v>3.257639202188396</v>
      </c>
      <c r="N159" s="14">
        <v>180.98359147423935</v>
      </c>
      <c r="O159" s="13">
        <v>163006.10058733926</v>
      </c>
      <c r="P159" s="13">
        <v>145774.3518413431</v>
      </c>
      <c r="Q159" s="14">
        <v>1.8942877065097123</v>
      </c>
      <c r="R159" s="15">
        <v>0.89428770650971234</v>
      </c>
    </row>
    <row r="160" spans="1:18" ht="18" customHeight="1">
      <c r="A160" s="10" t="s">
        <v>95</v>
      </c>
      <c r="B160" s="10" t="s">
        <v>96</v>
      </c>
      <c r="C160" s="10" t="s">
        <v>241</v>
      </c>
      <c r="D160" s="10" t="s">
        <v>249</v>
      </c>
      <c r="E160" s="16">
        <v>8</v>
      </c>
      <c r="F160" s="16">
        <v>8</v>
      </c>
      <c r="G160" s="13">
        <v>9451.7125782431995</v>
      </c>
      <c r="H160" s="13">
        <v>9451.7125782431995</v>
      </c>
      <c r="I160" s="14">
        <v>0</v>
      </c>
      <c r="J160" s="15">
        <v>1</v>
      </c>
      <c r="K160" s="14">
        <v>618.59517931182427</v>
      </c>
      <c r="L160" s="13">
        <v>5846783.8371421769</v>
      </c>
      <c r="M160" s="14">
        <v>3.7896293634912954</v>
      </c>
      <c r="N160" s="14">
        <v>616.06901053846309</v>
      </c>
      <c r="O160" s="13">
        <v>5822907.2159722336</v>
      </c>
      <c r="P160" s="13">
        <v>23876.621169943362</v>
      </c>
      <c r="Q160" s="14">
        <v>1.0041004639580122</v>
      </c>
      <c r="R160" s="15">
        <v>4.1004639580122099E-3</v>
      </c>
    </row>
    <row r="161" spans="1:18" ht="18" customHeight="1">
      <c r="A161" s="10" t="s">
        <v>95</v>
      </c>
      <c r="B161" s="10" t="s">
        <v>96</v>
      </c>
      <c r="C161" s="10" t="s">
        <v>241</v>
      </c>
      <c r="D161" s="10" t="s">
        <v>250</v>
      </c>
      <c r="E161" s="16">
        <v>29</v>
      </c>
      <c r="F161" s="16">
        <v>29</v>
      </c>
      <c r="G161" s="13">
        <v>31851.413635642897</v>
      </c>
      <c r="H161" s="13">
        <v>31851.413635642897</v>
      </c>
      <c r="I161" s="14">
        <v>0</v>
      </c>
      <c r="J161" s="15">
        <v>1</v>
      </c>
      <c r="K161" s="14">
        <v>1520.0045026797493</v>
      </c>
      <c r="L161" s="13">
        <v>48414292.142892368</v>
      </c>
      <c r="M161" s="14">
        <v>4.0755184826485991</v>
      </c>
      <c r="N161" s="14">
        <v>1189.9219686282904</v>
      </c>
      <c r="O161" s="13">
        <v>37900696.816918172</v>
      </c>
      <c r="P161" s="13">
        <v>10513595.325974196</v>
      </c>
      <c r="Q161" s="14">
        <v>1.2773984704492589</v>
      </c>
      <c r="R161" s="15">
        <v>0.27739847044925892</v>
      </c>
    </row>
    <row r="162" spans="1:18" ht="18" customHeight="1">
      <c r="A162" s="10" t="s">
        <v>95</v>
      </c>
      <c r="B162" s="10" t="s">
        <v>96</v>
      </c>
      <c r="C162" s="10" t="s">
        <v>241</v>
      </c>
      <c r="D162" s="10" t="s">
        <v>251</v>
      </c>
      <c r="E162" s="16">
        <v>17</v>
      </c>
      <c r="F162" s="16">
        <v>17</v>
      </c>
      <c r="G162" s="13">
        <v>5374.8171736718004</v>
      </c>
      <c r="H162" s="13">
        <v>5374.8171736718004</v>
      </c>
      <c r="I162" s="14">
        <v>0</v>
      </c>
      <c r="J162" s="15">
        <v>1</v>
      </c>
      <c r="K162" s="14">
        <v>2865.2943794732573</v>
      </c>
      <c r="L162" s="13">
        <v>15400433.438418148</v>
      </c>
      <c r="M162" s="14">
        <v>4.4530504154205435</v>
      </c>
      <c r="N162" s="14">
        <v>2838.2484896529036</v>
      </c>
      <c r="O162" s="13">
        <v>15255066.725334475</v>
      </c>
      <c r="P162" s="13">
        <v>145366.71308367327</v>
      </c>
      <c r="Q162" s="14">
        <v>1.0095290774993635</v>
      </c>
      <c r="R162" s="15">
        <v>9.5290774993634798E-3</v>
      </c>
    </row>
    <row r="163" spans="1:18" ht="18" customHeight="1">
      <c r="A163" s="10" t="s">
        <v>143</v>
      </c>
      <c r="B163" s="10" t="s">
        <v>144</v>
      </c>
      <c r="C163" s="10" t="s">
        <v>241</v>
      </c>
      <c r="D163" s="10" t="s">
        <v>242</v>
      </c>
      <c r="E163" s="16">
        <v>10</v>
      </c>
      <c r="F163" s="16">
        <v>10</v>
      </c>
      <c r="G163" s="13">
        <v>14292.4020565726</v>
      </c>
      <c r="H163" s="13">
        <v>14292.4020565726</v>
      </c>
      <c r="I163" s="14">
        <v>0</v>
      </c>
      <c r="J163" s="15">
        <v>1</v>
      </c>
      <c r="K163" s="14">
        <v>1864.0025305081474</v>
      </c>
      <c r="L163" s="13">
        <v>26641073.600491177</v>
      </c>
      <c r="M163" s="14">
        <v>4.218816155274312</v>
      </c>
      <c r="N163" s="14">
        <v>1655.0691943680963</v>
      </c>
      <c r="O163" s="13">
        <v>23654914.357356537</v>
      </c>
      <c r="P163" s="13">
        <v>2986159.2431346402</v>
      </c>
      <c r="Q163" s="14">
        <v>1.1262384296988994</v>
      </c>
      <c r="R163" s="15">
        <v>0.12623842969889942</v>
      </c>
    </row>
    <row r="164" spans="1:18" ht="18" customHeight="1">
      <c r="A164" s="10" t="s">
        <v>143</v>
      </c>
      <c r="B164" s="10" t="s">
        <v>144</v>
      </c>
      <c r="C164" s="10" t="s">
        <v>241</v>
      </c>
      <c r="D164" s="10" t="s">
        <v>243</v>
      </c>
      <c r="E164" s="16">
        <v>8</v>
      </c>
      <c r="F164" s="16">
        <v>8</v>
      </c>
      <c r="G164" s="13">
        <v>47374.384018413111</v>
      </c>
      <c r="H164" s="13">
        <v>47374.384018413111</v>
      </c>
      <c r="I164" s="14">
        <v>0</v>
      </c>
      <c r="J164" s="15">
        <v>1</v>
      </c>
      <c r="K164" s="14">
        <v>445.57652421645855</v>
      </c>
      <c r="L164" s="13">
        <v>21108913.367820255</v>
      </c>
      <c r="M164" s="14">
        <v>3.5902348855775528</v>
      </c>
      <c r="N164" s="14">
        <v>389.25561464862795</v>
      </c>
      <c r="O164" s="13">
        <v>18440744.969687533</v>
      </c>
      <c r="P164" s="13">
        <v>2668168.3981327228</v>
      </c>
      <c r="Q164" s="14">
        <v>1.1446887532211196</v>
      </c>
      <c r="R164" s="15">
        <v>0.14468875322111965</v>
      </c>
    </row>
    <row r="165" spans="1:18" ht="18" customHeight="1">
      <c r="A165" s="10" t="s">
        <v>143</v>
      </c>
      <c r="B165" s="10" t="s">
        <v>144</v>
      </c>
      <c r="C165" s="10" t="s">
        <v>241</v>
      </c>
      <c r="D165" s="10" t="s">
        <v>244</v>
      </c>
      <c r="E165" s="16">
        <v>8</v>
      </c>
      <c r="F165" s="16">
        <v>8</v>
      </c>
      <c r="G165" s="13">
        <v>6848.6123562112007</v>
      </c>
      <c r="H165" s="13">
        <v>6848.6123562112007</v>
      </c>
      <c r="I165" s="14">
        <v>0</v>
      </c>
      <c r="J165" s="15">
        <v>1</v>
      </c>
      <c r="K165" s="14">
        <v>711.38115486653942</v>
      </c>
      <c r="L165" s="13">
        <v>4871973.7671947759</v>
      </c>
      <c r="M165" s="14">
        <v>3.7910917691777568</v>
      </c>
      <c r="N165" s="14">
        <v>618.14700472072343</v>
      </c>
      <c r="O165" s="13">
        <v>4233449.2144852895</v>
      </c>
      <c r="P165" s="13">
        <v>638524.55270948634</v>
      </c>
      <c r="Q165" s="14">
        <v>1.150828442803729</v>
      </c>
      <c r="R165" s="15">
        <v>0.15082844280372909</v>
      </c>
    </row>
    <row r="166" spans="1:18" ht="18" customHeight="1">
      <c r="A166" s="10" t="s">
        <v>143</v>
      </c>
      <c r="B166" s="10" t="s">
        <v>144</v>
      </c>
      <c r="C166" s="10" t="s">
        <v>241</v>
      </c>
      <c r="D166" s="10" t="s">
        <v>253</v>
      </c>
      <c r="E166" s="16">
        <v>3</v>
      </c>
      <c r="F166" s="16">
        <v>3</v>
      </c>
      <c r="G166" s="13">
        <v>39258.091584666203</v>
      </c>
      <c r="H166" s="13">
        <v>39258.091584666203</v>
      </c>
      <c r="I166" s="14">
        <v>0</v>
      </c>
      <c r="J166" s="15">
        <v>1</v>
      </c>
      <c r="K166" s="14">
        <v>240.06085545975989</v>
      </c>
      <c r="L166" s="13">
        <v>9424331.0495325699</v>
      </c>
      <c r="M166" s="14">
        <v>3.3803170894971641</v>
      </c>
      <c r="N166" s="14">
        <v>240.05850077667503</v>
      </c>
      <c r="O166" s="13">
        <v>9424238.6091683712</v>
      </c>
      <c r="P166" s="13">
        <v>92.440364198759198</v>
      </c>
      <c r="Q166" s="14">
        <v>1.0000098087885962</v>
      </c>
      <c r="R166" s="15">
        <v>9.8087885963358983E-6</v>
      </c>
    </row>
    <row r="167" spans="1:18" ht="18" customHeight="1">
      <c r="A167" s="10" t="s">
        <v>143</v>
      </c>
      <c r="B167" s="10" t="s">
        <v>144</v>
      </c>
      <c r="C167" s="10" t="s">
        <v>241</v>
      </c>
      <c r="D167" s="10" t="s">
        <v>245</v>
      </c>
      <c r="E167" s="16">
        <v>6</v>
      </c>
      <c r="F167" s="16">
        <v>6</v>
      </c>
      <c r="G167" s="13">
        <v>24583.815746992899</v>
      </c>
      <c r="H167" s="13">
        <v>24583.815746992899</v>
      </c>
      <c r="I167" s="14">
        <v>0</v>
      </c>
      <c r="J167" s="15">
        <v>1</v>
      </c>
      <c r="K167" s="14">
        <v>14.56608025506798</v>
      </c>
      <c r="L167" s="13">
        <v>358089.83314650255</v>
      </c>
      <c r="M167" s="14">
        <v>2.1294966374448223</v>
      </c>
      <c r="N167" s="14">
        <v>13.474002929637047</v>
      </c>
      <c r="O167" s="13">
        <v>331242.40539663972</v>
      </c>
      <c r="P167" s="13">
        <v>26847.427749862836</v>
      </c>
      <c r="Q167" s="14">
        <v>1.0810506967479447</v>
      </c>
      <c r="R167" s="15">
        <v>8.1050696747944795E-2</v>
      </c>
    </row>
    <row r="168" spans="1:18" ht="18" customHeight="1">
      <c r="A168" s="10" t="s">
        <v>143</v>
      </c>
      <c r="B168" s="10" t="s">
        <v>144</v>
      </c>
      <c r="C168" s="10" t="s">
        <v>241</v>
      </c>
      <c r="D168" s="10" t="s">
        <v>246</v>
      </c>
      <c r="E168" s="16">
        <v>17</v>
      </c>
      <c r="F168" s="16">
        <v>17</v>
      </c>
      <c r="G168" s="13">
        <v>6875.2066360481003</v>
      </c>
      <c r="H168" s="13">
        <v>6875.2066360481003</v>
      </c>
      <c r="I168" s="14">
        <v>0</v>
      </c>
      <c r="J168" s="15">
        <v>1</v>
      </c>
      <c r="K168" s="14">
        <v>488.08317567265078</v>
      </c>
      <c r="L168" s="13">
        <v>3355672.6883280394</v>
      </c>
      <c r="M168" s="14">
        <v>3.3240249117617378</v>
      </c>
      <c r="N168" s="14">
        <v>210.87491073731618</v>
      </c>
      <c r="O168" s="13">
        <v>1449808.585677247</v>
      </c>
      <c r="P168" s="13">
        <v>1905864.1026507923</v>
      </c>
      <c r="Q168" s="14">
        <v>2.3145625715552711</v>
      </c>
      <c r="R168" s="15">
        <v>1.3145625715552711</v>
      </c>
    </row>
    <row r="169" spans="1:18" ht="18" customHeight="1">
      <c r="A169" s="10" t="s">
        <v>143</v>
      </c>
      <c r="B169" s="10" t="s">
        <v>144</v>
      </c>
      <c r="C169" s="10" t="s">
        <v>241</v>
      </c>
      <c r="D169" s="10" t="s">
        <v>247</v>
      </c>
      <c r="E169" s="16">
        <v>12</v>
      </c>
      <c r="F169" s="16">
        <v>12</v>
      </c>
      <c r="G169" s="13">
        <v>3809.6786226970999</v>
      </c>
      <c r="H169" s="13">
        <v>3809.6786226970999</v>
      </c>
      <c r="I169" s="14">
        <v>0</v>
      </c>
      <c r="J169" s="15">
        <v>1</v>
      </c>
      <c r="K169" s="14">
        <v>896.98707718342757</v>
      </c>
      <c r="L169" s="13">
        <v>3417232.4927812577</v>
      </c>
      <c r="M169" s="14">
        <v>3.7372450928587262</v>
      </c>
      <c r="N169" s="14">
        <v>546.065944916749</v>
      </c>
      <c r="O169" s="13">
        <v>2080335.7569322307</v>
      </c>
      <c r="P169" s="13">
        <v>1336896.7358490271</v>
      </c>
      <c r="Q169" s="14">
        <v>1.6426350801278748</v>
      </c>
      <c r="R169" s="15">
        <v>0.64263508012787474</v>
      </c>
    </row>
    <row r="170" spans="1:18" ht="18" customHeight="1">
      <c r="A170" s="10" t="s">
        <v>143</v>
      </c>
      <c r="B170" s="10" t="s">
        <v>144</v>
      </c>
      <c r="C170" s="10" t="s">
        <v>241</v>
      </c>
      <c r="D170" s="10" t="s">
        <v>248</v>
      </c>
      <c r="E170" s="16">
        <v>7</v>
      </c>
      <c r="F170" s="16">
        <v>7</v>
      </c>
      <c r="G170" s="13">
        <v>1578.4018091098999</v>
      </c>
      <c r="H170" s="13">
        <v>1578.4018091098999</v>
      </c>
      <c r="I170" s="14">
        <v>0</v>
      </c>
      <c r="J170" s="15">
        <v>1</v>
      </c>
      <c r="K170" s="14">
        <v>1112.9161397656299</v>
      </c>
      <c r="L170" s="13">
        <v>1756628.8483936763</v>
      </c>
      <c r="M170" s="14">
        <v>3.7042032207686812</v>
      </c>
      <c r="N170" s="14">
        <v>506.06140949828711</v>
      </c>
      <c r="O170" s="13">
        <v>798768.24427280226</v>
      </c>
      <c r="P170" s="13">
        <v>957860.60412087408</v>
      </c>
      <c r="Q170" s="14">
        <v>2.1991721140503144</v>
      </c>
      <c r="R170" s="15">
        <v>1.1991721140503142</v>
      </c>
    </row>
    <row r="171" spans="1:18" ht="18" customHeight="1">
      <c r="A171" s="10" t="s">
        <v>143</v>
      </c>
      <c r="B171" s="10" t="s">
        <v>144</v>
      </c>
      <c r="C171" s="10" t="s">
        <v>241</v>
      </c>
      <c r="D171" s="10" t="s">
        <v>249</v>
      </c>
      <c r="E171" s="16">
        <v>6</v>
      </c>
      <c r="F171" s="16">
        <v>6</v>
      </c>
      <c r="G171" s="13">
        <v>2541.7667255396</v>
      </c>
      <c r="H171" s="13">
        <v>2541.7667255396</v>
      </c>
      <c r="I171" s="14">
        <v>0</v>
      </c>
      <c r="J171" s="15">
        <v>1</v>
      </c>
      <c r="K171" s="14">
        <v>626.11206808355973</v>
      </c>
      <c r="L171" s="13">
        <v>1591430.8211135766</v>
      </c>
      <c r="M171" s="14">
        <v>3.7954089261652832</v>
      </c>
      <c r="N171" s="14">
        <v>624.32241286156977</v>
      </c>
      <c r="O171" s="13">
        <v>1586881.9350201346</v>
      </c>
      <c r="P171" s="13">
        <v>4548.8860934420954</v>
      </c>
      <c r="Q171" s="14">
        <v>1.0028665561016576</v>
      </c>
      <c r="R171" s="15">
        <v>2.8665561016575432E-3</v>
      </c>
    </row>
    <row r="172" spans="1:18" ht="18" customHeight="1">
      <c r="A172" s="10" t="s">
        <v>143</v>
      </c>
      <c r="B172" s="10" t="s">
        <v>144</v>
      </c>
      <c r="C172" s="10" t="s">
        <v>241</v>
      </c>
      <c r="D172" s="10" t="s">
        <v>250</v>
      </c>
      <c r="E172" s="16">
        <v>9</v>
      </c>
      <c r="F172" s="16">
        <v>9</v>
      </c>
      <c r="G172" s="13">
        <v>715.6396049350999</v>
      </c>
      <c r="H172" s="13">
        <v>715.6396049350999</v>
      </c>
      <c r="I172" s="14">
        <v>0</v>
      </c>
      <c r="J172" s="15">
        <v>1</v>
      </c>
      <c r="K172" s="14">
        <v>1046.3004995542794</v>
      </c>
      <c r="L172" s="13">
        <v>748774.07614442217</v>
      </c>
      <c r="M172" s="14">
        <v>3.9666302030469058</v>
      </c>
      <c r="N172" s="14">
        <v>926.0409739206624</v>
      </c>
      <c r="O172" s="13">
        <v>662711.59673029801</v>
      </c>
      <c r="P172" s="13">
        <v>86062.479414124158</v>
      </c>
      <c r="Q172" s="14">
        <v>1.1298641518252301</v>
      </c>
      <c r="R172" s="15">
        <v>0.1298641518252302</v>
      </c>
    </row>
    <row r="173" spans="1:18" ht="18" customHeight="1">
      <c r="A173" s="10" t="s">
        <v>143</v>
      </c>
      <c r="B173" s="10" t="s">
        <v>144</v>
      </c>
      <c r="C173" s="10" t="s">
        <v>241</v>
      </c>
      <c r="D173" s="10" t="s">
        <v>251</v>
      </c>
      <c r="E173" s="16">
        <v>6</v>
      </c>
      <c r="F173" s="16">
        <v>6</v>
      </c>
      <c r="G173" s="13">
        <v>802.26156962139999</v>
      </c>
      <c r="H173" s="13">
        <v>802.26156962139999</v>
      </c>
      <c r="I173" s="14">
        <v>0</v>
      </c>
      <c r="J173" s="15">
        <v>1</v>
      </c>
      <c r="K173" s="14">
        <v>2416.1607126058616</v>
      </c>
      <c r="L173" s="13">
        <v>1938392.8857527387</v>
      </c>
      <c r="M173" s="14">
        <v>4.3639885057069288</v>
      </c>
      <c r="N173" s="14">
        <v>2312.0035985194113</v>
      </c>
      <c r="O173" s="13">
        <v>1854831.6359185081</v>
      </c>
      <c r="P173" s="13">
        <v>83561.249834230635</v>
      </c>
      <c r="Q173" s="14">
        <v>1.0450505847625633</v>
      </c>
      <c r="R173" s="15">
        <v>4.5050584762563267E-2</v>
      </c>
    </row>
    <row r="174" spans="1:18" ht="18" customHeight="1">
      <c r="A174" s="10" t="s">
        <v>109</v>
      </c>
      <c r="B174" s="10" t="s">
        <v>110</v>
      </c>
      <c r="C174" s="10" t="s">
        <v>241</v>
      </c>
      <c r="D174" s="10" t="s">
        <v>242</v>
      </c>
      <c r="E174" s="16">
        <v>17</v>
      </c>
      <c r="F174" s="16">
        <v>17</v>
      </c>
      <c r="G174" s="13">
        <v>54335.454490040705</v>
      </c>
      <c r="H174" s="13">
        <v>54335.454490040705</v>
      </c>
      <c r="I174" s="14">
        <v>0</v>
      </c>
      <c r="J174" s="15">
        <v>1</v>
      </c>
      <c r="K174" s="14">
        <v>1281.7566192710995</v>
      </c>
      <c r="L174" s="13">
        <v>69644828.453713253</v>
      </c>
      <c r="M174" s="14">
        <v>4.099879628789628</v>
      </c>
      <c r="N174" s="14">
        <v>1258.5765301406441</v>
      </c>
      <c r="O174" s="13">
        <v>68385327.775690317</v>
      </c>
      <c r="P174" s="13">
        <v>1259500.678022936</v>
      </c>
      <c r="Q174" s="14">
        <v>1.0184177033142869</v>
      </c>
      <c r="R174" s="15">
        <v>1.8417703314287024E-2</v>
      </c>
    </row>
    <row r="175" spans="1:18" ht="18" customHeight="1">
      <c r="A175" s="10" t="s">
        <v>109</v>
      </c>
      <c r="B175" s="10" t="s">
        <v>110</v>
      </c>
      <c r="C175" s="10" t="s">
        <v>241</v>
      </c>
      <c r="D175" s="10" t="s">
        <v>243</v>
      </c>
      <c r="E175" s="16">
        <v>9</v>
      </c>
      <c r="F175" s="16">
        <v>9</v>
      </c>
      <c r="G175" s="13">
        <v>198938.11354446295</v>
      </c>
      <c r="H175" s="13">
        <v>198938.11354446295</v>
      </c>
      <c r="I175" s="14">
        <v>0</v>
      </c>
      <c r="J175" s="15">
        <v>1</v>
      </c>
      <c r="K175" s="14">
        <v>314.53422584951642</v>
      </c>
      <c r="L175" s="13">
        <v>62572845.535670847</v>
      </c>
      <c r="M175" s="14">
        <v>3.3220465289542496</v>
      </c>
      <c r="N175" s="14">
        <v>209.91647695330789</v>
      </c>
      <c r="O175" s="13">
        <v>41760387.926990807</v>
      </c>
      <c r="P175" s="13">
        <v>20812457.60868004</v>
      </c>
      <c r="Q175" s="14">
        <v>1.498377975919817</v>
      </c>
      <c r="R175" s="15">
        <v>0.49837797591981697</v>
      </c>
    </row>
    <row r="176" spans="1:18" ht="18" customHeight="1">
      <c r="A176" s="10" t="s">
        <v>109</v>
      </c>
      <c r="B176" s="10" t="s">
        <v>110</v>
      </c>
      <c r="C176" s="10" t="s">
        <v>241</v>
      </c>
      <c r="D176" s="10" t="s">
        <v>244</v>
      </c>
      <c r="E176" s="16">
        <v>7</v>
      </c>
      <c r="F176" s="16">
        <v>7</v>
      </c>
      <c r="G176" s="13">
        <v>36567.071418051601</v>
      </c>
      <c r="H176" s="13">
        <v>36567.071418051601</v>
      </c>
      <c r="I176" s="14">
        <v>0</v>
      </c>
      <c r="J176" s="15">
        <v>1</v>
      </c>
      <c r="K176" s="14">
        <v>1890.4752644592711</v>
      </c>
      <c r="L176" s="13">
        <v>69129144.009542152</v>
      </c>
      <c r="M176" s="14">
        <v>4.1850225598032269</v>
      </c>
      <c r="N176" s="14">
        <v>1531.1669974128431</v>
      </c>
      <c r="O176" s="13">
        <v>55990292.947359063</v>
      </c>
      <c r="P176" s="13">
        <v>13138851.06218309</v>
      </c>
      <c r="Q176" s="14">
        <v>1.2346630169364532</v>
      </c>
      <c r="R176" s="15">
        <v>0.23466301693645308</v>
      </c>
    </row>
    <row r="177" spans="1:18" ht="18" customHeight="1">
      <c r="A177" s="10" t="s">
        <v>109</v>
      </c>
      <c r="B177" s="10" t="s">
        <v>110</v>
      </c>
      <c r="C177" s="10" t="s">
        <v>241</v>
      </c>
      <c r="D177" s="10" t="s">
        <v>253</v>
      </c>
      <c r="E177" s="16">
        <v>3</v>
      </c>
      <c r="F177" s="16">
        <v>3</v>
      </c>
      <c r="G177" s="13">
        <v>11344.2640213873</v>
      </c>
      <c r="H177" s="13">
        <v>11344.2640213873</v>
      </c>
      <c r="I177" s="14">
        <v>0</v>
      </c>
      <c r="J177" s="15">
        <v>1</v>
      </c>
      <c r="K177" s="14">
        <v>239.85816688178113</v>
      </c>
      <c r="L177" s="13">
        <v>2721014.3727929005</v>
      </c>
      <c r="M177" s="14">
        <v>3.379925171009269</v>
      </c>
      <c r="N177" s="14">
        <v>239.8419635428516</v>
      </c>
      <c r="O177" s="13">
        <v>2720830.5578380558</v>
      </c>
      <c r="P177" s="13">
        <v>183.81495484476909</v>
      </c>
      <c r="Q177" s="14">
        <v>1.0000675583984144</v>
      </c>
      <c r="R177" s="15">
        <v>6.7558398414499789E-5</v>
      </c>
    </row>
    <row r="178" spans="1:18" ht="18" customHeight="1">
      <c r="A178" s="10" t="s">
        <v>109</v>
      </c>
      <c r="B178" s="10" t="s">
        <v>110</v>
      </c>
      <c r="C178" s="10" t="s">
        <v>241</v>
      </c>
      <c r="D178" s="10" t="s">
        <v>245</v>
      </c>
      <c r="E178" s="16">
        <v>6</v>
      </c>
      <c r="F178" s="16">
        <v>6</v>
      </c>
      <c r="G178" s="13">
        <v>84156.789756619895</v>
      </c>
      <c r="H178" s="13">
        <v>84156.789756619895</v>
      </c>
      <c r="I178" s="14">
        <v>0</v>
      </c>
      <c r="J178" s="15">
        <v>1</v>
      </c>
      <c r="K178" s="14">
        <v>14.612044631571262</v>
      </c>
      <c r="L178" s="13">
        <v>1229702.7679734891</v>
      </c>
      <c r="M178" s="14">
        <v>2.0971846010055635</v>
      </c>
      <c r="N178" s="14">
        <v>12.507905776870876</v>
      </c>
      <c r="O178" s="13">
        <v>1052625.1967597338</v>
      </c>
      <c r="P178" s="13">
        <v>177077.57121375529</v>
      </c>
      <c r="Q178" s="14">
        <v>1.1682247126126641</v>
      </c>
      <c r="R178" s="15">
        <v>0.16822471261266417</v>
      </c>
    </row>
    <row r="179" spans="1:18" ht="18" customHeight="1">
      <c r="A179" s="10" t="s">
        <v>109</v>
      </c>
      <c r="B179" s="10" t="s">
        <v>110</v>
      </c>
      <c r="C179" s="10" t="s">
        <v>241</v>
      </c>
      <c r="D179" s="10" t="s">
        <v>246</v>
      </c>
      <c r="E179" s="16">
        <v>22</v>
      </c>
      <c r="F179" s="16">
        <v>22</v>
      </c>
      <c r="G179" s="13">
        <v>24468.446955436691</v>
      </c>
      <c r="H179" s="13">
        <v>24468.446955436691</v>
      </c>
      <c r="I179" s="14">
        <v>0</v>
      </c>
      <c r="J179" s="15">
        <v>1</v>
      </c>
      <c r="K179" s="14">
        <v>196.40412473585531</v>
      </c>
      <c r="L179" s="13">
        <v>4805703.907928247</v>
      </c>
      <c r="M179" s="14">
        <v>3.2213657710048409</v>
      </c>
      <c r="N179" s="14">
        <v>166.48141980036706</v>
      </c>
      <c r="O179" s="13">
        <v>4073541.7894510692</v>
      </c>
      <c r="P179" s="13">
        <v>732162.11847717781</v>
      </c>
      <c r="Q179" s="14">
        <v>1.1797360028006096</v>
      </c>
      <c r="R179" s="15">
        <v>0.17973600280060964</v>
      </c>
    </row>
    <row r="180" spans="1:18" ht="18" customHeight="1">
      <c r="A180" s="10" t="s">
        <v>109</v>
      </c>
      <c r="B180" s="10" t="s">
        <v>110</v>
      </c>
      <c r="C180" s="10" t="s">
        <v>241</v>
      </c>
      <c r="D180" s="10" t="s">
        <v>247</v>
      </c>
      <c r="E180" s="16">
        <v>15</v>
      </c>
      <c r="F180" s="16">
        <v>15</v>
      </c>
      <c r="G180" s="13">
        <v>1844.1207926239999</v>
      </c>
      <c r="H180" s="13">
        <v>1844.1207926239999</v>
      </c>
      <c r="I180" s="14">
        <v>0</v>
      </c>
      <c r="J180" s="15">
        <v>1</v>
      </c>
      <c r="K180" s="14">
        <v>534.71044057593417</v>
      </c>
      <c r="L180" s="13">
        <v>986070.64149922004</v>
      </c>
      <c r="M180" s="14">
        <v>3.5834704184250734</v>
      </c>
      <c r="N180" s="14">
        <v>383.23963549064172</v>
      </c>
      <c r="O180" s="13">
        <v>706740.18036593497</v>
      </c>
      <c r="P180" s="13">
        <v>279330.46113328508</v>
      </c>
      <c r="Q180" s="14">
        <v>1.3952378383080664</v>
      </c>
      <c r="R180" s="15">
        <v>0.39523783830806636</v>
      </c>
    </row>
    <row r="181" spans="1:18" ht="18" customHeight="1">
      <c r="A181" s="10" t="s">
        <v>109</v>
      </c>
      <c r="B181" s="10" t="s">
        <v>110</v>
      </c>
      <c r="C181" s="10" t="s">
        <v>241</v>
      </c>
      <c r="D181" s="10" t="s">
        <v>248</v>
      </c>
      <c r="E181" s="16">
        <v>8</v>
      </c>
      <c r="F181" s="16">
        <v>8</v>
      </c>
      <c r="G181" s="13">
        <v>32416.771872239398</v>
      </c>
      <c r="H181" s="13">
        <v>32416.771872239398</v>
      </c>
      <c r="I181" s="14">
        <v>0</v>
      </c>
      <c r="J181" s="15">
        <v>1</v>
      </c>
      <c r="K181" s="14">
        <v>665.91003493677545</v>
      </c>
      <c r="L181" s="13">
        <v>21586653.689980417</v>
      </c>
      <c r="M181" s="14">
        <v>3.4311547648863741</v>
      </c>
      <c r="N181" s="14">
        <v>269.87009683513344</v>
      </c>
      <c r="O181" s="13">
        <v>8748317.3642436769</v>
      </c>
      <c r="P181" s="13">
        <v>12838336.325736741</v>
      </c>
      <c r="Q181" s="14">
        <v>2.4675206432507677</v>
      </c>
      <c r="R181" s="15">
        <v>1.4675206432507677</v>
      </c>
    </row>
    <row r="182" spans="1:18" ht="18" customHeight="1">
      <c r="A182" s="10" t="s">
        <v>109</v>
      </c>
      <c r="B182" s="10" t="s">
        <v>110</v>
      </c>
      <c r="C182" s="10" t="s">
        <v>241</v>
      </c>
      <c r="D182" s="10" t="s">
        <v>249</v>
      </c>
      <c r="E182" s="16">
        <v>7</v>
      </c>
      <c r="F182" s="16">
        <v>7</v>
      </c>
      <c r="G182" s="13">
        <v>61318.903344085396</v>
      </c>
      <c r="H182" s="13">
        <v>61318.903344085396</v>
      </c>
      <c r="I182" s="14">
        <v>0</v>
      </c>
      <c r="J182" s="15">
        <v>1</v>
      </c>
      <c r="K182" s="14">
        <v>616.02629596598376</v>
      </c>
      <c r="L182" s="13">
        <v>37774056.899753101</v>
      </c>
      <c r="M182" s="14">
        <v>3.7894828924382464</v>
      </c>
      <c r="N182" s="14">
        <v>615.86126886649174</v>
      </c>
      <c r="O182" s="13">
        <v>37763937.618990198</v>
      </c>
      <c r="P182" s="13">
        <v>10119.280762903392</v>
      </c>
      <c r="Q182" s="14">
        <v>1.0002679614839163</v>
      </c>
      <c r="R182" s="15">
        <v>2.679614839161992E-4</v>
      </c>
    </row>
    <row r="183" spans="1:18" ht="18" customHeight="1">
      <c r="A183" s="10" t="s">
        <v>109</v>
      </c>
      <c r="B183" s="10" t="s">
        <v>110</v>
      </c>
      <c r="C183" s="10" t="s">
        <v>241</v>
      </c>
      <c r="D183" s="10" t="s">
        <v>250</v>
      </c>
      <c r="E183" s="16">
        <v>9</v>
      </c>
      <c r="F183" s="16">
        <v>9</v>
      </c>
      <c r="G183" s="13">
        <v>1189.3979373784</v>
      </c>
      <c r="H183" s="13">
        <v>1189.3979373784</v>
      </c>
      <c r="I183" s="14">
        <v>0</v>
      </c>
      <c r="J183" s="15">
        <v>1</v>
      </c>
      <c r="K183" s="14">
        <v>1285.6161421138038</v>
      </c>
      <c r="L183" s="13">
        <v>1529109.1876905342</v>
      </c>
      <c r="M183" s="14">
        <v>4.0590421197137472</v>
      </c>
      <c r="N183" s="14">
        <v>1145.6240435178711</v>
      </c>
      <c r="O183" s="13">
        <v>1362602.8743712583</v>
      </c>
      <c r="P183" s="13">
        <v>166506.31331927585</v>
      </c>
      <c r="Q183" s="14">
        <v>1.122197242095285</v>
      </c>
      <c r="R183" s="15">
        <v>0.12219724209528499</v>
      </c>
    </row>
    <row r="184" spans="1:18" ht="18" customHeight="1">
      <c r="A184" s="10" t="s">
        <v>109</v>
      </c>
      <c r="B184" s="10" t="s">
        <v>110</v>
      </c>
      <c r="C184" s="10" t="s">
        <v>241</v>
      </c>
      <c r="D184" s="10" t="s">
        <v>251</v>
      </c>
      <c r="E184" s="16">
        <v>8</v>
      </c>
      <c r="F184" s="16">
        <v>8</v>
      </c>
      <c r="G184" s="13">
        <v>110.65992868170001</v>
      </c>
      <c r="H184" s="13">
        <v>110.65992868170001</v>
      </c>
      <c r="I184" s="14">
        <v>0</v>
      </c>
      <c r="J184" s="15">
        <v>1</v>
      </c>
      <c r="K184" s="14">
        <v>3143.1463433624685</v>
      </c>
      <c r="L184" s="13">
        <v>347820.35019263695</v>
      </c>
      <c r="M184" s="14">
        <v>4.4937449979027191</v>
      </c>
      <c r="N184" s="14">
        <v>3117.0588218546868</v>
      </c>
      <c r="O184" s="13">
        <v>344933.50692310347</v>
      </c>
      <c r="P184" s="13">
        <v>2886.8432695334777</v>
      </c>
      <c r="Q184" s="14">
        <v>1.0083692746908959</v>
      </c>
      <c r="R184" s="15">
        <v>8.3692746908958487E-3</v>
      </c>
    </row>
    <row r="185" spans="1:18" ht="18" customHeight="1">
      <c r="A185" s="10" t="s">
        <v>145</v>
      </c>
      <c r="B185" s="10" t="s">
        <v>146</v>
      </c>
      <c r="C185" s="10" t="s">
        <v>241</v>
      </c>
      <c r="D185" s="10" t="s">
        <v>243</v>
      </c>
      <c r="E185" s="16">
        <v>4</v>
      </c>
      <c r="F185" s="16">
        <v>4</v>
      </c>
      <c r="G185" s="13">
        <v>3.6707369654999997</v>
      </c>
      <c r="H185" s="13">
        <v>3.6707369654999997</v>
      </c>
      <c r="I185" s="14">
        <v>0</v>
      </c>
      <c r="J185" s="15">
        <v>1</v>
      </c>
      <c r="K185" s="14">
        <v>412.30508466145369</v>
      </c>
      <c r="L185" s="13">
        <v>1513.463515330405</v>
      </c>
      <c r="M185" s="14">
        <v>3.370474054817699</v>
      </c>
      <c r="N185" s="14">
        <v>234.67890589968445</v>
      </c>
      <c r="O185" s="13">
        <v>861.44453490906767</v>
      </c>
      <c r="P185" s="13">
        <v>652.01898042133735</v>
      </c>
      <c r="Q185" s="14">
        <v>1.756890262807417</v>
      </c>
      <c r="R185" s="15">
        <v>0.756890262807417</v>
      </c>
    </row>
    <row r="186" spans="1:18" ht="18" customHeight="1">
      <c r="A186" s="10" t="s">
        <v>145</v>
      </c>
      <c r="B186" s="10" t="s">
        <v>146</v>
      </c>
      <c r="C186" s="10" t="s">
        <v>241</v>
      </c>
      <c r="D186" s="10" t="s">
        <v>244</v>
      </c>
      <c r="E186" s="16">
        <v>2</v>
      </c>
      <c r="F186" s="16">
        <v>2</v>
      </c>
      <c r="G186" s="13">
        <v>0.56702263340000003</v>
      </c>
      <c r="H186" s="13">
        <v>0.56702263340000003</v>
      </c>
      <c r="I186" s="14">
        <v>0</v>
      </c>
      <c r="J186" s="15">
        <v>1</v>
      </c>
      <c r="K186" s="14">
        <v>2355.7588696316698</v>
      </c>
      <c r="L186" s="13">
        <v>1335.7685979139567</v>
      </c>
      <c r="M186" s="14">
        <v>4.3654832453130785</v>
      </c>
      <c r="N186" s="14">
        <v>2319.9746813256829</v>
      </c>
      <c r="O186" s="13">
        <v>1315.4781532266145</v>
      </c>
      <c r="P186" s="13">
        <v>20.290444687342188</v>
      </c>
      <c r="Q186" s="14">
        <v>1.0154243874271676</v>
      </c>
      <c r="R186" s="15">
        <v>1.5424387427167556E-2</v>
      </c>
    </row>
    <row r="187" spans="1:18" ht="18" customHeight="1">
      <c r="A187" s="10" t="s">
        <v>145</v>
      </c>
      <c r="B187" s="10" t="s">
        <v>146</v>
      </c>
      <c r="C187" s="10" t="s">
        <v>241</v>
      </c>
      <c r="D187" s="10" t="s">
        <v>253</v>
      </c>
      <c r="E187" s="16">
        <v>2</v>
      </c>
      <c r="F187" s="16">
        <v>2</v>
      </c>
      <c r="G187" s="13">
        <v>40.2545498904</v>
      </c>
      <c r="H187" s="13">
        <v>40.2545498904</v>
      </c>
      <c r="I187" s="14">
        <v>0</v>
      </c>
      <c r="J187" s="15">
        <v>1</v>
      </c>
      <c r="K187" s="14">
        <v>369.84190018989858</v>
      </c>
      <c r="L187" s="13">
        <v>14887.81922275461</v>
      </c>
      <c r="M187" s="14">
        <v>3.5669414466601852</v>
      </c>
      <c r="N187" s="14">
        <v>368.92785487030903</v>
      </c>
      <c r="O187" s="13">
        <v>14851.024739835106</v>
      </c>
      <c r="P187" s="13">
        <v>36.794482919503935</v>
      </c>
      <c r="Q187" s="14">
        <v>1.0024775719900869</v>
      </c>
      <c r="R187" s="15">
        <v>2.4775719900869595E-3</v>
      </c>
    </row>
    <row r="188" spans="1:18" ht="18" customHeight="1">
      <c r="A188" s="10" t="s">
        <v>145</v>
      </c>
      <c r="B188" s="10" t="s">
        <v>146</v>
      </c>
      <c r="C188" s="10" t="s">
        <v>241</v>
      </c>
      <c r="D188" s="10" t="s">
        <v>245</v>
      </c>
      <c r="E188" s="16">
        <v>1</v>
      </c>
      <c r="F188" s="16">
        <v>1</v>
      </c>
      <c r="G188" s="13">
        <v>5.2631337778999994</v>
      </c>
      <c r="H188" s="13">
        <v>5.2631337778999994</v>
      </c>
      <c r="I188" s="14">
        <v>0</v>
      </c>
      <c r="J188" s="15">
        <v>1</v>
      </c>
      <c r="K188" s="14">
        <v>114.81536214968828</v>
      </c>
      <c r="L188" s="13">
        <v>604.28861075184545</v>
      </c>
      <c r="M188" s="14">
        <v>3.06</v>
      </c>
      <c r="N188" s="14">
        <v>114.81536214968828</v>
      </c>
      <c r="O188" s="13">
        <v>604.28861075184545</v>
      </c>
      <c r="P188" s="13">
        <v>0</v>
      </c>
      <c r="Q188" s="14">
        <v>1</v>
      </c>
      <c r="R188" s="15">
        <v>0</v>
      </c>
    </row>
    <row r="189" spans="1:18" ht="18" customHeight="1">
      <c r="A189" s="10" t="s">
        <v>145</v>
      </c>
      <c r="B189" s="10" t="s">
        <v>146</v>
      </c>
      <c r="C189" s="10" t="s">
        <v>241</v>
      </c>
      <c r="D189" s="10" t="s">
        <v>246</v>
      </c>
      <c r="E189" s="16">
        <v>27</v>
      </c>
      <c r="F189" s="16">
        <v>27</v>
      </c>
      <c r="G189" s="13">
        <v>1214.9331684746001</v>
      </c>
      <c r="H189" s="13">
        <v>1214.9331684746001</v>
      </c>
      <c r="I189" s="14">
        <v>0</v>
      </c>
      <c r="J189" s="15">
        <v>1</v>
      </c>
      <c r="K189" s="14">
        <v>538.52149726527171</v>
      </c>
      <c r="L189" s="13">
        <v>654267.62896418222</v>
      </c>
      <c r="M189" s="14">
        <v>3.4726881864304127</v>
      </c>
      <c r="N189" s="14">
        <v>296.95332088028567</v>
      </c>
      <c r="O189" s="13">
        <v>360778.43902614008</v>
      </c>
      <c r="P189" s="13">
        <v>293489.18993804214</v>
      </c>
      <c r="Q189" s="14">
        <v>1.8134887182567401</v>
      </c>
      <c r="R189" s="15">
        <v>0.81348871825674007</v>
      </c>
    </row>
    <row r="190" spans="1:18" ht="18" customHeight="1">
      <c r="A190" s="10" t="s">
        <v>145</v>
      </c>
      <c r="B190" s="10" t="s">
        <v>146</v>
      </c>
      <c r="C190" s="10" t="s">
        <v>241</v>
      </c>
      <c r="D190" s="10" t="s">
        <v>247</v>
      </c>
      <c r="E190" s="16">
        <v>83</v>
      </c>
      <c r="F190" s="16">
        <v>83</v>
      </c>
      <c r="G190" s="13">
        <v>12299.106607953698</v>
      </c>
      <c r="H190" s="13">
        <v>12299.106607953698</v>
      </c>
      <c r="I190" s="14">
        <v>0</v>
      </c>
      <c r="J190" s="15">
        <v>1</v>
      </c>
      <c r="K190" s="14">
        <v>1897.7169296302709</v>
      </c>
      <c r="L190" s="13">
        <v>23340222.829241268</v>
      </c>
      <c r="M190" s="14">
        <v>4.2024857614566109</v>
      </c>
      <c r="N190" s="14">
        <v>1593.9906201433923</v>
      </c>
      <c r="O190" s="13">
        <v>19604660.56922181</v>
      </c>
      <c r="P190" s="13">
        <v>3735562.2600194588</v>
      </c>
      <c r="Q190" s="14">
        <v>1.190544602740232</v>
      </c>
      <c r="R190" s="15">
        <v>0.19054460274023194</v>
      </c>
    </row>
    <row r="191" spans="1:18" ht="18" customHeight="1">
      <c r="A191" s="10" t="s">
        <v>145</v>
      </c>
      <c r="B191" s="10" t="s">
        <v>146</v>
      </c>
      <c r="C191" s="10" t="s">
        <v>241</v>
      </c>
      <c r="D191" s="10" t="s">
        <v>249</v>
      </c>
      <c r="E191" s="16">
        <v>3</v>
      </c>
      <c r="F191" s="16">
        <v>3</v>
      </c>
      <c r="G191" s="13">
        <v>5.3487907952000002</v>
      </c>
      <c r="H191" s="13">
        <v>5.3487907952000002</v>
      </c>
      <c r="I191" s="14">
        <v>0</v>
      </c>
      <c r="J191" s="15">
        <v>1</v>
      </c>
      <c r="K191" s="14">
        <v>819.33921591178159</v>
      </c>
      <c r="L191" s="13">
        <v>4382.4740562153229</v>
      </c>
      <c r="M191" s="14">
        <v>3.9118407197224525</v>
      </c>
      <c r="N191" s="14">
        <v>816.28293946637632</v>
      </c>
      <c r="O191" s="13">
        <v>4366.1266728965529</v>
      </c>
      <c r="P191" s="13">
        <v>16.347383318769971</v>
      </c>
      <c r="Q191" s="14">
        <v>1.0037441385794528</v>
      </c>
      <c r="R191" s="15">
        <v>3.7441385794528209E-3</v>
      </c>
    </row>
    <row r="192" spans="1:18" ht="18" customHeight="1">
      <c r="A192" s="10" t="s">
        <v>145</v>
      </c>
      <c r="B192" s="10" t="s">
        <v>146</v>
      </c>
      <c r="C192" s="10" t="s">
        <v>241</v>
      </c>
      <c r="D192" s="10" t="s">
        <v>250</v>
      </c>
      <c r="E192" s="16">
        <v>7</v>
      </c>
      <c r="F192" s="16">
        <v>7</v>
      </c>
      <c r="G192" s="13">
        <v>207.93208925779999</v>
      </c>
      <c r="H192" s="13">
        <v>207.93208925779999</v>
      </c>
      <c r="I192" s="14">
        <v>0</v>
      </c>
      <c r="J192" s="15">
        <v>1</v>
      </c>
      <c r="K192" s="14">
        <v>1617.7507351704985</v>
      </c>
      <c r="L192" s="13">
        <v>336382.29026234365</v>
      </c>
      <c r="M192" s="14">
        <v>4.1822091540039761</v>
      </c>
      <c r="N192" s="14">
        <v>1521.2799940167668</v>
      </c>
      <c r="O192" s="13">
        <v>316322.92750199977</v>
      </c>
      <c r="P192" s="13">
        <v>20059.36276034388</v>
      </c>
      <c r="Q192" s="14">
        <v>1.0634141916893365</v>
      </c>
      <c r="R192" s="15">
        <v>6.3414191689336416E-2</v>
      </c>
    </row>
    <row r="193" spans="1:18" ht="18" customHeight="1">
      <c r="A193" s="10" t="s">
        <v>145</v>
      </c>
      <c r="B193" s="10" t="s">
        <v>146</v>
      </c>
      <c r="C193" s="10" t="s">
        <v>241</v>
      </c>
      <c r="D193" s="10" t="s">
        <v>251</v>
      </c>
      <c r="E193" s="16">
        <v>11</v>
      </c>
      <c r="F193" s="16">
        <v>11</v>
      </c>
      <c r="G193" s="13">
        <v>7394.8772966500001</v>
      </c>
      <c r="H193" s="13">
        <v>7394.8772966500001</v>
      </c>
      <c r="I193" s="14">
        <v>0</v>
      </c>
      <c r="J193" s="15">
        <v>1</v>
      </c>
      <c r="K193" s="14">
        <v>2766.7663828296018</v>
      </c>
      <c r="L193" s="13">
        <v>20459897.909521066</v>
      </c>
      <c r="M193" s="14">
        <v>4.4398471210203478</v>
      </c>
      <c r="N193" s="14">
        <v>2753.2593390257548</v>
      </c>
      <c r="O193" s="13">
        <v>20360014.977951139</v>
      </c>
      <c r="P193" s="13">
        <v>99882.931569926441</v>
      </c>
      <c r="Q193" s="14">
        <v>1.0049058378236997</v>
      </c>
      <c r="R193" s="15">
        <v>4.9058378236997652E-3</v>
      </c>
    </row>
    <row r="194" spans="1:18" ht="18" customHeight="1">
      <c r="A194" s="10" t="s">
        <v>71</v>
      </c>
      <c r="B194" s="10" t="s">
        <v>72</v>
      </c>
      <c r="C194" s="10" t="s">
        <v>241</v>
      </c>
      <c r="D194" s="10" t="s">
        <v>252</v>
      </c>
      <c r="E194" s="16">
        <v>5</v>
      </c>
      <c r="F194" s="16">
        <v>5</v>
      </c>
      <c r="G194" s="13">
        <v>419230.00572692213</v>
      </c>
      <c r="H194" s="13">
        <v>419230.00572692213</v>
      </c>
      <c r="I194" s="14">
        <v>0</v>
      </c>
      <c r="J194" s="15">
        <v>1</v>
      </c>
      <c r="K194" s="14">
        <v>32.521564520149504</v>
      </c>
      <c r="L194" s="13">
        <v>13634015.680030745</v>
      </c>
      <c r="M194" s="14">
        <v>2.5024938906375978</v>
      </c>
      <c r="N194" s="14">
        <v>31.804889470374402</v>
      </c>
      <c r="O194" s="13">
        <v>13333563.994809186</v>
      </c>
      <c r="P194" s="13">
        <v>300451.68522155844</v>
      </c>
      <c r="Q194" s="14">
        <v>1.0225334865710718</v>
      </c>
      <c r="R194" s="15">
        <v>2.2533486571071737E-2</v>
      </c>
    </row>
    <row r="195" spans="1:18" ht="18" customHeight="1">
      <c r="A195" s="10" t="s">
        <v>71</v>
      </c>
      <c r="B195" s="10" t="s">
        <v>72</v>
      </c>
      <c r="C195" s="10" t="s">
        <v>241</v>
      </c>
      <c r="D195" s="10" t="s">
        <v>242</v>
      </c>
      <c r="E195" s="16">
        <v>6</v>
      </c>
      <c r="F195" s="16">
        <v>6</v>
      </c>
      <c r="G195" s="13">
        <v>548.76522394480003</v>
      </c>
      <c r="H195" s="13">
        <v>548.76522394480003</v>
      </c>
      <c r="I195" s="14">
        <v>0</v>
      </c>
      <c r="J195" s="15">
        <v>1</v>
      </c>
      <c r="K195" s="14">
        <v>1847.1881537444826</v>
      </c>
      <c r="L195" s="13">
        <v>1013672.6208577728</v>
      </c>
      <c r="M195" s="14">
        <v>4.2373829892915778</v>
      </c>
      <c r="N195" s="14">
        <v>1727.3605200489328</v>
      </c>
      <c r="O195" s="13">
        <v>947915.38261805882</v>
      </c>
      <c r="P195" s="13">
        <v>65757.238239713944</v>
      </c>
      <c r="Q195" s="14">
        <v>1.0693703672769801</v>
      </c>
      <c r="R195" s="15">
        <v>6.9370367276980191E-2</v>
      </c>
    </row>
    <row r="196" spans="1:18" ht="18" customHeight="1">
      <c r="A196" s="10" t="s">
        <v>71</v>
      </c>
      <c r="B196" s="10" t="s">
        <v>72</v>
      </c>
      <c r="C196" s="10" t="s">
        <v>241</v>
      </c>
      <c r="D196" s="10" t="s">
        <v>243</v>
      </c>
      <c r="E196" s="16">
        <v>33</v>
      </c>
      <c r="F196" s="16">
        <v>33</v>
      </c>
      <c r="G196" s="13">
        <v>107413.19706949028</v>
      </c>
      <c r="H196" s="13">
        <v>107413.19706949028</v>
      </c>
      <c r="I196" s="14">
        <v>0</v>
      </c>
      <c r="J196" s="15">
        <v>1</v>
      </c>
      <c r="K196" s="14">
        <v>177.00712113342058</v>
      </c>
      <c r="L196" s="13">
        <v>19012900.785007242</v>
      </c>
      <c r="M196" s="14">
        <v>3.0271707780493631</v>
      </c>
      <c r="N196" s="14">
        <v>106.45615545229197</v>
      </c>
      <c r="O196" s="13">
        <v>11434796.00485733</v>
      </c>
      <c r="P196" s="13">
        <v>7578104.7801499125</v>
      </c>
      <c r="Q196" s="14">
        <v>1.6627232157819736</v>
      </c>
      <c r="R196" s="15">
        <v>0.66272321578197346</v>
      </c>
    </row>
    <row r="197" spans="1:18" ht="18" customHeight="1">
      <c r="A197" s="10" t="s">
        <v>71</v>
      </c>
      <c r="B197" s="10" t="s">
        <v>72</v>
      </c>
      <c r="C197" s="10" t="s">
        <v>241</v>
      </c>
      <c r="D197" s="10" t="s">
        <v>244</v>
      </c>
      <c r="E197" s="16">
        <v>10</v>
      </c>
      <c r="F197" s="16">
        <v>10</v>
      </c>
      <c r="G197" s="13">
        <v>20574.152655097401</v>
      </c>
      <c r="H197" s="13">
        <v>20574.152655097401</v>
      </c>
      <c r="I197" s="14">
        <v>0</v>
      </c>
      <c r="J197" s="15">
        <v>1</v>
      </c>
      <c r="K197" s="14">
        <v>786.31969319754512</v>
      </c>
      <c r="L197" s="13">
        <v>16177861.403555647</v>
      </c>
      <c r="M197" s="14">
        <v>3.7913005328144256</v>
      </c>
      <c r="N197" s="14">
        <v>618.44421696529253</v>
      </c>
      <c r="O197" s="13">
        <v>12723965.728506107</v>
      </c>
      <c r="P197" s="13">
        <v>3453895.6750495397</v>
      </c>
      <c r="Q197" s="14">
        <v>1.2714480491967699</v>
      </c>
      <c r="R197" s="15">
        <v>0.2714480491967699</v>
      </c>
    </row>
    <row r="198" spans="1:18" ht="18" customHeight="1">
      <c r="A198" s="10" t="s">
        <v>71</v>
      </c>
      <c r="B198" s="10" t="s">
        <v>72</v>
      </c>
      <c r="C198" s="10" t="s">
        <v>241</v>
      </c>
      <c r="D198" s="10" t="s">
        <v>253</v>
      </c>
      <c r="E198" s="16">
        <v>4</v>
      </c>
      <c r="F198" s="16">
        <v>4</v>
      </c>
      <c r="G198" s="13">
        <v>253264.12980418961</v>
      </c>
      <c r="H198" s="13">
        <v>253264.12980418961</v>
      </c>
      <c r="I198" s="14">
        <v>0</v>
      </c>
      <c r="J198" s="15">
        <v>1</v>
      </c>
      <c r="K198" s="14">
        <v>76.433262826254889</v>
      </c>
      <c r="L198" s="13">
        <v>19357803.797786359</v>
      </c>
      <c r="M198" s="14">
        <v>2.8826633757916191</v>
      </c>
      <c r="N198" s="14">
        <v>76.324395936015549</v>
      </c>
      <c r="O198" s="13">
        <v>19330231.719565403</v>
      </c>
      <c r="P198" s="13">
        <v>27572.078220956028</v>
      </c>
      <c r="Q198" s="14">
        <v>1.0014263708071873</v>
      </c>
      <c r="R198" s="15">
        <v>1.4263708071874021E-3</v>
      </c>
    </row>
    <row r="199" spans="1:18" ht="18" customHeight="1">
      <c r="A199" s="10" t="s">
        <v>71</v>
      </c>
      <c r="B199" s="10" t="s">
        <v>72</v>
      </c>
      <c r="C199" s="10" t="s">
        <v>241</v>
      </c>
      <c r="D199" s="10" t="s">
        <v>245</v>
      </c>
      <c r="E199" s="16">
        <v>12</v>
      </c>
      <c r="F199" s="16">
        <v>12</v>
      </c>
      <c r="G199" s="13">
        <v>13049.289571390704</v>
      </c>
      <c r="H199" s="13">
        <v>13049.289571390704</v>
      </c>
      <c r="I199" s="14">
        <v>0</v>
      </c>
      <c r="J199" s="15">
        <v>1</v>
      </c>
      <c r="K199" s="14">
        <v>32.99850352000319</v>
      </c>
      <c r="L199" s="13">
        <v>430607.02785507706</v>
      </c>
      <c r="M199" s="14">
        <v>2.2495169728147033</v>
      </c>
      <c r="N199" s="14">
        <v>17.763026872391787</v>
      </c>
      <c r="O199" s="13">
        <v>231794.88132223499</v>
      </c>
      <c r="P199" s="13">
        <v>198812.14653284207</v>
      </c>
      <c r="Q199" s="14">
        <v>1.8577072340801988</v>
      </c>
      <c r="R199" s="15">
        <v>0.85770723408019867</v>
      </c>
    </row>
    <row r="200" spans="1:18" ht="18" customHeight="1">
      <c r="A200" s="10" t="s">
        <v>71</v>
      </c>
      <c r="B200" s="10" t="s">
        <v>72</v>
      </c>
      <c r="C200" s="10" t="s">
        <v>241</v>
      </c>
      <c r="D200" s="10" t="s">
        <v>246</v>
      </c>
      <c r="E200" s="16">
        <v>36</v>
      </c>
      <c r="F200" s="16">
        <v>36</v>
      </c>
      <c r="G200" s="13">
        <v>373590.78195799136</v>
      </c>
      <c r="H200" s="13">
        <v>373590.78195799136</v>
      </c>
      <c r="I200" s="14">
        <v>0</v>
      </c>
      <c r="J200" s="15">
        <v>1</v>
      </c>
      <c r="K200" s="14">
        <v>477.53658739394842</v>
      </c>
      <c r="L200" s="13">
        <v>178403267.09805587</v>
      </c>
      <c r="M200" s="14">
        <v>3.5022043575824036</v>
      </c>
      <c r="N200" s="14">
        <v>317.83693028039187</v>
      </c>
      <c r="O200" s="13">
        <v>118740947.31857918</v>
      </c>
      <c r="P200" s="13">
        <v>59662319.779476687</v>
      </c>
      <c r="Q200" s="14">
        <v>1.5024578389071133</v>
      </c>
      <c r="R200" s="15">
        <v>0.50245783890711326</v>
      </c>
    </row>
    <row r="201" spans="1:18" ht="18" customHeight="1">
      <c r="A201" s="10" t="s">
        <v>71</v>
      </c>
      <c r="B201" s="10" t="s">
        <v>72</v>
      </c>
      <c r="C201" s="10" t="s">
        <v>241</v>
      </c>
      <c r="D201" s="10" t="s">
        <v>247</v>
      </c>
      <c r="E201" s="16">
        <v>91</v>
      </c>
      <c r="F201" s="16">
        <v>91</v>
      </c>
      <c r="G201" s="13">
        <v>262470.33620510949</v>
      </c>
      <c r="H201" s="13">
        <v>262470.33620510949</v>
      </c>
      <c r="I201" s="14">
        <v>0</v>
      </c>
      <c r="J201" s="15">
        <v>1</v>
      </c>
      <c r="K201" s="14">
        <v>852.26252226600263</v>
      </c>
      <c r="L201" s="13">
        <v>223693630.75417233</v>
      </c>
      <c r="M201" s="14">
        <v>3.7309283737815755</v>
      </c>
      <c r="N201" s="14">
        <v>538.18101544346564</v>
      </c>
      <c r="O201" s="13">
        <v>141256552.06265366</v>
      </c>
      <c r="P201" s="13">
        <v>82437078.691518664</v>
      </c>
      <c r="Q201" s="14">
        <v>1.5835982649141407</v>
      </c>
      <c r="R201" s="15">
        <v>0.58359826491414069</v>
      </c>
    </row>
    <row r="202" spans="1:18" ht="18" customHeight="1">
      <c r="A202" s="10" t="s">
        <v>71</v>
      </c>
      <c r="B202" s="10" t="s">
        <v>72</v>
      </c>
      <c r="C202" s="10" t="s">
        <v>241</v>
      </c>
      <c r="D202" s="10" t="s">
        <v>249</v>
      </c>
      <c r="E202" s="16">
        <v>8</v>
      </c>
      <c r="F202" s="16">
        <v>8</v>
      </c>
      <c r="G202" s="13">
        <v>13904.225366641598</v>
      </c>
      <c r="H202" s="13">
        <v>13904.225366641598</v>
      </c>
      <c r="I202" s="14">
        <v>0</v>
      </c>
      <c r="J202" s="15">
        <v>1</v>
      </c>
      <c r="K202" s="14">
        <v>304.79371486502782</v>
      </c>
      <c r="L202" s="13">
        <v>4237920.5018192464</v>
      </c>
      <c r="M202" s="14">
        <v>3.4821957825576866</v>
      </c>
      <c r="N202" s="14">
        <v>303.52591888689926</v>
      </c>
      <c r="O202" s="13">
        <v>4220292.7808204247</v>
      </c>
      <c r="P202" s="13">
        <v>17627.72099882178</v>
      </c>
      <c r="Q202" s="14">
        <v>1.0041768952805674</v>
      </c>
      <c r="R202" s="15">
        <v>4.1768952805674659E-3</v>
      </c>
    </row>
    <row r="203" spans="1:18" ht="18" customHeight="1">
      <c r="A203" s="10" t="s">
        <v>71</v>
      </c>
      <c r="B203" s="10" t="s">
        <v>72</v>
      </c>
      <c r="C203" s="10" t="s">
        <v>241</v>
      </c>
      <c r="D203" s="10" t="s">
        <v>250</v>
      </c>
      <c r="E203" s="16">
        <v>44</v>
      </c>
      <c r="F203" s="16">
        <v>44</v>
      </c>
      <c r="G203" s="13">
        <v>53887.467000071199</v>
      </c>
      <c r="H203" s="13">
        <v>53887.467000071199</v>
      </c>
      <c r="I203" s="14">
        <v>0</v>
      </c>
      <c r="J203" s="15">
        <v>1</v>
      </c>
      <c r="K203" s="14">
        <v>1700.6643250354764</v>
      </c>
      <c r="L203" s="13">
        <v>91644492.693547592</v>
      </c>
      <c r="M203" s="14">
        <v>4.1389551972420477</v>
      </c>
      <c r="N203" s="14">
        <v>1377.0674003149786</v>
      </c>
      <c r="O203" s="13">
        <v>74206674.091347247</v>
      </c>
      <c r="P203" s="13">
        <v>17437818.602200344</v>
      </c>
      <c r="Q203" s="14">
        <v>1.2349898956626821</v>
      </c>
      <c r="R203" s="15">
        <v>0.23498989566268208</v>
      </c>
    </row>
    <row r="204" spans="1:18" ht="18" customHeight="1">
      <c r="A204" s="10" t="s">
        <v>71</v>
      </c>
      <c r="B204" s="10" t="s">
        <v>72</v>
      </c>
      <c r="C204" s="10" t="s">
        <v>241</v>
      </c>
      <c r="D204" s="10" t="s">
        <v>251</v>
      </c>
      <c r="E204" s="16">
        <v>21</v>
      </c>
      <c r="F204" s="16">
        <v>21</v>
      </c>
      <c r="G204" s="13">
        <v>69738.362939064697</v>
      </c>
      <c r="H204" s="13">
        <v>69738.362939064697</v>
      </c>
      <c r="I204" s="14">
        <v>0</v>
      </c>
      <c r="J204" s="15">
        <v>1</v>
      </c>
      <c r="K204" s="14">
        <v>2597.749605883726</v>
      </c>
      <c r="L204" s="13">
        <v>181162804.83993155</v>
      </c>
      <c r="M204" s="14">
        <v>4.399952284157103</v>
      </c>
      <c r="N204" s="14">
        <v>2511.6104662388784</v>
      </c>
      <c r="O204" s="13">
        <v>175155602.25612041</v>
      </c>
      <c r="P204" s="13">
        <v>6007202.5838111341</v>
      </c>
      <c r="Q204" s="14">
        <v>1.0342963770866269</v>
      </c>
      <c r="R204" s="15">
        <v>3.4296377086626847E-2</v>
      </c>
    </row>
    <row r="205" spans="1:18" ht="18" customHeight="1">
      <c r="A205" s="10" t="s">
        <v>97</v>
      </c>
      <c r="B205" s="10" t="s">
        <v>98</v>
      </c>
      <c r="C205" s="10" t="s">
        <v>241</v>
      </c>
      <c r="D205" s="10" t="s">
        <v>252</v>
      </c>
      <c r="E205" s="16">
        <v>4</v>
      </c>
      <c r="F205" s="16">
        <v>4</v>
      </c>
      <c r="G205" s="13">
        <v>3996.4462912992003</v>
      </c>
      <c r="H205" s="13">
        <v>3996.4462912992003</v>
      </c>
      <c r="I205" s="14">
        <v>0</v>
      </c>
      <c r="J205" s="15">
        <v>1</v>
      </c>
      <c r="K205" s="14">
        <v>157.64531160889811</v>
      </c>
      <c r="L205" s="13">
        <v>630021.02092008758</v>
      </c>
      <c r="M205" s="14">
        <v>3.1934046009104398</v>
      </c>
      <c r="N205" s="14">
        <v>156.10061026470606</v>
      </c>
      <c r="O205" s="13">
        <v>623847.70496192644</v>
      </c>
      <c r="P205" s="13">
        <v>6173.3159581611399</v>
      </c>
      <c r="Q205" s="14">
        <v>1.0098955496815332</v>
      </c>
      <c r="R205" s="15">
        <v>9.8955496815330887E-3</v>
      </c>
    </row>
    <row r="206" spans="1:18" ht="18" customHeight="1">
      <c r="A206" s="10" t="s">
        <v>97</v>
      </c>
      <c r="B206" s="10" t="s">
        <v>98</v>
      </c>
      <c r="C206" s="10" t="s">
        <v>241</v>
      </c>
      <c r="D206" s="10" t="s">
        <v>242</v>
      </c>
      <c r="E206" s="16">
        <v>1</v>
      </c>
      <c r="F206" s="16">
        <v>1</v>
      </c>
      <c r="G206" s="13">
        <v>106.32421694289999</v>
      </c>
      <c r="H206" s="13">
        <v>106.32421694289999</v>
      </c>
      <c r="I206" s="14">
        <v>0</v>
      </c>
      <c r="J206" s="15">
        <v>1</v>
      </c>
      <c r="K206" s="14">
        <v>812.83051616409955</v>
      </c>
      <c r="L206" s="13">
        <v>86423.5681384411</v>
      </c>
      <c r="M206" s="14">
        <v>3.91</v>
      </c>
      <c r="N206" s="14">
        <v>812.83051616409955</v>
      </c>
      <c r="O206" s="13">
        <v>86423.5681384411</v>
      </c>
      <c r="P206" s="13">
        <v>0</v>
      </c>
      <c r="Q206" s="14">
        <v>1</v>
      </c>
      <c r="R206" s="15">
        <v>0</v>
      </c>
    </row>
    <row r="207" spans="1:18" ht="18" customHeight="1">
      <c r="A207" s="10" t="s">
        <v>97</v>
      </c>
      <c r="B207" s="10" t="s">
        <v>98</v>
      </c>
      <c r="C207" s="10" t="s">
        <v>241</v>
      </c>
      <c r="D207" s="10" t="s">
        <v>243</v>
      </c>
      <c r="E207" s="16">
        <v>44</v>
      </c>
      <c r="F207" s="16">
        <v>44</v>
      </c>
      <c r="G207" s="13">
        <v>60429.474825926292</v>
      </c>
      <c r="H207" s="13">
        <v>60429.474825926292</v>
      </c>
      <c r="I207" s="14">
        <v>0</v>
      </c>
      <c r="J207" s="15">
        <v>1</v>
      </c>
      <c r="K207" s="14">
        <v>227.48734837393454</v>
      </c>
      <c r="L207" s="13">
        <v>13746940.991779402</v>
      </c>
      <c r="M207" s="14">
        <v>3.2125762733697525</v>
      </c>
      <c r="N207" s="14">
        <v>163.14594106353269</v>
      </c>
      <c r="O207" s="13">
        <v>9858823.5384508036</v>
      </c>
      <c r="P207" s="13">
        <v>3888117.4533285983</v>
      </c>
      <c r="Q207" s="14">
        <v>1.3943794549283077</v>
      </c>
      <c r="R207" s="15">
        <v>0.39437945492830778</v>
      </c>
    </row>
    <row r="208" spans="1:18" ht="18" customHeight="1">
      <c r="A208" s="10" t="s">
        <v>97</v>
      </c>
      <c r="B208" s="10" t="s">
        <v>98</v>
      </c>
      <c r="C208" s="10" t="s">
        <v>241</v>
      </c>
      <c r="D208" s="10" t="s">
        <v>244</v>
      </c>
      <c r="E208" s="16">
        <v>3</v>
      </c>
      <c r="F208" s="16">
        <v>3</v>
      </c>
      <c r="G208" s="13">
        <v>190.29800752529999</v>
      </c>
      <c r="H208" s="13">
        <v>190.29800752529999</v>
      </c>
      <c r="I208" s="14">
        <v>0</v>
      </c>
      <c r="J208" s="15">
        <v>1</v>
      </c>
      <c r="K208" s="14">
        <v>276.74800124759412</v>
      </c>
      <c r="L208" s="13">
        <v>52664.593224026401</v>
      </c>
      <c r="M208" s="14">
        <v>3.4089926358439953</v>
      </c>
      <c r="N208" s="14">
        <v>256.44405519670505</v>
      </c>
      <c r="O208" s="13">
        <v>48800.792745641025</v>
      </c>
      <c r="P208" s="13">
        <v>3863.8004783853758</v>
      </c>
      <c r="Q208" s="14">
        <v>1.079174953130869</v>
      </c>
      <c r="R208" s="15">
        <v>7.9174953130868905E-2</v>
      </c>
    </row>
    <row r="209" spans="1:18" ht="18" customHeight="1">
      <c r="A209" s="10" t="s">
        <v>97</v>
      </c>
      <c r="B209" s="10" t="s">
        <v>98</v>
      </c>
      <c r="C209" s="10" t="s">
        <v>241</v>
      </c>
      <c r="D209" s="10" t="s">
        <v>253</v>
      </c>
      <c r="E209" s="16">
        <v>10</v>
      </c>
      <c r="F209" s="16">
        <v>10</v>
      </c>
      <c r="G209" s="13">
        <v>119269.19500032571</v>
      </c>
      <c r="H209" s="13">
        <v>119269.19500032571</v>
      </c>
      <c r="I209" s="14">
        <v>0</v>
      </c>
      <c r="J209" s="15">
        <v>1</v>
      </c>
      <c r="K209" s="14">
        <v>313.05278402501472</v>
      </c>
      <c r="L209" s="13">
        <v>37337553.543274328</v>
      </c>
      <c r="M209" s="14">
        <v>3.4183104265885556</v>
      </c>
      <c r="N209" s="14">
        <v>262.00551115821372</v>
      </c>
      <c r="O209" s="13">
        <v>31249186.401489004</v>
      </c>
      <c r="P209" s="13">
        <v>6088367.1417853236</v>
      </c>
      <c r="Q209" s="14">
        <v>1.1948328210393093</v>
      </c>
      <c r="R209" s="15">
        <v>0.19483282103930927</v>
      </c>
    </row>
    <row r="210" spans="1:18" ht="18" customHeight="1">
      <c r="A210" s="10" t="s">
        <v>97</v>
      </c>
      <c r="B210" s="10" t="s">
        <v>98</v>
      </c>
      <c r="C210" s="10" t="s">
        <v>241</v>
      </c>
      <c r="D210" s="10" t="s">
        <v>245</v>
      </c>
      <c r="E210" s="16">
        <v>40</v>
      </c>
      <c r="F210" s="16">
        <v>40</v>
      </c>
      <c r="G210" s="13">
        <v>68314.549168026497</v>
      </c>
      <c r="H210" s="13">
        <v>68314.549168026497</v>
      </c>
      <c r="I210" s="14">
        <v>0</v>
      </c>
      <c r="J210" s="15">
        <v>1</v>
      </c>
      <c r="K210" s="14">
        <v>13.286529783746731</v>
      </c>
      <c r="L210" s="13">
        <v>907663.29218421457</v>
      </c>
      <c r="M210" s="14">
        <v>2.0921272721148396</v>
      </c>
      <c r="N210" s="14">
        <v>12.363096869418472</v>
      </c>
      <c r="O210" s="13">
        <v>844579.3889549626</v>
      </c>
      <c r="P210" s="13">
        <v>63083.90322925197</v>
      </c>
      <c r="Q210" s="14">
        <v>1.0746926861515158</v>
      </c>
      <c r="R210" s="15">
        <v>7.4692686151515753E-2</v>
      </c>
    </row>
    <row r="211" spans="1:18" ht="18" customHeight="1">
      <c r="A211" s="10" t="s">
        <v>97</v>
      </c>
      <c r="B211" s="10" t="s">
        <v>98</v>
      </c>
      <c r="C211" s="10" t="s">
        <v>241</v>
      </c>
      <c r="D211" s="10" t="s">
        <v>246</v>
      </c>
      <c r="E211" s="16">
        <v>110</v>
      </c>
      <c r="F211" s="16">
        <v>110</v>
      </c>
      <c r="G211" s="13">
        <v>127853.04166348011</v>
      </c>
      <c r="H211" s="13">
        <v>127853.04166348011</v>
      </c>
      <c r="I211" s="14">
        <v>0</v>
      </c>
      <c r="J211" s="15">
        <v>1</v>
      </c>
      <c r="K211" s="14">
        <v>357.29059118947487</v>
      </c>
      <c r="L211" s="13">
        <v>45680688.841317371</v>
      </c>
      <c r="M211" s="14">
        <v>3.4342610086783663</v>
      </c>
      <c r="N211" s="14">
        <v>271.80723251005725</v>
      </c>
      <c r="O211" s="13">
        <v>34751381.42254357</v>
      </c>
      <c r="P211" s="13">
        <v>10929307.4187738</v>
      </c>
      <c r="Q211" s="14">
        <v>1.314499941337119</v>
      </c>
      <c r="R211" s="15">
        <v>0.314499941337119</v>
      </c>
    </row>
    <row r="212" spans="1:18" ht="18" customHeight="1">
      <c r="A212" s="10" t="s">
        <v>97</v>
      </c>
      <c r="B212" s="10" t="s">
        <v>98</v>
      </c>
      <c r="C212" s="10" t="s">
        <v>241</v>
      </c>
      <c r="D212" s="10" t="s">
        <v>247</v>
      </c>
      <c r="E212" s="16">
        <v>223</v>
      </c>
      <c r="F212" s="16">
        <v>223</v>
      </c>
      <c r="G212" s="13">
        <v>205693.30384362841</v>
      </c>
      <c r="H212" s="13">
        <v>205693.30384362841</v>
      </c>
      <c r="I212" s="14">
        <v>0</v>
      </c>
      <c r="J212" s="15">
        <v>1</v>
      </c>
      <c r="K212" s="14">
        <v>1118.7259460256907</v>
      </c>
      <c r="L212" s="13">
        <v>230114435.93361303</v>
      </c>
      <c r="M212" s="14">
        <v>3.7890642956944176</v>
      </c>
      <c r="N212" s="14">
        <v>615.26795411630474</v>
      </c>
      <c r="O212" s="13">
        <v>126556498.23129269</v>
      </c>
      <c r="P212" s="13">
        <v>103557937.70232034</v>
      </c>
      <c r="Q212" s="14">
        <v>1.8182743608554928</v>
      </c>
      <c r="R212" s="15">
        <v>0.81827436085549277</v>
      </c>
    </row>
    <row r="213" spans="1:18" ht="18" customHeight="1">
      <c r="A213" s="10" t="s">
        <v>97</v>
      </c>
      <c r="B213" s="10" t="s">
        <v>98</v>
      </c>
      <c r="C213" s="10" t="s">
        <v>241</v>
      </c>
      <c r="D213" s="10" t="s">
        <v>249</v>
      </c>
      <c r="E213" s="16">
        <v>5</v>
      </c>
      <c r="F213" s="16">
        <v>5</v>
      </c>
      <c r="G213" s="13">
        <v>16.405066406100001</v>
      </c>
      <c r="H213" s="13">
        <v>16.405066406100001</v>
      </c>
      <c r="I213" s="14">
        <v>0</v>
      </c>
      <c r="J213" s="15">
        <v>1</v>
      </c>
      <c r="K213" s="14">
        <v>503.18810876725291</v>
      </c>
      <c r="L213" s="13">
        <v>8254.8343390866539</v>
      </c>
      <c r="M213" s="14">
        <v>3.6931330802392779</v>
      </c>
      <c r="N213" s="14">
        <v>493.32494965747333</v>
      </c>
      <c r="O213" s="13">
        <v>8093.0285589167897</v>
      </c>
      <c r="P213" s="13">
        <v>161.80578016986419</v>
      </c>
      <c r="Q213" s="14">
        <v>1.0199932298510905</v>
      </c>
      <c r="R213" s="15">
        <v>1.9993229851090637E-2</v>
      </c>
    </row>
    <row r="214" spans="1:18" ht="18" customHeight="1">
      <c r="A214" s="10" t="s">
        <v>97</v>
      </c>
      <c r="B214" s="10" t="s">
        <v>98</v>
      </c>
      <c r="C214" s="10" t="s">
        <v>241</v>
      </c>
      <c r="D214" s="10" t="s">
        <v>250</v>
      </c>
      <c r="E214" s="16">
        <v>46</v>
      </c>
      <c r="F214" s="16">
        <v>46</v>
      </c>
      <c r="G214" s="13">
        <v>22893.729598410599</v>
      </c>
      <c r="H214" s="13">
        <v>22893.729598410599</v>
      </c>
      <c r="I214" s="14">
        <v>0</v>
      </c>
      <c r="J214" s="15">
        <v>1</v>
      </c>
      <c r="K214" s="14">
        <v>1002.0318863084472</v>
      </c>
      <c r="L214" s="13">
        <v>22940247.054130901</v>
      </c>
      <c r="M214" s="14">
        <v>3.9134289129407551</v>
      </c>
      <c r="N214" s="14">
        <v>819.27351023686208</v>
      </c>
      <c r="O214" s="13">
        <v>18756226.210503399</v>
      </c>
      <c r="P214" s="13">
        <v>4184020.8436275013</v>
      </c>
      <c r="Q214" s="14">
        <v>1.2230737034555741</v>
      </c>
      <c r="R214" s="15">
        <v>0.22307370345557409</v>
      </c>
    </row>
    <row r="215" spans="1:18" ht="18" customHeight="1">
      <c r="A215" s="10" t="s">
        <v>97</v>
      </c>
      <c r="B215" s="10" t="s">
        <v>98</v>
      </c>
      <c r="C215" s="10" t="s">
        <v>241</v>
      </c>
      <c r="D215" s="10" t="s">
        <v>251</v>
      </c>
      <c r="E215" s="16">
        <v>21</v>
      </c>
      <c r="F215" s="16">
        <v>21</v>
      </c>
      <c r="G215" s="13">
        <v>16945.195538182306</v>
      </c>
      <c r="H215" s="13">
        <v>16945.195538182306</v>
      </c>
      <c r="I215" s="14">
        <v>0</v>
      </c>
      <c r="J215" s="15">
        <v>1</v>
      </c>
      <c r="K215" s="14">
        <v>2770.9717356980204</v>
      </c>
      <c r="L215" s="13">
        <v>46954657.892179377</v>
      </c>
      <c r="M215" s="14">
        <v>4.4382852966700748</v>
      </c>
      <c r="N215" s="14">
        <v>2743.3757581320642</v>
      </c>
      <c r="O215" s="13">
        <v>46487038.656256959</v>
      </c>
      <c r="P215" s="13">
        <v>467619.23592241853</v>
      </c>
      <c r="Q215" s="14">
        <v>1.0100591315222329</v>
      </c>
      <c r="R215" s="15">
        <v>1.0059131522233004E-2</v>
      </c>
    </row>
    <row r="216" spans="1:18" ht="18" customHeight="1">
      <c r="A216" s="10" t="s">
        <v>28</v>
      </c>
      <c r="B216" s="10" t="s">
        <v>29</v>
      </c>
      <c r="C216" s="10" t="s">
        <v>241</v>
      </c>
      <c r="D216" s="10" t="s">
        <v>252</v>
      </c>
      <c r="E216" s="16">
        <v>3</v>
      </c>
      <c r="F216" s="16">
        <v>3</v>
      </c>
      <c r="G216" s="13">
        <v>4598547.7991170343</v>
      </c>
      <c r="H216" s="13">
        <v>4598547.7991170343</v>
      </c>
      <c r="I216" s="14">
        <v>0</v>
      </c>
      <c r="J216" s="15">
        <v>1</v>
      </c>
      <c r="K216" s="14">
        <v>50.120255971114005</v>
      </c>
      <c r="L216" s="13">
        <v>230480392.78714871</v>
      </c>
      <c r="M216" s="14">
        <v>2.7000053082325159</v>
      </c>
      <c r="N216" s="14">
        <v>50.119335950438959</v>
      </c>
      <c r="O216" s="13">
        <v>230476162.02809832</v>
      </c>
      <c r="P216" s="13">
        <v>4230.759050399065</v>
      </c>
      <c r="Q216" s="14">
        <v>1.0000183566014513</v>
      </c>
      <c r="R216" s="15">
        <v>1.8356601451404226E-5</v>
      </c>
    </row>
    <row r="217" spans="1:18" ht="18" customHeight="1">
      <c r="A217" s="10" t="s">
        <v>28</v>
      </c>
      <c r="B217" s="10" t="s">
        <v>29</v>
      </c>
      <c r="C217" s="10" t="s">
        <v>241</v>
      </c>
      <c r="D217" s="10" t="s">
        <v>242</v>
      </c>
      <c r="E217" s="16">
        <v>5</v>
      </c>
      <c r="F217" s="16">
        <v>5</v>
      </c>
      <c r="G217" s="13">
        <v>103175.9252273117</v>
      </c>
      <c r="H217" s="13">
        <v>103175.9252273117</v>
      </c>
      <c r="I217" s="14">
        <v>0</v>
      </c>
      <c r="J217" s="15">
        <v>1</v>
      </c>
      <c r="K217" s="14">
        <v>2309.2740166755052</v>
      </c>
      <c r="L217" s="13">
        <v>238261483.27388567</v>
      </c>
      <c r="M217" s="14">
        <v>4.3549871299792926</v>
      </c>
      <c r="N217" s="14">
        <v>2264.5771973982696</v>
      </c>
      <c r="O217" s="13">
        <v>233649847.59023896</v>
      </c>
      <c r="P217" s="13">
        <v>4611635.6836467087</v>
      </c>
      <c r="Q217" s="14">
        <v>1.0197373793786262</v>
      </c>
      <c r="R217" s="15">
        <v>1.9737379378626078E-2</v>
      </c>
    </row>
    <row r="218" spans="1:18" ht="18" customHeight="1">
      <c r="A218" s="10" t="s">
        <v>28</v>
      </c>
      <c r="B218" s="10" t="s">
        <v>29</v>
      </c>
      <c r="C218" s="10" t="s">
        <v>241</v>
      </c>
      <c r="D218" s="10" t="s">
        <v>243</v>
      </c>
      <c r="E218" s="16">
        <v>22</v>
      </c>
      <c r="F218" s="16">
        <v>22</v>
      </c>
      <c r="G218" s="13">
        <v>27172.084580324004</v>
      </c>
      <c r="H218" s="13">
        <v>27172.084580324004</v>
      </c>
      <c r="I218" s="14">
        <v>0</v>
      </c>
      <c r="J218" s="15">
        <v>1</v>
      </c>
      <c r="K218" s="14">
        <v>94.240940821088842</v>
      </c>
      <c r="L218" s="13">
        <v>2560722.8149199351</v>
      </c>
      <c r="M218" s="14">
        <v>2.7177082137527782</v>
      </c>
      <c r="N218" s="14">
        <v>52.204532838260889</v>
      </c>
      <c r="O218" s="13">
        <v>1418505.9817575268</v>
      </c>
      <c r="P218" s="13">
        <v>1142216.8331624083</v>
      </c>
      <c r="Q218" s="14">
        <v>1.8052252495595424</v>
      </c>
      <c r="R218" s="15">
        <v>0.80522524955954256</v>
      </c>
    </row>
    <row r="219" spans="1:18" ht="18" customHeight="1">
      <c r="A219" s="10" t="s">
        <v>28</v>
      </c>
      <c r="B219" s="10" t="s">
        <v>29</v>
      </c>
      <c r="C219" s="10" t="s">
        <v>241</v>
      </c>
      <c r="D219" s="10" t="s">
        <v>244</v>
      </c>
      <c r="E219" s="16">
        <v>6</v>
      </c>
      <c r="F219" s="16">
        <v>6</v>
      </c>
      <c r="G219" s="13">
        <v>2102.1049634653</v>
      </c>
      <c r="H219" s="13">
        <v>2102.1049634653</v>
      </c>
      <c r="I219" s="14">
        <v>0</v>
      </c>
      <c r="J219" s="15">
        <v>1</v>
      </c>
      <c r="K219" s="14">
        <v>516.5369614030293</v>
      </c>
      <c r="L219" s="13">
        <v>1085814.9103785919</v>
      </c>
      <c r="M219" s="14">
        <v>3.6398234746414668</v>
      </c>
      <c r="N219" s="14">
        <v>436.33844003549865</v>
      </c>
      <c r="O219" s="13">
        <v>917229.20054932788</v>
      </c>
      <c r="P219" s="13">
        <v>168585.70982926397</v>
      </c>
      <c r="Q219" s="14">
        <v>1.1837988909732684</v>
      </c>
      <c r="R219" s="15">
        <v>0.18379889097326832</v>
      </c>
    </row>
    <row r="220" spans="1:18" ht="18" customHeight="1">
      <c r="A220" s="10" t="s">
        <v>28</v>
      </c>
      <c r="B220" s="10" t="s">
        <v>29</v>
      </c>
      <c r="C220" s="10" t="s">
        <v>241</v>
      </c>
      <c r="D220" s="10" t="s">
        <v>253</v>
      </c>
      <c r="E220" s="16">
        <v>5</v>
      </c>
      <c r="F220" s="16">
        <v>5</v>
      </c>
      <c r="G220" s="13">
        <v>364665.91995222075</v>
      </c>
      <c r="H220" s="13">
        <v>364665.91995222075</v>
      </c>
      <c r="I220" s="14">
        <v>0</v>
      </c>
      <c r="J220" s="15">
        <v>1</v>
      </c>
      <c r="K220" s="14">
        <v>26.565062463694456</v>
      </c>
      <c r="L220" s="13">
        <v>9687372.9419113472</v>
      </c>
      <c r="M220" s="14">
        <v>2.1235344375932526</v>
      </c>
      <c r="N220" s="14">
        <v>13.290289389478747</v>
      </c>
      <c r="O220" s="13">
        <v>4846515.6066455059</v>
      </c>
      <c r="P220" s="13">
        <v>4840857.3352658413</v>
      </c>
      <c r="Q220" s="14">
        <v>1.9988325073436459</v>
      </c>
      <c r="R220" s="15">
        <v>0.99883250734364581</v>
      </c>
    </row>
    <row r="221" spans="1:18" ht="18" customHeight="1">
      <c r="A221" s="10" t="s">
        <v>28</v>
      </c>
      <c r="B221" s="10" t="s">
        <v>29</v>
      </c>
      <c r="C221" s="10" t="s">
        <v>241</v>
      </c>
      <c r="D221" s="10" t="s">
        <v>245</v>
      </c>
      <c r="E221" s="16">
        <v>28</v>
      </c>
      <c r="F221" s="16">
        <v>28</v>
      </c>
      <c r="G221" s="13">
        <v>143346.93019208778</v>
      </c>
      <c r="H221" s="13">
        <v>143346.93019208778</v>
      </c>
      <c r="I221" s="14">
        <v>0</v>
      </c>
      <c r="J221" s="15">
        <v>1</v>
      </c>
      <c r="K221" s="14">
        <v>15.47803451051527</v>
      </c>
      <c r="L221" s="13">
        <v>2218728.7324895579</v>
      </c>
      <c r="M221" s="14">
        <v>2.0733651073739412</v>
      </c>
      <c r="N221" s="14">
        <v>11.840365460540381</v>
      </c>
      <c r="O221" s="13">
        <v>1697280.0411208894</v>
      </c>
      <c r="P221" s="13">
        <v>521448.69136866857</v>
      </c>
      <c r="Q221" s="14">
        <v>1.3072260786288998</v>
      </c>
      <c r="R221" s="15">
        <v>0.30722607862889978</v>
      </c>
    </row>
    <row r="222" spans="1:18" ht="18" customHeight="1">
      <c r="A222" s="10" t="s">
        <v>28</v>
      </c>
      <c r="B222" s="10" t="s">
        <v>29</v>
      </c>
      <c r="C222" s="10" t="s">
        <v>241</v>
      </c>
      <c r="D222" s="10" t="s">
        <v>246</v>
      </c>
      <c r="E222" s="16">
        <v>19</v>
      </c>
      <c r="F222" s="16">
        <v>19</v>
      </c>
      <c r="G222" s="13">
        <v>1004132.0481028467</v>
      </c>
      <c r="H222" s="13">
        <v>1004132.0481028467</v>
      </c>
      <c r="I222" s="14">
        <v>0</v>
      </c>
      <c r="J222" s="15">
        <v>1</v>
      </c>
      <c r="K222" s="14">
        <v>1099.2732552812815</v>
      </c>
      <c r="L222" s="13">
        <v>1103815505.2502768</v>
      </c>
      <c r="M222" s="14">
        <v>3.8917728377293099</v>
      </c>
      <c r="N222" s="14">
        <v>779.42231888748188</v>
      </c>
      <c r="O222" s="13">
        <v>782642929.40155733</v>
      </c>
      <c r="P222" s="13">
        <v>321172575.84871948</v>
      </c>
      <c r="Q222" s="14">
        <v>1.4103692294189663</v>
      </c>
      <c r="R222" s="15">
        <v>0.41036922941896625</v>
      </c>
    </row>
    <row r="223" spans="1:18" ht="18" customHeight="1">
      <c r="A223" s="10" t="s">
        <v>28</v>
      </c>
      <c r="B223" s="10" t="s">
        <v>29</v>
      </c>
      <c r="C223" s="10" t="s">
        <v>241</v>
      </c>
      <c r="D223" s="10" t="s">
        <v>247</v>
      </c>
      <c r="E223" s="16">
        <v>50</v>
      </c>
      <c r="F223" s="16">
        <v>50</v>
      </c>
      <c r="G223" s="13">
        <v>943495.29399625713</v>
      </c>
      <c r="H223" s="13">
        <v>943495.29399625713</v>
      </c>
      <c r="I223" s="14">
        <v>0</v>
      </c>
      <c r="J223" s="15">
        <v>1</v>
      </c>
      <c r="K223" s="14">
        <v>507.11481917512418</v>
      </c>
      <c r="L223" s="13">
        <v>478460445.40749258</v>
      </c>
      <c r="M223" s="14">
        <v>3.460375633497943</v>
      </c>
      <c r="N223" s="14">
        <v>288.65270620781041</v>
      </c>
      <c r="O223" s="13">
        <v>272342469.90635329</v>
      </c>
      <c r="P223" s="13">
        <v>206117975.50113928</v>
      </c>
      <c r="Q223" s="14">
        <v>1.7568337599788026</v>
      </c>
      <c r="R223" s="15">
        <v>0.75683375997880264</v>
      </c>
    </row>
    <row r="224" spans="1:18" ht="18" customHeight="1">
      <c r="A224" s="10" t="s">
        <v>28</v>
      </c>
      <c r="B224" s="10" t="s">
        <v>29</v>
      </c>
      <c r="C224" s="10" t="s">
        <v>241</v>
      </c>
      <c r="D224" s="10" t="s">
        <v>248</v>
      </c>
      <c r="E224" s="16">
        <v>1</v>
      </c>
      <c r="F224" s="16">
        <v>1</v>
      </c>
      <c r="G224" s="13">
        <v>0.95836452650000004</v>
      </c>
      <c r="H224" s="13">
        <v>0.95836452650000004</v>
      </c>
      <c r="I224" s="14">
        <v>0</v>
      </c>
      <c r="J224" s="15">
        <v>1</v>
      </c>
      <c r="K224" s="14">
        <v>144.54397707459279</v>
      </c>
      <c r="L224" s="13">
        <v>138.52582014751897</v>
      </c>
      <c r="M224" s="14">
        <v>3.16</v>
      </c>
      <c r="N224" s="14">
        <v>144.54397707459279</v>
      </c>
      <c r="O224" s="13">
        <v>138.52582014751897</v>
      </c>
      <c r="P224" s="13">
        <v>0</v>
      </c>
      <c r="Q224" s="14">
        <v>1</v>
      </c>
      <c r="R224" s="15">
        <v>0</v>
      </c>
    </row>
    <row r="225" spans="1:18" ht="18" customHeight="1">
      <c r="A225" s="10" t="s">
        <v>28</v>
      </c>
      <c r="B225" s="10" t="s">
        <v>29</v>
      </c>
      <c r="C225" s="10" t="s">
        <v>241</v>
      </c>
      <c r="D225" s="10" t="s">
        <v>249</v>
      </c>
      <c r="E225" s="16">
        <v>4</v>
      </c>
      <c r="F225" s="16">
        <v>4</v>
      </c>
      <c r="G225" s="13">
        <v>12464.655147224999</v>
      </c>
      <c r="H225" s="13">
        <v>12464.655147224999</v>
      </c>
      <c r="I225" s="14">
        <v>0</v>
      </c>
      <c r="J225" s="15">
        <v>1</v>
      </c>
      <c r="K225" s="14">
        <v>70.953499155332338</v>
      </c>
      <c r="L225" s="13">
        <v>884410.89846013789</v>
      </c>
      <c r="M225" s="14">
        <v>2.7892808870216403</v>
      </c>
      <c r="N225" s="14">
        <v>61.557487705452864</v>
      </c>
      <c r="O225" s="13">
        <v>767292.85597801267</v>
      </c>
      <c r="P225" s="13">
        <v>117118.04248212522</v>
      </c>
      <c r="Q225" s="14">
        <v>1.1526379941760871</v>
      </c>
      <c r="R225" s="15">
        <v>0.15263799417608723</v>
      </c>
    </row>
    <row r="226" spans="1:18" ht="18" customHeight="1">
      <c r="A226" s="10" t="s">
        <v>28</v>
      </c>
      <c r="B226" s="10" t="s">
        <v>29</v>
      </c>
      <c r="C226" s="10" t="s">
        <v>241</v>
      </c>
      <c r="D226" s="10" t="s">
        <v>250</v>
      </c>
      <c r="E226" s="16">
        <v>24</v>
      </c>
      <c r="F226" s="16">
        <v>24</v>
      </c>
      <c r="G226" s="13">
        <v>25393.670406732701</v>
      </c>
      <c r="H226" s="13">
        <v>25393.670406732701</v>
      </c>
      <c r="I226" s="14">
        <v>0</v>
      </c>
      <c r="J226" s="15">
        <v>1</v>
      </c>
      <c r="K226" s="14">
        <v>2134.3621298675785</v>
      </c>
      <c r="L226" s="13">
        <v>54199288.454469308</v>
      </c>
      <c r="M226" s="14">
        <v>4.2092226606685026</v>
      </c>
      <c r="N226" s="14">
        <v>1618.9098321057861</v>
      </c>
      <c r="O226" s="13">
        <v>41110062.694713309</v>
      </c>
      <c r="P226" s="13">
        <v>13089225.759755999</v>
      </c>
      <c r="Q226" s="14">
        <v>1.31839469224257</v>
      </c>
      <c r="R226" s="15">
        <v>0.31839469224256994</v>
      </c>
    </row>
    <row r="227" spans="1:18" ht="18" customHeight="1">
      <c r="A227" s="10" t="s">
        <v>28</v>
      </c>
      <c r="B227" s="10" t="s">
        <v>29</v>
      </c>
      <c r="C227" s="10" t="s">
        <v>241</v>
      </c>
      <c r="D227" s="10" t="s">
        <v>251</v>
      </c>
      <c r="E227" s="16">
        <v>17</v>
      </c>
      <c r="F227" s="16">
        <v>17</v>
      </c>
      <c r="G227" s="13">
        <v>165883.2905515809</v>
      </c>
      <c r="H227" s="13">
        <v>165883.2905515809</v>
      </c>
      <c r="I227" s="14">
        <v>0</v>
      </c>
      <c r="J227" s="15">
        <v>1</v>
      </c>
      <c r="K227" s="14">
        <v>2956.2845933161839</v>
      </c>
      <c r="L227" s="13">
        <v>490398216.1462307</v>
      </c>
      <c r="M227" s="14">
        <v>4.469331134457172</v>
      </c>
      <c r="N227" s="14">
        <v>2946.6675091117918</v>
      </c>
      <c r="O227" s="13">
        <v>488802902.57289451</v>
      </c>
      <c r="P227" s="13">
        <v>1595313.573336184</v>
      </c>
      <c r="Q227" s="14">
        <v>1.0032637154258679</v>
      </c>
      <c r="R227" s="15">
        <v>3.2637154258679489E-3</v>
      </c>
    </row>
    <row r="228" spans="1:18" ht="18" customHeight="1">
      <c r="A228" s="10" t="s">
        <v>51</v>
      </c>
      <c r="B228" s="10" t="s">
        <v>52</v>
      </c>
      <c r="C228" s="10" t="s">
        <v>241</v>
      </c>
      <c r="D228" s="10" t="s">
        <v>252</v>
      </c>
      <c r="E228" s="16">
        <v>3</v>
      </c>
      <c r="F228" s="16">
        <v>3</v>
      </c>
      <c r="G228" s="13">
        <v>6907.3527900270992</v>
      </c>
      <c r="H228" s="13">
        <v>6907.3527900270992</v>
      </c>
      <c r="I228" s="14">
        <v>0</v>
      </c>
      <c r="J228" s="15">
        <v>1</v>
      </c>
      <c r="K228" s="14">
        <v>32.716543958250547</v>
      </c>
      <c r="L228" s="13">
        <v>225984.71119006615</v>
      </c>
      <c r="M228" s="14">
        <v>2.5115913260298499</v>
      </c>
      <c r="N228" s="14">
        <v>32.478153198195436</v>
      </c>
      <c r="O228" s="13">
        <v>224338.06210848279</v>
      </c>
      <c r="P228" s="13">
        <v>1646.6490815833677</v>
      </c>
      <c r="Q228" s="14">
        <v>1.0073400343486389</v>
      </c>
      <c r="R228" s="15">
        <v>7.3400343486389767E-3</v>
      </c>
    </row>
    <row r="229" spans="1:18" ht="18" customHeight="1">
      <c r="A229" s="10" t="s">
        <v>51</v>
      </c>
      <c r="B229" s="10" t="s">
        <v>52</v>
      </c>
      <c r="C229" s="10" t="s">
        <v>241</v>
      </c>
      <c r="D229" s="10" t="s">
        <v>242</v>
      </c>
      <c r="E229" s="16">
        <v>12</v>
      </c>
      <c r="F229" s="16">
        <v>12</v>
      </c>
      <c r="G229" s="13">
        <v>740821.9266295667</v>
      </c>
      <c r="H229" s="13">
        <v>740821.9266295667</v>
      </c>
      <c r="I229" s="14">
        <v>0</v>
      </c>
      <c r="J229" s="15">
        <v>1</v>
      </c>
      <c r="K229" s="14">
        <v>1499.2304428207526</v>
      </c>
      <c r="L229" s="13">
        <v>1110662785.1121683</v>
      </c>
      <c r="M229" s="14">
        <v>4.1495399322213444</v>
      </c>
      <c r="N229" s="14">
        <v>1411.0419720461523</v>
      </c>
      <c r="O229" s="13">
        <v>1045330832.2864138</v>
      </c>
      <c r="P229" s="13">
        <v>65331952.825754523</v>
      </c>
      <c r="Q229" s="14">
        <v>1.0624988288950172</v>
      </c>
      <c r="R229" s="15">
        <v>6.2498828895017226E-2</v>
      </c>
    </row>
    <row r="230" spans="1:18" ht="18" customHeight="1">
      <c r="A230" s="10" t="s">
        <v>51</v>
      </c>
      <c r="B230" s="10" t="s">
        <v>52</v>
      </c>
      <c r="C230" s="10" t="s">
        <v>241</v>
      </c>
      <c r="D230" s="10" t="s">
        <v>243</v>
      </c>
      <c r="E230" s="16">
        <v>14</v>
      </c>
      <c r="F230" s="16">
        <v>14</v>
      </c>
      <c r="G230" s="13">
        <v>285498.36657859088</v>
      </c>
      <c r="H230" s="13">
        <v>285498.36657859088</v>
      </c>
      <c r="I230" s="14">
        <v>0</v>
      </c>
      <c r="J230" s="15">
        <v>1</v>
      </c>
      <c r="K230" s="14">
        <v>16.935056346045648</v>
      </c>
      <c r="L230" s="13">
        <v>4834930.9247124325</v>
      </c>
      <c r="M230" s="14">
        <v>2.2050563794272131</v>
      </c>
      <c r="N230" s="14">
        <v>16.034535349975965</v>
      </c>
      <c r="O230" s="13">
        <v>4577833.6512648119</v>
      </c>
      <c r="P230" s="13">
        <v>257097.27344762068</v>
      </c>
      <c r="Q230" s="14">
        <v>1.0561613402829932</v>
      </c>
      <c r="R230" s="15">
        <v>5.6161340282993279E-2</v>
      </c>
    </row>
    <row r="231" spans="1:18" ht="18" customHeight="1">
      <c r="A231" s="10" t="s">
        <v>51</v>
      </c>
      <c r="B231" s="10" t="s">
        <v>52</v>
      </c>
      <c r="C231" s="10" t="s">
        <v>241</v>
      </c>
      <c r="D231" s="10" t="s">
        <v>244</v>
      </c>
      <c r="E231" s="16">
        <v>2</v>
      </c>
      <c r="F231" s="16">
        <v>2</v>
      </c>
      <c r="G231" s="13">
        <v>8.4540173999999996E-2</v>
      </c>
      <c r="H231" s="13">
        <v>8.4540173999999996E-2</v>
      </c>
      <c r="I231" s="14">
        <v>0</v>
      </c>
      <c r="J231" s="15">
        <v>1</v>
      </c>
      <c r="K231" s="14">
        <v>321.20134453512742</v>
      </c>
      <c r="L231" s="13">
        <v>27.154417556033618</v>
      </c>
      <c r="M231" s="14">
        <v>3.4901731731472427</v>
      </c>
      <c r="N231" s="14">
        <v>309.1527920878317</v>
      </c>
      <c r="O231" s="13">
        <v>26.135830835691113</v>
      </c>
      <c r="P231" s="13">
        <v>1.0185867203425047</v>
      </c>
      <c r="Q231" s="14">
        <v>1.0389728081248337</v>
      </c>
      <c r="R231" s="15">
        <v>3.8972808124833815E-2</v>
      </c>
    </row>
    <row r="232" spans="1:18" ht="18" customHeight="1">
      <c r="A232" s="10" t="s">
        <v>51</v>
      </c>
      <c r="B232" s="10" t="s">
        <v>52</v>
      </c>
      <c r="C232" s="10" t="s">
        <v>241</v>
      </c>
      <c r="D232" s="10" t="s">
        <v>253</v>
      </c>
      <c r="E232" s="16">
        <v>6</v>
      </c>
      <c r="F232" s="16">
        <v>6</v>
      </c>
      <c r="G232" s="13">
        <v>5940.7491715112001</v>
      </c>
      <c r="H232" s="13">
        <v>5940.7491715112001</v>
      </c>
      <c r="I232" s="14">
        <v>0</v>
      </c>
      <c r="J232" s="15">
        <v>1</v>
      </c>
      <c r="K232" s="14">
        <v>157.47848902985805</v>
      </c>
      <c r="L232" s="13">
        <v>935540.20323496487</v>
      </c>
      <c r="M232" s="14">
        <v>3.0874175272960374</v>
      </c>
      <c r="N232" s="14">
        <v>122.29748535601935</v>
      </c>
      <c r="O232" s="13">
        <v>726538.68480667507</v>
      </c>
      <c r="P232" s="13">
        <v>209001.5184282898</v>
      </c>
      <c r="Q232" s="14">
        <v>1.2876674329927842</v>
      </c>
      <c r="R232" s="15">
        <v>0.28766743299278424</v>
      </c>
    </row>
    <row r="233" spans="1:18" ht="18" customHeight="1">
      <c r="A233" s="10" t="s">
        <v>51</v>
      </c>
      <c r="B233" s="10" t="s">
        <v>52</v>
      </c>
      <c r="C233" s="10" t="s">
        <v>241</v>
      </c>
      <c r="D233" s="10" t="s">
        <v>245</v>
      </c>
      <c r="E233" s="16">
        <v>11</v>
      </c>
      <c r="F233" s="16">
        <v>11</v>
      </c>
      <c r="G233" s="13">
        <v>23703.820291330201</v>
      </c>
      <c r="H233" s="13">
        <v>23703.820291330201</v>
      </c>
      <c r="I233" s="14">
        <v>0</v>
      </c>
      <c r="J233" s="15">
        <v>1</v>
      </c>
      <c r="K233" s="14">
        <v>10.000081017993296</v>
      </c>
      <c r="L233" s="13">
        <v>237040.12334925545</v>
      </c>
      <c r="M233" s="14">
        <v>2.0000026676259619</v>
      </c>
      <c r="N233" s="14">
        <v>10.000061424546384</v>
      </c>
      <c r="O233" s="13">
        <v>237039.658909711</v>
      </c>
      <c r="P233" s="13">
        <v>0.46443954444839619</v>
      </c>
      <c r="Q233" s="14">
        <v>1.0000019593326559</v>
      </c>
      <c r="R233" s="15">
        <v>1.9593326559135085E-6</v>
      </c>
    </row>
    <row r="234" spans="1:18" ht="18" customHeight="1">
      <c r="A234" s="10" t="s">
        <v>51</v>
      </c>
      <c r="B234" s="10" t="s">
        <v>52</v>
      </c>
      <c r="C234" s="10" t="s">
        <v>241</v>
      </c>
      <c r="D234" s="10" t="s">
        <v>246</v>
      </c>
      <c r="E234" s="16">
        <v>25</v>
      </c>
      <c r="F234" s="16">
        <v>25</v>
      </c>
      <c r="G234" s="13">
        <v>358321.83677394048</v>
      </c>
      <c r="H234" s="13">
        <v>358321.83677394048</v>
      </c>
      <c r="I234" s="14">
        <v>0</v>
      </c>
      <c r="J234" s="15">
        <v>1</v>
      </c>
      <c r="K234" s="14">
        <v>547.64220135738265</v>
      </c>
      <c r="L234" s="13">
        <v>196232159.48530152</v>
      </c>
      <c r="M234" s="14">
        <v>3.6717817147724596</v>
      </c>
      <c r="N234" s="14">
        <v>469.65798962630038</v>
      </c>
      <c r="O234" s="13">
        <v>168288713.49845225</v>
      </c>
      <c r="P234" s="13">
        <v>27943445.986849278</v>
      </c>
      <c r="Q234" s="14">
        <v>1.166044682414821</v>
      </c>
      <c r="R234" s="15">
        <v>0.16604468241482084</v>
      </c>
    </row>
    <row r="235" spans="1:18" ht="18" customHeight="1">
      <c r="A235" s="10" t="s">
        <v>51</v>
      </c>
      <c r="B235" s="10" t="s">
        <v>52</v>
      </c>
      <c r="C235" s="10" t="s">
        <v>241</v>
      </c>
      <c r="D235" s="10" t="s">
        <v>247</v>
      </c>
      <c r="E235" s="16">
        <v>69</v>
      </c>
      <c r="F235" s="16">
        <v>69</v>
      </c>
      <c r="G235" s="13">
        <v>117294.30590042162</v>
      </c>
      <c r="H235" s="13">
        <v>117294.30590042162</v>
      </c>
      <c r="I235" s="14">
        <v>0</v>
      </c>
      <c r="J235" s="15">
        <v>1</v>
      </c>
      <c r="K235" s="14">
        <v>442.28563029503277</v>
      </c>
      <c r="L235" s="13">
        <v>51877586.015186355</v>
      </c>
      <c r="M235" s="14">
        <v>3.3895547705715261</v>
      </c>
      <c r="N235" s="14">
        <v>245.21936900231697</v>
      </c>
      <c r="O235" s="13">
        <v>28762835.680466134</v>
      </c>
      <c r="P235" s="13">
        <v>23114750.33472022</v>
      </c>
      <c r="Q235" s="14">
        <v>1.8036325274568901</v>
      </c>
      <c r="R235" s="15">
        <v>0.80363252745689018</v>
      </c>
    </row>
    <row r="236" spans="1:18" ht="18" customHeight="1">
      <c r="A236" s="10" t="s">
        <v>51</v>
      </c>
      <c r="B236" s="10" t="s">
        <v>52</v>
      </c>
      <c r="C236" s="10" t="s">
        <v>241</v>
      </c>
      <c r="D236" s="10" t="s">
        <v>249</v>
      </c>
      <c r="E236" s="16">
        <v>1</v>
      </c>
      <c r="F236" s="16">
        <v>1</v>
      </c>
      <c r="G236" s="13">
        <v>1.0462100000000001E-5</v>
      </c>
      <c r="H236" s="13">
        <v>1.0462100000000001E-5</v>
      </c>
      <c r="I236" s="14">
        <v>0</v>
      </c>
      <c r="J236" s="15">
        <v>1</v>
      </c>
      <c r="K236" s="14">
        <v>602.55958607435753</v>
      </c>
      <c r="L236" s="13">
        <v>6.3040386454685368E-3</v>
      </c>
      <c r="M236" s="14">
        <v>3.78</v>
      </c>
      <c r="N236" s="14">
        <v>602.55958607435753</v>
      </c>
      <c r="O236" s="13">
        <v>6.3040386454685368E-3</v>
      </c>
      <c r="P236" s="13">
        <v>0</v>
      </c>
      <c r="Q236" s="14">
        <v>1</v>
      </c>
      <c r="R236" s="15">
        <v>0</v>
      </c>
    </row>
    <row r="237" spans="1:18" ht="18" customHeight="1">
      <c r="A237" s="10" t="s">
        <v>51</v>
      </c>
      <c r="B237" s="10" t="s">
        <v>52</v>
      </c>
      <c r="C237" s="10" t="s">
        <v>241</v>
      </c>
      <c r="D237" s="10" t="s">
        <v>250</v>
      </c>
      <c r="E237" s="16">
        <v>43</v>
      </c>
      <c r="F237" s="16">
        <v>43</v>
      </c>
      <c r="G237" s="13">
        <v>51017.437258575294</v>
      </c>
      <c r="H237" s="13">
        <v>51017.437258575294</v>
      </c>
      <c r="I237" s="14">
        <v>0</v>
      </c>
      <c r="J237" s="15">
        <v>1</v>
      </c>
      <c r="K237" s="14">
        <v>503.00996705453474</v>
      </c>
      <c r="L237" s="13">
        <v>25662279.434642751</v>
      </c>
      <c r="M237" s="14">
        <v>3.6586109052506486</v>
      </c>
      <c r="N237" s="14">
        <v>455.62852460954423</v>
      </c>
      <c r="O237" s="13">
        <v>23244999.667484652</v>
      </c>
      <c r="P237" s="13">
        <v>2417279.7671580985</v>
      </c>
      <c r="Q237" s="14">
        <v>1.1039913874698573</v>
      </c>
      <c r="R237" s="15">
        <v>0.10399138746985721</v>
      </c>
    </row>
    <row r="238" spans="1:18" ht="18" customHeight="1">
      <c r="A238" s="10" t="s">
        <v>51</v>
      </c>
      <c r="B238" s="10" t="s">
        <v>52</v>
      </c>
      <c r="C238" s="10" t="s">
        <v>241</v>
      </c>
      <c r="D238" s="10" t="s">
        <v>251</v>
      </c>
      <c r="E238" s="16">
        <v>9</v>
      </c>
      <c r="F238" s="16">
        <v>9</v>
      </c>
      <c r="G238" s="13">
        <v>385.05859208460004</v>
      </c>
      <c r="H238" s="13">
        <v>385.05859208460004</v>
      </c>
      <c r="I238" s="14">
        <v>0</v>
      </c>
      <c r="J238" s="15">
        <v>1</v>
      </c>
      <c r="K238" s="14">
        <v>2569.4399043969497</v>
      </c>
      <c r="L238" s="13">
        <v>989384.91203307873</v>
      </c>
      <c r="M238" s="14">
        <v>4.4057721156398513</v>
      </c>
      <c r="N238" s="14">
        <v>2545.4942223954117</v>
      </c>
      <c r="O238" s="13">
        <v>980164.42143506103</v>
      </c>
      <c r="P238" s="13">
        <v>9220.4905980176991</v>
      </c>
      <c r="Q238" s="14">
        <v>1.0094070855831698</v>
      </c>
      <c r="R238" s="15">
        <v>9.4070855831697685E-3</v>
      </c>
    </row>
    <row r="239" spans="1:18" ht="18" customHeight="1">
      <c r="A239" s="10" t="s">
        <v>115</v>
      </c>
      <c r="B239" s="10" t="s">
        <v>116</v>
      </c>
      <c r="C239" s="10" t="s">
        <v>241</v>
      </c>
      <c r="D239" s="10" t="s">
        <v>252</v>
      </c>
      <c r="E239" s="16">
        <v>6</v>
      </c>
      <c r="F239" s="16">
        <v>6</v>
      </c>
      <c r="G239" s="13">
        <v>590.73114739110008</v>
      </c>
      <c r="H239" s="13">
        <v>590.73114739110008</v>
      </c>
      <c r="I239" s="14">
        <v>0</v>
      </c>
      <c r="J239" s="15">
        <v>1</v>
      </c>
      <c r="K239" s="14">
        <v>124.19926085867944</v>
      </c>
      <c r="L239" s="13">
        <v>73368.371872174248</v>
      </c>
      <c r="M239" s="14">
        <v>2.9492088307869455</v>
      </c>
      <c r="N239" s="14">
        <v>88.96287936155008</v>
      </c>
      <c r="O239" s="13">
        <v>52553.143800464495</v>
      </c>
      <c r="P239" s="13">
        <v>20815.228071709753</v>
      </c>
      <c r="Q239" s="14">
        <v>1.396079598030171</v>
      </c>
      <c r="R239" s="15">
        <v>0.39607959803017107</v>
      </c>
    </row>
    <row r="240" spans="1:18" ht="18" customHeight="1">
      <c r="A240" s="10" t="s">
        <v>115</v>
      </c>
      <c r="B240" s="10" t="s">
        <v>116</v>
      </c>
      <c r="C240" s="10" t="s">
        <v>241</v>
      </c>
      <c r="D240" s="10" t="s">
        <v>242</v>
      </c>
      <c r="E240" s="16">
        <v>6</v>
      </c>
      <c r="F240" s="16">
        <v>6</v>
      </c>
      <c r="G240" s="13">
        <v>7446.6729234091008</v>
      </c>
      <c r="H240" s="13">
        <v>7446.6729234091008</v>
      </c>
      <c r="I240" s="14">
        <v>0</v>
      </c>
      <c r="J240" s="15">
        <v>1</v>
      </c>
      <c r="K240" s="14">
        <v>890.00518959954843</v>
      </c>
      <c r="L240" s="13">
        <v>6627577.5470845401</v>
      </c>
      <c r="M240" s="14">
        <v>3.9019073630727412</v>
      </c>
      <c r="N240" s="14">
        <v>797.8244896364057</v>
      </c>
      <c r="O240" s="13">
        <v>5941138.0246081073</v>
      </c>
      <c r="P240" s="13">
        <v>686439.52247643284</v>
      </c>
      <c r="Q240" s="14">
        <v>1.1155400732373513</v>
      </c>
      <c r="R240" s="15">
        <v>0.11554007323735122</v>
      </c>
    </row>
    <row r="241" spans="1:18" ht="18" customHeight="1">
      <c r="A241" s="10" t="s">
        <v>115</v>
      </c>
      <c r="B241" s="10" t="s">
        <v>116</v>
      </c>
      <c r="C241" s="10" t="s">
        <v>241</v>
      </c>
      <c r="D241" s="10" t="s">
        <v>243</v>
      </c>
      <c r="E241" s="16">
        <v>16</v>
      </c>
      <c r="F241" s="16">
        <v>16</v>
      </c>
      <c r="G241" s="13">
        <v>11869.4786314086</v>
      </c>
      <c r="H241" s="13">
        <v>11869.4786314086</v>
      </c>
      <c r="I241" s="14">
        <v>0</v>
      </c>
      <c r="J241" s="15">
        <v>1</v>
      </c>
      <c r="K241" s="14">
        <v>88.299082348869476</v>
      </c>
      <c r="L241" s="13">
        <v>1048064.0711128945</v>
      </c>
      <c r="M241" s="14">
        <v>2.7962462344156398</v>
      </c>
      <c r="N241" s="14">
        <v>62.552725100101377</v>
      </c>
      <c r="O241" s="13">
        <v>742468.23391202965</v>
      </c>
      <c r="P241" s="13">
        <v>305595.8372008648</v>
      </c>
      <c r="Q241" s="14">
        <v>1.4115944942057588</v>
      </c>
      <c r="R241" s="15">
        <v>0.41159449420575872</v>
      </c>
    </row>
    <row r="242" spans="1:18" ht="18" customHeight="1">
      <c r="A242" s="10" t="s">
        <v>115</v>
      </c>
      <c r="B242" s="10" t="s">
        <v>116</v>
      </c>
      <c r="C242" s="10" t="s">
        <v>241</v>
      </c>
      <c r="D242" s="10" t="s">
        <v>244</v>
      </c>
      <c r="E242" s="16">
        <v>2</v>
      </c>
      <c r="F242" s="16">
        <v>2</v>
      </c>
      <c r="G242" s="13">
        <v>999.68714112520001</v>
      </c>
      <c r="H242" s="13">
        <v>999.68714112520001</v>
      </c>
      <c r="I242" s="14">
        <v>0</v>
      </c>
      <c r="J242" s="15">
        <v>1</v>
      </c>
      <c r="K242" s="14">
        <v>244.47917993284625</v>
      </c>
      <c r="L242" s="13">
        <v>244402.69245170042</v>
      </c>
      <c r="M242" s="14">
        <v>3.3684959570379709</v>
      </c>
      <c r="N242" s="14">
        <v>233.61243545191186</v>
      </c>
      <c r="O242" s="13">
        <v>233539.34772821711</v>
      </c>
      <c r="P242" s="13">
        <v>10863.344723483315</v>
      </c>
      <c r="Q242" s="14">
        <v>1.0465161217120706</v>
      </c>
      <c r="R242" s="15">
        <v>4.6516121712070556E-2</v>
      </c>
    </row>
    <row r="243" spans="1:18" ht="18" customHeight="1">
      <c r="A243" s="10" t="s">
        <v>115</v>
      </c>
      <c r="B243" s="10" t="s">
        <v>116</v>
      </c>
      <c r="C243" s="10" t="s">
        <v>241</v>
      </c>
      <c r="D243" s="10" t="s">
        <v>253</v>
      </c>
      <c r="E243" s="16">
        <v>9</v>
      </c>
      <c r="F243" s="16">
        <v>9</v>
      </c>
      <c r="G243" s="13">
        <v>28634.4769196915</v>
      </c>
      <c r="H243" s="13">
        <v>28634.4769196915</v>
      </c>
      <c r="I243" s="14">
        <v>0</v>
      </c>
      <c r="J243" s="15">
        <v>1</v>
      </c>
      <c r="K243" s="14">
        <v>269.07831434515765</v>
      </c>
      <c r="L243" s="13">
        <v>7704916.7817059113</v>
      </c>
      <c r="M243" s="14">
        <v>3.1946357043076583</v>
      </c>
      <c r="N243" s="14">
        <v>156.54373961536058</v>
      </c>
      <c r="O243" s="13">
        <v>4482548.0989382388</v>
      </c>
      <c r="P243" s="13">
        <v>3222368.6827676725</v>
      </c>
      <c r="Q243" s="14">
        <v>1.7188698507286382</v>
      </c>
      <c r="R243" s="15">
        <v>0.71886985072863818</v>
      </c>
    </row>
    <row r="244" spans="1:18" ht="18" customHeight="1">
      <c r="A244" s="10" t="s">
        <v>115</v>
      </c>
      <c r="B244" s="10" t="s">
        <v>116</v>
      </c>
      <c r="C244" s="10" t="s">
        <v>241</v>
      </c>
      <c r="D244" s="10" t="s">
        <v>245</v>
      </c>
      <c r="E244" s="16">
        <v>7</v>
      </c>
      <c r="F244" s="16">
        <v>7</v>
      </c>
      <c r="G244" s="13">
        <v>3973.2032768271997</v>
      </c>
      <c r="H244" s="13">
        <v>3973.2032768271997</v>
      </c>
      <c r="I244" s="14">
        <v>0</v>
      </c>
      <c r="J244" s="15">
        <v>1</v>
      </c>
      <c r="K244" s="14">
        <v>12.381469033911099</v>
      </c>
      <c r="L244" s="13">
        <v>49194.093337470083</v>
      </c>
      <c r="M244" s="14">
        <v>2.0784048706608114</v>
      </c>
      <c r="N244" s="14">
        <v>11.978567118464811</v>
      </c>
      <c r="O244" s="13">
        <v>47593.282126778933</v>
      </c>
      <c r="P244" s="13">
        <v>1600.8112106911503</v>
      </c>
      <c r="Q244" s="14">
        <v>1.0336352346204432</v>
      </c>
      <c r="R244" s="15">
        <v>3.3635234620443093E-2</v>
      </c>
    </row>
    <row r="245" spans="1:18" ht="18" customHeight="1">
      <c r="A245" s="10" t="s">
        <v>115</v>
      </c>
      <c r="B245" s="10" t="s">
        <v>116</v>
      </c>
      <c r="C245" s="10" t="s">
        <v>241</v>
      </c>
      <c r="D245" s="10" t="s">
        <v>246</v>
      </c>
      <c r="E245" s="16">
        <v>40</v>
      </c>
      <c r="F245" s="16">
        <v>40</v>
      </c>
      <c r="G245" s="13">
        <v>26800.5455220326</v>
      </c>
      <c r="H245" s="13">
        <v>26800.5455220326</v>
      </c>
      <c r="I245" s="14">
        <v>0</v>
      </c>
      <c r="J245" s="15">
        <v>1</v>
      </c>
      <c r="K245" s="14">
        <v>427.1567642468562</v>
      </c>
      <c r="L245" s="13">
        <v>11448034.305242017</v>
      </c>
      <c r="M245" s="14">
        <v>3.4551262173780435</v>
      </c>
      <c r="N245" s="14">
        <v>285.18469686760091</v>
      </c>
      <c r="O245" s="13">
        <v>7643105.4505872056</v>
      </c>
      <c r="P245" s="13">
        <v>3804928.8546548113</v>
      </c>
      <c r="Q245" s="14">
        <v>1.4978249847857961</v>
      </c>
      <c r="R245" s="15">
        <v>0.49782498478579618</v>
      </c>
    </row>
    <row r="246" spans="1:18" ht="18" customHeight="1">
      <c r="A246" s="10" t="s">
        <v>115</v>
      </c>
      <c r="B246" s="10" t="s">
        <v>116</v>
      </c>
      <c r="C246" s="10" t="s">
        <v>241</v>
      </c>
      <c r="D246" s="10" t="s">
        <v>247</v>
      </c>
      <c r="E246" s="16">
        <v>121</v>
      </c>
      <c r="F246" s="16">
        <v>121</v>
      </c>
      <c r="G246" s="13">
        <v>150297.70461451498</v>
      </c>
      <c r="H246" s="13">
        <v>150297.70461451498</v>
      </c>
      <c r="I246" s="14">
        <v>0</v>
      </c>
      <c r="J246" s="15">
        <v>1</v>
      </c>
      <c r="K246" s="14">
        <v>710.89482095254903</v>
      </c>
      <c r="L246" s="13">
        <v>106845859.81151472</v>
      </c>
      <c r="M246" s="14">
        <v>3.6874578076365006</v>
      </c>
      <c r="N246" s="14">
        <v>486.92021783484665</v>
      </c>
      <c r="O246" s="13">
        <v>73182991.070977077</v>
      </c>
      <c r="P246" s="13">
        <v>33662868.740537643</v>
      </c>
      <c r="Q246" s="14">
        <v>1.4599821385803904</v>
      </c>
      <c r="R246" s="15">
        <v>0.45998213858039028</v>
      </c>
    </row>
    <row r="247" spans="1:18" ht="18" customHeight="1">
      <c r="A247" s="10" t="s">
        <v>115</v>
      </c>
      <c r="B247" s="10" t="s">
        <v>116</v>
      </c>
      <c r="C247" s="10" t="s">
        <v>241</v>
      </c>
      <c r="D247" s="10" t="s">
        <v>249</v>
      </c>
      <c r="E247" s="16">
        <v>1</v>
      </c>
      <c r="F247" s="16">
        <v>1</v>
      </c>
      <c r="G247" s="13">
        <v>0.83315385760000005</v>
      </c>
      <c r="H247" s="13">
        <v>0.83315385760000005</v>
      </c>
      <c r="I247" s="14">
        <v>0</v>
      </c>
      <c r="J247" s="15">
        <v>1</v>
      </c>
      <c r="K247" s="14">
        <v>602.55958607435753</v>
      </c>
      <c r="L247" s="13">
        <v>502.02484357171022</v>
      </c>
      <c r="M247" s="14">
        <v>3.78</v>
      </c>
      <c r="N247" s="14">
        <v>602.55958607435753</v>
      </c>
      <c r="O247" s="13">
        <v>502.02484357171022</v>
      </c>
      <c r="P247" s="13">
        <v>0</v>
      </c>
      <c r="Q247" s="14">
        <v>1</v>
      </c>
      <c r="R247" s="15">
        <v>0</v>
      </c>
    </row>
    <row r="248" spans="1:18" ht="18" customHeight="1">
      <c r="A248" s="10" t="s">
        <v>115</v>
      </c>
      <c r="B248" s="10" t="s">
        <v>116</v>
      </c>
      <c r="C248" s="10" t="s">
        <v>241</v>
      </c>
      <c r="D248" s="10" t="s">
        <v>250</v>
      </c>
      <c r="E248" s="16">
        <v>41</v>
      </c>
      <c r="F248" s="16">
        <v>41</v>
      </c>
      <c r="G248" s="13">
        <v>41069.883315392195</v>
      </c>
      <c r="H248" s="13">
        <v>41069.883315392195</v>
      </c>
      <c r="I248" s="14">
        <v>0</v>
      </c>
      <c r="J248" s="15">
        <v>1</v>
      </c>
      <c r="K248" s="14">
        <v>871.09443710788139</v>
      </c>
      <c r="L248" s="13">
        <v>35775746.888707936</v>
      </c>
      <c r="M248" s="14">
        <v>3.8453709373209617</v>
      </c>
      <c r="N248" s="14">
        <v>700.43999671496545</v>
      </c>
      <c r="O248" s="13">
        <v>28766988.934517324</v>
      </c>
      <c r="P248" s="13">
        <v>7008757.9541906118</v>
      </c>
      <c r="Q248" s="14">
        <v>1.2436389143870685</v>
      </c>
      <c r="R248" s="15">
        <v>0.24363891438706844</v>
      </c>
    </row>
    <row r="249" spans="1:18" ht="18" customHeight="1">
      <c r="A249" s="10" t="s">
        <v>115</v>
      </c>
      <c r="B249" s="10" t="s">
        <v>116</v>
      </c>
      <c r="C249" s="10" t="s">
        <v>241</v>
      </c>
      <c r="D249" s="10" t="s">
        <v>251</v>
      </c>
      <c r="E249" s="16">
        <v>15</v>
      </c>
      <c r="F249" s="16">
        <v>15</v>
      </c>
      <c r="G249" s="13">
        <v>20748.883331556008</v>
      </c>
      <c r="H249" s="13">
        <v>20748.883331556008</v>
      </c>
      <c r="I249" s="14">
        <v>0</v>
      </c>
      <c r="J249" s="15">
        <v>1</v>
      </c>
      <c r="K249" s="14">
        <v>2736.1651900668271</v>
      </c>
      <c r="L249" s="13">
        <v>56772372.304561362</v>
      </c>
      <c r="M249" s="14">
        <v>4.4351866352255938</v>
      </c>
      <c r="N249" s="14">
        <v>2723.8716226851193</v>
      </c>
      <c r="O249" s="13">
        <v>56517294.50922969</v>
      </c>
      <c r="P249" s="13">
        <v>255077.79533167183</v>
      </c>
      <c r="Q249" s="14">
        <v>1.0045132697441845</v>
      </c>
      <c r="R249" s="15">
        <v>4.5132697441845121E-3</v>
      </c>
    </row>
    <row r="250" spans="1:18" ht="18" customHeight="1">
      <c r="A250" s="10" t="s">
        <v>121</v>
      </c>
      <c r="B250" s="10" t="s">
        <v>122</v>
      </c>
      <c r="C250" s="10" t="s">
        <v>241</v>
      </c>
      <c r="D250" s="10" t="s">
        <v>252</v>
      </c>
      <c r="E250" s="16">
        <v>6</v>
      </c>
      <c r="F250" s="16">
        <v>6</v>
      </c>
      <c r="G250" s="13">
        <v>2140.1010021266993</v>
      </c>
      <c r="H250" s="13">
        <v>2140.1010021266993</v>
      </c>
      <c r="I250" s="14">
        <v>0</v>
      </c>
      <c r="J250" s="15">
        <v>1</v>
      </c>
      <c r="K250" s="14">
        <v>82.732588311532325</v>
      </c>
      <c r="L250" s="13">
        <v>177056.09515404596</v>
      </c>
      <c r="M250" s="14">
        <v>2.6327691265575024</v>
      </c>
      <c r="N250" s="14">
        <v>42.930814341559241</v>
      </c>
      <c r="O250" s="13">
        <v>91876.278794486207</v>
      </c>
      <c r="P250" s="13">
        <v>85179.816359559758</v>
      </c>
      <c r="Q250" s="14">
        <v>1.9271143485261799</v>
      </c>
      <c r="R250" s="15">
        <v>0.92711434852617991</v>
      </c>
    </row>
    <row r="251" spans="1:18" ht="18" customHeight="1">
      <c r="A251" s="10" t="s">
        <v>121</v>
      </c>
      <c r="B251" s="10" t="s">
        <v>122</v>
      </c>
      <c r="C251" s="10" t="s">
        <v>241</v>
      </c>
      <c r="D251" s="10" t="s">
        <v>242</v>
      </c>
      <c r="E251" s="16">
        <v>2</v>
      </c>
      <c r="F251" s="16">
        <v>2</v>
      </c>
      <c r="G251" s="13">
        <v>1720.8014653053001</v>
      </c>
      <c r="H251" s="13">
        <v>1720.8014653053001</v>
      </c>
      <c r="I251" s="14">
        <v>0</v>
      </c>
      <c r="J251" s="15">
        <v>1</v>
      </c>
      <c r="K251" s="14">
        <v>812.82947436568668</v>
      </c>
      <c r="L251" s="13">
        <v>1398718.1505318105</v>
      </c>
      <c r="M251" s="14">
        <v>3.9099994239215108</v>
      </c>
      <c r="N251" s="14">
        <v>812.82943796972961</v>
      </c>
      <c r="O251" s="13">
        <v>1398718.0879015944</v>
      </c>
      <c r="P251" s="13">
        <v>6.2630216125398874E-2</v>
      </c>
      <c r="Q251" s="14">
        <v>1.0000000447768687</v>
      </c>
      <c r="R251" s="15">
        <v>4.4776868667909277E-8</v>
      </c>
    </row>
    <row r="252" spans="1:18" ht="18" customHeight="1">
      <c r="A252" s="10" t="s">
        <v>121</v>
      </c>
      <c r="B252" s="10" t="s">
        <v>122</v>
      </c>
      <c r="C252" s="10" t="s">
        <v>241</v>
      </c>
      <c r="D252" s="10" t="s">
        <v>243</v>
      </c>
      <c r="E252" s="16">
        <v>14</v>
      </c>
      <c r="F252" s="16">
        <v>14</v>
      </c>
      <c r="G252" s="13">
        <v>14078.513601456099</v>
      </c>
      <c r="H252" s="13">
        <v>14078.513601456099</v>
      </c>
      <c r="I252" s="14">
        <v>0</v>
      </c>
      <c r="J252" s="15">
        <v>1</v>
      </c>
      <c r="K252" s="14">
        <v>103.36843987385781</v>
      </c>
      <c r="L252" s="13">
        <v>1455273.9867254042</v>
      </c>
      <c r="M252" s="14">
        <v>2.8648403523259915</v>
      </c>
      <c r="N252" s="14">
        <v>73.255519462300043</v>
      </c>
      <c r="O252" s="13">
        <v>1031328.8271317232</v>
      </c>
      <c r="P252" s="13">
        <v>423945.15959368099</v>
      </c>
      <c r="Q252" s="14">
        <v>1.4110669152657496</v>
      </c>
      <c r="R252" s="15">
        <v>0.41106691526574962</v>
      </c>
    </row>
    <row r="253" spans="1:18" ht="18" customHeight="1">
      <c r="A253" s="10" t="s">
        <v>121</v>
      </c>
      <c r="B253" s="10" t="s">
        <v>122</v>
      </c>
      <c r="C253" s="10" t="s">
        <v>241</v>
      </c>
      <c r="D253" s="10" t="s">
        <v>244</v>
      </c>
      <c r="E253" s="16">
        <v>2</v>
      </c>
      <c r="F253" s="16">
        <v>2</v>
      </c>
      <c r="G253" s="13">
        <v>1829.3221062905998</v>
      </c>
      <c r="H253" s="13">
        <v>1829.3221062905998</v>
      </c>
      <c r="I253" s="14">
        <v>0</v>
      </c>
      <c r="J253" s="15">
        <v>1</v>
      </c>
      <c r="K253" s="14">
        <v>233.2296128365663</v>
      </c>
      <c r="L253" s="13">
        <v>426652.08660352859</v>
      </c>
      <c r="M253" s="14">
        <v>3.3506547502132471</v>
      </c>
      <c r="N253" s="14">
        <v>224.20988205218225</v>
      </c>
      <c r="O253" s="13">
        <v>410152.093686865</v>
      </c>
      <c r="P253" s="13">
        <v>16499.992916663585</v>
      </c>
      <c r="Q253" s="14">
        <v>1.0402289618183949</v>
      </c>
      <c r="R253" s="15">
        <v>4.0228961818394811E-2</v>
      </c>
    </row>
    <row r="254" spans="1:18" ht="18" customHeight="1">
      <c r="A254" s="10" t="s">
        <v>121</v>
      </c>
      <c r="B254" s="10" t="s">
        <v>122</v>
      </c>
      <c r="C254" s="10" t="s">
        <v>241</v>
      </c>
      <c r="D254" s="10" t="s">
        <v>253</v>
      </c>
      <c r="E254" s="16">
        <v>8</v>
      </c>
      <c r="F254" s="16">
        <v>8</v>
      </c>
      <c r="G254" s="13">
        <v>65018.781244188598</v>
      </c>
      <c r="H254" s="13">
        <v>65018.781244188598</v>
      </c>
      <c r="I254" s="14">
        <v>0</v>
      </c>
      <c r="J254" s="15">
        <v>1</v>
      </c>
      <c r="K254" s="14">
        <v>339.20155530300639</v>
      </c>
      <c r="L254" s="13">
        <v>22054471.721934713</v>
      </c>
      <c r="M254" s="14">
        <v>3.2212405160884003</v>
      </c>
      <c r="N254" s="14">
        <v>166.43341180019382</v>
      </c>
      <c r="O254" s="13">
        <v>10821297.593560759</v>
      </c>
      <c r="P254" s="13">
        <v>11233174.128373954</v>
      </c>
      <c r="Q254" s="14">
        <v>2.0380616586183051</v>
      </c>
      <c r="R254" s="15">
        <v>1.0380616586183051</v>
      </c>
    </row>
    <row r="255" spans="1:18" ht="18" customHeight="1">
      <c r="A255" s="10" t="s">
        <v>121</v>
      </c>
      <c r="B255" s="10" t="s">
        <v>122</v>
      </c>
      <c r="C255" s="10" t="s">
        <v>241</v>
      </c>
      <c r="D255" s="10" t="s">
        <v>245</v>
      </c>
      <c r="E255" s="16">
        <v>8</v>
      </c>
      <c r="F255" s="16">
        <v>8</v>
      </c>
      <c r="G255" s="13">
        <v>4004.3294580471998</v>
      </c>
      <c r="H255" s="13">
        <v>4004.3294580471998</v>
      </c>
      <c r="I255" s="14">
        <v>0</v>
      </c>
      <c r="J255" s="15">
        <v>1</v>
      </c>
      <c r="K255" s="14">
        <v>12.38703402650402</v>
      </c>
      <c r="L255" s="13">
        <v>49601.765250163066</v>
      </c>
      <c r="M255" s="14">
        <v>2.0785888037497608</v>
      </c>
      <c r="N255" s="14">
        <v>11.983641374694137</v>
      </c>
      <c r="O255" s="13">
        <v>47986.448171360978</v>
      </c>
      <c r="P255" s="13">
        <v>1615.3170788020871</v>
      </c>
      <c r="Q255" s="14">
        <v>1.0336619429100846</v>
      </c>
      <c r="R255" s="15">
        <v>3.3661942910084605E-2</v>
      </c>
    </row>
    <row r="256" spans="1:18" ht="18" customHeight="1">
      <c r="A256" s="10" t="s">
        <v>121</v>
      </c>
      <c r="B256" s="10" t="s">
        <v>122</v>
      </c>
      <c r="C256" s="10" t="s">
        <v>241</v>
      </c>
      <c r="D256" s="10" t="s">
        <v>246</v>
      </c>
      <c r="E256" s="16">
        <v>43</v>
      </c>
      <c r="F256" s="16">
        <v>43</v>
      </c>
      <c r="G256" s="13">
        <v>51925.764050723097</v>
      </c>
      <c r="H256" s="13">
        <v>51925.764050723097</v>
      </c>
      <c r="I256" s="14">
        <v>0</v>
      </c>
      <c r="J256" s="15">
        <v>1</v>
      </c>
      <c r="K256" s="14">
        <v>550.2182442260912</v>
      </c>
      <c r="L256" s="13">
        <v>28570502.726087149</v>
      </c>
      <c r="M256" s="14">
        <v>3.5339820921479417</v>
      </c>
      <c r="N256" s="14">
        <v>341.96534150331513</v>
      </c>
      <c r="O256" s="13">
        <v>17756811.636426087</v>
      </c>
      <c r="P256" s="13">
        <v>10813691.089661062</v>
      </c>
      <c r="Q256" s="14">
        <v>1.6089883314118172</v>
      </c>
      <c r="R256" s="15">
        <v>0.60898833141181719</v>
      </c>
    </row>
    <row r="257" spans="1:18" ht="18" customHeight="1">
      <c r="A257" s="10" t="s">
        <v>121</v>
      </c>
      <c r="B257" s="10" t="s">
        <v>122</v>
      </c>
      <c r="C257" s="10" t="s">
        <v>241</v>
      </c>
      <c r="D257" s="10" t="s">
        <v>247</v>
      </c>
      <c r="E257" s="16">
        <v>122</v>
      </c>
      <c r="F257" s="16">
        <v>122</v>
      </c>
      <c r="G257" s="13">
        <v>126680.3702697804</v>
      </c>
      <c r="H257" s="13">
        <v>126680.3702697804</v>
      </c>
      <c r="I257" s="14">
        <v>0</v>
      </c>
      <c r="J257" s="15">
        <v>1</v>
      </c>
      <c r="K257" s="14">
        <v>723.76427294368148</v>
      </c>
      <c r="L257" s="13">
        <v>91686726.084543973</v>
      </c>
      <c r="M257" s="14">
        <v>3.594522482783109</v>
      </c>
      <c r="N257" s="14">
        <v>393.11759549729356</v>
      </c>
      <c r="O257" s="13">
        <v>49800282.557162903</v>
      </c>
      <c r="P257" s="13">
        <v>41886443.52738107</v>
      </c>
      <c r="Q257" s="14">
        <v>1.841088471321463</v>
      </c>
      <c r="R257" s="15">
        <v>0.84108847132146314</v>
      </c>
    </row>
    <row r="258" spans="1:18" ht="18" customHeight="1">
      <c r="A258" s="10" t="s">
        <v>121</v>
      </c>
      <c r="B258" s="10" t="s">
        <v>122</v>
      </c>
      <c r="C258" s="10" t="s">
        <v>241</v>
      </c>
      <c r="D258" s="10" t="s">
        <v>249</v>
      </c>
      <c r="E258" s="16">
        <v>1</v>
      </c>
      <c r="F258" s="16">
        <v>1</v>
      </c>
      <c r="G258" s="13">
        <v>123.35519425220001</v>
      </c>
      <c r="H258" s="13">
        <v>123.35519425220001</v>
      </c>
      <c r="I258" s="14">
        <v>0</v>
      </c>
      <c r="J258" s="15">
        <v>1</v>
      </c>
      <c r="K258" s="14">
        <v>602.55958607435753</v>
      </c>
      <c r="L258" s="13">
        <v>74328.854788727607</v>
      </c>
      <c r="M258" s="14">
        <v>3.78</v>
      </c>
      <c r="N258" s="14">
        <v>602.55958607435753</v>
      </c>
      <c r="O258" s="13">
        <v>74328.854788727607</v>
      </c>
      <c r="P258" s="13">
        <v>0</v>
      </c>
      <c r="Q258" s="14">
        <v>1</v>
      </c>
      <c r="R258" s="15">
        <v>0</v>
      </c>
    </row>
    <row r="259" spans="1:18" ht="18" customHeight="1">
      <c r="A259" s="10" t="s">
        <v>121</v>
      </c>
      <c r="B259" s="10" t="s">
        <v>122</v>
      </c>
      <c r="C259" s="10" t="s">
        <v>241</v>
      </c>
      <c r="D259" s="10" t="s">
        <v>250</v>
      </c>
      <c r="E259" s="16">
        <v>33</v>
      </c>
      <c r="F259" s="16">
        <v>33</v>
      </c>
      <c r="G259" s="13">
        <v>28404.584075984498</v>
      </c>
      <c r="H259" s="13">
        <v>28404.584075984498</v>
      </c>
      <c r="I259" s="14">
        <v>0</v>
      </c>
      <c r="J259" s="15">
        <v>1</v>
      </c>
      <c r="K259" s="14">
        <v>982.7023758096567</v>
      </c>
      <c r="L259" s="13">
        <v>27913252.255355109</v>
      </c>
      <c r="M259" s="14">
        <v>3.9124050626823879</v>
      </c>
      <c r="N259" s="14">
        <v>817.34434591563149</v>
      </c>
      <c r="O259" s="13">
        <v>23216326.192591112</v>
      </c>
      <c r="P259" s="13">
        <v>4696926.0627639964</v>
      </c>
      <c r="Q259" s="14">
        <v>1.2023113400372061</v>
      </c>
      <c r="R259" s="15">
        <v>0.20231134003720616</v>
      </c>
    </row>
    <row r="260" spans="1:18" ht="18" customHeight="1">
      <c r="A260" s="10" t="s">
        <v>121</v>
      </c>
      <c r="B260" s="10" t="s">
        <v>122</v>
      </c>
      <c r="C260" s="10" t="s">
        <v>241</v>
      </c>
      <c r="D260" s="10" t="s">
        <v>251</v>
      </c>
      <c r="E260" s="16">
        <v>15</v>
      </c>
      <c r="F260" s="16">
        <v>15</v>
      </c>
      <c r="G260" s="13">
        <v>10077.366273786802</v>
      </c>
      <c r="H260" s="13">
        <v>10077.366273786802</v>
      </c>
      <c r="I260" s="14">
        <v>0</v>
      </c>
      <c r="J260" s="15">
        <v>1</v>
      </c>
      <c r="K260" s="14">
        <v>2763.7737124346459</v>
      </c>
      <c r="L260" s="13">
        <v>27851559.998067442</v>
      </c>
      <c r="M260" s="14">
        <v>4.4396136868834049</v>
      </c>
      <c r="N260" s="14">
        <v>2751.779854372418</v>
      </c>
      <c r="O260" s="13">
        <v>27730693.497338559</v>
      </c>
      <c r="P260" s="13">
        <v>120866.50072888285</v>
      </c>
      <c r="Q260" s="14">
        <v>1.0043585819712906</v>
      </c>
      <c r="R260" s="15">
        <v>4.358581971290511E-3</v>
      </c>
    </row>
    <row r="261" spans="1:18" ht="18" customHeight="1">
      <c r="A261" s="10" t="s">
        <v>103</v>
      </c>
      <c r="B261" s="10" t="s">
        <v>104</v>
      </c>
      <c r="C261" s="10" t="s">
        <v>241</v>
      </c>
      <c r="D261" s="10" t="s">
        <v>252</v>
      </c>
      <c r="E261" s="16">
        <v>5</v>
      </c>
      <c r="F261" s="16">
        <v>5</v>
      </c>
      <c r="G261" s="13">
        <v>2432.1429237378002</v>
      </c>
      <c r="H261" s="13">
        <v>2432.1429237378002</v>
      </c>
      <c r="I261" s="14">
        <v>0</v>
      </c>
      <c r="J261" s="15">
        <v>1</v>
      </c>
      <c r="K261" s="14">
        <v>100.65305702395125</v>
      </c>
      <c r="L261" s="13">
        <v>244802.62039338032</v>
      </c>
      <c r="M261" s="14">
        <v>2.7753980049746403</v>
      </c>
      <c r="N261" s="14">
        <v>59.620828254904396</v>
      </c>
      <c r="O261" s="13">
        <v>145006.37554755242</v>
      </c>
      <c r="P261" s="13">
        <v>99796.244845827896</v>
      </c>
      <c r="Q261" s="14">
        <v>1.6882197039198554</v>
      </c>
      <c r="R261" s="15">
        <v>0.68821970391985543</v>
      </c>
    </row>
    <row r="262" spans="1:18" ht="18" customHeight="1">
      <c r="A262" s="10" t="s">
        <v>103</v>
      </c>
      <c r="B262" s="10" t="s">
        <v>104</v>
      </c>
      <c r="C262" s="10" t="s">
        <v>241</v>
      </c>
      <c r="D262" s="10" t="s">
        <v>242</v>
      </c>
      <c r="E262" s="16">
        <v>2</v>
      </c>
      <c r="F262" s="16">
        <v>2</v>
      </c>
      <c r="G262" s="13">
        <v>183.07298795040001</v>
      </c>
      <c r="H262" s="13">
        <v>183.07298795040001</v>
      </c>
      <c r="I262" s="14">
        <v>0</v>
      </c>
      <c r="J262" s="15">
        <v>1</v>
      </c>
      <c r="K262" s="14">
        <v>812.82702562758527</v>
      </c>
      <c r="L262" s="13">
        <v>148806.6722684784</v>
      </c>
      <c r="M262" s="14">
        <v>3.9099980698540353</v>
      </c>
      <c r="N262" s="14">
        <v>812.82690368887836</v>
      </c>
      <c r="O262" s="13">
        <v>148806.64994479498</v>
      </c>
      <c r="P262" s="13">
        <v>2.2323683428112417E-2</v>
      </c>
      <c r="Q262" s="14">
        <v>1.0000001500180498</v>
      </c>
      <c r="R262" s="15">
        <v>1.5001804984114734E-7</v>
      </c>
    </row>
    <row r="263" spans="1:18" ht="18" customHeight="1">
      <c r="A263" s="10" t="s">
        <v>103</v>
      </c>
      <c r="B263" s="10" t="s">
        <v>104</v>
      </c>
      <c r="C263" s="10" t="s">
        <v>241</v>
      </c>
      <c r="D263" s="10" t="s">
        <v>243</v>
      </c>
      <c r="E263" s="16">
        <v>17</v>
      </c>
      <c r="F263" s="16">
        <v>17</v>
      </c>
      <c r="G263" s="13">
        <v>45269.352135549801</v>
      </c>
      <c r="H263" s="13">
        <v>45269.352135549801</v>
      </c>
      <c r="I263" s="14">
        <v>0</v>
      </c>
      <c r="J263" s="15">
        <v>1</v>
      </c>
      <c r="K263" s="14">
        <v>81.404223425917635</v>
      </c>
      <c r="L263" s="13">
        <v>3685116.4555888376</v>
      </c>
      <c r="M263" s="14">
        <v>2.7830861285417301</v>
      </c>
      <c r="N263" s="14">
        <v>60.685666843597708</v>
      </c>
      <c r="O263" s="13">
        <v>2747200.8219234836</v>
      </c>
      <c r="P263" s="13">
        <v>937915.63366535399</v>
      </c>
      <c r="Q263" s="14">
        <v>1.3414077435404457</v>
      </c>
      <c r="R263" s="15">
        <v>0.34140774354044556</v>
      </c>
    </row>
    <row r="264" spans="1:18" ht="18" customHeight="1">
      <c r="A264" s="10" t="s">
        <v>103</v>
      </c>
      <c r="B264" s="10" t="s">
        <v>104</v>
      </c>
      <c r="C264" s="10" t="s">
        <v>241</v>
      </c>
      <c r="D264" s="10" t="s">
        <v>244</v>
      </c>
      <c r="E264" s="16">
        <v>4</v>
      </c>
      <c r="F264" s="16">
        <v>4</v>
      </c>
      <c r="G264" s="13">
        <v>3415.4823753489</v>
      </c>
      <c r="H264" s="13">
        <v>3415.4823753489</v>
      </c>
      <c r="I264" s="14">
        <v>0</v>
      </c>
      <c r="J264" s="15">
        <v>1</v>
      </c>
      <c r="K264" s="14">
        <v>300.35257125121183</v>
      </c>
      <c r="L264" s="13">
        <v>1025848.9134992388</v>
      </c>
      <c r="M264" s="14">
        <v>3.4285117429588916</v>
      </c>
      <c r="N264" s="14">
        <v>268.23271345061283</v>
      </c>
      <c r="O264" s="13">
        <v>916144.1052825799</v>
      </c>
      <c r="P264" s="13">
        <v>109704.80821665889</v>
      </c>
      <c r="Q264" s="14">
        <v>1.1197462359732382</v>
      </c>
      <c r="R264" s="15">
        <v>0.11974623597323808</v>
      </c>
    </row>
    <row r="265" spans="1:18" ht="18" customHeight="1">
      <c r="A265" s="10" t="s">
        <v>103</v>
      </c>
      <c r="B265" s="10" t="s">
        <v>104</v>
      </c>
      <c r="C265" s="10" t="s">
        <v>241</v>
      </c>
      <c r="D265" s="10" t="s">
        <v>253</v>
      </c>
      <c r="E265" s="16">
        <v>9</v>
      </c>
      <c r="F265" s="16">
        <v>9</v>
      </c>
      <c r="G265" s="13">
        <v>75683.848399055903</v>
      </c>
      <c r="H265" s="13">
        <v>75683.848399055903</v>
      </c>
      <c r="I265" s="14">
        <v>0</v>
      </c>
      <c r="J265" s="15">
        <v>1</v>
      </c>
      <c r="K265" s="14">
        <v>294.1684888556041</v>
      </c>
      <c r="L265" s="13">
        <v>22263803.314326905</v>
      </c>
      <c r="M265" s="14">
        <v>3.2439187837601251</v>
      </c>
      <c r="N265" s="14">
        <v>175.3552544045105</v>
      </c>
      <c r="O265" s="13">
        <v>13271560.490328852</v>
      </c>
      <c r="P265" s="13">
        <v>8992242.8239980526</v>
      </c>
      <c r="Q265" s="14">
        <v>1.6775573098996768</v>
      </c>
      <c r="R265" s="15">
        <v>0.67755730989967677</v>
      </c>
    </row>
    <row r="266" spans="1:18" ht="18" customHeight="1">
      <c r="A266" s="10" t="s">
        <v>103</v>
      </c>
      <c r="B266" s="10" t="s">
        <v>104</v>
      </c>
      <c r="C266" s="10" t="s">
        <v>241</v>
      </c>
      <c r="D266" s="10" t="s">
        <v>245</v>
      </c>
      <c r="E266" s="16">
        <v>13</v>
      </c>
      <c r="F266" s="16">
        <v>13</v>
      </c>
      <c r="G266" s="13">
        <v>7337.3979177672991</v>
      </c>
      <c r="H266" s="13">
        <v>7337.3979177672991</v>
      </c>
      <c r="I266" s="14">
        <v>0</v>
      </c>
      <c r="J266" s="15">
        <v>1</v>
      </c>
      <c r="K266" s="14">
        <v>11.205575881375458</v>
      </c>
      <c r="L266" s="13">
        <v>82219.769139387747</v>
      </c>
      <c r="M266" s="14">
        <v>2.0365693542947425</v>
      </c>
      <c r="N266" s="14">
        <v>10.878508471933435</v>
      </c>
      <c r="O266" s="13">
        <v>79819.945410378306</v>
      </c>
      <c r="P266" s="13">
        <v>2399.8237290094403</v>
      </c>
      <c r="Q266" s="14">
        <v>1.0300654644233496</v>
      </c>
      <c r="R266" s="15">
        <v>3.0065464423349651E-2</v>
      </c>
    </row>
    <row r="267" spans="1:18" ht="18" customHeight="1">
      <c r="A267" s="10" t="s">
        <v>103</v>
      </c>
      <c r="B267" s="10" t="s">
        <v>104</v>
      </c>
      <c r="C267" s="10" t="s">
        <v>241</v>
      </c>
      <c r="D267" s="10" t="s">
        <v>246</v>
      </c>
      <c r="E267" s="16">
        <v>54</v>
      </c>
      <c r="F267" s="16">
        <v>54</v>
      </c>
      <c r="G267" s="13">
        <v>101490.5759909777</v>
      </c>
      <c r="H267" s="13">
        <v>101490.5759909777</v>
      </c>
      <c r="I267" s="14">
        <v>0</v>
      </c>
      <c r="J267" s="15">
        <v>1</v>
      </c>
      <c r="K267" s="14">
        <v>529.68125341132043</v>
      </c>
      <c r="L267" s="13">
        <v>53757655.500337936</v>
      </c>
      <c r="M267" s="14">
        <v>3.5378816294240587</v>
      </c>
      <c r="N267" s="14">
        <v>345.04968035571909</v>
      </c>
      <c r="O267" s="13">
        <v>35019290.804804675</v>
      </c>
      <c r="P267" s="13">
        <v>18738364.695533261</v>
      </c>
      <c r="Q267" s="14">
        <v>1.5350869268021368</v>
      </c>
      <c r="R267" s="15">
        <v>0.53508692680213676</v>
      </c>
    </row>
    <row r="268" spans="1:18" ht="18" customHeight="1">
      <c r="A268" s="10" t="s">
        <v>103</v>
      </c>
      <c r="B268" s="10" t="s">
        <v>104</v>
      </c>
      <c r="C268" s="10" t="s">
        <v>241</v>
      </c>
      <c r="D268" s="10" t="s">
        <v>247</v>
      </c>
      <c r="E268" s="16">
        <v>147</v>
      </c>
      <c r="F268" s="16">
        <v>147</v>
      </c>
      <c r="G268" s="13">
        <v>191509.0741502911</v>
      </c>
      <c r="H268" s="13">
        <v>191509.0741502911</v>
      </c>
      <c r="I268" s="14">
        <v>0</v>
      </c>
      <c r="J268" s="15">
        <v>1</v>
      </c>
      <c r="K268" s="14">
        <v>870.86516028320762</v>
      </c>
      <c r="L268" s="13">
        <v>166778580.55558196</v>
      </c>
      <c r="M268" s="14">
        <v>3.6926119620879136</v>
      </c>
      <c r="N268" s="14">
        <v>492.73335473688229</v>
      </c>
      <c r="O268" s="13">
        <v>94362908.568627283</v>
      </c>
      <c r="P268" s="13">
        <v>72415671.986954674</v>
      </c>
      <c r="Q268" s="14">
        <v>1.7674167009624226</v>
      </c>
      <c r="R268" s="15">
        <v>0.76741670096242265</v>
      </c>
    </row>
    <row r="269" spans="1:18" ht="18" customHeight="1">
      <c r="A269" s="10" t="s">
        <v>103</v>
      </c>
      <c r="B269" s="10" t="s">
        <v>104</v>
      </c>
      <c r="C269" s="10" t="s">
        <v>241</v>
      </c>
      <c r="D269" s="10" t="s">
        <v>249</v>
      </c>
      <c r="E269" s="16">
        <v>1</v>
      </c>
      <c r="F269" s="16">
        <v>1</v>
      </c>
      <c r="G269" s="13">
        <v>357.52101189210003</v>
      </c>
      <c r="H269" s="13">
        <v>357.52101189210003</v>
      </c>
      <c r="I269" s="14">
        <v>0</v>
      </c>
      <c r="J269" s="15">
        <v>1</v>
      </c>
      <c r="K269" s="14">
        <v>602.55958607435753</v>
      </c>
      <c r="L269" s="13">
        <v>215427.71293858925</v>
      </c>
      <c r="M269" s="14">
        <v>3.78</v>
      </c>
      <c r="N269" s="14">
        <v>602.55958607435753</v>
      </c>
      <c r="O269" s="13">
        <v>215427.71293858925</v>
      </c>
      <c r="P269" s="13">
        <v>0</v>
      </c>
      <c r="Q269" s="14">
        <v>1</v>
      </c>
      <c r="R269" s="15">
        <v>0</v>
      </c>
    </row>
    <row r="270" spans="1:18" ht="18" customHeight="1">
      <c r="A270" s="10" t="s">
        <v>103</v>
      </c>
      <c r="B270" s="10" t="s">
        <v>104</v>
      </c>
      <c r="C270" s="10" t="s">
        <v>241</v>
      </c>
      <c r="D270" s="10" t="s">
        <v>250</v>
      </c>
      <c r="E270" s="16">
        <v>40</v>
      </c>
      <c r="F270" s="16">
        <v>40</v>
      </c>
      <c r="G270" s="13">
        <v>13130.3069526564</v>
      </c>
      <c r="H270" s="13">
        <v>13130.3069526564</v>
      </c>
      <c r="I270" s="14">
        <v>0</v>
      </c>
      <c r="J270" s="15">
        <v>1</v>
      </c>
      <c r="K270" s="14">
        <v>804.72739141029228</v>
      </c>
      <c r="L270" s="13">
        <v>10566317.662427608</v>
      </c>
      <c r="M270" s="14">
        <v>3.8229929326780381</v>
      </c>
      <c r="N270" s="14">
        <v>665.26233022644578</v>
      </c>
      <c r="O270" s="13">
        <v>8735098.5999126993</v>
      </c>
      <c r="P270" s="13">
        <v>1831219.0625149086</v>
      </c>
      <c r="Q270" s="14">
        <v>1.2096391977227607</v>
      </c>
      <c r="R270" s="15">
        <v>0.20963919772276071</v>
      </c>
    </row>
    <row r="271" spans="1:18" ht="18" customHeight="1">
      <c r="A271" s="10" t="s">
        <v>103</v>
      </c>
      <c r="B271" s="10" t="s">
        <v>104</v>
      </c>
      <c r="C271" s="10" t="s">
        <v>241</v>
      </c>
      <c r="D271" s="10" t="s">
        <v>251</v>
      </c>
      <c r="E271" s="16">
        <v>19</v>
      </c>
      <c r="F271" s="16">
        <v>19</v>
      </c>
      <c r="G271" s="13">
        <v>12417.2560075698</v>
      </c>
      <c r="H271" s="13">
        <v>12417.2560075698</v>
      </c>
      <c r="I271" s="14">
        <v>0</v>
      </c>
      <c r="J271" s="15">
        <v>1</v>
      </c>
      <c r="K271" s="14">
        <v>2722.4009191338941</v>
      </c>
      <c r="L271" s="13">
        <v>33804749.168128893</v>
      </c>
      <c r="M271" s="14">
        <v>4.4313526602370592</v>
      </c>
      <c r="N271" s="14">
        <v>2699.9309680247143</v>
      </c>
      <c r="O271" s="13">
        <v>33525734.032728631</v>
      </c>
      <c r="P271" s="13">
        <v>279015.13540026173</v>
      </c>
      <c r="Q271" s="14">
        <v>1.0083224168970581</v>
      </c>
      <c r="R271" s="15">
        <v>8.322416897058255E-3</v>
      </c>
    </row>
    <row r="272" spans="1:18" ht="18" customHeight="1">
      <c r="A272" s="10" t="s">
        <v>119</v>
      </c>
      <c r="B272" s="10" t="s">
        <v>120</v>
      </c>
      <c r="C272" s="10" t="s">
        <v>241</v>
      </c>
      <c r="D272" s="10" t="s">
        <v>242</v>
      </c>
      <c r="E272" s="16">
        <v>12</v>
      </c>
      <c r="F272" s="16">
        <v>12</v>
      </c>
      <c r="G272" s="13">
        <v>32323.500216867098</v>
      </c>
      <c r="H272" s="13">
        <v>32323.500216867098</v>
      </c>
      <c r="I272" s="14">
        <v>0</v>
      </c>
      <c r="J272" s="15">
        <v>1</v>
      </c>
      <c r="K272" s="14">
        <v>1229.7962562893836</v>
      </c>
      <c r="L272" s="13">
        <v>39751319.556872234</v>
      </c>
      <c r="M272" s="14">
        <v>4.0895518776832791</v>
      </c>
      <c r="N272" s="14">
        <v>1228.9999852756544</v>
      </c>
      <c r="O272" s="13">
        <v>39725581.290587276</v>
      </c>
      <c r="P272" s="13">
        <v>25738.266284957528</v>
      </c>
      <c r="Q272" s="14">
        <v>1.0006479015649057</v>
      </c>
      <c r="R272" s="15">
        <v>6.4790156490563539E-4</v>
      </c>
    </row>
    <row r="273" spans="1:18" ht="18" customHeight="1">
      <c r="A273" s="10" t="s">
        <v>119</v>
      </c>
      <c r="B273" s="10" t="s">
        <v>120</v>
      </c>
      <c r="C273" s="10" t="s">
        <v>241</v>
      </c>
      <c r="D273" s="10" t="s">
        <v>243</v>
      </c>
      <c r="E273" s="16">
        <v>6</v>
      </c>
      <c r="F273" s="16">
        <v>6</v>
      </c>
      <c r="G273" s="13">
        <v>67588.543312609603</v>
      </c>
      <c r="H273" s="13">
        <v>67588.543312609603</v>
      </c>
      <c r="I273" s="14">
        <v>0</v>
      </c>
      <c r="J273" s="15">
        <v>1</v>
      </c>
      <c r="K273" s="14">
        <v>125.05800714986246</v>
      </c>
      <c r="L273" s="13">
        <v>8452488.5328371208</v>
      </c>
      <c r="M273" s="14">
        <v>3.0850977823066903</v>
      </c>
      <c r="N273" s="14">
        <v>121.64598582848528</v>
      </c>
      <c r="O273" s="13">
        <v>8221874.9819736714</v>
      </c>
      <c r="P273" s="13">
        <v>230613.55086344946</v>
      </c>
      <c r="Q273" s="14">
        <v>1.0280487785777654</v>
      </c>
      <c r="R273" s="15">
        <v>2.804877857776553E-2</v>
      </c>
    </row>
    <row r="274" spans="1:18" ht="18" customHeight="1">
      <c r="A274" s="10" t="s">
        <v>119</v>
      </c>
      <c r="B274" s="10" t="s">
        <v>120</v>
      </c>
      <c r="C274" s="10" t="s">
        <v>241</v>
      </c>
      <c r="D274" s="10" t="s">
        <v>244</v>
      </c>
      <c r="E274" s="16">
        <v>3</v>
      </c>
      <c r="F274" s="16">
        <v>3</v>
      </c>
      <c r="G274" s="13">
        <v>59779.117859353704</v>
      </c>
      <c r="H274" s="13">
        <v>59779.117859353704</v>
      </c>
      <c r="I274" s="14">
        <v>0</v>
      </c>
      <c r="J274" s="15">
        <v>1</v>
      </c>
      <c r="K274" s="14">
        <v>2397.7896222729337</v>
      </c>
      <c r="L274" s="13">
        <v>143337748.43178889</v>
      </c>
      <c r="M274" s="14">
        <v>4.37968618698544</v>
      </c>
      <c r="N274" s="14">
        <v>2397.1001936166431</v>
      </c>
      <c r="O274" s="13">
        <v>143296534.9948889</v>
      </c>
      <c r="P274" s="13">
        <v>41213.436899989843</v>
      </c>
      <c r="Q274" s="14">
        <v>1.0002876094449977</v>
      </c>
      <c r="R274" s="15">
        <v>2.8760944499781413E-4</v>
      </c>
    </row>
    <row r="275" spans="1:18" ht="18" customHeight="1">
      <c r="A275" s="10" t="s">
        <v>119</v>
      </c>
      <c r="B275" s="10" t="s">
        <v>120</v>
      </c>
      <c r="C275" s="10" t="s">
        <v>241</v>
      </c>
      <c r="D275" s="10" t="s">
        <v>253</v>
      </c>
      <c r="E275" s="16">
        <v>1</v>
      </c>
      <c r="F275" s="16">
        <v>1</v>
      </c>
      <c r="G275" s="13">
        <v>5.2252798922999997</v>
      </c>
      <c r="H275" s="13">
        <v>5.2252798922999997</v>
      </c>
      <c r="I275" s="14">
        <v>0</v>
      </c>
      <c r="J275" s="15">
        <v>1</v>
      </c>
      <c r="K275" s="14">
        <v>239.88329190194898</v>
      </c>
      <c r="L275" s="13">
        <v>1253.4573416739854</v>
      </c>
      <c r="M275" s="14">
        <v>3.38</v>
      </c>
      <c r="N275" s="14">
        <v>239.88329190194898</v>
      </c>
      <c r="O275" s="13">
        <v>1253.4573416739854</v>
      </c>
      <c r="P275" s="13">
        <v>0</v>
      </c>
      <c r="Q275" s="14">
        <v>1</v>
      </c>
      <c r="R275" s="15">
        <v>0</v>
      </c>
    </row>
    <row r="276" spans="1:18" ht="18" customHeight="1">
      <c r="A276" s="10" t="s">
        <v>119</v>
      </c>
      <c r="B276" s="10" t="s">
        <v>120</v>
      </c>
      <c r="C276" s="10" t="s">
        <v>241</v>
      </c>
      <c r="D276" s="10" t="s">
        <v>245</v>
      </c>
      <c r="E276" s="16">
        <v>2</v>
      </c>
      <c r="F276" s="16">
        <v>2</v>
      </c>
      <c r="G276" s="13">
        <v>38.255838676899998</v>
      </c>
      <c r="H276" s="13">
        <v>38.255838676899998</v>
      </c>
      <c r="I276" s="14">
        <v>0</v>
      </c>
      <c r="J276" s="15">
        <v>1</v>
      </c>
      <c r="K276" s="14">
        <v>31.740699823301867</v>
      </c>
      <c r="L276" s="13">
        <v>1214.2670919321445</v>
      </c>
      <c r="M276" s="14">
        <v>2.1574802480547319</v>
      </c>
      <c r="N276" s="14">
        <v>14.370776928081654</v>
      </c>
      <c r="O276" s="13">
        <v>549.7661238224083</v>
      </c>
      <c r="P276" s="13">
        <v>664.50096810973616</v>
      </c>
      <c r="Q276" s="14">
        <v>2.2086975521328971</v>
      </c>
      <c r="R276" s="15">
        <v>1.2086975521328971</v>
      </c>
    </row>
    <row r="277" spans="1:18" ht="18" customHeight="1">
      <c r="A277" s="10" t="s">
        <v>119</v>
      </c>
      <c r="B277" s="10" t="s">
        <v>120</v>
      </c>
      <c r="C277" s="10" t="s">
        <v>241</v>
      </c>
      <c r="D277" s="10" t="s">
        <v>246</v>
      </c>
      <c r="E277" s="16">
        <v>7</v>
      </c>
      <c r="F277" s="16">
        <v>7</v>
      </c>
      <c r="G277" s="13">
        <v>48630.057603372603</v>
      </c>
      <c r="H277" s="13">
        <v>48630.057603372603</v>
      </c>
      <c r="I277" s="14">
        <v>0</v>
      </c>
      <c r="J277" s="15">
        <v>1</v>
      </c>
      <c r="K277" s="14">
        <v>190.54569727487035</v>
      </c>
      <c r="L277" s="13">
        <v>9266248.2345517427</v>
      </c>
      <c r="M277" s="14">
        <v>3.2799899711554157</v>
      </c>
      <c r="N277" s="14">
        <v>190.54167170616509</v>
      </c>
      <c r="O277" s="13">
        <v>9266052.4709137194</v>
      </c>
      <c r="P277" s="13">
        <v>195.76363802328706</v>
      </c>
      <c r="Q277" s="14">
        <v>1.0000211269727468</v>
      </c>
      <c r="R277" s="15">
        <v>2.1126972746786415E-5</v>
      </c>
    </row>
    <row r="278" spans="1:18" ht="18" customHeight="1">
      <c r="A278" s="10" t="s">
        <v>119</v>
      </c>
      <c r="B278" s="10" t="s">
        <v>120</v>
      </c>
      <c r="C278" s="10" t="s">
        <v>241</v>
      </c>
      <c r="D278" s="10" t="s">
        <v>247</v>
      </c>
      <c r="E278" s="16">
        <v>7</v>
      </c>
      <c r="F278" s="16">
        <v>7</v>
      </c>
      <c r="G278" s="13">
        <v>300.80040160210001</v>
      </c>
      <c r="H278" s="13">
        <v>300.80040160210001</v>
      </c>
      <c r="I278" s="14">
        <v>0</v>
      </c>
      <c r="J278" s="15">
        <v>1</v>
      </c>
      <c r="K278" s="14">
        <v>292.89918245947723</v>
      </c>
      <c r="L278" s="13">
        <v>88104.19171273752</v>
      </c>
      <c r="M278" s="14">
        <v>3.456761072756771</v>
      </c>
      <c r="N278" s="14">
        <v>286.26026748768953</v>
      </c>
      <c r="O278" s="13">
        <v>86107.20342302158</v>
      </c>
      <c r="P278" s="13">
        <v>1996.9882897159405</v>
      </c>
      <c r="Q278" s="14">
        <v>1.0231918841900518</v>
      </c>
      <c r="R278" s="15">
        <v>2.3191884190051706E-2</v>
      </c>
    </row>
    <row r="279" spans="1:18" ht="18" customHeight="1">
      <c r="A279" s="10" t="s">
        <v>119</v>
      </c>
      <c r="B279" s="10" t="s">
        <v>120</v>
      </c>
      <c r="C279" s="10" t="s">
        <v>241</v>
      </c>
      <c r="D279" s="10" t="s">
        <v>248</v>
      </c>
      <c r="E279" s="16">
        <v>9</v>
      </c>
      <c r="F279" s="16">
        <v>9</v>
      </c>
      <c r="G279" s="13">
        <v>1232.4260775124999</v>
      </c>
      <c r="H279" s="13">
        <v>1232.4260775124999</v>
      </c>
      <c r="I279" s="14">
        <v>0</v>
      </c>
      <c r="J279" s="15">
        <v>1</v>
      </c>
      <c r="K279" s="14">
        <v>890.53373630456235</v>
      </c>
      <c r="L279" s="13">
        <v>1097516.9995263827</v>
      </c>
      <c r="M279" s="14">
        <v>3.5492904992557417</v>
      </c>
      <c r="N279" s="14">
        <v>354.23420885294502</v>
      </c>
      <c r="O279" s="13">
        <v>436567.47653737868</v>
      </c>
      <c r="P279" s="13">
        <v>660949.52298900392</v>
      </c>
      <c r="Q279" s="14">
        <v>2.5139687643049009</v>
      </c>
      <c r="R279" s="15">
        <v>1.5139687643049007</v>
      </c>
    </row>
    <row r="280" spans="1:18" ht="18" customHeight="1">
      <c r="A280" s="10" t="s">
        <v>119</v>
      </c>
      <c r="B280" s="10" t="s">
        <v>120</v>
      </c>
      <c r="C280" s="10" t="s">
        <v>241</v>
      </c>
      <c r="D280" s="10" t="s">
        <v>249</v>
      </c>
      <c r="E280" s="16">
        <v>8</v>
      </c>
      <c r="F280" s="16">
        <v>8</v>
      </c>
      <c r="G280" s="13">
        <v>9090.1383289501009</v>
      </c>
      <c r="H280" s="13">
        <v>9090.1383289501009</v>
      </c>
      <c r="I280" s="14">
        <v>0</v>
      </c>
      <c r="J280" s="15">
        <v>1</v>
      </c>
      <c r="K280" s="14">
        <v>728.05313464989501</v>
      </c>
      <c r="L280" s="13">
        <v>6618103.7047932791</v>
      </c>
      <c r="M280" s="14">
        <v>3.8551311578672043</v>
      </c>
      <c r="N280" s="14">
        <v>716.35971972371431</v>
      </c>
      <c r="O280" s="13">
        <v>6511808.9455764871</v>
      </c>
      <c r="P280" s="13">
        <v>106294.75921679195</v>
      </c>
      <c r="Q280" s="14">
        <v>1.016323384194034</v>
      </c>
      <c r="R280" s="15">
        <v>1.6323384194033924E-2</v>
      </c>
    </row>
    <row r="281" spans="1:18" ht="18" customHeight="1">
      <c r="A281" s="10" t="s">
        <v>119</v>
      </c>
      <c r="B281" s="10" t="s">
        <v>120</v>
      </c>
      <c r="C281" s="10" t="s">
        <v>241</v>
      </c>
      <c r="D281" s="10" t="s">
        <v>250</v>
      </c>
      <c r="E281" s="16">
        <v>6</v>
      </c>
      <c r="F281" s="16">
        <v>6</v>
      </c>
      <c r="G281" s="13">
        <v>57.559250344500001</v>
      </c>
      <c r="H281" s="13">
        <v>57.559250344500001</v>
      </c>
      <c r="I281" s="14">
        <v>0</v>
      </c>
      <c r="J281" s="15">
        <v>1</v>
      </c>
      <c r="K281" s="14">
        <v>1436.9645121157462</v>
      </c>
      <c r="L281" s="13">
        <v>82710.600089032538</v>
      </c>
      <c r="M281" s="14">
        <v>4.1422605280786193</v>
      </c>
      <c r="N281" s="14">
        <v>1387.5879767226481</v>
      </c>
      <c r="O281" s="13">
        <v>79868.523727197142</v>
      </c>
      <c r="P281" s="13">
        <v>2842.0763618353958</v>
      </c>
      <c r="Q281" s="14">
        <v>1.0355844358854425</v>
      </c>
      <c r="R281" s="15">
        <v>3.5584435885442578E-2</v>
      </c>
    </row>
    <row r="282" spans="1:18" ht="18" customHeight="1">
      <c r="A282" s="10" t="s">
        <v>141</v>
      </c>
      <c r="B282" s="10" t="s">
        <v>142</v>
      </c>
      <c r="C282" s="10" t="s">
        <v>241</v>
      </c>
      <c r="D282" s="10" t="s">
        <v>242</v>
      </c>
      <c r="E282" s="16">
        <v>11</v>
      </c>
      <c r="F282" s="16">
        <v>11</v>
      </c>
      <c r="G282" s="13">
        <v>36494.180468461804</v>
      </c>
      <c r="H282" s="13">
        <v>36494.180468461804</v>
      </c>
      <c r="I282" s="14">
        <v>0</v>
      </c>
      <c r="J282" s="15">
        <v>1</v>
      </c>
      <c r="K282" s="14">
        <v>1226.8220764082885</v>
      </c>
      <c r="L282" s="13">
        <v>44771866.259137116</v>
      </c>
      <c r="M282" s="14">
        <v>4.087992000070825</v>
      </c>
      <c r="N282" s="14">
        <v>1224.5936414084836</v>
      </c>
      <c r="O282" s="13">
        <v>44690541.350092001</v>
      </c>
      <c r="P282" s="13">
        <v>81324.909045115113</v>
      </c>
      <c r="Q282" s="14">
        <v>1.0018197342566975</v>
      </c>
      <c r="R282" s="15">
        <v>1.819734256697423E-3</v>
      </c>
    </row>
    <row r="283" spans="1:18" ht="18" customHeight="1">
      <c r="A283" s="10" t="s">
        <v>141</v>
      </c>
      <c r="B283" s="10" t="s">
        <v>142</v>
      </c>
      <c r="C283" s="10" t="s">
        <v>241</v>
      </c>
      <c r="D283" s="10" t="s">
        <v>243</v>
      </c>
      <c r="E283" s="16">
        <v>4</v>
      </c>
      <c r="F283" s="16">
        <v>4</v>
      </c>
      <c r="G283" s="13">
        <v>991.5554287606999</v>
      </c>
      <c r="H283" s="13">
        <v>991.5554287606999</v>
      </c>
      <c r="I283" s="14">
        <v>0</v>
      </c>
      <c r="J283" s="15">
        <v>1</v>
      </c>
      <c r="K283" s="14">
        <v>114.8714477023306</v>
      </c>
      <c r="L283" s="13">
        <v>113901.40757884673</v>
      </c>
      <c r="M283" s="14">
        <v>3.0549785641321523</v>
      </c>
      <c r="N283" s="14">
        <v>113.49547952934326</v>
      </c>
      <c r="O283" s="13">
        <v>112537.05886711919</v>
      </c>
      <c r="P283" s="13">
        <v>1364.3487117275363</v>
      </c>
      <c r="Q283" s="14">
        <v>1.0121235504593959</v>
      </c>
      <c r="R283" s="15">
        <v>1.2123550459395989E-2</v>
      </c>
    </row>
    <row r="284" spans="1:18" ht="18" customHeight="1">
      <c r="A284" s="10" t="s">
        <v>141</v>
      </c>
      <c r="B284" s="10" t="s">
        <v>142</v>
      </c>
      <c r="C284" s="10" t="s">
        <v>241</v>
      </c>
      <c r="D284" s="10" t="s">
        <v>244</v>
      </c>
      <c r="E284" s="16">
        <v>7</v>
      </c>
      <c r="F284" s="16">
        <v>7</v>
      </c>
      <c r="G284" s="13">
        <v>7446.7601847676997</v>
      </c>
      <c r="H284" s="13">
        <v>7446.7601847676997</v>
      </c>
      <c r="I284" s="14">
        <v>0</v>
      </c>
      <c r="J284" s="15">
        <v>1</v>
      </c>
      <c r="K284" s="14">
        <v>2318.8804437611593</v>
      </c>
      <c r="L284" s="13">
        <v>17268146.561837055</v>
      </c>
      <c r="M284" s="14">
        <v>4.3400695940088161</v>
      </c>
      <c r="N284" s="14">
        <v>2188.1122323682325</v>
      </c>
      <c r="O284" s="13">
        <v>16294347.051802924</v>
      </c>
      <c r="P284" s="13">
        <v>973799.51003413089</v>
      </c>
      <c r="Q284" s="14">
        <v>1.0597630274437038</v>
      </c>
      <c r="R284" s="15">
        <v>5.9763027443703716E-2</v>
      </c>
    </row>
    <row r="285" spans="1:18" ht="18" customHeight="1">
      <c r="A285" s="10" t="s">
        <v>141</v>
      </c>
      <c r="B285" s="10" t="s">
        <v>142</v>
      </c>
      <c r="C285" s="10" t="s">
        <v>241</v>
      </c>
      <c r="D285" s="10" t="s">
        <v>253</v>
      </c>
      <c r="E285" s="16">
        <v>2</v>
      </c>
      <c r="F285" s="16">
        <v>2</v>
      </c>
      <c r="G285" s="13">
        <v>171.67078498230001</v>
      </c>
      <c r="H285" s="13">
        <v>171.67078498230001</v>
      </c>
      <c r="I285" s="14">
        <v>0</v>
      </c>
      <c r="J285" s="15">
        <v>1</v>
      </c>
      <c r="K285" s="14">
        <v>239.77078758931245</v>
      </c>
      <c r="L285" s="13">
        <v>41161.639321281582</v>
      </c>
      <c r="M285" s="14">
        <v>3.3797403909517825</v>
      </c>
      <c r="N285" s="14">
        <v>239.73993925527216</v>
      </c>
      <c r="O285" s="13">
        <v>41156.343563561495</v>
      </c>
      <c r="P285" s="13">
        <v>5.29575772008684</v>
      </c>
      <c r="Q285" s="14">
        <v>1.0001286741547366</v>
      </c>
      <c r="R285" s="15">
        <v>1.2867415473651389E-4</v>
      </c>
    </row>
    <row r="286" spans="1:18" ht="18" customHeight="1">
      <c r="A286" s="10" t="s">
        <v>141</v>
      </c>
      <c r="B286" s="10" t="s">
        <v>142</v>
      </c>
      <c r="C286" s="10" t="s">
        <v>241</v>
      </c>
      <c r="D286" s="10" t="s">
        <v>245</v>
      </c>
      <c r="E286" s="16">
        <v>4</v>
      </c>
      <c r="F286" s="16">
        <v>4</v>
      </c>
      <c r="G286" s="13">
        <v>15.614821926900001</v>
      </c>
      <c r="H286" s="13">
        <v>15.614821926900001</v>
      </c>
      <c r="I286" s="14">
        <v>0</v>
      </c>
      <c r="J286" s="15">
        <v>1</v>
      </c>
      <c r="K286" s="14">
        <v>359.9311784476991</v>
      </c>
      <c r="L286" s="13">
        <v>5620.2612574000887</v>
      </c>
      <c r="M286" s="14">
        <v>3.1840236693911805</v>
      </c>
      <c r="N286" s="14">
        <v>152.76493140596213</v>
      </c>
      <c r="O286" s="13">
        <v>2385.397200579192</v>
      </c>
      <c r="P286" s="13">
        <v>3234.8640568208966</v>
      </c>
      <c r="Q286" s="14">
        <v>2.3561112824461468</v>
      </c>
      <c r="R286" s="15">
        <v>1.3561112824461468</v>
      </c>
    </row>
    <row r="287" spans="1:18" ht="18" customHeight="1">
      <c r="A287" s="10" t="s">
        <v>141</v>
      </c>
      <c r="B287" s="10" t="s">
        <v>142</v>
      </c>
      <c r="C287" s="10" t="s">
        <v>241</v>
      </c>
      <c r="D287" s="10" t="s">
        <v>246</v>
      </c>
      <c r="E287" s="16">
        <v>8</v>
      </c>
      <c r="F287" s="16">
        <v>8</v>
      </c>
      <c r="G287" s="13">
        <v>32942.1627605002</v>
      </c>
      <c r="H287" s="13">
        <v>32942.1627605002</v>
      </c>
      <c r="I287" s="14">
        <v>0</v>
      </c>
      <c r="J287" s="15">
        <v>1</v>
      </c>
      <c r="K287" s="14">
        <v>190.76765278811251</v>
      </c>
      <c r="L287" s="13">
        <v>6284299.0675845919</v>
      </c>
      <c r="M287" s="14">
        <v>3.2799712594665524</v>
      </c>
      <c r="N287" s="14">
        <v>190.53346234634367</v>
      </c>
      <c r="O287" s="13">
        <v>6276584.3279348891</v>
      </c>
      <c r="P287" s="13">
        <v>7714.7396497027948</v>
      </c>
      <c r="Q287" s="14">
        <v>1.0012291302476997</v>
      </c>
      <c r="R287" s="15">
        <v>1.2291302476997207E-3</v>
      </c>
    </row>
    <row r="288" spans="1:18" ht="18" customHeight="1">
      <c r="A288" s="10" t="s">
        <v>141</v>
      </c>
      <c r="B288" s="10" t="s">
        <v>142</v>
      </c>
      <c r="C288" s="10" t="s">
        <v>241</v>
      </c>
      <c r="D288" s="10" t="s">
        <v>247</v>
      </c>
      <c r="E288" s="16">
        <v>8</v>
      </c>
      <c r="F288" s="16">
        <v>8</v>
      </c>
      <c r="G288" s="13">
        <v>304.30787965790006</v>
      </c>
      <c r="H288" s="13">
        <v>304.30787965790006</v>
      </c>
      <c r="I288" s="14">
        <v>0</v>
      </c>
      <c r="J288" s="15">
        <v>1</v>
      </c>
      <c r="K288" s="14">
        <v>397.96651432241822</v>
      </c>
      <c r="L288" s="13">
        <v>121104.34614830041</v>
      </c>
      <c r="M288" s="14">
        <v>3.5788916252842506</v>
      </c>
      <c r="N288" s="14">
        <v>379.22034176104671</v>
      </c>
      <c r="O288" s="13">
        <v>115399.73812444834</v>
      </c>
      <c r="P288" s="13">
        <v>5704.6080238520663</v>
      </c>
      <c r="Q288" s="14">
        <v>1.0494334572726687</v>
      </c>
      <c r="R288" s="15">
        <v>4.9433457272668631E-2</v>
      </c>
    </row>
    <row r="289" spans="1:18" ht="18" customHeight="1">
      <c r="A289" s="10" t="s">
        <v>141</v>
      </c>
      <c r="B289" s="10" t="s">
        <v>142</v>
      </c>
      <c r="C289" s="10" t="s">
        <v>241</v>
      </c>
      <c r="D289" s="10" t="s">
        <v>248</v>
      </c>
      <c r="E289" s="16">
        <v>5</v>
      </c>
      <c r="F289" s="16">
        <v>5</v>
      </c>
      <c r="G289" s="13">
        <v>36.434822630300005</v>
      </c>
      <c r="H289" s="13">
        <v>36.434822630300005</v>
      </c>
      <c r="I289" s="14">
        <v>0</v>
      </c>
      <c r="J289" s="15">
        <v>1</v>
      </c>
      <c r="K289" s="14">
        <v>2534.1699403770835</v>
      </c>
      <c r="L289" s="13">
        <v>92332.032292676973</v>
      </c>
      <c r="M289" s="14">
        <v>4.2267229666996462</v>
      </c>
      <c r="N289" s="14">
        <v>1685.4775285076048</v>
      </c>
      <c r="O289" s="13">
        <v>61410.074798531001</v>
      </c>
      <c r="P289" s="13">
        <v>30921.957494145972</v>
      </c>
      <c r="Q289" s="14">
        <v>1.5035323209683773</v>
      </c>
      <c r="R289" s="15">
        <v>0.5035323209683773</v>
      </c>
    </row>
    <row r="290" spans="1:18" ht="18" customHeight="1">
      <c r="A290" s="10" t="s">
        <v>141</v>
      </c>
      <c r="B290" s="10" t="s">
        <v>142</v>
      </c>
      <c r="C290" s="10" t="s">
        <v>241</v>
      </c>
      <c r="D290" s="10" t="s">
        <v>249</v>
      </c>
      <c r="E290" s="16">
        <v>6</v>
      </c>
      <c r="F290" s="16">
        <v>6</v>
      </c>
      <c r="G290" s="13">
        <v>8432.8022237882014</v>
      </c>
      <c r="H290" s="13">
        <v>8432.8022237882014</v>
      </c>
      <c r="I290" s="14">
        <v>0</v>
      </c>
      <c r="J290" s="15">
        <v>1</v>
      </c>
      <c r="K290" s="14">
        <v>858.07613610839337</v>
      </c>
      <c r="L290" s="13">
        <v>7235986.348754447</v>
      </c>
      <c r="M290" s="14">
        <v>3.8974046333511767</v>
      </c>
      <c r="N290" s="14">
        <v>789.59544323709645</v>
      </c>
      <c r="O290" s="13">
        <v>6658502.2096228171</v>
      </c>
      <c r="P290" s="13">
        <v>577484.13913162984</v>
      </c>
      <c r="Q290" s="14">
        <v>1.0867288349468525</v>
      </c>
      <c r="R290" s="15">
        <v>8.6728834946852476E-2</v>
      </c>
    </row>
    <row r="291" spans="1:18" ht="18" customHeight="1">
      <c r="A291" s="10" t="s">
        <v>141</v>
      </c>
      <c r="B291" s="10" t="s">
        <v>142</v>
      </c>
      <c r="C291" s="10" t="s">
        <v>241</v>
      </c>
      <c r="D291" s="10" t="s">
        <v>250</v>
      </c>
      <c r="E291" s="16">
        <v>9</v>
      </c>
      <c r="F291" s="16">
        <v>9</v>
      </c>
      <c r="G291" s="13">
        <v>258.33419824420002</v>
      </c>
      <c r="H291" s="13">
        <v>258.33419824420002</v>
      </c>
      <c r="I291" s="14">
        <v>0</v>
      </c>
      <c r="J291" s="15">
        <v>1</v>
      </c>
      <c r="K291" s="14">
        <v>1336.9149922256506</v>
      </c>
      <c r="L291" s="13">
        <v>345370.86263726436</v>
      </c>
      <c r="M291" s="14">
        <v>4.1175101655062711</v>
      </c>
      <c r="N291" s="14">
        <v>1310.7207219725112</v>
      </c>
      <c r="O291" s="13">
        <v>338603.98683282768</v>
      </c>
      <c r="P291" s="13">
        <v>6766.8758044366841</v>
      </c>
      <c r="Q291" s="14">
        <v>1.019984631213978</v>
      </c>
      <c r="R291" s="15">
        <v>1.9984631213977883E-2</v>
      </c>
    </row>
    <row r="292" spans="1:18" ht="18" customHeight="1">
      <c r="A292" s="10" t="s">
        <v>77</v>
      </c>
      <c r="B292" s="10" t="s">
        <v>78</v>
      </c>
      <c r="C292" s="10" t="s">
        <v>241</v>
      </c>
      <c r="D292" s="10" t="s">
        <v>242</v>
      </c>
      <c r="E292" s="16">
        <v>23</v>
      </c>
      <c r="F292" s="16">
        <v>23</v>
      </c>
      <c r="G292" s="13">
        <v>443163.18754432222</v>
      </c>
      <c r="H292" s="13">
        <v>443163.18754432222</v>
      </c>
      <c r="I292" s="14">
        <v>0</v>
      </c>
      <c r="J292" s="15">
        <v>1</v>
      </c>
      <c r="K292" s="14">
        <v>1256.3048642308372</v>
      </c>
      <c r="L292" s="13">
        <v>556748068.15997481</v>
      </c>
      <c r="M292" s="14">
        <v>4.0915439869022938</v>
      </c>
      <c r="N292" s="14">
        <v>1234.6503586533308</v>
      </c>
      <c r="O292" s="13">
        <v>547151588.44355071</v>
      </c>
      <c r="P292" s="13">
        <v>9596479.7164241076</v>
      </c>
      <c r="Q292" s="14">
        <v>1.0175389780805035</v>
      </c>
      <c r="R292" s="15">
        <v>1.75389780805035E-2</v>
      </c>
    </row>
    <row r="293" spans="1:18" ht="18" customHeight="1">
      <c r="A293" s="10" t="s">
        <v>77</v>
      </c>
      <c r="B293" s="10" t="s">
        <v>78</v>
      </c>
      <c r="C293" s="10" t="s">
        <v>241</v>
      </c>
      <c r="D293" s="10" t="s">
        <v>243</v>
      </c>
      <c r="E293" s="16">
        <v>16</v>
      </c>
      <c r="F293" s="16">
        <v>16</v>
      </c>
      <c r="G293" s="13">
        <v>33024.940512618297</v>
      </c>
      <c r="H293" s="13">
        <v>33024.940512618297</v>
      </c>
      <c r="I293" s="14">
        <v>0</v>
      </c>
      <c r="J293" s="15">
        <v>1</v>
      </c>
      <c r="K293" s="14">
        <v>309.42683767806301</v>
      </c>
      <c r="L293" s="13">
        <v>10218802.907325629</v>
      </c>
      <c r="M293" s="14">
        <v>3.4136305499263613</v>
      </c>
      <c r="N293" s="14">
        <v>259.1973457478768</v>
      </c>
      <c r="O293" s="13">
        <v>8559976.9243521877</v>
      </c>
      <c r="P293" s="13">
        <v>1658825.9829734415</v>
      </c>
      <c r="Q293" s="14">
        <v>1.193788604529326</v>
      </c>
      <c r="R293" s="15">
        <v>0.19378860452932589</v>
      </c>
    </row>
    <row r="294" spans="1:18" ht="18" customHeight="1">
      <c r="A294" s="10" t="s">
        <v>77</v>
      </c>
      <c r="B294" s="10" t="s">
        <v>78</v>
      </c>
      <c r="C294" s="10" t="s">
        <v>241</v>
      </c>
      <c r="D294" s="10" t="s">
        <v>244</v>
      </c>
      <c r="E294" s="16">
        <v>14</v>
      </c>
      <c r="F294" s="16">
        <v>14</v>
      </c>
      <c r="G294" s="13">
        <v>29061.508344173792</v>
      </c>
      <c r="H294" s="13">
        <v>29061.508344173792</v>
      </c>
      <c r="I294" s="14">
        <v>0</v>
      </c>
      <c r="J294" s="15">
        <v>1</v>
      </c>
      <c r="K294" s="14">
        <v>1304.1828929076</v>
      </c>
      <c r="L294" s="13">
        <v>37901522.024562933</v>
      </c>
      <c r="M294" s="14">
        <v>3.8660578961799983</v>
      </c>
      <c r="N294" s="14">
        <v>734.61179337509316</v>
      </c>
      <c r="O294" s="13">
        <v>21348926.762898743</v>
      </c>
      <c r="P294" s="13">
        <v>16552595.261664189</v>
      </c>
      <c r="Q294" s="14">
        <v>1.775336177106108</v>
      </c>
      <c r="R294" s="15">
        <v>0.77533617710610803</v>
      </c>
    </row>
    <row r="295" spans="1:18" ht="18" customHeight="1">
      <c r="A295" s="10" t="s">
        <v>77</v>
      </c>
      <c r="B295" s="10" t="s">
        <v>78</v>
      </c>
      <c r="C295" s="10" t="s">
        <v>241</v>
      </c>
      <c r="D295" s="10" t="s">
        <v>253</v>
      </c>
      <c r="E295" s="16">
        <v>4</v>
      </c>
      <c r="F295" s="16">
        <v>4</v>
      </c>
      <c r="G295" s="13">
        <v>30546.684731365993</v>
      </c>
      <c r="H295" s="13">
        <v>30546.684731365993</v>
      </c>
      <c r="I295" s="14">
        <v>0</v>
      </c>
      <c r="J295" s="15">
        <v>1</v>
      </c>
      <c r="K295" s="14">
        <v>239.59301870971882</v>
      </c>
      <c r="L295" s="13">
        <v>7318772.4063620549</v>
      </c>
      <c r="M295" s="14">
        <v>3.3793301668776308</v>
      </c>
      <c r="N295" s="14">
        <v>239.51359361840412</v>
      </c>
      <c r="O295" s="13">
        <v>7316346.2331379047</v>
      </c>
      <c r="P295" s="13">
        <v>2426.1732241502032</v>
      </c>
      <c r="Q295" s="14">
        <v>1.0003316099521318</v>
      </c>
      <c r="R295" s="15">
        <v>3.3160995213175453E-4</v>
      </c>
    </row>
    <row r="296" spans="1:18" ht="18" customHeight="1">
      <c r="A296" s="10" t="s">
        <v>77</v>
      </c>
      <c r="B296" s="10" t="s">
        <v>78</v>
      </c>
      <c r="C296" s="10" t="s">
        <v>241</v>
      </c>
      <c r="D296" s="10" t="s">
        <v>245</v>
      </c>
      <c r="E296" s="16">
        <v>18</v>
      </c>
      <c r="F296" s="16">
        <v>18</v>
      </c>
      <c r="G296" s="13">
        <v>72.163065307000011</v>
      </c>
      <c r="H296" s="13">
        <v>72.163065307000011</v>
      </c>
      <c r="I296" s="14">
        <v>0</v>
      </c>
      <c r="J296" s="15">
        <v>1</v>
      </c>
      <c r="K296" s="14">
        <v>49.660883915044394</v>
      </c>
      <c r="L296" s="13">
        <v>3583.6816091646951</v>
      </c>
      <c r="M296" s="14">
        <v>2.4696767639661537</v>
      </c>
      <c r="N296" s="14">
        <v>29.490135223785789</v>
      </c>
      <c r="O296" s="13">
        <v>2128.098554066315</v>
      </c>
      <c r="P296" s="13">
        <v>1455.5830550983801</v>
      </c>
      <c r="Q296" s="14">
        <v>1.683982916259724</v>
      </c>
      <c r="R296" s="15">
        <v>0.68398291625972396</v>
      </c>
    </row>
    <row r="297" spans="1:18" ht="18" customHeight="1">
      <c r="A297" s="10" t="s">
        <v>77</v>
      </c>
      <c r="B297" s="10" t="s">
        <v>78</v>
      </c>
      <c r="C297" s="10" t="s">
        <v>241</v>
      </c>
      <c r="D297" s="10" t="s">
        <v>246</v>
      </c>
      <c r="E297" s="16">
        <v>20</v>
      </c>
      <c r="F297" s="16">
        <v>20</v>
      </c>
      <c r="G297" s="13">
        <v>59341.531840947406</v>
      </c>
      <c r="H297" s="13">
        <v>59341.531840947406</v>
      </c>
      <c r="I297" s="14">
        <v>0</v>
      </c>
      <c r="J297" s="15">
        <v>1</v>
      </c>
      <c r="K297" s="14">
        <v>196.42823352196146</v>
      </c>
      <c r="L297" s="13">
        <v>11656352.274004528</v>
      </c>
      <c r="M297" s="14">
        <v>3.2779907769188621</v>
      </c>
      <c r="N297" s="14">
        <v>189.66656414296097</v>
      </c>
      <c r="O297" s="13">
        <v>11255104.455252612</v>
      </c>
      <c r="P297" s="13">
        <v>401247.81875191629</v>
      </c>
      <c r="Q297" s="14">
        <v>1.0356502971915698</v>
      </c>
      <c r="R297" s="15">
        <v>3.5650297191569744E-2</v>
      </c>
    </row>
    <row r="298" spans="1:18" ht="18" customHeight="1">
      <c r="A298" s="10" t="s">
        <v>77</v>
      </c>
      <c r="B298" s="10" t="s">
        <v>78</v>
      </c>
      <c r="C298" s="10" t="s">
        <v>241</v>
      </c>
      <c r="D298" s="10" t="s">
        <v>247</v>
      </c>
      <c r="E298" s="16">
        <v>15</v>
      </c>
      <c r="F298" s="16">
        <v>15</v>
      </c>
      <c r="G298" s="13">
        <v>63838.716486671488</v>
      </c>
      <c r="H298" s="13">
        <v>63838.716486671488</v>
      </c>
      <c r="I298" s="14">
        <v>0</v>
      </c>
      <c r="J298" s="15">
        <v>1</v>
      </c>
      <c r="K298" s="14">
        <v>430.93884466483149</v>
      </c>
      <c r="L298" s="13">
        <v>27510582.727651943</v>
      </c>
      <c r="M298" s="14">
        <v>3.6279619842362409</v>
      </c>
      <c r="N298" s="14">
        <v>424.58239669869153</v>
      </c>
      <c r="O298" s="13">
        <v>27104795.248079251</v>
      </c>
      <c r="P298" s="13">
        <v>405787.47957269102</v>
      </c>
      <c r="Q298" s="14">
        <v>1.0149710586580227</v>
      </c>
      <c r="R298" s="15">
        <v>1.497105865802276E-2</v>
      </c>
    </row>
    <row r="299" spans="1:18" ht="18" customHeight="1">
      <c r="A299" s="10" t="s">
        <v>77</v>
      </c>
      <c r="B299" s="10" t="s">
        <v>78</v>
      </c>
      <c r="C299" s="10" t="s">
        <v>241</v>
      </c>
      <c r="D299" s="10" t="s">
        <v>248</v>
      </c>
      <c r="E299" s="16">
        <v>9</v>
      </c>
      <c r="F299" s="16">
        <v>9</v>
      </c>
      <c r="G299" s="13">
        <v>461.44609843559999</v>
      </c>
      <c r="H299" s="13">
        <v>461.44609843559999</v>
      </c>
      <c r="I299" s="14">
        <v>0</v>
      </c>
      <c r="J299" s="15">
        <v>1</v>
      </c>
      <c r="K299" s="14">
        <v>1428.7080257561602</v>
      </c>
      <c r="L299" s="13">
        <v>659271.74428880878</v>
      </c>
      <c r="M299" s="14">
        <v>3.7331903146774521</v>
      </c>
      <c r="N299" s="14">
        <v>540.99134192991062</v>
      </c>
      <c r="O299" s="13">
        <v>249638.34402099688</v>
      </c>
      <c r="P299" s="13">
        <v>409633.4002678119</v>
      </c>
      <c r="Q299" s="14">
        <v>2.6409073769266711</v>
      </c>
      <c r="R299" s="15">
        <v>1.6409073769266711</v>
      </c>
    </row>
    <row r="300" spans="1:18" ht="18" customHeight="1">
      <c r="A300" s="10" t="s">
        <v>77</v>
      </c>
      <c r="B300" s="10" t="s">
        <v>78</v>
      </c>
      <c r="C300" s="10" t="s">
        <v>241</v>
      </c>
      <c r="D300" s="10" t="s">
        <v>249</v>
      </c>
      <c r="E300" s="16">
        <v>7</v>
      </c>
      <c r="F300" s="16">
        <v>7</v>
      </c>
      <c r="G300" s="13">
        <v>15613.050026949199</v>
      </c>
      <c r="H300" s="13">
        <v>15613.050026949199</v>
      </c>
      <c r="I300" s="14">
        <v>0</v>
      </c>
      <c r="J300" s="15">
        <v>1</v>
      </c>
      <c r="K300" s="14">
        <v>572.57531674388008</v>
      </c>
      <c r="L300" s="13">
        <v>8939647.0645184834</v>
      </c>
      <c r="M300" s="14">
        <v>3.7341535067378202</v>
      </c>
      <c r="N300" s="14">
        <v>542.19250115873331</v>
      </c>
      <c r="O300" s="13">
        <v>8465278.6448280141</v>
      </c>
      <c r="P300" s="13">
        <v>474368.41969046928</v>
      </c>
      <c r="Q300" s="14">
        <v>1.0560369527800826</v>
      </c>
      <c r="R300" s="15">
        <v>5.6036952780082624E-2</v>
      </c>
    </row>
    <row r="301" spans="1:18" ht="18" customHeight="1">
      <c r="A301" s="10" t="s">
        <v>77</v>
      </c>
      <c r="B301" s="10" t="s">
        <v>78</v>
      </c>
      <c r="C301" s="10" t="s">
        <v>241</v>
      </c>
      <c r="D301" s="10" t="s">
        <v>250</v>
      </c>
      <c r="E301" s="16">
        <v>12</v>
      </c>
      <c r="F301" s="16">
        <v>12</v>
      </c>
      <c r="G301" s="13">
        <v>445.78931237339998</v>
      </c>
      <c r="H301" s="13">
        <v>445.78931237339998</v>
      </c>
      <c r="I301" s="14">
        <v>0</v>
      </c>
      <c r="J301" s="15">
        <v>1</v>
      </c>
      <c r="K301" s="14">
        <v>719.69159862441984</v>
      </c>
      <c r="L301" s="13">
        <v>320830.82287169312</v>
      </c>
      <c r="M301" s="14">
        <v>3.838669195502836</v>
      </c>
      <c r="N301" s="14">
        <v>689.71424456877548</v>
      </c>
      <c r="O301" s="13">
        <v>307467.23882045347</v>
      </c>
      <c r="P301" s="13">
        <v>13363.584051239653</v>
      </c>
      <c r="Q301" s="14">
        <v>1.0434634405359959</v>
      </c>
      <c r="R301" s="15">
        <v>4.3463440535995976E-2</v>
      </c>
    </row>
    <row r="302" spans="1:18" ht="18" customHeight="1">
      <c r="A302" s="10" t="s">
        <v>101</v>
      </c>
      <c r="B302" s="10" t="s">
        <v>102</v>
      </c>
      <c r="C302" s="10" t="s">
        <v>241</v>
      </c>
      <c r="D302" s="10" t="s">
        <v>242</v>
      </c>
      <c r="E302" s="16">
        <v>23</v>
      </c>
      <c r="F302" s="16">
        <v>23</v>
      </c>
      <c r="G302" s="13">
        <v>164540.7157373236</v>
      </c>
      <c r="H302" s="13">
        <v>164540.7157373236</v>
      </c>
      <c r="I302" s="14">
        <v>0</v>
      </c>
      <c r="J302" s="15">
        <v>1</v>
      </c>
      <c r="K302" s="14">
        <v>1273.9881936469569</v>
      </c>
      <c r="L302" s="13">
        <v>209622929.22357029</v>
      </c>
      <c r="M302" s="14">
        <v>4.1004353571832057</v>
      </c>
      <c r="N302" s="14">
        <v>1260.1880505047434</v>
      </c>
      <c r="O302" s="13">
        <v>207352243.79367298</v>
      </c>
      <c r="P302" s="13">
        <v>2270685.4298973083</v>
      </c>
      <c r="Q302" s="14">
        <v>1.0109508601804993</v>
      </c>
      <c r="R302" s="15">
        <v>1.0950860180499261E-2</v>
      </c>
    </row>
    <row r="303" spans="1:18" ht="18" customHeight="1">
      <c r="A303" s="10" t="s">
        <v>101</v>
      </c>
      <c r="B303" s="10" t="s">
        <v>102</v>
      </c>
      <c r="C303" s="10" t="s">
        <v>241</v>
      </c>
      <c r="D303" s="10" t="s">
        <v>243</v>
      </c>
      <c r="E303" s="16">
        <v>14</v>
      </c>
      <c r="F303" s="16">
        <v>14</v>
      </c>
      <c r="G303" s="13">
        <v>126.4643718248</v>
      </c>
      <c r="H303" s="13">
        <v>126.4643718248</v>
      </c>
      <c r="I303" s="14">
        <v>0</v>
      </c>
      <c r="J303" s="15">
        <v>1</v>
      </c>
      <c r="K303" s="14">
        <v>127.84048726997091</v>
      </c>
      <c r="L303" s="13">
        <v>16167.266916373212</v>
      </c>
      <c r="M303" s="14">
        <v>2.9260233886717386</v>
      </c>
      <c r="N303" s="14">
        <v>84.338017628044739</v>
      </c>
      <c r="O303" s="13">
        <v>10665.754420279587</v>
      </c>
      <c r="P303" s="13">
        <v>5501.5124960936246</v>
      </c>
      <c r="Q303" s="14">
        <v>1.5158109102562114</v>
      </c>
      <c r="R303" s="15">
        <v>0.5158109102562114</v>
      </c>
    </row>
    <row r="304" spans="1:18" ht="18" customHeight="1">
      <c r="A304" s="10" t="s">
        <v>101</v>
      </c>
      <c r="B304" s="10" t="s">
        <v>102</v>
      </c>
      <c r="C304" s="10" t="s">
        <v>241</v>
      </c>
      <c r="D304" s="10" t="s">
        <v>244</v>
      </c>
      <c r="E304" s="16">
        <v>18</v>
      </c>
      <c r="F304" s="16">
        <v>18</v>
      </c>
      <c r="G304" s="13">
        <v>1379.4863146275</v>
      </c>
      <c r="H304" s="13">
        <v>1379.4863146275</v>
      </c>
      <c r="I304" s="14">
        <v>0</v>
      </c>
      <c r="J304" s="15">
        <v>1</v>
      </c>
      <c r="K304" s="14">
        <v>2113.8350445460624</v>
      </c>
      <c r="L304" s="13">
        <v>2916006.5153313046</v>
      </c>
      <c r="M304" s="14">
        <v>4.2820845634094553</v>
      </c>
      <c r="N304" s="14">
        <v>1914.6286945937081</v>
      </c>
      <c r="O304" s="13">
        <v>2641204.0817851354</v>
      </c>
      <c r="P304" s="13">
        <v>274802.4335461692</v>
      </c>
      <c r="Q304" s="14">
        <v>1.1040443771237987</v>
      </c>
      <c r="R304" s="15">
        <v>0.10404437712379874</v>
      </c>
    </row>
    <row r="305" spans="1:18" ht="18" customHeight="1">
      <c r="A305" s="10" t="s">
        <v>101</v>
      </c>
      <c r="B305" s="10" t="s">
        <v>102</v>
      </c>
      <c r="C305" s="10" t="s">
        <v>241</v>
      </c>
      <c r="D305" s="10" t="s">
        <v>253</v>
      </c>
      <c r="E305" s="16">
        <v>5</v>
      </c>
      <c r="F305" s="16">
        <v>5</v>
      </c>
      <c r="G305" s="13">
        <v>58691.793276338598</v>
      </c>
      <c r="H305" s="13">
        <v>58691.793276338598</v>
      </c>
      <c r="I305" s="14">
        <v>0</v>
      </c>
      <c r="J305" s="15">
        <v>1</v>
      </c>
      <c r="K305" s="14">
        <v>239.91029970817965</v>
      </c>
      <c r="L305" s="13">
        <v>14080765.715336917</v>
      </c>
      <c r="M305" s="14">
        <v>3.3799869916803638</v>
      </c>
      <c r="N305" s="14">
        <v>239.87610684219473</v>
      </c>
      <c r="O305" s="13">
        <v>14078758.874715004</v>
      </c>
      <c r="P305" s="13">
        <v>2006.8406219128519</v>
      </c>
      <c r="Q305" s="14">
        <v>1.0001425438591407</v>
      </c>
      <c r="R305" s="15">
        <v>1.4254385914067133E-4</v>
      </c>
    </row>
    <row r="306" spans="1:18" ht="18" customHeight="1">
      <c r="A306" s="10" t="s">
        <v>101</v>
      </c>
      <c r="B306" s="10" t="s">
        <v>102</v>
      </c>
      <c r="C306" s="10" t="s">
        <v>241</v>
      </c>
      <c r="D306" s="10" t="s">
        <v>245</v>
      </c>
      <c r="E306" s="16">
        <v>19</v>
      </c>
      <c r="F306" s="16">
        <v>19</v>
      </c>
      <c r="G306" s="13">
        <v>27.607873503599997</v>
      </c>
      <c r="H306" s="13">
        <v>27.607873503599997</v>
      </c>
      <c r="I306" s="14">
        <v>0</v>
      </c>
      <c r="J306" s="15">
        <v>1</v>
      </c>
      <c r="K306" s="14">
        <v>35.212594714400026</v>
      </c>
      <c r="L306" s="13">
        <v>972.14486060868978</v>
      </c>
      <c r="M306" s="14">
        <v>2.3236719865730975</v>
      </c>
      <c r="N306" s="14">
        <v>21.070361490154159</v>
      </c>
      <c r="O306" s="13">
        <v>581.7078746953008</v>
      </c>
      <c r="P306" s="13">
        <v>390.43698591338898</v>
      </c>
      <c r="Q306" s="14">
        <v>1.6711908208529931</v>
      </c>
      <c r="R306" s="15">
        <v>0.67119082085299309</v>
      </c>
    </row>
    <row r="307" spans="1:18" ht="18" customHeight="1">
      <c r="A307" s="10" t="s">
        <v>101</v>
      </c>
      <c r="B307" s="10" t="s">
        <v>102</v>
      </c>
      <c r="C307" s="10" t="s">
        <v>241</v>
      </c>
      <c r="D307" s="10" t="s">
        <v>246</v>
      </c>
      <c r="E307" s="16">
        <v>25</v>
      </c>
      <c r="F307" s="16">
        <v>25</v>
      </c>
      <c r="G307" s="13">
        <v>404444.84053884703</v>
      </c>
      <c r="H307" s="13">
        <v>404444.84053884703</v>
      </c>
      <c r="I307" s="14">
        <v>0</v>
      </c>
      <c r="J307" s="15">
        <v>1</v>
      </c>
      <c r="K307" s="14">
        <v>191.72272377795437</v>
      </c>
      <c r="L307" s="13">
        <v>77541266.44604817</v>
      </c>
      <c r="M307" s="14">
        <v>3.2805510006107563</v>
      </c>
      <c r="N307" s="14">
        <v>190.78797593484455</v>
      </c>
      <c r="O307" s="13">
        <v>77163212.503697589</v>
      </c>
      <c r="P307" s="13">
        <v>378053.94235058129</v>
      </c>
      <c r="Q307" s="14">
        <v>1.0048994064669412</v>
      </c>
      <c r="R307" s="15">
        <v>4.899406466941294E-3</v>
      </c>
    </row>
    <row r="308" spans="1:18" ht="18" customHeight="1">
      <c r="A308" s="10" t="s">
        <v>101</v>
      </c>
      <c r="B308" s="10" t="s">
        <v>102</v>
      </c>
      <c r="C308" s="10" t="s">
        <v>241</v>
      </c>
      <c r="D308" s="10" t="s">
        <v>247</v>
      </c>
      <c r="E308" s="16">
        <v>30</v>
      </c>
      <c r="F308" s="16">
        <v>30</v>
      </c>
      <c r="G308" s="13">
        <v>73443.755002073201</v>
      </c>
      <c r="H308" s="13">
        <v>73443.755002073201</v>
      </c>
      <c r="I308" s="14">
        <v>0</v>
      </c>
      <c r="J308" s="15">
        <v>1</v>
      </c>
      <c r="K308" s="14">
        <v>430.88936234350911</v>
      </c>
      <c r="L308" s="13">
        <v>31646132.760956228</v>
      </c>
      <c r="M308" s="14">
        <v>3.6325727241926091</v>
      </c>
      <c r="N308" s="14">
        <v>429.1140399316223</v>
      </c>
      <c r="O308" s="13">
        <v>31515746.416687924</v>
      </c>
      <c r="P308" s="13">
        <v>130386.34426830336</v>
      </c>
      <c r="Q308" s="14">
        <v>1.0041371809045672</v>
      </c>
      <c r="R308" s="15">
        <v>4.1371809045671979E-3</v>
      </c>
    </row>
    <row r="309" spans="1:18" ht="18" customHeight="1">
      <c r="A309" s="10" t="s">
        <v>101</v>
      </c>
      <c r="B309" s="10" t="s">
        <v>102</v>
      </c>
      <c r="C309" s="10" t="s">
        <v>241</v>
      </c>
      <c r="D309" s="10" t="s">
        <v>248</v>
      </c>
      <c r="E309" s="16">
        <v>5</v>
      </c>
      <c r="F309" s="16">
        <v>5</v>
      </c>
      <c r="G309" s="13">
        <v>15.5344158855</v>
      </c>
      <c r="H309" s="13">
        <v>15.5344158855</v>
      </c>
      <c r="I309" s="14">
        <v>0</v>
      </c>
      <c r="J309" s="15">
        <v>1</v>
      </c>
      <c r="K309" s="14">
        <v>378.4302162585293</v>
      </c>
      <c r="L309" s="13">
        <v>5878.6923629996982</v>
      </c>
      <c r="M309" s="14">
        <v>3.5444568671179728</v>
      </c>
      <c r="N309" s="14">
        <v>350.31349444250702</v>
      </c>
      <c r="O309" s="13">
        <v>5441.9155129726969</v>
      </c>
      <c r="P309" s="13">
        <v>436.77685002700127</v>
      </c>
      <c r="Q309" s="14">
        <v>1.0802616007150041</v>
      </c>
      <c r="R309" s="15">
        <v>8.0261600715004086E-2</v>
      </c>
    </row>
    <row r="310" spans="1:18" ht="18" customHeight="1">
      <c r="A310" s="10" t="s">
        <v>101</v>
      </c>
      <c r="B310" s="10" t="s">
        <v>102</v>
      </c>
      <c r="C310" s="10" t="s">
        <v>241</v>
      </c>
      <c r="D310" s="10" t="s">
        <v>249</v>
      </c>
      <c r="E310" s="16">
        <v>7</v>
      </c>
      <c r="F310" s="16">
        <v>7</v>
      </c>
      <c r="G310" s="13">
        <v>4414.6149343494999</v>
      </c>
      <c r="H310" s="13">
        <v>4414.6149343494999</v>
      </c>
      <c r="I310" s="14">
        <v>0</v>
      </c>
      <c r="J310" s="15">
        <v>1</v>
      </c>
      <c r="K310" s="14">
        <v>502.266681044199</v>
      </c>
      <c r="L310" s="13">
        <v>2217313.9911638778</v>
      </c>
      <c r="M310" s="14">
        <v>3.6861473229095405</v>
      </c>
      <c r="N310" s="14">
        <v>485.4531493676817</v>
      </c>
      <c r="O310" s="13">
        <v>2143088.7231255663</v>
      </c>
      <c r="P310" s="13">
        <v>74225.268038311508</v>
      </c>
      <c r="Q310" s="14">
        <v>1.0346347154167552</v>
      </c>
      <c r="R310" s="15">
        <v>3.4634715416755314E-2</v>
      </c>
    </row>
    <row r="311" spans="1:18" ht="18" customHeight="1">
      <c r="A311" s="10" t="s">
        <v>101</v>
      </c>
      <c r="B311" s="10" t="s">
        <v>102</v>
      </c>
      <c r="C311" s="10" t="s">
        <v>241</v>
      </c>
      <c r="D311" s="10" t="s">
        <v>250</v>
      </c>
      <c r="E311" s="16">
        <v>14</v>
      </c>
      <c r="F311" s="16">
        <v>14</v>
      </c>
      <c r="G311" s="13">
        <v>152.93449145719998</v>
      </c>
      <c r="H311" s="13">
        <v>152.93449145719998</v>
      </c>
      <c r="I311" s="14">
        <v>0</v>
      </c>
      <c r="J311" s="15">
        <v>1</v>
      </c>
      <c r="K311" s="14">
        <v>939.91541801988853</v>
      </c>
      <c r="L311" s="13">
        <v>143745.48646765319</v>
      </c>
      <c r="M311" s="14">
        <v>3.9326636701425337</v>
      </c>
      <c r="N311" s="14">
        <v>856.37438795957576</v>
      </c>
      <c r="O311" s="13">
        <v>130969.18151956861</v>
      </c>
      <c r="P311" s="13">
        <v>12776.30494808458</v>
      </c>
      <c r="Q311" s="14">
        <v>1.0975519950559944</v>
      </c>
      <c r="R311" s="15">
        <v>9.7551995055994323E-2</v>
      </c>
    </row>
    <row r="312" spans="1:18" ht="18" customHeight="1">
      <c r="A312" s="10" t="s">
        <v>101</v>
      </c>
      <c r="B312" s="10" t="s">
        <v>102</v>
      </c>
      <c r="C312" s="10" t="s">
        <v>241</v>
      </c>
      <c r="D312" s="10" t="s">
        <v>251</v>
      </c>
      <c r="E312" s="16">
        <v>2</v>
      </c>
      <c r="F312" s="16">
        <v>2</v>
      </c>
      <c r="G312" s="13">
        <v>13.7695872668</v>
      </c>
      <c r="H312" s="13">
        <v>13.7695872668</v>
      </c>
      <c r="I312" s="14">
        <v>0</v>
      </c>
      <c r="J312" s="15">
        <v>1</v>
      </c>
      <c r="K312" s="14">
        <v>3158.239853762625</v>
      </c>
      <c r="L312" s="13">
        <v>43487.659275870137</v>
      </c>
      <c r="M312" s="14">
        <v>4.4994129298784795</v>
      </c>
      <c r="N312" s="14">
        <v>3158.0058478420742</v>
      </c>
      <c r="O312" s="13">
        <v>43484.437110926163</v>
      </c>
      <c r="P312" s="13">
        <v>3.2221649439743487</v>
      </c>
      <c r="Q312" s="14">
        <v>1.0000740992676473</v>
      </c>
      <c r="R312" s="15">
        <v>7.4099267647291858E-5</v>
      </c>
    </row>
    <row r="313" spans="1:18" ht="18" customHeight="1">
      <c r="A313" s="10" t="s">
        <v>39</v>
      </c>
      <c r="B313" s="10" t="s">
        <v>40</v>
      </c>
      <c r="C313" s="10" t="s">
        <v>241</v>
      </c>
      <c r="D313" s="10" t="s">
        <v>252</v>
      </c>
      <c r="E313" s="16">
        <v>1</v>
      </c>
      <c r="F313" s="16">
        <v>1</v>
      </c>
      <c r="G313" s="13">
        <v>44.1975200296</v>
      </c>
      <c r="H313" s="13">
        <v>44.1975200296</v>
      </c>
      <c r="I313" s="14">
        <v>0</v>
      </c>
      <c r="J313" s="15">
        <v>1</v>
      </c>
      <c r="K313" s="14">
        <v>128.82495516931337</v>
      </c>
      <c r="L313" s="13">
        <v>5693.7435364080493</v>
      </c>
      <c r="M313" s="14">
        <v>3.11</v>
      </c>
      <c r="N313" s="14">
        <v>128.82495516931337</v>
      </c>
      <c r="O313" s="13">
        <v>5693.7435364080493</v>
      </c>
      <c r="P313" s="13">
        <v>0</v>
      </c>
      <c r="Q313" s="14">
        <v>1</v>
      </c>
      <c r="R313" s="15">
        <v>0</v>
      </c>
    </row>
    <row r="314" spans="1:18" ht="18" customHeight="1">
      <c r="A314" s="10" t="s">
        <v>39</v>
      </c>
      <c r="B314" s="10" t="s">
        <v>40</v>
      </c>
      <c r="C314" s="10" t="s">
        <v>241</v>
      </c>
      <c r="D314" s="10" t="s">
        <v>242</v>
      </c>
      <c r="E314" s="16">
        <v>28</v>
      </c>
      <c r="F314" s="16">
        <v>28</v>
      </c>
      <c r="G314" s="13">
        <v>804817.83871789824</v>
      </c>
      <c r="H314" s="13">
        <v>804817.83871789824</v>
      </c>
      <c r="I314" s="14">
        <v>0</v>
      </c>
      <c r="J314" s="15">
        <v>1</v>
      </c>
      <c r="K314" s="14">
        <v>1430.1748112487994</v>
      </c>
      <c r="L314" s="13">
        <v>1151030200.5780368</v>
      </c>
      <c r="M314" s="14">
        <v>4.0893739484584177</v>
      </c>
      <c r="N314" s="14">
        <v>1228.4965705773488</v>
      </c>
      <c r="O314" s="13">
        <v>988715954.80441189</v>
      </c>
      <c r="P314" s="13">
        <v>162314245.7736249</v>
      </c>
      <c r="Q314" s="14">
        <v>1.1641667103528575</v>
      </c>
      <c r="R314" s="15">
        <v>0.16416671035285757</v>
      </c>
    </row>
    <row r="315" spans="1:18" ht="18" customHeight="1">
      <c r="A315" s="10" t="s">
        <v>39</v>
      </c>
      <c r="B315" s="10" t="s">
        <v>40</v>
      </c>
      <c r="C315" s="10" t="s">
        <v>241</v>
      </c>
      <c r="D315" s="10" t="s">
        <v>243</v>
      </c>
      <c r="E315" s="16">
        <v>26</v>
      </c>
      <c r="F315" s="16">
        <v>26</v>
      </c>
      <c r="G315" s="13">
        <v>106858.8179571575</v>
      </c>
      <c r="H315" s="13">
        <v>106858.8179571575</v>
      </c>
      <c r="I315" s="14">
        <v>0</v>
      </c>
      <c r="J315" s="15">
        <v>1</v>
      </c>
      <c r="K315" s="14">
        <v>130.31341104403529</v>
      </c>
      <c r="L315" s="13">
        <v>13925137.068130804</v>
      </c>
      <c r="M315" s="14">
        <v>3.075891256664645</v>
      </c>
      <c r="N315" s="14">
        <v>119.09437693479674</v>
      </c>
      <c r="O315" s="13">
        <v>12726284.344596542</v>
      </c>
      <c r="P315" s="13">
        <v>1198852.7235342618</v>
      </c>
      <c r="Q315" s="14">
        <v>1.0942028868027991</v>
      </c>
      <c r="R315" s="15">
        <v>9.4202886802799049E-2</v>
      </c>
    </row>
    <row r="316" spans="1:18" ht="18" customHeight="1">
      <c r="A316" s="10" t="s">
        <v>39</v>
      </c>
      <c r="B316" s="10" t="s">
        <v>40</v>
      </c>
      <c r="C316" s="10" t="s">
        <v>241</v>
      </c>
      <c r="D316" s="10" t="s">
        <v>244</v>
      </c>
      <c r="E316" s="16">
        <v>22</v>
      </c>
      <c r="F316" s="16">
        <v>22</v>
      </c>
      <c r="G316" s="13">
        <v>165666.69996181587</v>
      </c>
      <c r="H316" s="13">
        <v>165666.69996181587</v>
      </c>
      <c r="I316" s="14">
        <v>0</v>
      </c>
      <c r="J316" s="15">
        <v>1</v>
      </c>
      <c r="K316" s="14">
        <v>428.34688894874859</v>
      </c>
      <c r="L316" s="13">
        <v>70962815.531049594</v>
      </c>
      <c r="M316" s="14">
        <v>3.3920230206599467</v>
      </c>
      <c r="N316" s="14">
        <v>246.61700581161151</v>
      </c>
      <c r="O316" s="13">
        <v>40856225.507273644</v>
      </c>
      <c r="P316" s="13">
        <v>30106590.02377595</v>
      </c>
      <c r="Q316" s="14">
        <v>1.736891126137339</v>
      </c>
      <c r="R316" s="15">
        <v>0.73689112613733898</v>
      </c>
    </row>
    <row r="317" spans="1:18" ht="18" customHeight="1">
      <c r="A317" s="10" t="s">
        <v>39</v>
      </c>
      <c r="B317" s="10" t="s">
        <v>40</v>
      </c>
      <c r="C317" s="10" t="s">
        <v>241</v>
      </c>
      <c r="D317" s="10" t="s">
        <v>253</v>
      </c>
      <c r="E317" s="16">
        <v>7</v>
      </c>
      <c r="F317" s="16">
        <v>7</v>
      </c>
      <c r="G317" s="13">
        <v>914865.84894943598</v>
      </c>
      <c r="H317" s="13">
        <v>914865.84894943598</v>
      </c>
      <c r="I317" s="14">
        <v>0</v>
      </c>
      <c r="J317" s="15">
        <v>1</v>
      </c>
      <c r="K317" s="14">
        <v>218.8134780075475</v>
      </c>
      <c r="L317" s="13">
        <v>200184978.31895369</v>
      </c>
      <c r="M317" s="14">
        <v>3.3233507925729642</v>
      </c>
      <c r="N317" s="14">
        <v>210.54784106641929</v>
      </c>
      <c r="O317" s="13">
        <v>192623029.36170059</v>
      </c>
      <c r="P317" s="13">
        <v>7561948.9572530985</v>
      </c>
      <c r="Q317" s="14">
        <v>1.0392577615579575</v>
      </c>
      <c r="R317" s="15">
        <v>3.925776155795755E-2</v>
      </c>
    </row>
    <row r="318" spans="1:18" ht="18" customHeight="1">
      <c r="A318" s="10" t="s">
        <v>39</v>
      </c>
      <c r="B318" s="10" t="s">
        <v>40</v>
      </c>
      <c r="C318" s="10" t="s">
        <v>241</v>
      </c>
      <c r="D318" s="10" t="s">
        <v>245</v>
      </c>
      <c r="E318" s="16">
        <v>38</v>
      </c>
      <c r="F318" s="16">
        <v>38</v>
      </c>
      <c r="G318" s="13">
        <v>72701.274705414398</v>
      </c>
      <c r="H318" s="13">
        <v>72701.274705414398</v>
      </c>
      <c r="I318" s="14">
        <v>0</v>
      </c>
      <c r="J318" s="15">
        <v>1</v>
      </c>
      <c r="K318" s="14">
        <v>65.728168563622546</v>
      </c>
      <c r="L318" s="13">
        <v>4778521.6386277052</v>
      </c>
      <c r="M318" s="14">
        <v>2.179530293743841</v>
      </c>
      <c r="N318" s="14">
        <v>15.119251583937324</v>
      </c>
      <c r="O318" s="13">
        <v>1099188.8627440992</v>
      </c>
      <c r="P318" s="13">
        <v>3679332.7758836057</v>
      </c>
      <c r="Q318" s="14">
        <v>4.3473162807510963</v>
      </c>
      <c r="R318" s="15">
        <v>3.3473162807510963</v>
      </c>
    </row>
    <row r="319" spans="1:18" ht="18" customHeight="1">
      <c r="A319" s="10" t="s">
        <v>39</v>
      </c>
      <c r="B319" s="10" t="s">
        <v>40</v>
      </c>
      <c r="C319" s="10" t="s">
        <v>241</v>
      </c>
      <c r="D319" s="10" t="s">
        <v>246</v>
      </c>
      <c r="E319" s="16">
        <v>52</v>
      </c>
      <c r="F319" s="16">
        <v>52</v>
      </c>
      <c r="G319" s="13">
        <v>340332.64567051164</v>
      </c>
      <c r="H319" s="13">
        <v>340332.64567051164</v>
      </c>
      <c r="I319" s="14">
        <v>0</v>
      </c>
      <c r="J319" s="15">
        <v>1</v>
      </c>
      <c r="K319" s="14">
        <v>306.84746265762135</v>
      </c>
      <c r="L319" s="13">
        <v>104430208.7835518</v>
      </c>
      <c r="M319" s="14">
        <v>3.3329973530989179</v>
      </c>
      <c r="N319" s="14">
        <v>215.27686141732809</v>
      </c>
      <c r="O319" s="13">
        <v>73265743.797803357</v>
      </c>
      <c r="P319" s="13">
        <v>31164464.98574844</v>
      </c>
      <c r="Q319" s="14">
        <v>1.4253620228268646</v>
      </c>
      <c r="R319" s="15">
        <v>0.42536202282686453</v>
      </c>
    </row>
    <row r="320" spans="1:18" ht="18" customHeight="1">
      <c r="A320" s="10" t="s">
        <v>39</v>
      </c>
      <c r="B320" s="10" t="s">
        <v>40</v>
      </c>
      <c r="C320" s="10" t="s">
        <v>241</v>
      </c>
      <c r="D320" s="10" t="s">
        <v>247</v>
      </c>
      <c r="E320" s="16">
        <v>62</v>
      </c>
      <c r="F320" s="16">
        <v>62</v>
      </c>
      <c r="G320" s="13">
        <v>276364.4962383876</v>
      </c>
      <c r="H320" s="13">
        <v>276364.4962383876</v>
      </c>
      <c r="I320" s="14">
        <v>0</v>
      </c>
      <c r="J320" s="15">
        <v>1</v>
      </c>
      <c r="K320" s="14">
        <v>434.31999241830925</v>
      </c>
      <c r="L320" s="13">
        <v>120030625.91094635</v>
      </c>
      <c r="M320" s="14">
        <v>3.6316991633069238</v>
      </c>
      <c r="N320" s="14">
        <v>428.25176673668398</v>
      </c>
      <c r="O320" s="13">
        <v>118353583.77738315</v>
      </c>
      <c r="P320" s="13">
        <v>1677042.1335632056</v>
      </c>
      <c r="Q320" s="14">
        <v>1.0141697621655263</v>
      </c>
      <c r="R320" s="15">
        <v>1.4169762165526255E-2</v>
      </c>
    </row>
    <row r="321" spans="1:18" ht="18" customHeight="1">
      <c r="A321" s="10" t="s">
        <v>39</v>
      </c>
      <c r="B321" s="10" t="s">
        <v>40</v>
      </c>
      <c r="C321" s="10" t="s">
        <v>241</v>
      </c>
      <c r="D321" s="10" t="s">
        <v>248</v>
      </c>
      <c r="E321" s="16">
        <v>11</v>
      </c>
      <c r="F321" s="16">
        <v>11</v>
      </c>
      <c r="G321" s="13">
        <v>1813.3627320183</v>
      </c>
      <c r="H321" s="13">
        <v>1813.3627320183</v>
      </c>
      <c r="I321" s="14">
        <v>0</v>
      </c>
      <c r="J321" s="15">
        <v>1</v>
      </c>
      <c r="K321" s="14">
        <v>268.2783693813472</v>
      </c>
      <c r="L321" s="13">
        <v>486485.99684277445</v>
      </c>
      <c r="M321" s="14">
        <v>3.397283884721646</v>
      </c>
      <c r="N321" s="14">
        <v>249.62258985703278</v>
      </c>
      <c r="O321" s="13">
        <v>452656.30151663255</v>
      </c>
      <c r="P321" s="13">
        <v>33829.695326141897</v>
      </c>
      <c r="Q321" s="14">
        <v>1.074735942508245</v>
      </c>
      <c r="R321" s="15">
        <v>7.4735942508245071E-2</v>
      </c>
    </row>
    <row r="322" spans="1:18" ht="18" customHeight="1">
      <c r="A322" s="10" t="s">
        <v>39</v>
      </c>
      <c r="B322" s="10" t="s">
        <v>40</v>
      </c>
      <c r="C322" s="10" t="s">
        <v>241</v>
      </c>
      <c r="D322" s="10" t="s">
        <v>249</v>
      </c>
      <c r="E322" s="16">
        <v>17</v>
      </c>
      <c r="F322" s="16">
        <v>17</v>
      </c>
      <c r="G322" s="13">
        <v>27373.558448272401</v>
      </c>
      <c r="H322" s="13">
        <v>27373.558448272401</v>
      </c>
      <c r="I322" s="14">
        <v>0</v>
      </c>
      <c r="J322" s="15">
        <v>1</v>
      </c>
      <c r="K322" s="14">
        <v>994.80055280628187</v>
      </c>
      <c r="L322" s="13">
        <v>27231231.076616451</v>
      </c>
      <c r="M322" s="14">
        <v>3.9892037391582207</v>
      </c>
      <c r="N322" s="14">
        <v>975.44713874061983</v>
      </c>
      <c r="O322" s="13">
        <v>26701459.265516434</v>
      </c>
      <c r="P322" s="13">
        <v>529771.81110001728</v>
      </c>
      <c r="Q322" s="14">
        <v>1.0198405564966329</v>
      </c>
      <c r="R322" s="15">
        <v>1.9840556496632768E-2</v>
      </c>
    </row>
    <row r="323" spans="1:18" ht="18" customHeight="1">
      <c r="A323" s="10" t="s">
        <v>39</v>
      </c>
      <c r="B323" s="10" t="s">
        <v>40</v>
      </c>
      <c r="C323" s="10" t="s">
        <v>241</v>
      </c>
      <c r="D323" s="10" t="s">
        <v>250</v>
      </c>
      <c r="E323" s="16">
        <v>43</v>
      </c>
      <c r="F323" s="16">
        <v>43</v>
      </c>
      <c r="G323" s="13">
        <v>6345.6456959178013</v>
      </c>
      <c r="H323" s="13">
        <v>6345.6456959178013</v>
      </c>
      <c r="I323" s="14">
        <v>0</v>
      </c>
      <c r="J323" s="15">
        <v>1</v>
      </c>
      <c r="K323" s="14">
        <v>1088.0530502258291</v>
      </c>
      <c r="L323" s="13">
        <v>6904399.1550957682</v>
      </c>
      <c r="M323" s="14">
        <v>3.9939808937173495</v>
      </c>
      <c r="N323" s="14">
        <v>986.23609636217031</v>
      </c>
      <c r="O323" s="13">
        <v>6258304.8400393799</v>
      </c>
      <c r="P323" s="13">
        <v>646094.31505638827</v>
      </c>
      <c r="Q323" s="14">
        <v>1.1032379105157688</v>
      </c>
      <c r="R323" s="15">
        <v>0.1032379105157688</v>
      </c>
    </row>
    <row r="324" spans="1:18" ht="18" customHeight="1">
      <c r="A324" s="10" t="s">
        <v>39</v>
      </c>
      <c r="B324" s="10" t="s">
        <v>40</v>
      </c>
      <c r="C324" s="10" t="s">
        <v>241</v>
      </c>
      <c r="D324" s="10" t="s">
        <v>251</v>
      </c>
      <c r="E324" s="16">
        <v>5</v>
      </c>
      <c r="F324" s="16">
        <v>5</v>
      </c>
      <c r="G324" s="13">
        <v>76.311608311200004</v>
      </c>
      <c r="H324" s="13">
        <v>76.311608311200004</v>
      </c>
      <c r="I324" s="14">
        <v>0</v>
      </c>
      <c r="J324" s="15">
        <v>1</v>
      </c>
      <c r="K324" s="14">
        <v>2810.7081754838309</v>
      </c>
      <c r="L324" s="13">
        <v>214489.66136460972</v>
      </c>
      <c r="M324" s="14">
        <v>4.4468529227076878</v>
      </c>
      <c r="N324" s="14">
        <v>2798.0335827607555</v>
      </c>
      <c r="O324" s="13">
        <v>213522.44280922238</v>
      </c>
      <c r="P324" s="13">
        <v>967.21855538734235</v>
      </c>
      <c r="Q324" s="14">
        <v>1.0045298215150691</v>
      </c>
      <c r="R324" s="15">
        <v>4.5298215150691721E-3</v>
      </c>
    </row>
    <row r="325" spans="1:18" ht="18" customHeight="1">
      <c r="A325" s="10" t="s">
        <v>113</v>
      </c>
      <c r="B325" s="10" t="s">
        <v>114</v>
      </c>
      <c r="C325" s="10" t="s">
        <v>241</v>
      </c>
      <c r="D325" s="10" t="s">
        <v>252</v>
      </c>
      <c r="E325" s="16">
        <v>1</v>
      </c>
      <c r="F325" s="16">
        <v>1</v>
      </c>
      <c r="G325" s="13">
        <v>0.2711890629</v>
      </c>
      <c r="H325" s="13">
        <v>0.2711890629</v>
      </c>
      <c r="I325" s="14">
        <v>0</v>
      </c>
      <c r="J325" s="15">
        <v>1</v>
      </c>
      <c r="K325" s="14">
        <v>128.82495516931337</v>
      </c>
      <c r="L325" s="13">
        <v>34.935918870500601</v>
      </c>
      <c r="M325" s="14">
        <v>3.11</v>
      </c>
      <c r="N325" s="14">
        <v>128.82495516931337</v>
      </c>
      <c r="O325" s="13">
        <v>34.935918870500601</v>
      </c>
      <c r="P325" s="13">
        <v>0</v>
      </c>
      <c r="Q325" s="14">
        <v>1</v>
      </c>
      <c r="R325" s="15">
        <v>0</v>
      </c>
    </row>
    <row r="326" spans="1:18" ht="18" customHeight="1">
      <c r="A326" s="10" t="s">
        <v>113</v>
      </c>
      <c r="B326" s="10" t="s">
        <v>114</v>
      </c>
      <c r="C326" s="10" t="s">
        <v>241</v>
      </c>
      <c r="D326" s="10" t="s">
        <v>242</v>
      </c>
      <c r="E326" s="16">
        <v>8</v>
      </c>
      <c r="F326" s="16">
        <v>8</v>
      </c>
      <c r="G326" s="13">
        <v>51786.729808338205</v>
      </c>
      <c r="H326" s="13">
        <v>51786.729808338205</v>
      </c>
      <c r="I326" s="14">
        <v>0</v>
      </c>
      <c r="J326" s="15">
        <v>1</v>
      </c>
      <c r="K326" s="14">
        <v>1310.6311608520739</v>
      </c>
      <c r="L326" s="13">
        <v>67873301.805435002</v>
      </c>
      <c r="M326" s="14">
        <v>4.1102135817372867</v>
      </c>
      <c r="N326" s="14">
        <v>1288.8832559124012</v>
      </c>
      <c r="O326" s="13">
        <v>66747048.928426743</v>
      </c>
      <c r="P326" s="13">
        <v>1126252.8770082593</v>
      </c>
      <c r="Q326" s="14">
        <v>1.0168734482660942</v>
      </c>
      <c r="R326" s="15">
        <v>1.6873448266094087E-2</v>
      </c>
    </row>
    <row r="327" spans="1:18" ht="18" customHeight="1">
      <c r="A327" s="10" t="s">
        <v>113</v>
      </c>
      <c r="B327" s="10" t="s">
        <v>114</v>
      </c>
      <c r="C327" s="10" t="s">
        <v>241</v>
      </c>
      <c r="D327" s="10" t="s">
        <v>243</v>
      </c>
      <c r="E327" s="16">
        <v>8</v>
      </c>
      <c r="F327" s="16">
        <v>8</v>
      </c>
      <c r="G327" s="13">
        <v>119.46880440439999</v>
      </c>
      <c r="H327" s="13">
        <v>119.46880440439999</v>
      </c>
      <c r="I327" s="14">
        <v>0</v>
      </c>
      <c r="J327" s="15">
        <v>1</v>
      </c>
      <c r="K327" s="14">
        <v>115.84726104147016</v>
      </c>
      <c r="L327" s="13">
        <v>13840.133770148866</v>
      </c>
      <c r="M327" s="14">
        <v>2.9953077190229394</v>
      </c>
      <c r="N327" s="14">
        <v>98.92537814021793</v>
      </c>
      <c r="O327" s="13">
        <v>11818.496651665002</v>
      </c>
      <c r="P327" s="13">
        <v>2021.6371184838645</v>
      </c>
      <c r="Q327" s="14">
        <v>1.171057045415252</v>
      </c>
      <c r="R327" s="15">
        <v>0.17105704541525205</v>
      </c>
    </row>
    <row r="328" spans="1:18" ht="18" customHeight="1">
      <c r="A328" s="10" t="s">
        <v>113</v>
      </c>
      <c r="B328" s="10" t="s">
        <v>114</v>
      </c>
      <c r="C328" s="10" t="s">
        <v>241</v>
      </c>
      <c r="D328" s="10" t="s">
        <v>244</v>
      </c>
      <c r="E328" s="16">
        <v>14</v>
      </c>
      <c r="F328" s="16">
        <v>14</v>
      </c>
      <c r="G328" s="13">
        <v>41778.695000067091</v>
      </c>
      <c r="H328" s="13">
        <v>41778.695000067091</v>
      </c>
      <c r="I328" s="14">
        <v>0</v>
      </c>
      <c r="J328" s="15">
        <v>1</v>
      </c>
      <c r="K328" s="14">
        <v>320.23125195679091</v>
      </c>
      <c r="L328" s="13">
        <v>13378843.804992406</v>
      </c>
      <c r="M328" s="14">
        <v>3.4128748891533567</v>
      </c>
      <c r="N328" s="14">
        <v>258.7467414380589</v>
      </c>
      <c r="O328" s="13">
        <v>10810101.192801883</v>
      </c>
      <c r="P328" s="13">
        <v>2568742.6121905223</v>
      </c>
      <c r="Q328" s="14">
        <v>1.237624289206559</v>
      </c>
      <c r="R328" s="15">
        <v>0.23762428920655893</v>
      </c>
    </row>
    <row r="329" spans="1:18" ht="18" customHeight="1">
      <c r="A329" s="10" t="s">
        <v>113</v>
      </c>
      <c r="B329" s="10" t="s">
        <v>114</v>
      </c>
      <c r="C329" s="10" t="s">
        <v>241</v>
      </c>
      <c r="D329" s="10" t="s">
        <v>253</v>
      </c>
      <c r="E329" s="16">
        <v>4</v>
      </c>
      <c r="F329" s="16">
        <v>4</v>
      </c>
      <c r="G329" s="13">
        <v>788688.89723573497</v>
      </c>
      <c r="H329" s="13">
        <v>788688.89723573497</v>
      </c>
      <c r="I329" s="14">
        <v>0</v>
      </c>
      <c r="J329" s="15">
        <v>1</v>
      </c>
      <c r="K329" s="14">
        <v>177.94298323600106</v>
      </c>
      <c r="L329" s="13">
        <v>140341655.21923855</v>
      </c>
      <c r="M329" s="14">
        <v>3.2132642659304724</v>
      </c>
      <c r="N329" s="14">
        <v>163.40459538929099</v>
      </c>
      <c r="O329" s="13">
        <v>128875390.14083137</v>
      </c>
      <c r="P329" s="13">
        <v>11466265.078407183</v>
      </c>
      <c r="Q329" s="14">
        <v>1.0889717196268207</v>
      </c>
      <c r="R329" s="15">
        <v>8.8971719626820711E-2</v>
      </c>
    </row>
    <row r="330" spans="1:18" ht="18" customHeight="1">
      <c r="A330" s="10" t="s">
        <v>113</v>
      </c>
      <c r="B330" s="10" t="s">
        <v>114</v>
      </c>
      <c r="C330" s="10" t="s">
        <v>241</v>
      </c>
      <c r="D330" s="10" t="s">
        <v>245</v>
      </c>
      <c r="E330" s="16">
        <v>7</v>
      </c>
      <c r="F330" s="16">
        <v>7</v>
      </c>
      <c r="G330" s="13">
        <v>14519.801170434601</v>
      </c>
      <c r="H330" s="13">
        <v>14519.801170434601</v>
      </c>
      <c r="I330" s="14">
        <v>0</v>
      </c>
      <c r="J330" s="15">
        <v>1</v>
      </c>
      <c r="K330" s="14">
        <v>11.242626484504484</v>
      </c>
      <c r="L330" s="13">
        <v>163240.70118846724</v>
      </c>
      <c r="M330" s="14">
        <v>2.0039376769355037</v>
      </c>
      <c r="N330" s="14">
        <v>10.091080644812877</v>
      </c>
      <c r="O330" s="13">
        <v>146520.48455750395</v>
      </c>
      <c r="P330" s="13">
        <v>16720.216630963288</v>
      </c>
      <c r="Q330" s="14">
        <v>1.1141152152305449</v>
      </c>
      <c r="R330" s="15">
        <v>0.11411521523054487</v>
      </c>
    </row>
    <row r="331" spans="1:18" ht="18" customHeight="1">
      <c r="A331" s="10" t="s">
        <v>113</v>
      </c>
      <c r="B331" s="10" t="s">
        <v>114</v>
      </c>
      <c r="C331" s="10" t="s">
        <v>241</v>
      </c>
      <c r="D331" s="10" t="s">
        <v>246</v>
      </c>
      <c r="E331" s="16">
        <v>30</v>
      </c>
      <c r="F331" s="16">
        <v>30</v>
      </c>
      <c r="G331" s="13">
        <v>14583.973620221299</v>
      </c>
      <c r="H331" s="13">
        <v>14583.973620221299</v>
      </c>
      <c r="I331" s="14">
        <v>0</v>
      </c>
      <c r="J331" s="15">
        <v>1</v>
      </c>
      <c r="K331" s="14">
        <v>230.55265247275264</v>
      </c>
      <c r="L331" s="13">
        <v>3362373.8017346733</v>
      </c>
      <c r="M331" s="14">
        <v>3.0985952997722928</v>
      </c>
      <c r="N331" s="14">
        <v>125.48600689152317</v>
      </c>
      <c r="O331" s="13">
        <v>1830084.614212882</v>
      </c>
      <c r="P331" s="13">
        <v>1532289.1875217913</v>
      </c>
      <c r="Q331" s="14">
        <v>1.8372777824706361</v>
      </c>
      <c r="R331" s="15">
        <v>0.837277782470636</v>
      </c>
    </row>
    <row r="332" spans="1:18" ht="18" customHeight="1">
      <c r="A332" s="10" t="s">
        <v>113</v>
      </c>
      <c r="B332" s="10" t="s">
        <v>114</v>
      </c>
      <c r="C332" s="10" t="s">
        <v>241</v>
      </c>
      <c r="D332" s="10" t="s">
        <v>247</v>
      </c>
      <c r="E332" s="16">
        <v>24</v>
      </c>
      <c r="F332" s="16">
        <v>24</v>
      </c>
      <c r="G332" s="13">
        <v>11175.410997523901</v>
      </c>
      <c r="H332" s="13">
        <v>11175.410997523901</v>
      </c>
      <c r="I332" s="14">
        <v>0</v>
      </c>
      <c r="J332" s="15">
        <v>1</v>
      </c>
      <c r="K332" s="14">
        <v>1556.9252598768569</v>
      </c>
      <c r="L332" s="13">
        <v>17399279.671550583</v>
      </c>
      <c r="M332" s="14">
        <v>4.040212447425251</v>
      </c>
      <c r="N332" s="14">
        <v>1097.0147006676023</v>
      </c>
      <c r="O332" s="13">
        <v>12259590.150286112</v>
      </c>
      <c r="P332" s="13">
        <v>5139689.5212644711</v>
      </c>
      <c r="Q332" s="14">
        <v>1.4192382827042975</v>
      </c>
      <c r="R332" s="15">
        <v>0.41923828270429758</v>
      </c>
    </row>
    <row r="333" spans="1:18" ht="18" customHeight="1">
      <c r="A333" s="10" t="s">
        <v>113</v>
      </c>
      <c r="B333" s="10" t="s">
        <v>114</v>
      </c>
      <c r="C333" s="10" t="s">
        <v>241</v>
      </c>
      <c r="D333" s="10" t="s">
        <v>248</v>
      </c>
      <c r="E333" s="16">
        <v>9</v>
      </c>
      <c r="F333" s="16">
        <v>9</v>
      </c>
      <c r="G333" s="13">
        <v>13983.700319652999</v>
      </c>
      <c r="H333" s="13">
        <v>13983.700319652999</v>
      </c>
      <c r="I333" s="14">
        <v>0</v>
      </c>
      <c r="J333" s="15">
        <v>1</v>
      </c>
      <c r="K333" s="14">
        <v>539.44331742372935</v>
      </c>
      <c r="L333" s="13">
        <v>7543413.6902928781</v>
      </c>
      <c r="M333" s="14">
        <v>3.5283742447782616</v>
      </c>
      <c r="N333" s="14">
        <v>337.57808466959165</v>
      </c>
      <c r="O333" s="13">
        <v>4720590.7705020159</v>
      </c>
      <c r="P333" s="13">
        <v>2822822.9197908621</v>
      </c>
      <c r="Q333" s="14">
        <v>1.5979808581226935</v>
      </c>
      <c r="R333" s="15">
        <v>0.59798085812269341</v>
      </c>
    </row>
    <row r="334" spans="1:18" ht="18" customHeight="1">
      <c r="A334" s="10" t="s">
        <v>113</v>
      </c>
      <c r="B334" s="10" t="s">
        <v>114</v>
      </c>
      <c r="C334" s="10" t="s">
        <v>241</v>
      </c>
      <c r="D334" s="10" t="s">
        <v>249</v>
      </c>
      <c r="E334" s="16">
        <v>5</v>
      </c>
      <c r="F334" s="16">
        <v>5</v>
      </c>
      <c r="G334" s="13">
        <v>535.66951673530002</v>
      </c>
      <c r="H334" s="13">
        <v>535.66951673530002</v>
      </c>
      <c r="I334" s="14">
        <v>0</v>
      </c>
      <c r="J334" s="15">
        <v>1</v>
      </c>
      <c r="K334" s="14">
        <v>505.20095773069488</v>
      </c>
      <c r="L334" s="13">
        <v>270620.75288181205</v>
      </c>
      <c r="M334" s="14">
        <v>3.7007678573896152</v>
      </c>
      <c r="N334" s="14">
        <v>502.07414503732099</v>
      </c>
      <c r="O334" s="13">
        <v>268945.81463743065</v>
      </c>
      <c r="P334" s="13">
        <v>1674.9382443813956</v>
      </c>
      <c r="Q334" s="14">
        <v>1.006227790704382</v>
      </c>
      <c r="R334" s="15">
        <v>6.2277907043818536E-3</v>
      </c>
    </row>
    <row r="335" spans="1:18" ht="18" customHeight="1">
      <c r="A335" s="10" t="s">
        <v>113</v>
      </c>
      <c r="B335" s="10" t="s">
        <v>114</v>
      </c>
      <c r="C335" s="10" t="s">
        <v>241</v>
      </c>
      <c r="D335" s="10" t="s">
        <v>250</v>
      </c>
      <c r="E335" s="16">
        <v>7</v>
      </c>
      <c r="F335" s="16">
        <v>7</v>
      </c>
      <c r="G335" s="13">
        <v>2.9330830000000002E-2</v>
      </c>
      <c r="H335" s="13">
        <v>2.9330830000000002E-2</v>
      </c>
      <c r="I335" s="14">
        <v>0</v>
      </c>
      <c r="J335" s="15">
        <v>1</v>
      </c>
      <c r="K335" s="14">
        <v>915.7245193336089</v>
      </c>
      <c r="L335" s="13">
        <v>26.858960203405797</v>
      </c>
      <c r="M335" s="14">
        <v>3.8966667239215527</v>
      </c>
      <c r="N335" s="14">
        <v>788.25498132101643</v>
      </c>
      <c r="O335" s="13">
        <v>23.120172853779909</v>
      </c>
      <c r="P335" s="13">
        <v>3.7387873496258877</v>
      </c>
      <c r="Q335" s="14">
        <v>1.1617110465943006</v>
      </c>
      <c r="R335" s="15">
        <v>0.16171104659430063</v>
      </c>
    </row>
    <row r="336" spans="1:18" ht="18" customHeight="1">
      <c r="A336" s="10" t="s">
        <v>55</v>
      </c>
      <c r="B336" s="10" t="s">
        <v>56</v>
      </c>
      <c r="C336" s="10" t="s">
        <v>241</v>
      </c>
      <c r="D336" s="10" t="s">
        <v>252</v>
      </c>
      <c r="E336" s="16">
        <v>1</v>
      </c>
      <c r="F336" s="16">
        <v>1</v>
      </c>
      <c r="G336" s="13">
        <v>6447.5123056992998</v>
      </c>
      <c r="H336" s="13">
        <v>6447.5123056992998</v>
      </c>
      <c r="I336" s="14">
        <v>0</v>
      </c>
      <c r="J336" s="15">
        <v>1</v>
      </c>
      <c r="K336" s="14">
        <v>128.82495516931337</v>
      </c>
      <c r="L336" s="13">
        <v>830600.48373530852</v>
      </c>
      <c r="M336" s="14">
        <v>3.1100000000000003</v>
      </c>
      <c r="N336" s="14">
        <v>128.82495516931348</v>
      </c>
      <c r="O336" s="13">
        <v>830600.48373530933</v>
      </c>
      <c r="P336" s="13">
        <v>-8.149072527885437E-10</v>
      </c>
      <c r="Q336" s="14">
        <v>0.999999999999999</v>
      </c>
      <c r="R336" s="15">
        <v>-9.8110616204292194E-16</v>
      </c>
    </row>
    <row r="337" spans="1:18" ht="18" customHeight="1">
      <c r="A337" s="10" t="s">
        <v>55</v>
      </c>
      <c r="B337" s="10" t="s">
        <v>56</v>
      </c>
      <c r="C337" s="10" t="s">
        <v>241</v>
      </c>
      <c r="D337" s="10" t="s">
        <v>242</v>
      </c>
      <c r="E337" s="16">
        <v>27</v>
      </c>
      <c r="F337" s="16">
        <v>27</v>
      </c>
      <c r="G337" s="13">
        <v>410804.47190679598</v>
      </c>
      <c r="H337" s="13">
        <v>410804.47190679598</v>
      </c>
      <c r="I337" s="14">
        <v>0</v>
      </c>
      <c r="J337" s="15">
        <v>1</v>
      </c>
      <c r="K337" s="14">
        <v>1519.6927881922516</v>
      </c>
      <c r="L337" s="13">
        <v>624296593.31388426</v>
      </c>
      <c r="M337" s="14">
        <v>4.1608182195070968</v>
      </c>
      <c r="N337" s="14">
        <v>1448.1655751691935</v>
      </c>
      <c r="O337" s="13">
        <v>594912894.34098196</v>
      </c>
      <c r="P337" s="13">
        <v>29383698.972902298</v>
      </c>
      <c r="Q337" s="14">
        <v>1.0493915987574152</v>
      </c>
      <c r="R337" s="15">
        <v>4.9391598757415153E-2</v>
      </c>
    </row>
    <row r="338" spans="1:18" ht="18" customHeight="1">
      <c r="A338" s="10" t="s">
        <v>55</v>
      </c>
      <c r="B338" s="10" t="s">
        <v>56</v>
      </c>
      <c r="C338" s="10" t="s">
        <v>241</v>
      </c>
      <c r="D338" s="10" t="s">
        <v>243</v>
      </c>
      <c r="E338" s="16">
        <v>30</v>
      </c>
      <c r="F338" s="16">
        <v>30</v>
      </c>
      <c r="G338" s="13">
        <v>56326.117438211892</v>
      </c>
      <c r="H338" s="13">
        <v>56326.117438211892</v>
      </c>
      <c r="I338" s="14">
        <v>0</v>
      </c>
      <c r="J338" s="15">
        <v>1</v>
      </c>
      <c r="K338" s="14">
        <v>120.3784637527562</v>
      </c>
      <c r="L338" s="13">
        <v>6780451.4863692792</v>
      </c>
      <c r="M338" s="14">
        <v>3.0082730743149808</v>
      </c>
      <c r="N338" s="14">
        <v>101.92320561329518</v>
      </c>
      <c r="O338" s="13">
        <v>5740938.4490534822</v>
      </c>
      <c r="P338" s="13">
        <v>1039513.0373157971</v>
      </c>
      <c r="Q338" s="14">
        <v>1.1810702285942785</v>
      </c>
      <c r="R338" s="15">
        <v>0.18107022859427857</v>
      </c>
    </row>
    <row r="339" spans="1:18" ht="18" customHeight="1">
      <c r="A339" s="10" t="s">
        <v>55</v>
      </c>
      <c r="B339" s="10" t="s">
        <v>56</v>
      </c>
      <c r="C339" s="10" t="s">
        <v>241</v>
      </c>
      <c r="D339" s="10" t="s">
        <v>244</v>
      </c>
      <c r="E339" s="16">
        <v>26</v>
      </c>
      <c r="F339" s="16">
        <v>26</v>
      </c>
      <c r="G339" s="13">
        <v>46661.755388687001</v>
      </c>
      <c r="H339" s="13">
        <v>46661.755388687001</v>
      </c>
      <c r="I339" s="14">
        <v>0</v>
      </c>
      <c r="J339" s="15">
        <v>1</v>
      </c>
      <c r="K339" s="14">
        <v>520.26717410893048</v>
      </c>
      <c r="L339" s="13">
        <v>24276579.615034346</v>
      </c>
      <c r="M339" s="14">
        <v>3.5160114712780515</v>
      </c>
      <c r="N339" s="14">
        <v>328.1039594033852</v>
      </c>
      <c r="O339" s="13">
        <v>15309906.69574045</v>
      </c>
      <c r="P339" s="13">
        <v>8966672.9192938954</v>
      </c>
      <c r="Q339" s="14">
        <v>1.585677829231227</v>
      </c>
      <c r="R339" s="15">
        <v>0.58567782923122702</v>
      </c>
    </row>
    <row r="340" spans="1:18" ht="18" customHeight="1">
      <c r="A340" s="10" t="s">
        <v>55</v>
      </c>
      <c r="B340" s="10" t="s">
        <v>56</v>
      </c>
      <c r="C340" s="10" t="s">
        <v>241</v>
      </c>
      <c r="D340" s="10" t="s">
        <v>253</v>
      </c>
      <c r="E340" s="16">
        <v>7</v>
      </c>
      <c r="F340" s="16">
        <v>7</v>
      </c>
      <c r="G340" s="13">
        <v>116297.15182404731</v>
      </c>
      <c r="H340" s="13">
        <v>116297.15182404731</v>
      </c>
      <c r="I340" s="14">
        <v>0</v>
      </c>
      <c r="J340" s="15">
        <v>1</v>
      </c>
      <c r="K340" s="14">
        <v>178.95045143880833</v>
      </c>
      <c r="L340" s="13">
        <v>20811427.819960896</v>
      </c>
      <c r="M340" s="14">
        <v>3.2211317584161545</v>
      </c>
      <c r="N340" s="14">
        <v>166.39173813187585</v>
      </c>
      <c r="O340" s="13">
        <v>19350885.231789887</v>
      </c>
      <c r="P340" s="13">
        <v>1460542.588171009</v>
      </c>
      <c r="Q340" s="14">
        <v>1.075476784171693</v>
      </c>
      <c r="R340" s="15">
        <v>7.5476784171693109E-2</v>
      </c>
    </row>
    <row r="341" spans="1:18" ht="18" customHeight="1">
      <c r="A341" s="10" t="s">
        <v>55</v>
      </c>
      <c r="B341" s="10" t="s">
        <v>56</v>
      </c>
      <c r="C341" s="10" t="s">
        <v>241</v>
      </c>
      <c r="D341" s="10" t="s">
        <v>245</v>
      </c>
      <c r="E341" s="16">
        <v>44</v>
      </c>
      <c r="F341" s="16">
        <v>44</v>
      </c>
      <c r="G341" s="13">
        <v>103364.6414470407</v>
      </c>
      <c r="H341" s="13">
        <v>103364.6414470407</v>
      </c>
      <c r="I341" s="14">
        <v>0</v>
      </c>
      <c r="J341" s="15">
        <v>1</v>
      </c>
      <c r="K341" s="14">
        <v>169.85591466273758</v>
      </c>
      <c r="L341" s="13">
        <v>17557095.716773015</v>
      </c>
      <c r="M341" s="14">
        <v>2.5183212303656619</v>
      </c>
      <c r="N341" s="14">
        <v>32.985360156655176</v>
      </c>
      <c r="O341" s="13">
        <v>3409519.9255941645</v>
      </c>
      <c r="P341" s="13">
        <v>14147575.79117885</v>
      </c>
      <c r="Q341" s="14">
        <v>5.1494333806286248</v>
      </c>
      <c r="R341" s="15">
        <v>4.1494333806286248</v>
      </c>
    </row>
    <row r="342" spans="1:18" ht="18" customHeight="1">
      <c r="A342" s="10" t="s">
        <v>55</v>
      </c>
      <c r="B342" s="10" t="s">
        <v>56</v>
      </c>
      <c r="C342" s="10" t="s">
        <v>241</v>
      </c>
      <c r="D342" s="10" t="s">
        <v>246</v>
      </c>
      <c r="E342" s="16">
        <v>66</v>
      </c>
      <c r="F342" s="16">
        <v>66</v>
      </c>
      <c r="G342" s="13">
        <v>102124.80158346529</v>
      </c>
      <c r="H342" s="13">
        <v>102124.80158346529</v>
      </c>
      <c r="I342" s="14">
        <v>0</v>
      </c>
      <c r="J342" s="15">
        <v>1</v>
      </c>
      <c r="K342" s="14">
        <v>1432.4211635225067</v>
      </c>
      <c r="L342" s="13">
        <v>146285727.1086925</v>
      </c>
      <c r="M342" s="14">
        <v>3.9046815023630872</v>
      </c>
      <c r="N342" s="14">
        <v>802.93705793883828</v>
      </c>
      <c r="O342" s="13">
        <v>81999787.72601524</v>
      </c>
      <c r="P342" s="13">
        <v>64285939.382677257</v>
      </c>
      <c r="Q342" s="14">
        <v>1.783976900007046</v>
      </c>
      <c r="R342" s="15">
        <v>0.78397690000704612</v>
      </c>
    </row>
    <row r="343" spans="1:18" ht="18" customHeight="1">
      <c r="A343" s="10" t="s">
        <v>55</v>
      </c>
      <c r="B343" s="10" t="s">
        <v>56</v>
      </c>
      <c r="C343" s="10" t="s">
        <v>241</v>
      </c>
      <c r="D343" s="10" t="s">
        <v>247</v>
      </c>
      <c r="E343" s="16">
        <v>87</v>
      </c>
      <c r="F343" s="16">
        <v>87</v>
      </c>
      <c r="G343" s="13">
        <v>239418.93469134293</v>
      </c>
      <c r="H343" s="13">
        <v>239418.93469134293</v>
      </c>
      <c r="I343" s="14">
        <v>0</v>
      </c>
      <c r="J343" s="15">
        <v>1</v>
      </c>
      <c r="K343" s="14">
        <v>490.95647957071111</v>
      </c>
      <c r="L343" s="13">
        <v>117544277.31863172</v>
      </c>
      <c r="M343" s="14">
        <v>3.6472826857777769</v>
      </c>
      <c r="N343" s="14">
        <v>443.89748636706258</v>
      </c>
      <c r="O343" s="13">
        <v>106277463.29816705</v>
      </c>
      <c r="P343" s="13">
        <v>11266814.020464674</v>
      </c>
      <c r="Q343" s="14">
        <v>1.1060132004548795</v>
      </c>
      <c r="R343" s="15">
        <v>0.10601320045487941</v>
      </c>
    </row>
    <row r="344" spans="1:18" ht="18" customHeight="1">
      <c r="A344" s="10" t="s">
        <v>55</v>
      </c>
      <c r="B344" s="10" t="s">
        <v>56</v>
      </c>
      <c r="C344" s="10" t="s">
        <v>241</v>
      </c>
      <c r="D344" s="10" t="s">
        <v>248</v>
      </c>
      <c r="E344" s="16">
        <v>8</v>
      </c>
      <c r="F344" s="16">
        <v>8</v>
      </c>
      <c r="G344" s="13">
        <v>11424.3280812336</v>
      </c>
      <c r="H344" s="13">
        <v>11424.3280812336</v>
      </c>
      <c r="I344" s="14">
        <v>0</v>
      </c>
      <c r="J344" s="15">
        <v>1</v>
      </c>
      <c r="K344" s="14">
        <v>240.66691444811451</v>
      </c>
      <c r="L344" s="13">
        <v>2749457.7889534389</v>
      </c>
      <c r="M344" s="14">
        <v>3.3677499215865021</v>
      </c>
      <c r="N344" s="14">
        <v>233.21147813147871</v>
      </c>
      <c r="O344" s="13">
        <v>2664284.4384834478</v>
      </c>
      <c r="P344" s="13">
        <v>85173.350469991099</v>
      </c>
      <c r="Q344" s="14">
        <v>1.0319685650825154</v>
      </c>
      <c r="R344" s="15">
        <v>3.1968565082515402E-2</v>
      </c>
    </row>
    <row r="345" spans="1:18" ht="18" customHeight="1">
      <c r="A345" s="10" t="s">
        <v>55</v>
      </c>
      <c r="B345" s="10" t="s">
        <v>56</v>
      </c>
      <c r="C345" s="10" t="s">
        <v>241</v>
      </c>
      <c r="D345" s="10" t="s">
        <v>249</v>
      </c>
      <c r="E345" s="16">
        <v>18</v>
      </c>
      <c r="F345" s="16">
        <v>18</v>
      </c>
      <c r="G345" s="13">
        <v>11338.588108537</v>
      </c>
      <c r="H345" s="13">
        <v>11338.588108537</v>
      </c>
      <c r="I345" s="14">
        <v>0</v>
      </c>
      <c r="J345" s="15">
        <v>1</v>
      </c>
      <c r="K345" s="14">
        <v>652.91661472183637</v>
      </c>
      <c r="L345" s="13">
        <v>7403152.5635512481</v>
      </c>
      <c r="M345" s="14">
        <v>3.8017119306612099</v>
      </c>
      <c r="N345" s="14">
        <v>633.44940224899472</v>
      </c>
      <c r="O345" s="13">
        <v>7182421.8597003222</v>
      </c>
      <c r="P345" s="13">
        <v>220730.7038509259</v>
      </c>
      <c r="Q345" s="14">
        <v>1.0307320717388404</v>
      </c>
      <c r="R345" s="15">
        <v>3.0732071738840416E-2</v>
      </c>
    </row>
    <row r="346" spans="1:18" ht="18" customHeight="1">
      <c r="A346" s="10" t="s">
        <v>55</v>
      </c>
      <c r="B346" s="10" t="s">
        <v>56</v>
      </c>
      <c r="C346" s="10" t="s">
        <v>241</v>
      </c>
      <c r="D346" s="10" t="s">
        <v>250</v>
      </c>
      <c r="E346" s="16">
        <v>53</v>
      </c>
      <c r="F346" s="16">
        <v>53</v>
      </c>
      <c r="G346" s="13">
        <v>31528.077980077996</v>
      </c>
      <c r="H346" s="13">
        <v>31528.077980077996</v>
      </c>
      <c r="I346" s="14">
        <v>0</v>
      </c>
      <c r="J346" s="15">
        <v>1</v>
      </c>
      <c r="K346" s="14">
        <v>1022.3345531314052</v>
      </c>
      <c r="L346" s="13">
        <v>32232243.512855135</v>
      </c>
      <c r="M346" s="14">
        <v>3.9589994018327253</v>
      </c>
      <c r="N346" s="14">
        <v>909.91201938131144</v>
      </c>
      <c r="O346" s="13">
        <v>28687777.10206423</v>
      </c>
      <c r="P346" s="13">
        <v>3544466.4107909054</v>
      </c>
      <c r="Q346" s="14">
        <v>1.123553191248682</v>
      </c>
      <c r="R346" s="15">
        <v>0.12355319124868211</v>
      </c>
    </row>
    <row r="347" spans="1:18" ht="18" customHeight="1">
      <c r="A347" s="10" t="s">
        <v>55</v>
      </c>
      <c r="B347" s="10" t="s">
        <v>56</v>
      </c>
      <c r="C347" s="10" t="s">
        <v>241</v>
      </c>
      <c r="D347" s="10" t="s">
        <v>251</v>
      </c>
      <c r="E347" s="16">
        <v>16</v>
      </c>
      <c r="F347" s="16">
        <v>16</v>
      </c>
      <c r="G347" s="13">
        <v>3943.1863339281008</v>
      </c>
      <c r="H347" s="13">
        <v>3943.1863339281008</v>
      </c>
      <c r="I347" s="14">
        <v>0</v>
      </c>
      <c r="J347" s="15">
        <v>1</v>
      </c>
      <c r="K347" s="14">
        <v>2406.1037558602397</v>
      </c>
      <c r="L347" s="13">
        <v>9487715.4481211733</v>
      </c>
      <c r="M347" s="14">
        <v>4.3702165638732948</v>
      </c>
      <c r="N347" s="14">
        <v>2345.3980723383434</v>
      </c>
      <c r="O347" s="13">
        <v>9248341.6264658663</v>
      </c>
      <c r="P347" s="13">
        <v>239373.82165530697</v>
      </c>
      <c r="Q347" s="14">
        <v>1.0258828913683611</v>
      </c>
      <c r="R347" s="15">
        <v>2.5882891368360986E-2</v>
      </c>
    </row>
    <row r="348" spans="1:18" ht="18" customHeight="1">
      <c r="A348" s="10" t="s">
        <v>99</v>
      </c>
      <c r="B348" s="10" t="s">
        <v>100</v>
      </c>
      <c r="C348" s="10" t="s">
        <v>241</v>
      </c>
      <c r="D348" s="10" t="s">
        <v>252</v>
      </c>
      <c r="E348" s="16">
        <v>1</v>
      </c>
      <c r="F348" s="16">
        <v>1</v>
      </c>
      <c r="G348" s="13">
        <v>27091.6933762591</v>
      </c>
      <c r="H348" s="13">
        <v>27091.6933762591</v>
      </c>
      <c r="I348" s="14">
        <v>0</v>
      </c>
      <c r="J348" s="15">
        <v>1</v>
      </c>
      <c r="K348" s="14">
        <v>128.82495516931337</v>
      </c>
      <c r="L348" s="13">
        <v>3490086.1846573623</v>
      </c>
      <c r="M348" s="14">
        <v>3.11</v>
      </c>
      <c r="N348" s="14">
        <v>128.82495516931337</v>
      </c>
      <c r="O348" s="13">
        <v>3490086.1846573623</v>
      </c>
      <c r="P348" s="13">
        <v>0</v>
      </c>
      <c r="Q348" s="14">
        <v>1</v>
      </c>
      <c r="R348" s="15">
        <v>0</v>
      </c>
    </row>
    <row r="349" spans="1:18" ht="18" customHeight="1">
      <c r="A349" s="10" t="s">
        <v>99</v>
      </c>
      <c r="B349" s="10" t="s">
        <v>100</v>
      </c>
      <c r="C349" s="10" t="s">
        <v>241</v>
      </c>
      <c r="D349" s="10" t="s">
        <v>242</v>
      </c>
      <c r="E349" s="16">
        <v>24</v>
      </c>
      <c r="F349" s="16">
        <v>24</v>
      </c>
      <c r="G349" s="13">
        <v>80337.608939252605</v>
      </c>
      <c r="H349" s="13">
        <v>80337.608939252605</v>
      </c>
      <c r="I349" s="14">
        <v>0</v>
      </c>
      <c r="J349" s="15">
        <v>1</v>
      </c>
      <c r="K349" s="14">
        <v>2179.0386080652838</v>
      </c>
      <c r="L349" s="13">
        <v>175058751.55828211</v>
      </c>
      <c r="M349" s="14">
        <v>4.3051875749871131</v>
      </c>
      <c r="N349" s="14">
        <v>2019.2382992718187</v>
      </c>
      <c r="O349" s="13">
        <v>162220776.84206089</v>
      </c>
      <c r="P349" s="13">
        <v>12837974.716221213</v>
      </c>
      <c r="Q349" s="14">
        <v>1.0791389054234424</v>
      </c>
      <c r="R349" s="15">
        <v>7.9138905423442402E-2</v>
      </c>
    </row>
    <row r="350" spans="1:18" ht="18" customHeight="1">
      <c r="A350" s="10" t="s">
        <v>99</v>
      </c>
      <c r="B350" s="10" t="s">
        <v>100</v>
      </c>
      <c r="C350" s="10" t="s">
        <v>241</v>
      </c>
      <c r="D350" s="10" t="s">
        <v>243</v>
      </c>
      <c r="E350" s="16">
        <v>38</v>
      </c>
      <c r="F350" s="16">
        <v>38</v>
      </c>
      <c r="G350" s="13">
        <v>7280.6366446157017</v>
      </c>
      <c r="H350" s="13">
        <v>7280.6366446157017</v>
      </c>
      <c r="I350" s="14">
        <v>0</v>
      </c>
      <c r="J350" s="15">
        <v>1</v>
      </c>
      <c r="K350" s="14">
        <v>149.17387580445066</v>
      </c>
      <c r="L350" s="13">
        <v>1086080.7866012352</v>
      </c>
      <c r="M350" s="14">
        <v>3.057663102746476</v>
      </c>
      <c r="N350" s="14">
        <v>114.19921083116409</v>
      </c>
      <c r="O350" s="13">
        <v>831442.95916356763</v>
      </c>
      <c r="P350" s="13">
        <v>254637.82743766753</v>
      </c>
      <c r="Q350" s="14">
        <v>1.3062601284083677</v>
      </c>
      <c r="R350" s="15">
        <v>0.3062601284083678</v>
      </c>
    </row>
    <row r="351" spans="1:18" ht="18" customHeight="1">
      <c r="A351" s="10" t="s">
        <v>99</v>
      </c>
      <c r="B351" s="10" t="s">
        <v>100</v>
      </c>
      <c r="C351" s="10" t="s">
        <v>241</v>
      </c>
      <c r="D351" s="10" t="s">
        <v>244</v>
      </c>
      <c r="E351" s="16">
        <v>25</v>
      </c>
      <c r="F351" s="16">
        <v>25</v>
      </c>
      <c r="G351" s="13">
        <v>5649.9613347060995</v>
      </c>
      <c r="H351" s="13">
        <v>5649.9613347060995</v>
      </c>
      <c r="I351" s="14">
        <v>0</v>
      </c>
      <c r="J351" s="15">
        <v>1</v>
      </c>
      <c r="K351" s="14">
        <v>637.64946623617254</v>
      </c>
      <c r="L351" s="13">
        <v>3602694.8293303573</v>
      </c>
      <c r="M351" s="14">
        <v>3.6590230411769076</v>
      </c>
      <c r="N351" s="14">
        <v>456.06111129900802</v>
      </c>
      <c r="O351" s="13">
        <v>2576727.6451024902</v>
      </c>
      <c r="P351" s="13">
        <v>1025967.1842278671</v>
      </c>
      <c r="Q351" s="14">
        <v>1.3981667159033639</v>
      </c>
      <c r="R351" s="15">
        <v>0.39816671590336389</v>
      </c>
    </row>
    <row r="352" spans="1:18" ht="18" customHeight="1">
      <c r="A352" s="10" t="s">
        <v>99</v>
      </c>
      <c r="B352" s="10" t="s">
        <v>100</v>
      </c>
      <c r="C352" s="10" t="s">
        <v>241</v>
      </c>
      <c r="D352" s="10" t="s">
        <v>253</v>
      </c>
      <c r="E352" s="16">
        <v>8</v>
      </c>
      <c r="F352" s="16">
        <v>8</v>
      </c>
      <c r="G352" s="13">
        <v>25098.141940514801</v>
      </c>
      <c r="H352" s="13">
        <v>25098.141940514801</v>
      </c>
      <c r="I352" s="14">
        <v>0</v>
      </c>
      <c r="J352" s="15">
        <v>1</v>
      </c>
      <c r="K352" s="14">
        <v>120.28693384694709</v>
      </c>
      <c r="L352" s="13">
        <v>3018978.5392799922</v>
      </c>
      <c r="M352" s="14">
        <v>3.0658527538988753</v>
      </c>
      <c r="N352" s="14">
        <v>116.37314032502098</v>
      </c>
      <c r="O352" s="13">
        <v>2920749.5939408233</v>
      </c>
      <c r="P352" s="13">
        <v>98228.945339168888</v>
      </c>
      <c r="Q352" s="14">
        <v>1.0336314162442914</v>
      </c>
      <c r="R352" s="15">
        <v>3.363141624429139E-2</v>
      </c>
    </row>
    <row r="353" spans="1:18" ht="18" customHeight="1">
      <c r="A353" s="10" t="s">
        <v>99</v>
      </c>
      <c r="B353" s="10" t="s">
        <v>100</v>
      </c>
      <c r="C353" s="10" t="s">
        <v>241</v>
      </c>
      <c r="D353" s="10" t="s">
        <v>245</v>
      </c>
      <c r="E353" s="16">
        <v>41</v>
      </c>
      <c r="F353" s="16">
        <v>41</v>
      </c>
      <c r="G353" s="13">
        <v>22406.596545823097</v>
      </c>
      <c r="H353" s="13">
        <v>22406.596545823097</v>
      </c>
      <c r="I353" s="14">
        <v>0</v>
      </c>
      <c r="J353" s="15">
        <v>1</v>
      </c>
      <c r="K353" s="14">
        <v>12.840669853485338</v>
      </c>
      <c r="L353" s="13">
        <v>287715.70878515934</v>
      </c>
      <c r="M353" s="14">
        <v>2.1007813926887042</v>
      </c>
      <c r="N353" s="14">
        <v>12.611925384695432</v>
      </c>
      <c r="O353" s="13">
        <v>282590.32376089529</v>
      </c>
      <c r="P353" s="13">
        <v>5125.3850242640474</v>
      </c>
      <c r="Q353" s="14">
        <v>1.0181371568426409</v>
      </c>
      <c r="R353" s="15">
        <v>1.8137156842640965E-2</v>
      </c>
    </row>
    <row r="354" spans="1:18" ht="18" customHeight="1">
      <c r="A354" s="10" t="s">
        <v>99</v>
      </c>
      <c r="B354" s="10" t="s">
        <v>100</v>
      </c>
      <c r="C354" s="10" t="s">
        <v>241</v>
      </c>
      <c r="D354" s="10" t="s">
        <v>246</v>
      </c>
      <c r="E354" s="16">
        <v>72</v>
      </c>
      <c r="F354" s="16">
        <v>72</v>
      </c>
      <c r="G354" s="13">
        <v>121655.11614862122</v>
      </c>
      <c r="H354" s="13">
        <v>121655.11614862122</v>
      </c>
      <c r="I354" s="14">
        <v>0</v>
      </c>
      <c r="J354" s="15">
        <v>1</v>
      </c>
      <c r="K354" s="14">
        <v>463.3269959237258</v>
      </c>
      <c r="L354" s="13">
        <v>56366099.503892615</v>
      </c>
      <c r="M354" s="14">
        <v>3.4283117444337936</v>
      </c>
      <c r="N354" s="14">
        <v>268.10921707013091</v>
      </c>
      <c r="O354" s="13">
        <v>32616857.943182677</v>
      </c>
      <c r="P354" s="13">
        <v>23749241.560709938</v>
      </c>
      <c r="Q354" s="14">
        <v>1.7281278166670808</v>
      </c>
      <c r="R354" s="15">
        <v>0.72812781666708093</v>
      </c>
    </row>
    <row r="355" spans="1:18" ht="18" customHeight="1">
      <c r="A355" s="10" t="s">
        <v>99</v>
      </c>
      <c r="B355" s="10" t="s">
        <v>100</v>
      </c>
      <c r="C355" s="10" t="s">
        <v>241</v>
      </c>
      <c r="D355" s="10" t="s">
        <v>247</v>
      </c>
      <c r="E355" s="16">
        <v>115</v>
      </c>
      <c r="F355" s="16">
        <v>115</v>
      </c>
      <c r="G355" s="13">
        <v>115258.7509581911</v>
      </c>
      <c r="H355" s="13">
        <v>115258.7509581911</v>
      </c>
      <c r="I355" s="14">
        <v>0</v>
      </c>
      <c r="J355" s="15">
        <v>1</v>
      </c>
      <c r="K355" s="14">
        <v>559.89445246585888</v>
      </c>
      <c r="L355" s="13">
        <v>64532735.259635195</v>
      </c>
      <c r="M355" s="14">
        <v>3.592529813303126</v>
      </c>
      <c r="N355" s="14">
        <v>391.31798927198662</v>
      </c>
      <c r="O355" s="13">
        <v>45102822.670960002</v>
      </c>
      <c r="P355" s="13">
        <v>19429912.588675193</v>
      </c>
      <c r="Q355" s="14">
        <v>1.4307914990248576</v>
      </c>
      <c r="R355" s="15">
        <v>0.43079149902485764</v>
      </c>
    </row>
    <row r="356" spans="1:18" ht="18" customHeight="1">
      <c r="A356" s="10" t="s">
        <v>99</v>
      </c>
      <c r="B356" s="10" t="s">
        <v>100</v>
      </c>
      <c r="C356" s="10" t="s">
        <v>241</v>
      </c>
      <c r="D356" s="10" t="s">
        <v>248</v>
      </c>
      <c r="E356" s="16">
        <v>6</v>
      </c>
      <c r="F356" s="16">
        <v>6</v>
      </c>
      <c r="G356" s="13">
        <v>644.33112742919991</v>
      </c>
      <c r="H356" s="13">
        <v>644.33112742919991</v>
      </c>
      <c r="I356" s="14">
        <v>0</v>
      </c>
      <c r="J356" s="15">
        <v>1</v>
      </c>
      <c r="K356" s="14">
        <v>2054.7160894367412</v>
      </c>
      <c r="L356" s="13">
        <v>1323917.5344536921</v>
      </c>
      <c r="M356" s="14">
        <v>4.1571239157199829</v>
      </c>
      <c r="N356" s="14">
        <v>1435.8990749525822</v>
      </c>
      <c r="O356" s="13">
        <v>925194.46983874252</v>
      </c>
      <c r="P356" s="13">
        <v>398723.06461494963</v>
      </c>
      <c r="Q356" s="14">
        <v>1.4309613574370428</v>
      </c>
      <c r="R356" s="15">
        <v>0.43096135743704278</v>
      </c>
    </row>
    <row r="357" spans="1:18" ht="18" customHeight="1">
      <c r="A357" s="10" t="s">
        <v>99</v>
      </c>
      <c r="B357" s="10" t="s">
        <v>100</v>
      </c>
      <c r="C357" s="10" t="s">
        <v>241</v>
      </c>
      <c r="D357" s="10" t="s">
        <v>249</v>
      </c>
      <c r="E357" s="16">
        <v>19</v>
      </c>
      <c r="F357" s="16">
        <v>19</v>
      </c>
      <c r="G357" s="13">
        <v>4734.4279817290007</v>
      </c>
      <c r="H357" s="13">
        <v>4734.4279817290007</v>
      </c>
      <c r="I357" s="14">
        <v>0</v>
      </c>
      <c r="J357" s="15">
        <v>1</v>
      </c>
      <c r="K357" s="14">
        <v>521.99687760127802</v>
      </c>
      <c r="L357" s="13">
        <v>2471356.6236906587</v>
      </c>
      <c r="M357" s="14">
        <v>3.6915160020120119</v>
      </c>
      <c r="N357" s="14">
        <v>491.49148935826429</v>
      </c>
      <c r="O357" s="13">
        <v>2326931.0599994278</v>
      </c>
      <c r="P357" s="13">
        <v>144425.56369123096</v>
      </c>
      <c r="Q357" s="14">
        <v>1.0620669714603692</v>
      </c>
      <c r="R357" s="15">
        <v>6.2066971460369123E-2</v>
      </c>
    </row>
    <row r="358" spans="1:18" ht="18" customHeight="1">
      <c r="A358" s="10" t="s">
        <v>99</v>
      </c>
      <c r="B358" s="10" t="s">
        <v>100</v>
      </c>
      <c r="C358" s="10" t="s">
        <v>241</v>
      </c>
      <c r="D358" s="10" t="s">
        <v>250</v>
      </c>
      <c r="E358" s="16">
        <v>64</v>
      </c>
      <c r="F358" s="16">
        <v>64</v>
      </c>
      <c r="G358" s="13">
        <v>9148.7216320734005</v>
      </c>
      <c r="H358" s="13">
        <v>9148.7216320734005</v>
      </c>
      <c r="I358" s="14">
        <v>0</v>
      </c>
      <c r="J358" s="15">
        <v>1</v>
      </c>
      <c r="K358" s="14">
        <v>1427.6213977794853</v>
      </c>
      <c r="L358" s="13">
        <v>13060910.764276043</v>
      </c>
      <c r="M358" s="14">
        <v>4.0872835600494728</v>
      </c>
      <c r="N358" s="14">
        <v>1222.5976594823267</v>
      </c>
      <c r="O358" s="13">
        <v>11185205.654628271</v>
      </c>
      <c r="P358" s="13">
        <v>1875705.1096477713</v>
      </c>
      <c r="Q358" s="14">
        <v>1.1676951830449029</v>
      </c>
      <c r="R358" s="15">
        <v>0.16769518304490294</v>
      </c>
    </row>
    <row r="359" spans="1:18" ht="18" customHeight="1">
      <c r="A359" s="10" t="s">
        <v>99</v>
      </c>
      <c r="B359" s="10" t="s">
        <v>100</v>
      </c>
      <c r="C359" s="10" t="s">
        <v>241</v>
      </c>
      <c r="D359" s="10" t="s">
        <v>251</v>
      </c>
      <c r="E359" s="16">
        <v>19</v>
      </c>
      <c r="F359" s="16">
        <v>19</v>
      </c>
      <c r="G359" s="13">
        <v>10210.346465610499</v>
      </c>
      <c r="H359" s="13">
        <v>10210.346465610499</v>
      </c>
      <c r="I359" s="14">
        <v>0</v>
      </c>
      <c r="J359" s="15">
        <v>1</v>
      </c>
      <c r="K359" s="14">
        <v>2566.324465106019</v>
      </c>
      <c r="L359" s="13">
        <v>26203061.931904998</v>
      </c>
      <c r="M359" s="14">
        <v>4.398749816320576</v>
      </c>
      <c r="N359" s="14">
        <v>2504.6659764061878</v>
      </c>
      <c r="O359" s="13">
        <v>25573507.399733789</v>
      </c>
      <c r="P359" s="13">
        <v>629554.53217120841</v>
      </c>
      <c r="Q359" s="14">
        <v>1.0246174497041325</v>
      </c>
      <c r="R359" s="15">
        <v>2.4617449704132561E-2</v>
      </c>
    </row>
    <row r="360" spans="1:18" ht="18" customHeight="1">
      <c r="A360" s="10" t="s">
        <v>57</v>
      </c>
      <c r="B360" s="10" t="s">
        <v>58</v>
      </c>
      <c r="C360" s="10" t="s">
        <v>241</v>
      </c>
      <c r="D360" s="10" t="s">
        <v>252</v>
      </c>
      <c r="E360" s="16">
        <v>2</v>
      </c>
      <c r="F360" s="16">
        <v>2</v>
      </c>
      <c r="G360" s="13">
        <v>162917.7874635183</v>
      </c>
      <c r="H360" s="13">
        <v>162917.7874635183</v>
      </c>
      <c r="I360" s="14">
        <v>0</v>
      </c>
      <c r="J360" s="15">
        <v>1</v>
      </c>
      <c r="K360" s="14">
        <v>129.02865114728553</v>
      </c>
      <c r="L360" s="13">
        <v>21021062.364317909</v>
      </c>
      <c r="M360" s="14">
        <v>3.1106180020569472</v>
      </c>
      <c r="N360" s="14">
        <v>129.00840387288815</v>
      </c>
      <c r="O360" s="13">
        <v>21017763.723170921</v>
      </c>
      <c r="P360" s="13">
        <v>3298.6411469876766</v>
      </c>
      <c r="Q360" s="14">
        <v>1.0001569453910717</v>
      </c>
      <c r="R360" s="15">
        <v>1.5694539107179644E-4</v>
      </c>
    </row>
    <row r="361" spans="1:18" ht="18" customHeight="1">
      <c r="A361" s="10" t="s">
        <v>57</v>
      </c>
      <c r="B361" s="10" t="s">
        <v>58</v>
      </c>
      <c r="C361" s="10" t="s">
        <v>241</v>
      </c>
      <c r="D361" s="10" t="s">
        <v>242</v>
      </c>
      <c r="E361" s="16">
        <v>21</v>
      </c>
      <c r="F361" s="16">
        <v>21</v>
      </c>
      <c r="G361" s="13">
        <v>33520.187022121892</v>
      </c>
      <c r="H361" s="13">
        <v>33520.187022121892</v>
      </c>
      <c r="I361" s="14">
        <v>0</v>
      </c>
      <c r="J361" s="15">
        <v>1</v>
      </c>
      <c r="K361" s="14">
        <v>1949.4633667150074</v>
      </c>
      <c r="L361" s="13">
        <v>65346376.645062439</v>
      </c>
      <c r="M361" s="14">
        <v>4.2265438324163345</v>
      </c>
      <c r="N361" s="14">
        <v>1684.7824596958212</v>
      </c>
      <c r="O361" s="13">
        <v>56474223.140594468</v>
      </c>
      <c r="P361" s="13">
        <v>8872153.5044679716</v>
      </c>
      <c r="Q361" s="14">
        <v>1.1571009393503378</v>
      </c>
      <c r="R361" s="15">
        <v>0.15710093935033775</v>
      </c>
    </row>
    <row r="362" spans="1:18" ht="18" customHeight="1">
      <c r="A362" s="10" t="s">
        <v>57</v>
      </c>
      <c r="B362" s="10" t="s">
        <v>58</v>
      </c>
      <c r="C362" s="10" t="s">
        <v>241</v>
      </c>
      <c r="D362" s="10" t="s">
        <v>243</v>
      </c>
      <c r="E362" s="16">
        <v>51</v>
      </c>
      <c r="F362" s="16">
        <v>51</v>
      </c>
      <c r="G362" s="13">
        <v>76859.693055030177</v>
      </c>
      <c r="H362" s="13">
        <v>76859.693055030177</v>
      </c>
      <c r="I362" s="14">
        <v>0</v>
      </c>
      <c r="J362" s="15">
        <v>1</v>
      </c>
      <c r="K362" s="14">
        <v>211.44172912783571</v>
      </c>
      <c r="L362" s="13">
        <v>16251346.399790287</v>
      </c>
      <c r="M362" s="14">
        <v>3.2527185132693632</v>
      </c>
      <c r="N362" s="14">
        <v>178.94456539853087</v>
      </c>
      <c r="O362" s="13">
        <v>13753624.370396856</v>
      </c>
      <c r="P362" s="13">
        <v>2497722.0293934308</v>
      </c>
      <c r="Q362" s="14">
        <v>1.1816046419567412</v>
      </c>
      <c r="R362" s="15">
        <v>0.18160464195674117</v>
      </c>
    </row>
    <row r="363" spans="1:18" ht="18" customHeight="1">
      <c r="A363" s="10" t="s">
        <v>57</v>
      </c>
      <c r="B363" s="10" t="s">
        <v>58</v>
      </c>
      <c r="C363" s="10" t="s">
        <v>241</v>
      </c>
      <c r="D363" s="10" t="s">
        <v>244</v>
      </c>
      <c r="E363" s="16">
        <v>25</v>
      </c>
      <c r="F363" s="16">
        <v>25</v>
      </c>
      <c r="G363" s="13">
        <v>14487.512709259901</v>
      </c>
      <c r="H363" s="13">
        <v>14487.512709259901</v>
      </c>
      <c r="I363" s="14">
        <v>0</v>
      </c>
      <c r="J363" s="15">
        <v>1</v>
      </c>
      <c r="K363" s="14">
        <v>756.27884642902222</v>
      </c>
      <c r="L363" s="13">
        <v>10956599.399384877</v>
      </c>
      <c r="M363" s="14">
        <v>3.572205374580053</v>
      </c>
      <c r="N363" s="14">
        <v>373.42670671703644</v>
      </c>
      <c r="O363" s="13">
        <v>5410024.1595401354</v>
      </c>
      <c r="P363" s="13">
        <v>5546575.2398447413</v>
      </c>
      <c r="Q363" s="14">
        <v>2.0252403827187737</v>
      </c>
      <c r="R363" s="15">
        <v>1.0252403827187739</v>
      </c>
    </row>
    <row r="364" spans="1:18" ht="18" customHeight="1">
      <c r="A364" s="10" t="s">
        <v>57</v>
      </c>
      <c r="B364" s="10" t="s">
        <v>58</v>
      </c>
      <c r="C364" s="10" t="s">
        <v>241</v>
      </c>
      <c r="D364" s="10" t="s">
        <v>253</v>
      </c>
      <c r="E364" s="16">
        <v>10</v>
      </c>
      <c r="F364" s="16">
        <v>10</v>
      </c>
      <c r="G364" s="13">
        <v>254721.02536577111</v>
      </c>
      <c r="H364" s="13">
        <v>254721.02536577111</v>
      </c>
      <c r="I364" s="14">
        <v>0</v>
      </c>
      <c r="J364" s="15">
        <v>1</v>
      </c>
      <c r="K364" s="14">
        <v>114.89676239183846</v>
      </c>
      <c r="L364" s="13">
        <v>29266621.127656464</v>
      </c>
      <c r="M364" s="14">
        <v>3.0159833095927091</v>
      </c>
      <c r="N364" s="14">
        <v>103.74885432435026</v>
      </c>
      <c r="O364" s="13">
        <v>26427014.554022517</v>
      </c>
      <c r="P364" s="13">
        <v>2839606.5736339465</v>
      </c>
      <c r="Q364" s="14">
        <v>1.1074509028565893</v>
      </c>
      <c r="R364" s="15">
        <v>0.10745090285658936</v>
      </c>
    </row>
    <row r="365" spans="1:18" ht="18" customHeight="1">
      <c r="A365" s="10" t="s">
        <v>57</v>
      </c>
      <c r="B365" s="10" t="s">
        <v>58</v>
      </c>
      <c r="C365" s="10" t="s">
        <v>241</v>
      </c>
      <c r="D365" s="10" t="s">
        <v>245</v>
      </c>
      <c r="E365" s="16">
        <v>36</v>
      </c>
      <c r="F365" s="16">
        <v>36</v>
      </c>
      <c r="G365" s="13">
        <v>65085.243090268807</v>
      </c>
      <c r="H365" s="13">
        <v>65085.243090268807</v>
      </c>
      <c r="I365" s="14">
        <v>0</v>
      </c>
      <c r="J365" s="15">
        <v>1</v>
      </c>
      <c r="K365" s="14">
        <v>41.548787250554064</v>
      </c>
      <c r="L365" s="13">
        <v>2704212.9183081724</v>
      </c>
      <c r="M365" s="14">
        <v>2.4906221896898115</v>
      </c>
      <c r="N365" s="14">
        <v>30.947259007868421</v>
      </c>
      <c r="O365" s="13">
        <v>2014209.8755046274</v>
      </c>
      <c r="P365" s="13">
        <v>690003.04280354502</v>
      </c>
      <c r="Q365" s="14">
        <v>1.3425675999283222</v>
      </c>
      <c r="R365" s="15">
        <v>0.34256759992832231</v>
      </c>
    </row>
    <row r="366" spans="1:18" ht="18" customHeight="1">
      <c r="A366" s="10" t="s">
        <v>57</v>
      </c>
      <c r="B366" s="10" t="s">
        <v>58</v>
      </c>
      <c r="C366" s="10" t="s">
        <v>241</v>
      </c>
      <c r="D366" s="10" t="s">
        <v>246</v>
      </c>
      <c r="E366" s="16">
        <v>86</v>
      </c>
      <c r="F366" s="16">
        <v>86</v>
      </c>
      <c r="G366" s="13">
        <v>276436.8940301527</v>
      </c>
      <c r="H366" s="13">
        <v>276436.8940301527</v>
      </c>
      <c r="I366" s="14">
        <v>0</v>
      </c>
      <c r="J366" s="15">
        <v>1</v>
      </c>
      <c r="K366" s="14">
        <v>490.67708677415612</v>
      </c>
      <c r="L366" s="13">
        <v>135641249.83961144</v>
      </c>
      <c r="M366" s="14">
        <v>3.4857366362777542</v>
      </c>
      <c r="N366" s="14">
        <v>306.01071687374235</v>
      </c>
      <c r="O366" s="13">
        <v>84592652.112517774</v>
      </c>
      <c r="P366" s="13">
        <v>51048597.727093667</v>
      </c>
      <c r="Q366" s="14">
        <v>1.603463734169172</v>
      </c>
      <c r="R366" s="15">
        <v>0.60346373416917198</v>
      </c>
    </row>
    <row r="367" spans="1:18" ht="18" customHeight="1">
      <c r="A367" s="10" t="s">
        <v>57</v>
      </c>
      <c r="B367" s="10" t="s">
        <v>58</v>
      </c>
      <c r="C367" s="10" t="s">
        <v>241</v>
      </c>
      <c r="D367" s="10" t="s">
        <v>247</v>
      </c>
      <c r="E367" s="16">
        <v>139</v>
      </c>
      <c r="F367" s="16">
        <v>139</v>
      </c>
      <c r="G367" s="13">
        <v>404014.84364885249</v>
      </c>
      <c r="H367" s="13">
        <v>404014.84364885249</v>
      </c>
      <c r="I367" s="14">
        <v>0</v>
      </c>
      <c r="J367" s="15">
        <v>1</v>
      </c>
      <c r="K367" s="14">
        <v>665.49739985812482</v>
      </c>
      <c r="L367" s="13">
        <v>268870827.95239818</v>
      </c>
      <c r="M367" s="14">
        <v>3.5161024941373666</v>
      </c>
      <c r="N367" s="14">
        <v>328.17273322314952</v>
      </c>
      <c r="O367" s="13">
        <v>132586655.50296733</v>
      </c>
      <c r="P367" s="13">
        <v>136284172.44943085</v>
      </c>
      <c r="Q367" s="14">
        <v>2.0278875497118243</v>
      </c>
      <c r="R367" s="15">
        <v>1.0278875497118243</v>
      </c>
    </row>
    <row r="368" spans="1:18" ht="18" customHeight="1">
      <c r="A368" s="10" t="s">
        <v>57</v>
      </c>
      <c r="B368" s="10" t="s">
        <v>58</v>
      </c>
      <c r="C368" s="10" t="s">
        <v>241</v>
      </c>
      <c r="D368" s="10" t="s">
        <v>248</v>
      </c>
      <c r="E368" s="16">
        <v>3</v>
      </c>
      <c r="F368" s="16">
        <v>3</v>
      </c>
      <c r="G368" s="13">
        <v>519.71877432580004</v>
      </c>
      <c r="H368" s="13">
        <v>519.71877432580004</v>
      </c>
      <c r="I368" s="14">
        <v>0</v>
      </c>
      <c r="J368" s="15">
        <v>1</v>
      </c>
      <c r="K368" s="14">
        <v>343.18590067724938</v>
      </c>
      <c r="L368" s="13">
        <v>178360.15566587579</v>
      </c>
      <c r="M368" s="14">
        <v>3.5170087267003316</v>
      </c>
      <c r="N368" s="14">
        <v>328.85823887720966</v>
      </c>
      <c r="O368" s="13">
        <v>170913.80083620458</v>
      </c>
      <c r="P368" s="13">
        <v>7446.3548296712106</v>
      </c>
      <c r="Q368" s="14">
        <v>1.0435678967598845</v>
      </c>
      <c r="R368" s="15">
        <v>4.3567896759884435E-2</v>
      </c>
    </row>
    <row r="369" spans="1:18" ht="18" customHeight="1">
      <c r="A369" s="10" t="s">
        <v>57</v>
      </c>
      <c r="B369" s="10" t="s">
        <v>58</v>
      </c>
      <c r="C369" s="10" t="s">
        <v>241</v>
      </c>
      <c r="D369" s="10" t="s">
        <v>249</v>
      </c>
      <c r="E369" s="16">
        <v>20</v>
      </c>
      <c r="F369" s="16">
        <v>20</v>
      </c>
      <c r="G369" s="13">
        <v>18986.876146204402</v>
      </c>
      <c r="H369" s="13">
        <v>18986.876146204402</v>
      </c>
      <c r="I369" s="14">
        <v>0</v>
      </c>
      <c r="J369" s="15">
        <v>1</v>
      </c>
      <c r="K369" s="14">
        <v>782.69345726751203</v>
      </c>
      <c r="L369" s="13">
        <v>14860903.73358278</v>
      </c>
      <c r="M369" s="14">
        <v>3.8647060690238453</v>
      </c>
      <c r="N369" s="14">
        <v>732.32872450128525</v>
      </c>
      <c r="O369" s="13">
        <v>13904634.790413748</v>
      </c>
      <c r="P369" s="13">
        <v>956268.94316903129</v>
      </c>
      <c r="Q369" s="14">
        <v>1.0687733951724003</v>
      </c>
      <c r="R369" s="15">
        <v>6.8773395172400387E-2</v>
      </c>
    </row>
    <row r="370" spans="1:18" ht="18" customHeight="1">
      <c r="A370" s="10" t="s">
        <v>57</v>
      </c>
      <c r="B370" s="10" t="s">
        <v>58</v>
      </c>
      <c r="C370" s="10" t="s">
        <v>241</v>
      </c>
      <c r="D370" s="10" t="s">
        <v>250</v>
      </c>
      <c r="E370" s="16">
        <v>70</v>
      </c>
      <c r="F370" s="16">
        <v>70</v>
      </c>
      <c r="G370" s="13">
        <v>67479.379815205219</v>
      </c>
      <c r="H370" s="13">
        <v>67479.379815205219</v>
      </c>
      <c r="I370" s="14">
        <v>0</v>
      </c>
      <c r="J370" s="15">
        <v>1</v>
      </c>
      <c r="K370" s="14">
        <v>1894.3170945963054</v>
      </c>
      <c r="L370" s="13">
        <v>127827342.71670012</v>
      </c>
      <c r="M370" s="14">
        <v>4.2254084266872987</v>
      </c>
      <c r="N370" s="14">
        <v>1680.3835704941484</v>
      </c>
      <c r="O370" s="13">
        <v>113391241.18860532</v>
      </c>
      <c r="P370" s="13">
        <v>14436101.528094798</v>
      </c>
      <c r="Q370" s="14">
        <v>1.1273123159846448</v>
      </c>
      <c r="R370" s="15">
        <v>0.12731231598464487</v>
      </c>
    </row>
    <row r="371" spans="1:18" ht="18" customHeight="1">
      <c r="A371" s="10" t="s">
        <v>57</v>
      </c>
      <c r="B371" s="10" t="s">
        <v>58</v>
      </c>
      <c r="C371" s="10" t="s">
        <v>241</v>
      </c>
      <c r="D371" s="10" t="s">
        <v>251</v>
      </c>
      <c r="E371" s="16">
        <v>19</v>
      </c>
      <c r="F371" s="16">
        <v>19</v>
      </c>
      <c r="G371" s="13">
        <v>112712.46580314249</v>
      </c>
      <c r="H371" s="13">
        <v>112712.46580314249</v>
      </c>
      <c r="I371" s="14">
        <v>0</v>
      </c>
      <c r="J371" s="15">
        <v>1</v>
      </c>
      <c r="K371" s="14">
        <v>2794.6411418346579</v>
      </c>
      <c r="L371" s="13">
        <v>314990894.13109398</v>
      </c>
      <c r="M371" s="14">
        <v>4.4366284249319481</v>
      </c>
      <c r="N371" s="14">
        <v>2732.9294771563173</v>
      </c>
      <c r="O371" s="13">
        <v>308035220.23638147</v>
      </c>
      <c r="P371" s="13">
        <v>6955673.8947125077</v>
      </c>
      <c r="Q371" s="14">
        <v>1.0225807746574396</v>
      </c>
      <c r="R371" s="15">
        <v>2.2580774657439597E-2</v>
      </c>
    </row>
    <row r="372" spans="1:18" ht="18" customHeight="1">
      <c r="A372" s="10" t="s">
        <v>30</v>
      </c>
      <c r="B372" s="10" t="s">
        <v>31</v>
      </c>
      <c r="C372" s="10" t="s">
        <v>241</v>
      </c>
      <c r="D372" s="10" t="s">
        <v>252</v>
      </c>
      <c r="E372" s="16">
        <v>2</v>
      </c>
      <c r="F372" s="16">
        <v>2</v>
      </c>
      <c r="G372" s="13">
        <v>26687.180846924701</v>
      </c>
      <c r="H372" s="13">
        <v>26687.180846924701</v>
      </c>
      <c r="I372" s="14">
        <v>0</v>
      </c>
      <c r="J372" s="15">
        <v>1</v>
      </c>
      <c r="K372" s="14">
        <v>128.93563559966847</v>
      </c>
      <c r="L372" s="13">
        <v>3440928.6248615352</v>
      </c>
      <c r="M372" s="14">
        <v>3.1103357981551927</v>
      </c>
      <c r="N372" s="14">
        <v>128.92460163613663</v>
      </c>
      <c r="O372" s="13">
        <v>3440634.1594813024</v>
      </c>
      <c r="P372" s="13">
        <v>294.46538023278117</v>
      </c>
      <c r="Q372" s="14">
        <v>1.0000855846238175</v>
      </c>
      <c r="R372" s="15">
        <v>8.5584623817480703E-5</v>
      </c>
    </row>
    <row r="373" spans="1:18" ht="18" customHeight="1">
      <c r="A373" s="10" t="s">
        <v>30</v>
      </c>
      <c r="B373" s="10" t="s">
        <v>31</v>
      </c>
      <c r="C373" s="10" t="s">
        <v>241</v>
      </c>
      <c r="D373" s="10" t="s">
        <v>242</v>
      </c>
      <c r="E373" s="16">
        <v>14</v>
      </c>
      <c r="F373" s="16">
        <v>14</v>
      </c>
      <c r="G373" s="13">
        <v>94231.652278196314</v>
      </c>
      <c r="H373" s="13">
        <v>94231.652278196314</v>
      </c>
      <c r="I373" s="14">
        <v>0</v>
      </c>
      <c r="J373" s="15">
        <v>1</v>
      </c>
      <c r="K373" s="14">
        <v>2654.2169648532395</v>
      </c>
      <c r="L373" s="13">
        <v>250111250.10294005</v>
      </c>
      <c r="M373" s="14">
        <v>4.4179587675133538</v>
      </c>
      <c r="N373" s="14">
        <v>2617.9344462963095</v>
      </c>
      <c r="O373" s="13">
        <v>246692288.43050623</v>
      </c>
      <c r="P373" s="13">
        <v>3418961.6724338233</v>
      </c>
      <c r="Q373" s="14">
        <v>1.013859215844102</v>
      </c>
      <c r="R373" s="15">
        <v>1.3859215844101882E-2</v>
      </c>
    </row>
    <row r="374" spans="1:18" ht="18" customHeight="1">
      <c r="A374" s="10" t="s">
        <v>30</v>
      </c>
      <c r="B374" s="10" t="s">
        <v>31</v>
      </c>
      <c r="C374" s="10" t="s">
        <v>241</v>
      </c>
      <c r="D374" s="10" t="s">
        <v>243</v>
      </c>
      <c r="E374" s="16">
        <v>24</v>
      </c>
      <c r="F374" s="16">
        <v>24</v>
      </c>
      <c r="G374" s="13">
        <v>40645.767301183594</v>
      </c>
      <c r="H374" s="13">
        <v>40645.767301183594</v>
      </c>
      <c r="I374" s="14">
        <v>0</v>
      </c>
      <c r="J374" s="15">
        <v>1</v>
      </c>
      <c r="K374" s="14">
        <v>137.2006304200693</v>
      </c>
      <c r="L374" s="13">
        <v>5576624.8976298282</v>
      </c>
      <c r="M374" s="14">
        <v>3.0834267066908874</v>
      </c>
      <c r="N374" s="14">
        <v>121.17881652012504</v>
      </c>
      <c r="O374" s="13">
        <v>4925405.9781098245</v>
      </c>
      <c r="P374" s="13">
        <v>651218.91952000372</v>
      </c>
      <c r="Q374" s="14">
        <v>1.1322162929135673</v>
      </c>
      <c r="R374" s="15">
        <v>0.13221629291356723</v>
      </c>
    </row>
    <row r="375" spans="1:18" ht="18" customHeight="1">
      <c r="A375" s="10" t="s">
        <v>30</v>
      </c>
      <c r="B375" s="10" t="s">
        <v>31</v>
      </c>
      <c r="C375" s="10" t="s">
        <v>241</v>
      </c>
      <c r="D375" s="10" t="s">
        <v>244</v>
      </c>
      <c r="E375" s="16">
        <v>18</v>
      </c>
      <c r="F375" s="16">
        <v>18</v>
      </c>
      <c r="G375" s="13">
        <v>37418.025592043603</v>
      </c>
      <c r="H375" s="13">
        <v>37418.025592043603</v>
      </c>
      <c r="I375" s="14">
        <v>0</v>
      </c>
      <c r="J375" s="15">
        <v>1</v>
      </c>
      <c r="K375" s="14">
        <v>348.12523313681118</v>
      </c>
      <c r="L375" s="13">
        <v>13026158.882749347</v>
      </c>
      <c r="M375" s="14">
        <v>3.4806313532564084</v>
      </c>
      <c r="N375" s="14">
        <v>302.43451515872778</v>
      </c>
      <c r="O375" s="13">
        <v>11316502.428126575</v>
      </c>
      <c r="P375" s="13">
        <v>1709656.4546227716</v>
      </c>
      <c r="Q375" s="14">
        <v>1.1510764006353686</v>
      </c>
      <c r="R375" s="15">
        <v>0.15107640063536856</v>
      </c>
    </row>
    <row r="376" spans="1:18" ht="18" customHeight="1">
      <c r="A376" s="10" t="s">
        <v>30</v>
      </c>
      <c r="B376" s="10" t="s">
        <v>31</v>
      </c>
      <c r="C376" s="10" t="s">
        <v>241</v>
      </c>
      <c r="D376" s="10" t="s">
        <v>253</v>
      </c>
      <c r="E376" s="16">
        <v>8</v>
      </c>
      <c r="F376" s="16">
        <v>8</v>
      </c>
      <c r="G376" s="13">
        <v>2390071.1965708393</v>
      </c>
      <c r="H376" s="13">
        <v>2390071.1965708393</v>
      </c>
      <c r="I376" s="14">
        <v>0</v>
      </c>
      <c r="J376" s="15">
        <v>1</v>
      </c>
      <c r="K376" s="14">
        <v>119.29953701327959</v>
      </c>
      <c r="L376" s="13">
        <v>285134387.17967629</v>
      </c>
      <c r="M376" s="14">
        <v>3.0374850322972291</v>
      </c>
      <c r="N376" s="14">
        <v>109.01469204680457</v>
      </c>
      <c r="O376" s="13">
        <v>260552875.46410775</v>
      </c>
      <c r="P376" s="13">
        <v>24581511.715568542</v>
      </c>
      <c r="Q376" s="14">
        <v>1.0943436593120799</v>
      </c>
      <c r="R376" s="15">
        <v>9.4343659312079817E-2</v>
      </c>
    </row>
    <row r="377" spans="1:18" ht="18" customHeight="1">
      <c r="A377" s="10" t="s">
        <v>30</v>
      </c>
      <c r="B377" s="10" t="s">
        <v>31</v>
      </c>
      <c r="C377" s="10" t="s">
        <v>241</v>
      </c>
      <c r="D377" s="10" t="s">
        <v>245</v>
      </c>
      <c r="E377" s="16">
        <v>14</v>
      </c>
      <c r="F377" s="16">
        <v>14</v>
      </c>
      <c r="G377" s="13">
        <v>27631.596812516203</v>
      </c>
      <c r="H377" s="13">
        <v>27631.596812516203</v>
      </c>
      <c r="I377" s="14">
        <v>0</v>
      </c>
      <c r="J377" s="15">
        <v>1</v>
      </c>
      <c r="K377" s="14">
        <v>13.817525482991638</v>
      </c>
      <c r="L377" s="13">
        <v>381800.29309269314</v>
      </c>
      <c r="M377" s="14">
        <v>2.057403287932293</v>
      </c>
      <c r="N377" s="14">
        <v>11.413091207403308</v>
      </c>
      <c r="O377" s="13">
        <v>315361.93462744198</v>
      </c>
      <c r="P377" s="13">
        <v>66438.358465251164</v>
      </c>
      <c r="Q377" s="14">
        <v>1.2106733602574427</v>
      </c>
      <c r="R377" s="15">
        <v>0.21067336025744265</v>
      </c>
    </row>
    <row r="378" spans="1:18" ht="18" customHeight="1">
      <c r="A378" s="10" t="s">
        <v>30</v>
      </c>
      <c r="B378" s="10" t="s">
        <v>31</v>
      </c>
      <c r="C378" s="10" t="s">
        <v>241</v>
      </c>
      <c r="D378" s="10" t="s">
        <v>246</v>
      </c>
      <c r="E378" s="16">
        <v>68</v>
      </c>
      <c r="F378" s="16">
        <v>68</v>
      </c>
      <c r="G378" s="13">
        <v>1560886.6637494164</v>
      </c>
      <c r="H378" s="13">
        <v>1560886.6637494164</v>
      </c>
      <c r="I378" s="14">
        <v>0</v>
      </c>
      <c r="J378" s="15">
        <v>1</v>
      </c>
      <c r="K378" s="14">
        <v>272.2586644283632</v>
      </c>
      <c r="L378" s="13">
        <v>424964918.3964597</v>
      </c>
      <c r="M378" s="14">
        <v>3.3273082456953698</v>
      </c>
      <c r="N378" s="14">
        <v>212.47519950468316</v>
      </c>
      <c r="O378" s="13">
        <v>331649705.28435653</v>
      </c>
      <c r="P378" s="13">
        <v>93315213.112103164</v>
      </c>
      <c r="Q378" s="14">
        <v>1.2813667903974004</v>
      </c>
      <c r="R378" s="15">
        <v>0.28136679039740042</v>
      </c>
    </row>
    <row r="379" spans="1:18" ht="18" customHeight="1">
      <c r="A379" s="10" t="s">
        <v>30</v>
      </c>
      <c r="B379" s="10" t="s">
        <v>31</v>
      </c>
      <c r="C379" s="10" t="s">
        <v>241</v>
      </c>
      <c r="D379" s="10" t="s">
        <v>247</v>
      </c>
      <c r="E379" s="16">
        <v>169</v>
      </c>
      <c r="F379" s="16">
        <v>169</v>
      </c>
      <c r="G379" s="13">
        <v>1384458.6660075733</v>
      </c>
      <c r="H379" s="13">
        <v>1384458.6660075733</v>
      </c>
      <c r="I379" s="14">
        <v>0</v>
      </c>
      <c r="J379" s="15">
        <v>1</v>
      </c>
      <c r="K379" s="14">
        <v>641.88239301467581</v>
      </c>
      <c r="L379" s="13">
        <v>888659641.56684697</v>
      </c>
      <c r="M379" s="14">
        <v>3.6900107227745762</v>
      </c>
      <c r="N379" s="14">
        <v>489.79091220619858</v>
      </c>
      <c r="O379" s="13">
        <v>678095272.93562615</v>
      </c>
      <c r="P379" s="13">
        <v>210564368.63122082</v>
      </c>
      <c r="Q379" s="14">
        <v>1.3105232804818718</v>
      </c>
      <c r="R379" s="15">
        <v>0.31052328048187178</v>
      </c>
    </row>
    <row r="380" spans="1:18" ht="18" customHeight="1">
      <c r="A380" s="10" t="s">
        <v>30</v>
      </c>
      <c r="B380" s="10" t="s">
        <v>31</v>
      </c>
      <c r="C380" s="10" t="s">
        <v>241</v>
      </c>
      <c r="D380" s="10" t="s">
        <v>248</v>
      </c>
      <c r="E380" s="16">
        <v>1</v>
      </c>
      <c r="F380" s="16">
        <v>1</v>
      </c>
      <c r="G380" s="13">
        <v>288.36420160950001</v>
      </c>
      <c r="H380" s="13">
        <v>288.36420160950001</v>
      </c>
      <c r="I380" s="14">
        <v>0</v>
      </c>
      <c r="J380" s="15">
        <v>1</v>
      </c>
      <c r="K380" s="14">
        <v>416.86938347033549</v>
      </c>
      <c r="L380" s="13">
        <v>120210.2069398678</v>
      </c>
      <c r="M380" s="14">
        <v>3.6199999999999997</v>
      </c>
      <c r="N380" s="14">
        <v>416.86938347033509</v>
      </c>
      <c r="O380" s="13">
        <v>120210.20693986768</v>
      </c>
      <c r="P380" s="13">
        <v>1.1641532182693481E-10</v>
      </c>
      <c r="Q380" s="14">
        <v>1.0000000000000009</v>
      </c>
      <c r="R380" s="15">
        <v>9.684312571325064E-16</v>
      </c>
    </row>
    <row r="381" spans="1:18" ht="18" customHeight="1">
      <c r="A381" s="10" t="s">
        <v>30</v>
      </c>
      <c r="B381" s="10" t="s">
        <v>31</v>
      </c>
      <c r="C381" s="10" t="s">
        <v>241</v>
      </c>
      <c r="D381" s="10" t="s">
        <v>249</v>
      </c>
      <c r="E381" s="16">
        <v>12</v>
      </c>
      <c r="F381" s="16">
        <v>12</v>
      </c>
      <c r="G381" s="13">
        <v>14191.6686893406</v>
      </c>
      <c r="H381" s="13">
        <v>14191.6686893406</v>
      </c>
      <c r="I381" s="14">
        <v>0</v>
      </c>
      <c r="J381" s="15">
        <v>1</v>
      </c>
      <c r="K381" s="14">
        <v>571.70315349968223</v>
      </c>
      <c r="L381" s="13">
        <v>8113421.7431187239</v>
      </c>
      <c r="M381" s="14">
        <v>3.7205036585893376</v>
      </c>
      <c r="N381" s="14">
        <v>525.4164413115933</v>
      </c>
      <c r="O381" s="13">
        <v>7456536.0590265021</v>
      </c>
      <c r="P381" s="13">
        <v>656885.68409222178</v>
      </c>
      <c r="Q381" s="14">
        <v>1.0880952869928162</v>
      </c>
      <c r="R381" s="15">
        <v>8.8095286992816116E-2</v>
      </c>
    </row>
    <row r="382" spans="1:18" ht="18" customHeight="1">
      <c r="A382" s="10" t="s">
        <v>30</v>
      </c>
      <c r="B382" s="10" t="s">
        <v>31</v>
      </c>
      <c r="C382" s="10" t="s">
        <v>241</v>
      </c>
      <c r="D382" s="10" t="s">
        <v>250</v>
      </c>
      <c r="E382" s="16">
        <v>62</v>
      </c>
      <c r="F382" s="16">
        <v>62</v>
      </c>
      <c r="G382" s="13">
        <v>50035.985911573887</v>
      </c>
      <c r="H382" s="13">
        <v>50035.985911573887</v>
      </c>
      <c r="I382" s="14">
        <v>0</v>
      </c>
      <c r="J382" s="15">
        <v>1</v>
      </c>
      <c r="K382" s="14">
        <v>1851.8402992267122</v>
      </c>
      <c r="L382" s="13">
        <v>92658655.122592539</v>
      </c>
      <c r="M382" s="14">
        <v>4.0911011660486762</v>
      </c>
      <c r="N382" s="14">
        <v>1233.3921103635776</v>
      </c>
      <c r="O382" s="13">
        <v>61713990.257598355</v>
      </c>
      <c r="P382" s="13">
        <v>30944664.864994183</v>
      </c>
      <c r="Q382" s="14">
        <v>1.5014205812301078</v>
      </c>
      <c r="R382" s="15">
        <v>0.50142058123010791</v>
      </c>
    </row>
    <row r="383" spans="1:18" ht="18" customHeight="1">
      <c r="A383" s="10" t="s">
        <v>30</v>
      </c>
      <c r="B383" s="10" t="s">
        <v>31</v>
      </c>
      <c r="C383" s="10" t="s">
        <v>241</v>
      </c>
      <c r="D383" s="10" t="s">
        <v>251</v>
      </c>
      <c r="E383" s="16">
        <v>20</v>
      </c>
      <c r="F383" s="16">
        <v>20</v>
      </c>
      <c r="G383" s="13">
        <v>144468.48936819646</v>
      </c>
      <c r="H383" s="13">
        <v>144468.48936819646</v>
      </c>
      <c r="I383" s="14">
        <v>0</v>
      </c>
      <c r="J383" s="15">
        <v>1</v>
      </c>
      <c r="K383" s="14">
        <v>2680.8436046713832</v>
      </c>
      <c r="L383" s="13">
        <v>387297425.79926521</v>
      </c>
      <c r="M383" s="14">
        <v>4.4220187429362756</v>
      </c>
      <c r="N383" s="14">
        <v>2642.5227987609801</v>
      </c>
      <c r="O383" s="13">
        <v>381761276.85801739</v>
      </c>
      <c r="P383" s="13">
        <v>5536148.9412478209</v>
      </c>
      <c r="Q383" s="14">
        <v>1.0145015989751804</v>
      </c>
      <c r="R383" s="15">
        <v>1.4501598975180491E-2</v>
      </c>
    </row>
    <row r="384" spans="1:18" ht="18" customHeight="1">
      <c r="A384" s="10" t="s">
        <v>32</v>
      </c>
      <c r="B384" s="10" t="s">
        <v>33</v>
      </c>
      <c r="C384" s="10" t="s">
        <v>241</v>
      </c>
      <c r="D384" s="10" t="s">
        <v>252</v>
      </c>
      <c r="E384" s="16">
        <v>2</v>
      </c>
      <c r="F384" s="16">
        <v>2</v>
      </c>
      <c r="G384" s="13">
        <v>111861.98015248781</v>
      </c>
      <c r="H384" s="13">
        <v>111861.98015248781</v>
      </c>
      <c r="I384" s="14">
        <v>0</v>
      </c>
      <c r="J384" s="15">
        <v>1</v>
      </c>
      <c r="K384" s="14">
        <v>131.51157088477038</v>
      </c>
      <c r="L384" s="13">
        <v>14711144.732134679</v>
      </c>
      <c r="M384" s="14">
        <v>3.1181510398727963</v>
      </c>
      <c r="N384" s="14">
        <v>131.26563380999272</v>
      </c>
      <c r="O384" s="13">
        <v>14683633.723957138</v>
      </c>
      <c r="P384" s="13">
        <v>27511.008177541196</v>
      </c>
      <c r="Q384" s="14">
        <v>1.0018735831126497</v>
      </c>
      <c r="R384" s="15">
        <v>1.8735831126498006E-3</v>
      </c>
    </row>
    <row r="385" spans="1:18" ht="18" customHeight="1">
      <c r="A385" s="10" t="s">
        <v>32</v>
      </c>
      <c r="B385" s="10" t="s">
        <v>33</v>
      </c>
      <c r="C385" s="10" t="s">
        <v>241</v>
      </c>
      <c r="D385" s="10" t="s">
        <v>242</v>
      </c>
      <c r="E385" s="16">
        <v>3</v>
      </c>
      <c r="F385" s="16">
        <v>3</v>
      </c>
      <c r="G385" s="13">
        <v>7825.8121623662</v>
      </c>
      <c r="H385" s="13">
        <v>7825.8121623662</v>
      </c>
      <c r="I385" s="14">
        <v>0</v>
      </c>
      <c r="J385" s="15">
        <v>1</v>
      </c>
      <c r="K385" s="14">
        <v>2914.1740608261134</v>
      </c>
      <c r="L385" s="13">
        <v>22805778.808465097</v>
      </c>
      <c r="M385" s="14">
        <v>4.444088733271677</v>
      </c>
      <c r="N385" s="14">
        <v>2780.2812654247864</v>
      </c>
      <c r="O385" s="13">
        <v>21757958.941760182</v>
      </c>
      <c r="P385" s="13">
        <v>1047819.8667049147</v>
      </c>
      <c r="Q385" s="14">
        <v>1.0481580036762468</v>
      </c>
      <c r="R385" s="15">
        <v>4.8158003676246841E-2</v>
      </c>
    </row>
    <row r="386" spans="1:18" ht="18" customHeight="1">
      <c r="A386" s="10" t="s">
        <v>32</v>
      </c>
      <c r="B386" s="10" t="s">
        <v>33</v>
      </c>
      <c r="C386" s="10" t="s">
        <v>241</v>
      </c>
      <c r="D386" s="10" t="s">
        <v>243</v>
      </c>
      <c r="E386" s="16">
        <v>21</v>
      </c>
      <c r="F386" s="16">
        <v>21</v>
      </c>
      <c r="G386" s="13">
        <v>88362.297994788096</v>
      </c>
      <c r="H386" s="13">
        <v>88362.297994788096</v>
      </c>
      <c r="I386" s="14">
        <v>0</v>
      </c>
      <c r="J386" s="15">
        <v>1</v>
      </c>
      <c r="K386" s="14">
        <v>155.50616360963105</v>
      </c>
      <c r="L386" s="13">
        <v>13740881.968900491</v>
      </c>
      <c r="M386" s="14">
        <v>3.1233448860225366</v>
      </c>
      <c r="N386" s="14">
        <v>132.84489993788191</v>
      </c>
      <c r="O386" s="13">
        <v>11738480.635398928</v>
      </c>
      <c r="P386" s="13">
        <v>2002401.3335015625</v>
      </c>
      <c r="Q386" s="14">
        <v>1.1705843708139756</v>
      </c>
      <c r="R386" s="15">
        <v>0.17058437081397559</v>
      </c>
    </row>
    <row r="387" spans="1:18" ht="18" customHeight="1">
      <c r="A387" s="10" t="s">
        <v>32</v>
      </c>
      <c r="B387" s="10" t="s">
        <v>33</v>
      </c>
      <c r="C387" s="10" t="s">
        <v>241</v>
      </c>
      <c r="D387" s="10" t="s">
        <v>244</v>
      </c>
      <c r="E387" s="16">
        <v>13</v>
      </c>
      <c r="F387" s="16">
        <v>13</v>
      </c>
      <c r="G387" s="13">
        <v>59175.295089737105</v>
      </c>
      <c r="H387" s="13">
        <v>59175.295089737105</v>
      </c>
      <c r="I387" s="14">
        <v>0</v>
      </c>
      <c r="J387" s="15">
        <v>1</v>
      </c>
      <c r="K387" s="14">
        <v>315.84119672639895</v>
      </c>
      <c r="L387" s="13">
        <v>18689996.017780367</v>
      </c>
      <c r="M387" s="14">
        <v>3.4795946124973005</v>
      </c>
      <c r="N387" s="14">
        <v>301.7134094267825</v>
      </c>
      <c r="O387" s="13">
        <v>17853980.035360523</v>
      </c>
      <c r="P387" s="13">
        <v>836015.98241984472</v>
      </c>
      <c r="Q387" s="14">
        <v>1.0468251886001934</v>
      </c>
      <c r="R387" s="15">
        <v>4.6825188600193433E-2</v>
      </c>
    </row>
    <row r="388" spans="1:18" ht="18" customHeight="1">
      <c r="A388" s="10" t="s">
        <v>32</v>
      </c>
      <c r="B388" s="10" t="s">
        <v>33</v>
      </c>
      <c r="C388" s="10" t="s">
        <v>241</v>
      </c>
      <c r="D388" s="10" t="s">
        <v>253</v>
      </c>
      <c r="E388" s="16">
        <v>7</v>
      </c>
      <c r="F388" s="16">
        <v>7</v>
      </c>
      <c r="G388" s="13">
        <v>757809.80444369838</v>
      </c>
      <c r="H388" s="13">
        <v>757809.80444369838</v>
      </c>
      <c r="I388" s="14">
        <v>0</v>
      </c>
      <c r="J388" s="15">
        <v>1</v>
      </c>
      <c r="K388" s="14">
        <v>77.369304920810606</v>
      </c>
      <c r="L388" s="13">
        <v>58631217.831984356</v>
      </c>
      <c r="M388" s="14">
        <v>2.7290636786558808</v>
      </c>
      <c r="N388" s="14">
        <v>53.58752247387249</v>
      </c>
      <c r="O388" s="13">
        <v>40609149.926547602</v>
      </c>
      <c r="P388" s="13">
        <v>18022067.905436754</v>
      </c>
      <c r="Q388" s="14">
        <v>1.4437932815149894</v>
      </c>
      <c r="R388" s="15">
        <v>0.44379328151498948</v>
      </c>
    </row>
    <row r="389" spans="1:18" ht="18" customHeight="1">
      <c r="A389" s="10" t="s">
        <v>32</v>
      </c>
      <c r="B389" s="10" t="s">
        <v>33</v>
      </c>
      <c r="C389" s="10" t="s">
        <v>241</v>
      </c>
      <c r="D389" s="10" t="s">
        <v>245</v>
      </c>
      <c r="E389" s="16">
        <v>7</v>
      </c>
      <c r="F389" s="16">
        <v>7</v>
      </c>
      <c r="G389" s="13">
        <v>23541.037660515001</v>
      </c>
      <c r="H389" s="13">
        <v>23541.037660515001</v>
      </c>
      <c r="I389" s="14">
        <v>0</v>
      </c>
      <c r="J389" s="15">
        <v>1</v>
      </c>
      <c r="K389" s="14">
        <v>36.072914563060806</v>
      </c>
      <c r="L389" s="13">
        <v>849193.8402535544</v>
      </c>
      <c r="M389" s="14">
        <v>2.2741927683271537</v>
      </c>
      <c r="N389" s="14">
        <v>18.801511658133254</v>
      </c>
      <c r="O389" s="13">
        <v>442607.09401872678</v>
      </c>
      <c r="P389" s="13">
        <v>406586.74623482762</v>
      </c>
      <c r="Q389" s="14">
        <v>1.9186177802600355</v>
      </c>
      <c r="R389" s="15">
        <v>0.91861778026003549</v>
      </c>
    </row>
    <row r="390" spans="1:18" ht="18" customHeight="1">
      <c r="A390" s="10" t="s">
        <v>32</v>
      </c>
      <c r="B390" s="10" t="s">
        <v>33</v>
      </c>
      <c r="C390" s="10" t="s">
        <v>241</v>
      </c>
      <c r="D390" s="10" t="s">
        <v>246</v>
      </c>
      <c r="E390" s="16">
        <v>53</v>
      </c>
      <c r="F390" s="16">
        <v>53</v>
      </c>
      <c r="G390" s="13">
        <v>1797878.4752323378</v>
      </c>
      <c r="H390" s="13">
        <v>1797878.4752323378</v>
      </c>
      <c r="I390" s="14">
        <v>0</v>
      </c>
      <c r="J390" s="15">
        <v>1</v>
      </c>
      <c r="K390" s="14">
        <v>262.8387271719364</v>
      </c>
      <c r="L390" s="13">
        <v>472552090.03988945</v>
      </c>
      <c r="M390" s="14">
        <v>3.3472978965582638</v>
      </c>
      <c r="N390" s="14">
        <v>222.48354535954067</v>
      </c>
      <c r="O390" s="13">
        <v>399998377.29529566</v>
      </c>
      <c r="P390" s="13">
        <v>72553712.744593799</v>
      </c>
      <c r="Q390" s="14">
        <v>1.1813850176972882</v>
      </c>
      <c r="R390" s="15">
        <v>0.18138501769728829</v>
      </c>
    </row>
    <row r="391" spans="1:18" ht="18" customHeight="1">
      <c r="A391" s="10" t="s">
        <v>32</v>
      </c>
      <c r="B391" s="10" t="s">
        <v>33</v>
      </c>
      <c r="C391" s="10" t="s">
        <v>241</v>
      </c>
      <c r="D391" s="10" t="s">
        <v>247</v>
      </c>
      <c r="E391" s="16">
        <v>138</v>
      </c>
      <c r="F391" s="16">
        <v>138</v>
      </c>
      <c r="G391" s="13">
        <v>1389185.130458009</v>
      </c>
      <c r="H391" s="13">
        <v>1389185.130458009</v>
      </c>
      <c r="I391" s="14">
        <v>0</v>
      </c>
      <c r="J391" s="15">
        <v>1</v>
      </c>
      <c r="K391" s="14">
        <v>792.7369471198142</v>
      </c>
      <c r="L391" s="13">
        <v>1101258379.3035228</v>
      </c>
      <c r="M391" s="14">
        <v>3.7165474884185477</v>
      </c>
      <c r="N391" s="14">
        <v>520.65193696064671</v>
      </c>
      <c r="O391" s="13">
        <v>723281928.96989107</v>
      </c>
      <c r="P391" s="13">
        <v>377976450.33363175</v>
      </c>
      <c r="Q391" s="14">
        <v>1.5225852260292905</v>
      </c>
      <c r="R391" s="15">
        <v>0.52258522602929047</v>
      </c>
    </row>
    <row r="392" spans="1:18" ht="18" customHeight="1">
      <c r="A392" s="10" t="s">
        <v>32</v>
      </c>
      <c r="B392" s="10" t="s">
        <v>33</v>
      </c>
      <c r="C392" s="10" t="s">
        <v>241</v>
      </c>
      <c r="D392" s="10" t="s">
        <v>249</v>
      </c>
      <c r="E392" s="16">
        <v>7</v>
      </c>
      <c r="F392" s="16">
        <v>7</v>
      </c>
      <c r="G392" s="13">
        <v>9694.9974960324016</v>
      </c>
      <c r="H392" s="13">
        <v>9694.9974960324016</v>
      </c>
      <c r="I392" s="14">
        <v>0</v>
      </c>
      <c r="J392" s="15">
        <v>1</v>
      </c>
      <c r="K392" s="14">
        <v>789.88540226330269</v>
      </c>
      <c r="L392" s="13">
        <v>7657936.9970952664</v>
      </c>
      <c r="M392" s="14">
        <v>3.8912763736908333</v>
      </c>
      <c r="N392" s="14">
        <v>778.53183080057875</v>
      </c>
      <c r="O392" s="13">
        <v>7547864.1501931325</v>
      </c>
      <c r="P392" s="13">
        <v>110072.8469021339</v>
      </c>
      <c r="Q392" s="14">
        <v>1.0145833105514117</v>
      </c>
      <c r="R392" s="15">
        <v>1.4583310551411738E-2</v>
      </c>
    </row>
    <row r="393" spans="1:18" ht="18" customHeight="1">
      <c r="A393" s="10" t="s">
        <v>32</v>
      </c>
      <c r="B393" s="10" t="s">
        <v>33</v>
      </c>
      <c r="C393" s="10" t="s">
        <v>241</v>
      </c>
      <c r="D393" s="10" t="s">
        <v>250</v>
      </c>
      <c r="E393" s="16">
        <v>54</v>
      </c>
      <c r="F393" s="16">
        <v>54</v>
      </c>
      <c r="G393" s="13">
        <v>73335.469661376599</v>
      </c>
      <c r="H393" s="13">
        <v>73335.469661376599</v>
      </c>
      <c r="I393" s="14">
        <v>0</v>
      </c>
      <c r="J393" s="15">
        <v>1</v>
      </c>
      <c r="K393" s="14">
        <v>1891.3045336457128</v>
      </c>
      <c r="L393" s="13">
        <v>138699706.24759918</v>
      </c>
      <c r="M393" s="14">
        <v>4.0505193154740189</v>
      </c>
      <c r="N393" s="14">
        <v>1123.3609306276869</v>
      </c>
      <c r="O393" s="13">
        <v>82382201.446822509</v>
      </c>
      <c r="P393" s="13">
        <v>56317504.800776675</v>
      </c>
      <c r="Q393" s="14">
        <v>1.6836125256634404</v>
      </c>
      <c r="R393" s="15">
        <v>0.68361252566344044</v>
      </c>
    </row>
    <row r="394" spans="1:18" ht="18" customHeight="1">
      <c r="A394" s="10" t="s">
        <v>32</v>
      </c>
      <c r="B394" s="10" t="s">
        <v>33</v>
      </c>
      <c r="C394" s="10" t="s">
        <v>241</v>
      </c>
      <c r="D394" s="10" t="s">
        <v>251</v>
      </c>
      <c r="E394" s="16">
        <v>20</v>
      </c>
      <c r="F394" s="16">
        <v>20</v>
      </c>
      <c r="G394" s="13">
        <v>150484.68079289547</v>
      </c>
      <c r="H394" s="13">
        <v>150484.68079289547</v>
      </c>
      <c r="I394" s="14">
        <v>0</v>
      </c>
      <c r="J394" s="15">
        <v>1</v>
      </c>
      <c r="K394" s="14">
        <v>2703.282166228244</v>
      </c>
      <c r="L394" s="13">
        <v>406802553.87798429</v>
      </c>
      <c r="M394" s="14">
        <v>4.4288533028663206</v>
      </c>
      <c r="N394" s="14">
        <v>2684.4375361183861</v>
      </c>
      <c r="O394" s="13">
        <v>403966725.73124212</v>
      </c>
      <c r="P394" s="13">
        <v>2835828.1467421651</v>
      </c>
      <c r="Q394" s="14">
        <v>1.0070199547787231</v>
      </c>
      <c r="R394" s="15">
        <v>7.01995477872312E-3</v>
      </c>
    </row>
    <row r="395" spans="1:18" ht="18" customHeight="1">
      <c r="A395" s="10" t="s">
        <v>59</v>
      </c>
      <c r="B395" s="10" t="s">
        <v>60</v>
      </c>
      <c r="C395" s="10" t="s">
        <v>241</v>
      </c>
      <c r="D395" s="10" t="s">
        <v>252</v>
      </c>
      <c r="E395" s="16">
        <v>1</v>
      </c>
      <c r="F395" s="16">
        <v>1</v>
      </c>
      <c r="G395" s="13">
        <v>163774.37495820841</v>
      </c>
      <c r="H395" s="13">
        <v>163774.37495820841</v>
      </c>
      <c r="I395" s="14">
        <v>0</v>
      </c>
      <c r="J395" s="15">
        <v>1</v>
      </c>
      <c r="K395" s="14">
        <v>100</v>
      </c>
      <c r="L395" s="13">
        <v>16377437.495820841</v>
      </c>
      <c r="M395" s="14">
        <v>3</v>
      </c>
      <c r="N395" s="14">
        <v>100</v>
      </c>
      <c r="O395" s="13">
        <v>16377437.495820841</v>
      </c>
      <c r="P395" s="13">
        <v>0</v>
      </c>
      <c r="Q395" s="14">
        <v>1</v>
      </c>
      <c r="R395" s="15">
        <v>0</v>
      </c>
    </row>
    <row r="396" spans="1:18" ht="18" customHeight="1">
      <c r="A396" s="10" t="s">
        <v>59</v>
      </c>
      <c r="B396" s="10" t="s">
        <v>60</v>
      </c>
      <c r="C396" s="10" t="s">
        <v>241</v>
      </c>
      <c r="D396" s="10" t="s">
        <v>242</v>
      </c>
      <c r="E396" s="16">
        <v>3</v>
      </c>
      <c r="F396" s="16">
        <v>3</v>
      </c>
      <c r="G396" s="13">
        <v>267699.78440300713</v>
      </c>
      <c r="H396" s="13">
        <v>267699.78440300713</v>
      </c>
      <c r="I396" s="14">
        <v>0</v>
      </c>
      <c r="J396" s="15">
        <v>1</v>
      </c>
      <c r="K396" s="14">
        <v>1943.3979917416702</v>
      </c>
      <c r="L396" s="13">
        <v>520247223.39848214</v>
      </c>
      <c r="M396" s="14">
        <v>4.2851176587532303</v>
      </c>
      <c r="N396" s="14">
        <v>1928.0471876181955</v>
      </c>
      <c r="O396" s="13">
        <v>516137816.44421518</v>
      </c>
      <c r="P396" s="13">
        <v>4109406.9542669654</v>
      </c>
      <c r="Q396" s="14">
        <v>1.0079618404684578</v>
      </c>
      <c r="R396" s="15">
        <v>7.9618404684577409E-3</v>
      </c>
    </row>
    <row r="397" spans="1:18" ht="18" customHeight="1">
      <c r="A397" s="10" t="s">
        <v>59</v>
      </c>
      <c r="B397" s="10" t="s">
        <v>60</v>
      </c>
      <c r="C397" s="10" t="s">
        <v>241</v>
      </c>
      <c r="D397" s="10" t="s">
        <v>243</v>
      </c>
      <c r="E397" s="16">
        <v>9</v>
      </c>
      <c r="F397" s="16">
        <v>9</v>
      </c>
      <c r="G397" s="13">
        <v>8573.4993541609001</v>
      </c>
      <c r="H397" s="13">
        <v>8573.4993541609001</v>
      </c>
      <c r="I397" s="14">
        <v>0</v>
      </c>
      <c r="J397" s="15">
        <v>1</v>
      </c>
      <c r="K397" s="14">
        <v>144.97566317799823</v>
      </c>
      <c r="L397" s="13">
        <v>1242948.7546256159</v>
      </c>
      <c r="M397" s="14">
        <v>2.9556581429061701</v>
      </c>
      <c r="N397" s="14">
        <v>90.293844136033982</v>
      </c>
      <c r="O397" s="13">
        <v>774134.21438499237</v>
      </c>
      <c r="P397" s="13">
        <v>468814.54024062352</v>
      </c>
      <c r="Q397" s="14">
        <v>1.6055985273988584</v>
      </c>
      <c r="R397" s="15">
        <v>0.60559852739885844</v>
      </c>
    </row>
    <row r="398" spans="1:18" ht="18" customHeight="1">
      <c r="A398" s="10" t="s">
        <v>59</v>
      </c>
      <c r="B398" s="10" t="s">
        <v>60</v>
      </c>
      <c r="C398" s="10" t="s">
        <v>241</v>
      </c>
      <c r="D398" s="10" t="s">
        <v>244</v>
      </c>
      <c r="E398" s="16">
        <v>4</v>
      </c>
      <c r="F398" s="16">
        <v>4</v>
      </c>
      <c r="G398" s="13">
        <v>15813.752201610101</v>
      </c>
      <c r="H398" s="13">
        <v>15813.752201610101</v>
      </c>
      <c r="I398" s="14">
        <v>0</v>
      </c>
      <c r="J398" s="15">
        <v>1</v>
      </c>
      <c r="K398" s="14">
        <v>342.97144583904691</v>
      </c>
      <c r="L398" s="13">
        <v>5423665.4567266274</v>
      </c>
      <c r="M398" s="14">
        <v>3.524049162648808</v>
      </c>
      <c r="N398" s="14">
        <v>334.23287344110969</v>
      </c>
      <c r="O398" s="13">
        <v>5285475.8382298183</v>
      </c>
      <c r="P398" s="13">
        <v>138189.61849680915</v>
      </c>
      <c r="Q398" s="14">
        <v>1.0261451613300896</v>
      </c>
      <c r="R398" s="15">
        <v>2.6145161330089598E-2</v>
      </c>
    </row>
    <row r="399" spans="1:18" ht="18" customHeight="1">
      <c r="A399" s="10" t="s">
        <v>59</v>
      </c>
      <c r="B399" s="10" t="s">
        <v>60</v>
      </c>
      <c r="C399" s="10" t="s">
        <v>241</v>
      </c>
      <c r="D399" s="10" t="s">
        <v>253</v>
      </c>
      <c r="E399" s="16">
        <v>7</v>
      </c>
      <c r="F399" s="16">
        <v>7</v>
      </c>
      <c r="G399" s="13">
        <v>229395.76539079222</v>
      </c>
      <c r="H399" s="13">
        <v>229395.76539079222</v>
      </c>
      <c r="I399" s="14">
        <v>0</v>
      </c>
      <c r="J399" s="15">
        <v>1</v>
      </c>
      <c r="K399" s="14">
        <v>91.770695473005375</v>
      </c>
      <c r="L399" s="13">
        <v>21051808.92847538</v>
      </c>
      <c r="M399" s="14">
        <v>2.8860545611731125</v>
      </c>
      <c r="N399" s="14">
        <v>76.92270735550585</v>
      </c>
      <c r="O399" s="13">
        <v>17645743.329748187</v>
      </c>
      <c r="P399" s="13">
        <v>3406065.5987271927</v>
      </c>
      <c r="Q399" s="14">
        <v>1.193024772891548</v>
      </c>
      <c r="R399" s="15">
        <v>0.19302477289154804</v>
      </c>
    </row>
    <row r="400" spans="1:18" ht="18" customHeight="1">
      <c r="A400" s="10" t="s">
        <v>59</v>
      </c>
      <c r="B400" s="10" t="s">
        <v>60</v>
      </c>
      <c r="C400" s="10" t="s">
        <v>241</v>
      </c>
      <c r="D400" s="10" t="s">
        <v>245</v>
      </c>
      <c r="E400" s="16">
        <v>5</v>
      </c>
      <c r="F400" s="16">
        <v>5</v>
      </c>
      <c r="G400" s="13">
        <v>846.81269268159997</v>
      </c>
      <c r="H400" s="13">
        <v>846.81269268159997</v>
      </c>
      <c r="I400" s="14">
        <v>0</v>
      </c>
      <c r="J400" s="15">
        <v>1</v>
      </c>
      <c r="K400" s="14">
        <v>11.656947353860788</v>
      </c>
      <c r="L400" s="13">
        <v>9871.2509771705063</v>
      </c>
      <c r="M400" s="14">
        <v>2.0613490024584888</v>
      </c>
      <c r="N400" s="14">
        <v>11.517255528650765</v>
      </c>
      <c r="O400" s="13">
        <v>9752.958166518798</v>
      </c>
      <c r="P400" s="13">
        <v>118.29281065170835</v>
      </c>
      <c r="Q400" s="14">
        <v>1.0121289160306048</v>
      </c>
      <c r="R400" s="15">
        <v>1.2128916030604852E-2</v>
      </c>
    </row>
    <row r="401" spans="1:18" ht="18" customHeight="1">
      <c r="A401" s="10" t="s">
        <v>59</v>
      </c>
      <c r="B401" s="10" t="s">
        <v>60</v>
      </c>
      <c r="C401" s="10" t="s">
        <v>241</v>
      </c>
      <c r="D401" s="10" t="s">
        <v>246</v>
      </c>
      <c r="E401" s="16">
        <v>22</v>
      </c>
      <c r="F401" s="16">
        <v>22</v>
      </c>
      <c r="G401" s="13">
        <v>387059.44278847589</v>
      </c>
      <c r="H401" s="13">
        <v>387059.44278847589</v>
      </c>
      <c r="I401" s="14">
        <v>0</v>
      </c>
      <c r="J401" s="15">
        <v>1</v>
      </c>
      <c r="K401" s="14">
        <v>461.63862919783611</v>
      </c>
      <c r="L401" s="13">
        <v>178681590.58695027</v>
      </c>
      <c r="M401" s="14">
        <v>3.4067444074649345</v>
      </c>
      <c r="N401" s="14">
        <v>255.11994197901998</v>
      </c>
      <c r="O401" s="13">
        <v>98746582.586627781</v>
      </c>
      <c r="P401" s="13">
        <v>79935008.000322491</v>
      </c>
      <c r="Q401" s="14">
        <v>1.8094964494614041</v>
      </c>
      <c r="R401" s="15">
        <v>0.80949644946140398</v>
      </c>
    </row>
    <row r="402" spans="1:18" ht="18" customHeight="1">
      <c r="A402" s="10" t="s">
        <v>59</v>
      </c>
      <c r="B402" s="10" t="s">
        <v>60</v>
      </c>
      <c r="C402" s="10" t="s">
        <v>241</v>
      </c>
      <c r="D402" s="10" t="s">
        <v>247</v>
      </c>
      <c r="E402" s="16">
        <v>58</v>
      </c>
      <c r="F402" s="16">
        <v>58</v>
      </c>
      <c r="G402" s="13">
        <v>484759.74197683966</v>
      </c>
      <c r="H402" s="13">
        <v>484759.74197683966</v>
      </c>
      <c r="I402" s="14">
        <v>0</v>
      </c>
      <c r="J402" s="15">
        <v>1</v>
      </c>
      <c r="K402" s="14">
        <v>398.47489327087419</v>
      </c>
      <c r="L402" s="13">
        <v>193164586.44623768</v>
      </c>
      <c r="M402" s="14">
        <v>3.5253565124155135</v>
      </c>
      <c r="N402" s="14">
        <v>335.24052523858279</v>
      </c>
      <c r="O402" s="13">
        <v>162511110.5148356</v>
      </c>
      <c r="P402" s="13">
        <v>30653475.931402087</v>
      </c>
      <c r="Q402" s="14">
        <v>1.1886238782954088</v>
      </c>
      <c r="R402" s="15">
        <v>0.18862387829540886</v>
      </c>
    </row>
    <row r="403" spans="1:18" ht="18" customHeight="1">
      <c r="A403" s="10" t="s">
        <v>59</v>
      </c>
      <c r="B403" s="10" t="s">
        <v>60</v>
      </c>
      <c r="C403" s="10" t="s">
        <v>241</v>
      </c>
      <c r="D403" s="10" t="s">
        <v>249</v>
      </c>
      <c r="E403" s="16">
        <v>4</v>
      </c>
      <c r="F403" s="16">
        <v>4</v>
      </c>
      <c r="G403" s="13">
        <v>3380.4358505096002</v>
      </c>
      <c r="H403" s="13">
        <v>3380.4358505096002</v>
      </c>
      <c r="I403" s="14">
        <v>0</v>
      </c>
      <c r="J403" s="15">
        <v>1</v>
      </c>
      <c r="K403" s="14">
        <v>647.87312449597755</v>
      </c>
      <c r="L403" s="13">
        <v>2190093.5366278719</v>
      </c>
      <c r="M403" s="14">
        <v>3.7679875089967259</v>
      </c>
      <c r="N403" s="14">
        <v>586.1213064862394</v>
      </c>
      <c r="O403" s="13">
        <v>1981345.4771936086</v>
      </c>
      <c r="P403" s="13">
        <v>208748.05943426327</v>
      </c>
      <c r="Q403" s="14">
        <v>1.1053567193793661</v>
      </c>
      <c r="R403" s="15">
        <v>0.10535671937936611</v>
      </c>
    </row>
    <row r="404" spans="1:18" ht="18" customHeight="1">
      <c r="A404" s="10" t="s">
        <v>59</v>
      </c>
      <c r="B404" s="10" t="s">
        <v>60</v>
      </c>
      <c r="C404" s="10" t="s">
        <v>241</v>
      </c>
      <c r="D404" s="10" t="s">
        <v>250</v>
      </c>
      <c r="E404" s="16">
        <v>16</v>
      </c>
      <c r="F404" s="16">
        <v>16</v>
      </c>
      <c r="G404" s="13">
        <v>14615.0051364434</v>
      </c>
      <c r="H404" s="13">
        <v>14615.0051364434</v>
      </c>
      <c r="I404" s="14">
        <v>0</v>
      </c>
      <c r="J404" s="15">
        <v>1</v>
      </c>
      <c r="K404" s="14">
        <v>1191.4169882453518</v>
      </c>
      <c r="L404" s="13">
        <v>17412565.402851742</v>
      </c>
      <c r="M404" s="14">
        <v>3.9681944514094187</v>
      </c>
      <c r="N404" s="14">
        <v>929.3824161712206</v>
      </c>
      <c r="O404" s="13">
        <v>13582928.786062567</v>
      </c>
      <c r="P404" s="13">
        <v>3829636.6167891752</v>
      </c>
      <c r="Q404" s="14">
        <v>1.2819448351020408</v>
      </c>
      <c r="R404" s="15">
        <v>0.28194483510204094</v>
      </c>
    </row>
    <row r="405" spans="1:18" ht="18" customHeight="1">
      <c r="A405" s="10" t="s">
        <v>59</v>
      </c>
      <c r="B405" s="10" t="s">
        <v>60</v>
      </c>
      <c r="C405" s="10" t="s">
        <v>241</v>
      </c>
      <c r="D405" s="10" t="s">
        <v>251</v>
      </c>
      <c r="E405" s="16">
        <v>18</v>
      </c>
      <c r="F405" s="16">
        <v>18</v>
      </c>
      <c r="G405" s="13">
        <v>16599.467051353702</v>
      </c>
      <c r="H405" s="13">
        <v>16599.467051353702</v>
      </c>
      <c r="I405" s="14">
        <v>0</v>
      </c>
      <c r="J405" s="15">
        <v>1</v>
      </c>
      <c r="K405" s="14">
        <v>2527.5237367027712</v>
      </c>
      <c r="L405" s="13">
        <v>41955546.988912039</v>
      </c>
      <c r="M405" s="14">
        <v>4.3944523812339629</v>
      </c>
      <c r="N405" s="14">
        <v>2480.0039996193473</v>
      </c>
      <c r="O405" s="13">
        <v>41166744.678906754</v>
      </c>
      <c r="P405" s="13">
        <v>788802.31000528485</v>
      </c>
      <c r="Q405" s="14">
        <v>1.019161153405687</v>
      </c>
      <c r="R405" s="15">
        <v>1.9161153405687085E-2</v>
      </c>
    </row>
    <row r="406" spans="1:18" ht="18" customHeight="1">
      <c r="A406" s="10" t="s">
        <v>91</v>
      </c>
      <c r="B406" s="10" t="s">
        <v>92</v>
      </c>
      <c r="C406" s="10" t="s">
        <v>241</v>
      </c>
      <c r="D406" s="10" t="s">
        <v>252</v>
      </c>
      <c r="E406" s="16">
        <v>3</v>
      </c>
      <c r="F406" s="16">
        <v>3</v>
      </c>
      <c r="G406" s="13">
        <v>196639.13097046371</v>
      </c>
      <c r="H406" s="13">
        <v>196639.13097046371</v>
      </c>
      <c r="I406" s="14">
        <v>0</v>
      </c>
      <c r="J406" s="15">
        <v>1</v>
      </c>
      <c r="K406" s="14">
        <v>106.77312414714891</v>
      </c>
      <c r="L406" s="13">
        <v>20995774.343296796</v>
      </c>
      <c r="M406" s="14">
        <v>3.0231591782676719</v>
      </c>
      <c r="N406" s="14">
        <v>105.477342269549</v>
      </c>
      <c r="O406" s="13">
        <v>20740972.920958273</v>
      </c>
      <c r="P406" s="13">
        <v>254801.42233852297</v>
      </c>
      <c r="Q406" s="14">
        <v>1.0122849310545627</v>
      </c>
      <c r="R406" s="15">
        <v>1.2284931054562635E-2</v>
      </c>
    </row>
    <row r="407" spans="1:18" ht="18" customHeight="1">
      <c r="A407" s="10" t="s">
        <v>91</v>
      </c>
      <c r="B407" s="10" t="s">
        <v>92</v>
      </c>
      <c r="C407" s="10" t="s">
        <v>241</v>
      </c>
      <c r="D407" s="10" t="s">
        <v>242</v>
      </c>
      <c r="E407" s="16">
        <v>3</v>
      </c>
      <c r="F407" s="16">
        <v>3</v>
      </c>
      <c r="G407" s="13">
        <v>56859.577040460099</v>
      </c>
      <c r="H407" s="13">
        <v>56859.577040460099</v>
      </c>
      <c r="I407" s="14">
        <v>0</v>
      </c>
      <c r="J407" s="15">
        <v>1</v>
      </c>
      <c r="K407" s="14">
        <v>1916.3619818457421</v>
      </c>
      <c r="L407" s="13">
        <v>108963531.74416678</v>
      </c>
      <c r="M407" s="14">
        <v>4.2801017740248337</v>
      </c>
      <c r="N407" s="14">
        <v>1905.9073023408264</v>
      </c>
      <c r="O407" s="13">
        <v>108369083.0894237</v>
      </c>
      <c r="P407" s="13">
        <v>594448.65474307537</v>
      </c>
      <c r="Q407" s="14">
        <v>1.0054854081791256</v>
      </c>
      <c r="R407" s="15">
        <v>5.4854081791256819E-3</v>
      </c>
    </row>
    <row r="408" spans="1:18" ht="18" customHeight="1">
      <c r="A408" s="10" t="s">
        <v>91</v>
      </c>
      <c r="B408" s="10" t="s">
        <v>92</v>
      </c>
      <c r="C408" s="10" t="s">
        <v>241</v>
      </c>
      <c r="D408" s="10" t="s">
        <v>243</v>
      </c>
      <c r="E408" s="16">
        <v>19</v>
      </c>
      <c r="F408" s="16">
        <v>19</v>
      </c>
      <c r="G408" s="13">
        <v>43579.717642908101</v>
      </c>
      <c r="H408" s="13">
        <v>43579.717642908101</v>
      </c>
      <c r="I408" s="14">
        <v>0</v>
      </c>
      <c r="J408" s="15">
        <v>1</v>
      </c>
      <c r="K408" s="14">
        <v>141.68989740828326</v>
      </c>
      <c r="L408" s="13">
        <v>6174805.7219056012</v>
      </c>
      <c r="M408" s="14">
        <v>2.975826847052228</v>
      </c>
      <c r="N408" s="14">
        <v>94.585997237826206</v>
      </c>
      <c r="O408" s="13">
        <v>4122031.0525973514</v>
      </c>
      <c r="P408" s="13">
        <v>2052774.6693082498</v>
      </c>
      <c r="Q408" s="14">
        <v>1.4980007775571624</v>
      </c>
      <c r="R408" s="15">
        <v>0.49800077755716249</v>
      </c>
    </row>
    <row r="409" spans="1:18" ht="18" customHeight="1">
      <c r="A409" s="10" t="s">
        <v>91</v>
      </c>
      <c r="B409" s="10" t="s">
        <v>92</v>
      </c>
      <c r="C409" s="10" t="s">
        <v>241</v>
      </c>
      <c r="D409" s="10" t="s">
        <v>244</v>
      </c>
      <c r="E409" s="16">
        <v>5</v>
      </c>
      <c r="F409" s="16">
        <v>5</v>
      </c>
      <c r="G409" s="13">
        <v>195.7302660675</v>
      </c>
      <c r="H409" s="13">
        <v>195.7302660675</v>
      </c>
      <c r="I409" s="14">
        <v>0</v>
      </c>
      <c r="J409" s="15">
        <v>1</v>
      </c>
      <c r="K409" s="14">
        <v>672.81464375238215</v>
      </c>
      <c r="L409" s="13">
        <v>131690.18923576397</v>
      </c>
      <c r="M409" s="14">
        <v>3.592647457243451</v>
      </c>
      <c r="N409" s="14">
        <v>391.424005875744</v>
      </c>
      <c r="O409" s="13">
        <v>76613.52481526605</v>
      </c>
      <c r="P409" s="13">
        <v>55076.664420497924</v>
      </c>
      <c r="Q409" s="14">
        <v>1.7188895766550518</v>
      </c>
      <c r="R409" s="15">
        <v>0.71888957665505193</v>
      </c>
    </row>
    <row r="410" spans="1:18" ht="18" customHeight="1">
      <c r="A410" s="10" t="s">
        <v>91</v>
      </c>
      <c r="B410" s="10" t="s">
        <v>92</v>
      </c>
      <c r="C410" s="10" t="s">
        <v>241</v>
      </c>
      <c r="D410" s="10" t="s">
        <v>253</v>
      </c>
      <c r="E410" s="16">
        <v>9</v>
      </c>
      <c r="F410" s="16">
        <v>9</v>
      </c>
      <c r="G410" s="13">
        <v>55445.476644432099</v>
      </c>
      <c r="H410" s="13">
        <v>55445.476644432099</v>
      </c>
      <c r="I410" s="14">
        <v>0</v>
      </c>
      <c r="J410" s="15">
        <v>1</v>
      </c>
      <c r="K410" s="14">
        <v>177.07192578678288</v>
      </c>
      <c r="L410" s="13">
        <v>9817837.3255956843</v>
      </c>
      <c r="M410" s="14">
        <v>3.2217120806004496</v>
      </c>
      <c r="N410" s="14">
        <v>166.61422624527412</v>
      </c>
      <c r="O410" s="13">
        <v>9238005.1899124719</v>
      </c>
      <c r="P410" s="13">
        <v>579832.13568321243</v>
      </c>
      <c r="Q410" s="14">
        <v>1.0627659460850234</v>
      </c>
      <c r="R410" s="15">
        <v>6.276594608502338E-2</v>
      </c>
    </row>
    <row r="411" spans="1:18" ht="18" customHeight="1">
      <c r="A411" s="10" t="s">
        <v>91</v>
      </c>
      <c r="B411" s="10" t="s">
        <v>92</v>
      </c>
      <c r="C411" s="10" t="s">
        <v>241</v>
      </c>
      <c r="D411" s="10" t="s">
        <v>245</v>
      </c>
      <c r="E411" s="16">
        <v>5</v>
      </c>
      <c r="F411" s="16">
        <v>5</v>
      </c>
      <c r="G411" s="13">
        <v>1379.9341931610002</v>
      </c>
      <c r="H411" s="13">
        <v>1379.9341931610002</v>
      </c>
      <c r="I411" s="14">
        <v>0</v>
      </c>
      <c r="J411" s="15">
        <v>1</v>
      </c>
      <c r="K411" s="14">
        <v>11.748381056189169</v>
      </c>
      <c r="L411" s="13">
        <v>16211.992733720379</v>
      </c>
      <c r="M411" s="14">
        <v>2.0585332852494469</v>
      </c>
      <c r="N411" s="14">
        <v>11.442825766979395</v>
      </c>
      <c r="O411" s="13">
        <v>15790.346542238614</v>
      </c>
      <c r="P411" s="13">
        <v>421.64619148176462</v>
      </c>
      <c r="Q411" s="14">
        <v>1.0267027826370927</v>
      </c>
      <c r="R411" s="15">
        <v>2.6702782637092613E-2</v>
      </c>
    </row>
    <row r="412" spans="1:18" ht="18" customHeight="1">
      <c r="A412" s="10" t="s">
        <v>91</v>
      </c>
      <c r="B412" s="10" t="s">
        <v>92</v>
      </c>
      <c r="C412" s="10" t="s">
        <v>241</v>
      </c>
      <c r="D412" s="10" t="s">
        <v>246</v>
      </c>
      <c r="E412" s="16">
        <v>44</v>
      </c>
      <c r="F412" s="16">
        <v>44</v>
      </c>
      <c r="G412" s="13">
        <v>180456.6257479621</v>
      </c>
      <c r="H412" s="13">
        <v>180456.6257479621</v>
      </c>
      <c r="I412" s="14">
        <v>0</v>
      </c>
      <c r="J412" s="15">
        <v>1</v>
      </c>
      <c r="K412" s="14">
        <v>287.38586785032828</v>
      </c>
      <c r="L412" s="13">
        <v>51860683.999919988</v>
      </c>
      <c r="M412" s="14">
        <v>3.2352636826173353</v>
      </c>
      <c r="N412" s="14">
        <v>171.89517347964548</v>
      </c>
      <c r="O412" s="13">
        <v>31019622.988497403</v>
      </c>
      <c r="P412" s="13">
        <v>20841061.011422586</v>
      </c>
      <c r="Q412" s="14">
        <v>1.6718669991298991</v>
      </c>
      <c r="R412" s="15">
        <v>0.67186699912989922</v>
      </c>
    </row>
    <row r="413" spans="1:18" ht="18" customHeight="1">
      <c r="A413" s="10" t="s">
        <v>91</v>
      </c>
      <c r="B413" s="10" t="s">
        <v>92</v>
      </c>
      <c r="C413" s="10" t="s">
        <v>241</v>
      </c>
      <c r="D413" s="10" t="s">
        <v>247</v>
      </c>
      <c r="E413" s="16">
        <v>122</v>
      </c>
      <c r="F413" s="16">
        <v>122</v>
      </c>
      <c r="G413" s="13">
        <v>206388.76926308323</v>
      </c>
      <c r="H413" s="13">
        <v>206388.76926308323</v>
      </c>
      <c r="I413" s="14">
        <v>0</v>
      </c>
      <c r="J413" s="15">
        <v>1</v>
      </c>
      <c r="K413" s="14">
        <v>828.41610290820597</v>
      </c>
      <c r="L413" s="13">
        <v>170975779.91694432</v>
      </c>
      <c r="M413" s="14">
        <v>3.6306443962511379</v>
      </c>
      <c r="N413" s="14">
        <v>427.2129375763248</v>
      </c>
      <c r="O413" s="13">
        <v>88171952.399644077</v>
      </c>
      <c r="P413" s="13">
        <v>82803827.517300248</v>
      </c>
      <c r="Q413" s="14">
        <v>1.9391175454750904</v>
      </c>
      <c r="R413" s="15">
        <v>0.9391175454750903</v>
      </c>
    </row>
    <row r="414" spans="1:18" ht="18" customHeight="1">
      <c r="A414" s="10" t="s">
        <v>91</v>
      </c>
      <c r="B414" s="10" t="s">
        <v>92</v>
      </c>
      <c r="C414" s="10" t="s">
        <v>241</v>
      </c>
      <c r="D414" s="10" t="s">
        <v>249</v>
      </c>
      <c r="E414" s="16">
        <v>7</v>
      </c>
      <c r="F414" s="16">
        <v>7</v>
      </c>
      <c r="G414" s="13">
        <v>3309.5462190985995</v>
      </c>
      <c r="H414" s="13">
        <v>3309.5462190985995</v>
      </c>
      <c r="I414" s="14">
        <v>0</v>
      </c>
      <c r="J414" s="15">
        <v>1</v>
      </c>
      <c r="K414" s="14">
        <v>613.36672913316852</v>
      </c>
      <c r="L414" s="13">
        <v>2029965.5393235525</v>
      </c>
      <c r="M414" s="14">
        <v>3.7656838314744432</v>
      </c>
      <c r="N414" s="14">
        <v>583.02050793208821</v>
      </c>
      <c r="O414" s="13">
        <v>1929533.3176835875</v>
      </c>
      <c r="P414" s="13">
        <v>100432.22163996496</v>
      </c>
      <c r="Q414" s="14">
        <v>1.0520500064546874</v>
      </c>
      <c r="R414" s="15">
        <v>5.2050006454687318E-2</v>
      </c>
    </row>
    <row r="415" spans="1:18" ht="18" customHeight="1">
      <c r="A415" s="10" t="s">
        <v>91</v>
      </c>
      <c r="B415" s="10" t="s">
        <v>92</v>
      </c>
      <c r="C415" s="10" t="s">
        <v>241</v>
      </c>
      <c r="D415" s="10" t="s">
        <v>250</v>
      </c>
      <c r="E415" s="16">
        <v>34</v>
      </c>
      <c r="F415" s="16">
        <v>34</v>
      </c>
      <c r="G415" s="13">
        <v>17009.237380831099</v>
      </c>
      <c r="H415" s="13">
        <v>17009.237380831099</v>
      </c>
      <c r="I415" s="14">
        <v>0</v>
      </c>
      <c r="J415" s="15">
        <v>1</v>
      </c>
      <c r="K415" s="14">
        <v>1473.715130757497</v>
      </c>
      <c r="L415" s="13">
        <v>25066770.490776807</v>
      </c>
      <c r="M415" s="14">
        <v>4.1273441376016775</v>
      </c>
      <c r="N415" s="14">
        <v>1340.7386761281675</v>
      </c>
      <c r="O415" s="13">
        <v>22804942.407925226</v>
      </c>
      <c r="P415" s="13">
        <v>2261828.0828515813</v>
      </c>
      <c r="Q415" s="14">
        <v>1.0991814862933198</v>
      </c>
      <c r="R415" s="15">
        <v>9.9181486293319715E-2</v>
      </c>
    </row>
    <row r="416" spans="1:18" ht="18" customHeight="1">
      <c r="A416" s="10" t="s">
        <v>91</v>
      </c>
      <c r="B416" s="10" t="s">
        <v>92</v>
      </c>
      <c r="C416" s="10" t="s">
        <v>241</v>
      </c>
      <c r="D416" s="10" t="s">
        <v>251</v>
      </c>
      <c r="E416" s="16">
        <v>21</v>
      </c>
      <c r="F416" s="16">
        <v>21</v>
      </c>
      <c r="G416" s="13">
        <v>32951.680607846705</v>
      </c>
      <c r="H416" s="13">
        <v>32951.680607846705</v>
      </c>
      <c r="I416" s="14">
        <v>0</v>
      </c>
      <c r="J416" s="15">
        <v>1</v>
      </c>
      <c r="K416" s="14">
        <v>2614.0300490615764</v>
      </c>
      <c r="L416" s="13">
        <v>86136683.275990918</v>
      </c>
      <c r="M416" s="14">
        <v>4.4106900206799233</v>
      </c>
      <c r="N416" s="14">
        <v>2574.4829541759464</v>
      </c>
      <c r="O416" s="13">
        <v>84833540.036351427</v>
      </c>
      <c r="P416" s="13">
        <v>1303143.2396394908</v>
      </c>
      <c r="Q416" s="14">
        <v>1.0153611795415007</v>
      </c>
      <c r="R416" s="15">
        <v>1.5361179541500803E-2</v>
      </c>
    </row>
    <row r="417" spans="1:18" ht="18" customHeight="1">
      <c r="A417" s="10" t="s">
        <v>117</v>
      </c>
      <c r="B417" s="10" t="s">
        <v>118</v>
      </c>
      <c r="C417" s="10" t="s">
        <v>241</v>
      </c>
      <c r="D417" s="10" t="s">
        <v>252</v>
      </c>
      <c r="E417" s="16">
        <v>2</v>
      </c>
      <c r="F417" s="16">
        <v>2</v>
      </c>
      <c r="G417" s="13">
        <v>1846.4376834211002</v>
      </c>
      <c r="H417" s="13">
        <v>1846.4376834211002</v>
      </c>
      <c r="I417" s="14">
        <v>0</v>
      </c>
      <c r="J417" s="15">
        <v>1</v>
      </c>
      <c r="K417" s="14">
        <v>159.24187707227182</v>
      </c>
      <c r="L417" s="13">
        <v>294030.2026049532</v>
      </c>
      <c r="M417" s="14">
        <v>3.2017476134121394</v>
      </c>
      <c r="N417" s="14">
        <v>159.12836971448621</v>
      </c>
      <c r="O417" s="13">
        <v>293820.61834219226</v>
      </c>
      <c r="P417" s="13">
        <v>209.58426276093815</v>
      </c>
      <c r="Q417" s="14">
        <v>1.0007133068602996</v>
      </c>
      <c r="R417" s="15">
        <v>7.1330686029953845E-4</v>
      </c>
    </row>
    <row r="418" spans="1:18" ht="18" customHeight="1">
      <c r="A418" s="10" t="s">
        <v>117</v>
      </c>
      <c r="B418" s="10" t="s">
        <v>118</v>
      </c>
      <c r="C418" s="10" t="s">
        <v>241</v>
      </c>
      <c r="D418" s="10" t="s">
        <v>243</v>
      </c>
      <c r="E418" s="16">
        <v>16</v>
      </c>
      <c r="F418" s="16">
        <v>16</v>
      </c>
      <c r="G418" s="13">
        <v>8195.7265323692009</v>
      </c>
      <c r="H418" s="13">
        <v>8195.7265323692009</v>
      </c>
      <c r="I418" s="14">
        <v>0</v>
      </c>
      <c r="J418" s="15">
        <v>1</v>
      </c>
      <c r="K418" s="14">
        <v>79.904233822437135</v>
      </c>
      <c r="L418" s="13">
        <v>654873.24918718054</v>
      </c>
      <c r="M418" s="14">
        <v>2.818444807539823</v>
      </c>
      <c r="N418" s="14">
        <v>65.83317603139119</v>
      </c>
      <c r="O418" s="13">
        <v>539550.70751060487</v>
      </c>
      <c r="P418" s="13">
        <v>115322.54167657567</v>
      </c>
      <c r="Q418" s="14">
        <v>1.2137380974045131</v>
      </c>
      <c r="R418" s="15">
        <v>0.21373809740451319</v>
      </c>
    </row>
    <row r="419" spans="1:18" ht="18" customHeight="1">
      <c r="A419" s="10" t="s">
        <v>117</v>
      </c>
      <c r="B419" s="10" t="s">
        <v>118</v>
      </c>
      <c r="C419" s="10" t="s">
        <v>241</v>
      </c>
      <c r="D419" s="10" t="s">
        <v>244</v>
      </c>
      <c r="E419" s="16">
        <v>3</v>
      </c>
      <c r="F419" s="16">
        <v>3</v>
      </c>
      <c r="G419" s="13">
        <v>691.24616311219995</v>
      </c>
      <c r="H419" s="13">
        <v>691.24616311219995</v>
      </c>
      <c r="I419" s="14">
        <v>0</v>
      </c>
      <c r="J419" s="15">
        <v>1</v>
      </c>
      <c r="K419" s="14">
        <v>2199.4563396655985</v>
      </c>
      <c r="L419" s="13">
        <v>1520365.7557266487</v>
      </c>
      <c r="M419" s="14">
        <v>4.2888962001830571</v>
      </c>
      <c r="N419" s="14">
        <v>1944.8951807328312</v>
      </c>
      <c r="O419" s="13">
        <v>1344401.3313369784</v>
      </c>
      <c r="P419" s="13">
        <v>175964.42438967037</v>
      </c>
      <c r="Q419" s="14">
        <v>1.1308868269378145</v>
      </c>
      <c r="R419" s="15">
        <v>0.13088682693781439</v>
      </c>
    </row>
    <row r="420" spans="1:18" ht="18" customHeight="1">
      <c r="A420" s="10" t="s">
        <v>117</v>
      </c>
      <c r="B420" s="10" t="s">
        <v>118</v>
      </c>
      <c r="C420" s="10" t="s">
        <v>241</v>
      </c>
      <c r="D420" s="10" t="s">
        <v>253</v>
      </c>
      <c r="E420" s="16">
        <v>10</v>
      </c>
      <c r="F420" s="16">
        <v>10</v>
      </c>
      <c r="G420" s="13">
        <v>12717.2067838525</v>
      </c>
      <c r="H420" s="13">
        <v>12717.2067838525</v>
      </c>
      <c r="I420" s="14">
        <v>0</v>
      </c>
      <c r="J420" s="15">
        <v>1</v>
      </c>
      <c r="K420" s="14">
        <v>229.61090169071045</v>
      </c>
      <c r="L420" s="13">
        <v>2920009.3166275923</v>
      </c>
      <c r="M420" s="14">
        <v>2.9572670134502079</v>
      </c>
      <c r="N420" s="14">
        <v>90.628963571463402</v>
      </c>
      <c r="O420" s="13">
        <v>1152547.2703445354</v>
      </c>
      <c r="P420" s="13">
        <v>1767462.046283057</v>
      </c>
      <c r="Q420" s="14">
        <v>2.5335267296713155</v>
      </c>
      <c r="R420" s="15">
        <v>1.5335267296713155</v>
      </c>
    </row>
    <row r="421" spans="1:18" ht="18" customHeight="1">
      <c r="A421" s="10" t="s">
        <v>117</v>
      </c>
      <c r="B421" s="10" t="s">
        <v>118</v>
      </c>
      <c r="C421" s="10" t="s">
        <v>241</v>
      </c>
      <c r="D421" s="10" t="s">
        <v>245</v>
      </c>
      <c r="E421" s="16">
        <v>2</v>
      </c>
      <c r="F421" s="16">
        <v>2</v>
      </c>
      <c r="G421" s="13">
        <v>2725.8614490224995</v>
      </c>
      <c r="H421" s="13">
        <v>2725.8614490224995</v>
      </c>
      <c r="I421" s="14">
        <v>0</v>
      </c>
      <c r="J421" s="15">
        <v>1</v>
      </c>
      <c r="K421" s="14">
        <v>12.589246573624544</v>
      </c>
      <c r="L421" s="13">
        <v>34316.541907281739</v>
      </c>
      <c r="M421" s="14">
        <v>2.099999708629714</v>
      </c>
      <c r="N421" s="14">
        <v>12.589245671752519</v>
      </c>
      <c r="O421" s="13">
        <v>34316.539448903553</v>
      </c>
      <c r="P421" s="13">
        <v>2.4583781851106323E-3</v>
      </c>
      <c r="Q421" s="14">
        <v>1.0000000716382895</v>
      </c>
      <c r="R421" s="15">
        <v>7.1638289425164626E-8</v>
      </c>
    </row>
    <row r="422" spans="1:18" ht="18" customHeight="1">
      <c r="A422" s="10" t="s">
        <v>117</v>
      </c>
      <c r="B422" s="10" t="s">
        <v>118</v>
      </c>
      <c r="C422" s="10" t="s">
        <v>241</v>
      </c>
      <c r="D422" s="10" t="s">
        <v>246</v>
      </c>
      <c r="E422" s="16">
        <v>39</v>
      </c>
      <c r="F422" s="16">
        <v>39</v>
      </c>
      <c r="G422" s="13">
        <v>48908.491353282501</v>
      </c>
      <c r="H422" s="13">
        <v>48908.491353282501</v>
      </c>
      <c r="I422" s="14">
        <v>0</v>
      </c>
      <c r="J422" s="15">
        <v>1</v>
      </c>
      <c r="K422" s="14">
        <v>323.02254901227042</v>
      </c>
      <c r="L422" s="13">
        <v>15798545.545281902</v>
      </c>
      <c r="M422" s="14">
        <v>3.4446649516565935</v>
      </c>
      <c r="N422" s="14">
        <v>278.39725682395283</v>
      </c>
      <c r="O422" s="13">
        <v>13615989.828151865</v>
      </c>
      <c r="P422" s="13">
        <v>2182555.717130037</v>
      </c>
      <c r="Q422" s="14">
        <v>1.1602935772335459</v>
      </c>
      <c r="R422" s="15">
        <v>0.16029357723354595</v>
      </c>
    </row>
    <row r="423" spans="1:18" ht="18" customHeight="1">
      <c r="A423" s="10" t="s">
        <v>117</v>
      </c>
      <c r="B423" s="10" t="s">
        <v>118</v>
      </c>
      <c r="C423" s="10" t="s">
        <v>241</v>
      </c>
      <c r="D423" s="10" t="s">
        <v>247</v>
      </c>
      <c r="E423" s="16">
        <v>93</v>
      </c>
      <c r="F423" s="16">
        <v>93</v>
      </c>
      <c r="G423" s="13">
        <v>112862.12392606889</v>
      </c>
      <c r="H423" s="13">
        <v>112862.12392606889</v>
      </c>
      <c r="I423" s="14">
        <v>0</v>
      </c>
      <c r="J423" s="15">
        <v>1</v>
      </c>
      <c r="K423" s="14">
        <v>911.73498483091521</v>
      </c>
      <c r="L423" s="13">
        <v>102900346.84571929</v>
      </c>
      <c r="M423" s="14">
        <v>3.671671210373483</v>
      </c>
      <c r="N423" s="14">
        <v>469.53850233411754</v>
      </c>
      <c r="O423" s="13">
        <v>52993112.638493963</v>
      </c>
      <c r="P423" s="13">
        <v>49907234.20722533</v>
      </c>
      <c r="Q423" s="14">
        <v>1.9417683114347379</v>
      </c>
      <c r="R423" s="15">
        <v>0.94176831143473794</v>
      </c>
    </row>
    <row r="424" spans="1:18" ht="18" customHeight="1">
      <c r="A424" s="10" t="s">
        <v>117</v>
      </c>
      <c r="B424" s="10" t="s">
        <v>118</v>
      </c>
      <c r="C424" s="10" t="s">
        <v>241</v>
      </c>
      <c r="D424" s="10" t="s">
        <v>249</v>
      </c>
      <c r="E424" s="16">
        <v>2</v>
      </c>
      <c r="F424" s="16">
        <v>2</v>
      </c>
      <c r="G424" s="13">
        <v>119.6725045985</v>
      </c>
      <c r="H424" s="13">
        <v>119.6725045985</v>
      </c>
      <c r="I424" s="14">
        <v>0</v>
      </c>
      <c r="J424" s="15">
        <v>1</v>
      </c>
      <c r="K424" s="14">
        <v>787.53549537712388</v>
      </c>
      <c r="L424" s="13">
        <v>94246.345192000837</v>
      </c>
      <c r="M424" s="14">
        <v>3.8948568564661952</v>
      </c>
      <c r="N424" s="14">
        <v>784.97686346154296</v>
      </c>
      <c r="O424" s="13">
        <v>93940.147302317608</v>
      </c>
      <c r="P424" s="13">
        <v>306.19788968322973</v>
      </c>
      <c r="Q424" s="14">
        <v>1.0032594997823223</v>
      </c>
      <c r="R424" s="15">
        <v>3.2594997823223075E-3</v>
      </c>
    </row>
    <row r="425" spans="1:18" ht="18" customHeight="1">
      <c r="A425" s="10" t="s">
        <v>117</v>
      </c>
      <c r="B425" s="10" t="s">
        <v>118</v>
      </c>
      <c r="C425" s="10" t="s">
        <v>241</v>
      </c>
      <c r="D425" s="10" t="s">
        <v>250</v>
      </c>
      <c r="E425" s="16">
        <v>20</v>
      </c>
      <c r="F425" s="16">
        <v>20</v>
      </c>
      <c r="G425" s="13">
        <v>32240.654084842794</v>
      </c>
      <c r="H425" s="13">
        <v>32240.654084842794</v>
      </c>
      <c r="I425" s="14">
        <v>0</v>
      </c>
      <c r="J425" s="15">
        <v>1</v>
      </c>
      <c r="K425" s="14">
        <v>1491.7215354791063</v>
      </c>
      <c r="L425" s="13">
        <v>48094078.016292408</v>
      </c>
      <c r="M425" s="14">
        <v>4.0857769871821734</v>
      </c>
      <c r="N425" s="14">
        <v>1218.3638011534276</v>
      </c>
      <c r="O425" s="13">
        <v>39280845.862481847</v>
      </c>
      <c r="P425" s="13">
        <v>8813232.1538105607</v>
      </c>
      <c r="Q425" s="14">
        <v>1.2243646225100338</v>
      </c>
      <c r="R425" s="15">
        <v>0.22436462251003375</v>
      </c>
    </row>
    <row r="426" spans="1:18" ht="18" customHeight="1">
      <c r="A426" s="10" t="s">
        <v>117</v>
      </c>
      <c r="B426" s="10" t="s">
        <v>118</v>
      </c>
      <c r="C426" s="10" t="s">
        <v>241</v>
      </c>
      <c r="D426" s="10" t="s">
        <v>251</v>
      </c>
      <c r="E426" s="16">
        <v>18</v>
      </c>
      <c r="F426" s="16">
        <v>18</v>
      </c>
      <c r="G426" s="13">
        <v>17071.658151050196</v>
      </c>
      <c r="H426" s="13">
        <v>17071.658151050196</v>
      </c>
      <c r="I426" s="14">
        <v>0</v>
      </c>
      <c r="J426" s="15">
        <v>1</v>
      </c>
      <c r="K426" s="14">
        <v>2795.4560924102443</v>
      </c>
      <c r="L426" s="13">
        <v>47723070.785898276</v>
      </c>
      <c r="M426" s="14">
        <v>4.4412366418470484</v>
      </c>
      <c r="N426" s="14">
        <v>2762.0824718242407</v>
      </c>
      <c r="O426" s="13">
        <v>47153327.743991174</v>
      </c>
      <c r="P426" s="13">
        <v>569743.04190710187</v>
      </c>
      <c r="Q426" s="14">
        <v>1.0120827748361769</v>
      </c>
      <c r="R426" s="15">
        <v>1.2082774836176969E-2</v>
      </c>
    </row>
    <row r="427" spans="1:18" ht="18" customHeight="1">
      <c r="A427" s="10" t="s">
        <v>20</v>
      </c>
      <c r="B427" s="10" t="s">
        <v>21</v>
      </c>
      <c r="C427" s="10" t="s">
        <v>241</v>
      </c>
      <c r="D427" s="10" t="s">
        <v>252</v>
      </c>
      <c r="E427" s="16">
        <v>5</v>
      </c>
      <c r="F427" s="16">
        <v>5</v>
      </c>
      <c r="G427" s="13">
        <v>114036.54438802763</v>
      </c>
      <c r="H427" s="13">
        <v>114036.54438802763</v>
      </c>
      <c r="I427" s="14">
        <v>0</v>
      </c>
      <c r="J427" s="15">
        <v>1</v>
      </c>
      <c r="K427" s="14">
        <v>221.69835719141696</v>
      </c>
      <c r="L427" s="13">
        <v>25281714.550611824</v>
      </c>
      <c r="M427" s="14">
        <v>3.3334736401419875</v>
      </c>
      <c r="N427" s="14">
        <v>215.51308321716567</v>
      </c>
      <c r="O427" s="13">
        <v>24576367.280495007</v>
      </c>
      <c r="P427" s="13">
        <v>705347.27011681721</v>
      </c>
      <c r="Q427" s="14">
        <v>1.0287002249790032</v>
      </c>
      <c r="R427" s="15">
        <v>2.8700224979003097E-2</v>
      </c>
    </row>
    <row r="428" spans="1:18" ht="18" customHeight="1">
      <c r="A428" s="10" t="s">
        <v>20</v>
      </c>
      <c r="B428" s="10" t="s">
        <v>21</v>
      </c>
      <c r="C428" s="10" t="s">
        <v>241</v>
      </c>
      <c r="D428" s="10" t="s">
        <v>242</v>
      </c>
      <c r="E428" s="16">
        <v>1</v>
      </c>
      <c r="F428" s="16">
        <v>1</v>
      </c>
      <c r="G428" s="13">
        <v>224.60510071849998</v>
      </c>
      <c r="H428" s="13">
        <v>224.60510071849998</v>
      </c>
      <c r="I428" s="14">
        <v>0</v>
      </c>
      <c r="J428" s="15">
        <v>1</v>
      </c>
      <c r="K428" s="14">
        <v>199.52623149688787</v>
      </c>
      <c r="L428" s="13">
        <v>44814.609321341246</v>
      </c>
      <c r="M428" s="14">
        <v>3.3</v>
      </c>
      <c r="N428" s="14">
        <v>199.52623149688787</v>
      </c>
      <c r="O428" s="13">
        <v>44814.609321341246</v>
      </c>
      <c r="P428" s="13">
        <v>0</v>
      </c>
      <c r="Q428" s="14">
        <v>1</v>
      </c>
      <c r="R428" s="15">
        <v>0</v>
      </c>
    </row>
    <row r="429" spans="1:18" ht="18" customHeight="1">
      <c r="A429" s="10" t="s">
        <v>20</v>
      </c>
      <c r="B429" s="10" t="s">
        <v>21</v>
      </c>
      <c r="C429" s="10" t="s">
        <v>241</v>
      </c>
      <c r="D429" s="10" t="s">
        <v>243</v>
      </c>
      <c r="E429" s="16">
        <v>22</v>
      </c>
      <c r="F429" s="16">
        <v>22</v>
      </c>
      <c r="G429" s="13">
        <v>387946.9165851195</v>
      </c>
      <c r="H429" s="13">
        <v>387946.9165851195</v>
      </c>
      <c r="I429" s="14">
        <v>0</v>
      </c>
      <c r="J429" s="15">
        <v>1</v>
      </c>
      <c r="K429" s="14">
        <v>220.47931202582259</v>
      </c>
      <c r="L429" s="13">
        <v>85534269.271226332</v>
      </c>
      <c r="M429" s="14">
        <v>3.2689865262901674</v>
      </c>
      <c r="N429" s="14">
        <v>185.77468187852122</v>
      </c>
      <c r="O429" s="13">
        <v>72070715.014353782</v>
      </c>
      <c r="P429" s="13">
        <v>13463554.25687255</v>
      </c>
      <c r="Q429" s="14">
        <v>1.1868103327987118</v>
      </c>
      <c r="R429" s="15">
        <v>0.18681033279871187</v>
      </c>
    </row>
    <row r="430" spans="1:18" ht="18" customHeight="1">
      <c r="A430" s="10" t="s">
        <v>20</v>
      </c>
      <c r="B430" s="10" t="s">
        <v>21</v>
      </c>
      <c r="C430" s="10" t="s">
        <v>241</v>
      </c>
      <c r="D430" s="10" t="s">
        <v>244</v>
      </c>
      <c r="E430" s="16">
        <v>5</v>
      </c>
      <c r="F430" s="16">
        <v>5</v>
      </c>
      <c r="G430" s="13">
        <v>50229.592475417296</v>
      </c>
      <c r="H430" s="13">
        <v>50229.592475417296</v>
      </c>
      <c r="I430" s="14">
        <v>0</v>
      </c>
      <c r="J430" s="15">
        <v>1</v>
      </c>
      <c r="K430" s="14">
        <v>566.81409297563334</v>
      </c>
      <c r="L430" s="13">
        <v>28470840.899489351</v>
      </c>
      <c r="M430" s="14">
        <v>3.3798685722293471</v>
      </c>
      <c r="N430" s="14">
        <v>239.81070853372918</v>
      </c>
      <c r="O430" s="13">
        <v>12045594.160890294</v>
      </c>
      <c r="P430" s="13">
        <v>16425246.738599056</v>
      </c>
      <c r="Q430" s="14">
        <v>2.3635895846407182</v>
      </c>
      <c r="R430" s="15">
        <v>1.3635895846407182</v>
      </c>
    </row>
    <row r="431" spans="1:18" ht="18" customHeight="1">
      <c r="A431" s="10" t="s">
        <v>20</v>
      </c>
      <c r="B431" s="10" t="s">
        <v>21</v>
      </c>
      <c r="C431" s="10" t="s">
        <v>241</v>
      </c>
      <c r="D431" s="10" t="s">
        <v>253</v>
      </c>
      <c r="E431" s="16">
        <v>15</v>
      </c>
      <c r="F431" s="16">
        <v>15</v>
      </c>
      <c r="G431" s="13">
        <v>818557.45249227097</v>
      </c>
      <c r="H431" s="13">
        <v>818557.45249227097</v>
      </c>
      <c r="I431" s="14">
        <v>0</v>
      </c>
      <c r="J431" s="15">
        <v>1</v>
      </c>
      <c r="K431" s="14">
        <v>110.75107209977091</v>
      </c>
      <c r="L431" s="13">
        <v>90656115.438776299</v>
      </c>
      <c r="M431" s="14">
        <v>2.6082730518100314</v>
      </c>
      <c r="N431" s="14">
        <v>40.576356897802221</v>
      </c>
      <c r="O431" s="13">
        <v>33214079.333682172</v>
      </c>
      <c r="P431" s="13">
        <v>57442036.105094127</v>
      </c>
      <c r="Q431" s="14">
        <v>2.7294483922919563</v>
      </c>
      <c r="R431" s="15">
        <v>1.7294483922919563</v>
      </c>
    </row>
    <row r="432" spans="1:18" ht="18" customHeight="1">
      <c r="A432" s="10" t="s">
        <v>20</v>
      </c>
      <c r="B432" s="10" t="s">
        <v>21</v>
      </c>
      <c r="C432" s="10" t="s">
        <v>241</v>
      </c>
      <c r="D432" s="10" t="s">
        <v>245</v>
      </c>
      <c r="E432" s="16">
        <v>11</v>
      </c>
      <c r="F432" s="16">
        <v>11</v>
      </c>
      <c r="G432" s="13">
        <v>98433.608499186987</v>
      </c>
      <c r="H432" s="13">
        <v>98433.608499186987</v>
      </c>
      <c r="I432" s="14">
        <v>0</v>
      </c>
      <c r="J432" s="15">
        <v>1</v>
      </c>
      <c r="K432" s="14">
        <v>18.782888117001765</v>
      </c>
      <c r="L432" s="13">
        <v>1848867.455392983</v>
      </c>
      <c r="M432" s="14">
        <v>2.2348669449480671</v>
      </c>
      <c r="N432" s="14">
        <v>17.173821511858513</v>
      </c>
      <c r="O432" s="13">
        <v>1690481.2231331964</v>
      </c>
      <c r="P432" s="13">
        <v>158386.23225978669</v>
      </c>
      <c r="Q432" s="14">
        <v>1.093692985223597</v>
      </c>
      <c r="R432" s="15">
        <v>9.3692985223596967E-2</v>
      </c>
    </row>
    <row r="433" spans="1:18" ht="18" customHeight="1">
      <c r="A433" s="10" t="s">
        <v>20</v>
      </c>
      <c r="B433" s="10" t="s">
        <v>21</v>
      </c>
      <c r="C433" s="10" t="s">
        <v>241</v>
      </c>
      <c r="D433" s="10" t="s">
        <v>246</v>
      </c>
      <c r="E433" s="16">
        <v>51</v>
      </c>
      <c r="F433" s="16">
        <v>51</v>
      </c>
      <c r="G433" s="13">
        <v>1316006.2278018282</v>
      </c>
      <c r="H433" s="13">
        <v>1316006.2278018282</v>
      </c>
      <c r="I433" s="14">
        <v>0</v>
      </c>
      <c r="J433" s="15">
        <v>1</v>
      </c>
      <c r="K433" s="14">
        <v>520.51521882080931</v>
      </c>
      <c r="L433" s="13">
        <v>685001269.63381648</v>
      </c>
      <c r="M433" s="14">
        <v>3.5162648445986204</v>
      </c>
      <c r="N433" s="14">
        <v>328.29543557512807</v>
      </c>
      <c r="O433" s="13">
        <v>432038837.77578241</v>
      </c>
      <c r="P433" s="13">
        <v>252962431.85803407</v>
      </c>
      <c r="Q433" s="14">
        <v>1.5855085463157259</v>
      </c>
      <c r="R433" s="15">
        <v>0.58550854631572591</v>
      </c>
    </row>
    <row r="434" spans="1:18" ht="18" customHeight="1">
      <c r="A434" s="10" t="s">
        <v>20</v>
      </c>
      <c r="B434" s="10" t="s">
        <v>21</v>
      </c>
      <c r="C434" s="10" t="s">
        <v>241</v>
      </c>
      <c r="D434" s="10" t="s">
        <v>247</v>
      </c>
      <c r="E434" s="16">
        <v>210</v>
      </c>
      <c r="F434" s="16">
        <v>210</v>
      </c>
      <c r="G434" s="13">
        <v>1866208.644586389</v>
      </c>
      <c r="H434" s="13">
        <v>1866208.644586389</v>
      </c>
      <c r="I434" s="14">
        <v>0</v>
      </c>
      <c r="J434" s="15">
        <v>1</v>
      </c>
      <c r="K434" s="14">
        <v>1008.0171418695277</v>
      </c>
      <c r="L434" s="13">
        <v>1881170304.048177</v>
      </c>
      <c r="M434" s="14">
        <v>3.7570012670475315</v>
      </c>
      <c r="N434" s="14">
        <v>571.48030395451121</v>
      </c>
      <c r="O434" s="13">
        <v>1066501483.450766</v>
      </c>
      <c r="P434" s="13">
        <v>814668820.59741104</v>
      </c>
      <c r="Q434" s="14">
        <v>1.7638703117050276</v>
      </c>
      <c r="R434" s="15">
        <v>0.76387031170502773</v>
      </c>
    </row>
    <row r="435" spans="1:18" ht="18" customHeight="1">
      <c r="A435" s="10" t="s">
        <v>20</v>
      </c>
      <c r="B435" s="10" t="s">
        <v>21</v>
      </c>
      <c r="C435" s="10" t="s">
        <v>241</v>
      </c>
      <c r="D435" s="10" t="s">
        <v>249</v>
      </c>
      <c r="E435" s="16">
        <v>5</v>
      </c>
      <c r="F435" s="16">
        <v>5</v>
      </c>
      <c r="G435" s="13">
        <v>6146.9328882120999</v>
      </c>
      <c r="H435" s="13">
        <v>6146.9328882120999</v>
      </c>
      <c r="I435" s="14">
        <v>0</v>
      </c>
      <c r="J435" s="15">
        <v>1</v>
      </c>
      <c r="K435" s="14">
        <v>493.26265906920293</v>
      </c>
      <c r="L435" s="13">
        <v>3032052.4615594358</v>
      </c>
      <c r="M435" s="14">
        <v>3.6684950184948439</v>
      </c>
      <c r="N435" s="14">
        <v>466.11708145004678</v>
      </c>
      <c r="O435" s="13">
        <v>2865190.4177227309</v>
      </c>
      <c r="P435" s="13">
        <v>166862.04383670492</v>
      </c>
      <c r="Q435" s="14">
        <v>1.058237680401475</v>
      </c>
      <c r="R435" s="15">
        <v>5.8237680401474951E-2</v>
      </c>
    </row>
    <row r="436" spans="1:18" ht="18" customHeight="1">
      <c r="A436" s="10" t="s">
        <v>20</v>
      </c>
      <c r="B436" s="10" t="s">
        <v>21</v>
      </c>
      <c r="C436" s="10" t="s">
        <v>241</v>
      </c>
      <c r="D436" s="10" t="s">
        <v>250</v>
      </c>
      <c r="E436" s="16">
        <v>47</v>
      </c>
      <c r="F436" s="16">
        <v>47</v>
      </c>
      <c r="G436" s="13">
        <v>189617.21608728089</v>
      </c>
      <c r="H436" s="13">
        <v>189617.21608728089</v>
      </c>
      <c r="I436" s="14">
        <v>0</v>
      </c>
      <c r="J436" s="15">
        <v>1</v>
      </c>
      <c r="K436" s="14">
        <v>1827.9007434661653</v>
      </c>
      <c r="L436" s="13">
        <v>346601450.25992525</v>
      </c>
      <c r="M436" s="14">
        <v>4.1816576215216417</v>
      </c>
      <c r="N436" s="14">
        <v>1519.3492699915591</v>
      </c>
      <c r="O436" s="13">
        <v>288094778.84004194</v>
      </c>
      <c r="P436" s="13">
        <v>58506671.419883311</v>
      </c>
      <c r="Q436" s="14">
        <v>1.2030813319680735</v>
      </c>
      <c r="R436" s="15">
        <v>0.20308133196807363</v>
      </c>
    </row>
    <row r="437" spans="1:18" ht="18" customHeight="1">
      <c r="A437" s="10" t="s">
        <v>20</v>
      </c>
      <c r="B437" s="10" t="s">
        <v>21</v>
      </c>
      <c r="C437" s="10" t="s">
        <v>241</v>
      </c>
      <c r="D437" s="10" t="s">
        <v>251</v>
      </c>
      <c r="E437" s="16">
        <v>21</v>
      </c>
      <c r="F437" s="16">
        <v>21</v>
      </c>
      <c r="G437" s="13">
        <v>589021.05289936683</v>
      </c>
      <c r="H437" s="13">
        <v>589021.05289936683</v>
      </c>
      <c r="I437" s="14">
        <v>0</v>
      </c>
      <c r="J437" s="15">
        <v>1</v>
      </c>
      <c r="K437" s="14">
        <v>2694.4458889549555</v>
      </c>
      <c r="L437" s="13">
        <v>1587085354.4926183</v>
      </c>
      <c r="M437" s="14">
        <v>4.4285998805548177</v>
      </c>
      <c r="N437" s="14">
        <v>2682.8715527891659</v>
      </c>
      <c r="O437" s="13">
        <v>1580267826.8176336</v>
      </c>
      <c r="P437" s="13">
        <v>6817527.6749846935</v>
      </c>
      <c r="Q437" s="14">
        <v>1.0043141596375558</v>
      </c>
      <c r="R437" s="15">
        <v>4.3141596375558247E-3</v>
      </c>
    </row>
    <row r="438" spans="1:18" ht="18" customHeight="1">
      <c r="A438" s="10" t="s">
        <v>129</v>
      </c>
      <c r="B438" s="10" t="s">
        <v>130</v>
      </c>
      <c r="C438" s="10" t="s">
        <v>241</v>
      </c>
      <c r="D438" s="10" t="s">
        <v>252</v>
      </c>
      <c r="E438" s="16">
        <v>2</v>
      </c>
      <c r="F438" s="16">
        <v>2</v>
      </c>
      <c r="G438" s="13">
        <v>6709.3245443318001</v>
      </c>
      <c r="H438" s="13">
        <v>6709.3245443318001</v>
      </c>
      <c r="I438" s="14">
        <v>0</v>
      </c>
      <c r="J438" s="15">
        <v>1</v>
      </c>
      <c r="K438" s="14">
        <v>177.53846734728432</v>
      </c>
      <c r="L438" s="13">
        <v>1191163.1965361845</v>
      </c>
      <c r="M438" s="14">
        <v>3.2492515659589558</v>
      </c>
      <c r="N438" s="14">
        <v>177.52174814502072</v>
      </c>
      <c r="O438" s="13">
        <v>1191051.0219820756</v>
      </c>
      <c r="P438" s="13">
        <v>112.17455410887487</v>
      </c>
      <c r="Q438" s="14">
        <v>1.0000941811492863</v>
      </c>
      <c r="R438" s="15">
        <v>9.4181149286283895E-5</v>
      </c>
    </row>
    <row r="439" spans="1:18" ht="18" customHeight="1">
      <c r="A439" s="10" t="s">
        <v>129</v>
      </c>
      <c r="B439" s="10" t="s">
        <v>130</v>
      </c>
      <c r="C439" s="10" t="s">
        <v>241</v>
      </c>
      <c r="D439" s="10" t="s">
        <v>243</v>
      </c>
      <c r="E439" s="16">
        <v>13</v>
      </c>
      <c r="F439" s="16">
        <v>13</v>
      </c>
      <c r="G439" s="13">
        <v>4964.3887234191998</v>
      </c>
      <c r="H439" s="13">
        <v>4964.3887234191998</v>
      </c>
      <c r="I439" s="14">
        <v>0</v>
      </c>
      <c r="J439" s="15">
        <v>1</v>
      </c>
      <c r="K439" s="14">
        <v>128.02077892667026</v>
      </c>
      <c r="L439" s="13">
        <v>635544.91126690421</v>
      </c>
      <c r="M439" s="14">
        <v>2.8789998718295444</v>
      </c>
      <c r="N439" s="14">
        <v>75.683267166192493</v>
      </c>
      <c r="O439" s="13">
        <v>375721.15807136858</v>
      </c>
      <c r="P439" s="13">
        <v>259823.75319553562</v>
      </c>
      <c r="Q439" s="14">
        <v>1.6915334620207412</v>
      </c>
      <c r="R439" s="15">
        <v>0.69153346202074106</v>
      </c>
    </row>
    <row r="440" spans="1:18" ht="18" customHeight="1">
      <c r="A440" s="10" t="s">
        <v>129</v>
      </c>
      <c r="B440" s="10" t="s">
        <v>130</v>
      </c>
      <c r="C440" s="10" t="s">
        <v>241</v>
      </c>
      <c r="D440" s="10" t="s">
        <v>244</v>
      </c>
      <c r="E440" s="16">
        <v>5</v>
      </c>
      <c r="F440" s="16">
        <v>5</v>
      </c>
      <c r="G440" s="13">
        <v>708.09387453240004</v>
      </c>
      <c r="H440" s="13">
        <v>708.09387453240004</v>
      </c>
      <c r="I440" s="14">
        <v>0</v>
      </c>
      <c r="J440" s="15">
        <v>1</v>
      </c>
      <c r="K440" s="14">
        <v>1456.5448100119254</v>
      </c>
      <c r="L440" s="13">
        <v>1031370.4579514028</v>
      </c>
      <c r="M440" s="14">
        <v>4.0825833080700473</v>
      </c>
      <c r="N440" s="14">
        <v>1209.4371596703786</v>
      </c>
      <c r="O440" s="13">
        <v>856395.04439445934</v>
      </c>
      <c r="P440" s="13">
        <v>174975.41355694341</v>
      </c>
      <c r="Q440" s="14">
        <v>1.2043162378183367</v>
      </c>
      <c r="R440" s="15">
        <v>0.20431623781833674</v>
      </c>
    </row>
    <row r="441" spans="1:18" ht="18" customHeight="1">
      <c r="A441" s="10" t="s">
        <v>129</v>
      </c>
      <c r="B441" s="10" t="s">
        <v>130</v>
      </c>
      <c r="C441" s="10" t="s">
        <v>241</v>
      </c>
      <c r="D441" s="10" t="s">
        <v>253</v>
      </c>
      <c r="E441" s="16">
        <v>4</v>
      </c>
      <c r="F441" s="16">
        <v>4</v>
      </c>
      <c r="G441" s="13">
        <v>12210.052891965301</v>
      </c>
      <c r="H441" s="13">
        <v>12210.052891965301</v>
      </c>
      <c r="I441" s="14">
        <v>0</v>
      </c>
      <c r="J441" s="15">
        <v>1</v>
      </c>
      <c r="K441" s="14">
        <v>58.694805624451384</v>
      </c>
      <c r="L441" s="13">
        <v>716666.68115817383</v>
      </c>
      <c r="M441" s="14">
        <v>2.727678058956271</v>
      </c>
      <c r="N441" s="14">
        <v>53.416823546995936</v>
      </c>
      <c r="O441" s="13">
        <v>652222.24082959793</v>
      </c>
      <c r="P441" s="13">
        <v>64444.440328575904</v>
      </c>
      <c r="Q441" s="14">
        <v>1.0988074866116271</v>
      </c>
      <c r="R441" s="15">
        <v>9.8807486611627068E-2</v>
      </c>
    </row>
    <row r="442" spans="1:18" ht="18" customHeight="1">
      <c r="A442" s="10" t="s">
        <v>129</v>
      </c>
      <c r="B442" s="10" t="s">
        <v>130</v>
      </c>
      <c r="C442" s="10" t="s">
        <v>241</v>
      </c>
      <c r="D442" s="10" t="s">
        <v>245</v>
      </c>
      <c r="E442" s="16">
        <v>3</v>
      </c>
      <c r="F442" s="16">
        <v>3</v>
      </c>
      <c r="G442" s="13">
        <v>54.241195866299996</v>
      </c>
      <c r="H442" s="13">
        <v>54.241195866299996</v>
      </c>
      <c r="I442" s="14">
        <v>0</v>
      </c>
      <c r="J442" s="15">
        <v>1</v>
      </c>
      <c r="K442" s="14">
        <v>100.77307135951393</v>
      </c>
      <c r="L442" s="13">
        <v>5466.0519016600219</v>
      </c>
      <c r="M442" s="14">
        <v>2.9295774391484009</v>
      </c>
      <c r="N442" s="14">
        <v>85.031029869447366</v>
      </c>
      <c r="O442" s="13">
        <v>4612.1847458619004</v>
      </c>
      <c r="P442" s="13">
        <v>853.86715579812153</v>
      </c>
      <c r="Q442" s="14">
        <v>1.1851329040026464</v>
      </c>
      <c r="R442" s="15">
        <v>0.18513290400264645</v>
      </c>
    </row>
    <row r="443" spans="1:18" ht="18" customHeight="1">
      <c r="A443" s="10" t="s">
        <v>129</v>
      </c>
      <c r="B443" s="10" t="s">
        <v>130</v>
      </c>
      <c r="C443" s="10" t="s">
        <v>241</v>
      </c>
      <c r="D443" s="10" t="s">
        <v>246</v>
      </c>
      <c r="E443" s="16">
        <v>29</v>
      </c>
      <c r="F443" s="16">
        <v>29</v>
      </c>
      <c r="G443" s="13">
        <v>29016.4258695959</v>
      </c>
      <c r="H443" s="13">
        <v>29016.4258695959</v>
      </c>
      <c r="I443" s="14">
        <v>0</v>
      </c>
      <c r="J443" s="15">
        <v>1</v>
      </c>
      <c r="K443" s="14">
        <v>678.68294950723919</v>
      </c>
      <c r="L443" s="13">
        <v>19692953.493335504</v>
      </c>
      <c r="M443" s="14">
        <v>3.4820950476467667</v>
      </c>
      <c r="N443" s="14">
        <v>303.45552400064929</v>
      </c>
      <c r="O443" s="13">
        <v>8805194.71688422</v>
      </c>
      <c r="P443" s="13">
        <v>10887758.776451284</v>
      </c>
      <c r="Q443" s="14">
        <v>2.2365153896680656</v>
      </c>
      <c r="R443" s="15">
        <v>1.2365153896680656</v>
      </c>
    </row>
    <row r="444" spans="1:18" ht="18" customHeight="1">
      <c r="A444" s="10" t="s">
        <v>129</v>
      </c>
      <c r="B444" s="10" t="s">
        <v>130</v>
      </c>
      <c r="C444" s="10" t="s">
        <v>241</v>
      </c>
      <c r="D444" s="10" t="s">
        <v>247</v>
      </c>
      <c r="E444" s="16">
        <v>119</v>
      </c>
      <c r="F444" s="16">
        <v>119</v>
      </c>
      <c r="G444" s="13">
        <v>84241.859775522476</v>
      </c>
      <c r="H444" s="13">
        <v>84241.859775522476</v>
      </c>
      <c r="I444" s="14">
        <v>0</v>
      </c>
      <c r="J444" s="15">
        <v>1</v>
      </c>
      <c r="K444" s="14">
        <v>822.02928583945607</v>
      </c>
      <c r="L444" s="13">
        <v>69249275.829060346</v>
      </c>
      <c r="M444" s="14">
        <v>3.6916363554123293</v>
      </c>
      <c r="N444" s="14">
        <v>491.62771229340302</v>
      </c>
      <c r="O444" s="13">
        <v>41415632.800781764</v>
      </c>
      <c r="P444" s="13">
        <v>27833643.028278582</v>
      </c>
      <c r="Q444" s="14">
        <v>1.6720564469499835</v>
      </c>
      <c r="R444" s="15">
        <v>0.67205644694998334</v>
      </c>
    </row>
    <row r="445" spans="1:18" ht="18" customHeight="1">
      <c r="A445" s="10" t="s">
        <v>129</v>
      </c>
      <c r="B445" s="10" t="s">
        <v>130</v>
      </c>
      <c r="C445" s="10" t="s">
        <v>241</v>
      </c>
      <c r="D445" s="10" t="s">
        <v>249</v>
      </c>
      <c r="E445" s="16">
        <v>1</v>
      </c>
      <c r="F445" s="16">
        <v>1</v>
      </c>
      <c r="G445" s="13">
        <v>250.96867339240001</v>
      </c>
      <c r="H445" s="13">
        <v>250.96867339240001</v>
      </c>
      <c r="I445" s="14">
        <v>0</v>
      </c>
      <c r="J445" s="15">
        <v>1</v>
      </c>
      <c r="K445" s="14">
        <v>794.32823472428129</v>
      </c>
      <c r="L445" s="13">
        <v>199351.50330687981</v>
      </c>
      <c r="M445" s="14">
        <v>3.9</v>
      </c>
      <c r="N445" s="14">
        <v>794.32823472428129</v>
      </c>
      <c r="O445" s="13">
        <v>199351.50330687981</v>
      </c>
      <c r="P445" s="13">
        <v>0</v>
      </c>
      <c r="Q445" s="14">
        <v>1</v>
      </c>
      <c r="R445" s="15">
        <v>0</v>
      </c>
    </row>
    <row r="446" spans="1:18" ht="18" customHeight="1">
      <c r="A446" s="10" t="s">
        <v>129</v>
      </c>
      <c r="B446" s="10" t="s">
        <v>130</v>
      </c>
      <c r="C446" s="10" t="s">
        <v>241</v>
      </c>
      <c r="D446" s="10" t="s">
        <v>250</v>
      </c>
      <c r="E446" s="16">
        <v>6</v>
      </c>
      <c r="F446" s="16">
        <v>6</v>
      </c>
      <c r="G446" s="13">
        <v>2672.3666291536997</v>
      </c>
      <c r="H446" s="13">
        <v>2672.3666291536997</v>
      </c>
      <c r="I446" s="14">
        <v>0</v>
      </c>
      <c r="J446" s="15">
        <v>1</v>
      </c>
      <c r="K446" s="14">
        <v>1240.292871728577</v>
      </c>
      <c r="L446" s="13">
        <v>3314517.2807846596</v>
      </c>
      <c r="M446" s="14">
        <v>4.0849324382658514</v>
      </c>
      <c r="N446" s="14">
        <v>1215.9968173899961</v>
      </c>
      <c r="O446" s="13">
        <v>3249589.3159501306</v>
      </c>
      <c r="P446" s="13">
        <v>64927.964834528975</v>
      </c>
      <c r="Q446" s="14">
        <v>1.0199803601383841</v>
      </c>
      <c r="R446" s="15">
        <v>1.998036013838414E-2</v>
      </c>
    </row>
    <row r="447" spans="1:18" ht="18" customHeight="1">
      <c r="A447" s="10" t="s">
        <v>129</v>
      </c>
      <c r="B447" s="10" t="s">
        <v>130</v>
      </c>
      <c r="C447" s="10" t="s">
        <v>241</v>
      </c>
      <c r="D447" s="10" t="s">
        <v>251</v>
      </c>
      <c r="E447" s="16">
        <v>11</v>
      </c>
      <c r="F447" s="16">
        <v>11</v>
      </c>
      <c r="G447" s="13">
        <v>6272.6196036676993</v>
      </c>
      <c r="H447" s="13">
        <v>6272.6196036676993</v>
      </c>
      <c r="I447" s="14">
        <v>0</v>
      </c>
      <c r="J447" s="15">
        <v>1</v>
      </c>
      <c r="K447" s="14">
        <v>2875.1671736083049</v>
      </c>
      <c r="L447" s="13">
        <v>18034829.976997305</v>
      </c>
      <c r="M447" s="14">
        <v>4.456006237488455</v>
      </c>
      <c r="N447" s="14">
        <v>2857.6315853793135</v>
      </c>
      <c r="O447" s="13">
        <v>17924835.902510289</v>
      </c>
      <c r="P447" s="13">
        <v>109994.0744870156</v>
      </c>
      <c r="Q447" s="14">
        <v>1.0061364062179008</v>
      </c>
      <c r="R447" s="15">
        <v>6.1364062179007986E-3</v>
      </c>
    </row>
    <row r="448" spans="1:18" ht="18" customHeight="1">
      <c r="A448" s="10" t="s">
        <v>22</v>
      </c>
      <c r="B448" s="10" t="s">
        <v>23</v>
      </c>
      <c r="C448" s="10" t="s">
        <v>241</v>
      </c>
      <c r="D448" s="10" t="s">
        <v>252</v>
      </c>
      <c r="E448" s="16">
        <v>7</v>
      </c>
      <c r="F448" s="16">
        <v>7</v>
      </c>
      <c r="G448" s="13">
        <v>258004.0042212866</v>
      </c>
      <c r="H448" s="13">
        <v>258004.0042212866</v>
      </c>
      <c r="I448" s="14">
        <v>0</v>
      </c>
      <c r="J448" s="15">
        <v>1</v>
      </c>
      <c r="K448" s="14">
        <v>212.02045281023896</v>
      </c>
      <c r="L448" s="13">
        <v>54702125.801851988</v>
      </c>
      <c r="M448" s="14">
        <v>3.3128601795390216</v>
      </c>
      <c r="N448" s="14">
        <v>205.52288116077634</v>
      </c>
      <c r="O448" s="13">
        <v>53025726.298575923</v>
      </c>
      <c r="P448" s="13">
        <v>1676399.503276065</v>
      </c>
      <c r="Q448" s="14">
        <v>1.0316148334081581</v>
      </c>
      <c r="R448" s="15">
        <v>3.1614833408158086E-2</v>
      </c>
    </row>
    <row r="449" spans="1:18" ht="18" customHeight="1">
      <c r="A449" s="10" t="s">
        <v>22</v>
      </c>
      <c r="B449" s="10" t="s">
        <v>23</v>
      </c>
      <c r="C449" s="10" t="s">
        <v>241</v>
      </c>
      <c r="D449" s="10" t="s">
        <v>242</v>
      </c>
      <c r="E449" s="16">
        <v>1</v>
      </c>
      <c r="F449" s="16">
        <v>1</v>
      </c>
      <c r="G449" s="13">
        <v>2.1549629116000002</v>
      </c>
      <c r="H449" s="13">
        <v>2.1549629116000002</v>
      </c>
      <c r="I449" s="14">
        <v>0</v>
      </c>
      <c r="J449" s="15">
        <v>1</v>
      </c>
      <c r="K449" s="14">
        <v>199.52623149688787</v>
      </c>
      <c r="L449" s="13">
        <v>429.97162876710917</v>
      </c>
      <c r="M449" s="14">
        <v>3.3</v>
      </c>
      <c r="N449" s="14">
        <v>199.52623149688787</v>
      </c>
      <c r="O449" s="13">
        <v>429.97162876710917</v>
      </c>
      <c r="P449" s="13">
        <v>0</v>
      </c>
      <c r="Q449" s="14">
        <v>1</v>
      </c>
      <c r="R449" s="15">
        <v>0</v>
      </c>
    </row>
    <row r="450" spans="1:18" ht="18" customHeight="1">
      <c r="A450" s="10" t="s">
        <v>22</v>
      </c>
      <c r="B450" s="10" t="s">
        <v>23</v>
      </c>
      <c r="C450" s="10" t="s">
        <v>241</v>
      </c>
      <c r="D450" s="10" t="s">
        <v>243</v>
      </c>
      <c r="E450" s="16">
        <v>35</v>
      </c>
      <c r="F450" s="16">
        <v>35</v>
      </c>
      <c r="G450" s="13">
        <v>547722.44588699029</v>
      </c>
      <c r="H450" s="13">
        <v>547722.44588699029</v>
      </c>
      <c r="I450" s="14">
        <v>0</v>
      </c>
      <c r="J450" s="15">
        <v>1</v>
      </c>
      <c r="K450" s="14">
        <v>154.0962154199388</v>
      </c>
      <c r="L450" s="13">
        <v>84401956.011737436</v>
      </c>
      <c r="M450" s="14">
        <v>3.0305021773551633</v>
      </c>
      <c r="N450" s="14">
        <v>107.27590261482797</v>
      </c>
      <c r="O450" s="13">
        <v>58757419.764928155</v>
      </c>
      <c r="P450" s="13">
        <v>25644536.246809281</v>
      </c>
      <c r="Q450" s="14">
        <v>1.4364476239665702</v>
      </c>
      <c r="R450" s="15">
        <v>0.43644762396657016</v>
      </c>
    </row>
    <row r="451" spans="1:18" ht="18" customHeight="1">
      <c r="A451" s="10" t="s">
        <v>22</v>
      </c>
      <c r="B451" s="10" t="s">
        <v>23</v>
      </c>
      <c r="C451" s="10" t="s">
        <v>241</v>
      </c>
      <c r="D451" s="10" t="s">
        <v>244</v>
      </c>
      <c r="E451" s="16">
        <v>7</v>
      </c>
      <c r="F451" s="16">
        <v>7</v>
      </c>
      <c r="G451" s="13">
        <v>34269.309511656895</v>
      </c>
      <c r="H451" s="13">
        <v>34269.309511656895</v>
      </c>
      <c r="I451" s="14">
        <v>0</v>
      </c>
      <c r="J451" s="15">
        <v>1</v>
      </c>
      <c r="K451" s="14">
        <v>585.91536640482536</v>
      </c>
      <c r="L451" s="13">
        <v>20078915.038962815</v>
      </c>
      <c r="M451" s="14">
        <v>3.5634072568773449</v>
      </c>
      <c r="N451" s="14">
        <v>365.93778659010201</v>
      </c>
      <c r="O451" s="13">
        <v>12540435.270666854</v>
      </c>
      <c r="P451" s="13">
        <v>7538479.7682959605</v>
      </c>
      <c r="Q451" s="14">
        <v>1.6011338207637105</v>
      </c>
      <c r="R451" s="15">
        <v>0.60113382076371036</v>
      </c>
    </row>
    <row r="452" spans="1:18" ht="18" customHeight="1">
      <c r="A452" s="10" t="s">
        <v>22</v>
      </c>
      <c r="B452" s="10" t="s">
        <v>23</v>
      </c>
      <c r="C452" s="10" t="s">
        <v>241</v>
      </c>
      <c r="D452" s="10" t="s">
        <v>253</v>
      </c>
      <c r="E452" s="16">
        <v>19</v>
      </c>
      <c r="F452" s="16">
        <v>19</v>
      </c>
      <c r="G452" s="13">
        <v>756166.39661252825</v>
      </c>
      <c r="H452" s="13">
        <v>756166.39661252825</v>
      </c>
      <c r="I452" s="14">
        <v>0</v>
      </c>
      <c r="J452" s="15">
        <v>1</v>
      </c>
      <c r="K452" s="14">
        <v>160.49728779707243</v>
      </c>
      <c r="L452" s="13">
        <v>121362655.77959616</v>
      </c>
      <c r="M452" s="14">
        <v>2.637161880334741</v>
      </c>
      <c r="N452" s="14">
        <v>43.367249675855895</v>
      </c>
      <c r="O452" s="13">
        <v>32792856.918387786</v>
      </c>
      <c r="P452" s="13">
        <v>88569798.861208379</v>
      </c>
      <c r="Q452" s="14">
        <v>3.7008869364945465</v>
      </c>
      <c r="R452" s="15">
        <v>2.7008869364945465</v>
      </c>
    </row>
    <row r="453" spans="1:18" ht="18" customHeight="1">
      <c r="A453" s="10" t="s">
        <v>22</v>
      </c>
      <c r="B453" s="10" t="s">
        <v>23</v>
      </c>
      <c r="C453" s="10" t="s">
        <v>241</v>
      </c>
      <c r="D453" s="10" t="s">
        <v>245</v>
      </c>
      <c r="E453" s="16">
        <v>13</v>
      </c>
      <c r="F453" s="16">
        <v>13</v>
      </c>
      <c r="G453" s="13">
        <v>57095.126084687501</v>
      </c>
      <c r="H453" s="13">
        <v>57095.126084687501</v>
      </c>
      <c r="I453" s="14">
        <v>0</v>
      </c>
      <c r="J453" s="15">
        <v>1</v>
      </c>
      <c r="K453" s="14">
        <v>16.52440883190507</v>
      </c>
      <c r="L453" s="13">
        <v>943463.2057325436</v>
      </c>
      <c r="M453" s="14">
        <v>2.157431732703246</v>
      </c>
      <c r="N453" s="14">
        <v>14.36917164783576</v>
      </c>
      <c r="O453" s="13">
        <v>820409.66696569952</v>
      </c>
      <c r="P453" s="13">
        <v>123053.53876684408</v>
      </c>
      <c r="Q453" s="14">
        <v>1.1499903569176115</v>
      </c>
      <c r="R453" s="15">
        <v>0.14999035691761153</v>
      </c>
    </row>
    <row r="454" spans="1:18" ht="18" customHeight="1">
      <c r="A454" s="10" t="s">
        <v>22</v>
      </c>
      <c r="B454" s="10" t="s">
        <v>23</v>
      </c>
      <c r="C454" s="10" t="s">
        <v>241</v>
      </c>
      <c r="D454" s="10" t="s">
        <v>246</v>
      </c>
      <c r="E454" s="16">
        <v>45</v>
      </c>
      <c r="F454" s="16">
        <v>45</v>
      </c>
      <c r="G454" s="13">
        <v>2316823.1224902859</v>
      </c>
      <c r="H454" s="13">
        <v>2316823.1224902859</v>
      </c>
      <c r="I454" s="14">
        <v>0</v>
      </c>
      <c r="J454" s="15">
        <v>1</v>
      </c>
      <c r="K454" s="14">
        <v>438.13327494180692</v>
      </c>
      <c r="L454" s="13">
        <v>1015077302.1175721</v>
      </c>
      <c r="M454" s="14">
        <v>3.450262169495891</v>
      </c>
      <c r="N454" s="14">
        <v>282.00848112817778</v>
      </c>
      <c r="O454" s="13">
        <v>653363769.81612766</v>
      </c>
      <c r="P454" s="13">
        <v>361713532.30144441</v>
      </c>
      <c r="Q454" s="14">
        <v>1.553617370616126</v>
      </c>
      <c r="R454" s="15">
        <v>0.55361737061612604</v>
      </c>
    </row>
    <row r="455" spans="1:18" ht="18" customHeight="1">
      <c r="A455" s="10" t="s">
        <v>22</v>
      </c>
      <c r="B455" s="10" t="s">
        <v>23</v>
      </c>
      <c r="C455" s="10" t="s">
        <v>241</v>
      </c>
      <c r="D455" s="10" t="s">
        <v>247</v>
      </c>
      <c r="E455" s="16">
        <v>108</v>
      </c>
      <c r="F455" s="16">
        <v>108</v>
      </c>
      <c r="G455" s="13">
        <v>2451760.3852236946</v>
      </c>
      <c r="H455" s="13">
        <v>2451760.3852236946</v>
      </c>
      <c r="I455" s="14">
        <v>0</v>
      </c>
      <c r="J455" s="15">
        <v>1</v>
      </c>
      <c r="K455" s="14">
        <v>687.09718780610763</v>
      </c>
      <c r="L455" s="13">
        <v>1684597665.8616197</v>
      </c>
      <c r="M455" s="14">
        <v>3.6165696284176652</v>
      </c>
      <c r="N455" s="14">
        <v>413.58961793535741</v>
      </c>
      <c r="O455" s="13">
        <v>1014022640.9937125</v>
      </c>
      <c r="P455" s="13">
        <v>670575024.86790717</v>
      </c>
      <c r="Q455" s="14">
        <v>1.6613018267627271</v>
      </c>
      <c r="R455" s="15">
        <v>0.6613018267627272</v>
      </c>
    </row>
    <row r="456" spans="1:18" ht="18" customHeight="1">
      <c r="A456" s="10" t="s">
        <v>22</v>
      </c>
      <c r="B456" s="10" t="s">
        <v>23</v>
      </c>
      <c r="C456" s="10" t="s">
        <v>241</v>
      </c>
      <c r="D456" s="10" t="s">
        <v>249</v>
      </c>
      <c r="E456" s="16">
        <v>3</v>
      </c>
      <c r="F456" s="16">
        <v>3</v>
      </c>
      <c r="G456" s="13">
        <v>17467.275721573598</v>
      </c>
      <c r="H456" s="13">
        <v>17467.275721573598</v>
      </c>
      <c r="I456" s="14">
        <v>0</v>
      </c>
      <c r="J456" s="15">
        <v>1</v>
      </c>
      <c r="K456" s="14">
        <v>785.124188543321</v>
      </c>
      <c r="L456" s="13">
        <v>13713980.676962923</v>
      </c>
      <c r="M456" s="14">
        <v>3.8923769708596736</v>
      </c>
      <c r="N456" s="14">
        <v>780.50730275530793</v>
      </c>
      <c r="O456" s="13">
        <v>13633336.259928685</v>
      </c>
      <c r="P456" s="13">
        <v>80644.417034238577</v>
      </c>
      <c r="Q456" s="14">
        <v>1.0059152371434767</v>
      </c>
      <c r="R456" s="15">
        <v>5.9152371434767516E-3</v>
      </c>
    </row>
    <row r="457" spans="1:18" ht="18" customHeight="1">
      <c r="A457" s="10" t="s">
        <v>22</v>
      </c>
      <c r="B457" s="10" t="s">
        <v>23</v>
      </c>
      <c r="C457" s="10" t="s">
        <v>241</v>
      </c>
      <c r="D457" s="10" t="s">
        <v>250</v>
      </c>
      <c r="E457" s="16">
        <v>29</v>
      </c>
      <c r="F457" s="16">
        <v>29</v>
      </c>
      <c r="G457" s="13">
        <v>107071.935155713</v>
      </c>
      <c r="H457" s="13">
        <v>107071.935155713</v>
      </c>
      <c r="I457" s="14">
        <v>0</v>
      </c>
      <c r="J457" s="15">
        <v>1</v>
      </c>
      <c r="K457" s="14">
        <v>1151.9303370539033</v>
      </c>
      <c r="L457" s="13">
        <v>123339410.35293414</v>
      </c>
      <c r="M457" s="14">
        <v>4.0058159422637694</v>
      </c>
      <c r="N457" s="14">
        <v>1013.481772415416</v>
      </c>
      <c r="O457" s="13">
        <v>108515454.61756051</v>
      </c>
      <c r="P457" s="13">
        <v>14823955.735373631</v>
      </c>
      <c r="Q457" s="14">
        <v>1.1366068620144245</v>
      </c>
      <c r="R457" s="15">
        <v>0.13660686201442448</v>
      </c>
    </row>
    <row r="458" spans="1:18" ht="18" customHeight="1">
      <c r="A458" s="10" t="s">
        <v>22</v>
      </c>
      <c r="B458" s="10" t="s">
        <v>23</v>
      </c>
      <c r="C458" s="10" t="s">
        <v>241</v>
      </c>
      <c r="D458" s="10" t="s">
        <v>251</v>
      </c>
      <c r="E458" s="16">
        <v>21</v>
      </c>
      <c r="F458" s="16">
        <v>21</v>
      </c>
      <c r="G458" s="13">
        <v>151343.629504538</v>
      </c>
      <c r="H458" s="13">
        <v>151343.629504538</v>
      </c>
      <c r="I458" s="14">
        <v>0</v>
      </c>
      <c r="J458" s="15">
        <v>1</v>
      </c>
      <c r="K458" s="14">
        <v>2690.8562330738</v>
      </c>
      <c r="L458" s="13">
        <v>407243948.78829795</v>
      </c>
      <c r="M458" s="14">
        <v>4.4231395715596777</v>
      </c>
      <c r="N458" s="14">
        <v>2649.351438164902</v>
      </c>
      <c r="O458" s="13">
        <v>400962462.48494381</v>
      </c>
      <c r="P458" s="13">
        <v>6281486.3033541441</v>
      </c>
      <c r="Q458" s="14">
        <v>1.0156660208649582</v>
      </c>
      <c r="R458" s="15">
        <v>1.5666020864958188E-2</v>
      </c>
    </row>
    <row r="459" spans="1:18" ht="18" customHeight="1">
      <c r="A459" s="10" t="s">
        <v>37</v>
      </c>
      <c r="B459" s="10" t="s">
        <v>38</v>
      </c>
      <c r="C459" s="10" t="s">
        <v>241</v>
      </c>
      <c r="D459" s="10" t="s">
        <v>252</v>
      </c>
      <c r="E459" s="16">
        <v>3</v>
      </c>
      <c r="F459" s="16">
        <v>3</v>
      </c>
      <c r="G459" s="13">
        <v>178334.13182762708</v>
      </c>
      <c r="H459" s="13">
        <v>178334.13182762708</v>
      </c>
      <c r="I459" s="14">
        <v>0</v>
      </c>
      <c r="J459" s="15">
        <v>1</v>
      </c>
      <c r="K459" s="14">
        <v>172.53881083572432</v>
      </c>
      <c r="L459" s="13">
        <v>30769559.036960073</v>
      </c>
      <c r="M459" s="14">
        <v>3.2288408625927505</v>
      </c>
      <c r="N459" s="14">
        <v>169.37170623503474</v>
      </c>
      <c r="O459" s="13">
        <v>30204756.187588811</v>
      </c>
      <c r="P459" s="13">
        <v>564802.84937126189</v>
      </c>
      <c r="Q459" s="14">
        <v>1.0186991361844973</v>
      </c>
      <c r="R459" s="15">
        <v>1.8699136184497343E-2</v>
      </c>
    </row>
    <row r="460" spans="1:18" ht="18" customHeight="1">
      <c r="A460" s="10" t="s">
        <v>37</v>
      </c>
      <c r="B460" s="10" t="s">
        <v>38</v>
      </c>
      <c r="C460" s="10" t="s">
        <v>241</v>
      </c>
      <c r="D460" s="10" t="s">
        <v>243</v>
      </c>
      <c r="E460" s="16">
        <v>36</v>
      </c>
      <c r="F460" s="16">
        <v>36</v>
      </c>
      <c r="G460" s="13">
        <v>180985.92546550703</v>
      </c>
      <c r="H460" s="13">
        <v>180985.92546550703</v>
      </c>
      <c r="I460" s="14">
        <v>0</v>
      </c>
      <c r="J460" s="15">
        <v>1</v>
      </c>
      <c r="K460" s="14">
        <v>130.05854440981764</v>
      </c>
      <c r="L460" s="13">
        <v>23538766.024707589</v>
      </c>
      <c r="M460" s="14">
        <v>2.8892897354525533</v>
      </c>
      <c r="N460" s="14">
        <v>77.49786450455403</v>
      </c>
      <c r="O460" s="13">
        <v>14026022.728957178</v>
      </c>
      <c r="P460" s="13">
        <v>9512743.2957504112</v>
      </c>
      <c r="Q460" s="14">
        <v>1.6782210095889154</v>
      </c>
      <c r="R460" s="15">
        <v>0.6782210095889154</v>
      </c>
    </row>
    <row r="461" spans="1:18" ht="18" customHeight="1">
      <c r="A461" s="10" t="s">
        <v>37</v>
      </c>
      <c r="B461" s="10" t="s">
        <v>38</v>
      </c>
      <c r="C461" s="10" t="s">
        <v>241</v>
      </c>
      <c r="D461" s="10" t="s">
        <v>244</v>
      </c>
      <c r="E461" s="16">
        <v>5</v>
      </c>
      <c r="F461" s="16">
        <v>5</v>
      </c>
      <c r="G461" s="13">
        <v>3873.4020140164002</v>
      </c>
      <c r="H461" s="13">
        <v>3873.4020140164002</v>
      </c>
      <c r="I461" s="14">
        <v>0</v>
      </c>
      <c r="J461" s="15">
        <v>1</v>
      </c>
      <c r="K461" s="14">
        <v>1439.6034943649333</v>
      </c>
      <c r="L461" s="13">
        <v>5576163.07445818</v>
      </c>
      <c r="M461" s="14">
        <v>3.9970718562282848</v>
      </c>
      <c r="N461" s="14">
        <v>993.28037811047727</v>
      </c>
      <c r="O461" s="13">
        <v>3847374.2170560942</v>
      </c>
      <c r="P461" s="13">
        <v>1728788.8574020858</v>
      </c>
      <c r="Q461" s="14">
        <v>1.4493425281424555</v>
      </c>
      <c r="R461" s="15">
        <v>0.44934252814245551</v>
      </c>
    </row>
    <row r="462" spans="1:18" ht="18" customHeight="1">
      <c r="A462" s="10" t="s">
        <v>37</v>
      </c>
      <c r="B462" s="10" t="s">
        <v>38</v>
      </c>
      <c r="C462" s="10" t="s">
        <v>241</v>
      </c>
      <c r="D462" s="10" t="s">
        <v>253</v>
      </c>
      <c r="E462" s="16">
        <v>13</v>
      </c>
      <c r="F462" s="16">
        <v>13</v>
      </c>
      <c r="G462" s="13">
        <v>145650.54575638758</v>
      </c>
      <c r="H462" s="13">
        <v>145650.54575638758</v>
      </c>
      <c r="I462" s="14">
        <v>0</v>
      </c>
      <c r="J462" s="15">
        <v>1</v>
      </c>
      <c r="K462" s="14">
        <v>169.72941943373792</v>
      </c>
      <c r="L462" s="13">
        <v>24721182.571438745</v>
      </c>
      <c r="M462" s="14">
        <v>2.9158754905577768</v>
      </c>
      <c r="N462" s="14">
        <v>82.390187376782251</v>
      </c>
      <c r="O462" s="13">
        <v>12000175.756399371</v>
      </c>
      <c r="P462" s="13">
        <v>12721006.815039374</v>
      </c>
      <c r="Q462" s="14">
        <v>2.0600683751032234</v>
      </c>
      <c r="R462" s="15">
        <v>1.0600683751032232</v>
      </c>
    </row>
    <row r="463" spans="1:18" ht="18" customHeight="1">
      <c r="A463" s="10" t="s">
        <v>37</v>
      </c>
      <c r="B463" s="10" t="s">
        <v>38</v>
      </c>
      <c r="C463" s="10" t="s">
        <v>241</v>
      </c>
      <c r="D463" s="10" t="s">
        <v>245</v>
      </c>
      <c r="E463" s="16">
        <v>5</v>
      </c>
      <c r="F463" s="16">
        <v>5</v>
      </c>
      <c r="G463" s="13">
        <v>51978.515299787701</v>
      </c>
      <c r="H463" s="13">
        <v>51978.515299787701</v>
      </c>
      <c r="I463" s="14">
        <v>0</v>
      </c>
      <c r="J463" s="15">
        <v>1</v>
      </c>
      <c r="K463" s="14">
        <v>11.179036220245562</v>
      </c>
      <c r="L463" s="13">
        <v>581069.70521091484</v>
      </c>
      <c r="M463" s="14">
        <v>2.0455357476145615</v>
      </c>
      <c r="N463" s="14">
        <v>11.105439425806791</v>
      </c>
      <c r="O463" s="13">
        <v>577244.25310516381</v>
      </c>
      <c r="P463" s="13">
        <v>3825.4521057510283</v>
      </c>
      <c r="Q463" s="14">
        <v>1.0066270943108966</v>
      </c>
      <c r="R463" s="15">
        <v>6.6270943108966696E-3</v>
      </c>
    </row>
    <row r="464" spans="1:18" ht="18" customHeight="1">
      <c r="A464" s="10" t="s">
        <v>37</v>
      </c>
      <c r="B464" s="10" t="s">
        <v>38</v>
      </c>
      <c r="C464" s="10" t="s">
        <v>241</v>
      </c>
      <c r="D464" s="10" t="s">
        <v>246</v>
      </c>
      <c r="E464" s="16">
        <v>35</v>
      </c>
      <c r="F464" s="16">
        <v>35</v>
      </c>
      <c r="G464" s="13">
        <v>659450.09038666892</v>
      </c>
      <c r="H464" s="13">
        <v>659450.09038666892</v>
      </c>
      <c r="I464" s="14">
        <v>0</v>
      </c>
      <c r="J464" s="15">
        <v>1</v>
      </c>
      <c r="K464" s="14">
        <v>1157.0502667059627</v>
      </c>
      <c r="L464" s="13">
        <v>763016902.9611665</v>
      </c>
      <c r="M464" s="14">
        <v>3.9071749963623428</v>
      </c>
      <c r="N464" s="14">
        <v>807.56036631489258</v>
      </c>
      <c r="O464" s="13">
        <v>532545756.5590474</v>
      </c>
      <c r="P464" s="13">
        <v>230471146.4021191</v>
      </c>
      <c r="Q464" s="14">
        <v>1.4327724774135253</v>
      </c>
      <c r="R464" s="15">
        <v>0.43277247741352531</v>
      </c>
    </row>
    <row r="465" spans="1:18" ht="18" customHeight="1">
      <c r="A465" s="10" t="s">
        <v>37</v>
      </c>
      <c r="B465" s="10" t="s">
        <v>38</v>
      </c>
      <c r="C465" s="10" t="s">
        <v>241</v>
      </c>
      <c r="D465" s="10" t="s">
        <v>247</v>
      </c>
      <c r="E465" s="16">
        <v>91</v>
      </c>
      <c r="F465" s="16">
        <v>91</v>
      </c>
      <c r="G465" s="13">
        <v>1284066.5360903968</v>
      </c>
      <c r="H465" s="13">
        <v>1284066.5360903968</v>
      </c>
      <c r="I465" s="14">
        <v>0</v>
      </c>
      <c r="J465" s="15">
        <v>1</v>
      </c>
      <c r="K465" s="14">
        <v>663.65299429655829</v>
      </c>
      <c r="L465" s="13">
        <v>852174601.55240142</v>
      </c>
      <c r="M465" s="14">
        <v>3.6450477827589705</v>
      </c>
      <c r="N465" s="14">
        <v>441.6190333149076</v>
      </c>
      <c r="O465" s="13">
        <v>567068222.38026297</v>
      </c>
      <c r="P465" s="13">
        <v>285106379.17213845</v>
      </c>
      <c r="Q465" s="14">
        <v>1.5027726257969587</v>
      </c>
      <c r="R465" s="15">
        <v>0.50277262579695858</v>
      </c>
    </row>
    <row r="466" spans="1:18" ht="18" customHeight="1">
      <c r="A466" s="10" t="s">
        <v>37</v>
      </c>
      <c r="B466" s="10" t="s">
        <v>38</v>
      </c>
      <c r="C466" s="10" t="s">
        <v>241</v>
      </c>
      <c r="D466" s="10" t="s">
        <v>249</v>
      </c>
      <c r="E466" s="16">
        <v>3</v>
      </c>
      <c r="F466" s="16">
        <v>3</v>
      </c>
      <c r="G466" s="13">
        <v>41732.162415240593</v>
      </c>
      <c r="H466" s="13">
        <v>41732.162415240593</v>
      </c>
      <c r="I466" s="14">
        <v>0</v>
      </c>
      <c r="J466" s="15">
        <v>1</v>
      </c>
      <c r="K466" s="14">
        <v>794.63608833025148</v>
      </c>
      <c r="L466" s="13">
        <v>33161882.299209524</v>
      </c>
      <c r="M466" s="14">
        <v>3.9001500556995605</v>
      </c>
      <c r="N466" s="14">
        <v>794.60273527151298</v>
      </c>
      <c r="O466" s="13">
        <v>33160490.403945204</v>
      </c>
      <c r="P466" s="13">
        <v>1391.8952643200755</v>
      </c>
      <c r="Q466" s="14">
        <v>1.0000419745078364</v>
      </c>
      <c r="R466" s="15">
        <v>4.1974507836424444E-5</v>
      </c>
    </row>
    <row r="467" spans="1:18" ht="18" customHeight="1">
      <c r="A467" s="10" t="s">
        <v>37</v>
      </c>
      <c r="B467" s="10" t="s">
        <v>38</v>
      </c>
      <c r="C467" s="10" t="s">
        <v>241</v>
      </c>
      <c r="D467" s="10" t="s">
        <v>250</v>
      </c>
      <c r="E467" s="16">
        <v>9</v>
      </c>
      <c r="F467" s="16">
        <v>9</v>
      </c>
      <c r="G467" s="13">
        <v>10239.425192844801</v>
      </c>
      <c r="H467" s="13">
        <v>10239.425192844801</v>
      </c>
      <c r="I467" s="14">
        <v>0</v>
      </c>
      <c r="J467" s="15">
        <v>1</v>
      </c>
      <c r="K467" s="14">
        <v>955.08648401586231</v>
      </c>
      <c r="L467" s="13">
        <v>9779536.605777584</v>
      </c>
      <c r="M467" s="14">
        <v>3.9308456149631184</v>
      </c>
      <c r="N467" s="14">
        <v>852.79690388917811</v>
      </c>
      <c r="O467" s="13">
        <v>8732150.1020628978</v>
      </c>
      <c r="P467" s="13">
        <v>1047386.5037146863</v>
      </c>
      <c r="Q467" s="14">
        <v>1.1199460031576014</v>
      </c>
      <c r="R467" s="15">
        <v>0.11994600315760146</v>
      </c>
    </row>
    <row r="468" spans="1:18" ht="18" customHeight="1">
      <c r="A468" s="10" t="s">
        <v>37</v>
      </c>
      <c r="B468" s="10" t="s">
        <v>38</v>
      </c>
      <c r="C468" s="10" t="s">
        <v>241</v>
      </c>
      <c r="D468" s="10" t="s">
        <v>251</v>
      </c>
      <c r="E468" s="16">
        <v>14</v>
      </c>
      <c r="F468" s="16">
        <v>14</v>
      </c>
      <c r="G468" s="13">
        <v>59514.3224133451</v>
      </c>
      <c r="H468" s="13">
        <v>59514.3224133451</v>
      </c>
      <c r="I468" s="14">
        <v>0</v>
      </c>
      <c r="J468" s="15">
        <v>1</v>
      </c>
      <c r="K468" s="14">
        <v>2109.9834613708349</v>
      </c>
      <c r="L468" s="13">
        <v>125574236.00684977</v>
      </c>
      <c r="M468" s="14">
        <v>4.3013969345246492</v>
      </c>
      <c r="N468" s="14">
        <v>2001.6905299717675</v>
      </c>
      <c r="O468" s="13">
        <v>119129255.5724794</v>
      </c>
      <c r="P468" s="13">
        <v>6444980.4343703687</v>
      </c>
      <c r="Q468" s="14">
        <v>1.0541007362414783</v>
      </c>
      <c r="R468" s="15">
        <v>5.4100736241478313E-2</v>
      </c>
    </row>
    <row r="469" spans="1:18" ht="18" customHeight="1">
      <c r="A469" s="10" t="s">
        <v>17</v>
      </c>
      <c r="B469" s="10" t="s">
        <v>18</v>
      </c>
      <c r="C469" s="10" t="s">
        <v>241</v>
      </c>
      <c r="D469" s="10" t="s">
        <v>252</v>
      </c>
      <c r="E469" s="16">
        <v>5</v>
      </c>
      <c r="F469" s="16">
        <v>5</v>
      </c>
      <c r="G469" s="13">
        <v>545444.26392372895</v>
      </c>
      <c r="H469" s="13">
        <v>545444.26392372895</v>
      </c>
      <c r="I469" s="14">
        <v>0</v>
      </c>
      <c r="J469" s="15">
        <v>1</v>
      </c>
      <c r="K469" s="14">
        <v>147.97882974498742</v>
      </c>
      <c r="L469" s="13">
        <v>80714203.866549477</v>
      </c>
      <c r="M469" s="14">
        <v>3.1639032433176859</v>
      </c>
      <c r="N469" s="14">
        <v>145.84892865270209</v>
      </c>
      <c r="O469" s="13">
        <v>79552461.533037543</v>
      </c>
      <c r="P469" s="13">
        <v>1161742.3335119337</v>
      </c>
      <c r="Q469" s="14">
        <v>1.0146034743755787</v>
      </c>
      <c r="R469" s="15">
        <v>1.4603474375578821E-2</v>
      </c>
    </row>
    <row r="470" spans="1:18" ht="18" customHeight="1">
      <c r="A470" s="10" t="s">
        <v>17</v>
      </c>
      <c r="B470" s="10" t="s">
        <v>18</v>
      </c>
      <c r="C470" s="10" t="s">
        <v>241</v>
      </c>
      <c r="D470" s="10" t="s">
        <v>243</v>
      </c>
      <c r="E470" s="16">
        <v>40</v>
      </c>
      <c r="F470" s="16">
        <v>40</v>
      </c>
      <c r="G470" s="13">
        <v>1246425.6303822605</v>
      </c>
      <c r="H470" s="13">
        <v>1246425.6303822605</v>
      </c>
      <c r="I470" s="14">
        <v>0</v>
      </c>
      <c r="J470" s="15">
        <v>1</v>
      </c>
      <c r="K470" s="14">
        <v>174.52256684198744</v>
      </c>
      <c r="L470" s="13">
        <v>217529400.39195439</v>
      </c>
      <c r="M470" s="14">
        <v>2.9491454167392144</v>
      </c>
      <c r="N470" s="14">
        <v>88.949890284649044</v>
      </c>
      <c r="O470" s="13">
        <v>110869423.07047659</v>
      </c>
      <c r="P470" s="13">
        <v>106659977.3214778</v>
      </c>
      <c r="Q470" s="14">
        <v>1.9620324014284536</v>
      </c>
      <c r="R470" s="15">
        <v>0.9620324014284537</v>
      </c>
    </row>
    <row r="471" spans="1:18" ht="18" customHeight="1">
      <c r="A471" s="10" t="s">
        <v>17</v>
      </c>
      <c r="B471" s="10" t="s">
        <v>18</v>
      </c>
      <c r="C471" s="10" t="s">
        <v>241</v>
      </c>
      <c r="D471" s="10" t="s">
        <v>244</v>
      </c>
      <c r="E471" s="16">
        <v>7</v>
      </c>
      <c r="F471" s="16">
        <v>7</v>
      </c>
      <c r="G471" s="13">
        <v>9930.5298047652013</v>
      </c>
      <c r="H471" s="13">
        <v>9930.5298047652013</v>
      </c>
      <c r="I471" s="14">
        <v>0</v>
      </c>
      <c r="J471" s="15">
        <v>1</v>
      </c>
      <c r="K471" s="14">
        <v>1464.1284778678778</v>
      </c>
      <c r="L471" s="13">
        <v>14539571.487472467</v>
      </c>
      <c r="M471" s="14">
        <v>4.032882586321807</v>
      </c>
      <c r="N471" s="14">
        <v>1078.6550630323295</v>
      </c>
      <c r="O471" s="13">
        <v>10711616.252503434</v>
      </c>
      <c r="P471" s="13">
        <v>3827955.2349690329</v>
      </c>
      <c r="Q471" s="14">
        <v>1.3573648593016383</v>
      </c>
      <c r="R471" s="15">
        <v>0.35736485930163842</v>
      </c>
    </row>
    <row r="472" spans="1:18" ht="18" customHeight="1">
      <c r="A472" s="10" t="s">
        <v>17</v>
      </c>
      <c r="B472" s="10" t="s">
        <v>18</v>
      </c>
      <c r="C472" s="10" t="s">
        <v>241</v>
      </c>
      <c r="D472" s="10" t="s">
        <v>253</v>
      </c>
      <c r="E472" s="16">
        <v>19</v>
      </c>
      <c r="F472" s="16">
        <v>19</v>
      </c>
      <c r="G472" s="13">
        <v>419429.9129495481</v>
      </c>
      <c r="H472" s="13">
        <v>419429.9129495481</v>
      </c>
      <c r="I472" s="14">
        <v>0</v>
      </c>
      <c r="J472" s="15">
        <v>1</v>
      </c>
      <c r="K472" s="14">
        <v>179.31483027856666</v>
      </c>
      <c r="L472" s="13">
        <v>75210003.65430221</v>
      </c>
      <c r="M472" s="14">
        <v>3.0194853468195211</v>
      </c>
      <c r="N472" s="14">
        <v>104.58884013892978</v>
      </c>
      <c r="O472" s="13">
        <v>43867688.114965521</v>
      </c>
      <c r="P472" s="13">
        <v>31342315.539336689</v>
      </c>
      <c r="Q472" s="14">
        <v>1.7144738390862275</v>
      </c>
      <c r="R472" s="15">
        <v>0.71447383908622752</v>
      </c>
    </row>
    <row r="473" spans="1:18" ht="18" customHeight="1">
      <c r="A473" s="10" t="s">
        <v>17</v>
      </c>
      <c r="B473" s="10" t="s">
        <v>18</v>
      </c>
      <c r="C473" s="10" t="s">
        <v>241</v>
      </c>
      <c r="D473" s="10" t="s">
        <v>245</v>
      </c>
      <c r="E473" s="16">
        <v>16</v>
      </c>
      <c r="F473" s="16">
        <v>16</v>
      </c>
      <c r="G473" s="13">
        <v>62245.034228173601</v>
      </c>
      <c r="H473" s="13">
        <v>62245.034228173601</v>
      </c>
      <c r="I473" s="14">
        <v>0</v>
      </c>
      <c r="J473" s="15">
        <v>1</v>
      </c>
      <c r="K473" s="14">
        <v>21.993978743772708</v>
      </c>
      <c r="L473" s="13">
        <v>1369015.9597198549</v>
      </c>
      <c r="M473" s="14">
        <v>2.1837012100784827</v>
      </c>
      <c r="N473" s="14">
        <v>15.265154706962454</v>
      </c>
      <c r="O473" s="13">
        <v>950180.07723324327</v>
      </c>
      <c r="P473" s="13">
        <v>418835.8824866116</v>
      </c>
      <c r="Q473" s="14">
        <v>1.4407963211628134</v>
      </c>
      <c r="R473" s="15">
        <v>0.44079632116281348</v>
      </c>
    </row>
    <row r="474" spans="1:18" ht="18" customHeight="1">
      <c r="A474" s="10" t="s">
        <v>17</v>
      </c>
      <c r="B474" s="10" t="s">
        <v>18</v>
      </c>
      <c r="C474" s="10" t="s">
        <v>241</v>
      </c>
      <c r="D474" s="10" t="s">
        <v>246</v>
      </c>
      <c r="E474" s="16">
        <v>65</v>
      </c>
      <c r="F474" s="16">
        <v>65</v>
      </c>
      <c r="G474" s="13">
        <v>3282188.1577782994</v>
      </c>
      <c r="H474" s="13">
        <v>3282188.1577782994</v>
      </c>
      <c r="I474" s="14">
        <v>0</v>
      </c>
      <c r="J474" s="15">
        <v>1</v>
      </c>
      <c r="K474" s="14">
        <v>789.68312739896282</v>
      </c>
      <c r="L474" s="13">
        <v>2591888609.1462078</v>
      </c>
      <c r="M474" s="14">
        <v>3.6716030320809496</v>
      </c>
      <c r="N474" s="14">
        <v>469.46479699802899</v>
      </c>
      <c r="O474" s="13">
        <v>1540871797.2007241</v>
      </c>
      <c r="P474" s="13">
        <v>1051016811.9454837</v>
      </c>
      <c r="Q474" s="14">
        <v>1.6820923154378244</v>
      </c>
      <c r="R474" s="15">
        <v>0.68209231543782434</v>
      </c>
    </row>
    <row r="475" spans="1:18" ht="18" customHeight="1">
      <c r="A475" s="10" t="s">
        <v>17</v>
      </c>
      <c r="B475" s="10" t="s">
        <v>18</v>
      </c>
      <c r="C475" s="10" t="s">
        <v>241</v>
      </c>
      <c r="D475" s="10" t="s">
        <v>247</v>
      </c>
      <c r="E475" s="16">
        <v>148</v>
      </c>
      <c r="F475" s="16">
        <v>148</v>
      </c>
      <c r="G475" s="13">
        <v>5012048.1692535616</v>
      </c>
      <c r="H475" s="13">
        <v>5012048.1692535616</v>
      </c>
      <c r="I475" s="14">
        <v>0</v>
      </c>
      <c r="J475" s="15">
        <v>1</v>
      </c>
      <c r="K475" s="14">
        <v>841.72696196283289</v>
      </c>
      <c r="L475" s="13">
        <v>4218776078.7171788</v>
      </c>
      <c r="M475" s="14">
        <v>3.6991967077459487</v>
      </c>
      <c r="N475" s="14">
        <v>500.26107007998843</v>
      </c>
      <c r="O475" s="13">
        <v>2507332580.4432335</v>
      </c>
      <c r="P475" s="13">
        <v>1711443498.2739453</v>
      </c>
      <c r="Q475" s="14">
        <v>1.6825753837456239</v>
      </c>
      <c r="R475" s="15">
        <v>0.68257538374562388</v>
      </c>
    </row>
    <row r="476" spans="1:18" ht="18" customHeight="1">
      <c r="A476" s="10" t="s">
        <v>17</v>
      </c>
      <c r="B476" s="10" t="s">
        <v>18</v>
      </c>
      <c r="C476" s="10" t="s">
        <v>241</v>
      </c>
      <c r="D476" s="10" t="s">
        <v>249</v>
      </c>
      <c r="E476" s="16">
        <v>4</v>
      </c>
      <c r="F476" s="16">
        <v>4</v>
      </c>
      <c r="G476" s="13">
        <v>5068.5185529288992</v>
      </c>
      <c r="H476" s="13">
        <v>5068.5185529288992</v>
      </c>
      <c r="I476" s="14">
        <v>0</v>
      </c>
      <c r="J476" s="15">
        <v>1</v>
      </c>
      <c r="K476" s="14">
        <v>589.62002152495927</v>
      </c>
      <c r="L476" s="13">
        <v>2988500.018277593</v>
      </c>
      <c r="M476" s="14">
        <v>3.7492836554725497</v>
      </c>
      <c r="N476" s="14">
        <v>561.41453908714209</v>
      </c>
      <c r="O476" s="13">
        <v>2845540.0072472063</v>
      </c>
      <c r="P476" s="13">
        <v>142960.01103038667</v>
      </c>
      <c r="Q476" s="14">
        <v>1.0502400284888938</v>
      </c>
      <c r="R476" s="15">
        <v>5.0240028488893786E-2</v>
      </c>
    </row>
    <row r="477" spans="1:18" ht="18" customHeight="1">
      <c r="A477" s="10" t="s">
        <v>17</v>
      </c>
      <c r="B477" s="10" t="s">
        <v>18</v>
      </c>
      <c r="C477" s="10" t="s">
        <v>241</v>
      </c>
      <c r="D477" s="10" t="s">
        <v>250</v>
      </c>
      <c r="E477" s="16">
        <v>16</v>
      </c>
      <c r="F477" s="16">
        <v>16</v>
      </c>
      <c r="G477" s="13">
        <v>103896.66345671899</v>
      </c>
      <c r="H477" s="13">
        <v>103896.66345671899</v>
      </c>
      <c r="I477" s="14">
        <v>0</v>
      </c>
      <c r="J477" s="15">
        <v>1</v>
      </c>
      <c r="K477" s="14">
        <v>927.52792748671709</v>
      </c>
      <c r="L477" s="13">
        <v>96367056.928795502</v>
      </c>
      <c r="M477" s="14">
        <v>3.8484876249800619</v>
      </c>
      <c r="N477" s="14">
        <v>705.48474130357965</v>
      </c>
      <c r="O477" s="13">
        <v>73297510.741068467</v>
      </c>
      <c r="P477" s="13">
        <v>23069546.187727034</v>
      </c>
      <c r="Q477" s="14">
        <v>1.3147384673024265</v>
      </c>
      <c r="R477" s="15">
        <v>0.31473846730242649</v>
      </c>
    </row>
    <row r="478" spans="1:18" ht="18" customHeight="1">
      <c r="A478" s="10" t="s">
        <v>17</v>
      </c>
      <c r="B478" s="10" t="s">
        <v>18</v>
      </c>
      <c r="C478" s="10" t="s">
        <v>241</v>
      </c>
      <c r="D478" s="10" t="s">
        <v>251</v>
      </c>
      <c r="E478" s="16">
        <v>20</v>
      </c>
      <c r="F478" s="16">
        <v>20</v>
      </c>
      <c r="G478" s="13">
        <v>414989.20744899008</v>
      </c>
      <c r="H478" s="13">
        <v>414989.20744899008</v>
      </c>
      <c r="I478" s="14">
        <v>0</v>
      </c>
      <c r="J478" s="15">
        <v>1</v>
      </c>
      <c r="K478" s="14">
        <v>1859.3453975956897</v>
      </c>
      <c r="L478" s="13">
        <v>771608272.92216265</v>
      </c>
      <c r="M478" s="14">
        <v>4.2575689862877155</v>
      </c>
      <c r="N478" s="14">
        <v>1809.5433275884684</v>
      </c>
      <c r="O478" s="13">
        <v>750940951.36054671</v>
      </c>
      <c r="P478" s="13">
        <v>20667321.561615944</v>
      </c>
      <c r="Q478" s="14">
        <v>1.0275218997235016</v>
      </c>
      <c r="R478" s="15">
        <v>2.7521899723501712E-2</v>
      </c>
    </row>
    <row r="479" spans="1:18" ht="18" customHeight="1">
      <c r="A479" s="10" t="s">
        <v>61</v>
      </c>
      <c r="B479" s="10" t="s">
        <v>62</v>
      </c>
      <c r="C479" s="10" t="s">
        <v>241</v>
      </c>
      <c r="D479" s="10" t="s">
        <v>252</v>
      </c>
      <c r="E479" s="16">
        <v>2</v>
      </c>
      <c r="F479" s="16">
        <v>2</v>
      </c>
      <c r="G479" s="13">
        <v>33530.953819162198</v>
      </c>
      <c r="H479" s="13">
        <v>33530.953819162198</v>
      </c>
      <c r="I479" s="14">
        <v>0</v>
      </c>
      <c r="J479" s="15">
        <v>1</v>
      </c>
      <c r="K479" s="14">
        <v>190.71324102680094</v>
      </c>
      <c r="L479" s="13">
        <v>6394796.8775724117</v>
      </c>
      <c r="M479" s="14">
        <v>3.2661379146996472</v>
      </c>
      <c r="N479" s="14">
        <v>184.56014159273701</v>
      </c>
      <c r="O479" s="13">
        <v>6188477.5846041013</v>
      </c>
      <c r="P479" s="13">
        <v>206319.29296831042</v>
      </c>
      <c r="Q479" s="14">
        <v>1.0333392648107182</v>
      </c>
      <c r="R479" s="15">
        <v>3.3339264810718285E-2</v>
      </c>
    </row>
    <row r="480" spans="1:18" ht="18" customHeight="1">
      <c r="A480" s="10" t="s">
        <v>61</v>
      </c>
      <c r="B480" s="10" t="s">
        <v>62</v>
      </c>
      <c r="C480" s="10" t="s">
        <v>241</v>
      </c>
      <c r="D480" s="10" t="s">
        <v>243</v>
      </c>
      <c r="E480" s="16">
        <v>26</v>
      </c>
      <c r="F480" s="16">
        <v>26</v>
      </c>
      <c r="G480" s="13">
        <v>67008.136431569292</v>
      </c>
      <c r="H480" s="13">
        <v>67008.136431569292</v>
      </c>
      <c r="I480" s="14">
        <v>0</v>
      </c>
      <c r="J480" s="15">
        <v>1</v>
      </c>
      <c r="K480" s="14">
        <v>129.83690147038297</v>
      </c>
      <c r="L480" s="13">
        <v>8700128.8075796422</v>
      </c>
      <c r="M480" s="14">
        <v>2.8492751178418447</v>
      </c>
      <c r="N480" s="14">
        <v>70.676513564287077</v>
      </c>
      <c r="O480" s="13">
        <v>4735901.4634234058</v>
      </c>
      <c r="P480" s="13">
        <v>3964227.3441562364</v>
      </c>
      <c r="Q480" s="14">
        <v>1.8370586623841292</v>
      </c>
      <c r="R480" s="15">
        <v>0.83705866238412929</v>
      </c>
    </row>
    <row r="481" spans="1:18" ht="18" customHeight="1">
      <c r="A481" s="10" t="s">
        <v>61</v>
      </c>
      <c r="B481" s="10" t="s">
        <v>62</v>
      </c>
      <c r="C481" s="10" t="s">
        <v>241</v>
      </c>
      <c r="D481" s="10" t="s">
        <v>244</v>
      </c>
      <c r="E481" s="16">
        <v>4</v>
      </c>
      <c r="F481" s="16">
        <v>4</v>
      </c>
      <c r="G481" s="13">
        <v>1340.2892292950999</v>
      </c>
      <c r="H481" s="13">
        <v>1340.2892292950999</v>
      </c>
      <c r="I481" s="14">
        <v>0</v>
      </c>
      <c r="J481" s="15">
        <v>1</v>
      </c>
      <c r="K481" s="14">
        <v>896.49677030292662</v>
      </c>
      <c r="L481" s="13">
        <v>1201564.9653348557</v>
      </c>
      <c r="M481" s="14">
        <v>3.9009441942373977</v>
      </c>
      <c r="N481" s="14">
        <v>796.05705249025266</v>
      </c>
      <c r="O481" s="13">
        <v>1066946.6933570895</v>
      </c>
      <c r="P481" s="13">
        <v>134618.27197776618</v>
      </c>
      <c r="Q481" s="14">
        <v>1.1261715068015228</v>
      </c>
      <c r="R481" s="15">
        <v>0.1261715068015227</v>
      </c>
    </row>
    <row r="482" spans="1:18" ht="18" customHeight="1">
      <c r="A482" s="10" t="s">
        <v>61</v>
      </c>
      <c r="B482" s="10" t="s">
        <v>62</v>
      </c>
      <c r="C482" s="10" t="s">
        <v>241</v>
      </c>
      <c r="D482" s="10" t="s">
        <v>253</v>
      </c>
      <c r="E482" s="16">
        <v>12</v>
      </c>
      <c r="F482" s="16">
        <v>12</v>
      </c>
      <c r="G482" s="13">
        <v>226202.59380444844</v>
      </c>
      <c r="H482" s="13">
        <v>226202.59380444844</v>
      </c>
      <c r="I482" s="14">
        <v>0</v>
      </c>
      <c r="J482" s="15">
        <v>1</v>
      </c>
      <c r="K482" s="14">
        <v>85.544213780875722</v>
      </c>
      <c r="L482" s="13">
        <v>19350323.04219633</v>
      </c>
      <c r="M482" s="14">
        <v>2.793851916290945</v>
      </c>
      <c r="N482" s="14">
        <v>62.208813228873446</v>
      </c>
      <c r="O482" s="13">
        <v>14071794.909867659</v>
      </c>
      <c r="P482" s="13">
        <v>5278528.1323286705</v>
      </c>
      <c r="Q482" s="14">
        <v>1.3751140608670449</v>
      </c>
      <c r="R482" s="15">
        <v>0.37511406086704496</v>
      </c>
    </row>
    <row r="483" spans="1:18" ht="18" customHeight="1">
      <c r="A483" s="10" t="s">
        <v>61</v>
      </c>
      <c r="B483" s="10" t="s">
        <v>62</v>
      </c>
      <c r="C483" s="10" t="s">
        <v>241</v>
      </c>
      <c r="D483" s="10" t="s">
        <v>245</v>
      </c>
      <c r="E483" s="16">
        <v>10</v>
      </c>
      <c r="F483" s="16">
        <v>10</v>
      </c>
      <c r="G483" s="13">
        <v>7502.4002337182001</v>
      </c>
      <c r="H483" s="13">
        <v>7502.4002337182001</v>
      </c>
      <c r="I483" s="14">
        <v>0</v>
      </c>
      <c r="J483" s="15">
        <v>1</v>
      </c>
      <c r="K483" s="14">
        <v>13.146148371269707</v>
      </c>
      <c r="L483" s="13">
        <v>98627.666613107984</v>
      </c>
      <c r="M483" s="14">
        <v>2.1096869950131234</v>
      </c>
      <c r="N483" s="14">
        <v>12.873214181842794</v>
      </c>
      <c r="O483" s="13">
        <v>96580.005086561825</v>
      </c>
      <c r="P483" s="13">
        <v>2047.6615265461587</v>
      </c>
      <c r="Q483" s="14">
        <v>1.0212017127635362</v>
      </c>
      <c r="R483" s="15">
        <v>2.1201712763536301E-2</v>
      </c>
    </row>
    <row r="484" spans="1:18" ht="18" customHeight="1">
      <c r="A484" s="10" t="s">
        <v>61</v>
      </c>
      <c r="B484" s="10" t="s">
        <v>62</v>
      </c>
      <c r="C484" s="10" t="s">
        <v>241</v>
      </c>
      <c r="D484" s="10" t="s">
        <v>246</v>
      </c>
      <c r="E484" s="16">
        <v>39</v>
      </c>
      <c r="F484" s="16">
        <v>39</v>
      </c>
      <c r="G484" s="13">
        <v>537683.60338056588</v>
      </c>
      <c r="H484" s="13">
        <v>537683.60338056588</v>
      </c>
      <c r="I484" s="14">
        <v>0</v>
      </c>
      <c r="J484" s="15">
        <v>1</v>
      </c>
      <c r="K484" s="14">
        <v>220.26522736792941</v>
      </c>
      <c r="L484" s="13">
        <v>118433001.15062793</v>
      </c>
      <c r="M484" s="14">
        <v>3.0816730101308587</v>
      </c>
      <c r="N484" s="14">
        <v>120.6904787764359</v>
      </c>
      <c r="O484" s="13">
        <v>64893291.52223976</v>
      </c>
      <c r="P484" s="13">
        <v>53539709.628388166</v>
      </c>
      <c r="Q484" s="14">
        <v>1.8250422866905962</v>
      </c>
      <c r="R484" s="15">
        <v>0.82504228669059609</v>
      </c>
    </row>
    <row r="485" spans="1:18" ht="18" customHeight="1">
      <c r="A485" s="10" t="s">
        <v>61</v>
      </c>
      <c r="B485" s="10" t="s">
        <v>62</v>
      </c>
      <c r="C485" s="10" t="s">
        <v>241</v>
      </c>
      <c r="D485" s="10" t="s">
        <v>247</v>
      </c>
      <c r="E485" s="16">
        <v>95</v>
      </c>
      <c r="F485" s="16">
        <v>95</v>
      </c>
      <c r="G485" s="13">
        <v>734473.36437273072</v>
      </c>
      <c r="H485" s="13">
        <v>734473.36437273072</v>
      </c>
      <c r="I485" s="14">
        <v>0</v>
      </c>
      <c r="J485" s="15">
        <v>1</v>
      </c>
      <c r="K485" s="14">
        <v>724.06807217371932</v>
      </c>
      <c r="L485" s="13">
        <v>531808713.00430882</v>
      </c>
      <c r="M485" s="14">
        <v>3.575063032464219</v>
      </c>
      <c r="N485" s="14">
        <v>375.89195639067043</v>
      </c>
      <c r="O485" s="13">
        <v>276082629.85090351</v>
      </c>
      <c r="P485" s="13">
        <v>255726083.15340531</v>
      </c>
      <c r="Q485" s="14">
        <v>1.9262664706269583</v>
      </c>
      <c r="R485" s="15">
        <v>0.92626647062695822</v>
      </c>
    </row>
    <row r="486" spans="1:18" ht="18" customHeight="1">
      <c r="A486" s="10" t="s">
        <v>61</v>
      </c>
      <c r="B486" s="10" t="s">
        <v>62</v>
      </c>
      <c r="C486" s="10" t="s">
        <v>241</v>
      </c>
      <c r="D486" s="10" t="s">
        <v>249</v>
      </c>
      <c r="E486" s="16">
        <v>2</v>
      </c>
      <c r="F486" s="16">
        <v>2</v>
      </c>
      <c r="G486" s="13">
        <v>993.33788322310011</v>
      </c>
      <c r="H486" s="13">
        <v>993.33788322310011</v>
      </c>
      <c r="I486" s="14">
        <v>0</v>
      </c>
      <c r="J486" s="15">
        <v>1</v>
      </c>
      <c r="K486" s="14">
        <v>715.39310463210938</v>
      </c>
      <c r="L486" s="13">
        <v>710627.07222766127</v>
      </c>
      <c r="M486" s="14">
        <v>3.8402340229507721</v>
      </c>
      <c r="N486" s="14">
        <v>692.20386986547032</v>
      </c>
      <c r="O486" s="13">
        <v>687592.3268510045</v>
      </c>
      <c r="P486" s="13">
        <v>23034.745376656763</v>
      </c>
      <c r="Q486" s="14">
        <v>1.033500585269981</v>
      </c>
      <c r="R486" s="15">
        <v>3.3500585269981058E-2</v>
      </c>
    </row>
    <row r="487" spans="1:18" ht="18" customHeight="1">
      <c r="A487" s="10" t="s">
        <v>61</v>
      </c>
      <c r="B487" s="10" t="s">
        <v>62</v>
      </c>
      <c r="C487" s="10" t="s">
        <v>241</v>
      </c>
      <c r="D487" s="10" t="s">
        <v>250</v>
      </c>
      <c r="E487" s="16">
        <v>13</v>
      </c>
      <c r="F487" s="16">
        <v>13</v>
      </c>
      <c r="G487" s="13">
        <v>10888.798653121599</v>
      </c>
      <c r="H487" s="13">
        <v>10888.798653121599</v>
      </c>
      <c r="I487" s="14">
        <v>0</v>
      </c>
      <c r="J487" s="15">
        <v>1</v>
      </c>
      <c r="K487" s="14">
        <v>1349.8047270327668</v>
      </c>
      <c r="L487" s="13">
        <v>14697751.893691558</v>
      </c>
      <c r="M487" s="14">
        <v>4.0925999355080869</v>
      </c>
      <c r="N487" s="14">
        <v>1237.6559541960014</v>
      </c>
      <c r="O487" s="13">
        <v>13476586.487077348</v>
      </c>
      <c r="P487" s="13">
        <v>1221165.4066142105</v>
      </c>
      <c r="Q487" s="14">
        <v>1.0906138514960879</v>
      </c>
      <c r="R487" s="15">
        <v>9.0613851496087805E-2</v>
      </c>
    </row>
    <row r="488" spans="1:18" ht="18" customHeight="1">
      <c r="A488" s="10" t="s">
        <v>61</v>
      </c>
      <c r="B488" s="10" t="s">
        <v>62</v>
      </c>
      <c r="C488" s="10" t="s">
        <v>241</v>
      </c>
      <c r="D488" s="10" t="s">
        <v>251</v>
      </c>
      <c r="E488" s="16">
        <v>16</v>
      </c>
      <c r="F488" s="16">
        <v>16</v>
      </c>
      <c r="G488" s="13">
        <v>112348.4895149271</v>
      </c>
      <c r="H488" s="13">
        <v>112348.4895149271</v>
      </c>
      <c r="I488" s="14">
        <v>0</v>
      </c>
      <c r="J488" s="15">
        <v>1</v>
      </c>
      <c r="K488" s="14">
        <v>2570.6020404642691</v>
      </c>
      <c r="L488" s="13">
        <v>288803256.39015013</v>
      </c>
      <c r="M488" s="14">
        <v>4.4072004967752507</v>
      </c>
      <c r="N488" s="14">
        <v>2553.8800570775034</v>
      </c>
      <c r="O488" s="13">
        <v>286924566.81495333</v>
      </c>
      <c r="P488" s="13">
        <v>1878689.5751968026</v>
      </c>
      <c r="Q488" s="14">
        <v>1.0065476776563662</v>
      </c>
      <c r="R488" s="15">
        <v>6.5476776563661368E-3</v>
      </c>
    </row>
    <row r="489" spans="1:18" ht="18" customHeight="1">
      <c r="A489" s="10" t="s">
        <v>43</v>
      </c>
      <c r="B489" s="10" t="s">
        <v>44</v>
      </c>
      <c r="C489" s="10" t="s">
        <v>241</v>
      </c>
      <c r="D489" s="10" t="s">
        <v>252</v>
      </c>
      <c r="E489" s="16">
        <v>2</v>
      </c>
      <c r="F489" s="16">
        <v>2</v>
      </c>
      <c r="G489" s="13">
        <v>108278.4843033502</v>
      </c>
      <c r="H489" s="13">
        <v>108278.4843033502</v>
      </c>
      <c r="I489" s="14">
        <v>0</v>
      </c>
      <c r="J489" s="15">
        <v>1</v>
      </c>
      <c r="K489" s="14">
        <v>271.79751789593195</v>
      </c>
      <c r="L489" s="13">
        <v>29429823.27518421</v>
      </c>
      <c r="M489" s="14">
        <v>3.4325591536646338</v>
      </c>
      <c r="N489" s="14">
        <v>270.74419495840311</v>
      </c>
      <c r="O489" s="13">
        <v>29315771.064026635</v>
      </c>
      <c r="P489" s="13">
        <v>114052.21115757525</v>
      </c>
      <c r="Q489" s="14">
        <v>1.0038904728416824</v>
      </c>
      <c r="R489" s="15">
        <v>3.8904728416824298E-3</v>
      </c>
    </row>
    <row r="490" spans="1:18" ht="18" customHeight="1">
      <c r="A490" s="10" t="s">
        <v>43</v>
      </c>
      <c r="B490" s="10" t="s">
        <v>44</v>
      </c>
      <c r="C490" s="10" t="s">
        <v>241</v>
      </c>
      <c r="D490" s="10" t="s">
        <v>243</v>
      </c>
      <c r="E490" s="16">
        <v>18</v>
      </c>
      <c r="F490" s="16">
        <v>18</v>
      </c>
      <c r="G490" s="13">
        <v>196692.34557599464</v>
      </c>
      <c r="H490" s="13">
        <v>196692.34557599464</v>
      </c>
      <c r="I490" s="14">
        <v>0</v>
      </c>
      <c r="J490" s="15">
        <v>1</v>
      </c>
      <c r="K490" s="14">
        <v>115.51023472693596</v>
      </c>
      <c r="L490" s="13">
        <v>22719979.006474745</v>
      </c>
      <c r="M490" s="14">
        <v>2.9155877311109033</v>
      </c>
      <c r="N490" s="14">
        <v>82.335614493781137</v>
      </c>
      <c r="O490" s="13">
        <v>16194785.139222672</v>
      </c>
      <c r="P490" s="13">
        <v>6525193.8672520723</v>
      </c>
      <c r="Q490" s="14">
        <v>1.4029194466710457</v>
      </c>
      <c r="R490" s="15">
        <v>0.40291944667104568</v>
      </c>
    </row>
    <row r="491" spans="1:18" ht="18" customHeight="1">
      <c r="A491" s="10" t="s">
        <v>43</v>
      </c>
      <c r="B491" s="10" t="s">
        <v>44</v>
      </c>
      <c r="C491" s="10" t="s">
        <v>241</v>
      </c>
      <c r="D491" s="10" t="s">
        <v>244</v>
      </c>
      <c r="E491" s="16">
        <v>3</v>
      </c>
      <c r="F491" s="16">
        <v>3</v>
      </c>
      <c r="G491" s="13">
        <v>32.417498366899999</v>
      </c>
      <c r="H491" s="13">
        <v>32.417498366899999</v>
      </c>
      <c r="I491" s="14">
        <v>0</v>
      </c>
      <c r="J491" s="15">
        <v>1</v>
      </c>
      <c r="K491" s="14">
        <v>474.89129473164724</v>
      </c>
      <c r="L491" s="13">
        <v>15394.7877714182</v>
      </c>
      <c r="M491" s="14">
        <v>3.4971539733874959</v>
      </c>
      <c r="N491" s="14">
        <v>314.16223172615605</v>
      </c>
      <c r="O491" s="13">
        <v>10184.353633924322</v>
      </c>
      <c r="P491" s="13">
        <v>5210.4341374938776</v>
      </c>
      <c r="Q491" s="14">
        <v>1.5116116667569162</v>
      </c>
      <c r="R491" s="15">
        <v>0.51161166675691605</v>
      </c>
    </row>
    <row r="492" spans="1:18" ht="18" customHeight="1">
      <c r="A492" s="10" t="s">
        <v>43</v>
      </c>
      <c r="B492" s="10" t="s">
        <v>44</v>
      </c>
      <c r="C492" s="10" t="s">
        <v>241</v>
      </c>
      <c r="D492" s="10" t="s">
        <v>253</v>
      </c>
      <c r="E492" s="16">
        <v>8</v>
      </c>
      <c r="F492" s="16">
        <v>8</v>
      </c>
      <c r="G492" s="13">
        <v>259663.43393970423</v>
      </c>
      <c r="H492" s="13">
        <v>259663.43393970423</v>
      </c>
      <c r="I492" s="14">
        <v>0</v>
      </c>
      <c r="J492" s="15">
        <v>1</v>
      </c>
      <c r="K492" s="14">
        <v>117.8851326505397</v>
      </c>
      <c r="L492" s="13">
        <v>30610458.354476687</v>
      </c>
      <c r="M492" s="14">
        <v>2.7354176251647835</v>
      </c>
      <c r="N492" s="14">
        <v>54.37729817611509</v>
      </c>
      <c r="O492" s="13">
        <v>14119795.97277326</v>
      </c>
      <c r="P492" s="13">
        <v>16490662.381703427</v>
      </c>
      <c r="Q492" s="14">
        <v>2.1679108121322597</v>
      </c>
      <c r="R492" s="15">
        <v>1.1679108121322597</v>
      </c>
    </row>
    <row r="493" spans="1:18" ht="18" customHeight="1">
      <c r="A493" s="10" t="s">
        <v>43</v>
      </c>
      <c r="B493" s="10" t="s">
        <v>44</v>
      </c>
      <c r="C493" s="10" t="s">
        <v>241</v>
      </c>
      <c r="D493" s="10" t="s">
        <v>245</v>
      </c>
      <c r="E493" s="16">
        <v>3</v>
      </c>
      <c r="F493" s="16">
        <v>3</v>
      </c>
      <c r="G493" s="13">
        <v>43131.094772126802</v>
      </c>
      <c r="H493" s="13">
        <v>43131.094772126802</v>
      </c>
      <c r="I493" s="14">
        <v>0</v>
      </c>
      <c r="J493" s="15">
        <v>1</v>
      </c>
      <c r="K493" s="14">
        <v>11.842886152697295</v>
      </c>
      <c r="L493" s="13">
        <v>510796.64502749522</v>
      </c>
      <c r="M493" s="14">
        <v>2.0711744026948695</v>
      </c>
      <c r="N493" s="14">
        <v>11.780789680137902</v>
      </c>
      <c r="O493" s="13">
        <v>508118.35618452122</v>
      </c>
      <c r="P493" s="13">
        <v>2678.2888429739978</v>
      </c>
      <c r="Q493" s="14">
        <v>1.0052709940713132</v>
      </c>
      <c r="R493" s="15">
        <v>5.2709940713131561E-3</v>
      </c>
    </row>
    <row r="494" spans="1:18" ht="18" customHeight="1">
      <c r="A494" s="10" t="s">
        <v>43</v>
      </c>
      <c r="B494" s="10" t="s">
        <v>44</v>
      </c>
      <c r="C494" s="10" t="s">
        <v>241</v>
      </c>
      <c r="D494" s="10" t="s">
        <v>246</v>
      </c>
      <c r="E494" s="16">
        <v>27</v>
      </c>
      <c r="F494" s="16">
        <v>27</v>
      </c>
      <c r="G494" s="13">
        <v>771129.62581085239</v>
      </c>
      <c r="H494" s="13">
        <v>771129.62581085239</v>
      </c>
      <c r="I494" s="14">
        <v>0</v>
      </c>
      <c r="J494" s="15">
        <v>1</v>
      </c>
      <c r="K494" s="14">
        <v>208.07038007000389</v>
      </c>
      <c r="L494" s="13">
        <v>160449234.32570395</v>
      </c>
      <c r="M494" s="14">
        <v>3.3009039913918001</v>
      </c>
      <c r="N494" s="14">
        <v>199.94198130529466</v>
      </c>
      <c r="O494" s="13">
        <v>154181185.22783232</v>
      </c>
      <c r="P494" s="13">
        <v>6268049.0978716314</v>
      </c>
      <c r="Q494" s="14">
        <v>1.0406537872218935</v>
      </c>
      <c r="R494" s="15">
        <v>4.0653787221893417E-2</v>
      </c>
    </row>
    <row r="495" spans="1:18" ht="18" customHeight="1">
      <c r="A495" s="10" t="s">
        <v>43</v>
      </c>
      <c r="B495" s="10" t="s">
        <v>44</v>
      </c>
      <c r="C495" s="10" t="s">
        <v>241</v>
      </c>
      <c r="D495" s="10" t="s">
        <v>247</v>
      </c>
      <c r="E495" s="16">
        <v>53</v>
      </c>
      <c r="F495" s="16">
        <v>53</v>
      </c>
      <c r="G495" s="13">
        <v>1381863.1542589585</v>
      </c>
      <c r="H495" s="13">
        <v>1381863.1542589585</v>
      </c>
      <c r="I495" s="14">
        <v>0</v>
      </c>
      <c r="J495" s="15">
        <v>1</v>
      </c>
      <c r="K495" s="14">
        <v>832.67372992977118</v>
      </c>
      <c r="L495" s="13">
        <v>1150641146.9093258</v>
      </c>
      <c r="M495" s="14">
        <v>3.6478454410074685</v>
      </c>
      <c r="N495" s="14">
        <v>444.47305792113673</v>
      </c>
      <c r="O495" s="13">
        <v>614200941.80202675</v>
      </c>
      <c r="P495" s="13">
        <v>536440205.10729909</v>
      </c>
      <c r="Q495" s="14">
        <v>1.8733952825494169</v>
      </c>
      <c r="R495" s="15">
        <v>0.8733952825494169</v>
      </c>
    </row>
    <row r="496" spans="1:18" ht="18" customHeight="1">
      <c r="A496" s="10" t="s">
        <v>43</v>
      </c>
      <c r="B496" s="10" t="s">
        <v>44</v>
      </c>
      <c r="C496" s="10" t="s">
        <v>241</v>
      </c>
      <c r="D496" s="10" t="s">
        <v>249</v>
      </c>
      <c r="E496" s="16">
        <v>1</v>
      </c>
      <c r="F496" s="16">
        <v>1</v>
      </c>
      <c r="G496" s="13">
        <v>688.95243134769999</v>
      </c>
      <c r="H496" s="13">
        <v>688.95243134769999</v>
      </c>
      <c r="I496" s="14">
        <v>0</v>
      </c>
      <c r="J496" s="15">
        <v>1</v>
      </c>
      <c r="K496" s="14">
        <v>794.32823472428117</v>
      </c>
      <c r="L496" s="13">
        <v>547254.36860142008</v>
      </c>
      <c r="M496" s="14">
        <v>3.8999999999999995</v>
      </c>
      <c r="N496" s="14">
        <v>794.32823472428049</v>
      </c>
      <c r="O496" s="13">
        <v>547254.36860141961</v>
      </c>
      <c r="P496" s="13">
        <v>4.6566128730773926E-10</v>
      </c>
      <c r="Q496" s="14">
        <v>1.0000000000000009</v>
      </c>
      <c r="R496" s="15">
        <v>8.5090465060662342E-16</v>
      </c>
    </row>
    <row r="497" spans="1:18" ht="18" customHeight="1">
      <c r="A497" s="10" t="s">
        <v>43</v>
      </c>
      <c r="B497" s="10" t="s">
        <v>44</v>
      </c>
      <c r="C497" s="10" t="s">
        <v>241</v>
      </c>
      <c r="D497" s="10" t="s">
        <v>250</v>
      </c>
      <c r="E497" s="16">
        <v>11</v>
      </c>
      <c r="F497" s="16">
        <v>11</v>
      </c>
      <c r="G497" s="13">
        <v>19674.054461119704</v>
      </c>
      <c r="H497" s="13">
        <v>19674.054461119704</v>
      </c>
      <c r="I497" s="14">
        <v>0</v>
      </c>
      <c r="J497" s="15">
        <v>1</v>
      </c>
      <c r="K497" s="14">
        <v>1740.4852764564139</v>
      </c>
      <c r="L497" s="13">
        <v>34242402.117780469</v>
      </c>
      <c r="M497" s="14">
        <v>4.2342217192978335</v>
      </c>
      <c r="N497" s="14">
        <v>1714.8325533330105</v>
      </c>
      <c r="O497" s="13">
        <v>33737709.045974605</v>
      </c>
      <c r="P497" s="13">
        <v>504693.07180586457</v>
      </c>
      <c r="Q497" s="14">
        <v>1.0149593166245554</v>
      </c>
      <c r="R497" s="15">
        <v>1.4959316624555505E-2</v>
      </c>
    </row>
    <row r="498" spans="1:18" ht="18" customHeight="1">
      <c r="A498" s="10" t="s">
        <v>43</v>
      </c>
      <c r="B498" s="10" t="s">
        <v>44</v>
      </c>
      <c r="C498" s="10" t="s">
        <v>241</v>
      </c>
      <c r="D498" s="10" t="s">
        <v>251</v>
      </c>
      <c r="E498" s="16">
        <v>16</v>
      </c>
      <c r="F498" s="16">
        <v>16</v>
      </c>
      <c r="G498" s="13">
        <v>102388.39070227002</v>
      </c>
      <c r="H498" s="13">
        <v>102388.39070227002</v>
      </c>
      <c r="I498" s="14">
        <v>0</v>
      </c>
      <c r="J498" s="15">
        <v>1</v>
      </c>
      <c r="K498" s="14">
        <v>2432.3629206698988</v>
      </c>
      <c r="L498" s="13">
        <v>249045725.0512642</v>
      </c>
      <c r="M498" s="14">
        <v>4.3844579061688131</v>
      </c>
      <c r="N498" s="14">
        <v>2423.5830482843699</v>
      </c>
      <c r="O498" s="13">
        <v>248146768.0471386</v>
      </c>
      <c r="P498" s="13">
        <v>898957.00412559509</v>
      </c>
      <c r="Q498" s="14">
        <v>1.0036226827018551</v>
      </c>
      <c r="R498" s="15">
        <v>3.6226827018550041E-3</v>
      </c>
    </row>
    <row r="499" spans="1:18" ht="18" customHeight="1">
      <c r="A499" s="10" t="s">
        <v>149</v>
      </c>
      <c r="B499" s="10" t="s">
        <v>150</v>
      </c>
      <c r="C499" s="10" t="s">
        <v>241</v>
      </c>
      <c r="D499" s="10" t="s">
        <v>252</v>
      </c>
      <c r="E499" s="16">
        <v>3</v>
      </c>
      <c r="F499" s="16">
        <v>3</v>
      </c>
      <c r="G499" s="13">
        <v>162.32379911129999</v>
      </c>
      <c r="H499" s="13">
        <v>162.32379911129999</v>
      </c>
      <c r="I499" s="14">
        <v>0</v>
      </c>
      <c r="J499" s="15">
        <v>1</v>
      </c>
      <c r="K499" s="14">
        <v>207.97794107317776</v>
      </c>
      <c r="L499" s="13">
        <v>33759.769526344295</v>
      </c>
      <c r="M499" s="14">
        <v>3.3015184389741647</v>
      </c>
      <c r="N499" s="14">
        <v>200.22506299541851</v>
      </c>
      <c r="O499" s="13">
        <v>32501.292902715701</v>
      </c>
      <c r="P499" s="13">
        <v>1258.4766236285941</v>
      </c>
      <c r="Q499" s="14">
        <v>1.0387208172731934</v>
      </c>
      <c r="R499" s="15">
        <v>3.8720817273193459E-2</v>
      </c>
    </row>
    <row r="500" spans="1:18" ht="18" customHeight="1">
      <c r="A500" s="10" t="s">
        <v>149</v>
      </c>
      <c r="B500" s="10" t="s">
        <v>150</v>
      </c>
      <c r="C500" s="10" t="s">
        <v>241</v>
      </c>
      <c r="D500" s="10" t="s">
        <v>242</v>
      </c>
      <c r="E500" s="16">
        <v>3</v>
      </c>
      <c r="F500" s="16">
        <v>3</v>
      </c>
      <c r="G500" s="13">
        <v>2.9815033999999996E-3</v>
      </c>
      <c r="H500" s="13">
        <v>2.9815033999999996E-3</v>
      </c>
      <c r="I500" s="14">
        <v>0</v>
      </c>
      <c r="J500" s="15">
        <v>1</v>
      </c>
      <c r="K500" s="14">
        <v>749.00363934592554</v>
      </c>
      <c r="L500" s="13">
        <v>2.2331568973222504</v>
      </c>
      <c r="M500" s="14">
        <v>3.8743011129888369</v>
      </c>
      <c r="N500" s="14">
        <v>748.68841493617015</v>
      </c>
      <c r="O500" s="13">
        <v>2.2322170546728017</v>
      </c>
      <c r="P500" s="13">
        <v>9.3984264944868556E-4</v>
      </c>
      <c r="Q500" s="14">
        <v>1.0004210355115248</v>
      </c>
      <c r="R500" s="15">
        <v>4.2103551152486272E-4</v>
      </c>
    </row>
    <row r="501" spans="1:18" ht="18" customHeight="1">
      <c r="A501" s="10" t="s">
        <v>149</v>
      </c>
      <c r="B501" s="10" t="s">
        <v>150</v>
      </c>
      <c r="C501" s="10" t="s">
        <v>241</v>
      </c>
      <c r="D501" s="10" t="s">
        <v>243</v>
      </c>
      <c r="E501" s="16">
        <v>34</v>
      </c>
      <c r="F501" s="16">
        <v>34</v>
      </c>
      <c r="G501" s="13">
        <v>9562.6943585574008</v>
      </c>
      <c r="H501" s="13">
        <v>9562.6943585574008</v>
      </c>
      <c r="I501" s="14">
        <v>0</v>
      </c>
      <c r="J501" s="15">
        <v>1</v>
      </c>
      <c r="K501" s="14">
        <v>186.53624368290221</v>
      </c>
      <c r="L501" s="13">
        <v>1783789.0851329775</v>
      </c>
      <c r="M501" s="14">
        <v>3.1152629416158146</v>
      </c>
      <c r="N501" s="14">
        <v>130.39560137376071</v>
      </c>
      <c r="O501" s="13">
        <v>1246933.2816375613</v>
      </c>
      <c r="P501" s="13">
        <v>536855.80349541618</v>
      </c>
      <c r="Q501" s="14">
        <v>1.4305409209948901</v>
      </c>
      <c r="R501" s="15">
        <v>0.43054092099489</v>
      </c>
    </row>
    <row r="502" spans="1:18" ht="18" customHeight="1">
      <c r="A502" s="10" t="s">
        <v>149</v>
      </c>
      <c r="B502" s="10" t="s">
        <v>150</v>
      </c>
      <c r="C502" s="10" t="s">
        <v>241</v>
      </c>
      <c r="D502" s="10" t="s">
        <v>244</v>
      </c>
      <c r="E502" s="16">
        <v>6</v>
      </c>
      <c r="F502" s="16">
        <v>6</v>
      </c>
      <c r="G502" s="13">
        <v>89.007111616800003</v>
      </c>
      <c r="H502" s="13">
        <v>89.007111616800003</v>
      </c>
      <c r="I502" s="14">
        <v>0</v>
      </c>
      <c r="J502" s="15">
        <v>1</v>
      </c>
      <c r="K502" s="14">
        <v>602.23147717989991</v>
      </c>
      <c r="L502" s="13">
        <v>53602.884308501692</v>
      </c>
      <c r="M502" s="14">
        <v>3.7644988780832591</v>
      </c>
      <c r="N502" s="14">
        <v>581.43193028830638</v>
      </c>
      <c r="O502" s="13">
        <v>51751.576716742762</v>
      </c>
      <c r="P502" s="13">
        <v>1851.3075917589304</v>
      </c>
      <c r="Q502" s="14">
        <v>1.0357729698148499</v>
      </c>
      <c r="R502" s="15">
        <v>3.5772969814849953E-2</v>
      </c>
    </row>
    <row r="503" spans="1:18" ht="18" customHeight="1">
      <c r="A503" s="10" t="s">
        <v>149</v>
      </c>
      <c r="B503" s="10" t="s">
        <v>150</v>
      </c>
      <c r="C503" s="10" t="s">
        <v>241</v>
      </c>
      <c r="D503" s="10" t="s">
        <v>253</v>
      </c>
      <c r="E503" s="16">
        <v>11</v>
      </c>
      <c r="F503" s="16">
        <v>11</v>
      </c>
      <c r="G503" s="13">
        <v>8126.3838744743998</v>
      </c>
      <c r="H503" s="13">
        <v>8126.3838744743998</v>
      </c>
      <c r="I503" s="14">
        <v>0</v>
      </c>
      <c r="J503" s="15">
        <v>1</v>
      </c>
      <c r="K503" s="14">
        <v>73.641250363993976</v>
      </c>
      <c r="L503" s="13">
        <v>598437.06945409265</v>
      </c>
      <c r="M503" s="14">
        <v>2.8456128951347179</v>
      </c>
      <c r="N503" s="14">
        <v>70.083034049393419</v>
      </c>
      <c r="O503" s="13">
        <v>569521.63777323102</v>
      </c>
      <c r="P503" s="13">
        <v>28915.431680861628</v>
      </c>
      <c r="Q503" s="14">
        <v>1.0507714365233214</v>
      </c>
      <c r="R503" s="15">
        <v>5.0771436523321375E-2</v>
      </c>
    </row>
    <row r="504" spans="1:18" ht="18" customHeight="1">
      <c r="A504" s="10" t="s">
        <v>149</v>
      </c>
      <c r="B504" s="10" t="s">
        <v>150</v>
      </c>
      <c r="C504" s="10" t="s">
        <v>241</v>
      </c>
      <c r="D504" s="10" t="s">
        <v>245</v>
      </c>
      <c r="E504" s="16">
        <v>17</v>
      </c>
      <c r="F504" s="16">
        <v>17</v>
      </c>
      <c r="G504" s="13">
        <v>536.09095856219994</v>
      </c>
      <c r="H504" s="13">
        <v>536.09095856219994</v>
      </c>
      <c r="I504" s="14">
        <v>0</v>
      </c>
      <c r="J504" s="15">
        <v>1</v>
      </c>
      <c r="K504" s="14">
        <v>10.905095334418055</v>
      </c>
      <c r="L504" s="13">
        <v>5846.1230110403494</v>
      </c>
      <c r="M504" s="14">
        <v>2.0182409552191425</v>
      </c>
      <c r="N504" s="14">
        <v>10.428958882961574</v>
      </c>
      <c r="O504" s="13">
        <v>5590.8705643726398</v>
      </c>
      <c r="P504" s="13">
        <v>255.25244666770959</v>
      </c>
      <c r="Q504" s="14">
        <v>1.0456552237668109</v>
      </c>
      <c r="R504" s="15">
        <v>4.5655223766810971E-2</v>
      </c>
    </row>
    <row r="505" spans="1:18" ht="18" customHeight="1">
      <c r="A505" s="10" t="s">
        <v>149</v>
      </c>
      <c r="B505" s="10" t="s">
        <v>150</v>
      </c>
      <c r="C505" s="10" t="s">
        <v>241</v>
      </c>
      <c r="D505" s="10" t="s">
        <v>246</v>
      </c>
      <c r="E505" s="16">
        <v>66</v>
      </c>
      <c r="F505" s="16">
        <v>66</v>
      </c>
      <c r="G505" s="13">
        <v>5789.5817047460014</v>
      </c>
      <c r="H505" s="13">
        <v>5789.5817047460014</v>
      </c>
      <c r="I505" s="14">
        <v>0</v>
      </c>
      <c r="J505" s="15">
        <v>1</v>
      </c>
      <c r="K505" s="14">
        <v>402.30954233475836</v>
      </c>
      <c r="L505" s="13">
        <v>2329203.9659460541</v>
      </c>
      <c r="M505" s="14">
        <v>3.4043282859095334</v>
      </c>
      <c r="N505" s="14">
        <v>253.70456745142727</v>
      </c>
      <c r="O505" s="13">
        <v>1468843.3221272812</v>
      </c>
      <c r="P505" s="13">
        <v>860360.64381877286</v>
      </c>
      <c r="Q505" s="14">
        <v>1.585740242582673</v>
      </c>
      <c r="R505" s="15">
        <v>0.58574024258267288</v>
      </c>
    </row>
    <row r="506" spans="1:18" ht="18" customHeight="1">
      <c r="A506" s="10" t="s">
        <v>149</v>
      </c>
      <c r="B506" s="10" t="s">
        <v>150</v>
      </c>
      <c r="C506" s="10" t="s">
        <v>241</v>
      </c>
      <c r="D506" s="10" t="s">
        <v>247</v>
      </c>
      <c r="E506" s="16">
        <v>235</v>
      </c>
      <c r="F506" s="16">
        <v>235</v>
      </c>
      <c r="G506" s="13">
        <v>17993.354565950998</v>
      </c>
      <c r="H506" s="13">
        <v>17993.354565950998</v>
      </c>
      <c r="I506" s="14">
        <v>0</v>
      </c>
      <c r="J506" s="15">
        <v>1</v>
      </c>
      <c r="K506" s="14">
        <v>1367.7064110414119</v>
      </c>
      <c r="L506" s="13">
        <v>24609626.395992443</v>
      </c>
      <c r="M506" s="14">
        <v>3.915804505699747</v>
      </c>
      <c r="N506" s="14">
        <v>823.76721910232391</v>
      </c>
      <c r="O506" s="13">
        <v>14822335.653115556</v>
      </c>
      <c r="P506" s="13">
        <v>9787290.7428768873</v>
      </c>
      <c r="Q506" s="14">
        <v>1.6603069159899684</v>
      </c>
      <c r="R506" s="15">
        <v>0.66030691598996849</v>
      </c>
    </row>
    <row r="507" spans="1:18" ht="18" customHeight="1">
      <c r="A507" s="10" t="s">
        <v>149</v>
      </c>
      <c r="B507" s="10" t="s">
        <v>150</v>
      </c>
      <c r="C507" s="10" t="s">
        <v>241</v>
      </c>
      <c r="D507" s="10" t="s">
        <v>249</v>
      </c>
      <c r="E507" s="16">
        <v>7</v>
      </c>
      <c r="F507" s="16">
        <v>7</v>
      </c>
      <c r="G507" s="13">
        <v>1787.1674925151995</v>
      </c>
      <c r="H507" s="13">
        <v>1787.1674925151995</v>
      </c>
      <c r="I507" s="14">
        <v>0</v>
      </c>
      <c r="J507" s="15">
        <v>1</v>
      </c>
      <c r="K507" s="14">
        <v>794.36121973340732</v>
      </c>
      <c r="L507" s="13">
        <v>1419656.5492222689</v>
      </c>
      <c r="M507" s="14">
        <v>3.9000045677763788</v>
      </c>
      <c r="N507" s="14">
        <v>794.33658926936459</v>
      </c>
      <c r="O507" s="13">
        <v>1419612.5304576063</v>
      </c>
      <c r="P507" s="13">
        <v>44.01876466255635</v>
      </c>
      <c r="Q507" s="14">
        <v>1.0000310075909575</v>
      </c>
      <c r="R507" s="15">
        <v>3.1007590957489707E-5</v>
      </c>
    </row>
    <row r="508" spans="1:18" ht="18" customHeight="1">
      <c r="A508" s="10" t="s">
        <v>149</v>
      </c>
      <c r="B508" s="10" t="s">
        <v>150</v>
      </c>
      <c r="C508" s="10" t="s">
        <v>241</v>
      </c>
      <c r="D508" s="10" t="s">
        <v>250</v>
      </c>
      <c r="E508" s="16">
        <v>53</v>
      </c>
      <c r="F508" s="16">
        <v>53</v>
      </c>
      <c r="G508" s="13">
        <v>371.03246496730003</v>
      </c>
      <c r="H508" s="13">
        <v>371.03246496730003</v>
      </c>
      <c r="I508" s="14">
        <v>0</v>
      </c>
      <c r="J508" s="15">
        <v>1</v>
      </c>
      <c r="K508" s="14">
        <v>1796.9272306719545</v>
      </c>
      <c r="L508" s="13">
        <v>666718.33976307942</v>
      </c>
      <c r="M508" s="14">
        <v>4.1953908145913168</v>
      </c>
      <c r="N508" s="14">
        <v>1568.161598657131</v>
      </c>
      <c r="O508" s="13">
        <v>581838.86341681716</v>
      </c>
      <c r="P508" s="13">
        <v>84879.476346262265</v>
      </c>
      <c r="Q508" s="14">
        <v>1.1458814143967835</v>
      </c>
      <c r="R508" s="15">
        <v>0.14588141439678359</v>
      </c>
    </row>
    <row r="509" spans="1:18" ht="18" customHeight="1">
      <c r="A509" s="10" t="s">
        <v>149</v>
      </c>
      <c r="B509" s="10" t="s">
        <v>150</v>
      </c>
      <c r="C509" s="10" t="s">
        <v>241</v>
      </c>
      <c r="D509" s="10" t="s">
        <v>251</v>
      </c>
      <c r="E509" s="16">
        <v>17</v>
      </c>
      <c r="F509" s="16">
        <v>17</v>
      </c>
      <c r="G509" s="13">
        <v>454.80512832889985</v>
      </c>
      <c r="H509" s="13">
        <v>454.80512832889985</v>
      </c>
      <c r="I509" s="14">
        <v>0</v>
      </c>
      <c r="J509" s="15">
        <v>1</v>
      </c>
      <c r="K509" s="14">
        <v>2439.0153423601087</v>
      </c>
      <c r="L509" s="13">
        <v>1109276.6857782449</v>
      </c>
      <c r="M509" s="14">
        <v>4.3864404574920739</v>
      </c>
      <c r="N509" s="14">
        <v>2434.671979423093</v>
      </c>
      <c r="O509" s="13">
        <v>1107301.3020402964</v>
      </c>
      <c r="P509" s="13">
        <v>1975.3837379484903</v>
      </c>
      <c r="Q509" s="14">
        <v>1.0017839622642082</v>
      </c>
      <c r="R509" s="15">
        <v>1.7839622642081957E-3</v>
      </c>
    </row>
    <row r="510" spans="1:18" ht="18" customHeight="1">
      <c r="A510" s="10" t="s">
        <v>155</v>
      </c>
      <c r="B510" s="10" t="s">
        <v>156</v>
      </c>
      <c r="C510" s="10" t="s">
        <v>241</v>
      </c>
      <c r="D510" s="10" t="s">
        <v>252</v>
      </c>
      <c r="E510" s="16">
        <v>2</v>
      </c>
      <c r="F510" s="16">
        <v>2</v>
      </c>
      <c r="G510" s="13">
        <v>100.3644261542</v>
      </c>
      <c r="H510" s="13">
        <v>100.3644261542</v>
      </c>
      <c r="I510" s="14">
        <v>0</v>
      </c>
      <c r="J510" s="15">
        <v>1</v>
      </c>
      <c r="K510" s="14">
        <v>158.66620195485879</v>
      </c>
      <c r="L510" s="13">
        <v>15924.442309265809</v>
      </c>
      <c r="M510" s="14">
        <v>3.2002992084723418</v>
      </c>
      <c r="N510" s="14">
        <v>158.59854855562796</v>
      </c>
      <c r="O510" s="13">
        <v>15917.652314674626</v>
      </c>
      <c r="P510" s="13">
        <v>6.789994591183131</v>
      </c>
      <c r="Q510" s="14">
        <v>1.0004265701032384</v>
      </c>
      <c r="R510" s="15">
        <v>4.2657010323836353E-4</v>
      </c>
    </row>
    <row r="511" spans="1:18" ht="18" customHeight="1">
      <c r="A511" s="10" t="s">
        <v>155</v>
      </c>
      <c r="B511" s="10" t="s">
        <v>156</v>
      </c>
      <c r="C511" s="10" t="s">
        <v>241</v>
      </c>
      <c r="D511" s="10" t="s">
        <v>242</v>
      </c>
      <c r="E511" s="16">
        <v>2</v>
      </c>
      <c r="F511" s="16">
        <v>2</v>
      </c>
      <c r="G511" s="13">
        <v>0.34639648000000001</v>
      </c>
      <c r="H511" s="13">
        <v>0.34639648000000001</v>
      </c>
      <c r="I511" s="14">
        <v>0</v>
      </c>
      <c r="J511" s="15">
        <v>1</v>
      </c>
      <c r="K511" s="14">
        <v>801.69128040027749</v>
      </c>
      <c r="L511" s="13">
        <v>277.70303757734911</v>
      </c>
      <c r="M511" s="14">
        <v>3.9037700263120461</v>
      </c>
      <c r="N511" s="14">
        <v>801.25365998548398</v>
      </c>
      <c r="O511" s="13">
        <v>277.55144740608853</v>
      </c>
      <c r="P511" s="13">
        <v>0.15159017126057961</v>
      </c>
      <c r="Q511" s="14">
        <v>1.0005461696297291</v>
      </c>
      <c r="R511" s="15">
        <v>5.4616962972917375E-4</v>
      </c>
    </row>
    <row r="512" spans="1:18" ht="18" customHeight="1">
      <c r="A512" s="10" t="s">
        <v>155</v>
      </c>
      <c r="B512" s="10" t="s">
        <v>156</v>
      </c>
      <c r="C512" s="10" t="s">
        <v>241</v>
      </c>
      <c r="D512" s="10" t="s">
        <v>243</v>
      </c>
      <c r="E512" s="16">
        <v>28</v>
      </c>
      <c r="F512" s="16">
        <v>28</v>
      </c>
      <c r="G512" s="13">
        <v>5654.4760225532</v>
      </c>
      <c r="H512" s="13">
        <v>5654.4760225532</v>
      </c>
      <c r="I512" s="14">
        <v>0</v>
      </c>
      <c r="J512" s="15">
        <v>1</v>
      </c>
      <c r="K512" s="14">
        <v>288.05243988679013</v>
      </c>
      <c r="L512" s="13">
        <v>1628785.6145778019</v>
      </c>
      <c r="M512" s="14">
        <v>3.3378967073109655</v>
      </c>
      <c r="N512" s="14">
        <v>217.71918870017453</v>
      </c>
      <c r="O512" s="13">
        <v>1231087.9321548725</v>
      </c>
      <c r="P512" s="13">
        <v>397697.68242292944</v>
      </c>
      <c r="Q512" s="14">
        <v>1.3230457159358284</v>
      </c>
      <c r="R512" s="15">
        <v>0.32304571593582848</v>
      </c>
    </row>
    <row r="513" spans="1:18" ht="18" customHeight="1">
      <c r="A513" s="10" t="s">
        <v>155</v>
      </c>
      <c r="B513" s="10" t="s">
        <v>156</v>
      </c>
      <c r="C513" s="10" t="s">
        <v>241</v>
      </c>
      <c r="D513" s="10" t="s">
        <v>244</v>
      </c>
      <c r="E513" s="16">
        <v>4</v>
      </c>
      <c r="F513" s="16">
        <v>4</v>
      </c>
      <c r="G513" s="13">
        <v>31.9597582211</v>
      </c>
      <c r="H513" s="13">
        <v>31.9597582211</v>
      </c>
      <c r="I513" s="14">
        <v>0</v>
      </c>
      <c r="J513" s="15">
        <v>1</v>
      </c>
      <c r="K513" s="14">
        <v>587.15855125859684</v>
      </c>
      <c r="L513" s="13">
        <v>18765.445335676108</v>
      </c>
      <c r="M513" s="14">
        <v>3.7629314272839882</v>
      </c>
      <c r="N513" s="14">
        <v>579.3372150370443</v>
      </c>
      <c r="O513" s="13">
        <v>18515.477321069357</v>
      </c>
      <c r="P513" s="13">
        <v>249.96801460675124</v>
      </c>
      <c r="Q513" s="14">
        <v>1.0135004899021591</v>
      </c>
      <c r="R513" s="15">
        <v>1.3500489902159022E-2</v>
      </c>
    </row>
    <row r="514" spans="1:18" ht="18" customHeight="1">
      <c r="A514" s="10" t="s">
        <v>155</v>
      </c>
      <c r="B514" s="10" t="s">
        <v>156</v>
      </c>
      <c r="C514" s="10" t="s">
        <v>241</v>
      </c>
      <c r="D514" s="10" t="s">
        <v>253</v>
      </c>
      <c r="E514" s="16">
        <v>6</v>
      </c>
      <c r="F514" s="16">
        <v>6</v>
      </c>
      <c r="G514" s="13">
        <v>97.003867111000005</v>
      </c>
      <c r="H514" s="13">
        <v>97.003867111000005</v>
      </c>
      <c r="I514" s="14">
        <v>0</v>
      </c>
      <c r="J514" s="15">
        <v>1</v>
      </c>
      <c r="K514" s="14">
        <v>173.84855567434911</v>
      </c>
      <c r="L514" s="13">
        <v>16863.982192073847</v>
      </c>
      <c r="M514" s="14">
        <v>3.1805511215604101</v>
      </c>
      <c r="N514" s="14">
        <v>151.54831833667018</v>
      </c>
      <c r="O514" s="13">
        <v>14700.772932825879</v>
      </c>
      <c r="P514" s="13">
        <v>2163.2092592479676</v>
      </c>
      <c r="Q514" s="14">
        <v>1.1471493552844192</v>
      </c>
      <c r="R514" s="15">
        <v>0.14714935528441914</v>
      </c>
    </row>
    <row r="515" spans="1:18" ht="18" customHeight="1">
      <c r="A515" s="10" t="s">
        <v>155</v>
      </c>
      <c r="B515" s="10" t="s">
        <v>156</v>
      </c>
      <c r="C515" s="10" t="s">
        <v>241</v>
      </c>
      <c r="D515" s="10" t="s">
        <v>245</v>
      </c>
      <c r="E515" s="16">
        <v>11</v>
      </c>
      <c r="F515" s="16">
        <v>11</v>
      </c>
      <c r="G515" s="13">
        <v>462.15701993279998</v>
      </c>
      <c r="H515" s="13">
        <v>462.15701993279998</v>
      </c>
      <c r="I515" s="14">
        <v>0</v>
      </c>
      <c r="J515" s="15">
        <v>1</v>
      </c>
      <c r="K515" s="14">
        <v>34.593565137495808</v>
      </c>
      <c r="L515" s="13">
        <v>15987.658972796266</v>
      </c>
      <c r="M515" s="14">
        <v>2.2774628302603808</v>
      </c>
      <c r="N515" s="14">
        <v>18.943613756804261</v>
      </c>
      <c r="O515" s="13">
        <v>8754.9240806026501</v>
      </c>
      <c r="P515" s="13">
        <v>7232.7348921936155</v>
      </c>
      <c r="Q515" s="14">
        <v>1.8261333651331613</v>
      </c>
      <c r="R515" s="15">
        <v>0.82613336513316127</v>
      </c>
    </row>
    <row r="516" spans="1:18" ht="18" customHeight="1">
      <c r="A516" s="10" t="s">
        <v>155</v>
      </c>
      <c r="B516" s="10" t="s">
        <v>156</v>
      </c>
      <c r="C516" s="10" t="s">
        <v>241</v>
      </c>
      <c r="D516" s="10" t="s">
        <v>246</v>
      </c>
      <c r="E516" s="16">
        <v>38</v>
      </c>
      <c r="F516" s="16">
        <v>38</v>
      </c>
      <c r="G516" s="13">
        <v>1836.5253804433003</v>
      </c>
      <c r="H516" s="13">
        <v>1836.5253804433003</v>
      </c>
      <c r="I516" s="14">
        <v>0</v>
      </c>
      <c r="J516" s="15">
        <v>1</v>
      </c>
      <c r="K516" s="14">
        <v>391.20545805804863</v>
      </c>
      <c r="L516" s="13">
        <v>718458.75269155332</v>
      </c>
      <c r="M516" s="14">
        <v>3.3949901524960158</v>
      </c>
      <c r="N516" s="14">
        <v>248.30768015962599</v>
      </c>
      <c r="O516" s="13">
        <v>456023.35677215044</v>
      </c>
      <c r="P516" s="13">
        <v>262435.39591940289</v>
      </c>
      <c r="Q516" s="14">
        <v>1.5754867421199377</v>
      </c>
      <c r="R516" s="15">
        <v>0.57548674211993767</v>
      </c>
    </row>
    <row r="517" spans="1:18" ht="18" customHeight="1">
      <c r="A517" s="10" t="s">
        <v>155</v>
      </c>
      <c r="B517" s="10" t="s">
        <v>156</v>
      </c>
      <c r="C517" s="10" t="s">
        <v>241</v>
      </c>
      <c r="D517" s="10" t="s">
        <v>247</v>
      </c>
      <c r="E517" s="16">
        <v>180</v>
      </c>
      <c r="F517" s="16">
        <v>180</v>
      </c>
      <c r="G517" s="13">
        <v>9244.4194830409979</v>
      </c>
      <c r="H517" s="13">
        <v>9244.4194830409979</v>
      </c>
      <c r="I517" s="14">
        <v>0</v>
      </c>
      <c r="J517" s="15">
        <v>1</v>
      </c>
      <c r="K517" s="14">
        <v>1512.2266626018256</v>
      </c>
      <c r="L517" s="13">
        <v>13979657.622530382</v>
      </c>
      <c r="M517" s="14">
        <v>3.9219338343379961</v>
      </c>
      <c r="N517" s="14">
        <v>835.47572208139252</v>
      </c>
      <c r="O517" s="13">
        <v>7723488.0428169714</v>
      </c>
      <c r="P517" s="13">
        <v>6256169.5797134107</v>
      </c>
      <c r="Q517" s="14">
        <v>1.810018678740857</v>
      </c>
      <c r="R517" s="15">
        <v>0.81001867874085698</v>
      </c>
    </row>
    <row r="518" spans="1:18" ht="18" customHeight="1">
      <c r="A518" s="10" t="s">
        <v>155</v>
      </c>
      <c r="B518" s="10" t="s">
        <v>156</v>
      </c>
      <c r="C518" s="10" t="s">
        <v>241</v>
      </c>
      <c r="D518" s="10" t="s">
        <v>249</v>
      </c>
      <c r="E518" s="16">
        <v>6</v>
      </c>
      <c r="F518" s="16">
        <v>6</v>
      </c>
      <c r="G518" s="13">
        <v>502.11808263539996</v>
      </c>
      <c r="H518" s="13">
        <v>502.11808263539996</v>
      </c>
      <c r="I518" s="14">
        <v>0</v>
      </c>
      <c r="J518" s="15">
        <v>1</v>
      </c>
      <c r="K518" s="14">
        <v>606.76910566825654</v>
      </c>
      <c r="L518" s="13">
        <v>304669.73994054139</v>
      </c>
      <c r="M518" s="14">
        <v>3.7776282702073005</v>
      </c>
      <c r="N518" s="14">
        <v>599.2779110445274</v>
      </c>
      <c r="O518" s="13">
        <v>300908.27565942588</v>
      </c>
      <c r="P518" s="13">
        <v>3761.4642811155063</v>
      </c>
      <c r="Q518" s="14">
        <v>1.0125003683360734</v>
      </c>
      <c r="R518" s="15">
        <v>1.2500368336073309E-2</v>
      </c>
    </row>
    <row r="519" spans="1:18" ht="18" customHeight="1">
      <c r="A519" s="10" t="s">
        <v>155</v>
      </c>
      <c r="B519" s="10" t="s">
        <v>156</v>
      </c>
      <c r="C519" s="10" t="s">
        <v>241</v>
      </c>
      <c r="D519" s="10" t="s">
        <v>250</v>
      </c>
      <c r="E519" s="16">
        <v>39</v>
      </c>
      <c r="F519" s="16">
        <v>39</v>
      </c>
      <c r="G519" s="13">
        <v>1990.0045688695996</v>
      </c>
      <c r="H519" s="13">
        <v>1990.0045688695996</v>
      </c>
      <c r="I519" s="14">
        <v>0</v>
      </c>
      <c r="J519" s="15">
        <v>1</v>
      </c>
      <c r="K519" s="14">
        <v>1776.2389870972031</v>
      </c>
      <c r="L519" s="13">
        <v>3534723.6997277439</v>
      </c>
      <c r="M519" s="14">
        <v>4.2152395337049713</v>
      </c>
      <c r="N519" s="14">
        <v>1641.4948847206044</v>
      </c>
      <c r="O519" s="13">
        <v>3266582.3203700795</v>
      </c>
      <c r="P519" s="13">
        <v>268141.37935766438</v>
      </c>
      <c r="Q519" s="14">
        <v>1.0820862152120159</v>
      </c>
      <c r="R519" s="15">
        <v>8.2086215212015826E-2</v>
      </c>
    </row>
    <row r="520" spans="1:18" ht="18" customHeight="1">
      <c r="A520" s="10" t="s">
        <v>155</v>
      </c>
      <c r="B520" s="10" t="s">
        <v>156</v>
      </c>
      <c r="C520" s="10" t="s">
        <v>241</v>
      </c>
      <c r="D520" s="10" t="s">
        <v>251</v>
      </c>
      <c r="E520" s="16">
        <v>16</v>
      </c>
      <c r="F520" s="16">
        <v>16</v>
      </c>
      <c r="G520" s="13">
        <v>2923.1566922016</v>
      </c>
      <c r="H520" s="13">
        <v>2923.1566922016</v>
      </c>
      <c r="I520" s="14">
        <v>0</v>
      </c>
      <c r="J520" s="15">
        <v>1</v>
      </c>
      <c r="K520" s="14">
        <v>2540.947411776337</v>
      </c>
      <c r="L520" s="13">
        <v>7427587.4312663348</v>
      </c>
      <c r="M520" s="14">
        <v>4.3982459982422215</v>
      </c>
      <c r="N520" s="14">
        <v>2501.7620382214131</v>
      </c>
      <c r="O520" s="13">
        <v>7313042.4443228384</v>
      </c>
      <c r="P520" s="13">
        <v>114544.98694349639</v>
      </c>
      <c r="Q520" s="14">
        <v>1.0156631098227002</v>
      </c>
      <c r="R520" s="15">
        <v>1.566310982270018E-2</v>
      </c>
    </row>
    <row r="521" spans="1:18" ht="18" customHeight="1">
      <c r="A521" s="10" t="s">
        <v>151</v>
      </c>
      <c r="B521" s="10" t="s">
        <v>152</v>
      </c>
      <c r="C521" s="10" t="s">
        <v>241</v>
      </c>
      <c r="D521" s="10" t="s">
        <v>252</v>
      </c>
      <c r="E521" s="16">
        <v>2</v>
      </c>
      <c r="F521" s="16">
        <v>2</v>
      </c>
      <c r="G521" s="13">
        <v>51.245668191</v>
      </c>
      <c r="H521" s="13">
        <v>51.245668191</v>
      </c>
      <c r="I521" s="14">
        <v>0</v>
      </c>
      <c r="J521" s="15">
        <v>1</v>
      </c>
      <c r="K521" s="14">
        <v>158.53735162714773</v>
      </c>
      <c r="L521" s="13">
        <v>8124.3525173647058</v>
      </c>
      <c r="M521" s="14">
        <v>3.2000812498601734</v>
      </c>
      <c r="N521" s="14">
        <v>158.51897294931601</v>
      </c>
      <c r="O521" s="13">
        <v>8123.4106897387528</v>
      </c>
      <c r="P521" s="13">
        <v>0.94182762595301028</v>
      </c>
      <c r="Q521" s="14">
        <v>1.0001159399249804</v>
      </c>
      <c r="R521" s="15">
        <v>1.1593992498036551E-4</v>
      </c>
    </row>
    <row r="522" spans="1:18" ht="18" customHeight="1">
      <c r="A522" s="10" t="s">
        <v>151</v>
      </c>
      <c r="B522" s="10" t="s">
        <v>152</v>
      </c>
      <c r="C522" s="10" t="s">
        <v>241</v>
      </c>
      <c r="D522" s="10" t="s">
        <v>242</v>
      </c>
      <c r="E522" s="16">
        <v>8</v>
      </c>
      <c r="F522" s="16">
        <v>8</v>
      </c>
      <c r="G522" s="13">
        <v>301.49547874950002</v>
      </c>
      <c r="H522" s="13">
        <v>301.49547874950002</v>
      </c>
      <c r="I522" s="14">
        <v>0</v>
      </c>
      <c r="J522" s="15">
        <v>1</v>
      </c>
      <c r="K522" s="14">
        <v>2553.0175604222009</v>
      </c>
      <c r="L522" s="13">
        <v>769723.25163537206</v>
      </c>
      <c r="M522" s="14">
        <v>4.3114329757388568</v>
      </c>
      <c r="N522" s="14">
        <v>2048.4858846510065</v>
      </c>
      <c r="O522" s="13">
        <v>617609.23250444827</v>
      </c>
      <c r="P522" s="13">
        <v>152114.01913092379</v>
      </c>
      <c r="Q522" s="14">
        <v>1.2462949242421311</v>
      </c>
      <c r="R522" s="15">
        <v>0.24629492424213104</v>
      </c>
    </row>
    <row r="523" spans="1:18" ht="18" customHeight="1">
      <c r="A523" s="10" t="s">
        <v>151</v>
      </c>
      <c r="B523" s="10" t="s">
        <v>152</v>
      </c>
      <c r="C523" s="10" t="s">
        <v>241</v>
      </c>
      <c r="D523" s="10" t="s">
        <v>243</v>
      </c>
      <c r="E523" s="16">
        <v>27</v>
      </c>
      <c r="F523" s="16">
        <v>27</v>
      </c>
      <c r="G523" s="13">
        <v>3235.4345645260009</v>
      </c>
      <c r="H523" s="13">
        <v>3235.4345645260009</v>
      </c>
      <c r="I523" s="14">
        <v>0</v>
      </c>
      <c r="J523" s="15">
        <v>1</v>
      </c>
      <c r="K523" s="14">
        <v>206.57214437805902</v>
      </c>
      <c r="L523" s="13">
        <v>668350.65598902758</v>
      </c>
      <c r="M523" s="14">
        <v>3.0828210979910677</v>
      </c>
      <c r="N523" s="14">
        <v>121.00995459678569</v>
      </c>
      <c r="O523" s="13">
        <v>391519.78975416243</v>
      </c>
      <c r="P523" s="13">
        <v>276830.86623486516</v>
      </c>
      <c r="Q523" s="14">
        <v>1.7070673653781048</v>
      </c>
      <c r="R523" s="15">
        <v>0.70706736537810488</v>
      </c>
    </row>
    <row r="524" spans="1:18" ht="18" customHeight="1">
      <c r="A524" s="10" t="s">
        <v>151</v>
      </c>
      <c r="B524" s="10" t="s">
        <v>152</v>
      </c>
      <c r="C524" s="10" t="s">
        <v>241</v>
      </c>
      <c r="D524" s="10" t="s">
        <v>244</v>
      </c>
      <c r="E524" s="16">
        <v>3</v>
      </c>
      <c r="F524" s="16">
        <v>3</v>
      </c>
      <c r="G524" s="13">
        <v>28.976482422600004</v>
      </c>
      <c r="H524" s="13">
        <v>28.976482422600004</v>
      </c>
      <c r="I524" s="14">
        <v>0</v>
      </c>
      <c r="J524" s="15">
        <v>1</v>
      </c>
      <c r="K524" s="14">
        <v>422.28535255900903</v>
      </c>
      <c r="L524" s="13">
        <v>12236.34409574757</v>
      </c>
      <c r="M524" s="14">
        <v>3.5695898990764063</v>
      </c>
      <c r="N524" s="14">
        <v>371.18455684568738</v>
      </c>
      <c r="O524" s="13">
        <v>10755.622786979633</v>
      </c>
      <c r="P524" s="13">
        <v>1480.7213087679374</v>
      </c>
      <c r="Q524" s="14">
        <v>1.1376695090646396</v>
      </c>
      <c r="R524" s="15">
        <v>0.13766950906463965</v>
      </c>
    </row>
    <row r="525" spans="1:18" ht="18" customHeight="1">
      <c r="A525" s="10" t="s">
        <v>151</v>
      </c>
      <c r="B525" s="10" t="s">
        <v>152</v>
      </c>
      <c r="C525" s="10" t="s">
        <v>241</v>
      </c>
      <c r="D525" s="10" t="s">
        <v>253</v>
      </c>
      <c r="E525" s="16">
        <v>5</v>
      </c>
      <c r="F525" s="16">
        <v>5</v>
      </c>
      <c r="G525" s="13">
        <v>456.08427460519999</v>
      </c>
      <c r="H525" s="13">
        <v>456.08427460519999</v>
      </c>
      <c r="I525" s="14">
        <v>0</v>
      </c>
      <c r="J525" s="15">
        <v>1</v>
      </c>
      <c r="K525" s="14">
        <v>78.839297521315672</v>
      </c>
      <c r="L525" s="13">
        <v>35957.363820392799</v>
      </c>
      <c r="M525" s="14">
        <v>2.8799223688774696</v>
      </c>
      <c r="N525" s="14">
        <v>75.844198968755109</v>
      </c>
      <c r="O525" s="13">
        <v>34591.346469677133</v>
      </c>
      <c r="P525" s="13">
        <v>1366.0173507156651</v>
      </c>
      <c r="Q525" s="14">
        <v>1.0394901468178788</v>
      </c>
      <c r="R525" s="15">
        <v>3.9490146817878845E-2</v>
      </c>
    </row>
    <row r="526" spans="1:18" ht="18" customHeight="1">
      <c r="A526" s="10" t="s">
        <v>151</v>
      </c>
      <c r="B526" s="10" t="s">
        <v>152</v>
      </c>
      <c r="C526" s="10" t="s">
        <v>241</v>
      </c>
      <c r="D526" s="10" t="s">
        <v>245</v>
      </c>
      <c r="E526" s="16">
        <v>10</v>
      </c>
      <c r="F526" s="16">
        <v>10</v>
      </c>
      <c r="G526" s="13">
        <v>440.2643180439</v>
      </c>
      <c r="H526" s="13">
        <v>440.2643180439</v>
      </c>
      <c r="I526" s="14">
        <v>0</v>
      </c>
      <c r="J526" s="15">
        <v>1</v>
      </c>
      <c r="K526" s="14">
        <v>13.783417308304417</v>
      </c>
      <c r="L526" s="13">
        <v>6068.346821555132</v>
      </c>
      <c r="M526" s="14">
        <v>2.0683353218068063</v>
      </c>
      <c r="N526" s="14">
        <v>11.704027183666193</v>
      </c>
      <c r="O526" s="13">
        <v>5152.8655463840641</v>
      </c>
      <c r="P526" s="13">
        <v>915.48127517106786</v>
      </c>
      <c r="Q526" s="14">
        <v>1.1776644988948899</v>
      </c>
      <c r="R526" s="15">
        <v>0.17766449889488992</v>
      </c>
    </row>
    <row r="527" spans="1:18" ht="18" customHeight="1">
      <c r="A527" s="10" t="s">
        <v>151</v>
      </c>
      <c r="B527" s="10" t="s">
        <v>152</v>
      </c>
      <c r="C527" s="10" t="s">
        <v>241</v>
      </c>
      <c r="D527" s="10" t="s">
        <v>246</v>
      </c>
      <c r="E527" s="16">
        <v>59</v>
      </c>
      <c r="F527" s="16">
        <v>59</v>
      </c>
      <c r="G527" s="13">
        <v>8493.3726855333007</v>
      </c>
      <c r="H527" s="13">
        <v>8493.3726855333007</v>
      </c>
      <c r="I527" s="14">
        <v>0</v>
      </c>
      <c r="J527" s="15">
        <v>1</v>
      </c>
      <c r="K527" s="14">
        <v>362.40244106121662</v>
      </c>
      <c r="L527" s="13">
        <v>3078018.9940799293</v>
      </c>
      <c r="M527" s="14">
        <v>3.4179576318971252</v>
      </c>
      <c r="N527" s="14">
        <v>261.792760079152</v>
      </c>
      <c r="O527" s="13">
        <v>2223503.4777266425</v>
      </c>
      <c r="P527" s="13">
        <v>854515.5163532868</v>
      </c>
      <c r="Q527" s="14">
        <v>1.3843104024406392</v>
      </c>
      <c r="R527" s="15">
        <v>0.38431040244063919</v>
      </c>
    </row>
    <row r="528" spans="1:18" ht="18" customHeight="1">
      <c r="A528" s="10" t="s">
        <v>151</v>
      </c>
      <c r="B528" s="10" t="s">
        <v>152</v>
      </c>
      <c r="C528" s="10" t="s">
        <v>241</v>
      </c>
      <c r="D528" s="10" t="s">
        <v>247</v>
      </c>
      <c r="E528" s="16">
        <v>182</v>
      </c>
      <c r="F528" s="16">
        <v>182</v>
      </c>
      <c r="G528" s="13">
        <v>20189.6612335067</v>
      </c>
      <c r="H528" s="13">
        <v>20189.6612335067</v>
      </c>
      <c r="I528" s="14">
        <v>0</v>
      </c>
      <c r="J528" s="15">
        <v>1</v>
      </c>
      <c r="K528" s="14">
        <v>751.35889476493765</v>
      </c>
      <c r="L528" s="13">
        <v>15169681.550086102</v>
      </c>
      <c r="M528" s="14">
        <v>3.4908719369292736</v>
      </c>
      <c r="N528" s="14">
        <v>309.65060788890423</v>
      </c>
      <c r="O528" s="13">
        <v>6251740.8740263935</v>
      </c>
      <c r="P528" s="13">
        <v>8917940.676059708</v>
      </c>
      <c r="Q528" s="14">
        <v>2.426473178552611</v>
      </c>
      <c r="R528" s="15">
        <v>1.426473178552611</v>
      </c>
    </row>
    <row r="529" spans="1:18" ht="18" customHeight="1">
      <c r="A529" s="10" t="s">
        <v>151</v>
      </c>
      <c r="B529" s="10" t="s">
        <v>152</v>
      </c>
      <c r="C529" s="10" t="s">
        <v>241</v>
      </c>
      <c r="D529" s="10" t="s">
        <v>249</v>
      </c>
      <c r="E529" s="16">
        <v>10</v>
      </c>
      <c r="F529" s="16">
        <v>10</v>
      </c>
      <c r="G529" s="13">
        <v>511.38436659109993</v>
      </c>
      <c r="H529" s="13">
        <v>511.38436659109993</v>
      </c>
      <c r="I529" s="14">
        <v>0</v>
      </c>
      <c r="J529" s="15">
        <v>1</v>
      </c>
      <c r="K529" s="14">
        <v>580.1161587288226</v>
      </c>
      <c r="L529" s="13">
        <v>296662.33438080095</v>
      </c>
      <c r="M529" s="14">
        <v>3.7500437209915711</v>
      </c>
      <c r="N529" s="14">
        <v>562.39793967421474</v>
      </c>
      <c r="O529" s="13">
        <v>287601.51415243791</v>
      </c>
      <c r="P529" s="13">
        <v>9060.820228363038</v>
      </c>
      <c r="Q529" s="14">
        <v>1.0315047723412212</v>
      </c>
      <c r="R529" s="15">
        <v>3.1504772341221114E-2</v>
      </c>
    </row>
    <row r="530" spans="1:18" ht="18" customHeight="1">
      <c r="A530" s="10" t="s">
        <v>151</v>
      </c>
      <c r="B530" s="10" t="s">
        <v>152</v>
      </c>
      <c r="C530" s="10" t="s">
        <v>241</v>
      </c>
      <c r="D530" s="10" t="s">
        <v>250</v>
      </c>
      <c r="E530" s="16">
        <v>60</v>
      </c>
      <c r="F530" s="16">
        <v>60</v>
      </c>
      <c r="G530" s="13">
        <v>2780.3577577378005</v>
      </c>
      <c r="H530" s="13">
        <v>2780.3577577378005</v>
      </c>
      <c r="I530" s="14">
        <v>0</v>
      </c>
      <c r="J530" s="15">
        <v>1</v>
      </c>
      <c r="K530" s="14">
        <v>1764.7015257383891</v>
      </c>
      <c r="L530" s="13">
        <v>4906501.5771784633</v>
      </c>
      <c r="M530" s="14">
        <v>4.2019565234859568</v>
      </c>
      <c r="N530" s="14">
        <v>1592.0493416038619</v>
      </c>
      <c r="O530" s="13">
        <v>4426466.7376296548</v>
      </c>
      <c r="P530" s="13">
        <v>480034.83954880852</v>
      </c>
      <c r="Q530" s="14">
        <v>1.1084465032726902</v>
      </c>
      <c r="R530" s="15">
        <v>0.10844650327269016</v>
      </c>
    </row>
    <row r="531" spans="1:18" ht="18" customHeight="1">
      <c r="A531" s="10" t="s">
        <v>151</v>
      </c>
      <c r="B531" s="10" t="s">
        <v>152</v>
      </c>
      <c r="C531" s="10" t="s">
        <v>241</v>
      </c>
      <c r="D531" s="10" t="s">
        <v>251</v>
      </c>
      <c r="E531" s="16">
        <v>16</v>
      </c>
      <c r="F531" s="16">
        <v>16</v>
      </c>
      <c r="G531" s="13">
        <v>2792.7479037959997</v>
      </c>
      <c r="H531" s="13">
        <v>2792.7479037959997</v>
      </c>
      <c r="I531" s="14">
        <v>0</v>
      </c>
      <c r="J531" s="15">
        <v>1</v>
      </c>
      <c r="K531" s="14">
        <v>2579.1908408594113</v>
      </c>
      <c r="L531" s="13">
        <v>7203029.8142999625</v>
      </c>
      <c r="M531" s="14">
        <v>4.3972129944084415</v>
      </c>
      <c r="N531" s="14">
        <v>2495.8184704278924</v>
      </c>
      <c r="O531" s="13">
        <v>6970191.8015428344</v>
      </c>
      <c r="P531" s="13">
        <v>232838.0127571281</v>
      </c>
      <c r="Q531" s="14">
        <v>1.0334048214721423</v>
      </c>
      <c r="R531" s="15">
        <v>3.3404821472142271E-2</v>
      </c>
    </row>
    <row r="532" spans="1:18" ht="18" customHeight="1">
      <c r="A532" s="10" t="s">
        <v>157</v>
      </c>
      <c r="B532" s="10" t="s">
        <v>158</v>
      </c>
      <c r="C532" s="10" t="s">
        <v>241</v>
      </c>
      <c r="D532" s="10" t="s">
        <v>252</v>
      </c>
      <c r="E532" s="16">
        <v>1</v>
      </c>
      <c r="F532" s="16">
        <v>1</v>
      </c>
      <c r="G532" s="13">
        <v>10.901932202299999</v>
      </c>
      <c r="H532" s="13">
        <v>10.901932202299999</v>
      </c>
      <c r="I532" s="14">
        <v>0</v>
      </c>
      <c r="J532" s="15">
        <v>1</v>
      </c>
      <c r="K532" s="14">
        <v>158.48931924611142</v>
      </c>
      <c r="L532" s="13">
        <v>1727.8398132097871</v>
      </c>
      <c r="M532" s="14">
        <v>3.2</v>
      </c>
      <c r="N532" s="14">
        <v>158.48931924611142</v>
      </c>
      <c r="O532" s="13">
        <v>1727.8398132097871</v>
      </c>
      <c r="P532" s="13">
        <v>0</v>
      </c>
      <c r="Q532" s="14">
        <v>1</v>
      </c>
      <c r="R532" s="15">
        <v>0</v>
      </c>
    </row>
    <row r="533" spans="1:18" ht="18" customHeight="1">
      <c r="A533" s="10" t="s">
        <v>157</v>
      </c>
      <c r="B533" s="10" t="s">
        <v>158</v>
      </c>
      <c r="C533" s="10" t="s">
        <v>241</v>
      </c>
      <c r="D533" s="10" t="s">
        <v>242</v>
      </c>
      <c r="E533" s="16">
        <v>8</v>
      </c>
      <c r="F533" s="16">
        <v>8</v>
      </c>
      <c r="G533" s="13">
        <v>800.87258315860004</v>
      </c>
      <c r="H533" s="13">
        <v>800.87258315860004</v>
      </c>
      <c r="I533" s="14">
        <v>0</v>
      </c>
      <c r="J533" s="15">
        <v>1</v>
      </c>
      <c r="K533" s="14">
        <v>2635.2284368484361</v>
      </c>
      <c r="L533" s="13">
        <v>2110482.2054318069</v>
      </c>
      <c r="M533" s="14">
        <v>4.3371179106329629</v>
      </c>
      <c r="N533" s="14">
        <v>2173.2911457226955</v>
      </c>
      <c r="O533" s="13">
        <v>1740529.2938306485</v>
      </c>
      <c r="P533" s="13">
        <v>369952.91160115832</v>
      </c>
      <c r="Q533" s="14">
        <v>1.2125519592875948</v>
      </c>
      <c r="R533" s="15">
        <v>0.2125519592875949</v>
      </c>
    </row>
    <row r="534" spans="1:18" ht="18" customHeight="1">
      <c r="A534" s="10" t="s">
        <v>157</v>
      </c>
      <c r="B534" s="10" t="s">
        <v>158</v>
      </c>
      <c r="C534" s="10" t="s">
        <v>241</v>
      </c>
      <c r="D534" s="10" t="s">
        <v>243</v>
      </c>
      <c r="E534" s="16">
        <v>18</v>
      </c>
      <c r="F534" s="16">
        <v>18</v>
      </c>
      <c r="G534" s="13">
        <v>3146.2989588931</v>
      </c>
      <c r="H534" s="13">
        <v>3146.2989588931</v>
      </c>
      <c r="I534" s="14">
        <v>0</v>
      </c>
      <c r="J534" s="15">
        <v>1</v>
      </c>
      <c r="K534" s="14">
        <v>98.53066632664661</v>
      </c>
      <c r="L534" s="13">
        <v>310006.93288257165</v>
      </c>
      <c r="M534" s="14">
        <v>2.778247477051639</v>
      </c>
      <c r="N534" s="14">
        <v>60.013295678384416</v>
      </c>
      <c r="O534" s="13">
        <v>188819.76971264466</v>
      </c>
      <c r="P534" s="13">
        <v>121187.16316992699</v>
      </c>
      <c r="Q534" s="14">
        <v>1.6418139549389117</v>
      </c>
      <c r="R534" s="15">
        <v>0.64181395493891169</v>
      </c>
    </row>
    <row r="535" spans="1:18" ht="18" customHeight="1">
      <c r="A535" s="10" t="s">
        <v>157</v>
      </c>
      <c r="B535" s="10" t="s">
        <v>158</v>
      </c>
      <c r="C535" s="10" t="s">
        <v>241</v>
      </c>
      <c r="D535" s="10" t="s">
        <v>244</v>
      </c>
      <c r="E535" s="16">
        <v>3</v>
      </c>
      <c r="F535" s="16">
        <v>3</v>
      </c>
      <c r="G535" s="13">
        <v>6.1966143750999994</v>
      </c>
      <c r="H535" s="13">
        <v>6.1966143750999994</v>
      </c>
      <c r="I535" s="14">
        <v>0</v>
      </c>
      <c r="J535" s="15">
        <v>1</v>
      </c>
      <c r="K535" s="14">
        <v>371.5245091103497</v>
      </c>
      <c r="L535" s="13">
        <v>2302.1941138551638</v>
      </c>
      <c r="M535" s="14">
        <v>3.5699194948867556</v>
      </c>
      <c r="N535" s="14">
        <v>371.46636404164275</v>
      </c>
      <c r="O535" s="13">
        <v>2301.8338112865731</v>
      </c>
      <c r="P535" s="13">
        <v>0.36030256859066867</v>
      </c>
      <c r="Q535" s="14">
        <v>1.0001565284890785</v>
      </c>
      <c r="R535" s="15">
        <v>1.5652848907857659E-4</v>
      </c>
    </row>
    <row r="536" spans="1:18" ht="18" customHeight="1">
      <c r="A536" s="10" t="s">
        <v>157</v>
      </c>
      <c r="B536" s="10" t="s">
        <v>158</v>
      </c>
      <c r="C536" s="10" t="s">
        <v>241</v>
      </c>
      <c r="D536" s="10" t="s">
        <v>253</v>
      </c>
      <c r="E536" s="16">
        <v>2</v>
      </c>
      <c r="F536" s="16">
        <v>2</v>
      </c>
      <c r="G536" s="13">
        <v>2339.8883862917996</v>
      </c>
      <c r="H536" s="13">
        <v>2339.8883862917996</v>
      </c>
      <c r="I536" s="14">
        <v>0</v>
      </c>
      <c r="J536" s="15">
        <v>1</v>
      </c>
      <c r="K536" s="14">
        <v>69.808153437479049</v>
      </c>
      <c r="L536" s="13">
        <v>163343.28749683319</v>
      </c>
      <c r="M536" s="14">
        <v>2.8426541360800623</v>
      </c>
      <c r="N536" s="14">
        <v>69.607195476641763</v>
      </c>
      <c r="O536" s="13">
        <v>162873.06829813716</v>
      </c>
      <c r="P536" s="13">
        <v>470.21919869602425</v>
      </c>
      <c r="Q536" s="14">
        <v>1.0028870285530282</v>
      </c>
      <c r="R536" s="15">
        <v>2.8870285530281392E-3</v>
      </c>
    </row>
    <row r="537" spans="1:18" ht="18" customHeight="1">
      <c r="A537" s="10" t="s">
        <v>157</v>
      </c>
      <c r="B537" s="10" t="s">
        <v>158</v>
      </c>
      <c r="C537" s="10" t="s">
        <v>241</v>
      </c>
      <c r="D537" s="10" t="s">
        <v>245</v>
      </c>
      <c r="E537" s="16">
        <v>13</v>
      </c>
      <c r="F537" s="16">
        <v>13</v>
      </c>
      <c r="G537" s="13">
        <v>1327.7949143572</v>
      </c>
      <c r="H537" s="13">
        <v>1327.7949143572</v>
      </c>
      <c r="I537" s="14">
        <v>0</v>
      </c>
      <c r="J537" s="15">
        <v>1</v>
      </c>
      <c r="K537" s="14">
        <v>10.403884962517553</v>
      </c>
      <c r="L537" s="13">
        <v>13814.225542788156</v>
      </c>
      <c r="M537" s="14">
        <v>2.0078545494464795</v>
      </c>
      <c r="N537" s="14">
        <v>10.182503064131225</v>
      </c>
      <c r="O537" s="13">
        <v>13520.275783980047</v>
      </c>
      <c r="P537" s="13">
        <v>293.94975880810853</v>
      </c>
      <c r="Q537" s="14">
        <v>1.0217414025797023</v>
      </c>
      <c r="R537" s="15">
        <v>2.1741402579702168E-2</v>
      </c>
    </row>
    <row r="538" spans="1:18" ht="18" customHeight="1">
      <c r="A538" s="10" t="s">
        <v>157</v>
      </c>
      <c r="B538" s="10" t="s">
        <v>158</v>
      </c>
      <c r="C538" s="10" t="s">
        <v>241</v>
      </c>
      <c r="D538" s="10" t="s">
        <v>246</v>
      </c>
      <c r="E538" s="16">
        <v>48</v>
      </c>
      <c r="F538" s="16">
        <v>48</v>
      </c>
      <c r="G538" s="13">
        <v>6048.3309105018998</v>
      </c>
      <c r="H538" s="13">
        <v>6048.3309105018998</v>
      </c>
      <c r="I538" s="14">
        <v>0</v>
      </c>
      <c r="J538" s="15">
        <v>1</v>
      </c>
      <c r="K538" s="14">
        <v>549.88167482743836</v>
      </c>
      <c r="L538" s="13">
        <v>3325866.3309773495</v>
      </c>
      <c r="M538" s="14">
        <v>3.526081528192571</v>
      </c>
      <c r="N538" s="14">
        <v>335.80064670454226</v>
      </c>
      <c r="O538" s="13">
        <v>2031033.4312296109</v>
      </c>
      <c r="P538" s="13">
        <v>1294832.8997477386</v>
      </c>
      <c r="Q538" s="14">
        <v>1.6375241686513411</v>
      </c>
      <c r="R538" s="15">
        <v>0.63752416865134121</v>
      </c>
    </row>
    <row r="539" spans="1:18" ht="18" customHeight="1">
      <c r="A539" s="10" t="s">
        <v>157</v>
      </c>
      <c r="B539" s="10" t="s">
        <v>158</v>
      </c>
      <c r="C539" s="10" t="s">
        <v>241</v>
      </c>
      <c r="D539" s="10" t="s">
        <v>247</v>
      </c>
      <c r="E539" s="16">
        <v>80</v>
      </c>
      <c r="F539" s="16">
        <v>80</v>
      </c>
      <c r="G539" s="13">
        <v>10912.042403985401</v>
      </c>
      <c r="H539" s="13">
        <v>10912.042403985401</v>
      </c>
      <c r="I539" s="14">
        <v>0</v>
      </c>
      <c r="J539" s="15">
        <v>1</v>
      </c>
      <c r="K539" s="14">
        <v>773.35059117572939</v>
      </c>
      <c r="L539" s="13">
        <v>8438834.4440567363</v>
      </c>
      <c r="M539" s="14">
        <v>3.7086907448590667</v>
      </c>
      <c r="N539" s="14">
        <v>511.3176036244671</v>
      </c>
      <c r="O539" s="13">
        <v>5579519.372654384</v>
      </c>
      <c r="P539" s="13">
        <v>2859315.0714023523</v>
      </c>
      <c r="Q539" s="14">
        <v>1.5124661965358623</v>
      </c>
      <c r="R539" s="15">
        <v>0.51246619653586223</v>
      </c>
    </row>
    <row r="540" spans="1:18" ht="18" customHeight="1">
      <c r="A540" s="10" t="s">
        <v>157</v>
      </c>
      <c r="B540" s="10" t="s">
        <v>158</v>
      </c>
      <c r="C540" s="10" t="s">
        <v>241</v>
      </c>
      <c r="D540" s="10" t="s">
        <v>249</v>
      </c>
      <c r="E540" s="16">
        <v>8</v>
      </c>
      <c r="F540" s="16">
        <v>8</v>
      </c>
      <c r="G540" s="13">
        <v>464.58509696589999</v>
      </c>
      <c r="H540" s="13">
        <v>464.58509696589999</v>
      </c>
      <c r="I540" s="14">
        <v>0</v>
      </c>
      <c r="J540" s="15">
        <v>1</v>
      </c>
      <c r="K540" s="14">
        <v>572.79595348929297</v>
      </c>
      <c r="L540" s="13">
        <v>266112.46359349834</v>
      </c>
      <c r="M540" s="14">
        <v>3.7246750118043361</v>
      </c>
      <c r="N540" s="14">
        <v>530.48732511650974</v>
      </c>
      <c r="O540" s="13">
        <v>246456.50537843458</v>
      </c>
      <c r="P540" s="13">
        <v>19655.958215063758</v>
      </c>
      <c r="Q540" s="14">
        <v>1.0797542681410741</v>
      </c>
      <c r="R540" s="15">
        <v>7.9754268141074156E-2</v>
      </c>
    </row>
    <row r="541" spans="1:18" ht="18" customHeight="1">
      <c r="A541" s="10" t="s">
        <v>157</v>
      </c>
      <c r="B541" s="10" t="s">
        <v>158</v>
      </c>
      <c r="C541" s="10" t="s">
        <v>241</v>
      </c>
      <c r="D541" s="10" t="s">
        <v>250</v>
      </c>
      <c r="E541" s="16">
        <v>51</v>
      </c>
      <c r="F541" s="16">
        <v>51</v>
      </c>
      <c r="G541" s="13">
        <v>2577.3220814830001</v>
      </c>
      <c r="H541" s="13">
        <v>2577.3220814830001</v>
      </c>
      <c r="I541" s="14">
        <v>0</v>
      </c>
      <c r="J541" s="15">
        <v>1</v>
      </c>
      <c r="K541" s="14">
        <v>1158.7169373611355</v>
      </c>
      <c r="L541" s="13">
        <v>2986386.7488492089</v>
      </c>
      <c r="M541" s="14">
        <v>4.0096313760666948</v>
      </c>
      <c r="N541" s="14">
        <v>1022.4248020021413</v>
      </c>
      <c r="O541" s="13">
        <v>2635118.0188560029</v>
      </c>
      <c r="P541" s="13">
        <v>351268.72999320598</v>
      </c>
      <c r="Q541" s="14">
        <v>1.1333028454435996</v>
      </c>
      <c r="R541" s="15">
        <v>0.13330284544359955</v>
      </c>
    </row>
    <row r="542" spans="1:18" ht="18" customHeight="1">
      <c r="A542" s="10" t="s">
        <v>157</v>
      </c>
      <c r="B542" s="10" t="s">
        <v>158</v>
      </c>
      <c r="C542" s="10" t="s">
        <v>241</v>
      </c>
      <c r="D542" s="10" t="s">
        <v>251</v>
      </c>
      <c r="E542" s="16">
        <v>14</v>
      </c>
      <c r="F542" s="16">
        <v>14</v>
      </c>
      <c r="G542" s="13">
        <v>5011.520475691801</v>
      </c>
      <c r="H542" s="13">
        <v>5011.520475691801</v>
      </c>
      <c r="I542" s="14">
        <v>0</v>
      </c>
      <c r="J542" s="15">
        <v>1</v>
      </c>
      <c r="K542" s="14">
        <v>898.72082261235278</v>
      </c>
      <c r="L542" s="13">
        <v>4503957.8044523848</v>
      </c>
      <c r="M542" s="14">
        <v>3.9427464784064541</v>
      </c>
      <c r="N542" s="14">
        <v>876.48901689109982</v>
      </c>
      <c r="O542" s="13">
        <v>4392542.6548687238</v>
      </c>
      <c r="P542" s="13">
        <v>111415.149583661</v>
      </c>
      <c r="Q542" s="14">
        <v>1.025364614151252</v>
      </c>
      <c r="R542" s="15">
        <v>2.5364614151251939E-2</v>
      </c>
    </row>
    <row r="543" spans="1:18" ht="18" customHeight="1">
      <c r="A543" s="10" t="s">
        <v>159</v>
      </c>
      <c r="B543" s="10" t="s">
        <v>160</v>
      </c>
      <c r="C543" s="10" t="s">
        <v>241</v>
      </c>
      <c r="D543" s="10" t="s">
        <v>252</v>
      </c>
      <c r="E543" s="16">
        <v>1</v>
      </c>
      <c r="F543" s="16">
        <v>1</v>
      </c>
      <c r="G543" s="13">
        <v>18.324620432900002</v>
      </c>
      <c r="H543" s="13">
        <v>18.324620432900002</v>
      </c>
      <c r="I543" s="14">
        <v>0</v>
      </c>
      <c r="J543" s="15">
        <v>1</v>
      </c>
      <c r="K543" s="14">
        <v>158.48931924611142</v>
      </c>
      <c r="L543" s="13">
        <v>2904.2566178537049</v>
      </c>
      <c r="M543" s="14">
        <v>3.2</v>
      </c>
      <c r="N543" s="14">
        <v>158.48931924611142</v>
      </c>
      <c r="O543" s="13">
        <v>2904.2566178537049</v>
      </c>
      <c r="P543" s="13">
        <v>0</v>
      </c>
      <c r="Q543" s="14">
        <v>1</v>
      </c>
      <c r="R543" s="15">
        <v>0</v>
      </c>
    </row>
    <row r="544" spans="1:18" ht="18" customHeight="1">
      <c r="A544" s="10" t="s">
        <v>159</v>
      </c>
      <c r="B544" s="10" t="s">
        <v>160</v>
      </c>
      <c r="C544" s="10" t="s">
        <v>241</v>
      </c>
      <c r="D544" s="10" t="s">
        <v>242</v>
      </c>
      <c r="E544" s="16">
        <v>8</v>
      </c>
      <c r="F544" s="16">
        <v>8</v>
      </c>
      <c r="G544" s="13">
        <v>966.17414248759997</v>
      </c>
      <c r="H544" s="13">
        <v>966.17414248759997</v>
      </c>
      <c r="I544" s="14">
        <v>0</v>
      </c>
      <c r="J544" s="15">
        <v>1</v>
      </c>
      <c r="K544" s="14">
        <v>2645.7003612860863</v>
      </c>
      <c r="L544" s="13">
        <v>2556207.2778447177</v>
      </c>
      <c r="M544" s="14">
        <v>4.3380800333064427</v>
      </c>
      <c r="N544" s="14">
        <v>2178.1111253086438</v>
      </c>
      <c r="O544" s="13">
        <v>2104434.6487377803</v>
      </c>
      <c r="P544" s="13">
        <v>451772.62910693744</v>
      </c>
      <c r="Q544" s="14">
        <v>1.2146764830059733</v>
      </c>
      <c r="R544" s="15">
        <v>0.21467648300597328</v>
      </c>
    </row>
    <row r="545" spans="1:18" ht="18" customHeight="1">
      <c r="A545" s="10" t="s">
        <v>159</v>
      </c>
      <c r="B545" s="10" t="s">
        <v>160</v>
      </c>
      <c r="C545" s="10" t="s">
        <v>241</v>
      </c>
      <c r="D545" s="10" t="s">
        <v>243</v>
      </c>
      <c r="E545" s="16">
        <v>12</v>
      </c>
      <c r="F545" s="16">
        <v>12</v>
      </c>
      <c r="G545" s="13">
        <v>1765.5320593504</v>
      </c>
      <c r="H545" s="13">
        <v>1765.5320593504</v>
      </c>
      <c r="I545" s="14">
        <v>0</v>
      </c>
      <c r="J545" s="15">
        <v>1</v>
      </c>
      <c r="K545" s="14">
        <v>108.40982478278336</v>
      </c>
      <c r="L545" s="13">
        <v>191401.02120256354</v>
      </c>
      <c r="M545" s="14">
        <v>2.8864540690634133</v>
      </c>
      <c r="N545" s="14">
        <v>76.993501180872656</v>
      </c>
      <c r="O545" s="13">
        <v>135934.49469646355</v>
      </c>
      <c r="P545" s="13">
        <v>55466.526506099995</v>
      </c>
      <c r="Q545" s="14">
        <v>1.4080386411848929</v>
      </c>
      <c r="R545" s="15">
        <v>0.40803864118489275</v>
      </c>
    </row>
    <row r="546" spans="1:18" ht="18" customHeight="1">
      <c r="A546" s="10" t="s">
        <v>159</v>
      </c>
      <c r="B546" s="10" t="s">
        <v>160</v>
      </c>
      <c r="C546" s="10" t="s">
        <v>241</v>
      </c>
      <c r="D546" s="10" t="s">
        <v>244</v>
      </c>
      <c r="E546" s="16">
        <v>5</v>
      </c>
      <c r="F546" s="16">
        <v>5</v>
      </c>
      <c r="G546" s="13">
        <v>5.2068770306000012</v>
      </c>
      <c r="H546" s="13">
        <v>5.2068770306000012</v>
      </c>
      <c r="I546" s="14">
        <v>0</v>
      </c>
      <c r="J546" s="15">
        <v>1</v>
      </c>
      <c r="K546" s="14">
        <v>407.60318977963311</v>
      </c>
      <c r="L546" s="13">
        <v>2122.3396864628648</v>
      </c>
      <c r="M546" s="14">
        <v>3.5995865814077508</v>
      </c>
      <c r="N546" s="14">
        <v>397.72838012224986</v>
      </c>
      <c r="O546" s="13">
        <v>2070.9227668762887</v>
      </c>
      <c r="P546" s="13">
        <v>51.416919586576114</v>
      </c>
      <c r="Q546" s="14">
        <v>1.0248280237239999</v>
      </c>
      <c r="R546" s="15">
        <v>2.4828023723999951E-2</v>
      </c>
    </row>
    <row r="547" spans="1:18" ht="18" customHeight="1">
      <c r="A547" s="10" t="s">
        <v>159</v>
      </c>
      <c r="B547" s="10" t="s">
        <v>160</v>
      </c>
      <c r="C547" s="10" t="s">
        <v>241</v>
      </c>
      <c r="D547" s="10" t="s">
        <v>253</v>
      </c>
      <c r="E547" s="16">
        <v>3</v>
      </c>
      <c r="F547" s="16">
        <v>3</v>
      </c>
      <c r="G547" s="13">
        <v>4287.285023541599</v>
      </c>
      <c r="H547" s="13">
        <v>4287.285023541599</v>
      </c>
      <c r="I547" s="14">
        <v>0</v>
      </c>
      <c r="J547" s="15">
        <v>1</v>
      </c>
      <c r="K547" s="14">
        <v>69.378333163227524</v>
      </c>
      <c r="L547" s="13">
        <v>297444.68872898479</v>
      </c>
      <c r="M547" s="14">
        <v>2.8408290180430034</v>
      </c>
      <c r="N547" s="14">
        <v>69.315285765979525</v>
      </c>
      <c r="O547" s="13">
        <v>297174.38656699017</v>
      </c>
      <c r="P547" s="13">
        <v>270.30216199462302</v>
      </c>
      <c r="Q547" s="14">
        <v>1.000909574223799</v>
      </c>
      <c r="R547" s="15">
        <v>9.0957422379903021E-4</v>
      </c>
    </row>
    <row r="548" spans="1:18" ht="18" customHeight="1">
      <c r="A548" s="10" t="s">
        <v>159</v>
      </c>
      <c r="B548" s="10" t="s">
        <v>160</v>
      </c>
      <c r="C548" s="10" t="s">
        <v>241</v>
      </c>
      <c r="D548" s="10" t="s">
        <v>245</v>
      </c>
      <c r="E548" s="16">
        <v>13</v>
      </c>
      <c r="F548" s="16">
        <v>13</v>
      </c>
      <c r="G548" s="13">
        <v>1499.4380720012002</v>
      </c>
      <c r="H548" s="13">
        <v>1499.4380720012002</v>
      </c>
      <c r="I548" s="14">
        <v>0</v>
      </c>
      <c r="J548" s="15">
        <v>1</v>
      </c>
      <c r="K548" s="14">
        <v>10.225654631855146</v>
      </c>
      <c r="L548" s="13">
        <v>15332.735866139024</v>
      </c>
      <c r="M548" s="14">
        <v>2.0036000511626075</v>
      </c>
      <c r="N548" s="14">
        <v>10.083238765484065</v>
      </c>
      <c r="O548" s="13">
        <v>15119.192094045189</v>
      </c>
      <c r="P548" s="13">
        <v>213.54377209383529</v>
      </c>
      <c r="Q548" s="14">
        <v>1.0141240200379451</v>
      </c>
      <c r="R548" s="15">
        <v>1.4124020037945093E-2</v>
      </c>
    </row>
    <row r="549" spans="1:18" ht="18" customHeight="1">
      <c r="A549" s="10" t="s">
        <v>159</v>
      </c>
      <c r="B549" s="10" t="s">
        <v>160</v>
      </c>
      <c r="C549" s="10" t="s">
        <v>241</v>
      </c>
      <c r="D549" s="10" t="s">
        <v>246</v>
      </c>
      <c r="E549" s="16">
        <v>43</v>
      </c>
      <c r="F549" s="16">
        <v>43</v>
      </c>
      <c r="G549" s="13">
        <v>4415.9724706193992</v>
      </c>
      <c r="H549" s="13">
        <v>4415.9724706193992</v>
      </c>
      <c r="I549" s="14">
        <v>0</v>
      </c>
      <c r="J549" s="15">
        <v>1</v>
      </c>
      <c r="K549" s="14">
        <v>597.75581091380593</v>
      </c>
      <c r="L549" s="13">
        <v>2639673.2051481418</v>
      </c>
      <c r="M549" s="14">
        <v>3.5508575319060625</v>
      </c>
      <c r="N549" s="14">
        <v>355.51467465859776</v>
      </c>
      <c r="O549" s="13">
        <v>1569943.0161935799</v>
      </c>
      <c r="P549" s="13">
        <v>1069730.1889545619</v>
      </c>
      <c r="Q549" s="14">
        <v>1.6813815392791684</v>
      </c>
      <c r="R549" s="15">
        <v>0.68138153927916845</v>
      </c>
    </row>
    <row r="550" spans="1:18" ht="18" customHeight="1">
      <c r="A550" s="10" t="s">
        <v>159</v>
      </c>
      <c r="B550" s="10" t="s">
        <v>160</v>
      </c>
      <c r="C550" s="10" t="s">
        <v>241</v>
      </c>
      <c r="D550" s="10" t="s">
        <v>247</v>
      </c>
      <c r="E550" s="16">
        <v>90</v>
      </c>
      <c r="F550" s="16">
        <v>90</v>
      </c>
      <c r="G550" s="13">
        <v>9855.3167048083978</v>
      </c>
      <c r="H550" s="13">
        <v>9855.3167048083978</v>
      </c>
      <c r="I550" s="14">
        <v>0</v>
      </c>
      <c r="J550" s="15">
        <v>1</v>
      </c>
      <c r="K550" s="14">
        <v>879.12305149177348</v>
      </c>
      <c r="L550" s="13">
        <v>8664036.0949490089</v>
      </c>
      <c r="M550" s="14">
        <v>3.8323259161942151</v>
      </c>
      <c r="N550" s="14">
        <v>679.71353213036934</v>
      </c>
      <c r="O550" s="13">
        <v>6698792.1276887488</v>
      </c>
      <c r="P550" s="13">
        <v>1965243.9672602601</v>
      </c>
      <c r="Q550" s="14">
        <v>1.2933728842155188</v>
      </c>
      <c r="R550" s="15">
        <v>0.29337288421551883</v>
      </c>
    </row>
    <row r="551" spans="1:18" ht="18" customHeight="1">
      <c r="A551" s="10" t="s">
        <v>159</v>
      </c>
      <c r="B551" s="10" t="s">
        <v>160</v>
      </c>
      <c r="C551" s="10" t="s">
        <v>241</v>
      </c>
      <c r="D551" s="10" t="s">
        <v>249</v>
      </c>
      <c r="E551" s="16">
        <v>7</v>
      </c>
      <c r="F551" s="16">
        <v>7</v>
      </c>
      <c r="G551" s="13">
        <v>487.75275148949993</v>
      </c>
      <c r="H551" s="13">
        <v>487.75275148949993</v>
      </c>
      <c r="I551" s="14">
        <v>0</v>
      </c>
      <c r="J551" s="15">
        <v>1</v>
      </c>
      <c r="K551" s="14">
        <v>474.26622981858242</v>
      </c>
      <c r="L551" s="13">
        <v>231324.65853256508</v>
      </c>
      <c r="M551" s="14">
        <v>3.6243864950118856</v>
      </c>
      <c r="N551" s="14">
        <v>421.1012155074846</v>
      </c>
      <c r="O551" s="13">
        <v>205393.2765193485</v>
      </c>
      <c r="P551" s="13">
        <v>25931.382013216586</v>
      </c>
      <c r="Q551" s="14">
        <v>1.1262523411313992</v>
      </c>
      <c r="R551" s="15">
        <v>0.12625234113139916</v>
      </c>
    </row>
    <row r="552" spans="1:18" ht="18" customHeight="1">
      <c r="A552" s="10" t="s">
        <v>159</v>
      </c>
      <c r="B552" s="10" t="s">
        <v>160</v>
      </c>
      <c r="C552" s="10" t="s">
        <v>241</v>
      </c>
      <c r="D552" s="10" t="s">
        <v>250</v>
      </c>
      <c r="E552" s="16">
        <v>47</v>
      </c>
      <c r="F552" s="16">
        <v>47</v>
      </c>
      <c r="G552" s="13">
        <v>1474.6757560822</v>
      </c>
      <c r="H552" s="13">
        <v>1474.6757560822</v>
      </c>
      <c r="I552" s="14">
        <v>0</v>
      </c>
      <c r="J552" s="15">
        <v>1</v>
      </c>
      <c r="K552" s="14">
        <v>1407.8008279510971</v>
      </c>
      <c r="L552" s="13">
        <v>2076049.7503719314</v>
      </c>
      <c r="M552" s="14">
        <v>4.0847244938498442</v>
      </c>
      <c r="N552" s="14">
        <v>1215.4147256702029</v>
      </c>
      <c r="O552" s="13">
        <v>1792342.629531146</v>
      </c>
      <c r="P552" s="13">
        <v>283707.12084078533</v>
      </c>
      <c r="Q552" s="14">
        <v>1.1582884411531291</v>
      </c>
      <c r="R552" s="15">
        <v>0.15828844115312901</v>
      </c>
    </row>
    <row r="553" spans="1:18" ht="18" customHeight="1">
      <c r="A553" s="10" t="s">
        <v>159</v>
      </c>
      <c r="B553" s="10" t="s">
        <v>160</v>
      </c>
      <c r="C553" s="10" t="s">
        <v>241</v>
      </c>
      <c r="D553" s="10" t="s">
        <v>251</v>
      </c>
      <c r="E553" s="16">
        <v>16</v>
      </c>
      <c r="F553" s="16">
        <v>16</v>
      </c>
      <c r="G553" s="13">
        <v>5675.2389470683993</v>
      </c>
      <c r="H553" s="13">
        <v>5675.2389470683993</v>
      </c>
      <c r="I553" s="14">
        <v>0</v>
      </c>
      <c r="J553" s="15">
        <v>1</v>
      </c>
      <c r="K553" s="14">
        <v>870.34528710664222</v>
      </c>
      <c r="L553" s="13">
        <v>4939417.4707850441</v>
      </c>
      <c r="M553" s="14">
        <v>3.9348170118190784</v>
      </c>
      <c r="N553" s="14">
        <v>860.63105245009308</v>
      </c>
      <c r="O553" s="13">
        <v>4884286.8679212341</v>
      </c>
      <c r="P553" s="13">
        <v>55130.602863810025</v>
      </c>
      <c r="Q553" s="14">
        <v>1.0112873392482111</v>
      </c>
      <c r="R553" s="15">
        <v>1.1287339248211226E-2</v>
      </c>
    </row>
    <row r="554" spans="1:18" ht="18" customHeight="1">
      <c r="A554" s="10" t="s">
        <v>163</v>
      </c>
      <c r="B554" s="10" t="s">
        <v>164</v>
      </c>
      <c r="C554" s="10" t="s">
        <v>241</v>
      </c>
      <c r="D554" s="10" t="s">
        <v>252</v>
      </c>
      <c r="E554" s="16">
        <v>1</v>
      </c>
      <c r="F554" s="16">
        <v>1</v>
      </c>
      <c r="G554" s="13">
        <v>16.723329382399999</v>
      </c>
      <c r="H554" s="13">
        <v>16.723329382399999</v>
      </c>
      <c r="I554" s="14">
        <v>0</v>
      </c>
      <c r="J554" s="15">
        <v>1</v>
      </c>
      <c r="K554" s="14">
        <v>158.48931924611142</v>
      </c>
      <c r="L554" s="13">
        <v>2650.4690893450688</v>
      </c>
      <c r="M554" s="14">
        <v>3.2</v>
      </c>
      <c r="N554" s="14">
        <v>158.48931924611142</v>
      </c>
      <c r="O554" s="13">
        <v>2650.4690893450688</v>
      </c>
      <c r="P554" s="13">
        <v>0</v>
      </c>
      <c r="Q554" s="14">
        <v>1</v>
      </c>
      <c r="R554" s="15">
        <v>0</v>
      </c>
    </row>
    <row r="555" spans="1:18" ht="18" customHeight="1">
      <c r="A555" s="10" t="s">
        <v>163</v>
      </c>
      <c r="B555" s="10" t="s">
        <v>164</v>
      </c>
      <c r="C555" s="10" t="s">
        <v>241</v>
      </c>
      <c r="D555" s="10" t="s">
        <v>242</v>
      </c>
      <c r="E555" s="16">
        <v>7</v>
      </c>
      <c r="F555" s="16">
        <v>7</v>
      </c>
      <c r="G555" s="13">
        <v>299.77004530059997</v>
      </c>
      <c r="H555" s="13">
        <v>299.77004530059997</v>
      </c>
      <c r="I555" s="14">
        <v>0</v>
      </c>
      <c r="J555" s="15">
        <v>1</v>
      </c>
      <c r="K555" s="14">
        <v>2787.3804225900808</v>
      </c>
      <c r="L555" s="13">
        <v>835573.15554983402</v>
      </c>
      <c r="M555" s="14">
        <v>4.3698692085724788</v>
      </c>
      <c r="N555" s="14">
        <v>2343.5229374369164</v>
      </c>
      <c r="O555" s="13">
        <v>702517.97711845953</v>
      </c>
      <c r="P555" s="13">
        <v>133055.17843137449</v>
      </c>
      <c r="Q555" s="14">
        <v>1.1893975425043657</v>
      </c>
      <c r="R555" s="15">
        <v>0.18939754250436575</v>
      </c>
    </row>
    <row r="556" spans="1:18" ht="18" customHeight="1">
      <c r="A556" s="10" t="s">
        <v>163</v>
      </c>
      <c r="B556" s="10" t="s">
        <v>164</v>
      </c>
      <c r="C556" s="10" t="s">
        <v>241</v>
      </c>
      <c r="D556" s="10" t="s">
        <v>243</v>
      </c>
      <c r="E556" s="16">
        <v>20</v>
      </c>
      <c r="F556" s="16">
        <v>20</v>
      </c>
      <c r="G556" s="13">
        <v>8303.2443502241022</v>
      </c>
      <c r="H556" s="13">
        <v>8303.2443502241022</v>
      </c>
      <c r="I556" s="14">
        <v>0</v>
      </c>
      <c r="J556" s="15">
        <v>1</v>
      </c>
      <c r="K556" s="14">
        <v>50.947922899852578</v>
      </c>
      <c r="L556" s="13">
        <v>423033.05297385406</v>
      </c>
      <c r="M556" s="14">
        <v>2.6472879494058033</v>
      </c>
      <c r="N556" s="14">
        <v>44.390286641563947</v>
      </c>
      <c r="O556" s="13">
        <v>368583.39676139428</v>
      </c>
      <c r="P556" s="13">
        <v>54449.656212459784</v>
      </c>
      <c r="Q556" s="14">
        <v>1.1477268284217053</v>
      </c>
      <c r="R556" s="15">
        <v>0.1477268284217052</v>
      </c>
    </row>
    <row r="557" spans="1:18" ht="18" customHeight="1">
      <c r="A557" s="10" t="s">
        <v>163</v>
      </c>
      <c r="B557" s="10" t="s">
        <v>164</v>
      </c>
      <c r="C557" s="10" t="s">
        <v>241</v>
      </c>
      <c r="D557" s="10" t="s">
        <v>244</v>
      </c>
      <c r="E557" s="16">
        <v>5</v>
      </c>
      <c r="F557" s="16">
        <v>5</v>
      </c>
      <c r="G557" s="13">
        <v>6.6001093889000009</v>
      </c>
      <c r="H557" s="13">
        <v>6.6001093889000009</v>
      </c>
      <c r="I557" s="14">
        <v>0</v>
      </c>
      <c r="J557" s="15">
        <v>1</v>
      </c>
      <c r="K557" s="14">
        <v>487.05761833707885</v>
      </c>
      <c r="L557" s="13">
        <v>3214.6335597218272</v>
      </c>
      <c r="M557" s="14">
        <v>3.6471237299001547</v>
      </c>
      <c r="N557" s="14">
        <v>443.73504542848082</v>
      </c>
      <c r="O557" s="13">
        <v>2928.6998395164846</v>
      </c>
      <c r="P557" s="13">
        <v>285.93372020534252</v>
      </c>
      <c r="Q557" s="14">
        <v>1.097631623544101</v>
      </c>
      <c r="R557" s="15">
        <v>9.7631623544101029E-2</v>
      </c>
    </row>
    <row r="558" spans="1:18" ht="18" customHeight="1">
      <c r="A558" s="10" t="s">
        <v>163</v>
      </c>
      <c r="B558" s="10" t="s">
        <v>164</v>
      </c>
      <c r="C558" s="10" t="s">
        <v>241</v>
      </c>
      <c r="D558" s="10" t="s">
        <v>253</v>
      </c>
      <c r="E558" s="16">
        <v>6</v>
      </c>
      <c r="F558" s="16">
        <v>6</v>
      </c>
      <c r="G558" s="13">
        <v>2740.8131906645008</v>
      </c>
      <c r="H558" s="13">
        <v>2740.8131906645008</v>
      </c>
      <c r="I558" s="14">
        <v>0</v>
      </c>
      <c r="J558" s="15">
        <v>1</v>
      </c>
      <c r="K558" s="14">
        <v>67.142505864386536</v>
      </c>
      <c r="L558" s="13">
        <v>184025.06572737923</v>
      </c>
      <c r="M558" s="14">
        <v>2.8194916073060963</v>
      </c>
      <c r="N558" s="14">
        <v>65.992048124839471</v>
      </c>
      <c r="O558" s="13">
        <v>180871.87597952655</v>
      </c>
      <c r="P558" s="13">
        <v>3153.1897478526807</v>
      </c>
      <c r="Q558" s="14">
        <v>1.017433278284843</v>
      </c>
      <c r="R558" s="15">
        <v>1.7433278284842913E-2</v>
      </c>
    </row>
    <row r="559" spans="1:18" ht="18" customHeight="1">
      <c r="A559" s="10" t="s">
        <v>163</v>
      </c>
      <c r="B559" s="10" t="s">
        <v>164</v>
      </c>
      <c r="C559" s="10" t="s">
        <v>241</v>
      </c>
      <c r="D559" s="10" t="s">
        <v>245</v>
      </c>
      <c r="E559" s="16">
        <v>13</v>
      </c>
      <c r="F559" s="16">
        <v>13</v>
      </c>
      <c r="G559" s="13">
        <v>682.80010809670023</v>
      </c>
      <c r="H559" s="13">
        <v>682.80010809670023</v>
      </c>
      <c r="I559" s="14">
        <v>0</v>
      </c>
      <c r="J559" s="15">
        <v>1</v>
      </c>
      <c r="K559" s="14">
        <v>10.254205867736113</v>
      </c>
      <c r="L559" s="13">
        <v>7001.572874936036</v>
      </c>
      <c r="M559" s="14">
        <v>2.0041271882623057</v>
      </c>
      <c r="N559" s="14">
        <v>10.095485009753576</v>
      </c>
      <c r="O559" s="13">
        <v>6893.1982559483586</v>
      </c>
      <c r="P559" s="13">
        <v>108.37461898767742</v>
      </c>
      <c r="Q559" s="14">
        <v>1.0157219646038989</v>
      </c>
      <c r="R559" s="15">
        <v>1.5721964603898856E-2</v>
      </c>
    </row>
    <row r="560" spans="1:18" ht="18" customHeight="1">
      <c r="A560" s="10" t="s">
        <v>163</v>
      </c>
      <c r="B560" s="10" t="s">
        <v>164</v>
      </c>
      <c r="C560" s="10" t="s">
        <v>241</v>
      </c>
      <c r="D560" s="10" t="s">
        <v>246</v>
      </c>
      <c r="E560" s="16">
        <v>64</v>
      </c>
      <c r="F560" s="16">
        <v>64</v>
      </c>
      <c r="G560" s="13">
        <v>2319.7789823148996</v>
      </c>
      <c r="H560" s="13">
        <v>2319.7789823148996</v>
      </c>
      <c r="I560" s="14">
        <v>0</v>
      </c>
      <c r="J560" s="15">
        <v>1</v>
      </c>
      <c r="K560" s="14">
        <v>476.97189555202254</v>
      </c>
      <c r="L560" s="13">
        <v>1106469.3784564794</v>
      </c>
      <c r="M560" s="14">
        <v>3.4837660360624527</v>
      </c>
      <c r="N560" s="14">
        <v>304.62534641272373</v>
      </c>
      <c r="O560" s="13">
        <v>706663.47608863201</v>
      </c>
      <c r="P560" s="13">
        <v>399805.90236784739</v>
      </c>
      <c r="Q560" s="14">
        <v>1.5657656238026691</v>
      </c>
      <c r="R560" s="15">
        <v>0.56576562380266904</v>
      </c>
    </row>
    <row r="561" spans="1:18" ht="18" customHeight="1">
      <c r="A561" s="10" t="s">
        <v>163</v>
      </c>
      <c r="B561" s="10" t="s">
        <v>164</v>
      </c>
      <c r="C561" s="10" t="s">
        <v>241</v>
      </c>
      <c r="D561" s="10" t="s">
        <v>247</v>
      </c>
      <c r="E561" s="16">
        <v>209</v>
      </c>
      <c r="F561" s="16">
        <v>209</v>
      </c>
      <c r="G561" s="13">
        <v>4494.3240666383999</v>
      </c>
      <c r="H561" s="13">
        <v>4494.3240666383999</v>
      </c>
      <c r="I561" s="14">
        <v>0</v>
      </c>
      <c r="J561" s="15">
        <v>1</v>
      </c>
      <c r="K561" s="14">
        <v>895.54100632907091</v>
      </c>
      <c r="L561" s="13">
        <v>4024851.4974063151</v>
      </c>
      <c r="M561" s="14">
        <v>3.7764066308958695</v>
      </c>
      <c r="N561" s="14">
        <v>597.59455384026955</v>
      </c>
      <c r="O561" s="13">
        <v>2685783.5854163603</v>
      </c>
      <c r="P561" s="13">
        <v>1339067.9119899548</v>
      </c>
      <c r="Q561" s="14">
        <v>1.4985762513632934</v>
      </c>
      <c r="R561" s="15">
        <v>0.49857625136329342</v>
      </c>
    </row>
    <row r="562" spans="1:18" ht="18" customHeight="1">
      <c r="A562" s="10" t="s">
        <v>163</v>
      </c>
      <c r="B562" s="10" t="s">
        <v>164</v>
      </c>
      <c r="C562" s="10" t="s">
        <v>241</v>
      </c>
      <c r="D562" s="10" t="s">
        <v>249</v>
      </c>
      <c r="E562" s="16">
        <v>8</v>
      </c>
      <c r="F562" s="16">
        <v>8</v>
      </c>
      <c r="G562" s="13">
        <v>167.98048317740003</v>
      </c>
      <c r="H562" s="13">
        <v>167.98048317740003</v>
      </c>
      <c r="I562" s="14">
        <v>0</v>
      </c>
      <c r="J562" s="15">
        <v>1</v>
      </c>
      <c r="K562" s="14">
        <v>514.35166986476827</v>
      </c>
      <c r="L562" s="13">
        <v>86401.042026986324</v>
      </c>
      <c r="M562" s="14">
        <v>3.6885012361928373</v>
      </c>
      <c r="N562" s="14">
        <v>488.09149056835031</v>
      </c>
      <c r="O562" s="13">
        <v>81989.844420448877</v>
      </c>
      <c r="P562" s="13">
        <v>4411.1976065374474</v>
      </c>
      <c r="Q562" s="14">
        <v>1.0538017560311075</v>
      </c>
      <c r="R562" s="15">
        <v>5.3801756031107456E-2</v>
      </c>
    </row>
    <row r="563" spans="1:18" ht="18" customHeight="1">
      <c r="A563" s="10" t="s">
        <v>163</v>
      </c>
      <c r="B563" s="10" t="s">
        <v>164</v>
      </c>
      <c r="C563" s="10" t="s">
        <v>241</v>
      </c>
      <c r="D563" s="10" t="s">
        <v>250</v>
      </c>
      <c r="E563" s="16">
        <v>61</v>
      </c>
      <c r="F563" s="16">
        <v>61</v>
      </c>
      <c r="G563" s="13">
        <v>546.14594649010007</v>
      </c>
      <c r="H563" s="13">
        <v>546.14594649010007</v>
      </c>
      <c r="I563" s="14">
        <v>0</v>
      </c>
      <c r="J563" s="15">
        <v>1</v>
      </c>
      <c r="K563" s="14">
        <v>1527.4351857982347</v>
      </c>
      <c r="L563" s="13">
        <v>834202.53525005875</v>
      </c>
      <c r="M563" s="14">
        <v>4.1201110106149414</v>
      </c>
      <c r="N563" s="14">
        <v>1318.5937430592001</v>
      </c>
      <c r="O563" s="13">
        <v>720144.62783899065</v>
      </c>
      <c r="P563" s="13">
        <v>114057.9074110681</v>
      </c>
      <c r="Q563" s="14">
        <v>1.1583819457951563</v>
      </c>
      <c r="R563" s="15">
        <v>0.15838194579515641</v>
      </c>
    </row>
    <row r="564" spans="1:18" ht="18" customHeight="1">
      <c r="A564" s="10" t="s">
        <v>163</v>
      </c>
      <c r="B564" s="10" t="s">
        <v>164</v>
      </c>
      <c r="C564" s="10" t="s">
        <v>241</v>
      </c>
      <c r="D564" s="10" t="s">
        <v>251</v>
      </c>
      <c r="E564" s="16">
        <v>17</v>
      </c>
      <c r="F564" s="16">
        <v>17</v>
      </c>
      <c r="G564" s="13">
        <v>260.89231960960001</v>
      </c>
      <c r="H564" s="13">
        <v>260.89231960960001</v>
      </c>
      <c r="I564" s="14">
        <v>0</v>
      </c>
      <c r="J564" s="15">
        <v>1</v>
      </c>
      <c r="K564" s="14">
        <v>2920.0644868858499</v>
      </c>
      <c r="L564" s="13">
        <v>761822.39739326586</v>
      </c>
      <c r="M564" s="14">
        <v>4.4456962495554828</v>
      </c>
      <c r="N564" s="14">
        <v>2790.5913875347546</v>
      </c>
      <c r="O564" s="13">
        <v>728043.86017651437</v>
      </c>
      <c r="P564" s="13">
        <v>33778.537216751487</v>
      </c>
      <c r="Q564" s="14">
        <v>1.0463962943229297</v>
      </c>
      <c r="R564" s="15">
        <v>4.6396294322929771E-2</v>
      </c>
    </row>
    <row r="565" spans="1:18" ht="18" customHeight="1">
      <c r="A565" s="10" t="s">
        <v>161</v>
      </c>
      <c r="B565" s="10" t="s">
        <v>162</v>
      </c>
      <c r="C565" s="10" t="s">
        <v>241</v>
      </c>
      <c r="D565" s="10" t="s">
        <v>252</v>
      </c>
      <c r="E565" s="16">
        <v>1</v>
      </c>
      <c r="F565" s="16">
        <v>1</v>
      </c>
      <c r="G565" s="13">
        <v>99.525338144599999</v>
      </c>
      <c r="H565" s="13">
        <v>99.525338144599999</v>
      </c>
      <c r="I565" s="14">
        <v>0</v>
      </c>
      <c r="J565" s="15">
        <v>1</v>
      </c>
      <c r="K565" s="14">
        <v>158.48931924611142</v>
      </c>
      <c r="L565" s="13">
        <v>15773.7030902767</v>
      </c>
      <c r="M565" s="14">
        <v>3.2</v>
      </c>
      <c r="N565" s="14">
        <v>158.48931924611142</v>
      </c>
      <c r="O565" s="13">
        <v>15773.7030902767</v>
      </c>
      <c r="P565" s="13">
        <v>0</v>
      </c>
      <c r="Q565" s="14">
        <v>1</v>
      </c>
      <c r="R565" s="15">
        <v>0</v>
      </c>
    </row>
    <row r="566" spans="1:18" ht="18" customHeight="1">
      <c r="A566" s="10" t="s">
        <v>161</v>
      </c>
      <c r="B566" s="10" t="s">
        <v>162</v>
      </c>
      <c r="C566" s="10" t="s">
        <v>241</v>
      </c>
      <c r="D566" s="10" t="s">
        <v>242</v>
      </c>
      <c r="E566" s="16">
        <v>4</v>
      </c>
      <c r="F566" s="16">
        <v>4</v>
      </c>
      <c r="G566" s="13">
        <v>21.399933033399996</v>
      </c>
      <c r="H566" s="13">
        <v>21.399933033399996</v>
      </c>
      <c r="I566" s="14">
        <v>0</v>
      </c>
      <c r="J566" s="15">
        <v>1</v>
      </c>
      <c r="K566" s="14">
        <v>1340.4425121241986</v>
      </c>
      <c r="L566" s="13">
        <v>28685.379994580315</v>
      </c>
      <c r="M566" s="14">
        <v>3.8414021558230189</v>
      </c>
      <c r="N566" s="14">
        <v>694.06821431676667</v>
      </c>
      <c r="O566" s="13">
        <v>14853.013306990324</v>
      </c>
      <c r="P566" s="13">
        <v>13832.366687589991</v>
      </c>
      <c r="Q566" s="14">
        <v>1.9312835316103849</v>
      </c>
      <c r="R566" s="15">
        <v>0.93128353161038491</v>
      </c>
    </row>
    <row r="567" spans="1:18" ht="18" customHeight="1">
      <c r="A567" s="10" t="s">
        <v>161</v>
      </c>
      <c r="B567" s="10" t="s">
        <v>162</v>
      </c>
      <c r="C567" s="10" t="s">
        <v>241</v>
      </c>
      <c r="D567" s="10" t="s">
        <v>243</v>
      </c>
      <c r="E567" s="16">
        <v>25</v>
      </c>
      <c r="F567" s="16">
        <v>25</v>
      </c>
      <c r="G567" s="13">
        <v>4237.1469547132001</v>
      </c>
      <c r="H567" s="13">
        <v>4237.1469547132001</v>
      </c>
      <c r="I567" s="14">
        <v>0</v>
      </c>
      <c r="J567" s="15">
        <v>1</v>
      </c>
      <c r="K567" s="14">
        <v>117.5080899612114</v>
      </c>
      <c r="L567" s="13">
        <v>497899.04553331161</v>
      </c>
      <c r="M567" s="14">
        <v>2.944941481175547</v>
      </c>
      <c r="N567" s="14">
        <v>88.093016445181149</v>
      </c>
      <c r="O567" s="13">
        <v>373263.05636219919</v>
      </c>
      <c r="P567" s="13">
        <v>124635.98917111242</v>
      </c>
      <c r="Q567" s="14">
        <v>1.3339092552737679</v>
      </c>
      <c r="R567" s="15">
        <v>0.33390925527376802</v>
      </c>
    </row>
    <row r="568" spans="1:18" ht="18" customHeight="1">
      <c r="A568" s="10" t="s">
        <v>161</v>
      </c>
      <c r="B568" s="10" t="s">
        <v>162</v>
      </c>
      <c r="C568" s="10" t="s">
        <v>241</v>
      </c>
      <c r="D568" s="10" t="s">
        <v>244</v>
      </c>
      <c r="E568" s="16">
        <v>6</v>
      </c>
      <c r="F568" s="16">
        <v>6</v>
      </c>
      <c r="G568" s="13">
        <v>25.893980348800003</v>
      </c>
      <c r="H568" s="13">
        <v>25.893980348800003</v>
      </c>
      <c r="I568" s="14">
        <v>0</v>
      </c>
      <c r="J568" s="15">
        <v>1</v>
      </c>
      <c r="K568" s="14">
        <v>501.02669329914414</v>
      </c>
      <c r="L568" s="13">
        <v>12973.575350512285</v>
      </c>
      <c r="M568" s="14">
        <v>3.6220591275378204</v>
      </c>
      <c r="N568" s="14">
        <v>418.85058614653059</v>
      </c>
      <c r="O568" s="13">
        <v>10845.708846761627</v>
      </c>
      <c r="P568" s="13">
        <v>2127.866503750658</v>
      </c>
      <c r="Q568" s="14">
        <v>1.1961943229174927</v>
      </c>
      <c r="R568" s="15">
        <v>0.1961943229174927</v>
      </c>
    </row>
    <row r="569" spans="1:18" ht="18" customHeight="1">
      <c r="A569" s="10" t="s">
        <v>161</v>
      </c>
      <c r="B569" s="10" t="s">
        <v>162</v>
      </c>
      <c r="C569" s="10" t="s">
        <v>241</v>
      </c>
      <c r="D569" s="10" t="s">
        <v>253</v>
      </c>
      <c r="E569" s="16">
        <v>9</v>
      </c>
      <c r="F569" s="16">
        <v>9</v>
      </c>
      <c r="G569" s="13">
        <v>18967.374714154503</v>
      </c>
      <c r="H569" s="13">
        <v>18967.374714154503</v>
      </c>
      <c r="I569" s="14">
        <v>0</v>
      </c>
      <c r="J569" s="15">
        <v>1</v>
      </c>
      <c r="K569" s="14">
        <v>68.304932361794783</v>
      </c>
      <c r="L569" s="13">
        <v>1295565.2469311401</v>
      </c>
      <c r="M569" s="14">
        <v>2.8299688231511797</v>
      </c>
      <c r="N569" s="14">
        <v>67.603444293062566</v>
      </c>
      <c r="O569" s="13">
        <v>1282259.8598739875</v>
      </c>
      <c r="P569" s="13">
        <v>13305.387057152577</v>
      </c>
      <c r="Q569" s="14">
        <v>1.0103765137422769</v>
      </c>
      <c r="R569" s="15">
        <v>1.0376513742276973E-2</v>
      </c>
    </row>
    <row r="570" spans="1:18" ht="18" customHeight="1">
      <c r="A570" s="10" t="s">
        <v>161</v>
      </c>
      <c r="B570" s="10" t="s">
        <v>162</v>
      </c>
      <c r="C570" s="10" t="s">
        <v>241</v>
      </c>
      <c r="D570" s="10" t="s">
        <v>245</v>
      </c>
      <c r="E570" s="16">
        <v>14</v>
      </c>
      <c r="F570" s="16">
        <v>14</v>
      </c>
      <c r="G570" s="13">
        <v>1429.4506559047002</v>
      </c>
      <c r="H570" s="13">
        <v>1429.4506559047002</v>
      </c>
      <c r="I570" s="14">
        <v>0</v>
      </c>
      <c r="J570" s="15">
        <v>1</v>
      </c>
      <c r="K570" s="14">
        <v>10.642289529225984</v>
      </c>
      <c r="L570" s="13">
        <v>15212.627747879806</v>
      </c>
      <c r="M570" s="14">
        <v>2.0085863884095922</v>
      </c>
      <c r="N570" s="14">
        <v>10.199676284252689</v>
      </c>
      <c r="O570" s="13">
        <v>14579.933954540622</v>
      </c>
      <c r="P570" s="13">
        <v>632.69379333918369</v>
      </c>
      <c r="Q570" s="14">
        <v>1.0433948326043099</v>
      </c>
      <c r="R570" s="15">
        <v>4.3394832604309853E-2</v>
      </c>
    </row>
    <row r="571" spans="1:18" ht="18" customHeight="1">
      <c r="A571" s="10" t="s">
        <v>161</v>
      </c>
      <c r="B571" s="10" t="s">
        <v>162</v>
      </c>
      <c r="C571" s="10" t="s">
        <v>241</v>
      </c>
      <c r="D571" s="10" t="s">
        <v>246</v>
      </c>
      <c r="E571" s="16">
        <v>59</v>
      </c>
      <c r="F571" s="16">
        <v>59</v>
      </c>
      <c r="G571" s="13">
        <v>5798.9127139813991</v>
      </c>
      <c r="H571" s="13">
        <v>5798.9127139813991</v>
      </c>
      <c r="I571" s="14">
        <v>0</v>
      </c>
      <c r="J571" s="15">
        <v>1</v>
      </c>
      <c r="K571" s="14">
        <v>425.67549582065038</v>
      </c>
      <c r="L571" s="13">
        <v>2468455.0447447053</v>
      </c>
      <c r="M571" s="14">
        <v>3.4428974551536236</v>
      </c>
      <c r="N571" s="14">
        <v>277.26653505074052</v>
      </c>
      <c r="O571" s="13">
        <v>1607844.4352673085</v>
      </c>
      <c r="P571" s="13">
        <v>860610.60947739682</v>
      </c>
      <c r="Q571" s="14">
        <v>1.5352573859760992</v>
      </c>
      <c r="R571" s="15">
        <v>0.53525738597609906</v>
      </c>
    </row>
    <row r="572" spans="1:18" ht="18" customHeight="1">
      <c r="A572" s="10" t="s">
        <v>161</v>
      </c>
      <c r="B572" s="10" t="s">
        <v>162</v>
      </c>
      <c r="C572" s="10" t="s">
        <v>241</v>
      </c>
      <c r="D572" s="10" t="s">
        <v>247</v>
      </c>
      <c r="E572" s="16">
        <v>215</v>
      </c>
      <c r="F572" s="16">
        <v>215</v>
      </c>
      <c r="G572" s="13">
        <v>9529.2680478260008</v>
      </c>
      <c r="H572" s="13">
        <v>9529.2680478260008</v>
      </c>
      <c r="I572" s="14">
        <v>0</v>
      </c>
      <c r="J572" s="15">
        <v>1</v>
      </c>
      <c r="K572" s="14">
        <v>869.68999718249995</v>
      </c>
      <c r="L572" s="13">
        <v>8287509.1016650815</v>
      </c>
      <c r="M572" s="14">
        <v>3.7183577305224422</v>
      </c>
      <c r="N572" s="14">
        <v>522.82666660434279</v>
      </c>
      <c r="O572" s="13">
        <v>4982155.4486241406</v>
      </c>
      <c r="P572" s="13">
        <v>3305353.6530409409</v>
      </c>
      <c r="Q572" s="14">
        <v>1.6634384830272084</v>
      </c>
      <c r="R572" s="15">
        <v>0.66343848302720843</v>
      </c>
    </row>
    <row r="573" spans="1:18" ht="18" customHeight="1">
      <c r="A573" s="10" t="s">
        <v>161</v>
      </c>
      <c r="B573" s="10" t="s">
        <v>162</v>
      </c>
      <c r="C573" s="10" t="s">
        <v>241</v>
      </c>
      <c r="D573" s="10" t="s">
        <v>249</v>
      </c>
      <c r="E573" s="16">
        <v>6</v>
      </c>
      <c r="F573" s="16">
        <v>6</v>
      </c>
      <c r="G573" s="13">
        <v>2594.3482630696003</v>
      </c>
      <c r="H573" s="13">
        <v>2594.3482630696003</v>
      </c>
      <c r="I573" s="14">
        <v>0</v>
      </c>
      <c r="J573" s="15">
        <v>1</v>
      </c>
      <c r="K573" s="14">
        <v>793.54241461101788</v>
      </c>
      <c r="L573" s="13">
        <v>2058725.3850181508</v>
      </c>
      <c r="M573" s="14">
        <v>3.8994952909723617</v>
      </c>
      <c r="N573" s="14">
        <v>793.40565388308926</v>
      </c>
      <c r="O573" s="13">
        <v>2058370.5800611931</v>
      </c>
      <c r="P573" s="13">
        <v>354.80495695769787</v>
      </c>
      <c r="Q573" s="14">
        <v>1.0001723717587079</v>
      </c>
      <c r="R573" s="15">
        <v>1.7237175870787557E-4</v>
      </c>
    </row>
    <row r="574" spans="1:18" ht="18" customHeight="1">
      <c r="A574" s="10" t="s">
        <v>161</v>
      </c>
      <c r="B574" s="10" t="s">
        <v>162</v>
      </c>
      <c r="C574" s="10" t="s">
        <v>241</v>
      </c>
      <c r="D574" s="10" t="s">
        <v>250</v>
      </c>
      <c r="E574" s="16">
        <v>54</v>
      </c>
      <c r="F574" s="16">
        <v>54</v>
      </c>
      <c r="G574" s="13">
        <v>1067.5962278661998</v>
      </c>
      <c r="H574" s="13">
        <v>1067.5962278661998</v>
      </c>
      <c r="I574" s="14">
        <v>0</v>
      </c>
      <c r="J574" s="15">
        <v>1</v>
      </c>
      <c r="K574" s="14">
        <v>1921.4936242282852</v>
      </c>
      <c r="L574" s="13">
        <v>2051379.3450950703</v>
      </c>
      <c r="M574" s="14">
        <v>4.2036210147167594</v>
      </c>
      <c r="N574" s="14">
        <v>1598.1627897805633</v>
      </c>
      <c r="O574" s="13">
        <v>1706192.5658858519</v>
      </c>
      <c r="P574" s="13">
        <v>345186.77920921845</v>
      </c>
      <c r="Q574" s="14">
        <v>1.202314079964355</v>
      </c>
      <c r="R574" s="15">
        <v>0.2023140799643551</v>
      </c>
    </row>
    <row r="575" spans="1:18" ht="18" customHeight="1">
      <c r="A575" s="10" t="s">
        <v>161</v>
      </c>
      <c r="B575" s="10" t="s">
        <v>162</v>
      </c>
      <c r="C575" s="10" t="s">
        <v>241</v>
      </c>
      <c r="D575" s="10" t="s">
        <v>251</v>
      </c>
      <c r="E575" s="16">
        <v>17</v>
      </c>
      <c r="F575" s="16">
        <v>17</v>
      </c>
      <c r="G575" s="13">
        <v>877.02815238689993</v>
      </c>
      <c r="H575" s="13">
        <v>877.02815238689993</v>
      </c>
      <c r="I575" s="14">
        <v>0</v>
      </c>
      <c r="J575" s="15">
        <v>1</v>
      </c>
      <c r="K575" s="14">
        <v>2812.5080608736216</v>
      </c>
      <c r="L575" s="13">
        <v>2466648.7482012552</v>
      </c>
      <c r="M575" s="14">
        <v>4.4411454981272973</v>
      </c>
      <c r="N575" s="14">
        <v>2761.5028649755604</v>
      </c>
      <c r="O575" s="13">
        <v>2421915.7554806466</v>
      </c>
      <c r="P575" s="13">
        <v>44732.992720608599</v>
      </c>
      <c r="Q575" s="14">
        <v>1.0184700861784233</v>
      </c>
      <c r="R575" s="15">
        <v>1.8470086178423252E-2</v>
      </c>
    </row>
    <row r="576" spans="1:18" ht="18" customHeight="1">
      <c r="A576" s="10" t="s">
        <v>73</v>
      </c>
      <c r="B576" s="10" t="s">
        <v>74</v>
      </c>
      <c r="C576" s="10" t="s">
        <v>241</v>
      </c>
      <c r="D576" s="10" t="s">
        <v>242</v>
      </c>
      <c r="E576" s="16">
        <v>14</v>
      </c>
      <c r="F576" s="16">
        <v>14</v>
      </c>
      <c r="G576" s="13">
        <v>178685.88119714794</v>
      </c>
      <c r="H576" s="13">
        <v>178685.88119714794</v>
      </c>
      <c r="I576" s="14">
        <v>0</v>
      </c>
      <c r="J576" s="15">
        <v>1</v>
      </c>
      <c r="K576" s="14">
        <v>2979.722973930649</v>
      </c>
      <c r="L576" s="13">
        <v>532434425.32018429</v>
      </c>
      <c r="M576" s="14">
        <v>4.4313264585894858</v>
      </c>
      <c r="N576" s="14">
        <v>2699.7680819907405</v>
      </c>
      <c r="O576" s="13">
        <v>482410438.75844944</v>
      </c>
      <c r="P576" s="13">
        <v>50023986.561734855</v>
      </c>
      <c r="Q576" s="14">
        <v>1.1036959040324221</v>
      </c>
      <c r="R576" s="15">
        <v>0.1036959040324222</v>
      </c>
    </row>
    <row r="577" spans="1:18" ht="18" customHeight="1">
      <c r="A577" s="10" t="s">
        <v>73</v>
      </c>
      <c r="B577" s="10" t="s">
        <v>74</v>
      </c>
      <c r="C577" s="10" t="s">
        <v>241</v>
      </c>
      <c r="D577" s="10" t="s">
        <v>243</v>
      </c>
      <c r="E577" s="16">
        <v>12</v>
      </c>
      <c r="F577" s="16">
        <v>12</v>
      </c>
      <c r="G577" s="13">
        <v>4940.7829048258</v>
      </c>
      <c r="H577" s="13">
        <v>4940.7829048258</v>
      </c>
      <c r="I577" s="14">
        <v>0</v>
      </c>
      <c r="J577" s="15">
        <v>1</v>
      </c>
      <c r="K577" s="14">
        <v>82.716665523380698</v>
      </c>
      <c r="L577" s="13">
        <v>408685.08696211298</v>
      </c>
      <c r="M577" s="14">
        <v>2.7333120575458705</v>
      </c>
      <c r="N577" s="14">
        <v>54.114301567357494</v>
      </c>
      <c r="O577" s="13">
        <v>267367.01609058789</v>
      </c>
      <c r="P577" s="13">
        <v>141318.07087152509</v>
      </c>
      <c r="Q577" s="14">
        <v>1.5285546173116749</v>
      </c>
      <c r="R577" s="15">
        <v>0.52855461731167486</v>
      </c>
    </row>
    <row r="578" spans="1:18" ht="18" customHeight="1">
      <c r="A578" s="10" t="s">
        <v>73</v>
      </c>
      <c r="B578" s="10" t="s">
        <v>74</v>
      </c>
      <c r="C578" s="10" t="s">
        <v>241</v>
      </c>
      <c r="D578" s="10" t="s">
        <v>244</v>
      </c>
      <c r="E578" s="16">
        <v>3</v>
      </c>
      <c r="F578" s="16">
        <v>3</v>
      </c>
      <c r="G578" s="13">
        <v>1744.1310341793001</v>
      </c>
      <c r="H578" s="13">
        <v>1744.1310341793001</v>
      </c>
      <c r="I578" s="14">
        <v>0</v>
      </c>
      <c r="J578" s="15">
        <v>1</v>
      </c>
      <c r="K578" s="14">
        <v>376.73595209215324</v>
      </c>
      <c r="L578" s="13">
        <v>657076.86573501048</v>
      </c>
      <c r="M578" s="14">
        <v>3.5747846248444746</v>
      </c>
      <c r="N578" s="14">
        <v>375.65106535316892</v>
      </c>
      <c r="O578" s="13">
        <v>655184.68110497831</v>
      </c>
      <c r="P578" s="13">
        <v>1892.1846300321631</v>
      </c>
      <c r="Q578" s="14">
        <v>1.0028880172027848</v>
      </c>
      <c r="R578" s="15">
        <v>2.8880172027846663E-3</v>
      </c>
    </row>
    <row r="579" spans="1:18" ht="18" customHeight="1">
      <c r="A579" s="10" t="s">
        <v>73</v>
      </c>
      <c r="B579" s="10" t="s">
        <v>74</v>
      </c>
      <c r="C579" s="10" t="s">
        <v>241</v>
      </c>
      <c r="D579" s="10" t="s">
        <v>253</v>
      </c>
      <c r="E579" s="16">
        <v>2</v>
      </c>
      <c r="F579" s="16">
        <v>2</v>
      </c>
      <c r="G579" s="13">
        <v>430.41416022980002</v>
      </c>
      <c r="H579" s="13">
        <v>430.41416022980002</v>
      </c>
      <c r="I579" s="14">
        <v>0</v>
      </c>
      <c r="J579" s="15">
        <v>1</v>
      </c>
      <c r="K579" s="14">
        <v>69.308057597196381</v>
      </c>
      <c r="L579" s="13">
        <v>29831.169407855894</v>
      </c>
      <c r="M579" s="14">
        <v>2.8405306116609315</v>
      </c>
      <c r="N579" s="14">
        <v>69.26767516984502</v>
      </c>
      <c r="O579" s="13">
        <v>29813.788239299414</v>
      </c>
      <c r="P579" s="13">
        <v>17.381168556479679</v>
      </c>
      <c r="Q579" s="14">
        <v>1.0005829909442225</v>
      </c>
      <c r="R579" s="15">
        <v>5.8299094422252843E-4</v>
      </c>
    </row>
    <row r="580" spans="1:18" ht="18" customHeight="1">
      <c r="A580" s="10" t="s">
        <v>73</v>
      </c>
      <c r="B580" s="10" t="s">
        <v>74</v>
      </c>
      <c r="C580" s="10" t="s">
        <v>241</v>
      </c>
      <c r="D580" s="10" t="s">
        <v>245</v>
      </c>
      <c r="E580" s="16">
        <v>13</v>
      </c>
      <c r="F580" s="16">
        <v>13</v>
      </c>
      <c r="G580" s="13">
        <v>4651.5542577125998</v>
      </c>
      <c r="H580" s="13">
        <v>4651.5542577125998</v>
      </c>
      <c r="I580" s="14">
        <v>0</v>
      </c>
      <c r="J580" s="15">
        <v>1</v>
      </c>
      <c r="K580" s="14">
        <v>12.587303669716999</v>
      </c>
      <c r="L580" s="13">
        <v>58550.525977993537</v>
      </c>
      <c r="M580" s="14">
        <v>2.0837896634611974</v>
      </c>
      <c r="N580" s="14">
        <v>12.128013269576737</v>
      </c>
      <c r="O580" s="13">
        <v>56414.111761694578</v>
      </c>
      <c r="P580" s="13">
        <v>2136.4142162989592</v>
      </c>
      <c r="Q580" s="14">
        <v>1.0378702092363634</v>
      </c>
      <c r="R580" s="15">
        <v>3.7870209236363334E-2</v>
      </c>
    </row>
    <row r="581" spans="1:18" ht="18" customHeight="1">
      <c r="A581" s="10" t="s">
        <v>73</v>
      </c>
      <c r="B581" s="10" t="s">
        <v>74</v>
      </c>
      <c r="C581" s="10" t="s">
        <v>241</v>
      </c>
      <c r="D581" s="10" t="s">
        <v>246</v>
      </c>
      <c r="E581" s="16">
        <v>41</v>
      </c>
      <c r="F581" s="16">
        <v>41</v>
      </c>
      <c r="G581" s="13">
        <v>68173.86640999098</v>
      </c>
      <c r="H581" s="13">
        <v>68173.86640999098</v>
      </c>
      <c r="I581" s="14">
        <v>0</v>
      </c>
      <c r="J581" s="15">
        <v>1</v>
      </c>
      <c r="K581" s="14">
        <v>840.38823793625647</v>
      </c>
      <c r="L581" s="13">
        <v>57292515.465594061</v>
      </c>
      <c r="M581" s="14">
        <v>3.6740758984782547</v>
      </c>
      <c r="N581" s="14">
        <v>472.14554748672361</v>
      </c>
      <c r="O581" s="13">
        <v>32187987.480431948</v>
      </c>
      <c r="P581" s="13">
        <v>25104527.985162113</v>
      </c>
      <c r="Q581" s="14">
        <v>1.7799346883809966</v>
      </c>
      <c r="R581" s="15">
        <v>0.77993468838099667</v>
      </c>
    </row>
    <row r="582" spans="1:18" ht="18" customHeight="1">
      <c r="A582" s="10" t="s">
        <v>73</v>
      </c>
      <c r="B582" s="10" t="s">
        <v>74</v>
      </c>
      <c r="C582" s="10" t="s">
        <v>241</v>
      </c>
      <c r="D582" s="10" t="s">
        <v>247</v>
      </c>
      <c r="E582" s="16">
        <v>54</v>
      </c>
      <c r="F582" s="16">
        <v>54</v>
      </c>
      <c r="G582" s="13">
        <v>135109.09544216798</v>
      </c>
      <c r="H582" s="13">
        <v>135109.09544216798</v>
      </c>
      <c r="I582" s="14">
        <v>0</v>
      </c>
      <c r="J582" s="15">
        <v>1</v>
      </c>
      <c r="K582" s="14">
        <v>554.08570371690325</v>
      </c>
      <c r="L582" s="13">
        <v>74862018.226627886</v>
      </c>
      <c r="M582" s="14">
        <v>3.6702864170866945</v>
      </c>
      <c r="N582" s="14">
        <v>468.04371421989532</v>
      </c>
      <c r="O582" s="13">
        <v>63236962.855642632</v>
      </c>
      <c r="P582" s="13">
        <v>11625055.370985255</v>
      </c>
      <c r="Q582" s="14">
        <v>1.1838332336978761</v>
      </c>
      <c r="R582" s="15">
        <v>0.18383323369787599</v>
      </c>
    </row>
    <row r="583" spans="1:18" ht="18" customHeight="1">
      <c r="A583" s="10" t="s">
        <v>73</v>
      </c>
      <c r="B583" s="10" t="s">
        <v>74</v>
      </c>
      <c r="C583" s="10" t="s">
        <v>241</v>
      </c>
      <c r="D583" s="10" t="s">
        <v>248</v>
      </c>
      <c r="E583" s="16">
        <v>1</v>
      </c>
      <c r="F583" s="16">
        <v>1</v>
      </c>
      <c r="G583" s="13">
        <v>53.513716560500001</v>
      </c>
      <c r="H583" s="13">
        <v>53.513716560500001</v>
      </c>
      <c r="I583" s="14">
        <v>0</v>
      </c>
      <c r="J583" s="15">
        <v>1</v>
      </c>
      <c r="K583" s="14">
        <v>251.18864315095797</v>
      </c>
      <c r="L583" s="13">
        <v>13442.037852796944</v>
      </c>
      <c r="M583" s="14">
        <v>3.4</v>
      </c>
      <c r="N583" s="14">
        <v>251.18864315095797</v>
      </c>
      <c r="O583" s="13">
        <v>13442.037852796944</v>
      </c>
      <c r="P583" s="13">
        <v>0</v>
      </c>
      <c r="Q583" s="14">
        <v>1</v>
      </c>
      <c r="R583" s="15">
        <v>0</v>
      </c>
    </row>
    <row r="584" spans="1:18" ht="18" customHeight="1">
      <c r="A584" s="10" t="s">
        <v>73</v>
      </c>
      <c r="B584" s="10" t="s">
        <v>74</v>
      </c>
      <c r="C584" s="10" t="s">
        <v>241</v>
      </c>
      <c r="D584" s="10" t="s">
        <v>249</v>
      </c>
      <c r="E584" s="16">
        <v>4</v>
      </c>
      <c r="F584" s="16">
        <v>4</v>
      </c>
      <c r="G584" s="13">
        <v>4646.5853935270989</v>
      </c>
      <c r="H584" s="13">
        <v>4646.5853935270989</v>
      </c>
      <c r="I584" s="14">
        <v>0</v>
      </c>
      <c r="J584" s="15">
        <v>1</v>
      </c>
      <c r="K584" s="14">
        <v>477.12639774993397</v>
      </c>
      <c r="L584" s="13">
        <v>2217008.5506510441</v>
      </c>
      <c r="M584" s="14">
        <v>3.6780910573772809</v>
      </c>
      <c r="N584" s="14">
        <v>476.53088930520016</v>
      </c>
      <c r="O584" s="13">
        <v>2214241.469810022</v>
      </c>
      <c r="P584" s="13">
        <v>2767.0808410220779</v>
      </c>
      <c r="Q584" s="14">
        <v>1.0012496743822883</v>
      </c>
      <c r="R584" s="15">
        <v>1.2496743822883456E-3</v>
      </c>
    </row>
    <row r="585" spans="1:18" ht="18" customHeight="1">
      <c r="A585" s="10" t="s">
        <v>73</v>
      </c>
      <c r="B585" s="10" t="s">
        <v>74</v>
      </c>
      <c r="C585" s="10" t="s">
        <v>241</v>
      </c>
      <c r="D585" s="10" t="s">
        <v>250</v>
      </c>
      <c r="E585" s="16">
        <v>41</v>
      </c>
      <c r="F585" s="16">
        <v>41</v>
      </c>
      <c r="G585" s="13">
        <v>25831.5340325295</v>
      </c>
      <c r="H585" s="13">
        <v>25831.5340325295</v>
      </c>
      <c r="I585" s="14">
        <v>0</v>
      </c>
      <c r="J585" s="15">
        <v>1</v>
      </c>
      <c r="K585" s="14">
        <v>1475.1678763631205</v>
      </c>
      <c r="L585" s="13">
        <v>38105849.201968215</v>
      </c>
      <c r="M585" s="14">
        <v>4.0545931631543155</v>
      </c>
      <c r="N585" s="14">
        <v>1133.948062121684</v>
      </c>
      <c r="O585" s="13">
        <v>29291617.957817156</v>
      </c>
      <c r="P585" s="13">
        <v>8814231.2441510595</v>
      </c>
      <c r="Q585" s="14">
        <v>1.300913089090689</v>
      </c>
      <c r="R585" s="15">
        <v>0.30091308909068898</v>
      </c>
    </row>
    <row r="586" spans="1:18" ht="18" customHeight="1">
      <c r="A586" s="10" t="s">
        <v>73</v>
      </c>
      <c r="B586" s="10" t="s">
        <v>74</v>
      </c>
      <c r="C586" s="10" t="s">
        <v>241</v>
      </c>
      <c r="D586" s="10" t="s">
        <v>251</v>
      </c>
      <c r="E586" s="16">
        <v>12</v>
      </c>
      <c r="F586" s="16">
        <v>12</v>
      </c>
      <c r="G586" s="13">
        <v>6860.4186178615</v>
      </c>
      <c r="H586" s="13">
        <v>6860.4186178615</v>
      </c>
      <c r="I586" s="14">
        <v>0</v>
      </c>
      <c r="J586" s="15">
        <v>1</v>
      </c>
      <c r="K586" s="14">
        <v>2409.6035687390245</v>
      </c>
      <c r="L586" s="13">
        <v>16530889.184642715</v>
      </c>
      <c r="M586" s="14">
        <v>4.3572145325251492</v>
      </c>
      <c r="N586" s="14">
        <v>2276.2215596484502</v>
      </c>
      <c r="O586" s="13">
        <v>15615832.766189968</v>
      </c>
      <c r="P586" s="13">
        <v>915056.41845274717</v>
      </c>
      <c r="Q586" s="14">
        <v>1.0585979903956162</v>
      </c>
      <c r="R586" s="15">
        <v>5.8597990395616112E-2</v>
      </c>
    </row>
    <row r="587" spans="1:18" ht="18" customHeight="1">
      <c r="A587" s="10" t="s">
        <v>24</v>
      </c>
      <c r="B587" s="10" t="s">
        <v>25</v>
      </c>
      <c r="C587" s="10" t="s">
        <v>241</v>
      </c>
      <c r="D587" s="10" t="s">
        <v>252</v>
      </c>
      <c r="E587" s="16">
        <v>3</v>
      </c>
      <c r="F587" s="16">
        <v>3</v>
      </c>
      <c r="G587" s="13">
        <v>454628.96301613387</v>
      </c>
      <c r="H587" s="13">
        <v>454628.96301613387</v>
      </c>
      <c r="I587" s="14">
        <v>0</v>
      </c>
      <c r="J587" s="15">
        <v>1</v>
      </c>
      <c r="K587" s="14">
        <v>138.05882413293051</v>
      </c>
      <c r="L587" s="13">
        <v>62765540.050780989</v>
      </c>
      <c r="M587" s="14">
        <v>3.1400597786971209</v>
      </c>
      <c r="N587" s="14">
        <v>138.05742814132549</v>
      </c>
      <c r="O587" s="13">
        <v>62764905.392565228</v>
      </c>
      <c r="P587" s="13">
        <v>634.65821576118469</v>
      </c>
      <c r="Q587" s="14">
        <v>1.0000101116732638</v>
      </c>
      <c r="R587" s="15">
        <v>1.0111673263772061E-5</v>
      </c>
    </row>
    <row r="588" spans="1:18" ht="18" customHeight="1">
      <c r="A588" s="10" t="s">
        <v>24</v>
      </c>
      <c r="B588" s="10" t="s">
        <v>25</v>
      </c>
      <c r="C588" s="10" t="s">
        <v>241</v>
      </c>
      <c r="D588" s="10" t="s">
        <v>242</v>
      </c>
      <c r="E588" s="16">
        <v>3</v>
      </c>
      <c r="F588" s="16">
        <v>3</v>
      </c>
      <c r="G588" s="13">
        <v>38524.959247930608</v>
      </c>
      <c r="H588" s="13">
        <v>38524.959247930608</v>
      </c>
      <c r="I588" s="14">
        <v>0</v>
      </c>
      <c r="J588" s="15">
        <v>1</v>
      </c>
      <c r="K588" s="14">
        <v>1419.3137191859473</v>
      </c>
      <c r="L588" s="13">
        <v>54679003.191667445</v>
      </c>
      <c r="M588" s="14">
        <v>4.1475339672931533</v>
      </c>
      <c r="N588" s="14">
        <v>1404.5395319466575</v>
      </c>
      <c r="O588" s="13">
        <v>54109828.230352506</v>
      </c>
      <c r="P588" s="13">
        <v>569174.96131493896</v>
      </c>
      <c r="Q588" s="14">
        <v>1.0105188831665088</v>
      </c>
      <c r="R588" s="15">
        <v>1.0518883166508826E-2</v>
      </c>
    </row>
    <row r="589" spans="1:18" ht="18" customHeight="1">
      <c r="A589" s="10" t="s">
        <v>24</v>
      </c>
      <c r="B589" s="10" t="s">
        <v>25</v>
      </c>
      <c r="C589" s="10" t="s">
        <v>241</v>
      </c>
      <c r="D589" s="10" t="s">
        <v>243</v>
      </c>
      <c r="E589" s="16">
        <v>31</v>
      </c>
      <c r="F589" s="16">
        <v>31</v>
      </c>
      <c r="G589" s="13">
        <v>675289.65481106436</v>
      </c>
      <c r="H589" s="13">
        <v>675289.65481106436</v>
      </c>
      <c r="I589" s="14">
        <v>0</v>
      </c>
      <c r="J589" s="15">
        <v>1</v>
      </c>
      <c r="K589" s="14">
        <v>156.52912937187233</v>
      </c>
      <c r="L589" s="13">
        <v>105702501.74140811</v>
      </c>
      <c r="M589" s="14">
        <v>2.8492268810827932</v>
      </c>
      <c r="N589" s="14">
        <v>70.668664013405134</v>
      </c>
      <c r="O589" s="13">
        <v>47721817.727571443</v>
      </c>
      <c r="P589" s="13">
        <v>57980684.013836667</v>
      </c>
      <c r="Q589" s="14">
        <v>2.2149722448719324</v>
      </c>
      <c r="R589" s="15">
        <v>1.2149722448719327</v>
      </c>
    </row>
    <row r="590" spans="1:18" ht="18" customHeight="1">
      <c r="A590" s="10" t="s">
        <v>24</v>
      </c>
      <c r="B590" s="10" t="s">
        <v>25</v>
      </c>
      <c r="C590" s="10" t="s">
        <v>241</v>
      </c>
      <c r="D590" s="10" t="s">
        <v>244</v>
      </c>
      <c r="E590" s="16">
        <v>6</v>
      </c>
      <c r="F590" s="16">
        <v>6</v>
      </c>
      <c r="G590" s="13">
        <v>23310.993256819202</v>
      </c>
      <c r="H590" s="13">
        <v>23310.993256819202</v>
      </c>
      <c r="I590" s="14">
        <v>0</v>
      </c>
      <c r="J590" s="15">
        <v>1</v>
      </c>
      <c r="K590" s="14">
        <v>790.76899021266888</v>
      </c>
      <c r="L590" s="13">
        <v>18433610.598549254</v>
      </c>
      <c r="M590" s="14">
        <v>3.7539228886580993</v>
      </c>
      <c r="N590" s="14">
        <v>567.44384372981085</v>
      </c>
      <c r="O590" s="13">
        <v>13227679.614809189</v>
      </c>
      <c r="P590" s="13">
        <v>5205930.9837400652</v>
      </c>
      <c r="Q590" s="14">
        <v>1.3935634317837355</v>
      </c>
      <c r="R590" s="15">
        <v>0.39356343178373554</v>
      </c>
    </row>
    <row r="591" spans="1:18" ht="18" customHeight="1">
      <c r="A591" s="10" t="s">
        <v>24</v>
      </c>
      <c r="B591" s="10" t="s">
        <v>25</v>
      </c>
      <c r="C591" s="10" t="s">
        <v>241</v>
      </c>
      <c r="D591" s="10" t="s">
        <v>253</v>
      </c>
      <c r="E591" s="16">
        <v>10</v>
      </c>
      <c r="F591" s="16">
        <v>10</v>
      </c>
      <c r="G591" s="13">
        <v>531385.44808650308</v>
      </c>
      <c r="H591" s="13">
        <v>531385.44808650308</v>
      </c>
      <c r="I591" s="14">
        <v>0</v>
      </c>
      <c r="J591" s="15">
        <v>1</v>
      </c>
      <c r="K591" s="14">
        <v>107.95428447905492</v>
      </c>
      <c r="L591" s="13">
        <v>57365335.830760419</v>
      </c>
      <c r="M591" s="14">
        <v>2.9353863811764684</v>
      </c>
      <c r="N591" s="14">
        <v>86.176009811262233</v>
      </c>
      <c r="O591" s="13">
        <v>45792677.587864466</v>
      </c>
      <c r="P591" s="13">
        <v>11572658.242895953</v>
      </c>
      <c r="Q591" s="14">
        <v>1.2527185317061003</v>
      </c>
      <c r="R591" s="15">
        <v>0.25271853170610026</v>
      </c>
    </row>
    <row r="592" spans="1:18" ht="18" customHeight="1">
      <c r="A592" s="10" t="s">
        <v>24</v>
      </c>
      <c r="B592" s="10" t="s">
        <v>25</v>
      </c>
      <c r="C592" s="10" t="s">
        <v>241</v>
      </c>
      <c r="D592" s="10" t="s">
        <v>245</v>
      </c>
      <c r="E592" s="16">
        <v>20</v>
      </c>
      <c r="F592" s="16">
        <v>20</v>
      </c>
      <c r="G592" s="13">
        <v>237555.41546484589</v>
      </c>
      <c r="H592" s="13">
        <v>237555.41546484589</v>
      </c>
      <c r="I592" s="14">
        <v>0</v>
      </c>
      <c r="J592" s="15">
        <v>1</v>
      </c>
      <c r="K592" s="14">
        <v>13.437349585521806</v>
      </c>
      <c r="L592" s="13">
        <v>3192115.1635350073</v>
      </c>
      <c r="M592" s="14">
        <v>2.0462365377571445</v>
      </c>
      <c r="N592" s="14">
        <v>11.12337395014937</v>
      </c>
      <c r="O592" s="13">
        <v>2642417.7200985774</v>
      </c>
      <c r="P592" s="13">
        <v>549697.44343642984</v>
      </c>
      <c r="Q592" s="14">
        <v>1.2080282156963142</v>
      </c>
      <c r="R592" s="15">
        <v>0.20802821569631427</v>
      </c>
    </row>
    <row r="593" spans="1:18" ht="18" customHeight="1">
      <c r="A593" s="10" t="s">
        <v>24</v>
      </c>
      <c r="B593" s="10" t="s">
        <v>25</v>
      </c>
      <c r="C593" s="10" t="s">
        <v>241</v>
      </c>
      <c r="D593" s="10" t="s">
        <v>246</v>
      </c>
      <c r="E593" s="16">
        <v>53</v>
      </c>
      <c r="F593" s="16">
        <v>53</v>
      </c>
      <c r="G593" s="13">
        <v>1467729.6398684385</v>
      </c>
      <c r="H593" s="13">
        <v>1467729.6398684385</v>
      </c>
      <c r="I593" s="14">
        <v>0</v>
      </c>
      <c r="J593" s="15">
        <v>1</v>
      </c>
      <c r="K593" s="14">
        <v>610.58551262607989</v>
      </c>
      <c r="L593" s="13">
        <v>896174454.55556214</v>
      </c>
      <c r="M593" s="14">
        <v>3.5627522733235062</v>
      </c>
      <c r="N593" s="14">
        <v>365.38631151276343</v>
      </c>
      <c r="O593" s="13">
        <v>536288319.40948534</v>
      </c>
      <c r="P593" s="13">
        <v>359886135.1460768</v>
      </c>
      <c r="Q593" s="14">
        <v>1.6710683826609398</v>
      </c>
      <c r="R593" s="15">
        <v>0.67106838266093971</v>
      </c>
    </row>
    <row r="594" spans="1:18" ht="18" customHeight="1">
      <c r="A594" s="10" t="s">
        <v>24</v>
      </c>
      <c r="B594" s="10" t="s">
        <v>25</v>
      </c>
      <c r="C594" s="10" t="s">
        <v>241</v>
      </c>
      <c r="D594" s="10" t="s">
        <v>247</v>
      </c>
      <c r="E594" s="16">
        <v>91</v>
      </c>
      <c r="F594" s="16">
        <v>91</v>
      </c>
      <c r="G594" s="13">
        <v>2114850.9149905555</v>
      </c>
      <c r="H594" s="13">
        <v>2114850.9149905555</v>
      </c>
      <c r="I594" s="14">
        <v>0</v>
      </c>
      <c r="J594" s="15">
        <v>1</v>
      </c>
      <c r="K594" s="14">
        <v>945.78928907579427</v>
      </c>
      <c r="L594" s="13">
        <v>2000203343.3902106</v>
      </c>
      <c r="M594" s="14">
        <v>3.6997918258146196</v>
      </c>
      <c r="N594" s="14">
        <v>500.94705272076669</v>
      </c>
      <c r="O594" s="13">
        <v>1059428332.8083354</v>
      </c>
      <c r="P594" s="13">
        <v>940775010.58187521</v>
      </c>
      <c r="Q594" s="14">
        <v>1.8880025023382812</v>
      </c>
      <c r="R594" s="15">
        <v>0.88800250233828115</v>
      </c>
    </row>
    <row r="595" spans="1:18" ht="18" customHeight="1">
      <c r="A595" s="10" t="s">
        <v>24</v>
      </c>
      <c r="B595" s="10" t="s">
        <v>25</v>
      </c>
      <c r="C595" s="10" t="s">
        <v>241</v>
      </c>
      <c r="D595" s="10" t="s">
        <v>248</v>
      </c>
      <c r="E595" s="16">
        <v>3</v>
      </c>
      <c r="F595" s="16">
        <v>3</v>
      </c>
      <c r="G595" s="13">
        <v>25523.513257132301</v>
      </c>
      <c r="H595" s="13">
        <v>25523.513257132301</v>
      </c>
      <c r="I595" s="14">
        <v>0</v>
      </c>
      <c r="J595" s="15">
        <v>1</v>
      </c>
      <c r="K595" s="14">
        <v>847.23588377337956</v>
      </c>
      <c r="L595" s="13">
        <v>21624436.311408054</v>
      </c>
      <c r="M595" s="14">
        <v>3.9030115137737282</v>
      </c>
      <c r="N595" s="14">
        <v>799.85546004897685</v>
      </c>
      <c r="O595" s="13">
        <v>20415121.438349716</v>
      </c>
      <c r="P595" s="13">
        <v>1209314.8730583377</v>
      </c>
      <c r="Q595" s="14">
        <v>1.0592362321581221</v>
      </c>
      <c r="R595" s="15">
        <v>5.9236232158122022E-2</v>
      </c>
    </row>
    <row r="596" spans="1:18" ht="18" customHeight="1">
      <c r="A596" s="10" t="s">
        <v>24</v>
      </c>
      <c r="B596" s="10" t="s">
        <v>25</v>
      </c>
      <c r="C596" s="10" t="s">
        <v>241</v>
      </c>
      <c r="D596" s="10" t="s">
        <v>249</v>
      </c>
      <c r="E596" s="16">
        <v>9</v>
      </c>
      <c r="F596" s="16">
        <v>9</v>
      </c>
      <c r="G596" s="13">
        <v>11817.8142094672</v>
      </c>
      <c r="H596" s="13">
        <v>11817.8142094672</v>
      </c>
      <c r="I596" s="14">
        <v>0</v>
      </c>
      <c r="J596" s="15">
        <v>1</v>
      </c>
      <c r="K596" s="14">
        <v>527.1294066812211</v>
      </c>
      <c r="L596" s="13">
        <v>6229517.3925053487</v>
      </c>
      <c r="M596" s="14">
        <v>3.702939803774302</v>
      </c>
      <c r="N596" s="14">
        <v>504.59135285692338</v>
      </c>
      <c r="O596" s="13">
        <v>5963166.859766827</v>
      </c>
      <c r="P596" s="13">
        <v>266350.5327385217</v>
      </c>
      <c r="Q596" s="14">
        <v>1.0446659533436125</v>
      </c>
      <c r="R596" s="15">
        <v>4.4665953343612556E-2</v>
      </c>
    </row>
    <row r="597" spans="1:18" ht="18" customHeight="1">
      <c r="A597" s="10" t="s">
        <v>24</v>
      </c>
      <c r="B597" s="10" t="s">
        <v>25</v>
      </c>
      <c r="C597" s="10" t="s">
        <v>241</v>
      </c>
      <c r="D597" s="10" t="s">
        <v>250</v>
      </c>
      <c r="E597" s="16">
        <v>11</v>
      </c>
      <c r="F597" s="16">
        <v>11</v>
      </c>
      <c r="G597" s="13">
        <v>3093.6794243219001</v>
      </c>
      <c r="H597" s="13">
        <v>3093.6794243219001</v>
      </c>
      <c r="I597" s="14">
        <v>0</v>
      </c>
      <c r="J597" s="15">
        <v>1</v>
      </c>
      <c r="K597" s="14">
        <v>1120.9056697104777</v>
      </c>
      <c r="L597" s="13">
        <v>3467722.8069890644</v>
      </c>
      <c r="M597" s="14">
        <v>4.0397464652929127</v>
      </c>
      <c r="N597" s="14">
        <v>1095.838275165863</v>
      </c>
      <c r="O597" s="13">
        <v>3390172.3242650311</v>
      </c>
      <c r="P597" s="13">
        <v>77550.482724033296</v>
      </c>
      <c r="Q597" s="14">
        <v>1.0228750857792592</v>
      </c>
      <c r="R597" s="15">
        <v>2.2875085779259251E-2</v>
      </c>
    </row>
    <row r="598" spans="1:18" ht="18" customHeight="1">
      <c r="A598" s="10" t="s">
        <v>24</v>
      </c>
      <c r="B598" s="10" t="s">
        <v>25</v>
      </c>
      <c r="C598" s="10" t="s">
        <v>241</v>
      </c>
      <c r="D598" s="10" t="s">
        <v>251</v>
      </c>
      <c r="E598" s="16">
        <v>14</v>
      </c>
      <c r="F598" s="16">
        <v>14</v>
      </c>
      <c r="G598" s="13">
        <v>66118.98857698057</v>
      </c>
      <c r="H598" s="13">
        <v>66118.98857698057</v>
      </c>
      <c r="I598" s="14">
        <v>0</v>
      </c>
      <c r="J598" s="15">
        <v>1</v>
      </c>
      <c r="K598" s="14">
        <v>2522.8346366436963</v>
      </c>
      <c r="L598" s="13">
        <v>166807274.52185547</v>
      </c>
      <c r="M598" s="14">
        <v>4.3952238955788037</v>
      </c>
      <c r="N598" s="14">
        <v>2484.4135863556262</v>
      </c>
      <c r="O598" s="13">
        <v>164266913.53674299</v>
      </c>
      <c r="P598" s="13">
        <v>2540360.9851124883</v>
      </c>
      <c r="Q598" s="14">
        <v>1.0154648366516259</v>
      </c>
      <c r="R598" s="15">
        <v>1.5464836651625916E-2</v>
      </c>
    </row>
    <row r="599" spans="1:18" ht="18" customHeight="1">
      <c r="A599" s="10" t="s">
        <v>45</v>
      </c>
      <c r="B599" s="10" t="s">
        <v>46</v>
      </c>
      <c r="C599" s="10" t="s">
        <v>241</v>
      </c>
      <c r="D599" s="10" t="s">
        <v>252</v>
      </c>
      <c r="E599" s="16">
        <v>2</v>
      </c>
      <c r="F599" s="16">
        <v>2</v>
      </c>
      <c r="G599" s="13">
        <v>187682.1619667398</v>
      </c>
      <c r="H599" s="13">
        <v>187682.1619667398</v>
      </c>
      <c r="I599" s="14">
        <v>0</v>
      </c>
      <c r="J599" s="15">
        <v>1</v>
      </c>
      <c r="K599" s="14">
        <v>138.06496794328456</v>
      </c>
      <c r="L599" s="13">
        <v>25912331.675464272</v>
      </c>
      <c r="M599" s="14">
        <v>3.1400778689222246</v>
      </c>
      <c r="N599" s="14">
        <v>138.06317894423154</v>
      </c>
      <c r="O599" s="13">
        <v>25911995.912254244</v>
      </c>
      <c r="P599" s="13">
        <v>335.76321002840996</v>
      </c>
      <c r="Q599" s="14">
        <v>1.0000129578289207</v>
      </c>
      <c r="R599" s="15">
        <v>1.2957828920836683E-5</v>
      </c>
    </row>
    <row r="600" spans="1:18" ht="18" customHeight="1">
      <c r="A600" s="10" t="s">
        <v>45</v>
      </c>
      <c r="B600" s="10" t="s">
        <v>46</v>
      </c>
      <c r="C600" s="10" t="s">
        <v>241</v>
      </c>
      <c r="D600" s="10" t="s">
        <v>242</v>
      </c>
      <c r="E600" s="16">
        <v>2</v>
      </c>
      <c r="F600" s="16">
        <v>2</v>
      </c>
      <c r="G600" s="13">
        <v>19978.729052350303</v>
      </c>
      <c r="H600" s="13">
        <v>19978.729052350303</v>
      </c>
      <c r="I600" s="14">
        <v>0</v>
      </c>
      <c r="J600" s="15">
        <v>1</v>
      </c>
      <c r="K600" s="14">
        <v>1444.7532488294601</v>
      </c>
      <c r="L600" s="13">
        <v>28864333.70586662</v>
      </c>
      <c r="M600" s="14">
        <v>4.1597084866666636</v>
      </c>
      <c r="N600" s="14">
        <v>1444.4698676097014</v>
      </c>
      <c r="O600" s="13">
        <v>28858672.109258536</v>
      </c>
      <c r="P600" s="13">
        <v>5661.5966080836952</v>
      </c>
      <c r="Q600" s="14">
        <v>1.0001961835453359</v>
      </c>
      <c r="R600" s="15">
        <v>1.9618354533600742E-4</v>
      </c>
    </row>
    <row r="601" spans="1:18" ht="18" customHeight="1">
      <c r="A601" s="10" t="s">
        <v>45</v>
      </c>
      <c r="B601" s="10" t="s">
        <v>46</v>
      </c>
      <c r="C601" s="10" t="s">
        <v>241</v>
      </c>
      <c r="D601" s="10" t="s">
        <v>243</v>
      </c>
      <c r="E601" s="16">
        <v>25</v>
      </c>
      <c r="F601" s="16">
        <v>25</v>
      </c>
      <c r="G601" s="13">
        <v>484135.21438304894</v>
      </c>
      <c r="H601" s="13">
        <v>484135.21438304894</v>
      </c>
      <c r="I601" s="14">
        <v>0</v>
      </c>
      <c r="J601" s="15">
        <v>1</v>
      </c>
      <c r="K601" s="14">
        <v>186.46544439797577</v>
      </c>
      <c r="L601" s="13">
        <v>90274487.898644492</v>
      </c>
      <c r="M601" s="14">
        <v>2.9643348897382009</v>
      </c>
      <c r="N601" s="14">
        <v>92.115961529926665</v>
      </c>
      <c r="O601" s="13">
        <v>44596580.783391736</v>
      </c>
      <c r="P601" s="13">
        <v>45677907.115252756</v>
      </c>
      <c r="Q601" s="14">
        <v>2.0242468438805452</v>
      </c>
      <c r="R601" s="15">
        <v>1.0242468438805452</v>
      </c>
    </row>
    <row r="602" spans="1:18" ht="18" customHeight="1">
      <c r="A602" s="10" t="s">
        <v>45</v>
      </c>
      <c r="B602" s="10" t="s">
        <v>46</v>
      </c>
      <c r="C602" s="10" t="s">
        <v>241</v>
      </c>
      <c r="D602" s="10" t="s">
        <v>244</v>
      </c>
      <c r="E602" s="16">
        <v>5</v>
      </c>
      <c r="F602" s="16">
        <v>5</v>
      </c>
      <c r="G602" s="13">
        <v>46660.932750606094</v>
      </c>
      <c r="H602" s="13">
        <v>46660.932750606094</v>
      </c>
      <c r="I602" s="14">
        <v>0</v>
      </c>
      <c r="J602" s="15">
        <v>1</v>
      </c>
      <c r="K602" s="14">
        <v>351.84059186738688</v>
      </c>
      <c r="L602" s="13">
        <v>16417210.196057584</v>
      </c>
      <c r="M602" s="14">
        <v>3.3320671809232021</v>
      </c>
      <c r="N602" s="14">
        <v>214.81627472794395</v>
      </c>
      <c r="O602" s="13">
        <v>10023527.748816317</v>
      </c>
      <c r="P602" s="13">
        <v>6393682.4472412672</v>
      </c>
      <c r="Q602" s="14">
        <v>1.6378674861249622</v>
      </c>
      <c r="R602" s="15">
        <v>0.63786748612496236</v>
      </c>
    </row>
    <row r="603" spans="1:18" ht="18" customHeight="1">
      <c r="A603" s="10" t="s">
        <v>45</v>
      </c>
      <c r="B603" s="10" t="s">
        <v>46</v>
      </c>
      <c r="C603" s="10" t="s">
        <v>241</v>
      </c>
      <c r="D603" s="10" t="s">
        <v>253</v>
      </c>
      <c r="E603" s="16">
        <v>8</v>
      </c>
      <c r="F603" s="16">
        <v>8</v>
      </c>
      <c r="G603" s="13">
        <v>64539.287668388795</v>
      </c>
      <c r="H603" s="13">
        <v>64539.287668388795</v>
      </c>
      <c r="I603" s="14">
        <v>0</v>
      </c>
      <c r="J603" s="15">
        <v>1</v>
      </c>
      <c r="K603" s="14">
        <v>151.67968081545112</v>
      </c>
      <c r="L603" s="13">
        <v>9789298.553597793</v>
      </c>
      <c r="M603" s="14">
        <v>3.076729052839942</v>
      </c>
      <c r="N603" s="14">
        <v>119.32434328055292</v>
      </c>
      <c r="O603" s="13">
        <v>7701108.1168251811</v>
      </c>
      <c r="P603" s="13">
        <v>2088190.4367726119</v>
      </c>
      <c r="Q603" s="14">
        <v>1.2711545410212315</v>
      </c>
      <c r="R603" s="15">
        <v>0.27115454102123143</v>
      </c>
    </row>
    <row r="604" spans="1:18" ht="18" customHeight="1">
      <c r="A604" s="10" t="s">
        <v>45</v>
      </c>
      <c r="B604" s="10" t="s">
        <v>46</v>
      </c>
      <c r="C604" s="10" t="s">
        <v>241</v>
      </c>
      <c r="D604" s="10" t="s">
        <v>245</v>
      </c>
      <c r="E604" s="16">
        <v>19</v>
      </c>
      <c r="F604" s="16">
        <v>19</v>
      </c>
      <c r="G604" s="13">
        <v>52124.841162988603</v>
      </c>
      <c r="H604" s="13">
        <v>52124.841162988603</v>
      </c>
      <c r="I604" s="14">
        <v>0</v>
      </c>
      <c r="J604" s="15">
        <v>1</v>
      </c>
      <c r="K604" s="14">
        <v>19.401185441039367</v>
      </c>
      <c r="L604" s="13">
        <v>1011283.709487864</v>
      </c>
      <c r="M604" s="14">
        <v>2.1062650280305939</v>
      </c>
      <c r="N604" s="14">
        <v>12.772179927984096</v>
      </c>
      <c r="O604" s="13">
        <v>665747.85005128221</v>
      </c>
      <c r="P604" s="13">
        <v>345535.85943658184</v>
      </c>
      <c r="Q604" s="14">
        <v>1.5190191142336629</v>
      </c>
      <c r="R604" s="15">
        <v>0.51901911423366276</v>
      </c>
    </row>
    <row r="605" spans="1:18" ht="18" customHeight="1">
      <c r="A605" s="10" t="s">
        <v>45</v>
      </c>
      <c r="B605" s="10" t="s">
        <v>46</v>
      </c>
      <c r="C605" s="10" t="s">
        <v>241</v>
      </c>
      <c r="D605" s="10" t="s">
        <v>246</v>
      </c>
      <c r="E605" s="16">
        <v>37</v>
      </c>
      <c r="F605" s="16">
        <v>37</v>
      </c>
      <c r="G605" s="13">
        <v>1045454.0903021037</v>
      </c>
      <c r="H605" s="13">
        <v>1045454.0903021037</v>
      </c>
      <c r="I605" s="14">
        <v>0</v>
      </c>
      <c r="J605" s="15">
        <v>1</v>
      </c>
      <c r="K605" s="14">
        <v>521.11050055595376</v>
      </c>
      <c r="L605" s="13">
        <v>544797104.3055985</v>
      </c>
      <c r="M605" s="14">
        <v>3.5572331632747782</v>
      </c>
      <c r="N605" s="14">
        <v>360.77228183916526</v>
      </c>
      <c r="O605" s="13">
        <v>377170857.71637869</v>
      </c>
      <c r="P605" s="13">
        <v>167626246.58921981</v>
      </c>
      <c r="Q605" s="14">
        <v>1.4444305363466596</v>
      </c>
      <c r="R605" s="15">
        <v>0.44443053634665958</v>
      </c>
    </row>
    <row r="606" spans="1:18" ht="18" customHeight="1">
      <c r="A606" s="10" t="s">
        <v>45</v>
      </c>
      <c r="B606" s="10" t="s">
        <v>46</v>
      </c>
      <c r="C606" s="10" t="s">
        <v>241</v>
      </c>
      <c r="D606" s="10" t="s">
        <v>247</v>
      </c>
      <c r="E606" s="16">
        <v>59</v>
      </c>
      <c r="F606" s="16">
        <v>59</v>
      </c>
      <c r="G606" s="13">
        <v>748570.71037911694</v>
      </c>
      <c r="H606" s="13">
        <v>748570.71037911694</v>
      </c>
      <c r="I606" s="14">
        <v>0</v>
      </c>
      <c r="J606" s="15">
        <v>1</v>
      </c>
      <c r="K606" s="14">
        <v>1109.6441772181113</v>
      </c>
      <c r="L606" s="13">
        <v>830647130.00821233</v>
      </c>
      <c r="M606" s="14">
        <v>3.767996098077302</v>
      </c>
      <c r="N606" s="14">
        <v>586.13289837404875</v>
      </c>
      <c r="O606" s="13">
        <v>438761920.11243242</v>
      </c>
      <c r="P606" s="13">
        <v>391885209.89577991</v>
      </c>
      <c r="Q606" s="14">
        <v>1.893161397860962</v>
      </c>
      <c r="R606" s="15">
        <v>0.89316139786096205</v>
      </c>
    </row>
    <row r="607" spans="1:18" ht="18" customHeight="1">
      <c r="A607" s="10" t="s">
        <v>45</v>
      </c>
      <c r="B607" s="10" t="s">
        <v>46</v>
      </c>
      <c r="C607" s="10" t="s">
        <v>241</v>
      </c>
      <c r="D607" s="10" t="s">
        <v>248</v>
      </c>
      <c r="E607" s="16">
        <v>1</v>
      </c>
      <c r="F607" s="16">
        <v>1</v>
      </c>
      <c r="G607" s="13">
        <v>1.5035095232</v>
      </c>
      <c r="H607" s="13">
        <v>1.5035095232</v>
      </c>
      <c r="I607" s="14">
        <v>0</v>
      </c>
      <c r="J607" s="15">
        <v>1</v>
      </c>
      <c r="K607" s="14">
        <v>199.52623149688787</v>
      </c>
      <c r="L607" s="13">
        <v>299.98958918377872</v>
      </c>
      <c r="M607" s="14">
        <v>3.3</v>
      </c>
      <c r="N607" s="14">
        <v>199.52623149688787</v>
      </c>
      <c r="O607" s="13">
        <v>299.98958918377872</v>
      </c>
      <c r="P607" s="13">
        <v>0</v>
      </c>
      <c r="Q607" s="14">
        <v>1</v>
      </c>
      <c r="R607" s="15">
        <v>0</v>
      </c>
    </row>
    <row r="608" spans="1:18" ht="18" customHeight="1">
      <c r="A608" s="10" t="s">
        <v>45</v>
      </c>
      <c r="B608" s="10" t="s">
        <v>46</v>
      </c>
      <c r="C608" s="10" t="s">
        <v>241</v>
      </c>
      <c r="D608" s="10" t="s">
        <v>249</v>
      </c>
      <c r="E608" s="16">
        <v>6</v>
      </c>
      <c r="F608" s="16">
        <v>6</v>
      </c>
      <c r="G608" s="13">
        <v>9348.579593122402</v>
      </c>
      <c r="H608" s="13">
        <v>9348.579593122402</v>
      </c>
      <c r="I608" s="14">
        <v>0</v>
      </c>
      <c r="J608" s="15">
        <v>1</v>
      </c>
      <c r="K608" s="14">
        <v>570.76904293428947</v>
      </c>
      <c r="L608" s="13">
        <v>5335879.827161503</v>
      </c>
      <c r="M608" s="14">
        <v>3.7379441413843826</v>
      </c>
      <c r="N608" s="14">
        <v>546.94561065430571</v>
      </c>
      <c r="O608" s="13">
        <v>5113164.5743107125</v>
      </c>
      <c r="P608" s="13">
        <v>222715.25285079051</v>
      </c>
      <c r="Q608" s="14">
        <v>1.0435572236359738</v>
      </c>
      <c r="R608" s="15">
        <v>4.3557223635973807E-2</v>
      </c>
    </row>
    <row r="609" spans="1:18" ht="18" customHeight="1">
      <c r="A609" s="10" t="s">
        <v>45</v>
      </c>
      <c r="B609" s="10" t="s">
        <v>46</v>
      </c>
      <c r="C609" s="10" t="s">
        <v>241</v>
      </c>
      <c r="D609" s="10" t="s">
        <v>250</v>
      </c>
      <c r="E609" s="16">
        <v>5</v>
      </c>
      <c r="F609" s="16">
        <v>5</v>
      </c>
      <c r="G609" s="13">
        <v>58.260221591899999</v>
      </c>
      <c r="H609" s="13">
        <v>58.260221591899999</v>
      </c>
      <c r="I609" s="14">
        <v>0</v>
      </c>
      <c r="J609" s="15">
        <v>1</v>
      </c>
      <c r="K609" s="14">
        <v>1127.0772886118848</v>
      </c>
      <c r="L609" s="13">
        <v>65663.772585726241</v>
      </c>
      <c r="M609" s="14">
        <v>4.0510946666882894</v>
      </c>
      <c r="N609" s="14">
        <v>1124.8501399477532</v>
      </c>
      <c r="O609" s="13">
        <v>65534.018411035824</v>
      </c>
      <c r="P609" s="13">
        <v>129.75417469041713</v>
      </c>
      <c r="Q609" s="14">
        <v>1.0019799514486749</v>
      </c>
      <c r="R609" s="15">
        <v>1.9799514486748874E-3</v>
      </c>
    </row>
    <row r="610" spans="1:18" ht="18" customHeight="1">
      <c r="A610" s="10" t="s">
        <v>45</v>
      </c>
      <c r="B610" s="10" t="s">
        <v>46</v>
      </c>
      <c r="C610" s="10" t="s">
        <v>241</v>
      </c>
      <c r="D610" s="10" t="s">
        <v>251</v>
      </c>
      <c r="E610" s="16">
        <v>6</v>
      </c>
      <c r="F610" s="16">
        <v>6</v>
      </c>
      <c r="G610" s="13">
        <v>423.65790972630003</v>
      </c>
      <c r="H610" s="13">
        <v>423.65790972630003</v>
      </c>
      <c r="I610" s="14">
        <v>0</v>
      </c>
      <c r="J610" s="15">
        <v>1</v>
      </c>
      <c r="K610" s="14">
        <v>2595.2211426257868</v>
      </c>
      <c r="L610" s="13">
        <v>1099485.9645623409</v>
      </c>
      <c r="M610" s="14">
        <v>4.4138360202942719</v>
      </c>
      <c r="N610" s="14">
        <v>2593.2000439673648</v>
      </c>
      <c r="O610" s="13">
        <v>1098629.710129363</v>
      </c>
      <c r="P610" s="13">
        <v>856.25443297787569</v>
      </c>
      <c r="Q610" s="14">
        <v>1.0007793840136336</v>
      </c>
      <c r="R610" s="15">
        <v>7.7938401363372213E-4</v>
      </c>
    </row>
    <row r="611" spans="1:18" ht="18" customHeight="1">
      <c r="A611" s="10" t="s">
        <v>41</v>
      </c>
      <c r="B611" s="10" t="s">
        <v>42</v>
      </c>
      <c r="C611" s="10" t="s">
        <v>241</v>
      </c>
      <c r="D611" s="10" t="s">
        <v>252</v>
      </c>
      <c r="E611" s="16">
        <v>2</v>
      </c>
      <c r="F611" s="16">
        <v>2</v>
      </c>
      <c r="G611" s="13">
        <v>240679.58060496219</v>
      </c>
      <c r="H611" s="13">
        <v>240679.58060496219</v>
      </c>
      <c r="I611" s="14">
        <v>0</v>
      </c>
      <c r="J611" s="15">
        <v>1</v>
      </c>
      <c r="K611" s="14">
        <v>138.03850163327192</v>
      </c>
      <c r="L611" s="13">
        <v>33223048.680433277</v>
      </c>
      <c r="M611" s="14">
        <v>3.1400002078192784</v>
      </c>
      <c r="N611" s="14">
        <v>138.03849251466917</v>
      </c>
      <c r="O611" s="13">
        <v>33223046.48577179</v>
      </c>
      <c r="P611" s="13">
        <v>2.1946614868938923</v>
      </c>
      <c r="Q611" s="14">
        <v>1.0000000660584059</v>
      </c>
      <c r="R611" s="15">
        <v>6.6058405806757823E-8</v>
      </c>
    </row>
    <row r="612" spans="1:18" ht="18" customHeight="1">
      <c r="A612" s="10" t="s">
        <v>41</v>
      </c>
      <c r="B612" s="10" t="s">
        <v>42</v>
      </c>
      <c r="C612" s="10" t="s">
        <v>241</v>
      </c>
      <c r="D612" s="10" t="s">
        <v>242</v>
      </c>
      <c r="E612" s="16">
        <v>3</v>
      </c>
      <c r="F612" s="16">
        <v>3</v>
      </c>
      <c r="G612" s="13">
        <v>30392.2229727308</v>
      </c>
      <c r="H612" s="13">
        <v>30392.2229727308</v>
      </c>
      <c r="I612" s="14">
        <v>0</v>
      </c>
      <c r="J612" s="15">
        <v>1</v>
      </c>
      <c r="K612" s="14">
        <v>355.02529349599058</v>
      </c>
      <c r="L612" s="13">
        <v>10790007.880889339</v>
      </c>
      <c r="M612" s="14">
        <v>3.5390089604268802</v>
      </c>
      <c r="N612" s="14">
        <v>345.9465153712826</v>
      </c>
      <c r="O612" s="13">
        <v>10514083.631803265</v>
      </c>
      <c r="P612" s="13">
        <v>275924.24908607453</v>
      </c>
      <c r="Q612" s="14">
        <v>1.0262432998203905</v>
      </c>
      <c r="R612" s="15">
        <v>2.6243299820390614E-2</v>
      </c>
    </row>
    <row r="613" spans="1:18" ht="18" customHeight="1">
      <c r="A613" s="10" t="s">
        <v>41</v>
      </c>
      <c r="B613" s="10" t="s">
        <v>42</v>
      </c>
      <c r="C613" s="10" t="s">
        <v>241</v>
      </c>
      <c r="D613" s="10" t="s">
        <v>243</v>
      </c>
      <c r="E613" s="16">
        <v>28</v>
      </c>
      <c r="F613" s="16">
        <v>28</v>
      </c>
      <c r="G613" s="13">
        <v>180527.1950286043</v>
      </c>
      <c r="H613" s="13">
        <v>180527.1950286043</v>
      </c>
      <c r="I613" s="14">
        <v>0</v>
      </c>
      <c r="J613" s="15">
        <v>1</v>
      </c>
      <c r="K613" s="14">
        <v>216.64876522681669</v>
      </c>
      <c r="L613" s="13">
        <v>39110993.892807841</v>
      </c>
      <c r="M613" s="14">
        <v>2.998093077028352</v>
      </c>
      <c r="N613" s="14">
        <v>99.561877329093534</v>
      </c>
      <c r="O613" s="13">
        <v>17973626.446003247</v>
      </c>
      <c r="P613" s="13">
        <v>21137367.446804594</v>
      </c>
      <c r="Q613" s="14">
        <v>2.1760212948848094</v>
      </c>
      <c r="R613" s="15">
        <v>1.1760212948848094</v>
      </c>
    </row>
    <row r="614" spans="1:18" ht="18" customHeight="1">
      <c r="A614" s="10" t="s">
        <v>41</v>
      </c>
      <c r="B614" s="10" t="s">
        <v>42</v>
      </c>
      <c r="C614" s="10" t="s">
        <v>241</v>
      </c>
      <c r="D614" s="10" t="s">
        <v>244</v>
      </c>
      <c r="E614" s="16">
        <v>4</v>
      </c>
      <c r="F614" s="16">
        <v>4</v>
      </c>
      <c r="G614" s="13">
        <v>20886.805897635903</v>
      </c>
      <c r="H614" s="13">
        <v>20886.805897635903</v>
      </c>
      <c r="I614" s="14">
        <v>0</v>
      </c>
      <c r="J614" s="15">
        <v>1</v>
      </c>
      <c r="K614" s="14">
        <v>520.0871899845356</v>
      </c>
      <c r="L614" s="13">
        <v>10862960.187053882</v>
      </c>
      <c r="M614" s="14">
        <v>3.6007825206015145</v>
      </c>
      <c r="N614" s="14">
        <v>398.82513475081237</v>
      </c>
      <c r="O614" s="13">
        <v>8330183.176638701</v>
      </c>
      <c r="P614" s="13">
        <v>2532777.0104151806</v>
      </c>
      <c r="Q614" s="14">
        <v>1.3040481771779211</v>
      </c>
      <c r="R614" s="15">
        <v>0.30404817717792099</v>
      </c>
    </row>
    <row r="615" spans="1:18" ht="18" customHeight="1">
      <c r="A615" s="10" t="s">
        <v>41</v>
      </c>
      <c r="B615" s="10" t="s">
        <v>42</v>
      </c>
      <c r="C615" s="10" t="s">
        <v>241</v>
      </c>
      <c r="D615" s="10" t="s">
        <v>253</v>
      </c>
      <c r="E615" s="16">
        <v>10</v>
      </c>
      <c r="F615" s="16">
        <v>10</v>
      </c>
      <c r="G615" s="13">
        <v>403803.72935770289</v>
      </c>
      <c r="H615" s="13">
        <v>403803.72935770289</v>
      </c>
      <c r="I615" s="14">
        <v>0</v>
      </c>
      <c r="J615" s="15">
        <v>1</v>
      </c>
      <c r="K615" s="14">
        <v>92.014217701378968</v>
      </c>
      <c r="L615" s="13">
        <v>37155684.261748388</v>
      </c>
      <c r="M615" s="14">
        <v>2.9048012222347279</v>
      </c>
      <c r="N615" s="14">
        <v>80.315843024781643</v>
      </c>
      <c r="O615" s="13">
        <v>32431836.939914677</v>
      </c>
      <c r="P615" s="13">
        <v>4723847.3218337111</v>
      </c>
      <c r="Q615" s="14">
        <v>1.1456546334574085</v>
      </c>
      <c r="R615" s="15">
        <v>0.14565463345740842</v>
      </c>
    </row>
    <row r="616" spans="1:18" ht="18" customHeight="1">
      <c r="A616" s="10" t="s">
        <v>41</v>
      </c>
      <c r="B616" s="10" t="s">
        <v>42</v>
      </c>
      <c r="C616" s="10" t="s">
        <v>241</v>
      </c>
      <c r="D616" s="10" t="s">
        <v>245</v>
      </c>
      <c r="E616" s="16">
        <v>13</v>
      </c>
      <c r="F616" s="16">
        <v>13</v>
      </c>
      <c r="G616" s="13">
        <v>165025.63806698707</v>
      </c>
      <c r="H616" s="13">
        <v>165025.63806698707</v>
      </c>
      <c r="I616" s="14">
        <v>0</v>
      </c>
      <c r="J616" s="15">
        <v>1</v>
      </c>
      <c r="K616" s="14">
        <v>11.662161689863048</v>
      </c>
      <c r="L616" s="13">
        <v>1924555.6741100217</v>
      </c>
      <c r="M616" s="14">
        <v>2.0386006990623762</v>
      </c>
      <c r="N616" s="14">
        <v>10.929510183525956</v>
      </c>
      <c r="O616" s="13">
        <v>1803649.3917960038</v>
      </c>
      <c r="P616" s="13">
        <v>120906.28231401788</v>
      </c>
      <c r="Q616" s="14">
        <v>1.0670342489310654</v>
      </c>
      <c r="R616" s="15">
        <v>6.7034248931065313E-2</v>
      </c>
    </row>
    <row r="617" spans="1:18" ht="18" customHeight="1">
      <c r="A617" s="10" t="s">
        <v>41</v>
      </c>
      <c r="B617" s="10" t="s">
        <v>42</v>
      </c>
      <c r="C617" s="10" t="s">
        <v>241</v>
      </c>
      <c r="D617" s="10" t="s">
        <v>246</v>
      </c>
      <c r="E617" s="16">
        <v>49</v>
      </c>
      <c r="F617" s="16">
        <v>49</v>
      </c>
      <c r="G617" s="13">
        <v>986307.79761163332</v>
      </c>
      <c r="H617" s="13">
        <v>986307.79761163332</v>
      </c>
      <c r="I617" s="14">
        <v>0</v>
      </c>
      <c r="J617" s="15">
        <v>1</v>
      </c>
      <c r="K617" s="14">
        <v>556.60294918869556</v>
      </c>
      <c r="L617" s="13">
        <v>548981828.95844221</v>
      </c>
      <c r="M617" s="14">
        <v>3.5664044116830467</v>
      </c>
      <c r="N617" s="14">
        <v>368.47193216830141</v>
      </c>
      <c r="O617" s="13">
        <v>363426739.89862049</v>
      </c>
      <c r="P617" s="13">
        <v>185555089.05982172</v>
      </c>
      <c r="Q617" s="14">
        <v>1.5105708212653344</v>
      </c>
      <c r="R617" s="15">
        <v>0.51057082126533437</v>
      </c>
    </row>
    <row r="618" spans="1:18" ht="18" customHeight="1">
      <c r="A618" s="10" t="s">
        <v>41</v>
      </c>
      <c r="B618" s="10" t="s">
        <v>42</v>
      </c>
      <c r="C618" s="10" t="s">
        <v>241</v>
      </c>
      <c r="D618" s="10" t="s">
        <v>247</v>
      </c>
      <c r="E618" s="16">
        <v>85</v>
      </c>
      <c r="F618" s="16">
        <v>85</v>
      </c>
      <c r="G618" s="13">
        <v>853826.91458584683</v>
      </c>
      <c r="H618" s="13">
        <v>853826.91458584683</v>
      </c>
      <c r="I618" s="14">
        <v>0</v>
      </c>
      <c r="J618" s="15">
        <v>1</v>
      </c>
      <c r="K618" s="14">
        <v>711.08839329954458</v>
      </c>
      <c r="L618" s="13">
        <v>607146408.84875727</v>
      </c>
      <c r="M618" s="14">
        <v>3.6396258701028463</v>
      </c>
      <c r="N618" s="14">
        <v>436.13995065322689</v>
      </c>
      <c r="O618" s="13">
        <v>372388028.39386821</v>
      </c>
      <c r="P618" s="13">
        <v>234758380.45488906</v>
      </c>
      <c r="Q618" s="14">
        <v>1.6304133391919604</v>
      </c>
      <c r="R618" s="15">
        <v>0.63041333919196052</v>
      </c>
    </row>
    <row r="619" spans="1:18" ht="18" customHeight="1">
      <c r="A619" s="10" t="s">
        <v>41</v>
      </c>
      <c r="B619" s="10" t="s">
        <v>42</v>
      </c>
      <c r="C619" s="10" t="s">
        <v>241</v>
      </c>
      <c r="D619" s="10" t="s">
        <v>248</v>
      </c>
      <c r="E619" s="16">
        <v>3</v>
      </c>
      <c r="F619" s="16">
        <v>3</v>
      </c>
      <c r="G619" s="13">
        <v>39493.351675243</v>
      </c>
      <c r="H619" s="13">
        <v>39493.351675243</v>
      </c>
      <c r="I619" s="14">
        <v>0</v>
      </c>
      <c r="J619" s="15">
        <v>1</v>
      </c>
      <c r="K619" s="14">
        <v>872.37030824326177</v>
      </c>
      <c r="L619" s="13">
        <v>34452827.374491274</v>
      </c>
      <c r="M619" s="14">
        <v>3.9309112057490561</v>
      </c>
      <c r="N619" s="14">
        <v>852.92571013850329</v>
      </c>
      <c r="O619" s="13">
        <v>33684895.023356281</v>
      </c>
      <c r="P619" s="13">
        <v>767932.35113499314</v>
      </c>
      <c r="Q619" s="14">
        <v>1.022797528405611</v>
      </c>
      <c r="R619" s="15">
        <v>2.2797528405611112E-2</v>
      </c>
    </row>
    <row r="620" spans="1:18" ht="18" customHeight="1">
      <c r="A620" s="10" t="s">
        <v>41</v>
      </c>
      <c r="B620" s="10" t="s">
        <v>42</v>
      </c>
      <c r="C620" s="10" t="s">
        <v>241</v>
      </c>
      <c r="D620" s="10" t="s">
        <v>249</v>
      </c>
      <c r="E620" s="16">
        <v>7</v>
      </c>
      <c r="F620" s="16">
        <v>7</v>
      </c>
      <c r="G620" s="13">
        <v>11308.673196414898</v>
      </c>
      <c r="H620" s="13">
        <v>11308.673196414898</v>
      </c>
      <c r="I620" s="14">
        <v>0</v>
      </c>
      <c r="J620" s="15">
        <v>1</v>
      </c>
      <c r="K620" s="14">
        <v>436.79016480834531</v>
      </c>
      <c r="L620" s="13">
        <v>4939517.2292257808</v>
      </c>
      <c r="M620" s="14">
        <v>3.6342830449163377</v>
      </c>
      <c r="N620" s="14">
        <v>430.80729120914435</v>
      </c>
      <c r="O620" s="13">
        <v>4871858.8669169582</v>
      </c>
      <c r="P620" s="13">
        <v>67658.362308822572</v>
      </c>
      <c r="Q620" s="14">
        <v>1.0138875866803667</v>
      </c>
      <c r="R620" s="15">
        <v>1.3887586680366744E-2</v>
      </c>
    </row>
    <row r="621" spans="1:18" ht="18" customHeight="1">
      <c r="A621" s="10" t="s">
        <v>41</v>
      </c>
      <c r="B621" s="10" t="s">
        <v>42</v>
      </c>
      <c r="C621" s="10" t="s">
        <v>241</v>
      </c>
      <c r="D621" s="10" t="s">
        <v>250</v>
      </c>
      <c r="E621" s="16">
        <v>11</v>
      </c>
      <c r="F621" s="16">
        <v>11</v>
      </c>
      <c r="G621" s="13">
        <v>36149.896842686801</v>
      </c>
      <c r="H621" s="13">
        <v>36149.896842686801</v>
      </c>
      <c r="I621" s="14">
        <v>0</v>
      </c>
      <c r="J621" s="15">
        <v>1</v>
      </c>
      <c r="K621" s="14">
        <v>1097.8684680770336</v>
      </c>
      <c r="L621" s="13">
        <v>39687831.867823355</v>
      </c>
      <c r="M621" s="14">
        <v>4.0354284827605378</v>
      </c>
      <c r="N621" s="14">
        <v>1084.9968635726691</v>
      </c>
      <c r="O621" s="13">
        <v>39222524.692790709</v>
      </c>
      <c r="P621" s="13">
        <v>465307.17503264546</v>
      </c>
      <c r="Q621" s="14">
        <v>1.0118632642512728</v>
      </c>
      <c r="R621" s="15">
        <v>1.1863264251272718E-2</v>
      </c>
    </row>
    <row r="622" spans="1:18" ht="18" customHeight="1">
      <c r="A622" s="10" t="s">
        <v>41</v>
      </c>
      <c r="B622" s="10" t="s">
        <v>42</v>
      </c>
      <c r="C622" s="10" t="s">
        <v>241</v>
      </c>
      <c r="D622" s="10" t="s">
        <v>251</v>
      </c>
      <c r="E622" s="16">
        <v>14</v>
      </c>
      <c r="F622" s="16">
        <v>14</v>
      </c>
      <c r="G622" s="13">
        <v>122054.45928402629</v>
      </c>
      <c r="H622" s="13">
        <v>122054.45928402629</v>
      </c>
      <c r="I622" s="14">
        <v>0</v>
      </c>
      <c r="J622" s="15">
        <v>1</v>
      </c>
      <c r="K622" s="14">
        <v>2574.3468740734716</v>
      </c>
      <c r="L622" s="13">
        <v>314210515.72456092</v>
      </c>
      <c r="M622" s="14">
        <v>4.4069866362291696</v>
      </c>
      <c r="N622" s="14">
        <v>2552.6227541376675</v>
      </c>
      <c r="O622" s="13">
        <v>311558990.012375</v>
      </c>
      <c r="P622" s="13">
        <v>2651525.7121859193</v>
      </c>
      <c r="Q622" s="14">
        <v>1.0085105093968902</v>
      </c>
      <c r="R622" s="15">
        <v>8.5105093968901417E-3</v>
      </c>
    </row>
    <row r="623" spans="1:18" ht="18" customHeight="1">
      <c r="A623" s="10" t="s">
        <v>49</v>
      </c>
      <c r="B623" s="10" t="s">
        <v>50</v>
      </c>
      <c r="C623" s="10" t="s">
        <v>241</v>
      </c>
      <c r="D623" s="10" t="s">
        <v>252</v>
      </c>
      <c r="E623" s="16">
        <v>2</v>
      </c>
      <c r="F623" s="16">
        <v>2</v>
      </c>
      <c r="G623" s="13">
        <v>141852.1463813778</v>
      </c>
      <c r="H623" s="13">
        <v>141852.1463813778</v>
      </c>
      <c r="I623" s="14">
        <v>0</v>
      </c>
      <c r="J623" s="15">
        <v>1</v>
      </c>
      <c r="K623" s="14">
        <v>138.071418105118</v>
      </c>
      <c r="L623" s="13">
        <v>19585727.012131616</v>
      </c>
      <c r="M623" s="14">
        <v>3.1400967927762617</v>
      </c>
      <c r="N623" s="14">
        <v>138.06919501046835</v>
      </c>
      <c r="O623" s="13">
        <v>19585411.661383953</v>
      </c>
      <c r="P623" s="13">
        <v>315.35074766352773</v>
      </c>
      <c r="Q623" s="14">
        <v>1.0000161013081121</v>
      </c>
      <c r="R623" s="15">
        <v>1.610130811216476E-5</v>
      </c>
    </row>
    <row r="624" spans="1:18" ht="18" customHeight="1">
      <c r="A624" s="10" t="s">
        <v>49</v>
      </c>
      <c r="B624" s="10" t="s">
        <v>50</v>
      </c>
      <c r="C624" s="10" t="s">
        <v>241</v>
      </c>
      <c r="D624" s="10" t="s">
        <v>242</v>
      </c>
      <c r="E624" s="16">
        <v>6</v>
      </c>
      <c r="F624" s="16">
        <v>6</v>
      </c>
      <c r="G624" s="13">
        <v>596826.00468430715</v>
      </c>
      <c r="H624" s="13">
        <v>596826.00468430715</v>
      </c>
      <c r="I624" s="14">
        <v>0</v>
      </c>
      <c r="J624" s="15">
        <v>1</v>
      </c>
      <c r="K624" s="14">
        <v>533.54258415695006</v>
      </c>
      <c r="L624" s="13">
        <v>318432088.83133322</v>
      </c>
      <c r="M624" s="14">
        <v>3.6577169765155637</v>
      </c>
      <c r="N624" s="14">
        <v>454.69164755190241</v>
      </c>
      <c r="O624" s="13">
        <v>271371799.37172705</v>
      </c>
      <c r="P624" s="13">
        <v>47060289.459606171</v>
      </c>
      <c r="Q624" s="14">
        <v>1.17341628558516</v>
      </c>
      <c r="R624" s="15">
        <v>0.17341628558516003</v>
      </c>
    </row>
    <row r="625" spans="1:18" ht="18" customHeight="1">
      <c r="A625" s="10" t="s">
        <v>49</v>
      </c>
      <c r="B625" s="10" t="s">
        <v>50</v>
      </c>
      <c r="C625" s="10" t="s">
        <v>241</v>
      </c>
      <c r="D625" s="10" t="s">
        <v>243</v>
      </c>
      <c r="E625" s="16">
        <v>34</v>
      </c>
      <c r="F625" s="16">
        <v>34</v>
      </c>
      <c r="G625" s="13">
        <v>111252.0260931627</v>
      </c>
      <c r="H625" s="13">
        <v>111252.0260931627</v>
      </c>
      <c r="I625" s="14">
        <v>0</v>
      </c>
      <c r="J625" s="15">
        <v>1</v>
      </c>
      <c r="K625" s="14">
        <v>217.18841153636336</v>
      </c>
      <c r="L625" s="13">
        <v>24162650.827376056</v>
      </c>
      <c r="M625" s="14">
        <v>3.0235508786399423</v>
      </c>
      <c r="N625" s="14">
        <v>105.57251767074217</v>
      </c>
      <c r="O625" s="13">
        <v>11745156.490626289</v>
      </c>
      <c r="P625" s="13">
        <v>12417494.336749768</v>
      </c>
      <c r="Q625" s="14">
        <v>2.0572438389101131</v>
      </c>
      <c r="R625" s="15">
        <v>1.0572438389101131</v>
      </c>
    </row>
    <row r="626" spans="1:18" ht="18" customHeight="1">
      <c r="A626" s="10" t="s">
        <v>49</v>
      </c>
      <c r="B626" s="10" t="s">
        <v>50</v>
      </c>
      <c r="C626" s="10" t="s">
        <v>241</v>
      </c>
      <c r="D626" s="10" t="s">
        <v>244</v>
      </c>
      <c r="E626" s="16">
        <v>8</v>
      </c>
      <c r="F626" s="16">
        <v>8</v>
      </c>
      <c r="G626" s="13">
        <v>50128.853597192705</v>
      </c>
      <c r="H626" s="13">
        <v>50128.853597192705</v>
      </c>
      <c r="I626" s="14">
        <v>0</v>
      </c>
      <c r="J626" s="15">
        <v>1</v>
      </c>
      <c r="K626" s="14">
        <v>485.85529384339958</v>
      </c>
      <c r="L626" s="13">
        <v>24355368.894496821</v>
      </c>
      <c r="M626" s="14">
        <v>3.5605688695540838</v>
      </c>
      <c r="N626" s="14">
        <v>363.55395163684733</v>
      </c>
      <c r="O626" s="13">
        <v>18224542.816284396</v>
      </c>
      <c r="P626" s="13">
        <v>6130826.0782124251</v>
      </c>
      <c r="Q626" s="14">
        <v>1.3364049315264179</v>
      </c>
      <c r="R626" s="15">
        <v>0.33640493152641798</v>
      </c>
    </row>
    <row r="627" spans="1:18" ht="18" customHeight="1">
      <c r="A627" s="10" t="s">
        <v>49</v>
      </c>
      <c r="B627" s="10" t="s">
        <v>50</v>
      </c>
      <c r="C627" s="10" t="s">
        <v>241</v>
      </c>
      <c r="D627" s="10" t="s">
        <v>253</v>
      </c>
      <c r="E627" s="16">
        <v>8</v>
      </c>
      <c r="F627" s="16">
        <v>8</v>
      </c>
      <c r="G627" s="13">
        <v>353856.04911560967</v>
      </c>
      <c r="H627" s="13">
        <v>353856.04911560967</v>
      </c>
      <c r="I627" s="14">
        <v>0</v>
      </c>
      <c r="J627" s="15">
        <v>1</v>
      </c>
      <c r="K627" s="14">
        <v>99.039801113348219</v>
      </c>
      <c r="L627" s="13">
        <v>35045832.727165163</v>
      </c>
      <c r="M627" s="14">
        <v>2.9619908383676168</v>
      </c>
      <c r="N627" s="14">
        <v>91.620116225318142</v>
      </c>
      <c r="O627" s="13">
        <v>32420332.347004041</v>
      </c>
      <c r="P627" s="13">
        <v>2625500.3801611215</v>
      </c>
      <c r="Q627" s="14">
        <v>1.0809831420621987</v>
      </c>
      <c r="R627" s="15">
        <v>8.0983142062198615E-2</v>
      </c>
    </row>
    <row r="628" spans="1:18" ht="18" customHeight="1">
      <c r="A628" s="10" t="s">
        <v>49</v>
      </c>
      <c r="B628" s="10" t="s">
        <v>50</v>
      </c>
      <c r="C628" s="10" t="s">
        <v>241</v>
      </c>
      <c r="D628" s="10" t="s">
        <v>245</v>
      </c>
      <c r="E628" s="16">
        <v>21</v>
      </c>
      <c r="F628" s="16">
        <v>21</v>
      </c>
      <c r="G628" s="13">
        <v>113565.3152188947</v>
      </c>
      <c r="H628" s="13">
        <v>113565.3152188947</v>
      </c>
      <c r="I628" s="14">
        <v>0</v>
      </c>
      <c r="J628" s="15">
        <v>1</v>
      </c>
      <c r="K628" s="14">
        <v>13.009796924976168</v>
      </c>
      <c r="L628" s="13">
        <v>1477461.6887187255</v>
      </c>
      <c r="M628" s="14">
        <v>2.0455215049885984</v>
      </c>
      <c r="N628" s="14">
        <v>11.105075230467166</v>
      </c>
      <c r="O628" s="13">
        <v>1261151.3690775435</v>
      </c>
      <c r="P628" s="13">
        <v>216310.31964118197</v>
      </c>
      <c r="Q628" s="14">
        <v>1.1715181261702154</v>
      </c>
      <c r="R628" s="15">
        <v>0.17151812617021539</v>
      </c>
    </row>
    <row r="629" spans="1:18" ht="18" customHeight="1">
      <c r="A629" s="10" t="s">
        <v>49</v>
      </c>
      <c r="B629" s="10" t="s">
        <v>50</v>
      </c>
      <c r="C629" s="10" t="s">
        <v>241</v>
      </c>
      <c r="D629" s="10" t="s">
        <v>246</v>
      </c>
      <c r="E629" s="16">
        <v>42</v>
      </c>
      <c r="F629" s="16">
        <v>42</v>
      </c>
      <c r="G629" s="13">
        <v>550734.56418875966</v>
      </c>
      <c r="H629" s="13">
        <v>550734.56418875966</v>
      </c>
      <c r="I629" s="14">
        <v>0</v>
      </c>
      <c r="J629" s="15">
        <v>1</v>
      </c>
      <c r="K629" s="14">
        <v>612.84219764081979</v>
      </c>
      <c r="L629" s="13">
        <v>337513380.63419861</v>
      </c>
      <c r="M629" s="14">
        <v>3.5535751497740971</v>
      </c>
      <c r="N629" s="14">
        <v>357.7462991931697</v>
      </c>
      <c r="O629" s="13">
        <v>197023252.17629194</v>
      </c>
      <c r="P629" s="13">
        <v>140490128.45790666</v>
      </c>
      <c r="Q629" s="14">
        <v>1.7130636963204693</v>
      </c>
      <c r="R629" s="15">
        <v>0.71306369632046918</v>
      </c>
    </row>
    <row r="630" spans="1:18" ht="18" customHeight="1">
      <c r="A630" s="10" t="s">
        <v>49</v>
      </c>
      <c r="B630" s="10" t="s">
        <v>50</v>
      </c>
      <c r="C630" s="10" t="s">
        <v>241</v>
      </c>
      <c r="D630" s="10" t="s">
        <v>247</v>
      </c>
      <c r="E630" s="16">
        <v>56</v>
      </c>
      <c r="F630" s="16">
        <v>56</v>
      </c>
      <c r="G630" s="13">
        <v>421263.90778406401</v>
      </c>
      <c r="H630" s="13">
        <v>421263.90778406401</v>
      </c>
      <c r="I630" s="14">
        <v>0</v>
      </c>
      <c r="J630" s="15">
        <v>1</v>
      </c>
      <c r="K630" s="14">
        <v>659.9318271440369</v>
      </c>
      <c r="L630" s="13">
        <v>278005460.37377441</v>
      </c>
      <c r="M630" s="14">
        <v>3.5806151560915995</v>
      </c>
      <c r="N630" s="14">
        <v>380.72829687700425</v>
      </c>
      <c r="O630" s="13">
        <v>160387090.14637807</v>
      </c>
      <c r="P630" s="13">
        <v>117618370.22739634</v>
      </c>
      <c r="Q630" s="14">
        <v>1.7333406330899286</v>
      </c>
      <c r="R630" s="15">
        <v>0.73334063308992858</v>
      </c>
    </row>
    <row r="631" spans="1:18" ht="18" customHeight="1">
      <c r="A631" s="10" t="s">
        <v>49</v>
      </c>
      <c r="B631" s="10" t="s">
        <v>50</v>
      </c>
      <c r="C631" s="10" t="s">
        <v>241</v>
      </c>
      <c r="D631" s="10" t="s">
        <v>248</v>
      </c>
      <c r="E631" s="16">
        <v>13</v>
      </c>
      <c r="F631" s="16">
        <v>13</v>
      </c>
      <c r="G631" s="13">
        <v>167095.21109560822</v>
      </c>
      <c r="H631" s="13">
        <v>167095.21109560822</v>
      </c>
      <c r="I631" s="14">
        <v>0</v>
      </c>
      <c r="J631" s="15">
        <v>1</v>
      </c>
      <c r="K631" s="14">
        <v>1619.0925243888589</v>
      </c>
      <c r="L631" s="13">
        <v>270542607.14607757</v>
      </c>
      <c r="M631" s="14">
        <v>4.0721730737665807</v>
      </c>
      <c r="N631" s="14">
        <v>1180.7911073181833</v>
      </c>
      <c r="O631" s="13">
        <v>197304539.33714882</v>
      </c>
      <c r="P631" s="13">
        <v>73238067.808928758</v>
      </c>
      <c r="Q631" s="14">
        <v>1.3711930199628173</v>
      </c>
      <c r="R631" s="15">
        <v>0.37119301996281734</v>
      </c>
    </row>
    <row r="632" spans="1:18" ht="18" customHeight="1">
      <c r="A632" s="10" t="s">
        <v>49</v>
      </c>
      <c r="B632" s="10" t="s">
        <v>50</v>
      </c>
      <c r="C632" s="10" t="s">
        <v>241</v>
      </c>
      <c r="D632" s="10" t="s">
        <v>249</v>
      </c>
      <c r="E632" s="16">
        <v>11</v>
      </c>
      <c r="F632" s="16">
        <v>11</v>
      </c>
      <c r="G632" s="13">
        <v>30500.490921092605</v>
      </c>
      <c r="H632" s="13">
        <v>30500.490921092605</v>
      </c>
      <c r="I632" s="14">
        <v>0</v>
      </c>
      <c r="J632" s="15">
        <v>1</v>
      </c>
      <c r="K632" s="14">
        <v>371.0433210694315</v>
      </c>
      <c r="L632" s="13">
        <v>11317003.445610244</v>
      </c>
      <c r="M632" s="14">
        <v>3.5539653111846787</v>
      </c>
      <c r="N632" s="14">
        <v>358.06783566833298</v>
      </c>
      <c r="O632" s="13">
        <v>10921244.77093727</v>
      </c>
      <c r="P632" s="13">
        <v>395758.67467297427</v>
      </c>
      <c r="Q632" s="14">
        <v>1.0362375061610316</v>
      </c>
      <c r="R632" s="15">
        <v>3.6237506161031677E-2</v>
      </c>
    </row>
    <row r="633" spans="1:18" ht="18" customHeight="1">
      <c r="A633" s="10" t="s">
        <v>49</v>
      </c>
      <c r="B633" s="10" t="s">
        <v>50</v>
      </c>
      <c r="C633" s="10" t="s">
        <v>241</v>
      </c>
      <c r="D633" s="10" t="s">
        <v>250</v>
      </c>
      <c r="E633" s="16">
        <v>6</v>
      </c>
      <c r="F633" s="16">
        <v>6</v>
      </c>
      <c r="G633" s="13">
        <v>3761.2066651512</v>
      </c>
      <c r="H633" s="13">
        <v>3761.2066651512</v>
      </c>
      <c r="I633" s="14">
        <v>0</v>
      </c>
      <c r="J633" s="15">
        <v>1</v>
      </c>
      <c r="K633" s="14">
        <v>749.29912639200199</v>
      </c>
      <c r="L633" s="13">
        <v>2818268.8683775691</v>
      </c>
      <c r="M633" s="14">
        <v>3.8478999542257708</v>
      </c>
      <c r="N633" s="14">
        <v>704.53075181431211</v>
      </c>
      <c r="O633" s="13">
        <v>2649885.7595279766</v>
      </c>
      <c r="P633" s="13">
        <v>168383.10884959251</v>
      </c>
      <c r="Q633" s="14">
        <v>1.0635435351294489</v>
      </c>
      <c r="R633" s="15">
        <v>6.354353512944895E-2</v>
      </c>
    </row>
    <row r="634" spans="1:18" ht="18" customHeight="1">
      <c r="A634" s="10" t="s">
        <v>49</v>
      </c>
      <c r="B634" s="10" t="s">
        <v>50</v>
      </c>
      <c r="C634" s="10" t="s">
        <v>241</v>
      </c>
      <c r="D634" s="10" t="s">
        <v>251</v>
      </c>
      <c r="E634" s="16">
        <v>11</v>
      </c>
      <c r="F634" s="16">
        <v>11</v>
      </c>
      <c r="G634" s="13">
        <v>46106.060950549501</v>
      </c>
      <c r="H634" s="13">
        <v>46106.060950549501</v>
      </c>
      <c r="I634" s="14">
        <v>0</v>
      </c>
      <c r="J634" s="15">
        <v>1</v>
      </c>
      <c r="K634" s="14">
        <v>2514.6308584762332</v>
      </c>
      <c r="L634" s="13">
        <v>115939723.62903783</v>
      </c>
      <c r="M634" s="14">
        <v>4.3903771768679887</v>
      </c>
      <c r="N634" s="14">
        <v>2456.8417117984914</v>
      </c>
      <c r="O634" s="13">
        <v>113275293.71003361</v>
      </c>
      <c r="P634" s="13">
        <v>2664429.9190042168</v>
      </c>
      <c r="Q634" s="14">
        <v>1.0235217215664407</v>
      </c>
      <c r="R634" s="15">
        <v>2.3521721566440831E-2</v>
      </c>
    </row>
    <row r="635" spans="1:18" ht="18" customHeight="1">
      <c r="A635" s="10" t="s">
        <v>87</v>
      </c>
      <c r="B635" s="10" t="s">
        <v>88</v>
      </c>
      <c r="C635" s="10" t="s">
        <v>241</v>
      </c>
      <c r="D635" s="10" t="s">
        <v>252</v>
      </c>
      <c r="E635" s="16">
        <v>1</v>
      </c>
      <c r="F635" s="16">
        <v>1</v>
      </c>
      <c r="G635" s="13">
        <v>12229.50159158</v>
      </c>
      <c r="H635" s="13">
        <v>12229.50159158</v>
      </c>
      <c r="I635" s="14">
        <v>0</v>
      </c>
      <c r="J635" s="15">
        <v>1</v>
      </c>
      <c r="K635" s="14">
        <v>138.03842646028852</v>
      </c>
      <c r="L635" s="13">
        <v>1688141.1560952971</v>
      </c>
      <c r="M635" s="14">
        <v>3.1400000000000006</v>
      </c>
      <c r="N635" s="14">
        <v>138.03842646028866</v>
      </c>
      <c r="O635" s="13">
        <v>1688141.1560952989</v>
      </c>
      <c r="P635" s="13">
        <v>-1.862645149230957E-9</v>
      </c>
      <c r="Q635" s="14">
        <v>0.99999999999999889</v>
      </c>
      <c r="R635" s="15">
        <v>-1.1033704986728059E-15</v>
      </c>
    </row>
    <row r="636" spans="1:18" ht="18" customHeight="1">
      <c r="A636" s="10" t="s">
        <v>87</v>
      </c>
      <c r="B636" s="10" t="s">
        <v>88</v>
      </c>
      <c r="C636" s="10" t="s">
        <v>241</v>
      </c>
      <c r="D636" s="10" t="s">
        <v>242</v>
      </c>
      <c r="E636" s="16">
        <v>6</v>
      </c>
      <c r="F636" s="16">
        <v>6</v>
      </c>
      <c r="G636" s="13">
        <v>374319.06056636741</v>
      </c>
      <c r="H636" s="13">
        <v>374319.06056636741</v>
      </c>
      <c r="I636" s="14">
        <v>0</v>
      </c>
      <c r="J636" s="15">
        <v>1</v>
      </c>
      <c r="K636" s="14">
        <v>433.60361995435943</v>
      </c>
      <c r="L636" s="13">
        <v>162306099.67949203</v>
      </c>
      <c r="M636" s="14">
        <v>3.6034063494232687</v>
      </c>
      <c r="N636" s="14">
        <v>401.24196574890215</v>
      </c>
      <c r="O636" s="13">
        <v>150192515.67893162</v>
      </c>
      <c r="P636" s="13">
        <v>12113584.000560403</v>
      </c>
      <c r="Q636" s="14">
        <v>1.080653712642085</v>
      </c>
      <c r="R636" s="15">
        <v>8.065371264208504E-2</v>
      </c>
    </row>
    <row r="637" spans="1:18" ht="18" customHeight="1">
      <c r="A637" s="10" t="s">
        <v>87</v>
      </c>
      <c r="B637" s="10" t="s">
        <v>88</v>
      </c>
      <c r="C637" s="10" t="s">
        <v>241</v>
      </c>
      <c r="D637" s="10" t="s">
        <v>243</v>
      </c>
      <c r="E637" s="16">
        <v>18</v>
      </c>
      <c r="F637" s="16">
        <v>18</v>
      </c>
      <c r="G637" s="13">
        <v>44741.912568515101</v>
      </c>
      <c r="H637" s="13">
        <v>44741.912568515101</v>
      </c>
      <c r="I637" s="14">
        <v>0</v>
      </c>
      <c r="J637" s="15">
        <v>1</v>
      </c>
      <c r="K637" s="14">
        <v>285.2208436383072</v>
      </c>
      <c r="L637" s="13">
        <v>12761326.048783258</v>
      </c>
      <c r="M637" s="14">
        <v>3.1609050099842908</v>
      </c>
      <c r="N637" s="14">
        <v>144.84550090584023</v>
      </c>
      <c r="O637" s="13">
        <v>6480664.7374718785</v>
      </c>
      <c r="P637" s="13">
        <v>6280661.3113113791</v>
      </c>
      <c r="Q637" s="14">
        <v>1.9691384396103599</v>
      </c>
      <c r="R637" s="15">
        <v>0.96913843961035995</v>
      </c>
    </row>
    <row r="638" spans="1:18" ht="18" customHeight="1">
      <c r="A638" s="10" t="s">
        <v>87</v>
      </c>
      <c r="B638" s="10" t="s">
        <v>88</v>
      </c>
      <c r="C638" s="10" t="s">
        <v>241</v>
      </c>
      <c r="D638" s="10" t="s">
        <v>244</v>
      </c>
      <c r="E638" s="16">
        <v>6</v>
      </c>
      <c r="F638" s="16">
        <v>6</v>
      </c>
      <c r="G638" s="13">
        <v>29641.917731650698</v>
      </c>
      <c r="H638" s="13">
        <v>29641.917731650698</v>
      </c>
      <c r="I638" s="14">
        <v>0</v>
      </c>
      <c r="J638" s="15">
        <v>1</v>
      </c>
      <c r="K638" s="14">
        <v>490.6927432796432</v>
      </c>
      <c r="L638" s="13">
        <v>14545073.92781318</v>
      </c>
      <c r="M638" s="14">
        <v>3.6119888849416903</v>
      </c>
      <c r="N638" s="14">
        <v>409.25018550554972</v>
      </c>
      <c r="O638" s="13">
        <v>12130960.330418292</v>
      </c>
      <c r="P638" s="13">
        <v>2414113.5973948874</v>
      </c>
      <c r="Q638" s="14">
        <v>1.1990043270804798</v>
      </c>
      <c r="R638" s="15">
        <v>0.19900432708047983</v>
      </c>
    </row>
    <row r="639" spans="1:18" ht="18" customHeight="1">
      <c r="A639" s="10" t="s">
        <v>87</v>
      </c>
      <c r="B639" s="10" t="s">
        <v>88</v>
      </c>
      <c r="C639" s="10" t="s">
        <v>241</v>
      </c>
      <c r="D639" s="10" t="s">
        <v>253</v>
      </c>
      <c r="E639" s="16">
        <v>3</v>
      </c>
      <c r="F639" s="16">
        <v>3</v>
      </c>
      <c r="G639" s="13">
        <v>162978.4358911092</v>
      </c>
      <c r="H639" s="13">
        <v>162978.4358911092</v>
      </c>
      <c r="I639" s="14">
        <v>0</v>
      </c>
      <c r="J639" s="15">
        <v>1</v>
      </c>
      <c r="K639" s="14">
        <v>108.06125423434588</v>
      </c>
      <c r="L639" s="13">
        <v>17611654.195545193</v>
      </c>
      <c r="M639" s="14">
        <v>3.0050857883883633</v>
      </c>
      <c r="N639" s="14">
        <v>101.17792964096024</v>
      </c>
      <c r="O639" s="13">
        <v>16489820.719584396</v>
      </c>
      <c r="P639" s="13">
        <v>1121833.4759607967</v>
      </c>
      <c r="Q639" s="14">
        <v>1.0680318782743607</v>
      </c>
      <c r="R639" s="15">
        <v>6.8031878274360705E-2</v>
      </c>
    </row>
    <row r="640" spans="1:18" ht="18" customHeight="1">
      <c r="A640" s="10" t="s">
        <v>87</v>
      </c>
      <c r="B640" s="10" t="s">
        <v>88</v>
      </c>
      <c r="C640" s="10" t="s">
        <v>241</v>
      </c>
      <c r="D640" s="10" t="s">
        <v>245</v>
      </c>
      <c r="E640" s="16">
        <v>12</v>
      </c>
      <c r="F640" s="16">
        <v>12</v>
      </c>
      <c r="G640" s="13">
        <v>31339.588068966299</v>
      </c>
      <c r="H640" s="13">
        <v>31339.588068966299</v>
      </c>
      <c r="I640" s="14">
        <v>0</v>
      </c>
      <c r="J640" s="15">
        <v>1</v>
      </c>
      <c r="K640" s="14">
        <v>17.155084489419526</v>
      </c>
      <c r="L640" s="13">
        <v>537633.28118672094</v>
      </c>
      <c r="M640" s="14">
        <v>2.0982549320996355</v>
      </c>
      <c r="N640" s="14">
        <v>12.53876988326649</v>
      </c>
      <c r="O640" s="13">
        <v>392959.88303313241</v>
      </c>
      <c r="P640" s="13">
        <v>144673.39815358853</v>
      </c>
      <c r="Q640" s="14">
        <v>1.3681632767113543</v>
      </c>
      <c r="R640" s="15">
        <v>0.36816327671135424</v>
      </c>
    </row>
    <row r="641" spans="1:18" ht="18" customHeight="1">
      <c r="A641" s="10" t="s">
        <v>87</v>
      </c>
      <c r="B641" s="10" t="s">
        <v>88</v>
      </c>
      <c r="C641" s="10" t="s">
        <v>241</v>
      </c>
      <c r="D641" s="10" t="s">
        <v>246</v>
      </c>
      <c r="E641" s="16">
        <v>30</v>
      </c>
      <c r="F641" s="16">
        <v>30</v>
      </c>
      <c r="G641" s="13">
        <v>216477.2879670446</v>
      </c>
      <c r="H641" s="13">
        <v>216477.2879670446</v>
      </c>
      <c r="I641" s="14">
        <v>0</v>
      </c>
      <c r="J641" s="15">
        <v>1</v>
      </c>
      <c r="K641" s="14">
        <v>470.61395435939789</v>
      </c>
      <c r="L641" s="13">
        <v>101877232.51916896</v>
      </c>
      <c r="M641" s="14">
        <v>3.4724941833870764</v>
      </c>
      <c r="N641" s="14">
        <v>296.8206989270015</v>
      </c>
      <c r="O641" s="13">
        <v>64254939.916199952</v>
      </c>
      <c r="P641" s="13">
        <v>37622292.602969006</v>
      </c>
      <c r="Q641" s="14">
        <v>1.5855159564701993</v>
      </c>
      <c r="R641" s="15">
        <v>0.58551595647019938</v>
      </c>
    </row>
    <row r="642" spans="1:18" ht="18" customHeight="1">
      <c r="A642" s="10" t="s">
        <v>87</v>
      </c>
      <c r="B642" s="10" t="s">
        <v>88</v>
      </c>
      <c r="C642" s="10" t="s">
        <v>241</v>
      </c>
      <c r="D642" s="10" t="s">
        <v>247</v>
      </c>
      <c r="E642" s="16">
        <v>32</v>
      </c>
      <c r="F642" s="16">
        <v>32</v>
      </c>
      <c r="G642" s="13">
        <v>111659.1254779884</v>
      </c>
      <c r="H642" s="13">
        <v>111659.1254779884</v>
      </c>
      <c r="I642" s="14">
        <v>0</v>
      </c>
      <c r="J642" s="15">
        <v>1</v>
      </c>
      <c r="K642" s="14">
        <v>508.96179330399559</v>
      </c>
      <c r="L642" s="13">
        <v>56830228.742032841</v>
      </c>
      <c r="M642" s="14">
        <v>3.4727040932793041</v>
      </c>
      <c r="N642" s="14">
        <v>296.96419755108423</v>
      </c>
      <c r="O642" s="13">
        <v>33158762.59682665</v>
      </c>
      <c r="P642" s="13">
        <v>23671466.145206191</v>
      </c>
      <c r="Q642" s="14">
        <v>1.713882675087266</v>
      </c>
      <c r="R642" s="15">
        <v>0.71388267508726611</v>
      </c>
    </row>
    <row r="643" spans="1:18" ht="18" customHeight="1">
      <c r="A643" s="10" t="s">
        <v>87</v>
      </c>
      <c r="B643" s="10" t="s">
        <v>88</v>
      </c>
      <c r="C643" s="10" t="s">
        <v>241</v>
      </c>
      <c r="D643" s="10" t="s">
        <v>248</v>
      </c>
      <c r="E643" s="16">
        <v>13</v>
      </c>
      <c r="F643" s="16">
        <v>13</v>
      </c>
      <c r="G643" s="13">
        <v>81954.506768382096</v>
      </c>
      <c r="H643" s="13">
        <v>81954.506768382096</v>
      </c>
      <c r="I643" s="14">
        <v>0</v>
      </c>
      <c r="J643" s="15">
        <v>1</v>
      </c>
      <c r="K643" s="14">
        <v>1740.8809019770983</v>
      </c>
      <c r="L643" s="13">
        <v>142673035.66402924</v>
      </c>
      <c r="M643" s="14">
        <v>4.1017856735117526</v>
      </c>
      <c r="N643" s="14">
        <v>1264.1123477753854</v>
      </c>
      <c r="O643" s="13">
        <v>103599703.9617532</v>
      </c>
      <c r="P643" s="13">
        <v>39073331.702276036</v>
      </c>
      <c r="Q643" s="14">
        <v>1.3771567891419947</v>
      </c>
      <c r="R643" s="15">
        <v>0.3771567891419948</v>
      </c>
    </row>
    <row r="644" spans="1:18" ht="18" customHeight="1">
      <c r="A644" s="10" t="s">
        <v>87</v>
      </c>
      <c r="B644" s="10" t="s">
        <v>88</v>
      </c>
      <c r="C644" s="10" t="s">
        <v>241</v>
      </c>
      <c r="D644" s="10" t="s">
        <v>249</v>
      </c>
      <c r="E644" s="16">
        <v>9</v>
      </c>
      <c r="F644" s="16">
        <v>9</v>
      </c>
      <c r="G644" s="13">
        <v>17285.062605307605</v>
      </c>
      <c r="H644" s="13">
        <v>17285.062605307605</v>
      </c>
      <c r="I644" s="14">
        <v>0</v>
      </c>
      <c r="J644" s="15">
        <v>1</v>
      </c>
      <c r="K644" s="14">
        <v>355.71852542183183</v>
      </c>
      <c r="L644" s="13">
        <v>6148616.981784068</v>
      </c>
      <c r="M644" s="14">
        <v>3.5377014474704871</v>
      </c>
      <c r="N644" s="14">
        <v>344.9065543598258</v>
      </c>
      <c r="O644" s="13">
        <v>5961731.3850905197</v>
      </c>
      <c r="P644" s="13">
        <v>186885.59669354837</v>
      </c>
      <c r="Q644" s="14">
        <v>1.0313475372541816</v>
      </c>
      <c r="R644" s="15">
        <v>3.1347537254181539E-2</v>
      </c>
    </row>
    <row r="645" spans="1:18" ht="18" customHeight="1">
      <c r="A645" s="10" t="s">
        <v>87</v>
      </c>
      <c r="B645" s="10" t="s">
        <v>88</v>
      </c>
      <c r="C645" s="10" t="s">
        <v>241</v>
      </c>
      <c r="D645" s="10" t="s">
        <v>250</v>
      </c>
      <c r="E645" s="16">
        <v>5</v>
      </c>
      <c r="F645" s="16">
        <v>5</v>
      </c>
      <c r="G645" s="13">
        <v>6198.8197115844996</v>
      </c>
      <c r="H645" s="13">
        <v>6198.8197115844996</v>
      </c>
      <c r="I645" s="14">
        <v>0</v>
      </c>
      <c r="J645" s="15">
        <v>1</v>
      </c>
      <c r="K645" s="14">
        <v>736.15402855861601</v>
      </c>
      <c r="L645" s="13">
        <v>4563286.1029914878</v>
      </c>
      <c r="M645" s="14">
        <v>3.8426978650048658</v>
      </c>
      <c r="N645" s="14">
        <v>696.14204548114287</v>
      </c>
      <c r="O645" s="13">
        <v>4315259.0335912621</v>
      </c>
      <c r="P645" s="13">
        <v>248027.06940022577</v>
      </c>
      <c r="Q645" s="14">
        <v>1.0574767510987195</v>
      </c>
      <c r="R645" s="15">
        <v>5.747675109871949E-2</v>
      </c>
    </row>
    <row r="646" spans="1:18" ht="18" customHeight="1">
      <c r="A646" s="10" t="s">
        <v>87</v>
      </c>
      <c r="B646" s="10" t="s">
        <v>88</v>
      </c>
      <c r="C646" s="10" t="s">
        <v>241</v>
      </c>
      <c r="D646" s="10" t="s">
        <v>251</v>
      </c>
      <c r="E646" s="16">
        <v>8</v>
      </c>
      <c r="F646" s="16">
        <v>8</v>
      </c>
      <c r="G646" s="13">
        <v>3196.6185013270997</v>
      </c>
      <c r="H646" s="13">
        <v>3196.6185013270997</v>
      </c>
      <c r="I646" s="14">
        <v>0</v>
      </c>
      <c r="J646" s="15">
        <v>1</v>
      </c>
      <c r="K646" s="14">
        <v>2152.1676556602933</v>
      </c>
      <c r="L646" s="13">
        <v>6879658.9460414648</v>
      </c>
      <c r="M646" s="14">
        <v>4.3191088178056232</v>
      </c>
      <c r="N646" s="14">
        <v>2085.013243276961</v>
      </c>
      <c r="O646" s="13">
        <v>6664991.9089711551</v>
      </c>
      <c r="P646" s="13">
        <v>214667.03707030974</v>
      </c>
      <c r="Q646" s="14">
        <v>1.0322081466867747</v>
      </c>
      <c r="R646" s="15">
        <v>3.2208146686774741E-2</v>
      </c>
    </row>
    <row r="647" spans="1:18" ht="18" customHeight="1">
      <c r="A647" s="10" t="s">
        <v>26</v>
      </c>
      <c r="B647" s="10" t="s">
        <v>27</v>
      </c>
      <c r="C647" s="10" t="s">
        <v>241</v>
      </c>
      <c r="D647" s="10" t="s">
        <v>252</v>
      </c>
      <c r="E647" s="16">
        <v>1</v>
      </c>
      <c r="F647" s="16">
        <v>1</v>
      </c>
      <c r="G647" s="13">
        <v>10377.7610720746</v>
      </c>
      <c r="H647" s="13">
        <v>10377.7610720746</v>
      </c>
      <c r="I647" s="14">
        <v>0</v>
      </c>
      <c r="J647" s="15">
        <v>1</v>
      </c>
      <c r="K647" s="14">
        <v>138.03842646028852</v>
      </c>
      <c r="L647" s="13">
        <v>1432529.8085700145</v>
      </c>
      <c r="M647" s="14">
        <v>3.14</v>
      </c>
      <c r="N647" s="14">
        <v>138.03842646028852</v>
      </c>
      <c r="O647" s="13">
        <v>1432529.8085700145</v>
      </c>
      <c r="P647" s="13">
        <v>0</v>
      </c>
      <c r="Q647" s="14">
        <v>1</v>
      </c>
      <c r="R647" s="15">
        <v>0</v>
      </c>
    </row>
    <row r="648" spans="1:18" ht="18" customHeight="1">
      <c r="A648" s="10" t="s">
        <v>26</v>
      </c>
      <c r="B648" s="10" t="s">
        <v>27</v>
      </c>
      <c r="C648" s="10" t="s">
        <v>241</v>
      </c>
      <c r="D648" s="10" t="s">
        <v>242</v>
      </c>
      <c r="E648" s="16">
        <v>6</v>
      </c>
      <c r="F648" s="16">
        <v>6</v>
      </c>
      <c r="G648" s="13">
        <v>2807898.5137336077</v>
      </c>
      <c r="H648" s="13">
        <v>2807898.5137336077</v>
      </c>
      <c r="I648" s="14">
        <v>0</v>
      </c>
      <c r="J648" s="15">
        <v>1</v>
      </c>
      <c r="K648" s="14">
        <v>432.60017989156296</v>
      </c>
      <c r="L648" s="13">
        <v>1214697402.158411</v>
      </c>
      <c r="M648" s="14">
        <v>3.6041390194670493</v>
      </c>
      <c r="N648" s="14">
        <v>401.91944634319395</v>
      </c>
      <c r="O648" s="13">
        <v>1128549016.0276887</v>
      </c>
      <c r="P648" s="13">
        <v>86148386.130722284</v>
      </c>
      <c r="Q648" s="14">
        <v>1.0763355289909788</v>
      </c>
      <c r="R648" s="15">
        <v>7.633552899097884E-2</v>
      </c>
    </row>
    <row r="649" spans="1:18" ht="18" customHeight="1">
      <c r="A649" s="10" t="s">
        <v>26</v>
      </c>
      <c r="B649" s="10" t="s">
        <v>27</v>
      </c>
      <c r="C649" s="10" t="s">
        <v>241</v>
      </c>
      <c r="D649" s="10" t="s">
        <v>243</v>
      </c>
      <c r="E649" s="16">
        <v>19</v>
      </c>
      <c r="F649" s="16">
        <v>19</v>
      </c>
      <c r="G649" s="13">
        <v>106203.98264767599</v>
      </c>
      <c r="H649" s="13">
        <v>106203.98264767599</v>
      </c>
      <c r="I649" s="14">
        <v>0</v>
      </c>
      <c r="J649" s="15">
        <v>1</v>
      </c>
      <c r="K649" s="14">
        <v>175.83275577140932</v>
      </c>
      <c r="L649" s="13">
        <v>18674138.942839805</v>
      </c>
      <c r="M649" s="14">
        <v>2.9209840884010378</v>
      </c>
      <c r="N649" s="14">
        <v>83.365064092584191</v>
      </c>
      <c r="O649" s="13">
        <v>8853701.8203112092</v>
      </c>
      <c r="P649" s="13">
        <v>9820437.1225285958</v>
      </c>
      <c r="Q649" s="14">
        <v>2.1091899548728428</v>
      </c>
      <c r="R649" s="15">
        <v>1.1091899548728428</v>
      </c>
    </row>
    <row r="650" spans="1:18" ht="18" customHeight="1">
      <c r="A650" s="10" t="s">
        <v>26</v>
      </c>
      <c r="B650" s="10" t="s">
        <v>27</v>
      </c>
      <c r="C650" s="10" t="s">
        <v>241</v>
      </c>
      <c r="D650" s="10" t="s">
        <v>244</v>
      </c>
      <c r="E650" s="16">
        <v>6</v>
      </c>
      <c r="F650" s="16">
        <v>6</v>
      </c>
      <c r="G650" s="13">
        <v>73198.961290588399</v>
      </c>
      <c r="H650" s="13">
        <v>73198.961290588399</v>
      </c>
      <c r="I650" s="14">
        <v>0</v>
      </c>
      <c r="J650" s="15">
        <v>1</v>
      </c>
      <c r="K650" s="14">
        <v>692.54098759123906</v>
      </c>
      <c r="L650" s="13">
        <v>50693280.94283697</v>
      </c>
      <c r="M650" s="14">
        <v>3.702983851787518</v>
      </c>
      <c r="N650" s="14">
        <v>504.64253327639534</v>
      </c>
      <c r="O650" s="13">
        <v>36939309.258883327</v>
      </c>
      <c r="P650" s="13">
        <v>13753971.683953643</v>
      </c>
      <c r="Q650" s="14">
        <v>1.3723397096453835</v>
      </c>
      <c r="R650" s="15">
        <v>0.37233970964538343</v>
      </c>
    </row>
    <row r="651" spans="1:18" ht="18" customHeight="1">
      <c r="A651" s="10" t="s">
        <v>26</v>
      </c>
      <c r="B651" s="10" t="s">
        <v>27</v>
      </c>
      <c r="C651" s="10" t="s">
        <v>241</v>
      </c>
      <c r="D651" s="10" t="s">
        <v>253</v>
      </c>
      <c r="E651" s="16">
        <v>3</v>
      </c>
      <c r="F651" s="16">
        <v>3</v>
      </c>
      <c r="G651" s="13">
        <v>557600.60760729422</v>
      </c>
      <c r="H651" s="13">
        <v>557600.60760729422</v>
      </c>
      <c r="I651" s="14">
        <v>0</v>
      </c>
      <c r="J651" s="15">
        <v>1</v>
      </c>
      <c r="K651" s="14">
        <v>133.5802264500883</v>
      </c>
      <c r="L651" s="13">
        <v>74484415.432889193</v>
      </c>
      <c r="M651" s="14">
        <v>3.1134453392708945</v>
      </c>
      <c r="N651" s="14">
        <v>129.851012178741</v>
      </c>
      <c r="O651" s="13">
        <v>72405003.289288148</v>
      </c>
      <c r="P651" s="13">
        <v>2079412.143601045</v>
      </c>
      <c r="Q651" s="14">
        <v>1.028719177531046</v>
      </c>
      <c r="R651" s="15">
        <v>2.8719177531046126E-2</v>
      </c>
    </row>
    <row r="652" spans="1:18" ht="18" customHeight="1">
      <c r="A652" s="10" t="s">
        <v>26</v>
      </c>
      <c r="B652" s="10" t="s">
        <v>27</v>
      </c>
      <c r="C652" s="10" t="s">
        <v>241</v>
      </c>
      <c r="D652" s="10" t="s">
        <v>245</v>
      </c>
      <c r="E652" s="16">
        <v>11</v>
      </c>
      <c r="F652" s="16">
        <v>11</v>
      </c>
      <c r="G652" s="13">
        <v>34538.13871137079</v>
      </c>
      <c r="H652" s="13">
        <v>34538.13871137079</v>
      </c>
      <c r="I652" s="14">
        <v>0</v>
      </c>
      <c r="J652" s="15">
        <v>1</v>
      </c>
      <c r="K652" s="14">
        <v>25.954343376999006</v>
      </c>
      <c r="L652" s="13">
        <v>896414.71171733947</v>
      </c>
      <c r="M652" s="14">
        <v>2.1888154316916602</v>
      </c>
      <c r="N652" s="14">
        <v>15.44597870287566</v>
      </c>
      <c r="O652" s="13">
        <v>533475.35497279861</v>
      </c>
      <c r="P652" s="13">
        <v>362939.35674454086</v>
      </c>
      <c r="Q652" s="14">
        <v>1.680330128395616</v>
      </c>
      <c r="R652" s="15">
        <v>0.68033012839561591</v>
      </c>
    </row>
    <row r="653" spans="1:18" ht="18" customHeight="1">
      <c r="A653" s="10" t="s">
        <v>26</v>
      </c>
      <c r="B653" s="10" t="s">
        <v>27</v>
      </c>
      <c r="C653" s="10" t="s">
        <v>241</v>
      </c>
      <c r="D653" s="10" t="s">
        <v>246</v>
      </c>
      <c r="E653" s="16">
        <v>29</v>
      </c>
      <c r="F653" s="16">
        <v>29</v>
      </c>
      <c r="G653" s="13">
        <v>472257.49604114308</v>
      </c>
      <c r="H653" s="13">
        <v>472257.49604114308</v>
      </c>
      <c r="I653" s="14">
        <v>0</v>
      </c>
      <c r="J653" s="15">
        <v>1</v>
      </c>
      <c r="K653" s="14">
        <v>372.13448757426107</v>
      </c>
      <c r="L653" s="13">
        <v>175743301.2923744</v>
      </c>
      <c r="M653" s="14">
        <v>3.3977223196804718</v>
      </c>
      <c r="N653" s="14">
        <v>249.87471954415403</v>
      </c>
      <c r="O653" s="13">
        <v>118005209.37590507</v>
      </c>
      <c r="P653" s="13">
        <v>57738091.916469336</v>
      </c>
      <c r="Q653" s="14">
        <v>1.4892842631425272</v>
      </c>
      <c r="R653" s="15">
        <v>0.48928426314252704</v>
      </c>
    </row>
    <row r="654" spans="1:18" ht="18" customHeight="1">
      <c r="A654" s="10" t="s">
        <v>26</v>
      </c>
      <c r="B654" s="10" t="s">
        <v>27</v>
      </c>
      <c r="C654" s="10" t="s">
        <v>241</v>
      </c>
      <c r="D654" s="10" t="s">
        <v>247</v>
      </c>
      <c r="E654" s="16">
        <v>26</v>
      </c>
      <c r="F654" s="16">
        <v>26</v>
      </c>
      <c r="G654" s="13">
        <v>77348.548619441077</v>
      </c>
      <c r="H654" s="13">
        <v>77348.548619441077</v>
      </c>
      <c r="I654" s="14">
        <v>0</v>
      </c>
      <c r="J654" s="15">
        <v>1</v>
      </c>
      <c r="K654" s="14">
        <v>467.45064534373091</v>
      </c>
      <c r="L654" s="13">
        <v>36156628.968558677</v>
      </c>
      <c r="M654" s="14">
        <v>3.4051167376169893</v>
      </c>
      <c r="N654" s="14">
        <v>254.16558064885163</v>
      </c>
      <c r="O654" s="13">
        <v>19659338.772206172</v>
      </c>
      <c r="P654" s="13">
        <v>16497290.196352504</v>
      </c>
      <c r="Q654" s="14">
        <v>1.8391579384997381</v>
      </c>
      <c r="R654" s="15">
        <v>0.83915793849973808</v>
      </c>
    </row>
    <row r="655" spans="1:18" ht="18" customHeight="1">
      <c r="A655" s="10" t="s">
        <v>26</v>
      </c>
      <c r="B655" s="10" t="s">
        <v>27</v>
      </c>
      <c r="C655" s="10" t="s">
        <v>241</v>
      </c>
      <c r="D655" s="10" t="s">
        <v>248</v>
      </c>
      <c r="E655" s="16">
        <v>13</v>
      </c>
      <c r="F655" s="16">
        <v>13</v>
      </c>
      <c r="G655" s="13">
        <v>622434.08217859326</v>
      </c>
      <c r="H655" s="13">
        <v>622434.08217859326</v>
      </c>
      <c r="I655" s="14">
        <v>0</v>
      </c>
      <c r="J655" s="15">
        <v>1</v>
      </c>
      <c r="K655" s="14">
        <v>1944.4509561567168</v>
      </c>
      <c r="L655" s="13">
        <v>1210292546.2366941</v>
      </c>
      <c r="M655" s="14">
        <v>4.1303859967766385</v>
      </c>
      <c r="N655" s="14">
        <v>1350.1623608472385</v>
      </c>
      <c r="O655" s="13">
        <v>840387069.86603355</v>
      </c>
      <c r="P655" s="13">
        <v>369905476.37066054</v>
      </c>
      <c r="Q655" s="14">
        <v>1.440160837350374</v>
      </c>
      <c r="R655" s="15">
        <v>0.44016083735037392</v>
      </c>
    </row>
    <row r="656" spans="1:18" ht="18" customHeight="1">
      <c r="A656" s="10" t="s">
        <v>26</v>
      </c>
      <c r="B656" s="10" t="s">
        <v>27</v>
      </c>
      <c r="C656" s="10" t="s">
        <v>241</v>
      </c>
      <c r="D656" s="10" t="s">
        <v>249</v>
      </c>
      <c r="E656" s="16">
        <v>9</v>
      </c>
      <c r="F656" s="16">
        <v>9</v>
      </c>
      <c r="G656" s="13">
        <v>29857.686442724102</v>
      </c>
      <c r="H656" s="13">
        <v>29857.686442724102</v>
      </c>
      <c r="I656" s="14">
        <v>0</v>
      </c>
      <c r="J656" s="15">
        <v>1</v>
      </c>
      <c r="K656" s="14">
        <v>302.95308844317208</v>
      </c>
      <c r="L656" s="13">
        <v>9045478.3215910941</v>
      </c>
      <c r="M656" s="14">
        <v>3.4656234349996193</v>
      </c>
      <c r="N656" s="14">
        <v>292.16180232899848</v>
      </c>
      <c r="O656" s="13">
        <v>8723275.4844803773</v>
      </c>
      <c r="P656" s="13">
        <v>322202.83711071685</v>
      </c>
      <c r="Q656" s="14">
        <v>1.036935992412936</v>
      </c>
      <c r="R656" s="15">
        <v>3.6935992412935888E-2</v>
      </c>
    </row>
    <row r="657" spans="1:18" ht="18" customHeight="1">
      <c r="A657" s="10" t="s">
        <v>26</v>
      </c>
      <c r="B657" s="10" t="s">
        <v>27</v>
      </c>
      <c r="C657" s="10" t="s">
        <v>241</v>
      </c>
      <c r="D657" s="10" t="s">
        <v>250</v>
      </c>
      <c r="E657" s="16">
        <v>5</v>
      </c>
      <c r="F657" s="16">
        <v>5</v>
      </c>
      <c r="G657" s="13">
        <v>7343.1527317368</v>
      </c>
      <c r="H657" s="13">
        <v>7343.1527317368</v>
      </c>
      <c r="I657" s="14">
        <v>0</v>
      </c>
      <c r="J657" s="15">
        <v>1</v>
      </c>
      <c r="K657" s="14">
        <v>557.61030128013363</v>
      </c>
      <c r="L657" s="13">
        <v>4094617.6070897933</v>
      </c>
      <c r="M657" s="14">
        <v>3.7390942589079392</v>
      </c>
      <c r="N657" s="14">
        <v>548.39597540524073</v>
      </c>
      <c r="O657" s="13">
        <v>4026955.4048704603</v>
      </c>
      <c r="P657" s="13">
        <v>67662.202219333034</v>
      </c>
      <c r="Q657" s="14">
        <v>1.0168023222053808</v>
      </c>
      <c r="R657" s="15">
        <v>1.6802322205380766E-2</v>
      </c>
    </row>
    <row r="658" spans="1:18" ht="18" customHeight="1">
      <c r="A658" s="10" t="s">
        <v>26</v>
      </c>
      <c r="B658" s="10" t="s">
        <v>27</v>
      </c>
      <c r="C658" s="10" t="s">
        <v>241</v>
      </c>
      <c r="D658" s="10" t="s">
        <v>251</v>
      </c>
      <c r="E658" s="16">
        <v>3</v>
      </c>
      <c r="F658" s="16">
        <v>3</v>
      </c>
      <c r="G658" s="13">
        <v>1793.1945488683</v>
      </c>
      <c r="H658" s="13">
        <v>1793.1945488683</v>
      </c>
      <c r="I658" s="14">
        <v>0</v>
      </c>
      <c r="J658" s="15">
        <v>1</v>
      </c>
      <c r="K658" s="14">
        <v>1858.5192330272637</v>
      </c>
      <c r="L658" s="13">
        <v>3332686.5576313832</v>
      </c>
      <c r="M658" s="14">
        <v>4.2608291055116903</v>
      </c>
      <c r="N658" s="14">
        <v>1823.1781421888811</v>
      </c>
      <c r="O658" s="13">
        <v>3269313.1061889362</v>
      </c>
      <c r="P658" s="13">
        <v>63373.451442447025</v>
      </c>
      <c r="Q658" s="14">
        <v>1.0193843322386218</v>
      </c>
      <c r="R658" s="15">
        <v>1.9384332238621817E-2</v>
      </c>
    </row>
    <row r="659" spans="1:18" ht="18" customHeight="1">
      <c r="A659" s="10" t="s">
        <v>89</v>
      </c>
      <c r="B659" s="10" t="s">
        <v>90</v>
      </c>
      <c r="C659" s="10" t="s">
        <v>241</v>
      </c>
      <c r="D659" s="10" t="s">
        <v>242</v>
      </c>
      <c r="E659" s="16">
        <v>4</v>
      </c>
      <c r="F659" s="16">
        <v>4</v>
      </c>
      <c r="G659" s="13">
        <v>271904.63450300851</v>
      </c>
      <c r="H659" s="13">
        <v>271904.63450300851</v>
      </c>
      <c r="I659" s="14">
        <v>0</v>
      </c>
      <c r="J659" s="15">
        <v>1</v>
      </c>
      <c r="K659" s="14">
        <v>497.15158545210369</v>
      </c>
      <c r="L659" s="13">
        <v>135177820.13494545</v>
      </c>
      <c r="M659" s="14">
        <v>3.6415103063886156</v>
      </c>
      <c r="N659" s="14">
        <v>438.03650623887091</v>
      </c>
      <c r="O659" s="13">
        <v>119104156.127855</v>
      </c>
      <c r="P659" s="13">
        <v>16073664.007090449</v>
      </c>
      <c r="Q659" s="14">
        <v>1.1349546861306488</v>
      </c>
      <c r="R659" s="15">
        <v>0.13495468613064868</v>
      </c>
    </row>
    <row r="660" spans="1:18" ht="18" customHeight="1">
      <c r="A660" s="10" t="s">
        <v>89</v>
      </c>
      <c r="B660" s="10" t="s">
        <v>90</v>
      </c>
      <c r="C660" s="10" t="s">
        <v>241</v>
      </c>
      <c r="D660" s="10" t="s">
        <v>243</v>
      </c>
      <c r="E660" s="16">
        <v>12</v>
      </c>
      <c r="F660" s="16">
        <v>12</v>
      </c>
      <c r="G660" s="13">
        <v>35246.880677884998</v>
      </c>
      <c r="H660" s="13">
        <v>35246.880677884998</v>
      </c>
      <c r="I660" s="14">
        <v>0</v>
      </c>
      <c r="J660" s="15">
        <v>1</v>
      </c>
      <c r="K660" s="14">
        <v>94.849855177949394</v>
      </c>
      <c r="L660" s="13">
        <v>3343161.5277718548</v>
      </c>
      <c r="M660" s="14">
        <v>2.6626213309408562</v>
      </c>
      <c r="N660" s="14">
        <v>45.985544261616383</v>
      </c>
      <c r="O660" s="13">
        <v>1620846.9914967918</v>
      </c>
      <c r="P660" s="13">
        <v>1722314.5362750629</v>
      </c>
      <c r="Q660" s="14">
        <v>2.0626015566617855</v>
      </c>
      <c r="R660" s="15">
        <v>1.0626015566617857</v>
      </c>
    </row>
    <row r="661" spans="1:18" ht="18" customHeight="1">
      <c r="A661" s="10" t="s">
        <v>89</v>
      </c>
      <c r="B661" s="10" t="s">
        <v>90</v>
      </c>
      <c r="C661" s="10" t="s">
        <v>241</v>
      </c>
      <c r="D661" s="10" t="s">
        <v>244</v>
      </c>
      <c r="E661" s="16">
        <v>5</v>
      </c>
      <c r="F661" s="16">
        <v>5</v>
      </c>
      <c r="G661" s="13">
        <v>24676.248215133099</v>
      </c>
      <c r="H661" s="13">
        <v>24676.248215133099</v>
      </c>
      <c r="I661" s="14">
        <v>0</v>
      </c>
      <c r="J661" s="15">
        <v>1</v>
      </c>
      <c r="K661" s="14">
        <v>528.26782652530858</v>
      </c>
      <c r="L661" s="13">
        <v>13035668.011407387</v>
      </c>
      <c r="M661" s="14">
        <v>3.6357089795205257</v>
      </c>
      <c r="N661" s="14">
        <v>432.22410085349907</v>
      </c>
      <c r="O661" s="13">
        <v>10665669.197223665</v>
      </c>
      <c r="P661" s="13">
        <v>2369998.8141837213</v>
      </c>
      <c r="Q661" s="14">
        <v>1.2222081681288828</v>
      </c>
      <c r="R661" s="15">
        <v>0.22220816812888267</v>
      </c>
    </row>
    <row r="662" spans="1:18" ht="18" customHeight="1">
      <c r="A662" s="10" t="s">
        <v>89</v>
      </c>
      <c r="B662" s="10" t="s">
        <v>90</v>
      </c>
      <c r="C662" s="10" t="s">
        <v>241</v>
      </c>
      <c r="D662" s="10" t="s">
        <v>253</v>
      </c>
      <c r="E662" s="16">
        <v>2</v>
      </c>
      <c r="F662" s="16">
        <v>2</v>
      </c>
      <c r="G662" s="13">
        <v>61033.758375085403</v>
      </c>
      <c r="H662" s="13">
        <v>61033.758375085403</v>
      </c>
      <c r="I662" s="14">
        <v>0</v>
      </c>
      <c r="J662" s="15">
        <v>1</v>
      </c>
      <c r="K662" s="14">
        <v>134.35323753984491</v>
      </c>
      <c r="L662" s="13">
        <v>8200083.0369173484</v>
      </c>
      <c r="M662" s="14">
        <v>3.1167277259518733</v>
      </c>
      <c r="N662" s="14">
        <v>130.83614093553231</v>
      </c>
      <c r="O662" s="13">
        <v>7985421.4125878997</v>
      </c>
      <c r="P662" s="13">
        <v>214661.62432944868</v>
      </c>
      <c r="Q662" s="14">
        <v>1.0268816901749311</v>
      </c>
      <c r="R662" s="15">
        <v>2.6881690174931114E-2</v>
      </c>
    </row>
    <row r="663" spans="1:18" ht="18" customHeight="1">
      <c r="A663" s="10" t="s">
        <v>89</v>
      </c>
      <c r="B663" s="10" t="s">
        <v>90</v>
      </c>
      <c r="C663" s="10" t="s">
        <v>241</v>
      </c>
      <c r="D663" s="10" t="s">
        <v>245</v>
      </c>
      <c r="E663" s="16">
        <v>5</v>
      </c>
      <c r="F663" s="16">
        <v>5</v>
      </c>
      <c r="G663" s="13">
        <v>1532.7958462053002</v>
      </c>
      <c r="H663" s="13">
        <v>1532.7958462053002</v>
      </c>
      <c r="I663" s="14">
        <v>0</v>
      </c>
      <c r="J663" s="15">
        <v>1</v>
      </c>
      <c r="K663" s="14">
        <v>106.53715199660675</v>
      </c>
      <c r="L663" s="13">
        <v>163299.70404694154</v>
      </c>
      <c r="M663" s="14">
        <v>2.9786090855046687</v>
      </c>
      <c r="N663" s="14">
        <v>95.193892482680297</v>
      </c>
      <c r="O663" s="13">
        <v>145912.80298156632</v>
      </c>
      <c r="P663" s="13">
        <v>17386.901065375219</v>
      </c>
      <c r="Q663" s="14">
        <v>1.1191595302817379</v>
      </c>
      <c r="R663" s="15">
        <v>0.11915953028173798</v>
      </c>
    </row>
    <row r="664" spans="1:18" ht="18" customHeight="1">
      <c r="A664" s="10" t="s">
        <v>89</v>
      </c>
      <c r="B664" s="10" t="s">
        <v>90</v>
      </c>
      <c r="C664" s="10" t="s">
        <v>241</v>
      </c>
      <c r="D664" s="10" t="s">
        <v>246</v>
      </c>
      <c r="E664" s="16">
        <v>12</v>
      </c>
      <c r="F664" s="16">
        <v>12</v>
      </c>
      <c r="G664" s="13">
        <v>162277.8940945458</v>
      </c>
      <c r="H664" s="13">
        <v>162277.8940945458</v>
      </c>
      <c r="I664" s="14">
        <v>0</v>
      </c>
      <c r="J664" s="15">
        <v>1</v>
      </c>
      <c r="K664" s="14">
        <v>389.17705843608917</v>
      </c>
      <c r="L664" s="13">
        <v>63154833.47291854</v>
      </c>
      <c r="M664" s="14">
        <v>3.4215144084705131</v>
      </c>
      <c r="N664" s="14">
        <v>263.94558894269773</v>
      </c>
      <c r="O664" s="13">
        <v>42832534.329165623</v>
      </c>
      <c r="P664" s="13">
        <v>20322299.143752918</v>
      </c>
      <c r="Q664" s="14">
        <v>1.4744594141354603</v>
      </c>
      <c r="R664" s="15">
        <v>0.47445941413546044</v>
      </c>
    </row>
    <row r="665" spans="1:18" ht="18" customHeight="1">
      <c r="A665" s="10" t="s">
        <v>89</v>
      </c>
      <c r="B665" s="10" t="s">
        <v>90</v>
      </c>
      <c r="C665" s="10" t="s">
        <v>241</v>
      </c>
      <c r="D665" s="10" t="s">
        <v>247</v>
      </c>
      <c r="E665" s="16">
        <v>5</v>
      </c>
      <c r="F665" s="16">
        <v>5</v>
      </c>
      <c r="G665" s="13">
        <v>3629.0430120916003</v>
      </c>
      <c r="H665" s="13">
        <v>3629.0430120916003</v>
      </c>
      <c r="I665" s="14">
        <v>0</v>
      </c>
      <c r="J665" s="15">
        <v>1</v>
      </c>
      <c r="K665" s="14">
        <v>90.36688765829669</v>
      </c>
      <c r="L665" s="13">
        <v>327945.32218080829</v>
      </c>
      <c r="M665" s="14">
        <v>2.8809935904598714</v>
      </c>
      <c r="N665" s="14">
        <v>76.031505573884374</v>
      </c>
      <c r="O665" s="13">
        <v>275921.60400170862</v>
      </c>
      <c r="P665" s="13">
        <v>52023.718179099669</v>
      </c>
      <c r="Q665" s="14">
        <v>1.1885452875910996</v>
      </c>
      <c r="R665" s="15">
        <v>0.18854528759109968</v>
      </c>
    </row>
    <row r="666" spans="1:18" ht="18" customHeight="1">
      <c r="A666" s="10" t="s">
        <v>89</v>
      </c>
      <c r="B666" s="10" t="s">
        <v>90</v>
      </c>
      <c r="C666" s="10" t="s">
        <v>241</v>
      </c>
      <c r="D666" s="10" t="s">
        <v>248</v>
      </c>
      <c r="E666" s="16">
        <v>12</v>
      </c>
      <c r="F666" s="16">
        <v>12</v>
      </c>
      <c r="G666" s="13">
        <v>137570.57774228751</v>
      </c>
      <c r="H666" s="13">
        <v>137570.57774228751</v>
      </c>
      <c r="I666" s="14">
        <v>0</v>
      </c>
      <c r="J666" s="15">
        <v>1</v>
      </c>
      <c r="K666" s="14">
        <v>2073.1019048884709</v>
      </c>
      <c r="L666" s="13">
        <v>285197826.7741437</v>
      </c>
      <c r="M666" s="14">
        <v>4.177659651085678</v>
      </c>
      <c r="N666" s="14">
        <v>1505.4268273674356</v>
      </c>
      <c r="O666" s="13">
        <v>207102438.38967705</v>
      </c>
      <c r="P666" s="13">
        <v>78095388.384466648</v>
      </c>
      <c r="Q666" s="14">
        <v>1.3770857986593328</v>
      </c>
      <c r="R666" s="15">
        <v>0.37708579865933284</v>
      </c>
    </row>
    <row r="667" spans="1:18" ht="18" customHeight="1">
      <c r="A667" s="10" t="s">
        <v>89</v>
      </c>
      <c r="B667" s="10" t="s">
        <v>90</v>
      </c>
      <c r="C667" s="10" t="s">
        <v>241</v>
      </c>
      <c r="D667" s="10" t="s">
        <v>249</v>
      </c>
      <c r="E667" s="16">
        <v>4</v>
      </c>
      <c r="F667" s="16">
        <v>4</v>
      </c>
      <c r="G667" s="13">
        <v>4586.6162509624992</v>
      </c>
      <c r="H667" s="13">
        <v>4586.6162509624992</v>
      </c>
      <c r="I667" s="14">
        <v>0</v>
      </c>
      <c r="J667" s="15">
        <v>1</v>
      </c>
      <c r="K667" s="14">
        <v>250.49903326170173</v>
      </c>
      <c r="L667" s="13">
        <v>1148942.9368085167</v>
      </c>
      <c r="M667" s="14">
        <v>3.395585892631976</v>
      </c>
      <c r="N667" s="14">
        <v>248.64852804620489</v>
      </c>
      <c r="O667" s="13">
        <v>1140455.3795146281</v>
      </c>
      <c r="P667" s="13">
        <v>8487.5572938886471</v>
      </c>
      <c r="Q667" s="14">
        <v>1.0074422528459648</v>
      </c>
      <c r="R667" s="15">
        <v>7.4422528459648354E-3</v>
      </c>
    </row>
    <row r="668" spans="1:18" ht="18" customHeight="1">
      <c r="A668" s="10" t="s">
        <v>89</v>
      </c>
      <c r="B668" s="10" t="s">
        <v>90</v>
      </c>
      <c r="C668" s="10" t="s">
        <v>241</v>
      </c>
      <c r="D668" s="10" t="s">
        <v>250</v>
      </c>
      <c r="E668" s="16">
        <v>2</v>
      </c>
      <c r="F668" s="16">
        <v>2</v>
      </c>
      <c r="G668" s="13">
        <v>3229.0733603990998</v>
      </c>
      <c r="H668" s="13">
        <v>3229.0733603990998</v>
      </c>
      <c r="I668" s="14">
        <v>0</v>
      </c>
      <c r="J668" s="15">
        <v>1</v>
      </c>
      <c r="K668" s="14">
        <v>525.30585233704585</v>
      </c>
      <c r="L668" s="13">
        <v>1696251.1338432978</v>
      </c>
      <c r="M668" s="14">
        <v>3.7202753957821248</v>
      </c>
      <c r="N668" s="14">
        <v>525.14035786063141</v>
      </c>
      <c r="O668" s="13">
        <v>1695716.7400382149</v>
      </c>
      <c r="P668" s="13">
        <v>534.39380508288741</v>
      </c>
      <c r="Q668" s="14">
        <v>1.0003151433210895</v>
      </c>
      <c r="R668" s="15">
        <v>3.1514332108960856E-4</v>
      </c>
    </row>
    <row r="669" spans="1:18" ht="18" customHeight="1">
      <c r="A669" s="10" t="s">
        <v>125</v>
      </c>
      <c r="B669" s="10" t="s">
        <v>126</v>
      </c>
      <c r="C669" s="10" t="s">
        <v>241</v>
      </c>
      <c r="D669" s="10" t="s">
        <v>242</v>
      </c>
      <c r="E669" s="16">
        <v>7</v>
      </c>
      <c r="F669" s="16">
        <v>7</v>
      </c>
      <c r="G669" s="13">
        <v>200276.10190649677</v>
      </c>
      <c r="H669" s="13">
        <v>200276.10190649677</v>
      </c>
      <c r="I669" s="14">
        <v>0</v>
      </c>
      <c r="J669" s="15">
        <v>1</v>
      </c>
      <c r="K669" s="14">
        <v>396.21252629530409</v>
      </c>
      <c r="L669" s="13">
        <v>79351900.292948857</v>
      </c>
      <c r="M669" s="14">
        <v>3.5846482849179262</v>
      </c>
      <c r="N669" s="14">
        <v>384.28044497463441</v>
      </c>
      <c r="O669" s="13">
        <v>76962189.558413804</v>
      </c>
      <c r="P669" s="13">
        <v>2389710.7345350534</v>
      </c>
      <c r="Q669" s="14">
        <v>1.0310504515041283</v>
      </c>
      <c r="R669" s="15">
        <v>3.1050451504128249E-2</v>
      </c>
    </row>
    <row r="670" spans="1:18" ht="18" customHeight="1">
      <c r="A670" s="10" t="s">
        <v>125</v>
      </c>
      <c r="B670" s="10" t="s">
        <v>126</v>
      </c>
      <c r="C670" s="10" t="s">
        <v>241</v>
      </c>
      <c r="D670" s="10" t="s">
        <v>243</v>
      </c>
      <c r="E670" s="16">
        <v>16</v>
      </c>
      <c r="F670" s="16">
        <v>16</v>
      </c>
      <c r="G670" s="13">
        <v>23318.0299817247</v>
      </c>
      <c r="H670" s="13">
        <v>23318.0299817247</v>
      </c>
      <c r="I670" s="14">
        <v>0</v>
      </c>
      <c r="J670" s="15">
        <v>1</v>
      </c>
      <c r="K670" s="14">
        <v>253.0424811000166</v>
      </c>
      <c r="L670" s="13">
        <v>5900452.1609401926</v>
      </c>
      <c r="M670" s="14">
        <v>3.1944701814354675</v>
      </c>
      <c r="N670" s="14">
        <v>156.48408739027664</v>
      </c>
      <c r="O670" s="13">
        <v>3648900.6414292986</v>
      </c>
      <c r="P670" s="13">
        <v>2251551.5195108941</v>
      </c>
      <c r="Q670" s="14">
        <v>1.6170492816238884</v>
      </c>
      <c r="R670" s="15">
        <v>0.61704928162388839</v>
      </c>
    </row>
    <row r="671" spans="1:18" ht="18" customHeight="1">
      <c r="A671" s="10" t="s">
        <v>125</v>
      </c>
      <c r="B671" s="10" t="s">
        <v>126</v>
      </c>
      <c r="C671" s="10" t="s">
        <v>241</v>
      </c>
      <c r="D671" s="10" t="s">
        <v>244</v>
      </c>
      <c r="E671" s="16">
        <v>13</v>
      </c>
      <c r="F671" s="16">
        <v>13</v>
      </c>
      <c r="G671" s="13">
        <v>11306.619373535501</v>
      </c>
      <c r="H671" s="13">
        <v>11306.619373535501</v>
      </c>
      <c r="I671" s="14">
        <v>0</v>
      </c>
      <c r="J671" s="15">
        <v>1</v>
      </c>
      <c r="K671" s="14">
        <v>661.8456208601732</v>
      </c>
      <c r="L671" s="13">
        <v>7483236.5191072663</v>
      </c>
      <c r="M671" s="14">
        <v>3.7188540499725566</v>
      </c>
      <c r="N671" s="14">
        <v>523.42450375249348</v>
      </c>
      <c r="O671" s="13">
        <v>5918161.6347111482</v>
      </c>
      <c r="P671" s="13">
        <v>1565074.8843961181</v>
      </c>
      <c r="Q671" s="14">
        <v>1.2644528792888412</v>
      </c>
      <c r="R671" s="15">
        <v>0.26445287928884115</v>
      </c>
    </row>
    <row r="672" spans="1:18" ht="18" customHeight="1">
      <c r="A672" s="10" t="s">
        <v>125</v>
      </c>
      <c r="B672" s="10" t="s">
        <v>126</v>
      </c>
      <c r="C672" s="10" t="s">
        <v>241</v>
      </c>
      <c r="D672" s="10" t="s">
        <v>253</v>
      </c>
      <c r="E672" s="16">
        <v>1</v>
      </c>
      <c r="F672" s="16">
        <v>1</v>
      </c>
      <c r="G672" s="13">
        <v>8514.7772658085996</v>
      </c>
      <c r="H672" s="13">
        <v>8514.7772658085996</v>
      </c>
      <c r="I672" s="14">
        <v>0</v>
      </c>
      <c r="J672" s="15">
        <v>1</v>
      </c>
      <c r="K672" s="14">
        <v>144.54397707459279</v>
      </c>
      <c r="L672" s="13">
        <v>1230759.7699043022</v>
      </c>
      <c r="M672" s="14">
        <v>3.16</v>
      </c>
      <c r="N672" s="14">
        <v>144.54397707459279</v>
      </c>
      <c r="O672" s="13">
        <v>1230759.7699043022</v>
      </c>
      <c r="P672" s="13">
        <v>0</v>
      </c>
      <c r="Q672" s="14">
        <v>1</v>
      </c>
      <c r="R672" s="15">
        <v>0</v>
      </c>
    </row>
    <row r="673" spans="1:18" ht="18" customHeight="1">
      <c r="A673" s="10" t="s">
        <v>125</v>
      </c>
      <c r="B673" s="10" t="s">
        <v>126</v>
      </c>
      <c r="C673" s="10" t="s">
        <v>241</v>
      </c>
      <c r="D673" s="10" t="s">
        <v>245</v>
      </c>
      <c r="E673" s="16">
        <v>7</v>
      </c>
      <c r="F673" s="16">
        <v>7</v>
      </c>
      <c r="G673" s="13">
        <v>282.46470645500006</v>
      </c>
      <c r="H673" s="13">
        <v>282.46470645500006</v>
      </c>
      <c r="I673" s="14">
        <v>0</v>
      </c>
      <c r="J673" s="15">
        <v>1</v>
      </c>
      <c r="K673" s="14">
        <v>106.76369243050701</v>
      </c>
      <c r="L673" s="13">
        <v>30156.975042435075</v>
      </c>
      <c r="M673" s="14">
        <v>2.9813779976041115</v>
      </c>
      <c r="N673" s="14">
        <v>95.802754854139593</v>
      </c>
      <c r="O673" s="13">
        <v>27060.89702745487</v>
      </c>
      <c r="P673" s="13">
        <v>3096.0780149802049</v>
      </c>
      <c r="Q673" s="14">
        <v>1.1144115071957539</v>
      </c>
      <c r="R673" s="15">
        <v>0.11441150719575378</v>
      </c>
    </row>
    <row r="674" spans="1:18" ht="18" customHeight="1">
      <c r="A674" s="10" t="s">
        <v>125</v>
      </c>
      <c r="B674" s="10" t="s">
        <v>126</v>
      </c>
      <c r="C674" s="10" t="s">
        <v>241</v>
      </c>
      <c r="D674" s="10" t="s">
        <v>246</v>
      </c>
      <c r="E674" s="16">
        <v>13</v>
      </c>
      <c r="F674" s="16">
        <v>13</v>
      </c>
      <c r="G674" s="13">
        <v>59397.561752595902</v>
      </c>
      <c r="H674" s="13">
        <v>59397.561752595902</v>
      </c>
      <c r="I674" s="14">
        <v>0</v>
      </c>
      <c r="J674" s="15">
        <v>1</v>
      </c>
      <c r="K674" s="14">
        <v>266.55623812005905</v>
      </c>
      <c r="L674" s="13">
        <v>15832790.614275865</v>
      </c>
      <c r="M674" s="14">
        <v>3.2906381612414046</v>
      </c>
      <c r="N674" s="14">
        <v>195.27118475849781</v>
      </c>
      <c r="O674" s="13">
        <v>11598632.255195437</v>
      </c>
      <c r="P674" s="13">
        <v>4234158.3590804283</v>
      </c>
      <c r="Q674" s="14">
        <v>1.3650566951274621</v>
      </c>
      <c r="R674" s="15">
        <v>0.36505669512746203</v>
      </c>
    </row>
    <row r="675" spans="1:18" ht="18" customHeight="1">
      <c r="A675" s="10" t="s">
        <v>125</v>
      </c>
      <c r="B675" s="10" t="s">
        <v>126</v>
      </c>
      <c r="C675" s="10" t="s">
        <v>241</v>
      </c>
      <c r="D675" s="10" t="s">
        <v>247</v>
      </c>
      <c r="E675" s="16">
        <v>3</v>
      </c>
      <c r="F675" s="16">
        <v>3</v>
      </c>
      <c r="G675" s="13">
        <v>4.3244705095000002</v>
      </c>
      <c r="H675" s="13">
        <v>4.3244705095000002</v>
      </c>
      <c r="I675" s="14">
        <v>0</v>
      </c>
      <c r="J675" s="15">
        <v>1</v>
      </c>
      <c r="K675" s="14">
        <v>147.44570951559319</v>
      </c>
      <c r="L675" s="13">
        <v>637.62462255248636</v>
      </c>
      <c r="M675" s="14">
        <v>3.0025959067979162</v>
      </c>
      <c r="N675" s="14">
        <v>100.59951959773157</v>
      </c>
      <c r="O675" s="13">
        <v>435.03965577025753</v>
      </c>
      <c r="P675" s="13">
        <v>202.58496678222883</v>
      </c>
      <c r="Q675" s="14">
        <v>1.465670115574965</v>
      </c>
      <c r="R675" s="15">
        <v>0.46567011557496507</v>
      </c>
    </row>
    <row r="676" spans="1:18" ht="18" customHeight="1">
      <c r="A676" s="10" t="s">
        <v>125</v>
      </c>
      <c r="B676" s="10" t="s">
        <v>126</v>
      </c>
      <c r="C676" s="10" t="s">
        <v>241</v>
      </c>
      <c r="D676" s="10" t="s">
        <v>248</v>
      </c>
      <c r="E676" s="16">
        <v>20</v>
      </c>
      <c r="F676" s="16">
        <v>20</v>
      </c>
      <c r="G676" s="13">
        <v>41697.976856502697</v>
      </c>
      <c r="H676" s="13">
        <v>41697.976856502697</v>
      </c>
      <c r="I676" s="14">
        <v>0</v>
      </c>
      <c r="J676" s="15">
        <v>1</v>
      </c>
      <c r="K676" s="14">
        <v>1854.6200420452458</v>
      </c>
      <c r="L676" s="13">
        <v>77333903.590808719</v>
      </c>
      <c r="M676" s="14">
        <v>4.0888645979597316</v>
      </c>
      <c r="N676" s="14">
        <v>1227.0566062859109</v>
      </c>
      <c r="O676" s="13">
        <v>51165777.970528655</v>
      </c>
      <c r="P676" s="13">
        <v>26168125.620280065</v>
      </c>
      <c r="Q676" s="14">
        <v>1.5114380482077852</v>
      </c>
      <c r="R676" s="15">
        <v>0.51143804820778516</v>
      </c>
    </row>
    <row r="677" spans="1:18" ht="18" customHeight="1">
      <c r="A677" s="10" t="s">
        <v>125</v>
      </c>
      <c r="B677" s="10" t="s">
        <v>126</v>
      </c>
      <c r="C677" s="10" t="s">
        <v>241</v>
      </c>
      <c r="D677" s="10" t="s">
        <v>249</v>
      </c>
      <c r="E677" s="16">
        <v>8</v>
      </c>
      <c r="F677" s="16">
        <v>8</v>
      </c>
      <c r="G677" s="13">
        <v>3510.7418449308002</v>
      </c>
      <c r="H677" s="13">
        <v>3510.7418449308002</v>
      </c>
      <c r="I677" s="14">
        <v>0</v>
      </c>
      <c r="J677" s="15">
        <v>1</v>
      </c>
      <c r="K677" s="14">
        <v>380.41856539656908</v>
      </c>
      <c r="L677" s="13">
        <v>1335551.3761262791</v>
      </c>
      <c r="M677" s="14">
        <v>3.5374528829207876</v>
      </c>
      <c r="N677" s="14">
        <v>344.70920666883592</v>
      </c>
      <c r="O677" s="13">
        <v>1210185.0361851815</v>
      </c>
      <c r="P677" s="13">
        <v>125366.33994109766</v>
      </c>
      <c r="Q677" s="14">
        <v>1.103592703754035</v>
      </c>
      <c r="R677" s="15">
        <v>0.10359270375403502</v>
      </c>
    </row>
    <row r="678" spans="1:18" ht="18" customHeight="1">
      <c r="A678" s="10" t="s">
        <v>125</v>
      </c>
      <c r="B678" s="10" t="s">
        <v>126</v>
      </c>
      <c r="C678" s="10" t="s">
        <v>241</v>
      </c>
      <c r="D678" s="10" t="s">
        <v>250</v>
      </c>
      <c r="E678" s="16">
        <v>5</v>
      </c>
      <c r="F678" s="16">
        <v>5</v>
      </c>
      <c r="G678" s="13">
        <v>519.62311483650001</v>
      </c>
      <c r="H678" s="13">
        <v>519.62311483650001</v>
      </c>
      <c r="I678" s="14">
        <v>0</v>
      </c>
      <c r="J678" s="15">
        <v>1</v>
      </c>
      <c r="K678" s="14">
        <v>537.90304940785529</v>
      </c>
      <c r="L678" s="13">
        <v>279506.85801336152</v>
      </c>
      <c r="M678" s="14">
        <v>3.7296465636746863</v>
      </c>
      <c r="N678" s="14">
        <v>536.59492843933924</v>
      </c>
      <c r="O678" s="13">
        <v>278827.12812111829</v>
      </c>
      <c r="P678" s="13">
        <v>679.72989224322373</v>
      </c>
      <c r="Q678" s="14">
        <v>1.0024378183601559</v>
      </c>
      <c r="R678" s="15">
        <v>2.4378183601559719E-3</v>
      </c>
    </row>
    <row r="679" spans="1:18" ht="18" customHeight="1">
      <c r="A679" s="10" t="s">
        <v>173</v>
      </c>
      <c r="B679" s="10" t="s">
        <v>174</v>
      </c>
      <c r="C679" s="10" t="s">
        <v>241</v>
      </c>
      <c r="D679" s="10" t="s">
        <v>242</v>
      </c>
      <c r="E679" s="16">
        <v>3</v>
      </c>
      <c r="F679" s="16">
        <v>3</v>
      </c>
      <c r="G679" s="13">
        <v>4.9950256399999997</v>
      </c>
      <c r="H679" s="13">
        <v>4.9950256399999997</v>
      </c>
      <c r="I679" s="14">
        <v>0</v>
      </c>
      <c r="J679" s="15">
        <v>1</v>
      </c>
      <c r="K679" s="14">
        <v>697.51213240376603</v>
      </c>
      <c r="L679" s="13">
        <v>3484.090985567886</v>
      </c>
      <c r="M679" s="14">
        <v>3.832461155285281</v>
      </c>
      <c r="N679" s="14">
        <v>679.92522755388234</v>
      </c>
      <c r="O679" s="13">
        <v>3396.2439449144767</v>
      </c>
      <c r="P679" s="13">
        <v>87.847040653409294</v>
      </c>
      <c r="Q679" s="14">
        <v>1.0258659395727303</v>
      </c>
      <c r="R679" s="15">
        <v>2.5865939572730378E-2</v>
      </c>
    </row>
    <row r="680" spans="1:18" ht="18" customHeight="1">
      <c r="A680" s="10" t="s">
        <v>173</v>
      </c>
      <c r="B680" s="10" t="s">
        <v>174</v>
      </c>
      <c r="C680" s="10" t="s">
        <v>241</v>
      </c>
      <c r="D680" s="10" t="s">
        <v>253</v>
      </c>
      <c r="E680" s="16">
        <v>1</v>
      </c>
      <c r="F680" s="16">
        <v>1</v>
      </c>
      <c r="G680" s="13">
        <v>3.2151142472999998</v>
      </c>
      <c r="H680" s="13">
        <v>3.2151142472999998</v>
      </c>
      <c r="I680" s="14">
        <v>0</v>
      </c>
      <c r="J680" s="15">
        <v>1</v>
      </c>
      <c r="K680" s="14">
        <v>144.54397707459279</v>
      </c>
      <c r="L680" s="13">
        <v>464.72540005392784</v>
      </c>
      <c r="M680" s="14">
        <v>3.16</v>
      </c>
      <c r="N680" s="14">
        <v>144.54397707459279</v>
      </c>
      <c r="O680" s="13">
        <v>464.72540005392784</v>
      </c>
      <c r="P680" s="13">
        <v>0</v>
      </c>
      <c r="Q680" s="14">
        <v>1</v>
      </c>
      <c r="R680" s="15">
        <v>0</v>
      </c>
    </row>
    <row r="681" spans="1:18" ht="18" customHeight="1">
      <c r="A681" s="10" t="s">
        <v>173</v>
      </c>
      <c r="B681" s="10" t="s">
        <v>174</v>
      </c>
      <c r="C681" s="10" t="s">
        <v>241</v>
      </c>
      <c r="D681" s="10" t="s">
        <v>246</v>
      </c>
      <c r="E681" s="16">
        <v>1</v>
      </c>
      <c r="F681" s="16">
        <v>1</v>
      </c>
      <c r="G681" s="13">
        <v>0.11589701059999999</v>
      </c>
      <c r="H681" s="13">
        <v>0.11589701059999999</v>
      </c>
      <c r="I681" s="14">
        <v>0</v>
      </c>
      <c r="J681" s="15">
        <v>1</v>
      </c>
      <c r="K681" s="14">
        <v>190.54607179632464</v>
      </c>
      <c r="L681" s="13">
        <v>22.083720102766996</v>
      </c>
      <c r="M681" s="14">
        <v>3.28</v>
      </c>
      <c r="N681" s="14">
        <v>190.54607179632464</v>
      </c>
      <c r="O681" s="13">
        <v>22.083720102766996</v>
      </c>
      <c r="P681" s="13">
        <v>0</v>
      </c>
      <c r="Q681" s="14">
        <v>1</v>
      </c>
      <c r="R681" s="15">
        <v>0</v>
      </c>
    </row>
    <row r="682" spans="1:18" ht="18" customHeight="1">
      <c r="A682" s="10" t="s">
        <v>173</v>
      </c>
      <c r="B682" s="10" t="s">
        <v>174</v>
      </c>
      <c r="C682" s="10" t="s">
        <v>241</v>
      </c>
      <c r="D682" s="10" t="s">
        <v>248</v>
      </c>
      <c r="E682" s="16">
        <v>12</v>
      </c>
      <c r="F682" s="16">
        <v>12</v>
      </c>
      <c r="G682" s="13">
        <v>204.41712619240002</v>
      </c>
      <c r="H682" s="13">
        <v>204.41712619240002</v>
      </c>
      <c r="I682" s="14">
        <v>0</v>
      </c>
      <c r="J682" s="15">
        <v>1</v>
      </c>
      <c r="K682" s="14">
        <v>2132.2952568428991</v>
      </c>
      <c r="L682" s="13">
        <v>435877.66859751096</v>
      </c>
      <c r="M682" s="14">
        <v>4.2667417986243574</v>
      </c>
      <c r="N682" s="14">
        <v>1848.1694988878553</v>
      </c>
      <c r="O682" s="13">
        <v>377797.4976791034</v>
      </c>
      <c r="P682" s="13">
        <v>58080.170918407559</v>
      </c>
      <c r="Q682" s="14">
        <v>1.1537336040476904</v>
      </c>
      <c r="R682" s="15">
        <v>0.15373360404769051</v>
      </c>
    </row>
    <row r="683" spans="1:18" ht="18" customHeight="1">
      <c r="A683" s="10" t="s">
        <v>173</v>
      </c>
      <c r="B683" s="10" t="s">
        <v>174</v>
      </c>
      <c r="C683" s="10" t="s">
        <v>241</v>
      </c>
      <c r="D683" s="10" t="s">
        <v>249</v>
      </c>
      <c r="E683" s="16">
        <v>2</v>
      </c>
      <c r="F683" s="16">
        <v>2</v>
      </c>
      <c r="G683" s="13">
        <v>4.5359937700000005E-2</v>
      </c>
      <c r="H683" s="13">
        <v>4.5359937700000005E-2</v>
      </c>
      <c r="I683" s="14">
        <v>0</v>
      </c>
      <c r="J683" s="15">
        <v>1</v>
      </c>
      <c r="K683" s="14">
        <v>571.90429826252421</v>
      </c>
      <c r="L683" s="13">
        <v>25.941543339550321</v>
      </c>
      <c r="M683" s="14">
        <v>3.7532239394808515</v>
      </c>
      <c r="N683" s="14">
        <v>566.53133979124891</v>
      </c>
      <c r="O683" s="13">
        <v>25.697826278028586</v>
      </c>
      <c r="P683" s="13">
        <v>0.24371706152173545</v>
      </c>
      <c r="Q683" s="14">
        <v>1.0094839563037326</v>
      </c>
      <c r="R683" s="15">
        <v>9.483956303732638E-3</v>
      </c>
    </row>
    <row r="684" spans="1:18" ht="18" customHeight="1">
      <c r="A684" s="10" t="s">
        <v>177</v>
      </c>
      <c r="B684" s="10" t="s">
        <v>178</v>
      </c>
      <c r="C684" s="10" t="s">
        <v>241</v>
      </c>
      <c r="D684" s="10" t="s">
        <v>246</v>
      </c>
      <c r="E684" s="16">
        <v>1</v>
      </c>
      <c r="F684" s="16">
        <v>1</v>
      </c>
      <c r="G684" s="13">
        <v>343.31946203410001</v>
      </c>
      <c r="H684" s="13">
        <v>343.31946203410001</v>
      </c>
      <c r="I684" s="14">
        <v>0</v>
      </c>
      <c r="J684" s="15">
        <v>1</v>
      </c>
      <c r="K684" s="14">
        <v>190.54607179632464</v>
      </c>
      <c r="L684" s="13">
        <v>65418.174861825173</v>
      </c>
      <c r="M684" s="14">
        <v>3.28</v>
      </c>
      <c r="N684" s="14">
        <v>190.54607179632464</v>
      </c>
      <c r="O684" s="13">
        <v>65418.174861825173</v>
      </c>
      <c r="P684" s="13">
        <v>0</v>
      </c>
      <c r="Q684" s="14">
        <v>1</v>
      </c>
      <c r="R684" s="15">
        <v>0</v>
      </c>
    </row>
    <row r="685" spans="1:18" ht="18" customHeight="1">
      <c r="A685" s="10" t="s">
        <v>177</v>
      </c>
      <c r="B685" s="10" t="s">
        <v>178</v>
      </c>
      <c r="C685" s="10" t="s">
        <v>241</v>
      </c>
      <c r="D685" s="10" t="s">
        <v>248</v>
      </c>
      <c r="E685" s="16">
        <v>3</v>
      </c>
      <c r="F685" s="16">
        <v>3</v>
      </c>
      <c r="G685" s="13">
        <v>960.7493124575999</v>
      </c>
      <c r="H685" s="13">
        <v>960.7493124575999</v>
      </c>
      <c r="I685" s="14">
        <v>0</v>
      </c>
      <c r="J685" s="15">
        <v>1</v>
      </c>
      <c r="K685" s="14">
        <v>218.59072388840198</v>
      </c>
      <c r="L685" s="13">
        <v>210010.88768539127</v>
      </c>
      <c r="M685" s="14">
        <v>3.2999178833080554</v>
      </c>
      <c r="N685" s="14">
        <v>199.48850850965903</v>
      </c>
      <c r="O685" s="13">
        <v>191658.44739384699</v>
      </c>
      <c r="P685" s="13">
        <v>18352.440291544277</v>
      </c>
      <c r="Q685" s="14">
        <v>1.0957559687094358</v>
      </c>
      <c r="R685" s="15">
        <v>9.5755968709435896E-2</v>
      </c>
    </row>
    <row r="686" spans="1:18" ht="18" customHeight="1">
      <c r="A686" s="10" t="s">
        <v>171</v>
      </c>
      <c r="B686" s="10" t="s">
        <v>172</v>
      </c>
      <c r="C686" s="10" t="s">
        <v>241</v>
      </c>
      <c r="D686" s="10" t="s">
        <v>246</v>
      </c>
      <c r="E686" s="16">
        <v>1</v>
      </c>
      <c r="F686" s="16">
        <v>1</v>
      </c>
      <c r="G686" s="13">
        <v>1128.8195392729001</v>
      </c>
      <c r="H686" s="13">
        <v>1128.8195392729001</v>
      </c>
      <c r="I686" s="14">
        <v>0</v>
      </c>
      <c r="J686" s="15">
        <v>1</v>
      </c>
      <c r="K686" s="14">
        <v>190.54607179632464</v>
      </c>
      <c r="L686" s="13">
        <v>215092.12897538813</v>
      </c>
      <c r="M686" s="14">
        <v>3.28</v>
      </c>
      <c r="N686" s="14">
        <v>190.54607179632464</v>
      </c>
      <c r="O686" s="13">
        <v>215092.12897538813</v>
      </c>
      <c r="P686" s="13">
        <v>0</v>
      </c>
      <c r="Q686" s="14">
        <v>1</v>
      </c>
      <c r="R686" s="15">
        <v>0</v>
      </c>
    </row>
    <row r="687" spans="1:18" ht="18" customHeight="1">
      <c r="A687" s="10" t="s">
        <v>171</v>
      </c>
      <c r="B687" s="10" t="s">
        <v>172</v>
      </c>
      <c r="C687" s="10" t="s">
        <v>241</v>
      </c>
      <c r="D687" s="10" t="s">
        <v>248</v>
      </c>
      <c r="E687" s="16">
        <v>4</v>
      </c>
      <c r="F687" s="16">
        <v>4</v>
      </c>
      <c r="G687" s="13">
        <v>1487.3638769628003</v>
      </c>
      <c r="H687" s="13">
        <v>1487.3638769628003</v>
      </c>
      <c r="I687" s="14">
        <v>0</v>
      </c>
      <c r="J687" s="15">
        <v>1</v>
      </c>
      <c r="K687" s="14">
        <v>196.32912701219442</v>
      </c>
      <c r="L687" s="13">
        <v>292012.85151357955</v>
      </c>
      <c r="M687" s="14">
        <v>3.2733188511468199</v>
      </c>
      <c r="N687" s="14">
        <v>187.63716005495789</v>
      </c>
      <c r="O687" s="13">
        <v>279084.73384163168</v>
      </c>
      <c r="P687" s="13">
        <v>12928.117671947868</v>
      </c>
      <c r="Q687" s="14">
        <v>1.0463232706927066</v>
      </c>
      <c r="R687" s="15">
        <v>4.6323270692706565E-2</v>
      </c>
    </row>
    <row r="688" spans="1:18" ht="18" customHeight="1">
      <c r="A688" s="10" t="s">
        <v>179</v>
      </c>
      <c r="B688" s="10" t="s">
        <v>180</v>
      </c>
      <c r="C688" s="10" t="s">
        <v>241</v>
      </c>
      <c r="D688" s="10" t="s">
        <v>246</v>
      </c>
      <c r="E688" s="16">
        <v>1</v>
      </c>
      <c r="F688" s="16">
        <v>1</v>
      </c>
      <c r="G688" s="13">
        <v>291.62512638319998</v>
      </c>
      <c r="H688" s="13">
        <v>291.62512638319998</v>
      </c>
      <c r="I688" s="14">
        <v>0</v>
      </c>
      <c r="J688" s="15">
        <v>1</v>
      </c>
      <c r="K688" s="14">
        <v>190.54607179632464</v>
      </c>
      <c r="L688" s="13">
        <v>55568.02226942547</v>
      </c>
      <c r="M688" s="14">
        <v>3.28</v>
      </c>
      <c r="N688" s="14">
        <v>190.54607179632464</v>
      </c>
      <c r="O688" s="13">
        <v>55568.02226942547</v>
      </c>
      <c r="P688" s="13">
        <v>0</v>
      </c>
      <c r="Q688" s="14">
        <v>1</v>
      </c>
      <c r="R688" s="15">
        <v>0</v>
      </c>
    </row>
    <row r="689" spans="1:18" ht="18" customHeight="1">
      <c r="A689" s="10" t="s">
        <v>179</v>
      </c>
      <c r="B689" s="10" t="s">
        <v>180</v>
      </c>
      <c r="C689" s="10" t="s">
        <v>241</v>
      </c>
      <c r="D689" s="10" t="s">
        <v>248</v>
      </c>
      <c r="E689" s="16">
        <v>4</v>
      </c>
      <c r="F689" s="16">
        <v>4</v>
      </c>
      <c r="G689" s="13">
        <v>427.66407552459992</v>
      </c>
      <c r="H689" s="13">
        <v>427.66407552459992</v>
      </c>
      <c r="I689" s="14">
        <v>0</v>
      </c>
      <c r="J689" s="15">
        <v>1</v>
      </c>
      <c r="K689" s="14">
        <v>190.73592560285107</v>
      </c>
      <c r="L689" s="13">
        <v>81570.903292272167</v>
      </c>
      <c r="M689" s="14">
        <v>3.2724380094234622</v>
      </c>
      <c r="N689" s="14">
        <v>187.25697759945038</v>
      </c>
      <c r="O689" s="13">
        <v>80083.082210599663</v>
      </c>
      <c r="P689" s="13">
        <v>1487.8210816725041</v>
      </c>
      <c r="Q689" s="14">
        <v>1.0185784692672029</v>
      </c>
      <c r="R689" s="15">
        <v>1.8578469267202836E-2</v>
      </c>
    </row>
    <row r="690" spans="1:18" ht="18" customHeight="1">
      <c r="A690" s="10" t="s">
        <v>75</v>
      </c>
      <c r="B690" s="10" t="s">
        <v>76</v>
      </c>
      <c r="C690" s="10" t="s">
        <v>241</v>
      </c>
      <c r="D690" s="10" t="s">
        <v>242</v>
      </c>
      <c r="E690" s="16">
        <v>15</v>
      </c>
      <c r="F690" s="16">
        <v>15</v>
      </c>
      <c r="G690" s="13">
        <v>404565.19717789046</v>
      </c>
      <c r="H690" s="13">
        <v>404565.19717789046</v>
      </c>
      <c r="I690" s="14">
        <v>0</v>
      </c>
      <c r="J690" s="15">
        <v>1</v>
      </c>
      <c r="K690" s="14">
        <v>1368.6282545595161</v>
      </c>
      <c r="L690" s="13">
        <v>553699359.66910267</v>
      </c>
      <c r="M690" s="14">
        <v>4.1220445686189544</v>
      </c>
      <c r="N690" s="14">
        <v>1324.4774501197344</v>
      </c>
      <c r="O690" s="13">
        <v>535837480.76535994</v>
      </c>
      <c r="P690" s="13">
        <v>17861878.903742731</v>
      </c>
      <c r="Q690" s="14">
        <v>1.0333345082136283</v>
      </c>
      <c r="R690" s="15">
        <v>3.3334508213628197E-2</v>
      </c>
    </row>
    <row r="691" spans="1:18" ht="18" customHeight="1">
      <c r="A691" s="10" t="s">
        <v>75</v>
      </c>
      <c r="B691" s="10" t="s">
        <v>76</v>
      </c>
      <c r="C691" s="10" t="s">
        <v>241</v>
      </c>
      <c r="D691" s="10" t="s">
        <v>243</v>
      </c>
      <c r="E691" s="16">
        <v>4</v>
      </c>
      <c r="F691" s="16">
        <v>4</v>
      </c>
      <c r="G691" s="13">
        <v>3097.8508756824999</v>
      </c>
      <c r="H691" s="13">
        <v>3097.8508756824999</v>
      </c>
      <c r="I691" s="14">
        <v>0</v>
      </c>
      <c r="J691" s="15">
        <v>1</v>
      </c>
      <c r="K691" s="14">
        <v>115.37667031415857</v>
      </c>
      <c r="L691" s="13">
        <v>357419.71916604723</v>
      </c>
      <c r="M691" s="14">
        <v>3.0601192552754299</v>
      </c>
      <c r="N691" s="14">
        <v>114.8468942513061</v>
      </c>
      <c r="O691" s="13">
        <v>355778.55192582408</v>
      </c>
      <c r="P691" s="13">
        <v>1641.1672402231488</v>
      </c>
      <c r="Q691" s="14">
        <v>1.0046128897634203</v>
      </c>
      <c r="R691" s="15">
        <v>4.6128897634203489E-3</v>
      </c>
    </row>
    <row r="692" spans="1:18" ht="18" customHeight="1">
      <c r="A692" s="10" t="s">
        <v>75</v>
      </c>
      <c r="B692" s="10" t="s">
        <v>76</v>
      </c>
      <c r="C692" s="10" t="s">
        <v>241</v>
      </c>
      <c r="D692" s="10" t="s">
        <v>244</v>
      </c>
      <c r="E692" s="16">
        <v>10</v>
      </c>
      <c r="F692" s="16">
        <v>10</v>
      </c>
      <c r="G692" s="13">
        <v>21678.477906709199</v>
      </c>
      <c r="H692" s="13">
        <v>21678.477906709199</v>
      </c>
      <c r="I692" s="14">
        <v>0</v>
      </c>
      <c r="J692" s="15">
        <v>1</v>
      </c>
      <c r="K692" s="14">
        <v>1495.5656790727671</v>
      </c>
      <c r="L692" s="13">
        <v>32421587.531811524</v>
      </c>
      <c r="M692" s="14">
        <v>3.925383617929358</v>
      </c>
      <c r="N692" s="14">
        <v>842.13868519176833</v>
      </c>
      <c r="O692" s="13">
        <v>18256284.881314881</v>
      </c>
      <c r="P692" s="13">
        <v>14165302.650496643</v>
      </c>
      <c r="Q692" s="14">
        <v>1.7759137602522124</v>
      </c>
      <c r="R692" s="15">
        <v>0.77591376025221226</v>
      </c>
    </row>
    <row r="693" spans="1:18" ht="18" customHeight="1">
      <c r="A693" s="10" t="s">
        <v>75</v>
      </c>
      <c r="B693" s="10" t="s">
        <v>76</v>
      </c>
      <c r="C693" s="10" t="s">
        <v>241</v>
      </c>
      <c r="D693" s="10" t="s">
        <v>245</v>
      </c>
      <c r="E693" s="16">
        <v>3</v>
      </c>
      <c r="F693" s="16">
        <v>3</v>
      </c>
      <c r="G693" s="13">
        <v>322.84687694080003</v>
      </c>
      <c r="H693" s="13">
        <v>322.84687694080003</v>
      </c>
      <c r="I693" s="14">
        <v>0</v>
      </c>
      <c r="J693" s="15">
        <v>1</v>
      </c>
      <c r="K693" s="14">
        <v>541.82146617641433</v>
      </c>
      <c r="L693" s="13">
        <v>174925.36821454068</v>
      </c>
      <c r="M693" s="14">
        <v>3.6890622191139149</v>
      </c>
      <c r="N693" s="14">
        <v>488.72237104240298</v>
      </c>
      <c r="O693" s="13">
        <v>157782.49118214269</v>
      </c>
      <c r="P693" s="13">
        <v>17142.877032397984</v>
      </c>
      <c r="Q693" s="14">
        <v>1.1086487917889978</v>
      </c>
      <c r="R693" s="15">
        <v>0.10864879178899768</v>
      </c>
    </row>
    <row r="694" spans="1:18" ht="18" customHeight="1">
      <c r="A694" s="10" t="s">
        <v>75</v>
      </c>
      <c r="B694" s="10" t="s">
        <v>76</v>
      </c>
      <c r="C694" s="10" t="s">
        <v>241</v>
      </c>
      <c r="D694" s="10" t="s">
        <v>246</v>
      </c>
      <c r="E694" s="16">
        <v>9</v>
      </c>
      <c r="F694" s="16">
        <v>9</v>
      </c>
      <c r="G694" s="13">
        <v>121966.45587182412</v>
      </c>
      <c r="H694" s="13">
        <v>121966.45587182412</v>
      </c>
      <c r="I694" s="14">
        <v>0</v>
      </c>
      <c r="J694" s="15">
        <v>1</v>
      </c>
      <c r="K694" s="14">
        <v>203.01397437216789</v>
      </c>
      <c r="L694" s="13">
        <v>24760894.946626648</v>
      </c>
      <c r="M694" s="14">
        <v>3.2839192245944604</v>
      </c>
      <c r="N694" s="14">
        <v>192.2734082023585</v>
      </c>
      <c r="O694" s="13">
        <v>23450906.156838182</v>
      </c>
      <c r="P694" s="13">
        <v>1309988.7897884659</v>
      </c>
      <c r="Q694" s="14">
        <v>1.0558609028166053</v>
      </c>
      <c r="R694" s="15">
        <v>5.586090281660519E-2</v>
      </c>
    </row>
    <row r="695" spans="1:18" ht="18" customHeight="1">
      <c r="A695" s="10" t="s">
        <v>75</v>
      </c>
      <c r="B695" s="10" t="s">
        <v>76</v>
      </c>
      <c r="C695" s="10" t="s">
        <v>241</v>
      </c>
      <c r="D695" s="10" t="s">
        <v>247</v>
      </c>
      <c r="E695" s="16">
        <v>8</v>
      </c>
      <c r="F695" s="16">
        <v>8</v>
      </c>
      <c r="G695" s="13">
        <v>77157.874521916005</v>
      </c>
      <c r="H695" s="13">
        <v>77157.874521916005</v>
      </c>
      <c r="I695" s="14">
        <v>0</v>
      </c>
      <c r="J695" s="15">
        <v>1</v>
      </c>
      <c r="K695" s="14">
        <v>417.25278764118002</v>
      </c>
      <c r="L695" s="13">
        <v>32194338.232737832</v>
      </c>
      <c r="M695" s="14">
        <v>3.6170340796480058</v>
      </c>
      <c r="N695" s="14">
        <v>414.03216318274002</v>
      </c>
      <c r="O695" s="13">
        <v>31945841.694891308</v>
      </c>
      <c r="P695" s="13">
        <v>248496.53784652427</v>
      </c>
      <c r="Q695" s="14">
        <v>1.0077786818146746</v>
      </c>
      <c r="R695" s="15">
        <v>7.778681814674589E-3</v>
      </c>
    </row>
    <row r="696" spans="1:18" ht="18" customHeight="1">
      <c r="A696" s="10" t="s">
        <v>75</v>
      </c>
      <c r="B696" s="10" t="s">
        <v>76</v>
      </c>
      <c r="C696" s="10" t="s">
        <v>241</v>
      </c>
      <c r="D696" s="10" t="s">
        <v>248</v>
      </c>
      <c r="E696" s="16">
        <v>3</v>
      </c>
      <c r="F696" s="16">
        <v>3</v>
      </c>
      <c r="G696" s="13">
        <v>4241.3178228046991</v>
      </c>
      <c r="H696" s="13">
        <v>4241.3178228046991</v>
      </c>
      <c r="I696" s="14">
        <v>0</v>
      </c>
      <c r="J696" s="15">
        <v>1</v>
      </c>
      <c r="K696" s="14">
        <v>193.93281629932557</v>
      </c>
      <c r="L696" s="13">
        <v>822530.71019703918</v>
      </c>
      <c r="M696" s="14">
        <v>3.2819940313122644</v>
      </c>
      <c r="N696" s="14">
        <v>191.42296167951571</v>
      </c>
      <c r="O696" s="13">
        <v>811885.6190653909</v>
      </c>
      <c r="P696" s="13">
        <v>10645.091131648282</v>
      </c>
      <c r="Q696" s="14">
        <v>1.0131115650796998</v>
      </c>
      <c r="R696" s="15">
        <v>1.311156507969986E-2</v>
      </c>
    </row>
    <row r="697" spans="1:18" ht="18" customHeight="1">
      <c r="A697" s="10" t="s">
        <v>75</v>
      </c>
      <c r="B697" s="10" t="s">
        <v>76</v>
      </c>
      <c r="C697" s="10" t="s">
        <v>241</v>
      </c>
      <c r="D697" s="10" t="s">
        <v>249</v>
      </c>
      <c r="E697" s="16">
        <v>7</v>
      </c>
      <c r="F697" s="16">
        <v>7</v>
      </c>
      <c r="G697" s="13">
        <v>63593.299997339105</v>
      </c>
      <c r="H697" s="13">
        <v>63593.299997339105</v>
      </c>
      <c r="I697" s="14">
        <v>0</v>
      </c>
      <c r="J697" s="15">
        <v>1</v>
      </c>
      <c r="K697" s="14">
        <v>959.08293550931626</v>
      </c>
      <c r="L697" s="13">
        <v>60991248.840172581</v>
      </c>
      <c r="M697" s="14">
        <v>3.9618454085354968</v>
      </c>
      <c r="N697" s="14">
        <v>915.89441031393426</v>
      </c>
      <c r="O697" s="13">
        <v>58244748.00098002</v>
      </c>
      <c r="P697" s="13">
        <v>2746500.8391925618</v>
      </c>
      <c r="Q697" s="14">
        <v>1.0471544805919042</v>
      </c>
      <c r="R697" s="15">
        <v>4.7154480591904177E-2</v>
      </c>
    </row>
    <row r="698" spans="1:18" ht="18" customHeight="1">
      <c r="A698" s="10" t="s">
        <v>75</v>
      </c>
      <c r="B698" s="10" t="s">
        <v>76</v>
      </c>
      <c r="C698" s="10" t="s">
        <v>241</v>
      </c>
      <c r="D698" s="10" t="s">
        <v>250</v>
      </c>
      <c r="E698" s="16">
        <v>15</v>
      </c>
      <c r="F698" s="16">
        <v>15</v>
      </c>
      <c r="G698" s="13">
        <v>1351.5906345044998</v>
      </c>
      <c r="H698" s="13">
        <v>1351.5906345044998</v>
      </c>
      <c r="I698" s="14">
        <v>0</v>
      </c>
      <c r="J698" s="15">
        <v>1</v>
      </c>
      <c r="K698" s="14">
        <v>1267.3266990153111</v>
      </c>
      <c r="L698" s="13">
        <v>1712906.8972465976</v>
      </c>
      <c r="M698" s="14">
        <v>4.0324019492840382</v>
      </c>
      <c r="N698" s="14">
        <v>1077.4619675175857</v>
      </c>
      <c r="O698" s="13">
        <v>1456287.5043315603</v>
      </c>
      <c r="P698" s="13">
        <v>256619.39291503723</v>
      </c>
      <c r="Q698" s="14">
        <v>1.1762147873629021</v>
      </c>
      <c r="R698" s="15">
        <v>0.17621478736290205</v>
      </c>
    </row>
    <row r="699" spans="1:18" ht="18" customHeight="1">
      <c r="A699" s="10" t="s">
        <v>93</v>
      </c>
      <c r="B699" s="10" t="s">
        <v>94</v>
      </c>
      <c r="C699" s="10" t="s">
        <v>241</v>
      </c>
      <c r="D699" s="10" t="s">
        <v>242</v>
      </c>
      <c r="E699" s="16">
        <v>18</v>
      </c>
      <c r="F699" s="16">
        <v>18</v>
      </c>
      <c r="G699" s="13">
        <v>317786.93108064664</v>
      </c>
      <c r="H699" s="13">
        <v>317786.93108064664</v>
      </c>
      <c r="I699" s="14">
        <v>0</v>
      </c>
      <c r="J699" s="15">
        <v>1</v>
      </c>
      <c r="K699" s="14">
        <v>1358.6369132854943</v>
      </c>
      <c r="L699" s="13">
        <v>431757055.12587988</v>
      </c>
      <c r="M699" s="14">
        <v>4.1294162178060363</v>
      </c>
      <c r="N699" s="14">
        <v>1347.1508138255751</v>
      </c>
      <c r="O699" s="13">
        <v>428106922.82842505</v>
      </c>
      <c r="P699" s="13">
        <v>3650132.297454834</v>
      </c>
      <c r="Q699" s="14">
        <v>1.0085262164726023</v>
      </c>
      <c r="R699" s="15">
        <v>8.5262164726023805E-3</v>
      </c>
    </row>
    <row r="700" spans="1:18" ht="18" customHeight="1">
      <c r="A700" s="10" t="s">
        <v>93</v>
      </c>
      <c r="B700" s="10" t="s">
        <v>94</v>
      </c>
      <c r="C700" s="10" t="s">
        <v>241</v>
      </c>
      <c r="D700" s="10" t="s">
        <v>243</v>
      </c>
      <c r="E700" s="16">
        <v>11</v>
      </c>
      <c r="F700" s="16">
        <v>11</v>
      </c>
      <c r="G700" s="13">
        <v>73.330285479099999</v>
      </c>
      <c r="H700" s="13">
        <v>73.330285479099999</v>
      </c>
      <c r="I700" s="14">
        <v>0</v>
      </c>
      <c r="J700" s="15">
        <v>1</v>
      </c>
      <c r="K700" s="14">
        <v>56.852200247756421</v>
      </c>
      <c r="L700" s="13">
        <v>4168.9880742829382</v>
      </c>
      <c r="M700" s="14">
        <v>2.7362925720867066</v>
      </c>
      <c r="N700" s="14">
        <v>54.486959268658417</v>
      </c>
      <c r="O700" s="13">
        <v>3995.5442780588155</v>
      </c>
      <c r="P700" s="13">
        <v>173.44379622412271</v>
      </c>
      <c r="Q700" s="14">
        <v>1.0434093040031052</v>
      </c>
      <c r="R700" s="15">
        <v>4.340930400310522E-2</v>
      </c>
    </row>
    <row r="701" spans="1:18" ht="18" customHeight="1">
      <c r="A701" s="10" t="s">
        <v>93</v>
      </c>
      <c r="B701" s="10" t="s">
        <v>94</v>
      </c>
      <c r="C701" s="10" t="s">
        <v>241</v>
      </c>
      <c r="D701" s="10" t="s">
        <v>244</v>
      </c>
      <c r="E701" s="16">
        <v>13</v>
      </c>
      <c r="F701" s="16">
        <v>13</v>
      </c>
      <c r="G701" s="13">
        <v>2915.9286303268</v>
      </c>
      <c r="H701" s="13">
        <v>2915.9286303268</v>
      </c>
      <c r="I701" s="14">
        <v>0</v>
      </c>
      <c r="J701" s="15">
        <v>1</v>
      </c>
      <c r="K701" s="14">
        <v>1805.3631387530058</v>
      </c>
      <c r="L701" s="13">
        <v>5264310.0644265451</v>
      </c>
      <c r="M701" s="14">
        <v>4.0817675625615371</v>
      </c>
      <c r="N701" s="14">
        <v>1207.1675776668267</v>
      </c>
      <c r="O701" s="13">
        <v>3520014.5013209507</v>
      </c>
      <c r="P701" s="13">
        <v>1744295.5631055944</v>
      </c>
      <c r="Q701" s="14">
        <v>1.4955364707875536</v>
      </c>
      <c r="R701" s="15">
        <v>0.49553647078755358</v>
      </c>
    </row>
    <row r="702" spans="1:18" ht="18" customHeight="1">
      <c r="A702" s="10" t="s">
        <v>93</v>
      </c>
      <c r="B702" s="10" t="s">
        <v>94</v>
      </c>
      <c r="C702" s="10" t="s">
        <v>241</v>
      </c>
      <c r="D702" s="10" t="s">
        <v>253</v>
      </c>
      <c r="E702" s="16">
        <v>1</v>
      </c>
      <c r="F702" s="16">
        <v>1</v>
      </c>
      <c r="G702" s="13">
        <v>26.965450444799998</v>
      </c>
      <c r="H702" s="13">
        <v>26.965450444799998</v>
      </c>
      <c r="I702" s="14">
        <v>0</v>
      </c>
      <c r="J702" s="15">
        <v>1</v>
      </c>
      <c r="K702" s="14">
        <v>144.54397707459279</v>
      </c>
      <c r="L702" s="13">
        <v>3897.693450899239</v>
      </c>
      <c r="M702" s="14">
        <v>3.16</v>
      </c>
      <c r="N702" s="14">
        <v>144.54397707459279</v>
      </c>
      <c r="O702" s="13">
        <v>3897.693450899239</v>
      </c>
      <c r="P702" s="13">
        <v>0</v>
      </c>
      <c r="Q702" s="14">
        <v>1</v>
      </c>
      <c r="R702" s="15">
        <v>0</v>
      </c>
    </row>
    <row r="703" spans="1:18" ht="18" customHeight="1">
      <c r="A703" s="10" t="s">
        <v>93</v>
      </c>
      <c r="B703" s="10" t="s">
        <v>94</v>
      </c>
      <c r="C703" s="10" t="s">
        <v>241</v>
      </c>
      <c r="D703" s="10" t="s">
        <v>245</v>
      </c>
      <c r="E703" s="16">
        <v>11</v>
      </c>
      <c r="F703" s="16">
        <v>11</v>
      </c>
      <c r="G703" s="13">
        <v>5382.7483812110013</v>
      </c>
      <c r="H703" s="13">
        <v>5382.7483812110013</v>
      </c>
      <c r="I703" s="14">
        <v>0</v>
      </c>
      <c r="J703" s="15">
        <v>1</v>
      </c>
      <c r="K703" s="14">
        <v>10.186893562272111</v>
      </c>
      <c r="L703" s="13">
        <v>54833.484831888978</v>
      </c>
      <c r="M703" s="14">
        <v>2.0021704273605287</v>
      </c>
      <c r="N703" s="14">
        <v>10.050101024863904</v>
      </c>
      <c r="O703" s="13">
        <v>54097.16502259321</v>
      </c>
      <c r="P703" s="13">
        <v>736.31980929576821</v>
      </c>
      <c r="Q703" s="14">
        <v>1.0136110609306097</v>
      </c>
      <c r="R703" s="15">
        <v>1.3611060930609776E-2</v>
      </c>
    </row>
    <row r="704" spans="1:18" ht="18" customHeight="1">
      <c r="A704" s="10" t="s">
        <v>93</v>
      </c>
      <c r="B704" s="10" t="s">
        <v>94</v>
      </c>
      <c r="C704" s="10" t="s">
        <v>241</v>
      </c>
      <c r="D704" s="10" t="s">
        <v>246</v>
      </c>
      <c r="E704" s="16">
        <v>15</v>
      </c>
      <c r="F704" s="16">
        <v>15</v>
      </c>
      <c r="G704" s="13">
        <v>23369.320481108301</v>
      </c>
      <c r="H704" s="13">
        <v>23369.320481108301</v>
      </c>
      <c r="I704" s="14">
        <v>0</v>
      </c>
      <c r="J704" s="15">
        <v>1</v>
      </c>
      <c r="K704" s="14">
        <v>474.88282344116328</v>
      </c>
      <c r="L704" s="13">
        <v>11097688.891970115</v>
      </c>
      <c r="M704" s="14">
        <v>3.406678115158531</v>
      </c>
      <c r="N704" s="14">
        <v>255.08100250513448</v>
      </c>
      <c r="O704" s="13">
        <v>5961069.6961848773</v>
      </c>
      <c r="P704" s="13">
        <v>5136619.1957852375</v>
      </c>
      <c r="Q704" s="14">
        <v>1.8616942021450793</v>
      </c>
      <c r="R704" s="15">
        <v>0.86169420214507919</v>
      </c>
    </row>
    <row r="705" spans="1:18" ht="18" customHeight="1">
      <c r="A705" s="10" t="s">
        <v>93</v>
      </c>
      <c r="B705" s="10" t="s">
        <v>94</v>
      </c>
      <c r="C705" s="10" t="s">
        <v>241</v>
      </c>
      <c r="D705" s="10" t="s">
        <v>247</v>
      </c>
      <c r="E705" s="16">
        <v>16</v>
      </c>
      <c r="F705" s="16">
        <v>16</v>
      </c>
      <c r="G705" s="13">
        <v>50453.406872925007</v>
      </c>
      <c r="H705" s="13">
        <v>50453.406872925007</v>
      </c>
      <c r="I705" s="14">
        <v>0</v>
      </c>
      <c r="J705" s="15">
        <v>1</v>
      </c>
      <c r="K705" s="14">
        <v>454.13115995425892</v>
      </c>
      <c r="L705" s="13">
        <v>22912464.186845612</v>
      </c>
      <c r="M705" s="14">
        <v>3.6389931151159995</v>
      </c>
      <c r="N705" s="14">
        <v>435.50496955694393</v>
      </c>
      <c r="O705" s="13">
        <v>21972709.424237311</v>
      </c>
      <c r="P705" s="13">
        <v>939754.76260830089</v>
      </c>
      <c r="Q705" s="14">
        <v>1.0427691799160503</v>
      </c>
      <c r="R705" s="15">
        <v>4.2769179916050358E-2</v>
      </c>
    </row>
    <row r="706" spans="1:18" ht="18" customHeight="1">
      <c r="A706" s="10" t="s">
        <v>93</v>
      </c>
      <c r="B706" s="10" t="s">
        <v>94</v>
      </c>
      <c r="C706" s="10" t="s">
        <v>241</v>
      </c>
      <c r="D706" s="10" t="s">
        <v>248</v>
      </c>
      <c r="E706" s="16">
        <v>3</v>
      </c>
      <c r="F706" s="16">
        <v>3</v>
      </c>
      <c r="G706" s="13">
        <v>18402.121408366998</v>
      </c>
      <c r="H706" s="13">
        <v>18402.121408366998</v>
      </c>
      <c r="I706" s="14">
        <v>0</v>
      </c>
      <c r="J706" s="15">
        <v>1</v>
      </c>
      <c r="K706" s="14">
        <v>223.86514423406271</v>
      </c>
      <c r="L706" s="13">
        <v>4119593.5632968112</v>
      </c>
      <c r="M706" s="14">
        <v>3.349984466079881</v>
      </c>
      <c r="N706" s="14">
        <v>223.86410650356268</v>
      </c>
      <c r="O706" s="13">
        <v>4119574.4668541607</v>
      </c>
      <c r="P706" s="13">
        <v>19.096442650537938</v>
      </c>
      <c r="Q706" s="14">
        <v>1.0000046355376762</v>
      </c>
      <c r="R706" s="15">
        <v>4.6355376760844414E-6</v>
      </c>
    </row>
    <row r="707" spans="1:18" ht="18" customHeight="1">
      <c r="A707" s="10" t="s">
        <v>93</v>
      </c>
      <c r="B707" s="10" t="s">
        <v>94</v>
      </c>
      <c r="C707" s="10" t="s">
        <v>241</v>
      </c>
      <c r="D707" s="10" t="s">
        <v>249</v>
      </c>
      <c r="E707" s="16">
        <v>9</v>
      </c>
      <c r="F707" s="16">
        <v>9</v>
      </c>
      <c r="G707" s="13">
        <v>1551.6530363375002</v>
      </c>
      <c r="H707" s="13">
        <v>1551.6530363375002</v>
      </c>
      <c r="I707" s="14">
        <v>0</v>
      </c>
      <c r="J707" s="15">
        <v>1</v>
      </c>
      <c r="K707" s="14">
        <v>617.45888068664499</v>
      </c>
      <c r="L707" s="13">
        <v>958081.94703098689</v>
      </c>
      <c r="M707" s="14">
        <v>3.7902431660637848</v>
      </c>
      <c r="N707" s="14">
        <v>616.94033657957175</v>
      </c>
      <c r="O707" s="13">
        <v>957277.34649277187</v>
      </c>
      <c r="P707" s="13">
        <v>804.60053821501788</v>
      </c>
      <c r="Q707" s="14">
        <v>1.0008405093269603</v>
      </c>
      <c r="R707" s="15">
        <v>8.4050932696033795E-4</v>
      </c>
    </row>
    <row r="708" spans="1:18" ht="18" customHeight="1">
      <c r="A708" s="10" t="s">
        <v>93</v>
      </c>
      <c r="B708" s="10" t="s">
        <v>94</v>
      </c>
      <c r="C708" s="10" t="s">
        <v>241</v>
      </c>
      <c r="D708" s="10" t="s">
        <v>250</v>
      </c>
      <c r="E708" s="16">
        <v>17</v>
      </c>
      <c r="F708" s="16">
        <v>17</v>
      </c>
      <c r="G708" s="13">
        <v>259.7953877278</v>
      </c>
      <c r="H708" s="13">
        <v>259.7953877278</v>
      </c>
      <c r="I708" s="14">
        <v>0</v>
      </c>
      <c r="J708" s="15">
        <v>1</v>
      </c>
      <c r="K708" s="14">
        <v>1075.2457158858099</v>
      </c>
      <c r="L708" s="13">
        <v>279343.87766120984</v>
      </c>
      <c r="M708" s="14">
        <v>3.9313217264676643</v>
      </c>
      <c r="N708" s="14">
        <v>853.73232691676901</v>
      </c>
      <c r="O708" s="13">
        <v>221795.72088709893</v>
      </c>
      <c r="P708" s="13">
        <v>57548.156774110917</v>
      </c>
      <c r="Q708" s="14">
        <v>1.2594646846383695</v>
      </c>
      <c r="R708" s="15">
        <v>0.25946468463836936</v>
      </c>
    </row>
    <row r="709" spans="1:18" ht="18" customHeight="1">
      <c r="A709" s="10" t="s">
        <v>183</v>
      </c>
      <c r="B709" s="10" t="s">
        <v>184</v>
      </c>
      <c r="C709" s="10" t="s">
        <v>241</v>
      </c>
      <c r="D709" s="10" t="s">
        <v>242</v>
      </c>
      <c r="E709" s="16">
        <v>1</v>
      </c>
      <c r="F709" s="16">
        <v>1</v>
      </c>
      <c r="G709" s="13">
        <v>2.7647901200000002E-2</v>
      </c>
      <c r="H709" s="13">
        <v>2.7647901200000002E-2</v>
      </c>
      <c r="I709" s="14">
        <v>0</v>
      </c>
      <c r="J709" s="15">
        <v>1</v>
      </c>
      <c r="K709" s="14">
        <v>295.12092266663871</v>
      </c>
      <c r="L709" s="13">
        <v>8.1594741119400673</v>
      </c>
      <c r="M709" s="14">
        <v>3.47</v>
      </c>
      <c r="N709" s="14">
        <v>295.12092266663871</v>
      </c>
      <c r="O709" s="13">
        <v>8.1594741119400673</v>
      </c>
      <c r="P709" s="13">
        <v>0</v>
      </c>
      <c r="Q709" s="14">
        <v>1</v>
      </c>
      <c r="R709" s="15">
        <v>0</v>
      </c>
    </row>
    <row r="710" spans="1:18" ht="18" customHeight="1">
      <c r="A710" s="10" t="s">
        <v>183</v>
      </c>
      <c r="B710" s="10" t="s">
        <v>184</v>
      </c>
      <c r="C710" s="10" t="s">
        <v>241</v>
      </c>
      <c r="D710" s="10" t="s">
        <v>245</v>
      </c>
      <c r="E710" s="16">
        <v>1</v>
      </c>
      <c r="F710" s="16">
        <v>1</v>
      </c>
      <c r="G710" s="13">
        <v>4.6147E-6</v>
      </c>
      <c r="H710" s="13">
        <v>4.6147E-6</v>
      </c>
      <c r="I710" s="14">
        <v>0</v>
      </c>
      <c r="J710" s="15">
        <v>1</v>
      </c>
      <c r="K710" s="14">
        <v>12.589254117941675</v>
      </c>
      <c r="L710" s="13">
        <v>5.809563097806545E-5</v>
      </c>
      <c r="M710" s="14">
        <v>2.1</v>
      </c>
      <c r="N710" s="14">
        <v>12.589254117941675</v>
      </c>
      <c r="O710" s="13">
        <v>5.809563097806545E-5</v>
      </c>
      <c r="P710" s="13">
        <v>0</v>
      </c>
      <c r="Q710" s="14">
        <v>1</v>
      </c>
      <c r="R710" s="15">
        <v>0</v>
      </c>
    </row>
    <row r="711" spans="1:18" ht="18" customHeight="1">
      <c r="A711" s="10" t="s">
        <v>183</v>
      </c>
      <c r="B711" s="10" t="s">
        <v>184</v>
      </c>
      <c r="C711" s="10" t="s">
        <v>241</v>
      </c>
      <c r="D711" s="10" t="s">
        <v>246</v>
      </c>
      <c r="E711" s="16">
        <v>1</v>
      </c>
      <c r="F711" s="16">
        <v>1</v>
      </c>
      <c r="G711" s="13">
        <v>0.18297418560000001</v>
      </c>
      <c r="H711" s="13">
        <v>0.18297418560000001</v>
      </c>
      <c r="I711" s="14">
        <v>0</v>
      </c>
      <c r="J711" s="15">
        <v>1</v>
      </c>
      <c r="K711" s="14">
        <v>190.54607179632464</v>
      </c>
      <c r="L711" s="13">
        <v>34.865012306211632</v>
      </c>
      <c r="M711" s="14">
        <v>3.2799999999999994</v>
      </c>
      <c r="N711" s="14">
        <v>190.54607179632444</v>
      </c>
      <c r="O711" s="13">
        <v>34.865012306211597</v>
      </c>
      <c r="P711" s="13">
        <v>3.5527136788005009E-14</v>
      </c>
      <c r="Q711" s="14">
        <v>1.0000000000000011</v>
      </c>
      <c r="R711" s="15">
        <v>1.0189910869951263E-15</v>
      </c>
    </row>
    <row r="712" spans="1:18" ht="18" customHeight="1">
      <c r="A712" s="10" t="s">
        <v>183</v>
      </c>
      <c r="B712" s="10" t="s">
        <v>184</v>
      </c>
      <c r="C712" s="10" t="s">
        <v>241</v>
      </c>
      <c r="D712" s="10" t="s">
        <v>247</v>
      </c>
      <c r="E712" s="16">
        <v>6</v>
      </c>
      <c r="F712" s="16">
        <v>6</v>
      </c>
      <c r="G712" s="13">
        <v>6.7981664999999993E-3</v>
      </c>
      <c r="H712" s="13">
        <v>6.7981664999999993E-3</v>
      </c>
      <c r="I712" s="14">
        <v>0</v>
      </c>
      <c r="J712" s="15">
        <v>1</v>
      </c>
      <c r="K712" s="14">
        <v>234.61827932568917</v>
      </c>
      <c r="L712" s="13">
        <v>1.5949741267995425</v>
      </c>
      <c r="M712" s="14">
        <v>3.3274964018607074</v>
      </c>
      <c r="N712" s="14">
        <v>212.56727338990044</v>
      </c>
      <c r="O712" s="13">
        <v>1.4450677169555624</v>
      </c>
      <c r="P712" s="13">
        <v>0.14990640984398018</v>
      </c>
      <c r="Q712" s="14">
        <v>1.1037365986971184</v>
      </c>
      <c r="R712" s="15">
        <v>0.10373659869711835</v>
      </c>
    </row>
    <row r="713" spans="1:18" ht="18" customHeight="1">
      <c r="A713" s="10" t="s">
        <v>183</v>
      </c>
      <c r="B713" s="10" t="s">
        <v>184</v>
      </c>
      <c r="C713" s="10" t="s">
        <v>241</v>
      </c>
      <c r="D713" s="10" t="s">
        <v>250</v>
      </c>
      <c r="E713" s="16">
        <v>1</v>
      </c>
      <c r="F713" s="16">
        <v>1</v>
      </c>
      <c r="G713" s="13">
        <v>3.2189145400000001E-2</v>
      </c>
      <c r="H713" s="13">
        <v>3.2189145400000001E-2</v>
      </c>
      <c r="I713" s="14">
        <v>0</v>
      </c>
      <c r="J713" s="15">
        <v>1</v>
      </c>
      <c r="K713" s="14">
        <v>407.38027780411261</v>
      </c>
      <c r="L713" s="13">
        <v>13.113222995328973</v>
      </c>
      <c r="M713" s="14">
        <v>3.61</v>
      </c>
      <c r="N713" s="14">
        <v>407.38027780411261</v>
      </c>
      <c r="O713" s="13">
        <v>13.113222995328973</v>
      </c>
      <c r="P713" s="13">
        <v>0</v>
      </c>
      <c r="Q713" s="14">
        <v>1</v>
      </c>
      <c r="R713" s="15">
        <v>0</v>
      </c>
    </row>
    <row r="714" spans="1:18" ht="18" customHeight="1">
      <c r="A714" s="10" t="s">
        <v>105</v>
      </c>
      <c r="B714" s="10" t="s">
        <v>106</v>
      </c>
      <c r="C714" s="10" t="s">
        <v>241</v>
      </c>
      <c r="D714" s="10" t="s">
        <v>252</v>
      </c>
      <c r="E714" s="16">
        <v>1</v>
      </c>
      <c r="F714" s="16">
        <v>1</v>
      </c>
      <c r="G714" s="13">
        <v>629767.68665009318</v>
      </c>
      <c r="H714" s="13">
        <v>629767.68665009318</v>
      </c>
      <c r="I714" s="14">
        <v>0</v>
      </c>
      <c r="J714" s="15">
        <v>1</v>
      </c>
      <c r="K714" s="14">
        <v>128.82495516931337</v>
      </c>
      <c r="L714" s="13">
        <v>81129793.999780446</v>
      </c>
      <c r="M714" s="14">
        <v>3.11</v>
      </c>
      <c r="N714" s="14">
        <v>128.82495516931337</v>
      </c>
      <c r="O714" s="13">
        <v>81129793.999780446</v>
      </c>
      <c r="P714" s="13">
        <v>0</v>
      </c>
      <c r="Q714" s="14">
        <v>1</v>
      </c>
      <c r="R714" s="15">
        <v>0</v>
      </c>
    </row>
    <row r="715" spans="1:18" ht="18" customHeight="1">
      <c r="A715" s="10" t="s">
        <v>105</v>
      </c>
      <c r="B715" s="10" t="s">
        <v>106</v>
      </c>
      <c r="C715" s="10" t="s">
        <v>241</v>
      </c>
      <c r="D715" s="10" t="s">
        <v>242</v>
      </c>
      <c r="E715" s="16">
        <v>3</v>
      </c>
      <c r="F715" s="16">
        <v>3</v>
      </c>
      <c r="G715" s="13">
        <v>20128.465154674403</v>
      </c>
      <c r="H715" s="13">
        <v>20128.465154674403</v>
      </c>
      <c r="I715" s="14">
        <v>0</v>
      </c>
      <c r="J715" s="15">
        <v>1</v>
      </c>
      <c r="K715" s="14">
        <v>2290.8312070341649</v>
      </c>
      <c r="L715" s="13">
        <v>46110916.12602789</v>
      </c>
      <c r="M715" s="14">
        <v>4.3599923934032025</v>
      </c>
      <c r="N715" s="14">
        <v>2290.8275289470162</v>
      </c>
      <c r="O715" s="13">
        <v>46110842.091778882</v>
      </c>
      <c r="P715" s="13">
        <v>74.034249007701874</v>
      </c>
      <c r="Q715" s="14">
        <v>1.0000016055713938</v>
      </c>
      <c r="R715" s="15">
        <v>1.6055713938241319E-6</v>
      </c>
    </row>
    <row r="716" spans="1:18" ht="18" customHeight="1">
      <c r="A716" s="10" t="s">
        <v>105</v>
      </c>
      <c r="B716" s="10" t="s">
        <v>106</v>
      </c>
      <c r="C716" s="10" t="s">
        <v>241</v>
      </c>
      <c r="D716" s="10" t="s">
        <v>243</v>
      </c>
      <c r="E716" s="16">
        <v>13</v>
      </c>
      <c r="F716" s="16">
        <v>13</v>
      </c>
      <c r="G716" s="13">
        <v>5749.8679557221985</v>
      </c>
      <c r="H716" s="13">
        <v>5749.8679557221985</v>
      </c>
      <c r="I716" s="14">
        <v>0</v>
      </c>
      <c r="J716" s="15">
        <v>1</v>
      </c>
      <c r="K716" s="14">
        <v>91.466214745224633</v>
      </c>
      <c r="L716" s="13">
        <v>525918.65719477239</v>
      </c>
      <c r="M716" s="14">
        <v>2.8633714178799647</v>
      </c>
      <c r="N716" s="14">
        <v>73.00816246755079</v>
      </c>
      <c r="O716" s="13">
        <v>419787.29387833038</v>
      </c>
      <c r="P716" s="13">
        <v>106131.363316442</v>
      </c>
      <c r="Q716" s="14">
        <v>1.2528217620307553</v>
      </c>
      <c r="R716" s="15">
        <v>0.25282176203075535</v>
      </c>
    </row>
    <row r="717" spans="1:18" ht="18" customHeight="1">
      <c r="A717" s="10" t="s">
        <v>105</v>
      </c>
      <c r="B717" s="10" t="s">
        <v>106</v>
      </c>
      <c r="C717" s="10" t="s">
        <v>241</v>
      </c>
      <c r="D717" s="10" t="s">
        <v>244</v>
      </c>
      <c r="E717" s="16">
        <v>5</v>
      </c>
      <c r="F717" s="16">
        <v>5</v>
      </c>
      <c r="G717" s="13">
        <v>3280.3830240253001</v>
      </c>
      <c r="H717" s="13">
        <v>3280.3830240253001</v>
      </c>
      <c r="I717" s="14">
        <v>0</v>
      </c>
      <c r="J717" s="15">
        <v>1</v>
      </c>
      <c r="K717" s="14">
        <v>1971.3186850819677</v>
      </c>
      <c r="L717" s="13">
        <v>6466680.3494867636</v>
      </c>
      <c r="M717" s="14">
        <v>4.2271950232496396</v>
      </c>
      <c r="N717" s="14">
        <v>1687.3105549633058</v>
      </c>
      <c r="O717" s="13">
        <v>5535024.9007603358</v>
      </c>
      <c r="P717" s="13">
        <v>931655.44872642774</v>
      </c>
      <c r="Q717" s="14">
        <v>1.1683200103758247</v>
      </c>
      <c r="R717" s="15">
        <v>0.1683200103758247</v>
      </c>
    </row>
    <row r="718" spans="1:18" ht="18" customHeight="1">
      <c r="A718" s="10" t="s">
        <v>105</v>
      </c>
      <c r="B718" s="10" t="s">
        <v>106</v>
      </c>
      <c r="C718" s="10" t="s">
        <v>241</v>
      </c>
      <c r="D718" s="10" t="s">
        <v>253</v>
      </c>
      <c r="E718" s="16">
        <v>7</v>
      </c>
      <c r="F718" s="16">
        <v>7</v>
      </c>
      <c r="G718" s="13">
        <v>233142.28893126291</v>
      </c>
      <c r="H718" s="13">
        <v>233142.28893126291</v>
      </c>
      <c r="I718" s="14">
        <v>0</v>
      </c>
      <c r="J718" s="15">
        <v>1</v>
      </c>
      <c r="K718" s="14">
        <v>106.532385693371</v>
      </c>
      <c r="L718" s="13">
        <v>24837204.24586064</v>
      </c>
      <c r="M718" s="14">
        <v>3.0142146351627019</v>
      </c>
      <c r="N718" s="14">
        <v>103.32719388357484</v>
      </c>
      <c r="O718" s="13">
        <v>24089938.490861025</v>
      </c>
      <c r="P718" s="13">
        <v>747265.75499961525</v>
      </c>
      <c r="Q718" s="14">
        <v>1.0310198282690968</v>
      </c>
      <c r="R718" s="15">
        <v>3.1019828269096855E-2</v>
      </c>
    </row>
    <row r="719" spans="1:18" ht="18" customHeight="1">
      <c r="A719" s="10" t="s">
        <v>105</v>
      </c>
      <c r="B719" s="10" t="s">
        <v>106</v>
      </c>
      <c r="C719" s="10" t="s">
        <v>241</v>
      </c>
      <c r="D719" s="10" t="s">
        <v>245</v>
      </c>
      <c r="E719" s="16">
        <v>7</v>
      </c>
      <c r="F719" s="16">
        <v>7</v>
      </c>
      <c r="G719" s="13">
        <v>65960.896127865897</v>
      </c>
      <c r="H719" s="13">
        <v>65960.896127865897</v>
      </c>
      <c r="I719" s="14">
        <v>0</v>
      </c>
      <c r="J719" s="15">
        <v>1</v>
      </c>
      <c r="K719" s="14">
        <v>23.888132309048853</v>
      </c>
      <c r="L719" s="13">
        <v>1575682.6139258887</v>
      </c>
      <c r="M719" s="14">
        <v>2.2829224197910443</v>
      </c>
      <c r="N719" s="14">
        <v>19.183260298281425</v>
      </c>
      <c r="O719" s="13">
        <v>1265345.0399287548</v>
      </c>
      <c r="P719" s="13">
        <v>310337.57399713388</v>
      </c>
      <c r="Q719" s="14">
        <v>1.2452592488248164</v>
      </c>
      <c r="R719" s="15">
        <v>0.24525924882481653</v>
      </c>
    </row>
    <row r="720" spans="1:18" ht="18" customHeight="1">
      <c r="A720" s="10" t="s">
        <v>105</v>
      </c>
      <c r="B720" s="10" t="s">
        <v>106</v>
      </c>
      <c r="C720" s="10" t="s">
        <v>241</v>
      </c>
      <c r="D720" s="10" t="s">
        <v>246</v>
      </c>
      <c r="E720" s="16">
        <v>23</v>
      </c>
      <c r="F720" s="16">
        <v>23</v>
      </c>
      <c r="G720" s="13">
        <v>77293.270861438199</v>
      </c>
      <c r="H720" s="13">
        <v>77293.270861438199</v>
      </c>
      <c r="I720" s="14">
        <v>0</v>
      </c>
      <c r="J720" s="15">
        <v>1</v>
      </c>
      <c r="K720" s="14">
        <v>188.67609078391757</v>
      </c>
      <c r="L720" s="13">
        <v>14583392.190038644</v>
      </c>
      <c r="M720" s="14">
        <v>3.2588242420536733</v>
      </c>
      <c r="N720" s="14">
        <v>181.47810765449677</v>
      </c>
      <c r="O720" s="13">
        <v>14027036.530360259</v>
      </c>
      <c r="P720" s="13">
        <v>556355.65967838466</v>
      </c>
      <c r="Q720" s="14">
        <v>1.0396630933750122</v>
      </c>
      <c r="R720" s="15">
        <v>3.9663093375012094E-2</v>
      </c>
    </row>
    <row r="721" spans="1:18" ht="18" customHeight="1">
      <c r="A721" s="10" t="s">
        <v>105</v>
      </c>
      <c r="B721" s="10" t="s">
        <v>106</v>
      </c>
      <c r="C721" s="10" t="s">
        <v>241</v>
      </c>
      <c r="D721" s="10" t="s">
        <v>247</v>
      </c>
      <c r="E721" s="16">
        <v>38</v>
      </c>
      <c r="F721" s="16">
        <v>38</v>
      </c>
      <c r="G721" s="13">
        <v>75898.833152325591</v>
      </c>
      <c r="H721" s="13">
        <v>75898.833152325591</v>
      </c>
      <c r="I721" s="14">
        <v>0</v>
      </c>
      <c r="J721" s="15">
        <v>1</v>
      </c>
      <c r="K721" s="14">
        <v>523.15310932638954</v>
      </c>
      <c r="L721" s="13">
        <v>39706710.557883985</v>
      </c>
      <c r="M721" s="14">
        <v>3.39927225927357</v>
      </c>
      <c r="N721" s="14">
        <v>250.76808258437453</v>
      </c>
      <c r="O721" s="13">
        <v>19033004.860000048</v>
      </c>
      <c r="P721" s="13">
        <v>20673705.697883938</v>
      </c>
      <c r="Q721" s="14">
        <v>2.0862029327451075</v>
      </c>
      <c r="R721" s="15">
        <v>1.0862029327451075</v>
      </c>
    </row>
    <row r="722" spans="1:18" ht="18" customHeight="1">
      <c r="A722" s="10" t="s">
        <v>105</v>
      </c>
      <c r="B722" s="10" t="s">
        <v>106</v>
      </c>
      <c r="C722" s="10" t="s">
        <v>241</v>
      </c>
      <c r="D722" s="10" t="s">
        <v>248</v>
      </c>
      <c r="E722" s="16">
        <v>1</v>
      </c>
      <c r="F722" s="16">
        <v>1</v>
      </c>
      <c r="G722" s="13">
        <v>47.448465393399999</v>
      </c>
      <c r="H722" s="13">
        <v>47.448465393399999</v>
      </c>
      <c r="I722" s="14">
        <v>0</v>
      </c>
      <c r="J722" s="15">
        <v>1</v>
      </c>
      <c r="K722" s="14">
        <v>1174.8975549395302</v>
      </c>
      <c r="L722" s="13">
        <v>55747.085976338574</v>
      </c>
      <c r="M722" s="14">
        <v>4.07</v>
      </c>
      <c r="N722" s="14">
        <v>1174.8975549395302</v>
      </c>
      <c r="O722" s="13">
        <v>55747.085976338574</v>
      </c>
      <c r="P722" s="13">
        <v>0</v>
      </c>
      <c r="Q722" s="14">
        <v>1</v>
      </c>
      <c r="R722" s="15">
        <v>0</v>
      </c>
    </row>
    <row r="723" spans="1:18" ht="18" customHeight="1">
      <c r="A723" s="10" t="s">
        <v>105</v>
      </c>
      <c r="B723" s="10" t="s">
        <v>106</v>
      </c>
      <c r="C723" s="10" t="s">
        <v>241</v>
      </c>
      <c r="D723" s="10" t="s">
        <v>249</v>
      </c>
      <c r="E723" s="16">
        <v>4</v>
      </c>
      <c r="F723" s="16">
        <v>4</v>
      </c>
      <c r="G723" s="13">
        <v>1508.0014840970998</v>
      </c>
      <c r="H723" s="13">
        <v>1508.0014840970998</v>
      </c>
      <c r="I723" s="14">
        <v>0</v>
      </c>
      <c r="J723" s="15">
        <v>1</v>
      </c>
      <c r="K723" s="14">
        <v>800.86096320042736</v>
      </c>
      <c r="L723" s="13">
        <v>1207699.5210616773</v>
      </c>
      <c r="M723" s="14">
        <v>3.9029175863648238</v>
      </c>
      <c r="N723" s="14">
        <v>799.68248933359291</v>
      </c>
      <c r="O723" s="13">
        <v>1205922.3807215213</v>
      </c>
      <c r="P723" s="13">
        <v>1777.1403401559219</v>
      </c>
      <c r="Q723" s="14">
        <v>1.0014736772188377</v>
      </c>
      <c r="R723" s="15">
        <v>1.4736772188377765E-3</v>
      </c>
    </row>
    <row r="724" spans="1:18" ht="18" customHeight="1">
      <c r="A724" s="10" t="s">
        <v>105</v>
      </c>
      <c r="B724" s="10" t="s">
        <v>106</v>
      </c>
      <c r="C724" s="10" t="s">
        <v>241</v>
      </c>
      <c r="D724" s="10" t="s">
        <v>250</v>
      </c>
      <c r="E724" s="16">
        <v>13</v>
      </c>
      <c r="F724" s="16">
        <v>13</v>
      </c>
      <c r="G724" s="13">
        <v>15929.715122792501</v>
      </c>
      <c r="H724" s="13">
        <v>15929.715122792501</v>
      </c>
      <c r="I724" s="14">
        <v>0</v>
      </c>
      <c r="J724" s="15">
        <v>1</v>
      </c>
      <c r="K724" s="14">
        <v>1215.2058481759407</v>
      </c>
      <c r="L724" s="13">
        <v>19357882.976994168</v>
      </c>
      <c r="M724" s="14">
        <v>3.9105550004646594</v>
      </c>
      <c r="N724" s="14">
        <v>813.86992538488551</v>
      </c>
      <c r="O724" s="13">
        <v>12964716.058389615</v>
      </c>
      <c r="P724" s="13">
        <v>6393166.9186045527</v>
      </c>
      <c r="Q724" s="14">
        <v>1.4931204732761936</v>
      </c>
      <c r="R724" s="15">
        <v>0.49312047327619346</v>
      </c>
    </row>
    <row r="725" spans="1:18" ht="18" customHeight="1">
      <c r="A725" s="10" t="s">
        <v>105</v>
      </c>
      <c r="B725" s="10" t="s">
        <v>106</v>
      </c>
      <c r="C725" s="10" t="s">
        <v>241</v>
      </c>
      <c r="D725" s="10" t="s">
        <v>251</v>
      </c>
      <c r="E725" s="16">
        <v>5</v>
      </c>
      <c r="F725" s="16">
        <v>5</v>
      </c>
      <c r="G725" s="13">
        <v>16461.329025033301</v>
      </c>
      <c r="H725" s="13">
        <v>16461.329025033301</v>
      </c>
      <c r="I725" s="14">
        <v>0</v>
      </c>
      <c r="J725" s="15">
        <v>1</v>
      </c>
      <c r="K725" s="14">
        <v>3162.0629332269741</v>
      </c>
      <c r="L725" s="13">
        <v>52051758.341711126</v>
      </c>
      <c r="M725" s="14">
        <v>4.4999568926368374</v>
      </c>
      <c r="N725" s="14">
        <v>3161.9637932138185</v>
      </c>
      <c r="O725" s="13">
        <v>52050126.365335025</v>
      </c>
      <c r="P725" s="13">
        <v>1631.9763761013746</v>
      </c>
      <c r="Q725" s="14">
        <v>1.0000313539368693</v>
      </c>
      <c r="R725" s="15">
        <v>3.135393686936864E-5</v>
      </c>
    </row>
    <row r="726" spans="1:18" ht="18" customHeight="1">
      <c r="A726" s="10" t="s">
        <v>167</v>
      </c>
      <c r="B726" s="10" t="s">
        <v>168</v>
      </c>
      <c r="C726" s="10" t="s">
        <v>241</v>
      </c>
      <c r="D726" s="10" t="s">
        <v>242</v>
      </c>
      <c r="E726" s="16">
        <v>5</v>
      </c>
      <c r="F726" s="16">
        <v>5</v>
      </c>
      <c r="G726" s="13">
        <v>37.405491736999998</v>
      </c>
      <c r="H726" s="13">
        <v>37.405491736999998</v>
      </c>
      <c r="I726" s="14">
        <v>0</v>
      </c>
      <c r="J726" s="15">
        <v>1</v>
      </c>
      <c r="K726" s="14">
        <v>711.17079506973812</v>
      </c>
      <c r="L726" s="13">
        <v>26601.693298576807</v>
      </c>
      <c r="M726" s="14">
        <v>3.8482493175021353</v>
      </c>
      <c r="N726" s="14">
        <v>705.09773161648729</v>
      </c>
      <c r="O726" s="13">
        <v>26374.527373757959</v>
      </c>
      <c r="P726" s="13">
        <v>227.165924818848</v>
      </c>
      <c r="Q726" s="14">
        <v>1.0086130804013904</v>
      </c>
      <c r="R726" s="15">
        <v>8.6130804013903502E-3</v>
      </c>
    </row>
    <row r="727" spans="1:18" ht="18" customHeight="1">
      <c r="A727" s="10" t="s">
        <v>167</v>
      </c>
      <c r="B727" s="10" t="s">
        <v>168</v>
      </c>
      <c r="C727" s="10" t="s">
        <v>241</v>
      </c>
      <c r="D727" s="10" t="s">
        <v>243</v>
      </c>
      <c r="E727" s="16">
        <v>3</v>
      </c>
      <c r="F727" s="16">
        <v>3</v>
      </c>
      <c r="G727" s="13">
        <v>3.9521334799999995E-2</v>
      </c>
      <c r="H727" s="13">
        <v>3.9521334799999995E-2</v>
      </c>
      <c r="I727" s="14">
        <v>0</v>
      </c>
      <c r="J727" s="15">
        <v>1</v>
      </c>
      <c r="K727" s="14">
        <v>37.483397077959516</v>
      </c>
      <c r="L727" s="13">
        <v>1.4813938853593795</v>
      </c>
      <c r="M727" s="14">
        <v>2.5648186470159406</v>
      </c>
      <c r="N727" s="14">
        <v>36.712896252386408</v>
      </c>
      <c r="O727" s="13">
        <v>1.4509426642682284</v>
      </c>
      <c r="P727" s="13">
        <v>3.045122109115117E-2</v>
      </c>
      <c r="Q727" s="14">
        <v>1.0209871980754726</v>
      </c>
      <c r="R727" s="15">
        <v>2.0987198075472547E-2</v>
      </c>
    </row>
    <row r="728" spans="1:18" ht="18" customHeight="1">
      <c r="A728" s="10" t="s">
        <v>167</v>
      </c>
      <c r="B728" s="10" t="s">
        <v>168</v>
      </c>
      <c r="C728" s="10" t="s">
        <v>241</v>
      </c>
      <c r="D728" s="10" t="s">
        <v>244</v>
      </c>
      <c r="E728" s="16">
        <v>3</v>
      </c>
      <c r="F728" s="16">
        <v>3</v>
      </c>
      <c r="G728" s="13">
        <v>330.90189610809995</v>
      </c>
      <c r="H728" s="13">
        <v>330.90189610809995</v>
      </c>
      <c r="I728" s="14">
        <v>0</v>
      </c>
      <c r="J728" s="15">
        <v>1</v>
      </c>
      <c r="K728" s="14">
        <v>2396.980930206325</v>
      </c>
      <c r="L728" s="13">
        <v>793165.53474023018</v>
      </c>
      <c r="M728" s="14">
        <v>4.3792779451646693</v>
      </c>
      <c r="N728" s="14">
        <v>2394.847950527138</v>
      </c>
      <c r="O728" s="13">
        <v>792459.72772002709</v>
      </c>
      <c r="P728" s="13">
        <v>705.807020203094</v>
      </c>
      <c r="Q728" s="14">
        <v>1.0008906534875075</v>
      </c>
      <c r="R728" s="15">
        <v>8.9065348750751009E-4</v>
      </c>
    </row>
    <row r="729" spans="1:18" ht="18" customHeight="1">
      <c r="A729" s="10" t="s">
        <v>167</v>
      </c>
      <c r="B729" s="10" t="s">
        <v>168</v>
      </c>
      <c r="C729" s="10" t="s">
        <v>241</v>
      </c>
      <c r="D729" s="10" t="s">
        <v>253</v>
      </c>
      <c r="E729" s="16">
        <v>1</v>
      </c>
      <c r="F729" s="16">
        <v>1</v>
      </c>
      <c r="G729" s="13">
        <v>1.4391964000000001E-3</v>
      </c>
      <c r="H729" s="13">
        <v>1.4391964000000001E-3</v>
      </c>
      <c r="I729" s="14">
        <v>0</v>
      </c>
      <c r="J729" s="15">
        <v>1</v>
      </c>
      <c r="K729" s="14">
        <v>239.88329190194898</v>
      </c>
      <c r="L729" s="13">
        <v>0.34523917012543415</v>
      </c>
      <c r="M729" s="14">
        <v>3.38</v>
      </c>
      <c r="N729" s="14">
        <v>239.88329190194898</v>
      </c>
      <c r="O729" s="13">
        <v>0.34523917012543415</v>
      </c>
      <c r="P729" s="13">
        <v>0</v>
      </c>
      <c r="Q729" s="14">
        <v>1</v>
      </c>
      <c r="R729" s="15">
        <v>0</v>
      </c>
    </row>
    <row r="730" spans="1:18" ht="18" customHeight="1">
      <c r="A730" s="10" t="s">
        <v>167</v>
      </c>
      <c r="B730" s="10" t="s">
        <v>168</v>
      </c>
      <c r="C730" s="10" t="s">
        <v>241</v>
      </c>
      <c r="D730" s="10" t="s">
        <v>245</v>
      </c>
      <c r="E730" s="16">
        <v>2</v>
      </c>
      <c r="F730" s="16">
        <v>2</v>
      </c>
      <c r="G730" s="13">
        <v>0.4989456176</v>
      </c>
      <c r="H730" s="13">
        <v>0.4989456176</v>
      </c>
      <c r="I730" s="14">
        <v>0</v>
      </c>
      <c r="J730" s="15">
        <v>1</v>
      </c>
      <c r="K730" s="14">
        <v>19.66458718394281</v>
      </c>
      <c r="L730" s="13">
        <v>9.8115595973413896</v>
      </c>
      <c r="M730" s="14">
        <v>2.121235571766249</v>
      </c>
      <c r="N730" s="14">
        <v>13.220125311124162</v>
      </c>
      <c r="O730" s="13">
        <v>6.5961235881082372</v>
      </c>
      <c r="P730" s="13">
        <v>3.2154360092331524</v>
      </c>
      <c r="Q730" s="14">
        <v>1.4874735844898468</v>
      </c>
      <c r="R730" s="15">
        <v>0.48747358448984685</v>
      </c>
    </row>
    <row r="731" spans="1:18" ht="18" customHeight="1">
      <c r="A731" s="10" t="s">
        <v>167</v>
      </c>
      <c r="B731" s="10" t="s">
        <v>168</v>
      </c>
      <c r="C731" s="10" t="s">
        <v>241</v>
      </c>
      <c r="D731" s="10" t="s">
        <v>246</v>
      </c>
      <c r="E731" s="16">
        <v>5</v>
      </c>
      <c r="F731" s="16">
        <v>5</v>
      </c>
      <c r="G731" s="13">
        <v>6.9472549449000001</v>
      </c>
      <c r="H731" s="13">
        <v>6.9472549449000001</v>
      </c>
      <c r="I731" s="14">
        <v>0</v>
      </c>
      <c r="J731" s="15">
        <v>1</v>
      </c>
      <c r="K731" s="14">
        <v>190.62678210304708</v>
      </c>
      <c r="L731" s="13">
        <v>1324.3328545957686</v>
      </c>
      <c r="M731" s="14">
        <v>3.2799829169685086</v>
      </c>
      <c r="N731" s="14">
        <v>190.53857678853268</v>
      </c>
      <c r="O731" s="13">
        <v>1323.720069788342</v>
      </c>
      <c r="P731" s="13">
        <v>0.61278480742657848</v>
      </c>
      <c r="Q731" s="14">
        <v>1.0004629262798173</v>
      </c>
      <c r="R731" s="15">
        <v>4.6292627981727325E-4</v>
      </c>
    </row>
    <row r="732" spans="1:18" ht="18" customHeight="1">
      <c r="A732" s="10" t="s">
        <v>167</v>
      </c>
      <c r="B732" s="10" t="s">
        <v>168</v>
      </c>
      <c r="C732" s="10" t="s">
        <v>241</v>
      </c>
      <c r="D732" s="10" t="s">
        <v>247</v>
      </c>
      <c r="E732" s="16">
        <v>5</v>
      </c>
      <c r="F732" s="16">
        <v>5</v>
      </c>
      <c r="G732" s="13">
        <v>2.5346428208000007</v>
      </c>
      <c r="H732" s="13">
        <v>2.5346428208000007</v>
      </c>
      <c r="I732" s="14">
        <v>0</v>
      </c>
      <c r="J732" s="15">
        <v>1</v>
      </c>
      <c r="K732" s="14">
        <v>277.80998713411037</v>
      </c>
      <c r="L732" s="13">
        <v>704.14908943601336</v>
      </c>
      <c r="M732" s="14">
        <v>3.4135412234652311</v>
      </c>
      <c r="N732" s="14">
        <v>259.14403905929538</v>
      </c>
      <c r="O732" s="13">
        <v>656.83757815475803</v>
      </c>
      <c r="P732" s="13">
        <v>47.311511281255321</v>
      </c>
      <c r="Q732" s="14">
        <v>1.0720292395787809</v>
      </c>
      <c r="R732" s="15">
        <v>7.2029239578780949E-2</v>
      </c>
    </row>
    <row r="733" spans="1:18" ht="18" customHeight="1">
      <c r="A733" s="10" t="s">
        <v>167</v>
      </c>
      <c r="B733" s="10" t="s">
        <v>168</v>
      </c>
      <c r="C733" s="10" t="s">
        <v>241</v>
      </c>
      <c r="D733" s="10" t="s">
        <v>248</v>
      </c>
      <c r="E733" s="16">
        <v>10</v>
      </c>
      <c r="F733" s="16">
        <v>10</v>
      </c>
      <c r="G733" s="13">
        <v>885.94400985950017</v>
      </c>
      <c r="H733" s="13">
        <v>885.94400985950017</v>
      </c>
      <c r="I733" s="14">
        <v>0</v>
      </c>
      <c r="J733" s="15">
        <v>1</v>
      </c>
      <c r="K733" s="14">
        <v>2360.7348376058503</v>
      </c>
      <c r="L733" s="13">
        <v>2091478.888243543</v>
      </c>
      <c r="M733" s="14">
        <v>4.34054750700178</v>
      </c>
      <c r="N733" s="14">
        <v>2190.5214337240877</v>
      </c>
      <c r="O733" s="13">
        <v>1940679.3426766996</v>
      </c>
      <c r="P733" s="13">
        <v>150799.54556684336</v>
      </c>
      <c r="Q733" s="14">
        <v>1.0777045142134876</v>
      </c>
      <c r="R733" s="15">
        <v>7.7704514213487591E-2</v>
      </c>
    </row>
    <row r="734" spans="1:18" ht="18" customHeight="1">
      <c r="A734" s="10" t="s">
        <v>167</v>
      </c>
      <c r="B734" s="10" t="s">
        <v>168</v>
      </c>
      <c r="C734" s="10" t="s">
        <v>241</v>
      </c>
      <c r="D734" s="10" t="s">
        <v>249</v>
      </c>
      <c r="E734" s="16">
        <v>6</v>
      </c>
      <c r="F734" s="16">
        <v>6</v>
      </c>
      <c r="G734" s="13">
        <v>2.3894261478999996</v>
      </c>
      <c r="H734" s="13">
        <v>2.3894261478999996</v>
      </c>
      <c r="I734" s="14">
        <v>0</v>
      </c>
      <c r="J734" s="15">
        <v>1</v>
      </c>
      <c r="K734" s="14">
        <v>633.83772297622443</v>
      </c>
      <c r="L734" s="13">
        <v>1514.5084288047869</v>
      </c>
      <c r="M734" s="14">
        <v>3.7983353776853521</v>
      </c>
      <c r="N734" s="14">
        <v>628.54355519267085</v>
      </c>
      <c r="O734" s="13">
        <v>1501.8584058713943</v>
      </c>
      <c r="P734" s="13">
        <v>12.65002293339262</v>
      </c>
      <c r="Q734" s="14">
        <v>1.0084229131614129</v>
      </c>
      <c r="R734" s="15">
        <v>8.4229131614128039E-3</v>
      </c>
    </row>
    <row r="735" spans="1:18" ht="18" customHeight="1">
      <c r="A735" s="10" t="s">
        <v>167</v>
      </c>
      <c r="B735" s="10" t="s">
        <v>168</v>
      </c>
      <c r="C735" s="10" t="s">
        <v>241</v>
      </c>
      <c r="D735" s="10" t="s">
        <v>250</v>
      </c>
      <c r="E735" s="16">
        <v>4</v>
      </c>
      <c r="F735" s="16">
        <v>4</v>
      </c>
      <c r="G735" s="13">
        <v>3.0730028410000001</v>
      </c>
      <c r="H735" s="13">
        <v>3.0730028410000001</v>
      </c>
      <c r="I735" s="14">
        <v>0</v>
      </c>
      <c r="J735" s="15">
        <v>1</v>
      </c>
      <c r="K735" s="14">
        <v>1638.8534608288765</v>
      </c>
      <c r="L735" s="13">
        <v>5036.2013411098196</v>
      </c>
      <c r="M735" s="14">
        <v>4.2069760962332943</v>
      </c>
      <c r="N735" s="14">
        <v>1610.5569869462756</v>
      </c>
      <c r="O735" s="13">
        <v>4949.2461964783051</v>
      </c>
      <c r="P735" s="13">
        <v>86.955144631514486</v>
      </c>
      <c r="Q735" s="14">
        <v>1.0175693714112239</v>
      </c>
      <c r="R735" s="15">
        <v>1.7569371411223885E-2</v>
      </c>
    </row>
    <row r="736" spans="1:18" ht="18" customHeight="1">
      <c r="A736" s="10" t="s">
        <v>139</v>
      </c>
      <c r="B736" s="10" t="s">
        <v>140</v>
      </c>
      <c r="C736" s="10" t="s">
        <v>241</v>
      </c>
      <c r="D736" s="10" t="s">
        <v>242</v>
      </c>
      <c r="E736" s="16">
        <v>3</v>
      </c>
      <c r="F736" s="16">
        <v>3</v>
      </c>
      <c r="G736" s="13">
        <v>100689.8457528625</v>
      </c>
      <c r="H736" s="13">
        <v>100689.8457528625</v>
      </c>
      <c r="I736" s="14">
        <v>0</v>
      </c>
      <c r="J736" s="15">
        <v>1</v>
      </c>
      <c r="K736" s="14">
        <v>527.7645551450106</v>
      </c>
      <c r="L736" s="13">
        <v>53140531.651379213</v>
      </c>
      <c r="M736" s="14">
        <v>3.6558319845007223</v>
      </c>
      <c r="N736" s="14">
        <v>452.72240131197117</v>
      </c>
      <c r="O736" s="13">
        <v>45584548.756967895</v>
      </c>
      <c r="P736" s="13">
        <v>7555982.894411318</v>
      </c>
      <c r="Q736" s="14">
        <v>1.165757545055359</v>
      </c>
      <c r="R736" s="15">
        <v>0.16575754505535906</v>
      </c>
    </row>
    <row r="737" spans="1:18" ht="18" customHeight="1">
      <c r="A737" s="10" t="s">
        <v>139</v>
      </c>
      <c r="B737" s="10" t="s">
        <v>140</v>
      </c>
      <c r="C737" s="10" t="s">
        <v>241</v>
      </c>
      <c r="D737" s="10" t="s">
        <v>243</v>
      </c>
      <c r="E737" s="16">
        <v>9</v>
      </c>
      <c r="F737" s="16">
        <v>9</v>
      </c>
      <c r="G737" s="13">
        <v>285.28013557659995</v>
      </c>
      <c r="H737" s="13">
        <v>285.28013557659995</v>
      </c>
      <c r="I737" s="14">
        <v>0</v>
      </c>
      <c r="J737" s="15">
        <v>1</v>
      </c>
      <c r="K737" s="14">
        <v>189.22205583233901</v>
      </c>
      <c r="L737" s="13">
        <v>53981.293741932641</v>
      </c>
      <c r="M737" s="14">
        <v>3.1498775103647882</v>
      </c>
      <c r="N737" s="14">
        <v>141.2139204744233</v>
      </c>
      <c r="O737" s="13">
        <v>40285.526378246686</v>
      </c>
      <c r="P737" s="13">
        <v>13695.767363685954</v>
      </c>
      <c r="Q737" s="14">
        <v>1.3399674422792542</v>
      </c>
      <c r="R737" s="15">
        <v>0.33996744227925424</v>
      </c>
    </row>
    <row r="738" spans="1:18" ht="18" customHeight="1">
      <c r="A738" s="10" t="s">
        <v>139</v>
      </c>
      <c r="B738" s="10" t="s">
        <v>140</v>
      </c>
      <c r="C738" s="10" t="s">
        <v>241</v>
      </c>
      <c r="D738" s="10" t="s">
        <v>244</v>
      </c>
      <c r="E738" s="16">
        <v>13</v>
      </c>
      <c r="F738" s="16">
        <v>13</v>
      </c>
      <c r="G738" s="13">
        <v>17715.895105419095</v>
      </c>
      <c r="H738" s="13">
        <v>17715.895105419095</v>
      </c>
      <c r="I738" s="14">
        <v>0</v>
      </c>
      <c r="J738" s="15">
        <v>1</v>
      </c>
      <c r="K738" s="14">
        <v>462.16987155728862</v>
      </c>
      <c r="L738" s="13">
        <v>8187752.9653939409</v>
      </c>
      <c r="M738" s="14">
        <v>3.5809804724890508</v>
      </c>
      <c r="N738" s="14">
        <v>381.04868962841891</v>
      </c>
      <c r="O738" s="13">
        <v>6750618.6155144665</v>
      </c>
      <c r="P738" s="13">
        <v>1437134.3498794744</v>
      </c>
      <c r="Q738" s="14">
        <v>1.21288928196545</v>
      </c>
      <c r="R738" s="15">
        <v>0.2128892819654499</v>
      </c>
    </row>
    <row r="739" spans="1:18" ht="18" customHeight="1">
      <c r="A739" s="10" t="s">
        <v>139</v>
      </c>
      <c r="B739" s="10" t="s">
        <v>140</v>
      </c>
      <c r="C739" s="10" t="s">
        <v>241</v>
      </c>
      <c r="D739" s="10" t="s">
        <v>253</v>
      </c>
      <c r="E739" s="16">
        <v>1</v>
      </c>
      <c r="F739" s="16">
        <v>1</v>
      </c>
      <c r="G739" s="13">
        <v>239.82915871809999</v>
      </c>
      <c r="H739" s="13">
        <v>239.82915871809999</v>
      </c>
      <c r="I739" s="14">
        <v>0</v>
      </c>
      <c r="J739" s="15">
        <v>1</v>
      </c>
      <c r="K739" s="14">
        <v>144.54397707459279</v>
      </c>
      <c r="L739" s="13">
        <v>34665.860419567922</v>
      </c>
      <c r="M739" s="14">
        <v>3.16</v>
      </c>
      <c r="N739" s="14">
        <v>144.54397707459279</v>
      </c>
      <c r="O739" s="13">
        <v>34665.860419567922</v>
      </c>
      <c r="P739" s="13">
        <v>0</v>
      </c>
      <c r="Q739" s="14">
        <v>1</v>
      </c>
      <c r="R739" s="15">
        <v>0</v>
      </c>
    </row>
    <row r="740" spans="1:18" ht="18" customHeight="1">
      <c r="A740" s="10" t="s">
        <v>139</v>
      </c>
      <c r="B740" s="10" t="s">
        <v>140</v>
      </c>
      <c r="C740" s="10" t="s">
        <v>241</v>
      </c>
      <c r="D740" s="10" t="s">
        <v>245</v>
      </c>
      <c r="E740" s="16">
        <v>7</v>
      </c>
      <c r="F740" s="16">
        <v>7</v>
      </c>
      <c r="G740" s="13">
        <v>66.694486670999993</v>
      </c>
      <c r="H740" s="13">
        <v>66.694486670999993</v>
      </c>
      <c r="I740" s="14">
        <v>0</v>
      </c>
      <c r="J740" s="15">
        <v>1</v>
      </c>
      <c r="K740" s="14">
        <v>12.582294265616969</v>
      </c>
      <c r="L740" s="13">
        <v>839.16965718879067</v>
      </c>
      <c r="M740" s="14">
        <v>2.0981424411512881</v>
      </c>
      <c r="N740" s="14">
        <v>12.53552251191774</v>
      </c>
      <c r="O740" s="13">
        <v>836.05023908511805</v>
      </c>
      <c r="P740" s="13">
        <v>3.119418103672615</v>
      </c>
      <c r="Q740" s="14">
        <v>1.0037311371468371</v>
      </c>
      <c r="R740" s="15">
        <v>3.7311371468372102E-3</v>
      </c>
    </row>
    <row r="741" spans="1:18" ht="18" customHeight="1">
      <c r="A741" s="10" t="s">
        <v>139</v>
      </c>
      <c r="B741" s="10" t="s">
        <v>140</v>
      </c>
      <c r="C741" s="10" t="s">
        <v>241</v>
      </c>
      <c r="D741" s="10" t="s">
        <v>246</v>
      </c>
      <c r="E741" s="16">
        <v>7</v>
      </c>
      <c r="F741" s="16">
        <v>7</v>
      </c>
      <c r="G741" s="13">
        <v>6686.6063139682001</v>
      </c>
      <c r="H741" s="13">
        <v>6686.6063139682001</v>
      </c>
      <c r="I741" s="14">
        <v>0</v>
      </c>
      <c r="J741" s="15">
        <v>1</v>
      </c>
      <c r="K741" s="14">
        <v>216.31169509834359</v>
      </c>
      <c r="L741" s="13">
        <v>1446391.1462297484</v>
      </c>
      <c r="M741" s="14">
        <v>3.3011217335004162</v>
      </c>
      <c r="N741" s="14">
        <v>200.04225129722957</v>
      </c>
      <c r="O741" s="13">
        <v>1337603.7805844685</v>
      </c>
      <c r="P741" s="13">
        <v>108787.36564527988</v>
      </c>
      <c r="Q741" s="14">
        <v>1.081330037507628</v>
      </c>
      <c r="R741" s="15">
        <v>8.1330037507628031E-2</v>
      </c>
    </row>
    <row r="742" spans="1:18" ht="18" customHeight="1">
      <c r="A742" s="10" t="s">
        <v>139</v>
      </c>
      <c r="B742" s="10" t="s">
        <v>140</v>
      </c>
      <c r="C742" s="10" t="s">
        <v>241</v>
      </c>
      <c r="D742" s="10" t="s">
        <v>247</v>
      </c>
      <c r="E742" s="16">
        <v>1</v>
      </c>
      <c r="F742" s="16">
        <v>1</v>
      </c>
      <c r="G742" s="13">
        <v>2.47632E-5</v>
      </c>
      <c r="H742" s="13">
        <v>2.47632E-5</v>
      </c>
      <c r="I742" s="14">
        <v>0</v>
      </c>
      <c r="J742" s="15">
        <v>1</v>
      </c>
      <c r="K742" s="14">
        <v>1819.7008586099826</v>
      </c>
      <c r="L742" s="13">
        <v>4.5061616301930722E-2</v>
      </c>
      <c r="M742" s="14">
        <v>4.26</v>
      </c>
      <c r="N742" s="14">
        <v>1819.7008586099826</v>
      </c>
      <c r="O742" s="13">
        <v>4.5061616301930722E-2</v>
      </c>
      <c r="P742" s="13">
        <v>0</v>
      </c>
      <c r="Q742" s="14">
        <v>1</v>
      </c>
      <c r="R742" s="15">
        <v>0</v>
      </c>
    </row>
    <row r="743" spans="1:18" ht="18" customHeight="1">
      <c r="A743" s="10" t="s">
        <v>139</v>
      </c>
      <c r="B743" s="10" t="s">
        <v>140</v>
      </c>
      <c r="C743" s="10" t="s">
        <v>241</v>
      </c>
      <c r="D743" s="10" t="s">
        <v>248</v>
      </c>
      <c r="E743" s="16">
        <v>12</v>
      </c>
      <c r="F743" s="16">
        <v>12</v>
      </c>
      <c r="G743" s="13">
        <v>9125.9345836157008</v>
      </c>
      <c r="H743" s="13">
        <v>9125.9345836157008</v>
      </c>
      <c r="I743" s="14">
        <v>0</v>
      </c>
      <c r="J743" s="15">
        <v>1</v>
      </c>
      <c r="K743" s="14">
        <v>1766.0951355080383</v>
      </c>
      <c r="L743" s="13">
        <v>16117268.675088264</v>
      </c>
      <c r="M743" s="14">
        <v>4.0663965726882001</v>
      </c>
      <c r="N743" s="14">
        <v>1165.1895276892515</v>
      </c>
      <c r="O743" s="13">
        <v>10633443.407206183</v>
      </c>
      <c r="P743" s="13">
        <v>5483825.2678820807</v>
      </c>
      <c r="Q743" s="14">
        <v>1.5157149060638009</v>
      </c>
      <c r="R743" s="15">
        <v>0.51571490606380099</v>
      </c>
    </row>
    <row r="744" spans="1:18" ht="18" customHeight="1">
      <c r="A744" s="10" t="s">
        <v>139</v>
      </c>
      <c r="B744" s="10" t="s">
        <v>140</v>
      </c>
      <c r="C744" s="10" t="s">
        <v>241</v>
      </c>
      <c r="D744" s="10" t="s">
        <v>249</v>
      </c>
      <c r="E744" s="16">
        <v>10</v>
      </c>
      <c r="F744" s="16">
        <v>10</v>
      </c>
      <c r="G744" s="13">
        <v>16014.820105806801</v>
      </c>
      <c r="H744" s="13">
        <v>16014.820105806801</v>
      </c>
      <c r="I744" s="14">
        <v>0</v>
      </c>
      <c r="J744" s="15">
        <v>1</v>
      </c>
      <c r="K744" s="14">
        <v>379.88071392754642</v>
      </c>
      <c r="L744" s="13">
        <v>6083721.2952151122</v>
      </c>
      <c r="M744" s="14">
        <v>3.5389562827029932</v>
      </c>
      <c r="N744" s="14">
        <v>345.90455635361002</v>
      </c>
      <c r="O744" s="13">
        <v>5539599.2437819755</v>
      </c>
      <c r="P744" s="13">
        <v>544122.05143313669</v>
      </c>
      <c r="Q744" s="14">
        <v>1.0982240821922085</v>
      </c>
      <c r="R744" s="15">
        <v>9.8224082192208476E-2</v>
      </c>
    </row>
    <row r="745" spans="1:18" ht="18" customHeight="1">
      <c r="A745" s="10" t="s">
        <v>139</v>
      </c>
      <c r="B745" s="10" t="s">
        <v>140</v>
      </c>
      <c r="C745" s="10" t="s">
        <v>241</v>
      </c>
      <c r="D745" s="10" t="s">
        <v>250</v>
      </c>
      <c r="E745" s="16">
        <v>5</v>
      </c>
      <c r="F745" s="16">
        <v>5</v>
      </c>
      <c r="G745" s="13">
        <v>682.76612357839997</v>
      </c>
      <c r="H745" s="13">
        <v>682.76612357839997</v>
      </c>
      <c r="I745" s="14">
        <v>0</v>
      </c>
      <c r="J745" s="15">
        <v>1</v>
      </c>
      <c r="K745" s="14">
        <v>675.53044279731319</v>
      </c>
      <c r="L745" s="13">
        <v>461229.30178792158</v>
      </c>
      <c r="M745" s="14">
        <v>3.826126814277985</v>
      </c>
      <c r="N745" s="14">
        <v>670.08024473009493</v>
      </c>
      <c r="O745" s="13">
        <v>457508.09118083247</v>
      </c>
      <c r="P745" s="13">
        <v>3721.2106070891023</v>
      </c>
      <c r="Q745" s="14">
        <v>1.0081336498278852</v>
      </c>
      <c r="R745" s="15">
        <v>8.1336498278852826E-3</v>
      </c>
    </row>
    <row r="746" spans="1:18" ht="18" customHeight="1">
      <c r="A746" s="10" t="s">
        <v>181</v>
      </c>
      <c r="B746" s="10" t="s">
        <v>182</v>
      </c>
      <c r="C746" s="10" t="s">
        <v>241</v>
      </c>
      <c r="D746" s="10" t="s">
        <v>242</v>
      </c>
      <c r="E746" s="16">
        <v>1</v>
      </c>
      <c r="F746" s="16">
        <v>1</v>
      </c>
      <c r="G746" s="13">
        <v>8.0017200000000004E-5</v>
      </c>
      <c r="H746" s="13">
        <v>8.0017200000000004E-5</v>
      </c>
      <c r="I746" s="14">
        <v>0</v>
      </c>
      <c r="J746" s="15">
        <v>1</v>
      </c>
      <c r="K746" s="14">
        <v>691.83097091893626</v>
      </c>
      <c r="L746" s="13">
        <v>5.5358377166214709E-2</v>
      </c>
      <c r="M746" s="14">
        <v>3.8400000000000003</v>
      </c>
      <c r="N746" s="14">
        <v>691.83097091893694</v>
      </c>
      <c r="O746" s="13">
        <v>5.5358377166214764E-2</v>
      </c>
      <c r="P746" s="13">
        <v>-5.5511151231257827E-17</v>
      </c>
      <c r="Q746" s="14">
        <v>0.999999999999999</v>
      </c>
      <c r="R746" s="15">
        <v>-1.002759728027871E-15</v>
      </c>
    </row>
    <row r="747" spans="1:18" ht="18" customHeight="1">
      <c r="A747" s="10" t="s">
        <v>181</v>
      </c>
      <c r="B747" s="10" t="s">
        <v>182</v>
      </c>
      <c r="C747" s="10" t="s">
        <v>241</v>
      </c>
      <c r="D747" s="10" t="s">
        <v>243</v>
      </c>
      <c r="E747" s="16">
        <v>2</v>
      </c>
      <c r="F747" s="16">
        <v>2</v>
      </c>
      <c r="G747" s="13">
        <v>5.2418418E-3</v>
      </c>
      <c r="H747" s="13">
        <v>5.2418418E-3</v>
      </c>
      <c r="I747" s="14">
        <v>0</v>
      </c>
      <c r="J747" s="15">
        <v>1</v>
      </c>
      <c r="K747" s="14">
        <v>21.559525945839169</v>
      </c>
      <c r="L747" s="13">
        <v>0.1130116242910843</v>
      </c>
      <c r="M747" s="14">
        <v>2.3242757860414636</v>
      </c>
      <c r="N747" s="14">
        <v>21.099675979705459</v>
      </c>
      <c r="O747" s="13">
        <v>0.11060116351687603</v>
      </c>
      <c r="P747" s="13">
        <v>2.4104607742082701E-3</v>
      </c>
      <c r="Q747" s="14">
        <v>1.0217941719378067</v>
      </c>
      <c r="R747" s="15">
        <v>2.1794171937806701E-2</v>
      </c>
    </row>
    <row r="748" spans="1:18" ht="18" customHeight="1">
      <c r="A748" s="10" t="s">
        <v>181</v>
      </c>
      <c r="B748" s="10" t="s">
        <v>182</v>
      </c>
      <c r="C748" s="10" t="s">
        <v>241</v>
      </c>
      <c r="D748" s="10" t="s">
        <v>245</v>
      </c>
      <c r="E748" s="16">
        <v>2</v>
      </c>
      <c r="F748" s="16">
        <v>2</v>
      </c>
      <c r="G748" s="13">
        <v>4.1846633000000005E-3</v>
      </c>
      <c r="H748" s="13">
        <v>4.1846633000000005E-3</v>
      </c>
      <c r="I748" s="14">
        <v>0</v>
      </c>
      <c r="J748" s="15">
        <v>1</v>
      </c>
      <c r="K748" s="14">
        <v>141.6967707624348</v>
      </c>
      <c r="L748" s="13">
        <v>0.59295327633807393</v>
      </c>
      <c r="M748" s="14">
        <v>2.4874972258819485</v>
      </c>
      <c r="N748" s="14">
        <v>30.725377389309784</v>
      </c>
      <c r="O748" s="13">
        <v>0.12857535913969448</v>
      </c>
      <c r="P748" s="13">
        <v>0.46437791719837945</v>
      </c>
      <c r="Q748" s="14">
        <v>4.611717830738022</v>
      </c>
      <c r="R748" s="15">
        <v>3.611717830738022</v>
      </c>
    </row>
    <row r="749" spans="1:18" ht="18" customHeight="1">
      <c r="A749" s="10" t="s">
        <v>181</v>
      </c>
      <c r="B749" s="10" t="s">
        <v>182</v>
      </c>
      <c r="C749" s="10" t="s">
        <v>241</v>
      </c>
      <c r="D749" s="10" t="s">
        <v>246</v>
      </c>
      <c r="E749" s="16">
        <v>4</v>
      </c>
      <c r="F749" s="16">
        <v>4</v>
      </c>
      <c r="G749" s="13">
        <v>53.2939986254</v>
      </c>
      <c r="H749" s="13">
        <v>53.2939986254</v>
      </c>
      <c r="I749" s="14">
        <v>0</v>
      </c>
      <c r="J749" s="15">
        <v>1</v>
      </c>
      <c r="K749" s="14">
        <v>190.54424126904757</v>
      </c>
      <c r="L749" s="13">
        <v>10154.864532270507</v>
      </c>
      <c r="M749" s="14">
        <v>3.2799898893652402</v>
      </c>
      <c r="N749" s="14">
        <v>190.54163582167666</v>
      </c>
      <c r="O749" s="13">
        <v>10154.725677561904</v>
      </c>
      <c r="P749" s="13">
        <v>0.13885470860259375</v>
      </c>
      <c r="Q749" s="14">
        <v>1.0000136739005081</v>
      </c>
      <c r="R749" s="15">
        <v>1.3673900508155531E-5</v>
      </c>
    </row>
    <row r="750" spans="1:18" ht="18" customHeight="1">
      <c r="A750" s="10" t="s">
        <v>181</v>
      </c>
      <c r="B750" s="10" t="s">
        <v>182</v>
      </c>
      <c r="C750" s="10" t="s">
        <v>241</v>
      </c>
      <c r="D750" s="10" t="s">
        <v>247</v>
      </c>
      <c r="E750" s="16">
        <v>3</v>
      </c>
      <c r="F750" s="16">
        <v>3</v>
      </c>
      <c r="G750" s="13">
        <v>8.3632771700000011E-2</v>
      </c>
      <c r="H750" s="13">
        <v>8.3632771700000011E-2</v>
      </c>
      <c r="I750" s="14">
        <v>0</v>
      </c>
      <c r="J750" s="15">
        <v>1</v>
      </c>
      <c r="K750" s="14">
        <v>285.78793519400801</v>
      </c>
      <c r="L750" s="13">
        <v>23.901237138694871</v>
      </c>
      <c r="M750" s="14">
        <v>3.4542181488168953</v>
      </c>
      <c r="N750" s="14">
        <v>284.58902568424668</v>
      </c>
      <c r="O750" s="13">
        <v>23.80096901337604</v>
      </c>
      <c r="P750" s="13">
        <v>0.10026812531883067</v>
      </c>
      <c r="Q750" s="14">
        <v>1.0042127749194782</v>
      </c>
      <c r="R750" s="15">
        <v>4.2127749194782963E-3</v>
      </c>
    </row>
    <row r="751" spans="1:18" ht="18" customHeight="1">
      <c r="A751" s="10" t="s">
        <v>181</v>
      </c>
      <c r="B751" s="10" t="s">
        <v>182</v>
      </c>
      <c r="C751" s="10" t="s">
        <v>241</v>
      </c>
      <c r="D751" s="10" t="s">
        <v>248</v>
      </c>
      <c r="E751" s="16">
        <v>1</v>
      </c>
      <c r="F751" s="16">
        <v>1</v>
      </c>
      <c r="G751" s="13">
        <v>0.12678097720000001</v>
      </c>
      <c r="H751" s="13">
        <v>0.12678097720000001</v>
      </c>
      <c r="I751" s="14">
        <v>0</v>
      </c>
      <c r="J751" s="15">
        <v>1</v>
      </c>
      <c r="K751" s="14">
        <v>2454.7089156850284</v>
      </c>
      <c r="L751" s="13">
        <v>311.21039507210031</v>
      </c>
      <c r="M751" s="14">
        <v>4.3899999999999997</v>
      </c>
      <c r="N751" s="14">
        <v>2454.7089156850284</v>
      </c>
      <c r="O751" s="13">
        <v>311.21039507210031</v>
      </c>
      <c r="P751" s="13">
        <v>0</v>
      </c>
      <c r="Q751" s="14">
        <v>1</v>
      </c>
      <c r="R751" s="15">
        <v>0</v>
      </c>
    </row>
    <row r="752" spans="1:18" ht="18" customHeight="1">
      <c r="A752" s="10" t="s">
        <v>181</v>
      </c>
      <c r="B752" s="10" t="s">
        <v>182</v>
      </c>
      <c r="C752" s="10" t="s">
        <v>241</v>
      </c>
      <c r="D752" s="10" t="s">
        <v>249</v>
      </c>
      <c r="E752" s="16">
        <v>5</v>
      </c>
      <c r="F752" s="16">
        <v>5</v>
      </c>
      <c r="G752" s="13">
        <v>4.7782644700000002E-2</v>
      </c>
      <c r="H752" s="13">
        <v>4.7782644700000002E-2</v>
      </c>
      <c r="I752" s="14">
        <v>0</v>
      </c>
      <c r="J752" s="15">
        <v>1</v>
      </c>
      <c r="K752" s="14">
        <v>530.6488947587427</v>
      </c>
      <c r="L752" s="13">
        <v>25.355807598704697</v>
      </c>
      <c r="M752" s="14">
        <v>3.7236509884309514</v>
      </c>
      <c r="N752" s="14">
        <v>529.23796206231179</v>
      </c>
      <c r="O752" s="13">
        <v>25.288389502975523</v>
      </c>
      <c r="P752" s="13">
        <v>6.7418095729173899E-2</v>
      </c>
      <c r="Q752" s="14">
        <v>1.0026659703150034</v>
      </c>
      <c r="R752" s="15">
        <v>2.665970315003304E-3</v>
      </c>
    </row>
    <row r="753" spans="1:18" ht="18" customHeight="1">
      <c r="A753" s="10" t="s">
        <v>181</v>
      </c>
      <c r="B753" s="10" t="s">
        <v>182</v>
      </c>
      <c r="C753" s="10" t="s">
        <v>241</v>
      </c>
      <c r="D753" s="10" t="s">
        <v>250</v>
      </c>
      <c r="E753" s="16">
        <v>3</v>
      </c>
      <c r="F753" s="16">
        <v>3</v>
      </c>
      <c r="G753" s="13">
        <v>3.0232542599999999E-2</v>
      </c>
      <c r="H753" s="13">
        <v>3.0232542599999999E-2</v>
      </c>
      <c r="I753" s="14">
        <v>0</v>
      </c>
      <c r="J753" s="15">
        <v>1</v>
      </c>
      <c r="K753" s="14">
        <v>1657.6099883176064</v>
      </c>
      <c r="L753" s="13">
        <v>50.113764585997536</v>
      </c>
      <c r="M753" s="14">
        <v>4.2193720693872434</v>
      </c>
      <c r="N753" s="14">
        <v>1657.1891048891134</v>
      </c>
      <c r="O753" s="13">
        <v>50.101040209815984</v>
      </c>
      <c r="P753" s="13">
        <v>1.2724376181552088E-2</v>
      </c>
      <c r="Q753" s="14">
        <v>1.0002539742913175</v>
      </c>
      <c r="R753" s="15">
        <v>2.5397429131739026E-4</v>
      </c>
    </row>
    <row r="754" spans="1:18" ht="18" customHeight="1">
      <c r="A754" s="10" t="s">
        <v>133</v>
      </c>
      <c r="B754" s="10" t="s">
        <v>134</v>
      </c>
      <c r="C754" s="10" t="s">
        <v>254</v>
      </c>
      <c r="D754" s="10" t="s">
        <v>255</v>
      </c>
      <c r="E754" s="16">
        <v>2</v>
      </c>
      <c r="F754" s="16">
        <v>2</v>
      </c>
      <c r="G754" s="13">
        <v>171.17425699109998</v>
      </c>
      <c r="H754" s="13">
        <v>171.17425699109998</v>
      </c>
      <c r="I754" s="14">
        <v>0</v>
      </c>
      <c r="J754" s="15">
        <v>1</v>
      </c>
      <c r="K754" s="14">
        <v>1005.2757956796951</v>
      </c>
      <c r="L754" s="13">
        <v>172077.33739660864</v>
      </c>
      <c r="M754" s="14">
        <v>3.9991447972458873</v>
      </c>
      <c r="N754" s="14">
        <v>998.03276044413769</v>
      </c>
      <c r="O754" s="13">
        <v>170837.51622180175</v>
      </c>
      <c r="P754" s="13">
        <v>1239.8211748068861</v>
      </c>
      <c r="Q754" s="14">
        <v>1.0072573121070034</v>
      </c>
      <c r="R754" s="15">
        <v>7.2573121070034852E-3</v>
      </c>
    </row>
    <row r="755" spans="1:18" ht="18" customHeight="1">
      <c r="A755" s="10" t="s">
        <v>133</v>
      </c>
      <c r="B755" s="10" t="s">
        <v>134</v>
      </c>
      <c r="C755" s="10" t="s">
        <v>254</v>
      </c>
      <c r="D755" s="10" t="s">
        <v>256</v>
      </c>
      <c r="E755" s="16">
        <v>1</v>
      </c>
      <c r="F755" s="16">
        <v>1</v>
      </c>
      <c r="G755" s="13">
        <v>4.4929819000000008E-3</v>
      </c>
      <c r="H755" s="13">
        <v>4.4929819000000008E-3</v>
      </c>
      <c r="I755" s="14">
        <v>0</v>
      </c>
      <c r="J755" s="15">
        <v>1</v>
      </c>
      <c r="K755" s="14">
        <v>489.77881936844614</v>
      </c>
      <c r="L755" s="13">
        <v>2.2005673704257984</v>
      </c>
      <c r="M755" s="14">
        <v>3.69</v>
      </c>
      <c r="N755" s="14">
        <v>489.77881936844614</v>
      </c>
      <c r="O755" s="13">
        <v>2.2005673704257984</v>
      </c>
      <c r="P755" s="13">
        <v>0</v>
      </c>
      <c r="Q755" s="14">
        <v>1</v>
      </c>
      <c r="R755" s="15">
        <v>0</v>
      </c>
    </row>
    <row r="756" spans="1:18" ht="18" customHeight="1">
      <c r="A756" s="10" t="s">
        <v>133</v>
      </c>
      <c r="B756" s="10" t="s">
        <v>134</v>
      </c>
      <c r="C756" s="10" t="s">
        <v>254</v>
      </c>
      <c r="D756" s="10" t="s">
        <v>257</v>
      </c>
      <c r="E756" s="16">
        <v>1</v>
      </c>
      <c r="F756" s="16">
        <v>1</v>
      </c>
      <c r="G756" s="13">
        <v>72.569385821500006</v>
      </c>
      <c r="H756" s="13">
        <v>72.569385821500006</v>
      </c>
      <c r="I756" s="14">
        <v>0</v>
      </c>
      <c r="J756" s="15">
        <v>1</v>
      </c>
      <c r="K756" s="14">
        <v>346.73685045253166</v>
      </c>
      <c r="L756" s="13">
        <v>25162.480279021518</v>
      </c>
      <c r="M756" s="14">
        <v>3.54</v>
      </c>
      <c r="N756" s="14">
        <v>346.73685045253166</v>
      </c>
      <c r="O756" s="13">
        <v>25162.480279021518</v>
      </c>
      <c r="P756" s="13">
        <v>0</v>
      </c>
      <c r="Q756" s="14">
        <v>1</v>
      </c>
      <c r="R756" s="15">
        <v>0</v>
      </c>
    </row>
    <row r="757" spans="1:18" ht="18" customHeight="1">
      <c r="A757" s="10" t="s">
        <v>133</v>
      </c>
      <c r="B757" s="10" t="s">
        <v>134</v>
      </c>
      <c r="C757" s="10" t="s">
        <v>254</v>
      </c>
      <c r="D757" s="10" t="s">
        <v>258</v>
      </c>
      <c r="E757" s="16">
        <v>3</v>
      </c>
      <c r="F757" s="16">
        <v>3</v>
      </c>
      <c r="G757" s="13">
        <v>28431.372777972701</v>
      </c>
      <c r="H757" s="13">
        <v>28431.372777972701</v>
      </c>
      <c r="I757" s="14">
        <v>0</v>
      </c>
      <c r="J757" s="15">
        <v>1</v>
      </c>
      <c r="K757" s="14">
        <v>1235.6537269800697</v>
      </c>
      <c r="L757" s="13">
        <v>35131331.736261666</v>
      </c>
      <c r="M757" s="14">
        <v>4.0911736197612756</v>
      </c>
      <c r="N757" s="14">
        <v>1233.597895368792</v>
      </c>
      <c r="O757" s="13">
        <v>35072881.621352687</v>
      </c>
      <c r="P757" s="13">
        <v>58450.114908978343</v>
      </c>
      <c r="Q757" s="14">
        <v>1.0016665330080377</v>
      </c>
      <c r="R757" s="15">
        <v>1.6665330080375656E-3</v>
      </c>
    </row>
    <row r="758" spans="1:18" ht="18" customHeight="1">
      <c r="A758" s="10" t="s">
        <v>133</v>
      </c>
      <c r="B758" s="10" t="s">
        <v>134</v>
      </c>
      <c r="C758" s="10" t="s">
        <v>254</v>
      </c>
      <c r="D758" s="10" t="s">
        <v>259</v>
      </c>
      <c r="E758" s="16">
        <v>7</v>
      </c>
      <c r="F758" s="16">
        <v>7</v>
      </c>
      <c r="G758" s="13">
        <v>169.35419098810002</v>
      </c>
      <c r="H758" s="13">
        <v>169.35419098810002</v>
      </c>
      <c r="I758" s="14">
        <v>0</v>
      </c>
      <c r="J758" s="15">
        <v>1</v>
      </c>
      <c r="K758" s="14">
        <v>1003.4815188652593</v>
      </c>
      <c r="L758" s="13">
        <v>169943.80079893582</v>
      </c>
      <c r="M758" s="14">
        <v>3.7416530378783994</v>
      </c>
      <c r="N758" s="14">
        <v>551.63655533587507</v>
      </c>
      <c r="O758" s="13">
        <v>93421.962548369396</v>
      </c>
      <c r="P758" s="13">
        <v>76521.838250566419</v>
      </c>
      <c r="Q758" s="14">
        <v>1.8190990230048645</v>
      </c>
      <c r="R758" s="15">
        <v>0.81909902300486459</v>
      </c>
    </row>
    <row r="759" spans="1:18" ht="18" customHeight="1">
      <c r="A759" s="10" t="s">
        <v>133</v>
      </c>
      <c r="B759" s="10" t="s">
        <v>134</v>
      </c>
      <c r="C759" s="10" t="s">
        <v>254</v>
      </c>
      <c r="D759" s="10" t="s">
        <v>260</v>
      </c>
      <c r="E759" s="16">
        <v>1</v>
      </c>
      <c r="F759" s="16">
        <v>1</v>
      </c>
      <c r="G759" s="13">
        <v>1027.7270369283001</v>
      </c>
      <c r="H759" s="13">
        <v>1027.7270369283001</v>
      </c>
      <c r="I759" s="14">
        <v>0</v>
      </c>
      <c r="J759" s="15">
        <v>1</v>
      </c>
      <c r="K759" s="14">
        <v>1000</v>
      </c>
      <c r="L759" s="13">
        <v>1027727.0369283</v>
      </c>
      <c r="M759" s="14">
        <v>4</v>
      </c>
      <c r="N759" s="14">
        <v>1000</v>
      </c>
      <c r="O759" s="13">
        <v>1027727.0369283</v>
      </c>
      <c r="P759" s="13">
        <v>0</v>
      </c>
      <c r="Q759" s="14">
        <v>1</v>
      </c>
      <c r="R759" s="15">
        <v>0</v>
      </c>
    </row>
    <row r="760" spans="1:18" ht="18" customHeight="1">
      <c r="A760" s="10" t="s">
        <v>133</v>
      </c>
      <c r="B760" s="10" t="s">
        <v>134</v>
      </c>
      <c r="C760" s="10" t="s">
        <v>254</v>
      </c>
      <c r="D760" s="10" t="s">
        <v>261</v>
      </c>
      <c r="E760" s="16">
        <v>13</v>
      </c>
      <c r="F760" s="16">
        <v>13</v>
      </c>
      <c r="G760" s="13">
        <v>1430.4836735423</v>
      </c>
      <c r="H760" s="13">
        <v>1430.4836735423</v>
      </c>
      <c r="I760" s="14">
        <v>0</v>
      </c>
      <c r="J760" s="15">
        <v>1</v>
      </c>
      <c r="K760" s="14">
        <v>3314.4355949675814</v>
      </c>
      <c r="L760" s="13">
        <v>4741246.0056085847</v>
      </c>
      <c r="M760" s="14">
        <v>4.5190054227744074</v>
      </c>
      <c r="N760" s="14">
        <v>3303.7366618864526</v>
      </c>
      <c r="O760" s="13">
        <v>4725941.3565117083</v>
      </c>
      <c r="P760" s="13">
        <v>15304.649096876383</v>
      </c>
      <c r="Q760" s="14">
        <v>1.0032384339843297</v>
      </c>
      <c r="R760" s="15">
        <v>3.2384339843296289E-3</v>
      </c>
    </row>
    <row r="761" spans="1:18" ht="18" customHeight="1">
      <c r="A761" s="10" t="s">
        <v>133</v>
      </c>
      <c r="B761" s="10" t="s">
        <v>134</v>
      </c>
      <c r="C761" s="10" t="s">
        <v>254</v>
      </c>
      <c r="D761" s="10" t="s">
        <v>262</v>
      </c>
      <c r="E761" s="16">
        <v>1</v>
      </c>
      <c r="F761" s="16">
        <v>1</v>
      </c>
      <c r="G761" s="13">
        <v>12.933121724999999</v>
      </c>
      <c r="H761" s="13">
        <v>12.933121724999999</v>
      </c>
      <c r="I761" s="14">
        <v>0</v>
      </c>
      <c r="J761" s="15">
        <v>1</v>
      </c>
      <c r="K761" s="14">
        <v>660.69344800759575</v>
      </c>
      <c r="L761" s="13">
        <v>8544.8287859921948</v>
      </c>
      <c r="M761" s="14">
        <v>3.82</v>
      </c>
      <c r="N761" s="14">
        <v>660.69344800759575</v>
      </c>
      <c r="O761" s="13">
        <v>8544.8287859921948</v>
      </c>
      <c r="P761" s="13">
        <v>0</v>
      </c>
      <c r="Q761" s="14">
        <v>1</v>
      </c>
      <c r="R761" s="15">
        <v>0</v>
      </c>
    </row>
    <row r="762" spans="1:18" ht="18" customHeight="1">
      <c r="A762" s="10" t="s">
        <v>133</v>
      </c>
      <c r="B762" s="10" t="s">
        <v>134</v>
      </c>
      <c r="C762" s="10" t="s">
        <v>254</v>
      </c>
      <c r="D762" s="10" t="s">
        <v>263</v>
      </c>
      <c r="E762" s="16">
        <v>1</v>
      </c>
      <c r="F762" s="16">
        <v>1</v>
      </c>
      <c r="G762" s="13">
        <v>32742.6339197331</v>
      </c>
      <c r="H762" s="13">
        <v>32742.6339197331</v>
      </c>
      <c r="I762" s="14">
        <v>0</v>
      </c>
      <c r="J762" s="15">
        <v>1</v>
      </c>
      <c r="K762" s="14">
        <v>616.59500186148216</v>
      </c>
      <c r="L762" s="13">
        <v>20188944.422687661</v>
      </c>
      <c r="M762" s="14">
        <v>3.79</v>
      </c>
      <c r="N762" s="14">
        <v>616.59500186148216</v>
      </c>
      <c r="O762" s="13">
        <v>20188944.422687661</v>
      </c>
      <c r="P762" s="13">
        <v>0</v>
      </c>
      <c r="Q762" s="14">
        <v>1</v>
      </c>
      <c r="R762" s="15">
        <v>0</v>
      </c>
    </row>
    <row r="763" spans="1:18" ht="18" customHeight="1">
      <c r="A763" s="10" t="s">
        <v>133</v>
      </c>
      <c r="B763" s="10" t="s">
        <v>134</v>
      </c>
      <c r="C763" s="10" t="s">
        <v>254</v>
      </c>
      <c r="D763" s="10" t="s">
        <v>264</v>
      </c>
      <c r="E763" s="16">
        <v>9</v>
      </c>
      <c r="F763" s="16">
        <v>9</v>
      </c>
      <c r="G763" s="13">
        <v>4199.0535592590004</v>
      </c>
      <c r="H763" s="13">
        <v>4199.0535592590004</v>
      </c>
      <c r="I763" s="14">
        <v>0</v>
      </c>
      <c r="J763" s="15">
        <v>1</v>
      </c>
      <c r="K763" s="14">
        <v>2339.7217156919392</v>
      </c>
      <c r="L763" s="13">
        <v>9824616.7979518119</v>
      </c>
      <c r="M763" s="14">
        <v>4.365606792430694</v>
      </c>
      <c r="N763" s="14">
        <v>2320.6347563899917</v>
      </c>
      <c r="O763" s="13">
        <v>9744469.6335595381</v>
      </c>
      <c r="P763" s="13">
        <v>80147.164392273873</v>
      </c>
      <c r="Q763" s="14">
        <v>1.0082248872854249</v>
      </c>
      <c r="R763" s="15">
        <v>8.2248872854250015E-3</v>
      </c>
    </row>
    <row r="764" spans="1:18" ht="18" customHeight="1">
      <c r="A764" s="10" t="s">
        <v>133</v>
      </c>
      <c r="B764" s="10" t="s">
        <v>134</v>
      </c>
      <c r="C764" s="10" t="s">
        <v>254</v>
      </c>
      <c r="D764" s="10" t="s">
        <v>265</v>
      </c>
      <c r="E764" s="16">
        <v>1</v>
      </c>
      <c r="F764" s="16">
        <v>1</v>
      </c>
      <c r="G764" s="13">
        <v>1.5710905816</v>
      </c>
      <c r="H764" s="13">
        <v>1.5710905816</v>
      </c>
      <c r="I764" s="14">
        <v>0</v>
      </c>
      <c r="J764" s="15">
        <v>1</v>
      </c>
      <c r="K764" s="14">
        <v>346.73685045253166</v>
      </c>
      <c r="L764" s="13">
        <v>544.7550000396202</v>
      </c>
      <c r="M764" s="14">
        <v>3.54</v>
      </c>
      <c r="N764" s="14">
        <v>346.73685045253166</v>
      </c>
      <c r="O764" s="13">
        <v>544.7550000396202</v>
      </c>
      <c r="P764" s="13">
        <v>0</v>
      </c>
      <c r="Q764" s="14">
        <v>1</v>
      </c>
      <c r="R764" s="15">
        <v>0</v>
      </c>
    </row>
    <row r="765" spans="1:18" ht="18" customHeight="1">
      <c r="A765" s="10" t="s">
        <v>133</v>
      </c>
      <c r="B765" s="10" t="s">
        <v>134</v>
      </c>
      <c r="C765" s="10" t="s">
        <v>254</v>
      </c>
      <c r="D765" s="10" t="s">
        <v>266</v>
      </c>
      <c r="E765" s="16">
        <v>2</v>
      </c>
      <c r="F765" s="16">
        <v>2</v>
      </c>
      <c r="G765" s="13">
        <v>2.3075275958999999</v>
      </c>
      <c r="H765" s="13">
        <v>2.3075275958999999</v>
      </c>
      <c r="I765" s="14">
        <v>0</v>
      </c>
      <c r="J765" s="15">
        <v>1</v>
      </c>
      <c r="K765" s="14">
        <v>1438.377992995489</v>
      </c>
      <c r="L765" s="13">
        <v>3319.0969121723474</v>
      </c>
      <c r="M765" s="14">
        <v>3.8353195087845586</v>
      </c>
      <c r="N765" s="14">
        <v>684.41498358571812</v>
      </c>
      <c r="O765" s="13">
        <v>1579.3064616714901</v>
      </c>
      <c r="P765" s="13">
        <v>1739.7904505008573</v>
      </c>
      <c r="Q765" s="14">
        <v>2.1016167493290161</v>
      </c>
      <c r="R765" s="15">
        <v>1.1016167493290161</v>
      </c>
    </row>
    <row r="766" spans="1:18" ht="18" customHeight="1">
      <c r="A766" s="10" t="s">
        <v>133</v>
      </c>
      <c r="B766" s="10" t="s">
        <v>134</v>
      </c>
      <c r="C766" s="10" t="s">
        <v>254</v>
      </c>
      <c r="D766" s="10" t="s">
        <v>267</v>
      </c>
      <c r="E766" s="16">
        <v>3</v>
      </c>
      <c r="F766" s="16">
        <v>3</v>
      </c>
      <c r="G766" s="13">
        <v>90.698939422200013</v>
      </c>
      <c r="H766" s="13">
        <v>90.698939422200013</v>
      </c>
      <c r="I766" s="14">
        <v>0</v>
      </c>
      <c r="J766" s="15">
        <v>1</v>
      </c>
      <c r="K766" s="14">
        <v>445.72002116459652</v>
      </c>
      <c r="L766" s="13">
        <v>40426.333198869448</v>
      </c>
      <c r="M766" s="14">
        <v>3.6487505032538525</v>
      </c>
      <c r="N766" s="14">
        <v>445.40029798585238</v>
      </c>
      <c r="O766" s="13">
        <v>40397.334645648662</v>
      </c>
      <c r="P766" s="13">
        <v>28.998553220786562</v>
      </c>
      <c r="Q766" s="14">
        <v>1.0007178333292321</v>
      </c>
      <c r="R766" s="15">
        <v>7.1783332923203386E-4</v>
      </c>
    </row>
    <row r="767" spans="1:18" ht="18" customHeight="1">
      <c r="A767" s="10" t="s">
        <v>133</v>
      </c>
      <c r="B767" s="10" t="s">
        <v>134</v>
      </c>
      <c r="C767" s="10" t="s">
        <v>254</v>
      </c>
      <c r="D767" s="10" t="s">
        <v>268</v>
      </c>
      <c r="E767" s="16">
        <v>4</v>
      </c>
      <c r="F767" s="16">
        <v>4</v>
      </c>
      <c r="G767" s="13">
        <v>6.2992838815000001</v>
      </c>
      <c r="H767" s="13">
        <v>6.2992838815000001</v>
      </c>
      <c r="I767" s="14">
        <v>0</v>
      </c>
      <c r="J767" s="15">
        <v>1</v>
      </c>
      <c r="K767" s="14">
        <v>924.46087380524966</v>
      </c>
      <c r="L767" s="13">
        <v>5823.4414814388147</v>
      </c>
      <c r="M767" s="14">
        <v>3.907720606611147</v>
      </c>
      <c r="N767" s="14">
        <v>808.57555329281161</v>
      </c>
      <c r="O767" s="13">
        <v>5093.4469498323524</v>
      </c>
      <c r="P767" s="13">
        <v>729.99453160646226</v>
      </c>
      <c r="Q767" s="14">
        <v>1.1433203366593403</v>
      </c>
      <c r="R767" s="15">
        <v>0.14332033665934021</v>
      </c>
    </row>
    <row r="768" spans="1:18" ht="18" customHeight="1">
      <c r="A768" s="10" t="s">
        <v>133</v>
      </c>
      <c r="B768" s="10" t="s">
        <v>134</v>
      </c>
      <c r="C768" s="10" t="s">
        <v>254</v>
      </c>
      <c r="D768" s="10" t="s">
        <v>269</v>
      </c>
      <c r="E768" s="16">
        <v>5</v>
      </c>
      <c r="F768" s="16">
        <v>5</v>
      </c>
      <c r="G768" s="13">
        <v>4558.9808774373996</v>
      </c>
      <c r="H768" s="13">
        <v>4558.9808774373996</v>
      </c>
      <c r="I768" s="14">
        <v>0</v>
      </c>
      <c r="J768" s="15">
        <v>1</v>
      </c>
      <c r="K768" s="14">
        <v>492.38051209313539</v>
      </c>
      <c r="L768" s="13">
        <v>2244753.3390554385</v>
      </c>
      <c r="M768" s="14">
        <v>3.4116092209485509</v>
      </c>
      <c r="N768" s="14">
        <v>257.99377127445615</v>
      </c>
      <c r="O768" s="13">
        <v>1176188.669738204</v>
      </c>
      <c r="P768" s="13">
        <v>1068564.6693172345</v>
      </c>
      <c r="Q768" s="14">
        <v>1.9084976728734138</v>
      </c>
      <c r="R768" s="15">
        <v>0.90849767287341376</v>
      </c>
    </row>
    <row r="769" spans="1:18" ht="18" customHeight="1">
      <c r="A769" s="10" t="s">
        <v>133</v>
      </c>
      <c r="B769" s="10" t="s">
        <v>134</v>
      </c>
      <c r="C769" s="10" t="s">
        <v>254</v>
      </c>
      <c r="D769" s="10" t="s">
        <v>270</v>
      </c>
      <c r="E769" s="16">
        <v>4</v>
      </c>
      <c r="F769" s="16">
        <v>4</v>
      </c>
      <c r="G769" s="13">
        <v>41.445548193500002</v>
      </c>
      <c r="H769" s="13">
        <v>41.445548193500002</v>
      </c>
      <c r="I769" s="14">
        <v>0</v>
      </c>
      <c r="J769" s="15">
        <v>1</v>
      </c>
      <c r="K769" s="14">
        <v>283.92157173757568</v>
      </c>
      <c r="L769" s="13">
        <v>11767.285184623961</v>
      </c>
      <c r="M769" s="14">
        <v>3.418446162863106</v>
      </c>
      <c r="N769" s="14">
        <v>262.08741229135319</v>
      </c>
      <c r="O769" s="13">
        <v>10862.356477030984</v>
      </c>
      <c r="P769" s="13">
        <v>904.92870759297693</v>
      </c>
      <c r="Q769" s="14">
        <v>1.0833086917655939</v>
      </c>
      <c r="R769" s="15">
        <v>8.3308691765593926E-2</v>
      </c>
    </row>
    <row r="770" spans="1:18" ht="18" customHeight="1">
      <c r="A770" s="10" t="s">
        <v>133</v>
      </c>
      <c r="B770" s="10" t="s">
        <v>134</v>
      </c>
      <c r="C770" s="10" t="s">
        <v>254</v>
      </c>
      <c r="D770" s="10" t="s">
        <v>271</v>
      </c>
      <c r="E770" s="16">
        <v>1</v>
      </c>
      <c r="F770" s="16">
        <v>1</v>
      </c>
      <c r="G770" s="13">
        <v>3.4029850746000001</v>
      </c>
      <c r="H770" s="13">
        <v>3.4029850746000001</v>
      </c>
      <c r="I770" s="14">
        <v>0</v>
      </c>
      <c r="J770" s="15">
        <v>1</v>
      </c>
      <c r="K770" s="14">
        <v>12.589254117941673</v>
      </c>
      <c r="L770" s="13">
        <v>42.841043863702104</v>
      </c>
      <c r="M770" s="14">
        <v>2.1</v>
      </c>
      <c r="N770" s="14">
        <v>12.589254117941675</v>
      </c>
      <c r="O770" s="13">
        <v>42.841043863702104</v>
      </c>
      <c r="P770" s="13">
        <v>0</v>
      </c>
      <c r="Q770" s="14">
        <v>1</v>
      </c>
      <c r="R770" s="15">
        <v>0</v>
      </c>
    </row>
    <row r="771" spans="1:18" ht="18" customHeight="1">
      <c r="A771" s="10" t="s">
        <v>133</v>
      </c>
      <c r="B771" s="10" t="s">
        <v>134</v>
      </c>
      <c r="C771" s="10" t="s">
        <v>254</v>
      </c>
      <c r="D771" s="10" t="s">
        <v>272</v>
      </c>
      <c r="E771" s="16">
        <v>2</v>
      </c>
      <c r="F771" s="16">
        <v>2</v>
      </c>
      <c r="G771" s="13">
        <v>7.2308357360000004</v>
      </c>
      <c r="H771" s="13">
        <v>7.2308357360000004</v>
      </c>
      <c r="I771" s="14">
        <v>0</v>
      </c>
      <c r="J771" s="15">
        <v>1</v>
      </c>
      <c r="K771" s="14">
        <v>117.46031460556223</v>
      </c>
      <c r="L771" s="13">
        <v>849.33624041170219</v>
      </c>
      <c r="M771" s="14">
        <v>3.0698383113875507</v>
      </c>
      <c r="N771" s="14">
        <v>117.44602198936094</v>
      </c>
      <c r="O771" s="13">
        <v>849.23289285171302</v>
      </c>
      <c r="P771" s="13">
        <v>0.10334755998917444</v>
      </c>
      <c r="Q771" s="14">
        <v>1.0001216951920482</v>
      </c>
      <c r="R771" s="15">
        <v>1.2169519204812555E-4</v>
      </c>
    </row>
    <row r="772" spans="1:18" ht="18" customHeight="1">
      <c r="A772" s="10" t="s">
        <v>133</v>
      </c>
      <c r="B772" s="10" t="s">
        <v>134</v>
      </c>
      <c r="C772" s="10" t="s">
        <v>254</v>
      </c>
      <c r="D772" s="10" t="s">
        <v>273</v>
      </c>
      <c r="E772" s="16">
        <v>1</v>
      </c>
      <c r="F772" s="16">
        <v>1</v>
      </c>
      <c r="G772" s="13">
        <v>13.790626701400001</v>
      </c>
      <c r="H772" s="13">
        <v>13.790626701400001</v>
      </c>
      <c r="I772" s="14">
        <v>0</v>
      </c>
      <c r="J772" s="15">
        <v>1</v>
      </c>
      <c r="K772" s="14">
        <v>141.2537544622754</v>
      </c>
      <c r="L772" s="13">
        <v>1947.9777979604546</v>
      </c>
      <c r="M772" s="14">
        <v>3.1500000000000004</v>
      </c>
      <c r="N772" s="14">
        <v>141.25375446227554</v>
      </c>
      <c r="O772" s="13">
        <v>1947.9777979604564</v>
      </c>
      <c r="P772" s="13">
        <v>-1.8189894035458565E-12</v>
      </c>
      <c r="Q772" s="14">
        <v>0.99999999999999911</v>
      </c>
      <c r="R772" s="15">
        <v>-9.3378343708555016E-16</v>
      </c>
    </row>
    <row r="773" spans="1:18" ht="18" customHeight="1">
      <c r="A773" s="10" t="s">
        <v>133</v>
      </c>
      <c r="B773" s="10" t="s">
        <v>134</v>
      </c>
      <c r="C773" s="10" t="s">
        <v>254</v>
      </c>
      <c r="D773" s="10" t="s">
        <v>274</v>
      </c>
      <c r="E773" s="16">
        <v>4</v>
      </c>
      <c r="F773" s="16">
        <v>4</v>
      </c>
      <c r="G773" s="13">
        <v>14761.9377188538</v>
      </c>
      <c r="H773" s="13">
        <v>14761.9377188538</v>
      </c>
      <c r="I773" s="14">
        <v>0</v>
      </c>
      <c r="J773" s="15">
        <v>1</v>
      </c>
      <c r="K773" s="14">
        <v>1893.5648937251644</v>
      </c>
      <c r="L773" s="13">
        <v>27952687.027778894</v>
      </c>
      <c r="M773" s="14">
        <v>4.1689867329122512</v>
      </c>
      <c r="N773" s="14">
        <v>1475.6614531981083</v>
      </c>
      <c r="O773" s="13">
        <v>21783622.466223769</v>
      </c>
      <c r="P773" s="13">
        <v>6169064.5615551248</v>
      </c>
      <c r="Q773" s="14">
        <v>1.2831973686250056</v>
      </c>
      <c r="R773" s="15">
        <v>0.28319736862500555</v>
      </c>
    </row>
    <row r="774" spans="1:18" ht="18" customHeight="1">
      <c r="A774" s="10" t="s">
        <v>133</v>
      </c>
      <c r="B774" s="10" t="s">
        <v>134</v>
      </c>
      <c r="C774" s="10" t="s">
        <v>254</v>
      </c>
      <c r="D774" s="10" t="s">
        <v>275</v>
      </c>
      <c r="E774" s="16">
        <v>1</v>
      </c>
      <c r="F774" s="16">
        <v>1</v>
      </c>
      <c r="G774" s="13">
        <v>0.1276234665</v>
      </c>
      <c r="H774" s="13">
        <v>0.1276234665</v>
      </c>
      <c r="I774" s="14">
        <v>0</v>
      </c>
      <c r="J774" s="15">
        <v>1</v>
      </c>
      <c r="K774" s="14">
        <v>691.83097091893626</v>
      </c>
      <c r="L774" s="13">
        <v>88.293866740735339</v>
      </c>
      <c r="M774" s="14">
        <v>3.84</v>
      </c>
      <c r="N774" s="14">
        <v>691.83097091893626</v>
      </c>
      <c r="O774" s="13">
        <v>88.293866740735339</v>
      </c>
      <c r="P774" s="13">
        <v>0</v>
      </c>
      <c r="Q774" s="14">
        <v>1</v>
      </c>
      <c r="R774" s="15">
        <v>0</v>
      </c>
    </row>
    <row r="775" spans="1:18" ht="18" customHeight="1">
      <c r="A775" s="10" t="s">
        <v>123</v>
      </c>
      <c r="B775" s="10" t="s">
        <v>124</v>
      </c>
      <c r="C775" s="10" t="s">
        <v>254</v>
      </c>
      <c r="D775" s="10" t="s">
        <v>255</v>
      </c>
      <c r="E775" s="16">
        <v>6</v>
      </c>
      <c r="F775" s="16">
        <v>6</v>
      </c>
      <c r="G775" s="13">
        <v>34.840842076599998</v>
      </c>
      <c r="H775" s="13">
        <v>34.840842076599998</v>
      </c>
      <c r="I775" s="14">
        <v>0</v>
      </c>
      <c r="J775" s="15">
        <v>1</v>
      </c>
      <c r="K775" s="14">
        <v>904.70685471618572</v>
      </c>
      <c r="L775" s="13">
        <v>31520.748650784124</v>
      </c>
      <c r="M775" s="14">
        <v>3.9466581725229544</v>
      </c>
      <c r="N775" s="14">
        <v>884.41922106610593</v>
      </c>
      <c r="O775" s="13">
        <v>30813.91041067378</v>
      </c>
      <c r="P775" s="13">
        <v>706.83824011034449</v>
      </c>
      <c r="Q775" s="14">
        <v>1.0229389334456396</v>
      </c>
      <c r="R775" s="15">
        <v>2.2938933445639517E-2</v>
      </c>
    </row>
    <row r="776" spans="1:18" ht="18" customHeight="1">
      <c r="A776" s="10" t="s">
        <v>123</v>
      </c>
      <c r="B776" s="10" t="s">
        <v>124</v>
      </c>
      <c r="C776" s="10" t="s">
        <v>254</v>
      </c>
      <c r="D776" s="10" t="s">
        <v>256</v>
      </c>
      <c r="E776" s="16">
        <v>2</v>
      </c>
      <c r="F776" s="16">
        <v>2</v>
      </c>
      <c r="G776" s="13">
        <v>2.2832826660999999</v>
      </c>
      <c r="H776" s="13">
        <v>2.2832826660999999</v>
      </c>
      <c r="I776" s="14">
        <v>0</v>
      </c>
      <c r="J776" s="15">
        <v>1</v>
      </c>
      <c r="K776" s="14">
        <v>2063.0692062330818</v>
      </c>
      <c r="L776" s="13">
        <v>4710.5701575566818</v>
      </c>
      <c r="M776" s="14">
        <v>4.2034838884414549</v>
      </c>
      <c r="N776" s="14">
        <v>1597.6582576584722</v>
      </c>
      <c r="O776" s="13">
        <v>3647.905406063117</v>
      </c>
      <c r="P776" s="13">
        <v>1062.6647514935648</v>
      </c>
      <c r="Q776" s="14">
        <v>1.2913081983231607</v>
      </c>
      <c r="R776" s="15">
        <v>0.29130819832316079</v>
      </c>
    </row>
    <row r="777" spans="1:18" ht="18" customHeight="1">
      <c r="A777" s="10" t="s">
        <v>123</v>
      </c>
      <c r="B777" s="10" t="s">
        <v>124</v>
      </c>
      <c r="C777" s="10" t="s">
        <v>254</v>
      </c>
      <c r="D777" s="10" t="s">
        <v>257</v>
      </c>
      <c r="E777" s="16">
        <v>1</v>
      </c>
      <c r="F777" s="16">
        <v>1</v>
      </c>
      <c r="G777" s="13">
        <v>3.06399439</v>
      </c>
      <c r="H777" s="13">
        <v>3.06399439</v>
      </c>
      <c r="I777" s="14">
        <v>0</v>
      </c>
      <c r="J777" s="15">
        <v>1</v>
      </c>
      <c r="K777" s="14">
        <v>346.73685045253166</v>
      </c>
      <c r="L777" s="13">
        <v>1062.3997645928259</v>
      </c>
      <c r="M777" s="14">
        <v>3.54</v>
      </c>
      <c r="N777" s="14">
        <v>346.73685045253166</v>
      </c>
      <c r="O777" s="13">
        <v>1062.3997645928259</v>
      </c>
      <c r="P777" s="13">
        <v>0</v>
      </c>
      <c r="Q777" s="14">
        <v>1</v>
      </c>
      <c r="R777" s="15">
        <v>0</v>
      </c>
    </row>
    <row r="778" spans="1:18" ht="18" customHeight="1">
      <c r="A778" s="10" t="s">
        <v>123</v>
      </c>
      <c r="B778" s="10" t="s">
        <v>124</v>
      </c>
      <c r="C778" s="10" t="s">
        <v>254</v>
      </c>
      <c r="D778" s="10" t="s">
        <v>258</v>
      </c>
      <c r="E778" s="16">
        <v>5</v>
      </c>
      <c r="F778" s="16">
        <v>5</v>
      </c>
      <c r="G778" s="13">
        <v>10502.0326970513</v>
      </c>
      <c r="H778" s="13">
        <v>10502.0326970513</v>
      </c>
      <c r="I778" s="14">
        <v>0</v>
      </c>
      <c r="J778" s="15">
        <v>1</v>
      </c>
      <c r="K778" s="14">
        <v>1226.2107363346452</v>
      </c>
      <c r="L778" s="13">
        <v>12877705.246461794</v>
      </c>
      <c r="M778" s="14">
        <v>4.0878822373963768</v>
      </c>
      <c r="N778" s="14">
        <v>1224.2841792937586</v>
      </c>
      <c r="O778" s="13">
        <v>12857472.481425669</v>
      </c>
      <c r="P778" s="13">
        <v>20232.765036124736</v>
      </c>
      <c r="Q778" s="14">
        <v>1.0015736191592364</v>
      </c>
      <c r="R778" s="15">
        <v>1.5736191592362852E-3</v>
      </c>
    </row>
    <row r="779" spans="1:18" ht="18" customHeight="1">
      <c r="A779" s="10" t="s">
        <v>123</v>
      </c>
      <c r="B779" s="10" t="s">
        <v>124</v>
      </c>
      <c r="C779" s="10" t="s">
        <v>254</v>
      </c>
      <c r="D779" s="10" t="s">
        <v>259</v>
      </c>
      <c r="E779" s="16">
        <v>8</v>
      </c>
      <c r="F779" s="16">
        <v>8</v>
      </c>
      <c r="G779" s="13">
        <v>137.77031109429998</v>
      </c>
      <c r="H779" s="13">
        <v>137.77031109429998</v>
      </c>
      <c r="I779" s="14">
        <v>0</v>
      </c>
      <c r="J779" s="15">
        <v>1</v>
      </c>
      <c r="K779" s="14">
        <v>2277.2520607081369</v>
      </c>
      <c r="L779" s="13">
        <v>313737.72484389576</v>
      </c>
      <c r="M779" s="14">
        <v>4.3257987707290075</v>
      </c>
      <c r="N779" s="14">
        <v>2117.3798252320753</v>
      </c>
      <c r="O779" s="13">
        <v>291712.07722701755</v>
      </c>
      <c r="P779" s="13">
        <v>22025.64761687821</v>
      </c>
      <c r="Q779" s="14">
        <v>1.0755047505274775</v>
      </c>
      <c r="R779" s="15">
        <v>7.5504750527477502E-2</v>
      </c>
    </row>
    <row r="780" spans="1:18" ht="18" customHeight="1">
      <c r="A780" s="10" t="s">
        <v>123</v>
      </c>
      <c r="B780" s="10" t="s">
        <v>124</v>
      </c>
      <c r="C780" s="10" t="s">
        <v>254</v>
      </c>
      <c r="D780" s="10" t="s">
        <v>260</v>
      </c>
      <c r="E780" s="16">
        <v>2</v>
      </c>
      <c r="F780" s="16">
        <v>2</v>
      </c>
      <c r="G780" s="13">
        <v>23.530188645500001</v>
      </c>
      <c r="H780" s="13">
        <v>23.530188645500001</v>
      </c>
      <c r="I780" s="14">
        <v>0</v>
      </c>
      <c r="J780" s="15">
        <v>1</v>
      </c>
      <c r="K780" s="14">
        <v>181.99613627540336</v>
      </c>
      <c r="L780" s="13">
        <v>4282.4034193123671</v>
      </c>
      <c r="M780" s="14">
        <v>3.2600235655277712</v>
      </c>
      <c r="N780" s="14">
        <v>181.97996012290039</v>
      </c>
      <c r="O780" s="13">
        <v>4282.0227913924136</v>
      </c>
      <c r="P780" s="13">
        <v>0.38062791995344014</v>
      </c>
      <c r="Q780" s="14">
        <v>1.0000888897463878</v>
      </c>
      <c r="R780" s="15">
        <v>8.8889746387750741E-5</v>
      </c>
    </row>
    <row r="781" spans="1:18" ht="18" customHeight="1">
      <c r="A781" s="10" t="s">
        <v>123</v>
      </c>
      <c r="B781" s="10" t="s">
        <v>124</v>
      </c>
      <c r="C781" s="10" t="s">
        <v>254</v>
      </c>
      <c r="D781" s="10" t="s">
        <v>261</v>
      </c>
      <c r="E781" s="16">
        <v>11</v>
      </c>
      <c r="F781" s="16">
        <v>11</v>
      </c>
      <c r="G781" s="13">
        <v>3351.7616588766996</v>
      </c>
      <c r="H781" s="13">
        <v>3351.7616588766996</v>
      </c>
      <c r="I781" s="14">
        <v>0</v>
      </c>
      <c r="J781" s="15">
        <v>1</v>
      </c>
      <c r="K781" s="14">
        <v>3229.5059349348435</v>
      </c>
      <c r="L781" s="13">
        <v>10824534.169829357</v>
      </c>
      <c r="M781" s="14">
        <v>4.5066114059922855</v>
      </c>
      <c r="N781" s="14">
        <v>3210.7863351959736</v>
      </c>
      <c r="O781" s="13">
        <v>10761790.533155095</v>
      </c>
      <c r="P781" s="13">
        <v>62743.636674262583</v>
      </c>
      <c r="Q781" s="14">
        <v>1.0058302228129194</v>
      </c>
      <c r="R781" s="15">
        <v>5.8302228129195593E-3</v>
      </c>
    </row>
    <row r="782" spans="1:18" ht="18" customHeight="1">
      <c r="A782" s="10" t="s">
        <v>123</v>
      </c>
      <c r="B782" s="10" t="s">
        <v>124</v>
      </c>
      <c r="C782" s="10" t="s">
        <v>254</v>
      </c>
      <c r="D782" s="10" t="s">
        <v>262</v>
      </c>
      <c r="E782" s="16">
        <v>4</v>
      </c>
      <c r="F782" s="16">
        <v>4</v>
      </c>
      <c r="G782" s="13">
        <v>0.7321454007999999</v>
      </c>
      <c r="H782" s="13">
        <v>0.7321454007999999</v>
      </c>
      <c r="I782" s="14">
        <v>0</v>
      </c>
      <c r="J782" s="15">
        <v>1</v>
      </c>
      <c r="K782" s="14">
        <v>401.7441419086158</v>
      </c>
      <c r="L782" s="13">
        <v>294.13512579673557</v>
      </c>
      <c r="M782" s="14">
        <v>3.6022111886904313</v>
      </c>
      <c r="N782" s="14">
        <v>400.13928216094115</v>
      </c>
      <c r="O782" s="13">
        <v>292.96013511354653</v>
      </c>
      <c r="P782" s="13">
        <v>1.1749906831890371</v>
      </c>
      <c r="Q782" s="14">
        <v>1.004010752803393</v>
      </c>
      <c r="R782" s="15">
        <v>4.01075280339296E-3</v>
      </c>
    </row>
    <row r="783" spans="1:18" ht="18" customHeight="1">
      <c r="A783" s="10" t="s">
        <v>123</v>
      </c>
      <c r="B783" s="10" t="s">
        <v>124</v>
      </c>
      <c r="C783" s="10" t="s">
        <v>254</v>
      </c>
      <c r="D783" s="10" t="s">
        <v>263</v>
      </c>
      <c r="E783" s="16">
        <v>1</v>
      </c>
      <c r="F783" s="16">
        <v>1</v>
      </c>
      <c r="G783" s="13">
        <v>1.0525861999999999E-2</v>
      </c>
      <c r="H783" s="13">
        <v>1.0525861999999999E-2</v>
      </c>
      <c r="I783" s="14">
        <v>0</v>
      </c>
      <c r="J783" s="15">
        <v>1</v>
      </c>
      <c r="K783" s="14">
        <v>363.0780547701014</v>
      </c>
      <c r="L783" s="13">
        <v>3.8217094997385286</v>
      </c>
      <c r="M783" s="14">
        <v>3.56</v>
      </c>
      <c r="N783" s="14">
        <v>363.0780547701014</v>
      </c>
      <c r="O783" s="13">
        <v>3.8217094997385286</v>
      </c>
      <c r="P783" s="13">
        <v>0</v>
      </c>
      <c r="Q783" s="14">
        <v>1</v>
      </c>
      <c r="R783" s="15">
        <v>0</v>
      </c>
    </row>
    <row r="784" spans="1:18" ht="18" customHeight="1">
      <c r="A784" s="10" t="s">
        <v>123</v>
      </c>
      <c r="B784" s="10" t="s">
        <v>124</v>
      </c>
      <c r="C784" s="10" t="s">
        <v>254</v>
      </c>
      <c r="D784" s="10" t="s">
        <v>264</v>
      </c>
      <c r="E784" s="16">
        <v>10</v>
      </c>
      <c r="F784" s="16">
        <v>10</v>
      </c>
      <c r="G784" s="13">
        <v>4610.8625866132006</v>
      </c>
      <c r="H784" s="13">
        <v>4610.8625866132006</v>
      </c>
      <c r="I784" s="14">
        <v>0</v>
      </c>
      <c r="J784" s="15">
        <v>1</v>
      </c>
      <c r="K784" s="14">
        <v>2248.3179614401261</v>
      </c>
      <c r="L784" s="13">
        <v>10366685.171214739</v>
      </c>
      <c r="M784" s="14">
        <v>4.3472495202464412</v>
      </c>
      <c r="N784" s="14">
        <v>2224.5876416983697</v>
      </c>
      <c r="O784" s="13">
        <v>10257267.927749105</v>
      </c>
      <c r="P784" s="13">
        <v>109417.24346563406</v>
      </c>
      <c r="Q784" s="14">
        <v>1.0106672892076483</v>
      </c>
      <c r="R784" s="15">
        <v>1.0667289207648202E-2</v>
      </c>
    </row>
    <row r="785" spans="1:18" ht="18" customHeight="1">
      <c r="A785" s="10" t="s">
        <v>123</v>
      </c>
      <c r="B785" s="10" t="s">
        <v>124</v>
      </c>
      <c r="C785" s="10" t="s">
        <v>254</v>
      </c>
      <c r="D785" s="10" t="s">
        <v>265</v>
      </c>
      <c r="E785" s="16">
        <v>7</v>
      </c>
      <c r="F785" s="16">
        <v>7</v>
      </c>
      <c r="G785" s="13">
        <v>183.55478841680002</v>
      </c>
      <c r="H785" s="13">
        <v>183.55478841680002</v>
      </c>
      <c r="I785" s="14">
        <v>0</v>
      </c>
      <c r="J785" s="15">
        <v>1</v>
      </c>
      <c r="K785" s="14">
        <v>254.53066720991404</v>
      </c>
      <c r="L785" s="13">
        <v>46720.322765302713</v>
      </c>
      <c r="M785" s="14">
        <v>3.3106818070735304</v>
      </c>
      <c r="N785" s="14">
        <v>204.49458248581738</v>
      </c>
      <c r="O785" s="13">
        <v>37535.959820566066</v>
      </c>
      <c r="P785" s="13">
        <v>9184.3629447366475</v>
      </c>
      <c r="Q785" s="14">
        <v>1.2446817129131864</v>
      </c>
      <c r="R785" s="15">
        <v>0.24468171291318644</v>
      </c>
    </row>
    <row r="786" spans="1:18" ht="18" customHeight="1">
      <c r="A786" s="10" t="s">
        <v>123</v>
      </c>
      <c r="B786" s="10" t="s">
        <v>124</v>
      </c>
      <c r="C786" s="10" t="s">
        <v>254</v>
      </c>
      <c r="D786" s="10" t="s">
        <v>266</v>
      </c>
      <c r="E786" s="16">
        <v>5</v>
      </c>
      <c r="F786" s="16">
        <v>5</v>
      </c>
      <c r="G786" s="13">
        <v>770.11124160769998</v>
      </c>
      <c r="H786" s="13">
        <v>770.11124160769998</v>
      </c>
      <c r="I786" s="14">
        <v>0</v>
      </c>
      <c r="J786" s="15">
        <v>1</v>
      </c>
      <c r="K786" s="14">
        <v>2883.5694759504036</v>
      </c>
      <c r="L786" s="13">
        <v>2220669.26938623</v>
      </c>
      <c r="M786" s="14">
        <v>4.4598157996570542</v>
      </c>
      <c r="N786" s="14">
        <v>2882.8085381320543</v>
      </c>
      <c r="O786" s="13">
        <v>2220083.2626181548</v>
      </c>
      <c r="P786" s="13">
        <v>586.00676807528362</v>
      </c>
      <c r="Q786" s="14">
        <v>1.0002639571127545</v>
      </c>
      <c r="R786" s="15">
        <v>2.6395711275450229E-4</v>
      </c>
    </row>
    <row r="787" spans="1:18" ht="18" customHeight="1">
      <c r="A787" s="10" t="s">
        <v>123</v>
      </c>
      <c r="B787" s="10" t="s">
        <v>124</v>
      </c>
      <c r="C787" s="10" t="s">
        <v>254</v>
      </c>
      <c r="D787" s="10" t="s">
        <v>267</v>
      </c>
      <c r="E787" s="16">
        <v>4</v>
      </c>
      <c r="F787" s="16">
        <v>4</v>
      </c>
      <c r="G787" s="13">
        <v>9.8930855399999977</v>
      </c>
      <c r="H787" s="13">
        <v>9.8930855399999977</v>
      </c>
      <c r="I787" s="14">
        <v>0</v>
      </c>
      <c r="J787" s="15">
        <v>1</v>
      </c>
      <c r="K787" s="14">
        <v>1053.496945489255</v>
      </c>
      <c r="L787" s="13">
        <v>10422.335397853914</v>
      </c>
      <c r="M787" s="14">
        <v>3.9959083906462416</v>
      </c>
      <c r="N787" s="14">
        <v>990.62296249665371</v>
      </c>
      <c r="O787" s="13">
        <v>9800.3177058676047</v>
      </c>
      <c r="P787" s="13">
        <v>622.01769198630973</v>
      </c>
      <c r="Q787" s="14">
        <v>1.0634691354560779</v>
      </c>
      <c r="R787" s="15">
        <v>6.3469135456077908E-2</v>
      </c>
    </row>
    <row r="788" spans="1:18" ht="18" customHeight="1">
      <c r="A788" s="10" t="s">
        <v>123</v>
      </c>
      <c r="B788" s="10" t="s">
        <v>124</v>
      </c>
      <c r="C788" s="10" t="s">
        <v>254</v>
      </c>
      <c r="D788" s="10" t="s">
        <v>268</v>
      </c>
      <c r="E788" s="16">
        <v>10</v>
      </c>
      <c r="F788" s="16">
        <v>10</v>
      </c>
      <c r="G788" s="13">
        <v>16317.0543874085</v>
      </c>
      <c r="H788" s="13">
        <v>16317.0543874085</v>
      </c>
      <c r="I788" s="14">
        <v>0</v>
      </c>
      <c r="J788" s="15">
        <v>1</v>
      </c>
      <c r="K788" s="14">
        <v>1348.6681586746643</v>
      </c>
      <c r="L788" s="13">
        <v>22006291.695660572</v>
      </c>
      <c r="M788" s="14">
        <v>4.1298731272546387</v>
      </c>
      <c r="N788" s="14">
        <v>1348.5688604824973</v>
      </c>
      <c r="O788" s="13">
        <v>22004671.441658411</v>
      </c>
      <c r="P788" s="13">
        <v>1620.254002161324</v>
      </c>
      <c r="Q788" s="14">
        <v>1.0000736322742403</v>
      </c>
      <c r="R788" s="15">
        <v>7.3632274240365188E-5</v>
      </c>
    </row>
    <row r="789" spans="1:18" ht="18" customHeight="1">
      <c r="A789" s="10" t="s">
        <v>123</v>
      </c>
      <c r="B789" s="10" t="s">
        <v>124</v>
      </c>
      <c r="C789" s="10" t="s">
        <v>254</v>
      </c>
      <c r="D789" s="10" t="s">
        <v>269</v>
      </c>
      <c r="E789" s="16">
        <v>7</v>
      </c>
      <c r="F789" s="16">
        <v>7</v>
      </c>
      <c r="G789" s="13">
        <v>697406.42193238332</v>
      </c>
      <c r="H789" s="13">
        <v>697406.42193238332</v>
      </c>
      <c r="I789" s="14">
        <v>0</v>
      </c>
      <c r="J789" s="15">
        <v>1</v>
      </c>
      <c r="K789" s="14">
        <v>190.57941180208979</v>
      </c>
      <c r="L789" s="13">
        <v>132911305.67887367</v>
      </c>
      <c r="M789" s="14">
        <v>3.2800466769016055</v>
      </c>
      <c r="N789" s="14">
        <v>190.56655231954178</v>
      </c>
      <c r="O789" s="13">
        <v>132902337.39316197</v>
      </c>
      <c r="P789" s="13">
        <v>8968.2857117056847</v>
      </c>
      <c r="Q789" s="14">
        <v>1.0000674802707583</v>
      </c>
      <c r="R789" s="15">
        <v>6.748027075833143E-5</v>
      </c>
    </row>
    <row r="790" spans="1:18" ht="18" customHeight="1">
      <c r="A790" s="10" t="s">
        <v>123</v>
      </c>
      <c r="B790" s="10" t="s">
        <v>124</v>
      </c>
      <c r="C790" s="10" t="s">
        <v>254</v>
      </c>
      <c r="D790" s="10" t="s">
        <v>270</v>
      </c>
      <c r="E790" s="16">
        <v>15</v>
      </c>
      <c r="F790" s="16">
        <v>15</v>
      </c>
      <c r="G790" s="13">
        <v>1443.9948900258</v>
      </c>
      <c r="H790" s="13">
        <v>1443.9948900258</v>
      </c>
      <c r="I790" s="14">
        <v>0</v>
      </c>
      <c r="J790" s="15">
        <v>1</v>
      </c>
      <c r="K790" s="14">
        <v>333.5786954371946</v>
      </c>
      <c r="L790" s="13">
        <v>481685.93163278169</v>
      </c>
      <c r="M790" s="14">
        <v>3.4184490729567605</v>
      </c>
      <c r="N790" s="14">
        <v>262.08916847639017</v>
      </c>
      <c r="O790" s="13">
        <v>378455.4200110184</v>
      </c>
      <c r="P790" s="13">
        <v>103230.51162176329</v>
      </c>
      <c r="Q790" s="14">
        <v>1.272767956708766</v>
      </c>
      <c r="R790" s="15">
        <v>0.27276795670876591</v>
      </c>
    </row>
    <row r="791" spans="1:18" ht="18" customHeight="1">
      <c r="A791" s="10" t="s">
        <v>123</v>
      </c>
      <c r="B791" s="10" t="s">
        <v>124</v>
      </c>
      <c r="C791" s="10" t="s">
        <v>254</v>
      </c>
      <c r="D791" s="10" t="s">
        <v>276</v>
      </c>
      <c r="E791" s="16">
        <v>2</v>
      </c>
      <c r="F791" s="16">
        <v>2</v>
      </c>
      <c r="G791" s="13">
        <v>0.7478108564</v>
      </c>
      <c r="H791" s="13">
        <v>0.7478108564</v>
      </c>
      <c r="I791" s="14">
        <v>0</v>
      </c>
      <c r="J791" s="15">
        <v>1</v>
      </c>
      <c r="K791" s="14">
        <v>34.519365062898693</v>
      </c>
      <c r="L791" s="13">
        <v>25.813955950070511</v>
      </c>
      <c r="M791" s="14">
        <v>2.5323921822272166</v>
      </c>
      <c r="N791" s="14">
        <v>34.071572835066171</v>
      </c>
      <c r="O791" s="13">
        <v>25.479092060685808</v>
      </c>
      <c r="P791" s="13">
        <v>0.33486388938470313</v>
      </c>
      <c r="Q791" s="14">
        <v>1.013142693177101</v>
      </c>
      <c r="R791" s="15">
        <v>1.314269317710098E-2</v>
      </c>
    </row>
    <row r="792" spans="1:18" ht="18" customHeight="1">
      <c r="A792" s="10" t="s">
        <v>123</v>
      </c>
      <c r="B792" s="10" t="s">
        <v>124</v>
      </c>
      <c r="C792" s="10" t="s">
        <v>254</v>
      </c>
      <c r="D792" s="10" t="s">
        <v>271</v>
      </c>
      <c r="E792" s="16">
        <v>13</v>
      </c>
      <c r="F792" s="16">
        <v>13</v>
      </c>
      <c r="G792" s="13">
        <v>29.482190523900005</v>
      </c>
      <c r="H792" s="13">
        <v>29.482190523900005</v>
      </c>
      <c r="I792" s="14">
        <v>0</v>
      </c>
      <c r="J792" s="15">
        <v>1</v>
      </c>
      <c r="K792" s="14">
        <v>18.364347325818073</v>
      </c>
      <c r="L792" s="13">
        <v>541.42118670684204</v>
      </c>
      <c r="M792" s="14">
        <v>2.2313869744953934</v>
      </c>
      <c r="N792" s="14">
        <v>17.036758785331781</v>
      </c>
      <c r="O792" s="13">
        <v>502.28096841887879</v>
      </c>
      <c r="P792" s="13">
        <v>39.140218287963251</v>
      </c>
      <c r="Q792" s="14">
        <v>1.0779249478855868</v>
      </c>
      <c r="R792" s="15">
        <v>7.7924947885586904E-2</v>
      </c>
    </row>
    <row r="793" spans="1:18" ht="18" customHeight="1">
      <c r="A793" s="10" t="s">
        <v>123</v>
      </c>
      <c r="B793" s="10" t="s">
        <v>124</v>
      </c>
      <c r="C793" s="10" t="s">
        <v>254</v>
      </c>
      <c r="D793" s="10" t="s">
        <v>272</v>
      </c>
      <c r="E793" s="16">
        <v>6</v>
      </c>
      <c r="F793" s="16">
        <v>6</v>
      </c>
      <c r="G793" s="13">
        <v>79.129621678299998</v>
      </c>
      <c r="H793" s="13">
        <v>79.129621678299998</v>
      </c>
      <c r="I793" s="14">
        <v>0</v>
      </c>
      <c r="J793" s="15">
        <v>1</v>
      </c>
      <c r="K793" s="14">
        <v>53.50898503321627</v>
      </c>
      <c r="L793" s="13">
        <v>4234.14574206822</v>
      </c>
      <c r="M793" s="14">
        <v>2.7158525128135804</v>
      </c>
      <c r="N793" s="14">
        <v>51.981943494074855</v>
      </c>
      <c r="O793" s="13">
        <v>4113.3115227889111</v>
      </c>
      <c r="P793" s="13">
        <v>120.83421927930885</v>
      </c>
      <c r="Q793" s="14">
        <v>1.0293763841152932</v>
      </c>
      <c r="R793" s="15">
        <v>2.9376384115293249E-2</v>
      </c>
    </row>
    <row r="794" spans="1:18" ht="18" customHeight="1">
      <c r="A794" s="10" t="s">
        <v>123</v>
      </c>
      <c r="B794" s="10" t="s">
        <v>124</v>
      </c>
      <c r="C794" s="10" t="s">
        <v>254</v>
      </c>
      <c r="D794" s="10" t="s">
        <v>273</v>
      </c>
      <c r="E794" s="16">
        <v>5</v>
      </c>
      <c r="F794" s="16">
        <v>5</v>
      </c>
      <c r="G794" s="13">
        <v>11.4417240566</v>
      </c>
      <c r="H794" s="13">
        <v>11.4417240566</v>
      </c>
      <c r="I794" s="14">
        <v>0</v>
      </c>
      <c r="J794" s="15">
        <v>1</v>
      </c>
      <c r="K794" s="14">
        <v>133.50625095375906</v>
      </c>
      <c r="L794" s="13">
        <v>1527.5416832441017</v>
      </c>
      <c r="M794" s="14">
        <v>3.1199022605710938</v>
      </c>
      <c r="N794" s="14">
        <v>131.79600938402979</v>
      </c>
      <c r="O794" s="13">
        <v>1507.973571133133</v>
      </c>
      <c r="P794" s="13">
        <v>19.568112110968741</v>
      </c>
      <c r="Q794" s="14">
        <v>1.0129764290870593</v>
      </c>
      <c r="R794" s="15">
        <v>1.2976429087059345E-2</v>
      </c>
    </row>
    <row r="795" spans="1:18" ht="18" customHeight="1">
      <c r="A795" s="10" t="s">
        <v>123</v>
      </c>
      <c r="B795" s="10" t="s">
        <v>124</v>
      </c>
      <c r="C795" s="10" t="s">
        <v>254</v>
      </c>
      <c r="D795" s="10" t="s">
        <v>274</v>
      </c>
      <c r="E795" s="16">
        <v>7</v>
      </c>
      <c r="F795" s="16">
        <v>7</v>
      </c>
      <c r="G795" s="13">
        <v>13.570555868099998</v>
      </c>
      <c r="H795" s="13">
        <v>13.570555868099998</v>
      </c>
      <c r="I795" s="14">
        <v>0</v>
      </c>
      <c r="J795" s="15">
        <v>1</v>
      </c>
      <c r="K795" s="14">
        <v>224.67396205460275</v>
      </c>
      <c r="L795" s="13">
        <v>3048.9505541693657</v>
      </c>
      <c r="M795" s="14">
        <v>3.2613229822768135</v>
      </c>
      <c r="N795" s="14">
        <v>182.52526274370001</v>
      </c>
      <c r="O795" s="13">
        <v>2476.969275403012</v>
      </c>
      <c r="P795" s="13">
        <v>571.98127876635363</v>
      </c>
      <c r="Q795" s="14">
        <v>1.2309198117418272</v>
      </c>
      <c r="R795" s="15">
        <v>0.23091981174182719</v>
      </c>
    </row>
    <row r="796" spans="1:18" ht="18" customHeight="1">
      <c r="A796" s="10" t="s">
        <v>147</v>
      </c>
      <c r="B796" s="10" t="s">
        <v>148</v>
      </c>
      <c r="C796" s="10" t="s">
        <v>254</v>
      </c>
      <c r="D796" s="10" t="s">
        <v>261</v>
      </c>
      <c r="E796" s="16">
        <v>16</v>
      </c>
      <c r="F796" s="16">
        <v>16</v>
      </c>
      <c r="G796" s="13">
        <v>12023.375190387502</v>
      </c>
      <c r="H796" s="13">
        <v>12023.375190387502</v>
      </c>
      <c r="I796" s="14">
        <v>0</v>
      </c>
      <c r="J796" s="15">
        <v>1</v>
      </c>
      <c r="K796" s="14">
        <v>2515.9127541434132</v>
      </c>
      <c r="L796" s="13">
        <v>30249762.989347406</v>
      </c>
      <c r="M796" s="14">
        <v>4.3941203678779512</v>
      </c>
      <c r="N796" s="14">
        <v>2478.1087883575874</v>
      </c>
      <c r="O796" s="13">
        <v>29795231.72501985</v>
      </c>
      <c r="P796" s="13">
        <v>454531.26432755589</v>
      </c>
      <c r="Q796" s="14">
        <v>1.0152551679584982</v>
      </c>
      <c r="R796" s="15">
        <v>1.5255167958498335E-2</v>
      </c>
    </row>
    <row r="797" spans="1:18" ht="18" customHeight="1">
      <c r="A797" s="10" t="s">
        <v>147</v>
      </c>
      <c r="B797" s="10" t="s">
        <v>148</v>
      </c>
      <c r="C797" s="10" t="s">
        <v>254</v>
      </c>
      <c r="D797" s="10" t="s">
        <v>263</v>
      </c>
      <c r="E797" s="16">
        <v>1</v>
      </c>
      <c r="F797" s="16">
        <v>1</v>
      </c>
      <c r="G797" s="13">
        <v>2.06110207E-2</v>
      </c>
      <c r="H797" s="13">
        <v>2.06110207E-2</v>
      </c>
      <c r="I797" s="14">
        <v>0</v>
      </c>
      <c r="J797" s="15">
        <v>1</v>
      </c>
      <c r="K797" s="14">
        <v>363.0780547701014</v>
      </c>
      <c r="L797" s="13">
        <v>7.4834093025822934</v>
      </c>
      <c r="M797" s="14">
        <v>3.56</v>
      </c>
      <c r="N797" s="14">
        <v>363.0780547701014</v>
      </c>
      <c r="O797" s="13">
        <v>7.4834093025822934</v>
      </c>
      <c r="P797" s="13">
        <v>0</v>
      </c>
      <c r="Q797" s="14">
        <v>1</v>
      </c>
      <c r="R797" s="15">
        <v>0</v>
      </c>
    </row>
    <row r="798" spans="1:18" ht="18" customHeight="1">
      <c r="A798" s="10" t="s">
        <v>147</v>
      </c>
      <c r="B798" s="10" t="s">
        <v>148</v>
      </c>
      <c r="C798" s="10" t="s">
        <v>254</v>
      </c>
      <c r="D798" s="10" t="s">
        <v>264</v>
      </c>
      <c r="E798" s="16">
        <v>9</v>
      </c>
      <c r="F798" s="16">
        <v>9</v>
      </c>
      <c r="G798" s="13">
        <v>757.02193267040002</v>
      </c>
      <c r="H798" s="13">
        <v>757.02193267040002</v>
      </c>
      <c r="I798" s="14">
        <v>0</v>
      </c>
      <c r="J798" s="15">
        <v>1</v>
      </c>
      <c r="K798" s="14">
        <v>1865.8178354020285</v>
      </c>
      <c r="L798" s="13">
        <v>1412465.023766946</v>
      </c>
      <c r="M798" s="14">
        <v>4.2480515557321823</v>
      </c>
      <c r="N798" s="14">
        <v>1770.319103009942</v>
      </c>
      <c r="O798" s="13">
        <v>1340170.3888039151</v>
      </c>
      <c r="P798" s="13">
        <v>72294.634963030927</v>
      </c>
      <c r="Q798" s="14">
        <v>1.0539443607820294</v>
      </c>
      <c r="R798" s="15">
        <v>5.3944360782029334E-2</v>
      </c>
    </row>
    <row r="799" spans="1:18" ht="18" customHeight="1">
      <c r="A799" s="10" t="s">
        <v>147</v>
      </c>
      <c r="B799" s="10" t="s">
        <v>148</v>
      </c>
      <c r="C799" s="10" t="s">
        <v>254</v>
      </c>
      <c r="D799" s="10" t="s">
        <v>267</v>
      </c>
      <c r="E799" s="16">
        <v>1</v>
      </c>
      <c r="F799" s="16">
        <v>1</v>
      </c>
      <c r="G799" s="13">
        <v>7.4160616999999996E-3</v>
      </c>
      <c r="H799" s="13">
        <v>7.4160616999999996E-3</v>
      </c>
      <c r="I799" s="14">
        <v>0</v>
      </c>
      <c r="J799" s="15">
        <v>1</v>
      </c>
      <c r="K799" s="14">
        <v>1202.2644346174131</v>
      </c>
      <c r="L799" s="13">
        <v>8.9160672268383507</v>
      </c>
      <c r="M799" s="14">
        <v>4.08</v>
      </c>
      <c r="N799" s="14">
        <v>1202.2644346174131</v>
      </c>
      <c r="O799" s="13">
        <v>8.9160672268383507</v>
      </c>
      <c r="P799" s="13">
        <v>0</v>
      </c>
      <c r="Q799" s="14">
        <v>1</v>
      </c>
      <c r="R799" s="15">
        <v>0</v>
      </c>
    </row>
    <row r="800" spans="1:18" ht="18" customHeight="1">
      <c r="A800" s="10" t="s">
        <v>147</v>
      </c>
      <c r="B800" s="10" t="s">
        <v>148</v>
      </c>
      <c r="C800" s="10" t="s">
        <v>254</v>
      </c>
      <c r="D800" s="10" t="s">
        <v>269</v>
      </c>
      <c r="E800" s="16">
        <v>1</v>
      </c>
      <c r="F800" s="16">
        <v>1</v>
      </c>
      <c r="G800" s="13">
        <v>3177.2183309122001</v>
      </c>
      <c r="H800" s="13">
        <v>3177.2183309122001</v>
      </c>
      <c r="I800" s="14">
        <v>0</v>
      </c>
      <c r="J800" s="15">
        <v>1</v>
      </c>
      <c r="K800" s="14">
        <v>190.54607179632464</v>
      </c>
      <c r="L800" s="13">
        <v>605406.4721945948</v>
      </c>
      <c r="M800" s="14">
        <v>3.28</v>
      </c>
      <c r="N800" s="14">
        <v>190.54607179632464</v>
      </c>
      <c r="O800" s="13">
        <v>605406.4721945948</v>
      </c>
      <c r="P800" s="13">
        <v>0</v>
      </c>
      <c r="Q800" s="14">
        <v>1</v>
      </c>
      <c r="R800" s="15">
        <v>0</v>
      </c>
    </row>
    <row r="801" spans="1:18" ht="18" customHeight="1">
      <c r="A801" s="10" t="s">
        <v>147</v>
      </c>
      <c r="B801" s="10" t="s">
        <v>148</v>
      </c>
      <c r="C801" s="10" t="s">
        <v>254</v>
      </c>
      <c r="D801" s="10" t="s">
        <v>270</v>
      </c>
      <c r="E801" s="16">
        <v>4</v>
      </c>
      <c r="F801" s="16">
        <v>4</v>
      </c>
      <c r="G801" s="13">
        <v>901.3677221762</v>
      </c>
      <c r="H801" s="13">
        <v>901.3677221762</v>
      </c>
      <c r="I801" s="14">
        <v>0</v>
      </c>
      <c r="J801" s="15">
        <v>1</v>
      </c>
      <c r="K801" s="14">
        <v>641.32266254555839</v>
      </c>
      <c r="L801" s="13">
        <v>578067.54751866579</v>
      </c>
      <c r="M801" s="14">
        <v>3.5828189916109672</v>
      </c>
      <c r="N801" s="14">
        <v>382.66522010288912</v>
      </c>
      <c r="O801" s="13">
        <v>344922.07780019537</v>
      </c>
      <c r="P801" s="13">
        <v>233145.46971847041</v>
      </c>
      <c r="Q801" s="14">
        <v>1.6759366382268104</v>
      </c>
      <c r="R801" s="15">
        <v>0.67593663822681038</v>
      </c>
    </row>
    <row r="802" spans="1:18" ht="18" customHeight="1">
      <c r="A802" s="10" t="s">
        <v>81</v>
      </c>
      <c r="B802" s="10" t="s">
        <v>82</v>
      </c>
      <c r="C802" s="10" t="s">
        <v>254</v>
      </c>
      <c r="D802" s="10" t="s">
        <v>261</v>
      </c>
      <c r="E802" s="16">
        <v>16</v>
      </c>
      <c r="F802" s="16">
        <v>16</v>
      </c>
      <c r="G802" s="13">
        <v>194976.038241492</v>
      </c>
      <c r="H802" s="13">
        <v>194976.038241492</v>
      </c>
      <c r="I802" s="14">
        <v>0</v>
      </c>
      <c r="J802" s="15">
        <v>1</v>
      </c>
      <c r="K802" s="14">
        <v>2735.4586032107109</v>
      </c>
      <c r="L802" s="13">
        <v>533348881.2276299</v>
      </c>
      <c r="M802" s="14">
        <v>4.4355498515354457</v>
      </c>
      <c r="N802" s="14">
        <v>2726.1506487206011</v>
      </c>
      <c r="O802" s="13">
        <v>531534053.13701618</v>
      </c>
      <c r="P802" s="13">
        <v>1814828.0906137228</v>
      </c>
      <c r="Q802" s="14">
        <v>1.003414321396537</v>
      </c>
      <c r="R802" s="15">
        <v>3.4143213965369505E-3</v>
      </c>
    </row>
    <row r="803" spans="1:18" ht="18" customHeight="1">
      <c r="A803" s="10" t="s">
        <v>81</v>
      </c>
      <c r="B803" s="10" t="s">
        <v>82</v>
      </c>
      <c r="C803" s="10" t="s">
        <v>254</v>
      </c>
      <c r="D803" s="10" t="s">
        <v>264</v>
      </c>
      <c r="E803" s="16">
        <v>14</v>
      </c>
      <c r="F803" s="16">
        <v>14</v>
      </c>
      <c r="G803" s="13">
        <v>14724.078504572301</v>
      </c>
      <c r="H803" s="13">
        <v>14724.078504572301</v>
      </c>
      <c r="I803" s="14">
        <v>0</v>
      </c>
      <c r="J803" s="15">
        <v>1</v>
      </c>
      <c r="K803" s="14">
        <v>2191.5718104516695</v>
      </c>
      <c r="L803" s="13">
        <v>32268875.385498025</v>
      </c>
      <c r="M803" s="14">
        <v>4.3350642171340255</v>
      </c>
      <c r="N803" s="14">
        <v>2163.0383386443882</v>
      </c>
      <c r="O803" s="13">
        <v>31848746.306599617</v>
      </c>
      <c r="P803" s="13">
        <v>420129.07889840752</v>
      </c>
      <c r="Q803" s="14">
        <v>1.0131913851444554</v>
      </c>
      <c r="R803" s="15">
        <v>1.3191385144455416E-2</v>
      </c>
    </row>
    <row r="804" spans="1:18" ht="18" customHeight="1">
      <c r="A804" s="10" t="s">
        <v>81</v>
      </c>
      <c r="B804" s="10" t="s">
        <v>82</v>
      </c>
      <c r="C804" s="10" t="s">
        <v>254</v>
      </c>
      <c r="D804" s="10" t="s">
        <v>267</v>
      </c>
      <c r="E804" s="16">
        <v>1</v>
      </c>
      <c r="F804" s="16">
        <v>1</v>
      </c>
      <c r="G804" s="13">
        <v>8.2688984600000001E-2</v>
      </c>
      <c r="H804" s="13">
        <v>8.2688984600000001E-2</v>
      </c>
      <c r="I804" s="14">
        <v>0</v>
      </c>
      <c r="J804" s="15">
        <v>1</v>
      </c>
      <c r="K804" s="14">
        <v>1202.2644346174131</v>
      </c>
      <c r="L804" s="13">
        <v>99.414025319206985</v>
      </c>
      <c r="M804" s="14">
        <v>4.08</v>
      </c>
      <c r="N804" s="14">
        <v>1202.2644346174131</v>
      </c>
      <c r="O804" s="13">
        <v>99.414025319206985</v>
      </c>
      <c r="P804" s="13">
        <v>0</v>
      </c>
      <c r="Q804" s="14">
        <v>1</v>
      </c>
      <c r="R804" s="15">
        <v>0</v>
      </c>
    </row>
    <row r="805" spans="1:18" ht="18" customHeight="1">
      <c r="A805" s="10" t="s">
        <v>81</v>
      </c>
      <c r="B805" s="10" t="s">
        <v>82</v>
      </c>
      <c r="C805" s="10" t="s">
        <v>254</v>
      </c>
      <c r="D805" s="10" t="s">
        <v>269</v>
      </c>
      <c r="E805" s="16">
        <v>1</v>
      </c>
      <c r="F805" s="16">
        <v>1</v>
      </c>
      <c r="G805" s="13">
        <v>18465.643107497199</v>
      </c>
      <c r="H805" s="13">
        <v>18465.643107497199</v>
      </c>
      <c r="I805" s="14">
        <v>0</v>
      </c>
      <c r="J805" s="15">
        <v>1</v>
      </c>
      <c r="K805" s="14">
        <v>190.54607179632464</v>
      </c>
      <c r="L805" s="13">
        <v>3518555.7573264684</v>
      </c>
      <c r="M805" s="14">
        <v>3.28</v>
      </c>
      <c r="N805" s="14">
        <v>190.54607179632464</v>
      </c>
      <c r="O805" s="13">
        <v>3518555.7573264684</v>
      </c>
      <c r="P805" s="13">
        <v>0</v>
      </c>
      <c r="Q805" s="14">
        <v>1</v>
      </c>
      <c r="R805" s="15">
        <v>0</v>
      </c>
    </row>
    <row r="806" spans="1:18" ht="18" customHeight="1">
      <c r="A806" s="10" t="s">
        <v>81</v>
      </c>
      <c r="B806" s="10" t="s">
        <v>82</v>
      </c>
      <c r="C806" s="10" t="s">
        <v>254</v>
      </c>
      <c r="D806" s="10" t="s">
        <v>270</v>
      </c>
      <c r="E806" s="16">
        <v>5</v>
      </c>
      <c r="F806" s="16">
        <v>5</v>
      </c>
      <c r="G806" s="13">
        <v>7153.6127301399993</v>
      </c>
      <c r="H806" s="13">
        <v>7153.6127301399993</v>
      </c>
      <c r="I806" s="14">
        <v>0</v>
      </c>
      <c r="J806" s="15">
        <v>1</v>
      </c>
      <c r="K806" s="14">
        <v>1539.7015130634184</v>
      </c>
      <c r="L806" s="13">
        <v>11014428.344466288</v>
      </c>
      <c r="M806" s="14">
        <v>3.978507259066117</v>
      </c>
      <c r="N806" s="14">
        <v>951.71575554475612</v>
      </c>
      <c r="O806" s="13">
        <v>6808205.9443397745</v>
      </c>
      <c r="P806" s="13">
        <v>4206222.4001265131</v>
      </c>
      <c r="Q806" s="14">
        <v>1.6178165634991541</v>
      </c>
      <c r="R806" s="15">
        <v>0.61781656349915415</v>
      </c>
    </row>
    <row r="807" spans="1:18" ht="18" customHeight="1">
      <c r="A807" s="10" t="s">
        <v>127</v>
      </c>
      <c r="B807" s="10" t="s">
        <v>128</v>
      </c>
      <c r="C807" s="10" t="s">
        <v>254</v>
      </c>
      <c r="D807" s="10" t="s">
        <v>261</v>
      </c>
      <c r="E807" s="16">
        <v>17</v>
      </c>
      <c r="F807" s="16">
        <v>17</v>
      </c>
      <c r="G807" s="13">
        <v>48028.640771962993</v>
      </c>
      <c r="H807" s="13">
        <v>48028.640771962993</v>
      </c>
      <c r="I807" s="14">
        <v>0</v>
      </c>
      <c r="J807" s="15">
        <v>1</v>
      </c>
      <c r="K807" s="14">
        <v>2667.0342577670785</v>
      </c>
      <c r="L807" s="13">
        <v>128094030.29281397</v>
      </c>
      <c r="M807" s="14">
        <v>4.4214225979484683</v>
      </c>
      <c r="N807" s="14">
        <v>2638.8979633639592</v>
      </c>
      <c r="O807" s="13">
        <v>126742682.31627236</v>
      </c>
      <c r="P807" s="13">
        <v>1351347.9765416086</v>
      </c>
      <c r="Q807" s="14">
        <v>1.0106621380567713</v>
      </c>
      <c r="R807" s="15">
        <v>1.0662138056771348E-2</v>
      </c>
    </row>
    <row r="808" spans="1:18" ht="18" customHeight="1">
      <c r="A808" s="10" t="s">
        <v>127</v>
      </c>
      <c r="B808" s="10" t="s">
        <v>128</v>
      </c>
      <c r="C808" s="10" t="s">
        <v>254</v>
      </c>
      <c r="D808" s="10" t="s">
        <v>263</v>
      </c>
      <c r="E808" s="16">
        <v>1</v>
      </c>
      <c r="F808" s="16">
        <v>1</v>
      </c>
      <c r="G808" s="13">
        <v>2.1461092799000001</v>
      </c>
      <c r="H808" s="13">
        <v>2.1461092799000001</v>
      </c>
      <c r="I808" s="14">
        <v>0</v>
      </c>
      <c r="J808" s="15">
        <v>1</v>
      </c>
      <c r="K808" s="14">
        <v>363.0780547701014</v>
      </c>
      <c r="L808" s="13">
        <v>779.20518267015507</v>
      </c>
      <c r="M808" s="14">
        <v>3.56</v>
      </c>
      <c r="N808" s="14">
        <v>363.0780547701014</v>
      </c>
      <c r="O808" s="13">
        <v>779.20518267015507</v>
      </c>
      <c r="P808" s="13">
        <v>0</v>
      </c>
      <c r="Q808" s="14">
        <v>1</v>
      </c>
      <c r="R808" s="15">
        <v>0</v>
      </c>
    </row>
    <row r="809" spans="1:18" ht="18" customHeight="1">
      <c r="A809" s="10" t="s">
        <v>127</v>
      </c>
      <c r="B809" s="10" t="s">
        <v>128</v>
      </c>
      <c r="C809" s="10" t="s">
        <v>254</v>
      </c>
      <c r="D809" s="10" t="s">
        <v>264</v>
      </c>
      <c r="E809" s="16">
        <v>9</v>
      </c>
      <c r="F809" s="16">
        <v>9</v>
      </c>
      <c r="G809" s="13">
        <v>8355.5895987365984</v>
      </c>
      <c r="H809" s="13">
        <v>8355.5895987365984</v>
      </c>
      <c r="I809" s="14">
        <v>0</v>
      </c>
      <c r="J809" s="15">
        <v>1</v>
      </c>
      <c r="K809" s="14">
        <v>2287.2695005318351</v>
      </c>
      <c r="L809" s="13">
        <v>19111485.248151258</v>
      </c>
      <c r="M809" s="14">
        <v>4.357798503130919</v>
      </c>
      <c r="N809" s="14">
        <v>2279.2843214828904</v>
      </c>
      <c r="O809" s="13">
        <v>19044764.369145844</v>
      </c>
      <c r="P809" s="13">
        <v>66720.879005413502</v>
      </c>
      <c r="Q809" s="14">
        <v>1.0035033712001975</v>
      </c>
      <c r="R809" s="15">
        <v>3.5033712001975234E-3</v>
      </c>
    </row>
    <row r="810" spans="1:18" ht="18" customHeight="1">
      <c r="A810" s="10" t="s">
        <v>127</v>
      </c>
      <c r="B810" s="10" t="s">
        <v>128</v>
      </c>
      <c r="C810" s="10" t="s">
        <v>254</v>
      </c>
      <c r="D810" s="10" t="s">
        <v>267</v>
      </c>
      <c r="E810" s="16">
        <v>1</v>
      </c>
      <c r="F810" s="16">
        <v>1</v>
      </c>
      <c r="G810" s="13">
        <v>3.0415779E-3</v>
      </c>
      <c r="H810" s="13">
        <v>3.0415779E-3</v>
      </c>
      <c r="I810" s="14">
        <v>0</v>
      </c>
      <c r="J810" s="15">
        <v>1</v>
      </c>
      <c r="K810" s="14">
        <v>1202.2644346174131</v>
      </c>
      <c r="L810" s="13">
        <v>3.6567809342883186</v>
      </c>
      <c r="M810" s="14">
        <v>4.08</v>
      </c>
      <c r="N810" s="14">
        <v>1202.2644346174131</v>
      </c>
      <c r="O810" s="13">
        <v>3.6567809342883186</v>
      </c>
      <c r="P810" s="13">
        <v>0</v>
      </c>
      <c r="Q810" s="14">
        <v>1</v>
      </c>
      <c r="R810" s="15">
        <v>0</v>
      </c>
    </row>
    <row r="811" spans="1:18" ht="18" customHeight="1">
      <c r="A811" s="10" t="s">
        <v>127</v>
      </c>
      <c r="B811" s="10" t="s">
        <v>128</v>
      </c>
      <c r="C811" s="10" t="s">
        <v>254</v>
      </c>
      <c r="D811" s="10" t="s">
        <v>269</v>
      </c>
      <c r="E811" s="16">
        <v>1</v>
      </c>
      <c r="F811" s="16">
        <v>1</v>
      </c>
      <c r="G811" s="13">
        <v>4930.3777470703999</v>
      </c>
      <c r="H811" s="13">
        <v>4930.3777470703999</v>
      </c>
      <c r="I811" s="14">
        <v>0</v>
      </c>
      <c r="J811" s="15">
        <v>1</v>
      </c>
      <c r="K811" s="14">
        <v>190.54607179632464</v>
      </c>
      <c r="L811" s="13">
        <v>939464.11217627779</v>
      </c>
      <c r="M811" s="14">
        <v>3.28</v>
      </c>
      <c r="N811" s="14">
        <v>190.54607179632464</v>
      </c>
      <c r="O811" s="13">
        <v>939464.11217627779</v>
      </c>
      <c r="P811" s="13">
        <v>0</v>
      </c>
      <c r="Q811" s="14">
        <v>1</v>
      </c>
      <c r="R811" s="15">
        <v>0</v>
      </c>
    </row>
    <row r="812" spans="1:18" ht="18" customHeight="1">
      <c r="A812" s="10" t="s">
        <v>127</v>
      </c>
      <c r="B812" s="10" t="s">
        <v>128</v>
      </c>
      <c r="C812" s="10" t="s">
        <v>254</v>
      </c>
      <c r="D812" s="10" t="s">
        <v>270</v>
      </c>
      <c r="E812" s="16">
        <v>4</v>
      </c>
      <c r="F812" s="16">
        <v>4</v>
      </c>
      <c r="G812" s="13">
        <v>921.60794466729999</v>
      </c>
      <c r="H812" s="13">
        <v>921.60794466729999</v>
      </c>
      <c r="I812" s="14">
        <v>0</v>
      </c>
      <c r="J812" s="15">
        <v>1</v>
      </c>
      <c r="K812" s="14">
        <v>1306.0802642684891</v>
      </c>
      <c r="L812" s="13">
        <v>1203693.9479230063</v>
      </c>
      <c r="M812" s="14">
        <v>3.9143737775036853</v>
      </c>
      <c r="N812" s="14">
        <v>821.05788749977421</v>
      </c>
      <c r="O812" s="13">
        <v>756693.47215154208</v>
      </c>
      <c r="P812" s="13">
        <v>447000.47577146417</v>
      </c>
      <c r="Q812" s="14">
        <v>1.5907286004470036</v>
      </c>
      <c r="R812" s="15">
        <v>0.59072860044700359</v>
      </c>
    </row>
    <row r="813" spans="1:18" ht="18" customHeight="1">
      <c r="A813" s="10" t="s">
        <v>137</v>
      </c>
      <c r="B813" s="10" t="s">
        <v>138</v>
      </c>
      <c r="C813" s="10" t="s">
        <v>254</v>
      </c>
      <c r="D813" s="10" t="s">
        <v>261</v>
      </c>
      <c r="E813" s="16">
        <v>20</v>
      </c>
      <c r="F813" s="16">
        <v>20</v>
      </c>
      <c r="G813" s="13">
        <v>30618.356880526298</v>
      </c>
      <c r="H813" s="13">
        <v>30618.356880526298</v>
      </c>
      <c r="I813" s="14">
        <v>0</v>
      </c>
      <c r="J813" s="15">
        <v>1</v>
      </c>
      <c r="K813" s="14">
        <v>2494.0515319638448</v>
      </c>
      <c r="L813" s="13">
        <v>76363759.884092346</v>
      </c>
      <c r="M813" s="14">
        <v>4.3633140860034905</v>
      </c>
      <c r="N813" s="14">
        <v>2308.4160541738547</v>
      </c>
      <c r="O813" s="13">
        <v>70679906.575431406</v>
      </c>
      <c r="P813" s="13">
        <v>5683853.3086609393</v>
      </c>
      <c r="Q813" s="14">
        <v>1.0804168197731696</v>
      </c>
      <c r="R813" s="15">
        <v>8.0416819773169695E-2</v>
      </c>
    </row>
    <row r="814" spans="1:18" ht="18" customHeight="1">
      <c r="A814" s="10" t="s">
        <v>137</v>
      </c>
      <c r="B814" s="10" t="s">
        <v>138</v>
      </c>
      <c r="C814" s="10" t="s">
        <v>254</v>
      </c>
      <c r="D814" s="10" t="s">
        <v>264</v>
      </c>
      <c r="E814" s="16">
        <v>8</v>
      </c>
      <c r="F814" s="16">
        <v>8</v>
      </c>
      <c r="G814" s="13">
        <v>5486.8857655569009</v>
      </c>
      <c r="H814" s="13">
        <v>5486.8857655569009</v>
      </c>
      <c r="I814" s="14">
        <v>0</v>
      </c>
      <c r="J814" s="15">
        <v>1</v>
      </c>
      <c r="K814" s="14">
        <v>1764.6428031204132</v>
      </c>
      <c r="L814" s="13">
        <v>9682393.4777338244</v>
      </c>
      <c r="M814" s="14">
        <v>4.2199656516416084</v>
      </c>
      <c r="N814" s="14">
        <v>1659.4556558695895</v>
      </c>
      <c r="O814" s="13">
        <v>9105243.6167637408</v>
      </c>
      <c r="P814" s="13">
        <v>577149.86097008362</v>
      </c>
      <c r="Q814" s="14">
        <v>1.063386536951904</v>
      </c>
      <c r="R814" s="15">
        <v>6.3386536951904077E-2</v>
      </c>
    </row>
    <row r="815" spans="1:18" ht="18" customHeight="1">
      <c r="A815" s="10" t="s">
        <v>137</v>
      </c>
      <c r="B815" s="10" t="s">
        <v>138</v>
      </c>
      <c r="C815" s="10" t="s">
        <v>254</v>
      </c>
      <c r="D815" s="10" t="s">
        <v>267</v>
      </c>
      <c r="E815" s="16">
        <v>1</v>
      </c>
      <c r="F815" s="16">
        <v>1</v>
      </c>
      <c r="G815" s="13">
        <v>5.7205364700000004E-2</v>
      </c>
      <c r="H815" s="13">
        <v>5.7205364700000004E-2</v>
      </c>
      <c r="I815" s="14">
        <v>0</v>
      </c>
      <c r="J815" s="15">
        <v>1</v>
      </c>
      <c r="K815" s="14">
        <v>1202.2644346174131</v>
      </c>
      <c r="L815" s="13">
        <v>68.775975448128435</v>
      </c>
      <c r="M815" s="14">
        <v>4.08</v>
      </c>
      <c r="N815" s="14">
        <v>1202.2644346174131</v>
      </c>
      <c r="O815" s="13">
        <v>68.775975448128435</v>
      </c>
      <c r="P815" s="13">
        <v>0</v>
      </c>
      <c r="Q815" s="14">
        <v>1</v>
      </c>
      <c r="R815" s="15">
        <v>0</v>
      </c>
    </row>
    <row r="816" spans="1:18" ht="18" customHeight="1">
      <c r="A816" s="10" t="s">
        <v>137</v>
      </c>
      <c r="B816" s="10" t="s">
        <v>138</v>
      </c>
      <c r="C816" s="10" t="s">
        <v>254</v>
      </c>
      <c r="D816" s="10" t="s">
        <v>269</v>
      </c>
      <c r="E816" s="16">
        <v>1</v>
      </c>
      <c r="F816" s="16">
        <v>1</v>
      </c>
      <c r="G816" s="13">
        <v>5191.8684090700008</v>
      </c>
      <c r="H816" s="13">
        <v>5191.8684090700008</v>
      </c>
      <c r="I816" s="14">
        <v>0</v>
      </c>
      <c r="J816" s="15">
        <v>1</v>
      </c>
      <c r="K816" s="14">
        <v>190.54607179632464</v>
      </c>
      <c r="L816" s="13">
        <v>989290.13063172216</v>
      </c>
      <c r="M816" s="14">
        <v>3.28</v>
      </c>
      <c r="N816" s="14">
        <v>190.54607179632464</v>
      </c>
      <c r="O816" s="13">
        <v>989290.13063172216</v>
      </c>
      <c r="P816" s="13">
        <v>0</v>
      </c>
      <c r="Q816" s="14">
        <v>1</v>
      </c>
      <c r="R816" s="15">
        <v>0</v>
      </c>
    </row>
    <row r="817" spans="1:18" ht="18" customHeight="1">
      <c r="A817" s="10" t="s">
        <v>137</v>
      </c>
      <c r="B817" s="10" t="s">
        <v>138</v>
      </c>
      <c r="C817" s="10" t="s">
        <v>254</v>
      </c>
      <c r="D817" s="10" t="s">
        <v>270</v>
      </c>
      <c r="E817" s="16">
        <v>5</v>
      </c>
      <c r="F817" s="16">
        <v>5</v>
      </c>
      <c r="G817" s="13">
        <v>533.55852001580001</v>
      </c>
      <c r="H817" s="13">
        <v>533.55852001580001</v>
      </c>
      <c r="I817" s="14">
        <v>0</v>
      </c>
      <c r="J817" s="15">
        <v>1</v>
      </c>
      <c r="K817" s="14">
        <v>1548.0160487677406</v>
      </c>
      <c r="L817" s="13">
        <v>825957.15194122214</v>
      </c>
      <c r="M817" s="14">
        <v>3.993813160604534</v>
      </c>
      <c r="N817" s="14">
        <v>985.85526603546407</v>
      </c>
      <c r="O817" s="13">
        <v>526011.47669566504</v>
      </c>
      <c r="P817" s="13">
        <v>299945.6752455571</v>
      </c>
      <c r="Q817" s="14">
        <v>1.5702264846572862</v>
      </c>
      <c r="R817" s="15">
        <v>0.5702264846572862</v>
      </c>
    </row>
    <row r="818" spans="1:18" ht="18" customHeight="1">
      <c r="A818" s="10" t="s">
        <v>153</v>
      </c>
      <c r="B818" s="10" t="s">
        <v>154</v>
      </c>
      <c r="C818" s="10" t="s">
        <v>254</v>
      </c>
      <c r="D818" s="10" t="s">
        <v>255</v>
      </c>
      <c r="E818" s="16">
        <v>1</v>
      </c>
      <c r="F818" s="16">
        <v>1</v>
      </c>
      <c r="G818" s="13">
        <v>1.5200000000000001E-3</v>
      </c>
      <c r="H818" s="13">
        <v>1.5200000000000001E-3</v>
      </c>
      <c r="I818" s="14">
        <v>0</v>
      </c>
      <c r="J818" s="15">
        <v>1</v>
      </c>
      <c r="K818" s="14">
        <v>645.6542290346556</v>
      </c>
      <c r="L818" s="13">
        <v>0.98139442813267652</v>
      </c>
      <c r="M818" s="14">
        <v>3.81</v>
      </c>
      <c r="N818" s="14">
        <v>645.6542290346556</v>
      </c>
      <c r="O818" s="13">
        <v>0.98139442813267652</v>
      </c>
      <c r="P818" s="13">
        <v>0</v>
      </c>
      <c r="Q818" s="14">
        <v>1</v>
      </c>
      <c r="R818" s="15">
        <v>0</v>
      </c>
    </row>
    <row r="819" spans="1:18" ht="18" customHeight="1">
      <c r="A819" s="10" t="s">
        <v>153</v>
      </c>
      <c r="B819" s="10" t="s">
        <v>154</v>
      </c>
      <c r="C819" s="10" t="s">
        <v>254</v>
      </c>
      <c r="D819" s="10" t="s">
        <v>277</v>
      </c>
      <c r="E819" s="16">
        <v>1</v>
      </c>
      <c r="F819" s="16">
        <v>1</v>
      </c>
      <c r="G819" s="13">
        <v>3.5281000000000002E-6</v>
      </c>
      <c r="H819" s="13">
        <v>3.5281000000000002E-6</v>
      </c>
      <c r="I819" s="14">
        <v>0</v>
      </c>
      <c r="J819" s="15">
        <v>1</v>
      </c>
      <c r="K819" s="14">
        <v>31.622776601683793</v>
      </c>
      <c r="L819" s="13">
        <v>1.1156831812840059E-4</v>
      </c>
      <c r="M819" s="14">
        <v>2.5</v>
      </c>
      <c r="N819" s="14">
        <v>31.622776601683793</v>
      </c>
      <c r="O819" s="13">
        <v>1.1156831812840059E-4</v>
      </c>
      <c r="P819" s="13">
        <v>0</v>
      </c>
      <c r="Q819" s="14">
        <v>1</v>
      </c>
      <c r="R819" s="15">
        <v>0</v>
      </c>
    </row>
    <row r="820" spans="1:18" ht="18" customHeight="1">
      <c r="A820" s="10" t="s">
        <v>153</v>
      </c>
      <c r="B820" s="10" t="s">
        <v>154</v>
      </c>
      <c r="C820" s="10" t="s">
        <v>254</v>
      </c>
      <c r="D820" s="10" t="s">
        <v>262</v>
      </c>
      <c r="E820" s="16">
        <v>1</v>
      </c>
      <c r="F820" s="16">
        <v>1</v>
      </c>
      <c r="G820" s="13">
        <v>2.86972066E-2</v>
      </c>
      <c r="H820" s="13">
        <v>2.86972066E-2</v>
      </c>
      <c r="I820" s="14">
        <v>0</v>
      </c>
      <c r="J820" s="15">
        <v>1</v>
      </c>
      <c r="K820" s="14">
        <v>407.38027780411261</v>
      </c>
      <c r="L820" s="13">
        <v>11.690675996910015</v>
      </c>
      <c r="M820" s="14">
        <v>3.61</v>
      </c>
      <c r="N820" s="14">
        <v>407.38027780411261</v>
      </c>
      <c r="O820" s="13">
        <v>11.690675996910015</v>
      </c>
      <c r="P820" s="13">
        <v>0</v>
      </c>
      <c r="Q820" s="14">
        <v>1</v>
      </c>
      <c r="R820" s="15">
        <v>0</v>
      </c>
    </row>
    <row r="821" spans="1:18" ht="18" customHeight="1">
      <c r="A821" s="10" t="s">
        <v>153</v>
      </c>
      <c r="B821" s="10" t="s">
        <v>154</v>
      </c>
      <c r="C821" s="10" t="s">
        <v>254</v>
      </c>
      <c r="D821" s="10" t="s">
        <v>266</v>
      </c>
      <c r="E821" s="16">
        <v>1</v>
      </c>
      <c r="F821" s="16">
        <v>1</v>
      </c>
      <c r="G821" s="13">
        <v>8.00001E-5</v>
      </c>
      <c r="H821" s="13">
        <v>8.00001E-5</v>
      </c>
      <c r="I821" s="14">
        <v>0</v>
      </c>
      <c r="J821" s="15">
        <v>1</v>
      </c>
      <c r="K821" s="14">
        <v>575.43993733715661</v>
      </c>
      <c r="L821" s="13">
        <v>4.6035252530966263E-2</v>
      </c>
      <c r="M821" s="14">
        <v>3.7600000000000002</v>
      </c>
      <c r="N821" s="14">
        <v>575.43993733715729</v>
      </c>
      <c r="O821" s="13">
        <v>4.6035252530966318E-2</v>
      </c>
      <c r="P821" s="13">
        <v>-5.5511151231257827E-17</v>
      </c>
      <c r="Q821" s="14">
        <v>0.99999999999999878</v>
      </c>
      <c r="R821" s="15">
        <v>-1.2058400503813333E-15</v>
      </c>
    </row>
    <row r="822" spans="1:18" ht="18" customHeight="1">
      <c r="A822" s="10" t="s">
        <v>153</v>
      </c>
      <c r="B822" s="10" t="s">
        <v>154</v>
      </c>
      <c r="C822" s="10" t="s">
        <v>254</v>
      </c>
      <c r="D822" s="10" t="s">
        <v>269</v>
      </c>
      <c r="E822" s="16">
        <v>1</v>
      </c>
      <c r="F822" s="16">
        <v>1</v>
      </c>
      <c r="G822" s="13">
        <v>154127.5378022161</v>
      </c>
      <c r="H822" s="13">
        <v>154127.5378022161</v>
      </c>
      <c r="I822" s="14">
        <v>0</v>
      </c>
      <c r="J822" s="15">
        <v>1</v>
      </c>
      <c r="K822" s="14">
        <v>190.54607179632464</v>
      </c>
      <c r="L822" s="13">
        <v>29368396.883851808</v>
      </c>
      <c r="M822" s="14">
        <v>3.28</v>
      </c>
      <c r="N822" s="14">
        <v>190.54607179632464</v>
      </c>
      <c r="O822" s="13">
        <v>29368396.883851808</v>
      </c>
      <c r="P822" s="13">
        <v>0</v>
      </c>
      <c r="Q822" s="14">
        <v>1</v>
      </c>
      <c r="R822" s="15">
        <v>0</v>
      </c>
    </row>
    <row r="823" spans="1:18" ht="18" customHeight="1">
      <c r="A823" s="10" t="s">
        <v>153</v>
      </c>
      <c r="B823" s="10" t="s">
        <v>154</v>
      </c>
      <c r="C823" s="10" t="s">
        <v>254</v>
      </c>
      <c r="D823" s="10" t="s">
        <v>278</v>
      </c>
      <c r="E823" s="16">
        <v>1</v>
      </c>
      <c r="F823" s="16">
        <v>1</v>
      </c>
      <c r="G823" s="13">
        <v>4.72999999E-2</v>
      </c>
      <c r="H823" s="13">
        <v>4.72999999E-2</v>
      </c>
      <c r="I823" s="14">
        <v>0</v>
      </c>
      <c r="J823" s="15">
        <v>1</v>
      </c>
      <c r="K823" s="14">
        <v>223.87211385683401</v>
      </c>
      <c r="L823" s="13">
        <v>10.589150963041037</v>
      </c>
      <c r="M823" s="14">
        <v>3.35</v>
      </c>
      <c r="N823" s="14">
        <v>223.87211385683401</v>
      </c>
      <c r="O823" s="13">
        <v>10.589150963041037</v>
      </c>
      <c r="P823" s="13">
        <v>0</v>
      </c>
      <c r="Q823" s="14">
        <v>1</v>
      </c>
      <c r="R823" s="15">
        <v>0</v>
      </c>
    </row>
    <row r="824" spans="1:18" ht="18" customHeight="1">
      <c r="A824" s="10" t="s">
        <v>67</v>
      </c>
      <c r="B824" s="10" t="s">
        <v>68</v>
      </c>
      <c r="C824" s="10" t="s">
        <v>254</v>
      </c>
      <c r="D824" s="10" t="s">
        <v>258</v>
      </c>
      <c r="E824" s="16">
        <v>1</v>
      </c>
      <c r="F824" s="16">
        <v>1</v>
      </c>
      <c r="G824" s="13">
        <v>2.67831636E-2</v>
      </c>
      <c r="H824" s="13">
        <v>2.67831636E-2</v>
      </c>
      <c r="I824" s="14">
        <v>0</v>
      </c>
      <c r="J824" s="15">
        <v>1</v>
      </c>
      <c r="K824" s="14">
        <v>1513.5612484362073</v>
      </c>
      <c r="L824" s="13">
        <v>40.537958535487185</v>
      </c>
      <c r="M824" s="14">
        <v>4.18</v>
      </c>
      <c r="N824" s="14">
        <v>1513.5612484362073</v>
      </c>
      <c r="O824" s="13">
        <v>40.537958535487185</v>
      </c>
      <c r="P824" s="13">
        <v>0</v>
      </c>
      <c r="Q824" s="14">
        <v>1</v>
      </c>
      <c r="R824" s="15">
        <v>0</v>
      </c>
    </row>
    <row r="825" spans="1:18" ht="18" customHeight="1">
      <c r="A825" s="10" t="s">
        <v>67</v>
      </c>
      <c r="B825" s="10" t="s">
        <v>68</v>
      </c>
      <c r="C825" s="10" t="s">
        <v>254</v>
      </c>
      <c r="D825" s="10" t="s">
        <v>261</v>
      </c>
      <c r="E825" s="16">
        <v>19</v>
      </c>
      <c r="F825" s="16">
        <v>19</v>
      </c>
      <c r="G825" s="13">
        <v>327895.1162137338</v>
      </c>
      <c r="H825" s="13">
        <v>327895.1162137338</v>
      </c>
      <c r="I825" s="14">
        <v>0</v>
      </c>
      <c r="J825" s="15">
        <v>1</v>
      </c>
      <c r="K825" s="14">
        <v>2676.6644615435594</v>
      </c>
      <c r="L825" s="13">
        <v>877665204.68299663</v>
      </c>
      <c r="M825" s="14">
        <v>4.4243060535360783</v>
      </c>
      <c r="N825" s="14">
        <v>2656.4769598249968</v>
      </c>
      <c r="O825" s="13">
        <v>871045821.46092355</v>
      </c>
      <c r="P825" s="13">
        <v>6619383.2220730782</v>
      </c>
      <c r="Q825" s="14">
        <v>1.0075993513303021</v>
      </c>
      <c r="R825" s="15">
        <v>7.5993513303020122E-3</v>
      </c>
    </row>
    <row r="826" spans="1:18" ht="18" customHeight="1">
      <c r="A826" s="10" t="s">
        <v>67</v>
      </c>
      <c r="B826" s="10" t="s">
        <v>68</v>
      </c>
      <c r="C826" s="10" t="s">
        <v>254</v>
      </c>
      <c r="D826" s="10" t="s">
        <v>262</v>
      </c>
      <c r="E826" s="16">
        <v>1</v>
      </c>
      <c r="F826" s="16">
        <v>1</v>
      </c>
      <c r="G826" s="13">
        <v>2.4930363255999999</v>
      </c>
      <c r="H826" s="13">
        <v>2.4930363255999999</v>
      </c>
      <c r="I826" s="14">
        <v>0</v>
      </c>
      <c r="J826" s="15">
        <v>1</v>
      </c>
      <c r="K826" s="14">
        <v>407.38027780411261</v>
      </c>
      <c r="L826" s="13">
        <v>1015.6138308986721</v>
      </c>
      <c r="M826" s="14">
        <v>3.61</v>
      </c>
      <c r="N826" s="14">
        <v>407.38027780411261</v>
      </c>
      <c r="O826" s="13">
        <v>1015.6138308986721</v>
      </c>
      <c r="P826" s="13">
        <v>0</v>
      </c>
      <c r="Q826" s="14">
        <v>1</v>
      </c>
      <c r="R826" s="15">
        <v>0</v>
      </c>
    </row>
    <row r="827" spans="1:18" ht="18" customHeight="1">
      <c r="A827" s="10" t="s">
        <v>67</v>
      </c>
      <c r="B827" s="10" t="s">
        <v>68</v>
      </c>
      <c r="C827" s="10" t="s">
        <v>254</v>
      </c>
      <c r="D827" s="10" t="s">
        <v>264</v>
      </c>
      <c r="E827" s="16">
        <v>9</v>
      </c>
      <c r="F827" s="16">
        <v>9</v>
      </c>
      <c r="G827" s="13">
        <v>2873.3027424523002</v>
      </c>
      <c r="H827" s="13">
        <v>2873.3027424523002</v>
      </c>
      <c r="I827" s="14">
        <v>0</v>
      </c>
      <c r="J827" s="15">
        <v>1</v>
      </c>
      <c r="K827" s="14">
        <v>2287.7341609244359</v>
      </c>
      <c r="L827" s="13">
        <v>6573352.8385859933</v>
      </c>
      <c r="M827" s="14">
        <v>4.3566594532834104</v>
      </c>
      <c r="N827" s="14">
        <v>2273.3141401578046</v>
      </c>
      <c r="O827" s="13">
        <v>6531919.7533710124</v>
      </c>
      <c r="P827" s="13">
        <v>41433.085214980878</v>
      </c>
      <c r="Q827" s="14">
        <v>1.0063431711930628</v>
      </c>
      <c r="R827" s="15">
        <v>6.3431711930628009E-3</v>
      </c>
    </row>
    <row r="828" spans="1:18" ht="18" customHeight="1">
      <c r="A828" s="10" t="s">
        <v>67</v>
      </c>
      <c r="B828" s="10" t="s">
        <v>68</v>
      </c>
      <c r="C828" s="10" t="s">
        <v>254</v>
      </c>
      <c r="D828" s="10" t="s">
        <v>269</v>
      </c>
      <c r="E828" s="16">
        <v>1</v>
      </c>
      <c r="F828" s="16">
        <v>1</v>
      </c>
      <c r="G828" s="13">
        <v>14385.8709648595</v>
      </c>
      <c r="H828" s="13">
        <v>14385.8709648595</v>
      </c>
      <c r="I828" s="14">
        <v>0</v>
      </c>
      <c r="J828" s="15">
        <v>1</v>
      </c>
      <c r="K828" s="14">
        <v>190.54607179632464</v>
      </c>
      <c r="L828" s="13">
        <v>2741171.2017227802</v>
      </c>
      <c r="M828" s="14">
        <v>3.28</v>
      </c>
      <c r="N828" s="14">
        <v>190.54607179632464</v>
      </c>
      <c r="O828" s="13">
        <v>2741171.2017227802</v>
      </c>
      <c r="P828" s="13">
        <v>0</v>
      </c>
      <c r="Q828" s="14">
        <v>1</v>
      </c>
      <c r="R828" s="15">
        <v>0</v>
      </c>
    </row>
    <row r="829" spans="1:18" ht="18" customHeight="1">
      <c r="A829" s="10" t="s">
        <v>67</v>
      </c>
      <c r="B829" s="10" t="s">
        <v>68</v>
      </c>
      <c r="C829" s="10" t="s">
        <v>254</v>
      </c>
      <c r="D829" s="10" t="s">
        <v>270</v>
      </c>
      <c r="E829" s="16">
        <v>5</v>
      </c>
      <c r="F829" s="16">
        <v>5</v>
      </c>
      <c r="G829" s="13">
        <v>32697.198588009298</v>
      </c>
      <c r="H829" s="13">
        <v>32697.198588009298</v>
      </c>
      <c r="I829" s="14">
        <v>0</v>
      </c>
      <c r="J829" s="15">
        <v>1</v>
      </c>
      <c r="K829" s="14">
        <v>626.99842332583023</v>
      </c>
      <c r="L829" s="13">
        <v>20501091.961853392</v>
      </c>
      <c r="M829" s="14">
        <v>3.5830000909551445</v>
      </c>
      <c r="N829" s="14">
        <v>382.8248234925673</v>
      </c>
      <c r="O829" s="13">
        <v>12517299.278156081</v>
      </c>
      <c r="P829" s="13">
        <v>7983792.6836973112</v>
      </c>
      <c r="Q829" s="14">
        <v>1.6378207076689311</v>
      </c>
      <c r="R829" s="15">
        <v>0.63782070766893106</v>
      </c>
    </row>
    <row r="830" spans="1:18" ht="18" customHeight="1">
      <c r="A830" s="10" t="s">
        <v>83</v>
      </c>
      <c r="B830" s="10" t="s">
        <v>84</v>
      </c>
      <c r="C830" s="10" t="s">
        <v>254</v>
      </c>
      <c r="D830" s="10" t="s">
        <v>261</v>
      </c>
      <c r="E830" s="16">
        <v>18</v>
      </c>
      <c r="F830" s="16">
        <v>18</v>
      </c>
      <c r="G830" s="13">
        <v>218823.94711883733</v>
      </c>
      <c r="H830" s="13">
        <v>218823.94711883733</v>
      </c>
      <c r="I830" s="14">
        <v>0</v>
      </c>
      <c r="J830" s="15">
        <v>1</v>
      </c>
      <c r="K830" s="14">
        <v>2534.7761043902387</v>
      </c>
      <c r="L830" s="13">
        <v>554669712.22518206</v>
      </c>
      <c r="M830" s="14">
        <v>4.3919220317542473</v>
      </c>
      <c r="N830" s="14">
        <v>2465.5966525793342</v>
      </c>
      <c r="O830" s="13">
        <v>539531591.52040255</v>
      </c>
      <c r="P830" s="13">
        <v>15138120.704779506</v>
      </c>
      <c r="Q830" s="14">
        <v>1.0280578949271908</v>
      </c>
      <c r="R830" s="15">
        <v>2.8057894927190845E-2</v>
      </c>
    </row>
    <row r="831" spans="1:18" ht="18" customHeight="1">
      <c r="A831" s="10" t="s">
        <v>83</v>
      </c>
      <c r="B831" s="10" t="s">
        <v>84</v>
      </c>
      <c r="C831" s="10" t="s">
        <v>254</v>
      </c>
      <c r="D831" s="10" t="s">
        <v>262</v>
      </c>
      <c r="E831" s="16">
        <v>1</v>
      </c>
      <c r="F831" s="16">
        <v>1</v>
      </c>
      <c r="G831" s="13">
        <v>3.7337252999999999E-3</v>
      </c>
      <c r="H831" s="13">
        <v>3.7337252999999999E-3</v>
      </c>
      <c r="I831" s="14">
        <v>0</v>
      </c>
      <c r="J831" s="15">
        <v>1</v>
      </c>
      <c r="K831" s="14">
        <v>407.38027780411261</v>
      </c>
      <c r="L831" s="13">
        <v>1.5210460499582437</v>
      </c>
      <c r="M831" s="14">
        <v>3.61</v>
      </c>
      <c r="N831" s="14">
        <v>407.38027780411261</v>
      </c>
      <c r="O831" s="13">
        <v>1.5210460499582437</v>
      </c>
      <c r="P831" s="13">
        <v>0</v>
      </c>
      <c r="Q831" s="14">
        <v>1</v>
      </c>
      <c r="R831" s="15">
        <v>0</v>
      </c>
    </row>
    <row r="832" spans="1:18" ht="18" customHeight="1">
      <c r="A832" s="10" t="s">
        <v>83</v>
      </c>
      <c r="B832" s="10" t="s">
        <v>84</v>
      </c>
      <c r="C832" s="10" t="s">
        <v>254</v>
      </c>
      <c r="D832" s="10" t="s">
        <v>264</v>
      </c>
      <c r="E832" s="16">
        <v>9</v>
      </c>
      <c r="F832" s="16">
        <v>9</v>
      </c>
      <c r="G832" s="13">
        <v>7718.8043395601999</v>
      </c>
      <c r="H832" s="13">
        <v>7718.8043395601999</v>
      </c>
      <c r="I832" s="14">
        <v>0</v>
      </c>
      <c r="J832" s="15">
        <v>1</v>
      </c>
      <c r="K832" s="14">
        <v>2315.1735763395027</v>
      </c>
      <c r="L832" s="13">
        <v>17870371.847884461</v>
      </c>
      <c r="M832" s="14">
        <v>4.3522153292353396</v>
      </c>
      <c r="N832" s="14">
        <v>2250.169994832655</v>
      </c>
      <c r="O832" s="13">
        <v>17368621.920862451</v>
      </c>
      <c r="P832" s="13">
        <v>501749.92702201009</v>
      </c>
      <c r="Q832" s="14">
        <v>1.0288882980646454</v>
      </c>
      <c r="R832" s="15">
        <v>2.8888298064645497E-2</v>
      </c>
    </row>
    <row r="833" spans="1:18" ht="18" customHeight="1">
      <c r="A833" s="10" t="s">
        <v>83</v>
      </c>
      <c r="B833" s="10" t="s">
        <v>84</v>
      </c>
      <c r="C833" s="10" t="s">
        <v>254</v>
      </c>
      <c r="D833" s="10" t="s">
        <v>269</v>
      </c>
      <c r="E833" s="16">
        <v>1</v>
      </c>
      <c r="F833" s="16">
        <v>1</v>
      </c>
      <c r="G833" s="13">
        <v>18676.005853710802</v>
      </c>
      <c r="H833" s="13">
        <v>18676.005853710802</v>
      </c>
      <c r="I833" s="14">
        <v>0</v>
      </c>
      <c r="J833" s="15">
        <v>1</v>
      </c>
      <c r="K833" s="14">
        <v>190.54607179632464</v>
      </c>
      <c r="L833" s="13">
        <v>3558639.5522697577</v>
      </c>
      <c r="M833" s="14">
        <v>3.28</v>
      </c>
      <c r="N833" s="14">
        <v>190.54607179632464</v>
      </c>
      <c r="O833" s="13">
        <v>3558639.5522697577</v>
      </c>
      <c r="P833" s="13">
        <v>0</v>
      </c>
      <c r="Q833" s="14">
        <v>1</v>
      </c>
      <c r="R833" s="15">
        <v>0</v>
      </c>
    </row>
    <row r="834" spans="1:18" ht="18" customHeight="1">
      <c r="A834" s="10" t="s">
        <v>83</v>
      </c>
      <c r="B834" s="10" t="s">
        <v>84</v>
      </c>
      <c r="C834" s="10" t="s">
        <v>254</v>
      </c>
      <c r="D834" s="10" t="s">
        <v>270</v>
      </c>
      <c r="E834" s="16">
        <v>5</v>
      </c>
      <c r="F834" s="16">
        <v>5</v>
      </c>
      <c r="G834" s="13">
        <v>4240.7629004991986</v>
      </c>
      <c r="H834" s="13">
        <v>4240.7629004991986</v>
      </c>
      <c r="I834" s="14">
        <v>0</v>
      </c>
      <c r="J834" s="15">
        <v>1</v>
      </c>
      <c r="K834" s="14">
        <v>295.57224840577959</v>
      </c>
      <c r="L834" s="13">
        <v>1253451.8254563634</v>
      </c>
      <c r="M834" s="14">
        <v>3.3870735866338135</v>
      </c>
      <c r="N834" s="14">
        <v>243.8223914777368</v>
      </c>
      <c r="O834" s="13">
        <v>1033992.9520897781</v>
      </c>
      <c r="P834" s="13">
        <v>219458.87336658523</v>
      </c>
      <c r="Q834" s="14">
        <v>1.2122440708353401</v>
      </c>
      <c r="R834" s="15">
        <v>0.21224407083534005</v>
      </c>
    </row>
    <row r="835" spans="1:18" ht="18" customHeight="1">
      <c r="A835" s="10" t="s">
        <v>175</v>
      </c>
      <c r="B835" s="10" t="s">
        <v>176</v>
      </c>
      <c r="C835" s="10" t="s">
        <v>254</v>
      </c>
      <c r="D835" s="10" t="s">
        <v>256</v>
      </c>
      <c r="E835" s="16">
        <v>1</v>
      </c>
      <c r="F835" s="16">
        <v>1</v>
      </c>
      <c r="G835" s="13">
        <v>10.60277</v>
      </c>
      <c r="H835" s="13">
        <v>10.60277</v>
      </c>
      <c r="I835" s="14">
        <v>0</v>
      </c>
      <c r="J835" s="15">
        <v>1</v>
      </c>
      <c r="K835" s="14">
        <v>912.01083935590964</v>
      </c>
      <c r="L835" s="13">
        <v>9669.8411671976573</v>
      </c>
      <c r="M835" s="14">
        <v>3.96</v>
      </c>
      <c r="N835" s="14">
        <v>912.01083935590964</v>
      </c>
      <c r="O835" s="13">
        <v>9669.8411671976573</v>
      </c>
      <c r="P835" s="13">
        <v>0</v>
      </c>
      <c r="Q835" s="14">
        <v>1</v>
      </c>
      <c r="R835" s="15">
        <v>0</v>
      </c>
    </row>
    <row r="836" spans="1:18" ht="18" customHeight="1">
      <c r="A836" s="10" t="s">
        <v>175</v>
      </c>
      <c r="B836" s="10" t="s">
        <v>176</v>
      </c>
      <c r="C836" s="10" t="s">
        <v>254</v>
      </c>
      <c r="D836" s="10" t="s">
        <v>262</v>
      </c>
      <c r="E836" s="16">
        <v>1</v>
      </c>
      <c r="F836" s="16">
        <v>1</v>
      </c>
      <c r="G836" s="13">
        <v>2.2669999999999999E-2</v>
      </c>
      <c r="H836" s="13">
        <v>2.2669999999999999E-2</v>
      </c>
      <c r="I836" s="14">
        <v>0</v>
      </c>
      <c r="J836" s="15">
        <v>1</v>
      </c>
      <c r="K836" s="14">
        <v>407.38027780411261</v>
      </c>
      <c r="L836" s="13">
        <v>9.2353108978192324</v>
      </c>
      <c r="M836" s="14">
        <v>3.6100000000000003</v>
      </c>
      <c r="N836" s="14">
        <v>407.38027780411301</v>
      </c>
      <c r="O836" s="13">
        <v>9.2353108978192413</v>
      </c>
      <c r="P836" s="13">
        <v>-8.8817841970012523E-15</v>
      </c>
      <c r="Q836" s="14">
        <v>0.999999999999999</v>
      </c>
      <c r="R836" s="15">
        <v>-9.6172010831801361E-16</v>
      </c>
    </row>
    <row r="837" spans="1:18" ht="18" customHeight="1">
      <c r="A837" s="10" t="s">
        <v>175</v>
      </c>
      <c r="B837" s="10" t="s">
        <v>176</v>
      </c>
      <c r="C837" s="10" t="s">
        <v>254</v>
      </c>
      <c r="D837" s="10" t="s">
        <v>266</v>
      </c>
      <c r="E837" s="16">
        <v>1</v>
      </c>
      <c r="F837" s="16">
        <v>1</v>
      </c>
      <c r="G837" s="13">
        <v>5.0560000000000001E-2</v>
      </c>
      <c r="H837" s="13">
        <v>5.0560000000000001E-2</v>
      </c>
      <c r="I837" s="14">
        <v>0</v>
      </c>
      <c r="J837" s="15">
        <v>1</v>
      </c>
      <c r="K837" s="14">
        <v>575.43993733715661</v>
      </c>
      <c r="L837" s="13">
        <v>29.09424323176664</v>
      </c>
      <c r="M837" s="14">
        <v>3.76</v>
      </c>
      <c r="N837" s="14">
        <v>575.43993733715661</v>
      </c>
      <c r="O837" s="13">
        <v>29.09424323176664</v>
      </c>
      <c r="P837" s="13">
        <v>0</v>
      </c>
      <c r="Q837" s="14">
        <v>1</v>
      </c>
      <c r="R837" s="15">
        <v>0</v>
      </c>
    </row>
    <row r="838" spans="1:18" ht="18" customHeight="1">
      <c r="A838" s="10" t="s">
        <v>175</v>
      </c>
      <c r="B838" s="10" t="s">
        <v>176</v>
      </c>
      <c r="C838" s="10" t="s">
        <v>254</v>
      </c>
      <c r="D838" s="10" t="s">
        <v>269</v>
      </c>
      <c r="E838" s="16">
        <v>1</v>
      </c>
      <c r="F838" s="16">
        <v>1</v>
      </c>
      <c r="G838" s="13">
        <v>1610.6000393135002</v>
      </c>
      <c r="H838" s="13">
        <v>1610.6000393135002</v>
      </c>
      <c r="I838" s="14">
        <v>0</v>
      </c>
      <c r="J838" s="15">
        <v>1</v>
      </c>
      <c r="K838" s="14">
        <v>190.54607179632464</v>
      </c>
      <c r="L838" s="13">
        <v>306893.51072619349</v>
      </c>
      <c r="M838" s="14">
        <v>3.28</v>
      </c>
      <c r="N838" s="14">
        <v>190.54607179632464</v>
      </c>
      <c r="O838" s="13">
        <v>306893.51072619349</v>
      </c>
      <c r="P838" s="13">
        <v>0</v>
      </c>
      <c r="Q838" s="14">
        <v>1</v>
      </c>
      <c r="R838" s="15">
        <v>0</v>
      </c>
    </row>
    <row r="839" spans="1:18" ht="18" customHeight="1">
      <c r="A839" s="10" t="s">
        <v>175</v>
      </c>
      <c r="B839" s="10" t="s">
        <v>176</v>
      </c>
      <c r="C839" s="10" t="s">
        <v>254</v>
      </c>
      <c r="D839" s="10" t="s">
        <v>278</v>
      </c>
      <c r="E839" s="16">
        <v>2</v>
      </c>
      <c r="F839" s="16">
        <v>2</v>
      </c>
      <c r="G839" s="13">
        <v>1.0039199999999999</v>
      </c>
      <c r="H839" s="13">
        <v>1.0039199999999999</v>
      </c>
      <c r="I839" s="14">
        <v>0</v>
      </c>
      <c r="J839" s="15">
        <v>1</v>
      </c>
      <c r="K839" s="14">
        <v>223.48953364636361</v>
      </c>
      <c r="L839" s="13">
        <v>224.36561261825733</v>
      </c>
      <c r="M839" s="14">
        <v>3.3490238265997294</v>
      </c>
      <c r="N839" s="14">
        <v>223.36947661586646</v>
      </c>
      <c r="O839" s="13">
        <v>224.24508496420063</v>
      </c>
      <c r="P839" s="13">
        <v>0.12052765405670129</v>
      </c>
      <c r="Q839" s="14">
        <v>1.0005374818095831</v>
      </c>
      <c r="R839" s="15">
        <v>5.3748180958321917E-4</v>
      </c>
    </row>
    <row r="840" spans="1:18" ht="18" customHeight="1">
      <c r="A840" s="10" t="s">
        <v>107</v>
      </c>
      <c r="B840" s="10" t="s">
        <v>108</v>
      </c>
      <c r="C840" s="10" t="s">
        <v>254</v>
      </c>
      <c r="D840" s="10" t="s">
        <v>261</v>
      </c>
      <c r="E840" s="16">
        <v>11</v>
      </c>
      <c r="F840" s="16">
        <v>11</v>
      </c>
      <c r="G840" s="13">
        <v>100297.2096274776</v>
      </c>
      <c r="H840" s="13">
        <v>100297.2096274776</v>
      </c>
      <c r="I840" s="14">
        <v>0</v>
      </c>
      <c r="J840" s="15">
        <v>1</v>
      </c>
      <c r="K840" s="14">
        <v>2639.6682928496257</v>
      </c>
      <c r="L840" s="13">
        <v>264751364.11494482</v>
      </c>
      <c r="M840" s="14">
        <v>4.4187953039224954</v>
      </c>
      <c r="N840" s="14">
        <v>2622.9819615418091</v>
      </c>
      <c r="O840" s="13">
        <v>263077771.64585122</v>
      </c>
      <c r="P840" s="13">
        <v>1673592.469093591</v>
      </c>
      <c r="Q840" s="14">
        <v>1.0063615882809991</v>
      </c>
      <c r="R840" s="15">
        <v>6.3615882809990483E-3</v>
      </c>
    </row>
    <row r="841" spans="1:18" ht="18" customHeight="1">
      <c r="A841" s="10" t="s">
        <v>107</v>
      </c>
      <c r="B841" s="10" t="s">
        <v>108</v>
      </c>
      <c r="C841" s="10" t="s">
        <v>254</v>
      </c>
      <c r="D841" s="10" t="s">
        <v>264</v>
      </c>
      <c r="E841" s="16">
        <v>7</v>
      </c>
      <c r="F841" s="16">
        <v>7</v>
      </c>
      <c r="G841" s="13">
        <v>5742.7680373349003</v>
      </c>
      <c r="H841" s="13">
        <v>5742.7680373349003</v>
      </c>
      <c r="I841" s="14">
        <v>0</v>
      </c>
      <c r="J841" s="15">
        <v>1</v>
      </c>
      <c r="K841" s="14">
        <v>2292.0258225138004</v>
      </c>
      <c r="L841" s="13">
        <v>13162572.634278487</v>
      </c>
      <c r="M841" s="14">
        <v>4.3563688717756737</v>
      </c>
      <c r="N841" s="14">
        <v>2271.7936002179868</v>
      </c>
      <c r="O841" s="13">
        <v>13046383.674753835</v>
      </c>
      <c r="P841" s="13">
        <v>116188.95952465199</v>
      </c>
      <c r="Q841" s="14">
        <v>1.0089058364694188</v>
      </c>
      <c r="R841" s="15">
        <v>8.9058364694187403E-3</v>
      </c>
    </row>
    <row r="842" spans="1:18" ht="18" customHeight="1">
      <c r="A842" s="10" t="s">
        <v>107</v>
      </c>
      <c r="B842" s="10" t="s">
        <v>108</v>
      </c>
      <c r="C842" s="10" t="s">
        <v>254</v>
      </c>
      <c r="D842" s="10" t="s">
        <v>269</v>
      </c>
      <c r="E842" s="16">
        <v>1</v>
      </c>
      <c r="F842" s="16">
        <v>1</v>
      </c>
      <c r="G842" s="13">
        <v>1273.5882444248</v>
      </c>
      <c r="H842" s="13">
        <v>1273.5882444248</v>
      </c>
      <c r="I842" s="14">
        <v>0</v>
      </c>
      <c r="J842" s="15">
        <v>1</v>
      </c>
      <c r="K842" s="14">
        <v>190.54607179632464</v>
      </c>
      <c r="L842" s="13">
        <v>242677.23706112299</v>
      </c>
      <c r="M842" s="14">
        <v>3.28</v>
      </c>
      <c r="N842" s="14">
        <v>190.54607179632464</v>
      </c>
      <c r="O842" s="13">
        <v>242677.23706112299</v>
      </c>
      <c r="P842" s="13">
        <v>0</v>
      </c>
      <c r="Q842" s="14">
        <v>1</v>
      </c>
      <c r="R842" s="15">
        <v>0</v>
      </c>
    </row>
    <row r="843" spans="1:18" ht="18" customHeight="1">
      <c r="A843" s="10" t="s">
        <v>107</v>
      </c>
      <c r="B843" s="10" t="s">
        <v>108</v>
      </c>
      <c r="C843" s="10" t="s">
        <v>254</v>
      </c>
      <c r="D843" s="10" t="s">
        <v>270</v>
      </c>
      <c r="E843" s="16">
        <v>2</v>
      </c>
      <c r="F843" s="16">
        <v>2</v>
      </c>
      <c r="G843" s="13">
        <v>25682.113428029501</v>
      </c>
      <c r="H843" s="13">
        <v>25682.113428029501</v>
      </c>
      <c r="I843" s="14">
        <v>0</v>
      </c>
      <c r="J843" s="15">
        <v>1</v>
      </c>
      <c r="K843" s="14">
        <v>242.51306630983703</v>
      </c>
      <c r="L843" s="13">
        <v>6228248.0767484745</v>
      </c>
      <c r="M843" s="14">
        <v>3.3606297538429515</v>
      </c>
      <c r="N843" s="14">
        <v>229.41919621097048</v>
      </c>
      <c r="O843" s="13">
        <v>5891969.8196574999</v>
      </c>
      <c r="P843" s="13">
        <v>336278.2570909746</v>
      </c>
      <c r="Q843" s="14">
        <v>1.0570739951805324</v>
      </c>
      <c r="R843" s="15">
        <v>5.7073995180532418E-2</v>
      </c>
    </row>
    <row r="844" spans="1:18" ht="18" customHeight="1">
      <c r="A844" s="10" t="s">
        <v>169</v>
      </c>
      <c r="B844" s="10" t="s">
        <v>170</v>
      </c>
      <c r="C844" s="10" t="s">
        <v>254</v>
      </c>
      <c r="D844" s="10" t="s">
        <v>261</v>
      </c>
      <c r="E844" s="16">
        <v>8</v>
      </c>
      <c r="F844" s="16">
        <v>8</v>
      </c>
      <c r="G844" s="13">
        <v>267.50300015350001</v>
      </c>
      <c r="H844" s="13">
        <v>267.50300015350001</v>
      </c>
      <c r="I844" s="14">
        <v>0</v>
      </c>
      <c r="J844" s="15">
        <v>1</v>
      </c>
      <c r="K844" s="14">
        <v>2137.8231036774</v>
      </c>
      <c r="L844" s="13">
        <v>571874.09403117141</v>
      </c>
      <c r="M844" s="14">
        <v>4.3242310708416447</v>
      </c>
      <c r="N844" s="14">
        <v>2109.7503657241996</v>
      </c>
      <c r="O844" s="13">
        <v>564364.55240616726</v>
      </c>
      <c r="P844" s="13">
        <v>7509.5416250041453</v>
      </c>
      <c r="Q844" s="14">
        <v>1.0133061894000734</v>
      </c>
      <c r="R844" s="15">
        <v>1.330618940007346E-2</v>
      </c>
    </row>
    <row r="845" spans="1:18" ht="18" customHeight="1">
      <c r="A845" s="10" t="s">
        <v>169</v>
      </c>
      <c r="B845" s="10" t="s">
        <v>170</v>
      </c>
      <c r="C845" s="10" t="s">
        <v>254</v>
      </c>
      <c r="D845" s="10" t="s">
        <v>264</v>
      </c>
      <c r="E845" s="16">
        <v>4</v>
      </c>
      <c r="F845" s="16">
        <v>4</v>
      </c>
      <c r="G845" s="13">
        <v>96.979940719500007</v>
      </c>
      <c r="H845" s="13">
        <v>96.979940719500007</v>
      </c>
      <c r="I845" s="14">
        <v>0</v>
      </c>
      <c r="J845" s="15">
        <v>1</v>
      </c>
      <c r="K845" s="14">
        <v>1769.0484616046681</v>
      </c>
      <c r="L845" s="13">
        <v>171562.2149363434</v>
      </c>
      <c r="M845" s="14">
        <v>4.2183549350025755</v>
      </c>
      <c r="N845" s="14">
        <v>1653.3124456650928</v>
      </c>
      <c r="O845" s="13">
        <v>160338.14297141228</v>
      </c>
      <c r="P845" s="13">
        <v>11224.071964931121</v>
      </c>
      <c r="Q845" s="14">
        <v>1.0700025069326913</v>
      </c>
      <c r="R845" s="15">
        <v>7.0002506932691208E-2</v>
      </c>
    </row>
    <row r="846" spans="1:18" ht="18" customHeight="1">
      <c r="A846" s="10" t="s">
        <v>169</v>
      </c>
      <c r="B846" s="10" t="s">
        <v>170</v>
      </c>
      <c r="C846" s="10" t="s">
        <v>254</v>
      </c>
      <c r="D846" s="10" t="s">
        <v>269</v>
      </c>
      <c r="E846" s="16">
        <v>1</v>
      </c>
      <c r="F846" s="16">
        <v>1</v>
      </c>
      <c r="G846" s="13">
        <v>20.615099850300002</v>
      </c>
      <c r="H846" s="13">
        <v>20.615099850300002</v>
      </c>
      <c r="I846" s="14">
        <v>0</v>
      </c>
      <c r="J846" s="15">
        <v>1</v>
      </c>
      <c r="K846" s="14">
        <v>190.54607179632464</v>
      </c>
      <c r="L846" s="13">
        <v>3928.1262961636653</v>
      </c>
      <c r="M846" s="14">
        <v>3.2799999999999994</v>
      </c>
      <c r="N846" s="14">
        <v>190.54607179632444</v>
      </c>
      <c r="O846" s="13">
        <v>3928.1262961636612</v>
      </c>
      <c r="P846" s="13">
        <v>4.0927261579781771E-12</v>
      </c>
      <c r="Q846" s="14">
        <v>1.0000000000000011</v>
      </c>
      <c r="R846" s="15">
        <v>1.0419028945111235E-15</v>
      </c>
    </row>
    <row r="847" spans="1:18" ht="18" customHeight="1">
      <c r="A847" s="10" t="s">
        <v>169</v>
      </c>
      <c r="B847" s="10" t="s">
        <v>170</v>
      </c>
      <c r="C847" s="10" t="s">
        <v>254</v>
      </c>
      <c r="D847" s="10" t="s">
        <v>270</v>
      </c>
      <c r="E847" s="16">
        <v>3</v>
      </c>
      <c r="F847" s="16">
        <v>3</v>
      </c>
      <c r="G847" s="13">
        <v>17.193354685399999</v>
      </c>
      <c r="H847" s="13">
        <v>17.193354685399999</v>
      </c>
      <c r="I847" s="14">
        <v>0</v>
      </c>
      <c r="J847" s="15">
        <v>1</v>
      </c>
      <c r="K847" s="14">
        <v>724.23844453808192</v>
      </c>
      <c r="L847" s="13">
        <v>12452.088453745639</v>
      </c>
      <c r="M847" s="14">
        <v>3.6353403750732816</v>
      </c>
      <c r="N847" s="14">
        <v>431.8574092633886</v>
      </c>
      <c r="O847" s="13">
        <v>7425.0776109833878</v>
      </c>
      <c r="P847" s="13">
        <v>5027.0108427622508</v>
      </c>
      <c r="Q847" s="14">
        <v>1.6770314205640291</v>
      </c>
      <c r="R847" s="15">
        <v>0.6770314205640291</v>
      </c>
    </row>
    <row r="848" spans="1:18" ht="18" customHeight="1">
      <c r="A848" s="10" t="s">
        <v>47</v>
      </c>
      <c r="B848" s="10" t="s">
        <v>48</v>
      </c>
      <c r="C848" s="10" t="s">
        <v>254</v>
      </c>
      <c r="D848" s="10" t="s">
        <v>261</v>
      </c>
      <c r="E848" s="16">
        <v>12</v>
      </c>
      <c r="F848" s="16">
        <v>12</v>
      </c>
      <c r="G848" s="13">
        <v>533623.73477649677</v>
      </c>
      <c r="H848" s="13">
        <v>533623.73477649677</v>
      </c>
      <c r="I848" s="14">
        <v>0</v>
      </c>
      <c r="J848" s="15">
        <v>1</v>
      </c>
      <c r="K848" s="14">
        <v>2671.7724830904954</v>
      </c>
      <c r="L848" s="13">
        <v>1425721210.8998246</v>
      </c>
      <c r="M848" s="14">
        <v>4.4258237156395586</v>
      </c>
      <c r="N848" s="14">
        <v>2665.7763802827831</v>
      </c>
      <c r="O848" s="13">
        <v>1422521548.1254694</v>
      </c>
      <c r="P848" s="13">
        <v>3199662.7743551731</v>
      </c>
      <c r="Q848" s="14">
        <v>1.0022492894948209</v>
      </c>
      <c r="R848" s="15">
        <v>2.2492894948210346E-3</v>
      </c>
    </row>
    <row r="849" spans="1:18" ht="18" customHeight="1">
      <c r="A849" s="10" t="s">
        <v>47</v>
      </c>
      <c r="B849" s="10" t="s">
        <v>48</v>
      </c>
      <c r="C849" s="10" t="s">
        <v>254</v>
      </c>
      <c r="D849" s="10" t="s">
        <v>264</v>
      </c>
      <c r="E849" s="16">
        <v>7</v>
      </c>
      <c r="F849" s="16">
        <v>7</v>
      </c>
      <c r="G849" s="13">
        <v>22977.887308863603</v>
      </c>
      <c r="H849" s="13">
        <v>22977.887308863603</v>
      </c>
      <c r="I849" s="14">
        <v>0</v>
      </c>
      <c r="J849" s="15">
        <v>1</v>
      </c>
      <c r="K849" s="14">
        <v>2081.3799999334074</v>
      </c>
      <c r="L849" s="13">
        <v>47825715.085392363</v>
      </c>
      <c r="M849" s="14">
        <v>4.2994971312941672</v>
      </c>
      <c r="N849" s="14">
        <v>1992.9533417889393</v>
      </c>
      <c r="O849" s="13">
        <v>45793857.299449377</v>
      </c>
      <c r="P849" s="13">
        <v>2031857.7859429866</v>
      </c>
      <c r="Q849" s="14">
        <v>1.0443696579795958</v>
      </c>
      <c r="R849" s="15">
        <v>4.4369657979595828E-2</v>
      </c>
    </row>
    <row r="850" spans="1:18" ht="18" customHeight="1">
      <c r="A850" s="10" t="s">
        <v>47</v>
      </c>
      <c r="B850" s="10" t="s">
        <v>48</v>
      </c>
      <c r="C850" s="10" t="s">
        <v>254</v>
      </c>
      <c r="D850" s="10" t="s">
        <v>269</v>
      </c>
      <c r="E850" s="16">
        <v>1</v>
      </c>
      <c r="F850" s="16">
        <v>1</v>
      </c>
      <c r="G850" s="13">
        <v>7263.5041104633001</v>
      </c>
      <c r="H850" s="13">
        <v>7263.5041104633001</v>
      </c>
      <c r="I850" s="14">
        <v>0</v>
      </c>
      <c r="J850" s="15">
        <v>1</v>
      </c>
      <c r="K850" s="14">
        <v>190.54607179632464</v>
      </c>
      <c r="L850" s="13">
        <v>1384032.1757252391</v>
      </c>
      <c r="M850" s="14">
        <v>3.28</v>
      </c>
      <c r="N850" s="14">
        <v>190.54607179632464</v>
      </c>
      <c r="O850" s="13">
        <v>1384032.1757252391</v>
      </c>
      <c r="P850" s="13">
        <v>0</v>
      </c>
      <c r="Q850" s="14">
        <v>1</v>
      </c>
      <c r="R850" s="15">
        <v>0</v>
      </c>
    </row>
    <row r="851" spans="1:18" ht="18" customHeight="1">
      <c r="A851" s="10" t="s">
        <v>47</v>
      </c>
      <c r="B851" s="10" t="s">
        <v>48</v>
      </c>
      <c r="C851" s="10" t="s">
        <v>254</v>
      </c>
      <c r="D851" s="10" t="s">
        <v>270</v>
      </c>
      <c r="E851" s="16">
        <v>3</v>
      </c>
      <c r="F851" s="16">
        <v>3</v>
      </c>
      <c r="G851" s="13">
        <v>7952.6603594221997</v>
      </c>
      <c r="H851" s="13">
        <v>7952.6603594221997</v>
      </c>
      <c r="I851" s="14">
        <v>0</v>
      </c>
      <c r="J851" s="15">
        <v>1</v>
      </c>
      <c r="K851" s="14">
        <v>907.40724865242044</v>
      </c>
      <c r="L851" s="13">
        <v>7216301.6562104672</v>
      </c>
      <c r="M851" s="14">
        <v>3.7593664423159696</v>
      </c>
      <c r="N851" s="14">
        <v>574.60108578792665</v>
      </c>
      <c r="O851" s="13">
        <v>4569607.2774265986</v>
      </c>
      <c r="P851" s="13">
        <v>2646694.3787838686</v>
      </c>
      <c r="Q851" s="14">
        <v>1.5791951513772908</v>
      </c>
      <c r="R851" s="15">
        <v>0.57919515137729083</v>
      </c>
    </row>
    <row r="852" spans="1:18" ht="18" customHeight="1">
      <c r="A852" s="10" t="s">
        <v>34</v>
      </c>
      <c r="B852" s="10" t="s">
        <v>35</v>
      </c>
      <c r="C852" s="10" t="s">
        <v>254</v>
      </c>
      <c r="D852" s="10" t="s">
        <v>261</v>
      </c>
      <c r="E852" s="16">
        <v>15</v>
      </c>
      <c r="F852" s="16">
        <v>15</v>
      </c>
      <c r="G852" s="13">
        <v>747251.74625020928</v>
      </c>
      <c r="H852" s="13">
        <v>747251.74625020928</v>
      </c>
      <c r="I852" s="14">
        <v>0</v>
      </c>
      <c r="J852" s="15">
        <v>1</v>
      </c>
      <c r="K852" s="14">
        <v>2712.5023373180375</v>
      </c>
      <c r="L852" s="13">
        <v>2026922108.2686777</v>
      </c>
      <c r="M852" s="14">
        <v>4.4307381455729624</v>
      </c>
      <c r="N852" s="14">
        <v>2696.1133420340911</v>
      </c>
      <c r="O852" s="13">
        <v>2014675402.9234624</v>
      </c>
      <c r="P852" s="13">
        <v>12246705.345215321</v>
      </c>
      <c r="Q852" s="14">
        <v>1.0060787486299005</v>
      </c>
      <c r="R852" s="15">
        <v>6.0787486299005425E-3</v>
      </c>
    </row>
    <row r="853" spans="1:18" ht="18" customHeight="1">
      <c r="A853" s="10" t="s">
        <v>34</v>
      </c>
      <c r="B853" s="10" t="s">
        <v>35</v>
      </c>
      <c r="C853" s="10" t="s">
        <v>254</v>
      </c>
      <c r="D853" s="10" t="s">
        <v>264</v>
      </c>
      <c r="E853" s="16">
        <v>7</v>
      </c>
      <c r="F853" s="16">
        <v>7</v>
      </c>
      <c r="G853" s="13">
        <v>69815.976126674708</v>
      </c>
      <c r="H853" s="13">
        <v>69815.976126674708</v>
      </c>
      <c r="I853" s="14">
        <v>0</v>
      </c>
      <c r="J853" s="15">
        <v>1</v>
      </c>
      <c r="K853" s="14">
        <v>2083.5948316686536</v>
      </c>
      <c r="L853" s="13">
        <v>145468207.02544153</v>
      </c>
      <c r="M853" s="14">
        <v>4.3013416710504329</v>
      </c>
      <c r="N853" s="14">
        <v>2001.4358333552041</v>
      </c>
      <c r="O853" s="13">
        <v>139732196.36059824</v>
      </c>
      <c r="P853" s="13">
        <v>5736010.664843291</v>
      </c>
      <c r="Q853" s="14">
        <v>1.0410500286565361</v>
      </c>
      <c r="R853" s="15">
        <v>4.1050028656536126E-2</v>
      </c>
    </row>
    <row r="854" spans="1:18" ht="18" customHeight="1">
      <c r="A854" s="10" t="s">
        <v>34</v>
      </c>
      <c r="B854" s="10" t="s">
        <v>35</v>
      </c>
      <c r="C854" s="10" t="s">
        <v>254</v>
      </c>
      <c r="D854" s="10" t="s">
        <v>269</v>
      </c>
      <c r="E854" s="16">
        <v>1</v>
      </c>
      <c r="F854" s="16">
        <v>1</v>
      </c>
      <c r="G854" s="13">
        <v>21675.0954158329</v>
      </c>
      <c r="H854" s="13">
        <v>21675.0954158329</v>
      </c>
      <c r="I854" s="14">
        <v>0</v>
      </c>
      <c r="J854" s="15">
        <v>1</v>
      </c>
      <c r="K854" s="14">
        <v>190.54607179632464</v>
      </c>
      <c r="L854" s="13">
        <v>4130104.2872974831</v>
      </c>
      <c r="M854" s="14">
        <v>3.28</v>
      </c>
      <c r="N854" s="14">
        <v>190.54607179632464</v>
      </c>
      <c r="O854" s="13">
        <v>4130104.2872974831</v>
      </c>
      <c r="P854" s="13">
        <v>0</v>
      </c>
      <c r="Q854" s="14">
        <v>1</v>
      </c>
      <c r="R854" s="15">
        <v>0</v>
      </c>
    </row>
    <row r="855" spans="1:18" ht="18" customHeight="1">
      <c r="A855" s="10" t="s">
        <v>34</v>
      </c>
      <c r="B855" s="10" t="s">
        <v>35</v>
      </c>
      <c r="C855" s="10" t="s">
        <v>254</v>
      </c>
      <c r="D855" s="10" t="s">
        <v>270</v>
      </c>
      <c r="E855" s="16">
        <v>3</v>
      </c>
      <c r="F855" s="16">
        <v>3</v>
      </c>
      <c r="G855" s="13">
        <v>21928.389815775499</v>
      </c>
      <c r="H855" s="13">
        <v>21928.389815775499</v>
      </c>
      <c r="I855" s="14">
        <v>0</v>
      </c>
      <c r="J855" s="15">
        <v>1</v>
      </c>
      <c r="K855" s="14">
        <v>896.50569929834603</v>
      </c>
      <c r="L855" s="13">
        <v>19658926.446278542</v>
      </c>
      <c r="M855" s="14">
        <v>3.7482187771203637</v>
      </c>
      <c r="N855" s="14">
        <v>560.0396520662697</v>
      </c>
      <c r="O855" s="13">
        <v>12280767.802800443</v>
      </c>
      <c r="P855" s="13">
        <v>7378158.6434780993</v>
      </c>
      <c r="Q855" s="14">
        <v>1.60078968692785</v>
      </c>
      <c r="R855" s="15">
        <v>0.60078968692785006</v>
      </c>
    </row>
    <row r="856" spans="1:18" ht="18" customHeight="1">
      <c r="A856" s="10" t="s">
        <v>135</v>
      </c>
      <c r="B856" s="10" t="s">
        <v>136</v>
      </c>
      <c r="C856" s="10" t="s">
        <v>254</v>
      </c>
      <c r="D856" s="10" t="s">
        <v>261</v>
      </c>
      <c r="E856" s="16">
        <v>15</v>
      </c>
      <c r="F856" s="16">
        <v>15</v>
      </c>
      <c r="G856" s="13">
        <v>27964.925305575995</v>
      </c>
      <c r="H856" s="13">
        <v>27964.925305575995</v>
      </c>
      <c r="I856" s="14">
        <v>0</v>
      </c>
      <c r="J856" s="15">
        <v>1</v>
      </c>
      <c r="K856" s="14">
        <v>2168.2057392134038</v>
      </c>
      <c r="L856" s="13">
        <v>60633711.544224024</v>
      </c>
      <c r="M856" s="14">
        <v>4.3128487024779227</v>
      </c>
      <c r="N856" s="14">
        <v>2055.1744989790063</v>
      </c>
      <c r="O856" s="13">
        <v>57472801.353872478</v>
      </c>
      <c r="P856" s="13">
        <v>3160910.1903515458</v>
      </c>
      <c r="Q856" s="14">
        <v>1.0549983664601477</v>
      </c>
      <c r="R856" s="15">
        <v>5.49983664601476E-2</v>
      </c>
    </row>
    <row r="857" spans="1:18" ht="18" customHeight="1">
      <c r="A857" s="10" t="s">
        <v>135</v>
      </c>
      <c r="B857" s="10" t="s">
        <v>136</v>
      </c>
      <c r="C857" s="10" t="s">
        <v>254</v>
      </c>
      <c r="D857" s="10" t="s">
        <v>264</v>
      </c>
      <c r="E857" s="16">
        <v>8</v>
      </c>
      <c r="F857" s="16">
        <v>8</v>
      </c>
      <c r="G857" s="13">
        <v>13144.379964776101</v>
      </c>
      <c r="H857" s="13">
        <v>13144.379964776101</v>
      </c>
      <c r="I857" s="14">
        <v>0</v>
      </c>
      <c r="J857" s="15">
        <v>1</v>
      </c>
      <c r="K857" s="14">
        <v>2196.2300994140164</v>
      </c>
      <c r="L857" s="13">
        <v>28868082.916775819</v>
      </c>
      <c r="M857" s="14">
        <v>4.3297597049709582</v>
      </c>
      <c r="N857" s="14">
        <v>2136.779482806935</v>
      </c>
      <c r="O857" s="13">
        <v>28086641.422952116</v>
      </c>
      <c r="P857" s="13">
        <v>781441.49382370338</v>
      </c>
      <c r="Q857" s="14">
        <v>1.0278225325006327</v>
      </c>
      <c r="R857" s="15">
        <v>2.7822532500632751E-2</v>
      </c>
    </row>
    <row r="858" spans="1:18" ht="18" customHeight="1">
      <c r="A858" s="10" t="s">
        <v>135</v>
      </c>
      <c r="B858" s="10" t="s">
        <v>136</v>
      </c>
      <c r="C858" s="10" t="s">
        <v>254</v>
      </c>
      <c r="D858" s="10" t="s">
        <v>269</v>
      </c>
      <c r="E858" s="16">
        <v>1</v>
      </c>
      <c r="F858" s="16">
        <v>1</v>
      </c>
      <c r="G858" s="13">
        <v>2429.5427242087999</v>
      </c>
      <c r="H858" s="13">
        <v>2429.5427242087999</v>
      </c>
      <c r="I858" s="14">
        <v>0</v>
      </c>
      <c r="J858" s="15">
        <v>1</v>
      </c>
      <c r="K858" s="14">
        <v>190.54607179632464</v>
      </c>
      <c r="L858" s="13">
        <v>462939.82235932816</v>
      </c>
      <c r="M858" s="14">
        <v>3.28</v>
      </c>
      <c r="N858" s="14">
        <v>190.54607179632464</v>
      </c>
      <c r="O858" s="13">
        <v>462939.82235932816</v>
      </c>
      <c r="P858" s="13">
        <v>0</v>
      </c>
      <c r="Q858" s="14">
        <v>1</v>
      </c>
      <c r="R858" s="15">
        <v>0</v>
      </c>
    </row>
    <row r="859" spans="1:18" ht="18" customHeight="1">
      <c r="A859" s="10" t="s">
        <v>135</v>
      </c>
      <c r="B859" s="10" t="s">
        <v>136</v>
      </c>
      <c r="C859" s="10" t="s">
        <v>254</v>
      </c>
      <c r="D859" s="10" t="s">
        <v>270</v>
      </c>
      <c r="E859" s="16">
        <v>3</v>
      </c>
      <c r="F859" s="16">
        <v>3</v>
      </c>
      <c r="G859" s="13">
        <v>1713.6188281561999</v>
      </c>
      <c r="H859" s="13">
        <v>1713.6188281561999</v>
      </c>
      <c r="I859" s="14">
        <v>0</v>
      </c>
      <c r="J859" s="15">
        <v>1</v>
      </c>
      <c r="K859" s="14">
        <v>829.56149054997184</v>
      </c>
      <c r="L859" s="13">
        <v>1421552.1893197533</v>
      </c>
      <c r="M859" s="14">
        <v>3.69546156453712</v>
      </c>
      <c r="N859" s="14">
        <v>495.97703102810459</v>
      </c>
      <c r="O859" s="13">
        <v>849915.5787027718</v>
      </c>
      <c r="P859" s="13">
        <v>571636.61061698152</v>
      </c>
      <c r="Q859" s="14">
        <v>1.6725804596845628</v>
      </c>
      <c r="R859" s="15">
        <v>0.67258045968456281</v>
      </c>
    </row>
    <row r="860" spans="1:18" ht="18" customHeight="1">
      <c r="A860" s="10" t="s">
        <v>79</v>
      </c>
      <c r="B860" s="10" t="s">
        <v>80</v>
      </c>
      <c r="C860" s="10" t="s">
        <v>254</v>
      </c>
      <c r="D860" s="10" t="s">
        <v>261</v>
      </c>
      <c r="E860" s="16">
        <v>15</v>
      </c>
      <c r="F860" s="16">
        <v>15</v>
      </c>
      <c r="G860" s="13">
        <v>236557.1475302183</v>
      </c>
      <c r="H860" s="13">
        <v>236557.1475302183</v>
      </c>
      <c r="I860" s="14">
        <v>0</v>
      </c>
      <c r="J860" s="15">
        <v>1</v>
      </c>
      <c r="K860" s="14">
        <v>2729.0269182361762</v>
      </c>
      <c r="L860" s="13">
        <v>645570823.31113207</v>
      </c>
      <c r="M860" s="14">
        <v>4.4347056931395112</v>
      </c>
      <c r="N860" s="14">
        <v>2720.8568494022179</v>
      </c>
      <c r="O860" s="13">
        <v>643638135.13264537</v>
      </c>
      <c r="P860" s="13">
        <v>1932688.1784867048</v>
      </c>
      <c r="Q860" s="14">
        <v>1.0030027558545587</v>
      </c>
      <c r="R860" s="15">
        <v>3.0027558545585604E-3</v>
      </c>
    </row>
    <row r="861" spans="1:18" ht="18" customHeight="1">
      <c r="A861" s="10" t="s">
        <v>79</v>
      </c>
      <c r="B861" s="10" t="s">
        <v>80</v>
      </c>
      <c r="C861" s="10" t="s">
        <v>254</v>
      </c>
      <c r="D861" s="10" t="s">
        <v>264</v>
      </c>
      <c r="E861" s="16">
        <v>6</v>
      </c>
      <c r="F861" s="16">
        <v>6</v>
      </c>
      <c r="G861" s="13">
        <v>5079.5806851539</v>
      </c>
      <c r="H861" s="13">
        <v>5079.5806851539</v>
      </c>
      <c r="I861" s="14">
        <v>0</v>
      </c>
      <c r="J861" s="15">
        <v>1</v>
      </c>
      <c r="K861" s="14">
        <v>1802.8361345683602</v>
      </c>
      <c r="L861" s="13">
        <v>9157651.6076509599</v>
      </c>
      <c r="M861" s="14">
        <v>4.2263467997793152</v>
      </c>
      <c r="N861" s="14">
        <v>1684.0182735176274</v>
      </c>
      <c r="O861" s="13">
        <v>8554106.6956063583</v>
      </c>
      <c r="P861" s="13">
        <v>603544.91204460151</v>
      </c>
      <c r="Q861" s="14">
        <v>1.0705561589914001</v>
      </c>
      <c r="R861" s="15">
        <v>7.0556158991399998E-2</v>
      </c>
    </row>
    <row r="862" spans="1:18" ht="18" customHeight="1">
      <c r="A862" s="10" t="s">
        <v>79</v>
      </c>
      <c r="B862" s="10" t="s">
        <v>80</v>
      </c>
      <c r="C862" s="10" t="s">
        <v>254</v>
      </c>
      <c r="D862" s="10" t="s">
        <v>269</v>
      </c>
      <c r="E862" s="16">
        <v>1</v>
      </c>
      <c r="F862" s="16">
        <v>1</v>
      </c>
      <c r="G862" s="13">
        <v>2057.6531137175998</v>
      </c>
      <c r="H862" s="13">
        <v>2057.6531137175998</v>
      </c>
      <c r="I862" s="14">
        <v>0</v>
      </c>
      <c r="J862" s="15">
        <v>1</v>
      </c>
      <c r="K862" s="14">
        <v>190.54607179632464</v>
      </c>
      <c r="L862" s="13">
        <v>392077.71793836472</v>
      </c>
      <c r="M862" s="14">
        <v>3.28</v>
      </c>
      <c r="N862" s="14">
        <v>190.54607179632464</v>
      </c>
      <c r="O862" s="13">
        <v>392077.71793836472</v>
      </c>
      <c r="P862" s="13">
        <v>0</v>
      </c>
      <c r="Q862" s="14">
        <v>1</v>
      </c>
      <c r="R862" s="15">
        <v>0</v>
      </c>
    </row>
    <row r="863" spans="1:18" ht="18" customHeight="1">
      <c r="A863" s="10" t="s">
        <v>79</v>
      </c>
      <c r="B863" s="10" t="s">
        <v>80</v>
      </c>
      <c r="C863" s="10" t="s">
        <v>254</v>
      </c>
      <c r="D863" s="10" t="s">
        <v>270</v>
      </c>
      <c r="E863" s="16">
        <v>3</v>
      </c>
      <c r="F863" s="16">
        <v>3</v>
      </c>
      <c r="G863" s="13">
        <v>2188.0363444528002</v>
      </c>
      <c r="H863" s="13">
        <v>2188.0363444528002</v>
      </c>
      <c r="I863" s="14">
        <v>0</v>
      </c>
      <c r="J863" s="15">
        <v>1</v>
      </c>
      <c r="K863" s="14">
        <v>982.75036072620026</v>
      </c>
      <c r="L863" s="13">
        <v>2150293.5067930259</v>
      </c>
      <c r="M863" s="14">
        <v>3.8027029285536584</v>
      </c>
      <c r="N863" s="14">
        <v>634.89649358523593</v>
      </c>
      <c r="O863" s="13">
        <v>1389176.6029301404</v>
      </c>
      <c r="P863" s="13">
        <v>761116.90386288543</v>
      </c>
      <c r="Q863" s="14">
        <v>1.5478906729767035</v>
      </c>
      <c r="R863" s="15">
        <v>0.54789067297670346</v>
      </c>
    </row>
    <row r="864" spans="1:18" ht="18" customHeight="1">
      <c r="A864" s="10" t="s">
        <v>165</v>
      </c>
      <c r="B864" s="10" t="s">
        <v>166</v>
      </c>
      <c r="C864" s="10" t="s">
        <v>254</v>
      </c>
      <c r="D864" s="10" t="s">
        <v>279</v>
      </c>
      <c r="E864" s="16">
        <v>2</v>
      </c>
      <c r="F864" s="16">
        <v>2</v>
      </c>
      <c r="G864" s="13">
        <v>0.24526900000000004</v>
      </c>
      <c r="H864" s="13">
        <v>0.24526900000000004</v>
      </c>
      <c r="I864" s="14">
        <v>0</v>
      </c>
      <c r="J864" s="15">
        <v>1</v>
      </c>
      <c r="K864" s="14">
        <v>17.78269948449358</v>
      </c>
      <c r="L864" s="13">
        <v>4.3615449198622569</v>
      </c>
      <c r="M864" s="14">
        <v>2.2499975537063386</v>
      </c>
      <c r="N864" s="14">
        <v>17.782693933760861</v>
      </c>
      <c r="O864" s="13">
        <v>4.3615435584395934</v>
      </c>
      <c r="P864" s="13">
        <v>1.3614226634928173E-6</v>
      </c>
      <c r="Q864" s="14">
        <v>1.0000003121423975</v>
      </c>
      <c r="R864" s="15">
        <v>3.1214239758272331E-7</v>
      </c>
    </row>
    <row r="865" spans="1:18" ht="18" customHeight="1">
      <c r="A865" s="10" t="s">
        <v>165</v>
      </c>
      <c r="B865" s="10" t="s">
        <v>166</v>
      </c>
      <c r="C865" s="10" t="s">
        <v>254</v>
      </c>
      <c r="D865" s="10" t="s">
        <v>256</v>
      </c>
      <c r="E865" s="16">
        <v>1</v>
      </c>
      <c r="F865" s="16">
        <v>1</v>
      </c>
      <c r="G865" s="13">
        <v>0.26308599999999999</v>
      </c>
      <c r="H865" s="13">
        <v>0.26308599999999999</v>
      </c>
      <c r="I865" s="14">
        <v>0</v>
      </c>
      <c r="J865" s="15">
        <v>1</v>
      </c>
      <c r="K865" s="14">
        <v>269.15348039269168</v>
      </c>
      <c r="L865" s="13">
        <v>70.810512542591681</v>
      </c>
      <c r="M865" s="14">
        <v>3.43</v>
      </c>
      <c r="N865" s="14">
        <v>269.15348039269168</v>
      </c>
      <c r="O865" s="13">
        <v>70.810512542591681</v>
      </c>
      <c r="P865" s="13">
        <v>0</v>
      </c>
      <c r="Q865" s="14">
        <v>1</v>
      </c>
      <c r="R865" s="15">
        <v>0</v>
      </c>
    </row>
    <row r="866" spans="1:18" ht="18" customHeight="1">
      <c r="A866" s="10" t="s">
        <v>165</v>
      </c>
      <c r="B866" s="10" t="s">
        <v>166</v>
      </c>
      <c r="C866" s="10" t="s">
        <v>254</v>
      </c>
      <c r="D866" s="10" t="s">
        <v>258</v>
      </c>
      <c r="E866" s="16">
        <v>1</v>
      </c>
      <c r="F866" s="16">
        <v>1</v>
      </c>
      <c r="G866" s="13">
        <v>3332.822494</v>
      </c>
      <c r="H866" s="13">
        <v>3332.822494</v>
      </c>
      <c r="I866" s="14">
        <v>0</v>
      </c>
      <c r="J866" s="15">
        <v>1</v>
      </c>
      <c r="K866" s="14">
        <v>1621.8100973589299</v>
      </c>
      <c r="L866" s="13">
        <v>5405205.1734741712</v>
      </c>
      <c r="M866" s="14">
        <v>4.21</v>
      </c>
      <c r="N866" s="14">
        <v>1621.8100973589299</v>
      </c>
      <c r="O866" s="13">
        <v>5405205.1734741712</v>
      </c>
      <c r="P866" s="13">
        <v>0</v>
      </c>
      <c r="Q866" s="14">
        <v>1</v>
      </c>
      <c r="R866" s="15">
        <v>0</v>
      </c>
    </row>
    <row r="867" spans="1:18" ht="18" customHeight="1">
      <c r="A867" s="10" t="s">
        <v>165</v>
      </c>
      <c r="B867" s="10" t="s">
        <v>166</v>
      </c>
      <c r="C867" s="10" t="s">
        <v>254</v>
      </c>
      <c r="D867" s="10" t="s">
        <v>262</v>
      </c>
      <c r="E867" s="16">
        <v>1</v>
      </c>
      <c r="F867" s="16">
        <v>1</v>
      </c>
      <c r="G867" s="13">
        <v>1.59718</v>
      </c>
      <c r="H867" s="13">
        <v>1.59718</v>
      </c>
      <c r="I867" s="14">
        <v>0</v>
      </c>
      <c r="J867" s="15">
        <v>1</v>
      </c>
      <c r="K867" s="14">
        <v>407.38027780411261</v>
      </c>
      <c r="L867" s="13">
        <v>650.65963210317261</v>
      </c>
      <c r="M867" s="14">
        <v>3.61</v>
      </c>
      <c r="N867" s="14">
        <v>407.38027780411261</v>
      </c>
      <c r="O867" s="13">
        <v>650.65963210317261</v>
      </c>
      <c r="P867" s="13">
        <v>0</v>
      </c>
      <c r="Q867" s="14">
        <v>1</v>
      </c>
      <c r="R867" s="15">
        <v>0</v>
      </c>
    </row>
    <row r="868" spans="1:18" ht="18" customHeight="1">
      <c r="A868" s="10" t="s">
        <v>165</v>
      </c>
      <c r="B868" s="10" t="s">
        <v>166</v>
      </c>
      <c r="C868" s="10" t="s">
        <v>254</v>
      </c>
      <c r="D868" s="10" t="s">
        <v>263</v>
      </c>
      <c r="E868" s="16">
        <v>2</v>
      </c>
      <c r="F868" s="16">
        <v>2</v>
      </c>
      <c r="G868" s="13">
        <v>3.3862000000000003E-2</v>
      </c>
      <c r="H868" s="13">
        <v>3.3862000000000003E-2</v>
      </c>
      <c r="I868" s="14">
        <v>0</v>
      </c>
      <c r="J868" s="15">
        <v>1</v>
      </c>
      <c r="K868" s="14">
        <v>194.84758433725187</v>
      </c>
      <c r="L868" s="13">
        <v>6.5979289008280233</v>
      </c>
      <c r="M868" s="14">
        <v>3.289662453487685</v>
      </c>
      <c r="N868" s="14">
        <v>194.83297116673515</v>
      </c>
      <c r="O868" s="13">
        <v>6.5974340696479858</v>
      </c>
      <c r="P868" s="13">
        <v>4.948311800374583E-4</v>
      </c>
      <c r="Q868" s="14">
        <v>1.0000750035809094</v>
      </c>
      <c r="R868" s="15">
        <v>7.5003580909427806E-5</v>
      </c>
    </row>
    <row r="869" spans="1:18" ht="18" customHeight="1">
      <c r="A869" s="10" t="s">
        <v>165</v>
      </c>
      <c r="B869" s="10" t="s">
        <v>166</v>
      </c>
      <c r="C869" s="10" t="s">
        <v>254</v>
      </c>
      <c r="D869" s="10" t="s">
        <v>265</v>
      </c>
      <c r="E869" s="16">
        <v>2</v>
      </c>
      <c r="F869" s="16">
        <v>2</v>
      </c>
      <c r="G869" s="13">
        <v>2.0435000000000002E-2</v>
      </c>
      <c r="H869" s="13">
        <v>2.0435000000000002E-2</v>
      </c>
      <c r="I869" s="14">
        <v>0</v>
      </c>
      <c r="J869" s="15">
        <v>1</v>
      </c>
      <c r="K869" s="14">
        <v>58.622064083924073</v>
      </c>
      <c r="L869" s="13">
        <v>1.1979418795549885</v>
      </c>
      <c r="M869" s="14">
        <v>2.7360264252507949</v>
      </c>
      <c r="N869" s="14">
        <v>54.45357848703793</v>
      </c>
      <c r="O869" s="13">
        <v>1.1127588763826202</v>
      </c>
      <c r="P869" s="13">
        <v>8.5183003172368377E-2</v>
      </c>
      <c r="Q869" s="14">
        <v>1.0765511783193167</v>
      </c>
      <c r="R869" s="15">
        <v>7.655117831931664E-2</v>
      </c>
    </row>
    <row r="870" spans="1:18" ht="18" customHeight="1">
      <c r="A870" s="10" t="s">
        <v>165</v>
      </c>
      <c r="B870" s="10" t="s">
        <v>166</v>
      </c>
      <c r="C870" s="10" t="s">
        <v>254</v>
      </c>
      <c r="D870" s="10" t="s">
        <v>266</v>
      </c>
      <c r="E870" s="16">
        <v>1</v>
      </c>
      <c r="F870" s="16">
        <v>1</v>
      </c>
      <c r="G870" s="13">
        <v>2.5680000000000001E-2</v>
      </c>
      <c r="H870" s="13">
        <v>2.5680000000000001E-2</v>
      </c>
      <c r="I870" s="14">
        <v>0</v>
      </c>
      <c r="J870" s="15">
        <v>1</v>
      </c>
      <c r="K870" s="14">
        <v>371.53522909717242</v>
      </c>
      <c r="L870" s="13">
        <v>9.5410246832153884</v>
      </c>
      <c r="M870" s="14">
        <v>3.57</v>
      </c>
      <c r="N870" s="14">
        <v>371.53522909717242</v>
      </c>
      <c r="O870" s="13">
        <v>9.5410246832153884</v>
      </c>
      <c r="P870" s="13">
        <v>0</v>
      </c>
      <c r="Q870" s="14">
        <v>1</v>
      </c>
      <c r="R870" s="15">
        <v>0</v>
      </c>
    </row>
    <row r="871" spans="1:18" ht="18" customHeight="1">
      <c r="A871" s="10" t="s">
        <v>165</v>
      </c>
      <c r="B871" s="10" t="s">
        <v>166</v>
      </c>
      <c r="C871" s="10" t="s">
        <v>254</v>
      </c>
      <c r="D871" s="10" t="s">
        <v>267</v>
      </c>
      <c r="E871" s="16">
        <v>1</v>
      </c>
      <c r="F871" s="16">
        <v>1</v>
      </c>
      <c r="G871" s="13">
        <v>5.7661999999999998E-2</v>
      </c>
      <c r="H871" s="13">
        <v>5.7661999999999998E-2</v>
      </c>
      <c r="I871" s="14">
        <v>0</v>
      </c>
      <c r="J871" s="15">
        <v>1</v>
      </c>
      <c r="K871" s="14">
        <v>295.12092266663871</v>
      </c>
      <c r="L871" s="13">
        <v>17.017262642803722</v>
      </c>
      <c r="M871" s="14">
        <v>3.47</v>
      </c>
      <c r="N871" s="14">
        <v>295.12092266663871</v>
      </c>
      <c r="O871" s="13">
        <v>17.017262642803722</v>
      </c>
      <c r="P871" s="13">
        <v>0</v>
      </c>
      <c r="Q871" s="14">
        <v>1</v>
      </c>
      <c r="R871" s="15">
        <v>0</v>
      </c>
    </row>
    <row r="872" spans="1:18" ht="18" customHeight="1">
      <c r="A872" s="10" t="s">
        <v>165</v>
      </c>
      <c r="B872" s="10" t="s">
        <v>166</v>
      </c>
      <c r="C872" s="10" t="s">
        <v>254</v>
      </c>
      <c r="D872" s="10" t="s">
        <v>268</v>
      </c>
      <c r="E872" s="16">
        <v>6</v>
      </c>
      <c r="F872" s="16">
        <v>6</v>
      </c>
      <c r="G872" s="13">
        <v>123.031462</v>
      </c>
      <c r="H872" s="13">
        <v>123.031462</v>
      </c>
      <c r="I872" s="14">
        <v>0</v>
      </c>
      <c r="J872" s="15">
        <v>1</v>
      </c>
      <c r="K872" s="14">
        <v>372.18578485144343</v>
      </c>
      <c r="L872" s="13">
        <v>45790.561245890538</v>
      </c>
      <c r="M872" s="14">
        <v>3.5687783271241629</v>
      </c>
      <c r="N872" s="14">
        <v>370.49156696249878</v>
      </c>
      <c r="O872" s="13">
        <v>45582.119142067124</v>
      </c>
      <c r="P872" s="13">
        <v>208.44210382341407</v>
      </c>
      <c r="Q872" s="14">
        <v>1.0045728919090786</v>
      </c>
      <c r="R872" s="15">
        <v>4.5728919090785684E-3</v>
      </c>
    </row>
    <row r="873" spans="1:18" ht="18" customHeight="1">
      <c r="A873" s="10" t="s">
        <v>165</v>
      </c>
      <c r="B873" s="10" t="s">
        <v>166</v>
      </c>
      <c r="C873" s="10" t="s">
        <v>254</v>
      </c>
      <c r="D873" s="10" t="s">
        <v>269</v>
      </c>
      <c r="E873" s="16">
        <v>4</v>
      </c>
      <c r="F873" s="16">
        <v>4</v>
      </c>
      <c r="G873" s="13">
        <v>100.48988800000002</v>
      </c>
      <c r="H873" s="13">
        <v>100.48988800000002</v>
      </c>
      <c r="I873" s="14">
        <v>0</v>
      </c>
      <c r="J873" s="15">
        <v>1</v>
      </c>
      <c r="K873" s="14">
        <v>195.06780727684153</v>
      </c>
      <c r="L873" s="13">
        <v>19602.342105655396</v>
      </c>
      <c r="M873" s="14">
        <v>3.2896090001612888</v>
      </c>
      <c r="N873" s="14">
        <v>194.80899243813067</v>
      </c>
      <c r="O873" s="13">
        <v>19576.333831500604</v>
      </c>
      <c r="P873" s="13">
        <v>26.008274154792161</v>
      </c>
      <c r="Q873" s="14">
        <v>1.0013285569391415</v>
      </c>
      <c r="R873" s="15">
        <v>1.3285569391415779E-3</v>
      </c>
    </row>
    <row r="874" spans="1:18" ht="18" customHeight="1">
      <c r="A874" s="10" t="s">
        <v>165</v>
      </c>
      <c r="B874" s="10" t="s">
        <v>166</v>
      </c>
      <c r="C874" s="10" t="s">
        <v>254</v>
      </c>
      <c r="D874" s="10" t="s">
        <v>270</v>
      </c>
      <c r="E874" s="16">
        <v>1</v>
      </c>
      <c r="F874" s="16">
        <v>1</v>
      </c>
      <c r="G874" s="13">
        <v>0.39734000000000003</v>
      </c>
      <c r="H874" s="13">
        <v>0.39734000000000003</v>
      </c>
      <c r="I874" s="14">
        <v>0</v>
      </c>
      <c r="J874" s="15">
        <v>1</v>
      </c>
      <c r="K874" s="14">
        <v>251.18864315095794</v>
      </c>
      <c r="L874" s="13">
        <v>99.807295469601641</v>
      </c>
      <c r="M874" s="14">
        <v>3.4</v>
      </c>
      <c r="N874" s="14">
        <v>251.18864315095797</v>
      </c>
      <c r="O874" s="13">
        <v>99.807295469601641</v>
      </c>
      <c r="P874" s="13">
        <v>0</v>
      </c>
      <c r="Q874" s="14">
        <v>1</v>
      </c>
      <c r="R874" s="15">
        <v>0</v>
      </c>
    </row>
    <row r="875" spans="1:18" ht="18" customHeight="1">
      <c r="A875" s="10" t="s">
        <v>165</v>
      </c>
      <c r="B875" s="10" t="s">
        <v>166</v>
      </c>
      <c r="C875" s="10" t="s">
        <v>254</v>
      </c>
      <c r="D875" s="10" t="s">
        <v>271</v>
      </c>
      <c r="E875" s="16">
        <v>1</v>
      </c>
      <c r="F875" s="16">
        <v>1</v>
      </c>
      <c r="G875" s="13">
        <v>3.97E-4</v>
      </c>
      <c r="H875" s="13">
        <v>3.97E-4</v>
      </c>
      <c r="I875" s="14">
        <v>0</v>
      </c>
      <c r="J875" s="15">
        <v>1</v>
      </c>
      <c r="K875" s="14">
        <v>12.589254117941675</v>
      </c>
      <c r="L875" s="13">
        <v>4.9979338848228447E-3</v>
      </c>
      <c r="M875" s="14">
        <v>2.1</v>
      </c>
      <c r="N875" s="14">
        <v>12.589254117941675</v>
      </c>
      <c r="O875" s="13">
        <v>4.9979338848228447E-3</v>
      </c>
      <c r="P875" s="13">
        <v>0</v>
      </c>
      <c r="Q875" s="14">
        <v>1</v>
      </c>
      <c r="R875" s="15">
        <v>0</v>
      </c>
    </row>
    <row r="876" spans="1:18" ht="18" customHeight="1">
      <c r="A876" s="10" t="s">
        <v>165</v>
      </c>
      <c r="B876" s="10" t="s">
        <v>166</v>
      </c>
      <c r="C876" s="10" t="s">
        <v>254</v>
      </c>
      <c r="D876" s="10" t="s">
        <v>272</v>
      </c>
      <c r="E876" s="16">
        <v>1</v>
      </c>
      <c r="F876" s="16">
        <v>1</v>
      </c>
      <c r="G876" s="13">
        <v>6.4999999999999994E-5</v>
      </c>
      <c r="H876" s="13">
        <v>6.4999999999999994E-5</v>
      </c>
      <c r="I876" s="14">
        <v>0</v>
      </c>
      <c r="J876" s="15">
        <v>1</v>
      </c>
      <c r="K876" s="14">
        <v>50.118723362727252</v>
      </c>
      <c r="L876" s="13">
        <v>3.257717018577271E-3</v>
      </c>
      <c r="M876" s="14">
        <v>2.7</v>
      </c>
      <c r="N876" s="14">
        <v>50.118723362727252</v>
      </c>
      <c r="O876" s="13">
        <v>3.257717018577271E-3</v>
      </c>
      <c r="P876" s="13">
        <v>0</v>
      </c>
      <c r="Q876" s="14">
        <v>1</v>
      </c>
      <c r="R876" s="15">
        <v>0</v>
      </c>
    </row>
    <row r="877" spans="1:18" ht="18" customHeight="1">
      <c r="A877" s="10" t="s">
        <v>165</v>
      </c>
      <c r="B877" s="10" t="s">
        <v>166</v>
      </c>
      <c r="C877" s="10" t="s">
        <v>254</v>
      </c>
      <c r="D877" s="10" t="s">
        <v>280</v>
      </c>
      <c r="E877" s="16">
        <v>1</v>
      </c>
      <c r="F877" s="16">
        <v>1</v>
      </c>
      <c r="G877" s="13">
        <v>1.57E-3</v>
      </c>
      <c r="H877" s="13">
        <v>1.57E-3</v>
      </c>
      <c r="I877" s="14">
        <v>0</v>
      </c>
      <c r="J877" s="15">
        <v>1</v>
      </c>
      <c r="K877" s="14">
        <v>194.98445997580458</v>
      </c>
      <c r="L877" s="13">
        <v>0.30612560216201318</v>
      </c>
      <c r="M877" s="14">
        <v>3.29</v>
      </c>
      <c r="N877" s="14">
        <v>194.98445997580455</v>
      </c>
      <c r="O877" s="13">
        <v>0.30612560216201318</v>
      </c>
      <c r="P877" s="13">
        <v>0</v>
      </c>
      <c r="Q877" s="14">
        <v>1</v>
      </c>
      <c r="R877" s="15">
        <v>0</v>
      </c>
    </row>
    <row r="878" spans="1:18" ht="18" customHeight="1">
      <c r="A878" s="10" t="s">
        <v>165</v>
      </c>
      <c r="B878" s="10" t="s">
        <v>166</v>
      </c>
      <c r="C878" s="10" t="s">
        <v>254</v>
      </c>
      <c r="D878" s="10" t="s">
        <v>281</v>
      </c>
      <c r="E878" s="16">
        <v>2</v>
      </c>
      <c r="F878" s="16">
        <v>2</v>
      </c>
      <c r="G878" s="13">
        <v>8.8999999999999995E-4</v>
      </c>
      <c r="H878" s="13">
        <v>8.8999999999999995E-4</v>
      </c>
      <c r="I878" s="14">
        <v>0</v>
      </c>
      <c r="J878" s="15">
        <v>1</v>
      </c>
      <c r="K878" s="14">
        <v>234.74961564600869</v>
      </c>
      <c r="L878" s="13">
        <v>0.20892715792494773</v>
      </c>
      <c r="M878" s="14">
        <v>3.3687640449438208</v>
      </c>
      <c r="N878" s="14">
        <v>233.75668780919045</v>
      </c>
      <c r="O878" s="13">
        <v>0.2080434521501795</v>
      </c>
      <c r="P878" s="13">
        <v>8.837057747682342E-4</v>
      </c>
      <c r="Q878" s="14">
        <v>1.0042476980920809</v>
      </c>
      <c r="R878" s="15">
        <v>4.2476980920808649E-3</v>
      </c>
    </row>
    <row r="879" spans="1:18" ht="18" customHeight="1">
      <c r="A879" s="10" t="s">
        <v>165</v>
      </c>
      <c r="B879" s="10" t="s">
        <v>166</v>
      </c>
      <c r="C879" s="10" t="s">
        <v>254</v>
      </c>
      <c r="D879" s="10" t="s">
        <v>278</v>
      </c>
      <c r="E879" s="16">
        <v>2</v>
      </c>
      <c r="F879" s="16">
        <v>2</v>
      </c>
      <c r="G879" s="13">
        <v>4.1961000000000005E-2</v>
      </c>
      <c r="H879" s="13">
        <v>4.1961000000000005E-2</v>
      </c>
      <c r="I879" s="14">
        <v>0</v>
      </c>
      <c r="J879" s="15">
        <v>1</v>
      </c>
      <c r="K879" s="14">
        <v>126.44827479628064</v>
      </c>
      <c r="L879" s="13">
        <v>5.3058960587267325</v>
      </c>
      <c r="M879" s="14">
        <v>3.101417983365506</v>
      </c>
      <c r="N879" s="14">
        <v>126.3042555342911</v>
      </c>
      <c r="O879" s="13">
        <v>5.2998528664743896</v>
      </c>
      <c r="P879" s="13">
        <v>6.0431922523429549E-3</v>
      </c>
      <c r="Q879" s="14">
        <v>1.0011402566079846</v>
      </c>
      <c r="R879" s="15">
        <v>1.1402566079844884E-3</v>
      </c>
    </row>
    <row r="880" spans="1:18" ht="18" customHeight="1">
      <c r="A880" s="10" t="s">
        <v>165</v>
      </c>
      <c r="B880" s="10" t="s">
        <v>166</v>
      </c>
      <c r="C880" s="10" t="s">
        <v>254</v>
      </c>
      <c r="D880" s="10" t="s">
        <v>273</v>
      </c>
      <c r="E880" s="16">
        <v>2</v>
      </c>
      <c r="F880" s="16">
        <v>2</v>
      </c>
      <c r="G880" s="13">
        <v>2.9944999999999999E-2</v>
      </c>
      <c r="H880" s="13">
        <v>2.9944999999999999E-2</v>
      </c>
      <c r="I880" s="14">
        <v>0</v>
      </c>
      <c r="J880" s="15">
        <v>1</v>
      </c>
      <c r="K880" s="14">
        <v>179.20259685079944</v>
      </c>
      <c r="L880" s="13">
        <v>5.3662217626971893</v>
      </c>
      <c r="M880" s="14">
        <v>3.2521021873434628</v>
      </c>
      <c r="N880" s="14">
        <v>178.6907975999215</v>
      </c>
      <c r="O880" s="13">
        <v>5.3508959341296487</v>
      </c>
      <c r="P880" s="13">
        <v>1.5325828567540611E-2</v>
      </c>
      <c r="Q880" s="14">
        <v>1.0028641612089273</v>
      </c>
      <c r="R880" s="15">
        <v>2.8641612089272371E-3</v>
      </c>
    </row>
    <row r="881" spans="1:18" ht="18" customHeight="1">
      <c r="A881" s="10" t="s">
        <v>165</v>
      </c>
      <c r="B881" s="10" t="s">
        <v>166</v>
      </c>
      <c r="C881" s="10" t="s">
        <v>254</v>
      </c>
      <c r="D881" s="10" t="s">
        <v>282</v>
      </c>
      <c r="E881" s="16">
        <v>1</v>
      </c>
      <c r="F881" s="16">
        <v>1</v>
      </c>
      <c r="G881" s="13">
        <v>0.26867699999999994</v>
      </c>
      <c r="H881" s="13">
        <v>0.26867699999999994</v>
      </c>
      <c r="I881" s="14">
        <v>0</v>
      </c>
      <c r="J881" s="15">
        <v>1</v>
      </c>
      <c r="K881" s="14">
        <v>436.51583224016611</v>
      </c>
      <c r="L881" s="13">
        <v>117.28176425879109</v>
      </c>
      <c r="M881" s="14">
        <v>3.64</v>
      </c>
      <c r="N881" s="14">
        <v>436.51583224016611</v>
      </c>
      <c r="O881" s="13">
        <v>117.28176425879109</v>
      </c>
      <c r="P881" s="13">
        <v>0</v>
      </c>
      <c r="Q881" s="14">
        <v>1</v>
      </c>
      <c r="R881" s="15">
        <v>0</v>
      </c>
    </row>
    <row r="882" spans="1:18" ht="18" customHeight="1">
      <c r="A882" s="10" t="s">
        <v>69</v>
      </c>
      <c r="B882" s="10" t="s">
        <v>70</v>
      </c>
      <c r="C882" s="10" t="s">
        <v>254</v>
      </c>
      <c r="D882" s="10" t="s">
        <v>255</v>
      </c>
      <c r="E882" s="16">
        <v>3</v>
      </c>
      <c r="F882" s="16">
        <v>3</v>
      </c>
      <c r="G882" s="13">
        <v>382.39268023220001</v>
      </c>
      <c r="H882" s="13">
        <v>382.39268023220001</v>
      </c>
      <c r="I882" s="14">
        <v>0</v>
      </c>
      <c r="J882" s="15">
        <v>1</v>
      </c>
      <c r="K882" s="14">
        <v>811.00239941584084</v>
      </c>
      <c r="L882" s="13">
        <v>310121.38118736859</v>
      </c>
      <c r="M882" s="14">
        <v>3.8241421414785197</v>
      </c>
      <c r="N882" s="14">
        <v>667.02504601947805</v>
      </c>
      <c r="O882" s="13">
        <v>255065.49512939475</v>
      </c>
      <c r="P882" s="13">
        <v>55055.886057973839</v>
      </c>
      <c r="Q882" s="14">
        <v>1.2158499958218338</v>
      </c>
      <c r="R882" s="15">
        <v>0.21584999582183384</v>
      </c>
    </row>
    <row r="883" spans="1:18" ht="18" customHeight="1">
      <c r="A883" s="10" t="s">
        <v>69</v>
      </c>
      <c r="B883" s="10" t="s">
        <v>70</v>
      </c>
      <c r="C883" s="10" t="s">
        <v>254</v>
      </c>
      <c r="D883" s="10" t="s">
        <v>256</v>
      </c>
      <c r="E883" s="16">
        <v>1</v>
      </c>
      <c r="F883" s="16">
        <v>1</v>
      </c>
      <c r="G883" s="13">
        <v>6248.8065830297001</v>
      </c>
      <c r="H883" s="13">
        <v>6248.8065830297001</v>
      </c>
      <c r="I883" s="14">
        <v>0</v>
      </c>
      <c r="J883" s="15">
        <v>1</v>
      </c>
      <c r="K883" s="14">
        <v>691.83097091893626</v>
      </c>
      <c r="L883" s="13">
        <v>4323117.925422078</v>
      </c>
      <c r="M883" s="14">
        <v>3.84</v>
      </c>
      <c r="N883" s="14">
        <v>691.83097091893626</v>
      </c>
      <c r="O883" s="13">
        <v>4323117.925422078</v>
      </c>
      <c r="P883" s="13">
        <v>0</v>
      </c>
      <c r="Q883" s="14">
        <v>1</v>
      </c>
      <c r="R883" s="15">
        <v>0</v>
      </c>
    </row>
    <row r="884" spans="1:18" ht="18" customHeight="1">
      <c r="A884" s="10" t="s">
        <v>69</v>
      </c>
      <c r="B884" s="10" t="s">
        <v>70</v>
      </c>
      <c r="C884" s="10" t="s">
        <v>254</v>
      </c>
      <c r="D884" s="10" t="s">
        <v>258</v>
      </c>
      <c r="E884" s="16">
        <v>6</v>
      </c>
      <c r="F884" s="16">
        <v>6</v>
      </c>
      <c r="G884" s="13">
        <v>22186.835590994</v>
      </c>
      <c r="H884" s="13">
        <v>22186.835590994</v>
      </c>
      <c r="I884" s="14">
        <v>0</v>
      </c>
      <c r="J884" s="15">
        <v>1</v>
      </c>
      <c r="K884" s="14">
        <v>694.56080616628662</v>
      </c>
      <c r="L884" s="13">
        <v>15410106.414359653</v>
      </c>
      <c r="M884" s="14">
        <v>3.7887656940132195</v>
      </c>
      <c r="N884" s="14">
        <v>614.84506847367675</v>
      </c>
      <c r="O884" s="13">
        <v>13641466.448158914</v>
      </c>
      <c r="P884" s="13">
        <v>1768639.9662007391</v>
      </c>
      <c r="Q884" s="14">
        <v>1.1296517477004415</v>
      </c>
      <c r="R884" s="15">
        <v>0.12965174770044163</v>
      </c>
    </row>
    <row r="885" spans="1:18" ht="18" customHeight="1">
      <c r="A885" s="10" t="s">
        <v>69</v>
      </c>
      <c r="B885" s="10" t="s">
        <v>70</v>
      </c>
      <c r="C885" s="10" t="s">
        <v>254</v>
      </c>
      <c r="D885" s="10" t="s">
        <v>259</v>
      </c>
      <c r="E885" s="16">
        <v>4</v>
      </c>
      <c r="F885" s="16">
        <v>4</v>
      </c>
      <c r="G885" s="13">
        <v>109639.96943592218</v>
      </c>
      <c r="H885" s="13">
        <v>109639.96943592218</v>
      </c>
      <c r="I885" s="14">
        <v>0</v>
      </c>
      <c r="J885" s="15">
        <v>1</v>
      </c>
      <c r="K885" s="14">
        <v>1457.1724809311481</v>
      </c>
      <c r="L885" s="13">
        <v>159764346.27215797</v>
      </c>
      <c r="M885" s="14">
        <v>4.1632637061232636</v>
      </c>
      <c r="N885" s="14">
        <v>1456.3431121277877</v>
      </c>
      <c r="O885" s="13">
        <v>159673414.30190641</v>
      </c>
      <c r="P885" s="13">
        <v>90931.970251560211</v>
      </c>
      <c r="Q885" s="14">
        <v>1.0005694872289737</v>
      </c>
      <c r="R885" s="15">
        <v>5.6948722897368726E-4</v>
      </c>
    </row>
    <row r="886" spans="1:18" ht="18" customHeight="1">
      <c r="A886" s="10" t="s">
        <v>69</v>
      </c>
      <c r="B886" s="10" t="s">
        <v>70</v>
      </c>
      <c r="C886" s="10" t="s">
        <v>254</v>
      </c>
      <c r="D886" s="10" t="s">
        <v>260</v>
      </c>
      <c r="E886" s="16">
        <v>2</v>
      </c>
      <c r="F886" s="16">
        <v>2</v>
      </c>
      <c r="G886" s="13">
        <v>6797.1484749280999</v>
      </c>
      <c r="H886" s="13">
        <v>6797.1484749280999</v>
      </c>
      <c r="I886" s="14">
        <v>0</v>
      </c>
      <c r="J886" s="15">
        <v>1</v>
      </c>
      <c r="K886" s="14">
        <v>1387.7109761750658</v>
      </c>
      <c r="L886" s="13">
        <v>9432477.5453493334</v>
      </c>
      <c r="M886" s="14">
        <v>4.1419065143907012</v>
      </c>
      <c r="N886" s="14">
        <v>1386.4573499209268</v>
      </c>
      <c r="O886" s="13">
        <v>9423956.4615678824</v>
      </c>
      <c r="P886" s="13">
        <v>8521.0837814509869</v>
      </c>
      <c r="Q886" s="14">
        <v>1.0009041938824952</v>
      </c>
      <c r="R886" s="15">
        <v>9.0419388249522086E-4</v>
      </c>
    </row>
    <row r="887" spans="1:18" ht="18" customHeight="1">
      <c r="A887" s="10" t="s">
        <v>69</v>
      </c>
      <c r="B887" s="10" t="s">
        <v>70</v>
      </c>
      <c r="C887" s="10" t="s">
        <v>254</v>
      </c>
      <c r="D887" s="10" t="s">
        <v>262</v>
      </c>
      <c r="E887" s="16">
        <v>1</v>
      </c>
      <c r="F887" s="16">
        <v>1</v>
      </c>
      <c r="G887" s="13">
        <v>13066.0632057037</v>
      </c>
      <c r="H887" s="13">
        <v>13066.0632057037</v>
      </c>
      <c r="I887" s="14">
        <v>0</v>
      </c>
      <c r="J887" s="15">
        <v>1</v>
      </c>
      <c r="K887" s="14">
        <v>660.69344800759575</v>
      </c>
      <c r="L887" s="13">
        <v>8632662.351261558</v>
      </c>
      <c r="M887" s="14">
        <v>3.82</v>
      </c>
      <c r="N887" s="14">
        <v>660.69344800759575</v>
      </c>
      <c r="O887" s="13">
        <v>8632662.351261558</v>
      </c>
      <c r="P887" s="13">
        <v>0</v>
      </c>
      <c r="Q887" s="14">
        <v>1</v>
      </c>
      <c r="R887" s="15">
        <v>0</v>
      </c>
    </row>
    <row r="888" spans="1:18" ht="18" customHeight="1">
      <c r="A888" s="10" t="s">
        <v>69</v>
      </c>
      <c r="B888" s="10" t="s">
        <v>70</v>
      </c>
      <c r="C888" s="10" t="s">
        <v>254</v>
      </c>
      <c r="D888" s="10" t="s">
        <v>263</v>
      </c>
      <c r="E888" s="16">
        <v>2</v>
      </c>
      <c r="F888" s="16">
        <v>2</v>
      </c>
      <c r="G888" s="13">
        <v>12074.693525209099</v>
      </c>
      <c r="H888" s="13">
        <v>12074.693525209099</v>
      </c>
      <c r="I888" s="14">
        <v>0</v>
      </c>
      <c r="J888" s="15">
        <v>1</v>
      </c>
      <c r="K888" s="14">
        <v>619.30005631421284</v>
      </c>
      <c r="L888" s="13">
        <v>7477858.3801388564</v>
      </c>
      <c r="M888" s="14">
        <v>3.7918617525074634</v>
      </c>
      <c r="N888" s="14">
        <v>619.24392187709645</v>
      </c>
      <c r="O888" s="13">
        <v>7477180.5740144653</v>
      </c>
      <c r="P888" s="13">
        <v>677.80612439103425</v>
      </c>
      <c r="Q888" s="14">
        <v>1.0000906499605944</v>
      </c>
      <c r="R888" s="15">
        <v>9.0649960594321066E-5</v>
      </c>
    </row>
    <row r="889" spans="1:18" ht="18" customHeight="1">
      <c r="A889" s="10" t="s">
        <v>69</v>
      </c>
      <c r="B889" s="10" t="s">
        <v>70</v>
      </c>
      <c r="C889" s="10" t="s">
        <v>254</v>
      </c>
      <c r="D889" s="10" t="s">
        <v>264</v>
      </c>
      <c r="E889" s="16">
        <v>3</v>
      </c>
      <c r="F889" s="16">
        <v>3</v>
      </c>
      <c r="G889" s="13">
        <v>105.86179242360002</v>
      </c>
      <c r="H889" s="13">
        <v>105.86179242360002</v>
      </c>
      <c r="I889" s="14">
        <v>0</v>
      </c>
      <c r="J889" s="15">
        <v>1</v>
      </c>
      <c r="K889" s="14">
        <v>1120.8287397307522</v>
      </c>
      <c r="L889" s="13">
        <v>118652.93938778211</v>
      </c>
      <c r="M889" s="14">
        <v>4.0494093091210015</v>
      </c>
      <c r="N889" s="14">
        <v>1120.4934163852356</v>
      </c>
      <c r="O889" s="13">
        <v>118617.44145738424</v>
      </c>
      <c r="P889" s="13">
        <v>35.497930397876189</v>
      </c>
      <c r="Q889" s="14">
        <v>1.0002992640033517</v>
      </c>
      <c r="R889" s="15">
        <v>2.9926400335172931E-4</v>
      </c>
    </row>
    <row r="890" spans="1:18" ht="18" customHeight="1">
      <c r="A890" s="10" t="s">
        <v>69</v>
      </c>
      <c r="B890" s="10" t="s">
        <v>70</v>
      </c>
      <c r="C890" s="10" t="s">
        <v>254</v>
      </c>
      <c r="D890" s="10" t="s">
        <v>265</v>
      </c>
      <c r="E890" s="16">
        <v>7</v>
      </c>
      <c r="F890" s="16">
        <v>7</v>
      </c>
      <c r="G890" s="13">
        <v>7562.4913625619001</v>
      </c>
      <c r="H890" s="13">
        <v>7562.4913625619001</v>
      </c>
      <c r="I890" s="14">
        <v>0</v>
      </c>
      <c r="J890" s="15">
        <v>1</v>
      </c>
      <c r="K890" s="14">
        <v>221.94421206414344</v>
      </c>
      <c r="L890" s="13">
        <v>1678451.1867056915</v>
      </c>
      <c r="M890" s="14">
        <v>3.2304063365326283</v>
      </c>
      <c r="N890" s="14">
        <v>169.98333142800263</v>
      </c>
      <c r="O890" s="13">
        <v>1285497.4757037666</v>
      </c>
      <c r="P890" s="13">
        <v>392953.71100192494</v>
      </c>
      <c r="Q890" s="14">
        <v>1.3056822113064019</v>
      </c>
      <c r="R890" s="15">
        <v>0.30568221130640183</v>
      </c>
    </row>
    <row r="891" spans="1:18" ht="18" customHeight="1">
      <c r="A891" s="10" t="s">
        <v>69</v>
      </c>
      <c r="B891" s="10" t="s">
        <v>70</v>
      </c>
      <c r="C891" s="10" t="s">
        <v>254</v>
      </c>
      <c r="D891" s="10" t="s">
        <v>268</v>
      </c>
      <c r="E891" s="16">
        <v>1</v>
      </c>
      <c r="F891" s="16">
        <v>1</v>
      </c>
      <c r="G891" s="13">
        <v>796581.61527556099</v>
      </c>
      <c r="H891" s="13">
        <v>796581.61527556099</v>
      </c>
      <c r="I891" s="14">
        <v>0</v>
      </c>
      <c r="J891" s="15">
        <v>1</v>
      </c>
      <c r="K891" s="14">
        <v>371.53522909717236</v>
      </c>
      <c r="L891" s="13">
        <v>295958132.92600119</v>
      </c>
      <c r="M891" s="14">
        <v>3.57</v>
      </c>
      <c r="N891" s="14">
        <v>371.53522909717242</v>
      </c>
      <c r="O891" s="13">
        <v>295958132.92600119</v>
      </c>
      <c r="P891" s="13">
        <v>0</v>
      </c>
      <c r="Q891" s="14">
        <v>1</v>
      </c>
      <c r="R891" s="15">
        <v>0</v>
      </c>
    </row>
    <row r="892" spans="1:18" ht="18" customHeight="1">
      <c r="A892" s="10" t="s">
        <v>69</v>
      </c>
      <c r="B892" s="10" t="s">
        <v>70</v>
      </c>
      <c r="C892" s="10" t="s">
        <v>254</v>
      </c>
      <c r="D892" s="10" t="s">
        <v>269</v>
      </c>
      <c r="E892" s="16">
        <v>10</v>
      </c>
      <c r="F892" s="16">
        <v>10</v>
      </c>
      <c r="G892" s="13">
        <v>149630.06343826401</v>
      </c>
      <c r="H892" s="13">
        <v>149630.06343826401</v>
      </c>
      <c r="I892" s="14">
        <v>0</v>
      </c>
      <c r="J892" s="15">
        <v>1</v>
      </c>
      <c r="K892" s="14">
        <v>1570.4887576808196</v>
      </c>
      <c r="L892" s="13">
        <v>234992332.44086149</v>
      </c>
      <c r="M892" s="14">
        <v>3.9132830331596735</v>
      </c>
      <c r="N892" s="14">
        <v>818.99836197942091</v>
      </c>
      <c r="O892" s="13">
        <v>122546776.85881506</v>
      </c>
      <c r="P892" s="13">
        <v>112445555.58204643</v>
      </c>
      <c r="Q892" s="14">
        <v>1.9175725258902065</v>
      </c>
      <c r="R892" s="15">
        <v>0.91757252589020644</v>
      </c>
    </row>
    <row r="893" spans="1:18" ht="18" customHeight="1">
      <c r="A893" s="10" t="s">
        <v>69</v>
      </c>
      <c r="B893" s="10" t="s">
        <v>70</v>
      </c>
      <c r="C893" s="10" t="s">
        <v>254</v>
      </c>
      <c r="D893" s="10" t="s">
        <v>270</v>
      </c>
      <c r="E893" s="16">
        <v>6</v>
      </c>
      <c r="F893" s="16">
        <v>6</v>
      </c>
      <c r="G893" s="13">
        <v>63790.524122937997</v>
      </c>
      <c r="H893" s="13">
        <v>63790.524122937997</v>
      </c>
      <c r="I893" s="14">
        <v>0</v>
      </c>
      <c r="J893" s="15">
        <v>1</v>
      </c>
      <c r="K893" s="14">
        <v>316.16919808001001</v>
      </c>
      <c r="L893" s="13">
        <v>20168598.85705284</v>
      </c>
      <c r="M893" s="14">
        <v>3.4825319053612556</v>
      </c>
      <c r="N893" s="14">
        <v>303.76092411325635</v>
      </c>
      <c r="O893" s="13">
        <v>19377068.557252619</v>
      </c>
      <c r="P893" s="13">
        <v>791530.29980022088</v>
      </c>
      <c r="Q893" s="14">
        <v>1.0408488155709166</v>
      </c>
      <c r="R893" s="15">
        <v>4.0848815570916686E-2</v>
      </c>
    </row>
    <row r="894" spans="1:18" ht="18" customHeight="1">
      <c r="A894" s="10" t="s">
        <v>69</v>
      </c>
      <c r="B894" s="10" t="s">
        <v>70</v>
      </c>
      <c r="C894" s="10" t="s">
        <v>254</v>
      </c>
      <c r="D894" s="10" t="s">
        <v>276</v>
      </c>
      <c r="E894" s="16">
        <v>1</v>
      </c>
      <c r="F894" s="16">
        <v>1</v>
      </c>
      <c r="G894" s="13">
        <v>7.1073953667999996</v>
      </c>
      <c r="H894" s="13">
        <v>7.1073953667999996</v>
      </c>
      <c r="I894" s="14">
        <v>0</v>
      </c>
      <c r="J894" s="15">
        <v>1</v>
      </c>
      <c r="K894" s="14">
        <v>2398.83291901949</v>
      </c>
      <c r="L894" s="13">
        <v>17049.453974366443</v>
      </c>
      <c r="M894" s="14">
        <v>4.38</v>
      </c>
      <c r="N894" s="14">
        <v>2398.83291901949</v>
      </c>
      <c r="O894" s="13">
        <v>17049.453974366443</v>
      </c>
      <c r="P894" s="13">
        <v>0</v>
      </c>
      <c r="Q894" s="14">
        <v>1</v>
      </c>
      <c r="R894" s="15">
        <v>0</v>
      </c>
    </row>
    <row r="895" spans="1:18" ht="18" customHeight="1">
      <c r="A895" s="10" t="s">
        <v>69</v>
      </c>
      <c r="B895" s="10" t="s">
        <v>70</v>
      </c>
      <c r="C895" s="10" t="s">
        <v>254</v>
      </c>
      <c r="D895" s="10" t="s">
        <v>271</v>
      </c>
      <c r="E895" s="16">
        <v>8</v>
      </c>
      <c r="F895" s="16">
        <v>8</v>
      </c>
      <c r="G895" s="13">
        <v>117.55580705100002</v>
      </c>
      <c r="H895" s="13">
        <v>117.55580705100002</v>
      </c>
      <c r="I895" s="14">
        <v>0</v>
      </c>
      <c r="J895" s="15">
        <v>1</v>
      </c>
      <c r="K895" s="14">
        <v>11.373026963749865</v>
      </c>
      <c r="L895" s="13">
        <v>1336.9653633363996</v>
      </c>
      <c r="M895" s="14">
        <v>2.0512731435360996</v>
      </c>
      <c r="N895" s="14">
        <v>11.253125012559721</v>
      </c>
      <c r="O895" s="13">
        <v>1322.8701926972526</v>
      </c>
      <c r="P895" s="13">
        <v>14.095170639147</v>
      </c>
      <c r="Q895" s="14">
        <v>1.0106549914851493</v>
      </c>
      <c r="R895" s="15">
        <v>1.0654991485149269E-2</v>
      </c>
    </row>
    <row r="896" spans="1:18" ht="18" customHeight="1">
      <c r="A896" s="10" t="s">
        <v>69</v>
      </c>
      <c r="B896" s="10" t="s">
        <v>70</v>
      </c>
      <c r="C896" s="10" t="s">
        <v>254</v>
      </c>
      <c r="D896" s="10" t="s">
        <v>272</v>
      </c>
      <c r="E896" s="16">
        <v>2</v>
      </c>
      <c r="F896" s="16">
        <v>2</v>
      </c>
      <c r="G896" s="13">
        <v>84.097255446700004</v>
      </c>
      <c r="H896" s="13">
        <v>84.097255446700004</v>
      </c>
      <c r="I896" s="14">
        <v>0</v>
      </c>
      <c r="J896" s="15">
        <v>1</v>
      </c>
      <c r="K896" s="14">
        <v>50.118723362727252</v>
      </c>
      <c r="L896" s="13">
        <v>4214.8470812977648</v>
      </c>
      <c r="M896" s="14">
        <v>2.7</v>
      </c>
      <c r="N896" s="14">
        <v>50.118723362727252</v>
      </c>
      <c r="O896" s="13">
        <v>4214.8470812977648</v>
      </c>
      <c r="P896" s="13">
        <v>0</v>
      </c>
      <c r="Q896" s="14">
        <v>1</v>
      </c>
      <c r="R896" s="15">
        <v>0</v>
      </c>
    </row>
    <row r="897" spans="1:18" ht="18" customHeight="1">
      <c r="A897" s="10" t="s">
        <v>69</v>
      </c>
      <c r="B897" s="10" t="s">
        <v>70</v>
      </c>
      <c r="C897" s="10" t="s">
        <v>254</v>
      </c>
      <c r="D897" s="10" t="s">
        <v>273</v>
      </c>
      <c r="E897" s="16">
        <v>2</v>
      </c>
      <c r="F897" s="16">
        <v>2</v>
      </c>
      <c r="G897" s="13">
        <v>16.125351453599997</v>
      </c>
      <c r="H897" s="13">
        <v>16.125351453599997</v>
      </c>
      <c r="I897" s="14">
        <v>0</v>
      </c>
      <c r="J897" s="15">
        <v>1</v>
      </c>
      <c r="K897" s="14">
        <v>281.12743409101427</v>
      </c>
      <c r="L897" s="13">
        <v>4533.2786779663738</v>
      </c>
      <c r="M897" s="14">
        <v>3.4446722304520798</v>
      </c>
      <c r="N897" s="14">
        <v>278.40192281387942</v>
      </c>
      <c r="O897" s="13">
        <v>4489.3288507318248</v>
      </c>
      <c r="P897" s="13">
        <v>43.949827234549048</v>
      </c>
      <c r="Q897" s="14">
        <v>1.0097898435814932</v>
      </c>
      <c r="R897" s="15">
        <v>9.7898435814931656E-3</v>
      </c>
    </row>
    <row r="898" spans="1:18" ht="18" customHeight="1">
      <c r="A898" s="10" t="s">
        <v>69</v>
      </c>
      <c r="B898" s="10" t="s">
        <v>70</v>
      </c>
      <c r="C898" s="10" t="s">
        <v>254</v>
      </c>
      <c r="D898" s="10" t="s">
        <v>274</v>
      </c>
      <c r="E898" s="16">
        <v>13</v>
      </c>
      <c r="F898" s="16">
        <v>13</v>
      </c>
      <c r="G898" s="13">
        <v>112018.74900535209</v>
      </c>
      <c r="H898" s="13">
        <v>112018.74900535209</v>
      </c>
      <c r="I898" s="14">
        <v>0</v>
      </c>
      <c r="J898" s="15">
        <v>1</v>
      </c>
      <c r="K898" s="14">
        <v>515.1529380870013</v>
      </c>
      <c r="L898" s="13">
        <v>57706787.670937479</v>
      </c>
      <c r="M898" s="14">
        <v>3.6174621085864986</v>
      </c>
      <c r="N898" s="14">
        <v>414.44042327793483</v>
      </c>
      <c r="O898" s="13">
        <v>46425097.752842858</v>
      </c>
      <c r="P898" s="13">
        <v>11281689.91809462</v>
      </c>
      <c r="Q898" s="14">
        <v>1.2430084257044731</v>
      </c>
      <c r="R898" s="15">
        <v>0.2430084257044732</v>
      </c>
    </row>
    <row r="899" spans="1:18" ht="18" customHeight="1">
      <c r="A899" s="10" t="s">
        <v>69</v>
      </c>
      <c r="B899" s="10" t="s">
        <v>70</v>
      </c>
      <c r="C899" s="10" t="s">
        <v>254</v>
      </c>
      <c r="D899" s="10" t="s">
        <v>282</v>
      </c>
      <c r="E899" s="16">
        <v>1</v>
      </c>
      <c r="F899" s="16">
        <v>1</v>
      </c>
      <c r="G899" s="13">
        <v>689.67114860769993</v>
      </c>
      <c r="H899" s="13">
        <v>689.67114860769993</v>
      </c>
      <c r="I899" s="14">
        <v>0</v>
      </c>
      <c r="J899" s="15">
        <v>1</v>
      </c>
      <c r="K899" s="14">
        <v>630.957344480193</v>
      </c>
      <c r="L899" s="13">
        <v>435153.07649011892</v>
      </c>
      <c r="M899" s="14">
        <v>3.7999999999999994</v>
      </c>
      <c r="N899" s="14">
        <v>630.95734448019232</v>
      </c>
      <c r="O899" s="13">
        <v>435153.07649011846</v>
      </c>
      <c r="P899" s="13">
        <v>4.6566128730773926E-10</v>
      </c>
      <c r="Q899" s="14">
        <v>1.0000000000000011</v>
      </c>
      <c r="R899" s="15">
        <v>1.0701091465644586E-15</v>
      </c>
    </row>
    <row r="900" spans="1:18" ht="18" customHeight="1">
      <c r="A900" s="10" t="s">
        <v>63</v>
      </c>
      <c r="B900" s="10" t="s">
        <v>64</v>
      </c>
      <c r="C900" s="10" t="s">
        <v>254</v>
      </c>
      <c r="D900" s="10" t="s">
        <v>255</v>
      </c>
      <c r="E900" s="16">
        <v>7</v>
      </c>
      <c r="F900" s="16">
        <v>7</v>
      </c>
      <c r="G900" s="13">
        <v>493.24451054999997</v>
      </c>
      <c r="H900" s="13">
        <v>493.24451054999997</v>
      </c>
      <c r="I900" s="14">
        <v>0</v>
      </c>
      <c r="J900" s="15">
        <v>1</v>
      </c>
      <c r="K900" s="14">
        <v>831.98527538778842</v>
      </c>
      <c r="L900" s="13">
        <v>410372.16994345665</v>
      </c>
      <c r="M900" s="14">
        <v>3.8602334038632713</v>
      </c>
      <c r="N900" s="14">
        <v>724.82539996690321</v>
      </c>
      <c r="O900" s="13">
        <v>357516.14964088314</v>
      </c>
      <c r="P900" s="13">
        <v>52856.02030257351</v>
      </c>
      <c r="Q900" s="14">
        <v>1.1478423292365008</v>
      </c>
      <c r="R900" s="15">
        <v>0.14784232923650073</v>
      </c>
    </row>
    <row r="901" spans="1:18" ht="18" customHeight="1">
      <c r="A901" s="10" t="s">
        <v>63</v>
      </c>
      <c r="B901" s="10" t="s">
        <v>64</v>
      </c>
      <c r="C901" s="10" t="s">
        <v>254</v>
      </c>
      <c r="D901" s="10" t="s">
        <v>256</v>
      </c>
      <c r="E901" s="16">
        <v>2</v>
      </c>
      <c r="F901" s="16">
        <v>2</v>
      </c>
      <c r="G901" s="13">
        <v>5301.5874636864992</v>
      </c>
      <c r="H901" s="13">
        <v>5301.5874636864992</v>
      </c>
      <c r="I901" s="14">
        <v>0</v>
      </c>
      <c r="J901" s="15">
        <v>1</v>
      </c>
      <c r="K901" s="14">
        <v>691.72367597405503</v>
      </c>
      <c r="L901" s="13">
        <v>3667233.5688791922</v>
      </c>
      <c r="M901" s="14">
        <v>3.8399048117640868</v>
      </c>
      <c r="N901" s="14">
        <v>691.67935270591067</v>
      </c>
      <c r="O901" s="13">
        <v>3666998.5851964485</v>
      </c>
      <c r="P901" s="13">
        <v>234.98368274373934</v>
      </c>
      <c r="Q901" s="14">
        <v>1.0000640806581416</v>
      </c>
      <c r="R901" s="15">
        <v>6.4080658141609512E-5</v>
      </c>
    </row>
    <row r="902" spans="1:18" ht="18" customHeight="1">
      <c r="A902" s="10" t="s">
        <v>63</v>
      </c>
      <c r="B902" s="10" t="s">
        <v>64</v>
      </c>
      <c r="C902" s="10" t="s">
        <v>254</v>
      </c>
      <c r="D902" s="10" t="s">
        <v>257</v>
      </c>
      <c r="E902" s="16">
        <v>2</v>
      </c>
      <c r="F902" s="16">
        <v>2</v>
      </c>
      <c r="G902" s="13">
        <v>2.6627719000000003E-3</v>
      </c>
      <c r="H902" s="13">
        <v>2.6627719000000003E-3</v>
      </c>
      <c r="I902" s="14">
        <v>0</v>
      </c>
      <c r="J902" s="15">
        <v>1</v>
      </c>
      <c r="K902" s="14">
        <v>1437.742909644825</v>
      </c>
      <c r="L902" s="13">
        <v>3.8283814192264796</v>
      </c>
      <c r="M902" s="14">
        <v>4.1483239555742646</v>
      </c>
      <c r="N902" s="14">
        <v>1407.0967358513944</v>
      </c>
      <c r="O902" s="13">
        <v>3.7467776488068161</v>
      </c>
      <c r="P902" s="13">
        <v>8.1603770419663491E-2</v>
      </c>
      <c r="Q902" s="14">
        <v>1.0217797206209049</v>
      </c>
      <c r="R902" s="15">
        <v>2.1779720620904927E-2</v>
      </c>
    </row>
    <row r="903" spans="1:18" ht="18" customHeight="1">
      <c r="A903" s="10" t="s">
        <v>63</v>
      </c>
      <c r="B903" s="10" t="s">
        <v>64</v>
      </c>
      <c r="C903" s="10" t="s">
        <v>254</v>
      </c>
      <c r="D903" s="10" t="s">
        <v>258</v>
      </c>
      <c r="E903" s="16">
        <v>6</v>
      </c>
      <c r="F903" s="16">
        <v>6</v>
      </c>
      <c r="G903" s="13">
        <v>30490.618922894202</v>
      </c>
      <c r="H903" s="13">
        <v>30490.618922894202</v>
      </c>
      <c r="I903" s="14">
        <v>0</v>
      </c>
      <c r="J903" s="15">
        <v>1</v>
      </c>
      <c r="K903" s="14">
        <v>980.90293060330509</v>
      </c>
      <c r="L903" s="13">
        <v>29908337.457375512</v>
      </c>
      <c r="M903" s="14">
        <v>3.8992867325900393</v>
      </c>
      <c r="N903" s="14">
        <v>793.02473337562014</v>
      </c>
      <c r="O903" s="13">
        <v>24179814.941785812</v>
      </c>
      <c r="P903" s="13">
        <v>5728522.5155896991</v>
      </c>
      <c r="Q903" s="14">
        <v>1.2369134143243619</v>
      </c>
      <c r="R903" s="15">
        <v>0.23691341432436192</v>
      </c>
    </row>
    <row r="904" spans="1:18" ht="18" customHeight="1">
      <c r="A904" s="10" t="s">
        <v>63</v>
      </c>
      <c r="B904" s="10" t="s">
        <v>64</v>
      </c>
      <c r="C904" s="10" t="s">
        <v>254</v>
      </c>
      <c r="D904" s="10" t="s">
        <v>259</v>
      </c>
      <c r="E904" s="16">
        <v>6</v>
      </c>
      <c r="F904" s="16">
        <v>6</v>
      </c>
      <c r="G904" s="13">
        <v>74483.005324871425</v>
      </c>
      <c r="H904" s="13">
        <v>74483.005324871425</v>
      </c>
      <c r="I904" s="14">
        <v>0</v>
      </c>
      <c r="J904" s="15">
        <v>1</v>
      </c>
      <c r="K904" s="14">
        <v>1467.6535328630814</v>
      </c>
      <c r="L904" s="13">
        <v>109315245.90330726</v>
      </c>
      <c r="M904" s="14">
        <v>4.1661070585332851</v>
      </c>
      <c r="N904" s="14">
        <v>1465.9091597135382</v>
      </c>
      <c r="O904" s="13">
        <v>109185319.74872126</v>
      </c>
      <c r="P904" s="13">
        <v>129926.15458600223</v>
      </c>
      <c r="Q904" s="14">
        <v>1.0011899599221308</v>
      </c>
      <c r="R904" s="15">
        <v>1.1899599221306845E-3</v>
      </c>
    </row>
    <row r="905" spans="1:18" ht="18" customHeight="1">
      <c r="A905" s="10" t="s">
        <v>63</v>
      </c>
      <c r="B905" s="10" t="s">
        <v>64</v>
      </c>
      <c r="C905" s="10" t="s">
        <v>254</v>
      </c>
      <c r="D905" s="10" t="s">
        <v>260</v>
      </c>
      <c r="E905" s="16">
        <v>3</v>
      </c>
      <c r="F905" s="16">
        <v>3</v>
      </c>
      <c r="G905" s="13">
        <v>12832.6754701182</v>
      </c>
      <c r="H905" s="13">
        <v>12832.6754701182</v>
      </c>
      <c r="I905" s="14">
        <v>0</v>
      </c>
      <c r="J905" s="15">
        <v>1</v>
      </c>
      <c r="K905" s="14">
        <v>1381.8335040344407</v>
      </c>
      <c r="L905" s="13">
        <v>17732620.911010247</v>
      </c>
      <c r="M905" s="14">
        <v>4.14037525998814</v>
      </c>
      <c r="N905" s="14">
        <v>1381.5775260044095</v>
      </c>
      <c r="O905" s="13">
        <v>17729336.028023373</v>
      </c>
      <c r="P905" s="13">
        <v>3284.8829868733883</v>
      </c>
      <c r="Q905" s="14">
        <v>1.0001852795266377</v>
      </c>
      <c r="R905" s="15">
        <v>1.8527952663772805E-4</v>
      </c>
    </row>
    <row r="906" spans="1:18" ht="18" customHeight="1">
      <c r="A906" s="10" t="s">
        <v>63</v>
      </c>
      <c r="B906" s="10" t="s">
        <v>64</v>
      </c>
      <c r="C906" s="10" t="s">
        <v>254</v>
      </c>
      <c r="D906" s="10" t="s">
        <v>261</v>
      </c>
      <c r="E906" s="16">
        <v>5</v>
      </c>
      <c r="F906" s="16">
        <v>5</v>
      </c>
      <c r="G906" s="13">
        <v>873.65971375829997</v>
      </c>
      <c r="H906" s="13">
        <v>873.65971375829997</v>
      </c>
      <c r="I906" s="14">
        <v>0</v>
      </c>
      <c r="J906" s="15">
        <v>1</v>
      </c>
      <c r="K906" s="14">
        <v>2067.6080233622915</v>
      </c>
      <c r="L906" s="13">
        <v>1806385.8338550639</v>
      </c>
      <c r="M906" s="14">
        <v>4.3138323592457217</v>
      </c>
      <c r="N906" s="14">
        <v>2059.8346489880437</v>
      </c>
      <c r="O906" s="13">
        <v>1799594.5498243226</v>
      </c>
      <c r="P906" s="13">
        <v>6791.2840307413135</v>
      </c>
      <c r="Q906" s="14">
        <v>1.003773785618213</v>
      </c>
      <c r="R906" s="15">
        <v>3.7737856182128815E-3</v>
      </c>
    </row>
    <row r="907" spans="1:18" ht="18" customHeight="1">
      <c r="A907" s="10" t="s">
        <v>63</v>
      </c>
      <c r="B907" s="10" t="s">
        <v>64</v>
      </c>
      <c r="C907" s="10" t="s">
        <v>254</v>
      </c>
      <c r="D907" s="10" t="s">
        <v>262</v>
      </c>
      <c r="E907" s="16">
        <v>2</v>
      </c>
      <c r="F907" s="16">
        <v>2</v>
      </c>
      <c r="G907" s="13">
        <v>8325.7695913456992</v>
      </c>
      <c r="H907" s="13">
        <v>8325.7695913456992</v>
      </c>
      <c r="I907" s="14">
        <v>0</v>
      </c>
      <c r="J907" s="15">
        <v>1</v>
      </c>
      <c r="K907" s="14">
        <v>650.93970956142493</v>
      </c>
      <c r="L907" s="13">
        <v>5419574.0396659132</v>
      </c>
      <c r="M907" s="14">
        <v>3.8119140206091515</v>
      </c>
      <c r="N907" s="14">
        <v>648.50603294514872</v>
      </c>
      <c r="O907" s="13">
        <v>5399311.8088989509</v>
      </c>
      <c r="P907" s="13">
        <v>20262.230766962282</v>
      </c>
      <c r="Q907" s="14">
        <v>1.0037527432169349</v>
      </c>
      <c r="R907" s="15">
        <v>3.7527432169349442E-3</v>
      </c>
    </row>
    <row r="908" spans="1:18" ht="18" customHeight="1">
      <c r="A908" s="10" t="s">
        <v>63</v>
      </c>
      <c r="B908" s="10" t="s">
        <v>64</v>
      </c>
      <c r="C908" s="10" t="s">
        <v>254</v>
      </c>
      <c r="D908" s="10" t="s">
        <v>263</v>
      </c>
      <c r="E908" s="16">
        <v>3</v>
      </c>
      <c r="F908" s="16">
        <v>3</v>
      </c>
      <c r="G908" s="13">
        <v>8553.7085129525003</v>
      </c>
      <c r="H908" s="13">
        <v>8553.7085129525003</v>
      </c>
      <c r="I908" s="14">
        <v>0</v>
      </c>
      <c r="J908" s="15">
        <v>1</v>
      </c>
      <c r="K908" s="14">
        <v>622.50018504682532</v>
      </c>
      <c r="L908" s="13">
        <v>5324685.1321495362</v>
      </c>
      <c r="M908" s="14">
        <v>3.7940639825770042</v>
      </c>
      <c r="N908" s="14">
        <v>622.3919725165681</v>
      </c>
      <c r="O908" s="13">
        <v>5323759.5137082674</v>
      </c>
      <c r="P908" s="13">
        <v>925.61844126880169</v>
      </c>
      <c r="Q908" s="14">
        <v>1.0001738655622752</v>
      </c>
      <c r="R908" s="15">
        <v>1.7386556227519409E-4</v>
      </c>
    </row>
    <row r="909" spans="1:18" ht="18" customHeight="1">
      <c r="A909" s="10" t="s">
        <v>63</v>
      </c>
      <c r="B909" s="10" t="s">
        <v>64</v>
      </c>
      <c r="C909" s="10" t="s">
        <v>254</v>
      </c>
      <c r="D909" s="10" t="s">
        <v>264</v>
      </c>
      <c r="E909" s="16">
        <v>11</v>
      </c>
      <c r="F909" s="16">
        <v>11</v>
      </c>
      <c r="G909" s="13">
        <v>666.36890382950003</v>
      </c>
      <c r="H909" s="13">
        <v>666.36890382950003</v>
      </c>
      <c r="I909" s="14">
        <v>0</v>
      </c>
      <c r="J909" s="15">
        <v>1</v>
      </c>
      <c r="K909" s="14">
        <v>985.00045247104913</v>
      </c>
      <c r="L909" s="13">
        <v>656373.67178469454</v>
      </c>
      <c r="M909" s="14">
        <v>3.9792210157182808</v>
      </c>
      <c r="N909" s="14">
        <v>953.28117253757614</v>
      </c>
      <c r="O909" s="13">
        <v>635236.92998516513</v>
      </c>
      <c r="P909" s="13">
        <v>21136.741799529409</v>
      </c>
      <c r="Q909" s="14">
        <v>1.0332737925045117</v>
      </c>
      <c r="R909" s="15">
        <v>3.32737925045117E-2</v>
      </c>
    </row>
    <row r="910" spans="1:18" ht="18" customHeight="1">
      <c r="A910" s="10" t="s">
        <v>63</v>
      </c>
      <c r="B910" s="10" t="s">
        <v>64</v>
      </c>
      <c r="C910" s="10" t="s">
        <v>254</v>
      </c>
      <c r="D910" s="10" t="s">
        <v>265</v>
      </c>
      <c r="E910" s="16">
        <v>11</v>
      </c>
      <c r="F910" s="16">
        <v>11</v>
      </c>
      <c r="G910" s="13">
        <v>20702.965903936099</v>
      </c>
      <c r="H910" s="13">
        <v>20702.965903936099</v>
      </c>
      <c r="I910" s="14">
        <v>0</v>
      </c>
      <c r="J910" s="15">
        <v>1</v>
      </c>
      <c r="K910" s="14">
        <v>804.52126572369889</v>
      </c>
      <c r="L910" s="13">
        <v>16655976.333269253</v>
      </c>
      <c r="M910" s="14">
        <v>3.8297344526480313</v>
      </c>
      <c r="N910" s="14">
        <v>675.66971394042889</v>
      </c>
      <c r="O910" s="13">
        <v>13988367.050030958</v>
      </c>
      <c r="P910" s="13">
        <v>2667609.2832382955</v>
      </c>
      <c r="Q910" s="14">
        <v>1.1907019792730125</v>
      </c>
      <c r="R910" s="15">
        <v>0.19070197927301255</v>
      </c>
    </row>
    <row r="911" spans="1:18" ht="18" customHeight="1">
      <c r="A911" s="10" t="s">
        <v>63</v>
      </c>
      <c r="B911" s="10" t="s">
        <v>64</v>
      </c>
      <c r="C911" s="10" t="s">
        <v>254</v>
      </c>
      <c r="D911" s="10" t="s">
        <v>266</v>
      </c>
      <c r="E911" s="16">
        <v>6</v>
      </c>
      <c r="F911" s="16">
        <v>6</v>
      </c>
      <c r="G911" s="13">
        <v>117.87170770549999</v>
      </c>
      <c r="H911" s="13">
        <v>117.87170770549999</v>
      </c>
      <c r="I911" s="14">
        <v>0</v>
      </c>
      <c r="J911" s="15">
        <v>1</v>
      </c>
      <c r="K911" s="14">
        <v>458.34748256473301</v>
      </c>
      <c r="L911" s="13">
        <v>54026.200492421958</v>
      </c>
      <c r="M911" s="14">
        <v>3.6524753970591233</v>
      </c>
      <c r="N911" s="14">
        <v>449.23687451654911</v>
      </c>
      <c r="O911" s="13">
        <v>52952.317563547054</v>
      </c>
      <c r="P911" s="13">
        <v>1073.8829288749039</v>
      </c>
      <c r="Q911" s="14">
        <v>1.0202801875023912</v>
      </c>
      <c r="R911" s="15">
        <v>2.0280187502391332E-2</v>
      </c>
    </row>
    <row r="912" spans="1:18" ht="18" customHeight="1">
      <c r="A912" s="10" t="s">
        <v>63</v>
      </c>
      <c r="B912" s="10" t="s">
        <v>64</v>
      </c>
      <c r="C912" s="10" t="s">
        <v>254</v>
      </c>
      <c r="D912" s="10" t="s">
        <v>268</v>
      </c>
      <c r="E912" s="16">
        <v>3</v>
      </c>
      <c r="F912" s="16">
        <v>3</v>
      </c>
      <c r="G912" s="13">
        <v>639317.47040476603</v>
      </c>
      <c r="H912" s="13">
        <v>639317.47040476603</v>
      </c>
      <c r="I912" s="14">
        <v>0</v>
      </c>
      <c r="J912" s="15">
        <v>1</v>
      </c>
      <c r="K912" s="14">
        <v>756.55953917091551</v>
      </c>
      <c r="L912" s="13">
        <v>483681730.79334521</v>
      </c>
      <c r="M912" s="14">
        <v>3.7308403842677413</v>
      </c>
      <c r="N912" s="14">
        <v>538.07198921556665</v>
      </c>
      <c r="O912" s="13">
        <v>343998823.04095662</v>
      </c>
      <c r="P912" s="13">
        <v>139682907.7523886</v>
      </c>
      <c r="Q912" s="14">
        <v>1.4060563536746691</v>
      </c>
      <c r="R912" s="15">
        <v>0.40605635367466913</v>
      </c>
    </row>
    <row r="913" spans="1:18" ht="18" customHeight="1">
      <c r="A913" s="10" t="s">
        <v>63</v>
      </c>
      <c r="B913" s="10" t="s">
        <v>64</v>
      </c>
      <c r="C913" s="10" t="s">
        <v>254</v>
      </c>
      <c r="D913" s="10" t="s">
        <v>269</v>
      </c>
      <c r="E913" s="16">
        <v>32</v>
      </c>
      <c r="F913" s="16">
        <v>32</v>
      </c>
      <c r="G913" s="13">
        <v>145566.1930088599</v>
      </c>
      <c r="H913" s="13">
        <v>145566.1930088599</v>
      </c>
      <c r="I913" s="14">
        <v>0</v>
      </c>
      <c r="J913" s="15">
        <v>1</v>
      </c>
      <c r="K913" s="14">
        <v>1590.9757338003626</v>
      </c>
      <c r="L913" s="13">
        <v>231592280.73879609</v>
      </c>
      <c r="M913" s="14">
        <v>3.9137357685736962</v>
      </c>
      <c r="N913" s="14">
        <v>819.85258166700351</v>
      </c>
      <c r="O913" s="13">
        <v>119342819.14175111</v>
      </c>
      <c r="P913" s="13">
        <v>112249461.59704497</v>
      </c>
      <c r="Q913" s="14">
        <v>1.9405631809628956</v>
      </c>
      <c r="R913" s="15">
        <v>0.9405631809628956</v>
      </c>
    </row>
    <row r="914" spans="1:18" ht="18" customHeight="1">
      <c r="A914" s="10" t="s">
        <v>63</v>
      </c>
      <c r="B914" s="10" t="s">
        <v>64</v>
      </c>
      <c r="C914" s="10" t="s">
        <v>254</v>
      </c>
      <c r="D914" s="10" t="s">
        <v>270</v>
      </c>
      <c r="E914" s="16">
        <v>11</v>
      </c>
      <c r="F914" s="16">
        <v>11</v>
      </c>
      <c r="G914" s="13">
        <v>82236.449183599281</v>
      </c>
      <c r="H914" s="13">
        <v>82236.449183599281</v>
      </c>
      <c r="I914" s="14">
        <v>0</v>
      </c>
      <c r="J914" s="15">
        <v>1</v>
      </c>
      <c r="K914" s="14">
        <v>281.02184281312185</v>
      </c>
      <c r="L914" s="13">
        <v>23110238.495982721</v>
      </c>
      <c r="M914" s="14">
        <v>3.4139646594065214</v>
      </c>
      <c r="N914" s="14">
        <v>259.39682700788325</v>
      </c>
      <c r="O914" s="13">
        <v>21331873.982620683</v>
      </c>
      <c r="P914" s="13">
        <v>1778364.5133620389</v>
      </c>
      <c r="Q914" s="14">
        <v>1.0833665394240981</v>
      </c>
      <c r="R914" s="15">
        <v>8.3366539424098066E-2</v>
      </c>
    </row>
    <row r="915" spans="1:18" ht="18" customHeight="1">
      <c r="A915" s="10" t="s">
        <v>63</v>
      </c>
      <c r="B915" s="10" t="s">
        <v>64</v>
      </c>
      <c r="C915" s="10" t="s">
        <v>254</v>
      </c>
      <c r="D915" s="10" t="s">
        <v>276</v>
      </c>
      <c r="E915" s="16">
        <v>6</v>
      </c>
      <c r="F915" s="16">
        <v>6</v>
      </c>
      <c r="G915" s="13">
        <v>2016.284218024</v>
      </c>
      <c r="H915" s="13">
        <v>2016.284218024</v>
      </c>
      <c r="I915" s="14">
        <v>0</v>
      </c>
      <c r="J915" s="15">
        <v>1</v>
      </c>
      <c r="K915" s="14">
        <v>925.97564341779776</v>
      </c>
      <c r="L915" s="13">
        <v>1867030.0760979245</v>
      </c>
      <c r="M915" s="14">
        <v>3.912922583371901</v>
      </c>
      <c r="N915" s="14">
        <v>818.31890293565118</v>
      </c>
      <c r="O915" s="13">
        <v>1649963.4892998671</v>
      </c>
      <c r="P915" s="13">
        <v>217066.58679805743</v>
      </c>
      <c r="Q915" s="14">
        <v>1.131558418235161</v>
      </c>
      <c r="R915" s="15">
        <v>0.13155841823516096</v>
      </c>
    </row>
    <row r="916" spans="1:18" ht="18" customHeight="1">
      <c r="A916" s="10" t="s">
        <v>63</v>
      </c>
      <c r="B916" s="10" t="s">
        <v>64</v>
      </c>
      <c r="C916" s="10" t="s">
        <v>254</v>
      </c>
      <c r="D916" s="10" t="s">
        <v>271</v>
      </c>
      <c r="E916" s="16">
        <v>18</v>
      </c>
      <c r="F916" s="16">
        <v>18</v>
      </c>
      <c r="G916" s="13">
        <v>6132.7974913528997</v>
      </c>
      <c r="H916" s="13">
        <v>6132.7974913528997</v>
      </c>
      <c r="I916" s="14">
        <v>0</v>
      </c>
      <c r="J916" s="15">
        <v>1</v>
      </c>
      <c r="K916" s="14">
        <v>19.814538322673446</v>
      </c>
      <c r="L916" s="13">
        <v>121518.5509176076</v>
      </c>
      <c r="M916" s="14">
        <v>2.2750567810455311</v>
      </c>
      <c r="N916" s="14">
        <v>18.838953798787706</v>
      </c>
      <c r="O916" s="13">
        <v>115535.48859691843</v>
      </c>
      <c r="P916" s="13">
        <v>5983.062320689176</v>
      </c>
      <c r="Q916" s="14">
        <v>1.0517854937331244</v>
      </c>
      <c r="R916" s="15">
        <v>5.1785493733124327E-2</v>
      </c>
    </row>
    <row r="917" spans="1:18" ht="18" customHeight="1">
      <c r="A917" s="10" t="s">
        <v>63</v>
      </c>
      <c r="B917" s="10" t="s">
        <v>64</v>
      </c>
      <c r="C917" s="10" t="s">
        <v>254</v>
      </c>
      <c r="D917" s="10" t="s">
        <v>272</v>
      </c>
      <c r="E917" s="16">
        <v>6</v>
      </c>
      <c r="F917" s="16">
        <v>6</v>
      </c>
      <c r="G917" s="13">
        <v>6927.0840010150005</v>
      </c>
      <c r="H917" s="13">
        <v>6927.0840010150005</v>
      </c>
      <c r="I917" s="14">
        <v>0</v>
      </c>
      <c r="J917" s="15">
        <v>1</v>
      </c>
      <c r="K917" s="14">
        <v>167.4246350709069</v>
      </c>
      <c r="L917" s="13">
        <v>1159764.5109754542</v>
      </c>
      <c r="M917" s="14">
        <v>3.2162056498196683</v>
      </c>
      <c r="N917" s="14">
        <v>164.51505607088811</v>
      </c>
      <c r="O917" s="13">
        <v>1139609.6128347348</v>
      </c>
      <c r="P917" s="13">
        <v>20154.898140719393</v>
      </c>
      <c r="Q917" s="14">
        <v>1.0176857916199784</v>
      </c>
      <c r="R917" s="15">
        <v>1.7685791619978408E-2</v>
      </c>
    </row>
    <row r="918" spans="1:18" ht="18" customHeight="1">
      <c r="A918" s="10" t="s">
        <v>63</v>
      </c>
      <c r="B918" s="10" t="s">
        <v>64</v>
      </c>
      <c r="C918" s="10" t="s">
        <v>254</v>
      </c>
      <c r="D918" s="10" t="s">
        <v>283</v>
      </c>
      <c r="E918" s="16">
        <v>1</v>
      </c>
      <c r="F918" s="16">
        <v>1</v>
      </c>
      <c r="G918" s="13">
        <v>1.3604216999999999E-3</v>
      </c>
      <c r="H918" s="13">
        <v>1.3604216999999999E-3</v>
      </c>
      <c r="I918" s="14">
        <v>0</v>
      </c>
      <c r="J918" s="15">
        <v>1</v>
      </c>
      <c r="K918" s="14">
        <v>416.86938347033555</v>
      </c>
      <c r="L918" s="13">
        <v>0.56711815533866572</v>
      </c>
      <c r="M918" s="14">
        <v>3.6199999999999997</v>
      </c>
      <c r="N918" s="14">
        <v>416.86938347033509</v>
      </c>
      <c r="O918" s="13">
        <v>0.56711815533866516</v>
      </c>
      <c r="P918" s="13">
        <v>5.5511151231257827E-16</v>
      </c>
      <c r="Q918" s="14">
        <v>1.0000000000000009</v>
      </c>
      <c r="R918" s="15">
        <v>9.7882867456620757E-16</v>
      </c>
    </row>
    <row r="919" spans="1:18" ht="18" customHeight="1">
      <c r="A919" s="10" t="s">
        <v>63</v>
      </c>
      <c r="B919" s="10" t="s">
        <v>64</v>
      </c>
      <c r="C919" s="10" t="s">
        <v>254</v>
      </c>
      <c r="D919" s="10" t="s">
        <v>278</v>
      </c>
      <c r="E919" s="16">
        <v>2</v>
      </c>
      <c r="F919" s="16">
        <v>2</v>
      </c>
      <c r="G919" s="13">
        <v>0.63103441859999998</v>
      </c>
      <c r="H919" s="13">
        <v>0.63103441859999998</v>
      </c>
      <c r="I919" s="14">
        <v>0</v>
      </c>
      <c r="J919" s="15">
        <v>1</v>
      </c>
      <c r="K919" s="14">
        <v>202.58356096508925</v>
      </c>
      <c r="L919" s="13">
        <v>127.83719961152275</v>
      </c>
      <c r="M919" s="14">
        <v>3.3062055634535557</v>
      </c>
      <c r="N919" s="14">
        <v>202.39769556257431</v>
      </c>
      <c r="O919" s="13">
        <v>127.71991214530888</v>
      </c>
      <c r="P919" s="13">
        <v>0.11728746621386676</v>
      </c>
      <c r="Q919" s="14">
        <v>1.000918317780241</v>
      </c>
      <c r="R919" s="15">
        <v>9.1831778024108754E-4</v>
      </c>
    </row>
    <row r="920" spans="1:18" ht="18" customHeight="1">
      <c r="A920" s="10" t="s">
        <v>63</v>
      </c>
      <c r="B920" s="10" t="s">
        <v>64</v>
      </c>
      <c r="C920" s="10" t="s">
        <v>254</v>
      </c>
      <c r="D920" s="10" t="s">
        <v>273</v>
      </c>
      <c r="E920" s="16">
        <v>6</v>
      </c>
      <c r="F920" s="16">
        <v>6</v>
      </c>
      <c r="G920" s="13">
        <v>36.886594822600003</v>
      </c>
      <c r="H920" s="13">
        <v>36.886594822600003</v>
      </c>
      <c r="I920" s="14">
        <v>0</v>
      </c>
      <c r="J920" s="15">
        <v>1</v>
      </c>
      <c r="K920" s="14">
        <v>240.70887927043279</v>
      </c>
      <c r="L920" s="13">
        <v>8878.9308998505949</v>
      </c>
      <c r="M920" s="14">
        <v>3.3687909070809465</v>
      </c>
      <c r="N920" s="14">
        <v>233.77114665833417</v>
      </c>
      <c r="O920" s="13">
        <v>8623.0215680005749</v>
      </c>
      <c r="P920" s="13">
        <v>255.90933185001995</v>
      </c>
      <c r="Q920" s="14">
        <v>1.0296774546870764</v>
      </c>
      <c r="R920" s="15">
        <v>2.9677454687076447E-2</v>
      </c>
    </row>
    <row r="921" spans="1:18" ht="18" customHeight="1">
      <c r="A921" s="10" t="s">
        <v>63</v>
      </c>
      <c r="B921" s="10" t="s">
        <v>64</v>
      </c>
      <c r="C921" s="10" t="s">
        <v>254</v>
      </c>
      <c r="D921" s="10" t="s">
        <v>274</v>
      </c>
      <c r="E921" s="16">
        <v>17</v>
      </c>
      <c r="F921" s="16">
        <v>17</v>
      </c>
      <c r="G921" s="13">
        <v>56935.361351501</v>
      </c>
      <c r="H921" s="13">
        <v>56935.361351501</v>
      </c>
      <c r="I921" s="14">
        <v>0</v>
      </c>
      <c r="J921" s="15">
        <v>1</v>
      </c>
      <c r="K921" s="14">
        <v>600.47504812525938</v>
      </c>
      <c r="L921" s="13">
        <v>34188263.847571597</v>
      </c>
      <c r="M921" s="14">
        <v>3.6568699587554367</v>
      </c>
      <c r="N921" s="14">
        <v>453.80571279175405</v>
      </c>
      <c r="O921" s="13">
        <v>25837592.241173998</v>
      </c>
      <c r="P921" s="13">
        <v>8350671.606397599</v>
      </c>
      <c r="Q921" s="14">
        <v>1.3231985213037856</v>
      </c>
      <c r="R921" s="15">
        <v>0.32319852130378557</v>
      </c>
    </row>
    <row r="922" spans="1:18" ht="18" customHeight="1">
      <c r="A922" s="10" t="s">
        <v>63</v>
      </c>
      <c r="B922" s="10" t="s">
        <v>64</v>
      </c>
      <c r="C922" s="10" t="s">
        <v>254</v>
      </c>
      <c r="D922" s="10" t="s">
        <v>282</v>
      </c>
      <c r="E922" s="16">
        <v>3</v>
      </c>
      <c r="F922" s="16">
        <v>3</v>
      </c>
      <c r="G922" s="13">
        <v>855.76266456799999</v>
      </c>
      <c r="H922" s="13">
        <v>855.76266456799999</v>
      </c>
      <c r="I922" s="14">
        <v>0</v>
      </c>
      <c r="J922" s="15">
        <v>1</v>
      </c>
      <c r="K922" s="14">
        <v>628.66997294305372</v>
      </c>
      <c r="L922" s="13">
        <v>537992.2911796401</v>
      </c>
      <c r="M922" s="14">
        <v>3.7981975870753293</v>
      </c>
      <c r="N922" s="14">
        <v>628.34416591697698</v>
      </c>
      <c r="O922" s="13">
        <v>537713.47769086971</v>
      </c>
      <c r="P922" s="13">
        <v>278.81348877039272</v>
      </c>
      <c r="Q922" s="14">
        <v>1.0005185168316177</v>
      </c>
      <c r="R922" s="15">
        <v>5.1851683161767794E-4</v>
      </c>
    </row>
    <row r="923" spans="1:18" ht="18" customHeight="1">
      <c r="A923" s="10" t="s">
        <v>63</v>
      </c>
      <c r="B923" s="10" t="s">
        <v>64</v>
      </c>
      <c r="C923" s="10" t="s">
        <v>254</v>
      </c>
      <c r="D923" s="10" t="s">
        <v>275</v>
      </c>
      <c r="E923" s="16">
        <v>1</v>
      </c>
      <c r="F923" s="16">
        <v>1</v>
      </c>
      <c r="G923" s="13">
        <v>0.22584235450000001</v>
      </c>
      <c r="H923" s="13">
        <v>0.22584235450000001</v>
      </c>
      <c r="I923" s="14">
        <v>0</v>
      </c>
      <c r="J923" s="15">
        <v>1</v>
      </c>
      <c r="K923" s="14">
        <v>380.18939632056129</v>
      </c>
      <c r="L923" s="13">
        <v>85.862868420969207</v>
      </c>
      <c r="M923" s="14">
        <v>3.58</v>
      </c>
      <c r="N923" s="14">
        <v>380.18939632056129</v>
      </c>
      <c r="O923" s="13">
        <v>85.862868420969207</v>
      </c>
      <c r="P923" s="13">
        <v>0</v>
      </c>
      <c r="Q923" s="14">
        <v>1</v>
      </c>
      <c r="R923" s="15">
        <v>0</v>
      </c>
    </row>
    <row r="924" spans="1:18" ht="18" customHeight="1">
      <c r="A924" s="10" t="s">
        <v>53</v>
      </c>
      <c r="B924" s="10" t="s">
        <v>54</v>
      </c>
      <c r="C924" s="10" t="s">
        <v>254</v>
      </c>
      <c r="D924" s="10" t="s">
        <v>255</v>
      </c>
      <c r="E924" s="16">
        <v>7</v>
      </c>
      <c r="F924" s="16">
        <v>7</v>
      </c>
      <c r="G924" s="13">
        <v>20812.934995008804</v>
      </c>
      <c r="H924" s="13">
        <v>20812.934995008804</v>
      </c>
      <c r="I924" s="14">
        <v>0</v>
      </c>
      <c r="J924" s="15">
        <v>1</v>
      </c>
      <c r="K924" s="14">
        <v>778.7740973939915</v>
      </c>
      <c r="L924" s="13">
        <v>16208574.664857799</v>
      </c>
      <c r="M924" s="14">
        <v>3.883211871210261</v>
      </c>
      <c r="N924" s="14">
        <v>764.20851291400459</v>
      </c>
      <c r="O924" s="13">
        <v>15905422.101911522</v>
      </c>
      <c r="P924" s="13">
        <v>303152.56294627674</v>
      </c>
      <c r="Q924" s="14">
        <v>1.0190596993279319</v>
      </c>
      <c r="R924" s="15">
        <v>1.9059699327931931E-2</v>
      </c>
    </row>
    <row r="925" spans="1:18" ht="18" customHeight="1">
      <c r="A925" s="10" t="s">
        <v>53</v>
      </c>
      <c r="B925" s="10" t="s">
        <v>54</v>
      </c>
      <c r="C925" s="10" t="s">
        <v>254</v>
      </c>
      <c r="D925" s="10" t="s">
        <v>277</v>
      </c>
      <c r="E925" s="16">
        <v>2</v>
      </c>
      <c r="F925" s="16">
        <v>2</v>
      </c>
      <c r="G925" s="13">
        <v>50676.829383062999</v>
      </c>
      <c r="H925" s="13">
        <v>50676.829383062999</v>
      </c>
      <c r="I925" s="14">
        <v>0</v>
      </c>
      <c r="J925" s="15">
        <v>1</v>
      </c>
      <c r="K925" s="14">
        <v>275.59656174451646</v>
      </c>
      <c r="L925" s="13">
        <v>13966359.938085647</v>
      </c>
      <c r="M925" s="14">
        <v>3.4379282333741958</v>
      </c>
      <c r="N925" s="14">
        <v>274.11211676182126</v>
      </c>
      <c r="O925" s="13">
        <v>13891132.972969059</v>
      </c>
      <c r="P925" s="13">
        <v>75226.965116588399</v>
      </c>
      <c r="Q925" s="14">
        <v>1.0054154664895205</v>
      </c>
      <c r="R925" s="15">
        <v>5.4154664895205854E-3</v>
      </c>
    </row>
    <row r="926" spans="1:18" ht="18" customHeight="1">
      <c r="A926" s="10" t="s">
        <v>53</v>
      </c>
      <c r="B926" s="10" t="s">
        <v>54</v>
      </c>
      <c r="C926" s="10" t="s">
        <v>254</v>
      </c>
      <c r="D926" s="10" t="s">
        <v>256</v>
      </c>
      <c r="E926" s="16">
        <v>4</v>
      </c>
      <c r="F926" s="16">
        <v>4</v>
      </c>
      <c r="G926" s="13">
        <v>5160.2323106802996</v>
      </c>
      <c r="H926" s="13">
        <v>5160.2323106802996</v>
      </c>
      <c r="I926" s="14">
        <v>0</v>
      </c>
      <c r="J926" s="15">
        <v>1</v>
      </c>
      <c r="K926" s="14">
        <v>697.04905140277037</v>
      </c>
      <c r="L926" s="13">
        <v>3596935.0371776288</v>
      </c>
      <c r="M926" s="14">
        <v>3.8341379202096189</v>
      </c>
      <c r="N926" s="14">
        <v>682.55542091200368</v>
      </c>
      <c r="O926" s="13">
        <v>3522144.5368201132</v>
      </c>
      <c r="P926" s="13">
        <v>74790.500357515644</v>
      </c>
      <c r="Q926" s="14">
        <v>1.021234364341288</v>
      </c>
      <c r="R926" s="15">
        <v>2.1234364341288083E-2</v>
      </c>
    </row>
    <row r="927" spans="1:18" ht="18" customHeight="1">
      <c r="A927" s="10" t="s">
        <v>53</v>
      </c>
      <c r="B927" s="10" t="s">
        <v>54</v>
      </c>
      <c r="C927" s="10" t="s">
        <v>254</v>
      </c>
      <c r="D927" s="10" t="s">
        <v>257</v>
      </c>
      <c r="E927" s="16">
        <v>2</v>
      </c>
      <c r="F927" s="16">
        <v>2</v>
      </c>
      <c r="G927" s="13">
        <v>3.6691306100000001E-2</v>
      </c>
      <c r="H927" s="13">
        <v>3.6691306100000001E-2</v>
      </c>
      <c r="I927" s="14">
        <v>0</v>
      </c>
      <c r="J927" s="15">
        <v>1</v>
      </c>
      <c r="K927" s="14">
        <v>1487.3617544372028</v>
      </c>
      <c r="L927" s="13">
        <v>54.573245413488443</v>
      </c>
      <c r="M927" s="14">
        <v>4.1643554126300231</v>
      </c>
      <c r="N927" s="14">
        <v>1460.0085955629183</v>
      </c>
      <c r="O927" s="13">
        <v>53.569622288430139</v>
      </c>
      <c r="P927" s="13">
        <v>1.0036231250583043</v>
      </c>
      <c r="Q927" s="14">
        <v>1.0187349300253525</v>
      </c>
      <c r="R927" s="15">
        <v>1.8734930025352536E-2</v>
      </c>
    </row>
    <row r="928" spans="1:18" ht="18" customHeight="1">
      <c r="A928" s="10" t="s">
        <v>53</v>
      </c>
      <c r="B928" s="10" t="s">
        <v>54</v>
      </c>
      <c r="C928" s="10" t="s">
        <v>254</v>
      </c>
      <c r="D928" s="10" t="s">
        <v>258</v>
      </c>
      <c r="E928" s="16">
        <v>10</v>
      </c>
      <c r="F928" s="16">
        <v>10</v>
      </c>
      <c r="G928" s="13">
        <v>11357.610454940001</v>
      </c>
      <c r="H928" s="13">
        <v>11357.610454940001</v>
      </c>
      <c r="I928" s="14">
        <v>0</v>
      </c>
      <c r="J928" s="15">
        <v>1</v>
      </c>
      <c r="K928" s="14">
        <v>1197.9727924419276</v>
      </c>
      <c r="L928" s="13">
        <v>13606108.312172104</v>
      </c>
      <c r="M928" s="14">
        <v>3.2727627829549739</v>
      </c>
      <c r="N928" s="14">
        <v>187.397064240731</v>
      </c>
      <c r="O928" s="13">
        <v>2128382.8560455893</v>
      </c>
      <c r="P928" s="13">
        <v>11477725.456126515</v>
      </c>
      <c r="Q928" s="14">
        <v>6.3926977580769728</v>
      </c>
      <c r="R928" s="15">
        <v>5.3926977580769728</v>
      </c>
    </row>
    <row r="929" spans="1:18" ht="18" customHeight="1">
      <c r="A929" s="10" t="s">
        <v>53</v>
      </c>
      <c r="B929" s="10" t="s">
        <v>54</v>
      </c>
      <c r="C929" s="10" t="s">
        <v>254</v>
      </c>
      <c r="D929" s="10" t="s">
        <v>259</v>
      </c>
      <c r="E929" s="16">
        <v>8</v>
      </c>
      <c r="F929" s="16">
        <v>8</v>
      </c>
      <c r="G929" s="13">
        <v>4920.9982227324008</v>
      </c>
      <c r="H929" s="13">
        <v>4920.9982227324008</v>
      </c>
      <c r="I929" s="14">
        <v>0</v>
      </c>
      <c r="J929" s="15">
        <v>1</v>
      </c>
      <c r="K929" s="14">
        <v>1892.0298503379954</v>
      </c>
      <c r="L929" s="13">
        <v>9310675.5308699254</v>
      </c>
      <c r="M929" s="14">
        <v>4.255084376846237</v>
      </c>
      <c r="N929" s="14">
        <v>1799.2204424805309</v>
      </c>
      <c r="O929" s="13">
        <v>8853960.5997504964</v>
      </c>
      <c r="P929" s="13">
        <v>456714.93111942895</v>
      </c>
      <c r="Q929" s="14">
        <v>1.0515831221490075</v>
      </c>
      <c r="R929" s="15">
        <v>5.1583122149007433E-2</v>
      </c>
    </row>
    <row r="930" spans="1:18" ht="18" customHeight="1">
      <c r="A930" s="10" t="s">
        <v>53</v>
      </c>
      <c r="B930" s="10" t="s">
        <v>54</v>
      </c>
      <c r="C930" s="10" t="s">
        <v>254</v>
      </c>
      <c r="D930" s="10" t="s">
        <v>260</v>
      </c>
      <c r="E930" s="16">
        <v>2</v>
      </c>
      <c r="F930" s="16">
        <v>2</v>
      </c>
      <c r="G930" s="13">
        <v>1065.2846808869999</v>
      </c>
      <c r="H930" s="13">
        <v>1065.2846808869999</v>
      </c>
      <c r="I930" s="14">
        <v>0</v>
      </c>
      <c r="J930" s="15">
        <v>1</v>
      </c>
      <c r="K930" s="14">
        <v>2064.4607726062954</v>
      </c>
      <c r="L930" s="13">
        <v>2199238.4353496269</v>
      </c>
      <c r="M930" s="14">
        <v>4.2782055422025245</v>
      </c>
      <c r="N930" s="14">
        <v>1897.6038036340699</v>
      </c>
      <c r="O930" s="13">
        <v>2021488.2624042775</v>
      </c>
      <c r="P930" s="13">
        <v>177750.17294534948</v>
      </c>
      <c r="Q930" s="14">
        <v>1.0879303512422775</v>
      </c>
      <c r="R930" s="15">
        <v>8.7930351242277563E-2</v>
      </c>
    </row>
    <row r="931" spans="1:18" ht="18" customHeight="1">
      <c r="A931" s="10" t="s">
        <v>53</v>
      </c>
      <c r="B931" s="10" t="s">
        <v>54</v>
      </c>
      <c r="C931" s="10" t="s">
        <v>254</v>
      </c>
      <c r="D931" s="10" t="s">
        <v>261</v>
      </c>
      <c r="E931" s="16">
        <v>17</v>
      </c>
      <c r="F931" s="16">
        <v>17</v>
      </c>
      <c r="G931" s="13">
        <v>35591.609171308104</v>
      </c>
      <c r="H931" s="13">
        <v>35591.609171308104</v>
      </c>
      <c r="I931" s="14">
        <v>0</v>
      </c>
      <c r="J931" s="15">
        <v>1</v>
      </c>
      <c r="K931" s="14">
        <v>2308.9485562730383</v>
      </c>
      <c r="L931" s="13">
        <v>82179194.611526072</v>
      </c>
      <c r="M931" s="14">
        <v>4.3498516338210589</v>
      </c>
      <c r="N931" s="14">
        <v>2237.9564643996359</v>
      </c>
      <c r="O931" s="13">
        <v>79652471.823314339</v>
      </c>
      <c r="P931" s="13">
        <v>2526722.7882117331</v>
      </c>
      <c r="Q931" s="14">
        <v>1.0317218377581117</v>
      </c>
      <c r="R931" s="15">
        <v>3.1721837758111597E-2</v>
      </c>
    </row>
    <row r="932" spans="1:18" ht="18" customHeight="1">
      <c r="A932" s="10" t="s">
        <v>53</v>
      </c>
      <c r="B932" s="10" t="s">
        <v>54</v>
      </c>
      <c r="C932" s="10" t="s">
        <v>254</v>
      </c>
      <c r="D932" s="10" t="s">
        <v>262</v>
      </c>
      <c r="E932" s="16">
        <v>6</v>
      </c>
      <c r="F932" s="16">
        <v>6</v>
      </c>
      <c r="G932" s="13">
        <v>1643.2937593864999</v>
      </c>
      <c r="H932" s="13">
        <v>1643.2937593864999</v>
      </c>
      <c r="I932" s="14">
        <v>0</v>
      </c>
      <c r="J932" s="15">
        <v>1</v>
      </c>
      <c r="K932" s="14">
        <v>475.38251811031887</v>
      </c>
      <c r="L932" s="13">
        <v>781193.12533212674</v>
      </c>
      <c r="M932" s="14">
        <v>3.6328706119389511</v>
      </c>
      <c r="N932" s="14">
        <v>429.40847531807259</v>
      </c>
      <c r="O932" s="13">
        <v>705644.26771786052</v>
      </c>
      <c r="P932" s="13">
        <v>75548.85761426622</v>
      </c>
      <c r="Q932" s="14">
        <v>1.1070636595101955</v>
      </c>
      <c r="R932" s="15">
        <v>0.10706365951019545</v>
      </c>
    </row>
    <row r="933" spans="1:18" ht="18" customHeight="1">
      <c r="A933" s="10" t="s">
        <v>53</v>
      </c>
      <c r="B933" s="10" t="s">
        <v>54</v>
      </c>
      <c r="C933" s="10" t="s">
        <v>254</v>
      </c>
      <c r="D933" s="10" t="s">
        <v>263</v>
      </c>
      <c r="E933" s="16">
        <v>8</v>
      </c>
      <c r="F933" s="16">
        <v>8</v>
      </c>
      <c r="G933" s="13">
        <v>3813.6161532002998</v>
      </c>
      <c r="H933" s="13">
        <v>3813.6161532002998</v>
      </c>
      <c r="I933" s="14">
        <v>0</v>
      </c>
      <c r="J933" s="15">
        <v>1</v>
      </c>
      <c r="K933" s="14">
        <v>426.96313463755365</v>
      </c>
      <c r="L933" s="13">
        <v>1628273.5070748089</v>
      </c>
      <c r="M933" s="14">
        <v>3.5944170918858465</v>
      </c>
      <c r="N933" s="14">
        <v>393.0222086314954</v>
      </c>
      <c r="O933" s="13">
        <v>1498835.8434035291</v>
      </c>
      <c r="P933" s="13">
        <v>129437.66367127979</v>
      </c>
      <c r="Q933" s="14">
        <v>1.086358799224707</v>
      </c>
      <c r="R933" s="15">
        <v>8.6358799224707031E-2</v>
      </c>
    </row>
    <row r="934" spans="1:18" ht="18" customHeight="1">
      <c r="A934" s="10" t="s">
        <v>53</v>
      </c>
      <c r="B934" s="10" t="s">
        <v>54</v>
      </c>
      <c r="C934" s="10" t="s">
        <v>254</v>
      </c>
      <c r="D934" s="10" t="s">
        <v>264</v>
      </c>
      <c r="E934" s="16">
        <v>20</v>
      </c>
      <c r="F934" s="16">
        <v>20</v>
      </c>
      <c r="G934" s="13">
        <v>14198.3966801304</v>
      </c>
      <c r="H934" s="13">
        <v>14198.3966801304</v>
      </c>
      <c r="I934" s="14">
        <v>0</v>
      </c>
      <c r="J934" s="15">
        <v>1</v>
      </c>
      <c r="K934" s="14">
        <v>1414.3229861775535</v>
      </c>
      <c r="L934" s="13">
        <v>20081118.791575488</v>
      </c>
      <c r="M934" s="14">
        <v>4.1233264190065988</v>
      </c>
      <c r="N934" s="14">
        <v>1328.3925124366867</v>
      </c>
      <c r="O934" s="13">
        <v>18861043.838491134</v>
      </c>
      <c r="P934" s="13">
        <v>1220074.9530843534</v>
      </c>
      <c r="Q934" s="14">
        <v>1.0646875625512549</v>
      </c>
      <c r="R934" s="15">
        <v>6.4687562551254754E-2</v>
      </c>
    </row>
    <row r="935" spans="1:18" ht="18" customHeight="1">
      <c r="A935" s="10" t="s">
        <v>53</v>
      </c>
      <c r="B935" s="10" t="s">
        <v>54</v>
      </c>
      <c r="C935" s="10" t="s">
        <v>254</v>
      </c>
      <c r="D935" s="10" t="s">
        <v>265</v>
      </c>
      <c r="E935" s="16">
        <v>15</v>
      </c>
      <c r="F935" s="16">
        <v>15</v>
      </c>
      <c r="G935" s="13">
        <v>40370.8004359025</v>
      </c>
      <c r="H935" s="13">
        <v>40370.8004359025</v>
      </c>
      <c r="I935" s="14">
        <v>0</v>
      </c>
      <c r="J935" s="15">
        <v>1</v>
      </c>
      <c r="K935" s="14">
        <v>761.11477023455495</v>
      </c>
      <c r="L935" s="13">
        <v>30726812.497957002</v>
      </c>
      <c r="M935" s="14">
        <v>3.7936391803306568</v>
      </c>
      <c r="N935" s="14">
        <v>621.78348161045824</v>
      </c>
      <c r="O935" s="13">
        <v>25101896.85043646</v>
      </c>
      <c r="P935" s="13">
        <v>5624915.6475205421</v>
      </c>
      <c r="Q935" s="14">
        <v>1.2240832906387606</v>
      </c>
      <c r="R935" s="15">
        <v>0.22408329063876059</v>
      </c>
    </row>
    <row r="936" spans="1:18" ht="18" customHeight="1">
      <c r="A936" s="10" t="s">
        <v>53</v>
      </c>
      <c r="B936" s="10" t="s">
        <v>54</v>
      </c>
      <c r="C936" s="10" t="s">
        <v>254</v>
      </c>
      <c r="D936" s="10" t="s">
        <v>266</v>
      </c>
      <c r="E936" s="16">
        <v>7</v>
      </c>
      <c r="F936" s="16">
        <v>7</v>
      </c>
      <c r="G936" s="13">
        <v>988.97558040019987</v>
      </c>
      <c r="H936" s="13">
        <v>988.97558040019987</v>
      </c>
      <c r="I936" s="14">
        <v>0</v>
      </c>
      <c r="J936" s="15">
        <v>1</v>
      </c>
      <c r="K936" s="14">
        <v>384.72363510464851</v>
      </c>
      <c r="L936" s="13">
        <v>380482.28032129444</v>
      </c>
      <c r="M936" s="14">
        <v>3.5633543523440574</v>
      </c>
      <c r="N936" s="14">
        <v>365.89321179237805</v>
      </c>
      <c r="O936" s="13">
        <v>361859.45149686036</v>
      </c>
      <c r="P936" s="13">
        <v>18622.82882443408</v>
      </c>
      <c r="Q936" s="14">
        <v>1.0514642598041843</v>
      </c>
      <c r="R936" s="15">
        <v>5.1464259804184384E-2</v>
      </c>
    </row>
    <row r="937" spans="1:18" ht="18" customHeight="1">
      <c r="A937" s="10" t="s">
        <v>53</v>
      </c>
      <c r="B937" s="10" t="s">
        <v>54</v>
      </c>
      <c r="C937" s="10" t="s">
        <v>254</v>
      </c>
      <c r="D937" s="10" t="s">
        <v>268</v>
      </c>
      <c r="E937" s="16">
        <v>5</v>
      </c>
      <c r="F937" s="16">
        <v>5</v>
      </c>
      <c r="G937" s="13">
        <v>296620.78710831696</v>
      </c>
      <c r="H937" s="13">
        <v>296620.78710831696</v>
      </c>
      <c r="I937" s="14">
        <v>0</v>
      </c>
      <c r="J937" s="15">
        <v>1</v>
      </c>
      <c r="K937" s="14">
        <v>2237.8611075271833</v>
      </c>
      <c r="L937" s="13">
        <v>663796123.15380299</v>
      </c>
      <c r="M937" s="14">
        <v>4.3496932558035732</v>
      </c>
      <c r="N937" s="14">
        <v>2237.1404777783032</v>
      </c>
      <c r="O937" s="13">
        <v>663582369.39047658</v>
      </c>
      <c r="P937" s="13">
        <v>213753.76332640648</v>
      </c>
      <c r="Q937" s="14">
        <v>1.0003221209200039</v>
      </c>
      <c r="R937" s="15">
        <v>3.2212092000386737E-4</v>
      </c>
    </row>
    <row r="938" spans="1:18" ht="18" customHeight="1">
      <c r="A938" s="10" t="s">
        <v>53</v>
      </c>
      <c r="B938" s="10" t="s">
        <v>54</v>
      </c>
      <c r="C938" s="10" t="s">
        <v>254</v>
      </c>
      <c r="D938" s="10" t="s">
        <v>269</v>
      </c>
      <c r="E938" s="16">
        <v>49</v>
      </c>
      <c r="F938" s="16">
        <v>49</v>
      </c>
      <c r="G938" s="13">
        <v>196220.2209344742</v>
      </c>
      <c r="H938" s="13">
        <v>196220.2209344742</v>
      </c>
      <c r="I938" s="14">
        <v>0</v>
      </c>
      <c r="J938" s="15">
        <v>1</v>
      </c>
      <c r="K938" s="14">
        <v>369.74963497566296</v>
      </c>
      <c r="L938" s="13">
        <v>72552355.065365776</v>
      </c>
      <c r="M938" s="14">
        <v>3.473882762746042</v>
      </c>
      <c r="N938" s="14">
        <v>297.77124911483105</v>
      </c>
      <c r="O938" s="13">
        <v>58428740.289246507</v>
      </c>
      <c r="P938" s="13">
        <v>14123614.776119269</v>
      </c>
      <c r="Q938" s="14">
        <v>1.2417237596806214</v>
      </c>
      <c r="R938" s="15">
        <v>0.24172375968062149</v>
      </c>
    </row>
    <row r="939" spans="1:18" ht="18" customHeight="1">
      <c r="A939" s="10" t="s">
        <v>53</v>
      </c>
      <c r="B939" s="10" t="s">
        <v>54</v>
      </c>
      <c r="C939" s="10" t="s">
        <v>254</v>
      </c>
      <c r="D939" s="10" t="s">
        <v>270</v>
      </c>
      <c r="E939" s="16">
        <v>14</v>
      </c>
      <c r="F939" s="16">
        <v>14</v>
      </c>
      <c r="G939" s="13">
        <v>96936.796505460996</v>
      </c>
      <c r="H939" s="13">
        <v>96936.796505460996</v>
      </c>
      <c r="I939" s="14">
        <v>0</v>
      </c>
      <c r="J939" s="15">
        <v>1</v>
      </c>
      <c r="K939" s="14">
        <v>398.23334021222178</v>
      </c>
      <c r="L939" s="13">
        <v>38603464.261842161</v>
      </c>
      <c r="M939" s="14">
        <v>3.3215329331459094</v>
      </c>
      <c r="N939" s="14">
        <v>209.66837686681174</v>
      </c>
      <c r="O939" s="13">
        <v>20324580.781968437</v>
      </c>
      <c r="P939" s="13">
        <v>18278883.479873724</v>
      </c>
      <c r="Q939" s="14">
        <v>1.8993486102350698</v>
      </c>
      <c r="R939" s="15">
        <v>0.89934861023506996</v>
      </c>
    </row>
    <row r="940" spans="1:18" ht="18" customHeight="1">
      <c r="A940" s="10" t="s">
        <v>53</v>
      </c>
      <c r="B940" s="10" t="s">
        <v>54</v>
      </c>
      <c r="C940" s="10" t="s">
        <v>254</v>
      </c>
      <c r="D940" s="10" t="s">
        <v>276</v>
      </c>
      <c r="E940" s="16">
        <v>20</v>
      </c>
      <c r="F940" s="16">
        <v>20</v>
      </c>
      <c r="G940" s="13">
        <v>15196.408052597602</v>
      </c>
      <c r="H940" s="13">
        <v>15196.408052597602</v>
      </c>
      <c r="I940" s="14">
        <v>0</v>
      </c>
      <c r="J940" s="15">
        <v>1</v>
      </c>
      <c r="K940" s="14">
        <v>1023.5990796115196</v>
      </c>
      <c r="L940" s="13">
        <v>15555029.296039991</v>
      </c>
      <c r="M940" s="14">
        <v>3.9179086095006173</v>
      </c>
      <c r="N940" s="14">
        <v>827.76795452906572</v>
      </c>
      <c r="O940" s="13">
        <v>12579099.60988774</v>
      </c>
      <c r="P940" s="13">
        <v>2975929.6861522514</v>
      </c>
      <c r="Q940" s="14">
        <v>1.2365773209883033</v>
      </c>
      <c r="R940" s="15">
        <v>0.2365773209883032</v>
      </c>
    </row>
    <row r="941" spans="1:18" ht="18" customHeight="1">
      <c r="A941" s="10" t="s">
        <v>53</v>
      </c>
      <c r="B941" s="10" t="s">
        <v>54</v>
      </c>
      <c r="C941" s="10" t="s">
        <v>254</v>
      </c>
      <c r="D941" s="10" t="s">
        <v>271</v>
      </c>
      <c r="E941" s="16">
        <v>24</v>
      </c>
      <c r="F941" s="16">
        <v>24</v>
      </c>
      <c r="G941" s="13">
        <v>23788.7611625672</v>
      </c>
      <c r="H941" s="13">
        <v>23788.7611625672</v>
      </c>
      <c r="I941" s="14">
        <v>0</v>
      </c>
      <c r="J941" s="15">
        <v>1</v>
      </c>
      <c r="K941" s="14">
        <v>27.021091445202131</v>
      </c>
      <c r="L941" s="13">
        <v>642798.29074180126</v>
      </c>
      <c r="M941" s="14">
        <v>2.2595970507773582</v>
      </c>
      <c r="N941" s="14">
        <v>18.180132779021626</v>
      </c>
      <c r="O941" s="13">
        <v>432482.83658390457</v>
      </c>
      <c r="P941" s="13">
        <v>210315.45415789669</v>
      </c>
      <c r="Q941" s="14">
        <v>1.4862978050623614</v>
      </c>
      <c r="R941" s="15">
        <v>0.48629780506236131</v>
      </c>
    </row>
    <row r="942" spans="1:18" ht="18" customHeight="1">
      <c r="A942" s="10" t="s">
        <v>53</v>
      </c>
      <c r="B942" s="10" t="s">
        <v>54</v>
      </c>
      <c r="C942" s="10" t="s">
        <v>254</v>
      </c>
      <c r="D942" s="10" t="s">
        <v>272</v>
      </c>
      <c r="E942" s="16">
        <v>12</v>
      </c>
      <c r="F942" s="16">
        <v>12</v>
      </c>
      <c r="G942" s="13">
        <v>28771.1951542897</v>
      </c>
      <c r="H942" s="13">
        <v>28771.1951542897</v>
      </c>
      <c r="I942" s="14">
        <v>0</v>
      </c>
      <c r="J942" s="15">
        <v>1</v>
      </c>
      <c r="K942" s="14">
        <v>107.98611390596174</v>
      </c>
      <c r="L942" s="13">
        <v>3106889.5571417823</v>
      </c>
      <c r="M942" s="14">
        <v>2.9555543334449332</v>
      </c>
      <c r="N942" s="14">
        <v>90.272263767101279</v>
      </c>
      <c r="O942" s="13">
        <v>2597240.917862786</v>
      </c>
      <c r="P942" s="13">
        <v>509648.63927899627</v>
      </c>
      <c r="Q942" s="14">
        <v>1.1962269405867729</v>
      </c>
      <c r="R942" s="15">
        <v>0.19622694058677284</v>
      </c>
    </row>
    <row r="943" spans="1:18" ht="18" customHeight="1">
      <c r="A943" s="10" t="s">
        <v>53</v>
      </c>
      <c r="B943" s="10" t="s">
        <v>54</v>
      </c>
      <c r="C943" s="10" t="s">
        <v>254</v>
      </c>
      <c r="D943" s="10" t="s">
        <v>283</v>
      </c>
      <c r="E943" s="16">
        <v>3</v>
      </c>
      <c r="F943" s="16">
        <v>3</v>
      </c>
      <c r="G943" s="13">
        <v>1478.4967141666</v>
      </c>
      <c r="H943" s="13">
        <v>1478.4967141666</v>
      </c>
      <c r="I943" s="14">
        <v>0</v>
      </c>
      <c r="J943" s="15">
        <v>1</v>
      </c>
      <c r="K943" s="14">
        <v>467.62865505488679</v>
      </c>
      <c r="L943" s="13">
        <v>691387.42994879652</v>
      </c>
      <c r="M943" s="14">
        <v>3.5757279675989531</v>
      </c>
      <c r="N943" s="14">
        <v>376.46791398960272</v>
      </c>
      <c r="O943" s="13">
        <v>556606.57382278179</v>
      </c>
      <c r="P943" s="13">
        <v>134780.85612601473</v>
      </c>
      <c r="Q943" s="14">
        <v>1.2421474385405438</v>
      </c>
      <c r="R943" s="15">
        <v>0.24214743854054382</v>
      </c>
    </row>
    <row r="944" spans="1:18" ht="18" customHeight="1">
      <c r="A944" s="10" t="s">
        <v>53</v>
      </c>
      <c r="B944" s="10" t="s">
        <v>54</v>
      </c>
      <c r="C944" s="10" t="s">
        <v>254</v>
      </c>
      <c r="D944" s="10" t="s">
        <v>278</v>
      </c>
      <c r="E944" s="16">
        <v>4</v>
      </c>
      <c r="F944" s="16">
        <v>4</v>
      </c>
      <c r="G944" s="13">
        <v>7052.4694952109994</v>
      </c>
      <c r="H944" s="13">
        <v>7052.4694952109994</v>
      </c>
      <c r="I944" s="14">
        <v>0</v>
      </c>
      <c r="J944" s="15">
        <v>1</v>
      </c>
      <c r="K944" s="14">
        <v>728.27969410088929</v>
      </c>
      <c r="L944" s="13">
        <v>5136170.3266281197</v>
      </c>
      <c r="M944" s="14">
        <v>3.8286995928003447</v>
      </c>
      <c r="N944" s="14">
        <v>674.06160913055362</v>
      </c>
      <c r="O944" s="13">
        <v>4753798.9362860695</v>
      </c>
      <c r="P944" s="13">
        <v>382371.39034205023</v>
      </c>
      <c r="Q944" s="14">
        <v>1.080434910156461</v>
      </c>
      <c r="R944" s="15">
        <v>8.0434910156461079E-2</v>
      </c>
    </row>
    <row r="945" spans="1:18" ht="18" customHeight="1">
      <c r="A945" s="10" t="s">
        <v>53</v>
      </c>
      <c r="B945" s="10" t="s">
        <v>54</v>
      </c>
      <c r="C945" s="10" t="s">
        <v>254</v>
      </c>
      <c r="D945" s="10" t="s">
        <v>273</v>
      </c>
      <c r="E945" s="16">
        <v>15</v>
      </c>
      <c r="F945" s="16">
        <v>15</v>
      </c>
      <c r="G945" s="13">
        <v>165493.71716025891</v>
      </c>
      <c r="H945" s="13">
        <v>165493.71716025891</v>
      </c>
      <c r="I945" s="14">
        <v>0</v>
      </c>
      <c r="J945" s="15">
        <v>1</v>
      </c>
      <c r="K945" s="14">
        <v>149.42143198843956</v>
      </c>
      <c r="L945" s="13">
        <v>24728308.203175679</v>
      </c>
      <c r="M945" s="14">
        <v>2.9220794233960632</v>
      </c>
      <c r="N945" s="14">
        <v>83.575584655654708</v>
      </c>
      <c r="O945" s="13">
        <v>13831234.168506194</v>
      </c>
      <c r="P945" s="13">
        <v>10897074.034669485</v>
      </c>
      <c r="Q945" s="14">
        <v>1.7878598469167841</v>
      </c>
      <c r="R945" s="15">
        <v>0.78785984691678423</v>
      </c>
    </row>
    <row r="946" spans="1:18" ht="18" customHeight="1">
      <c r="A946" s="10" t="s">
        <v>53</v>
      </c>
      <c r="B946" s="10" t="s">
        <v>54</v>
      </c>
      <c r="C946" s="10" t="s">
        <v>254</v>
      </c>
      <c r="D946" s="10" t="s">
        <v>274</v>
      </c>
      <c r="E946" s="16">
        <v>18</v>
      </c>
      <c r="F946" s="16">
        <v>18</v>
      </c>
      <c r="G946" s="13">
        <v>15130.773216357999</v>
      </c>
      <c r="H946" s="13">
        <v>15130.773216357999</v>
      </c>
      <c r="I946" s="14">
        <v>0</v>
      </c>
      <c r="J946" s="15">
        <v>1</v>
      </c>
      <c r="K946" s="14">
        <v>614.72073783823726</v>
      </c>
      <c r="L946" s="13">
        <v>9301200.0756226275</v>
      </c>
      <c r="M946" s="14">
        <v>3.6280234035358232</v>
      </c>
      <c r="N946" s="14">
        <v>424.64244673059125</v>
      </c>
      <c r="O946" s="13">
        <v>6425168.5595199578</v>
      </c>
      <c r="P946" s="13">
        <v>2876031.5161026698</v>
      </c>
      <c r="Q946" s="14">
        <v>1.4476196210979322</v>
      </c>
      <c r="R946" s="15">
        <v>0.44761962109793213</v>
      </c>
    </row>
    <row r="947" spans="1:18" ht="18" customHeight="1">
      <c r="A947" s="10" t="s">
        <v>53</v>
      </c>
      <c r="B947" s="10" t="s">
        <v>54</v>
      </c>
      <c r="C947" s="10" t="s">
        <v>254</v>
      </c>
      <c r="D947" s="10" t="s">
        <v>282</v>
      </c>
      <c r="E947" s="16">
        <v>4</v>
      </c>
      <c r="F947" s="16">
        <v>4</v>
      </c>
      <c r="G947" s="13">
        <v>246.21489930120001</v>
      </c>
      <c r="H947" s="13">
        <v>246.21489930120001</v>
      </c>
      <c r="I947" s="14">
        <v>0</v>
      </c>
      <c r="J947" s="15">
        <v>1</v>
      </c>
      <c r="K947" s="14">
        <v>587.15263664549786</v>
      </c>
      <c r="L947" s="13">
        <v>144565.72730610534</v>
      </c>
      <c r="M947" s="14">
        <v>3.7628667497145343</v>
      </c>
      <c r="N947" s="14">
        <v>579.2509433146713</v>
      </c>
      <c r="O947" s="13">
        <v>142620.2126783469</v>
      </c>
      <c r="P947" s="13">
        <v>1945.5146277584427</v>
      </c>
      <c r="Q947" s="14">
        <v>1.013641226521981</v>
      </c>
      <c r="R947" s="15">
        <v>1.3641226521981043E-2</v>
      </c>
    </row>
    <row r="948" spans="1:18" ht="18" customHeight="1">
      <c r="A948" s="10" t="s">
        <v>53</v>
      </c>
      <c r="B948" s="10" t="s">
        <v>54</v>
      </c>
      <c r="C948" s="10" t="s">
        <v>254</v>
      </c>
      <c r="D948" s="10" t="s">
        <v>275</v>
      </c>
      <c r="E948" s="16">
        <v>1</v>
      </c>
      <c r="F948" s="16">
        <v>1</v>
      </c>
      <c r="G948" s="13">
        <v>1.1601356049</v>
      </c>
      <c r="H948" s="13">
        <v>1.1601356049</v>
      </c>
      <c r="I948" s="14">
        <v>0</v>
      </c>
      <c r="J948" s="15">
        <v>1</v>
      </c>
      <c r="K948" s="14">
        <v>380.18939632056129</v>
      </c>
      <c r="L948" s="13">
        <v>441.07125527692023</v>
      </c>
      <c r="M948" s="14">
        <v>3.58</v>
      </c>
      <c r="N948" s="14">
        <v>380.18939632056129</v>
      </c>
      <c r="O948" s="13">
        <v>441.07125527692023</v>
      </c>
      <c r="P948" s="13">
        <v>0</v>
      </c>
      <c r="Q948" s="14">
        <v>1</v>
      </c>
      <c r="R948" s="15">
        <v>0</v>
      </c>
    </row>
    <row r="949" spans="1:18" ht="18" customHeight="1">
      <c r="A949" s="10" t="s">
        <v>111</v>
      </c>
      <c r="B949" s="10" t="s">
        <v>112</v>
      </c>
      <c r="C949" s="10" t="s">
        <v>254</v>
      </c>
      <c r="D949" s="10" t="s">
        <v>255</v>
      </c>
      <c r="E949" s="16">
        <v>2</v>
      </c>
      <c r="F949" s="16">
        <v>2</v>
      </c>
      <c r="G949" s="13">
        <v>5106.4303403527001</v>
      </c>
      <c r="H949" s="13">
        <v>5106.4303403527001</v>
      </c>
      <c r="I949" s="14">
        <v>0</v>
      </c>
      <c r="J949" s="15">
        <v>1</v>
      </c>
      <c r="K949" s="14">
        <v>910.21658276790492</v>
      </c>
      <c r="L949" s="13">
        <v>4647957.5745381843</v>
      </c>
      <c r="M949" s="14">
        <v>3.9393028566351056</v>
      </c>
      <c r="N949" s="14">
        <v>869.56661293662455</v>
      </c>
      <c r="O949" s="13">
        <v>4440381.3352573123</v>
      </c>
      <c r="P949" s="13">
        <v>207576.23928087205</v>
      </c>
      <c r="Q949" s="14">
        <v>1.0467473902821554</v>
      </c>
      <c r="R949" s="15">
        <v>4.6747390282155431E-2</v>
      </c>
    </row>
    <row r="950" spans="1:18" ht="18" customHeight="1">
      <c r="A950" s="10" t="s">
        <v>111</v>
      </c>
      <c r="B950" s="10" t="s">
        <v>112</v>
      </c>
      <c r="C950" s="10" t="s">
        <v>254</v>
      </c>
      <c r="D950" s="10" t="s">
        <v>277</v>
      </c>
      <c r="E950" s="16">
        <v>2</v>
      </c>
      <c r="F950" s="16">
        <v>2</v>
      </c>
      <c r="G950" s="13">
        <v>40139.163427211599</v>
      </c>
      <c r="H950" s="13">
        <v>40139.163427211599</v>
      </c>
      <c r="I950" s="14">
        <v>0</v>
      </c>
      <c r="J950" s="15">
        <v>1</v>
      </c>
      <c r="K950" s="14">
        <v>264.99122245886787</v>
      </c>
      <c r="L950" s="13">
        <v>10636525.985053083</v>
      </c>
      <c r="M950" s="14">
        <v>3.4196502530631414</v>
      </c>
      <c r="N950" s="14">
        <v>262.81506316898555</v>
      </c>
      <c r="O950" s="13">
        <v>10549176.77167285</v>
      </c>
      <c r="P950" s="13">
        <v>87349.213380232453</v>
      </c>
      <c r="Q950" s="14">
        <v>1.0082801924046612</v>
      </c>
      <c r="R950" s="15">
        <v>8.2801924046610638E-3</v>
      </c>
    </row>
    <row r="951" spans="1:18" ht="18" customHeight="1">
      <c r="A951" s="10" t="s">
        <v>111</v>
      </c>
      <c r="B951" s="10" t="s">
        <v>112</v>
      </c>
      <c r="C951" s="10" t="s">
        <v>254</v>
      </c>
      <c r="D951" s="10" t="s">
        <v>256</v>
      </c>
      <c r="E951" s="16">
        <v>1</v>
      </c>
      <c r="F951" s="16">
        <v>1</v>
      </c>
      <c r="G951" s="13">
        <v>64.343582759</v>
      </c>
      <c r="H951" s="13">
        <v>64.343582759</v>
      </c>
      <c r="I951" s="14">
        <v>0</v>
      </c>
      <c r="J951" s="15">
        <v>1</v>
      </c>
      <c r="K951" s="14">
        <v>2238.7211385683377</v>
      </c>
      <c r="L951" s="13">
        <v>144047.33885379453</v>
      </c>
      <c r="M951" s="14">
        <v>4.3499999999999996</v>
      </c>
      <c r="N951" s="14">
        <v>2238.7211385683377</v>
      </c>
      <c r="O951" s="13">
        <v>144047.33885379453</v>
      </c>
      <c r="P951" s="13">
        <v>0</v>
      </c>
      <c r="Q951" s="14">
        <v>1</v>
      </c>
      <c r="R951" s="15">
        <v>0</v>
      </c>
    </row>
    <row r="952" spans="1:18" ht="18" customHeight="1">
      <c r="A952" s="10" t="s">
        <v>111</v>
      </c>
      <c r="B952" s="10" t="s">
        <v>112</v>
      </c>
      <c r="C952" s="10" t="s">
        <v>254</v>
      </c>
      <c r="D952" s="10" t="s">
        <v>258</v>
      </c>
      <c r="E952" s="16">
        <v>6</v>
      </c>
      <c r="F952" s="16">
        <v>6</v>
      </c>
      <c r="G952" s="13">
        <v>7457.1659083083996</v>
      </c>
      <c r="H952" s="13">
        <v>7457.1659083083996</v>
      </c>
      <c r="I952" s="14">
        <v>0</v>
      </c>
      <c r="J952" s="15">
        <v>1</v>
      </c>
      <c r="K952" s="14">
        <v>27.919443836923477</v>
      </c>
      <c r="L952" s="13">
        <v>208199.92475963681</v>
      </c>
      <c r="M952" s="14">
        <v>2.0882696099426026</v>
      </c>
      <c r="N952" s="14">
        <v>12.253766768269454</v>
      </c>
      <c r="O952" s="13">
        <v>91378.371792701364</v>
      </c>
      <c r="P952" s="13">
        <v>116821.55296693544</v>
      </c>
      <c r="Q952" s="14">
        <v>2.2784376726689093</v>
      </c>
      <c r="R952" s="15">
        <v>1.2784376726689093</v>
      </c>
    </row>
    <row r="953" spans="1:18" ht="18" customHeight="1">
      <c r="A953" s="10" t="s">
        <v>111</v>
      </c>
      <c r="B953" s="10" t="s">
        <v>112</v>
      </c>
      <c r="C953" s="10" t="s">
        <v>254</v>
      </c>
      <c r="D953" s="10" t="s">
        <v>259</v>
      </c>
      <c r="E953" s="16">
        <v>2</v>
      </c>
      <c r="F953" s="16">
        <v>2</v>
      </c>
      <c r="G953" s="13">
        <v>237.02161496639999</v>
      </c>
      <c r="H953" s="13">
        <v>237.02161496639999</v>
      </c>
      <c r="I953" s="14">
        <v>0</v>
      </c>
      <c r="J953" s="15">
        <v>1</v>
      </c>
      <c r="K953" s="14">
        <v>2315.1625112670963</v>
      </c>
      <c r="L953" s="13">
        <v>548743.55733019335</v>
      </c>
      <c r="M953" s="14">
        <v>4.3624152725216518</v>
      </c>
      <c r="N953" s="14">
        <v>2303.6435092673833</v>
      </c>
      <c r="O953" s="13">
        <v>546013.30487342016</v>
      </c>
      <c r="P953" s="13">
        <v>2730.2524567731889</v>
      </c>
      <c r="Q953" s="14">
        <v>1.0050003405272443</v>
      </c>
      <c r="R953" s="15">
        <v>5.0003405272443522E-3</v>
      </c>
    </row>
    <row r="954" spans="1:18" ht="18" customHeight="1">
      <c r="A954" s="10" t="s">
        <v>111</v>
      </c>
      <c r="B954" s="10" t="s">
        <v>112</v>
      </c>
      <c r="C954" s="10" t="s">
        <v>254</v>
      </c>
      <c r="D954" s="10" t="s">
        <v>261</v>
      </c>
      <c r="E954" s="16">
        <v>14</v>
      </c>
      <c r="F954" s="16">
        <v>14</v>
      </c>
      <c r="G954" s="13">
        <v>16039.875947143697</v>
      </c>
      <c r="H954" s="13">
        <v>16039.875947143697</v>
      </c>
      <c r="I954" s="14">
        <v>0</v>
      </c>
      <c r="J954" s="15">
        <v>1</v>
      </c>
      <c r="K954" s="14">
        <v>2443.8682852196066</v>
      </c>
      <c r="L954" s="13">
        <v>39199344.12608128</v>
      </c>
      <c r="M954" s="14">
        <v>4.3847569506791428</v>
      </c>
      <c r="N954" s="14">
        <v>2425.2524427139606</v>
      </c>
      <c r="O954" s="13">
        <v>38900748.32163915</v>
      </c>
      <c r="P954" s="13">
        <v>298595.80444213003</v>
      </c>
      <c r="Q954" s="14">
        <v>1.0076758370294905</v>
      </c>
      <c r="R954" s="15">
        <v>7.6758370294905467E-3</v>
      </c>
    </row>
    <row r="955" spans="1:18" ht="18" customHeight="1">
      <c r="A955" s="10" t="s">
        <v>111</v>
      </c>
      <c r="B955" s="10" t="s">
        <v>112</v>
      </c>
      <c r="C955" s="10" t="s">
        <v>254</v>
      </c>
      <c r="D955" s="10" t="s">
        <v>262</v>
      </c>
      <c r="E955" s="16">
        <v>3</v>
      </c>
      <c r="F955" s="16">
        <v>3</v>
      </c>
      <c r="G955" s="13">
        <v>1758.8844647772999</v>
      </c>
      <c r="H955" s="13">
        <v>1758.8844647772999</v>
      </c>
      <c r="I955" s="14">
        <v>0</v>
      </c>
      <c r="J955" s="15">
        <v>1</v>
      </c>
      <c r="K955" s="14">
        <v>294.79031431024129</v>
      </c>
      <c r="L955" s="13">
        <v>518502.1042071007</v>
      </c>
      <c r="M955" s="14">
        <v>3.4383298745066844</v>
      </c>
      <c r="N955" s="14">
        <v>274.36573643646824</v>
      </c>
      <c r="O955" s="13">
        <v>482577.63148528716</v>
      </c>
      <c r="P955" s="13">
        <v>35924.472721813538</v>
      </c>
      <c r="Q955" s="14">
        <v>1.0744428883105179</v>
      </c>
      <c r="R955" s="15">
        <v>7.4442888310517985E-2</v>
      </c>
    </row>
    <row r="956" spans="1:18" ht="18" customHeight="1">
      <c r="A956" s="10" t="s">
        <v>111</v>
      </c>
      <c r="B956" s="10" t="s">
        <v>112</v>
      </c>
      <c r="C956" s="10" t="s">
        <v>254</v>
      </c>
      <c r="D956" s="10" t="s">
        <v>263</v>
      </c>
      <c r="E956" s="16">
        <v>4</v>
      </c>
      <c r="F956" s="16">
        <v>4</v>
      </c>
      <c r="G956" s="13">
        <v>3550.1292126048002</v>
      </c>
      <c r="H956" s="13">
        <v>3550.1292126048002</v>
      </c>
      <c r="I956" s="14">
        <v>0</v>
      </c>
      <c r="J956" s="15">
        <v>1</v>
      </c>
      <c r="K956" s="14">
        <v>395.61518053179168</v>
      </c>
      <c r="L956" s="13">
        <v>1404485.0093558354</v>
      </c>
      <c r="M956" s="14">
        <v>3.5564726701695224</v>
      </c>
      <c r="N956" s="14">
        <v>360.14108626947149</v>
      </c>
      <c r="O956" s="13">
        <v>1278547.3910244762</v>
      </c>
      <c r="P956" s="13">
        <v>125937.61833135923</v>
      </c>
      <c r="Q956" s="14">
        <v>1.0985005477430507</v>
      </c>
      <c r="R956" s="15">
        <v>9.8500547743050629E-2</v>
      </c>
    </row>
    <row r="957" spans="1:18" ht="18" customHeight="1">
      <c r="A957" s="10" t="s">
        <v>111</v>
      </c>
      <c r="B957" s="10" t="s">
        <v>112</v>
      </c>
      <c r="C957" s="10" t="s">
        <v>254</v>
      </c>
      <c r="D957" s="10" t="s">
        <v>264</v>
      </c>
      <c r="E957" s="16">
        <v>7</v>
      </c>
      <c r="F957" s="16">
        <v>7</v>
      </c>
      <c r="G957" s="13">
        <v>7543.8364159836001</v>
      </c>
      <c r="H957" s="13">
        <v>7543.8364159836001</v>
      </c>
      <c r="I957" s="14">
        <v>0</v>
      </c>
      <c r="J957" s="15">
        <v>1</v>
      </c>
      <c r="K957" s="14">
        <v>1426.0116782202895</v>
      </c>
      <c r="L957" s="13">
        <v>10757598.827776108</v>
      </c>
      <c r="M957" s="14">
        <v>4.1198215506971438</v>
      </c>
      <c r="N957" s="14">
        <v>1317.7151851115564</v>
      </c>
      <c r="O957" s="13">
        <v>9940627.7993391287</v>
      </c>
      <c r="P957" s="13">
        <v>816971.02843697928</v>
      </c>
      <c r="Q957" s="14">
        <v>1.0821850535930229</v>
      </c>
      <c r="R957" s="15">
        <v>8.2185053593022875E-2</v>
      </c>
    </row>
    <row r="958" spans="1:18" ht="18" customHeight="1">
      <c r="A958" s="10" t="s">
        <v>111</v>
      </c>
      <c r="B958" s="10" t="s">
        <v>112</v>
      </c>
      <c r="C958" s="10" t="s">
        <v>254</v>
      </c>
      <c r="D958" s="10" t="s">
        <v>265</v>
      </c>
      <c r="E958" s="16">
        <v>11</v>
      </c>
      <c r="F958" s="16">
        <v>11</v>
      </c>
      <c r="G958" s="13">
        <v>20330.6246877903</v>
      </c>
      <c r="H958" s="13">
        <v>20330.6246877903</v>
      </c>
      <c r="I958" s="14">
        <v>0</v>
      </c>
      <c r="J958" s="15">
        <v>1</v>
      </c>
      <c r="K958" s="14">
        <v>500.62337714488501</v>
      </c>
      <c r="L958" s="13">
        <v>10177985.990666753</v>
      </c>
      <c r="M958" s="14">
        <v>3.534668781701106</v>
      </c>
      <c r="N958" s="14">
        <v>342.50647150276092</v>
      </c>
      <c r="O958" s="13">
        <v>6963370.5252619758</v>
      </c>
      <c r="P958" s="13">
        <v>3214615.4654047769</v>
      </c>
      <c r="Q958" s="14">
        <v>1.4616464761917629</v>
      </c>
      <c r="R958" s="15">
        <v>0.46164647619176297</v>
      </c>
    </row>
    <row r="959" spans="1:18" ht="18" customHeight="1">
      <c r="A959" s="10" t="s">
        <v>111</v>
      </c>
      <c r="B959" s="10" t="s">
        <v>112</v>
      </c>
      <c r="C959" s="10" t="s">
        <v>254</v>
      </c>
      <c r="D959" s="10" t="s">
        <v>268</v>
      </c>
      <c r="E959" s="16">
        <v>3</v>
      </c>
      <c r="F959" s="16">
        <v>3</v>
      </c>
      <c r="G959" s="13">
        <v>8046.0923318461</v>
      </c>
      <c r="H959" s="13">
        <v>8046.0923318461</v>
      </c>
      <c r="I959" s="14">
        <v>0</v>
      </c>
      <c r="J959" s="15">
        <v>1</v>
      </c>
      <c r="K959" s="14">
        <v>1813.6171813478115</v>
      </c>
      <c r="L959" s="13">
        <v>14592531.295746963</v>
      </c>
      <c r="M959" s="14">
        <v>3.9140332555183339</v>
      </c>
      <c r="N959" s="14">
        <v>820.41436405582795</v>
      </c>
      <c r="O959" s="13">
        <v>6601129.723565992</v>
      </c>
      <c r="P959" s="13">
        <v>7991401.5721809715</v>
      </c>
      <c r="Q959" s="14">
        <v>2.2106111994211712</v>
      </c>
      <c r="R959" s="15">
        <v>1.2106111994211715</v>
      </c>
    </row>
    <row r="960" spans="1:18" ht="18" customHeight="1">
      <c r="A960" s="10" t="s">
        <v>111</v>
      </c>
      <c r="B960" s="10" t="s">
        <v>112</v>
      </c>
      <c r="C960" s="10" t="s">
        <v>254</v>
      </c>
      <c r="D960" s="10" t="s">
        <v>269</v>
      </c>
      <c r="E960" s="16">
        <v>10</v>
      </c>
      <c r="F960" s="16">
        <v>10</v>
      </c>
      <c r="G960" s="13">
        <v>202312.70826489801</v>
      </c>
      <c r="H960" s="13">
        <v>202312.70826489801</v>
      </c>
      <c r="I960" s="14">
        <v>0</v>
      </c>
      <c r="J960" s="15">
        <v>1</v>
      </c>
      <c r="K960" s="14">
        <v>324.88295683769013</v>
      </c>
      <c r="L960" s="13">
        <v>65727950.866941057</v>
      </c>
      <c r="M960" s="14">
        <v>3.4033307855857986</v>
      </c>
      <c r="N960" s="14">
        <v>253.12252003583853</v>
      </c>
      <c r="O960" s="13">
        <v>51209902.551286407</v>
      </c>
      <c r="P960" s="13">
        <v>14518048.31565465</v>
      </c>
      <c r="Q960" s="14">
        <v>1.2835007995009347</v>
      </c>
      <c r="R960" s="15">
        <v>0.28350079950093465</v>
      </c>
    </row>
    <row r="961" spans="1:18" ht="18" customHeight="1">
      <c r="A961" s="10" t="s">
        <v>111</v>
      </c>
      <c r="B961" s="10" t="s">
        <v>112</v>
      </c>
      <c r="C961" s="10" t="s">
        <v>254</v>
      </c>
      <c r="D961" s="10" t="s">
        <v>270</v>
      </c>
      <c r="E961" s="16">
        <v>9</v>
      </c>
      <c r="F961" s="16">
        <v>9</v>
      </c>
      <c r="G961" s="13">
        <v>83202.218587580399</v>
      </c>
      <c r="H961" s="13">
        <v>83202.218587580399</v>
      </c>
      <c r="I961" s="14">
        <v>0</v>
      </c>
      <c r="J961" s="15">
        <v>1</v>
      </c>
      <c r="K961" s="14">
        <v>204.8217031239283</v>
      </c>
      <c r="L961" s="13">
        <v>17041620.114797581</v>
      </c>
      <c r="M961" s="14">
        <v>3.0642112935009482</v>
      </c>
      <c r="N961" s="14">
        <v>115.93412631461582</v>
      </c>
      <c r="O961" s="13">
        <v>9645976.5193888228</v>
      </c>
      <c r="P961" s="13">
        <v>7395643.5954087581</v>
      </c>
      <c r="Q961" s="14">
        <v>1.7667076091822533</v>
      </c>
      <c r="R961" s="15">
        <v>0.76670760918225334</v>
      </c>
    </row>
    <row r="962" spans="1:18" ht="18" customHeight="1">
      <c r="A962" s="10" t="s">
        <v>111</v>
      </c>
      <c r="B962" s="10" t="s">
        <v>112</v>
      </c>
      <c r="C962" s="10" t="s">
        <v>254</v>
      </c>
      <c r="D962" s="10" t="s">
        <v>276</v>
      </c>
      <c r="E962" s="16">
        <v>15</v>
      </c>
      <c r="F962" s="16">
        <v>15</v>
      </c>
      <c r="G962" s="13">
        <v>15593.484553020098</v>
      </c>
      <c r="H962" s="13">
        <v>15593.484553020098</v>
      </c>
      <c r="I962" s="14">
        <v>0</v>
      </c>
      <c r="J962" s="15">
        <v>1</v>
      </c>
      <c r="K962" s="14">
        <v>883.41374929205767</v>
      </c>
      <c r="L962" s="13">
        <v>13775498.653511271</v>
      </c>
      <c r="M962" s="14">
        <v>3.8357793112385026</v>
      </c>
      <c r="N962" s="14">
        <v>685.13998091000383</v>
      </c>
      <c r="O962" s="13">
        <v>10683719.70897663</v>
      </c>
      <c r="P962" s="13">
        <v>3091778.9445346408</v>
      </c>
      <c r="Q962" s="14">
        <v>1.2893916190946941</v>
      </c>
      <c r="R962" s="15">
        <v>0.28939161909469407</v>
      </c>
    </row>
    <row r="963" spans="1:18" ht="18" customHeight="1">
      <c r="A963" s="10" t="s">
        <v>111</v>
      </c>
      <c r="B963" s="10" t="s">
        <v>112</v>
      </c>
      <c r="C963" s="10" t="s">
        <v>254</v>
      </c>
      <c r="D963" s="10" t="s">
        <v>271</v>
      </c>
      <c r="E963" s="16">
        <v>12</v>
      </c>
      <c r="F963" s="16">
        <v>12</v>
      </c>
      <c r="G963" s="13">
        <v>14833.2768384021</v>
      </c>
      <c r="H963" s="13">
        <v>14833.2768384021</v>
      </c>
      <c r="I963" s="14">
        <v>0</v>
      </c>
      <c r="J963" s="15">
        <v>1</v>
      </c>
      <c r="K963" s="14">
        <v>41.002150737684389</v>
      </c>
      <c r="L963" s="13">
        <v>608196.25286196545</v>
      </c>
      <c r="M963" s="14">
        <v>2.3290801844100728</v>
      </c>
      <c r="N963" s="14">
        <v>21.334387766321072</v>
      </c>
      <c r="O963" s="13">
        <v>316458.87991565949</v>
      </c>
      <c r="P963" s="13">
        <v>291737.37294630596</v>
      </c>
      <c r="Q963" s="14">
        <v>1.9218808238974296</v>
      </c>
      <c r="R963" s="15">
        <v>0.92188082389742976</v>
      </c>
    </row>
    <row r="964" spans="1:18" ht="18" customHeight="1">
      <c r="A964" s="10" t="s">
        <v>111</v>
      </c>
      <c r="B964" s="10" t="s">
        <v>112</v>
      </c>
      <c r="C964" s="10" t="s">
        <v>254</v>
      </c>
      <c r="D964" s="10" t="s">
        <v>272</v>
      </c>
      <c r="E964" s="16">
        <v>9</v>
      </c>
      <c r="F964" s="16">
        <v>9</v>
      </c>
      <c r="G964" s="13">
        <v>26997.070438496601</v>
      </c>
      <c r="H964" s="13">
        <v>26997.070438496601</v>
      </c>
      <c r="I964" s="14">
        <v>0</v>
      </c>
      <c r="J964" s="15">
        <v>1</v>
      </c>
      <c r="K964" s="14">
        <v>85.327113614147081</v>
      </c>
      <c r="L964" s="13">
        <v>2303582.096554731</v>
      </c>
      <c r="M964" s="14">
        <v>2.8023696708991848</v>
      </c>
      <c r="N964" s="14">
        <v>63.440949002914849</v>
      </c>
      <c r="O964" s="13">
        <v>1712719.7689167629</v>
      </c>
      <c r="P964" s="13">
        <v>590862.32763796812</v>
      </c>
      <c r="Q964" s="14">
        <v>1.3449848237646422</v>
      </c>
      <c r="R964" s="15">
        <v>0.34498482376464218</v>
      </c>
    </row>
    <row r="965" spans="1:18" ht="18" customHeight="1">
      <c r="A965" s="10" t="s">
        <v>111</v>
      </c>
      <c r="B965" s="10" t="s">
        <v>112</v>
      </c>
      <c r="C965" s="10" t="s">
        <v>254</v>
      </c>
      <c r="D965" s="10" t="s">
        <v>283</v>
      </c>
      <c r="E965" s="16">
        <v>2</v>
      </c>
      <c r="F965" s="16">
        <v>2</v>
      </c>
      <c r="G965" s="13">
        <v>2348.5580010139001</v>
      </c>
      <c r="H965" s="13">
        <v>2348.5580010139001</v>
      </c>
      <c r="I965" s="14">
        <v>0</v>
      </c>
      <c r="J965" s="15">
        <v>1</v>
      </c>
      <c r="K965" s="14">
        <v>485.14068253890304</v>
      </c>
      <c r="L965" s="13">
        <v>1139381.0315940853</v>
      </c>
      <c r="M965" s="14">
        <v>3.6022389648910118</v>
      </c>
      <c r="N965" s="14">
        <v>400.16487471358164</v>
      </c>
      <c r="O965" s="13">
        <v>939810.41823330708</v>
      </c>
      <c r="P965" s="13">
        <v>199570.6133607782</v>
      </c>
      <c r="Q965" s="14">
        <v>1.2123519908791169</v>
      </c>
      <c r="R965" s="15">
        <v>0.21235199087911683</v>
      </c>
    </row>
    <row r="966" spans="1:18" ht="18" customHeight="1">
      <c r="A966" s="10" t="s">
        <v>111</v>
      </c>
      <c r="B966" s="10" t="s">
        <v>112</v>
      </c>
      <c r="C966" s="10" t="s">
        <v>254</v>
      </c>
      <c r="D966" s="10" t="s">
        <v>278</v>
      </c>
      <c r="E966" s="16">
        <v>2</v>
      </c>
      <c r="F966" s="16">
        <v>2</v>
      </c>
      <c r="G966" s="13">
        <v>25100.860054929399</v>
      </c>
      <c r="H966" s="13">
        <v>25100.860054929399</v>
      </c>
      <c r="I966" s="14">
        <v>0</v>
      </c>
      <c r="J966" s="15">
        <v>1</v>
      </c>
      <c r="K966" s="14">
        <v>612.33436212243475</v>
      </c>
      <c r="L966" s="13">
        <v>15370119.130459696</v>
      </c>
      <c r="M966" s="14">
        <v>3.7538044226527814</v>
      </c>
      <c r="N966" s="14">
        <v>567.28907860939114</v>
      </c>
      <c r="O966" s="13">
        <v>14239443.77286417</v>
      </c>
      <c r="P966" s="13">
        <v>1130675.3575955257</v>
      </c>
      <c r="Q966" s="14">
        <v>1.0794044609909716</v>
      </c>
      <c r="R966" s="15">
        <v>7.9404460990971537E-2</v>
      </c>
    </row>
    <row r="967" spans="1:18" ht="18" customHeight="1">
      <c r="A967" s="10" t="s">
        <v>111</v>
      </c>
      <c r="B967" s="10" t="s">
        <v>112</v>
      </c>
      <c r="C967" s="10" t="s">
        <v>254</v>
      </c>
      <c r="D967" s="10" t="s">
        <v>273</v>
      </c>
      <c r="E967" s="16">
        <v>11</v>
      </c>
      <c r="F967" s="16">
        <v>11</v>
      </c>
      <c r="G967" s="13">
        <v>169941.1704139635</v>
      </c>
      <c r="H967" s="13">
        <v>169941.1704139635</v>
      </c>
      <c r="I967" s="14">
        <v>0</v>
      </c>
      <c r="J967" s="15">
        <v>1</v>
      </c>
      <c r="K967" s="14">
        <v>200.70229012066466</v>
      </c>
      <c r="L967" s="13">
        <v>34107582.087868616</v>
      </c>
      <c r="M967" s="14">
        <v>2.956951847802666</v>
      </c>
      <c r="N967" s="14">
        <v>90.563218378711397</v>
      </c>
      <c r="O967" s="13">
        <v>15390419.327733584</v>
      </c>
      <c r="P967" s="13">
        <v>18717162.760135032</v>
      </c>
      <c r="Q967" s="14">
        <v>2.2161567765997541</v>
      </c>
      <c r="R967" s="15">
        <v>1.2161567765997543</v>
      </c>
    </row>
    <row r="968" spans="1:18" ht="18" customHeight="1">
      <c r="A968" s="10" t="s">
        <v>111</v>
      </c>
      <c r="B968" s="10" t="s">
        <v>112</v>
      </c>
      <c r="C968" s="10" t="s">
        <v>254</v>
      </c>
      <c r="D968" s="10" t="s">
        <v>274</v>
      </c>
      <c r="E968" s="16">
        <v>4</v>
      </c>
      <c r="F968" s="16">
        <v>4</v>
      </c>
      <c r="G968" s="13">
        <v>14274.940141704699</v>
      </c>
      <c r="H968" s="13">
        <v>14274.940141704699</v>
      </c>
      <c r="I968" s="14">
        <v>0</v>
      </c>
      <c r="J968" s="15">
        <v>1</v>
      </c>
      <c r="K968" s="14">
        <v>794.92227197997033</v>
      </c>
      <c r="L968" s="13">
        <v>11347467.849821979</v>
      </c>
      <c r="M968" s="14">
        <v>3.8015535776013145</v>
      </c>
      <c r="N968" s="14">
        <v>633.21847514723231</v>
      </c>
      <c r="O968" s="13">
        <v>9039155.8293482661</v>
      </c>
      <c r="P968" s="13">
        <v>2308312.0204737131</v>
      </c>
      <c r="Q968" s="14">
        <v>1.2553680967617686</v>
      </c>
      <c r="R968" s="15">
        <v>0.25536809676176864</v>
      </c>
    </row>
    <row r="969" spans="1:18" ht="18" customHeight="1">
      <c r="A969" s="10" t="s">
        <v>85</v>
      </c>
      <c r="B969" s="10" t="s">
        <v>86</v>
      </c>
      <c r="C969" s="10" t="s">
        <v>254</v>
      </c>
      <c r="D969" s="10" t="s">
        <v>255</v>
      </c>
      <c r="E969" s="16">
        <v>9</v>
      </c>
      <c r="F969" s="16">
        <v>9</v>
      </c>
      <c r="G969" s="13">
        <v>32439.960181065304</v>
      </c>
      <c r="H969" s="13">
        <v>32439.960181065304</v>
      </c>
      <c r="I969" s="14">
        <v>0</v>
      </c>
      <c r="J969" s="15">
        <v>1</v>
      </c>
      <c r="K969" s="14">
        <v>349.8435975007398</v>
      </c>
      <c r="L969" s="13">
        <v>11348912.372524636</v>
      </c>
      <c r="M969" s="14">
        <v>3.5405091820996764</v>
      </c>
      <c r="N969" s="14">
        <v>347.14361531685199</v>
      </c>
      <c r="O969" s="13">
        <v>11261325.05798973</v>
      </c>
      <c r="P969" s="13">
        <v>87587.314534906298</v>
      </c>
      <c r="Q969" s="14">
        <v>1.007777709468813</v>
      </c>
      <c r="R969" s="15">
        <v>7.7777094688128642E-3</v>
      </c>
    </row>
    <row r="970" spans="1:18" ht="18" customHeight="1">
      <c r="A970" s="10" t="s">
        <v>85</v>
      </c>
      <c r="B970" s="10" t="s">
        <v>86</v>
      </c>
      <c r="C970" s="10" t="s">
        <v>254</v>
      </c>
      <c r="D970" s="10" t="s">
        <v>277</v>
      </c>
      <c r="E970" s="16">
        <v>4</v>
      </c>
      <c r="F970" s="16">
        <v>4</v>
      </c>
      <c r="G970" s="13">
        <v>1391.1674149021001</v>
      </c>
      <c r="H970" s="13">
        <v>1391.1674149021001</v>
      </c>
      <c r="I970" s="14">
        <v>0</v>
      </c>
      <c r="J970" s="15">
        <v>1</v>
      </c>
      <c r="K970" s="14">
        <v>222.96299643290041</v>
      </c>
      <c r="L970" s="13">
        <v>310178.8553663842</v>
      </c>
      <c r="M970" s="14">
        <v>3.347215881364094</v>
      </c>
      <c r="N970" s="14">
        <v>222.44153398455717</v>
      </c>
      <c r="O970" s="13">
        <v>309453.41380015406</v>
      </c>
      <c r="P970" s="13">
        <v>725.44156623014715</v>
      </c>
      <c r="Q970" s="14">
        <v>1.0023442674531251</v>
      </c>
      <c r="R970" s="15">
        <v>2.3442674531250754E-3</v>
      </c>
    </row>
    <row r="971" spans="1:18" ht="18" customHeight="1">
      <c r="A971" s="10" t="s">
        <v>85</v>
      </c>
      <c r="B971" s="10" t="s">
        <v>86</v>
      </c>
      <c r="C971" s="10" t="s">
        <v>254</v>
      </c>
      <c r="D971" s="10" t="s">
        <v>256</v>
      </c>
      <c r="E971" s="16">
        <v>2</v>
      </c>
      <c r="F971" s="16">
        <v>2</v>
      </c>
      <c r="G971" s="13">
        <v>11.260100452</v>
      </c>
      <c r="H971" s="13">
        <v>11.260100452</v>
      </c>
      <c r="I971" s="14">
        <v>0</v>
      </c>
      <c r="J971" s="15">
        <v>1</v>
      </c>
      <c r="K971" s="14">
        <v>470.11924087173043</v>
      </c>
      <c r="L971" s="13">
        <v>5293.5898766336686</v>
      </c>
      <c r="M971" s="14">
        <v>3.6706506980434352</v>
      </c>
      <c r="N971" s="14">
        <v>468.43646832002582</v>
      </c>
      <c r="O971" s="13">
        <v>5274.6416886636061</v>
      </c>
      <c r="P971" s="13">
        <v>18.948187970062463</v>
      </c>
      <c r="Q971" s="14">
        <v>1.0035923175617381</v>
      </c>
      <c r="R971" s="15">
        <v>3.5923175617381536E-3</v>
      </c>
    </row>
    <row r="972" spans="1:18" ht="18" customHeight="1">
      <c r="A972" s="10" t="s">
        <v>85</v>
      </c>
      <c r="B972" s="10" t="s">
        <v>86</v>
      </c>
      <c r="C972" s="10" t="s">
        <v>254</v>
      </c>
      <c r="D972" s="10" t="s">
        <v>257</v>
      </c>
      <c r="E972" s="16">
        <v>1</v>
      </c>
      <c r="F972" s="16">
        <v>1</v>
      </c>
      <c r="G972" s="13">
        <v>10.901996807</v>
      </c>
      <c r="H972" s="13">
        <v>10.901996807</v>
      </c>
      <c r="I972" s="14">
        <v>0</v>
      </c>
      <c r="J972" s="15">
        <v>1</v>
      </c>
      <c r="K972" s="14">
        <v>2187.7616239495519</v>
      </c>
      <c r="L972" s="13">
        <v>23850.970238775149</v>
      </c>
      <c r="M972" s="14">
        <v>4.34</v>
      </c>
      <c r="N972" s="14">
        <v>2187.7616239495519</v>
      </c>
      <c r="O972" s="13">
        <v>23850.970238775149</v>
      </c>
      <c r="P972" s="13">
        <v>0</v>
      </c>
      <c r="Q972" s="14">
        <v>1</v>
      </c>
      <c r="R972" s="15">
        <v>0</v>
      </c>
    </row>
    <row r="973" spans="1:18" ht="18" customHeight="1">
      <c r="A973" s="10" t="s">
        <v>85</v>
      </c>
      <c r="B973" s="10" t="s">
        <v>86</v>
      </c>
      <c r="C973" s="10" t="s">
        <v>254</v>
      </c>
      <c r="D973" s="10" t="s">
        <v>258</v>
      </c>
      <c r="E973" s="16">
        <v>10</v>
      </c>
      <c r="F973" s="16">
        <v>10</v>
      </c>
      <c r="G973" s="13">
        <v>12792.292512708698</v>
      </c>
      <c r="H973" s="13">
        <v>12792.292512708698</v>
      </c>
      <c r="I973" s="14">
        <v>0</v>
      </c>
      <c r="J973" s="15">
        <v>1</v>
      </c>
      <c r="K973" s="14">
        <v>366.54393289466401</v>
      </c>
      <c r="L973" s="13">
        <v>4688937.2083472097</v>
      </c>
      <c r="M973" s="14">
        <v>2.6281367607736374</v>
      </c>
      <c r="N973" s="14">
        <v>42.475329911189625</v>
      </c>
      <c r="O973" s="13">
        <v>543356.8447977429</v>
      </c>
      <c r="P973" s="13">
        <v>4145580.3635494667</v>
      </c>
      <c r="Q973" s="14">
        <v>8.6295723579089216</v>
      </c>
      <c r="R973" s="15">
        <v>7.6295723579089207</v>
      </c>
    </row>
    <row r="974" spans="1:18" ht="18" customHeight="1">
      <c r="A974" s="10" t="s">
        <v>85</v>
      </c>
      <c r="B974" s="10" t="s">
        <v>86</v>
      </c>
      <c r="C974" s="10" t="s">
        <v>254</v>
      </c>
      <c r="D974" s="10" t="s">
        <v>259</v>
      </c>
      <c r="E974" s="16">
        <v>14</v>
      </c>
      <c r="F974" s="16">
        <v>14</v>
      </c>
      <c r="G974" s="13">
        <v>29039.238679292899</v>
      </c>
      <c r="H974" s="13">
        <v>29039.238679292899</v>
      </c>
      <c r="I974" s="14">
        <v>0</v>
      </c>
      <c r="J974" s="15">
        <v>1</v>
      </c>
      <c r="K974" s="14">
        <v>1004.9158795595082</v>
      </c>
      <c r="L974" s="13">
        <v>29181992.079140116</v>
      </c>
      <c r="M974" s="14">
        <v>3.9865092275520682</v>
      </c>
      <c r="N974" s="14">
        <v>969.41386643484964</v>
      </c>
      <c r="O974" s="13">
        <v>28151040.646417767</v>
      </c>
      <c r="P974" s="13">
        <v>1030951.4327223487</v>
      </c>
      <c r="Q974" s="14">
        <v>1.0366221428781723</v>
      </c>
      <c r="R974" s="15">
        <v>3.6622142878172351E-2</v>
      </c>
    </row>
    <row r="975" spans="1:18" ht="18" customHeight="1">
      <c r="A975" s="10" t="s">
        <v>85</v>
      </c>
      <c r="B975" s="10" t="s">
        <v>86</v>
      </c>
      <c r="C975" s="10" t="s">
        <v>254</v>
      </c>
      <c r="D975" s="10" t="s">
        <v>261</v>
      </c>
      <c r="E975" s="16">
        <v>31</v>
      </c>
      <c r="F975" s="16">
        <v>31</v>
      </c>
      <c r="G975" s="13">
        <v>24928.092757163002</v>
      </c>
      <c r="H975" s="13">
        <v>24928.092757163002</v>
      </c>
      <c r="I975" s="14">
        <v>0</v>
      </c>
      <c r="J975" s="15">
        <v>1</v>
      </c>
      <c r="K975" s="14">
        <v>2480.8942248416593</v>
      </c>
      <c r="L975" s="13">
        <v>61843961.357562885</v>
      </c>
      <c r="M975" s="14">
        <v>4.3806574245623775</v>
      </c>
      <c r="N975" s="14">
        <v>2402.4669645848699</v>
      </c>
      <c r="O975" s="13">
        <v>59888919.339191474</v>
      </c>
      <c r="P975" s="13">
        <v>1955042.0183714107</v>
      </c>
      <c r="Q975" s="14">
        <v>1.0326444697941315</v>
      </c>
      <c r="R975" s="15">
        <v>3.2644469794131444E-2</v>
      </c>
    </row>
    <row r="976" spans="1:18" ht="18" customHeight="1">
      <c r="A976" s="10" t="s">
        <v>85</v>
      </c>
      <c r="B976" s="10" t="s">
        <v>86</v>
      </c>
      <c r="C976" s="10" t="s">
        <v>254</v>
      </c>
      <c r="D976" s="10" t="s">
        <v>262</v>
      </c>
      <c r="E976" s="16">
        <v>7</v>
      </c>
      <c r="F976" s="16">
        <v>7</v>
      </c>
      <c r="G976" s="13">
        <v>3484.9321812237995</v>
      </c>
      <c r="H976" s="13">
        <v>3484.9321812237995</v>
      </c>
      <c r="I976" s="14">
        <v>0</v>
      </c>
      <c r="J976" s="15">
        <v>1</v>
      </c>
      <c r="K976" s="14">
        <v>274.9286644209958</v>
      </c>
      <c r="L976" s="13">
        <v>958107.75018160685</v>
      </c>
      <c r="M976" s="14">
        <v>3.4184697903790666</v>
      </c>
      <c r="N976" s="14">
        <v>262.10167137873958</v>
      </c>
      <c r="O976" s="13">
        <v>913406.54934031446</v>
      </c>
      <c r="P976" s="13">
        <v>44701.20084129239</v>
      </c>
      <c r="Q976" s="14">
        <v>1.0489389975072729</v>
      </c>
      <c r="R976" s="15">
        <v>4.8938997507272902E-2</v>
      </c>
    </row>
    <row r="977" spans="1:18" ht="18" customHeight="1">
      <c r="A977" s="10" t="s">
        <v>85</v>
      </c>
      <c r="B977" s="10" t="s">
        <v>86</v>
      </c>
      <c r="C977" s="10" t="s">
        <v>254</v>
      </c>
      <c r="D977" s="10" t="s">
        <v>263</v>
      </c>
      <c r="E977" s="16">
        <v>26</v>
      </c>
      <c r="F977" s="16">
        <v>26</v>
      </c>
      <c r="G977" s="13">
        <v>16556.790705564399</v>
      </c>
      <c r="H977" s="13">
        <v>16556.790705564399</v>
      </c>
      <c r="I977" s="14">
        <v>0</v>
      </c>
      <c r="J977" s="15">
        <v>1</v>
      </c>
      <c r="K977" s="14">
        <v>779.41794183519357</v>
      </c>
      <c r="L977" s="13">
        <v>12904659.735127067</v>
      </c>
      <c r="M977" s="14">
        <v>3.7851445408324302</v>
      </c>
      <c r="N977" s="14">
        <v>609.73979558894075</v>
      </c>
      <c r="O977" s="13">
        <v>10095334.180419711</v>
      </c>
      <c r="P977" s="13">
        <v>2809325.5547073558</v>
      </c>
      <c r="Q977" s="14">
        <v>1.2782795997141085</v>
      </c>
      <c r="R977" s="15">
        <v>0.27827959971410859</v>
      </c>
    </row>
    <row r="978" spans="1:18" ht="18" customHeight="1">
      <c r="A978" s="10" t="s">
        <v>85</v>
      </c>
      <c r="B978" s="10" t="s">
        <v>86</v>
      </c>
      <c r="C978" s="10" t="s">
        <v>254</v>
      </c>
      <c r="D978" s="10" t="s">
        <v>264</v>
      </c>
      <c r="E978" s="16">
        <v>27</v>
      </c>
      <c r="F978" s="16">
        <v>27</v>
      </c>
      <c r="G978" s="13">
        <v>8627.4456550751984</v>
      </c>
      <c r="H978" s="13">
        <v>8627.4456550751984</v>
      </c>
      <c r="I978" s="14">
        <v>0</v>
      </c>
      <c r="J978" s="15">
        <v>1</v>
      </c>
      <c r="K978" s="14">
        <v>1590.7969587432551</v>
      </c>
      <c r="L978" s="13">
        <v>13724514.309816336</v>
      </c>
      <c r="M978" s="14">
        <v>4.1749939324557781</v>
      </c>
      <c r="N978" s="14">
        <v>1496.2147522769305</v>
      </c>
      <c r="O978" s="13">
        <v>12908511.463591019</v>
      </c>
      <c r="P978" s="13">
        <v>816002.84622531757</v>
      </c>
      <c r="Q978" s="14">
        <v>1.0632143255654911</v>
      </c>
      <c r="R978" s="15">
        <v>6.321432556549117E-2</v>
      </c>
    </row>
    <row r="979" spans="1:18" ht="18" customHeight="1">
      <c r="A979" s="10" t="s">
        <v>85</v>
      </c>
      <c r="B979" s="10" t="s">
        <v>86</v>
      </c>
      <c r="C979" s="10" t="s">
        <v>254</v>
      </c>
      <c r="D979" s="10" t="s">
        <v>265</v>
      </c>
      <c r="E979" s="16">
        <v>21</v>
      </c>
      <c r="F979" s="16">
        <v>21</v>
      </c>
      <c r="G979" s="13">
        <v>49996.948979357498</v>
      </c>
      <c r="H979" s="13">
        <v>49996.948979357498</v>
      </c>
      <c r="I979" s="14">
        <v>0</v>
      </c>
      <c r="J979" s="15">
        <v>1</v>
      </c>
      <c r="K979" s="14">
        <v>887.86356873420391</v>
      </c>
      <c r="L979" s="13">
        <v>44390469.546634264</v>
      </c>
      <c r="M979" s="14">
        <v>3.9044725864610355</v>
      </c>
      <c r="N979" s="14">
        <v>802.5509006508571</v>
      </c>
      <c r="O979" s="13">
        <v>40125096.433178313</v>
      </c>
      <c r="P979" s="13">
        <v>4265373.1134559512</v>
      </c>
      <c r="Q979" s="14">
        <v>1.1063018781913514</v>
      </c>
      <c r="R979" s="15">
        <v>0.10630187819135144</v>
      </c>
    </row>
    <row r="980" spans="1:18" ht="18" customHeight="1">
      <c r="A980" s="10" t="s">
        <v>85</v>
      </c>
      <c r="B980" s="10" t="s">
        <v>86</v>
      </c>
      <c r="C980" s="10" t="s">
        <v>254</v>
      </c>
      <c r="D980" s="10" t="s">
        <v>266</v>
      </c>
      <c r="E980" s="16">
        <v>3</v>
      </c>
      <c r="F980" s="16">
        <v>3</v>
      </c>
      <c r="G980" s="13">
        <v>49.203222537199998</v>
      </c>
      <c r="H980" s="13">
        <v>49.203222537199998</v>
      </c>
      <c r="I980" s="14">
        <v>0</v>
      </c>
      <c r="J980" s="15">
        <v>1</v>
      </c>
      <c r="K980" s="14">
        <v>1081.3875015935057</v>
      </c>
      <c r="L980" s="13">
        <v>53207.749889851977</v>
      </c>
      <c r="M980" s="14">
        <v>3.9427279969633391</v>
      </c>
      <c r="N980" s="14">
        <v>876.45171861097856</v>
      </c>
      <c r="O980" s="13">
        <v>43124.248953927374</v>
      </c>
      <c r="P980" s="13">
        <v>10083.500935924603</v>
      </c>
      <c r="Q980" s="14">
        <v>1.2338243837405147</v>
      </c>
      <c r="R980" s="15">
        <v>0.23382438374051467</v>
      </c>
    </row>
    <row r="981" spans="1:18" ht="18" customHeight="1">
      <c r="A981" s="10" t="s">
        <v>85</v>
      </c>
      <c r="B981" s="10" t="s">
        <v>86</v>
      </c>
      <c r="C981" s="10" t="s">
        <v>254</v>
      </c>
      <c r="D981" s="10" t="s">
        <v>268</v>
      </c>
      <c r="E981" s="16">
        <v>12</v>
      </c>
      <c r="F981" s="16">
        <v>12</v>
      </c>
      <c r="G981" s="13">
        <v>20945.236180438496</v>
      </c>
      <c r="H981" s="13">
        <v>20945.236180438496</v>
      </c>
      <c r="I981" s="14">
        <v>0</v>
      </c>
      <c r="J981" s="15">
        <v>1</v>
      </c>
      <c r="K981" s="14">
        <v>211.15652811965569</v>
      </c>
      <c r="L981" s="13">
        <v>4422723.3525075912</v>
      </c>
      <c r="M981" s="14">
        <v>3.0276039665062471</v>
      </c>
      <c r="N981" s="14">
        <v>106.56239346899419</v>
      </c>
      <c r="O981" s="13">
        <v>2231974.4991608998</v>
      </c>
      <c r="P981" s="13">
        <v>2190748.8533466915</v>
      </c>
      <c r="Q981" s="14">
        <v>1.9815295175506231</v>
      </c>
      <c r="R981" s="15">
        <v>0.98152951755062301</v>
      </c>
    </row>
    <row r="982" spans="1:18" ht="18" customHeight="1">
      <c r="A982" s="10" t="s">
        <v>85</v>
      </c>
      <c r="B982" s="10" t="s">
        <v>86</v>
      </c>
      <c r="C982" s="10" t="s">
        <v>254</v>
      </c>
      <c r="D982" s="10" t="s">
        <v>269</v>
      </c>
      <c r="E982" s="16">
        <v>33</v>
      </c>
      <c r="F982" s="16">
        <v>33</v>
      </c>
      <c r="G982" s="13">
        <v>364107.47405114747</v>
      </c>
      <c r="H982" s="13">
        <v>364107.47405114747</v>
      </c>
      <c r="I982" s="14">
        <v>0</v>
      </c>
      <c r="J982" s="15">
        <v>1</v>
      </c>
      <c r="K982" s="14">
        <v>369.97931964364989</v>
      </c>
      <c r="L982" s="13">
        <v>134712235.52661145</v>
      </c>
      <c r="M982" s="14">
        <v>3.4279537554405328</v>
      </c>
      <c r="N982" s="14">
        <v>267.88830567165894</v>
      </c>
      <c r="O982" s="13">
        <v>97540134.30594942</v>
      </c>
      <c r="P982" s="13">
        <v>37172101.220662028</v>
      </c>
      <c r="Q982" s="14">
        <v>1.3810954484034859</v>
      </c>
      <c r="R982" s="15">
        <v>0.38109544840348586</v>
      </c>
    </row>
    <row r="983" spans="1:18" ht="18" customHeight="1">
      <c r="A983" s="10" t="s">
        <v>85</v>
      </c>
      <c r="B983" s="10" t="s">
        <v>86</v>
      </c>
      <c r="C983" s="10" t="s">
        <v>254</v>
      </c>
      <c r="D983" s="10" t="s">
        <v>270</v>
      </c>
      <c r="E983" s="16">
        <v>19</v>
      </c>
      <c r="F983" s="16">
        <v>19</v>
      </c>
      <c r="G983" s="13">
        <v>174280.20743844478</v>
      </c>
      <c r="H983" s="13">
        <v>174280.20743844478</v>
      </c>
      <c r="I983" s="14">
        <v>0</v>
      </c>
      <c r="J983" s="15">
        <v>1</v>
      </c>
      <c r="K983" s="14">
        <v>367.44321696477556</v>
      </c>
      <c r="L983" s="13">
        <v>64038080.074470557</v>
      </c>
      <c r="M983" s="14">
        <v>2.5101545249634309</v>
      </c>
      <c r="N983" s="14">
        <v>32.370881426388259</v>
      </c>
      <c r="O983" s="13">
        <v>5641603.9299562452</v>
      </c>
      <c r="P983" s="13">
        <v>58396476.144514315</v>
      </c>
      <c r="Q983" s="14">
        <v>11.351041453731975</v>
      </c>
      <c r="R983" s="15">
        <v>10.351041453731975</v>
      </c>
    </row>
    <row r="984" spans="1:18" ht="18" customHeight="1">
      <c r="A984" s="10" t="s">
        <v>85</v>
      </c>
      <c r="B984" s="10" t="s">
        <v>86</v>
      </c>
      <c r="C984" s="10" t="s">
        <v>254</v>
      </c>
      <c r="D984" s="10" t="s">
        <v>276</v>
      </c>
      <c r="E984" s="16">
        <v>66</v>
      </c>
      <c r="F984" s="16">
        <v>66</v>
      </c>
      <c r="G984" s="13">
        <v>73891.016900896284</v>
      </c>
      <c r="H984" s="13">
        <v>73891.016900896284</v>
      </c>
      <c r="I984" s="14">
        <v>0</v>
      </c>
      <c r="J984" s="15">
        <v>1</v>
      </c>
      <c r="K984" s="14">
        <v>1104.8227187621533</v>
      </c>
      <c r="L984" s="13">
        <v>81636474.184548452</v>
      </c>
      <c r="M984" s="14">
        <v>3.9591549233341401</v>
      </c>
      <c r="N984" s="14">
        <v>910.23791858095876</v>
      </c>
      <c r="O984" s="13">
        <v>67258405.425702274</v>
      </c>
      <c r="P984" s="13">
        <v>14378068.758846179</v>
      </c>
      <c r="Q984" s="14">
        <v>1.2137735598672357</v>
      </c>
      <c r="R984" s="15">
        <v>0.21377355986723576</v>
      </c>
    </row>
    <row r="985" spans="1:18" ht="18" customHeight="1">
      <c r="A985" s="10" t="s">
        <v>85</v>
      </c>
      <c r="B985" s="10" t="s">
        <v>86</v>
      </c>
      <c r="C985" s="10" t="s">
        <v>254</v>
      </c>
      <c r="D985" s="10" t="s">
        <v>271</v>
      </c>
      <c r="E985" s="16">
        <v>45</v>
      </c>
      <c r="F985" s="16">
        <v>45</v>
      </c>
      <c r="G985" s="13">
        <v>96781.758235471891</v>
      </c>
      <c r="H985" s="13">
        <v>96781.758235471891</v>
      </c>
      <c r="I985" s="14">
        <v>0</v>
      </c>
      <c r="J985" s="15">
        <v>1</v>
      </c>
      <c r="K985" s="14">
        <v>19.292051648078733</v>
      </c>
      <c r="L985" s="13">
        <v>1867118.6784705929</v>
      </c>
      <c r="M985" s="14">
        <v>2.1345278277135655</v>
      </c>
      <c r="N985" s="14">
        <v>13.631003449890223</v>
      </c>
      <c r="O985" s="13">
        <v>1319232.4803941587</v>
      </c>
      <c r="P985" s="13">
        <v>547886.1980764342</v>
      </c>
      <c r="Q985" s="14">
        <v>1.415306783466048</v>
      </c>
      <c r="R985" s="15">
        <v>0.41530678346604794</v>
      </c>
    </row>
    <row r="986" spans="1:18" ht="18" customHeight="1">
      <c r="A986" s="10" t="s">
        <v>85</v>
      </c>
      <c r="B986" s="10" t="s">
        <v>86</v>
      </c>
      <c r="C986" s="10" t="s">
        <v>254</v>
      </c>
      <c r="D986" s="10" t="s">
        <v>272</v>
      </c>
      <c r="E986" s="16">
        <v>14</v>
      </c>
      <c r="F986" s="16">
        <v>14</v>
      </c>
      <c r="G986" s="13">
        <v>141753.47057087431</v>
      </c>
      <c r="H986" s="13">
        <v>141753.47057087431</v>
      </c>
      <c r="I986" s="14">
        <v>0</v>
      </c>
      <c r="J986" s="15">
        <v>1</v>
      </c>
      <c r="K986" s="14">
        <v>74.620347352239079</v>
      </c>
      <c r="L986" s="13">
        <v>10577693.212384041</v>
      </c>
      <c r="M986" s="14">
        <v>2.8335383020657581</v>
      </c>
      <c r="N986" s="14">
        <v>68.161368615363628</v>
      </c>
      <c r="O986" s="13">
        <v>9662110.560088465</v>
      </c>
      <c r="P986" s="13">
        <v>915582.65229557641</v>
      </c>
      <c r="Q986" s="14">
        <v>1.0947601092537274</v>
      </c>
      <c r="R986" s="15">
        <v>9.4760109253727423E-2</v>
      </c>
    </row>
    <row r="987" spans="1:18" ht="18" customHeight="1">
      <c r="A987" s="10" t="s">
        <v>85</v>
      </c>
      <c r="B987" s="10" t="s">
        <v>86</v>
      </c>
      <c r="C987" s="10" t="s">
        <v>254</v>
      </c>
      <c r="D987" s="10" t="s">
        <v>283</v>
      </c>
      <c r="E987" s="16">
        <v>4</v>
      </c>
      <c r="F987" s="16">
        <v>4</v>
      </c>
      <c r="G987" s="13">
        <v>2209.0179212141002</v>
      </c>
      <c r="H987" s="13">
        <v>2209.0179212141002</v>
      </c>
      <c r="I987" s="14">
        <v>0</v>
      </c>
      <c r="J987" s="15">
        <v>1</v>
      </c>
      <c r="K987" s="14">
        <v>195.90120176754004</v>
      </c>
      <c r="L987" s="13">
        <v>432749.2654918753</v>
      </c>
      <c r="M987" s="14">
        <v>3.1480266642967929</v>
      </c>
      <c r="N987" s="14">
        <v>140.61338536160031</v>
      </c>
      <c r="O987" s="13">
        <v>310617.48822635948</v>
      </c>
      <c r="P987" s="13">
        <v>122131.77726551582</v>
      </c>
      <c r="Q987" s="14">
        <v>1.3931902803119491</v>
      </c>
      <c r="R987" s="15">
        <v>0.39319028031194908</v>
      </c>
    </row>
    <row r="988" spans="1:18" ht="18" customHeight="1">
      <c r="A988" s="10" t="s">
        <v>85</v>
      </c>
      <c r="B988" s="10" t="s">
        <v>86</v>
      </c>
      <c r="C988" s="10" t="s">
        <v>254</v>
      </c>
      <c r="D988" s="10" t="s">
        <v>278</v>
      </c>
      <c r="E988" s="16">
        <v>5</v>
      </c>
      <c r="F988" s="16">
        <v>5</v>
      </c>
      <c r="G988" s="13">
        <v>671.1049766717</v>
      </c>
      <c r="H988" s="13">
        <v>671.1049766717</v>
      </c>
      <c r="I988" s="14">
        <v>0</v>
      </c>
      <c r="J988" s="15">
        <v>1</v>
      </c>
      <c r="K988" s="14">
        <v>1300.1601197908958</v>
      </c>
      <c r="L988" s="13">
        <v>872543.92686174379</v>
      </c>
      <c r="M988" s="14">
        <v>3.8751328870935824</v>
      </c>
      <c r="N988" s="14">
        <v>750.12369995119161</v>
      </c>
      <c r="O988" s="13">
        <v>503411.74815663375</v>
      </c>
      <c r="P988" s="13">
        <v>369132.17870511004</v>
      </c>
      <c r="Q988" s="14">
        <v>1.7332609539939792</v>
      </c>
      <c r="R988" s="15">
        <v>0.73326095399397917</v>
      </c>
    </row>
    <row r="989" spans="1:18" ht="18" customHeight="1">
      <c r="A989" s="10" t="s">
        <v>85</v>
      </c>
      <c r="B989" s="10" t="s">
        <v>86</v>
      </c>
      <c r="C989" s="10" t="s">
        <v>254</v>
      </c>
      <c r="D989" s="10" t="s">
        <v>273</v>
      </c>
      <c r="E989" s="16">
        <v>9</v>
      </c>
      <c r="F989" s="16">
        <v>9</v>
      </c>
      <c r="G989" s="13">
        <v>492587.18340061203</v>
      </c>
      <c r="H989" s="13">
        <v>492587.18340061203</v>
      </c>
      <c r="I989" s="14">
        <v>0</v>
      </c>
      <c r="J989" s="15">
        <v>1</v>
      </c>
      <c r="K989" s="14">
        <v>161.38932965872641</v>
      </c>
      <c r="L989" s="13">
        <v>79498315.327504903</v>
      </c>
      <c r="M989" s="14">
        <v>3.1675854190951394</v>
      </c>
      <c r="N989" s="14">
        <v>147.09076920452813</v>
      </c>
      <c r="O989" s="13">
        <v>72455027.706687987</v>
      </c>
      <c r="P989" s="13">
        <v>7043287.6208169162</v>
      </c>
      <c r="Q989" s="14">
        <v>1.0972090942995634</v>
      </c>
      <c r="R989" s="15">
        <v>9.7209094299563467E-2</v>
      </c>
    </row>
    <row r="990" spans="1:18" ht="18" customHeight="1">
      <c r="A990" s="10" t="s">
        <v>85</v>
      </c>
      <c r="B990" s="10" t="s">
        <v>86</v>
      </c>
      <c r="C990" s="10" t="s">
        <v>254</v>
      </c>
      <c r="D990" s="10" t="s">
        <v>284</v>
      </c>
      <c r="E990" s="16">
        <v>52</v>
      </c>
      <c r="F990" s="16">
        <v>52</v>
      </c>
      <c r="G990" s="13">
        <v>2251.6567992402001</v>
      </c>
      <c r="H990" s="13">
        <v>2251.6567992402001</v>
      </c>
      <c r="I990" s="14">
        <v>0</v>
      </c>
      <c r="J990" s="15">
        <v>1</v>
      </c>
      <c r="K990" s="14">
        <v>273.56385198007428</v>
      </c>
      <c r="L990" s="13">
        <v>615971.90733727394</v>
      </c>
      <c r="M990" s="14">
        <v>3.3012322257398483</v>
      </c>
      <c r="N990" s="14">
        <v>200.09315207814993</v>
      </c>
      <c r="O990" s="13">
        <v>450541.10635816969</v>
      </c>
      <c r="P990" s="13">
        <v>165430.80097910424</v>
      </c>
      <c r="Q990" s="14">
        <v>1.3671824804540489</v>
      </c>
      <c r="R990" s="15">
        <v>0.367182480454049</v>
      </c>
    </row>
    <row r="991" spans="1:18" ht="18" customHeight="1">
      <c r="A991" s="10" t="s">
        <v>85</v>
      </c>
      <c r="B991" s="10" t="s">
        <v>86</v>
      </c>
      <c r="C991" s="10" t="s">
        <v>254</v>
      </c>
      <c r="D991" s="10" t="s">
        <v>274</v>
      </c>
      <c r="E991" s="16">
        <v>2</v>
      </c>
      <c r="F991" s="16">
        <v>2</v>
      </c>
      <c r="G991" s="13">
        <v>462.72810892849998</v>
      </c>
      <c r="H991" s="13">
        <v>462.72810892849998</v>
      </c>
      <c r="I991" s="14">
        <v>0</v>
      </c>
      <c r="J991" s="15">
        <v>1</v>
      </c>
      <c r="K991" s="14">
        <v>543.10834216870774</v>
      </c>
      <c r="L991" s="13">
        <v>251311.49611501885</v>
      </c>
      <c r="M991" s="14">
        <v>3.7279074645430508</v>
      </c>
      <c r="N991" s="14">
        <v>534.45047149416632</v>
      </c>
      <c r="O991" s="13">
        <v>247305.25599044075</v>
      </c>
      <c r="P991" s="13">
        <v>4006.2401245780929</v>
      </c>
      <c r="Q991" s="14">
        <v>1.0161995753326527</v>
      </c>
      <c r="R991" s="15">
        <v>1.6199575332652649E-2</v>
      </c>
    </row>
    <row r="992" spans="1:18" ht="18" customHeight="1">
      <c r="A992" s="10" t="s">
        <v>85</v>
      </c>
      <c r="B992" s="10" t="s">
        <v>86</v>
      </c>
      <c r="C992" s="10" t="s">
        <v>254</v>
      </c>
      <c r="D992" s="10" t="s">
        <v>282</v>
      </c>
      <c r="E992" s="16">
        <v>2</v>
      </c>
      <c r="F992" s="16">
        <v>2</v>
      </c>
      <c r="G992" s="13">
        <v>6.7364556286999999</v>
      </c>
      <c r="H992" s="13">
        <v>6.7364556286999999</v>
      </c>
      <c r="I992" s="14">
        <v>0</v>
      </c>
      <c r="J992" s="15">
        <v>1</v>
      </c>
      <c r="K992" s="14">
        <v>363.00551987244444</v>
      </c>
      <c r="L992" s="13">
        <v>2445.3705775938979</v>
      </c>
      <c r="M992" s="14">
        <v>3.5599122349267054</v>
      </c>
      <c r="N992" s="14">
        <v>363.00468899219862</v>
      </c>
      <c r="O992" s="13">
        <v>2445.3649804059892</v>
      </c>
      <c r="P992" s="13">
        <v>5.5971879087337584E-3</v>
      </c>
      <c r="Q992" s="14">
        <v>1.0000022888967306</v>
      </c>
      <c r="R992" s="15">
        <v>2.2888967305831339E-6</v>
      </c>
    </row>
    <row r="993" spans="1:18" ht="18" customHeight="1">
      <c r="A993" s="10" t="s">
        <v>131</v>
      </c>
      <c r="B993" s="10" t="s">
        <v>132</v>
      </c>
      <c r="C993" s="10" t="s">
        <v>254</v>
      </c>
      <c r="D993" s="10" t="s">
        <v>255</v>
      </c>
      <c r="E993" s="16">
        <v>5</v>
      </c>
      <c r="F993" s="16">
        <v>5</v>
      </c>
      <c r="G993" s="13">
        <v>26.551646836799996</v>
      </c>
      <c r="H993" s="13">
        <v>26.551646836799996</v>
      </c>
      <c r="I993" s="14">
        <v>0</v>
      </c>
      <c r="J993" s="15">
        <v>1</v>
      </c>
      <c r="K993" s="14">
        <v>1091.0030224963725</v>
      </c>
      <c r="L993" s="13">
        <v>28967.926951205045</v>
      </c>
      <c r="M993" s="14">
        <v>4.0224356464324229</v>
      </c>
      <c r="N993" s="14">
        <v>1053.0176398722763</v>
      </c>
      <c r="O993" s="13">
        <v>27959.352486809323</v>
      </c>
      <c r="P993" s="13">
        <v>1008.5744643957223</v>
      </c>
      <c r="Q993" s="14">
        <v>1.0360728834786694</v>
      </c>
      <c r="R993" s="15">
        <v>3.6072883478669548E-2</v>
      </c>
    </row>
    <row r="994" spans="1:18" ht="18" customHeight="1">
      <c r="A994" s="10" t="s">
        <v>131</v>
      </c>
      <c r="B994" s="10" t="s">
        <v>132</v>
      </c>
      <c r="C994" s="10" t="s">
        <v>254</v>
      </c>
      <c r="D994" s="10" t="s">
        <v>277</v>
      </c>
      <c r="E994" s="16">
        <v>3</v>
      </c>
      <c r="F994" s="16">
        <v>3</v>
      </c>
      <c r="G994" s="13">
        <v>2620.5628722214001</v>
      </c>
      <c r="H994" s="13">
        <v>2620.5628722214001</v>
      </c>
      <c r="I994" s="14">
        <v>0</v>
      </c>
      <c r="J994" s="15">
        <v>1</v>
      </c>
      <c r="K994" s="14">
        <v>227.06278108550978</v>
      </c>
      <c r="L994" s="13">
        <v>595032.2937760225</v>
      </c>
      <c r="M994" s="14">
        <v>3.3542817357551336</v>
      </c>
      <c r="N994" s="14">
        <v>226.09019881678122</v>
      </c>
      <c r="O994" s="13">
        <v>592483.58079241158</v>
      </c>
      <c r="P994" s="13">
        <v>2548.7129836109234</v>
      </c>
      <c r="Q994" s="14">
        <v>1.0043017444976319</v>
      </c>
      <c r="R994" s="15">
        <v>4.301744497631768E-3</v>
      </c>
    </row>
    <row r="995" spans="1:18" ht="18" customHeight="1">
      <c r="A995" s="10" t="s">
        <v>131</v>
      </c>
      <c r="B995" s="10" t="s">
        <v>132</v>
      </c>
      <c r="C995" s="10" t="s">
        <v>254</v>
      </c>
      <c r="D995" s="10" t="s">
        <v>256</v>
      </c>
      <c r="E995" s="16">
        <v>3</v>
      </c>
      <c r="F995" s="16">
        <v>3</v>
      </c>
      <c r="G995" s="13">
        <v>11.834365251000001</v>
      </c>
      <c r="H995" s="13">
        <v>11.834365251000001</v>
      </c>
      <c r="I995" s="14">
        <v>0</v>
      </c>
      <c r="J995" s="15">
        <v>1</v>
      </c>
      <c r="K995" s="14">
        <v>3526.0264774546331</v>
      </c>
      <c r="L995" s="13">
        <v>41728.285218895049</v>
      </c>
      <c r="M995" s="14">
        <v>4.528609495753174</v>
      </c>
      <c r="N995" s="14">
        <v>3377.6099532088888</v>
      </c>
      <c r="O995" s="13">
        <v>39971.869861687017</v>
      </c>
      <c r="P995" s="13">
        <v>1756.4153572080322</v>
      </c>
      <c r="Q995" s="14">
        <v>1.0439412857913748</v>
      </c>
      <c r="R995" s="15">
        <v>4.3941285791374851E-2</v>
      </c>
    </row>
    <row r="996" spans="1:18" ht="18" customHeight="1">
      <c r="A996" s="10" t="s">
        <v>131</v>
      </c>
      <c r="B996" s="10" t="s">
        <v>132</v>
      </c>
      <c r="C996" s="10" t="s">
        <v>254</v>
      </c>
      <c r="D996" s="10" t="s">
        <v>257</v>
      </c>
      <c r="E996" s="16">
        <v>1</v>
      </c>
      <c r="F996" s="16">
        <v>1</v>
      </c>
      <c r="G996" s="13">
        <v>6.0252607273000001</v>
      </c>
      <c r="H996" s="13">
        <v>6.0252607273000001</v>
      </c>
      <c r="I996" s="14">
        <v>0</v>
      </c>
      <c r="J996" s="15">
        <v>1</v>
      </c>
      <c r="K996" s="14">
        <v>2187.7616239495519</v>
      </c>
      <c r="L996" s="13">
        <v>13181.834193477307</v>
      </c>
      <c r="M996" s="14">
        <v>4.34</v>
      </c>
      <c r="N996" s="14">
        <v>2187.7616239495519</v>
      </c>
      <c r="O996" s="13">
        <v>13181.834193477307</v>
      </c>
      <c r="P996" s="13">
        <v>0</v>
      </c>
      <c r="Q996" s="14">
        <v>1</v>
      </c>
      <c r="R996" s="15">
        <v>0</v>
      </c>
    </row>
    <row r="997" spans="1:18" ht="18" customHeight="1">
      <c r="A997" s="10" t="s">
        <v>131</v>
      </c>
      <c r="B997" s="10" t="s">
        <v>132</v>
      </c>
      <c r="C997" s="10" t="s">
        <v>254</v>
      </c>
      <c r="D997" s="10" t="s">
        <v>258</v>
      </c>
      <c r="E997" s="16">
        <v>8</v>
      </c>
      <c r="F997" s="16">
        <v>8</v>
      </c>
      <c r="G997" s="13">
        <v>1252.1202815591</v>
      </c>
      <c r="H997" s="13">
        <v>1252.1202815591</v>
      </c>
      <c r="I997" s="14">
        <v>0</v>
      </c>
      <c r="J997" s="15">
        <v>1</v>
      </c>
      <c r="K997" s="14">
        <v>587.32421872075804</v>
      </c>
      <c r="L997" s="13">
        <v>735400.56611111399</v>
      </c>
      <c r="M997" s="14">
        <v>2.6991233189209689</v>
      </c>
      <c r="N997" s="14">
        <v>50.017654109834737</v>
      </c>
      <c r="O997" s="13">
        <v>62628.119146931946</v>
      </c>
      <c r="P997" s="13">
        <v>672772.44696418208</v>
      </c>
      <c r="Q997" s="14">
        <v>11.74233836379134</v>
      </c>
      <c r="R997" s="15">
        <v>10.74233836379134</v>
      </c>
    </row>
    <row r="998" spans="1:18" ht="18" customHeight="1">
      <c r="A998" s="10" t="s">
        <v>131</v>
      </c>
      <c r="B998" s="10" t="s">
        <v>132</v>
      </c>
      <c r="C998" s="10" t="s">
        <v>254</v>
      </c>
      <c r="D998" s="10" t="s">
        <v>259</v>
      </c>
      <c r="E998" s="16">
        <v>9</v>
      </c>
      <c r="F998" s="16">
        <v>9</v>
      </c>
      <c r="G998" s="13">
        <v>4971.2683316876009</v>
      </c>
      <c r="H998" s="13">
        <v>4971.2683316876009</v>
      </c>
      <c r="I998" s="14">
        <v>0</v>
      </c>
      <c r="J998" s="15">
        <v>1</v>
      </c>
      <c r="K998" s="14">
        <v>1124.0185938480556</v>
      </c>
      <c r="L998" s="13">
        <v>5587798.0398248667</v>
      </c>
      <c r="M998" s="14">
        <v>4.0219495443416662</v>
      </c>
      <c r="N998" s="14">
        <v>1051.8396656258126</v>
      </c>
      <c r="O998" s="13">
        <v>5228977.2197384769</v>
      </c>
      <c r="P998" s="13">
        <v>358820.82008638978</v>
      </c>
      <c r="Q998" s="14">
        <v>1.0686216070576677</v>
      </c>
      <c r="R998" s="15">
        <v>6.8621607057667761E-2</v>
      </c>
    </row>
    <row r="999" spans="1:18" ht="18" customHeight="1">
      <c r="A999" s="10" t="s">
        <v>131</v>
      </c>
      <c r="B999" s="10" t="s">
        <v>132</v>
      </c>
      <c r="C999" s="10" t="s">
        <v>254</v>
      </c>
      <c r="D999" s="10" t="s">
        <v>261</v>
      </c>
      <c r="E999" s="16">
        <v>24</v>
      </c>
      <c r="F999" s="16">
        <v>24</v>
      </c>
      <c r="G999" s="13">
        <v>16751.916315504699</v>
      </c>
      <c r="H999" s="13">
        <v>16751.916315504699</v>
      </c>
      <c r="I999" s="14">
        <v>0</v>
      </c>
      <c r="J999" s="15">
        <v>1</v>
      </c>
      <c r="K999" s="14">
        <v>2703.3855097786791</v>
      </c>
      <c r="L999" s="13">
        <v>45286887.828360438</v>
      </c>
      <c r="M999" s="14">
        <v>4.4209184584981696</v>
      </c>
      <c r="N999" s="14">
        <v>2635.836444605256</v>
      </c>
      <c r="O999" s="13">
        <v>44155311.54138469</v>
      </c>
      <c r="P999" s="13">
        <v>1131576.2869757488</v>
      </c>
      <c r="Q999" s="14">
        <v>1.0256271838534119</v>
      </c>
      <c r="R999" s="15">
        <v>2.5627183853411967E-2</v>
      </c>
    </row>
    <row r="1000" spans="1:18" ht="18" customHeight="1">
      <c r="A1000" s="10" t="s">
        <v>131</v>
      </c>
      <c r="B1000" s="10" t="s">
        <v>132</v>
      </c>
      <c r="C1000" s="10" t="s">
        <v>254</v>
      </c>
      <c r="D1000" s="10" t="s">
        <v>262</v>
      </c>
      <c r="E1000" s="16">
        <v>6</v>
      </c>
      <c r="F1000" s="16">
        <v>6</v>
      </c>
      <c r="G1000" s="13">
        <v>121.58843417170002</v>
      </c>
      <c r="H1000" s="13">
        <v>121.58843417170002</v>
      </c>
      <c r="I1000" s="14">
        <v>0</v>
      </c>
      <c r="J1000" s="15">
        <v>1</v>
      </c>
      <c r="K1000" s="14">
        <v>441.99002859747776</v>
      </c>
      <c r="L1000" s="13">
        <v>53740.875496672234</v>
      </c>
      <c r="M1000" s="14">
        <v>3.609359713686656</v>
      </c>
      <c r="N1000" s="14">
        <v>406.78011399472354</v>
      </c>
      <c r="O1000" s="13">
        <v>49459.757112804073</v>
      </c>
      <c r="P1000" s="13">
        <v>4281.1183838681609</v>
      </c>
      <c r="Q1000" s="14">
        <v>1.0865576103437813</v>
      </c>
      <c r="R1000" s="15">
        <v>8.6557610343781302E-2</v>
      </c>
    </row>
    <row r="1001" spans="1:18" ht="18" customHeight="1">
      <c r="A1001" s="10" t="s">
        <v>131</v>
      </c>
      <c r="B1001" s="10" t="s">
        <v>132</v>
      </c>
      <c r="C1001" s="10" t="s">
        <v>254</v>
      </c>
      <c r="D1001" s="10" t="s">
        <v>263</v>
      </c>
      <c r="E1001" s="16">
        <v>13</v>
      </c>
      <c r="F1001" s="16">
        <v>13</v>
      </c>
      <c r="G1001" s="13">
        <v>1329.0887395217997</v>
      </c>
      <c r="H1001" s="13">
        <v>1329.0887395217997</v>
      </c>
      <c r="I1001" s="14">
        <v>0</v>
      </c>
      <c r="J1001" s="15">
        <v>1</v>
      </c>
      <c r="K1001" s="14">
        <v>2255.1893172137529</v>
      </c>
      <c r="L1001" s="13">
        <v>2997346.7269986547</v>
      </c>
      <c r="M1001" s="14">
        <v>4.2005189694980247</v>
      </c>
      <c r="N1001" s="14">
        <v>1586.7882265758112</v>
      </c>
      <c r="O1001" s="13">
        <v>2108982.363947677</v>
      </c>
      <c r="P1001" s="13">
        <v>888364.3630509777</v>
      </c>
      <c r="Q1001" s="14">
        <v>1.4212289198038157</v>
      </c>
      <c r="R1001" s="15">
        <v>0.42122891980381572</v>
      </c>
    </row>
    <row r="1002" spans="1:18" ht="18" customHeight="1">
      <c r="A1002" s="10" t="s">
        <v>131</v>
      </c>
      <c r="B1002" s="10" t="s">
        <v>132</v>
      </c>
      <c r="C1002" s="10" t="s">
        <v>254</v>
      </c>
      <c r="D1002" s="10" t="s">
        <v>264</v>
      </c>
      <c r="E1002" s="16">
        <v>22</v>
      </c>
      <c r="F1002" s="16">
        <v>22</v>
      </c>
      <c r="G1002" s="13">
        <v>1094.3045552505998</v>
      </c>
      <c r="H1002" s="13">
        <v>1094.3045552505998</v>
      </c>
      <c r="I1002" s="14">
        <v>0</v>
      </c>
      <c r="J1002" s="15">
        <v>1</v>
      </c>
      <c r="K1002" s="14">
        <v>2085.9795136670018</v>
      </c>
      <c r="L1002" s="13">
        <v>2282696.883965231</v>
      </c>
      <c r="M1002" s="14">
        <v>4.2923189342994412</v>
      </c>
      <c r="N1002" s="14">
        <v>1960.2837251934607</v>
      </c>
      <c r="O1002" s="13">
        <v>2145147.4100628193</v>
      </c>
      <c r="P1002" s="13">
        <v>137549.47390241176</v>
      </c>
      <c r="Q1002" s="14">
        <v>1.0641212222792575</v>
      </c>
      <c r="R1002" s="15">
        <v>6.4121222279257595E-2</v>
      </c>
    </row>
    <row r="1003" spans="1:18" ht="18" customHeight="1">
      <c r="A1003" s="10" t="s">
        <v>131</v>
      </c>
      <c r="B1003" s="10" t="s">
        <v>132</v>
      </c>
      <c r="C1003" s="10" t="s">
        <v>254</v>
      </c>
      <c r="D1003" s="10" t="s">
        <v>265</v>
      </c>
      <c r="E1003" s="16">
        <v>11</v>
      </c>
      <c r="F1003" s="16">
        <v>11</v>
      </c>
      <c r="G1003" s="13">
        <v>13890.3964873802</v>
      </c>
      <c r="H1003" s="13">
        <v>13890.3964873802</v>
      </c>
      <c r="I1003" s="14">
        <v>0</v>
      </c>
      <c r="J1003" s="15">
        <v>1</v>
      </c>
      <c r="K1003" s="14">
        <v>950.46273055791198</v>
      </c>
      <c r="L1003" s="13">
        <v>13202304.173927413</v>
      </c>
      <c r="M1003" s="14">
        <v>3.9515206775673399</v>
      </c>
      <c r="N1003" s="14">
        <v>894.37711387527486</v>
      </c>
      <c r="O1003" s="13">
        <v>12423252.72096636</v>
      </c>
      <c r="P1003" s="13">
        <v>779051.4529610537</v>
      </c>
      <c r="Q1003" s="14">
        <v>1.0627091366857788</v>
      </c>
      <c r="R1003" s="15">
        <v>6.2709136685778863E-2</v>
      </c>
    </row>
    <row r="1004" spans="1:18" ht="18" customHeight="1">
      <c r="A1004" s="10" t="s">
        <v>131</v>
      </c>
      <c r="B1004" s="10" t="s">
        <v>132</v>
      </c>
      <c r="C1004" s="10" t="s">
        <v>254</v>
      </c>
      <c r="D1004" s="10" t="s">
        <v>266</v>
      </c>
      <c r="E1004" s="16">
        <v>3</v>
      </c>
      <c r="F1004" s="16">
        <v>3</v>
      </c>
      <c r="G1004" s="13">
        <v>12.6000007764</v>
      </c>
      <c r="H1004" s="13">
        <v>12.6000007764</v>
      </c>
      <c r="I1004" s="14">
        <v>0</v>
      </c>
      <c r="J1004" s="15">
        <v>1</v>
      </c>
      <c r="K1004" s="14">
        <v>557.50031092473421</v>
      </c>
      <c r="L1004" s="13">
        <v>7024.5043504948926</v>
      </c>
      <c r="M1004" s="14">
        <v>3.6166606269667216</v>
      </c>
      <c r="N1004" s="14">
        <v>413.67628723454936</v>
      </c>
      <c r="O1004" s="13">
        <v>5212.3215403335917</v>
      </c>
      <c r="P1004" s="13">
        <v>1812.1828101613009</v>
      </c>
      <c r="Q1004" s="14">
        <v>1.3476728740041084</v>
      </c>
      <c r="R1004" s="15">
        <v>0.3476728740041084</v>
      </c>
    </row>
    <row r="1005" spans="1:18" ht="18" customHeight="1">
      <c r="A1005" s="10" t="s">
        <v>131</v>
      </c>
      <c r="B1005" s="10" t="s">
        <v>132</v>
      </c>
      <c r="C1005" s="10" t="s">
        <v>254</v>
      </c>
      <c r="D1005" s="10" t="s">
        <v>268</v>
      </c>
      <c r="E1005" s="16">
        <v>12</v>
      </c>
      <c r="F1005" s="16">
        <v>12</v>
      </c>
      <c r="G1005" s="13">
        <v>2563.2686812825</v>
      </c>
      <c r="H1005" s="13">
        <v>2563.2686812825</v>
      </c>
      <c r="I1005" s="14">
        <v>0</v>
      </c>
      <c r="J1005" s="15">
        <v>1</v>
      </c>
      <c r="K1005" s="14">
        <v>453.38412809909158</v>
      </c>
      <c r="L1005" s="13">
        <v>1162145.3361469745</v>
      </c>
      <c r="M1005" s="14">
        <v>3.5258724606355809</v>
      </c>
      <c r="N1005" s="14">
        <v>335.63903257340394</v>
      </c>
      <c r="O1005" s="13">
        <v>860333.02041136322</v>
      </c>
      <c r="P1005" s="13">
        <v>301812.31573561125</v>
      </c>
      <c r="Q1005" s="14">
        <v>1.3508087084595468</v>
      </c>
      <c r="R1005" s="15">
        <v>0.35080870845954681</v>
      </c>
    </row>
    <row r="1006" spans="1:18" ht="18" customHeight="1">
      <c r="A1006" s="10" t="s">
        <v>131</v>
      </c>
      <c r="B1006" s="10" t="s">
        <v>132</v>
      </c>
      <c r="C1006" s="10" t="s">
        <v>254</v>
      </c>
      <c r="D1006" s="10" t="s">
        <v>269</v>
      </c>
      <c r="E1006" s="16">
        <v>32</v>
      </c>
      <c r="F1006" s="16">
        <v>32</v>
      </c>
      <c r="G1006" s="13">
        <v>36683.613978719695</v>
      </c>
      <c r="H1006" s="13">
        <v>36683.613978719695</v>
      </c>
      <c r="I1006" s="14">
        <v>0</v>
      </c>
      <c r="J1006" s="15">
        <v>1</v>
      </c>
      <c r="K1006" s="14">
        <v>348.99329870039656</v>
      </c>
      <c r="L1006" s="13">
        <v>12802335.450685365</v>
      </c>
      <c r="M1006" s="14">
        <v>3.4140449068241878</v>
      </c>
      <c r="N1006" s="14">
        <v>259.44476187616084</v>
      </c>
      <c r="O1006" s="13">
        <v>9517371.4934659358</v>
      </c>
      <c r="P1006" s="13">
        <v>3284963.9572194293</v>
      </c>
      <c r="Q1006" s="14">
        <v>1.3451545376236171</v>
      </c>
      <c r="R1006" s="15">
        <v>0.34515453762361709</v>
      </c>
    </row>
    <row r="1007" spans="1:18" ht="18" customHeight="1">
      <c r="A1007" s="10" t="s">
        <v>131</v>
      </c>
      <c r="B1007" s="10" t="s">
        <v>132</v>
      </c>
      <c r="C1007" s="10" t="s">
        <v>254</v>
      </c>
      <c r="D1007" s="10" t="s">
        <v>270</v>
      </c>
      <c r="E1007" s="16">
        <v>18</v>
      </c>
      <c r="F1007" s="16">
        <v>18</v>
      </c>
      <c r="G1007" s="13">
        <v>2538.9393308454996</v>
      </c>
      <c r="H1007" s="13">
        <v>2538.9393308454996</v>
      </c>
      <c r="I1007" s="14">
        <v>0</v>
      </c>
      <c r="J1007" s="15">
        <v>1</v>
      </c>
      <c r="K1007" s="14">
        <v>2368.9560260661542</v>
      </c>
      <c r="L1007" s="13">
        <v>6014635.6276228158</v>
      </c>
      <c r="M1007" s="14">
        <v>4.1099151223746757</v>
      </c>
      <c r="N1007" s="14">
        <v>1287.9978034368619</v>
      </c>
      <c r="O1007" s="13">
        <v>3270148.2811884596</v>
      </c>
      <c r="P1007" s="13">
        <v>2744487.3464343562</v>
      </c>
      <c r="Q1007" s="14">
        <v>1.8392547097090459</v>
      </c>
      <c r="R1007" s="15">
        <v>0.83925470970904592</v>
      </c>
    </row>
    <row r="1008" spans="1:18" ht="18" customHeight="1">
      <c r="A1008" s="10" t="s">
        <v>131</v>
      </c>
      <c r="B1008" s="10" t="s">
        <v>132</v>
      </c>
      <c r="C1008" s="10" t="s">
        <v>254</v>
      </c>
      <c r="D1008" s="10" t="s">
        <v>276</v>
      </c>
      <c r="E1008" s="16">
        <v>48</v>
      </c>
      <c r="F1008" s="16">
        <v>48</v>
      </c>
      <c r="G1008" s="13">
        <v>4955.2691122021006</v>
      </c>
      <c r="H1008" s="13">
        <v>4955.2691122021006</v>
      </c>
      <c r="I1008" s="14">
        <v>0</v>
      </c>
      <c r="J1008" s="15">
        <v>1</v>
      </c>
      <c r="K1008" s="14">
        <v>1003.0451412770885</v>
      </c>
      <c r="L1008" s="13">
        <v>4970358.6067147488</v>
      </c>
      <c r="M1008" s="14">
        <v>3.8222826319025724</v>
      </c>
      <c r="N1008" s="14">
        <v>664.17516436066785</v>
      </c>
      <c r="O1008" s="13">
        <v>3291166.6770481709</v>
      </c>
      <c r="P1008" s="13">
        <v>1679191.9296665778</v>
      </c>
      <c r="Q1008" s="14">
        <v>1.5102117560246555</v>
      </c>
      <c r="R1008" s="15">
        <v>0.51021175602465563</v>
      </c>
    </row>
    <row r="1009" spans="1:18" ht="18" customHeight="1">
      <c r="A1009" s="10" t="s">
        <v>131</v>
      </c>
      <c r="B1009" s="10" t="s">
        <v>132</v>
      </c>
      <c r="C1009" s="10" t="s">
        <v>254</v>
      </c>
      <c r="D1009" s="10" t="s">
        <v>271</v>
      </c>
      <c r="E1009" s="16">
        <v>23</v>
      </c>
      <c r="F1009" s="16">
        <v>23</v>
      </c>
      <c r="G1009" s="13">
        <v>6189.7576766401016</v>
      </c>
      <c r="H1009" s="13">
        <v>6189.7576766401016</v>
      </c>
      <c r="I1009" s="14">
        <v>0</v>
      </c>
      <c r="J1009" s="15">
        <v>1</v>
      </c>
      <c r="K1009" s="14">
        <v>65.286292234444829</v>
      </c>
      <c r="L1009" s="13">
        <v>404106.32853752392</v>
      </c>
      <c r="M1009" s="14">
        <v>2.6254480841924659</v>
      </c>
      <c r="N1009" s="14">
        <v>42.213181415952654</v>
      </c>
      <c r="O1009" s="13">
        <v>261289.36372479421</v>
      </c>
      <c r="P1009" s="13">
        <v>142816.96481272971</v>
      </c>
      <c r="Q1009" s="14">
        <v>1.5465854513816077</v>
      </c>
      <c r="R1009" s="15">
        <v>0.54658545138160763</v>
      </c>
    </row>
    <row r="1010" spans="1:18" ht="18" customHeight="1">
      <c r="A1010" s="10" t="s">
        <v>131</v>
      </c>
      <c r="B1010" s="10" t="s">
        <v>132</v>
      </c>
      <c r="C1010" s="10" t="s">
        <v>254</v>
      </c>
      <c r="D1010" s="10" t="s">
        <v>272</v>
      </c>
      <c r="E1010" s="16">
        <v>9</v>
      </c>
      <c r="F1010" s="16">
        <v>9</v>
      </c>
      <c r="G1010" s="13">
        <v>16603.2723072148</v>
      </c>
      <c r="H1010" s="13">
        <v>16603.2723072148</v>
      </c>
      <c r="I1010" s="14">
        <v>0</v>
      </c>
      <c r="J1010" s="15">
        <v>1</v>
      </c>
      <c r="K1010" s="14">
        <v>117.19616789491602</v>
      </c>
      <c r="L1010" s="13">
        <v>1945839.8889213554</v>
      </c>
      <c r="M1010" s="14">
        <v>3.0355488658390666</v>
      </c>
      <c r="N1010" s="14">
        <v>108.5297658016344</v>
      </c>
      <c r="O1010" s="13">
        <v>1801949.2550427841</v>
      </c>
      <c r="P1010" s="13">
        <v>143890.63387857121</v>
      </c>
      <c r="Q1010" s="14">
        <v>1.079852766927754</v>
      </c>
      <c r="R1010" s="15">
        <v>7.9852766927753907E-2</v>
      </c>
    </row>
    <row r="1011" spans="1:18" ht="18" customHeight="1">
      <c r="A1011" s="10" t="s">
        <v>131</v>
      </c>
      <c r="B1011" s="10" t="s">
        <v>132</v>
      </c>
      <c r="C1011" s="10" t="s">
        <v>254</v>
      </c>
      <c r="D1011" s="10" t="s">
        <v>283</v>
      </c>
      <c r="E1011" s="16">
        <v>5</v>
      </c>
      <c r="F1011" s="16">
        <v>5</v>
      </c>
      <c r="G1011" s="13">
        <v>143.24254142169997</v>
      </c>
      <c r="H1011" s="13">
        <v>143.24254142169997</v>
      </c>
      <c r="I1011" s="14">
        <v>0</v>
      </c>
      <c r="J1011" s="15">
        <v>1</v>
      </c>
      <c r="K1011" s="14">
        <v>781.18512538053199</v>
      </c>
      <c r="L1011" s="13">
        <v>111898.94268033674</v>
      </c>
      <c r="M1011" s="14">
        <v>3.4123523382978389</v>
      </c>
      <c r="N1011" s="14">
        <v>258.43559997343073</v>
      </c>
      <c r="O1011" s="13">
        <v>37018.972134036034</v>
      </c>
      <c r="P1011" s="13">
        <v>74879.970546300698</v>
      </c>
      <c r="Q1011" s="14">
        <v>3.0227458038321506</v>
      </c>
      <c r="R1011" s="15">
        <v>2.0227458038321506</v>
      </c>
    </row>
    <row r="1012" spans="1:18" ht="18" customHeight="1">
      <c r="A1012" s="10" t="s">
        <v>131</v>
      </c>
      <c r="B1012" s="10" t="s">
        <v>132</v>
      </c>
      <c r="C1012" s="10" t="s">
        <v>254</v>
      </c>
      <c r="D1012" s="10" t="s">
        <v>278</v>
      </c>
      <c r="E1012" s="16">
        <v>1</v>
      </c>
      <c r="F1012" s="16">
        <v>1</v>
      </c>
      <c r="G1012" s="13">
        <v>3.1560096308999999</v>
      </c>
      <c r="H1012" s="13">
        <v>3.1560096308999999</v>
      </c>
      <c r="I1012" s="14">
        <v>0</v>
      </c>
      <c r="J1012" s="15">
        <v>1</v>
      </c>
      <c r="K1012" s="14">
        <v>3090.295432513592</v>
      </c>
      <c r="L1012" s="13">
        <v>9753.0021473391771</v>
      </c>
      <c r="M1012" s="14">
        <v>4.49</v>
      </c>
      <c r="N1012" s="14">
        <v>3090.295432513592</v>
      </c>
      <c r="O1012" s="13">
        <v>9753.0021473391771</v>
      </c>
      <c r="P1012" s="13">
        <v>0</v>
      </c>
      <c r="Q1012" s="14">
        <v>1</v>
      </c>
      <c r="R1012" s="15">
        <v>0</v>
      </c>
    </row>
    <row r="1013" spans="1:18" ht="18" customHeight="1">
      <c r="A1013" s="10" t="s">
        <v>131</v>
      </c>
      <c r="B1013" s="10" t="s">
        <v>132</v>
      </c>
      <c r="C1013" s="10" t="s">
        <v>254</v>
      </c>
      <c r="D1013" s="10" t="s">
        <v>273</v>
      </c>
      <c r="E1013" s="16">
        <v>6</v>
      </c>
      <c r="F1013" s="16">
        <v>6</v>
      </c>
      <c r="G1013" s="13">
        <v>773.96823296599985</v>
      </c>
      <c r="H1013" s="13">
        <v>773.96823296599985</v>
      </c>
      <c r="I1013" s="14">
        <v>0</v>
      </c>
      <c r="J1013" s="15">
        <v>1</v>
      </c>
      <c r="K1013" s="14">
        <v>2109.8308584626702</v>
      </c>
      <c r="L1013" s="13">
        <v>1632942.0613814914</v>
      </c>
      <c r="M1013" s="14">
        <v>4.0135128357309213</v>
      </c>
      <c r="N1013" s="14">
        <v>1031.603568406556</v>
      </c>
      <c r="O1013" s="13">
        <v>798428.39096104202</v>
      </c>
      <c r="P1013" s="13">
        <v>834513.67042044934</v>
      </c>
      <c r="Q1013" s="14">
        <v>2.045195386171041</v>
      </c>
      <c r="R1013" s="15">
        <v>1.0451953861710412</v>
      </c>
    </row>
    <row r="1014" spans="1:18" ht="18" customHeight="1">
      <c r="A1014" s="10" t="s">
        <v>131</v>
      </c>
      <c r="B1014" s="10" t="s">
        <v>132</v>
      </c>
      <c r="C1014" s="10" t="s">
        <v>254</v>
      </c>
      <c r="D1014" s="10" t="s">
        <v>284</v>
      </c>
      <c r="E1014" s="16">
        <v>14</v>
      </c>
      <c r="F1014" s="16">
        <v>14</v>
      </c>
      <c r="G1014" s="13">
        <v>53.948827106300001</v>
      </c>
      <c r="H1014" s="13">
        <v>53.948827106300001</v>
      </c>
      <c r="I1014" s="14">
        <v>0</v>
      </c>
      <c r="J1014" s="15">
        <v>1</v>
      </c>
      <c r="K1014" s="14">
        <v>2028.1909425505414</v>
      </c>
      <c r="L1014" s="13">
        <v>109418.5224982228</v>
      </c>
      <c r="M1014" s="14">
        <v>4.2424552037411489</v>
      </c>
      <c r="N1014" s="14">
        <v>1747.6529876124673</v>
      </c>
      <c r="O1014" s="13">
        <v>94283.828870513651</v>
      </c>
      <c r="P1014" s="13">
        <v>15134.693627709144</v>
      </c>
      <c r="Q1014" s="14">
        <v>1.1605226878142023</v>
      </c>
      <c r="R1014" s="15">
        <v>0.16052268781420237</v>
      </c>
    </row>
    <row r="1015" spans="1:18" ht="18" customHeight="1">
      <c r="A1015" s="10" t="s">
        <v>131</v>
      </c>
      <c r="B1015" s="10" t="s">
        <v>132</v>
      </c>
      <c r="C1015" s="10" t="s">
        <v>254</v>
      </c>
      <c r="D1015" s="10" t="s">
        <v>274</v>
      </c>
      <c r="E1015" s="16">
        <v>5</v>
      </c>
      <c r="F1015" s="16">
        <v>5</v>
      </c>
      <c r="G1015" s="13">
        <v>2975.3840267695996</v>
      </c>
      <c r="H1015" s="13">
        <v>2975.3840267695996</v>
      </c>
      <c r="I1015" s="14">
        <v>0</v>
      </c>
      <c r="J1015" s="15">
        <v>1</v>
      </c>
      <c r="K1015" s="14">
        <v>1489.975291903449</v>
      </c>
      <c r="L1015" s="13">
        <v>4433248.6838108934</v>
      </c>
      <c r="M1015" s="14">
        <v>4.1620723447738319</v>
      </c>
      <c r="N1015" s="14">
        <v>1452.3535304861441</v>
      </c>
      <c r="O1015" s="13">
        <v>4321309.4958309075</v>
      </c>
      <c r="P1015" s="13">
        <v>111939.18797998596</v>
      </c>
      <c r="Q1015" s="14">
        <v>1.0259039969453663</v>
      </c>
      <c r="R1015" s="15">
        <v>2.5903996945366242E-2</v>
      </c>
    </row>
    <row r="1016" spans="1:18" ht="18" customHeight="1">
      <c r="A1016" s="10" t="s">
        <v>131</v>
      </c>
      <c r="B1016" s="10" t="s">
        <v>132</v>
      </c>
      <c r="C1016" s="10" t="s">
        <v>254</v>
      </c>
      <c r="D1016" s="10" t="s">
        <v>282</v>
      </c>
      <c r="E1016" s="16">
        <v>2</v>
      </c>
      <c r="F1016" s="16">
        <v>2</v>
      </c>
      <c r="G1016" s="13">
        <v>27.492019123200002</v>
      </c>
      <c r="H1016" s="13">
        <v>27.492019123200002</v>
      </c>
      <c r="I1016" s="14">
        <v>0</v>
      </c>
      <c r="J1016" s="15">
        <v>1</v>
      </c>
      <c r="K1016" s="14">
        <v>363.07678603209126</v>
      </c>
      <c r="L1016" s="13">
        <v>9981.7139447842492</v>
      </c>
      <c r="M1016" s="14">
        <v>3.5599984648646643</v>
      </c>
      <c r="N1016" s="14">
        <v>363.07677137141769</v>
      </c>
      <c r="O1016" s="13">
        <v>9981.7135417327299</v>
      </c>
      <c r="P1016" s="13">
        <v>4.0305151924258098E-4</v>
      </c>
      <c r="Q1016" s="14">
        <v>1.0000000403789908</v>
      </c>
      <c r="R1016" s="15">
        <v>4.0378990797266966E-8</v>
      </c>
    </row>
    <row r="1017" spans="1:18" ht="18" customHeight="1">
      <c r="A1017" s="10" t="s">
        <v>95</v>
      </c>
      <c r="B1017" s="10" t="s">
        <v>96</v>
      </c>
      <c r="C1017" s="10" t="s">
        <v>254</v>
      </c>
      <c r="D1017" s="10" t="s">
        <v>255</v>
      </c>
      <c r="E1017" s="16">
        <v>6</v>
      </c>
      <c r="F1017" s="16">
        <v>6</v>
      </c>
      <c r="G1017" s="13">
        <v>19509.115412387902</v>
      </c>
      <c r="H1017" s="13">
        <v>19509.115412387902</v>
      </c>
      <c r="I1017" s="14">
        <v>0</v>
      </c>
      <c r="J1017" s="15">
        <v>1</v>
      </c>
      <c r="K1017" s="14">
        <v>288.1720822178836</v>
      </c>
      <c r="L1017" s="13">
        <v>5621982.4106168263</v>
      </c>
      <c r="M1017" s="14">
        <v>3.4351580965661377</v>
      </c>
      <c r="N1017" s="14">
        <v>272.36926356294975</v>
      </c>
      <c r="O1017" s="13">
        <v>5313683.3976366855</v>
      </c>
      <c r="P1017" s="13">
        <v>308299.01298014075</v>
      </c>
      <c r="Q1017" s="14">
        <v>1.0580198310492606</v>
      </c>
      <c r="R1017" s="15">
        <v>5.8019831049260451E-2</v>
      </c>
    </row>
    <row r="1018" spans="1:18" ht="18" customHeight="1">
      <c r="A1018" s="10" t="s">
        <v>95</v>
      </c>
      <c r="B1018" s="10" t="s">
        <v>96</v>
      </c>
      <c r="C1018" s="10" t="s">
        <v>254</v>
      </c>
      <c r="D1018" s="10" t="s">
        <v>277</v>
      </c>
      <c r="E1018" s="16">
        <v>1</v>
      </c>
      <c r="F1018" s="16">
        <v>1</v>
      </c>
      <c r="G1018" s="13">
        <v>8.7949411823000005</v>
      </c>
      <c r="H1018" s="13">
        <v>8.7949411823000005</v>
      </c>
      <c r="I1018" s="14">
        <v>0</v>
      </c>
      <c r="J1018" s="15">
        <v>1</v>
      </c>
      <c r="K1018" s="14">
        <v>288.40315031266056</v>
      </c>
      <c r="L1018" s="13">
        <v>2536.4887437898756</v>
      </c>
      <c r="M1018" s="14">
        <v>3.46</v>
      </c>
      <c r="N1018" s="14">
        <v>288.40315031266056</v>
      </c>
      <c r="O1018" s="13">
        <v>2536.4887437898756</v>
      </c>
      <c r="P1018" s="13">
        <v>0</v>
      </c>
      <c r="Q1018" s="14">
        <v>1</v>
      </c>
      <c r="R1018" s="15">
        <v>0</v>
      </c>
    </row>
    <row r="1019" spans="1:18" ht="18" customHeight="1">
      <c r="A1019" s="10" t="s">
        <v>95</v>
      </c>
      <c r="B1019" s="10" t="s">
        <v>96</v>
      </c>
      <c r="C1019" s="10" t="s">
        <v>254</v>
      </c>
      <c r="D1019" s="10" t="s">
        <v>257</v>
      </c>
      <c r="E1019" s="16">
        <v>1</v>
      </c>
      <c r="F1019" s="16">
        <v>1</v>
      </c>
      <c r="G1019" s="13">
        <v>318.41480232160001</v>
      </c>
      <c r="H1019" s="13">
        <v>318.41480232160001</v>
      </c>
      <c r="I1019" s="14">
        <v>0</v>
      </c>
      <c r="J1019" s="15">
        <v>1</v>
      </c>
      <c r="K1019" s="14">
        <v>933.2543007969914</v>
      </c>
      <c r="L1019" s="13">
        <v>297161.98370405706</v>
      </c>
      <c r="M1019" s="14">
        <v>3.97</v>
      </c>
      <c r="N1019" s="14">
        <v>933.25430079699152</v>
      </c>
      <c r="O1019" s="13">
        <v>297161.98370405706</v>
      </c>
      <c r="P1019" s="13">
        <v>0</v>
      </c>
      <c r="Q1019" s="14">
        <v>1</v>
      </c>
      <c r="R1019" s="15">
        <v>0</v>
      </c>
    </row>
    <row r="1020" spans="1:18" ht="18" customHeight="1">
      <c r="A1020" s="10" t="s">
        <v>95</v>
      </c>
      <c r="B1020" s="10" t="s">
        <v>96</v>
      </c>
      <c r="C1020" s="10" t="s">
        <v>254</v>
      </c>
      <c r="D1020" s="10" t="s">
        <v>258</v>
      </c>
      <c r="E1020" s="16">
        <v>8</v>
      </c>
      <c r="F1020" s="16">
        <v>8</v>
      </c>
      <c r="G1020" s="13">
        <v>3532.9632334027001</v>
      </c>
      <c r="H1020" s="13">
        <v>3532.9632334027001</v>
      </c>
      <c r="I1020" s="14">
        <v>0</v>
      </c>
      <c r="J1020" s="15">
        <v>1</v>
      </c>
      <c r="K1020" s="14">
        <v>1233.7668979810312</v>
      </c>
      <c r="L1020" s="13">
        <v>4358853.0891562831</v>
      </c>
      <c r="M1020" s="14">
        <v>4.0727157180354236</v>
      </c>
      <c r="N1020" s="14">
        <v>1182.2674097441045</v>
      </c>
      <c r="O1020" s="13">
        <v>4176907.2906761663</v>
      </c>
      <c r="P1020" s="13">
        <v>181945.79848011676</v>
      </c>
      <c r="Q1020" s="14">
        <v>1.043559932222164</v>
      </c>
      <c r="R1020" s="15">
        <v>4.3559932222164068E-2</v>
      </c>
    </row>
    <row r="1021" spans="1:18" ht="18" customHeight="1">
      <c r="A1021" s="10" t="s">
        <v>95</v>
      </c>
      <c r="B1021" s="10" t="s">
        <v>96</v>
      </c>
      <c r="C1021" s="10" t="s">
        <v>254</v>
      </c>
      <c r="D1021" s="10" t="s">
        <v>259</v>
      </c>
      <c r="E1021" s="16">
        <v>17</v>
      </c>
      <c r="F1021" s="16">
        <v>17</v>
      </c>
      <c r="G1021" s="13">
        <v>33990.336118616295</v>
      </c>
      <c r="H1021" s="13">
        <v>33990.336118616295</v>
      </c>
      <c r="I1021" s="14">
        <v>0</v>
      </c>
      <c r="J1021" s="15">
        <v>1</v>
      </c>
      <c r="K1021" s="14">
        <v>3223.2796943194426</v>
      </c>
      <c r="L1021" s="13">
        <v>109560360.21422864</v>
      </c>
      <c r="M1021" s="14">
        <v>4.4695266717861539</v>
      </c>
      <c r="N1021" s="14">
        <v>2947.9945193512194</v>
      </c>
      <c r="O1021" s="13">
        <v>100203324.58858664</v>
      </c>
      <c r="P1021" s="13">
        <v>9357035.6256420016</v>
      </c>
      <c r="Q1021" s="14">
        <v>1.0933804907577667</v>
      </c>
      <c r="R1021" s="15">
        <v>9.3380490757766596E-2</v>
      </c>
    </row>
    <row r="1022" spans="1:18" ht="18" customHeight="1">
      <c r="A1022" s="10" t="s">
        <v>95</v>
      </c>
      <c r="B1022" s="10" t="s">
        <v>96</v>
      </c>
      <c r="C1022" s="10" t="s">
        <v>254</v>
      </c>
      <c r="D1022" s="10" t="s">
        <v>260</v>
      </c>
      <c r="E1022" s="16">
        <v>1</v>
      </c>
      <c r="F1022" s="16">
        <v>1</v>
      </c>
      <c r="G1022" s="13">
        <v>3017.4145464633002</v>
      </c>
      <c r="H1022" s="13">
        <v>3017.4145464633002</v>
      </c>
      <c r="I1022" s="14">
        <v>0</v>
      </c>
      <c r="J1022" s="15">
        <v>1</v>
      </c>
      <c r="K1022" s="14">
        <v>999.99999999999989</v>
      </c>
      <c r="L1022" s="13">
        <v>3017414.5464633</v>
      </c>
      <c r="M1022" s="14">
        <v>4</v>
      </c>
      <c r="N1022" s="14">
        <v>1000</v>
      </c>
      <c r="O1022" s="13">
        <v>3017414.5464633</v>
      </c>
      <c r="P1022" s="13">
        <v>0</v>
      </c>
      <c r="Q1022" s="14">
        <v>1</v>
      </c>
      <c r="R1022" s="15">
        <v>0</v>
      </c>
    </row>
    <row r="1023" spans="1:18" ht="18" customHeight="1">
      <c r="A1023" s="10" t="s">
        <v>95</v>
      </c>
      <c r="B1023" s="10" t="s">
        <v>96</v>
      </c>
      <c r="C1023" s="10" t="s">
        <v>254</v>
      </c>
      <c r="D1023" s="10" t="s">
        <v>261</v>
      </c>
      <c r="E1023" s="16">
        <v>26</v>
      </c>
      <c r="F1023" s="16">
        <v>26</v>
      </c>
      <c r="G1023" s="13">
        <v>15164.232690875198</v>
      </c>
      <c r="H1023" s="13">
        <v>15164.232690875198</v>
      </c>
      <c r="I1023" s="14">
        <v>0</v>
      </c>
      <c r="J1023" s="15">
        <v>1</v>
      </c>
      <c r="K1023" s="14">
        <v>2883.7783412372601</v>
      </c>
      <c r="L1023" s="13">
        <v>43730285.795427911</v>
      </c>
      <c r="M1023" s="14">
        <v>4.4448861347974971</v>
      </c>
      <c r="N1023" s="14">
        <v>2785.3907871030783</v>
      </c>
      <c r="O1023" s="13">
        <v>42238314.0306511</v>
      </c>
      <c r="P1023" s="13">
        <v>1491971.764776811</v>
      </c>
      <c r="Q1023" s="14">
        <v>1.035322711121806</v>
      </c>
      <c r="R1023" s="15">
        <v>3.5322711121805926E-2</v>
      </c>
    </row>
    <row r="1024" spans="1:18" ht="18" customHeight="1">
      <c r="A1024" s="10" t="s">
        <v>95</v>
      </c>
      <c r="B1024" s="10" t="s">
        <v>96</v>
      </c>
      <c r="C1024" s="10" t="s">
        <v>254</v>
      </c>
      <c r="D1024" s="10" t="s">
        <v>262</v>
      </c>
      <c r="E1024" s="16">
        <v>5</v>
      </c>
      <c r="F1024" s="16">
        <v>5</v>
      </c>
      <c r="G1024" s="13">
        <v>10079.880202088298</v>
      </c>
      <c r="H1024" s="13">
        <v>10079.880202088298</v>
      </c>
      <c r="I1024" s="14">
        <v>0</v>
      </c>
      <c r="J1024" s="15">
        <v>1</v>
      </c>
      <c r="K1024" s="14">
        <v>604.53384687671712</v>
      </c>
      <c r="L1024" s="13">
        <v>6093628.7546248995</v>
      </c>
      <c r="M1024" s="14">
        <v>3.7675272637088315</v>
      </c>
      <c r="N1024" s="14">
        <v>585.50049113680132</v>
      </c>
      <c r="O1024" s="13">
        <v>5901774.8089228179</v>
      </c>
      <c r="P1024" s="13">
        <v>191853.94570208155</v>
      </c>
      <c r="Q1024" s="14">
        <v>1.0325078390676683</v>
      </c>
      <c r="R1024" s="15">
        <v>3.2507839067668257E-2</v>
      </c>
    </row>
    <row r="1025" spans="1:18" ht="18" customHeight="1">
      <c r="A1025" s="10" t="s">
        <v>95</v>
      </c>
      <c r="B1025" s="10" t="s">
        <v>96</v>
      </c>
      <c r="C1025" s="10" t="s">
        <v>254</v>
      </c>
      <c r="D1025" s="10" t="s">
        <v>263</v>
      </c>
      <c r="E1025" s="16">
        <v>7</v>
      </c>
      <c r="F1025" s="16">
        <v>7</v>
      </c>
      <c r="G1025" s="13">
        <v>9417.1496872201988</v>
      </c>
      <c r="H1025" s="13">
        <v>9417.1496872201988</v>
      </c>
      <c r="I1025" s="14">
        <v>0</v>
      </c>
      <c r="J1025" s="15">
        <v>1</v>
      </c>
      <c r="K1025" s="14">
        <v>614.93798548528582</v>
      </c>
      <c r="L1025" s="13">
        <v>5790963.0576725788</v>
      </c>
      <c r="M1025" s="14">
        <v>3.785454837965581</v>
      </c>
      <c r="N1025" s="14">
        <v>610.17560153408147</v>
      </c>
      <c r="O1025" s="13">
        <v>5746114.9751360714</v>
      </c>
      <c r="P1025" s="13">
        <v>44848.082536507398</v>
      </c>
      <c r="Q1025" s="14">
        <v>1.0078049399865072</v>
      </c>
      <c r="R1025" s="15">
        <v>7.8049399865072087E-3</v>
      </c>
    </row>
    <row r="1026" spans="1:18" ht="18" customHeight="1">
      <c r="A1026" s="10" t="s">
        <v>95</v>
      </c>
      <c r="B1026" s="10" t="s">
        <v>96</v>
      </c>
      <c r="C1026" s="10" t="s">
        <v>254</v>
      </c>
      <c r="D1026" s="10" t="s">
        <v>264</v>
      </c>
      <c r="E1026" s="16">
        <v>20</v>
      </c>
      <c r="F1026" s="16">
        <v>20</v>
      </c>
      <c r="G1026" s="13">
        <v>17613.1412782589</v>
      </c>
      <c r="H1026" s="13">
        <v>17613.1412782589</v>
      </c>
      <c r="I1026" s="14">
        <v>0</v>
      </c>
      <c r="J1026" s="15">
        <v>1</v>
      </c>
      <c r="K1026" s="14">
        <v>2306.4585332868774</v>
      </c>
      <c r="L1026" s="13">
        <v>40623979.999227576</v>
      </c>
      <c r="M1026" s="14">
        <v>4.3615960883679952</v>
      </c>
      <c r="N1026" s="14">
        <v>2299.3023774206022</v>
      </c>
      <c r="O1026" s="13">
        <v>40497937.614945635</v>
      </c>
      <c r="P1026" s="13">
        <v>126042.38428194076</v>
      </c>
      <c r="Q1026" s="14">
        <v>1.0031123161253384</v>
      </c>
      <c r="R1026" s="15">
        <v>3.1123161253383239E-3</v>
      </c>
    </row>
    <row r="1027" spans="1:18" ht="18" customHeight="1">
      <c r="A1027" s="10" t="s">
        <v>95</v>
      </c>
      <c r="B1027" s="10" t="s">
        <v>96</v>
      </c>
      <c r="C1027" s="10" t="s">
        <v>254</v>
      </c>
      <c r="D1027" s="10" t="s">
        <v>265</v>
      </c>
      <c r="E1027" s="16">
        <v>12</v>
      </c>
      <c r="F1027" s="16">
        <v>12</v>
      </c>
      <c r="G1027" s="13">
        <v>99172.009189927136</v>
      </c>
      <c r="H1027" s="13">
        <v>99172.009189927136</v>
      </c>
      <c r="I1027" s="14">
        <v>0</v>
      </c>
      <c r="J1027" s="15">
        <v>1</v>
      </c>
      <c r="K1027" s="14">
        <v>571.64210626581416</v>
      </c>
      <c r="L1027" s="13">
        <v>56690896.215942621</v>
      </c>
      <c r="M1027" s="14">
        <v>3.6639024749358842</v>
      </c>
      <c r="N1027" s="14">
        <v>461.21399282767345</v>
      </c>
      <c r="O1027" s="13">
        <v>45739518.335229017</v>
      </c>
      <c r="P1027" s="13">
        <v>10951377.880713604</v>
      </c>
      <c r="Q1027" s="14">
        <v>1.2394292349221951</v>
      </c>
      <c r="R1027" s="15">
        <v>0.23942923492219523</v>
      </c>
    </row>
    <row r="1028" spans="1:18" ht="18" customHeight="1">
      <c r="A1028" s="10" t="s">
        <v>95</v>
      </c>
      <c r="B1028" s="10" t="s">
        <v>96</v>
      </c>
      <c r="C1028" s="10" t="s">
        <v>254</v>
      </c>
      <c r="D1028" s="10" t="s">
        <v>266</v>
      </c>
      <c r="E1028" s="16">
        <v>5</v>
      </c>
      <c r="F1028" s="16">
        <v>5</v>
      </c>
      <c r="G1028" s="13">
        <v>1095.1165792192003</v>
      </c>
      <c r="H1028" s="13">
        <v>1095.1165792192003</v>
      </c>
      <c r="I1028" s="14">
        <v>0</v>
      </c>
      <c r="J1028" s="15">
        <v>1</v>
      </c>
      <c r="K1028" s="14">
        <v>2515.6975465415871</v>
      </c>
      <c r="L1028" s="13">
        <v>2754982.0915187579</v>
      </c>
      <c r="M1028" s="14">
        <v>4.3159754465759805</v>
      </c>
      <c r="N1028" s="14">
        <v>2070.024313867465</v>
      </c>
      <c r="O1028" s="13">
        <v>2266917.9455031105</v>
      </c>
      <c r="P1028" s="13">
        <v>488064.14601564733</v>
      </c>
      <c r="Q1028" s="14">
        <v>1.2152985497264341</v>
      </c>
      <c r="R1028" s="15">
        <v>0.21529854972643414</v>
      </c>
    </row>
    <row r="1029" spans="1:18" ht="18" customHeight="1">
      <c r="A1029" s="10" t="s">
        <v>95</v>
      </c>
      <c r="B1029" s="10" t="s">
        <v>96</v>
      </c>
      <c r="C1029" s="10" t="s">
        <v>254</v>
      </c>
      <c r="D1029" s="10" t="s">
        <v>268</v>
      </c>
      <c r="E1029" s="16">
        <v>10</v>
      </c>
      <c r="F1029" s="16">
        <v>10</v>
      </c>
      <c r="G1029" s="13">
        <v>322.09989360290001</v>
      </c>
      <c r="H1029" s="13">
        <v>322.09989360290001</v>
      </c>
      <c r="I1029" s="14">
        <v>0</v>
      </c>
      <c r="J1029" s="15">
        <v>1</v>
      </c>
      <c r="K1029" s="14">
        <v>1264.0731565743076</v>
      </c>
      <c r="L1029" s="13">
        <v>407157.82923886646</v>
      </c>
      <c r="M1029" s="14">
        <v>3.893178173806338</v>
      </c>
      <c r="N1029" s="14">
        <v>781.9485412736243</v>
      </c>
      <c r="O1029" s="13">
        <v>251865.54194717726</v>
      </c>
      <c r="P1029" s="13">
        <v>155292.28729168919</v>
      </c>
      <c r="Q1029" s="14">
        <v>1.6165682137029209</v>
      </c>
      <c r="R1029" s="15">
        <v>0.61656821370292092</v>
      </c>
    </row>
    <row r="1030" spans="1:18" ht="18" customHeight="1">
      <c r="A1030" s="10" t="s">
        <v>95</v>
      </c>
      <c r="B1030" s="10" t="s">
        <v>96</v>
      </c>
      <c r="C1030" s="10" t="s">
        <v>254</v>
      </c>
      <c r="D1030" s="10" t="s">
        <v>269</v>
      </c>
      <c r="E1030" s="16">
        <v>34</v>
      </c>
      <c r="F1030" s="16">
        <v>34</v>
      </c>
      <c r="G1030" s="13">
        <v>106581.0028539246</v>
      </c>
      <c r="H1030" s="13">
        <v>106581.0028539246</v>
      </c>
      <c r="I1030" s="14">
        <v>0</v>
      </c>
      <c r="J1030" s="15">
        <v>1</v>
      </c>
      <c r="K1030" s="14">
        <v>644.48092327012102</v>
      </c>
      <c r="L1030" s="13">
        <v>68689423.122352734</v>
      </c>
      <c r="M1030" s="14">
        <v>3.5836081124658996</v>
      </c>
      <c r="N1030" s="14">
        <v>383.36116174182121</v>
      </c>
      <c r="O1030" s="13">
        <v>40859017.073688895</v>
      </c>
      <c r="P1030" s="13">
        <v>27830406.04866384</v>
      </c>
      <c r="Q1030" s="14">
        <v>1.6811325392011252</v>
      </c>
      <c r="R1030" s="15">
        <v>0.68113253920112504</v>
      </c>
    </row>
    <row r="1031" spans="1:18" ht="18" customHeight="1">
      <c r="A1031" s="10" t="s">
        <v>95</v>
      </c>
      <c r="B1031" s="10" t="s">
        <v>96</v>
      </c>
      <c r="C1031" s="10" t="s">
        <v>254</v>
      </c>
      <c r="D1031" s="10" t="s">
        <v>270</v>
      </c>
      <c r="E1031" s="16">
        <v>17</v>
      </c>
      <c r="F1031" s="16">
        <v>17</v>
      </c>
      <c r="G1031" s="13">
        <v>110810.3730409119</v>
      </c>
      <c r="H1031" s="13">
        <v>110810.3730409119</v>
      </c>
      <c r="I1031" s="14">
        <v>0</v>
      </c>
      <c r="J1031" s="15">
        <v>1</v>
      </c>
      <c r="K1031" s="14">
        <v>283.0579510978734</v>
      </c>
      <c r="L1031" s="13">
        <v>31365757.153351549</v>
      </c>
      <c r="M1031" s="14">
        <v>3.34058635960199</v>
      </c>
      <c r="N1031" s="14">
        <v>219.07174096438672</v>
      </c>
      <c r="O1031" s="13">
        <v>24275421.338985715</v>
      </c>
      <c r="P1031" s="13">
        <v>7090335.814365834</v>
      </c>
      <c r="Q1031" s="14">
        <v>1.2920787950641637</v>
      </c>
      <c r="R1031" s="15">
        <v>0.29207879506416368</v>
      </c>
    </row>
    <row r="1032" spans="1:18" ht="18" customHeight="1">
      <c r="A1032" s="10" t="s">
        <v>95</v>
      </c>
      <c r="B1032" s="10" t="s">
        <v>96</v>
      </c>
      <c r="C1032" s="10" t="s">
        <v>254</v>
      </c>
      <c r="D1032" s="10" t="s">
        <v>276</v>
      </c>
      <c r="E1032" s="16">
        <v>12</v>
      </c>
      <c r="F1032" s="16">
        <v>12</v>
      </c>
      <c r="G1032" s="13">
        <v>8982.520159465801</v>
      </c>
      <c r="H1032" s="13">
        <v>8982.520159465801</v>
      </c>
      <c r="I1032" s="14">
        <v>0</v>
      </c>
      <c r="J1032" s="15">
        <v>1</v>
      </c>
      <c r="K1032" s="14">
        <v>544.15054270801966</v>
      </c>
      <c r="L1032" s="13">
        <v>4887843.2196590425</v>
      </c>
      <c r="M1032" s="14">
        <v>3.6555993678152277</v>
      </c>
      <c r="N1032" s="14">
        <v>452.47997919840969</v>
      </c>
      <c r="O1032" s="13">
        <v>4064410.5349043813</v>
      </c>
      <c r="P1032" s="13">
        <v>823432.68475466128</v>
      </c>
      <c r="Q1032" s="14">
        <v>1.2025958445100904</v>
      </c>
      <c r="R1032" s="15">
        <v>0.20259584451009038</v>
      </c>
    </row>
    <row r="1033" spans="1:18" ht="18" customHeight="1">
      <c r="A1033" s="10" t="s">
        <v>95</v>
      </c>
      <c r="B1033" s="10" t="s">
        <v>96</v>
      </c>
      <c r="C1033" s="10" t="s">
        <v>254</v>
      </c>
      <c r="D1033" s="10" t="s">
        <v>271</v>
      </c>
      <c r="E1033" s="16">
        <v>22</v>
      </c>
      <c r="F1033" s="16">
        <v>22</v>
      </c>
      <c r="G1033" s="13">
        <v>150162.47231688007</v>
      </c>
      <c r="H1033" s="13">
        <v>150162.47231688007</v>
      </c>
      <c r="I1033" s="14">
        <v>0</v>
      </c>
      <c r="J1033" s="15">
        <v>1</v>
      </c>
      <c r="K1033" s="14">
        <v>11.782660160138676</v>
      </c>
      <c r="L1033" s="13">
        <v>1769313.3801160296</v>
      </c>
      <c r="M1033" s="14">
        <v>2.0281931979648005</v>
      </c>
      <c r="N1033" s="14">
        <v>10.670707071381866</v>
      </c>
      <c r="O1033" s="13">
        <v>1602339.7552079158</v>
      </c>
      <c r="P1033" s="13">
        <v>166973.62490811385</v>
      </c>
      <c r="Q1033" s="14">
        <v>1.104206130045402</v>
      </c>
      <c r="R1033" s="15">
        <v>0.10420613004540211</v>
      </c>
    </row>
    <row r="1034" spans="1:18" ht="18" customHeight="1">
      <c r="A1034" s="10" t="s">
        <v>95</v>
      </c>
      <c r="B1034" s="10" t="s">
        <v>96</v>
      </c>
      <c r="C1034" s="10" t="s">
        <v>254</v>
      </c>
      <c r="D1034" s="10" t="s">
        <v>272</v>
      </c>
      <c r="E1034" s="16">
        <v>5</v>
      </c>
      <c r="F1034" s="16">
        <v>5</v>
      </c>
      <c r="G1034" s="13">
        <v>224.5302918049</v>
      </c>
      <c r="H1034" s="13">
        <v>224.5302918049</v>
      </c>
      <c r="I1034" s="14">
        <v>0</v>
      </c>
      <c r="J1034" s="15">
        <v>1</v>
      </c>
      <c r="K1034" s="14">
        <v>63.323510128322283</v>
      </c>
      <c r="L1034" s="13">
        <v>14218.046207222744</v>
      </c>
      <c r="M1034" s="14">
        <v>2.7522861652966983</v>
      </c>
      <c r="N1034" s="14">
        <v>56.530934572125112</v>
      </c>
      <c r="O1034" s="13">
        <v>12692.90723548296</v>
      </c>
      <c r="P1034" s="13">
        <v>1525.1389717397833</v>
      </c>
      <c r="Q1034" s="14">
        <v>1.1201567886257189</v>
      </c>
      <c r="R1034" s="15">
        <v>0.12015678862571884</v>
      </c>
    </row>
    <row r="1035" spans="1:18" ht="18" customHeight="1">
      <c r="A1035" s="10" t="s">
        <v>95</v>
      </c>
      <c r="B1035" s="10" t="s">
        <v>96</v>
      </c>
      <c r="C1035" s="10" t="s">
        <v>254</v>
      </c>
      <c r="D1035" s="10" t="s">
        <v>283</v>
      </c>
      <c r="E1035" s="16">
        <v>2</v>
      </c>
      <c r="F1035" s="16">
        <v>2</v>
      </c>
      <c r="G1035" s="13">
        <v>5920.5640739720002</v>
      </c>
      <c r="H1035" s="13">
        <v>5920.5640739720002</v>
      </c>
      <c r="I1035" s="14">
        <v>0</v>
      </c>
      <c r="J1035" s="15">
        <v>1</v>
      </c>
      <c r="K1035" s="14">
        <v>812.66701729868885</v>
      </c>
      <c r="L1035" s="13">
        <v>4811447.1467205994</v>
      </c>
      <c r="M1035" s="14">
        <v>3.9098989168284262</v>
      </c>
      <c r="N1035" s="14">
        <v>812.64134976017692</v>
      </c>
      <c r="O1035" s="13">
        <v>4811295.1804142185</v>
      </c>
      <c r="P1035" s="13">
        <v>151.96630638092756</v>
      </c>
      <c r="Q1035" s="14">
        <v>1.0000315853217652</v>
      </c>
      <c r="R1035" s="15">
        <v>3.1585321765239178E-5</v>
      </c>
    </row>
    <row r="1036" spans="1:18" ht="18" customHeight="1">
      <c r="A1036" s="10" t="s">
        <v>95</v>
      </c>
      <c r="B1036" s="10" t="s">
        <v>96</v>
      </c>
      <c r="C1036" s="10" t="s">
        <v>254</v>
      </c>
      <c r="D1036" s="10" t="s">
        <v>278</v>
      </c>
      <c r="E1036" s="16">
        <v>1</v>
      </c>
      <c r="F1036" s="16">
        <v>1</v>
      </c>
      <c r="G1036" s="13">
        <v>1.8816442999999999E-3</v>
      </c>
      <c r="H1036" s="13">
        <v>1.8816442999999999E-3</v>
      </c>
      <c r="I1036" s="14">
        <v>0</v>
      </c>
      <c r="J1036" s="15">
        <v>1</v>
      </c>
      <c r="K1036" s="14">
        <v>3090.295432513592</v>
      </c>
      <c r="L1036" s="13">
        <v>5.8148367859052348</v>
      </c>
      <c r="M1036" s="14">
        <v>4.49</v>
      </c>
      <c r="N1036" s="14">
        <v>3090.295432513592</v>
      </c>
      <c r="O1036" s="13">
        <v>5.8148367859052348</v>
      </c>
      <c r="P1036" s="13">
        <v>0</v>
      </c>
      <c r="Q1036" s="14">
        <v>1</v>
      </c>
      <c r="R1036" s="15">
        <v>0</v>
      </c>
    </row>
    <row r="1037" spans="1:18" ht="18" customHeight="1">
      <c r="A1037" s="10" t="s">
        <v>95</v>
      </c>
      <c r="B1037" s="10" t="s">
        <v>96</v>
      </c>
      <c r="C1037" s="10" t="s">
        <v>254</v>
      </c>
      <c r="D1037" s="10" t="s">
        <v>273</v>
      </c>
      <c r="E1037" s="16">
        <v>7</v>
      </c>
      <c r="F1037" s="16">
        <v>7</v>
      </c>
      <c r="G1037" s="13">
        <v>86185.127234477797</v>
      </c>
      <c r="H1037" s="13">
        <v>86185.127234477797</v>
      </c>
      <c r="I1037" s="14">
        <v>0</v>
      </c>
      <c r="J1037" s="15">
        <v>1</v>
      </c>
      <c r="K1037" s="14">
        <v>144.59435540492035</v>
      </c>
      <c r="L1037" s="13">
        <v>12461882.917960363</v>
      </c>
      <c r="M1037" s="14">
        <v>3.1600412758693044</v>
      </c>
      <c r="N1037" s="14">
        <v>144.55771536066464</v>
      </c>
      <c r="O1037" s="13">
        <v>12458725.091084307</v>
      </c>
      <c r="P1037" s="13">
        <v>3157.8268760554492</v>
      </c>
      <c r="Q1037" s="14">
        <v>1.0002534630833386</v>
      </c>
      <c r="R1037" s="15">
        <v>2.534630833386996E-4</v>
      </c>
    </row>
    <row r="1038" spans="1:18" ht="18" customHeight="1">
      <c r="A1038" s="10" t="s">
        <v>95</v>
      </c>
      <c r="B1038" s="10" t="s">
        <v>96</v>
      </c>
      <c r="C1038" s="10" t="s">
        <v>254</v>
      </c>
      <c r="D1038" s="10" t="s">
        <v>274</v>
      </c>
      <c r="E1038" s="16">
        <v>9</v>
      </c>
      <c r="F1038" s="16">
        <v>9</v>
      </c>
      <c r="G1038" s="13">
        <v>14613.094720272902</v>
      </c>
      <c r="H1038" s="13">
        <v>14613.094720272902</v>
      </c>
      <c r="I1038" s="14">
        <v>0</v>
      </c>
      <c r="J1038" s="15">
        <v>1</v>
      </c>
      <c r="K1038" s="14">
        <v>1930.9273601618195</v>
      </c>
      <c r="L1038" s="13">
        <v>28216824.412011176</v>
      </c>
      <c r="M1038" s="14">
        <v>4.1035287486918</v>
      </c>
      <c r="N1038" s="14">
        <v>1269.1961577657457</v>
      </c>
      <c r="O1038" s="13">
        <v>18546883.672037274</v>
      </c>
      <c r="P1038" s="13">
        <v>9669940.7399739027</v>
      </c>
      <c r="Q1038" s="14">
        <v>1.5213781954406205</v>
      </c>
      <c r="R1038" s="15">
        <v>0.52137819544062047</v>
      </c>
    </row>
    <row r="1039" spans="1:18" ht="18" customHeight="1">
      <c r="A1039" s="10" t="s">
        <v>95</v>
      </c>
      <c r="B1039" s="10" t="s">
        <v>96</v>
      </c>
      <c r="C1039" s="10" t="s">
        <v>254</v>
      </c>
      <c r="D1039" s="10" t="s">
        <v>282</v>
      </c>
      <c r="E1039" s="16">
        <v>3</v>
      </c>
      <c r="F1039" s="16">
        <v>3</v>
      </c>
      <c r="G1039" s="13">
        <v>4152.1981413873</v>
      </c>
      <c r="H1039" s="13">
        <v>4152.1981413873</v>
      </c>
      <c r="I1039" s="14">
        <v>0</v>
      </c>
      <c r="J1039" s="15">
        <v>1</v>
      </c>
      <c r="K1039" s="14">
        <v>407.59090023057172</v>
      </c>
      <c r="L1039" s="13">
        <v>1692398.1783837564</v>
      </c>
      <c r="M1039" s="14">
        <v>3.6100416857077851</v>
      </c>
      <c r="N1039" s="14">
        <v>407.41938203167319</v>
      </c>
      <c r="O1039" s="13">
        <v>1691686.0008370758</v>
      </c>
      <c r="P1039" s="13">
        <v>712.17754668067209</v>
      </c>
      <c r="Q1039" s="14">
        <v>1.0004209868417238</v>
      </c>
      <c r="R1039" s="15">
        <v>4.2098684172374435E-4</v>
      </c>
    </row>
    <row r="1040" spans="1:18" ht="18" customHeight="1">
      <c r="A1040" s="10" t="s">
        <v>95</v>
      </c>
      <c r="B1040" s="10" t="s">
        <v>96</v>
      </c>
      <c r="C1040" s="10" t="s">
        <v>254</v>
      </c>
      <c r="D1040" s="10" t="s">
        <v>275</v>
      </c>
      <c r="E1040" s="16">
        <v>1</v>
      </c>
      <c r="F1040" s="16">
        <v>1</v>
      </c>
      <c r="G1040" s="13">
        <v>6.1940139083999997</v>
      </c>
      <c r="H1040" s="13">
        <v>6.1940139083999997</v>
      </c>
      <c r="I1040" s="14">
        <v>0</v>
      </c>
      <c r="J1040" s="15">
        <v>1</v>
      </c>
      <c r="K1040" s="14">
        <v>691.83097091893626</v>
      </c>
      <c r="L1040" s="13">
        <v>4285.2106561337669</v>
      </c>
      <c r="M1040" s="14">
        <v>3.84</v>
      </c>
      <c r="N1040" s="14">
        <v>691.83097091893626</v>
      </c>
      <c r="O1040" s="13">
        <v>4285.2106561337669</v>
      </c>
      <c r="P1040" s="13">
        <v>0</v>
      </c>
      <c r="Q1040" s="14">
        <v>1</v>
      </c>
      <c r="R1040" s="15">
        <v>0</v>
      </c>
    </row>
    <row r="1041" spans="1:18" ht="18" customHeight="1">
      <c r="A1041" s="10" t="s">
        <v>143</v>
      </c>
      <c r="B1041" s="10" t="s">
        <v>144</v>
      </c>
      <c r="C1041" s="10" t="s">
        <v>254</v>
      </c>
      <c r="D1041" s="10" t="s">
        <v>255</v>
      </c>
      <c r="E1041" s="16">
        <v>3</v>
      </c>
      <c r="F1041" s="16">
        <v>3</v>
      </c>
      <c r="G1041" s="13">
        <v>71.048877662600006</v>
      </c>
      <c r="H1041" s="13">
        <v>71.048877662600006</v>
      </c>
      <c r="I1041" s="14">
        <v>0</v>
      </c>
      <c r="J1041" s="15">
        <v>1</v>
      </c>
      <c r="K1041" s="14">
        <v>1035.7680399635399</v>
      </c>
      <c r="L1041" s="13">
        <v>73590.156758200537</v>
      </c>
      <c r="M1041" s="14">
        <v>3.9588193577252362</v>
      </c>
      <c r="N1041" s="14">
        <v>909.53487817672226</v>
      </c>
      <c r="O1041" s="13">
        <v>64621.432289445736</v>
      </c>
      <c r="P1041" s="13">
        <v>8968.7244687548009</v>
      </c>
      <c r="Q1041" s="14">
        <v>1.1387886982848507</v>
      </c>
      <c r="R1041" s="15">
        <v>0.13878869828485083</v>
      </c>
    </row>
    <row r="1042" spans="1:18" ht="18" customHeight="1">
      <c r="A1042" s="10" t="s">
        <v>143</v>
      </c>
      <c r="B1042" s="10" t="s">
        <v>144</v>
      </c>
      <c r="C1042" s="10" t="s">
        <v>254</v>
      </c>
      <c r="D1042" s="10" t="s">
        <v>277</v>
      </c>
      <c r="E1042" s="16">
        <v>1</v>
      </c>
      <c r="F1042" s="16">
        <v>1</v>
      </c>
      <c r="G1042" s="13">
        <v>25.3455157838</v>
      </c>
      <c r="H1042" s="13">
        <v>25.3455157838</v>
      </c>
      <c r="I1042" s="14">
        <v>0</v>
      </c>
      <c r="J1042" s="15">
        <v>1</v>
      </c>
      <c r="K1042" s="14">
        <v>288.40315031266056</v>
      </c>
      <c r="L1042" s="13">
        <v>7309.7265983471816</v>
      </c>
      <c r="M1042" s="14">
        <v>3.46</v>
      </c>
      <c r="N1042" s="14">
        <v>288.40315031266056</v>
      </c>
      <c r="O1042" s="13">
        <v>7309.7265983471816</v>
      </c>
      <c r="P1042" s="13">
        <v>0</v>
      </c>
      <c r="Q1042" s="14">
        <v>1</v>
      </c>
      <c r="R1042" s="15">
        <v>0</v>
      </c>
    </row>
    <row r="1043" spans="1:18" ht="18" customHeight="1">
      <c r="A1043" s="10" t="s">
        <v>143</v>
      </c>
      <c r="B1043" s="10" t="s">
        <v>144</v>
      </c>
      <c r="C1043" s="10" t="s">
        <v>254</v>
      </c>
      <c r="D1043" s="10" t="s">
        <v>257</v>
      </c>
      <c r="E1043" s="16">
        <v>1</v>
      </c>
      <c r="F1043" s="16">
        <v>1</v>
      </c>
      <c r="G1043" s="13">
        <v>103.8183680719</v>
      </c>
      <c r="H1043" s="13">
        <v>103.8183680719</v>
      </c>
      <c r="I1043" s="14">
        <v>0</v>
      </c>
      <c r="J1043" s="15">
        <v>1</v>
      </c>
      <c r="K1043" s="14">
        <v>933.25430079699152</v>
      </c>
      <c r="L1043" s="13">
        <v>96888.938504825739</v>
      </c>
      <c r="M1043" s="14">
        <v>3.97</v>
      </c>
      <c r="N1043" s="14">
        <v>933.25430079699152</v>
      </c>
      <c r="O1043" s="13">
        <v>96888.938504825739</v>
      </c>
      <c r="P1043" s="13">
        <v>0</v>
      </c>
      <c r="Q1043" s="14">
        <v>1</v>
      </c>
      <c r="R1043" s="15">
        <v>0</v>
      </c>
    </row>
    <row r="1044" spans="1:18" ht="18" customHeight="1">
      <c r="A1044" s="10" t="s">
        <v>143</v>
      </c>
      <c r="B1044" s="10" t="s">
        <v>144</v>
      </c>
      <c r="C1044" s="10" t="s">
        <v>254</v>
      </c>
      <c r="D1044" s="10" t="s">
        <v>258</v>
      </c>
      <c r="E1044" s="16">
        <v>5</v>
      </c>
      <c r="F1044" s="16">
        <v>5</v>
      </c>
      <c r="G1044" s="13">
        <v>4421.1330587985003</v>
      </c>
      <c r="H1044" s="13">
        <v>4421.1330587985003</v>
      </c>
      <c r="I1044" s="14">
        <v>0</v>
      </c>
      <c r="J1044" s="15">
        <v>1</v>
      </c>
      <c r="K1044" s="14">
        <v>1391.6783802065866</v>
      </c>
      <c r="L1044" s="13">
        <v>6152795.2939464878</v>
      </c>
      <c r="M1044" s="14">
        <v>4.119694969970281</v>
      </c>
      <c r="N1044" s="14">
        <v>1317.3311759941905</v>
      </c>
      <c r="O1044" s="13">
        <v>5824096.4115738207</v>
      </c>
      <c r="P1044" s="13">
        <v>328698.88237266708</v>
      </c>
      <c r="Q1044" s="14">
        <v>1.0564377474451603</v>
      </c>
      <c r="R1044" s="15">
        <v>5.6437747445160197E-2</v>
      </c>
    </row>
    <row r="1045" spans="1:18" ht="18" customHeight="1">
      <c r="A1045" s="10" t="s">
        <v>143</v>
      </c>
      <c r="B1045" s="10" t="s">
        <v>144</v>
      </c>
      <c r="C1045" s="10" t="s">
        <v>254</v>
      </c>
      <c r="D1045" s="10" t="s">
        <v>259</v>
      </c>
      <c r="E1045" s="16">
        <v>10</v>
      </c>
      <c r="F1045" s="16">
        <v>10</v>
      </c>
      <c r="G1045" s="13">
        <v>1595.5042065340001</v>
      </c>
      <c r="H1045" s="13">
        <v>1595.5042065340001</v>
      </c>
      <c r="I1045" s="14">
        <v>0</v>
      </c>
      <c r="J1045" s="15">
        <v>1</v>
      </c>
      <c r="K1045" s="14">
        <v>2155.8254790516639</v>
      </c>
      <c r="L1045" s="13">
        <v>3439628.6203801059</v>
      </c>
      <c r="M1045" s="14">
        <v>4.1220886988608454</v>
      </c>
      <c r="N1045" s="14">
        <v>1324.6120419288013</v>
      </c>
      <c r="O1045" s="13">
        <v>2113424.084922994</v>
      </c>
      <c r="P1045" s="13">
        <v>1326204.5354571119</v>
      </c>
      <c r="Q1045" s="14">
        <v>1.6275146313123587</v>
      </c>
      <c r="R1045" s="15">
        <v>0.62751463131235885</v>
      </c>
    </row>
    <row r="1046" spans="1:18" ht="18" customHeight="1">
      <c r="A1046" s="10" t="s">
        <v>143</v>
      </c>
      <c r="B1046" s="10" t="s">
        <v>144</v>
      </c>
      <c r="C1046" s="10" t="s">
        <v>254</v>
      </c>
      <c r="D1046" s="10" t="s">
        <v>260</v>
      </c>
      <c r="E1046" s="16">
        <v>1</v>
      </c>
      <c r="F1046" s="16">
        <v>1</v>
      </c>
      <c r="G1046" s="13">
        <v>3289.6729950747999</v>
      </c>
      <c r="H1046" s="13">
        <v>3289.6729950747999</v>
      </c>
      <c r="I1046" s="14">
        <v>0</v>
      </c>
      <c r="J1046" s="15">
        <v>1</v>
      </c>
      <c r="K1046" s="14">
        <v>1000</v>
      </c>
      <c r="L1046" s="13">
        <v>3289672.9950747998</v>
      </c>
      <c r="M1046" s="14">
        <v>4</v>
      </c>
      <c r="N1046" s="14">
        <v>1000</v>
      </c>
      <c r="O1046" s="13">
        <v>3289672.9950747998</v>
      </c>
      <c r="P1046" s="13">
        <v>0</v>
      </c>
      <c r="Q1046" s="14">
        <v>1</v>
      </c>
      <c r="R1046" s="15">
        <v>0</v>
      </c>
    </row>
    <row r="1047" spans="1:18" ht="18" customHeight="1">
      <c r="A1047" s="10" t="s">
        <v>143</v>
      </c>
      <c r="B1047" s="10" t="s">
        <v>144</v>
      </c>
      <c r="C1047" s="10" t="s">
        <v>254</v>
      </c>
      <c r="D1047" s="10" t="s">
        <v>261</v>
      </c>
      <c r="E1047" s="16">
        <v>7</v>
      </c>
      <c r="F1047" s="16">
        <v>7</v>
      </c>
      <c r="G1047" s="13">
        <v>802.28269718260003</v>
      </c>
      <c r="H1047" s="13">
        <v>802.28269718260003</v>
      </c>
      <c r="I1047" s="14">
        <v>0</v>
      </c>
      <c r="J1047" s="15">
        <v>1</v>
      </c>
      <c r="K1047" s="14">
        <v>2416.1784654785106</v>
      </c>
      <c r="L1047" s="13">
        <v>1938458.1761586152</v>
      </c>
      <c r="M1047" s="14">
        <v>4.3639918241326736</v>
      </c>
      <c r="N1047" s="14">
        <v>2312.0212645084921</v>
      </c>
      <c r="O1047" s="13">
        <v>1854894.6560333986</v>
      </c>
      <c r="P1047" s="13">
        <v>83563.520125216572</v>
      </c>
      <c r="Q1047" s="14">
        <v>1.0450502781133204</v>
      </c>
      <c r="R1047" s="15">
        <v>4.5050278113320498E-2</v>
      </c>
    </row>
    <row r="1048" spans="1:18" ht="18" customHeight="1">
      <c r="A1048" s="10" t="s">
        <v>143</v>
      </c>
      <c r="B1048" s="10" t="s">
        <v>144</v>
      </c>
      <c r="C1048" s="10" t="s">
        <v>254</v>
      </c>
      <c r="D1048" s="10" t="s">
        <v>262</v>
      </c>
      <c r="E1048" s="16">
        <v>1</v>
      </c>
      <c r="F1048" s="16">
        <v>1</v>
      </c>
      <c r="G1048" s="13">
        <v>362.11659450889999</v>
      </c>
      <c r="H1048" s="13">
        <v>362.11659450889999</v>
      </c>
      <c r="I1048" s="14">
        <v>0</v>
      </c>
      <c r="J1048" s="15">
        <v>1</v>
      </c>
      <c r="K1048" s="14">
        <v>660.69344800759575</v>
      </c>
      <c r="L1048" s="13">
        <v>239248.06140685355</v>
      </c>
      <c r="M1048" s="14">
        <v>3.8199999999999994</v>
      </c>
      <c r="N1048" s="14">
        <v>660.69344800759507</v>
      </c>
      <c r="O1048" s="13">
        <v>239248.06140685329</v>
      </c>
      <c r="P1048" s="13">
        <v>2.6193447411060333E-10</v>
      </c>
      <c r="Q1048" s="14">
        <v>1.0000000000000011</v>
      </c>
      <c r="R1048" s="15">
        <v>1.0948238099416432E-15</v>
      </c>
    </row>
    <row r="1049" spans="1:18" ht="18" customHeight="1">
      <c r="A1049" s="10" t="s">
        <v>143</v>
      </c>
      <c r="B1049" s="10" t="s">
        <v>144</v>
      </c>
      <c r="C1049" s="10" t="s">
        <v>254</v>
      </c>
      <c r="D1049" s="10" t="s">
        <v>263</v>
      </c>
      <c r="E1049" s="16">
        <v>4</v>
      </c>
      <c r="F1049" s="16">
        <v>4</v>
      </c>
      <c r="G1049" s="13">
        <v>2135.5358299666004</v>
      </c>
      <c r="H1049" s="13">
        <v>2135.5358299666004</v>
      </c>
      <c r="I1049" s="14">
        <v>0</v>
      </c>
      <c r="J1049" s="15">
        <v>1</v>
      </c>
      <c r="K1049" s="14">
        <v>600.42077999093124</v>
      </c>
      <c r="L1049" s="13">
        <v>1282220.0887271268</v>
      </c>
      <c r="M1049" s="14">
        <v>3.7692841996151101</v>
      </c>
      <c r="N1049" s="14">
        <v>587.87392773607655</v>
      </c>
      <c r="O1049" s="13">
        <v>1255425.8361835876</v>
      </c>
      <c r="P1049" s="13">
        <v>26794.252543539274</v>
      </c>
      <c r="Q1049" s="14">
        <v>1.0213427601784841</v>
      </c>
      <c r="R1049" s="15">
        <v>2.1342760178484178E-2</v>
      </c>
    </row>
    <row r="1050" spans="1:18" ht="18" customHeight="1">
      <c r="A1050" s="10" t="s">
        <v>143</v>
      </c>
      <c r="B1050" s="10" t="s">
        <v>144</v>
      </c>
      <c r="C1050" s="10" t="s">
        <v>254</v>
      </c>
      <c r="D1050" s="10" t="s">
        <v>264</v>
      </c>
      <c r="E1050" s="16">
        <v>7</v>
      </c>
      <c r="F1050" s="16">
        <v>7</v>
      </c>
      <c r="G1050" s="13">
        <v>291.25029624910002</v>
      </c>
      <c r="H1050" s="13">
        <v>291.25029624910002</v>
      </c>
      <c r="I1050" s="14">
        <v>0</v>
      </c>
      <c r="J1050" s="15">
        <v>1</v>
      </c>
      <c r="K1050" s="14">
        <v>1601.5222248142502</v>
      </c>
      <c r="L1050" s="13">
        <v>466443.82242666814</v>
      </c>
      <c r="M1050" s="14">
        <v>4.1760131187225173</v>
      </c>
      <c r="N1050" s="14">
        <v>1499.7301371287779</v>
      </c>
      <c r="O1050" s="13">
        <v>436796.84673245996</v>
      </c>
      <c r="P1050" s="13">
        <v>29646.975694208173</v>
      </c>
      <c r="Q1050" s="14">
        <v>1.0678736028338756</v>
      </c>
      <c r="R1050" s="15">
        <v>6.7873602833875488E-2</v>
      </c>
    </row>
    <row r="1051" spans="1:18" ht="18" customHeight="1">
      <c r="A1051" s="10" t="s">
        <v>143</v>
      </c>
      <c r="B1051" s="10" t="s">
        <v>144</v>
      </c>
      <c r="C1051" s="10" t="s">
        <v>254</v>
      </c>
      <c r="D1051" s="10" t="s">
        <v>265</v>
      </c>
      <c r="E1051" s="16">
        <v>6</v>
      </c>
      <c r="F1051" s="16">
        <v>6</v>
      </c>
      <c r="G1051" s="13">
        <v>44781.415995160605</v>
      </c>
      <c r="H1051" s="13">
        <v>44781.415995160605</v>
      </c>
      <c r="I1051" s="14">
        <v>0</v>
      </c>
      <c r="J1051" s="15">
        <v>1</v>
      </c>
      <c r="K1051" s="14">
        <v>469.06011198106546</v>
      </c>
      <c r="L1051" s="13">
        <v>21005176.001360711</v>
      </c>
      <c r="M1051" s="14">
        <v>3.6474618637908609</v>
      </c>
      <c r="N1051" s="14">
        <v>444.08066410133722</v>
      </c>
      <c r="O1051" s="13">
        <v>19886560.954529166</v>
      </c>
      <c r="P1051" s="13">
        <v>1118615.0468315445</v>
      </c>
      <c r="Q1051" s="14">
        <v>1.0562497985141457</v>
      </c>
      <c r="R1051" s="15">
        <v>5.6249798514145799E-2</v>
      </c>
    </row>
    <row r="1052" spans="1:18" ht="18" customHeight="1">
      <c r="A1052" s="10" t="s">
        <v>143</v>
      </c>
      <c r="B1052" s="10" t="s">
        <v>144</v>
      </c>
      <c r="C1052" s="10" t="s">
        <v>254</v>
      </c>
      <c r="D1052" s="10" t="s">
        <v>266</v>
      </c>
      <c r="E1052" s="16">
        <v>3</v>
      </c>
      <c r="F1052" s="16">
        <v>3</v>
      </c>
      <c r="G1052" s="13">
        <v>187.42805667319999</v>
      </c>
      <c r="H1052" s="13">
        <v>187.42805667319999</v>
      </c>
      <c r="I1052" s="14">
        <v>0</v>
      </c>
      <c r="J1052" s="15">
        <v>1</v>
      </c>
      <c r="K1052" s="14">
        <v>732.18403687740681</v>
      </c>
      <c r="L1052" s="13">
        <v>137231.83115907095</v>
      </c>
      <c r="M1052" s="14">
        <v>3.662136373879024</v>
      </c>
      <c r="N1052" s="14">
        <v>459.34222937663679</v>
      </c>
      <c r="O1052" s="13">
        <v>86093.621399998316</v>
      </c>
      <c r="P1052" s="13">
        <v>51138.209759072633</v>
      </c>
      <c r="Q1052" s="14">
        <v>1.5939837229227487</v>
      </c>
      <c r="R1052" s="15">
        <v>0.59398372292274881</v>
      </c>
    </row>
    <row r="1053" spans="1:18" ht="18" customHeight="1">
      <c r="A1053" s="10" t="s">
        <v>143</v>
      </c>
      <c r="B1053" s="10" t="s">
        <v>144</v>
      </c>
      <c r="C1053" s="10" t="s">
        <v>254</v>
      </c>
      <c r="D1053" s="10" t="s">
        <v>268</v>
      </c>
      <c r="E1053" s="16">
        <v>3</v>
      </c>
      <c r="F1053" s="16">
        <v>3</v>
      </c>
      <c r="G1053" s="13">
        <v>211.149804848</v>
      </c>
      <c r="H1053" s="13">
        <v>211.149804848</v>
      </c>
      <c r="I1053" s="14">
        <v>0</v>
      </c>
      <c r="J1053" s="15">
        <v>1</v>
      </c>
      <c r="K1053" s="14">
        <v>794.11708105678235</v>
      </c>
      <c r="L1053" s="13">
        <v>167677.66669160299</v>
      </c>
      <c r="M1053" s="14">
        <v>3.8959053606255409</v>
      </c>
      <c r="N1053" s="14">
        <v>786.87429913020276</v>
      </c>
      <c r="O1053" s="13">
        <v>166148.3547012491</v>
      </c>
      <c r="P1053" s="13">
        <v>1529.31199035389</v>
      </c>
      <c r="Q1053" s="14">
        <v>1.0092044967469207</v>
      </c>
      <c r="R1053" s="15">
        <v>9.2044967469207973E-3</v>
      </c>
    </row>
    <row r="1054" spans="1:18" ht="18" customHeight="1">
      <c r="A1054" s="10" t="s">
        <v>143</v>
      </c>
      <c r="B1054" s="10" t="s">
        <v>144</v>
      </c>
      <c r="C1054" s="10" t="s">
        <v>254</v>
      </c>
      <c r="D1054" s="10" t="s">
        <v>269</v>
      </c>
      <c r="E1054" s="16">
        <v>9</v>
      </c>
      <c r="F1054" s="16">
        <v>9</v>
      </c>
      <c r="G1054" s="13">
        <v>15734.600353893</v>
      </c>
      <c r="H1054" s="13">
        <v>15734.600353893</v>
      </c>
      <c r="I1054" s="14">
        <v>0</v>
      </c>
      <c r="J1054" s="15">
        <v>1</v>
      </c>
      <c r="K1054" s="14">
        <v>1517.095720617592</v>
      </c>
      <c r="L1054" s="13">
        <v>23870894.862519119</v>
      </c>
      <c r="M1054" s="14">
        <v>3.9420374297502789</v>
      </c>
      <c r="N1054" s="14">
        <v>875.05918911573269</v>
      </c>
      <c r="O1054" s="13">
        <v>13768706.626737729</v>
      </c>
      <c r="P1054" s="13">
        <v>10102188.23578139</v>
      </c>
      <c r="Q1054" s="14">
        <v>1.7337064046497837</v>
      </c>
      <c r="R1054" s="15">
        <v>0.73370640464978365</v>
      </c>
    </row>
    <row r="1055" spans="1:18" ht="18" customHeight="1">
      <c r="A1055" s="10" t="s">
        <v>143</v>
      </c>
      <c r="B1055" s="10" t="s">
        <v>144</v>
      </c>
      <c r="C1055" s="10" t="s">
        <v>254</v>
      </c>
      <c r="D1055" s="10" t="s">
        <v>270</v>
      </c>
      <c r="E1055" s="16">
        <v>5</v>
      </c>
      <c r="F1055" s="16">
        <v>5</v>
      </c>
      <c r="G1055" s="13">
        <v>42326.234585691396</v>
      </c>
      <c r="H1055" s="13">
        <v>42326.234585691396</v>
      </c>
      <c r="I1055" s="14">
        <v>0</v>
      </c>
      <c r="J1055" s="15">
        <v>1</v>
      </c>
      <c r="K1055" s="14">
        <v>253.60050408567002</v>
      </c>
      <c r="L1055" s="13">
        <v>10733954.426979659</v>
      </c>
      <c r="M1055" s="14">
        <v>3.3984256607792407</v>
      </c>
      <c r="N1055" s="14">
        <v>250.27972019575373</v>
      </c>
      <c r="O1055" s="13">
        <v>10593398.149046676</v>
      </c>
      <c r="P1055" s="13">
        <v>140556.27793298289</v>
      </c>
      <c r="Q1055" s="14">
        <v>1.0132682899250447</v>
      </c>
      <c r="R1055" s="15">
        <v>1.3268289925044672E-2</v>
      </c>
    </row>
    <row r="1056" spans="1:18" ht="18" customHeight="1">
      <c r="A1056" s="10" t="s">
        <v>143</v>
      </c>
      <c r="B1056" s="10" t="s">
        <v>144</v>
      </c>
      <c r="C1056" s="10" t="s">
        <v>254</v>
      </c>
      <c r="D1056" s="10" t="s">
        <v>276</v>
      </c>
      <c r="E1056" s="16">
        <v>1</v>
      </c>
      <c r="F1056" s="16">
        <v>1</v>
      </c>
      <c r="G1056" s="13">
        <v>52.153872821500002</v>
      </c>
      <c r="H1056" s="13">
        <v>52.153872821500002</v>
      </c>
      <c r="I1056" s="14">
        <v>0</v>
      </c>
      <c r="J1056" s="15">
        <v>1</v>
      </c>
      <c r="K1056" s="14">
        <v>524.80746024977282</v>
      </c>
      <c r="L1056" s="13">
        <v>27370.741537641068</v>
      </c>
      <c r="M1056" s="14">
        <v>3.72</v>
      </c>
      <c r="N1056" s="14">
        <v>524.80746024977282</v>
      </c>
      <c r="O1056" s="13">
        <v>27370.741537641068</v>
      </c>
      <c r="P1056" s="13">
        <v>0</v>
      </c>
      <c r="Q1056" s="14">
        <v>1</v>
      </c>
      <c r="R1056" s="15">
        <v>0</v>
      </c>
    </row>
    <row r="1057" spans="1:18" ht="18" customHeight="1">
      <c r="A1057" s="10" t="s">
        <v>143</v>
      </c>
      <c r="B1057" s="10" t="s">
        <v>144</v>
      </c>
      <c r="C1057" s="10" t="s">
        <v>254</v>
      </c>
      <c r="D1057" s="10" t="s">
        <v>271</v>
      </c>
      <c r="E1057" s="16">
        <v>10</v>
      </c>
      <c r="F1057" s="16">
        <v>10</v>
      </c>
      <c r="G1057" s="13">
        <v>25070.937343252797</v>
      </c>
      <c r="H1057" s="13">
        <v>25070.937343252797</v>
      </c>
      <c r="I1057" s="14">
        <v>0</v>
      </c>
      <c r="J1057" s="15">
        <v>1</v>
      </c>
      <c r="K1057" s="14">
        <v>14.71760932315617</v>
      </c>
      <c r="L1057" s="13">
        <v>368984.26118332153</v>
      </c>
      <c r="M1057" s="14">
        <v>2.1336004947783294</v>
      </c>
      <c r="N1057" s="14">
        <v>13.60192872480641</v>
      </c>
      <c r="O1057" s="13">
        <v>341013.10280701192</v>
      </c>
      <c r="P1057" s="13">
        <v>27971.158376309613</v>
      </c>
      <c r="Q1057" s="14">
        <v>1.0820237056760227</v>
      </c>
      <c r="R1057" s="15">
        <v>8.2023705676022685E-2</v>
      </c>
    </row>
    <row r="1058" spans="1:18" ht="18" customHeight="1">
      <c r="A1058" s="10" t="s">
        <v>143</v>
      </c>
      <c r="B1058" s="10" t="s">
        <v>144</v>
      </c>
      <c r="C1058" s="10" t="s">
        <v>254</v>
      </c>
      <c r="D1058" s="10" t="s">
        <v>272</v>
      </c>
      <c r="E1058" s="16">
        <v>2</v>
      </c>
      <c r="F1058" s="16">
        <v>2</v>
      </c>
      <c r="G1058" s="13">
        <v>2592.9680232524997</v>
      </c>
      <c r="H1058" s="13">
        <v>2592.9680232524997</v>
      </c>
      <c r="I1058" s="14">
        <v>0</v>
      </c>
      <c r="J1058" s="15">
        <v>1</v>
      </c>
      <c r="K1058" s="14">
        <v>40.007190805779679</v>
      </c>
      <c r="L1058" s="13">
        <v>103737.36645954811</v>
      </c>
      <c r="M1058" s="14">
        <v>2.601906030560821</v>
      </c>
      <c r="N1058" s="14">
        <v>39.985822202525121</v>
      </c>
      <c r="O1058" s="13">
        <v>103681.95835460747</v>
      </c>
      <c r="P1058" s="13">
        <v>55.408104940637713</v>
      </c>
      <c r="Q1058" s="14">
        <v>1.0005344044983326</v>
      </c>
      <c r="R1058" s="15">
        <v>5.3440449833262109E-4</v>
      </c>
    </row>
    <row r="1059" spans="1:18" ht="18" customHeight="1">
      <c r="A1059" s="10" t="s">
        <v>143</v>
      </c>
      <c r="B1059" s="10" t="s">
        <v>144</v>
      </c>
      <c r="C1059" s="10" t="s">
        <v>254</v>
      </c>
      <c r="D1059" s="10" t="s">
        <v>273</v>
      </c>
      <c r="E1059" s="16">
        <v>5</v>
      </c>
      <c r="F1059" s="16">
        <v>5</v>
      </c>
      <c r="G1059" s="13">
        <v>1004.4521800679</v>
      </c>
      <c r="H1059" s="13">
        <v>1004.4521800679</v>
      </c>
      <c r="I1059" s="14">
        <v>0</v>
      </c>
      <c r="J1059" s="15">
        <v>1</v>
      </c>
      <c r="K1059" s="14">
        <v>185.02366970108159</v>
      </c>
      <c r="L1059" s="13">
        <v>185847.42839541446</v>
      </c>
      <c r="M1059" s="14">
        <v>3.2388549849868733</v>
      </c>
      <c r="N1059" s="14">
        <v>173.32251609334594</v>
      </c>
      <c r="O1059" s="13">
        <v>174094.17914481502</v>
      </c>
      <c r="P1059" s="13">
        <v>11753.249250599445</v>
      </c>
      <c r="Q1059" s="14">
        <v>1.0675108685904016</v>
      </c>
      <c r="R1059" s="15">
        <v>6.7510868590401618E-2</v>
      </c>
    </row>
    <row r="1060" spans="1:18" ht="18" customHeight="1">
      <c r="A1060" s="10" t="s">
        <v>143</v>
      </c>
      <c r="B1060" s="10" t="s">
        <v>144</v>
      </c>
      <c r="C1060" s="10" t="s">
        <v>254</v>
      </c>
      <c r="D1060" s="10" t="s">
        <v>274</v>
      </c>
      <c r="E1060" s="16">
        <v>7</v>
      </c>
      <c r="F1060" s="16">
        <v>7</v>
      </c>
      <c r="G1060" s="13">
        <v>3558.9393611363998</v>
      </c>
      <c r="H1060" s="13">
        <v>3558.9393611363998</v>
      </c>
      <c r="I1060" s="14">
        <v>0</v>
      </c>
      <c r="J1060" s="15">
        <v>1</v>
      </c>
      <c r="K1060" s="14">
        <v>444.59896940046036</v>
      </c>
      <c r="L1060" s="13">
        <v>1582300.7721199761</v>
      </c>
      <c r="M1060" s="14">
        <v>3.5979893598224759</v>
      </c>
      <c r="N1060" s="14">
        <v>396.26832559655031</v>
      </c>
      <c r="O1060" s="13">
        <v>1410294.9415371777</v>
      </c>
      <c r="P1060" s="13">
        <v>172005.83058279846</v>
      </c>
      <c r="Q1060" s="14">
        <v>1.1219644384424421</v>
      </c>
      <c r="R1060" s="15">
        <v>0.12196443844244201</v>
      </c>
    </row>
    <row r="1061" spans="1:18" ht="18" customHeight="1">
      <c r="A1061" s="10" t="s">
        <v>143</v>
      </c>
      <c r="B1061" s="10" t="s">
        <v>144</v>
      </c>
      <c r="C1061" s="10" t="s">
        <v>254</v>
      </c>
      <c r="D1061" s="10" t="s">
        <v>275</v>
      </c>
      <c r="E1061" s="16">
        <v>1</v>
      </c>
      <c r="F1061" s="16">
        <v>1</v>
      </c>
      <c r="G1061" s="13">
        <v>62.272714177099999</v>
      </c>
      <c r="H1061" s="13">
        <v>62.272714177099999</v>
      </c>
      <c r="I1061" s="14">
        <v>0</v>
      </c>
      <c r="J1061" s="15">
        <v>1</v>
      </c>
      <c r="K1061" s="14">
        <v>691.83097091893626</v>
      </c>
      <c r="L1061" s="13">
        <v>43082.1923109005</v>
      </c>
      <c r="M1061" s="14">
        <v>3.8399999999999994</v>
      </c>
      <c r="N1061" s="14">
        <v>691.83097091893558</v>
      </c>
      <c r="O1061" s="13">
        <v>43082.192310900457</v>
      </c>
      <c r="P1061" s="13">
        <v>4.3655745685100555E-11</v>
      </c>
      <c r="Q1061" s="14">
        <v>1.0000000000000011</v>
      </c>
      <c r="R1061" s="15">
        <v>1.0133130034344836E-15</v>
      </c>
    </row>
    <row r="1062" spans="1:18" ht="18" customHeight="1">
      <c r="A1062" s="10" t="s">
        <v>109</v>
      </c>
      <c r="B1062" s="10" t="s">
        <v>110</v>
      </c>
      <c r="C1062" s="10" t="s">
        <v>254</v>
      </c>
      <c r="D1062" s="10" t="s">
        <v>255</v>
      </c>
      <c r="E1062" s="16">
        <v>3</v>
      </c>
      <c r="F1062" s="16">
        <v>3</v>
      </c>
      <c r="G1062" s="13">
        <v>267.54898045520002</v>
      </c>
      <c r="H1062" s="13">
        <v>267.54898045520002</v>
      </c>
      <c r="I1062" s="14">
        <v>0</v>
      </c>
      <c r="J1062" s="15">
        <v>1</v>
      </c>
      <c r="K1062" s="14">
        <v>1179.1013453084042</v>
      </c>
      <c r="L1062" s="13">
        <v>315467.36279061832</v>
      </c>
      <c r="M1062" s="14">
        <v>4.0369553802157787</v>
      </c>
      <c r="N1062" s="14">
        <v>1088.8182214770563</v>
      </c>
      <c r="O1062" s="13">
        <v>291312.2050572306</v>
      </c>
      <c r="P1062" s="13">
        <v>24155.157733387721</v>
      </c>
      <c r="Q1062" s="14">
        <v>1.0829184542015404</v>
      </c>
      <c r="R1062" s="15">
        <v>8.2918454201540398E-2</v>
      </c>
    </row>
    <row r="1063" spans="1:18" ht="18" customHeight="1">
      <c r="A1063" s="10" t="s">
        <v>109</v>
      </c>
      <c r="B1063" s="10" t="s">
        <v>110</v>
      </c>
      <c r="C1063" s="10" t="s">
        <v>254</v>
      </c>
      <c r="D1063" s="10" t="s">
        <v>277</v>
      </c>
      <c r="E1063" s="16">
        <v>1</v>
      </c>
      <c r="F1063" s="16">
        <v>1</v>
      </c>
      <c r="G1063" s="13">
        <v>33.916376168399999</v>
      </c>
      <c r="H1063" s="13">
        <v>33.916376168399999</v>
      </c>
      <c r="I1063" s="14">
        <v>0</v>
      </c>
      <c r="J1063" s="15">
        <v>1</v>
      </c>
      <c r="K1063" s="14">
        <v>288.40315031266056</v>
      </c>
      <c r="L1063" s="13">
        <v>9781.5897341558029</v>
      </c>
      <c r="M1063" s="14">
        <v>3.46</v>
      </c>
      <c r="N1063" s="14">
        <v>288.40315031266056</v>
      </c>
      <c r="O1063" s="13">
        <v>9781.5897341558029</v>
      </c>
      <c r="P1063" s="13">
        <v>0</v>
      </c>
      <c r="Q1063" s="14">
        <v>1</v>
      </c>
      <c r="R1063" s="15">
        <v>0</v>
      </c>
    </row>
    <row r="1064" spans="1:18" ht="18" customHeight="1">
      <c r="A1064" s="10" t="s">
        <v>109</v>
      </c>
      <c r="B1064" s="10" t="s">
        <v>110</v>
      </c>
      <c r="C1064" s="10" t="s">
        <v>254</v>
      </c>
      <c r="D1064" s="10" t="s">
        <v>256</v>
      </c>
      <c r="E1064" s="16">
        <v>1</v>
      </c>
      <c r="F1064" s="16">
        <v>1</v>
      </c>
      <c r="G1064" s="13">
        <v>4.9572567999999996E-3</v>
      </c>
      <c r="H1064" s="13">
        <v>4.9572567999999996E-3</v>
      </c>
      <c r="I1064" s="14">
        <v>0</v>
      </c>
      <c r="J1064" s="15">
        <v>1</v>
      </c>
      <c r="K1064" s="14">
        <v>489.77881936844619</v>
      </c>
      <c r="L1064" s="13">
        <v>2.4279593828102013</v>
      </c>
      <c r="M1064" s="14">
        <v>3.6899999999999995</v>
      </c>
      <c r="N1064" s="14">
        <v>489.77881936844562</v>
      </c>
      <c r="O1064" s="13">
        <v>2.4279593828101986</v>
      </c>
      <c r="P1064" s="13">
        <v>2.6645352591003757E-15</v>
      </c>
      <c r="Q1064" s="14">
        <v>1.0000000000000011</v>
      </c>
      <c r="R1064" s="15">
        <v>1.0974381523698952E-15</v>
      </c>
    </row>
    <row r="1065" spans="1:18" ht="18" customHeight="1">
      <c r="A1065" s="10" t="s">
        <v>109</v>
      </c>
      <c r="B1065" s="10" t="s">
        <v>110</v>
      </c>
      <c r="C1065" s="10" t="s">
        <v>254</v>
      </c>
      <c r="D1065" s="10" t="s">
        <v>257</v>
      </c>
      <c r="E1065" s="16">
        <v>2</v>
      </c>
      <c r="F1065" s="16">
        <v>2</v>
      </c>
      <c r="G1065" s="13">
        <v>85.904019670300002</v>
      </c>
      <c r="H1065" s="13">
        <v>85.904019670300002</v>
      </c>
      <c r="I1065" s="14">
        <v>0</v>
      </c>
      <c r="J1065" s="15">
        <v>1</v>
      </c>
      <c r="K1065" s="14">
        <v>360.27518810203804</v>
      </c>
      <c r="L1065" s="13">
        <v>30949.086845438509</v>
      </c>
      <c r="M1065" s="14">
        <v>3.5499255106320691</v>
      </c>
      <c r="N1065" s="14">
        <v>354.7525375310293</v>
      </c>
      <c r="O1065" s="13">
        <v>30474.668962154381</v>
      </c>
      <c r="P1065" s="13">
        <v>474.41788328412804</v>
      </c>
      <c r="Q1065" s="14">
        <v>1.0155676140033971</v>
      </c>
      <c r="R1065" s="15">
        <v>1.5567614003397182E-2</v>
      </c>
    </row>
    <row r="1066" spans="1:18" ht="18" customHeight="1">
      <c r="A1066" s="10" t="s">
        <v>109</v>
      </c>
      <c r="B1066" s="10" t="s">
        <v>110</v>
      </c>
      <c r="C1066" s="10" t="s">
        <v>254</v>
      </c>
      <c r="D1066" s="10" t="s">
        <v>258</v>
      </c>
      <c r="E1066" s="16">
        <v>7</v>
      </c>
      <c r="F1066" s="16">
        <v>7</v>
      </c>
      <c r="G1066" s="13">
        <v>58889.131316878396</v>
      </c>
      <c r="H1066" s="13">
        <v>58889.131316878396</v>
      </c>
      <c r="I1066" s="14">
        <v>0</v>
      </c>
      <c r="J1066" s="15">
        <v>1</v>
      </c>
      <c r="K1066" s="14">
        <v>1375.7212295170664</v>
      </c>
      <c r="L1066" s="13">
        <v>81015028.14044793</v>
      </c>
      <c r="M1066" s="14">
        <v>4.1191472392599966</v>
      </c>
      <c r="N1066" s="14">
        <v>1315.6708096797136</v>
      </c>
      <c r="O1066" s="13">
        <v>77478711.081012383</v>
      </c>
      <c r="P1066" s="13">
        <v>3536317.0594355464</v>
      </c>
      <c r="Q1066" s="14">
        <v>1.0456424353231424</v>
      </c>
      <c r="R1066" s="15">
        <v>4.5642435323142432E-2</v>
      </c>
    </row>
    <row r="1067" spans="1:18" ht="18" customHeight="1">
      <c r="A1067" s="10" t="s">
        <v>109</v>
      </c>
      <c r="B1067" s="10" t="s">
        <v>110</v>
      </c>
      <c r="C1067" s="10" t="s">
        <v>254</v>
      </c>
      <c r="D1067" s="10" t="s">
        <v>259</v>
      </c>
      <c r="E1067" s="16">
        <v>13</v>
      </c>
      <c r="F1067" s="16">
        <v>13</v>
      </c>
      <c r="G1067" s="13">
        <v>1826.1607666757002</v>
      </c>
      <c r="H1067" s="13">
        <v>1826.1607666757002</v>
      </c>
      <c r="I1067" s="14">
        <v>0</v>
      </c>
      <c r="J1067" s="15">
        <v>1</v>
      </c>
      <c r="K1067" s="14">
        <v>1246.1285932938906</v>
      </c>
      <c r="L1067" s="13">
        <v>2275631.1473060832</v>
      </c>
      <c r="M1067" s="14">
        <v>3.9182843844083584</v>
      </c>
      <c r="N1067" s="14">
        <v>828.48449376460542</v>
      </c>
      <c r="O1067" s="13">
        <v>1512945.8783121011</v>
      </c>
      <c r="P1067" s="13">
        <v>762685.26899398211</v>
      </c>
      <c r="Q1067" s="14">
        <v>1.5041061150481221</v>
      </c>
      <c r="R1067" s="15">
        <v>0.50410611504812208</v>
      </c>
    </row>
    <row r="1068" spans="1:18" ht="18" customHeight="1">
      <c r="A1068" s="10" t="s">
        <v>109</v>
      </c>
      <c r="B1068" s="10" t="s">
        <v>110</v>
      </c>
      <c r="C1068" s="10" t="s">
        <v>254</v>
      </c>
      <c r="D1068" s="10" t="s">
        <v>260</v>
      </c>
      <c r="E1068" s="16">
        <v>1</v>
      </c>
      <c r="F1068" s="16">
        <v>1</v>
      </c>
      <c r="G1068" s="13">
        <v>4039.2908569585002</v>
      </c>
      <c r="H1068" s="13">
        <v>4039.2908569585002</v>
      </c>
      <c r="I1068" s="14">
        <v>0</v>
      </c>
      <c r="J1068" s="15">
        <v>1</v>
      </c>
      <c r="K1068" s="14">
        <v>1000</v>
      </c>
      <c r="L1068" s="13">
        <v>4039290.8569585001</v>
      </c>
      <c r="M1068" s="14">
        <v>4</v>
      </c>
      <c r="N1068" s="14">
        <v>1000</v>
      </c>
      <c r="O1068" s="13">
        <v>4039290.8569585001</v>
      </c>
      <c r="P1068" s="13">
        <v>0</v>
      </c>
      <c r="Q1068" s="14">
        <v>1</v>
      </c>
      <c r="R1068" s="15">
        <v>0</v>
      </c>
    </row>
    <row r="1069" spans="1:18" ht="18" customHeight="1">
      <c r="A1069" s="10" t="s">
        <v>109</v>
      </c>
      <c r="B1069" s="10" t="s">
        <v>110</v>
      </c>
      <c r="C1069" s="10" t="s">
        <v>254</v>
      </c>
      <c r="D1069" s="10" t="s">
        <v>261</v>
      </c>
      <c r="E1069" s="16">
        <v>9</v>
      </c>
      <c r="F1069" s="16">
        <v>9</v>
      </c>
      <c r="G1069" s="13">
        <v>110.70768492729999</v>
      </c>
      <c r="H1069" s="13">
        <v>110.70768492729999</v>
      </c>
      <c r="I1069" s="14">
        <v>0</v>
      </c>
      <c r="J1069" s="15">
        <v>1</v>
      </c>
      <c r="K1069" s="14">
        <v>3142.7553477231286</v>
      </c>
      <c r="L1069" s="13">
        <v>347927.16883931926</v>
      </c>
      <c r="M1069" s="14">
        <v>4.4936842497046063</v>
      </c>
      <c r="N1069" s="14">
        <v>3116.6228447193384</v>
      </c>
      <c r="O1069" s="13">
        <v>345034.09993041394</v>
      </c>
      <c r="P1069" s="13">
        <v>2893.0689089053194</v>
      </c>
      <c r="Q1069" s="14">
        <v>1.0083848782178015</v>
      </c>
      <c r="R1069" s="15">
        <v>8.3848782178016328E-3</v>
      </c>
    </row>
    <row r="1070" spans="1:18" ht="18" customHeight="1">
      <c r="A1070" s="10" t="s">
        <v>109</v>
      </c>
      <c r="B1070" s="10" t="s">
        <v>110</v>
      </c>
      <c r="C1070" s="10" t="s">
        <v>254</v>
      </c>
      <c r="D1070" s="10" t="s">
        <v>262</v>
      </c>
      <c r="E1070" s="16">
        <v>1</v>
      </c>
      <c r="F1070" s="16">
        <v>1</v>
      </c>
      <c r="G1070" s="13">
        <v>120.7214059783</v>
      </c>
      <c r="H1070" s="13">
        <v>120.7214059783</v>
      </c>
      <c r="I1070" s="14">
        <v>0</v>
      </c>
      <c r="J1070" s="15">
        <v>1</v>
      </c>
      <c r="K1070" s="14">
        <v>660.69344800759563</v>
      </c>
      <c r="L1070" s="13">
        <v>79759.841964127801</v>
      </c>
      <c r="M1070" s="14">
        <v>3.82</v>
      </c>
      <c r="N1070" s="14">
        <v>660.69344800759575</v>
      </c>
      <c r="O1070" s="13">
        <v>79759.841964127801</v>
      </c>
      <c r="P1070" s="13">
        <v>0</v>
      </c>
      <c r="Q1070" s="14">
        <v>1</v>
      </c>
      <c r="R1070" s="15">
        <v>0</v>
      </c>
    </row>
    <row r="1071" spans="1:18" ht="18" customHeight="1">
      <c r="A1071" s="10" t="s">
        <v>109</v>
      </c>
      <c r="B1071" s="10" t="s">
        <v>110</v>
      </c>
      <c r="C1071" s="10" t="s">
        <v>254</v>
      </c>
      <c r="D1071" s="10" t="s">
        <v>263</v>
      </c>
      <c r="E1071" s="16">
        <v>4</v>
      </c>
      <c r="F1071" s="16">
        <v>4</v>
      </c>
      <c r="G1071" s="13">
        <v>60944.306241924394</v>
      </c>
      <c r="H1071" s="13">
        <v>60944.306241924394</v>
      </c>
      <c r="I1071" s="14">
        <v>0</v>
      </c>
      <c r="J1071" s="15">
        <v>1</v>
      </c>
      <c r="K1071" s="14">
        <v>615.81565076085349</v>
      </c>
      <c r="L1071" s="13">
        <v>37530457.608539417</v>
      </c>
      <c r="M1071" s="14">
        <v>3.7890717343972193</v>
      </c>
      <c r="N1071" s="14">
        <v>615.27849266754424</v>
      </c>
      <c r="O1071" s="13">
        <v>37497720.881200448</v>
      </c>
      <c r="P1071" s="13">
        <v>32736.727338969707</v>
      </c>
      <c r="Q1071" s="14">
        <v>1.0008730324555641</v>
      </c>
      <c r="R1071" s="15">
        <v>8.7303245556404811E-4</v>
      </c>
    </row>
    <row r="1072" spans="1:18" ht="18" customHeight="1">
      <c r="A1072" s="10" t="s">
        <v>109</v>
      </c>
      <c r="B1072" s="10" t="s">
        <v>110</v>
      </c>
      <c r="C1072" s="10" t="s">
        <v>254</v>
      </c>
      <c r="D1072" s="10" t="s">
        <v>264</v>
      </c>
      <c r="E1072" s="16">
        <v>7</v>
      </c>
      <c r="F1072" s="16">
        <v>7</v>
      </c>
      <c r="G1072" s="13">
        <v>736.36144952239999</v>
      </c>
      <c r="H1072" s="13">
        <v>736.36144952239999</v>
      </c>
      <c r="I1072" s="14">
        <v>0</v>
      </c>
      <c r="J1072" s="15">
        <v>1</v>
      </c>
      <c r="K1072" s="14">
        <v>1656.0392736079211</v>
      </c>
      <c r="L1072" s="13">
        <v>1219443.4799799512</v>
      </c>
      <c r="M1072" s="14">
        <v>4.197083703494572</v>
      </c>
      <c r="N1072" s="14">
        <v>1574.2862543747553</v>
      </c>
      <c r="O1072" s="13">
        <v>1159243.7082345847</v>
      </c>
      <c r="P1072" s="13">
        <v>60199.77174536651</v>
      </c>
      <c r="Q1072" s="14">
        <v>1.0519302121872587</v>
      </c>
      <c r="R1072" s="15">
        <v>5.1930212187258622E-2</v>
      </c>
    </row>
    <row r="1073" spans="1:18" ht="18" customHeight="1">
      <c r="A1073" s="10" t="s">
        <v>109</v>
      </c>
      <c r="B1073" s="10" t="s">
        <v>110</v>
      </c>
      <c r="C1073" s="10" t="s">
        <v>254</v>
      </c>
      <c r="D1073" s="10" t="s">
        <v>265</v>
      </c>
      <c r="E1073" s="16">
        <v>6</v>
      </c>
      <c r="F1073" s="16">
        <v>6</v>
      </c>
      <c r="G1073" s="13">
        <v>142771.09240265752</v>
      </c>
      <c r="H1073" s="13">
        <v>142771.09240265752</v>
      </c>
      <c r="I1073" s="14">
        <v>0</v>
      </c>
      <c r="J1073" s="15">
        <v>1</v>
      </c>
      <c r="K1073" s="14">
        <v>422.43302546621152</v>
      </c>
      <c r="L1073" s="13">
        <v>60311224.51277066</v>
      </c>
      <c r="M1073" s="14">
        <v>3.605000956859004</v>
      </c>
      <c r="N1073" s="14">
        <v>402.71792161245196</v>
      </c>
      <c r="O1073" s="13">
        <v>57496477.598737568</v>
      </c>
      <c r="P1073" s="13">
        <v>2814746.9140330926</v>
      </c>
      <c r="Q1073" s="14">
        <v>1.0489551191931608</v>
      </c>
      <c r="R1073" s="15">
        <v>4.8955119193160715E-2</v>
      </c>
    </row>
    <row r="1074" spans="1:18" ht="18" customHeight="1">
      <c r="A1074" s="10" t="s">
        <v>109</v>
      </c>
      <c r="B1074" s="10" t="s">
        <v>110</v>
      </c>
      <c r="C1074" s="10" t="s">
        <v>254</v>
      </c>
      <c r="D1074" s="10" t="s">
        <v>266</v>
      </c>
      <c r="E1074" s="16">
        <v>4</v>
      </c>
      <c r="F1074" s="16">
        <v>4</v>
      </c>
      <c r="G1074" s="13">
        <v>340.45557078480005</v>
      </c>
      <c r="H1074" s="13">
        <v>340.45557078480005</v>
      </c>
      <c r="I1074" s="14">
        <v>0</v>
      </c>
      <c r="J1074" s="15">
        <v>1</v>
      </c>
      <c r="K1074" s="14">
        <v>720.29055075359815</v>
      </c>
      <c r="L1074" s="13">
        <v>245226.93058771425</v>
      </c>
      <c r="M1074" s="14">
        <v>3.6125016250755619</v>
      </c>
      <c r="N1074" s="14">
        <v>409.73364298265165</v>
      </c>
      <c r="O1074" s="13">
        <v>139496.10129139415</v>
      </c>
      <c r="P1074" s="13">
        <v>105730.82929632009</v>
      </c>
      <c r="Q1074" s="14">
        <v>1.757948274665099</v>
      </c>
      <c r="R1074" s="15">
        <v>0.75794827466509906</v>
      </c>
    </row>
    <row r="1075" spans="1:18" ht="18" customHeight="1">
      <c r="A1075" s="10" t="s">
        <v>109</v>
      </c>
      <c r="B1075" s="10" t="s">
        <v>110</v>
      </c>
      <c r="C1075" s="10" t="s">
        <v>254</v>
      </c>
      <c r="D1075" s="10" t="s">
        <v>267</v>
      </c>
      <c r="E1075" s="16">
        <v>3</v>
      </c>
      <c r="F1075" s="16">
        <v>3</v>
      </c>
      <c r="G1075" s="13">
        <v>210.71043061659998</v>
      </c>
      <c r="H1075" s="13">
        <v>210.71043061659998</v>
      </c>
      <c r="I1075" s="14">
        <v>0</v>
      </c>
      <c r="J1075" s="15">
        <v>1</v>
      </c>
      <c r="K1075" s="14">
        <v>446.07369619531539</v>
      </c>
      <c r="L1075" s="13">
        <v>93992.380612053297</v>
      </c>
      <c r="M1075" s="14">
        <v>3.6493574000829963</v>
      </c>
      <c r="N1075" s="14">
        <v>446.02314952809388</v>
      </c>
      <c r="O1075" s="13">
        <v>93981.729902036823</v>
      </c>
      <c r="P1075" s="13">
        <v>10.650710016474477</v>
      </c>
      <c r="Q1075" s="14">
        <v>1.0001133274523417</v>
      </c>
      <c r="R1075" s="15">
        <v>1.1332745234181573E-4</v>
      </c>
    </row>
    <row r="1076" spans="1:18" ht="18" customHeight="1">
      <c r="A1076" s="10" t="s">
        <v>109</v>
      </c>
      <c r="B1076" s="10" t="s">
        <v>110</v>
      </c>
      <c r="C1076" s="10" t="s">
        <v>254</v>
      </c>
      <c r="D1076" s="10" t="s">
        <v>268</v>
      </c>
      <c r="E1076" s="16">
        <v>6</v>
      </c>
      <c r="F1076" s="16">
        <v>6</v>
      </c>
      <c r="G1076" s="13">
        <v>193.94157130879998</v>
      </c>
      <c r="H1076" s="13">
        <v>193.94157130879998</v>
      </c>
      <c r="I1076" s="14">
        <v>0</v>
      </c>
      <c r="J1076" s="15">
        <v>1</v>
      </c>
      <c r="K1076" s="14">
        <v>1469.8567762405648</v>
      </c>
      <c r="L1076" s="13">
        <v>285066.33278298238</v>
      </c>
      <c r="M1076" s="14">
        <v>4.0911496709423441</v>
      </c>
      <c r="N1076" s="14">
        <v>1233.5298714833682</v>
      </c>
      <c r="O1076" s="13">
        <v>239232.72153182654</v>
      </c>
      <c r="P1076" s="13">
        <v>45833.611251155846</v>
      </c>
      <c r="Q1076" s="14">
        <v>1.1915858790456402</v>
      </c>
      <c r="R1076" s="15">
        <v>0.1915858790456402</v>
      </c>
    </row>
    <row r="1077" spans="1:18" ht="18" customHeight="1">
      <c r="A1077" s="10" t="s">
        <v>109</v>
      </c>
      <c r="B1077" s="10" t="s">
        <v>110</v>
      </c>
      <c r="C1077" s="10" t="s">
        <v>254</v>
      </c>
      <c r="D1077" s="10" t="s">
        <v>269</v>
      </c>
      <c r="E1077" s="16">
        <v>10</v>
      </c>
      <c r="F1077" s="16">
        <v>10</v>
      </c>
      <c r="G1077" s="13">
        <v>24603.176020165796</v>
      </c>
      <c r="H1077" s="13">
        <v>24603.176020165796</v>
      </c>
      <c r="I1077" s="14">
        <v>0</v>
      </c>
      <c r="J1077" s="15">
        <v>1</v>
      </c>
      <c r="K1077" s="14">
        <v>371.61371848729948</v>
      </c>
      <c r="L1077" s="13">
        <v>9142877.7274513692</v>
      </c>
      <c r="M1077" s="14">
        <v>3.3728476035533577</v>
      </c>
      <c r="N1077" s="14">
        <v>235.96500730217977</v>
      </c>
      <c r="O1077" s="13">
        <v>5805488.6092552366</v>
      </c>
      <c r="P1077" s="13">
        <v>3337389.1181961326</v>
      </c>
      <c r="Q1077" s="14">
        <v>1.5748679125604681</v>
      </c>
      <c r="R1077" s="15">
        <v>0.5748679125604681</v>
      </c>
    </row>
    <row r="1078" spans="1:18" ht="18" customHeight="1">
      <c r="A1078" s="10" t="s">
        <v>109</v>
      </c>
      <c r="B1078" s="10" t="s">
        <v>110</v>
      </c>
      <c r="C1078" s="10" t="s">
        <v>254</v>
      </c>
      <c r="D1078" s="10" t="s">
        <v>270</v>
      </c>
      <c r="E1078" s="16">
        <v>6</v>
      </c>
      <c r="F1078" s="16">
        <v>6</v>
      </c>
      <c r="G1078" s="13">
        <v>12174.462991273298</v>
      </c>
      <c r="H1078" s="13">
        <v>12174.462991273298</v>
      </c>
      <c r="I1078" s="14">
        <v>0</v>
      </c>
      <c r="J1078" s="15">
        <v>1</v>
      </c>
      <c r="K1078" s="14">
        <v>249.81250359619779</v>
      </c>
      <c r="L1078" s="13">
        <v>3041333.0797892376</v>
      </c>
      <c r="M1078" s="14">
        <v>3.3924570812985384</v>
      </c>
      <c r="N1078" s="14">
        <v>246.86361324474157</v>
      </c>
      <c r="O1078" s="13">
        <v>3005431.923340111</v>
      </c>
      <c r="P1078" s="13">
        <v>35901.156449126545</v>
      </c>
      <c r="Q1078" s="14">
        <v>1.0119454232752101</v>
      </c>
      <c r="R1078" s="15">
        <v>1.1945423275210141E-2</v>
      </c>
    </row>
    <row r="1079" spans="1:18" ht="18" customHeight="1">
      <c r="A1079" s="10" t="s">
        <v>109</v>
      </c>
      <c r="B1079" s="10" t="s">
        <v>110</v>
      </c>
      <c r="C1079" s="10" t="s">
        <v>254</v>
      </c>
      <c r="D1079" s="10" t="s">
        <v>276</v>
      </c>
      <c r="E1079" s="16">
        <v>1</v>
      </c>
      <c r="F1079" s="16">
        <v>1</v>
      </c>
      <c r="G1079" s="13">
        <v>47.4953185185</v>
      </c>
      <c r="H1079" s="13">
        <v>47.4953185185</v>
      </c>
      <c r="I1079" s="14">
        <v>0</v>
      </c>
      <c r="J1079" s="15">
        <v>1</v>
      </c>
      <c r="K1079" s="14">
        <v>524.80746024977282</v>
      </c>
      <c r="L1079" s="13">
        <v>24925.897485447986</v>
      </c>
      <c r="M1079" s="14">
        <v>3.72</v>
      </c>
      <c r="N1079" s="14">
        <v>524.80746024977282</v>
      </c>
      <c r="O1079" s="13">
        <v>24925.897485447986</v>
      </c>
      <c r="P1079" s="13">
        <v>0</v>
      </c>
      <c r="Q1079" s="14">
        <v>1</v>
      </c>
      <c r="R1079" s="15">
        <v>0</v>
      </c>
    </row>
    <row r="1080" spans="1:18" ht="18" customHeight="1">
      <c r="A1080" s="10" t="s">
        <v>109</v>
      </c>
      <c r="B1080" s="10" t="s">
        <v>110</v>
      </c>
      <c r="C1080" s="10" t="s">
        <v>254</v>
      </c>
      <c r="D1080" s="10" t="s">
        <v>271</v>
      </c>
      <c r="E1080" s="16">
        <v>11</v>
      </c>
      <c r="F1080" s="16">
        <v>11</v>
      </c>
      <c r="G1080" s="13">
        <v>85685.496524070593</v>
      </c>
      <c r="H1080" s="13">
        <v>85685.496524070593</v>
      </c>
      <c r="I1080" s="14">
        <v>0</v>
      </c>
      <c r="J1080" s="15">
        <v>1</v>
      </c>
      <c r="K1080" s="14">
        <v>14.607127138866147</v>
      </c>
      <c r="L1080" s="13">
        <v>1251618.9416839725</v>
      </c>
      <c r="M1080" s="14">
        <v>2.0979400056395545</v>
      </c>
      <c r="N1080" s="14">
        <v>12.529680753192681</v>
      </c>
      <c r="O1080" s="13">
        <v>1073611.9166254057</v>
      </c>
      <c r="P1080" s="13">
        <v>178007.02505856683</v>
      </c>
      <c r="Q1080" s="14">
        <v>1.1658020205458239</v>
      </c>
      <c r="R1080" s="15">
        <v>0.16580202054582385</v>
      </c>
    </row>
    <row r="1081" spans="1:18" ht="18" customHeight="1">
      <c r="A1081" s="10" t="s">
        <v>109</v>
      </c>
      <c r="B1081" s="10" t="s">
        <v>110</v>
      </c>
      <c r="C1081" s="10" t="s">
        <v>254</v>
      </c>
      <c r="D1081" s="10" t="s">
        <v>272</v>
      </c>
      <c r="E1081" s="16">
        <v>3</v>
      </c>
      <c r="F1081" s="16">
        <v>3</v>
      </c>
      <c r="G1081" s="13">
        <v>56167.02114180541</v>
      </c>
      <c r="H1081" s="13">
        <v>56167.02114180541</v>
      </c>
      <c r="I1081" s="14">
        <v>0</v>
      </c>
      <c r="J1081" s="15">
        <v>1</v>
      </c>
      <c r="K1081" s="14">
        <v>40.265995541943461</v>
      </c>
      <c r="L1081" s="13">
        <v>2261621.0229001809</v>
      </c>
      <c r="M1081" s="14">
        <v>2.6028039565176906</v>
      </c>
      <c r="N1081" s="14">
        <v>40.068580450087424</v>
      </c>
      <c r="O1081" s="13">
        <v>2250532.8052621912</v>
      </c>
      <c r="P1081" s="13">
        <v>11088.21763798967</v>
      </c>
      <c r="Q1081" s="14">
        <v>1.0049269300194439</v>
      </c>
      <c r="R1081" s="15">
        <v>4.926930019443939E-3</v>
      </c>
    </row>
    <row r="1082" spans="1:18" ht="18" customHeight="1">
      <c r="A1082" s="10" t="s">
        <v>109</v>
      </c>
      <c r="B1082" s="10" t="s">
        <v>110</v>
      </c>
      <c r="C1082" s="10" t="s">
        <v>254</v>
      </c>
      <c r="D1082" s="10" t="s">
        <v>273</v>
      </c>
      <c r="E1082" s="16">
        <v>5</v>
      </c>
      <c r="F1082" s="16">
        <v>5</v>
      </c>
      <c r="G1082" s="13">
        <v>24581.992390420197</v>
      </c>
      <c r="H1082" s="13">
        <v>24581.992390420197</v>
      </c>
      <c r="I1082" s="14">
        <v>0</v>
      </c>
      <c r="J1082" s="15">
        <v>1</v>
      </c>
      <c r="K1082" s="14">
        <v>141.79343991402749</v>
      </c>
      <c r="L1082" s="13">
        <v>3485565.2609781274</v>
      </c>
      <c r="M1082" s="14">
        <v>3.1510251877861397</v>
      </c>
      <c r="N1082" s="14">
        <v>141.58758941596815</v>
      </c>
      <c r="O1082" s="13">
        <v>3480505.0456012683</v>
      </c>
      <c r="P1082" s="13">
        <v>5060.2153768590651</v>
      </c>
      <c r="Q1082" s="14">
        <v>1.0014538738805319</v>
      </c>
      <c r="R1082" s="15">
        <v>1.4538738805318688E-3</v>
      </c>
    </row>
    <row r="1083" spans="1:18" ht="18" customHeight="1">
      <c r="A1083" s="10" t="s">
        <v>109</v>
      </c>
      <c r="B1083" s="10" t="s">
        <v>110</v>
      </c>
      <c r="C1083" s="10" t="s">
        <v>254</v>
      </c>
      <c r="D1083" s="10" t="s">
        <v>274</v>
      </c>
      <c r="E1083" s="16">
        <v>6</v>
      </c>
      <c r="F1083" s="16">
        <v>6</v>
      </c>
      <c r="G1083" s="13">
        <v>32527.780561093092</v>
      </c>
      <c r="H1083" s="13">
        <v>32527.780561093092</v>
      </c>
      <c r="I1083" s="14">
        <v>0</v>
      </c>
      <c r="J1083" s="15">
        <v>1</v>
      </c>
      <c r="K1083" s="14">
        <v>2001.0542382482276</v>
      </c>
      <c r="L1083" s="13">
        <v>65089853.152583644</v>
      </c>
      <c r="M1083" s="14">
        <v>4.2079986104667686</v>
      </c>
      <c r="N1083" s="14">
        <v>1614.3533916646732</v>
      </c>
      <c r="O1083" s="13">
        <v>52511332.872124858</v>
      </c>
      <c r="P1083" s="13">
        <v>12578520.280458786</v>
      </c>
      <c r="Q1083" s="14">
        <v>1.23953915454955</v>
      </c>
      <c r="R1083" s="15">
        <v>0.23953915454955008</v>
      </c>
    </row>
    <row r="1084" spans="1:18" ht="18" customHeight="1">
      <c r="A1084" s="10" t="s">
        <v>109</v>
      </c>
      <c r="B1084" s="10" t="s">
        <v>110</v>
      </c>
      <c r="C1084" s="10" t="s">
        <v>254</v>
      </c>
      <c r="D1084" s="10" t="s">
        <v>275</v>
      </c>
      <c r="E1084" s="16">
        <v>1</v>
      </c>
      <c r="F1084" s="16">
        <v>1</v>
      </c>
      <c r="G1084" s="13">
        <v>332.31508187769998</v>
      </c>
      <c r="H1084" s="13">
        <v>332.31508187769998</v>
      </c>
      <c r="I1084" s="14">
        <v>0</v>
      </c>
      <c r="J1084" s="15">
        <v>1</v>
      </c>
      <c r="K1084" s="14">
        <v>691.83097091893626</v>
      </c>
      <c r="L1084" s="13">
        <v>229905.86574645498</v>
      </c>
      <c r="M1084" s="14">
        <v>3.8399999999999994</v>
      </c>
      <c r="N1084" s="14">
        <v>691.83097091893558</v>
      </c>
      <c r="O1084" s="13">
        <v>229905.86574645474</v>
      </c>
      <c r="P1084" s="13">
        <v>2.3283064365386963E-10</v>
      </c>
      <c r="Q1084" s="14">
        <v>1.0000000000000011</v>
      </c>
      <c r="R1084" s="15">
        <v>1.0127216323860148E-15</v>
      </c>
    </row>
    <row r="1085" spans="1:18" ht="18" customHeight="1">
      <c r="A1085" s="10" t="s">
        <v>145</v>
      </c>
      <c r="B1085" s="10" t="s">
        <v>146</v>
      </c>
      <c r="C1085" s="10" t="s">
        <v>254</v>
      </c>
      <c r="D1085" s="10" t="s">
        <v>255</v>
      </c>
      <c r="E1085" s="16">
        <v>3</v>
      </c>
      <c r="F1085" s="16">
        <v>3</v>
      </c>
      <c r="G1085" s="13">
        <v>5.7793089161999998</v>
      </c>
      <c r="H1085" s="13">
        <v>5.7793089161999998</v>
      </c>
      <c r="I1085" s="14">
        <v>0</v>
      </c>
      <c r="J1085" s="15">
        <v>1</v>
      </c>
      <c r="K1085" s="14">
        <v>464.05518772075834</v>
      </c>
      <c r="L1085" s="13">
        <v>2681.9182840034432</v>
      </c>
      <c r="M1085" s="14">
        <v>3.656320534198926</v>
      </c>
      <c r="N1085" s="14">
        <v>453.23196763770733</v>
      </c>
      <c r="O1085" s="13">
        <v>2619.3675516754715</v>
      </c>
      <c r="P1085" s="13">
        <v>62.550732327971673</v>
      </c>
      <c r="Q1085" s="14">
        <v>1.0238800897903624</v>
      </c>
      <c r="R1085" s="15">
        <v>2.3880089790362283E-2</v>
      </c>
    </row>
    <row r="1086" spans="1:18" ht="18" customHeight="1">
      <c r="A1086" s="10" t="s">
        <v>145</v>
      </c>
      <c r="B1086" s="10" t="s">
        <v>146</v>
      </c>
      <c r="C1086" s="10" t="s">
        <v>254</v>
      </c>
      <c r="D1086" s="10" t="s">
        <v>256</v>
      </c>
      <c r="E1086" s="16">
        <v>1</v>
      </c>
      <c r="F1086" s="16">
        <v>1</v>
      </c>
      <c r="G1086" s="13">
        <v>76.131241468900001</v>
      </c>
      <c r="H1086" s="13">
        <v>76.131241468900001</v>
      </c>
      <c r="I1086" s="14">
        <v>0</v>
      </c>
      <c r="J1086" s="15">
        <v>1</v>
      </c>
      <c r="K1086" s="14">
        <v>2630.2679918953813</v>
      </c>
      <c r="L1086" s="13">
        <v>200245.56761890597</v>
      </c>
      <c r="M1086" s="14">
        <v>4.42</v>
      </c>
      <c r="N1086" s="14">
        <v>2630.2679918953813</v>
      </c>
      <c r="O1086" s="13">
        <v>200245.56761890597</v>
      </c>
      <c r="P1086" s="13">
        <v>0</v>
      </c>
      <c r="Q1086" s="14">
        <v>1</v>
      </c>
      <c r="R1086" s="15">
        <v>0</v>
      </c>
    </row>
    <row r="1087" spans="1:18" ht="18" customHeight="1">
      <c r="A1087" s="10" t="s">
        <v>145</v>
      </c>
      <c r="B1087" s="10" t="s">
        <v>146</v>
      </c>
      <c r="C1087" s="10" t="s">
        <v>254</v>
      </c>
      <c r="D1087" s="10" t="s">
        <v>257</v>
      </c>
      <c r="E1087" s="16">
        <v>1</v>
      </c>
      <c r="F1087" s="16">
        <v>1</v>
      </c>
      <c r="G1087" s="13">
        <v>280.0678282609</v>
      </c>
      <c r="H1087" s="13">
        <v>280.0678282609</v>
      </c>
      <c r="I1087" s="14">
        <v>0</v>
      </c>
      <c r="J1087" s="15">
        <v>1</v>
      </c>
      <c r="K1087" s="14">
        <v>1659.5869074375596</v>
      </c>
      <c r="L1087" s="13">
        <v>464796.9009762606</v>
      </c>
      <c r="M1087" s="14">
        <v>4.22</v>
      </c>
      <c r="N1087" s="14">
        <v>1659.5869074375596</v>
      </c>
      <c r="O1087" s="13">
        <v>464796.9009762606</v>
      </c>
      <c r="P1087" s="13">
        <v>0</v>
      </c>
      <c r="Q1087" s="14">
        <v>1</v>
      </c>
      <c r="R1087" s="15">
        <v>0</v>
      </c>
    </row>
    <row r="1088" spans="1:18" ht="18" customHeight="1">
      <c r="A1088" s="10" t="s">
        <v>145</v>
      </c>
      <c r="B1088" s="10" t="s">
        <v>146</v>
      </c>
      <c r="C1088" s="10" t="s">
        <v>254</v>
      </c>
      <c r="D1088" s="10" t="s">
        <v>258</v>
      </c>
      <c r="E1088" s="16">
        <v>5</v>
      </c>
      <c r="F1088" s="16">
        <v>5</v>
      </c>
      <c r="G1088" s="13">
        <v>160.1700357622</v>
      </c>
      <c r="H1088" s="13">
        <v>160.1700357622</v>
      </c>
      <c r="I1088" s="14">
        <v>0</v>
      </c>
      <c r="J1088" s="15">
        <v>1</v>
      </c>
      <c r="K1088" s="14">
        <v>1027.8711727814029</v>
      </c>
      <c r="L1088" s="13">
        <v>164634.16250333178</v>
      </c>
      <c r="M1088" s="14">
        <v>3.4828377069797303</v>
      </c>
      <c r="N1088" s="14">
        <v>303.97488790393913</v>
      </c>
      <c r="O1088" s="13">
        <v>48687.66866638467</v>
      </c>
      <c r="P1088" s="13">
        <v>115946.49383694711</v>
      </c>
      <c r="Q1088" s="14">
        <v>3.3814344989781739</v>
      </c>
      <c r="R1088" s="15">
        <v>2.3814344989781739</v>
      </c>
    </row>
    <row r="1089" spans="1:18" ht="18" customHeight="1">
      <c r="A1089" s="10" t="s">
        <v>145</v>
      </c>
      <c r="B1089" s="10" t="s">
        <v>146</v>
      </c>
      <c r="C1089" s="10" t="s">
        <v>254</v>
      </c>
      <c r="D1089" s="10" t="s">
        <v>259</v>
      </c>
      <c r="E1089" s="16">
        <v>1</v>
      </c>
      <c r="F1089" s="16">
        <v>1</v>
      </c>
      <c r="G1089" s="13">
        <v>71.186160951899993</v>
      </c>
      <c r="H1089" s="13">
        <v>71.186160951899993</v>
      </c>
      <c r="I1089" s="14">
        <v>0</v>
      </c>
      <c r="J1089" s="15">
        <v>1</v>
      </c>
      <c r="K1089" s="14">
        <v>3090.295432513592</v>
      </c>
      <c r="L1089" s="13">
        <v>219986.26804783396</v>
      </c>
      <c r="M1089" s="14">
        <v>4.49</v>
      </c>
      <c r="N1089" s="14">
        <v>3090.295432513592</v>
      </c>
      <c r="O1089" s="13">
        <v>219986.26804783396</v>
      </c>
      <c r="P1089" s="13">
        <v>0</v>
      </c>
      <c r="Q1089" s="14">
        <v>1</v>
      </c>
      <c r="R1089" s="15">
        <v>0</v>
      </c>
    </row>
    <row r="1090" spans="1:18" ht="18" customHeight="1">
      <c r="A1090" s="10" t="s">
        <v>145</v>
      </c>
      <c r="B1090" s="10" t="s">
        <v>146</v>
      </c>
      <c r="C1090" s="10" t="s">
        <v>254</v>
      </c>
      <c r="D1090" s="10" t="s">
        <v>261</v>
      </c>
      <c r="E1090" s="16">
        <v>17</v>
      </c>
      <c r="F1090" s="16">
        <v>17</v>
      </c>
      <c r="G1090" s="13">
        <v>15276.513703099999</v>
      </c>
      <c r="H1090" s="13">
        <v>15276.513703099999</v>
      </c>
      <c r="I1090" s="14">
        <v>0</v>
      </c>
      <c r="J1090" s="15">
        <v>1</v>
      </c>
      <c r="K1090" s="14">
        <v>2358.5527658393726</v>
      </c>
      <c r="L1090" s="13">
        <v>36030463.646829583</v>
      </c>
      <c r="M1090" s="14">
        <v>4.363893245083446</v>
      </c>
      <c r="N1090" s="14">
        <v>2311.4965261052644</v>
      </c>
      <c r="O1090" s="13">
        <v>35311608.355715118</v>
      </c>
      <c r="P1090" s="13">
        <v>718855.2911144644</v>
      </c>
      <c r="Q1090" s="14">
        <v>1.0203574780245919</v>
      </c>
      <c r="R1090" s="15">
        <v>2.0357478024591848E-2</v>
      </c>
    </row>
    <row r="1091" spans="1:18" ht="18" customHeight="1">
      <c r="A1091" s="10" t="s">
        <v>145</v>
      </c>
      <c r="B1091" s="10" t="s">
        <v>146</v>
      </c>
      <c r="C1091" s="10" t="s">
        <v>254</v>
      </c>
      <c r="D1091" s="10" t="s">
        <v>262</v>
      </c>
      <c r="E1091" s="16">
        <v>1</v>
      </c>
      <c r="F1091" s="16">
        <v>1</v>
      </c>
      <c r="G1091" s="13">
        <v>1.4475016023</v>
      </c>
      <c r="H1091" s="13">
        <v>1.4475016023</v>
      </c>
      <c r="I1091" s="14">
        <v>0</v>
      </c>
      <c r="J1091" s="15">
        <v>1</v>
      </c>
      <c r="K1091" s="14">
        <v>229.08676527677721</v>
      </c>
      <c r="L1091" s="13">
        <v>331.60345980385904</v>
      </c>
      <c r="M1091" s="14">
        <v>3.3600000000000003</v>
      </c>
      <c r="N1091" s="14">
        <v>229.08676527677747</v>
      </c>
      <c r="O1091" s="13">
        <v>331.60345980385938</v>
      </c>
      <c r="P1091" s="13">
        <v>-3.4106051316484809E-13</v>
      </c>
      <c r="Q1091" s="14">
        <v>0.999999999999999</v>
      </c>
      <c r="R1091" s="15">
        <v>-1.0285191637221833E-15</v>
      </c>
    </row>
    <row r="1092" spans="1:18" ht="18" customHeight="1">
      <c r="A1092" s="10" t="s">
        <v>145</v>
      </c>
      <c r="B1092" s="10" t="s">
        <v>146</v>
      </c>
      <c r="C1092" s="10" t="s">
        <v>254</v>
      </c>
      <c r="D1092" s="10" t="s">
        <v>263</v>
      </c>
      <c r="E1092" s="16">
        <v>9</v>
      </c>
      <c r="F1092" s="16">
        <v>9</v>
      </c>
      <c r="G1092" s="13">
        <v>1699.1816940392998</v>
      </c>
      <c r="H1092" s="13">
        <v>1699.1816940392998</v>
      </c>
      <c r="I1092" s="14">
        <v>0</v>
      </c>
      <c r="J1092" s="15">
        <v>1</v>
      </c>
      <c r="K1092" s="14">
        <v>2889.0707232908344</v>
      </c>
      <c r="L1092" s="13">
        <v>4909056.0858006654</v>
      </c>
      <c r="M1092" s="14">
        <v>4.4519072318942303</v>
      </c>
      <c r="N1092" s="14">
        <v>2830.7872567758823</v>
      </c>
      <c r="O1092" s="13">
        <v>4810021.8864333062</v>
      </c>
      <c r="P1092" s="13">
        <v>99034.199367359281</v>
      </c>
      <c r="Q1092" s="14">
        <v>1.0205891369531366</v>
      </c>
      <c r="R1092" s="15">
        <v>2.0589136953136491E-2</v>
      </c>
    </row>
    <row r="1093" spans="1:18" ht="18" customHeight="1">
      <c r="A1093" s="10" t="s">
        <v>145</v>
      </c>
      <c r="B1093" s="10" t="s">
        <v>146</v>
      </c>
      <c r="C1093" s="10" t="s">
        <v>254</v>
      </c>
      <c r="D1093" s="10" t="s">
        <v>264</v>
      </c>
      <c r="E1093" s="16">
        <v>6</v>
      </c>
      <c r="F1093" s="16">
        <v>6</v>
      </c>
      <c r="G1093" s="13">
        <v>206.48458765549998</v>
      </c>
      <c r="H1093" s="13">
        <v>206.48458765549998</v>
      </c>
      <c r="I1093" s="14">
        <v>0</v>
      </c>
      <c r="J1093" s="15">
        <v>1</v>
      </c>
      <c r="K1093" s="14">
        <v>1627.4855698344354</v>
      </c>
      <c r="L1093" s="13">
        <v>336050.6868025398</v>
      </c>
      <c r="M1093" s="14">
        <v>4.1879730179386163</v>
      </c>
      <c r="N1093" s="14">
        <v>1541.6046724001894</v>
      </c>
      <c r="O1093" s="13">
        <v>318317.60510834522</v>
      </c>
      <c r="P1093" s="13">
        <v>17733.081694194581</v>
      </c>
      <c r="Q1093" s="14">
        <v>1.0557087682541428</v>
      </c>
      <c r="R1093" s="15">
        <v>5.5708768254142914E-2</v>
      </c>
    </row>
    <row r="1094" spans="1:18" ht="18" customHeight="1">
      <c r="A1094" s="10" t="s">
        <v>145</v>
      </c>
      <c r="B1094" s="10" t="s">
        <v>146</v>
      </c>
      <c r="C1094" s="10" t="s">
        <v>254</v>
      </c>
      <c r="D1094" s="10" t="s">
        <v>265</v>
      </c>
      <c r="E1094" s="16">
        <v>3</v>
      </c>
      <c r="F1094" s="16">
        <v>3</v>
      </c>
      <c r="G1094" s="13">
        <v>2.6675878647999998</v>
      </c>
      <c r="H1094" s="13">
        <v>2.6675878647999998</v>
      </c>
      <c r="I1094" s="14">
        <v>0</v>
      </c>
      <c r="J1094" s="15">
        <v>1</v>
      </c>
      <c r="K1094" s="14">
        <v>555.46104965201641</v>
      </c>
      <c r="L1094" s="13">
        <v>1481.741155420789</v>
      </c>
      <c r="M1094" s="14">
        <v>3.6978166990077996</v>
      </c>
      <c r="N1094" s="14">
        <v>498.673969643335</v>
      </c>
      <c r="O1094" s="13">
        <v>1330.2566299122038</v>
      </c>
      <c r="P1094" s="13">
        <v>151.48452550858519</v>
      </c>
      <c r="Q1094" s="14">
        <v>1.1138761665247878</v>
      </c>
      <c r="R1094" s="15">
        <v>0.11387616652478784</v>
      </c>
    </row>
    <row r="1095" spans="1:18" ht="18" customHeight="1">
      <c r="A1095" s="10" t="s">
        <v>145</v>
      </c>
      <c r="B1095" s="10" t="s">
        <v>146</v>
      </c>
      <c r="C1095" s="10" t="s">
        <v>254</v>
      </c>
      <c r="D1095" s="10" t="s">
        <v>266</v>
      </c>
      <c r="E1095" s="16">
        <v>1</v>
      </c>
      <c r="F1095" s="16">
        <v>1</v>
      </c>
      <c r="G1095" s="13">
        <v>21.249301938000002</v>
      </c>
      <c r="H1095" s="13">
        <v>21.249301938000002</v>
      </c>
      <c r="I1095" s="14">
        <v>0</v>
      </c>
      <c r="J1095" s="15">
        <v>1</v>
      </c>
      <c r="K1095" s="14">
        <v>467.73514128719813</v>
      </c>
      <c r="L1095" s="13">
        <v>9939.0452442247642</v>
      </c>
      <c r="M1095" s="14">
        <v>3.6699999999999995</v>
      </c>
      <c r="N1095" s="14">
        <v>467.73514128719762</v>
      </c>
      <c r="O1095" s="13">
        <v>9939.0452442247533</v>
      </c>
      <c r="P1095" s="13">
        <v>1.0913936421275139E-11</v>
      </c>
      <c r="Q1095" s="14">
        <v>1.0000000000000011</v>
      </c>
      <c r="R1095" s="15">
        <v>1.0980870046463328E-15</v>
      </c>
    </row>
    <row r="1096" spans="1:18" ht="18" customHeight="1">
      <c r="A1096" s="10" t="s">
        <v>145</v>
      </c>
      <c r="B1096" s="10" t="s">
        <v>146</v>
      </c>
      <c r="C1096" s="10" t="s">
        <v>254</v>
      </c>
      <c r="D1096" s="10" t="s">
        <v>267</v>
      </c>
      <c r="E1096" s="16">
        <v>2</v>
      </c>
      <c r="F1096" s="16">
        <v>2</v>
      </c>
      <c r="G1096" s="13">
        <v>3.4983644299999998E-2</v>
      </c>
      <c r="H1096" s="13">
        <v>3.4983644299999998E-2</v>
      </c>
      <c r="I1096" s="14">
        <v>0</v>
      </c>
      <c r="J1096" s="15">
        <v>1</v>
      </c>
      <c r="K1096" s="14">
        <v>362.81080619940997</v>
      </c>
      <c r="L1096" s="13">
        <v>12.692444192276392</v>
      </c>
      <c r="M1096" s="14">
        <v>3.490706156876858</v>
      </c>
      <c r="N1096" s="14">
        <v>309.53242978686575</v>
      </c>
      <c r="O1096" s="13">
        <v>10.828572422978436</v>
      </c>
      <c r="P1096" s="13">
        <v>1.8638717692979565</v>
      </c>
      <c r="Q1096" s="14">
        <v>1.1721253454742369</v>
      </c>
      <c r="R1096" s="15">
        <v>0.17212534547423677</v>
      </c>
    </row>
    <row r="1097" spans="1:18" ht="18" customHeight="1">
      <c r="A1097" s="10" t="s">
        <v>145</v>
      </c>
      <c r="B1097" s="10" t="s">
        <v>146</v>
      </c>
      <c r="C1097" s="10" t="s">
        <v>254</v>
      </c>
      <c r="D1097" s="10" t="s">
        <v>268</v>
      </c>
      <c r="E1097" s="16">
        <v>3</v>
      </c>
      <c r="F1097" s="16">
        <v>3</v>
      </c>
      <c r="G1097" s="13">
        <v>302.50416617279996</v>
      </c>
      <c r="H1097" s="13">
        <v>302.50416617279996</v>
      </c>
      <c r="I1097" s="14">
        <v>0</v>
      </c>
      <c r="J1097" s="15">
        <v>1</v>
      </c>
      <c r="K1097" s="14">
        <v>1227.8256519379836</v>
      </c>
      <c r="L1097" s="13">
        <v>371422.37504507421</v>
      </c>
      <c r="M1097" s="14">
        <v>4.0888601512156288</v>
      </c>
      <c r="N1097" s="14">
        <v>1227.0440425094387</v>
      </c>
      <c r="O1097" s="13">
        <v>371185.93493661942</v>
      </c>
      <c r="P1097" s="13">
        <v>236.44010845478624</v>
      </c>
      <c r="Q1097" s="14">
        <v>1.0006369856349626</v>
      </c>
      <c r="R1097" s="15">
        <v>6.3698563496259299E-4</v>
      </c>
    </row>
    <row r="1098" spans="1:18" ht="18" customHeight="1">
      <c r="A1098" s="10" t="s">
        <v>145</v>
      </c>
      <c r="B1098" s="10" t="s">
        <v>146</v>
      </c>
      <c r="C1098" s="10" t="s">
        <v>254</v>
      </c>
      <c r="D1098" s="10" t="s">
        <v>269</v>
      </c>
      <c r="E1098" s="16">
        <v>10</v>
      </c>
      <c r="F1098" s="16">
        <v>10</v>
      </c>
      <c r="G1098" s="13">
        <v>1070.1442989993002</v>
      </c>
      <c r="H1098" s="13">
        <v>1070.1442989993002</v>
      </c>
      <c r="I1098" s="14">
        <v>0</v>
      </c>
      <c r="J1098" s="15">
        <v>1</v>
      </c>
      <c r="K1098" s="14">
        <v>526.96573063901928</v>
      </c>
      <c r="L1098" s="13">
        <v>563929.37241134734</v>
      </c>
      <c r="M1098" s="14">
        <v>3.5003437143019585</v>
      </c>
      <c r="N1098" s="14">
        <v>316.47813767218014</v>
      </c>
      <c r="O1098" s="13">
        <v>338677.27478779922</v>
      </c>
      <c r="P1098" s="13">
        <v>225252.09762354812</v>
      </c>
      <c r="Q1098" s="14">
        <v>1.6650936286312139</v>
      </c>
      <c r="R1098" s="15">
        <v>0.66509362863121391</v>
      </c>
    </row>
    <row r="1099" spans="1:18" ht="18" customHeight="1">
      <c r="A1099" s="10" t="s">
        <v>145</v>
      </c>
      <c r="B1099" s="10" t="s">
        <v>146</v>
      </c>
      <c r="C1099" s="10" t="s">
        <v>254</v>
      </c>
      <c r="D1099" s="10" t="s">
        <v>270</v>
      </c>
      <c r="E1099" s="16">
        <v>7</v>
      </c>
      <c r="F1099" s="16">
        <v>7</v>
      </c>
      <c r="G1099" s="13">
        <v>927.01965396539993</v>
      </c>
      <c r="H1099" s="13">
        <v>927.01965396539993</v>
      </c>
      <c r="I1099" s="14">
        <v>0</v>
      </c>
      <c r="J1099" s="15">
        <v>1</v>
      </c>
      <c r="K1099" s="14">
        <v>1203.0003458954175</v>
      </c>
      <c r="L1099" s="13">
        <v>1115204.9643722263</v>
      </c>
      <c r="M1099" s="14">
        <v>3.9983529545390866</v>
      </c>
      <c r="N1099" s="14">
        <v>996.21471997705703</v>
      </c>
      <c r="O1099" s="13">
        <v>923510.62498836918</v>
      </c>
      <c r="P1099" s="13">
        <v>191694.33938385709</v>
      </c>
      <c r="Q1099" s="14">
        <v>1.2075713415709444</v>
      </c>
      <c r="R1099" s="15">
        <v>0.20757134157094437</v>
      </c>
    </row>
    <row r="1100" spans="1:18" ht="18" customHeight="1">
      <c r="A1100" s="10" t="s">
        <v>145</v>
      </c>
      <c r="B1100" s="10" t="s">
        <v>146</v>
      </c>
      <c r="C1100" s="10" t="s">
        <v>254</v>
      </c>
      <c r="D1100" s="10" t="s">
        <v>276</v>
      </c>
      <c r="E1100" s="16">
        <v>44</v>
      </c>
      <c r="F1100" s="16">
        <v>44</v>
      </c>
      <c r="G1100" s="13">
        <v>856.84250458770009</v>
      </c>
      <c r="H1100" s="13">
        <v>856.84250458770009</v>
      </c>
      <c r="I1100" s="14">
        <v>0</v>
      </c>
      <c r="J1100" s="15">
        <v>1</v>
      </c>
      <c r="K1100" s="14">
        <v>443.57680486229629</v>
      </c>
      <c r="L1100" s="13">
        <v>380075.46045521944</v>
      </c>
      <c r="M1100" s="14">
        <v>3.3127508886372024</v>
      </c>
      <c r="N1100" s="14">
        <v>205.47116750580747</v>
      </c>
      <c r="O1100" s="13">
        <v>176056.42978623492</v>
      </c>
      <c r="P1100" s="13">
        <v>204019.03066898452</v>
      </c>
      <c r="Q1100" s="14">
        <v>2.158827490235383</v>
      </c>
      <c r="R1100" s="15">
        <v>1.1588274902353828</v>
      </c>
    </row>
    <row r="1101" spans="1:18" ht="18" customHeight="1">
      <c r="A1101" s="10" t="s">
        <v>145</v>
      </c>
      <c r="B1101" s="10" t="s">
        <v>146</v>
      </c>
      <c r="C1101" s="10" t="s">
        <v>254</v>
      </c>
      <c r="D1101" s="10" t="s">
        <v>271</v>
      </c>
      <c r="E1101" s="16">
        <v>1</v>
      </c>
      <c r="F1101" s="16">
        <v>1</v>
      </c>
      <c r="G1101" s="13">
        <v>5.2631337778999994</v>
      </c>
      <c r="H1101" s="13">
        <v>5.2631337778999994</v>
      </c>
      <c r="I1101" s="14">
        <v>0</v>
      </c>
      <c r="J1101" s="15">
        <v>1</v>
      </c>
      <c r="K1101" s="14">
        <v>114.81536214968828</v>
      </c>
      <c r="L1101" s="13">
        <v>604.28861075184545</v>
      </c>
      <c r="M1101" s="14">
        <v>3.06</v>
      </c>
      <c r="N1101" s="14">
        <v>114.81536214968828</v>
      </c>
      <c r="O1101" s="13">
        <v>604.28861075184545</v>
      </c>
      <c r="P1101" s="13">
        <v>0</v>
      </c>
      <c r="Q1101" s="14">
        <v>1</v>
      </c>
      <c r="R1101" s="15">
        <v>0</v>
      </c>
    </row>
    <row r="1102" spans="1:18" ht="18" customHeight="1">
      <c r="A1102" s="10" t="s">
        <v>145</v>
      </c>
      <c r="B1102" s="10" t="s">
        <v>146</v>
      </c>
      <c r="C1102" s="10" t="s">
        <v>254</v>
      </c>
      <c r="D1102" s="10" t="s">
        <v>272</v>
      </c>
      <c r="E1102" s="16">
        <v>1</v>
      </c>
      <c r="F1102" s="16">
        <v>1</v>
      </c>
      <c r="G1102" s="13">
        <v>1.0031491007</v>
      </c>
      <c r="H1102" s="13">
        <v>1.0031491007</v>
      </c>
      <c r="I1102" s="14">
        <v>0</v>
      </c>
      <c r="J1102" s="15">
        <v>1</v>
      </c>
      <c r="K1102" s="14">
        <v>31.622776601683793</v>
      </c>
      <c r="L1102" s="13">
        <v>31.722359909616099</v>
      </c>
      <c r="M1102" s="14">
        <v>2.5</v>
      </c>
      <c r="N1102" s="14">
        <v>31.622776601683793</v>
      </c>
      <c r="O1102" s="13">
        <v>31.722359909616099</v>
      </c>
      <c r="P1102" s="13">
        <v>0</v>
      </c>
      <c r="Q1102" s="14">
        <v>1</v>
      </c>
      <c r="R1102" s="15">
        <v>0</v>
      </c>
    </row>
    <row r="1103" spans="1:18" ht="18" customHeight="1">
      <c r="A1103" s="10" t="s">
        <v>145</v>
      </c>
      <c r="B1103" s="10" t="s">
        <v>146</v>
      </c>
      <c r="C1103" s="10" t="s">
        <v>254</v>
      </c>
      <c r="D1103" s="10" t="s">
        <v>273</v>
      </c>
      <c r="E1103" s="16">
        <v>2</v>
      </c>
      <c r="F1103" s="16">
        <v>2</v>
      </c>
      <c r="G1103" s="13">
        <v>40.2545498904</v>
      </c>
      <c r="H1103" s="13">
        <v>40.2545498904</v>
      </c>
      <c r="I1103" s="14">
        <v>0</v>
      </c>
      <c r="J1103" s="15">
        <v>1</v>
      </c>
      <c r="K1103" s="14">
        <v>369.84190018989858</v>
      </c>
      <c r="L1103" s="13">
        <v>14887.81922275461</v>
      </c>
      <c r="M1103" s="14">
        <v>3.5669414466601852</v>
      </c>
      <c r="N1103" s="14">
        <v>368.92785487030903</v>
      </c>
      <c r="O1103" s="13">
        <v>14851.024739835106</v>
      </c>
      <c r="P1103" s="13">
        <v>36.794482919503935</v>
      </c>
      <c r="Q1103" s="14">
        <v>1.0024775719900869</v>
      </c>
      <c r="R1103" s="15">
        <v>2.4775719900869595E-3</v>
      </c>
    </row>
    <row r="1104" spans="1:18" ht="18" customHeight="1">
      <c r="A1104" s="10" t="s">
        <v>145</v>
      </c>
      <c r="B1104" s="10" t="s">
        <v>146</v>
      </c>
      <c r="C1104" s="10" t="s">
        <v>254</v>
      </c>
      <c r="D1104" s="10" t="s">
        <v>284</v>
      </c>
      <c r="E1104" s="16">
        <v>20</v>
      </c>
      <c r="F1104" s="16">
        <v>20</v>
      </c>
      <c r="G1104" s="13">
        <v>167.44098206660001</v>
      </c>
      <c r="H1104" s="13">
        <v>167.44098206660001</v>
      </c>
      <c r="I1104" s="14">
        <v>0</v>
      </c>
      <c r="J1104" s="15">
        <v>1</v>
      </c>
      <c r="K1104" s="14">
        <v>157.2039379187537</v>
      </c>
      <c r="L1104" s="13">
        <v>26322.381749852939</v>
      </c>
      <c r="M1104" s="14">
        <v>3.0240768363452584</v>
      </c>
      <c r="N1104" s="14">
        <v>105.70045002578448</v>
      </c>
      <c r="O1104" s="13">
        <v>17698.58715719893</v>
      </c>
      <c r="P1104" s="13">
        <v>8623.7945926540087</v>
      </c>
      <c r="Q1104" s="14">
        <v>1.4872589272837107</v>
      </c>
      <c r="R1104" s="15">
        <v>0.48725892728371067</v>
      </c>
    </row>
    <row r="1105" spans="1:18" ht="18" customHeight="1">
      <c r="A1105" s="10" t="s">
        <v>145</v>
      </c>
      <c r="B1105" s="10" t="s">
        <v>146</v>
      </c>
      <c r="C1105" s="10" t="s">
        <v>254</v>
      </c>
      <c r="D1105" s="10" t="s">
        <v>274</v>
      </c>
      <c r="E1105" s="16">
        <v>2</v>
      </c>
      <c r="F1105" s="16">
        <v>2</v>
      </c>
      <c r="G1105" s="13">
        <v>0.56702263340000003</v>
      </c>
      <c r="H1105" s="13">
        <v>0.56702263340000003</v>
      </c>
      <c r="I1105" s="14">
        <v>0</v>
      </c>
      <c r="J1105" s="15">
        <v>1</v>
      </c>
      <c r="K1105" s="14">
        <v>2355.7588696316698</v>
      </c>
      <c r="L1105" s="13">
        <v>1335.7685979139567</v>
      </c>
      <c r="M1105" s="14">
        <v>4.3654832453130785</v>
      </c>
      <c r="N1105" s="14">
        <v>2319.9746813256829</v>
      </c>
      <c r="O1105" s="13">
        <v>1315.4781532266145</v>
      </c>
      <c r="P1105" s="13">
        <v>20.290444687342188</v>
      </c>
      <c r="Q1105" s="14">
        <v>1.0154243874271676</v>
      </c>
      <c r="R1105" s="15">
        <v>1.5424387427167556E-2</v>
      </c>
    </row>
    <row r="1106" spans="1:18" ht="18" customHeight="1">
      <c r="A1106" s="10" t="s">
        <v>71</v>
      </c>
      <c r="B1106" s="10" t="s">
        <v>72</v>
      </c>
      <c r="C1106" s="10" t="s">
        <v>254</v>
      </c>
      <c r="D1106" s="10" t="s">
        <v>255</v>
      </c>
      <c r="E1106" s="16">
        <v>4</v>
      </c>
      <c r="F1106" s="16">
        <v>4</v>
      </c>
      <c r="G1106" s="13">
        <v>25707.113905070502</v>
      </c>
      <c r="H1106" s="13">
        <v>25707.113905070502</v>
      </c>
      <c r="I1106" s="14">
        <v>0</v>
      </c>
      <c r="J1106" s="15">
        <v>1</v>
      </c>
      <c r="K1106" s="14">
        <v>1379.4057202424895</v>
      </c>
      <c r="L1106" s="13">
        <v>35460539.971579492</v>
      </c>
      <c r="M1106" s="14">
        <v>4.1395411021079855</v>
      </c>
      <c r="N1106" s="14">
        <v>1378.926449911181</v>
      </c>
      <c r="O1106" s="13">
        <v>35448219.314581223</v>
      </c>
      <c r="P1106" s="13">
        <v>12320.65699826926</v>
      </c>
      <c r="Q1106" s="14">
        <v>1.0003475677265741</v>
      </c>
      <c r="R1106" s="15">
        <v>3.4756772657410461E-4</v>
      </c>
    </row>
    <row r="1107" spans="1:18" ht="18" customHeight="1">
      <c r="A1107" s="10" t="s">
        <v>71</v>
      </c>
      <c r="B1107" s="10" t="s">
        <v>72</v>
      </c>
      <c r="C1107" s="10" t="s">
        <v>254</v>
      </c>
      <c r="D1107" s="10" t="s">
        <v>277</v>
      </c>
      <c r="E1107" s="16">
        <v>2</v>
      </c>
      <c r="F1107" s="16">
        <v>2</v>
      </c>
      <c r="G1107" s="13">
        <v>58254.865036887903</v>
      </c>
      <c r="H1107" s="13">
        <v>58254.865036887903</v>
      </c>
      <c r="I1107" s="14">
        <v>0</v>
      </c>
      <c r="J1107" s="15">
        <v>1</v>
      </c>
      <c r="K1107" s="14">
        <v>272.55720355745717</v>
      </c>
      <c r="L1107" s="13">
        <v>15877783.108071251</v>
      </c>
      <c r="M1107" s="14">
        <v>3.4326899918050184</v>
      </c>
      <c r="N1107" s="14">
        <v>270.82577325371386</v>
      </c>
      <c r="O1107" s="13">
        <v>15776918.869405907</v>
      </c>
      <c r="P1107" s="13">
        <v>100864.23866534419</v>
      </c>
      <c r="Q1107" s="14">
        <v>1.0063931518885438</v>
      </c>
      <c r="R1107" s="15">
        <v>6.3931518885437686E-3</v>
      </c>
    </row>
    <row r="1108" spans="1:18" ht="18" customHeight="1">
      <c r="A1108" s="10" t="s">
        <v>71</v>
      </c>
      <c r="B1108" s="10" t="s">
        <v>72</v>
      </c>
      <c r="C1108" s="10" t="s">
        <v>254</v>
      </c>
      <c r="D1108" s="10" t="s">
        <v>256</v>
      </c>
      <c r="E1108" s="16">
        <v>1</v>
      </c>
      <c r="F1108" s="16">
        <v>1</v>
      </c>
      <c r="G1108" s="13">
        <v>72.993175296399997</v>
      </c>
      <c r="H1108" s="13">
        <v>72.993175296399997</v>
      </c>
      <c r="I1108" s="14">
        <v>0</v>
      </c>
      <c r="J1108" s="15">
        <v>1</v>
      </c>
      <c r="K1108" s="14">
        <v>2238.7211385683377</v>
      </c>
      <c r="L1108" s="13">
        <v>163411.36450727485</v>
      </c>
      <c r="M1108" s="14">
        <v>4.3499999999999996</v>
      </c>
      <c r="N1108" s="14">
        <v>2238.7211385683377</v>
      </c>
      <c r="O1108" s="13">
        <v>163411.36450727485</v>
      </c>
      <c r="P1108" s="13">
        <v>0</v>
      </c>
      <c r="Q1108" s="14">
        <v>1</v>
      </c>
      <c r="R1108" s="15">
        <v>0</v>
      </c>
    </row>
    <row r="1109" spans="1:18" ht="18" customHeight="1">
      <c r="A1109" s="10" t="s">
        <v>71</v>
      </c>
      <c r="B1109" s="10" t="s">
        <v>72</v>
      </c>
      <c r="C1109" s="10" t="s">
        <v>254</v>
      </c>
      <c r="D1109" s="10" t="s">
        <v>257</v>
      </c>
      <c r="E1109" s="16">
        <v>2</v>
      </c>
      <c r="F1109" s="16">
        <v>2</v>
      </c>
      <c r="G1109" s="13">
        <v>47.792588541400001</v>
      </c>
      <c r="H1109" s="13">
        <v>47.792588541400001</v>
      </c>
      <c r="I1109" s="14">
        <v>0</v>
      </c>
      <c r="J1109" s="15">
        <v>1</v>
      </c>
      <c r="K1109" s="14">
        <v>1659.8091467926904</v>
      </c>
      <c r="L1109" s="13">
        <v>79326.57560991525</v>
      </c>
      <c r="M1109" s="14">
        <v>4.2200504922363411</v>
      </c>
      <c r="N1109" s="14">
        <v>1659.7798666604563</v>
      </c>
      <c r="O1109" s="13">
        <v>79325.176236602943</v>
      </c>
      <c r="P1109" s="13">
        <v>1.3993733123061247</v>
      </c>
      <c r="Q1109" s="14">
        <v>1.0000176409732533</v>
      </c>
      <c r="R1109" s="15">
        <v>1.7640973253336603E-5</v>
      </c>
    </row>
    <row r="1110" spans="1:18" ht="18" customHeight="1">
      <c r="A1110" s="10" t="s">
        <v>71</v>
      </c>
      <c r="B1110" s="10" t="s">
        <v>72</v>
      </c>
      <c r="C1110" s="10" t="s">
        <v>254</v>
      </c>
      <c r="D1110" s="10" t="s">
        <v>258</v>
      </c>
      <c r="E1110" s="16">
        <v>12</v>
      </c>
      <c r="F1110" s="16">
        <v>12</v>
      </c>
      <c r="G1110" s="13">
        <v>13716.938450075098</v>
      </c>
      <c r="H1110" s="13">
        <v>13716.938450075098</v>
      </c>
      <c r="I1110" s="14">
        <v>0</v>
      </c>
      <c r="J1110" s="15">
        <v>1</v>
      </c>
      <c r="K1110" s="14">
        <v>744.07091574867275</v>
      </c>
      <c r="L1110" s="13">
        <v>10206374.953815559</v>
      </c>
      <c r="M1110" s="14">
        <v>2.8999578770588341</v>
      </c>
      <c r="N1110" s="14">
        <v>79.425119524922252</v>
      </c>
      <c r="O1110" s="13">
        <v>1089469.4759132164</v>
      </c>
      <c r="P1110" s="13">
        <v>9116905.4779023416</v>
      </c>
      <c r="Q1110" s="14">
        <v>9.3682064339254296</v>
      </c>
      <c r="R1110" s="15">
        <v>8.3682064339254278</v>
      </c>
    </row>
    <row r="1111" spans="1:18" ht="18" customHeight="1">
      <c r="A1111" s="10" t="s">
        <v>71</v>
      </c>
      <c r="B1111" s="10" t="s">
        <v>72</v>
      </c>
      <c r="C1111" s="10" t="s">
        <v>254</v>
      </c>
      <c r="D1111" s="10" t="s">
        <v>259</v>
      </c>
      <c r="E1111" s="16">
        <v>5</v>
      </c>
      <c r="F1111" s="16">
        <v>5</v>
      </c>
      <c r="G1111" s="13">
        <v>1955.9487616674999</v>
      </c>
      <c r="H1111" s="13">
        <v>1955.9487616674999</v>
      </c>
      <c r="I1111" s="14">
        <v>0</v>
      </c>
      <c r="J1111" s="15">
        <v>1</v>
      </c>
      <c r="K1111" s="14">
        <v>1517.0962876620645</v>
      </c>
      <c r="L1111" s="13">
        <v>2967362.605182976</v>
      </c>
      <c r="M1111" s="14">
        <v>4.1611819386634377</v>
      </c>
      <c r="N1111" s="14">
        <v>1449.3789136057067</v>
      </c>
      <c r="O1111" s="13">
        <v>2834910.8912540684</v>
      </c>
      <c r="P1111" s="13">
        <v>132451.71392890764</v>
      </c>
      <c r="Q1111" s="14">
        <v>1.046721649818882</v>
      </c>
      <c r="R1111" s="15">
        <v>4.672164981888214E-2</v>
      </c>
    </row>
    <row r="1112" spans="1:18" ht="18" customHeight="1">
      <c r="A1112" s="10" t="s">
        <v>71</v>
      </c>
      <c r="B1112" s="10" t="s">
        <v>72</v>
      </c>
      <c r="C1112" s="10" t="s">
        <v>254</v>
      </c>
      <c r="D1112" s="10" t="s">
        <v>261</v>
      </c>
      <c r="E1112" s="16">
        <v>24</v>
      </c>
      <c r="F1112" s="16">
        <v>24</v>
      </c>
      <c r="G1112" s="13">
        <v>86406.384249792201</v>
      </c>
      <c r="H1112" s="13">
        <v>86406.384249792201</v>
      </c>
      <c r="I1112" s="14">
        <v>0</v>
      </c>
      <c r="J1112" s="15">
        <v>1</v>
      </c>
      <c r="K1112" s="14">
        <v>2639.2547175295108</v>
      </c>
      <c r="L1112" s="13">
        <v>228048457.25593168</v>
      </c>
      <c r="M1112" s="14">
        <v>4.4175727247792</v>
      </c>
      <c r="N1112" s="14">
        <v>2615.6084081539893</v>
      </c>
      <c r="O1112" s="13">
        <v>226005265.1619409</v>
      </c>
      <c r="P1112" s="13">
        <v>2043192.093990773</v>
      </c>
      <c r="Q1112" s="14">
        <v>1.0090404623650107</v>
      </c>
      <c r="R1112" s="15">
        <v>9.0404623650106215E-3</v>
      </c>
    </row>
    <row r="1113" spans="1:18" ht="18" customHeight="1">
      <c r="A1113" s="10" t="s">
        <v>71</v>
      </c>
      <c r="B1113" s="10" t="s">
        <v>72</v>
      </c>
      <c r="C1113" s="10" t="s">
        <v>254</v>
      </c>
      <c r="D1113" s="10" t="s">
        <v>262</v>
      </c>
      <c r="E1113" s="16">
        <v>9</v>
      </c>
      <c r="F1113" s="16">
        <v>9</v>
      </c>
      <c r="G1113" s="13">
        <v>9350.659157833099</v>
      </c>
      <c r="H1113" s="13">
        <v>9350.659157833099</v>
      </c>
      <c r="I1113" s="14">
        <v>0</v>
      </c>
      <c r="J1113" s="15">
        <v>1</v>
      </c>
      <c r="K1113" s="14">
        <v>458.44243497831843</v>
      </c>
      <c r="L1113" s="13">
        <v>4286738.9529693183</v>
      </c>
      <c r="M1113" s="14">
        <v>3.6410212273698592</v>
      </c>
      <c r="N1113" s="14">
        <v>437.54349080995502</v>
      </c>
      <c r="O1113" s="13">
        <v>4091320.0492923683</v>
      </c>
      <c r="P1113" s="13">
        <v>195418.90367694991</v>
      </c>
      <c r="Q1113" s="14">
        <v>1.0477642671124567</v>
      </c>
      <c r="R1113" s="15">
        <v>4.7764267112456626E-2</v>
      </c>
    </row>
    <row r="1114" spans="1:18" ht="18" customHeight="1">
      <c r="A1114" s="10" t="s">
        <v>71</v>
      </c>
      <c r="B1114" s="10" t="s">
        <v>72</v>
      </c>
      <c r="C1114" s="10" t="s">
        <v>254</v>
      </c>
      <c r="D1114" s="10" t="s">
        <v>263</v>
      </c>
      <c r="E1114" s="16">
        <v>8</v>
      </c>
      <c r="F1114" s="16">
        <v>8</v>
      </c>
      <c r="G1114" s="13">
        <v>5067.210416762</v>
      </c>
      <c r="H1114" s="13">
        <v>5067.210416762</v>
      </c>
      <c r="I1114" s="14">
        <v>0</v>
      </c>
      <c r="J1114" s="15">
        <v>1</v>
      </c>
      <c r="K1114" s="14">
        <v>524.96880295601784</v>
      </c>
      <c r="L1114" s="13">
        <v>2660127.3868138115</v>
      </c>
      <c r="M1114" s="14">
        <v>3.6430860478353502</v>
      </c>
      <c r="N1114" s="14">
        <v>439.62871152866194</v>
      </c>
      <c r="O1114" s="13">
        <v>2227691.1865656921</v>
      </c>
      <c r="P1114" s="13">
        <v>432436.20024811942</v>
      </c>
      <c r="Q1114" s="14">
        <v>1.194118557749821</v>
      </c>
      <c r="R1114" s="15">
        <v>0.19411855774982092</v>
      </c>
    </row>
    <row r="1115" spans="1:18" ht="18" customHeight="1">
      <c r="A1115" s="10" t="s">
        <v>71</v>
      </c>
      <c r="B1115" s="10" t="s">
        <v>72</v>
      </c>
      <c r="C1115" s="10" t="s">
        <v>254</v>
      </c>
      <c r="D1115" s="10" t="s">
        <v>264</v>
      </c>
      <c r="E1115" s="16">
        <v>32</v>
      </c>
      <c r="F1115" s="16">
        <v>32</v>
      </c>
      <c r="G1115" s="13">
        <v>44508.202954877503</v>
      </c>
      <c r="H1115" s="13">
        <v>44508.202954877503</v>
      </c>
      <c r="I1115" s="14">
        <v>0</v>
      </c>
      <c r="J1115" s="15">
        <v>1</v>
      </c>
      <c r="K1115" s="14">
        <v>1962.4779936947871</v>
      </c>
      <c r="L1115" s="13">
        <v>87346368.837848395</v>
      </c>
      <c r="M1115" s="14">
        <v>4.2439123689040148</v>
      </c>
      <c r="N1115" s="14">
        <v>1753.5266429465546</v>
      </c>
      <c r="O1115" s="13">
        <v>78046319.711050272</v>
      </c>
      <c r="P1115" s="13">
        <v>9300049.1267981231</v>
      </c>
      <c r="Q1115" s="14">
        <v>1.1191606364173168</v>
      </c>
      <c r="R1115" s="15">
        <v>0.11916063641731675</v>
      </c>
    </row>
    <row r="1116" spans="1:18" ht="18" customHeight="1">
      <c r="A1116" s="10" t="s">
        <v>71</v>
      </c>
      <c r="B1116" s="10" t="s">
        <v>72</v>
      </c>
      <c r="C1116" s="10" t="s">
        <v>254</v>
      </c>
      <c r="D1116" s="10" t="s">
        <v>265</v>
      </c>
      <c r="E1116" s="16">
        <v>13</v>
      </c>
      <c r="F1116" s="16">
        <v>13</v>
      </c>
      <c r="G1116" s="13">
        <v>25434.553732954198</v>
      </c>
      <c r="H1116" s="13">
        <v>25434.553732954198</v>
      </c>
      <c r="I1116" s="14">
        <v>0</v>
      </c>
      <c r="J1116" s="15">
        <v>1</v>
      </c>
      <c r="K1116" s="14">
        <v>346.42005808576778</v>
      </c>
      <c r="L1116" s="13">
        <v>8811039.5815555751</v>
      </c>
      <c r="M1116" s="14">
        <v>3.4261326831021925</v>
      </c>
      <c r="N1116" s="14">
        <v>266.76735520082235</v>
      </c>
      <c r="O1116" s="13">
        <v>6785108.6300533945</v>
      </c>
      <c r="P1116" s="13">
        <v>2025930.9515021807</v>
      </c>
      <c r="Q1116" s="14">
        <v>1.2985848955355985</v>
      </c>
      <c r="R1116" s="15">
        <v>0.29858489553559853</v>
      </c>
    </row>
    <row r="1117" spans="1:18" ht="18" customHeight="1">
      <c r="A1117" s="10" t="s">
        <v>71</v>
      </c>
      <c r="B1117" s="10" t="s">
        <v>72</v>
      </c>
      <c r="C1117" s="10" t="s">
        <v>254</v>
      </c>
      <c r="D1117" s="10" t="s">
        <v>266</v>
      </c>
      <c r="E1117" s="16">
        <v>4</v>
      </c>
      <c r="F1117" s="16">
        <v>4</v>
      </c>
      <c r="G1117" s="13">
        <v>9832.4762550100004</v>
      </c>
      <c r="H1117" s="13">
        <v>9832.4762550100004</v>
      </c>
      <c r="I1117" s="14">
        <v>0</v>
      </c>
      <c r="J1117" s="15">
        <v>1</v>
      </c>
      <c r="K1117" s="14">
        <v>326.25680252451332</v>
      </c>
      <c r="L1117" s="13">
        <v>3207912.2638577642</v>
      </c>
      <c r="M1117" s="14">
        <v>3.485308953604132</v>
      </c>
      <c r="N1117" s="14">
        <v>305.70951327422978</v>
      </c>
      <c r="O1117" s="13">
        <v>3005881.5301995287</v>
      </c>
      <c r="P1117" s="13">
        <v>202030.73365823552</v>
      </c>
      <c r="Q1117" s="14">
        <v>1.0672118084590063</v>
      </c>
      <c r="R1117" s="15">
        <v>6.7211808459006317E-2</v>
      </c>
    </row>
    <row r="1118" spans="1:18" ht="18" customHeight="1">
      <c r="A1118" s="10" t="s">
        <v>71</v>
      </c>
      <c r="B1118" s="10" t="s">
        <v>72</v>
      </c>
      <c r="C1118" s="10" t="s">
        <v>254</v>
      </c>
      <c r="D1118" s="10" t="s">
        <v>268</v>
      </c>
      <c r="E1118" s="16">
        <v>10</v>
      </c>
      <c r="F1118" s="16">
        <v>10</v>
      </c>
      <c r="G1118" s="13">
        <v>2717.2235154881</v>
      </c>
      <c r="H1118" s="13">
        <v>2717.2235154881</v>
      </c>
      <c r="I1118" s="14">
        <v>0</v>
      </c>
      <c r="J1118" s="15">
        <v>1</v>
      </c>
      <c r="K1118" s="14">
        <v>539.97196872704433</v>
      </c>
      <c r="L1118" s="13">
        <v>1467224.5311295299</v>
      </c>
      <c r="M1118" s="14">
        <v>3.1116644622407552</v>
      </c>
      <c r="N1118" s="14">
        <v>129.31963264166572</v>
      </c>
      <c r="O1118" s="13">
        <v>351390.34682821657</v>
      </c>
      <c r="P1118" s="13">
        <v>1115834.1843013135</v>
      </c>
      <c r="Q1118" s="14">
        <v>4.1754833175505777</v>
      </c>
      <c r="R1118" s="15">
        <v>3.1754833175505781</v>
      </c>
    </row>
    <row r="1119" spans="1:18" ht="18" customHeight="1">
      <c r="A1119" s="10" t="s">
        <v>71</v>
      </c>
      <c r="B1119" s="10" t="s">
        <v>72</v>
      </c>
      <c r="C1119" s="10" t="s">
        <v>254</v>
      </c>
      <c r="D1119" s="10" t="s">
        <v>269</v>
      </c>
      <c r="E1119" s="16">
        <v>25</v>
      </c>
      <c r="F1119" s="16">
        <v>25</v>
      </c>
      <c r="G1119" s="13">
        <v>334142.1217367177</v>
      </c>
      <c r="H1119" s="13">
        <v>334142.1217367177</v>
      </c>
      <c r="I1119" s="14">
        <v>0</v>
      </c>
      <c r="J1119" s="15">
        <v>1</v>
      </c>
      <c r="K1119" s="14">
        <v>448.07156259575515</v>
      </c>
      <c r="L1119" s="13">
        <v>149719582.61563215</v>
      </c>
      <c r="M1119" s="14">
        <v>3.5100528175814505</v>
      </c>
      <c r="N1119" s="14">
        <v>323.633013804722</v>
      </c>
      <c r="O1119" s="13">
        <v>108139421.89675826</v>
      </c>
      <c r="P1119" s="13">
        <v>41580160.718873888</v>
      </c>
      <c r="Q1119" s="14">
        <v>1.3845051137648106</v>
      </c>
      <c r="R1119" s="15">
        <v>0.38450511376481061</v>
      </c>
    </row>
    <row r="1120" spans="1:18" ht="18" customHeight="1">
      <c r="A1120" s="10" t="s">
        <v>71</v>
      </c>
      <c r="B1120" s="10" t="s">
        <v>72</v>
      </c>
      <c r="C1120" s="10" t="s">
        <v>254</v>
      </c>
      <c r="D1120" s="10" t="s">
        <v>270</v>
      </c>
      <c r="E1120" s="16">
        <v>16</v>
      </c>
      <c r="F1120" s="16">
        <v>16</v>
      </c>
      <c r="G1120" s="13">
        <v>123228.0613007832</v>
      </c>
      <c r="H1120" s="13">
        <v>123228.0613007832</v>
      </c>
      <c r="I1120" s="14">
        <v>0</v>
      </c>
      <c r="J1120" s="15">
        <v>1</v>
      </c>
      <c r="K1120" s="14">
        <v>521.06898253187001</v>
      </c>
      <c r="L1120" s="13">
        <v>64210320.52137401</v>
      </c>
      <c r="M1120" s="14">
        <v>3.404320336651522</v>
      </c>
      <c r="N1120" s="14">
        <v>253.69992372535606</v>
      </c>
      <c r="O1120" s="13">
        <v>31262949.752832197</v>
      </c>
      <c r="P1120" s="13">
        <v>32947370.768541813</v>
      </c>
      <c r="Q1120" s="14">
        <v>2.0538791454109995</v>
      </c>
      <c r="R1120" s="15">
        <v>1.0538791454109995</v>
      </c>
    </row>
    <row r="1121" spans="1:18" ht="18" customHeight="1">
      <c r="A1121" s="10" t="s">
        <v>71</v>
      </c>
      <c r="B1121" s="10" t="s">
        <v>72</v>
      </c>
      <c r="C1121" s="10" t="s">
        <v>254</v>
      </c>
      <c r="D1121" s="10" t="s">
        <v>276</v>
      </c>
      <c r="E1121" s="16">
        <v>21</v>
      </c>
      <c r="F1121" s="16">
        <v>21</v>
      </c>
      <c r="G1121" s="13">
        <v>48258.571719182401</v>
      </c>
      <c r="H1121" s="13">
        <v>48258.571719182401</v>
      </c>
      <c r="I1121" s="14">
        <v>0</v>
      </c>
      <c r="J1121" s="15">
        <v>1</v>
      </c>
      <c r="K1121" s="14">
        <v>983.99779033424977</v>
      </c>
      <c r="L1121" s="13">
        <v>47486327.936362401</v>
      </c>
      <c r="M1121" s="14">
        <v>3.9219763955070639</v>
      </c>
      <c r="N1121" s="14">
        <v>835.55760331035867</v>
      </c>
      <c r="O1121" s="13">
        <v>40322816.524861105</v>
      </c>
      <c r="P1121" s="13">
        <v>7163511.4115012959</v>
      </c>
      <c r="Q1121" s="14">
        <v>1.1776540437616658</v>
      </c>
      <c r="R1121" s="15">
        <v>0.1776540437616658</v>
      </c>
    </row>
    <row r="1122" spans="1:18" ht="18" customHeight="1">
      <c r="A1122" s="10" t="s">
        <v>71</v>
      </c>
      <c r="B1122" s="10" t="s">
        <v>72</v>
      </c>
      <c r="C1122" s="10" t="s">
        <v>254</v>
      </c>
      <c r="D1122" s="10" t="s">
        <v>271</v>
      </c>
      <c r="E1122" s="16">
        <v>16</v>
      </c>
      <c r="F1122" s="16">
        <v>16</v>
      </c>
      <c r="G1122" s="13">
        <v>13235.509640024298</v>
      </c>
      <c r="H1122" s="13">
        <v>13235.509640024298</v>
      </c>
      <c r="I1122" s="14">
        <v>0</v>
      </c>
      <c r="J1122" s="15">
        <v>1</v>
      </c>
      <c r="K1122" s="14">
        <v>32.793916754957685</v>
      </c>
      <c r="L1122" s="13">
        <v>434044.2013443968</v>
      </c>
      <c r="M1122" s="14">
        <v>2.2495905406778958</v>
      </c>
      <c r="N1122" s="14">
        <v>17.766036117671284</v>
      </c>
      <c r="O1122" s="13">
        <v>235142.54230045812</v>
      </c>
      <c r="P1122" s="13">
        <v>198901.65904393868</v>
      </c>
      <c r="Q1122" s="14">
        <v>1.8458769608341994</v>
      </c>
      <c r="R1122" s="15">
        <v>0.84587696083419939</v>
      </c>
    </row>
    <row r="1123" spans="1:18" ht="18" customHeight="1">
      <c r="A1123" s="10" t="s">
        <v>71</v>
      </c>
      <c r="B1123" s="10" t="s">
        <v>72</v>
      </c>
      <c r="C1123" s="10" t="s">
        <v>254</v>
      </c>
      <c r="D1123" s="10" t="s">
        <v>272</v>
      </c>
      <c r="E1123" s="16">
        <v>20</v>
      </c>
      <c r="F1123" s="16">
        <v>20</v>
      </c>
      <c r="G1123" s="13">
        <v>81978.643336536101</v>
      </c>
      <c r="H1123" s="13">
        <v>81978.643336536101</v>
      </c>
      <c r="I1123" s="14">
        <v>0</v>
      </c>
      <c r="J1123" s="15">
        <v>1</v>
      </c>
      <c r="K1123" s="14">
        <v>124.4453529387076</v>
      </c>
      <c r="L1123" s="13">
        <v>10201861.203451665</v>
      </c>
      <c r="M1123" s="14">
        <v>2.9033895394429727</v>
      </c>
      <c r="N1123" s="14">
        <v>80.055198634967837</v>
      </c>
      <c r="O1123" s="13">
        <v>6562816.5761315804</v>
      </c>
      <c r="P1123" s="13">
        <v>3639044.6273200847</v>
      </c>
      <c r="Q1123" s="14">
        <v>1.5544943371653854</v>
      </c>
      <c r="R1123" s="15">
        <v>0.55449433716538543</v>
      </c>
    </row>
    <row r="1124" spans="1:18" ht="18" customHeight="1">
      <c r="A1124" s="10" t="s">
        <v>71</v>
      </c>
      <c r="B1124" s="10" t="s">
        <v>72</v>
      </c>
      <c r="C1124" s="10" t="s">
        <v>254</v>
      </c>
      <c r="D1124" s="10" t="s">
        <v>280</v>
      </c>
      <c r="E1124" s="16">
        <v>1</v>
      </c>
      <c r="F1124" s="16">
        <v>1</v>
      </c>
      <c r="G1124" s="13">
        <v>11.8490594674</v>
      </c>
      <c r="H1124" s="13">
        <v>11.8490594674</v>
      </c>
      <c r="I1124" s="14">
        <v>0</v>
      </c>
      <c r="J1124" s="15">
        <v>1</v>
      </c>
      <c r="K1124" s="14">
        <v>316.22776601683796</v>
      </c>
      <c r="L1124" s="13">
        <v>3747.0016047765657</v>
      </c>
      <c r="M1124" s="14">
        <v>3.5</v>
      </c>
      <c r="N1124" s="14">
        <v>316.22776601683796</v>
      </c>
      <c r="O1124" s="13">
        <v>3747.0016047765657</v>
      </c>
      <c r="P1124" s="13">
        <v>0</v>
      </c>
      <c r="Q1124" s="14">
        <v>1</v>
      </c>
      <c r="R1124" s="15">
        <v>0</v>
      </c>
    </row>
    <row r="1125" spans="1:18" ht="18" customHeight="1">
      <c r="A1125" s="10" t="s">
        <v>71</v>
      </c>
      <c r="B1125" s="10" t="s">
        <v>72</v>
      </c>
      <c r="C1125" s="10" t="s">
        <v>254</v>
      </c>
      <c r="D1125" s="10" t="s">
        <v>283</v>
      </c>
      <c r="E1125" s="16">
        <v>2</v>
      </c>
      <c r="F1125" s="16">
        <v>2</v>
      </c>
      <c r="G1125" s="13">
        <v>1186.8819890989998</v>
      </c>
      <c r="H1125" s="13">
        <v>1186.8819890989998</v>
      </c>
      <c r="I1125" s="14">
        <v>0</v>
      </c>
      <c r="J1125" s="15">
        <v>1</v>
      </c>
      <c r="K1125" s="14">
        <v>127.59930642298438</v>
      </c>
      <c r="L1125" s="13">
        <v>151445.31861496449</v>
      </c>
      <c r="M1125" s="14">
        <v>3.0609553793781683</v>
      </c>
      <c r="N1125" s="14">
        <v>115.0682158588543</v>
      </c>
      <c r="O1125" s="13">
        <v>136572.39292063008</v>
      </c>
      <c r="P1125" s="13">
        <v>14872.925694334408</v>
      </c>
      <c r="Q1125" s="14">
        <v>1.1089014066186706</v>
      </c>
      <c r="R1125" s="15">
        <v>0.10890140661867076</v>
      </c>
    </row>
    <row r="1126" spans="1:18" ht="18" customHeight="1">
      <c r="A1126" s="10" t="s">
        <v>71</v>
      </c>
      <c r="B1126" s="10" t="s">
        <v>72</v>
      </c>
      <c r="C1126" s="10" t="s">
        <v>254</v>
      </c>
      <c r="D1126" s="10" t="s">
        <v>278</v>
      </c>
      <c r="E1126" s="16">
        <v>11</v>
      </c>
      <c r="F1126" s="16">
        <v>11</v>
      </c>
      <c r="G1126" s="13">
        <v>19845.396140090699</v>
      </c>
      <c r="H1126" s="13">
        <v>19845.396140090699</v>
      </c>
      <c r="I1126" s="14">
        <v>0</v>
      </c>
      <c r="J1126" s="15">
        <v>1</v>
      </c>
      <c r="K1126" s="14">
        <v>765.74631136824871</v>
      </c>
      <c r="L1126" s="13">
        <v>15196538.891916133</v>
      </c>
      <c r="M1126" s="14">
        <v>3.691255770401221</v>
      </c>
      <c r="N1126" s="14">
        <v>491.1970732068433</v>
      </c>
      <c r="O1126" s="13">
        <v>9748000.5006429367</v>
      </c>
      <c r="P1126" s="13">
        <v>5448538.3912731968</v>
      </c>
      <c r="Q1126" s="14">
        <v>1.5589390758560009</v>
      </c>
      <c r="R1126" s="15">
        <v>0.55893907585600089</v>
      </c>
    </row>
    <row r="1127" spans="1:18" ht="18" customHeight="1">
      <c r="A1127" s="10" t="s">
        <v>71</v>
      </c>
      <c r="B1127" s="10" t="s">
        <v>72</v>
      </c>
      <c r="C1127" s="10" t="s">
        <v>254</v>
      </c>
      <c r="D1127" s="10" t="s">
        <v>273</v>
      </c>
      <c r="E1127" s="16">
        <v>17</v>
      </c>
      <c r="F1127" s="16">
        <v>17</v>
      </c>
      <c r="G1127" s="13">
        <v>662108.39251963922</v>
      </c>
      <c r="H1127" s="13">
        <v>662108.39251963922</v>
      </c>
      <c r="I1127" s="14">
        <v>0</v>
      </c>
      <c r="J1127" s="15">
        <v>1</v>
      </c>
      <c r="K1127" s="14">
        <v>67.35021672282241</v>
      </c>
      <c r="L1127" s="13">
        <v>44593143.730197273</v>
      </c>
      <c r="M1127" s="14">
        <v>2.6698589557968115</v>
      </c>
      <c r="N1127" s="14">
        <v>46.75832613495465</v>
      </c>
      <c r="O1127" s="13">
        <v>30959080.154123858</v>
      </c>
      <c r="P1127" s="13">
        <v>13634063.576073416</v>
      </c>
      <c r="Q1127" s="14">
        <v>1.4403898148200411</v>
      </c>
      <c r="R1127" s="15">
        <v>0.44038981482004114</v>
      </c>
    </row>
    <row r="1128" spans="1:18" ht="18" customHeight="1">
      <c r="A1128" s="10" t="s">
        <v>71</v>
      </c>
      <c r="B1128" s="10" t="s">
        <v>72</v>
      </c>
      <c r="C1128" s="10" t="s">
        <v>254</v>
      </c>
      <c r="D1128" s="10" t="s">
        <v>284</v>
      </c>
      <c r="E1128" s="16">
        <v>2</v>
      </c>
      <c r="F1128" s="16">
        <v>2</v>
      </c>
      <c r="G1128" s="13">
        <v>0.16633565919999999</v>
      </c>
      <c r="H1128" s="13">
        <v>0.16633565919999999</v>
      </c>
      <c r="I1128" s="14">
        <v>0</v>
      </c>
      <c r="J1128" s="15">
        <v>1</v>
      </c>
      <c r="K1128" s="14">
        <v>313.14369925812804</v>
      </c>
      <c r="L1128" s="13">
        <v>52.086963640427278</v>
      </c>
      <c r="M1128" s="14">
        <v>3.4948815446724129</v>
      </c>
      <c r="N1128" s="14">
        <v>312.52268343953415</v>
      </c>
      <c r="O1128" s="13">
        <v>51.983666564867832</v>
      </c>
      <c r="P1128" s="13">
        <v>0.10329707555944623</v>
      </c>
      <c r="Q1128" s="14">
        <v>1.0019871063813968</v>
      </c>
      <c r="R1128" s="15">
        <v>1.9871063813966822E-3</v>
      </c>
    </row>
    <row r="1129" spans="1:18" ht="18" customHeight="1">
      <c r="A1129" s="10" t="s">
        <v>71</v>
      </c>
      <c r="B1129" s="10" t="s">
        <v>72</v>
      </c>
      <c r="C1129" s="10" t="s">
        <v>254</v>
      </c>
      <c r="D1129" s="10" t="s">
        <v>274</v>
      </c>
      <c r="E1129" s="16">
        <v>10</v>
      </c>
      <c r="F1129" s="16">
        <v>10</v>
      </c>
      <c r="G1129" s="13">
        <v>20574.152655097401</v>
      </c>
      <c r="H1129" s="13">
        <v>20574.152655097401</v>
      </c>
      <c r="I1129" s="14">
        <v>0</v>
      </c>
      <c r="J1129" s="15">
        <v>1</v>
      </c>
      <c r="K1129" s="14">
        <v>786.31969319754512</v>
      </c>
      <c r="L1129" s="13">
        <v>16177861.403555647</v>
      </c>
      <c r="M1129" s="14">
        <v>3.7913005328144256</v>
      </c>
      <c r="N1129" s="14">
        <v>618.44421696529253</v>
      </c>
      <c r="O1129" s="13">
        <v>12723965.728506107</v>
      </c>
      <c r="P1129" s="13">
        <v>3453895.6750495397</v>
      </c>
      <c r="Q1129" s="14">
        <v>1.2714480491967699</v>
      </c>
      <c r="R1129" s="15">
        <v>0.2714480491967699</v>
      </c>
    </row>
    <row r="1130" spans="1:18" ht="18" customHeight="1">
      <c r="A1130" s="10" t="s">
        <v>71</v>
      </c>
      <c r="B1130" s="10" t="s">
        <v>72</v>
      </c>
      <c r="C1130" s="10" t="s">
        <v>254</v>
      </c>
      <c r="D1130" s="10" t="s">
        <v>282</v>
      </c>
      <c r="E1130" s="16">
        <v>1</v>
      </c>
      <c r="F1130" s="16">
        <v>1</v>
      </c>
      <c r="G1130" s="13">
        <v>8.0586803357000001</v>
      </c>
      <c r="H1130" s="13">
        <v>8.0586803357000001</v>
      </c>
      <c r="I1130" s="14">
        <v>0</v>
      </c>
      <c r="J1130" s="15">
        <v>1</v>
      </c>
      <c r="K1130" s="14">
        <v>363.0780547701014</v>
      </c>
      <c r="L1130" s="13">
        <v>2925.929980300024</v>
      </c>
      <c r="M1130" s="14">
        <v>3.56</v>
      </c>
      <c r="N1130" s="14">
        <v>363.0780547701014</v>
      </c>
      <c r="O1130" s="13">
        <v>2925.929980300024</v>
      </c>
      <c r="P1130" s="13">
        <v>0</v>
      </c>
      <c r="Q1130" s="14">
        <v>1</v>
      </c>
      <c r="R1130" s="15">
        <v>0</v>
      </c>
    </row>
    <row r="1131" spans="1:18" ht="18" customHeight="1">
      <c r="A1131" s="10" t="s">
        <v>71</v>
      </c>
      <c r="B1131" s="10" t="s">
        <v>72</v>
      </c>
      <c r="C1131" s="10" t="s">
        <v>254</v>
      </c>
      <c r="D1131" s="10" t="s">
        <v>275</v>
      </c>
      <c r="E1131" s="16">
        <v>2</v>
      </c>
      <c r="F1131" s="16">
        <v>2</v>
      </c>
      <c r="G1131" s="13">
        <v>20.546207024899999</v>
      </c>
      <c r="H1131" s="13">
        <v>20.546207024899999</v>
      </c>
      <c r="I1131" s="14">
        <v>0</v>
      </c>
      <c r="J1131" s="15">
        <v>1</v>
      </c>
      <c r="K1131" s="14">
        <v>411.70483385796126</v>
      </c>
      <c r="L1131" s="13">
        <v>8458.9727495977313</v>
      </c>
      <c r="M1131" s="14">
        <v>3.6143499675366693</v>
      </c>
      <c r="N1131" s="14">
        <v>411.48117142620993</v>
      </c>
      <c r="O1131" s="13">
        <v>8454.3773349712756</v>
      </c>
      <c r="P1131" s="13">
        <v>4.5954146264557494</v>
      </c>
      <c r="Q1131" s="14">
        <v>1.0005435544741357</v>
      </c>
      <c r="R1131" s="15">
        <v>5.4355447413577775E-4</v>
      </c>
    </row>
    <row r="1132" spans="1:18" ht="18" customHeight="1">
      <c r="A1132" s="10" t="s">
        <v>97</v>
      </c>
      <c r="B1132" s="10" t="s">
        <v>98</v>
      </c>
      <c r="C1132" s="10" t="s">
        <v>254</v>
      </c>
      <c r="D1132" s="10" t="s">
        <v>255</v>
      </c>
      <c r="E1132" s="16">
        <v>11</v>
      </c>
      <c r="F1132" s="16">
        <v>11</v>
      </c>
      <c r="G1132" s="13">
        <v>4477.9872574560995</v>
      </c>
      <c r="H1132" s="13">
        <v>4477.9872574560995</v>
      </c>
      <c r="I1132" s="14">
        <v>0</v>
      </c>
      <c r="J1132" s="15">
        <v>1</v>
      </c>
      <c r="K1132" s="14">
        <v>457.55307991714818</v>
      </c>
      <c r="L1132" s="13">
        <v>2048916.861478782</v>
      </c>
      <c r="M1132" s="14">
        <v>3.6363251800702017</v>
      </c>
      <c r="N1132" s="14">
        <v>432.83779910554279</v>
      </c>
      <c r="O1132" s="13">
        <v>1938242.1489399637</v>
      </c>
      <c r="P1132" s="13">
        <v>110674.71253881836</v>
      </c>
      <c r="Q1132" s="14">
        <v>1.0571005602160426</v>
      </c>
      <c r="R1132" s="15">
        <v>5.7100560216042678E-2</v>
      </c>
    </row>
    <row r="1133" spans="1:18" ht="18" customHeight="1">
      <c r="A1133" s="10" t="s">
        <v>97</v>
      </c>
      <c r="B1133" s="10" t="s">
        <v>98</v>
      </c>
      <c r="C1133" s="10" t="s">
        <v>254</v>
      </c>
      <c r="D1133" s="10" t="s">
        <v>277</v>
      </c>
      <c r="E1133" s="16">
        <v>4</v>
      </c>
      <c r="F1133" s="16">
        <v>4</v>
      </c>
      <c r="G1133" s="13">
        <v>4203.2244360552004</v>
      </c>
      <c r="H1133" s="13">
        <v>4203.2244360552004</v>
      </c>
      <c r="I1133" s="14">
        <v>0</v>
      </c>
      <c r="J1133" s="15">
        <v>1</v>
      </c>
      <c r="K1133" s="14">
        <v>285.60394533118966</v>
      </c>
      <c r="L1133" s="13">
        <v>1200457.48204983</v>
      </c>
      <c r="M1133" s="14">
        <v>3.4551756551902901</v>
      </c>
      <c r="N1133" s="14">
        <v>285.21716264966881</v>
      </c>
      <c r="O1133" s="13">
        <v>1198831.7476314185</v>
      </c>
      <c r="P1133" s="13">
        <v>1625.7344184115063</v>
      </c>
      <c r="Q1133" s="14">
        <v>1.0013560989034729</v>
      </c>
      <c r="R1133" s="15">
        <v>1.3560989034729328E-3</v>
      </c>
    </row>
    <row r="1134" spans="1:18" ht="18" customHeight="1">
      <c r="A1134" s="10" t="s">
        <v>97</v>
      </c>
      <c r="B1134" s="10" t="s">
        <v>98</v>
      </c>
      <c r="C1134" s="10" t="s">
        <v>254</v>
      </c>
      <c r="D1134" s="10" t="s">
        <v>256</v>
      </c>
      <c r="E1134" s="16">
        <v>2</v>
      </c>
      <c r="F1134" s="16">
        <v>2</v>
      </c>
      <c r="G1134" s="13">
        <v>639.32767783859993</v>
      </c>
      <c r="H1134" s="13">
        <v>639.32767783859993</v>
      </c>
      <c r="I1134" s="14">
        <v>0</v>
      </c>
      <c r="J1134" s="15">
        <v>1</v>
      </c>
      <c r="K1134" s="14">
        <v>791.26414372526733</v>
      </c>
      <c r="L1134" s="13">
        <v>505877.06756482332</v>
      </c>
      <c r="M1134" s="14">
        <v>3.7583015500890999</v>
      </c>
      <c r="N1134" s="14">
        <v>573.19388700564286</v>
      </c>
      <c r="O1134" s="13">
        <v>366458.71673059848</v>
      </c>
      <c r="P1134" s="13">
        <v>139418.35083422484</v>
      </c>
      <c r="Q1134" s="14">
        <v>1.3804476315314884</v>
      </c>
      <c r="R1134" s="15">
        <v>0.38044763153148847</v>
      </c>
    </row>
    <row r="1135" spans="1:18" ht="18" customHeight="1">
      <c r="A1135" s="10" t="s">
        <v>97</v>
      </c>
      <c r="B1135" s="10" t="s">
        <v>98</v>
      </c>
      <c r="C1135" s="10" t="s">
        <v>254</v>
      </c>
      <c r="D1135" s="10" t="s">
        <v>257</v>
      </c>
      <c r="E1135" s="16">
        <v>1</v>
      </c>
      <c r="F1135" s="16">
        <v>1</v>
      </c>
      <c r="G1135" s="13">
        <v>9.0055413643000009</v>
      </c>
      <c r="H1135" s="13">
        <v>9.0055413643000009</v>
      </c>
      <c r="I1135" s="14">
        <v>0</v>
      </c>
      <c r="J1135" s="15">
        <v>1</v>
      </c>
      <c r="K1135" s="14">
        <v>2187.7616239495519</v>
      </c>
      <c r="L1135" s="13">
        <v>19701.977799705834</v>
      </c>
      <c r="M1135" s="14">
        <v>4.34</v>
      </c>
      <c r="N1135" s="14">
        <v>2187.7616239495519</v>
      </c>
      <c r="O1135" s="13">
        <v>19701.977799705834</v>
      </c>
      <c r="P1135" s="13">
        <v>0</v>
      </c>
      <c r="Q1135" s="14">
        <v>1</v>
      </c>
      <c r="R1135" s="15">
        <v>0</v>
      </c>
    </row>
    <row r="1136" spans="1:18" ht="18" customHeight="1">
      <c r="A1136" s="10" t="s">
        <v>97</v>
      </c>
      <c r="B1136" s="10" t="s">
        <v>98</v>
      </c>
      <c r="C1136" s="10" t="s">
        <v>254</v>
      </c>
      <c r="D1136" s="10" t="s">
        <v>258</v>
      </c>
      <c r="E1136" s="16">
        <v>11</v>
      </c>
      <c r="F1136" s="16">
        <v>11</v>
      </c>
      <c r="G1136" s="13">
        <v>11773.2147231586</v>
      </c>
      <c r="H1136" s="13">
        <v>11773.2147231586</v>
      </c>
      <c r="I1136" s="14">
        <v>0</v>
      </c>
      <c r="J1136" s="15">
        <v>1</v>
      </c>
      <c r="K1136" s="14">
        <v>2291.2881134194422</v>
      </c>
      <c r="L1136" s="13">
        <v>26975826.951908071</v>
      </c>
      <c r="M1136" s="14">
        <v>4.2579278218641887</v>
      </c>
      <c r="N1136" s="14">
        <v>1811.0390796132829</v>
      </c>
      <c r="O1136" s="13">
        <v>21321751.956318703</v>
      </c>
      <c r="P1136" s="13">
        <v>5654074.995589368</v>
      </c>
      <c r="Q1136" s="14">
        <v>1.2651787248614803</v>
      </c>
      <c r="R1136" s="15">
        <v>0.26517872486148036</v>
      </c>
    </row>
    <row r="1137" spans="1:18" ht="18" customHeight="1">
      <c r="A1137" s="10" t="s">
        <v>97</v>
      </c>
      <c r="B1137" s="10" t="s">
        <v>98</v>
      </c>
      <c r="C1137" s="10" t="s">
        <v>254</v>
      </c>
      <c r="D1137" s="10" t="s">
        <v>259</v>
      </c>
      <c r="E1137" s="16">
        <v>16</v>
      </c>
      <c r="F1137" s="16">
        <v>16</v>
      </c>
      <c r="G1137" s="13">
        <v>3441.4951984229001</v>
      </c>
      <c r="H1137" s="13">
        <v>3441.4951984229001</v>
      </c>
      <c r="I1137" s="14">
        <v>0</v>
      </c>
      <c r="J1137" s="15">
        <v>1</v>
      </c>
      <c r="K1137" s="14">
        <v>1074.071003312323</v>
      </c>
      <c r="L1137" s="13">
        <v>3696410.2006646264</v>
      </c>
      <c r="M1137" s="14">
        <v>4.0252138626362273</v>
      </c>
      <c r="N1137" s="14">
        <v>1059.775469269711</v>
      </c>
      <c r="O1137" s="13">
        <v>3647212.1888980861</v>
      </c>
      <c r="P1137" s="13">
        <v>49198.011766540352</v>
      </c>
      <c r="Q1137" s="14">
        <v>1.0134892101743618</v>
      </c>
      <c r="R1137" s="15">
        <v>1.3489210174361778E-2</v>
      </c>
    </row>
    <row r="1138" spans="1:18" ht="18" customHeight="1">
      <c r="A1138" s="10" t="s">
        <v>97</v>
      </c>
      <c r="B1138" s="10" t="s">
        <v>98</v>
      </c>
      <c r="C1138" s="10" t="s">
        <v>254</v>
      </c>
      <c r="D1138" s="10" t="s">
        <v>261</v>
      </c>
      <c r="E1138" s="16">
        <v>36</v>
      </c>
      <c r="F1138" s="16">
        <v>36</v>
      </c>
      <c r="G1138" s="13">
        <v>41553.149486241389</v>
      </c>
      <c r="H1138" s="13">
        <v>41553.149486241389</v>
      </c>
      <c r="I1138" s="14">
        <v>0</v>
      </c>
      <c r="J1138" s="15">
        <v>1</v>
      </c>
      <c r="K1138" s="14">
        <v>2526.3255783346849</v>
      </c>
      <c r="L1138" s="13">
        <v>104976784.4074564</v>
      </c>
      <c r="M1138" s="14">
        <v>4.3772306196912751</v>
      </c>
      <c r="N1138" s="14">
        <v>2383.5848680765162</v>
      </c>
      <c r="O1138" s="13">
        <v>99045458.336326435</v>
      </c>
      <c r="P1138" s="13">
        <v>5931326.0711299628</v>
      </c>
      <c r="Q1138" s="14">
        <v>1.0598848869070714</v>
      </c>
      <c r="R1138" s="15">
        <v>5.9884886907071423E-2</v>
      </c>
    </row>
    <row r="1139" spans="1:18" ht="18" customHeight="1">
      <c r="A1139" s="10" t="s">
        <v>97</v>
      </c>
      <c r="B1139" s="10" t="s">
        <v>98</v>
      </c>
      <c r="C1139" s="10" t="s">
        <v>254</v>
      </c>
      <c r="D1139" s="10" t="s">
        <v>262</v>
      </c>
      <c r="E1139" s="16">
        <v>11</v>
      </c>
      <c r="F1139" s="16">
        <v>11</v>
      </c>
      <c r="G1139" s="13">
        <v>11924.366342411098</v>
      </c>
      <c r="H1139" s="13">
        <v>11924.366342411098</v>
      </c>
      <c r="I1139" s="14">
        <v>0</v>
      </c>
      <c r="J1139" s="15">
        <v>1</v>
      </c>
      <c r="K1139" s="14">
        <v>487.60227263188909</v>
      </c>
      <c r="L1139" s="13">
        <v>5814348.1282548588</v>
      </c>
      <c r="M1139" s="14">
        <v>3.6704485425979012</v>
      </c>
      <c r="N1139" s="14">
        <v>468.21847119931471</v>
      </c>
      <c r="O1139" s="13">
        <v>5583208.5788642885</v>
      </c>
      <c r="P1139" s="13">
        <v>231139.54939057026</v>
      </c>
      <c r="Q1139" s="14">
        <v>1.0413990532729815</v>
      </c>
      <c r="R1139" s="15">
        <v>4.1399053272981545E-2</v>
      </c>
    </row>
    <row r="1140" spans="1:18" ht="18" customHeight="1">
      <c r="A1140" s="10" t="s">
        <v>97</v>
      </c>
      <c r="B1140" s="10" t="s">
        <v>98</v>
      </c>
      <c r="C1140" s="10" t="s">
        <v>254</v>
      </c>
      <c r="D1140" s="10" t="s">
        <v>263</v>
      </c>
      <c r="E1140" s="16">
        <v>29</v>
      </c>
      <c r="F1140" s="16">
        <v>29</v>
      </c>
      <c r="G1140" s="13">
        <v>15020.612387018</v>
      </c>
      <c r="H1140" s="13">
        <v>15020.612387018</v>
      </c>
      <c r="I1140" s="14">
        <v>0</v>
      </c>
      <c r="J1140" s="15">
        <v>1</v>
      </c>
      <c r="K1140" s="14">
        <v>710.3208866479506</v>
      </c>
      <c r="L1140" s="13">
        <v>10669454.708741816</v>
      </c>
      <c r="M1140" s="14">
        <v>3.7291954109833316</v>
      </c>
      <c r="N1140" s="14">
        <v>536.03779368853145</v>
      </c>
      <c r="O1140" s="13">
        <v>8051615.923787755</v>
      </c>
      <c r="P1140" s="13">
        <v>2617838.7849540608</v>
      </c>
      <c r="Q1140" s="14">
        <v>1.3251320989144426</v>
      </c>
      <c r="R1140" s="15">
        <v>0.3251320989144425</v>
      </c>
    </row>
    <row r="1141" spans="1:18" ht="18" customHeight="1">
      <c r="A1141" s="10" t="s">
        <v>97</v>
      </c>
      <c r="B1141" s="10" t="s">
        <v>98</v>
      </c>
      <c r="C1141" s="10" t="s">
        <v>254</v>
      </c>
      <c r="D1141" s="10" t="s">
        <v>264</v>
      </c>
      <c r="E1141" s="16">
        <v>33</v>
      </c>
      <c r="F1141" s="16">
        <v>33</v>
      </c>
      <c r="G1141" s="13">
        <v>10968.525852209099</v>
      </c>
      <c r="H1141" s="13">
        <v>10968.525852209099</v>
      </c>
      <c r="I1141" s="14">
        <v>0</v>
      </c>
      <c r="J1141" s="15">
        <v>1</v>
      </c>
      <c r="K1141" s="14">
        <v>1561.3397026139505</v>
      </c>
      <c r="L1141" s="13">
        <v>17125594.892201584</v>
      </c>
      <c r="M1141" s="14">
        <v>4.1776105325082362</v>
      </c>
      <c r="N1141" s="14">
        <v>1505.2565736665588</v>
      </c>
      <c r="O1141" s="13">
        <v>16510445.642469339</v>
      </c>
      <c r="P1141" s="13">
        <v>615149.24973224476</v>
      </c>
      <c r="Q1141" s="14">
        <v>1.0372581856997194</v>
      </c>
      <c r="R1141" s="15">
        <v>3.7258185699719351E-2</v>
      </c>
    </row>
    <row r="1142" spans="1:18" ht="18" customHeight="1">
      <c r="A1142" s="10" t="s">
        <v>97</v>
      </c>
      <c r="B1142" s="10" t="s">
        <v>98</v>
      </c>
      <c r="C1142" s="10" t="s">
        <v>254</v>
      </c>
      <c r="D1142" s="10" t="s">
        <v>265</v>
      </c>
      <c r="E1142" s="16">
        <v>27</v>
      </c>
      <c r="F1142" s="16">
        <v>27</v>
      </c>
      <c r="G1142" s="13">
        <v>48571.9896267277</v>
      </c>
      <c r="H1142" s="13">
        <v>48571.9896267277</v>
      </c>
      <c r="I1142" s="14">
        <v>0</v>
      </c>
      <c r="J1142" s="15">
        <v>1</v>
      </c>
      <c r="K1142" s="14">
        <v>263.23713964828443</v>
      </c>
      <c r="L1142" s="13">
        <v>12785951.616365941</v>
      </c>
      <c r="M1142" s="14">
        <v>3.3109710229183023</v>
      </c>
      <c r="N1142" s="14">
        <v>204.6308097998924</v>
      </c>
      <c r="O1142" s="13">
        <v>9939325.5709092636</v>
      </c>
      <c r="P1142" s="13">
        <v>2846626.0454566777</v>
      </c>
      <c r="Q1142" s="14">
        <v>1.2864003221494498</v>
      </c>
      <c r="R1142" s="15">
        <v>0.28640032214944988</v>
      </c>
    </row>
    <row r="1143" spans="1:18" ht="18" customHeight="1">
      <c r="A1143" s="10" t="s">
        <v>97</v>
      </c>
      <c r="B1143" s="10" t="s">
        <v>98</v>
      </c>
      <c r="C1143" s="10" t="s">
        <v>254</v>
      </c>
      <c r="D1143" s="10" t="s">
        <v>266</v>
      </c>
      <c r="E1143" s="16">
        <v>4</v>
      </c>
      <c r="F1143" s="16">
        <v>4</v>
      </c>
      <c r="G1143" s="13">
        <v>163.95572299799997</v>
      </c>
      <c r="H1143" s="13">
        <v>163.95572299799997</v>
      </c>
      <c r="I1143" s="14">
        <v>0</v>
      </c>
      <c r="J1143" s="15">
        <v>1</v>
      </c>
      <c r="K1143" s="14">
        <v>1929.8844786189359</v>
      </c>
      <c r="L1143" s="13">
        <v>316415.60499458585</v>
      </c>
      <c r="M1143" s="14">
        <v>4.2674086102945301</v>
      </c>
      <c r="N1143" s="14">
        <v>1851.0093405602738</v>
      </c>
      <c r="O1143" s="13">
        <v>303483.57470761082</v>
      </c>
      <c r="P1143" s="13">
        <v>12932.03028697503</v>
      </c>
      <c r="Q1143" s="14">
        <v>1.042611961123215</v>
      </c>
      <c r="R1143" s="15">
        <v>4.2611961123215011E-2</v>
      </c>
    </row>
    <row r="1144" spans="1:18" ht="18" customHeight="1">
      <c r="A1144" s="10" t="s">
        <v>97</v>
      </c>
      <c r="B1144" s="10" t="s">
        <v>98</v>
      </c>
      <c r="C1144" s="10" t="s">
        <v>254</v>
      </c>
      <c r="D1144" s="10" t="s">
        <v>268</v>
      </c>
      <c r="E1144" s="16">
        <v>15</v>
      </c>
      <c r="F1144" s="16">
        <v>15</v>
      </c>
      <c r="G1144" s="13">
        <v>10684.113235533601</v>
      </c>
      <c r="H1144" s="13">
        <v>10684.113235533601</v>
      </c>
      <c r="I1144" s="14">
        <v>0</v>
      </c>
      <c r="J1144" s="15">
        <v>1</v>
      </c>
      <c r="K1144" s="14">
        <v>859.55636573291633</v>
      </c>
      <c r="L1144" s="13">
        <v>9183597.5438142121</v>
      </c>
      <c r="M1144" s="14">
        <v>3.7752488834204301</v>
      </c>
      <c r="N1144" s="14">
        <v>596.00360059402999</v>
      </c>
      <c r="O1144" s="13">
        <v>6367769.9575323584</v>
      </c>
      <c r="P1144" s="13">
        <v>2815827.5862818537</v>
      </c>
      <c r="Q1144" s="14">
        <v>1.4421999546247812</v>
      </c>
      <c r="R1144" s="15">
        <v>0.44219995462478118</v>
      </c>
    </row>
    <row r="1145" spans="1:18" ht="18" customHeight="1">
      <c r="A1145" s="10" t="s">
        <v>97</v>
      </c>
      <c r="B1145" s="10" t="s">
        <v>98</v>
      </c>
      <c r="C1145" s="10" t="s">
        <v>254</v>
      </c>
      <c r="D1145" s="10" t="s">
        <v>269</v>
      </c>
      <c r="E1145" s="16">
        <v>44</v>
      </c>
      <c r="F1145" s="16">
        <v>44</v>
      </c>
      <c r="G1145" s="13">
        <v>141437.6146310934</v>
      </c>
      <c r="H1145" s="13">
        <v>141437.6146310934</v>
      </c>
      <c r="I1145" s="14">
        <v>0</v>
      </c>
      <c r="J1145" s="15">
        <v>1</v>
      </c>
      <c r="K1145" s="14">
        <v>348.9055516649571</v>
      </c>
      <c r="L1145" s="13">
        <v>49348368.959037252</v>
      </c>
      <c r="M1145" s="14">
        <v>3.3534099315737889</v>
      </c>
      <c r="N1145" s="14">
        <v>225.63679983243685</v>
      </c>
      <c r="O1145" s="13">
        <v>31913530.741293363</v>
      </c>
      <c r="P1145" s="13">
        <v>17434838.217743888</v>
      </c>
      <c r="Q1145" s="14">
        <v>1.5463149270157284</v>
      </c>
      <c r="R1145" s="15">
        <v>0.54631492701572837</v>
      </c>
    </row>
    <row r="1146" spans="1:18" ht="18" customHeight="1">
      <c r="A1146" s="10" t="s">
        <v>97</v>
      </c>
      <c r="B1146" s="10" t="s">
        <v>98</v>
      </c>
      <c r="C1146" s="10" t="s">
        <v>254</v>
      </c>
      <c r="D1146" s="10" t="s">
        <v>270</v>
      </c>
      <c r="E1146" s="16">
        <v>22</v>
      </c>
      <c r="F1146" s="16">
        <v>22</v>
      </c>
      <c r="G1146" s="13">
        <v>32358.604155239296</v>
      </c>
      <c r="H1146" s="13">
        <v>32358.604155239296</v>
      </c>
      <c r="I1146" s="14">
        <v>0</v>
      </c>
      <c r="J1146" s="15">
        <v>1</v>
      </c>
      <c r="K1146" s="14">
        <v>984.31652944638074</v>
      </c>
      <c r="L1146" s="13">
        <v>31851108.939814378</v>
      </c>
      <c r="M1146" s="14">
        <v>3.8249870437272202</v>
      </c>
      <c r="N1146" s="14">
        <v>668.32397921502377</v>
      </c>
      <c r="O1146" s="13">
        <v>21626031.090873331</v>
      </c>
      <c r="P1146" s="13">
        <v>10225077.848941047</v>
      </c>
      <c r="Q1146" s="14">
        <v>1.4728134259113435</v>
      </c>
      <c r="R1146" s="15">
        <v>0.4728134259113434</v>
      </c>
    </row>
    <row r="1147" spans="1:18" ht="18" customHeight="1">
      <c r="A1147" s="10" t="s">
        <v>97</v>
      </c>
      <c r="B1147" s="10" t="s">
        <v>98</v>
      </c>
      <c r="C1147" s="10" t="s">
        <v>254</v>
      </c>
      <c r="D1147" s="10" t="s">
        <v>276</v>
      </c>
      <c r="E1147" s="16">
        <v>82</v>
      </c>
      <c r="F1147" s="16">
        <v>82</v>
      </c>
      <c r="G1147" s="13">
        <v>72235.151705815806</v>
      </c>
      <c r="H1147" s="13">
        <v>72235.151705815806</v>
      </c>
      <c r="I1147" s="14">
        <v>0</v>
      </c>
      <c r="J1147" s="15">
        <v>1</v>
      </c>
      <c r="K1147" s="14">
        <v>1086.6220659294527</v>
      </c>
      <c r="L1147" s="13">
        <v>78492309.779301003</v>
      </c>
      <c r="M1147" s="14">
        <v>3.8810312380658245</v>
      </c>
      <c r="N1147" s="14">
        <v>760.38096788719213</v>
      </c>
      <c r="O1147" s="13">
        <v>54926234.569546379</v>
      </c>
      <c r="P1147" s="13">
        <v>23566075.209754623</v>
      </c>
      <c r="Q1147" s="14">
        <v>1.4290495315114999</v>
      </c>
      <c r="R1147" s="15">
        <v>0.42904953151149988</v>
      </c>
    </row>
    <row r="1148" spans="1:18" ht="18" customHeight="1">
      <c r="A1148" s="10" t="s">
        <v>97</v>
      </c>
      <c r="B1148" s="10" t="s">
        <v>98</v>
      </c>
      <c r="C1148" s="10" t="s">
        <v>254</v>
      </c>
      <c r="D1148" s="10" t="s">
        <v>271</v>
      </c>
      <c r="E1148" s="16">
        <v>55</v>
      </c>
      <c r="F1148" s="16">
        <v>55</v>
      </c>
      <c r="G1148" s="13">
        <v>69505.136981211297</v>
      </c>
      <c r="H1148" s="13">
        <v>69505.136981211297</v>
      </c>
      <c r="I1148" s="14">
        <v>0</v>
      </c>
      <c r="J1148" s="15">
        <v>1</v>
      </c>
      <c r="K1148" s="14">
        <v>13.272035650996726</v>
      </c>
      <c r="L1148" s="13">
        <v>922474.65594204725</v>
      </c>
      <c r="M1148" s="14">
        <v>2.0916251237224253</v>
      </c>
      <c r="N1148" s="14">
        <v>12.348810430540265</v>
      </c>
      <c r="O1148" s="13">
        <v>858305.76052971196</v>
      </c>
      <c r="P1148" s="13">
        <v>64168.895412335289</v>
      </c>
      <c r="Q1148" s="14">
        <v>1.0747622797879544</v>
      </c>
      <c r="R1148" s="15">
        <v>7.4762279787954369E-2</v>
      </c>
    </row>
    <row r="1149" spans="1:18" ht="18" customHeight="1">
      <c r="A1149" s="10" t="s">
        <v>97</v>
      </c>
      <c r="B1149" s="10" t="s">
        <v>98</v>
      </c>
      <c r="C1149" s="10" t="s">
        <v>254</v>
      </c>
      <c r="D1149" s="10" t="s">
        <v>272</v>
      </c>
      <c r="E1149" s="16">
        <v>17</v>
      </c>
      <c r="F1149" s="16">
        <v>17</v>
      </c>
      <c r="G1149" s="13">
        <v>11857.485199198602</v>
      </c>
      <c r="H1149" s="13">
        <v>11857.485199198602</v>
      </c>
      <c r="I1149" s="14">
        <v>0</v>
      </c>
      <c r="J1149" s="15">
        <v>1</v>
      </c>
      <c r="K1149" s="14">
        <v>81.044956773668289</v>
      </c>
      <c r="L1149" s="13">
        <v>960989.37541346217</v>
      </c>
      <c r="M1149" s="14">
        <v>2.8095204251769483</v>
      </c>
      <c r="N1149" s="14">
        <v>64.494165121729921</v>
      </c>
      <c r="O1149" s="13">
        <v>764738.60836558323</v>
      </c>
      <c r="P1149" s="13">
        <v>196250.76704787894</v>
      </c>
      <c r="Q1149" s="14">
        <v>1.2566246360535014</v>
      </c>
      <c r="R1149" s="15">
        <v>0.25662463605350139</v>
      </c>
    </row>
    <row r="1150" spans="1:18" ht="18" customHeight="1">
      <c r="A1150" s="10" t="s">
        <v>97</v>
      </c>
      <c r="B1150" s="10" t="s">
        <v>98</v>
      </c>
      <c r="C1150" s="10" t="s">
        <v>254</v>
      </c>
      <c r="D1150" s="10" t="s">
        <v>283</v>
      </c>
      <c r="E1150" s="16">
        <v>5</v>
      </c>
      <c r="F1150" s="16">
        <v>5</v>
      </c>
      <c r="G1150" s="13">
        <v>3172.4059182853998</v>
      </c>
      <c r="H1150" s="13">
        <v>3172.4059182853998</v>
      </c>
      <c r="I1150" s="14">
        <v>0</v>
      </c>
      <c r="J1150" s="15">
        <v>1</v>
      </c>
      <c r="K1150" s="14">
        <v>113.55643423570626</v>
      </c>
      <c r="L1150" s="13">
        <v>360247.10402874136</v>
      </c>
      <c r="M1150" s="14">
        <v>3.0370091224659137</v>
      </c>
      <c r="N1150" s="14">
        <v>108.89529668268895</v>
      </c>
      <c r="O1150" s="13">
        <v>345460.08366960689</v>
      </c>
      <c r="P1150" s="13">
        <v>14787.020359134476</v>
      </c>
      <c r="Q1150" s="14">
        <v>1.0428038464011853</v>
      </c>
      <c r="R1150" s="15">
        <v>4.28038464011853E-2</v>
      </c>
    </row>
    <row r="1151" spans="1:18" ht="18" customHeight="1">
      <c r="A1151" s="10" t="s">
        <v>97</v>
      </c>
      <c r="B1151" s="10" t="s">
        <v>98</v>
      </c>
      <c r="C1151" s="10" t="s">
        <v>254</v>
      </c>
      <c r="D1151" s="10" t="s">
        <v>278</v>
      </c>
      <c r="E1151" s="16">
        <v>6</v>
      </c>
      <c r="F1151" s="16">
        <v>6</v>
      </c>
      <c r="G1151" s="13">
        <v>121.3638170169</v>
      </c>
      <c r="H1151" s="13">
        <v>121.3638170169</v>
      </c>
      <c r="I1151" s="14">
        <v>0</v>
      </c>
      <c r="J1151" s="15">
        <v>1</v>
      </c>
      <c r="K1151" s="14">
        <v>418.46956142280953</v>
      </c>
      <c r="L1151" s="13">
        <v>50787.063279660251</v>
      </c>
      <c r="M1151" s="14">
        <v>3.6128334327205622</v>
      </c>
      <c r="N1151" s="14">
        <v>410.04680538523013</v>
      </c>
      <c r="O1151" s="13">
        <v>49764.845457137475</v>
      </c>
      <c r="P1151" s="13">
        <v>1022.2178225227763</v>
      </c>
      <c r="Q1151" s="14">
        <v>1.0205409624632154</v>
      </c>
      <c r="R1151" s="15">
        <v>2.0540962463215399E-2</v>
      </c>
    </row>
    <row r="1152" spans="1:18" ht="18" customHeight="1">
      <c r="A1152" s="10" t="s">
        <v>97</v>
      </c>
      <c r="B1152" s="10" t="s">
        <v>98</v>
      </c>
      <c r="C1152" s="10" t="s">
        <v>254</v>
      </c>
      <c r="D1152" s="10" t="s">
        <v>273</v>
      </c>
      <c r="E1152" s="16">
        <v>13</v>
      </c>
      <c r="F1152" s="16">
        <v>13</v>
      </c>
      <c r="G1152" s="13">
        <v>123271.89663840461</v>
      </c>
      <c r="H1152" s="13">
        <v>123271.89663840461</v>
      </c>
      <c r="I1152" s="14">
        <v>0</v>
      </c>
      <c r="J1152" s="15">
        <v>1</v>
      </c>
      <c r="K1152" s="14">
        <v>308.01207321695966</v>
      </c>
      <c r="L1152" s="13">
        <v>37969232.452981763</v>
      </c>
      <c r="M1152" s="14">
        <v>3.4110361513321932</v>
      </c>
      <c r="N1152" s="14">
        <v>257.65356228141911</v>
      </c>
      <c r="O1152" s="13">
        <v>31761443.298071843</v>
      </c>
      <c r="P1152" s="13">
        <v>6207789.1549099199</v>
      </c>
      <c r="Q1152" s="14">
        <v>1.1954504742322833</v>
      </c>
      <c r="R1152" s="15">
        <v>0.19545047423228337</v>
      </c>
    </row>
    <row r="1153" spans="1:18" ht="18" customHeight="1">
      <c r="A1153" s="10" t="s">
        <v>97</v>
      </c>
      <c r="B1153" s="10" t="s">
        <v>98</v>
      </c>
      <c r="C1153" s="10" t="s">
        <v>254</v>
      </c>
      <c r="D1153" s="10" t="s">
        <v>284</v>
      </c>
      <c r="E1153" s="16">
        <v>58</v>
      </c>
      <c r="F1153" s="16">
        <v>58</v>
      </c>
      <c r="G1153" s="13">
        <v>8126.2012751378006</v>
      </c>
      <c r="H1153" s="13">
        <v>8126.2012751378006</v>
      </c>
      <c r="I1153" s="14">
        <v>0</v>
      </c>
      <c r="J1153" s="15">
        <v>1</v>
      </c>
      <c r="K1153" s="14">
        <v>385.38636431389199</v>
      </c>
      <c r="L1153" s="13">
        <v>3131727.16510827</v>
      </c>
      <c r="M1153" s="14">
        <v>3.3241900207337962</v>
      </c>
      <c r="N1153" s="14">
        <v>210.9550958661136</v>
      </c>
      <c r="O1153" s="13">
        <v>1714263.5690240292</v>
      </c>
      <c r="P1153" s="13">
        <v>1417463.5960842408</v>
      </c>
      <c r="Q1153" s="14">
        <v>1.8268644458747008</v>
      </c>
      <c r="R1153" s="15">
        <v>0.82686444587470076</v>
      </c>
    </row>
    <row r="1154" spans="1:18" ht="18" customHeight="1">
      <c r="A1154" s="10" t="s">
        <v>97</v>
      </c>
      <c r="B1154" s="10" t="s">
        <v>98</v>
      </c>
      <c r="C1154" s="10" t="s">
        <v>254</v>
      </c>
      <c r="D1154" s="10" t="s">
        <v>274</v>
      </c>
      <c r="E1154" s="16">
        <v>3</v>
      </c>
      <c r="F1154" s="16">
        <v>3</v>
      </c>
      <c r="G1154" s="13">
        <v>190.29800752529999</v>
      </c>
      <c r="H1154" s="13">
        <v>190.29800752529999</v>
      </c>
      <c r="I1154" s="14">
        <v>0</v>
      </c>
      <c r="J1154" s="15">
        <v>1</v>
      </c>
      <c r="K1154" s="14">
        <v>276.74800124759412</v>
      </c>
      <c r="L1154" s="13">
        <v>52664.593224026401</v>
      </c>
      <c r="M1154" s="14">
        <v>3.4089926358439953</v>
      </c>
      <c r="N1154" s="14">
        <v>256.44405519670505</v>
      </c>
      <c r="O1154" s="13">
        <v>48800.792745641025</v>
      </c>
      <c r="P1154" s="13">
        <v>3863.8004783853758</v>
      </c>
      <c r="Q1154" s="14">
        <v>1.079174953130869</v>
      </c>
      <c r="R1154" s="15">
        <v>7.9174953130868905E-2</v>
      </c>
    </row>
    <row r="1155" spans="1:18" ht="18" customHeight="1">
      <c r="A1155" s="10" t="s">
        <v>97</v>
      </c>
      <c r="B1155" s="10" t="s">
        <v>98</v>
      </c>
      <c r="C1155" s="10" t="s">
        <v>254</v>
      </c>
      <c r="D1155" s="10" t="s">
        <v>282</v>
      </c>
      <c r="E1155" s="16">
        <v>2</v>
      </c>
      <c r="F1155" s="16">
        <v>2</v>
      </c>
      <c r="G1155" s="13">
        <v>0.83740379040000001</v>
      </c>
      <c r="H1155" s="13">
        <v>0.83740379040000001</v>
      </c>
      <c r="I1155" s="14">
        <v>0</v>
      </c>
      <c r="J1155" s="15">
        <v>1</v>
      </c>
      <c r="K1155" s="14">
        <v>363.06699103164925</v>
      </c>
      <c r="L1155" s="13">
        <v>304.03367445902592</v>
      </c>
      <c r="M1155" s="14">
        <v>3.5599866132048503</v>
      </c>
      <c r="N1155" s="14">
        <v>363.06686333931879</v>
      </c>
      <c r="O1155" s="13">
        <v>304.03356752898435</v>
      </c>
      <c r="P1155" s="13">
        <v>1.0693004156792085E-4</v>
      </c>
      <c r="Q1155" s="14">
        <v>1.0000003517047227</v>
      </c>
      <c r="R1155" s="15">
        <v>3.5170472272844318E-7</v>
      </c>
    </row>
    <row r="1156" spans="1:18" ht="18" customHeight="1">
      <c r="A1156" s="10" t="s">
        <v>28</v>
      </c>
      <c r="B1156" s="10" t="s">
        <v>29</v>
      </c>
      <c r="C1156" s="10" t="s">
        <v>254</v>
      </c>
      <c r="D1156" s="10" t="s">
        <v>255</v>
      </c>
      <c r="E1156" s="16">
        <v>3</v>
      </c>
      <c r="F1156" s="16">
        <v>3</v>
      </c>
      <c r="G1156" s="13">
        <v>772235.6888825401</v>
      </c>
      <c r="H1156" s="13">
        <v>772235.6888825401</v>
      </c>
      <c r="I1156" s="14">
        <v>0</v>
      </c>
      <c r="J1156" s="15">
        <v>1</v>
      </c>
      <c r="K1156" s="14">
        <v>1361.2191217032794</v>
      </c>
      <c r="L1156" s="13">
        <v>1051181986.1686181</v>
      </c>
      <c r="M1156" s="14">
        <v>4.1254988639408179</v>
      </c>
      <c r="N1156" s="14">
        <v>1335.0540972259207</v>
      </c>
      <c r="O1156" s="13">
        <v>1030976420.4667165</v>
      </c>
      <c r="P1156" s="13">
        <v>20205565.701901555</v>
      </c>
      <c r="Q1156" s="14">
        <v>1.0195984750967968</v>
      </c>
      <c r="R1156" s="15">
        <v>1.9598475096796707E-2</v>
      </c>
    </row>
    <row r="1157" spans="1:18" ht="18" customHeight="1">
      <c r="A1157" s="10" t="s">
        <v>28</v>
      </c>
      <c r="B1157" s="10" t="s">
        <v>29</v>
      </c>
      <c r="C1157" s="10" t="s">
        <v>254</v>
      </c>
      <c r="D1157" s="10" t="s">
        <v>256</v>
      </c>
      <c r="E1157" s="16">
        <v>3</v>
      </c>
      <c r="F1157" s="16">
        <v>3</v>
      </c>
      <c r="G1157" s="13">
        <v>3430.7812618647004</v>
      </c>
      <c r="H1157" s="13">
        <v>3430.7812618647004</v>
      </c>
      <c r="I1157" s="14">
        <v>0</v>
      </c>
      <c r="J1157" s="15">
        <v>1</v>
      </c>
      <c r="K1157" s="14">
        <v>1266.1047813954699</v>
      </c>
      <c r="L1157" s="13">
        <v>4343728.5595688811</v>
      </c>
      <c r="M1157" s="14">
        <v>4.084900556308515</v>
      </c>
      <c r="N1157" s="14">
        <v>1215.9075532218039</v>
      </c>
      <c r="O1157" s="13">
        <v>4171512.8497531209</v>
      </c>
      <c r="P1157" s="13">
        <v>172215.70981576014</v>
      </c>
      <c r="Q1157" s="14">
        <v>1.0412837538846254</v>
      </c>
      <c r="R1157" s="15">
        <v>4.1283753884625393E-2</v>
      </c>
    </row>
    <row r="1158" spans="1:18" ht="18" customHeight="1">
      <c r="A1158" s="10" t="s">
        <v>28</v>
      </c>
      <c r="B1158" s="10" t="s">
        <v>29</v>
      </c>
      <c r="C1158" s="10" t="s">
        <v>254</v>
      </c>
      <c r="D1158" s="10" t="s">
        <v>257</v>
      </c>
      <c r="E1158" s="16">
        <v>2</v>
      </c>
      <c r="F1158" s="16">
        <v>2</v>
      </c>
      <c r="G1158" s="13">
        <v>88.633605553399988</v>
      </c>
      <c r="H1158" s="13">
        <v>88.633605553399988</v>
      </c>
      <c r="I1158" s="14">
        <v>0</v>
      </c>
      <c r="J1158" s="15">
        <v>1</v>
      </c>
      <c r="K1158" s="14">
        <v>1661.7723969401518</v>
      </c>
      <c r="L1158" s="13">
        <v>147288.87914992144</v>
      </c>
      <c r="M1158" s="14">
        <v>4.2204965378540704</v>
      </c>
      <c r="N1158" s="14">
        <v>1661.4854325420549</v>
      </c>
      <c r="O1158" s="13">
        <v>147263.44446065265</v>
      </c>
      <c r="P1158" s="13">
        <v>25.434689268789953</v>
      </c>
      <c r="Q1158" s="14">
        <v>1.000172715566731</v>
      </c>
      <c r="R1158" s="15">
        <v>1.7271556673106238E-4</v>
      </c>
    </row>
    <row r="1159" spans="1:18" ht="18" customHeight="1">
      <c r="A1159" s="10" t="s">
        <v>28</v>
      </c>
      <c r="B1159" s="10" t="s">
        <v>29</v>
      </c>
      <c r="C1159" s="10" t="s">
        <v>254</v>
      </c>
      <c r="D1159" s="10" t="s">
        <v>258</v>
      </c>
      <c r="E1159" s="16">
        <v>9</v>
      </c>
      <c r="F1159" s="16">
        <v>9</v>
      </c>
      <c r="G1159" s="13">
        <v>47013.665348768402</v>
      </c>
      <c r="H1159" s="13">
        <v>47013.665348768402</v>
      </c>
      <c r="I1159" s="14">
        <v>0</v>
      </c>
      <c r="J1159" s="15">
        <v>1</v>
      </c>
      <c r="K1159" s="14">
        <v>620.61538566140632</v>
      </c>
      <c r="L1159" s="13">
        <v>29177404.051782198</v>
      </c>
      <c r="M1159" s="14">
        <v>2.7797231868946319</v>
      </c>
      <c r="N1159" s="14">
        <v>60.217564556483907</v>
      </c>
      <c r="O1159" s="13">
        <v>2831048.4281763919</v>
      </c>
      <c r="P1159" s="13">
        <v>26346355.623605806</v>
      </c>
      <c r="Q1159" s="14">
        <v>10.30621862960384</v>
      </c>
      <c r="R1159" s="15">
        <v>9.3062186296038405</v>
      </c>
    </row>
    <row r="1160" spans="1:18" ht="18" customHeight="1">
      <c r="A1160" s="10" t="s">
        <v>28</v>
      </c>
      <c r="B1160" s="10" t="s">
        <v>29</v>
      </c>
      <c r="C1160" s="10" t="s">
        <v>254</v>
      </c>
      <c r="D1160" s="10" t="s">
        <v>261</v>
      </c>
      <c r="E1160" s="16">
        <v>17</v>
      </c>
      <c r="F1160" s="16">
        <v>17</v>
      </c>
      <c r="G1160" s="13">
        <v>134005.7971244533</v>
      </c>
      <c r="H1160" s="13">
        <v>134005.7971244533</v>
      </c>
      <c r="I1160" s="14">
        <v>0</v>
      </c>
      <c r="J1160" s="15">
        <v>1</v>
      </c>
      <c r="K1160" s="14">
        <v>2661.5221973315979</v>
      </c>
      <c r="L1160" s="13">
        <v>356659403.61784726</v>
      </c>
      <c r="M1160" s="14">
        <v>4.4221911977102346</v>
      </c>
      <c r="N1160" s="14">
        <v>2643.5723312404125</v>
      </c>
      <c r="O1160" s="13">
        <v>354254017.50402075</v>
      </c>
      <c r="P1160" s="13">
        <v>2405386.1138265133</v>
      </c>
      <c r="Q1160" s="14">
        <v>1.0067900037684094</v>
      </c>
      <c r="R1160" s="15">
        <v>6.7900037684095211E-3</v>
      </c>
    </row>
    <row r="1161" spans="1:18" ht="18" customHeight="1">
      <c r="A1161" s="10" t="s">
        <v>28</v>
      </c>
      <c r="B1161" s="10" t="s">
        <v>29</v>
      </c>
      <c r="C1161" s="10" t="s">
        <v>254</v>
      </c>
      <c r="D1161" s="10" t="s">
        <v>262</v>
      </c>
      <c r="E1161" s="16">
        <v>5</v>
      </c>
      <c r="F1161" s="16">
        <v>5</v>
      </c>
      <c r="G1161" s="13">
        <v>2407.6701515243003</v>
      </c>
      <c r="H1161" s="13">
        <v>2407.6701515243003</v>
      </c>
      <c r="I1161" s="14">
        <v>0</v>
      </c>
      <c r="J1161" s="15">
        <v>1</v>
      </c>
      <c r="K1161" s="14">
        <v>520.25624547721225</v>
      </c>
      <c r="L1161" s="13">
        <v>1252605.4333795833</v>
      </c>
      <c r="M1161" s="14">
        <v>3.7034437927708108</v>
      </c>
      <c r="N1161" s="14">
        <v>505.17725969414874</v>
      </c>
      <c r="O1161" s="13">
        <v>1216300.2093944419</v>
      </c>
      <c r="P1161" s="13">
        <v>36305.223985141376</v>
      </c>
      <c r="Q1161" s="14">
        <v>1.0298489005466969</v>
      </c>
      <c r="R1161" s="15">
        <v>2.9848900546696953E-2</v>
      </c>
    </row>
    <row r="1162" spans="1:18" ht="18" customHeight="1">
      <c r="A1162" s="10" t="s">
        <v>28</v>
      </c>
      <c r="B1162" s="10" t="s">
        <v>29</v>
      </c>
      <c r="C1162" s="10" t="s">
        <v>254</v>
      </c>
      <c r="D1162" s="10" t="s">
        <v>263</v>
      </c>
      <c r="E1162" s="16">
        <v>1</v>
      </c>
      <c r="F1162" s="16">
        <v>1</v>
      </c>
      <c r="G1162" s="13">
        <v>0.95836452650000004</v>
      </c>
      <c r="H1162" s="13">
        <v>0.95836452650000004</v>
      </c>
      <c r="I1162" s="14">
        <v>0</v>
      </c>
      <c r="J1162" s="15">
        <v>1</v>
      </c>
      <c r="K1162" s="14">
        <v>144.54397707459279</v>
      </c>
      <c r="L1162" s="13">
        <v>138.52582014751897</v>
      </c>
      <c r="M1162" s="14">
        <v>3.16</v>
      </c>
      <c r="N1162" s="14">
        <v>144.54397707459279</v>
      </c>
      <c r="O1162" s="13">
        <v>138.52582014751897</v>
      </c>
      <c r="P1162" s="13">
        <v>0</v>
      </c>
      <c r="Q1162" s="14">
        <v>1</v>
      </c>
      <c r="R1162" s="15">
        <v>0</v>
      </c>
    </row>
    <row r="1163" spans="1:18" ht="18" customHeight="1">
      <c r="A1163" s="10" t="s">
        <v>28</v>
      </c>
      <c r="B1163" s="10" t="s">
        <v>29</v>
      </c>
      <c r="C1163" s="10" t="s">
        <v>254</v>
      </c>
      <c r="D1163" s="10" t="s">
        <v>264</v>
      </c>
      <c r="E1163" s="16">
        <v>15</v>
      </c>
      <c r="F1163" s="16">
        <v>15</v>
      </c>
      <c r="G1163" s="13">
        <v>21410.421413411106</v>
      </c>
      <c r="H1163" s="13">
        <v>21410.421413411106</v>
      </c>
      <c r="I1163" s="14">
        <v>0</v>
      </c>
      <c r="J1163" s="15">
        <v>1</v>
      </c>
      <c r="K1163" s="14">
        <v>2386.2048965024815</v>
      </c>
      <c r="L1163" s="13">
        <v>51089652.412863158</v>
      </c>
      <c r="M1163" s="14">
        <v>4.2974018531274805</v>
      </c>
      <c r="N1163" s="14">
        <v>1983.3613833205977</v>
      </c>
      <c r="O1163" s="13">
        <v>42464603.03198</v>
      </c>
      <c r="P1163" s="13">
        <v>8625049.3808831573</v>
      </c>
      <c r="Q1163" s="14">
        <v>1.2031115038185487</v>
      </c>
      <c r="R1163" s="15">
        <v>0.20311150381854862</v>
      </c>
    </row>
    <row r="1164" spans="1:18" ht="18" customHeight="1">
      <c r="A1164" s="10" t="s">
        <v>28</v>
      </c>
      <c r="B1164" s="10" t="s">
        <v>29</v>
      </c>
      <c r="C1164" s="10" t="s">
        <v>254</v>
      </c>
      <c r="D1164" s="10" t="s">
        <v>265</v>
      </c>
      <c r="E1164" s="16">
        <v>14</v>
      </c>
      <c r="F1164" s="16">
        <v>14</v>
      </c>
      <c r="G1164" s="13">
        <v>22642.5299963914</v>
      </c>
      <c r="H1164" s="13">
        <v>22642.5299963914</v>
      </c>
      <c r="I1164" s="14">
        <v>0</v>
      </c>
      <c r="J1164" s="15">
        <v>1</v>
      </c>
      <c r="K1164" s="14">
        <v>104.42760986742633</v>
      </c>
      <c r="L1164" s="13">
        <v>2364505.2888746592</v>
      </c>
      <c r="M1164" s="14">
        <v>2.7479539982273633</v>
      </c>
      <c r="N1164" s="14">
        <v>55.969831343300825</v>
      </c>
      <c r="O1164" s="13">
        <v>1267298.5850836565</v>
      </c>
      <c r="P1164" s="13">
        <v>1097206.7037910027</v>
      </c>
      <c r="Q1164" s="14">
        <v>1.86578389394996</v>
      </c>
      <c r="R1164" s="15">
        <v>0.86578389394995992</v>
      </c>
    </row>
    <row r="1165" spans="1:18" ht="18" customHeight="1">
      <c r="A1165" s="10" t="s">
        <v>28</v>
      </c>
      <c r="B1165" s="10" t="s">
        <v>29</v>
      </c>
      <c r="C1165" s="10" t="s">
        <v>254</v>
      </c>
      <c r="D1165" s="10" t="s">
        <v>266</v>
      </c>
      <c r="E1165" s="16">
        <v>2</v>
      </c>
      <c r="F1165" s="16">
        <v>2</v>
      </c>
      <c r="G1165" s="13">
        <v>92289.999099448789</v>
      </c>
      <c r="H1165" s="13">
        <v>92289.999099448789</v>
      </c>
      <c r="I1165" s="14">
        <v>0</v>
      </c>
      <c r="J1165" s="15">
        <v>1</v>
      </c>
      <c r="K1165" s="14">
        <v>2297.7020004748683</v>
      </c>
      <c r="L1165" s="13">
        <v>212054915.5546273</v>
      </c>
      <c r="M1165" s="14">
        <v>4.3566795068853468</v>
      </c>
      <c r="N1165" s="14">
        <v>2273.4191131456682</v>
      </c>
      <c r="O1165" s="13">
        <v>209813847.90488338</v>
      </c>
      <c r="P1165" s="13">
        <v>2241067.6497439146</v>
      </c>
      <c r="Q1165" s="14">
        <v>1.0106812189572916</v>
      </c>
      <c r="R1165" s="15">
        <v>1.0681218957291494E-2</v>
      </c>
    </row>
    <row r="1166" spans="1:18" ht="18" customHeight="1">
      <c r="A1166" s="10" t="s">
        <v>28</v>
      </c>
      <c r="B1166" s="10" t="s">
        <v>29</v>
      </c>
      <c r="C1166" s="10" t="s">
        <v>254</v>
      </c>
      <c r="D1166" s="10" t="s">
        <v>267</v>
      </c>
      <c r="E1166" s="16">
        <v>2</v>
      </c>
      <c r="F1166" s="16">
        <v>2</v>
      </c>
      <c r="G1166" s="13">
        <v>111.7859422966</v>
      </c>
      <c r="H1166" s="13">
        <v>111.7859422966</v>
      </c>
      <c r="I1166" s="14">
        <v>0</v>
      </c>
      <c r="J1166" s="15">
        <v>1</v>
      </c>
      <c r="K1166" s="14">
        <v>1079.6602956076649</v>
      </c>
      <c r="L1166" s="13">
        <v>120690.84350472853</v>
      </c>
      <c r="M1166" s="14">
        <v>3.99384636997689</v>
      </c>
      <c r="N1166" s="14">
        <v>985.93065471243926</v>
      </c>
      <c r="O1166" s="13">
        <v>110213.18727613379</v>
      </c>
      <c r="P1166" s="13">
        <v>10477.656228594744</v>
      </c>
      <c r="Q1166" s="14">
        <v>1.0950671737887725</v>
      </c>
      <c r="R1166" s="15">
        <v>9.5067173788772524E-2</v>
      </c>
    </row>
    <row r="1167" spans="1:18" ht="18" customHeight="1">
      <c r="A1167" s="10" t="s">
        <v>28</v>
      </c>
      <c r="B1167" s="10" t="s">
        <v>29</v>
      </c>
      <c r="C1167" s="10" t="s">
        <v>254</v>
      </c>
      <c r="D1167" s="10" t="s">
        <v>268</v>
      </c>
      <c r="E1167" s="16">
        <v>5</v>
      </c>
      <c r="F1167" s="16">
        <v>5</v>
      </c>
      <c r="G1167" s="13">
        <v>5947.9352592500009</v>
      </c>
      <c r="H1167" s="13">
        <v>5947.9352592500009</v>
      </c>
      <c r="I1167" s="14">
        <v>0</v>
      </c>
      <c r="J1167" s="15">
        <v>1</v>
      </c>
      <c r="K1167" s="14">
        <v>741.12118634832973</v>
      </c>
      <c r="L1167" s="13">
        <v>4408140.8356584208</v>
      </c>
      <c r="M1167" s="14">
        <v>3.5893655835723899</v>
      </c>
      <c r="N1167" s="14">
        <v>388.47724359443305</v>
      </c>
      <c r="O1167" s="13">
        <v>2310637.4945915798</v>
      </c>
      <c r="P1167" s="13">
        <v>2097503.341066841</v>
      </c>
      <c r="Q1167" s="14">
        <v>1.9077595884150527</v>
      </c>
      <c r="R1167" s="15">
        <v>0.90775958841505267</v>
      </c>
    </row>
    <row r="1168" spans="1:18" ht="18" customHeight="1">
      <c r="A1168" s="10" t="s">
        <v>28</v>
      </c>
      <c r="B1168" s="10" t="s">
        <v>29</v>
      </c>
      <c r="C1168" s="10" t="s">
        <v>254</v>
      </c>
      <c r="D1168" s="10" t="s">
        <v>269</v>
      </c>
      <c r="E1168" s="16">
        <v>20</v>
      </c>
      <c r="F1168" s="16">
        <v>20</v>
      </c>
      <c r="G1168" s="13">
        <v>205016.99627990994</v>
      </c>
      <c r="H1168" s="13">
        <v>205016.99627990994</v>
      </c>
      <c r="I1168" s="14">
        <v>0</v>
      </c>
      <c r="J1168" s="15">
        <v>1</v>
      </c>
      <c r="K1168" s="14">
        <v>286.50462090501196</v>
      </c>
      <c r="L1168" s="13">
        <v>58738316.798259847</v>
      </c>
      <c r="M1168" s="14">
        <v>3.3641767219502223</v>
      </c>
      <c r="N1168" s="14">
        <v>231.30058008463971</v>
      </c>
      <c r="O1168" s="13">
        <v>47420550.16675359</v>
      </c>
      <c r="P1168" s="13">
        <v>11317766.631506257</v>
      </c>
      <c r="Q1168" s="14">
        <v>1.2386679739418356</v>
      </c>
      <c r="R1168" s="15">
        <v>0.23866797394183567</v>
      </c>
    </row>
    <row r="1169" spans="1:18" ht="18" customHeight="1">
      <c r="A1169" s="10" t="s">
        <v>28</v>
      </c>
      <c r="B1169" s="10" t="s">
        <v>29</v>
      </c>
      <c r="C1169" s="10" t="s">
        <v>254</v>
      </c>
      <c r="D1169" s="10" t="s">
        <v>270</v>
      </c>
      <c r="E1169" s="16">
        <v>13</v>
      </c>
      <c r="F1169" s="16">
        <v>13</v>
      </c>
      <c r="G1169" s="13">
        <v>906308.64540684468</v>
      </c>
      <c r="H1169" s="13">
        <v>906308.64540684468</v>
      </c>
      <c r="I1169" s="14">
        <v>0</v>
      </c>
      <c r="J1169" s="15">
        <v>1</v>
      </c>
      <c r="K1169" s="14">
        <v>639.78612717319277</v>
      </c>
      <c r="L1169" s="13">
        <v>579843698.26842761</v>
      </c>
      <c r="M1169" s="14">
        <v>3.5329184749571452</v>
      </c>
      <c r="N1169" s="14">
        <v>341.128869463211</v>
      </c>
      <c r="O1169" s="13">
        <v>309168043.59237111</v>
      </c>
      <c r="P1169" s="13">
        <v>270675654.6760565</v>
      </c>
      <c r="Q1169" s="14">
        <v>1.8754968706692543</v>
      </c>
      <c r="R1169" s="15">
        <v>0.8754968706692543</v>
      </c>
    </row>
    <row r="1170" spans="1:18" ht="18" customHeight="1">
      <c r="A1170" s="10" t="s">
        <v>28</v>
      </c>
      <c r="B1170" s="10" t="s">
        <v>29</v>
      </c>
      <c r="C1170" s="10" t="s">
        <v>254</v>
      </c>
      <c r="D1170" s="10" t="s">
        <v>276</v>
      </c>
      <c r="E1170" s="16">
        <v>6</v>
      </c>
      <c r="F1170" s="16">
        <v>6</v>
      </c>
      <c r="G1170" s="13">
        <v>578.69453062059995</v>
      </c>
      <c r="H1170" s="13">
        <v>578.69453062059995</v>
      </c>
      <c r="I1170" s="14">
        <v>0</v>
      </c>
      <c r="J1170" s="15">
        <v>1</v>
      </c>
      <c r="K1170" s="14">
        <v>822.99913904545019</v>
      </c>
      <c r="L1170" s="13">
        <v>476265.10047106468</v>
      </c>
      <c r="M1170" s="14">
        <v>3.8989408198833226</v>
      </c>
      <c r="N1170" s="14">
        <v>792.39334585756012</v>
      </c>
      <c r="O1170" s="13">
        <v>458553.69534792745</v>
      </c>
      <c r="P1170" s="13">
        <v>17711.405123137229</v>
      </c>
      <c r="Q1170" s="14">
        <v>1.0386244954578301</v>
      </c>
      <c r="R1170" s="15">
        <v>3.8624495457830095E-2</v>
      </c>
    </row>
    <row r="1171" spans="1:18" ht="18" customHeight="1">
      <c r="A1171" s="10" t="s">
        <v>28</v>
      </c>
      <c r="B1171" s="10" t="s">
        <v>29</v>
      </c>
      <c r="C1171" s="10" t="s">
        <v>254</v>
      </c>
      <c r="D1171" s="10" t="s">
        <v>271</v>
      </c>
      <c r="E1171" s="16">
        <v>33</v>
      </c>
      <c r="F1171" s="16">
        <v>33</v>
      </c>
      <c r="G1171" s="13">
        <v>185617.47125067009</v>
      </c>
      <c r="H1171" s="13">
        <v>185617.47125067009</v>
      </c>
      <c r="I1171" s="14">
        <v>0</v>
      </c>
      <c r="J1171" s="15">
        <v>1</v>
      </c>
      <c r="K1171" s="14">
        <v>15.595525798668282</v>
      </c>
      <c r="L1171" s="13">
        <v>2894802.0615733936</v>
      </c>
      <c r="M1171" s="14">
        <v>2.0720451603283889</v>
      </c>
      <c r="N1171" s="14">
        <v>11.804433782635559</v>
      </c>
      <c r="O1171" s="13">
        <v>2191109.1482787947</v>
      </c>
      <c r="P1171" s="13">
        <v>703692.91329459893</v>
      </c>
      <c r="Q1171" s="14">
        <v>1.3211583110076366</v>
      </c>
      <c r="R1171" s="15">
        <v>0.32115831100763659</v>
      </c>
    </row>
    <row r="1172" spans="1:18" ht="18" customHeight="1">
      <c r="A1172" s="10" t="s">
        <v>28</v>
      </c>
      <c r="B1172" s="10" t="s">
        <v>29</v>
      </c>
      <c r="C1172" s="10" t="s">
        <v>254</v>
      </c>
      <c r="D1172" s="10" t="s">
        <v>272</v>
      </c>
      <c r="E1172" s="16">
        <v>7</v>
      </c>
      <c r="F1172" s="16">
        <v>7</v>
      </c>
      <c r="G1172" s="13">
        <v>4233.6996095533004</v>
      </c>
      <c r="H1172" s="13">
        <v>4233.6996095533004</v>
      </c>
      <c r="I1172" s="14">
        <v>0</v>
      </c>
      <c r="J1172" s="15">
        <v>1</v>
      </c>
      <c r="K1172" s="14">
        <v>45.647777151075161</v>
      </c>
      <c r="L1172" s="13">
        <v>193258.97630148297</v>
      </c>
      <c r="M1172" s="14">
        <v>2.6061028613153132</v>
      </c>
      <c r="N1172" s="14">
        <v>40.374100646269156</v>
      </c>
      <c r="O1172" s="13">
        <v>170931.81414217537</v>
      </c>
      <c r="P1172" s="13">
        <v>22327.162159307598</v>
      </c>
      <c r="Q1172" s="14">
        <v>1.1306202843008302</v>
      </c>
      <c r="R1172" s="15">
        <v>0.13062028430083011</v>
      </c>
    </row>
    <row r="1173" spans="1:18" ht="18" customHeight="1">
      <c r="A1173" s="10" t="s">
        <v>28</v>
      </c>
      <c r="B1173" s="10" t="s">
        <v>29</v>
      </c>
      <c r="C1173" s="10" t="s">
        <v>254</v>
      </c>
      <c r="D1173" s="10" t="s">
        <v>283</v>
      </c>
      <c r="E1173" s="16">
        <v>1</v>
      </c>
      <c r="F1173" s="16">
        <v>1</v>
      </c>
      <c r="G1173" s="13">
        <v>3079.5185024602001</v>
      </c>
      <c r="H1173" s="13">
        <v>3079.5185024602001</v>
      </c>
      <c r="I1173" s="14">
        <v>0</v>
      </c>
      <c r="J1173" s="15">
        <v>1</v>
      </c>
      <c r="K1173" s="14">
        <v>389.04514499428046</v>
      </c>
      <c r="L1173" s="13">
        <v>1198071.7223021979</v>
      </c>
      <c r="M1173" s="14">
        <v>3.59</v>
      </c>
      <c r="N1173" s="14">
        <v>389.04514499428046</v>
      </c>
      <c r="O1173" s="13">
        <v>1198071.7223021979</v>
      </c>
      <c r="P1173" s="13">
        <v>0</v>
      </c>
      <c r="Q1173" s="14">
        <v>1</v>
      </c>
      <c r="R1173" s="15">
        <v>0</v>
      </c>
    </row>
    <row r="1174" spans="1:18" ht="18" customHeight="1">
      <c r="A1174" s="10" t="s">
        <v>28</v>
      </c>
      <c r="B1174" s="10" t="s">
        <v>29</v>
      </c>
      <c r="C1174" s="10" t="s">
        <v>254</v>
      </c>
      <c r="D1174" s="10" t="s">
        <v>278</v>
      </c>
      <c r="E1174" s="16">
        <v>4</v>
      </c>
      <c r="F1174" s="16">
        <v>4</v>
      </c>
      <c r="G1174" s="13">
        <v>12061.010249540101</v>
      </c>
      <c r="H1174" s="13">
        <v>12061.010249540101</v>
      </c>
      <c r="I1174" s="14">
        <v>0</v>
      </c>
      <c r="J1174" s="15">
        <v>1</v>
      </c>
      <c r="K1174" s="14">
        <v>66.500018250834643</v>
      </c>
      <c r="L1174" s="13">
        <v>802057.40171792032</v>
      </c>
      <c r="M1174" s="14">
        <v>2.7684558706443907</v>
      </c>
      <c r="N1174" s="14">
        <v>58.675374560480009</v>
      </c>
      <c r="O1174" s="13">
        <v>707684.2939695539</v>
      </c>
      <c r="P1174" s="13">
        <v>94373.107748366427</v>
      </c>
      <c r="Q1174" s="14">
        <v>1.1333548145021097</v>
      </c>
      <c r="R1174" s="15">
        <v>0.13335481450210984</v>
      </c>
    </row>
    <row r="1175" spans="1:18" ht="18" customHeight="1">
      <c r="A1175" s="10" t="s">
        <v>28</v>
      </c>
      <c r="B1175" s="10" t="s">
        <v>29</v>
      </c>
      <c r="C1175" s="10" t="s">
        <v>254</v>
      </c>
      <c r="D1175" s="10" t="s">
        <v>273</v>
      </c>
      <c r="E1175" s="16">
        <v>10</v>
      </c>
      <c r="F1175" s="16">
        <v>10</v>
      </c>
      <c r="G1175" s="13">
        <v>4968218.7626437359</v>
      </c>
      <c r="H1175" s="13">
        <v>4968218.7626437359</v>
      </c>
      <c r="I1175" s="14">
        <v>0</v>
      </c>
      <c r="J1175" s="15">
        <v>1</v>
      </c>
      <c r="K1175" s="14">
        <v>50.755016721383548</v>
      </c>
      <c r="L1175" s="13">
        <v>252162026.3734743</v>
      </c>
      <c r="M1175" s="14">
        <v>2.6601330639551874</v>
      </c>
      <c r="N1175" s="14">
        <v>45.722825881565804</v>
      </c>
      <c r="O1175" s="13">
        <v>227161001.42588785</v>
      </c>
      <c r="P1175" s="13">
        <v>25001024.947586447</v>
      </c>
      <c r="Q1175" s="14">
        <v>1.1100586138934729</v>
      </c>
      <c r="R1175" s="15">
        <v>0.11005861389347293</v>
      </c>
    </row>
    <row r="1176" spans="1:18" ht="18" customHeight="1">
      <c r="A1176" s="10" t="s">
        <v>28</v>
      </c>
      <c r="B1176" s="10" t="s">
        <v>29</v>
      </c>
      <c r="C1176" s="10" t="s">
        <v>254</v>
      </c>
      <c r="D1176" s="10" t="s">
        <v>284</v>
      </c>
      <c r="E1176" s="16">
        <v>2</v>
      </c>
      <c r="F1176" s="16">
        <v>2</v>
      </c>
      <c r="G1176" s="13">
        <v>2.3318729875000002</v>
      </c>
      <c r="H1176" s="13">
        <v>2.3318729875000002</v>
      </c>
      <c r="I1176" s="14">
        <v>0</v>
      </c>
      <c r="J1176" s="15">
        <v>1</v>
      </c>
      <c r="K1176" s="14">
        <v>307.80006462394772</v>
      </c>
      <c r="L1176" s="13">
        <v>717.75065624733804</v>
      </c>
      <c r="M1176" s="14">
        <v>3.4860130092930284</v>
      </c>
      <c r="N1176" s="14">
        <v>306.2055156191953</v>
      </c>
      <c r="O1176" s="13">
        <v>714.03237049591087</v>
      </c>
      <c r="P1176" s="13">
        <v>3.7182857514271745</v>
      </c>
      <c r="Q1176" s="14">
        <v>1.0052074470361123</v>
      </c>
      <c r="R1176" s="15">
        <v>5.2074470361123055E-3</v>
      </c>
    </row>
    <row r="1177" spans="1:18" ht="18" customHeight="1">
      <c r="A1177" s="10" t="s">
        <v>28</v>
      </c>
      <c r="B1177" s="10" t="s">
        <v>29</v>
      </c>
      <c r="C1177" s="10" t="s">
        <v>254</v>
      </c>
      <c r="D1177" s="10" t="s">
        <v>274</v>
      </c>
      <c r="E1177" s="16">
        <v>6</v>
      </c>
      <c r="F1177" s="16">
        <v>6</v>
      </c>
      <c r="G1177" s="13">
        <v>2102.1049634653</v>
      </c>
      <c r="H1177" s="13">
        <v>2102.1049634653</v>
      </c>
      <c r="I1177" s="14">
        <v>0</v>
      </c>
      <c r="J1177" s="15">
        <v>1</v>
      </c>
      <c r="K1177" s="14">
        <v>516.5369614030293</v>
      </c>
      <c r="L1177" s="13">
        <v>1085814.9103785919</v>
      </c>
      <c r="M1177" s="14">
        <v>3.6398234746414668</v>
      </c>
      <c r="N1177" s="14">
        <v>436.33844003549865</v>
      </c>
      <c r="O1177" s="13">
        <v>917229.20054932788</v>
      </c>
      <c r="P1177" s="13">
        <v>168585.70982926397</v>
      </c>
      <c r="Q1177" s="14">
        <v>1.1837988909732684</v>
      </c>
      <c r="R1177" s="15">
        <v>0.18379889097326832</v>
      </c>
    </row>
    <row r="1178" spans="1:18" ht="18" customHeight="1">
      <c r="A1178" s="10" t="s">
        <v>28</v>
      </c>
      <c r="B1178" s="10" t="s">
        <v>29</v>
      </c>
      <c r="C1178" s="10" t="s">
        <v>254</v>
      </c>
      <c r="D1178" s="10" t="s">
        <v>282</v>
      </c>
      <c r="E1178" s="16">
        <v>3</v>
      </c>
      <c r="F1178" s="16">
        <v>3</v>
      </c>
      <c r="G1178" s="13">
        <v>1440.9350347292</v>
      </c>
      <c r="H1178" s="13">
        <v>1440.9350347292</v>
      </c>
      <c r="I1178" s="14">
        <v>0</v>
      </c>
      <c r="J1178" s="15">
        <v>1</v>
      </c>
      <c r="K1178" s="14">
        <v>1246.0565333872801</v>
      </c>
      <c r="L1178" s="13">
        <v>1795486.5142109469</v>
      </c>
      <c r="M1178" s="14">
        <v>3.7954249927649277</v>
      </c>
      <c r="N1178" s="14">
        <v>624.34550991718277</v>
      </c>
      <c r="O1178" s="13">
        <v>899641.31901553576</v>
      </c>
      <c r="P1178" s="13">
        <v>895845.1951954111</v>
      </c>
      <c r="Q1178" s="14">
        <v>1.9957804029896284</v>
      </c>
      <c r="R1178" s="15">
        <v>0.99578040298962844</v>
      </c>
    </row>
    <row r="1179" spans="1:18" ht="18" customHeight="1">
      <c r="A1179" s="10" t="s">
        <v>28</v>
      </c>
      <c r="B1179" s="10" t="s">
        <v>29</v>
      </c>
      <c r="C1179" s="10" t="s">
        <v>254</v>
      </c>
      <c r="D1179" s="10" t="s">
        <v>275</v>
      </c>
      <c r="E1179" s="16">
        <v>1</v>
      </c>
      <c r="F1179" s="16">
        <v>1</v>
      </c>
      <c r="G1179" s="13">
        <v>134.64380706809999</v>
      </c>
      <c r="H1179" s="13">
        <v>134.64380706809999</v>
      </c>
      <c r="I1179" s="14">
        <v>0</v>
      </c>
      <c r="J1179" s="15">
        <v>1</v>
      </c>
      <c r="K1179" s="14">
        <v>457.0881896148752</v>
      </c>
      <c r="L1179" s="13">
        <v>61544.094015612362</v>
      </c>
      <c r="M1179" s="14">
        <v>3.66</v>
      </c>
      <c r="N1179" s="14">
        <v>457.0881896148752</v>
      </c>
      <c r="O1179" s="13">
        <v>61544.094015612362</v>
      </c>
      <c r="P1179" s="13">
        <v>0</v>
      </c>
      <c r="Q1179" s="14">
        <v>1</v>
      </c>
      <c r="R1179" s="15">
        <v>0</v>
      </c>
    </row>
    <row r="1180" spans="1:18" ht="18" customHeight="1">
      <c r="A1180" s="10" t="s">
        <v>51</v>
      </c>
      <c r="B1180" s="10" t="s">
        <v>52</v>
      </c>
      <c r="C1180" s="10" t="s">
        <v>254</v>
      </c>
      <c r="D1180" s="10" t="s">
        <v>255</v>
      </c>
      <c r="E1180" s="16">
        <v>5</v>
      </c>
      <c r="F1180" s="16">
        <v>5</v>
      </c>
      <c r="G1180" s="13">
        <v>268132.43554690445</v>
      </c>
      <c r="H1180" s="13">
        <v>268132.43554690445</v>
      </c>
      <c r="I1180" s="14">
        <v>0</v>
      </c>
      <c r="J1180" s="15">
        <v>1</v>
      </c>
      <c r="K1180" s="14">
        <v>626.59344565745448</v>
      </c>
      <c r="L1180" s="13">
        <v>168010026.68186018</v>
      </c>
      <c r="M1180" s="14">
        <v>3.7771755783755268</v>
      </c>
      <c r="N1180" s="14">
        <v>598.65357229394681</v>
      </c>
      <c r="O1180" s="13">
        <v>160518440.3880308</v>
      </c>
      <c r="P1180" s="13">
        <v>7491586.2938293815</v>
      </c>
      <c r="Q1180" s="14">
        <v>1.0466711879066326</v>
      </c>
      <c r="R1180" s="15">
        <v>4.6671187906632557E-2</v>
      </c>
    </row>
    <row r="1181" spans="1:18" ht="18" customHeight="1">
      <c r="A1181" s="10" t="s">
        <v>51</v>
      </c>
      <c r="B1181" s="10" t="s">
        <v>52</v>
      </c>
      <c r="C1181" s="10" t="s">
        <v>254</v>
      </c>
      <c r="D1181" s="10" t="s">
        <v>256</v>
      </c>
      <c r="E1181" s="16">
        <v>5</v>
      </c>
      <c r="F1181" s="16">
        <v>5</v>
      </c>
      <c r="G1181" s="13">
        <v>8812.2845096176006</v>
      </c>
      <c r="H1181" s="13">
        <v>8812.2845096176006</v>
      </c>
      <c r="I1181" s="14">
        <v>0</v>
      </c>
      <c r="J1181" s="15">
        <v>1</v>
      </c>
      <c r="K1181" s="14">
        <v>1497.8348314085997</v>
      </c>
      <c r="L1181" s="13">
        <v>13199346.682787694</v>
      </c>
      <c r="M1181" s="14">
        <v>4.1389798178417578</v>
      </c>
      <c r="N1181" s="14">
        <v>1377.1454698914999</v>
      </c>
      <c r="O1181" s="13">
        <v>12135797.691814916</v>
      </c>
      <c r="P1181" s="13">
        <v>1063548.9909727778</v>
      </c>
      <c r="Q1181" s="14">
        <v>1.0876373369086481</v>
      </c>
      <c r="R1181" s="15">
        <v>8.7637336908648097E-2</v>
      </c>
    </row>
    <row r="1182" spans="1:18" ht="18" customHeight="1">
      <c r="A1182" s="10" t="s">
        <v>51</v>
      </c>
      <c r="B1182" s="10" t="s">
        <v>52</v>
      </c>
      <c r="C1182" s="10" t="s">
        <v>254</v>
      </c>
      <c r="D1182" s="10" t="s">
        <v>257</v>
      </c>
      <c r="E1182" s="16">
        <v>2</v>
      </c>
      <c r="F1182" s="16">
        <v>2</v>
      </c>
      <c r="G1182" s="13">
        <v>111.70175488439999</v>
      </c>
      <c r="H1182" s="13">
        <v>111.70175488439999</v>
      </c>
      <c r="I1182" s="14">
        <v>0</v>
      </c>
      <c r="J1182" s="15">
        <v>1</v>
      </c>
      <c r="K1182" s="14">
        <v>2187.7616237925681</v>
      </c>
      <c r="L1182" s="13">
        <v>244376.81264637434</v>
      </c>
      <c r="M1182" s="14">
        <v>4.3399999999643333</v>
      </c>
      <c r="N1182" s="14">
        <v>2187.7616237698812</v>
      </c>
      <c r="O1182" s="13">
        <v>244376.81264384018</v>
      </c>
      <c r="P1182" s="13">
        <v>2.5341578293591738E-6</v>
      </c>
      <c r="Q1182" s="14">
        <v>1.0000000000103699</v>
      </c>
      <c r="R1182" s="15">
        <v>1.0369878393710404E-11</v>
      </c>
    </row>
    <row r="1183" spans="1:18" ht="18" customHeight="1">
      <c r="A1183" s="10" t="s">
        <v>51</v>
      </c>
      <c r="B1183" s="10" t="s">
        <v>52</v>
      </c>
      <c r="C1183" s="10" t="s">
        <v>254</v>
      </c>
      <c r="D1183" s="10" t="s">
        <v>258</v>
      </c>
      <c r="E1183" s="16">
        <v>9</v>
      </c>
      <c r="F1183" s="16">
        <v>9</v>
      </c>
      <c r="G1183" s="13">
        <v>56397.7267513365</v>
      </c>
      <c r="H1183" s="13">
        <v>56397.7267513365</v>
      </c>
      <c r="I1183" s="14">
        <v>0</v>
      </c>
      <c r="J1183" s="15">
        <v>1</v>
      </c>
      <c r="K1183" s="14">
        <v>920.41365568140827</v>
      </c>
      <c r="L1183" s="13">
        <v>51909237.851318784</v>
      </c>
      <c r="M1183" s="14">
        <v>3.9485210944384233</v>
      </c>
      <c r="N1183" s="14">
        <v>888.22111771622428</v>
      </c>
      <c r="O1183" s="13">
        <v>50093651.891726308</v>
      </c>
      <c r="P1183" s="13">
        <v>1815585.9595924765</v>
      </c>
      <c r="Q1183" s="14">
        <v>1.0362438331211454</v>
      </c>
      <c r="R1183" s="15">
        <v>3.6243833121145375E-2</v>
      </c>
    </row>
    <row r="1184" spans="1:18" ht="18" customHeight="1">
      <c r="A1184" s="10" t="s">
        <v>51</v>
      </c>
      <c r="B1184" s="10" t="s">
        <v>52</v>
      </c>
      <c r="C1184" s="10" t="s">
        <v>254</v>
      </c>
      <c r="D1184" s="10" t="s">
        <v>259</v>
      </c>
      <c r="E1184" s="16">
        <v>5</v>
      </c>
      <c r="F1184" s="16">
        <v>5</v>
      </c>
      <c r="G1184" s="13">
        <v>1022.1082134011001</v>
      </c>
      <c r="H1184" s="13">
        <v>1022.1082134011001</v>
      </c>
      <c r="I1184" s="14">
        <v>0</v>
      </c>
      <c r="J1184" s="15">
        <v>1</v>
      </c>
      <c r="K1184" s="14">
        <v>763.11907112562506</v>
      </c>
      <c r="L1184" s="13">
        <v>779990.27040051972</v>
      </c>
      <c r="M1184" s="14">
        <v>3.8810341173960365</v>
      </c>
      <c r="N1184" s="14">
        <v>760.38600915583004</v>
      </c>
      <c r="O1184" s="13">
        <v>777196.78531345795</v>
      </c>
      <c r="P1184" s="13">
        <v>2793.4850870617665</v>
      </c>
      <c r="Q1184" s="14">
        <v>1.0035943085970629</v>
      </c>
      <c r="R1184" s="15">
        <v>3.5943085970628428E-3</v>
      </c>
    </row>
    <row r="1185" spans="1:18" ht="18" customHeight="1">
      <c r="A1185" s="10" t="s">
        <v>51</v>
      </c>
      <c r="B1185" s="10" t="s">
        <v>52</v>
      </c>
      <c r="C1185" s="10" t="s">
        <v>254</v>
      </c>
      <c r="D1185" s="10" t="s">
        <v>261</v>
      </c>
      <c r="E1185" s="16">
        <v>11</v>
      </c>
      <c r="F1185" s="16">
        <v>11</v>
      </c>
      <c r="G1185" s="13">
        <v>5935.9546511332992</v>
      </c>
      <c r="H1185" s="13">
        <v>5935.9546511332992</v>
      </c>
      <c r="I1185" s="14">
        <v>0</v>
      </c>
      <c r="J1185" s="15">
        <v>1</v>
      </c>
      <c r="K1185" s="14">
        <v>3336.7441302968946</v>
      </c>
      <c r="L1185" s="13">
        <v>19806761.839877587</v>
      </c>
      <c r="M1185" s="14">
        <v>4.5221398468920517</v>
      </c>
      <c r="N1185" s="14">
        <v>3327.6669003542402</v>
      </c>
      <c r="O1185" s="13">
        <v>19752879.814580079</v>
      </c>
      <c r="P1185" s="13">
        <v>53882.025297507644</v>
      </c>
      <c r="Q1185" s="14">
        <v>1.0027278060618652</v>
      </c>
      <c r="R1185" s="15">
        <v>2.7278060618652687E-3</v>
      </c>
    </row>
    <row r="1186" spans="1:18" ht="18" customHeight="1">
      <c r="A1186" s="10" t="s">
        <v>51</v>
      </c>
      <c r="B1186" s="10" t="s">
        <v>52</v>
      </c>
      <c r="C1186" s="10" t="s">
        <v>254</v>
      </c>
      <c r="D1186" s="10" t="s">
        <v>262</v>
      </c>
      <c r="E1186" s="16">
        <v>10</v>
      </c>
      <c r="F1186" s="16">
        <v>10</v>
      </c>
      <c r="G1186" s="13">
        <v>43216.571585102996</v>
      </c>
      <c r="H1186" s="13">
        <v>43216.571585102996</v>
      </c>
      <c r="I1186" s="14">
        <v>0</v>
      </c>
      <c r="J1186" s="15">
        <v>1</v>
      </c>
      <c r="K1186" s="14">
        <v>409.61778128342348</v>
      </c>
      <c r="L1186" s="13">
        <v>17702276.167366132</v>
      </c>
      <c r="M1186" s="14">
        <v>3.6118186127966081</v>
      </c>
      <c r="N1186" s="14">
        <v>409.08976383016449</v>
      </c>
      <c r="O1186" s="13">
        <v>17679457.063299183</v>
      </c>
      <c r="P1186" s="13">
        <v>22819.104066949338</v>
      </c>
      <c r="Q1186" s="14">
        <v>1.0012907129435733</v>
      </c>
      <c r="R1186" s="15">
        <v>1.2907129435733385E-3</v>
      </c>
    </row>
    <row r="1187" spans="1:18" ht="18" customHeight="1">
      <c r="A1187" s="10" t="s">
        <v>51</v>
      </c>
      <c r="B1187" s="10" t="s">
        <v>52</v>
      </c>
      <c r="C1187" s="10" t="s">
        <v>254</v>
      </c>
      <c r="D1187" s="10" t="s">
        <v>263</v>
      </c>
      <c r="E1187" s="16">
        <v>1</v>
      </c>
      <c r="F1187" s="16">
        <v>1</v>
      </c>
      <c r="G1187" s="13">
        <v>3.0940359999999997E-4</v>
      </c>
      <c r="H1187" s="13">
        <v>3.0940359999999997E-4</v>
      </c>
      <c r="I1187" s="14">
        <v>0</v>
      </c>
      <c r="J1187" s="15">
        <v>1</v>
      </c>
      <c r="K1187" s="14">
        <v>831.76377110267083</v>
      </c>
      <c r="L1187" s="13">
        <v>0.25735070512874231</v>
      </c>
      <c r="M1187" s="14">
        <v>3.92</v>
      </c>
      <c r="N1187" s="14">
        <v>831.76377110267083</v>
      </c>
      <c r="O1187" s="13">
        <v>0.25735070512874231</v>
      </c>
      <c r="P1187" s="13">
        <v>0</v>
      </c>
      <c r="Q1187" s="14">
        <v>1</v>
      </c>
      <c r="R1187" s="15">
        <v>0</v>
      </c>
    </row>
    <row r="1188" spans="1:18" ht="18" customHeight="1">
      <c r="A1188" s="10" t="s">
        <v>51</v>
      </c>
      <c r="B1188" s="10" t="s">
        <v>52</v>
      </c>
      <c r="C1188" s="10" t="s">
        <v>254</v>
      </c>
      <c r="D1188" s="10" t="s">
        <v>264</v>
      </c>
      <c r="E1188" s="16">
        <v>26</v>
      </c>
      <c r="F1188" s="16">
        <v>26</v>
      </c>
      <c r="G1188" s="13">
        <v>4337.1856435952996</v>
      </c>
      <c r="H1188" s="13">
        <v>4337.1856435952996</v>
      </c>
      <c r="I1188" s="14">
        <v>0</v>
      </c>
      <c r="J1188" s="15">
        <v>1</v>
      </c>
      <c r="K1188" s="14">
        <v>1373.187923748631</v>
      </c>
      <c r="L1188" s="13">
        <v>5955770.948840999</v>
      </c>
      <c r="M1188" s="14">
        <v>4.12441133062097</v>
      </c>
      <c r="N1188" s="14">
        <v>1331.7151198899392</v>
      </c>
      <c r="O1188" s="13">
        <v>5775895.6993454369</v>
      </c>
      <c r="P1188" s="13">
        <v>179875.24949556217</v>
      </c>
      <c r="Q1188" s="14">
        <v>1.0311423991807793</v>
      </c>
      <c r="R1188" s="15">
        <v>3.1142399180779327E-2</v>
      </c>
    </row>
    <row r="1189" spans="1:18" ht="18" customHeight="1">
      <c r="A1189" s="10" t="s">
        <v>51</v>
      </c>
      <c r="B1189" s="10" t="s">
        <v>52</v>
      </c>
      <c r="C1189" s="10" t="s">
        <v>254</v>
      </c>
      <c r="D1189" s="10" t="s">
        <v>265</v>
      </c>
      <c r="E1189" s="16">
        <v>8</v>
      </c>
      <c r="F1189" s="16">
        <v>8</v>
      </c>
      <c r="G1189" s="13">
        <v>3132.4864857304001</v>
      </c>
      <c r="H1189" s="13">
        <v>3132.4864857304001</v>
      </c>
      <c r="I1189" s="14">
        <v>0</v>
      </c>
      <c r="J1189" s="15">
        <v>1</v>
      </c>
      <c r="K1189" s="14">
        <v>112.52388453599129</v>
      </c>
      <c r="L1189" s="13">
        <v>352479.54763088067</v>
      </c>
      <c r="M1189" s="14">
        <v>2.635052228802838</v>
      </c>
      <c r="N1189" s="14">
        <v>43.157097497748985</v>
      </c>
      <c r="O1189" s="13">
        <v>135189.02467504796</v>
      </c>
      <c r="P1189" s="13">
        <v>217290.52295583271</v>
      </c>
      <c r="Q1189" s="14">
        <v>2.6073089030572638</v>
      </c>
      <c r="R1189" s="15">
        <v>1.6073089030572638</v>
      </c>
    </row>
    <row r="1190" spans="1:18" ht="18" customHeight="1">
      <c r="A1190" s="10" t="s">
        <v>51</v>
      </c>
      <c r="B1190" s="10" t="s">
        <v>52</v>
      </c>
      <c r="C1190" s="10" t="s">
        <v>254</v>
      </c>
      <c r="D1190" s="10" t="s">
        <v>266</v>
      </c>
      <c r="E1190" s="16">
        <v>2</v>
      </c>
      <c r="F1190" s="16">
        <v>2</v>
      </c>
      <c r="G1190" s="13">
        <v>1672.9610970957001</v>
      </c>
      <c r="H1190" s="13">
        <v>1672.9610970957001</v>
      </c>
      <c r="I1190" s="14">
        <v>0</v>
      </c>
      <c r="J1190" s="15">
        <v>1</v>
      </c>
      <c r="K1190" s="14">
        <v>1862.2345620258427</v>
      </c>
      <c r="L1190" s="13">
        <v>3115445.9759362843</v>
      </c>
      <c r="M1190" s="14">
        <v>4.2700264072307306</v>
      </c>
      <c r="N1190" s="14">
        <v>1862.2003641195909</v>
      </c>
      <c r="O1190" s="13">
        <v>3115388.764169523</v>
      </c>
      <c r="P1190" s="13">
        <v>57.21176676126197</v>
      </c>
      <c r="Q1190" s="14">
        <v>1.0000183642463565</v>
      </c>
      <c r="R1190" s="15">
        <v>1.836424635642963E-5</v>
      </c>
    </row>
    <row r="1191" spans="1:18" ht="18" customHeight="1">
      <c r="A1191" s="10" t="s">
        <v>51</v>
      </c>
      <c r="B1191" s="10" t="s">
        <v>52</v>
      </c>
      <c r="C1191" s="10" t="s">
        <v>254</v>
      </c>
      <c r="D1191" s="10" t="s">
        <v>268</v>
      </c>
      <c r="E1191" s="16">
        <v>17</v>
      </c>
      <c r="F1191" s="16">
        <v>17</v>
      </c>
      <c r="G1191" s="13">
        <v>688220.27505225618</v>
      </c>
      <c r="H1191" s="13">
        <v>688220.27505225618</v>
      </c>
      <c r="I1191" s="14">
        <v>0</v>
      </c>
      <c r="J1191" s="15">
        <v>1</v>
      </c>
      <c r="K1191" s="14">
        <v>1533.3034164985061</v>
      </c>
      <c r="L1191" s="13">
        <v>1055250499.0411659</v>
      </c>
      <c r="M1191" s="14">
        <v>4.1603288914409147</v>
      </c>
      <c r="N1191" s="14">
        <v>1446.534817636503</v>
      </c>
      <c r="O1191" s="13">
        <v>995534590.0664593</v>
      </c>
      <c r="P1191" s="13">
        <v>59715908.97470665</v>
      </c>
      <c r="Q1191" s="14">
        <v>1.0599837610571825</v>
      </c>
      <c r="R1191" s="15">
        <v>5.9983761057182526E-2</v>
      </c>
    </row>
    <row r="1192" spans="1:18" ht="18" customHeight="1">
      <c r="A1192" s="10" t="s">
        <v>51</v>
      </c>
      <c r="B1192" s="10" t="s">
        <v>52</v>
      </c>
      <c r="C1192" s="10" t="s">
        <v>254</v>
      </c>
      <c r="D1192" s="10" t="s">
        <v>269</v>
      </c>
      <c r="E1192" s="16">
        <v>27</v>
      </c>
      <c r="F1192" s="16">
        <v>27</v>
      </c>
      <c r="G1192" s="13">
        <v>185519.60716435403</v>
      </c>
      <c r="H1192" s="13">
        <v>185519.60716435403</v>
      </c>
      <c r="I1192" s="14">
        <v>0</v>
      </c>
      <c r="J1192" s="15">
        <v>1</v>
      </c>
      <c r="K1192" s="14">
        <v>249.33955337478687</v>
      </c>
      <c r="L1192" s="13">
        <v>46257375.992625944</v>
      </c>
      <c r="M1192" s="14">
        <v>3.2978449201099771</v>
      </c>
      <c r="N1192" s="14">
        <v>198.53858399707201</v>
      </c>
      <c r="O1192" s="13">
        <v>36832800.110103905</v>
      </c>
      <c r="P1192" s="13">
        <v>9424575.8825220391</v>
      </c>
      <c r="Q1192" s="14">
        <v>1.2558745426453937</v>
      </c>
      <c r="R1192" s="15">
        <v>0.25587454264539355</v>
      </c>
    </row>
    <row r="1193" spans="1:18" ht="18" customHeight="1">
      <c r="A1193" s="10" t="s">
        <v>51</v>
      </c>
      <c r="B1193" s="10" t="s">
        <v>52</v>
      </c>
      <c r="C1193" s="10" t="s">
        <v>254</v>
      </c>
      <c r="D1193" s="10" t="s">
        <v>270</v>
      </c>
      <c r="E1193" s="16">
        <v>12</v>
      </c>
      <c r="F1193" s="16">
        <v>12</v>
      </c>
      <c r="G1193" s="13">
        <v>3196.074051204399</v>
      </c>
      <c r="H1193" s="13">
        <v>3196.074051204399</v>
      </c>
      <c r="I1193" s="14">
        <v>0</v>
      </c>
      <c r="J1193" s="15">
        <v>1</v>
      </c>
      <c r="K1193" s="14">
        <v>287.36222876315622</v>
      </c>
      <c r="L1193" s="13">
        <v>918430.962646186</v>
      </c>
      <c r="M1193" s="14">
        <v>3.4181894609467052</v>
      </c>
      <c r="N1193" s="14">
        <v>261.93254396042687</v>
      </c>
      <c r="O1193" s="13">
        <v>837155.80691787589</v>
      </c>
      <c r="P1193" s="13">
        <v>81275.155728310114</v>
      </c>
      <c r="Q1193" s="14">
        <v>1.0970848616908455</v>
      </c>
      <c r="R1193" s="15">
        <v>9.7084861690845473E-2</v>
      </c>
    </row>
    <row r="1194" spans="1:18" ht="18" customHeight="1">
      <c r="A1194" s="10" t="s">
        <v>51</v>
      </c>
      <c r="B1194" s="10" t="s">
        <v>52</v>
      </c>
      <c r="C1194" s="10" t="s">
        <v>254</v>
      </c>
      <c r="D1194" s="10" t="s">
        <v>276</v>
      </c>
      <c r="E1194" s="16">
        <v>14</v>
      </c>
      <c r="F1194" s="16">
        <v>14</v>
      </c>
      <c r="G1194" s="13">
        <v>270.79461496530001</v>
      </c>
      <c r="H1194" s="13">
        <v>270.79461496530001</v>
      </c>
      <c r="I1194" s="14">
        <v>0</v>
      </c>
      <c r="J1194" s="15">
        <v>1</v>
      </c>
      <c r="K1194" s="14">
        <v>34.224202603942572</v>
      </c>
      <c r="L1194" s="13">
        <v>9267.7297666290469</v>
      </c>
      <c r="M1194" s="14">
        <v>2.5305803990611033</v>
      </c>
      <c r="N1194" s="14">
        <v>33.929729637025808</v>
      </c>
      <c r="O1194" s="13">
        <v>9187.9880729351316</v>
      </c>
      <c r="P1194" s="13">
        <v>79.741693693915295</v>
      </c>
      <c r="Q1194" s="14">
        <v>1.0086789069664563</v>
      </c>
      <c r="R1194" s="15">
        <v>8.6789069664564289E-3</v>
      </c>
    </row>
    <row r="1195" spans="1:18" ht="18" customHeight="1">
      <c r="A1195" s="10" t="s">
        <v>51</v>
      </c>
      <c r="B1195" s="10" t="s">
        <v>52</v>
      </c>
      <c r="C1195" s="10" t="s">
        <v>254</v>
      </c>
      <c r="D1195" s="10" t="s">
        <v>271</v>
      </c>
      <c r="E1195" s="16">
        <v>11</v>
      </c>
      <c r="F1195" s="16">
        <v>11</v>
      </c>
      <c r="G1195" s="13">
        <v>23703.820291330201</v>
      </c>
      <c r="H1195" s="13">
        <v>23703.820291330201</v>
      </c>
      <c r="I1195" s="14">
        <v>0</v>
      </c>
      <c r="J1195" s="15">
        <v>1</v>
      </c>
      <c r="K1195" s="14">
        <v>10.000081017993296</v>
      </c>
      <c r="L1195" s="13">
        <v>237040.12334925545</v>
      </c>
      <c r="M1195" s="14">
        <v>2.0000026676259619</v>
      </c>
      <c r="N1195" s="14">
        <v>10.000061424546384</v>
      </c>
      <c r="O1195" s="13">
        <v>237039.658909711</v>
      </c>
      <c r="P1195" s="13">
        <v>0.46443954444839619</v>
      </c>
      <c r="Q1195" s="14">
        <v>1.0000019593326559</v>
      </c>
      <c r="R1195" s="15">
        <v>1.9593326559135085E-6</v>
      </c>
    </row>
    <row r="1196" spans="1:18" ht="18" customHeight="1">
      <c r="A1196" s="10" t="s">
        <v>51</v>
      </c>
      <c r="B1196" s="10" t="s">
        <v>52</v>
      </c>
      <c r="C1196" s="10" t="s">
        <v>254</v>
      </c>
      <c r="D1196" s="10" t="s">
        <v>272</v>
      </c>
      <c r="E1196" s="16">
        <v>6</v>
      </c>
      <c r="F1196" s="16">
        <v>6</v>
      </c>
      <c r="G1196" s="13">
        <v>282365.88009286043</v>
      </c>
      <c r="H1196" s="13">
        <v>282365.88009286043</v>
      </c>
      <c r="I1196" s="14">
        <v>0</v>
      </c>
      <c r="J1196" s="15">
        <v>1</v>
      </c>
      <c r="K1196" s="14">
        <v>15.874621167427978</v>
      </c>
      <c r="L1196" s="13">
        <v>4482451.3770815525</v>
      </c>
      <c r="M1196" s="14">
        <v>2.2002861281962711</v>
      </c>
      <c r="N1196" s="14">
        <v>15.859377188531385</v>
      </c>
      <c r="O1196" s="13">
        <v>4478146.997564299</v>
      </c>
      <c r="P1196" s="13">
        <v>4304.3795172534883</v>
      </c>
      <c r="Q1196" s="14">
        <v>1.000961196566257</v>
      </c>
      <c r="R1196" s="15">
        <v>9.6119656625713178E-4</v>
      </c>
    </row>
    <row r="1197" spans="1:18" ht="18" customHeight="1">
      <c r="A1197" s="10" t="s">
        <v>51</v>
      </c>
      <c r="B1197" s="10" t="s">
        <v>52</v>
      </c>
      <c r="C1197" s="10" t="s">
        <v>254</v>
      </c>
      <c r="D1197" s="10" t="s">
        <v>283</v>
      </c>
      <c r="E1197" s="16">
        <v>2</v>
      </c>
      <c r="F1197" s="16">
        <v>2</v>
      </c>
      <c r="G1197" s="13">
        <v>612.5453061119</v>
      </c>
      <c r="H1197" s="13">
        <v>612.5453061119</v>
      </c>
      <c r="I1197" s="14">
        <v>0</v>
      </c>
      <c r="J1197" s="15">
        <v>1</v>
      </c>
      <c r="K1197" s="14">
        <v>1689.8373778322737</v>
      </c>
      <c r="L1197" s="13">
        <v>1035101.9538836005</v>
      </c>
      <c r="M1197" s="14">
        <v>4.0280310548148437</v>
      </c>
      <c r="N1197" s="14">
        <v>1066.6723923566865</v>
      </c>
      <c r="O1197" s="13">
        <v>653385.16709723917</v>
      </c>
      <c r="P1197" s="13">
        <v>381716.78678636136</v>
      </c>
      <c r="Q1197" s="14">
        <v>1.5842140379191572</v>
      </c>
      <c r="R1197" s="15">
        <v>0.58421403791915727</v>
      </c>
    </row>
    <row r="1198" spans="1:18" ht="18" customHeight="1">
      <c r="A1198" s="10" t="s">
        <v>51</v>
      </c>
      <c r="B1198" s="10" t="s">
        <v>52</v>
      </c>
      <c r="C1198" s="10" t="s">
        <v>254</v>
      </c>
      <c r="D1198" s="10" t="s">
        <v>278</v>
      </c>
      <c r="E1198" s="16">
        <v>4</v>
      </c>
      <c r="F1198" s="16">
        <v>4</v>
      </c>
      <c r="G1198" s="13">
        <v>0.4739487329</v>
      </c>
      <c r="H1198" s="13">
        <v>0.4739487329</v>
      </c>
      <c r="I1198" s="14">
        <v>0</v>
      </c>
      <c r="J1198" s="15">
        <v>1</v>
      </c>
      <c r="K1198" s="14">
        <v>368.21273920323534</v>
      </c>
      <c r="L1198" s="13">
        <v>174.51396118301156</v>
      </c>
      <c r="M1198" s="14">
        <v>3.5412829895277484</v>
      </c>
      <c r="N1198" s="14">
        <v>347.76269239804122</v>
      </c>
      <c r="O1198" s="13">
        <v>164.82168741194411</v>
      </c>
      <c r="P1198" s="13">
        <v>9.6922737710674483</v>
      </c>
      <c r="Q1198" s="14">
        <v>1.058804602253848</v>
      </c>
      <c r="R1198" s="15">
        <v>5.8804602253848058E-2</v>
      </c>
    </row>
    <row r="1199" spans="1:18" ht="18" customHeight="1">
      <c r="A1199" s="10" t="s">
        <v>51</v>
      </c>
      <c r="B1199" s="10" t="s">
        <v>52</v>
      </c>
      <c r="C1199" s="10" t="s">
        <v>254</v>
      </c>
      <c r="D1199" s="10" t="s">
        <v>273</v>
      </c>
      <c r="E1199" s="16">
        <v>9</v>
      </c>
      <c r="F1199" s="16">
        <v>9</v>
      </c>
      <c r="G1199" s="13">
        <v>9766.2868966123988</v>
      </c>
      <c r="H1199" s="13">
        <v>9766.2868966123988</v>
      </c>
      <c r="I1199" s="14">
        <v>0</v>
      </c>
      <c r="J1199" s="15">
        <v>1</v>
      </c>
      <c r="K1199" s="14">
        <v>39.667468638975805</v>
      </c>
      <c r="L1199" s="13">
        <v>387403.8791906127</v>
      </c>
      <c r="M1199" s="14">
        <v>2.5815175267373656</v>
      </c>
      <c r="N1199" s="14">
        <v>38.152019090439467</v>
      </c>
      <c r="O1199" s="13">
        <v>372603.56412226503</v>
      </c>
      <c r="P1199" s="13">
        <v>14800.315068347671</v>
      </c>
      <c r="Q1199" s="14">
        <v>1.0397213459383097</v>
      </c>
      <c r="R1199" s="15">
        <v>3.9721345938309754E-2</v>
      </c>
    </row>
    <row r="1200" spans="1:18" ht="18" customHeight="1">
      <c r="A1200" s="10" t="s">
        <v>51</v>
      </c>
      <c r="B1200" s="10" t="s">
        <v>52</v>
      </c>
      <c r="C1200" s="10" t="s">
        <v>254</v>
      </c>
      <c r="D1200" s="10" t="s">
        <v>274</v>
      </c>
      <c r="E1200" s="16">
        <v>2</v>
      </c>
      <c r="F1200" s="16">
        <v>2</v>
      </c>
      <c r="G1200" s="13">
        <v>8.4540173999999996E-2</v>
      </c>
      <c r="H1200" s="13">
        <v>8.4540173999999996E-2</v>
      </c>
      <c r="I1200" s="14">
        <v>0</v>
      </c>
      <c r="J1200" s="15">
        <v>1</v>
      </c>
      <c r="K1200" s="14">
        <v>321.20134453512742</v>
      </c>
      <c r="L1200" s="13">
        <v>27.154417556033618</v>
      </c>
      <c r="M1200" s="14">
        <v>3.4901731731472427</v>
      </c>
      <c r="N1200" s="14">
        <v>309.1527920878317</v>
      </c>
      <c r="O1200" s="13">
        <v>26.135830835691113</v>
      </c>
      <c r="P1200" s="13">
        <v>1.0185867203425047</v>
      </c>
      <c r="Q1200" s="14">
        <v>1.0389728081248337</v>
      </c>
      <c r="R1200" s="15">
        <v>3.8972808124833815E-2</v>
      </c>
    </row>
    <row r="1201" spans="1:18" ht="18" customHeight="1">
      <c r="A1201" s="10" t="s">
        <v>51</v>
      </c>
      <c r="B1201" s="10" t="s">
        <v>52</v>
      </c>
      <c r="C1201" s="10" t="s">
        <v>254</v>
      </c>
      <c r="D1201" s="10" t="s">
        <v>282</v>
      </c>
      <c r="E1201" s="16">
        <v>6</v>
      </c>
      <c r="F1201" s="16">
        <v>6</v>
      </c>
      <c r="G1201" s="13">
        <v>403.47464129570005</v>
      </c>
      <c r="H1201" s="13">
        <v>403.47464129570005</v>
      </c>
      <c r="I1201" s="14">
        <v>0</v>
      </c>
      <c r="J1201" s="15">
        <v>1</v>
      </c>
      <c r="K1201" s="14">
        <v>2016.6676812940002</v>
      </c>
      <c r="L1201" s="13">
        <v>813674.26932272792</v>
      </c>
      <c r="M1201" s="14">
        <v>4.1838062435682284</v>
      </c>
      <c r="N1201" s="14">
        <v>1526.8847008930502</v>
      </c>
      <c r="O1201" s="13">
        <v>616059.25699271564</v>
      </c>
      <c r="P1201" s="13">
        <v>197615.01233001228</v>
      </c>
      <c r="Q1201" s="14">
        <v>1.3207727342571998</v>
      </c>
      <c r="R1201" s="15">
        <v>0.32077273425719971</v>
      </c>
    </row>
    <row r="1202" spans="1:18" ht="18" customHeight="1">
      <c r="A1202" s="10" t="s">
        <v>51</v>
      </c>
      <c r="B1202" s="10" t="s">
        <v>52</v>
      </c>
      <c r="C1202" s="10" t="s">
        <v>254</v>
      </c>
      <c r="D1202" s="10" t="s">
        <v>275</v>
      </c>
      <c r="E1202" s="16">
        <v>1</v>
      </c>
      <c r="F1202" s="16">
        <v>1</v>
      </c>
      <c r="G1202" s="13">
        <v>3060.2053885812998</v>
      </c>
      <c r="H1202" s="13">
        <v>3060.2053885812998</v>
      </c>
      <c r="I1202" s="14">
        <v>0</v>
      </c>
      <c r="J1202" s="15">
        <v>1</v>
      </c>
      <c r="K1202" s="14">
        <v>389.04514499428046</v>
      </c>
      <c r="L1202" s="13">
        <v>1190558.0491128901</v>
      </c>
      <c r="M1202" s="14">
        <v>3.59</v>
      </c>
      <c r="N1202" s="14">
        <v>389.04514499428046</v>
      </c>
      <c r="O1202" s="13">
        <v>1190558.0491128901</v>
      </c>
      <c r="P1202" s="13">
        <v>0</v>
      </c>
      <c r="Q1202" s="14">
        <v>1</v>
      </c>
      <c r="R1202" s="15">
        <v>0</v>
      </c>
    </row>
    <row r="1203" spans="1:18" ht="18" customHeight="1">
      <c r="A1203" s="10" t="s">
        <v>115</v>
      </c>
      <c r="B1203" s="10" t="s">
        <v>116</v>
      </c>
      <c r="C1203" s="10" t="s">
        <v>254</v>
      </c>
      <c r="D1203" s="10" t="s">
        <v>255</v>
      </c>
      <c r="E1203" s="16">
        <v>5</v>
      </c>
      <c r="F1203" s="16">
        <v>5</v>
      </c>
      <c r="G1203" s="13">
        <v>1128.9740678458002</v>
      </c>
      <c r="H1203" s="13">
        <v>1128.9740678458002</v>
      </c>
      <c r="I1203" s="14">
        <v>0</v>
      </c>
      <c r="J1203" s="15">
        <v>1</v>
      </c>
      <c r="K1203" s="14">
        <v>627.83812720400306</v>
      </c>
      <c r="L1203" s="13">
        <v>708812.96441819228</v>
      </c>
      <c r="M1203" s="14">
        <v>3.7936789268678428</v>
      </c>
      <c r="N1203" s="14">
        <v>621.84038970447261</v>
      </c>
      <c r="O1203" s="13">
        <v>702041.67431547609</v>
      </c>
      <c r="P1203" s="13">
        <v>6771.2901027161861</v>
      </c>
      <c r="Q1203" s="14">
        <v>1.0096451398121322</v>
      </c>
      <c r="R1203" s="15">
        <v>9.645139812132256E-3</v>
      </c>
    </row>
    <row r="1204" spans="1:18" ht="18" customHeight="1">
      <c r="A1204" s="10" t="s">
        <v>115</v>
      </c>
      <c r="B1204" s="10" t="s">
        <v>116</v>
      </c>
      <c r="C1204" s="10" t="s">
        <v>254</v>
      </c>
      <c r="D1204" s="10" t="s">
        <v>256</v>
      </c>
      <c r="E1204" s="16">
        <v>5</v>
      </c>
      <c r="F1204" s="16">
        <v>5</v>
      </c>
      <c r="G1204" s="13">
        <v>608.7961961883999</v>
      </c>
      <c r="H1204" s="13">
        <v>608.7961961883999</v>
      </c>
      <c r="I1204" s="14">
        <v>0</v>
      </c>
      <c r="J1204" s="15">
        <v>1</v>
      </c>
      <c r="K1204" s="14">
        <v>1575.4792496787218</v>
      </c>
      <c r="L1204" s="13">
        <v>959145.77437816013</v>
      </c>
      <c r="M1204" s="14">
        <v>4.1955111322539151</v>
      </c>
      <c r="N1204" s="14">
        <v>1568.5961049291946</v>
      </c>
      <c r="O1204" s="13">
        <v>954955.34203683387</v>
      </c>
      <c r="P1204" s="13">
        <v>4190.4323413262609</v>
      </c>
      <c r="Q1204" s="14">
        <v>1.0043880924655475</v>
      </c>
      <c r="R1204" s="15">
        <v>4.3880924655475993E-3</v>
      </c>
    </row>
    <row r="1205" spans="1:18" ht="18" customHeight="1">
      <c r="A1205" s="10" t="s">
        <v>115</v>
      </c>
      <c r="B1205" s="10" t="s">
        <v>116</v>
      </c>
      <c r="C1205" s="10" t="s">
        <v>254</v>
      </c>
      <c r="D1205" s="10" t="s">
        <v>257</v>
      </c>
      <c r="E1205" s="16">
        <v>2</v>
      </c>
      <c r="F1205" s="16">
        <v>2</v>
      </c>
      <c r="G1205" s="13">
        <v>42.137356414900005</v>
      </c>
      <c r="H1205" s="13">
        <v>42.137356414900005</v>
      </c>
      <c r="I1205" s="14">
        <v>0</v>
      </c>
      <c r="J1205" s="15">
        <v>1</v>
      </c>
      <c r="K1205" s="14">
        <v>2187.7225223366663</v>
      </c>
      <c r="L1205" s="13">
        <v>92184.843660604151</v>
      </c>
      <c r="M1205" s="14">
        <v>4.3399911162094673</v>
      </c>
      <c r="N1205" s="14">
        <v>2187.7168722475867</v>
      </c>
      <c r="O1205" s="13">
        <v>92184.605580786825</v>
      </c>
      <c r="P1205" s="13">
        <v>0.23807981732534245</v>
      </c>
      <c r="Q1205" s="14">
        <v>1.0000025826418177</v>
      </c>
      <c r="R1205" s="15">
        <v>2.5826418177457952E-6</v>
      </c>
    </row>
    <row r="1206" spans="1:18" ht="18" customHeight="1">
      <c r="A1206" s="10" t="s">
        <v>115</v>
      </c>
      <c r="B1206" s="10" t="s">
        <v>116</v>
      </c>
      <c r="C1206" s="10" t="s">
        <v>254</v>
      </c>
      <c r="D1206" s="10" t="s">
        <v>258</v>
      </c>
      <c r="E1206" s="16">
        <v>9</v>
      </c>
      <c r="F1206" s="16">
        <v>9</v>
      </c>
      <c r="G1206" s="13">
        <v>6468.236210026399</v>
      </c>
      <c r="H1206" s="13">
        <v>6468.236210026399</v>
      </c>
      <c r="I1206" s="14">
        <v>0</v>
      </c>
      <c r="J1206" s="15">
        <v>1</v>
      </c>
      <c r="K1206" s="14">
        <v>2587.5555899583082</v>
      </c>
      <c r="L1206" s="13">
        <v>16736920.762424551</v>
      </c>
      <c r="M1206" s="14">
        <v>4.4108875752171626</v>
      </c>
      <c r="N1206" s="14">
        <v>2575.654317168352</v>
      </c>
      <c r="O1206" s="13">
        <v>16659940.518819153</v>
      </c>
      <c r="P1206" s="13">
        <v>76980.243605397642</v>
      </c>
      <c r="Q1206" s="14">
        <v>1.0046206793786834</v>
      </c>
      <c r="R1206" s="15">
        <v>4.6206793786832774E-3</v>
      </c>
    </row>
    <row r="1207" spans="1:18" ht="18" customHeight="1">
      <c r="A1207" s="10" t="s">
        <v>115</v>
      </c>
      <c r="B1207" s="10" t="s">
        <v>116</v>
      </c>
      <c r="C1207" s="10" t="s">
        <v>254</v>
      </c>
      <c r="D1207" s="10" t="s">
        <v>259</v>
      </c>
      <c r="E1207" s="16">
        <v>9</v>
      </c>
      <c r="F1207" s="16">
        <v>9</v>
      </c>
      <c r="G1207" s="13">
        <v>6006.0747995453003</v>
      </c>
      <c r="H1207" s="13">
        <v>6006.0747995453003</v>
      </c>
      <c r="I1207" s="14">
        <v>0</v>
      </c>
      <c r="J1207" s="15">
        <v>1</v>
      </c>
      <c r="K1207" s="14">
        <v>1105.6784224037895</v>
      </c>
      <c r="L1207" s="13">
        <v>6640787.3092004042</v>
      </c>
      <c r="M1207" s="14">
        <v>4.041239092272968</v>
      </c>
      <c r="N1207" s="14">
        <v>1099.6110420268451</v>
      </c>
      <c r="O1207" s="13">
        <v>6604346.1688191826</v>
      </c>
      <c r="P1207" s="13">
        <v>36441.140381221659</v>
      </c>
      <c r="Q1207" s="14">
        <v>1.0055177514094082</v>
      </c>
      <c r="R1207" s="15">
        <v>5.5177514094081953E-3</v>
      </c>
    </row>
    <row r="1208" spans="1:18" ht="18" customHeight="1">
      <c r="A1208" s="10" t="s">
        <v>115</v>
      </c>
      <c r="B1208" s="10" t="s">
        <v>116</v>
      </c>
      <c r="C1208" s="10" t="s">
        <v>254</v>
      </c>
      <c r="D1208" s="10" t="s">
        <v>261</v>
      </c>
      <c r="E1208" s="16">
        <v>25</v>
      </c>
      <c r="F1208" s="16">
        <v>25</v>
      </c>
      <c r="G1208" s="13">
        <v>23408.209166022199</v>
      </c>
      <c r="H1208" s="13">
        <v>23408.209166022199</v>
      </c>
      <c r="I1208" s="14">
        <v>0</v>
      </c>
      <c r="J1208" s="15">
        <v>1</v>
      </c>
      <c r="K1208" s="14">
        <v>2643.3065342261179</v>
      </c>
      <c r="L1208" s="13">
        <v>61875072.243078187</v>
      </c>
      <c r="M1208" s="14">
        <v>4.3915222038834951</v>
      </c>
      <c r="N1208" s="14">
        <v>2463.3277759273474</v>
      </c>
      <c r="O1208" s="13">
        <v>57662091.823379613</v>
      </c>
      <c r="P1208" s="13">
        <v>4212980.4196985736</v>
      </c>
      <c r="Q1208" s="14">
        <v>1.0730632602196091</v>
      </c>
      <c r="R1208" s="15">
        <v>7.3063260219609016E-2</v>
      </c>
    </row>
    <row r="1209" spans="1:18" ht="18" customHeight="1">
      <c r="A1209" s="10" t="s">
        <v>115</v>
      </c>
      <c r="B1209" s="10" t="s">
        <v>116</v>
      </c>
      <c r="C1209" s="10" t="s">
        <v>254</v>
      </c>
      <c r="D1209" s="10" t="s">
        <v>262</v>
      </c>
      <c r="E1209" s="16">
        <v>10</v>
      </c>
      <c r="F1209" s="16">
        <v>10</v>
      </c>
      <c r="G1209" s="13">
        <v>9089.3332476514988</v>
      </c>
      <c r="H1209" s="13">
        <v>9089.3332476514988</v>
      </c>
      <c r="I1209" s="14">
        <v>0</v>
      </c>
      <c r="J1209" s="15">
        <v>1</v>
      </c>
      <c r="K1209" s="14">
        <v>527.55380983445389</v>
      </c>
      <c r="L1209" s="13">
        <v>4795112.3836535178</v>
      </c>
      <c r="M1209" s="14">
        <v>3.7149201491746622</v>
      </c>
      <c r="N1209" s="14">
        <v>518.70465940000997</v>
      </c>
      <c r="O1209" s="13">
        <v>4714679.5063962573</v>
      </c>
      <c r="P1209" s="13">
        <v>80432.877257260494</v>
      </c>
      <c r="Q1209" s="14">
        <v>1.0170600943602084</v>
      </c>
      <c r="R1209" s="15">
        <v>1.7060094360208312E-2</v>
      </c>
    </row>
    <row r="1210" spans="1:18" ht="18" customHeight="1">
      <c r="A1210" s="10" t="s">
        <v>115</v>
      </c>
      <c r="B1210" s="10" t="s">
        <v>116</v>
      </c>
      <c r="C1210" s="10" t="s">
        <v>254</v>
      </c>
      <c r="D1210" s="10" t="s">
        <v>263</v>
      </c>
      <c r="E1210" s="16">
        <v>14</v>
      </c>
      <c r="F1210" s="16">
        <v>14</v>
      </c>
      <c r="G1210" s="13">
        <v>1182.8073413186003</v>
      </c>
      <c r="H1210" s="13">
        <v>1182.8073413186003</v>
      </c>
      <c r="I1210" s="14">
        <v>0</v>
      </c>
      <c r="J1210" s="15">
        <v>1</v>
      </c>
      <c r="K1210" s="14">
        <v>451.71760612470075</v>
      </c>
      <c r="L1210" s="13">
        <v>534294.90072715993</v>
      </c>
      <c r="M1210" s="14">
        <v>3.5602102439950158</v>
      </c>
      <c r="N1210" s="14">
        <v>363.25386511069297</v>
      </c>
      <c r="O1210" s="13">
        <v>429659.33841528418</v>
      </c>
      <c r="P1210" s="13">
        <v>104635.56231187575</v>
      </c>
      <c r="Q1210" s="14">
        <v>1.2435314514466365</v>
      </c>
      <c r="R1210" s="15">
        <v>0.24353145144663652</v>
      </c>
    </row>
    <row r="1211" spans="1:18" ht="18" customHeight="1">
      <c r="A1211" s="10" t="s">
        <v>115</v>
      </c>
      <c r="B1211" s="10" t="s">
        <v>116</v>
      </c>
      <c r="C1211" s="10" t="s">
        <v>254</v>
      </c>
      <c r="D1211" s="10" t="s">
        <v>264</v>
      </c>
      <c r="E1211" s="16">
        <v>27</v>
      </c>
      <c r="F1211" s="16">
        <v>27</v>
      </c>
      <c r="G1211" s="13">
        <v>21692.304022246804</v>
      </c>
      <c r="H1211" s="13">
        <v>21692.304022246804</v>
      </c>
      <c r="I1211" s="14">
        <v>0</v>
      </c>
      <c r="J1211" s="15">
        <v>1</v>
      </c>
      <c r="K1211" s="14">
        <v>1243.8703475491177</v>
      </c>
      <c r="L1211" s="13">
        <v>26982413.743293256</v>
      </c>
      <c r="M1211" s="14">
        <v>4.0213978547594076</v>
      </c>
      <c r="N1211" s="14">
        <v>1050.5043491715999</v>
      </c>
      <c r="O1211" s="13">
        <v>22787859.718922857</v>
      </c>
      <c r="P1211" s="13">
        <v>4194554.0243703984</v>
      </c>
      <c r="Q1211" s="14">
        <v>1.1840696790355996</v>
      </c>
      <c r="R1211" s="15">
        <v>0.18406967903559956</v>
      </c>
    </row>
    <row r="1212" spans="1:18" ht="18" customHeight="1">
      <c r="A1212" s="10" t="s">
        <v>115</v>
      </c>
      <c r="B1212" s="10" t="s">
        <v>116</v>
      </c>
      <c r="C1212" s="10" t="s">
        <v>254</v>
      </c>
      <c r="D1212" s="10" t="s">
        <v>265</v>
      </c>
      <c r="E1212" s="16">
        <v>8</v>
      </c>
      <c r="F1212" s="16">
        <v>8</v>
      </c>
      <c r="G1212" s="13">
        <v>1015.2373884796</v>
      </c>
      <c r="H1212" s="13">
        <v>1015.2373884796</v>
      </c>
      <c r="I1212" s="14">
        <v>0</v>
      </c>
      <c r="J1212" s="15">
        <v>1</v>
      </c>
      <c r="K1212" s="14">
        <v>391.3723181621416</v>
      </c>
      <c r="L1212" s="13">
        <v>397335.81021413975</v>
      </c>
      <c r="M1212" s="14">
        <v>3.5564888179999388</v>
      </c>
      <c r="N1212" s="14">
        <v>360.15447719555021</v>
      </c>
      <c r="O1212" s="13">
        <v>365642.29087724607</v>
      </c>
      <c r="P1212" s="13">
        <v>31693.519336893689</v>
      </c>
      <c r="Q1212" s="14">
        <v>1.0866790306472889</v>
      </c>
      <c r="R1212" s="15">
        <v>8.6679030647288782E-2</v>
      </c>
    </row>
    <row r="1213" spans="1:18" ht="18" customHeight="1">
      <c r="A1213" s="10" t="s">
        <v>115</v>
      </c>
      <c r="B1213" s="10" t="s">
        <v>116</v>
      </c>
      <c r="C1213" s="10" t="s">
        <v>254</v>
      </c>
      <c r="D1213" s="10" t="s">
        <v>266</v>
      </c>
      <c r="E1213" s="16">
        <v>2</v>
      </c>
      <c r="F1213" s="16">
        <v>2</v>
      </c>
      <c r="G1213" s="13">
        <v>884.03174847269997</v>
      </c>
      <c r="H1213" s="13">
        <v>884.03174847269997</v>
      </c>
      <c r="I1213" s="14">
        <v>0</v>
      </c>
      <c r="J1213" s="15">
        <v>1</v>
      </c>
      <c r="K1213" s="14">
        <v>3081.9323536431166</v>
      </c>
      <c r="L1213" s="13">
        <v>2724526.047265708</v>
      </c>
      <c r="M1213" s="14">
        <v>4.4885019826378638</v>
      </c>
      <c r="N1213" s="14">
        <v>3079.654400685135</v>
      </c>
      <c r="O1213" s="13">
        <v>2722512.2645293246</v>
      </c>
      <c r="P1213" s="13">
        <v>2013.7827363833785</v>
      </c>
      <c r="Q1213" s="14">
        <v>1.0007396781137115</v>
      </c>
      <c r="R1213" s="15">
        <v>7.3967811371146452E-4</v>
      </c>
    </row>
    <row r="1214" spans="1:18" ht="18" customHeight="1">
      <c r="A1214" s="10" t="s">
        <v>115</v>
      </c>
      <c r="B1214" s="10" t="s">
        <v>116</v>
      </c>
      <c r="C1214" s="10" t="s">
        <v>254</v>
      </c>
      <c r="D1214" s="10" t="s">
        <v>268</v>
      </c>
      <c r="E1214" s="16">
        <v>14</v>
      </c>
      <c r="F1214" s="16">
        <v>14</v>
      </c>
      <c r="G1214" s="13">
        <v>3223.4317297621001</v>
      </c>
      <c r="H1214" s="13">
        <v>3223.4317297621001</v>
      </c>
      <c r="I1214" s="14">
        <v>0</v>
      </c>
      <c r="J1214" s="15">
        <v>1</v>
      </c>
      <c r="K1214" s="14">
        <v>1368.2673483645203</v>
      </c>
      <c r="L1214" s="13">
        <v>4410516.3855156479</v>
      </c>
      <c r="M1214" s="14">
        <v>4.1087228244967298</v>
      </c>
      <c r="N1214" s="14">
        <v>1284.4666257666345</v>
      </c>
      <c r="O1214" s="13">
        <v>4140390.4773166305</v>
      </c>
      <c r="P1214" s="13">
        <v>270125.9081990174</v>
      </c>
      <c r="Q1214" s="14">
        <v>1.065241650438266</v>
      </c>
      <c r="R1214" s="15">
        <v>6.5241650438266116E-2</v>
      </c>
    </row>
    <row r="1215" spans="1:18" ht="18" customHeight="1">
      <c r="A1215" s="10" t="s">
        <v>115</v>
      </c>
      <c r="B1215" s="10" t="s">
        <v>116</v>
      </c>
      <c r="C1215" s="10" t="s">
        <v>254</v>
      </c>
      <c r="D1215" s="10" t="s">
        <v>269</v>
      </c>
      <c r="E1215" s="16">
        <v>37</v>
      </c>
      <c r="F1215" s="16">
        <v>37</v>
      </c>
      <c r="G1215" s="13">
        <v>152028.97673790538</v>
      </c>
      <c r="H1215" s="13">
        <v>152028.97673790538</v>
      </c>
      <c r="I1215" s="14">
        <v>0</v>
      </c>
      <c r="J1215" s="15">
        <v>1</v>
      </c>
      <c r="K1215" s="14">
        <v>521.06708715843661</v>
      </c>
      <c r="L1215" s="13">
        <v>79217296.072498068</v>
      </c>
      <c r="M1215" s="14">
        <v>3.5893890072029437</v>
      </c>
      <c r="N1215" s="14">
        <v>388.49819664174942</v>
      </c>
      <c r="O1215" s="13">
        <v>59062983.299966715</v>
      </c>
      <c r="P1215" s="13">
        <v>20154312.772531353</v>
      </c>
      <c r="Q1215" s="14">
        <v>1.3412342493804019</v>
      </c>
      <c r="R1215" s="15">
        <v>0.34123424938040187</v>
      </c>
    </row>
    <row r="1216" spans="1:18" ht="18" customHeight="1">
      <c r="A1216" s="10" t="s">
        <v>115</v>
      </c>
      <c r="B1216" s="10" t="s">
        <v>116</v>
      </c>
      <c r="C1216" s="10" t="s">
        <v>254</v>
      </c>
      <c r="D1216" s="10" t="s">
        <v>270</v>
      </c>
      <c r="E1216" s="16">
        <v>15</v>
      </c>
      <c r="F1216" s="16">
        <v>15</v>
      </c>
      <c r="G1216" s="13">
        <v>4261.2009268325</v>
      </c>
      <c r="H1216" s="13">
        <v>4261.2009268325</v>
      </c>
      <c r="I1216" s="14">
        <v>0</v>
      </c>
      <c r="J1216" s="15">
        <v>1</v>
      </c>
      <c r="K1216" s="14">
        <v>1168.2866410933132</v>
      </c>
      <c r="L1216" s="13">
        <v>4978304.1178328544</v>
      </c>
      <c r="M1216" s="14">
        <v>3.9251654245522567</v>
      </c>
      <c r="N1216" s="14">
        <v>841.7156935570282</v>
      </c>
      <c r="O1216" s="13">
        <v>3586719.6935146693</v>
      </c>
      <c r="P1216" s="13">
        <v>1391584.4243181851</v>
      </c>
      <c r="Q1216" s="14">
        <v>1.3879824862908523</v>
      </c>
      <c r="R1216" s="15">
        <v>0.3879824862908523</v>
      </c>
    </row>
    <row r="1217" spans="1:18" ht="18" customHeight="1">
      <c r="A1217" s="10" t="s">
        <v>115</v>
      </c>
      <c r="B1217" s="10" t="s">
        <v>116</v>
      </c>
      <c r="C1217" s="10" t="s">
        <v>254</v>
      </c>
      <c r="D1217" s="10" t="s">
        <v>276</v>
      </c>
      <c r="E1217" s="16">
        <v>29</v>
      </c>
      <c r="F1217" s="16">
        <v>29</v>
      </c>
      <c r="G1217" s="13">
        <v>1547.1141481054001</v>
      </c>
      <c r="H1217" s="13">
        <v>1547.1141481054001</v>
      </c>
      <c r="I1217" s="14">
        <v>0</v>
      </c>
      <c r="J1217" s="15">
        <v>1</v>
      </c>
      <c r="K1217" s="14">
        <v>778.14906954201911</v>
      </c>
      <c r="L1217" s="13">
        <v>1203885.4348235107</v>
      </c>
      <c r="M1217" s="14">
        <v>3.7742523048833774</v>
      </c>
      <c r="N1217" s="14">
        <v>594.63751501164859</v>
      </c>
      <c r="O1217" s="13">
        <v>919972.11246875871</v>
      </c>
      <c r="P1217" s="13">
        <v>283913.32235475199</v>
      </c>
      <c r="Q1217" s="14">
        <v>1.3086107921172376</v>
      </c>
      <c r="R1217" s="15">
        <v>0.30861079211723758</v>
      </c>
    </row>
    <row r="1218" spans="1:18" ht="18" customHeight="1">
      <c r="A1218" s="10" t="s">
        <v>115</v>
      </c>
      <c r="B1218" s="10" t="s">
        <v>116</v>
      </c>
      <c r="C1218" s="10" t="s">
        <v>254</v>
      </c>
      <c r="D1218" s="10" t="s">
        <v>271</v>
      </c>
      <c r="E1218" s="16">
        <v>7</v>
      </c>
      <c r="F1218" s="16">
        <v>7</v>
      </c>
      <c r="G1218" s="13">
        <v>3973.2032768271997</v>
      </c>
      <c r="H1218" s="13">
        <v>3973.2032768271997</v>
      </c>
      <c r="I1218" s="14">
        <v>0</v>
      </c>
      <c r="J1218" s="15">
        <v>1</v>
      </c>
      <c r="K1218" s="14">
        <v>12.381469033911099</v>
      </c>
      <c r="L1218" s="13">
        <v>49194.093337470083</v>
      </c>
      <c r="M1218" s="14">
        <v>2.0784048706608114</v>
      </c>
      <c r="N1218" s="14">
        <v>11.978567118464811</v>
      </c>
      <c r="O1218" s="13">
        <v>47593.282126778933</v>
      </c>
      <c r="P1218" s="13">
        <v>1600.8112106911503</v>
      </c>
      <c r="Q1218" s="14">
        <v>1.0336352346204432</v>
      </c>
      <c r="R1218" s="15">
        <v>3.3635234620443093E-2</v>
      </c>
    </row>
    <row r="1219" spans="1:18" ht="18" customHeight="1">
      <c r="A1219" s="10" t="s">
        <v>115</v>
      </c>
      <c r="B1219" s="10" t="s">
        <v>116</v>
      </c>
      <c r="C1219" s="10" t="s">
        <v>254</v>
      </c>
      <c r="D1219" s="10" t="s">
        <v>272</v>
      </c>
      <c r="E1219" s="16">
        <v>8</v>
      </c>
      <c r="F1219" s="16">
        <v>8</v>
      </c>
      <c r="G1219" s="13">
        <v>10854.241242929</v>
      </c>
      <c r="H1219" s="13">
        <v>10854.241242929</v>
      </c>
      <c r="I1219" s="14">
        <v>0</v>
      </c>
      <c r="J1219" s="15">
        <v>1</v>
      </c>
      <c r="K1219" s="14">
        <v>59.951519994331413</v>
      </c>
      <c r="L1219" s="13">
        <v>650728.26089875458</v>
      </c>
      <c r="M1219" s="14">
        <v>2.7251379295701108</v>
      </c>
      <c r="N1219" s="14">
        <v>53.105307702585883</v>
      </c>
      <c r="O1219" s="13">
        <v>576417.82108384278</v>
      </c>
      <c r="P1219" s="13">
        <v>74310.439814911806</v>
      </c>
      <c r="Q1219" s="14">
        <v>1.1289176654448076</v>
      </c>
      <c r="R1219" s="15">
        <v>0.12891766544480759</v>
      </c>
    </row>
    <row r="1220" spans="1:18" ht="18" customHeight="1">
      <c r="A1220" s="10" t="s">
        <v>115</v>
      </c>
      <c r="B1220" s="10" t="s">
        <v>116</v>
      </c>
      <c r="C1220" s="10" t="s">
        <v>254</v>
      </c>
      <c r="D1220" s="10" t="s">
        <v>283</v>
      </c>
      <c r="E1220" s="16">
        <v>3</v>
      </c>
      <c r="F1220" s="16">
        <v>3</v>
      </c>
      <c r="G1220" s="13">
        <v>608.02923410769995</v>
      </c>
      <c r="H1220" s="13">
        <v>608.02923410769995</v>
      </c>
      <c r="I1220" s="14">
        <v>0</v>
      </c>
      <c r="J1220" s="15">
        <v>1</v>
      </c>
      <c r="K1220" s="14">
        <v>414.7480987192597</v>
      </c>
      <c r="L1220" s="13">
        <v>252178.96881189622</v>
      </c>
      <c r="M1220" s="14">
        <v>3.179649620130363</v>
      </c>
      <c r="N1220" s="14">
        <v>151.23406307532352</v>
      </c>
      <c r="O1220" s="13">
        <v>91954.731542684545</v>
      </c>
      <c r="P1220" s="13">
        <v>160224.23726921168</v>
      </c>
      <c r="Q1220" s="14">
        <v>2.74242515399914</v>
      </c>
      <c r="R1220" s="15">
        <v>1.7424251539991398</v>
      </c>
    </row>
    <row r="1221" spans="1:18" ht="18" customHeight="1">
      <c r="A1221" s="10" t="s">
        <v>115</v>
      </c>
      <c r="B1221" s="10" t="s">
        <v>116</v>
      </c>
      <c r="C1221" s="10" t="s">
        <v>254</v>
      </c>
      <c r="D1221" s="10" t="s">
        <v>278</v>
      </c>
      <c r="E1221" s="16">
        <v>9</v>
      </c>
      <c r="F1221" s="16">
        <v>9</v>
      </c>
      <c r="G1221" s="13">
        <v>4492.8562751672007</v>
      </c>
      <c r="H1221" s="13">
        <v>4492.8562751672007</v>
      </c>
      <c r="I1221" s="14">
        <v>0</v>
      </c>
      <c r="J1221" s="15">
        <v>1</v>
      </c>
      <c r="K1221" s="14">
        <v>333.68236051524428</v>
      </c>
      <c r="L1221" s="13">
        <v>1499186.8873535194</v>
      </c>
      <c r="M1221" s="14">
        <v>3.5044293655303709</v>
      </c>
      <c r="N1221" s="14">
        <v>319.46947314053085</v>
      </c>
      <c r="O1221" s="13">
        <v>1435330.4271237934</v>
      </c>
      <c r="P1221" s="13">
        <v>63856.460229726043</v>
      </c>
      <c r="Q1221" s="14">
        <v>1.0444890312523267</v>
      </c>
      <c r="R1221" s="15">
        <v>4.4489031252326817E-2</v>
      </c>
    </row>
    <row r="1222" spans="1:18" ht="18" customHeight="1">
      <c r="A1222" s="10" t="s">
        <v>115</v>
      </c>
      <c r="B1222" s="10" t="s">
        <v>116</v>
      </c>
      <c r="C1222" s="10" t="s">
        <v>254</v>
      </c>
      <c r="D1222" s="10" t="s">
        <v>273</v>
      </c>
      <c r="E1222" s="16">
        <v>15</v>
      </c>
      <c r="F1222" s="16">
        <v>15</v>
      </c>
      <c r="G1222" s="13">
        <v>28576.717517410503</v>
      </c>
      <c r="H1222" s="13">
        <v>28576.717517410503</v>
      </c>
      <c r="I1222" s="14">
        <v>0</v>
      </c>
      <c r="J1222" s="15">
        <v>1</v>
      </c>
      <c r="K1222" s="14">
        <v>265.48405234130399</v>
      </c>
      <c r="L1222" s="13">
        <v>7586662.7691348689</v>
      </c>
      <c r="M1222" s="14">
        <v>3.1828240086216777</v>
      </c>
      <c r="N1222" s="14">
        <v>152.34352792099332</v>
      </c>
      <c r="O1222" s="13">
        <v>4353477.963003966</v>
      </c>
      <c r="P1222" s="13">
        <v>3233184.8061309028</v>
      </c>
      <c r="Q1222" s="14">
        <v>1.7426670890737566</v>
      </c>
      <c r="R1222" s="15">
        <v>0.74266708907375656</v>
      </c>
    </row>
    <row r="1223" spans="1:18" ht="18" customHeight="1">
      <c r="A1223" s="10" t="s">
        <v>115</v>
      </c>
      <c r="B1223" s="10" t="s">
        <v>116</v>
      </c>
      <c r="C1223" s="10" t="s">
        <v>254</v>
      </c>
      <c r="D1223" s="10" t="s">
        <v>284</v>
      </c>
      <c r="E1223" s="16">
        <v>5</v>
      </c>
      <c r="F1223" s="16">
        <v>5</v>
      </c>
      <c r="G1223" s="13">
        <v>52.254157327799994</v>
      </c>
      <c r="H1223" s="13">
        <v>52.254157327799994</v>
      </c>
      <c r="I1223" s="14">
        <v>0</v>
      </c>
      <c r="J1223" s="15">
        <v>1</v>
      </c>
      <c r="K1223" s="14">
        <v>1011.5112060731468</v>
      </c>
      <c r="L1223" s="13">
        <v>52855.665700978934</v>
      </c>
      <c r="M1223" s="14">
        <v>3.5682788921369872</v>
      </c>
      <c r="N1223" s="14">
        <v>370.06574967884643</v>
      </c>
      <c r="O1223" s="13">
        <v>19337.473905348692</v>
      </c>
      <c r="P1223" s="13">
        <v>33518.191795630242</v>
      </c>
      <c r="Q1223" s="14">
        <v>2.733328353004743</v>
      </c>
      <c r="R1223" s="15">
        <v>1.733328353004743</v>
      </c>
    </row>
    <row r="1224" spans="1:18" ht="18" customHeight="1">
      <c r="A1224" s="10" t="s">
        <v>115</v>
      </c>
      <c r="B1224" s="10" t="s">
        <v>116</v>
      </c>
      <c r="C1224" s="10" t="s">
        <v>254</v>
      </c>
      <c r="D1224" s="10" t="s">
        <v>274</v>
      </c>
      <c r="E1224" s="16">
        <v>2</v>
      </c>
      <c r="F1224" s="16">
        <v>2</v>
      </c>
      <c r="G1224" s="13">
        <v>999.68714112520001</v>
      </c>
      <c r="H1224" s="13">
        <v>999.68714112520001</v>
      </c>
      <c r="I1224" s="14">
        <v>0</v>
      </c>
      <c r="J1224" s="15">
        <v>1</v>
      </c>
      <c r="K1224" s="14">
        <v>244.47917993284625</v>
      </c>
      <c r="L1224" s="13">
        <v>244402.69245170042</v>
      </c>
      <c r="M1224" s="14">
        <v>3.3684959570379709</v>
      </c>
      <c r="N1224" s="14">
        <v>233.61243545191186</v>
      </c>
      <c r="O1224" s="13">
        <v>233539.34772821711</v>
      </c>
      <c r="P1224" s="13">
        <v>10863.344723483315</v>
      </c>
      <c r="Q1224" s="14">
        <v>1.0465161217120706</v>
      </c>
      <c r="R1224" s="15">
        <v>4.6516121712070556E-2</v>
      </c>
    </row>
    <row r="1225" spans="1:18" ht="18" customHeight="1">
      <c r="A1225" s="10" t="s">
        <v>115</v>
      </c>
      <c r="B1225" s="10" t="s">
        <v>116</v>
      </c>
      <c r="C1225" s="10" t="s">
        <v>254</v>
      </c>
      <c r="D1225" s="10" t="s">
        <v>282</v>
      </c>
      <c r="E1225" s="16">
        <v>3</v>
      </c>
      <c r="F1225" s="16">
        <v>3</v>
      </c>
      <c r="G1225" s="13">
        <v>62.557469739600002</v>
      </c>
      <c r="H1225" s="13">
        <v>62.557469739600002</v>
      </c>
      <c r="I1225" s="14">
        <v>0</v>
      </c>
      <c r="J1225" s="15">
        <v>1</v>
      </c>
      <c r="K1225" s="14">
        <v>319.16679532586107</v>
      </c>
      <c r="L1225" s="13">
        <v>19966.267140482661</v>
      </c>
      <c r="M1225" s="14">
        <v>3.5036843723176054</v>
      </c>
      <c r="N1225" s="14">
        <v>318.92192169855412</v>
      </c>
      <c r="O1225" s="13">
        <v>19950.948465952381</v>
      </c>
      <c r="P1225" s="13">
        <v>15.318674530280987</v>
      </c>
      <c r="Q1225" s="14">
        <v>1.0007678168562473</v>
      </c>
      <c r="R1225" s="15">
        <v>7.6781685624737709E-4</v>
      </c>
    </row>
    <row r="1226" spans="1:18" ht="18" customHeight="1">
      <c r="A1226" s="10" t="s">
        <v>115</v>
      </c>
      <c r="B1226" s="10" t="s">
        <v>116</v>
      </c>
      <c r="C1226" s="10" t="s">
        <v>254</v>
      </c>
      <c r="D1226" s="10" t="s">
        <v>275</v>
      </c>
      <c r="E1226" s="16">
        <v>1</v>
      </c>
      <c r="F1226" s="16">
        <v>1</v>
      </c>
      <c r="G1226" s="13">
        <v>10225.6885757543</v>
      </c>
      <c r="H1226" s="13">
        <v>10225.6885757543</v>
      </c>
      <c r="I1226" s="14">
        <v>0</v>
      </c>
      <c r="J1226" s="15">
        <v>1</v>
      </c>
      <c r="K1226" s="14">
        <v>389.04514499428046</v>
      </c>
      <c r="L1226" s="13">
        <v>3978254.4946206892</v>
      </c>
      <c r="M1226" s="14">
        <v>3.5899999999999994</v>
      </c>
      <c r="N1226" s="14">
        <v>389.04514499428007</v>
      </c>
      <c r="O1226" s="13">
        <v>3978254.494620685</v>
      </c>
      <c r="P1226" s="13">
        <v>4.1909515857696533E-9</v>
      </c>
      <c r="Q1226" s="14">
        <v>1.0000000000000011</v>
      </c>
      <c r="R1226" s="15">
        <v>1.0534649282585046E-15</v>
      </c>
    </row>
    <row r="1227" spans="1:18" ht="18" customHeight="1">
      <c r="A1227" s="10" t="s">
        <v>121</v>
      </c>
      <c r="B1227" s="10" t="s">
        <v>122</v>
      </c>
      <c r="C1227" s="10" t="s">
        <v>254</v>
      </c>
      <c r="D1227" s="10" t="s">
        <v>255</v>
      </c>
      <c r="E1227" s="16">
        <v>6</v>
      </c>
      <c r="F1227" s="16">
        <v>6</v>
      </c>
      <c r="G1227" s="13">
        <v>661.51498650350004</v>
      </c>
      <c r="H1227" s="13">
        <v>661.51498650350004</v>
      </c>
      <c r="I1227" s="14">
        <v>0</v>
      </c>
      <c r="J1227" s="15">
        <v>1</v>
      </c>
      <c r="K1227" s="14">
        <v>632.13264225622254</v>
      </c>
      <c r="L1227" s="13">
        <v>418165.21631054685</v>
      </c>
      <c r="M1227" s="14">
        <v>3.7906515700499983</v>
      </c>
      <c r="N1227" s="14">
        <v>617.52077084820019</v>
      </c>
      <c r="O1227" s="13">
        <v>408499.24439327809</v>
      </c>
      <c r="P1227" s="13">
        <v>9665.9719172687619</v>
      </c>
      <c r="Q1227" s="14">
        <v>1.0236621537247275</v>
      </c>
      <c r="R1227" s="15">
        <v>2.3662153724727471E-2</v>
      </c>
    </row>
    <row r="1228" spans="1:18" ht="18" customHeight="1">
      <c r="A1228" s="10" t="s">
        <v>121</v>
      </c>
      <c r="B1228" s="10" t="s">
        <v>122</v>
      </c>
      <c r="C1228" s="10" t="s">
        <v>254</v>
      </c>
      <c r="D1228" s="10" t="s">
        <v>257</v>
      </c>
      <c r="E1228" s="16">
        <v>2</v>
      </c>
      <c r="F1228" s="16">
        <v>2</v>
      </c>
      <c r="G1228" s="13">
        <v>20.760681653200002</v>
      </c>
      <c r="H1228" s="13">
        <v>20.760681653200002</v>
      </c>
      <c r="I1228" s="14">
        <v>0</v>
      </c>
      <c r="J1228" s="15">
        <v>1</v>
      </c>
      <c r="K1228" s="14">
        <v>2175.8175809143909</v>
      </c>
      <c r="L1228" s="13">
        <v>45171.456132799409</v>
      </c>
      <c r="M1228" s="14">
        <v>4.3372863427206729</v>
      </c>
      <c r="N1228" s="14">
        <v>2174.1341749854009</v>
      </c>
      <c r="O1228" s="13">
        <v>45136.507478214538</v>
      </c>
      <c r="P1228" s="13">
        <v>34.948654584870383</v>
      </c>
      <c r="Q1228" s="14">
        <v>1.0007742879663815</v>
      </c>
      <c r="R1228" s="15">
        <v>7.742879663815062E-4</v>
      </c>
    </row>
    <row r="1229" spans="1:18" ht="18" customHeight="1">
      <c r="A1229" s="10" t="s">
        <v>121</v>
      </c>
      <c r="B1229" s="10" t="s">
        <v>122</v>
      </c>
      <c r="C1229" s="10" t="s">
        <v>254</v>
      </c>
      <c r="D1229" s="10" t="s">
        <v>258</v>
      </c>
      <c r="E1229" s="16">
        <v>9</v>
      </c>
      <c r="F1229" s="16">
        <v>9</v>
      </c>
      <c r="G1229" s="13">
        <v>4853.0117880181997</v>
      </c>
      <c r="H1229" s="13">
        <v>4853.0117880181997</v>
      </c>
      <c r="I1229" s="14">
        <v>0</v>
      </c>
      <c r="J1229" s="15">
        <v>1</v>
      </c>
      <c r="K1229" s="14">
        <v>2319.9924794511694</v>
      </c>
      <c r="L1229" s="13">
        <v>11258950.850890096</v>
      </c>
      <c r="M1229" s="14">
        <v>4.3496004444542162</v>
      </c>
      <c r="N1229" s="14">
        <v>2236.6624384511483</v>
      </c>
      <c r="O1229" s="13">
        <v>10854549.179620953</v>
      </c>
      <c r="P1229" s="13">
        <v>404401.671269143</v>
      </c>
      <c r="Q1229" s="14">
        <v>1.0372564225908518</v>
      </c>
      <c r="R1229" s="15">
        <v>3.72564225908519E-2</v>
      </c>
    </row>
    <row r="1230" spans="1:18" ht="18" customHeight="1">
      <c r="A1230" s="10" t="s">
        <v>121</v>
      </c>
      <c r="B1230" s="10" t="s">
        <v>122</v>
      </c>
      <c r="C1230" s="10" t="s">
        <v>254</v>
      </c>
      <c r="D1230" s="10" t="s">
        <v>259</v>
      </c>
      <c r="E1230" s="16">
        <v>8</v>
      </c>
      <c r="F1230" s="16">
        <v>8</v>
      </c>
      <c r="G1230" s="13">
        <v>12168.846373027001</v>
      </c>
      <c r="H1230" s="13">
        <v>12168.846373027001</v>
      </c>
      <c r="I1230" s="14">
        <v>0</v>
      </c>
      <c r="J1230" s="15">
        <v>1</v>
      </c>
      <c r="K1230" s="14">
        <v>1129.2625683324518</v>
      </c>
      <c r="L1230" s="13">
        <v>13741822.708847513</v>
      </c>
      <c r="M1230" s="14">
        <v>4.0518701270534718</v>
      </c>
      <c r="N1230" s="14">
        <v>1126.8604254869415</v>
      </c>
      <c r="O1230" s="13">
        <v>13712591.401594432</v>
      </c>
      <c r="P1230" s="13">
        <v>29231.307253081352</v>
      </c>
      <c r="Q1230" s="14">
        <v>1.0021317128467551</v>
      </c>
      <c r="R1230" s="15">
        <v>2.1317128467550255E-3</v>
      </c>
    </row>
    <row r="1231" spans="1:18" ht="18" customHeight="1">
      <c r="A1231" s="10" t="s">
        <v>121</v>
      </c>
      <c r="B1231" s="10" t="s">
        <v>122</v>
      </c>
      <c r="C1231" s="10" t="s">
        <v>254</v>
      </c>
      <c r="D1231" s="10" t="s">
        <v>261</v>
      </c>
      <c r="E1231" s="16">
        <v>26</v>
      </c>
      <c r="F1231" s="16">
        <v>26</v>
      </c>
      <c r="G1231" s="13">
        <v>15266.813631823499</v>
      </c>
      <c r="H1231" s="13">
        <v>15266.813631823499</v>
      </c>
      <c r="I1231" s="14">
        <v>0</v>
      </c>
      <c r="J1231" s="15">
        <v>1</v>
      </c>
      <c r="K1231" s="14">
        <v>2515.2920199335208</v>
      </c>
      <c r="L1231" s="13">
        <v>38400494.49793794</v>
      </c>
      <c r="M1231" s="14">
        <v>4.3260647576476714</v>
      </c>
      <c r="N1231" s="14">
        <v>2118.6770276158309</v>
      </c>
      <c r="O1231" s="13">
        <v>32345447.326636661</v>
      </c>
      <c r="P1231" s="13">
        <v>6055047.1713012792</v>
      </c>
      <c r="Q1231" s="14">
        <v>1.1871993641069516</v>
      </c>
      <c r="R1231" s="15">
        <v>0.18719936410695157</v>
      </c>
    </row>
    <row r="1232" spans="1:18" ht="18" customHeight="1">
      <c r="A1232" s="10" t="s">
        <v>121</v>
      </c>
      <c r="B1232" s="10" t="s">
        <v>122</v>
      </c>
      <c r="C1232" s="10" t="s">
        <v>254</v>
      </c>
      <c r="D1232" s="10" t="s">
        <v>262</v>
      </c>
      <c r="E1232" s="16">
        <v>10</v>
      </c>
      <c r="F1232" s="16">
        <v>10</v>
      </c>
      <c r="G1232" s="13">
        <v>15951.170875408599</v>
      </c>
      <c r="H1232" s="13">
        <v>15951.170875408599</v>
      </c>
      <c r="I1232" s="14">
        <v>0</v>
      </c>
      <c r="J1232" s="15">
        <v>1</v>
      </c>
      <c r="K1232" s="14">
        <v>516.43423012970231</v>
      </c>
      <c r="L1232" s="13">
        <v>8237730.6507089706</v>
      </c>
      <c r="M1232" s="14">
        <v>3.708812734153462</v>
      </c>
      <c r="N1232" s="14">
        <v>511.46124817307629</v>
      </c>
      <c r="O1232" s="13">
        <v>8158405.7657585042</v>
      </c>
      <c r="P1232" s="13">
        <v>79324.884950466454</v>
      </c>
      <c r="Q1232" s="14">
        <v>1.0097230864985165</v>
      </c>
      <c r="R1232" s="15">
        <v>9.7230864985165949E-3</v>
      </c>
    </row>
    <row r="1233" spans="1:18" ht="18" customHeight="1">
      <c r="A1233" s="10" t="s">
        <v>121</v>
      </c>
      <c r="B1233" s="10" t="s">
        <v>122</v>
      </c>
      <c r="C1233" s="10" t="s">
        <v>254</v>
      </c>
      <c r="D1233" s="10" t="s">
        <v>263</v>
      </c>
      <c r="E1233" s="16">
        <v>16</v>
      </c>
      <c r="F1233" s="16">
        <v>16</v>
      </c>
      <c r="G1233" s="13">
        <v>9509.9943491541999</v>
      </c>
      <c r="H1233" s="13">
        <v>9509.9943491541999</v>
      </c>
      <c r="I1233" s="14">
        <v>0</v>
      </c>
      <c r="J1233" s="15">
        <v>1</v>
      </c>
      <c r="K1233" s="14">
        <v>847.76989852737199</v>
      </c>
      <c r="L1233" s="13">
        <v>8062286.9443783369</v>
      </c>
      <c r="M1233" s="14">
        <v>3.7865422271710352</v>
      </c>
      <c r="N1233" s="14">
        <v>611.70527717942059</v>
      </c>
      <c r="O1233" s="13">
        <v>5817313.7293240931</v>
      </c>
      <c r="P1233" s="13">
        <v>2244973.2150542438</v>
      </c>
      <c r="Q1233" s="14">
        <v>1.385912350530059</v>
      </c>
      <c r="R1233" s="15">
        <v>0.38591235053005896</v>
      </c>
    </row>
    <row r="1234" spans="1:18" ht="18" customHeight="1">
      <c r="A1234" s="10" t="s">
        <v>121</v>
      </c>
      <c r="B1234" s="10" t="s">
        <v>122</v>
      </c>
      <c r="C1234" s="10" t="s">
        <v>254</v>
      </c>
      <c r="D1234" s="10" t="s">
        <v>264</v>
      </c>
      <c r="E1234" s="16">
        <v>20</v>
      </c>
      <c r="F1234" s="16">
        <v>20</v>
      </c>
      <c r="G1234" s="13">
        <v>12447.5244759538</v>
      </c>
      <c r="H1234" s="13">
        <v>12447.5244759538</v>
      </c>
      <c r="I1234" s="14">
        <v>0</v>
      </c>
      <c r="J1234" s="15">
        <v>1</v>
      </c>
      <c r="K1234" s="14">
        <v>1580.5049697649092</v>
      </c>
      <c r="L1234" s="13">
        <v>19673374.295515329</v>
      </c>
      <c r="M1234" s="14">
        <v>4.173469381044776</v>
      </c>
      <c r="N1234" s="14">
        <v>1490.9716341469173</v>
      </c>
      <c r="O1234" s="13">
        <v>18558905.908996586</v>
      </c>
      <c r="P1234" s="13">
        <v>1114468.3865187429</v>
      </c>
      <c r="Q1234" s="14">
        <v>1.0600503279656424</v>
      </c>
      <c r="R1234" s="15">
        <v>6.0050327965642358E-2</v>
      </c>
    </row>
    <row r="1235" spans="1:18" ht="18" customHeight="1">
      <c r="A1235" s="10" t="s">
        <v>121</v>
      </c>
      <c r="B1235" s="10" t="s">
        <v>122</v>
      </c>
      <c r="C1235" s="10" t="s">
        <v>254</v>
      </c>
      <c r="D1235" s="10" t="s">
        <v>265</v>
      </c>
      <c r="E1235" s="16">
        <v>7</v>
      </c>
      <c r="F1235" s="16">
        <v>7</v>
      </c>
      <c r="G1235" s="13">
        <v>4267.7970789454002</v>
      </c>
      <c r="H1235" s="13">
        <v>4267.7970789454002</v>
      </c>
      <c r="I1235" s="14">
        <v>0</v>
      </c>
      <c r="J1235" s="15">
        <v>1</v>
      </c>
      <c r="K1235" s="14">
        <v>207.59661096629401</v>
      </c>
      <c r="L1235" s="13">
        <v>885980.20988091419</v>
      </c>
      <c r="M1235" s="14">
        <v>3.1646048448916129</v>
      </c>
      <c r="N1235" s="14">
        <v>146.08473762994589</v>
      </c>
      <c r="O1235" s="13">
        <v>623460.01653558831</v>
      </c>
      <c r="P1235" s="13">
        <v>262520.19334532588</v>
      </c>
      <c r="Q1235" s="14">
        <v>1.4210698142345761</v>
      </c>
      <c r="R1235" s="15">
        <v>0.42106981423457607</v>
      </c>
    </row>
    <row r="1236" spans="1:18" ht="18" customHeight="1">
      <c r="A1236" s="10" t="s">
        <v>121</v>
      </c>
      <c r="B1236" s="10" t="s">
        <v>122</v>
      </c>
      <c r="C1236" s="10" t="s">
        <v>254</v>
      </c>
      <c r="D1236" s="10" t="s">
        <v>266</v>
      </c>
      <c r="E1236" s="16">
        <v>1</v>
      </c>
      <c r="F1236" s="16">
        <v>1</v>
      </c>
      <c r="G1236" s="13">
        <v>805.15238241910004</v>
      </c>
      <c r="H1236" s="13">
        <v>805.15238241910004</v>
      </c>
      <c r="I1236" s="14">
        <v>0</v>
      </c>
      <c r="J1236" s="15">
        <v>1</v>
      </c>
      <c r="K1236" s="14">
        <v>3090.295432513592</v>
      </c>
      <c r="L1236" s="13">
        <v>2488158.7298671817</v>
      </c>
      <c r="M1236" s="14">
        <v>4.49</v>
      </c>
      <c r="N1236" s="14">
        <v>3090.295432513592</v>
      </c>
      <c r="O1236" s="13">
        <v>2488158.7298671817</v>
      </c>
      <c r="P1236" s="13">
        <v>0</v>
      </c>
      <c r="Q1236" s="14">
        <v>1</v>
      </c>
      <c r="R1236" s="15">
        <v>0</v>
      </c>
    </row>
    <row r="1237" spans="1:18" ht="18" customHeight="1">
      <c r="A1237" s="10" t="s">
        <v>121</v>
      </c>
      <c r="B1237" s="10" t="s">
        <v>122</v>
      </c>
      <c r="C1237" s="10" t="s">
        <v>254</v>
      </c>
      <c r="D1237" s="10" t="s">
        <v>268</v>
      </c>
      <c r="E1237" s="16">
        <v>13</v>
      </c>
      <c r="F1237" s="16">
        <v>13</v>
      </c>
      <c r="G1237" s="13">
        <v>5423.4093997587997</v>
      </c>
      <c r="H1237" s="13">
        <v>5423.4093997587997</v>
      </c>
      <c r="I1237" s="14">
        <v>0</v>
      </c>
      <c r="J1237" s="15">
        <v>1</v>
      </c>
      <c r="K1237" s="14">
        <v>906.14679525338022</v>
      </c>
      <c r="L1237" s="13">
        <v>4914405.0469384948</v>
      </c>
      <c r="M1237" s="14">
        <v>3.9451426778712624</v>
      </c>
      <c r="N1237" s="14">
        <v>881.33836973011182</v>
      </c>
      <c r="O1237" s="13">
        <v>4779858.7987623848</v>
      </c>
      <c r="P1237" s="13">
        <v>134546.24817610998</v>
      </c>
      <c r="Q1237" s="14">
        <v>1.028148582173797</v>
      </c>
      <c r="R1237" s="15">
        <v>2.8148582173797076E-2</v>
      </c>
    </row>
    <row r="1238" spans="1:18" ht="18" customHeight="1">
      <c r="A1238" s="10" t="s">
        <v>121</v>
      </c>
      <c r="B1238" s="10" t="s">
        <v>122</v>
      </c>
      <c r="C1238" s="10" t="s">
        <v>254</v>
      </c>
      <c r="D1238" s="10" t="s">
        <v>269</v>
      </c>
      <c r="E1238" s="16">
        <v>38</v>
      </c>
      <c r="F1238" s="16">
        <v>38</v>
      </c>
      <c r="G1238" s="13">
        <v>114633.93159857049</v>
      </c>
      <c r="H1238" s="13">
        <v>114633.93159857049</v>
      </c>
      <c r="I1238" s="14">
        <v>0</v>
      </c>
      <c r="J1238" s="15">
        <v>1</v>
      </c>
      <c r="K1238" s="14">
        <v>437.62959661187762</v>
      </c>
      <c r="L1238" s="13">
        <v>50167201.243515976</v>
      </c>
      <c r="M1238" s="14">
        <v>3.4001826601778431</v>
      </c>
      <c r="N1238" s="14">
        <v>251.29431295404879</v>
      </c>
      <c r="O1238" s="13">
        <v>28806855.082284193</v>
      </c>
      <c r="P1238" s="13">
        <v>21360346.161231782</v>
      </c>
      <c r="Q1238" s="14">
        <v>1.7415021910659068</v>
      </c>
      <c r="R1238" s="15">
        <v>0.74150219106590676</v>
      </c>
    </row>
    <row r="1239" spans="1:18" ht="18" customHeight="1">
      <c r="A1239" s="10" t="s">
        <v>121</v>
      </c>
      <c r="B1239" s="10" t="s">
        <v>122</v>
      </c>
      <c r="C1239" s="10" t="s">
        <v>254</v>
      </c>
      <c r="D1239" s="10" t="s">
        <v>270</v>
      </c>
      <c r="E1239" s="16">
        <v>14</v>
      </c>
      <c r="F1239" s="16">
        <v>14</v>
      </c>
      <c r="G1239" s="13">
        <v>7115.8958327403998</v>
      </c>
      <c r="H1239" s="13">
        <v>7115.8958327403998</v>
      </c>
      <c r="I1239" s="14">
        <v>0</v>
      </c>
      <c r="J1239" s="15">
        <v>1</v>
      </c>
      <c r="K1239" s="14">
        <v>1354.4087423323051</v>
      </c>
      <c r="L1239" s="13">
        <v>9637831.5253896154</v>
      </c>
      <c r="M1239" s="14">
        <v>4.0313117860482652</v>
      </c>
      <c r="N1239" s="14">
        <v>1074.7607211097879</v>
      </c>
      <c r="O1239" s="13">
        <v>7647885.3365382068</v>
      </c>
      <c r="P1239" s="13">
        <v>1989946.1888514087</v>
      </c>
      <c r="Q1239" s="14">
        <v>1.2601956098039713</v>
      </c>
      <c r="R1239" s="15">
        <v>0.26019560980397127</v>
      </c>
    </row>
    <row r="1240" spans="1:18" ht="18" customHeight="1">
      <c r="A1240" s="10" t="s">
        <v>121</v>
      </c>
      <c r="B1240" s="10" t="s">
        <v>122</v>
      </c>
      <c r="C1240" s="10" t="s">
        <v>254</v>
      </c>
      <c r="D1240" s="10" t="s">
        <v>276</v>
      </c>
      <c r="E1240" s="16">
        <v>31</v>
      </c>
      <c r="F1240" s="16">
        <v>31</v>
      </c>
      <c r="G1240" s="13">
        <v>7731.0477004391987</v>
      </c>
      <c r="H1240" s="13">
        <v>7731.0477004391987</v>
      </c>
      <c r="I1240" s="14">
        <v>0</v>
      </c>
      <c r="J1240" s="15">
        <v>1</v>
      </c>
      <c r="K1240" s="14">
        <v>827.75597302617155</v>
      </c>
      <c r="L1240" s="13">
        <v>6399420.9117887951</v>
      </c>
      <c r="M1240" s="14">
        <v>3.8471476725877274</v>
      </c>
      <c r="N1240" s="14">
        <v>703.31142529921624</v>
      </c>
      <c r="O1240" s="13">
        <v>5437334.1772521213</v>
      </c>
      <c r="P1240" s="13">
        <v>962086.73453667387</v>
      </c>
      <c r="Q1240" s="14">
        <v>1.176940887422683</v>
      </c>
      <c r="R1240" s="15">
        <v>0.17694088742268294</v>
      </c>
    </row>
    <row r="1241" spans="1:18" ht="18" customHeight="1">
      <c r="A1241" s="10" t="s">
        <v>121</v>
      </c>
      <c r="B1241" s="10" t="s">
        <v>122</v>
      </c>
      <c r="C1241" s="10" t="s">
        <v>254</v>
      </c>
      <c r="D1241" s="10" t="s">
        <v>271</v>
      </c>
      <c r="E1241" s="16">
        <v>8</v>
      </c>
      <c r="F1241" s="16">
        <v>8</v>
      </c>
      <c r="G1241" s="13">
        <v>4004.3294580471998</v>
      </c>
      <c r="H1241" s="13">
        <v>4004.3294580471998</v>
      </c>
      <c r="I1241" s="14">
        <v>0</v>
      </c>
      <c r="J1241" s="15">
        <v>1</v>
      </c>
      <c r="K1241" s="14">
        <v>12.38703402650402</v>
      </c>
      <c r="L1241" s="13">
        <v>49601.765250163066</v>
      </c>
      <c r="M1241" s="14">
        <v>2.0785888037497608</v>
      </c>
      <c r="N1241" s="14">
        <v>11.983641374694137</v>
      </c>
      <c r="O1241" s="13">
        <v>47986.448171360978</v>
      </c>
      <c r="P1241" s="13">
        <v>1615.3170788020871</v>
      </c>
      <c r="Q1241" s="14">
        <v>1.0336619429100846</v>
      </c>
      <c r="R1241" s="15">
        <v>3.3661942910084605E-2</v>
      </c>
    </row>
    <row r="1242" spans="1:18" ht="18" customHeight="1">
      <c r="A1242" s="10" t="s">
        <v>121</v>
      </c>
      <c r="B1242" s="10" t="s">
        <v>122</v>
      </c>
      <c r="C1242" s="10" t="s">
        <v>254</v>
      </c>
      <c r="D1242" s="10" t="s">
        <v>272</v>
      </c>
      <c r="E1242" s="16">
        <v>7</v>
      </c>
      <c r="F1242" s="16">
        <v>7</v>
      </c>
      <c r="G1242" s="13">
        <v>9810.7165225106983</v>
      </c>
      <c r="H1242" s="13">
        <v>9810.7165225106983</v>
      </c>
      <c r="I1242" s="14">
        <v>0</v>
      </c>
      <c r="J1242" s="15">
        <v>1</v>
      </c>
      <c r="K1242" s="14">
        <v>58.027747059885485</v>
      </c>
      <c r="L1242" s="13">
        <v>569293.77684449009</v>
      </c>
      <c r="M1242" s="14">
        <v>2.7344386611949019</v>
      </c>
      <c r="N1242" s="14">
        <v>54.254861753431662</v>
      </c>
      <c r="O1242" s="13">
        <v>532279.06863092573</v>
      </c>
      <c r="P1242" s="13">
        <v>37014.708213564358</v>
      </c>
      <c r="Q1242" s="14">
        <v>1.0695400409202072</v>
      </c>
      <c r="R1242" s="15">
        <v>6.9540040920207213E-2</v>
      </c>
    </row>
    <row r="1243" spans="1:18" ht="18" customHeight="1">
      <c r="A1243" s="10" t="s">
        <v>121</v>
      </c>
      <c r="B1243" s="10" t="s">
        <v>122</v>
      </c>
      <c r="C1243" s="10" t="s">
        <v>254</v>
      </c>
      <c r="D1243" s="10" t="s">
        <v>283</v>
      </c>
      <c r="E1243" s="16">
        <v>2</v>
      </c>
      <c r="F1243" s="16">
        <v>2</v>
      </c>
      <c r="G1243" s="13">
        <v>786.4096256032999</v>
      </c>
      <c r="H1243" s="13">
        <v>786.4096256032999</v>
      </c>
      <c r="I1243" s="14">
        <v>0</v>
      </c>
      <c r="J1243" s="15">
        <v>1</v>
      </c>
      <c r="K1243" s="14">
        <v>571.09384260912327</v>
      </c>
      <c r="L1243" s="13">
        <v>449113.69495059049</v>
      </c>
      <c r="M1243" s="14">
        <v>3.2532296380302537</v>
      </c>
      <c r="N1243" s="14">
        <v>179.15529071260892</v>
      </c>
      <c r="O1243" s="13">
        <v>140889.44509415314</v>
      </c>
      <c r="P1243" s="13">
        <v>308224.24985643732</v>
      </c>
      <c r="Q1243" s="14">
        <v>3.1877029159314119</v>
      </c>
      <c r="R1243" s="15">
        <v>2.1877029159314114</v>
      </c>
    </row>
    <row r="1244" spans="1:18" ht="18" customHeight="1">
      <c r="A1244" s="10" t="s">
        <v>121</v>
      </c>
      <c r="B1244" s="10" t="s">
        <v>122</v>
      </c>
      <c r="C1244" s="10" t="s">
        <v>254</v>
      </c>
      <c r="D1244" s="10" t="s">
        <v>278</v>
      </c>
      <c r="E1244" s="16">
        <v>9</v>
      </c>
      <c r="F1244" s="16">
        <v>9</v>
      </c>
      <c r="G1244" s="13">
        <v>10533.512828298099</v>
      </c>
      <c r="H1244" s="13">
        <v>10533.512828298099</v>
      </c>
      <c r="I1244" s="14">
        <v>0</v>
      </c>
      <c r="J1244" s="15">
        <v>1</v>
      </c>
      <c r="K1244" s="14">
        <v>306.70846275684909</v>
      </c>
      <c r="L1244" s="13">
        <v>3230717.5269968593</v>
      </c>
      <c r="M1244" s="14">
        <v>3.4711628992100865</v>
      </c>
      <c r="N1244" s="14">
        <v>295.91221934660661</v>
      </c>
      <c r="O1244" s="13">
        <v>3116995.1585376416</v>
      </c>
      <c r="P1244" s="13">
        <v>113722.36845921772</v>
      </c>
      <c r="Q1244" s="14">
        <v>1.0364846150459122</v>
      </c>
      <c r="R1244" s="15">
        <v>3.6484615045912133E-2</v>
      </c>
    </row>
    <row r="1245" spans="1:18" ht="18" customHeight="1">
      <c r="A1245" s="10" t="s">
        <v>121</v>
      </c>
      <c r="B1245" s="10" t="s">
        <v>122</v>
      </c>
      <c r="C1245" s="10" t="s">
        <v>254</v>
      </c>
      <c r="D1245" s="10" t="s">
        <v>273</v>
      </c>
      <c r="E1245" s="16">
        <v>15</v>
      </c>
      <c r="F1245" s="16">
        <v>15</v>
      </c>
      <c r="G1245" s="13">
        <v>67929.974012719496</v>
      </c>
      <c r="H1245" s="13">
        <v>67929.974012719496</v>
      </c>
      <c r="I1245" s="14">
        <v>0</v>
      </c>
      <c r="J1245" s="15">
        <v>1</v>
      </c>
      <c r="K1245" s="14">
        <v>329.24387993981634</v>
      </c>
      <c r="L1245" s="13">
        <v>22365528.208158661</v>
      </c>
      <c r="M1245" s="14">
        <v>3.2029139534043241</v>
      </c>
      <c r="N1245" s="14">
        <v>159.55629876473893</v>
      </c>
      <c r="O1245" s="13">
        <v>10838655.228654424</v>
      </c>
      <c r="P1245" s="13">
        <v>11526872.979504237</v>
      </c>
      <c r="Q1245" s="14">
        <v>2.063496599562495</v>
      </c>
      <c r="R1245" s="15">
        <v>1.063496599562495</v>
      </c>
    </row>
    <row r="1246" spans="1:18" ht="18" customHeight="1">
      <c r="A1246" s="10" t="s">
        <v>121</v>
      </c>
      <c r="B1246" s="10" t="s">
        <v>122</v>
      </c>
      <c r="C1246" s="10" t="s">
        <v>254</v>
      </c>
      <c r="D1246" s="10" t="s">
        <v>284</v>
      </c>
      <c r="E1246" s="16">
        <v>7</v>
      </c>
      <c r="F1246" s="16">
        <v>7</v>
      </c>
      <c r="G1246" s="13">
        <v>246.26430943459999</v>
      </c>
      <c r="H1246" s="13">
        <v>246.26430943459999</v>
      </c>
      <c r="I1246" s="14">
        <v>0</v>
      </c>
      <c r="J1246" s="15">
        <v>1</v>
      </c>
      <c r="K1246" s="14">
        <v>950.58463624690364</v>
      </c>
      <c r="L1246" s="13">
        <v>234095.06900448416</v>
      </c>
      <c r="M1246" s="14">
        <v>3.6124371866306242</v>
      </c>
      <c r="N1246" s="14">
        <v>409.67285326220474</v>
      </c>
      <c r="O1246" s="13">
        <v>100887.80230271906</v>
      </c>
      <c r="P1246" s="13">
        <v>133207.2667017651</v>
      </c>
      <c r="Q1246" s="14">
        <v>2.3203505643037978</v>
      </c>
      <c r="R1246" s="15">
        <v>1.3203505643037976</v>
      </c>
    </row>
    <row r="1247" spans="1:18" ht="18" customHeight="1">
      <c r="A1247" s="10" t="s">
        <v>121</v>
      </c>
      <c r="B1247" s="10" t="s">
        <v>122</v>
      </c>
      <c r="C1247" s="10" t="s">
        <v>254</v>
      </c>
      <c r="D1247" s="10" t="s">
        <v>274</v>
      </c>
      <c r="E1247" s="16">
        <v>2</v>
      </c>
      <c r="F1247" s="16">
        <v>2</v>
      </c>
      <c r="G1247" s="13">
        <v>1829.3221062905998</v>
      </c>
      <c r="H1247" s="13">
        <v>1829.3221062905998</v>
      </c>
      <c r="I1247" s="14">
        <v>0</v>
      </c>
      <c r="J1247" s="15">
        <v>1</v>
      </c>
      <c r="K1247" s="14">
        <v>233.2296128365663</v>
      </c>
      <c r="L1247" s="13">
        <v>426652.08660352859</v>
      </c>
      <c r="M1247" s="14">
        <v>3.3506547502132471</v>
      </c>
      <c r="N1247" s="14">
        <v>224.20988205218225</v>
      </c>
      <c r="O1247" s="13">
        <v>410152.093686865</v>
      </c>
      <c r="P1247" s="13">
        <v>16499.992916663585</v>
      </c>
      <c r="Q1247" s="14">
        <v>1.0402289618183949</v>
      </c>
      <c r="R1247" s="15">
        <v>4.0228961818394811E-2</v>
      </c>
    </row>
    <row r="1248" spans="1:18" ht="18" customHeight="1">
      <c r="A1248" s="10" t="s">
        <v>121</v>
      </c>
      <c r="B1248" s="10" t="s">
        <v>122</v>
      </c>
      <c r="C1248" s="10" t="s">
        <v>254</v>
      </c>
      <c r="D1248" s="10" t="s">
        <v>282</v>
      </c>
      <c r="E1248" s="16">
        <v>3</v>
      </c>
      <c r="F1248" s="16">
        <v>3</v>
      </c>
      <c r="G1248" s="13">
        <v>5.8887246220999998</v>
      </c>
      <c r="H1248" s="13">
        <v>5.8887246220999998</v>
      </c>
      <c r="I1248" s="14">
        <v>0</v>
      </c>
      <c r="J1248" s="15">
        <v>1</v>
      </c>
      <c r="K1248" s="14">
        <v>364.64757118202834</v>
      </c>
      <c r="L1248" s="13">
        <v>2147.3091308085727</v>
      </c>
      <c r="M1248" s="14">
        <v>3.5611454165760588</v>
      </c>
      <c r="N1248" s="14">
        <v>364.03690767131422</v>
      </c>
      <c r="O1248" s="13">
        <v>2143.7131015572122</v>
      </c>
      <c r="P1248" s="13">
        <v>3.5960292513605054</v>
      </c>
      <c r="Q1248" s="14">
        <v>1.0016774769201851</v>
      </c>
      <c r="R1248" s="15">
        <v>1.6774769201850369E-3</v>
      </c>
    </row>
    <row r="1249" spans="1:18" ht="18" customHeight="1">
      <c r="A1249" s="10" t="s">
        <v>103</v>
      </c>
      <c r="B1249" s="10" t="s">
        <v>104</v>
      </c>
      <c r="C1249" s="10" t="s">
        <v>254</v>
      </c>
      <c r="D1249" s="10" t="s">
        <v>255</v>
      </c>
      <c r="E1249" s="16">
        <v>5</v>
      </c>
      <c r="F1249" s="16">
        <v>5</v>
      </c>
      <c r="G1249" s="13">
        <v>1749.9598441386997</v>
      </c>
      <c r="H1249" s="13">
        <v>1749.9598441386997</v>
      </c>
      <c r="I1249" s="14">
        <v>0</v>
      </c>
      <c r="J1249" s="15">
        <v>1</v>
      </c>
      <c r="K1249" s="14">
        <v>671.60216211060822</v>
      </c>
      <c r="L1249" s="13">
        <v>1175276.8149302937</v>
      </c>
      <c r="M1249" s="14">
        <v>3.8171975141900649</v>
      </c>
      <c r="N1249" s="14">
        <v>656.44374459552716</v>
      </c>
      <c r="O1249" s="13">
        <v>1148750.1929782131</v>
      </c>
      <c r="P1249" s="13">
        <v>26526.621952080633</v>
      </c>
      <c r="Q1249" s="14">
        <v>1.0230917236090369</v>
      </c>
      <c r="R1249" s="15">
        <v>2.3091723609036843E-2</v>
      </c>
    </row>
    <row r="1250" spans="1:18" ht="18" customHeight="1">
      <c r="A1250" s="10" t="s">
        <v>103</v>
      </c>
      <c r="B1250" s="10" t="s">
        <v>104</v>
      </c>
      <c r="C1250" s="10" t="s">
        <v>254</v>
      </c>
      <c r="D1250" s="10" t="s">
        <v>277</v>
      </c>
      <c r="E1250" s="16">
        <v>2</v>
      </c>
      <c r="F1250" s="16">
        <v>2</v>
      </c>
      <c r="G1250" s="13">
        <v>640.83936591580004</v>
      </c>
      <c r="H1250" s="13">
        <v>640.83936591580004</v>
      </c>
      <c r="I1250" s="14">
        <v>0</v>
      </c>
      <c r="J1250" s="15">
        <v>1</v>
      </c>
      <c r="K1250" s="14">
        <v>288.40315031266056</v>
      </c>
      <c r="L1250" s="13">
        <v>184820.09197448456</v>
      </c>
      <c r="M1250" s="14">
        <v>3.46</v>
      </c>
      <c r="N1250" s="14">
        <v>288.40315031266056</v>
      </c>
      <c r="O1250" s="13">
        <v>184820.09197448456</v>
      </c>
      <c r="P1250" s="13">
        <v>0</v>
      </c>
      <c r="Q1250" s="14">
        <v>1</v>
      </c>
      <c r="R1250" s="15">
        <v>0</v>
      </c>
    </row>
    <row r="1251" spans="1:18" ht="18" customHeight="1">
      <c r="A1251" s="10" t="s">
        <v>103</v>
      </c>
      <c r="B1251" s="10" t="s">
        <v>104</v>
      </c>
      <c r="C1251" s="10" t="s">
        <v>254</v>
      </c>
      <c r="D1251" s="10" t="s">
        <v>256</v>
      </c>
      <c r="E1251" s="16">
        <v>1</v>
      </c>
      <c r="F1251" s="16">
        <v>1</v>
      </c>
      <c r="G1251" s="13">
        <v>3.9649607599999998E-2</v>
      </c>
      <c r="H1251" s="13">
        <v>3.9649607599999998E-2</v>
      </c>
      <c r="I1251" s="14">
        <v>0</v>
      </c>
      <c r="J1251" s="15">
        <v>1</v>
      </c>
      <c r="K1251" s="14">
        <v>467.73514128719808</v>
      </c>
      <c r="L1251" s="13">
        <v>18.545514812767962</v>
      </c>
      <c r="M1251" s="14">
        <v>3.6699999999999995</v>
      </c>
      <c r="N1251" s="14">
        <v>467.73514128719762</v>
      </c>
      <c r="O1251" s="13">
        <v>18.545514812767944</v>
      </c>
      <c r="P1251" s="13">
        <v>1.7763568394002505E-14</v>
      </c>
      <c r="Q1251" s="14">
        <v>1.0000000000000009</v>
      </c>
      <c r="R1251" s="15">
        <v>9.5783635953707282E-16</v>
      </c>
    </row>
    <row r="1252" spans="1:18" ht="18" customHeight="1">
      <c r="A1252" s="10" t="s">
        <v>103</v>
      </c>
      <c r="B1252" s="10" t="s">
        <v>104</v>
      </c>
      <c r="C1252" s="10" t="s">
        <v>254</v>
      </c>
      <c r="D1252" s="10" t="s">
        <v>257</v>
      </c>
      <c r="E1252" s="16">
        <v>2</v>
      </c>
      <c r="F1252" s="16">
        <v>2</v>
      </c>
      <c r="G1252" s="13">
        <v>12.449334884599999</v>
      </c>
      <c r="H1252" s="13">
        <v>12.449334884599999</v>
      </c>
      <c r="I1252" s="14">
        <v>0</v>
      </c>
      <c r="J1252" s="15">
        <v>1</v>
      </c>
      <c r="K1252" s="14">
        <v>2187.6056661358889</v>
      </c>
      <c r="L1252" s="13">
        <v>27234.235533174138</v>
      </c>
      <c r="M1252" s="14">
        <v>4.3399645667672937</v>
      </c>
      <c r="N1252" s="14">
        <v>2187.5831360623861</v>
      </c>
      <c r="O1252" s="13">
        <v>27233.95504874413</v>
      </c>
      <c r="P1252" s="13">
        <v>0.2804844300080731</v>
      </c>
      <c r="Q1252" s="14">
        <v>1.0000102990707558</v>
      </c>
      <c r="R1252" s="15">
        <v>1.0299070755828665E-5</v>
      </c>
    </row>
    <row r="1253" spans="1:18" ht="18" customHeight="1">
      <c r="A1253" s="10" t="s">
        <v>103</v>
      </c>
      <c r="B1253" s="10" t="s">
        <v>104</v>
      </c>
      <c r="C1253" s="10" t="s">
        <v>254</v>
      </c>
      <c r="D1253" s="10" t="s">
        <v>258</v>
      </c>
      <c r="E1253" s="16">
        <v>10</v>
      </c>
      <c r="F1253" s="16">
        <v>10</v>
      </c>
      <c r="G1253" s="13">
        <v>12150.280833017297</v>
      </c>
      <c r="H1253" s="13">
        <v>12150.280833017297</v>
      </c>
      <c r="I1253" s="14">
        <v>0</v>
      </c>
      <c r="J1253" s="15">
        <v>1</v>
      </c>
      <c r="K1253" s="14">
        <v>2438.3182709907537</v>
      </c>
      <c r="L1253" s="13">
        <v>29626251.752814833</v>
      </c>
      <c r="M1253" s="14">
        <v>4.3737497324439039</v>
      </c>
      <c r="N1253" s="14">
        <v>2364.5566998151767</v>
      </c>
      <c r="O1253" s="13">
        <v>28730027.948346976</v>
      </c>
      <c r="P1253" s="13">
        <v>896223.80446785688</v>
      </c>
      <c r="Q1253" s="14">
        <v>1.0311946722112195</v>
      </c>
      <c r="R1253" s="15">
        <v>3.1194672211219427E-2</v>
      </c>
    </row>
    <row r="1254" spans="1:18" ht="18" customHeight="1">
      <c r="A1254" s="10" t="s">
        <v>103</v>
      </c>
      <c r="B1254" s="10" t="s">
        <v>104</v>
      </c>
      <c r="C1254" s="10" t="s">
        <v>254</v>
      </c>
      <c r="D1254" s="10" t="s">
        <v>259</v>
      </c>
      <c r="E1254" s="16">
        <v>9</v>
      </c>
      <c r="F1254" s="16">
        <v>9</v>
      </c>
      <c r="G1254" s="13">
        <v>27414.089467691902</v>
      </c>
      <c r="H1254" s="13">
        <v>27414.089467691902</v>
      </c>
      <c r="I1254" s="14">
        <v>0</v>
      </c>
      <c r="J1254" s="15">
        <v>1</v>
      </c>
      <c r="K1254" s="14">
        <v>1152.2998346410027</v>
      </c>
      <c r="L1254" s="13">
        <v>31589250.760455031</v>
      </c>
      <c r="M1254" s="14">
        <v>4.0571565213894907</v>
      </c>
      <c r="N1254" s="14">
        <v>1140.6608120012197</v>
      </c>
      <c r="O1254" s="13">
        <v>31270177.552491531</v>
      </c>
      <c r="P1254" s="13">
        <v>319073.20796350017</v>
      </c>
      <c r="Q1254" s="14">
        <v>1.0102037542776305</v>
      </c>
      <c r="R1254" s="15">
        <v>1.0203754277630483E-2</v>
      </c>
    </row>
    <row r="1255" spans="1:18" ht="18" customHeight="1">
      <c r="A1255" s="10" t="s">
        <v>103</v>
      </c>
      <c r="B1255" s="10" t="s">
        <v>104</v>
      </c>
      <c r="C1255" s="10" t="s">
        <v>254</v>
      </c>
      <c r="D1255" s="10" t="s">
        <v>261</v>
      </c>
      <c r="E1255" s="16">
        <v>32</v>
      </c>
      <c r="F1255" s="16">
        <v>32</v>
      </c>
      <c r="G1255" s="13">
        <v>21776.9651120901</v>
      </c>
      <c r="H1255" s="13">
        <v>21776.9651120901</v>
      </c>
      <c r="I1255" s="14">
        <v>0</v>
      </c>
      <c r="J1255" s="15">
        <v>1</v>
      </c>
      <c r="K1255" s="14">
        <v>2391.0504065456985</v>
      </c>
      <c r="L1255" s="13">
        <v>52069821.284594521</v>
      </c>
      <c r="M1255" s="14">
        <v>4.2763027931305393</v>
      </c>
      <c r="N1255" s="14">
        <v>1889.3081287644841</v>
      </c>
      <c r="O1255" s="13">
        <v>41143397.206092402</v>
      </c>
      <c r="P1255" s="13">
        <v>10926424.078502119</v>
      </c>
      <c r="Q1255" s="14">
        <v>1.2655693214580774</v>
      </c>
      <c r="R1255" s="15">
        <v>0.26556932145807743</v>
      </c>
    </row>
    <row r="1256" spans="1:18" ht="18" customHeight="1">
      <c r="A1256" s="10" t="s">
        <v>103</v>
      </c>
      <c r="B1256" s="10" t="s">
        <v>104</v>
      </c>
      <c r="C1256" s="10" t="s">
        <v>254</v>
      </c>
      <c r="D1256" s="10" t="s">
        <v>262</v>
      </c>
      <c r="E1256" s="16">
        <v>12</v>
      </c>
      <c r="F1256" s="16">
        <v>12</v>
      </c>
      <c r="G1256" s="13">
        <v>9240.5317037083005</v>
      </c>
      <c r="H1256" s="13">
        <v>9240.5317037083005</v>
      </c>
      <c r="I1256" s="14">
        <v>0</v>
      </c>
      <c r="J1256" s="15">
        <v>1</v>
      </c>
      <c r="K1256" s="14">
        <v>536.84215936169312</v>
      </c>
      <c r="L1256" s="13">
        <v>4960706.9934689496</v>
      </c>
      <c r="M1256" s="14">
        <v>3.7028839004424121</v>
      </c>
      <c r="N1256" s="14">
        <v>504.52640493885991</v>
      </c>
      <c r="O1256" s="13">
        <v>4662092.2401955072</v>
      </c>
      <c r="P1256" s="13">
        <v>298614.75327344239</v>
      </c>
      <c r="Q1256" s="14">
        <v>1.0640516613332645</v>
      </c>
      <c r="R1256" s="15">
        <v>6.4051661333264356E-2</v>
      </c>
    </row>
    <row r="1257" spans="1:18" ht="18" customHeight="1">
      <c r="A1257" s="10" t="s">
        <v>103</v>
      </c>
      <c r="B1257" s="10" t="s">
        <v>104</v>
      </c>
      <c r="C1257" s="10" t="s">
        <v>254</v>
      </c>
      <c r="D1257" s="10" t="s">
        <v>263</v>
      </c>
      <c r="E1257" s="16">
        <v>21</v>
      </c>
      <c r="F1257" s="16">
        <v>21</v>
      </c>
      <c r="G1257" s="13">
        <v>11192.455045526798</v>
      </c>
      <c r="H1257" s="13">
        <v>11192.455045526798</v>
      </c>
      <c r="I1257" s="14">
        <v>0</v>
      </c>
      <c r="J1257" s="15">
        <v>1</v>
      </c>
      <c r="K1257" s="14">
        <v>829.87385992082557</v>
      </c>
      <c r="L1257" s="13">
        <v>9288325.870621644</v>
      </c>
      <c r="M1257" s="14">
        <v>3.7292782639003179</v>
      </c>
      <c r="N1257" s="14">
        <v>536.14006653182048</v>
      </c>
      <c r="O1257" s="13">
        <v>6000723.5927631473</v>
      </c>
      <c r="P1257" s="13">
        <v>3287602.2778584966</v>
      </c>
      <c r="Q1257" s="14">
        <v>1.5478676407997418</v>
      </c>
      <c r="R1257" s="15">
        <v>0.54786764079974193</v>
      </c>
    </row>
    <row r="1258" spans="1:18" ht="18" customHeight="1">
      <c r="A1258" s="10" t="s">
        <v>103</v>
      </c>
      <c r="B1258" s="10" t="s">
        <v>104</v>
      </c>
      <c r="C1258" s="10" t="s">
        <v>254</v>
      </c>
      <c r="D1258" s="10" t="s">
        <v>264</v>
      </c>
      <c r="E1258" s="16">
        <v>26</v>
      </c>
      <c r="F1258" s="16">
        <v>26</v>
      </c>
      <c r="G1258" s="13">
        <v>3570.7603375061999</v>
      </c>
      <c r="H1258" s="13">
        <v>3570.7603375061999</v>
      </c>
      <c r="I1258" s="14">
        <v>0</v>
      </c>
      <c r="J1258" s="15">
        <v>1</v>
      </c>
      <c r="K1258" s="14">
        <v>1535.910660990415</v>
      </c>
      <c r="L1258" s="13">
        <v>5484368.8702175049</v>
      </c>
      <c r="M1258" s="14">
        <v>4.1555387608123331</v>
      </c>
      <c r="N1258" s="14">
        <v>1430.667662309296</v>
      </c>
      <c r="O1258" s="13">
        <v>5108571.3447267478</v>
      </c>
      <c r="P1258" s="13">
        <v>375797.52549075708</v>
      </c>
      <c r="Q1258" s="14">
        <v>1.0735621566445712</v>
      </c>
      <c r="R1258" s="15">
        <v>7.3562156644571261E-2</v>
      </c>
    </row>
    <row r="1259" spans="1:18" ht="18" customHeight="1">
      <c r="A1259" s="10" t="s">
        <v>103</v>
      </c>
      <c r="B1259" s="10" t="s">
        <v>104</v>
      </c>
      <c r="C1259" s="10" t="s">
        <v>254</v>
      </c>
      <c r="D1259" s="10" t="s">
        <v>265</v>
      </c>
      <c r="E1259" s="16">
        <v>8</v>
      </c>
      <c r="F1259" s="16">
        <v>8</v>
      </c>
      <c r="G1259" s="13">
        <v>7152.8838934707001</v>
      </c>
      <c r="H1259" s="13">
        <v>7152.8838934707001</v>
      </c>
      <c r="I1259" s="14">
        <v>0</v>
      </c>
      <c r="J1259" s="15">
        <v>1</v>
      </c>
      <c r="K1259" s="14">
        <v>234.27170922140721</v>
      </c>
      <c r="L1259" s="13">
        <v>1675718.3355856549</v>
      </c>
      <c r="M1259" s="14">
        <v>3.2312420816485981</v>
      </c>
      <c r="N1259" s="14">
        <v>170.3107579176874</v>
      </c>
      <c r="O1259" s="13">
        <v>1218213.0771942136</v>
      </c>
      <c r="P1259" s="13">
        <v>457505.25839144131</v>
      </c>
      <c r="Q1259" s="14">
        <v>1.375554381213151</v>
      </c>
      <c r="R1259" s="15">
        <v>0.37555438121315088</v>
      </c>
    </row>
    <row r="1260" spans="1:18" ht="18" customHeight="1">
      <c r="A1260" s="10" t="s">
        <v>103</v>
      </c>
      <c r="B1260" s="10" t="s">
        <v>104</v>
      </c>
      <c r="C1260" s="10" t="s">
        <v>254</v>
      </c>
      <c r="D1260" s="10" t="s">
        <v>266</v>
      </c>
      <c r="E1260" s="16">
        <v>1</v>
      </c>
      <c r="F1260" s="16">
        <v>1</v>
      </c>
      <c r="G1260" s="13">
        <v>820.30419668659999</v>
      </c>
      <c r="H1260" s="13">
        <v>820.30419668659999</v>
      </c>
      <c r="I1260" s="14">
        <v>0</v>
      </c>
      <c r="J1260" s="15">
        <v>1</v>
      </c>
      <c r="K1260" s="14">
        <v>3090.2954325135925</v>
      </c>
      <c r="L1260" s="13">
        <v>2534982.3122923314</v>
      </c>
      <c r="M1260" s="14">
        <v>4.49</v>
      </c>
      <c r="N1260" s="14">
        <v>3090.295432513592</v>
      </c>
      <c r="O1260" s="13">
        <v>2534982.3122923314</v>
      </c>
      <c r="P1260" s="13">
        <v>0</v>
      </c>
      <c r="Q1260" s="14">
        <v>1</v>
      </c>
      <c r="R1260" s="15">
        <v>0</v>
      </c>
    </row>
    <row r="1261" spans="1:18" ht="18" customHeight="1">
      <c r="A1261" s="10" t="s">
        <v>103</v>
      </c>
      <c r="B1261" s="10" t="s">
        <v>104</v>
      </c>
      <c r="C1261" s="10" t="s">
        <v>254</v>
      </c>
      <c r="D1261" s="10" t="s">
        <v>268</v>
      </c>
      <c r="E1261" s="16">
        <v>14</v>
      </c>
      <c r="F1261" s="16">
        <v>14</v>
      </c>
      <c r="G1261" s="13">
        <v>6477.3122264732001</v>
      </c>
      <c r="H1261" s="13">
        <v>6477.3122264732001</v>
      </c>
      <c r="I1261" s="14">
        <v>0</v>
      </c>
      <c r="J1261" s="15">
        <v>1</v>
      </c>
      <c r="K1261" s="14">
        <v>968.33717839497342</v>
      </c>
      <c r="L1261" s="13">
        <v>6272222.2449663216</v>
      </c>
      <c r="M1261" s="14">
        <v>3.9619533367612121</v>
      </c>
      <c r="N1261" s="14">
        <v>916.12205111226854</v>
      </c>
      <c r="O1261" s="13">
        <v>5934008.5626112027</v>
      </c>
      <c r="P1261" s="13">
        <v>338213.68235511892</v>
      </c>
      <c r="Q1261" s="14">
        <v>1.0569958197374578</v>
      </c>
      <c r="R1261" s="15">
        <v>5.6995819737457758E-2</v>
      </c>
    </row>
    <row r="1262" spans="1:18" ht="18" customHeight="1">
      <c r="A1262" s="10" t="s">
        <v>103</v>
      </c>
      <c r="B1262" s="10" t="s">
        <v>104</v>
      </c>
      <c r="C1262" s="10" t="s">
        <v>254</v>
      </c>
      <c r="D1262" s="10" t="s">
        <v>269</v>
      </c>
      <c r="E1262" s="16">
        <v>40</v>
      </c>
      <c r="F1262" s="16">
        <v>40</v>
      </c>
      <c r="G1262" s="13">
        <v>173462.14492186811</v>
      </c>
      <c r="H1262" s="13">
        <v>173462.14492186811</v>
      </c>
      <c r="I1262" s="14">
        <v>0</v>
      </c>
      <c r="J1262" s="15">
        <v>1</v>
      </c>
      <c r="K1262" s="14">
        <v>473.26105069891059</v>
      </c>
      <c r="L1262" s="13">
        <v>82092876.96221</v>
      </c>
      <c r="M1262" s="14">
        <v>3.4437986959097162</v>
      </c>
      <c r="N1262" s="14">
        <v>277.8425114193862</v>
      </c>
      <c r="O1262" s="13">
        <v>48195157.981285363</v>
      </c>
      <c r="P1262" s="13">
        <v>33897718.980924636</v>
      </c>
      <c r="Q1262" s="14">
        <v>1.70334283361178</v>
      </c>
      <c r="R1262" s="15">
        <v>0.70334283361177985</v>
      </c>
    </row>
    <row r="1263" spans="1:18" ht="18" customHeight="1">
      <c r="A1263" s="10" t="s">
        <v>103</v>
      </c>
      <c r="B1263" s="10" t="s">
        <v>104</v>
      </c>
      <c r="C1263" s="10" t="s">
        <v>254</v>
      </c>
      <c r="D1263" s="10" t="s">
        <v>270</v>
      </c>
      <c r="E1263" s="16">
        <v>16</v>
      </c>
      <c r="F1263" s="16">
        <v>16</v>
      </c>
      <c r="G1263" s="13">
        <v>12403.682403863502</v>
      </c>
      <c r="H1263" s="13">
        <v>12403.682403863502</v>
      </c>
      <c r="I1263" s="14">
        <v>0</v>
      </c>
      <c r="J1263" s="15">
        <v>1</v>
      </c>
      <c r="K1263" s="14">
        <v>1133.9438332666014</v>
      </c>
      <c r="L1263" s="13">
        <v>14065079.171658471</v>
      </c>
      <c r="M1263" s="14">
        <v>3.9131134293685426</v>
      </c>
      <c r="N1263" s="14">
        <v>818.67858331930177</v>
      </c>
      <c r="O1263" s="13">
        <v>10154629.138337523</v>
      </c>
      <c r="P1263" s="13">
        <v>3910450.0333209485</v>
      </c>
      <c r="Q1263" s="14">
        <v>1.3850903839075261</v>
      </c>
      <c r="R1263" s="15">
        <v>0.3850903839075262</v>
      </c>
    </row>
    <row r="1264" spans="1:18" ht="18" customHeight="1">
      <c r="A1264" s="10" t="s">
        <v>103</v>
      </c>
      <c r="B1264" s="10" t="s">
        <v>104</v>
      </c>
      <c r="C1264" s="10" t="s">
        <v>254</v>
      </c>
      <c r="D1264" s="10" t="s">
        <v>276</v>
      </c>
      <c r="E1264" s="16">
        <v>42</v>
      </c>
      <c r="F1264" s="16">
        <v>42</v>
      </c>
      <c r="G1264" s="13">
        <v>18715.766500200498</v>
      </c>
      <c r="H1264" s="13">
        <v>18715.766500200498</v>
      </c>
      <c r="I1264" s="14">
        <v>0</v>
      </c>
      <c r="J1264" s="15">
        <v>1</v>
      </c>
      <c r="K1264" s="14">
        <v>930.02590848695036</v>
      </c>
      <c r="L1264" s="13">
        <v>17406147.7423786</v>
      </c>
      <c r="M1264" s="14">
        <v>3.8737865959331628</v>
      </c>
      <c r="N1264" s="14">
        <v>747.80195452650958</v>
      </c>
      <c r="O1264" s="13">
        <v>13995686.769311704</v>
      </c>
      <c r="P1264" s="13">
        <v>3410460.9730668962</v>
      </c>
      <c r="Q1264" s="14">
        <v>1.2436794299044334</v>
      </c>
      <c r="R1264" s="15">
        <v>0.24367942990443334</v>
      </c>
    </row>
    <row r="1265" spans="1:18" ht="18" customHeight="1">
      <c r="A1265" s="10" t="s">
        <v>103</v>
      </c>
      <c r="B1265" s="10" t="s">
        <v>104</v>
      </c>
      <c r="C1265" s="10" t="s">
        <v>254</v>
      </c>
      <c r="D1265" s="10" t="s">
        <v>271</v>
      </c>
      <c r="E1265" s="16">
        <v>14</v>
      </c>
      <c r="F1265" s="16">
        <v>14</v>
      </c>
      <c r="G1265" s="13">
        <v>7352.2542460627992</v>
      </c>
      <c r="H1265" s="13">
        <v>7352.2542460627992</v>
      </c>
      <c r="I1265" s="14">
        <v>0</v>
      </c>
      <c r="J1265" s="15">
        <v>1</v>
      </c>
      <c r="K1265" s="14">
        <v>11.237319823412031</v>
      </c>
      <c r="L1265" s="13">
        <v>82619.632386046767</v>
      </c>
      <c r="M1265" s="14">
        <v>2.0373643397017336</v>
      </c>
      <c r="N1265" s="14">
        <v>10.898440053122478</v>
      </c>
      <c r="O1265" s="13">
        <v>80128.102156030611</v>
      </c>
      <c r="P1265" s="13">
        <v>2491.5302300161566</v>
      </c>
      <c r="Q1265" s="14">
        <v>1.0310943372297086</v>
      </c>
      <c r="R1265" s="15">
        <v>3.1094337229708599E-2</v>
      </c>
    </row>
    <row r="1266" spans="1:18" ht="18" customHeight="1">
      <c r="A1266" s="10" t="s">
        <v>103</v>
      </c>
      <c r="B1266" s="10" t="s">
        <v>104</v>
      </c>
      <c r="C1266" s="10" t="s">
        <v>254</v>
      </c>
      <c r="D1266" s="10" t="s">
        <v>272</v>
      </c>
      <c r="E1266" s="16">
        <v>9</v>
      </c>
      <c r="F1266" s="16">
        <v>9</v>
      </c>
      <c r="G1266" s="13">
        <v>38116.468242079107</v>
      </c>
      <c r="H1266" s="13">
        <v>38116.468242079107</v>
      </c>
      <c r="I1266" s="14">
        <v>0</v>
      </c>
      <c r="J1266" s="15">
        <v>1</v>
      </c>
      <c r="K1266" s="14">
        <v>52.717321742440042</v>
      </c>
      <c r="L1266" s="13">
        <v>2009398.1200031822</v>
      </c>
      <c r="M1266" s="14">
        <v>2.6989858000857403</v>
      </c>
      <c r="N1266" s="14">
        <v>50.001818585963818</v>
      </c>
      <c r="O1266" s="13">
        <v>1905892.7301780907</v>
      </c>
      <c r="P1266" s="13">
        <v>103505.38982509146</v>
      </c>
      <c r="Q1266" s="14">
        <v>1.0543080878509987</v>
      </c>
      <c r="R1266" s="15">
        <v>5.4308087850998672E-2</v>
      </c>
    </row>
    <row r="1267" spans="1:18" ht="18" customHeight="1">
      <c r="A1267" s="10" t="s">
        <v>103</v>
      </c>
      <c r="B1267" s="10" t="s">
        <v>104</v>
      </c>
      <c r="C1267" s="10" t="s">
        <v>254</v>
      </c>
      <c r="D1267" s="10" t="s">
        <v>283</v>
      </c>
      <c r="E1267" s="16">
        <v>3</v>
      </c>
      <c r="F1267" s="16">
        <v>3</v>
      </c>
      <c r="G1267" s="13">
        <v>1043.0040263561</v>
      </c>
      <c r="H1267" s="13">
        <v>1043.0040263561</v>
      </c>
      <c r="I1267" s="14">
        <v>0</v>
      </c>
      <c r="J1267" s="15">
        <v>1</v>
      </c>
      <c r="K1267" s="14">
        <v>1079.6570488469633</v>
      </c>
      <c r="L1267" s="13">
        <v>1126086.6490311273</v>
      </c>
      <c r="M1267" s="14">
        <v>3.4986251228461547</v>
      </c>
      <c r="N1267" s="14">
        <v>315.22824408753718</v>
      </c>
      <c r="O1267" s="13">
        <v>328784.32780446473</v>
      </c>
      <c r="P1267" s="13">
        <v>797302.32122666261</v>
      </c>
      <c r="Q1267" s="14">
        <v>3.42500099244644</v>
      </c>
      <c r="R1267" s="15">
        <v>2.42500099244644</v>
      </c>
    </row>
    <row r="1268" spans="1:18" ht="18" customHeight="1">
      <c r="A1268" s="10" t="s">
        <v>103</v>
      </c>
      <c r="B1268" s="10" t="s">
        <v>104</v>
      </c>
      <c r="C1268" s="10" t="s">
        <v>254</v>
      </c>
      <c r="D1268" s="10" t="s">
        <v>278</v>
      </c>
      <c r="E1268" s="16">
        <v>12</v>
      </c>
      <c r="F1268" s="16">
        <v>12</v>
      </c>
      <c r="G1268" s="13">
        <v>16412.8838063371</v>
      </c>
      <c r="H1268" s="13">
        <v>16412.8838063371</v>
      </c>
      <c r="I1268" s="14">
        <v>0</v>
      </c>
      <c r="J1268" s="15">
        <v>1</v>
      </c>
      <c r="K1268" s="14">
        <v>390.64829892737441</v>
      </c>
      <c r="L1268" s="13">
        <v>6411665.139438238</v>
      </c>
      <c r="M1268" s="14">
        <v>3.5233671946894436</v>
      </c>
      <c r="N1268" s="14">
        <v>333.70844301206125</v>
      </c>
      <c r="O1268" s="13">
        <v>5477117.9003506275</v>
      </c>
      <c r="P1268" s="13">
        <v>934547.23908761051</v>
      </c>
      <c r="Q1268" s="14">
        <v>1.1706275556032459</v>
      </c>
      <c r="R1268" s="15">
        <v>0.17062755560324597</v>
      </c>
    </row>
    <row r="1269" spans="1:18" ht="18" customHeight="1">
      <c r="A1269" s="10" t="s">
        <v>103</v>
      </c>
      <c r="B1269" s="10" t="s">
        <v>104</v>
      </c>
      <c r="C1269" s="10" t="s">
        <v>254</v>
      </c>
      <c r="D1269" s="10" t="s">
        <v>273</v>
      </c>
      <c r="E1269" s="16">
        <v>15</v>
      </c>
      <c r="F1269" s="16">
        <v>15</v>
      </c>
      <c r="G1269" s="13">
        <v>78708.034073587696</v>
      </c>
      <c r="H1269" s="13">
        <v>78708.034073587696</v>
      </c>
      <c r="I1269" s="14">
        <v>0</v>
      </c>
      <c r="J1269" s="15">
        <v>1</v>
      </c>
      <c r="K1269" s="14">
        <v>287.28314001437604</v>
      </c>
      <c r="L1269" s="13">
        <v>22611491.173018776</v>
      </c>
      <c r="M1269" s="14">
        <v>3.2294116295959547</v>
      </c>
      <c r="N1269" s="14">
        <v>169.59444757301068</v>
      </c>
      <c r="O1269" s="13">
        <v>13348445.558267808</v>
      </c>
      <c r="P1269" s="13">
        <v>9263045.6147509683</v>
      </c>
      <c r="Q1269" s="14">
        <v>1.6939418956549281</v>
      </c>
      <c r="R1269" s="15">
        <v>0.69394189565492814</v>
      </c>
    </row>
    <row r="1270" spans="1:18" ht="18" customHeight="1">
      <c r="A1270" s="10" t="s">
        <v>103</v>
      </c>
      <c r="B1270" s="10" t="s">
        <v>104</v>
      </c>
      <c r="C1270" s="10" t="s">
        <v>254</v>
      </c>
      <c r="D1270" s="10" t="s">
        <v>284</v>
      </c>
      <c r="E1270" s="16">
        <v>11</v>
      </c>
      <c r="F1270" s="16">
        <v>11</v>
      </c>
      <c r="G1270" s="13">
        <v>1078.4243349336998</v>
      </c>
      <c r="H1270" s="13">
        <v>1078.4243349336998</v>
      </c>
      <c r="I1270" s="14">
        <v>0</v>
      </c>
      <c r="J1270" s="15">
        <v>1</v>
      </c>
      <c r="K1270" s="14">
        <v>678.65209045177198</v>
      </c>
      <c r="L1270" s="13">
        <v>731874.92929681728</v>
      </c>
      <c r="M1270" s="14">
        <v>3.6688615196864789</v>
      </c>
      <c r="N1270" s="14">
        <v>466.51060376260159</v>
      </c>
      <c r="O1270" s="13">
        <v>503096.38760220236</v>
      </c>
      <c r="P1270" s="13">
        <v>228778.54169461492</v>
      </c>
      <c r="Q1270" s="14">
        <v>1.454740974756332</v>
      </c>
      <c r="R1270" s="15">
        <v>0.45474097475633202</v>
      </c>
    </row>
    <row r="1271" spans="1:18" ht="18" customHeight="1">
      <c r="A1271" s="10" t="s">
        <v>103</v>
      </c>
      <c r="B1271" s="10" t="s">
        <v>104</v>
      </c>
      <c r="C1271" s="10" t="s">
        <v>254</v>
      </c>
      <c r="D1271" s="10" t="s">
        <v>274</v>
      </c>
      <c r="E1271" s="16">
        <v>4</v>
      </c>
      <c r="F1271" s="16">
        <v>4</v>
      </c>
      <c r="G1271" s="13">
        <v>3415.4823753489</v>
      </c>
      <c r="H1271" s="13">
        <v>3415.4823753489</v>
      </c>
      <c r="I1271" s="14">
        <v>0</v>
      </c>
      <c r="J1271" s="15">
        <v>1</v>
      </c>
      <c r="K1271" s="14">
        <v>300.35257125121183</v>
      </c>
      <c r="L1271" s="13">
        <v>1025848.9134992388</v>
      </c>
      <c r="M1271" s="14">
        <v>3.4285117429588916</v>
      </c>
      <c r="N1271" s="14">
        <v>268.23271345061283</v>
      </c>
      <c r="O1271" s="13">
        <v>916144.1052825799</v>
      </c>
      <c r="P1271" s="13">
        <v>109704.80821665889</v>
      </c>
      <c r="Q1271" s="14">
        <v>1.1197462359732382</v>
      </c>
      <c r="R1271" s="15">
        <v>0.11974623597323808</v>
      </c>
    </row>
    <row r="1272" spans="1:18" ht="18" customHeight="1">
      <c r="A1272" s="10" t="s">
        <v>103</v>
      </c>
      <c r="B1272" s="10" t="s">
        <v>104</v>
      </c>
      <c r="C1272" s="10" t="s">
        <v>254</v>
      </c>
      <c r="D1272" s="10" t="s">
        <v>282</v>
      </c>
      <c r="E1272" s="16">
        <v>2</v>
      </c>
      <c r="F1272" s="16">
        <v>2</v>
      </c>
      <c r="G1272" s="13">
        <v>319.01491144189998</v>
      </c>
      <c r="H1272" s="13">
        <v>319.01491144189998</v>
      </c>
      <c r="I1272" s="14">
        <v>0</v>
      </c>
      <c r="J1272" s="15">
        <v>1</v>
      </c>
      <c r="K1272" s="14">
        <v>380.05056940178162</v>
      </c>
      <c r="L1272" s="13">
        <v>121241.79874115303</v>
      </c>
      <c r="M1272" s="14">
        <v>3.5798377369554921</v>
      </c>
      <c r="N1272" s="14">
        <v>380.04737479285023</v>
      </c>
      <c r="O1272" s="13">
        <v>121240.77961326769</v>
      </c>
      <c r="P1272" s="13">
        <v>1.0191278853453696</v>
      </c>
      <c r="Q1272" s="14">
        <v>1.0000084058176515</v>
      </c>
      <c r="R1272" s="15">
        <v>8.4058176514219959E-6</v>
      </c>
    </row>
    <row r="1273" spans="1:18" ht="18" customHeight="1">
      <c r="A1273" s="10" t="s">
        <v>119</v>
      </c>
      <c r="B1273" s="10" t="s">
        <v>120</v>
      </c>
      <c r="C1273" s="10" t="s">
        <v>254</v>
      </c>
      <c r="D1273" s="10" t="s">
        <v>255</v>
      </c>
      <c r="E1273" s="16">
        <v>1</v>
      </c>
      <c r="F1273" s="16">
        <v>1</v>
      </c>
      <c r="G1273" s="13">
        <v>4.9317172399999998E-2</v>
      </c>
      <c r="H1273" s="13">
        <v>4.9317172399999998E-2</v>
      </c>
      <c r="I1273" s="14">
        <v>0</v>
      </c>
      <c r="J1273" s="15">
        <v>1</v>
      </c>
      <c r="K1273" s="14">
        <v>1348.9628825916532</v>
      </c>
      <c r="L1273" s="13">
        <v>66.527035041973519</v>
      </c>
      <c r="M1273" s="14">
        <v>4.13</v>
      </c>
      <c r="N1273" s="14">
        <v>1348.9628825916532</v>
      </c>
      <c r="O1273" s="13">
        <v>66.527035041973519</v>
      </c>
      <c r="P1273" s="13">
        <v>0</v>
      </c>
      <c r="Q1273" s="14">
        <v>1</v>
      </c>
      <c r="R1273" s="15">
        <v>0</v>
      </c>
    </row>
    <row r="1274" spans="1:18" ht="18" customHeight="1">
      <c r="A1274" s="10" t="s">
        <v>119</v>
      </c>
      <c r="B1274" s="10" t="s">
        <v>120</v>
      </c>
      <c r="C1274" s="10" t="s">
        <v>254</v>
      </c>
      <c r="D1274" s="10" t="s">
        <v>277</v>
      </c>
      <c r="E1274" s="16">
        <v>1</v>
      </c>
      <c r="F1274" s="16">
        <v>1</v>
      </c>
      <c r="G1274" s="13">
        <v>1.31508159E-2</v>
      </c>
      <c r="H1274" s="13">
        <v>1.31508159E-2</v>
      </c>
      <c r="I1274" s="14">
        <v>0</v>
      </c>
      <c r="J1274" s="15">
        <v>1</v>
      </c>
      <c r="K1274" s="14">
        <v>288.40315031266056</v>
      </c>
      <c r="L1274" s="13">
        <v>3.7927367347418262</v>
      </c>
      <c r="M1274" s="14">
        <v>3.46</v>
      </c>
      <c r="N1274" s="14">
        <v>288.40315031266056</v>
      </c>
      <c r="O1274" s="13">
        <v>3.7927367347418262</v>
      </c>
      <c r="P1274" s="13">
        <v>0</v>
      </c>
      <c r="Q1274" s="14">
        <v>1</v>
      </c>
      <c r="R1274" s="15">
        <v>0</v>
      </c>
    </row>
    <row r="1275" spans="1:18" ht="18" customHeight="1">
      <c r="A1275" s="10" t="s">
        <v>119</v>
      </c>
      <c r="B1275" s="10" t="s">
        <v>120</v>
      </c>
      <c r="C1275" s="10" t="s">
        <v>254</v>
      </c>
      <c r="D1275" s="10" t="s">
        <v>257</v>
      </c>
      <c r="E1275" s="16">
        <v>2</v>
      </c>
      <c r="F1275" s="16">
        <v>2</v>
      </c>
      <c r="G1275" s="13">
        <v>28.107089645999999</v>
      </c>
      <c r="H1275" s="13">
        <v>28.107089645999999</v>
      </c>
      <c r="I1275" s="14">
        <v>0</v>
      </c>
      <c r="J1275" s="15">
        <v>1</v>
      </c>
      <c r="K1275" s="14">
        <v>400.66935592775206</v>
      </c>
      <c r="L1275" s="13">
        <v>11261.649505466408</v>
      </c>
      <c r="M1275" s="14">
        <v>3.5795401319103548</v>
      </c>
      <c r="N1275" s="14">
        <v>379.78703238278268</v>
      </c>
      <c r="O1275" s="13">
        <v>10674.708165571177</v>
      </c>
      <c r="P1275" s="13">
        <v>586.94133989523107</v>
      </c>
      <c r="Q1275" s="14">
        <v>1.0549842984736835</v>
      </c>
      <c r="R1275" s="15">
        <v>5.4984298473683406E-2</v>
      </c>
    </row>
    <row r="1276" spans="1:18" ht="18" customHeight="1">
      <c r="A1276" s="10" t="s">
        <v>119</v>
      </c>
      <c r="B1276" s="10" t="s">
        <v>120</v>
      </c>
      <c r="C1276" s="10" t="s">
        <v>254</v>
      </c>
      <c r="D1276" s="10" t="s">
        <v>258</v>
      </c>
      <c r="E1276" s="16">
        <v>6</v>
      </c>
      <c r="F1276" s="16">
        <v>6</v>
      </c>
      <c r="G1276" s="13">
        <v>32550.869795786402</v>
      </c>
      <c r="H1276" s="13">
        <v>32550.869795786402</v>
      </c>
      <c r="I1276" s="14">
        <v>0</v>
      </c>
      <c r="J1276" s="15">
        <v>1</v>
      </c>
      <c r="K1276" s="14">
        <v>1239.0999025353156</v>
      </c>
      <c r="L1276" s="13">
        <v>40333779.591398679</v>
      </c>
      <c r="M1276" s="14">
        <v>4.0916523279985171</v>
      </c>
      <c r="N1276" s="14">
        <v>1234.9583986236362</v>
      </c>
      <c r="O1276" s="13">
        <v>40198970.03681086</v>
      </c>
      <c r="P1276" s="13">
        <v>134809.55458781868</v>
      </c>
      <c r="Q1276" s="14">
        <v>1.0033535574285701</v>
      </c>
      <c r="R1276" s="15">
        <v>3.3535574285702184E-3</v>
      </c>
    </row>
    <row r="1277" spans="1:18" ht="18" customHeight="1">
      <c r="A1277" s="10" t="s">
        <v>119</v>
      </c>
      <c r="B1277" s="10" t="s">
        <v>120</v>
      </c>
      <c r="C1277" s="10" t="s">
        <v>254</v>
      </c>
      <c r="D1277" s="10" t="s">
        <v>259</v>
      </c>
      <c r="E1277" s="16">
        <v>7</v>
      </c>
      <c r="F1277" s="16">
        <v>7</v>
      </c>
      <c r="G1277" s="13">
        <v>290.17493864689993</v>
      </c>
      <c r="H1277" s="13">
        <v>290.17493864689993</v>
      </c>
      <c r="I1277" s="14">
        <v>0</v>
      </c>
      <c r="J1277" s="15">
        <v>1</v>
      </c>
      <c r="K1277" s="14">
        <v>330.21941378684033</v>
      </c>
      <c r="L1277" s="13">
        <v>95821.398135611656</v>
      </c>
      <c r="M1277" s="14">
        <v>3.4853120061639675</v>
      </c>
      <c r="N1277" s="14">
        <v>305.71166204631896</v>
      </c>
      <c r="O1277" s="13">
        <v>88709.862777932416</v>
      </c>
      <c r="P1277" s="13">
        <v>7111.5353576792404</v>
      </c>
      <c r="Q1277" s="14">
        <v>1.0801662310704003</v>
      </c>
      <c r="R1277" s="15">
        <v>8.0166231070400384E-2</v>
      </c>
    </row>
    <row r="1278" spans="1:18" ht="18" customHeight="1">
      <c r="A1278" s="10" t="s">
        <v>119</v>
      </c>
      <c r="B1278" s="10" t="s">
        <v>120</v>
      </c>
      <c r="C1278" s="10" t="s">
        <v>254</v>
      </c>
      <c r="D1278" s="10" t="s">
        <v>260</v>
      </c>
      <c r="E1278" s="16">
        <v>1</v>
      </c>
      <c r="F1278" s="16">
        <v>1</v>
      </c>
      <c r="G1278" s="13">
        <v>39.700100065699999</v>
      </c>
      <c r="H1278" s="13">
        <v>39.700100065699999</v>
      </c>
      <c r="I1278" s="14">
        <v>0</v>
      </c>
      <c r="J1278" s="15">
        <v>1</v>
      </c>
      <c r="K1278" s="14">
        <v>999.99999999999989</v>
      </c>
      <c r="L1278" s="13">
        <v>39700.100065699997</v>
      </c>
      <c r="M1278" s="14">
        <v>4</v>
      </c>
      <c r="N1278" s="14">
        <v>1000</v>
      </c>
      <c r="O1278" s="13">
        <v>39700.100065699997</v>
      </c>
      <c r="P1278" s="13">
        <v>0</v>
      </c>
      <c r="Q1278" s="14">
        <v>1</v>
      </c>
      <c r="R1278" s="15">
        <v>0</v>
      </c>
    </row>
    <row r="1279" spans="1:18" ht="18" customHeight="1">
      <c r="A1279" s="10" t="s">
        <v>119</v>
      </c>
      <c r="B1279" s="10" t="s">
        <v>120</v>
      </c>
      <c r="C1279" s="10" t="s">
        <v>254</v>
      </c>
      <c r="D1279" s="10" t="s">
        <v>262</v>
      </c>
      <c r="E1279" s="16">
        <v>1</v>
      </c>
      <c r="F1279" s="16">
        <v>1</v>
      </c>
      <c r="G1279" s="13">
        <v>6.6562548200000002E-2</v>
      </c>
      <c r="H1279" s="13">
        <v>6.6562548200000002E-2</v>
      </c>
      <c r="I1279" s="14">
        <v>0</v>
      </c>
      <c r="J1279" s="15">
        <v>1</v>
      </c>
      <c r="K1279" s="14">
        <v>660.69344800759575</v>
      </c>
      <c r="L1279" s="13">
        <v>43.977439478429787</v>
      </c>
      <c r="M1279" s="14">
        <v>3.8199999999999994</v>
      </c>
      <c r="N1279" s="14">
        <v>660.69344800759507</v>
      </c>
      <c r="O1279" s="13">
        <v>43.977439478429744</v>
      </c>
      <c r="P1279" s="13">
        <v>4.2632564145606011E-14</v>
      </c>
      <c r="Q1279" s="14">
        <v>1.0000000000000009</v>
      </c>
      <c r="R1279" s="15">
        <v>9.6941897143685736E-16</v>
      </c>
    </row>
    <row r="1280" spans="1:18" ht="18" customHeight="1">
      <c r="A1280" s="10" t="s">
        <v>119</v>
      </c>
      <c r="B1280" s="10" t="s">
        <v>120</v>
      </c>
      <c r="C1280" s="10" t="s">
        <v>254</v>
      </c>
      <c r="D1280" s="10" t="s">
        <v>263</v>
      </c>
      <c r="E1280" s="16">
        <v>4</v>
      </c>
      <c r="F1280" s="16">
        <v>4</v>
      </c>
      <c r="G1280" s="13">
        <v>153.5567011469</v>
      </c>
      <c r="H1280" s="13">
        <v>153.5567011469</v>
      </c>
      <c r="I1280" s="14">
        <v>0</v>
      </c>
      <c r="J1280" s="15">
        <v>1</v>
      </c>
      <c r="K1280" s="14">
        <v>600.45974523650273</v>
      </c>
      <c r="L1280" s="13">
        <v>92204.617650025364</v>
      </c>
      <c r="M1280" s="14">
        <v>3.7775419412653712</v>
      </c>
      <c r="N1280" s="14">
        <v>599.15879857927462</v>
      </c>
      <c r="O1280" s="13">
        <v>92004.848572973322</v>
      </c>
      <c r="P1280" s="13">
        <v>199.76907705204212</v>
      </c>
      <c r="Q1280" s="14">
        <v>1.0021712885804448</v>
      </c>
      <c r="R1280" s="15">
        <v>2.1712885804447139E-3</v>
      </c>
    </row>
    <row r="1281" spans="1:18" ht="18" customHeight="1">
      <c r="A1281" s="10" t="s">
        <v>119</v>
      </c>
      <c r="B1281" s="10" t="s">
        <v>120</v>
      </c>
      <c r="C1281" s="10" t="s">
        <v>254</v>
      </c>
      <c r="D1281" s="10" t="s">
        <v>264</v>
      </c>
      <c r="E1281" s="16">
        <v>4</v>
      </c>
      <c r="F1281" s="16">
        <v>4</v>
      </c>
      <c r="G1281" s="13">
        <v>52.132383081</v>
      </c>
      <c r="H1281" s="13">
        <v>52.132383081</v>
      </c>
      <c r="I1281" s="14">
        <v>0</v>
      </c>
      <c r="J1281" s="15">
        <v>1</v>
      </c>
      <c r="K1281" s="14">
        <v>1514.571043323811</v>
      </c>
      <c r="L1281" s="13">
        <v>78958.197833946761</v>
      </c>
      <c r="M1281" s="14">
        <v>4.1737507251273778</v>
      </c>
      <c r="N1281" s="14">
        <v>1491.9378263635715</v>
      </c>
      <c r="O1281" s="13">
        <v>77778.274297020165</v>
      </c>
      <c r="P1281" s="13">
        <v>1179.9235369265953</v>
      </c>
      <c r="Q1281" s="14">
        <v>1.0151703486300132</v>
      </c>
      <c r="R1281" s="15">
        <v>1.5170348630013259E-2</v>
      </c>
    </row>
    <row r="1282" spans="1:18" ht="18" customHeight="1">
      <c r="A1282" s="10" t="s">
        <v>119</v>
      </c>
      <c r="B1282" s="10" t="s">
        <v>120</v>
      </c>
      <c r="C1282" s="10" t="s">
        <v>254</v>
      </c>
      <c r="D1282" s="10" t="s">
        <v>265</v>
      </c>
      <c r="E1282" s="16">
        <v>3</v>
      </c>
      <c r="F1282" s="16">
        <v>3</v>
      </c>
      <c r="G1282" s="13">
        <v>2266.1593542463997</v>
      </c>
      <c r="H1282" s="13">
        <v>2266.1593542463997</v>
      </c>
      <c r="I1282" s="14">
        <v>0</v>
      </c>
      <c r="J1282" s="15">
        <v>1</v>
      </c>
      <c r="K1282" s="14">
        <v>344.83763834632373</v>
      </c>
      <c r="L1282" s="13">
        <v>781457.0398347585</v>
      </c>
      <c r="M1282" s="14">
        <v>3.533109722834701</v>
      </c>
      <c r="N1282" s="14">
        <v>341.27912359218129</v>
      </c>
      <c r="O1282" s="13">
        <v>773392.87833743484</v>
      </c>
      <c r="P1282" s="13">
        <v>8064.1614973236574</v>
      </c>
      <c r="Q1282" s="14">
        <v>1.0104269921836613</v>
      </c>
      <c r="R1282" s="15">
        <v>1.0426992183661183E-2</v>
      </c>
    </row>
    <row r="1283" spans="1:18" ht="18" customHeight="1">
      <c r="A1283" s="10" t="s">
        <v>119</v>
      </c>
      <c r="B1283" s="10" t="s">
        <v>120</v>
      </c>
      <c r="C1283" s="10" t="s">
        <v>254</v>
      </c>
      <c r="D1283" s="10" t="s">
        <v>266</v>
      </c>
      <c r="E1283" s="16">
        <v>2</v>
      </c>
      <c r="F1283" s="16">
        <v>2</v>
      </c>
      <c r="G1283" s="13">
        <v>16.734492675599999</v>
      </c>
      <c r="H1283" s="13">
        <v>16.734492675599999</v>
      </c>
      <c r="I1283" s="14">
        <v>0</v>
      </c>
      <c r="J1283" s="15">
        <v>1</v>
      </c>
      <c r="K1283" s="14">
        <v>200.95648217828267</v>
      </c>
      <c r="L1283" s="13">
        <v>3362.9047791268131</v>
      </c>
      <c r="M1283" s="14">
        <v>3.3026063932546692</v>
      </c>
      <c r="N1283" s="14">
        <v>200.72727705141421</v>
      </c>
      <c r="O1283" s="13">
        <v>3359.0691476100228</v>
      </c>
      <c r="P1283" s="13">
        <v>3.8356315167902721</v>
      </c>
      <c r="Q1283" s="14">
        <v>1.0011418733429525</v>
      </c>
      <c r="R1283" s="15">
        <v>1.1418733429525627E-3</v>
      </c>
    </row>
    <row r="1284" spans="1:18" ht="18" customHeight="1">
      <c r="A1284" s="10" t="s">
        <v>119</v>
      </c>
      <c r="B1284" s="10" t="s">
        <v>120</v>
      </c>
      <c r="C1284" s="10" t="s">
        <v>254</v>
      </c>
      <c r="D1284" s="10" t="s">
        <v>267</v>
      </c>
      <c r="E1284" s="16">
        <v>1</v>
      </c>
      <c r="F1284" s="16">
        <v>1</v>
      </c>
      <c r="G1284" s="13">
        <v>1250.9962077252001</v>
      </c>
      <c r="H1284" s="13">
        <v>1250.9962077252001</v>
      </c>
      <c r="I1284" s="14">
        <v>0</v>
      </c>
      <c r="J1284" s="15">
        <v>1</v>
      </c>
      <c r="K1284" s="14">
        <v>446.68359215096302</v>
      </c>
      <c r="L1284" s="13">
        <v>558799.47983392468</v>
      </c>
      <c r="M1284" s="14">
        <v>3.6500000000000004</v>
      </c>
      <c r="N1284" s="14">
        <v>446.68359215096348</v>
      </c>
      <c r="O1284" s="13">
        <v>558799.47983392526</v>
      </c>
      <c r="P1284" s="13">
        <v>-5.8207660913467407E-10</v>
      </c>
      <c r="Q1284" s="14">
        <v>0.999999999999999</v>
      </c>
      <c r="R1284" s="15">
        <v>-1.0416556030217972E-15</v>
      </c>
    </row>
    <row r="1285" spans="1:18" ht="18" customHeight="1">
      <c r="A1285" s="10" t="s">
        <v>119</v>
      </c>
      <c r="B1285" s="10" t="s">
        <v>120</v>
      </c>
      <c r="C1285" s="10" t="s">
        <v>254</v>
      </c>
      <c r="D1285" s="10" t="s">
        <v>268</v>
      </c>
      <c r="E1285" s="16">
        <v>5</v>
      </c>
      <c r="F1285" s="16">
        <v>5</v>
      </c>
      <c r="G1285" s="13">
        <v>7839.0483335521003</v>
      </c>
      <c r="H1285" s="13">
        <v>7839.0483335521003</v>
      </c>
      <c r="I1285" s="14">
        <v>0</v>
      </c>
      <c r="J1285" s="15">
        <v>1</v>
      </c>
      <c r="K1285" s="14">
        <v>809.2966047351764</v>
      </c>
      <c r="L1285" s="13">
        <v>6344115.200698657</v>
      </c>
      <c r="M1285" s="14">
        <v>3.8998726672022679</v>
      </c>
      <c r="N1285" s="14">
        <v>794.09537611183009</v>
      </c>
      <c r="O1285" s="13">
        <v>6224952.0347908698</v>
      </c>
      <c r="P1285" s="13">
        <v>119163.16590778716</v>
      </c>
      <c r="Q1285" s="14">
        <v>1.0191428247545993</v>
      </c>
      <c r="R1285" s="15">
        <v>1.9142824754599174E-2</v>
      </c>
    </row>
    <row r="1286" spans="1:18" ht="18" customHeight="1">
      <c r="A1286" s="10" t="s">
        <v>119</v>
      </c>
      <c r="B1286" s="10" t="s">
        <v>120</v>
      </c>
      <c r="C1286" s="10" t="s">
        <v>254</v>
      </c>
      <c r="D1286" s="10" t="s">
        <v>269</v>
      </c>
      <c r="E1286" s="16">
        <v>7</v>
      </c>
      <c r="F1286" s="16">
        <v>7</v>
      </c>
      <c r="G1286" s="13">
        <v>48629.799351850001</v>
      </c>
      <c r="H1286" s="13">
        <v>48629.799351850001</v>
      </c>
      <c r="I1286" s="14">
        <v>0</v>
      </c>
      <c r="J1286" s="15">
        <v>1</v>
      </c>
      <c r="K1286" s="14">
        <v>190.55305443030676</v>
      </c>
      <c r="L1286" s="13">
        <v>9266556.8028279692</v>
      </c>
      <c r="M1286" s="14">
        <v>3.2800077102418737</v>
      </c>
      <c r="N1286" s="14">
        <v>190.54945468375305</v>
      </c>
      <c r="O1286" s="13">
        <v>9266381.7478753459</v>
      </c>
      <c r="P1286" s="13">
        <v>175.05495262332261</v>
      </c>
      <c r="Q1286" s="14">
        <v>1.0000188914030725</v>
      </c>
      <c r="R1286" s="15">
        <v>1.8891403072559612E-5</v>
      </c>
    </row>
    <row r="1287" spans="1:18" ht="18" customHeight="1">
      <c r="A1287" s="10" t="s">
        <v>119</v>
      </c>
      <c r="B1287" s="10" t="s">
        <v>120</v>
      </c>
      <c r="C1287" s="10" t="s">
        <v>254</v>
      </c>
      <c r="D1287" s="10" t="s">
        <v>270</v>
      </c>
      <c r="E1287" s="16">
        <v>2</v>
      </c>
      <c r="F1287" s="16">
        <v>2</v>
      </c>
      <c r="G1287" s="13">
        <v>5.3697966979</v>
      </c>
      <c r="H1287" s="13">
        <v>5.3697966979</v>
      </c>
      <c r="I1287" s="14">
        <v>0</v>
      </c>
      <c r="J1287" s="15">
        <v>1</v>
      </c>
      <c r="K1287" s="14">
        <v>238.79716634054245</v>
      </c>
      <c r="L1287" s="13">
        <v>1282.2922352833218</v>
      </c>
      <c r="M1287" s="14">
        <v>3.3778469679396759</v>
      </c>
      <c r="N1287" s="14">
        <v>238.69700396482091</v>
      </c>
      <c r="O1287" s="13">
        <v>1281.7543836889186</v>
      </c>
      <c r="P1287" s="13">
        <v>0.53785159440326424</v>
      </c>
      <c r="Q1287" s="14">
        <v>1.0004196214198662</v>
      </c>
      <c r="R1287" s="15">
        <v>4.1962141986619543E-4</v>
      </c>
    </row>
    <row r="1288" spans="1:18" ht="18" customHeight="1">
      <c r="A1288" s="10" t="s">
        <v>119</v>
      </c>
      <c r="B1288" s="10" t="s">
        <v>120</v>
      </c>
      <c r="C1288" s="10" t="s">
        <v>254</v>
      </c>
      <c r="D1288" s="10" t="s">
        <v>271</v>
      </c>
      <c r="E1288" s="16">
        <v>5</v>
      </c>
      <c r="F1288" s="16">
        <v>5</v>
      </c>
      <c r="G1288" s="13">
        <v>38.8661643031</v>
      </c>
      <c r="H1288" s="13">
        <v>38.8661643031</v>
      </c>
      <c r="I1288" s="14">
        <v>0</v>
      </c>
      <c r="J1288" s="15">
        <v>1</v>
      </c>
      <c r="K1288" s="14">
        <v>31.5798271344493</v>
      </c>
      <c r="L1288" s="13">
        <v>1227.3867500710021</v>
      </c>
      <c r="M1288" s="14">
        <v>2.1601478720543454</v>
      </c>
      <c r="N1288" s="14">
        <v>14.459320094211755</v>
      </c>
      <c r="O1288" s="13">
        <v>561.97831049274942</v>
      </c>
      <c r="P1288" s="13">
        <v>665.40843957825268</v>
      </c>
      <c r="Q1288" s="14">
        <v>2.1840464785817346</v>
      </c>
      <c r="R1288" s="15">
        <v>1.1840464785817346</v>
      </c>
    </row>
    <row r="1289" spans="1:18" ht="18" customHeight="1">
      <c r="A1289" s="10" t="s">
        <v>119</v>
      </c>
      <c r="B1289" s="10" t="s">
        <v>120</v>
      </c>
      <c r="C1289" s="10" t="s">
        <v>254</v>
      </c>
      <c r="D1289" s="10" t="s">
        <v>272</v>
      </c>
      <c r="E1289" s="16">
        <v>3</v>
      </c>
      <c r="F1289" s="16">
        <v>3</v>
      </c>
      <c r="G1289" s="13">
        <v>65322.383958363207</v>
      </c>
      <c r="H1289" s="13">
        <v>65322.383958363207</v>
      </c>
      <c r="I1289" s="14">
        <v>0</v>
      </c>
      <c r="J1289" s="15">
        <v>1</v>
      </c>
      <c r="K1289" s="14">
        <v>117.43342830065593</v>
      </c>
      <c r="L1289" s="13">
        <v>7671031.4930023625</v>
      </c>
      <c r="M1289" s="14">
        <v>3.0695553849182424</v>
      </c>
      <c r="N1289" s="14">
        <v>117.36953525401404</v>
      </c>
      <c r="O1289" s="13">
        <v>7666857.8468773514</v>
      </c>
      <c r="P1289" s="13">
        <v>4173.6461250111461</v>
      </c>
      <c r="Q1289" s="14">
        <v>1.0005443750501661</v>
      </c>
      <c r="R1289" s="15">
        <v>5.4437505016622137E-4</v>
      </c>
    </row>
    <row r="1290" spans="1:18" ht="18" customHeight="1">
      <c r="A1290" s="10" t="s">
        <v>119</v>
      </c>
      <c r="B1290" s="10" t="s">
        <v>120</v>
      </c>
      <c r="C1290" s="10" t="s">
        <v>254</v>
      </c>
      <c r="D1290" s="10" t="s">
        <v>273</v>
      </c>
      <c r="E1290" s="16">
        <v>3</v>
      </c>
      <c r="F1290" s="16">
        <v>3</v>
      </c>
      <c r="G1290" s="13">
        <v>816.81840685520012</v>
      </c>
      <c r="H1290" s="13">
        <v>816.81840685520012</v>
      </c>
      <c r="I1290" s="14">
        <v>0</v>
      </c>
      <c r="J1290" s="15">
        <v>1</v>
      </c>
      <c r="K1290" s="14">
        <v>141.13145264100086</v>
      </c>
      <c r="L1290" s="13">
        <v>115278.76830338246</v>
      </c>
      <c r="M1290" s="14">
        <v>3.1495544286750263</v>
      </c>
      <c r="N1290" s="14">
        <v>141.10890724511444</v>
      </c>
      <c r="O1290" s="13">
        <v>115260.35280903259</v>
      </c>
      <c r="P1290" s="13">
        <v>18.415494349872461</v>
      </c>
      <c r="Q1290" s="14">
        <v>1.0001597730173566</v>
      </c>
      <c r="R1290" s="15">
        <v>1.5977301735648771E-4</v>
      </c>
    </row>
    <row r="1291" spans="1:18" ht="18" customHeight="1">
      <c r="A1291" s="10" t="s">
        <v>119</v>
      </c>
      <c r="B1291" s="10" t="s">
        <v>120</v>
      </c>
      <c r="C1291" s="10" t="s">
        <v>254</v>
      </c>
      <c r="D1291" s="10" t="s">
        <v>274</v>
      </c>
      <c r="E1291" s="16">
        <v>2</v>
      </c>
      <c r="F1291" s="16">
        <v>2</v>
      </c>
      <c r="G1291" s="13">
        <v>59739.417759288008</v>
      </c>
      <c r="H1291" s="13">
        <v>59739.417759288008</v>
      </c>
      <c r="I1291" s="14">
        <v>0</v>
      </c>
      <c r="J1291" s="15">
        <v>1</v>
      </c>
      <c r="K1291" s="14">
        <v>2398.7185296837592</v>
      </c>
      <c r="L1291" s="13">
        <v>143298048.33172318</v>
      </c>
      <c r="M1291" s="14">
        <v>4.379938509157002</v>
      </c>
      <c r="N1291" s="14">
        <v>2398.4932973514974</v>
      </c>
      <c r="O1291" s="13">
        <v>143284593.08333328</v>
      </c>
      <c r="P1291" s="13">
        <v>13455.248389899731</v>
      </c>
      <c r="Q1291" s="14">
        <v>1.0000939057584655</v>
      </c>
      <c r="R1291" s="15">
        <v>9.3905758465421724E-5</v>
      </c>
    </row>
    <row r="1292" spans="1:18" ht="18" customHeight="1">
      <c r="A1292" s="10" t="s">
        <v>119</v>
      </c>
      <c r="B1292" s="10" t="s">
        <v>120</v>
      </c>
      <c r="C1292" s="10" t="s">
        <v>254</v>
      </c>
      <c r="D1292" s="10" t="s">
        <v>275</v>
      </c>
      <c r="E1292" s="16">
        <v>1</v>
      </c>
      <c r="F1292" s="16">
        <v>1</v>
      </c>
      <c r="G1292" s="13">
        <v>5.3603047152999999</v>
      </c>
      <c r="H1292" s="13">
        <v>5.3603047152999999</v>
      </c>
      <c r="I1292" s="14">
        <v>0</v>
      </c>
      <c r="J1292" s="15">
        <v>1</v>
      </c>
      <c r="K1292" s="14">
        <v>691.83097091893626</v>
      </c>
      <c r="L1292" s="13">
        <v>3708.4248156073513</v>
      </c>
      <c r="M1292" s="14">
        <v>3.84</v>
      </c>
      <c r="N1292" s="14">
        <v>691.83097091893626</v>
      </c>
      <c r="O1292" s="13">
        <v>3708.4248156073513</v>
      </c>
      <c r="P1292" s="13">
        <v>0</v>
      </c>
      <c r="Q1292" s="14">
        <v>1</v>
      </c>
      <c r="R1292" s="15">
        <v>0</v>
      </c>
    </row>
    <row r="1293" spans="1:18" ht="18" customHeight="1">
      <c r="A1293" s="10" t="s">
        <v>141</v>
      </c>
      <c r="B1293" s="10" t="s">
        <v>142</v>
      </c>
      <c r="C1293" s="10" t="s">
        <v>254</v>
      </c>
      <c r="D1293" s="10" t="s">
        <v>255</v>
      </c>
      <c r="E1293" s="16">
        <v>1</v>
      </c>
      <c r="F1293" s="16">
        <v>1</v>
      </c>
      <c r="G1293" s="13">
        <v>19.693666845300001</v>
      </c>
      <c r="H1293" s="13">
        <v>19.693666845300001</v>
      </c>
      <c r="I1293" s="14">
        <v>0</v>
      </c>
      <c r="J1293" s="15">
        <v>1</v>
      </c>
      <c r="K1293" s="14">
        <v>645.6542290346556</v>
      </c>
      <c r="L1293" s="13">
        <v>12715.299283867531</v>
      </c>
      <c r="M1293" s="14">
        <v>3.81</v>
      </c>
      <c r="N1293" s="14">
        <v>645.6542290346556</v>
      </c>
      <c r="O1293" s="13">
        <v>12715.299283867531</v>
      </c>
      <c r="P1293" s="13">
        <v>0</v>
      </c>
      <c r="Q1293" s="14">
        <v>1</v>
      </c>
      <c r="R1293" s="15">
        <v>0</v>
      </c>
    </row>
    <row r="1294" spans="1:18" ht="18" customHeight="1">
      <c r="A1294" s="10" t="s">
        <v>141</v>
      </c>
      <c r="B1294" s="10" t="s">
        <v>142</v>
      </c>
      <c r="C1294" s="10" t="s">
        <v>254</v>
      </c>
      <c r="D1294" s="10" t="s">
        <v>256</v>
      </c>
      <c r="E1294" s="16">
        <v>2</v>
      </c>
      <c r="F1294" s="16">
        <v>2</v>
      </c>
      <c r="G1294" s="13">
        <v>0.98838369540000004</v>
      </c>
      <c r="H1294" s="13">
        <v>0.98838369540000004</v>
      </c>
      <c r="I1294" s="14">
        <v>0</v>
      </c>
      <c r="J1294" s="15">
        <v>1</v>
      </c>
      <c r="K1294" s="14">
        <v>2061.591852329535</v>
      </c>
      <c r="L1294" s="13">
        <v>2037.6437734119968</v>
      </c>
      <c r="M1294" s="14">
        <v>4.2831565554597066</v>
      </c>
      <c r="N1294" s="14">
        <v>1919.3605114070331</v>
      </c>
      <c r="O1294" s="13">
        <v>1897.0646350693173</v>
      </c>
      <c r="P1294" s="13">
        <v>140.57913834267947</v>
      </c>
      <c r="Q1294" s="14">
        <v>1.0741035048273633</v>
      </c>
      <c r="R1294" s="15">
        <v>7.4103504827363359E-2</v>
      </c>
    </row>
    <row r="1295" spans="1:18" ht="18" customHeight="1">
      <c r="A1295" s="10" t="s">
        <v>141</v>
      </c>
      <c r="B1295" s="10" t="s">
        <v>142</v>
      </c>
      <c r="C1295" s="10" t="s">
        <v>254</v>
      </c>
      <c r="D1295" s="10" t="s">
        <v>257</v>
      </c>
      <c r="E1295" s="16">
        <v>1</v>
      </c>
      <c r="F1295" s="16">
        <v>1</v>
      </c>
      <c r="G1295" s="13">
        <v>59.404753607799996</v>
      </c>
      <c r="H1295" s="13">
        <v>59.404753607799996</v>
      </c>
      <c r="I1295" s="14">
        <v>0</v>
      </c>
      <c r="J1295" s="15">
        <v>1</v>
      </c>
      <c r="K1295" s="14">
        <v>346.73685045253166</v>
      </c>
      <c r="L1295" s="13">
        <v>20597.817167877238</v>
      </c>
      <c r="M1295" s="14">
        <v>3.54</v>
      </c>
      <c r="N1295" s="14">
        <v>346.73685045253166</v>
      </c>
      <c r="O1295" s="13">
        <v>20597.817167877238</v>
      </c>
      <c r="P1295" s="13">
        <v>0</v>
      </c>
      <c r="Q1295" s="14">
        <v>1</v>
      </c>
      <c r="R1295" s="15">
        <v>0</v>
      </c>
    </row>
    <row r="1296" spans="1:18" ht="18" customHeight="1">
      <c r="A1296" s="10" t="s">
        <v>141</v>
      </c>
      <c r="B1296" s="10" t="s">
        <v>142</v>
      </c>
      <c r="C1296" s="10" t="s">
        <v>254</v>
      </c>
      <c r="D1296" s="10" t="s">
        <v>258</v>
      </c>
      <c r="E1296" s="16">
        <v>5</v>
      </c>
      <c r="F1296" s="16">
        <v>5</v>
      </c>
      <c r="G1296" s="13">
        <v>35792.535390009703</v>
      </c>
      <c r="H1296" s="13">
        <v>35792.535390009703</v>
      </c>
      <c r="I1296" s="14">
        <v>0</v>
      </c>
      <c r="J1296" s="15">
        <v>1</v>
      </c>
      <c r="K1296" s="14">
        <v>1230.0784098102913</v>
      </c>
      <c r="L1296" s="13">
        <v>44027625.015621714</v>
      </c>
      <c r="M1296" s="14">
        <v>4.089420348093844</v>
      </c>
      <c r="N1296" s="14">
        <v>1228.6278290678235</v>
      </c>
      <c r="O1296" s="13">
        <v>43975705.053060867</v>
      </c>
      <c r="P1296" s="13">
        <v>51919.962560847402</v>
      </c>
      <c r="Q1296" s="14">
        <v>1.0011806510548995</v>
      </c>
      <c r="R1296" s="15">
        <v>1.1806510548995413E-3</v>
      </c>
    </row>
    <row r="1297" spans="1:18" ht="18" customHeight="1">
      <c r="A1297" s="10" t="s">
        <v>141</v>
      </c>
      <c r="B1297" s="10" t="s">
        <v>142</v>
      </c>
      <c r="C1297" s="10" t="s">
        <v>254</v>
      </c>
      <c r="D1297" s="10" t="s">
        <v>259</v>
      </c>
      <c r="E1297" s="16">
        <v>6</v>
      </c>
      <c r="F1297" s="16">
        <v>6</v>
      </c>
      <c r="G1297" s="13">
        <v>204.88946843170001</v>
      </c>
      <c r="H1297" s="13">
        <v>204.88946843170001</v>
      </c>
      <c r="I1297" s="14">
        <v>0</v>
      </c>
      <c r="J1297" s="15">
        <v>1</v>
      </c>
      <c r="K1297" s="14">
        <v>915.86016493225293</v>
      </c>
      <c r="L1297" s="13">
        <v>187650.10235073839</v>
      </c>
      <c r="M1297" s="14">
        <v>3.8147876204790436</v>
      </c>
      <c r="N1297" s="14">
        <v>652.81123557413923</v>
      </c>
      <c r="O1297" s="13">
        <v>133754.14704302669</v>
      </c>
      <c r="P1297" s="13">
        <v>53895.955307711702</v>
      </c>
      <c r="Q1297" s="14">
        <v>1.4029479197409422</v>
      </c>
      <c r="R1297" s="15">
        <v>0.40294791974094218</v>
      </c>
    </row>
    <row r="1298" spans="1:18" ht="18" customHeight="1">
      <c r="A1298" s="10" t="s">
        <v>141</v>
      </c>
      <c r="B1298" s="10" t="s">
        <v>142</v>
      </c>
      <c r="C1298" s="10" t="s">
        <v>254</v>
      </c>
      <c r="D1298" s="10" t="s">
        <v>260</v>
      </c>
      <c r="E1298" s="16">
        <v>2</v>
      </c>
      <c r="F1298" s="16">
        <v>2</v>
      </c>
      <c r="G1298" s="13">
        <v>270.21042243540001</v>
      </c>
      <c r="H1298" s="13">
        <v>270.21042243540001</v>
      </c>
      <c r="I1298" s="14">
        <v>0</v>
      </c>
      <c r="J1298" s="15">
        <v>1</v>
      </c>
      <c r="K1298" s="14">
        <v>207.90139764927204</v>
      </c>
      <c r="L1298" s="13">
        <v>56177.124483719876</v>
      </c>
      <c r="M1298" s="14">
        <v>3.2834577860682752</v>
      </c>
      <c r="N1298" s="14">
        <v>192.06922591436887</v>
      </c>
      <c r="O1298" s="13">
        <v>51899.106671161891</v>
      </c>
      <c r="P1298" s="13">
        <v>4278.0178125579841</v>
      </c>
      <c r="Q1298" s="14">
        <v>1.0824295076919908</v>
      </c>
      <c r="R1298" s="15">
        <v>8.2429507691990686E-2</v>
      </c>
    </row>
    <row r="1299" spans="1:18" ht="18" customHeight="1">
      <c r="A1299" s="10" t="s">
        <v>141</v>
      </c>
      <c r="B1299" s="10" t="s">
        <v>142</v>
      </c>
      <c r="C1299" s="10" t="s">
        <v>254</v>
      </c>
      <c r="D1299" s="10" t="s">
        <v>262</v>
      </c>
      <c r="E1299" s="16">
        <v>3</v>
      </c>
      <c r="F1299" s="16">
        <v>3</v>
      </c>
      <c r="G1299" s="13">
        <v>3.0012971168999996</v>
      </c>
      <c r="H1299" s="13">
        <v>3.0012971168999996</v>
      </c>
      <c r="I1299" s="14">
        <v>0</v>
      </c>
      <c r="J1299" s="15">
        <v>1</v>
      </c>
      <c r="K1299" s="14">
        <v>633.15578253210288</v>
      </c>
      <c r="L1299" s="13">
        <v>1900.2886246621636</v>
      </c>
      <c r="M1299" s="14">
        <v>3.7971725273775077</v>
      </c>
      <c r="N1299" s="14">
        <v>626.86284210027156</v>
      </c>
      <c r="O1299" s="13">
        <v>1881.4016406872847</v>
      </c>
      <c r="P1299" s="13">
        <v>18.886983974878831</v>
      </c>
      <c r="Q1299" s="14">
        <v>1.0100387836209068</v>
      </c>
      <c r="R1299" s="15">
        <v>1.0038783620906872E-2</v>
      </c>
    </row>
    <row r="1300" spans="1:18" ht="18" customHeight="1">
      <c r="A1300" s="10" t="s">
        <v>141</v>
      </c>
      <c r="B1300" s="10" t="s">
        <v>142</v>
      </c>
      <c r="C1300" s="10" t="s">
        <v>254</v>
      </c>
      <c r="D1300" s="10" t="s">
        <v>263</v>
      </c>
      <c r="E1300" s="16">
        <v>1</v>
      </c>
      <c r="F1300" s="16">
        <v>1</v>
      </c>
      <c r="G1300" s="13">
        <v>94.7742200645</v>
      </c>
      <c r="H1300" s="13">
        <v>94.7742200645</v>
      </c>
      <c r="I1300" s="14">
        <v>0</v>
      </c>
      <c r="J1300" s="15">
        <v>1</v>
      </c>
      <c r="K1300" s="14">
        <v>616.59500186148216</v>
      </c>
      <c r="L1300" s="13">
        <v>58437.3103970909</v>
      </c>
      <c r="M1300" s="14">
        <v>3.7899999999999996</v>
      </c>
      <c r="N1300" s="14">
        <v>616.59500186148159</v>
      </c>
      <c r="O1300" s="13">
        <v>58437.310397090841</v>
      </c>
      <c r="P1300" s="13">
        <v>5.8207660913467407E-11</v>
      </c>
      <c r="Q1300" s="14">
        <v>1.0000000000000009</v>
      </c>
      <c r="R1300" s="15">
        <v>9.9607015651365665E-16</v>
      </c>
    </row>
    <row r="1301" spans="1:18" ht="18" customHeight="1">
      <c r="A1301" s="10" t="s">
        <v>141</v>
      </c>
      <c r="B1301" s="10" t="s">
        <v>142</v>
      </c>
      <c r="C1301" s="10" t="s">
        <v>254</v>
      </c>
      <c r="D1301" s="10" t="s">
        <v>264</v>
      </c>
      <c r="E1301" s="16">
        <v>6</v>
      </c>
      <c r="F1301" s="16">
        <v>6</v>
      </c>
      <c r="G1301" s="13">
        <v>255.3329011273</v>
      </c>
      <c r="H1301" s="13">
        <v>255.3329011273</v>
      </c>
      <c r="I1301" s="14">
        <v>0</v>
      </c>
      <c r="J1301" s="15">
        <v>1</v>
      </c>
      <c r="K1301" s="14">
        <v>1345.1872927310681</v>
      </c>
      <c r="L1301" s="13">
        <v>343470.57401260216</v>
      </c>
      <c r="M1301" s="14">
        <v>4.121275557375105</v>
      </c>
      <c r="N1301" s="14">
        <v>1322.1342547624611</v>
      </c>
      <c r="O1301" s="13">
        <v>337584.37494827993</v>
      </c>
      <c r="P1301" s="13">
        <v>5886.1990643222234</v>
      </c>
      <c r="Q1301" s="14">
        <v>1.0174362307651947</v>
      </c>
      <c r="R1301" s="15">
        <v>1.7436230765194707E-2</v>
      </c>
    </row>
    <row r="1302" spans="1:18" ht="18" customHeight="1">
      <c r="A1302" s="10" t="s">
        <v>141</v>
      </c>
      <c r="B1302" s="10" t="s">
        <v>142</v>
      </c>
      <c r="C1302" s="10" t="s">
        <v>254</v>
      </c>
      <c r="D1302" s="10" t="s">
        <v>265</v>
      </c>
      <c r="E1302" s="16">
        <v>1</v>
      </c>
      <c r="F1302" s="16">
        <v>1</v>
      </c>
      <c r="G1302" s="13">
        <v>14.655464264400001</v>
      </c>
      <c r="H1302" s="13">
        <v>14.655464264400001</v>
      </c>
      <c r="I1302" s="14">
        <v>0</v>
      </c>
      <c r="J1302" s="15">
        <v>1</v>
      </c>
      <c r="K1302" s="14">
        <v>39.810717055349734</v>
      </c>
      <c r="L1302" s="13">
        <v>583.44454114481766</v>
      </c>
      <c r="M1302" s="14">
        <v>2.6</v>
      </c>
      <c r="N1302" s="14">
        <v>39.810717055349734</v>
      </c>
      <c r="O1302" s="13">
        <v>583.44454114481766</v>
      </c>
      <c r="P1302" s="13">
        <v>0</v>
      </c>
      <c r="Q1302" s="14">
        <v>1</v>
      </c>
      <c r="R1302" s="15">
        <v>0</v>
      </c>
    </row>
    <row r="1303" spans="1:18" ht="18" customHeight="1">
      <c r="A1303" s="10" t="s">
        <v>141</v>
      </c>
      <c r="B1303" s="10" t="s">
        <v>142</v>
      </c>
      <c r="C1303" s="10" t="s">
        <v>254</v>
      </c>
      <c r="D1303" s="10" t="s">
        <v>266</v>
      </c>
      <c r="E1303" s="16">
        <v>2</v>
      </c>
      <c r="F1303" s="16">
        <v>2</v>
      </c>
      <c r="G1303" s="13">
        <v>1.8564794302000003</v>
      </c>
      <c r="H1303" s="13">
        <v>1.8564794302000003</v>
      </c>
      <c r="I1303" s="14">
        <v>0</v>
      </c>
      <c r="J1303" s="15">
        <v>1</v>
      </c>
      <c r="K1303" s="14">
        <v>824.6071807782763</v>
      </c>
      <c r="L1303" s="13">
        <v>1530.8662691100831</v>
      </c>
      <c r="M1303" s="14">
        <v>3.582372222076021</v>
      </c>
      <c r="N1303" s="14">
        <v>382.27176528671333</v>
      </c>
      <c r="O1303" s="13">
        <v>709.67966900102579</v>
      </c>
      <c r="P1303" s="13">
        <v>821.18660010905728</v>
      </c>
      <c r="Q1303" s="14">
        <v>2.15712290485226</v>
      </c>
      <c r="R1303" s="15">
        <v>1.15712290485226</v>
      </c>
    </row>
    <row r="1304" spans="1:18" ht="18" customHeight="1">
      <c r="A1304" s="10" t="s">
        <v>141</v>
      </c>
      <c r="B1304" s="10" t="s">
        <v>142</v>
      </c>
      <c r="C1304" s="10" t="s">
        <v>254</v>
      </c>
      <c r="D1304" s="10" t="s">
        <v>267</v>
      </c>
      <c r="E1304" s="16">
        <v>1</v>
      </c>
      <c r="F1304" s="16">
        <v>1</v>
      </c>
      <c r="G1304" s="13">
        <v>3016.3923402471</v>
      </c>
      <c r="H1304" s="13">
        <v>3016.3923402471</v>
      </c>
      <c r="I1304" s="14">
        <v>0</v>
      </c>
      <c r="J1304" s="15">
        <v>1</v>
      </c>
      <c r="K1304" s="14">
        <v>446.68359215096302</v>
      </c>
      <c r="L1304" s="13">
        <v>1347372.9658782245</v>
      </c>
      <c r="M1304" s="14">
        <v>3.65</v>
      </c>
      <c r="N1304" s="14">
        <v>446.68359215096302</v>
      </c>
      <c r="O1304" s="13">
        <v>1347372.9658782245</v>
      </c>
      <c r="P1304" s="13">
        <v>0</v>
      </c>
      <c r="Q1304" s="14">
        <v>1</v>
      </c>
      <c r="R1304" s="15">
        <v>0</v>
      </c>
    </row>
    <row r="1305" spans="1:18" ht="18" customHeight="1">
      <c r="A1305" s="10" t="s">
        <v>141</v>
      </c>
      <c r="B1305" s="10" t="s">
        <v>142</v>
      </c>
      <c r="C1305" s="10" t="s">
        <v>254</v>
      </c>
      <c r="D1305" s="10" t="s">
        <v>268</v>
      </c>
      <c r="E1305" s="16">
        <v>6</v>
      </c>
      <c r="F1305" s="16">
        <v>6</v>
      </c>
      <c r="G1305" s="13">
        <v>5446.6238284423989</v>
      </c>
      <c r="H1305" s="13">
        <v>5446.6238284423989</v>
      </c>
      <c r="I1305" s="14">
        <v>0</v>
      </c>
      <c r="J1305" s="15">
        <v>1</v>
      </c>
      <c r="K1305" s="14">
        <v>1099.8280682493755</v>
      </c>
      <c r="L1305" s="13">
        <v>5990349.7637168216</v>
      </c>
      <c r="M1305" s="14">
        <v>4.0410126725541708</v>
      </c>
      <c r="N1305" s="14">
        <v>1099.037908488915</v>
      </c>
      <c r="O1305" s="13">
        <v>5986046.0607372215</v>
      </c>
      <c r="P1305" s="13">
        <v>4303.702979600057</v>
      </c>
      <c r="Q1305" s="14">
        <v>1.0007189558743672</v>
      </c>
      <c r="R1305" s="15">
        <v>7.1895587436726595E-4</v>
      </c>
    </row>
    <row r="1306" spans="1:18" ht="18" customHeight="1">
      <c r="A1306" s="10" t="s">
        <v>141</v>
      </c>
      <c r="B1306" s="10" t="s">
        <v>142</v>
      </c>
      <c r="C1306" s="10" t="s">
        <v>254</v>
      </c>
      <c r="D1306" s="10" t="s">
        <v>269</v>
      </c>
      <c r="E1306" s="16">
        <v>8</v>
      </c>
      <c r="F1306" s="16">
        <v>8</v>
      </c>
      <c r="G1306" s="13">
        <v>33553.503098106499</v>
      </c>
      <c r="H1306" s="13">
        <v>33553.503098106499</v>
      </c>
      <c r="I1306" s="14">
        <v>0</v>
      </c>
      <c r="J1306" s="15">
        <v>1</v>
      </c>
      <c r="K1306" s="14">
        <v>204.32982974213621</v>
      </c>
      <c r="L1306" s="13">
        <v>6855981.5752883414</v>
      </c>
      <c r="M1306" s="14">
        <v>3.2922577039234304</v>
      </c>
      <c r="N1306" s="14">
        <v>196.000736789754</v>
      </c>
      <c r="O1306" s="13">
        <v>6576511.329106167</v>
      </c>
      <c r="P1306" s="13">
        <v>279470.24618217442</v>
      </c>
      <c r="Q1306" s="14">
        <v>1.0424952124609443</v>
      </c>
      <c r="R1306" s="15">
        <v>4.2495212460944405E-2</v>
      </c>
    </row>
    <row r="1307" spans="1:18" ht="18" customHeight="1">
      <c r="A1307" s="10" t="s">
        <v>141</v>
      </c>
      <c r="B1307" s="10" t="s">
        <v>142</v>
      </c>
      <c r="C1307" s="10" t="s">
        <v>254</v>
      </c>
      <c r="D1307" s="10" t="s">
        <v>270</v>
      </c>
      <c r="E1307" s="16">
        <v>2</v>
      </c>
      <c r="F1307" s="16">
        <v>2</v>
      </c>
      <c r="G1307" s="13">
        <v>171.47001921430001</v>
      </c>
      <c r="H1307" s="13">
        <v>171.47001921430001</v>
      </c>
      <c r="I1307" s="14">
        <v>0</v>
      </c>
      <c r="J1307" s="15">
        <v>1</v>
      </c>
      <c r="K1307" s="14">
        <v>239.89261802912773</v>
      </c>
      <c r="L1307" s="13">
        <v>41134.391822823265</v>
      </c>
      <c r="M1307" s="14">
        <v>3.3800070833875306</v>
      </c>
      <c r="N1307" s="14">
        <v>239.8872044549436</v>
      </c>
      <c r="O1307" s="13">
        <v>41133.463557153897</v>
      </c>
      <c r="P1307" s="13">
        <v>0.9282656693685567</v>
      </c>
      <c r="Q1307" s="14">
        <v>1.0000225671652492</v>
      </c>
      <c r="R1307" s="15">
        <v>2.2567165249256369E-5</v>
      </c>
    </row>
    <row r="1308" spans="1:18" ht="18" customHeight="1">
      <c r="A1308" s="10" t="s">
        <v>141</v>
      </c>
      <c r="B1308" s="10" t="s">
        <v>142</v>
      </c>
      <c r="C1308" s="10" t="s">
        <v>254</v>
      </c>
      <c r="D1308" s="10" t="s">
        <v>271</v>
      </c>
      <c r="E1308" s="16">
        <v>5</v>
      </c>
      <c r="F1308" s="16">
        <v>5</v>
      </c>
      <c r="G1308" s="13">
        <v>28.739844949799998</v>
      </c>
      <c r="H1308" s="13">
        <v>28.739844949799998</v>
      </c>
      <c r="I1308" s="14">
        <v>0</v>
      </c>
      <c r="J1308" s="15">
        <v>1</v>
      </c>
      <c r="K1308" s="14">
        <v>210.33442204317575</v>
      </c>
      <c r="L1308" s="13">
        <v>6044.9786771266663</v>
      </c>
      <c r="M1308" s="14">
        <v>2.8762079454653509</v>
      </c>
      <c r="N1308" s="14">
        <v>75.198286634873099</v>
      </c>
      <c r="O1308" s="13">
        <v>2161.1870983768704</v>
      </c>
      <c r="P1308" s="13">
        <v>3883.7915787497959</v>
      </c>
      <c r="Q1308" s="14">
        <v>2.7970640217437275</v>
      </c>
      <c r="R1308" s="15">
        <v>1.7970640217437277</v>
      </c>
    </row>
    <row r="1309" spans="1:18" ht="18" customHeight="1">
      <c r="A1309" s="10" t="s">
        <v>141</v>
      </c>
      <c r="B1309" s="10" t="s">
        <v>142</v>
      </c>
      <c r="C1309" s="10" t="s">
        <v>254</v>
      </c>
      <c r="D1309" s="10" t="s">
        <v>272</v>
      </c>
      <c r="E1309" s="16">
        <v>3</v>
      </c>
      <c r="F1309" s="16">
        <v>3</v>
      </c>
      <c r="G1309" s="13">
        <v>976.89996449629984</v>
      </c>
      <c r="H1309" s="13">
        <v>976.89996449629984</v>
      </c>
      <c r="I1309" s="14">
        <v>0</v>
      </c>
      <c r="J1309" s="15">
        <v>1</v>
      </c>
      <c r="K1309" s="14">
        <v>115.99750962846015</v>
      </c>
      <c r="L1309" s="13">
        <v>113317.96303770192</v>
      </c>
      <c r="M1309" s="14">
        <v>3.0618041576729862</v>
      </c>
      <c r="N1309" s="14">
        <v>115.29332326901475</v>
      </c>
      <c r="O1309" s="13">
        <v>112630.04340816093</v>
      </c>
      <c r="P1309" s="13">
        <v>687.9196295409929</v>
      </c>
      <c r="Q1309" s="14">
        <v>1.0061077809146182</v>
      </c>
      <c r="R1309" s="15">
        <v>6.1077809146182728E-3</v>
      </c>
    </row>
    <row r="1310" spans="1:18" ht="18" customHeight="1">
      <c r="A1310" s="10" t="s">
        <v>141</v>
      </c>
      <c r="B1310" s="10" t="s">
        <v>142</v>
      </c>
      <c r="C1310" s="10" t="s">
        <v>254</v>
      </c>
      <c r="D1310" s="10" t="s">
        <v>281</v>
      </c>
      <c r="E1310" s="16">
        <v>1</v>
      </c>
      <c r="F1310" s="16">
        <v>1</v>
      </c>
      <c r="G1310" s="13">
        <v>2.2309099E-3</v>
      </c>
      <c r="H1310" s="13">
        <v>2.2309099E-3</v>
      </c>
      <c r="I1310" s="14">
        <v>0</v>
      </c>
      <c r="J1310" s="15">
        <v>1</v>
      </c>
      <c r="K1310" s="14">
        <v>102.32929922807536</v>
      </c>
      <c r="L1310" s="13">
        <v>0.22828744670797566</v>
      </c>
      <c r="M1310" s="14">
        <v>3.01</v>
      </c>
      <c r="N1310" s="14">
        <v>102.32929922807536</v>
      </c>
      <c r="O1310" s="13">
        <v>0.22828744670797566</v>
      </c>
      <c r="P1310" s="13">
        <v>0</v>
      </c>
      <c r="Q1310" s="14">
        <v>1</v>
      </c>
      <c r="R1310" s="15">
        <v>0</v>
      </c>
    </row>
    <row r="1311" spans="1:18" ht="18" customHeight="1">
      <c r="A1311" s="10" t="s">
        <v>141</v>
      </c>
      <c r="B1311" s="10" t="s">
        <v>142</v>
      </c>
      <c r="C1311" s="10" t="s">
        <v>254</v>
      </c>
      <c r="D1311" s="10" t="s">
        <v>273</v>
      </c>
      <c r="E1311" s="16">
        <v>3</v>
      </c>
      <c r="F1311" s="16">
        <v>3</v>
      </c>
      <c r="G1311" s="13">
        <v>6.3000379929999992</v>
      </c>
      <c r="H1311" s="13">
        <v>6.3000379929999992</v>
      </c>
      <c r="I1311" s="14">
        <v>0</v>
      </c>
      <c r="J1311" s="15">
        <v>1</v>
      </c>
      <c r="K1311" s="14">
        <v>141.58580665687734</v>
      </c>
      <c r="L1311" s="13">
        <v>891.99596120787942</v>
      </c>
      <c r="M1311" s="14">
        <v>3.150947595507779</v>
      </c>
      <c r="N1311" s="14">
        <v>141.56229523710468</v>
      </c>
      <c r="O1311" s="13">
        <v>891.84783837004227</v>
      </c>
      <c r="P1311" s="13">
        <v>0.14812283783714975</v>
      </c>
      <c r="Q1311" s="14">
        <v>1.0001660853247207</v>
      </c>
      <c r="R1311" s="15">
        <v>1.6608532472070774E-4</v>
      </c>
    </row>
    <row r="1312" spans="1:18" ht="18" customHeight="1">
      <c r="A1312" s="10" t="s">
        <v>141</v>
      </c>
      <c r="B1312" s="10" t="s">
        <v>142</v>
      </c>
      <c r="C1312" s="10" t="s">
        <v>254</v>
      </c>
      <c r="D1312" s="10" t="s">
        <v>274</v>
      </c>
      <c r="E1312" s="16">
        <v>5</v>
      </c>
      <c r="F1312" s="16">
        <v>5</v>
      </c>
      <c r="G1312" s="13">
        <v>7176.5497623322999</v>
      </c>
      <c r="H1312" s="13">
        <v>7176.5497623322999</v>
      </c>
      <c r="I1312" s="14">
        <v>0</v>
      </c>
      <c r="J1312" s="15">
        <v>1</v>
      </c>
      <c r="K1312" s="14">
        <v>2398.3627240619362</v>
      </c>
      <c r="L1312" s="13">
        <v>17211969.437353335</v>
      </c>
      <c r="M1312" s="14">
        <v>4.379852990268728</v>
      </c>
      <c r="N1312" s="14">
        <v>2398.0210456997092</v>
      </c>
      <c r="O1312" s="13">
        <v>17209517.365584102</v>
      </c>
      <c r="P1312" s="13">
        <v>2452.071769233793</v>
      </c>
      <c r="Q1312" s="14">
        <v>1.0001424834710435</v>
      </c>
      <c r="R1312" s="15">
        <v>1.4248347104361508E-4</v>
      </c>
    </row>
    <row r="1313" spans="1:18" ht="18" customHeight="1">
      <c r="A1313" s="10" t="s">
        <v>77</v>
      </c>
      <c r="B1313" s="10" t="s">
        <v>78</v>
      </c>
      <c r="C1313" s="10" t="s">
        <v>254</v>
      </c>
      <c r="D1313" s="10" t="s">
        <v>255</v>
      </c>
      <c r="E1313" s="16">
        <v>3</v>
      </c>
      <c r="F1313" s="16">
        <v>3</v>
      </c>
      <c r="G1313" s="13">
        <v>0.107771506</v>
      </c>
      <c r="H1313" s="13">
        <v>0.107771506</v>
      </c>
      <c r="I1313" s="14">
        <v>0</v>
      </c>
      <c r="J1313" s="15">
        <v>1</v>
      </c>
      <c r="K1313" s="14">
        <v>748.04759265397854</v>
      </c>
      <c r="L1313" s="13">
        <v>80.618215619993805</v>
      </c>
      <c r="M1313" s="14">
        <v>3.8388476691696227</v>
      </c>
      <c r="N1313" s="14">
        <v>689.99774144019318</v>
      </c>
      <c r="O1313" s="13">
        <v>74.362095731608235</v>
      </c>
      <c r="P1313" s="13">
        <v>6.2561198883855695</v>
      </c>
      <c r="Q1313" s="14">
        <v>1.0841304945326649</v>
      </c>
      <c r="R1313" s="15">
        <v>8.4130494532664885E-2</v>
      </c>
    </row>
    <row r="1314" spans="1:18" ht="18" customHeight="1">
      <c r="A1314" s="10" t="s">
        <v>77</v>
      </c>
      <c r="B1314" s="10" t="s">
        <v>78</v>
      </c>
      <c r="C1314" s="10" t="s">
        <v>254</v>
      </c>
      <c r="D1314" s="10" t="s">
        <v>256</v>
      </c>
      <c r="E1314" s="16">
        <v>2</v>
      </c>
      <c r="F1314" s="16">
        <v>2</v>
      </c>
      <c r="G1314" s="13">
        <v>104.4367071871</v>
      </c>
      <c r="H1314" s="13">
        <v>104.4367071871</v>
      </c>
      <c r="I1314" s="14">
        <v>0</v>
      </c>
      <c r="J1314" s="15">
        <v>1</v>
      </c>
      <c r="K1314" s="14">
        <v>2244.1209434738134</v>
      </c>
      <c r="L1314" s="13">
        <v>234368.60186601322</v>
      </c>
      <c r="M1314" s="14">
        <v>4.3509315440440472</v>
      </c>
      <c r="N1314" s="14">
        <v>2243.5282582793698</v>
      </c>
      <c r="O1314" s="13">
        <v>234306.70377590699</v>
      </c>
      <c r="P1314" s="13">
        <v>61.898090106231393</v>
      </c>
      <c r="Q1314" s="14">
        <v>1.000264175497793</v>
      </c>
      <c r="R1314" s="15">
        <v>2.6417549779297515E-4</v>
      </c>
    </row>
    <row r="1315" spans="1:18" ht="18" customHeight="1">
      <c r="A1315" s="10" t="s">
        <v>77</v>
      </c>
      <c r="B1315" s="10" t="s">
        <v>78</v>
      </c>
      <c r="C1315" s="10" t="s">
        <v>254</v>
      </c>
      <c r="D1315" s="10" t="s">
        <v>258</v>
      </c>
      <c r="E1315" s="16">
        <v>7</v>
      </c>
      <c r="F1315" s="16">
        <v>7</v>
      </c>
      <c r="G1315" s="13">
        <v>326420.87191883632</v>
      </c>
      <c r="H1315" s="13">
        <v>326420.87191883632</v>
      </c>
      <c r="I1315" s="14">
        <v>0</v>
      </c>
      <c r="J1315" s="15">
        <v>1</v>
      </c>
      <c r="K1315" s="14">
        <v>1215.3580852493014</v>
      </c>
      <c r="L1315" s="13">
        <v>396718245.88068438</v>
      </c>
      <c r="M1315" s="14">
        <v>4.0814896674681247</v>
      </c>
      <c r="N1315" s="14">
        <v>1206.3953858588843</v>
      </c>
      <c r="O1315" s="13">
        <v>393792633.73091799</v>
      </c>
      <c r="P1315" s="13">
        <v>2925612.1497663856</v>
      </c>
      <c r="Q1315" s="14">
        <v>1.0074293216763559</v>
      </c>
      <c r="R1315" s="15">
        <v>7.4293216763558923E-3</v>
      </c>
    </row>
    <row r="1316" spans="1:18" ht="18" customHeight="1">
      <c r="A1316" s="10" t="s">
        <v>77</v>
      </c>
      <c r="B1316" s="10" t="s">
        <v>78</v>
      </c>
      <c r="C1316" s="10" t="s">
        <v>254</v>
      </c>
      <c r="D1316" s="10" t="s">
        <v>259</v>
      </c>
      <c r="E1316" s="16">
        <v>14</v>
      </c>
      <c r="F1316" s="16">
        <v>14</v>
      </c>
      <c r="G1316" s="13">
        <v>39127.728765878106</v>
      </c>
      <c r="H1316" s="13">
        <v>39127.728765878106</v>
      </c>
      <c r="I1316" s="14">
        <v>0</v>
      </c>
      <c r="J1316" s="15">
        <v>1</v>
      </c>
      <c r="K1316" s="14">
        <v>1717.9306987087186</v>
      </c>
      <c r="L1316" s="13">
        <v>67218726.417650208</v>
      </c>
      <c r="M1316" s="14">
        <v>4.151689306483993</v>
      </c>
      <c r="N1316" s="14">
        <v>1418.0426934558961</v>
      </c>
      <c r="O1316" s="13">
        <v>55484789.887977533</v>
      </c>
      <c r="P1316" s="13">
        <v>11733936.529672675</v>
      </c>
      <c r="Q1316" s="14">
        <v>1.2114802372571511</v>
      </c>
      <c r="R1316" s="15">
        <v>0.21148023725715123</v>
      </c>
    </row>
    <row r="1317" spans="1:18" ht="18" customHeight="1">
      <c r="A1317" s="10" t="s">
        <v>77</v>
      </c>
      <c r="B1317" s="10" t="s">
        <v>78</v>
      </c>
      <c r="C1317" s="10" t="s">
        <v>254</v>
      </c>
      <c r="D1317" s="10" t="s">
        <v>260</v>
      </c>
      <c r="E1317" s="16">
        <v>3</v>
      </c>
      <c r="F1317" s="16">
        <v>3</v>
      </c>
      <c r="G1317" s="13">
        <v>10584.479974349701</v>
      </c>
      <c r="H1317" s="13">
        <v>10584.479974349701</v>
      </c>
      <c r="I1317" s="14">
        <v>0</v>
      </c>
      <c r="J1317" s="15">
        <v>1</v>
      </c>
      <c r="K1317" s="14">
        <v>182.77773116941771</v>
      </c>
      <c r="L1317" s="13">
        <v>1934607.2353197748</v>
      </c>
      <c r="M1317" s="14">
        <v>3.2607245259495934</v>
      </c>
      <c r="N1317" s="14">
        <v>182.27391676569096</v>
      </c>
      <c r="O1317" s="13">
        <v>1929274.6218527402</v>
      </c>
      <c r="P1317" s="13">
        <v>5332.613467034651</v>
      </c>
      <c r="Q1317" s="14">
        <v>1.0027640510099665</v>
      </c>
      <c r="R1317" s="15">
        <v>2.7640510099664209E-3</v>
      </c>
    </row>
    <row r="1318" spans="1:18" ht="18" customHeight="1">
      <c r="A1318" s="10" t="s">
        <v>77</v>
      </c>
      <c r="B1318" s="10" t="s">
        <v>78</v>
      </c>
      <c r="C1318" s="10" t="s">
        <v>254</v>
      </c>
      <c r="D1318" s="10" t="s">
        <v>261</v>
      </c>
      <c r="E1318" s="16">
        <v>1</v>
      </c>
      <c r="F1318" s="16">
        <v>1</v>
      </c>
      <c r="G1318" s="13">
        <v>9.2573564600000005E-2</v>
      </c>
      <c r="H1318" s="13">
        <v>9.2573564600000005E-2</v>
      </c>
      <c r="I1318" s="14">
        <v>0</v>
      </c>
      <c r="J1318" s="15">
        <v>1</v>
      </c>
      <c r="K1318" s="14">
        <v>229.08676527677724</v>
      </c>
      <c r="L1318" s="13">
        <v>21.207378464354775</v>
      </c>
      <c r="M1318" s="14">
        <v>3.36</v>
      </c>
      <c r="N1318" s="14">
        <v>229.08676527677724</v>
      </c>
      <c r="O1318" s="13">
        <v>21.207378464354775</v>
      </c>
      <c r="P1318" s="13">
        <v>0</v>
      </c>
      <c r="Q1318" s="14">
        <v>1</v>
      </c>
      <c r="R1318" s="15">
        <v>0</v>
      </c>
    </row>
    <row r="1319" spans="1:18" ht="18" customHeight="1">
      <c r="A1319" s="10" t="s">
        <v>77</v>
      </c>
      <c r="B1319" s="10" t="s">
        <v>78</v>
      </c>
      <c r="C1319" s="10" t="s">
        <v>254</v>
      </c>
      <c r="D1319" s="10" t="s">
        <v>262</v>
      </c>
      <c r="E1319" s="16">
        <v>4</v>
      </c>
      <c r="F1319" s="16">
        <v>4</v>
      </c>
      <c r="G1319" s="13">
        <v>7.6096124433000005</v>
      </c>
      <c r="H1319" s="13">
        <v>7.6096124433000005</v>
      </c>
      <c r="I1319" s="14">
        <v>0</v>
      </c>
      <c r="J1319" s="15">
        <v>1</v>
      </c>
      <c r="K1319" s="14">
        <v>616.98877152840123</v>
      </c>
      <c r="L1319" s="13">
        <v>4695.0454331989031</v>
      </c>
      <c r="M1319" s="14">
        <v>3.7795481627018948</v>
      </c>
      <c r="N1319" s="14">
        <v>601.93301279856269</v>
      </c>
      <c r="O1319" s="13">
        <v>4580.4769442250008</v>
      </c>
      <c r="P1319" s="13">
        <v>114.56848897390228</v>
      </c>
      <c r="Q1319" s="14">
        <v>1.0250123492310879</v>
      </c>
      <c r="R1319" s="15">
        <v>2.5012349231087951E-2</v>
      </c>
    </row>
    <row r="1320" spans="1:18" ht="18" customHeight="1">
      <c r="A1320" s="10" t="s">
        <v>77</v>
      </c>
      <c r="B1320" s="10" t="s">
        <v>78</v>
      </c>
      <c r="C1320" s="10" t="s">
        <v>254</v>
      </c>
      <c r="D1320" s="10" t="s">
        <v>263</v>
      </c>
      <c r="E1320" s="16">
        <v>2</v>
      </c>
      <c r="F1320" s="16">
        <v>2</v>
      </c>
      <c r="G1320" s="13">
        <v>3444.9195494118999</v>
      </c>
      <c r="H1320" s="13">
        <v>3444.9195494118999</v>
      </c>
      <c r="I1320" s="14">
        <v>0</v>
      </c>
      <c r="J1320" s="15">
        <v>1</v>
      </c>
      <c r="K1320" s="14">
        <v>612.94072317510472</v>
      </c>
      <c r="L1320" s="13">
        <v>2111531.4798965859</v>
      </c>
      <c r="M1320" s="14">
        <v>3.7849055717472035</v>
      </c>
      <c r="N1320" s="14">
        <v>609.40438059596772</v>
      </c>
      <c r="O1320" s="13">
        <v>2099349.064212299</v>
      </c>
      <c r="P1320" s="13">
        <v>12182.415684286971</v>
      </c>
      <c r="Q1320" s="14">
        <v>1.0058029490626219</v>
      </c>
      <c r="R1320" s="15">
        <v>5.8029490626219224E-3</v>
      </c>
    </row>
    <row r="1321" spans="1:18" ht="18" customHeight="1">
      <c r="A1321" s="10" t="s">
        <v>77</v>
      </c>
      <c r="B1321" s="10" t="s">
        <v>78</v>
      </c>
      <c r="C1321" s="10" t="s">
        <v>254</v>
      </c>
      <c r="D1321" s="10" t="s">
        <v>264</v>
      </c>
      <c r="E1321" s="16">
        <v>7</v>
      </c>
      <c r="F1321" s="16">
        <v>7</v>
      </c>
      <c r="G1321" s="13">
        <v>50.953381822499992</v>
      </c>
      <c r="H1321" s="13">
        <v>50.953381822499992</v>
      </c>
      <c r="I1321" s="14">
        <v>0</v>
      </c>
      <c r="J1321" s="15">
        <v>1</v>
      </c>
      <c r="K1321" s="14">
        <v>1409.3762863992988</v>
      </c>
      <c r="L1321" s="13">
        <v>71812.488052480578</v>
      </c>
      <c r="M1321" s="14">
        <v>4.1413697777593486</v>
      </c>
      <c r="N1321" s="14">
        <v>1384.7449109665281</v>
      </c>
      <c r="O1321" s="13">
        <v>70557.436175241266</v>
      </c>
      <c r="P1321" s="13">
        <v>1255.0518772393116</v>
      </c>
      <c r="Q1321" s="14">
        <v>1.0177876627223554</v>
      </c>
      <c r="R1321" s="15">
        <v>1.7787662722355432E-2</v>
      </c>
    </row>
    <row r="1322" spans="1:18" ht="18" customHeight="1">
      <c r="A1322" s="10" t="s">
        <v>77</v>
      </c>
      <c r="B1322" s="10" t="s">
        <v>78</v>
      </c>
      <c r="C1322" s="10" t="s">
        <v>254</v>
      </c>
      <c r="D1322" s="10" t="s">
        <v>265</v>
      </c>
      <c r="E1322" s="16">
        <v>11</v>
      </c>
      <c r="F1322" s="16">
        <v>11</v>
      </c>
      <c r="G1322" s="13">
        <v>20862.803209193804</v>
      </c>
      <c r="H1322" s="13">
        <v>20862.803209193804</v>
      </c>
      <c r="I1322" s="14">
        <v>0</v>
      </c>
      <c r="J1322" s="15">
        <v>1</v>
      </c>
      <c r="K1322" s="14">
        <v>421.59576572836431</v>
      </c>
      <c r="L1322" s="13">
        <v>8795669.4942202382</v>
      </c>
      <c r="M1322" s="14">
        <v>3.6155004421203678</v>
      </c>
      <c r="N1322" s="14">
        <v>412.57265712362704</v>
      </c>
      <c r="O1322" s="13">
        <v>8607422.1550644208</v>
      </c>
      <c r="P1322" s="13">
        <v>188247.3391558174</v>
      </c>
      <c r="Q1322" s="14">
        <v>1.0218703504678293</v>
      </c>
      <c r="R1322" s="15">
        <v>2.1870350467829296E-2</v>
      </c>
    </row>
    <row r="1323" spans="1:18" ht="18" customHeight="1">
      <c r="A1323" s="10" t="s">
        <v>77</v>
      </c>
      <c r="B1323" s="10" t="s">
        <v>78</v>
      </c>
      <c r="C1323" s="10" t="s">
        <v>254</v>
      </c>
      <c r="D1323" s="10" t="s">
        <v>266</v>
      </c>
      <c r="E1323" s="16">
        <v>6</v>
      </c>
      <c r="F1323" s="16">
        <v>6</v>
      </c>
      <c r="G1323" s="13">
        <v>155.00774539700001</v>
      </c>
      <c r="H1323" s="13">
        <v>155.00774539700001</v>
      </c>
      <c r="I1323" s="14">
        <v>0</v>
      </c>
      <c r="J1323" s="15">
        <v>1</v>
      </c>
      <c r="K1323" s="14">
        <v>2801.3714161943994</v>
      </c>
      <c r="L1323" s="13">
        <v>434234.26724389481</v>
      </c>
      <c r="M1323" s="14">
        <v>4.4270407351937902</v>
      </c>
      <c r="N1323" s="14">
        <v>2673.2571383991908</v>
      </c>
      <c r="O1323" s="13">
        <v>414375.5618896946</v>
      </c>
      <c r="P1323" s="13">
        <v>19858.70535420021</v>
      </c>
      <c r="Q1323" s="14">
        <v>1.0479244124910208</v>
      </c>
      <c r="R1323" s="15">
        <v>4.7924412491020724E-2</v>
      </c>
    </row>
    <row r="1324" spans="1:18" ht="18" customHeight="1">
      <c r="A1324" s="10" t="s">
        <v>77</v>
      </c>
      <c r="B1324" s="10" t="s">
        <v>78</v>
      </c>
      <c r="C1324" s="10" t="s">
        <v>254</v>
      </c>
      <c r="D1324" s="10" t="s">
        <v>267</v>
      </c>
      <c r="E1324" s="16">
        <v>1</v>
      </c>
      <c r="F1324" s="16">
        <v>1</v>
      </c>
      <c r="G1324" s="13">
        <v>9967.4879270983001</v>
      </c>
      <c r="H1324" s="13">
        <v>9967.4879270983001</v>
      </c>
      <c r="I1324" s="14">
        <v>0</v>
      </c>
      <c r="J1324" s="15">
        <v>1</v>
      </c>
      <c r="K1324" s="14">
        <v>446.68359215096302</v>
      </c>
      <c r="L1324" s="13">
        <v>4452313.311997625</v>
      </c>
      <c r="M1324" s="14">
        <v>3.65</v>
      </c>
      <c r="N1324" s="14">
        <v>446.68359215096302</v>
      </c>
      <c r="O1324" s="13">
        <v>4452313.311997625</v>
      </c>
      <c r="P1324" s="13">
        <v>0</v>
      </c>
      <c r="Q1324" s="14">
        <v>1</v>
      </c>
      <c r="R1324" s="15">
        <v>0</v>
      </c>
    </row>
    <row r="1325" spans="1:18" ht="18" customHeight="1">
      <c r="A1325" s="10" t="s">
        <v>77</v>
      </c>
      <c r="B1325" s="10" t="s">
        <v>78</v>
      </c>
      <c r="C1325" s="10" t="s">
        <v>254</v>
      </c>
      <c r="D1325" s="10" t="s">
        <v>268</v>
      </c>
      <c r="E1325" s="16">
        <v>14</v>
      </c>
      <c r="F1325" s="16">
        <v>14</v>
      </c>
      <c r="G1325" s="13">
        <v>6788.3580976942985</v>
      </c>
      <c r="H1325" s="13">
        <v>6788.3580976942985</v>
      </c>
      <c r="I1325" s="14">
        <v>0</v>
      </c>
      <c r="J1325" s="15">
        <v>1</v>
      </c>
      <c r="K1325" s="14">
        <v>1084.5011690594313</v>
      </c>
      <c r="L1325" s="13">
        <v>7361982.2929435233</v>
      </c>
      <c r="M1325" s="14">
        <v>4.0255356355601979</v>
      </c>
      <c r="N1325" s="14">
        <v>1060.5609579752033</v>
      </c>
      <c r="O1325" s="13">
        <v>7199467.5671693943</v>
      </c>
      <c r="P1325" s="13">
        <v>162514.72577412892</v>
      </c>
      <c r="Q1325" s="14">
        <v>1.0225731589534786</v>
      </c>
      <c r="R1325" s="15">
        <v>2.2573158953478643E-2</v>
      </c>
    </row>
    <row r="1326" spans="1:18" ht="18" customHeight="1">
      <c r="A1326" s="10" t="s">
        <v>77</v>
      </c>
      <c r="B1326" s="10" t="s">
        <v>78</v>
      </c>
      <c r="C1326" s="10" t="s">
        <v>254</v>
      </c>
      <c r="D1326" s="10" t="s">
        <v>269</v>
      </c>
      <c r="E1326" s="16">
        <v>12</v>
      </c>
      <c r="F1326" s="16">
        <v>12</v>
      </c>
      <c r="G1326" s="13">
        <v>148088.15472913464</v>
      </c>
      <c r="H1326" s="13">
        <v>148088.15472913464</v>
      </c>
      <c r="I1326" s="14">
        <v>0</v>
      </c>
      <c r="J1326" s="15">
        <v>1</v>
      </c>
      <c r="K1326" s="14">
        <v>719.75499643949536</v>
      </c>
      <c r="L1326" s="13">
        <v>106587189.27979974</v>
      </c>
      <c r="M1326" s="14">
        <v>3.726810918235258</v>
      </c>
      <c r="N1326" s="14">
        <v>533.10274435958831</v>
      </c>
      <c r="O1326" s="13">
        <v>78946201.693249017</v>
      </c>
      <c r="P1326" s="13">
        <v>27640987.586550727</v>
      </c>
      <c r="Q1326" s="14">
        <v>1.3501243504272913</v>
      </c>
      <c r="R1326" s="15">
        <v>0.35012435042729118</v>
      </c>
    </row>
    <row r="1327" spans="1:18" ht="18" customHeight="1">
      <c r="A1327" s="10" t="s">
        <v>77</v>
      </c>
      <c r="B1327" s="10" t="s">
        <v>78</v>
      </c>
      <c r="C1327" s="10" t="s">
        <v>254</v>
      </c>
      <c r="D1327" s="10" t="s">
        <v>270</v>
      </c>
      <c r="E1327" s="16">
        <v>11</v>
      </c>
      <c r="F1327" s="16">
        <v>11</v>
      </c>
      <c r="G1327" s="13">
        <v>78242.370638081062</v>
      </c>
      <c r="H1327" s="13">
        <v>78242.370638081062</v>
      </c>
      <c r="I1327" s="14">
        <v>0</v>
      </c>
      <c r="J1327" s="15">
        <v>1</v>
      </c>
      <c r="K1327" s="14">
        <v>353.60959696453773</v>
      </c>
      <c r="L1327" s="13">
        <v>27667253.146881826</v>
      </c>
      <c r="M1327" s="14">
        <v>3.5320977657857915</v>
      </c>
      <c r="N1327" s="14">
        <v>340.48482899012959</v>
      </c>
      <c r="O1327" s="13">
        <v>26640340.186489366</v>
      </c>
      <c r="P1327" s="13">
        <v>1026912.9603924602</v>
      </c>
      <c r="Q1327" s="14">
        <v>1.0385472915587339</v>
      </c>
      <c r="R1327" s="15">
        <v>3.8547291558733869E-2</v>
      </c>
    </row>
    <row r="1328" spans="1:18" ht="18" customHeight="1">
      <c r="A1328" s="10" t="s">
        <v>77</v>
      </c>
      <c r="B1328" s="10" t="s">
        <v>78</v>
      </c>
      <c r="C1328" s="10" t="s">
        <v>254</v>
      </c>
      <c r="D1328" s="10" t="s">
        <v>271</v>
      </c>
      <c r="E1328" s="16">
        <v>20</v>
      </c>
      <c r="F1328" s="16">
        <v>20</v>
      </c>
      <c r="G1328" s="13">
        <v>454.24042468679994</v>
      </c>
      <c r="H1328" s="13">
        <v>454.24042468679994</v>
      </c>
      <c r="I1328" s="14">
        <v>0</v>
      </c>
      <c r="J1328" s="15">
        <v>1</v>
      </c>
      <c r="K1328" s="14">
        <v>35.107005648311528</v>
      </c>
      <c r="L1328" s="13">
        <v>15947.021155170913</v>
      </c>
      <c r="M1328" s="14">
        <v>2.5035797536605617</v>
      </c>
      <c r="N1328" s="14">
        <v>31.884510477792265</v>
      </c>
      <c r="O1328" s="13">
        <v>14483.233580363081</v>
      </c>
      <c r="P1328" s="13">
        <v>1463.7875748078313</v>
      </c>
      <c r="Q1328" s="14">
        <v>1.1010677323324047</v>
      </c>
      <c r="R1328" s="15">
        <v>0.10106773233240471</v>
      </c>
    </row>
    <row r="1329" spans="1:18" ht="18" customHeight="1">
      <c r="A1329" s="10" t="s">
        <v>77</v>
      </c>
      <c r="B1329" s="10" t="s">
        <v>78</v>
      </c>
      <c r="C1329" s="10" t="s">
        <v>254</v>
      </c>
      <c r="D1329" s="10" t="s">
        <v>272</v>
      </c>
      <c r="E1329" s="16">
        <v>5</v>
      </c>
      <c r="F1329" s="16">
        <v>5</v>
      </c>
      <c r="G1329" s="13">
        <v>12162.137303424501</v>
      </c>
      <c r="H1329" s="13">
        <v>12162.137303424501</v>
      </c>
      <c r="I1329" s="14">
        <v>0</v>
      </c>
      <c r="J1329" s="15">
        <v>1</v>
      </c>
      <c r="K1329" s="14">
        <v>117.01343091272915</v>
      </c>
      <c r="L1329" s="13">
        <v>1423133.4131053889</v>
      </c>
      <c r="M1329" s="14">
        <v>3.0673450468413992</v>
      </c>
      <c r="N1329" s="14">
        <v>116.77370153273436</v>
      </c>
      <c r="O1329" s="13">
        <v>1420217.7914702273</v>
      </c>
      <c r="P1329" s="13">
        <v>2915.6216351615731</v>
      </c>
      <c r="Q1329" s="14">
        <v>1.0020529398044953</v>
      </c>
      <c r="R1329" s="15">
        <v>2.0529398044952562E-3</v>
      </c>
    </row>
    <row r="1330" spans="1:18" ht="18" customHeight="1">
      <c r="A1330" s="10" t="s">
        <v>77</v>
      </c>
      <c r="B1330" s="10" t="s">
        <v>78</v>
      </c>
      <c r="C1330" s="10" t="s">
        <v>254</v>
      </c>
      <c r="D1330" s="10" t="s">
        <v>273</v>
      </c>
      <c r="E1330" s="16">
        <v>3</v>
      </c>
      <c r="F1330" s="16">
        <v>3</v>
      </c>
      <c r="G1330" s="13">
        <v>243.0029455227</v>
      </c>
      <c r="H1330" s="13">
        <v>243.0029455227</v>
      </c>
      <c r="I1330" s="14">
        <v>0</v>
      </c>
      <c r="J1330" s="15">
        <v>1</v>
      </c>
      <c r="K1330" s="14">
        <v>141.49841938290737</v>
      </c>
      <c r="L1330" s="13">
        <v>34384.532696852795</v>
      </c>
      <c r="M1330" s="14">
        <v>3.1506965702400103</v>
      </c>
      <c r="N1330" s="14">
        <v>141.48049487679518</v>
      </c>
      <c r="O1330" s="13">
        <v>34380.176989070496</v>
      </c>
      <c r="P1330" s="13">
        <v>4.3557077822988504</v>
      </c>
      <c r="Q1330" s="14">
        <v>1.0001266924188228</v>
      </c>
      <c r="R1330" s="15">
        <v>1.2669241882272845E-4</v>
      </c>
    </row>
    <row r="1331" spans="1:18" ht="18" customHeight="1">
      <c r="A1331" s="10" t="s">
        <v>77</v>
      </c>
      <c r="B1331" s="10" t="s">
        <v>78</v>
      </c>
      <c r="C1331" s="10" t="s">
        <v>254</v>
      </c>
      <c r="D1331" s="10" t="s">
        <v>274</v>
      </c>
      <c r="E1331" s="16">
        <v>11</v>
      </c>
      <c r="F1331" s="16">
        <v>11</v>
      </c>
      <c r="G1331" s="13">
        <v>18477.028369824096</v>
      </c>
      <c r="H1331" s="13">
        <v>18477.028369824096</v>
      </c>
      <c r="I1331" s="14">
        <v>0</v>
      </c>
      <c r="J1331" s="15">
        <v>1</v>
      </c>
      <c r="K1331" s="14">
        <v>1946.5746368600494</v>
      </c>
      <c r="L1331" s="13">
        <v>35966914.789243169</v>
      </c>
      <c r="M1331" s="14">
        <v>4.2128203087697402</v>
      </c>
      <c r="N1331" s="14">
        <v>1632.3764053141354</v>
      </c>
      <c r="O1331" s="13">
        <v>30161465.151220758</v>
      </c>
      <c r="P1331" s="13">
        <v>5805449.6380224116</v>
      </c>
      <c r="Q1331" s="14">
        <v>1.192479032729862</v>
      </c>
      <c r="R1331" s="15">
        <v>0.19247903272986197</v>
      </c>
    </row>
    <row r="1332" spans="1:18" ht="18" customHeight="1">
      <c r="A1332" s="10" t="s">
        <v>77</v>
      </c>
      <c r="B1332" s="10" t="s">
        <v>78</v>
      </c>
      <c r="C1332" s="10" t="s">
        <v>254</v>
      </c>
      <c r="D1332" s="10" t="s">
        <v>282</v>
      </c>
      <c r="E1332" s="16">
        <v>1</v>
      </c>
      <c r="F1332" s="16">
        <v>1</v>
      </c>
      <c r="G1332" s="13">
        <v>387.22631810759998</v>
      </c>
      <c r="H1332" s="13">
        <v>387.22631810759998</v>
      </c>
      <c r="I1332" s="14">
        <v>0</v>
      </c>
      <c r="J1332" s="15">
        <v>1</v>
      </c>
      <c r="K1332" s="14">
        <v>630.957344480193</v>
      </c>
      <c r="L1332" s="13">
        <v>244323.28938601376</v>
      </c>
      <c r="M1332" s="14">
        <v>3.8</v>
      </c>
      <c r="N1332" s="14">
        <v>630.957344480193</v>
      </c>
      <c r="O1332" s="13">
        <v>244323.28938601376</v>
      </c>
      <c r="P1332" s="13">
        <v>0</v>
      </c>
      <c r="Q1332" s="14">
        <v>1</v>
      </c>
      <c r="R1332" s="15">
        <v>0</v>
      </c>
    </row>
    <row r="1333" spans="1:18" ht="18" customHeight="1">
      <c r="A1333" s="10" t="s">
        <v>101</v>
      </c>
      <c r="B1333" s="10" t="s">
        <v>102</v>
      </c>
      <c r="C1333" s="10" t="s">
        <v>254</v>
      </c>
      <c r="D1333" s="10" t="s">
        <v>255</v>
      </c>
      <c r="E1333" s="16">
        <v>5</v>
      </c>
      <c r="F1333" s="16">
        <v>5</v>
      </c>
      <c r="G1333" s="13">
        <v>14.651866163200001</v>
      </c>
      <c r="H1333" s="13">
        <v>14.651866163200001</v>
      </c>
      <c r="I1333" s="14">
        <v>0</v>
      </c>
      <c r="J1333" s="15">
        <v>1</v>
      </c>
      <c r="K1333" s="14">
        <v>867.09008703692882</v>
      </c>
      <c r="L1333" s="13">
        <v>12704.487906702521</v>
      </c>
      <c r="M1333" s="14">
        <v>3.9099729812733344</v>
      </c>
      <c r="N1333" s="14">
        <v>812.7799491794334</v>
      </c>
      <c r="O1333" s="13">
        <v>11908.743035509557</v>
      </c>
      <c r="P1333" s="13">
        <v>795.74487119296464</v>
      </c>
      <c r="Q1333" s="14">
        <v>1.0668202234963176</v>
      </c>
      <c r="R1333" s="15">
        <v>6.6820223496317638E-2</v>
      </c>
    </row>
    <row r="1334" spans="1:18" ht="18" customHeight="1">
      <c r="A1334" s="10" t="s">
        <v>101</v>
      </c>
      <c r="B1334" s="10" t="s">
        <v>102</v>
      </c>
      <c r="C1334" s="10" t="s">
        <v>254</v>
      </c>
      <c r="D1334" s="10" t="s">
        <v>256</v>
      </c>
      <c r="E1334" s="16">
        <v>5</v>
      </c>
      <c r="F1334" s="16">
        <v>5</v>
      </c>
      <c r="G1334" s="13">
        <v>29.686500623600001</v>
      </c>
      <c r="H1334" s="13">
        <v>29.686500623600001</v>
      </c>
      <c r="I1334" s="14">
        <v>0</v>
      </c>
      <c r="J1334" s="15">
        <v>1</v>
      </c>
      <c r="K1334" s="14">
        <v>1600.6111724050513</v>
      </c>
      <c r="L1334" s="13">
        <v>47516.544567743687</v>
      </c>
      <c r="M1334" s="14">
        <v>4.1024469705230011</v>
      </c>
      <c r="N1334" s="14">
        <v>1266.038668568707</v>
      </c>
      <c r="O1334" s="13">
        <v>37584.257723966635</v>
      </c>
      <c r="P1334" s="13">
        <v>9932.2868437770521</v>
      </c>
      <c r="Q1334" s="14">
        <v>1.2642672077422312</v>
      </c>
      <c r="R1334" s="15">
        <v>0.26426720774223128</v>
      </c>
    </row>
    <row r="1335" spans="1:18" ht="18" customHeight="1">
      <c r="A1335" s="10" t="s">
        <v>101</v>
      </c>
      <c r="B1335" s="10" t="s">
        <v>102</v>
      </c>
      <c r="C1335" s="10" t="s">
        <v>254</v>
      </c>
      <c r="D1335" s="10" t="s">
        <v>257</v>
      </c>
      <c r="E1335" s="16">
        <v>1</v>
      </c>
      <c r="F1335" s="16">
        <v>1</v>
      </c>
      <c r="G1335" s="13">
        <v>33.406781100800004</v>
      </c>
      <c r="H1335" s="13">
        <v>33.406781100800004</v>
      </c>
      <c r="I1335" s="14">
        <v>0</v>
      </c>
      <c r="J1335" s="15">
        <v>1</v>
      </c>
      <c r="K1335" s="14">
        <v>346.73685045253166</v>
      </c>
      <c r="L1335" s="13">
        <v>11583.362062648552</v>
      </c>
      <c r="M1335" s="14">
        <v>3.54</v>
      </c>
      <c r="N1335" s="14">
        <v>346.73685045253166</v>
      </c>
      <c r="O1335" s="13">
        <v>11583.362062648552</v>
      </c>
      <c r="P1335" s="13">
        <v>0</v>
      </c>
      <c r="Q1335" s="14">
        <v>1</v>
      </c>
      <c r="R1335" s="15">
        <v>0</v>
      </c>
    </row>
    <row r="1336" spans="1:18" ht="18" customHeight="1">
      <c r="A1336" s="10" t="s">
        <v>101</v>
      </c>
      <c r="B1336" s="10" t="s">
        <v>102</v>
      </c>
      <c r="C1336" s="10" t="s">
        <v>254</v>
      </c>
      <c r="D1336" s="10" t="s">
        <v>258</v>
      </c>
      <c r="E1336" s="16">
        <v>8</v>
      </c>
      <c r="F1336" s="16">
        <v>8</v>
      </c>
      <c r="G1336" s="13">
        <v>144635.88949857251</v>
      </c>
      <c r="H1336" s="13">
        <v>144635.88949857251</v>
      </c>
      <c r="I1336" s="14">
        <v>0</v>
      </c>
      <c r="J1336" s="15">
        <v>1</v>
      </c>
      <c r="K1336" s="14">
        <v>1225.8112628920803</v>
      </c>
      <c r="L1336" s="13">
        <v>177296302.36576453</v>
      </c>
      <c r="M1336" s="14">
        <v>4.087700427158703</v>
      </c>
      <c r="N1336" s="14">
        <v>1223.7717601355232</v>
      </c>
      <c r="O1336" s="13">
        <v>177001317.07043511</v>
      </c>
      <c r="P1336" s="13">
        <v>294985.29532942176</v>
      </c>
      <c r="Q1336" s="14">
        <v>1.001666571188349</v>
      </c>
      <c r="R1336" s="15">
        <v>1.6665711883490485E-3</v>
      </c>
    </row>
    <row r="1337" spans="1:18" ht="18" customHeight="1">
      <c r="A1337" s="10" t="s">
        <v>101</v>
      </c>
      <c r="B1337" s="10" t="s">
        <v>102</v>
      </c>
      <c r="C1337" s="10" t="s">
        <v>254</v>
      </c>
      <c r="D1337" s="10" t="s">
        <v>259</v>
      </c>
      <c r="E1337" s="16">
        <v>15</v>
      </c>
      <c r="F1337" s="16">
        <v>15</v>
      </c>
      <c r="G1337" s="13">
        <v>10993.624505052099</v>
      </c>
      <c r="H1337" s="13">
        <v>10993.624505052099</v>
      </c>
      <c r="I1337" s="14">
        <v>0</v>
      </c>
      <c r="J1337" s="15">
        <v>1</v>
      </c>
      <c r="K1337" s="14">
        <v>1918.5015263237535</v>
      </c>
      <c r="L1337" s="13">
        <v>21091285.392772671</v>
      </c>
      <c r="M1337" s="14">
        <v>4.2442200597600159</v>
      </c>
      <c r="N1337" s="14">
        <v>1754.7694293753782</v>
      </c>
      <c r="O1337" s="13">
        <v>19291276.199497446</v>
      </c>
      <c r="P1337" s="13">
        <v>1800009.1932752244</v>
      </c>
      <c r="Q1337" s="14">
        <v>1.0933069007286369</v>
      </c>
      <c r="R1337" s="15">
        <v>9.3306900728636927E-2</v>
      </c>
    </row>
    <row r="1338" spans="1:18" ht="18" customHeight="1">
      <c r="A1338" s="10" t="s">
        <v>101</v>
      </c>
      <c r="B1338" s="10" t="s">
        <v>102</v>
      </c>
      <c r="C1338" s="10" t="s">
        <v>254</v>
      </c>
      <c r="D1338" s="10" t="s">
        <v>260</v>
      </c>
      <c r="E1338" s="16">
        <v>3</v>
      </c>
      <c r="F1338" s="16">
        <v>3</v>
      </c>
      <c r="G1338" s="13">
        <v>18.860784484499998</v>
      </c>
      <c r="H1338" s="13">
        <v>18.860784484499998</v>
      </c>
      <c r="I1338" s="14">
        <v>0</v>
      </c>
      <c r="J1338" s="15">
        <v>1</v>
      </c>
      <c r="K1338" s="14">
        <v>997.52701001934565</v>
      </c>
      <c r="L1338" s="13">
        <v>18814.141953442548</v>
      </c>
      <c r="M1338" s="14">
        <v>3.977231929106507</v>
      </c>
      <c r="N1338" s="14">
        <v>948.92508864685283</v>
      </c>
      <c r="O1338" s="13">
        <v>17897.471588903347</v>
      </c>
      <c r="P1338" s="13">
        <v>916.67036453920082</v>
      </c>
      <c r="Q1338" s="14">
        <v>1.051217869517812</v>
      </c>
      <c r="R1338" s="15">
        <v>5.1217869517812098E-2</v>
      </c>
    </row>
    <row r="1339" spans="1:18" ht="18" customHeight="1">
      <c r="A1339" s="10" t="s">
        <v>101</v>
      </c>
      <c r="B1339" s="10" t="s">
        <v>102</v>
      </c>
      <c r="C1339" s="10" t="s">
        <v>254</v>
      </c>
      <c r="D1339" s="10" t="s">
        <v>261</v>
      </c>
      <c r="E1339" s="16">
        <v>1</v>
      </c>
      <c r="F1339" s="16">
        <v>1</v>
      </c>
      <c r="G1339" s="13">
        <v>0.16167426539999999</v>
      </c>
      <c r="H1339" s="13">
        <v>0.16167426539999999</v>
      </c>
      <c r="I1339" s="14">
        <v>0</v>
      </c>
      <c r="J1339" s="15">
        <v>1</v>
      </c>
      <c r="K1339" s="14">
        <v>2818.3829312644548</v>
      </c>
      <c r="L1339" s="13">
        <v>455.65999002807939</v>
      </c>
      <c r="M1339" s="14">
        <v>4.45</v>
      </c>
      <c r="N1339" s="14">
        <v>2818.3829312644548</v>
      </c>
      <c r="O1339" s="13">
        <v>455.65999002807939</v>
      </c>
      <c r="P1339" s="13">
        <v>0</v>
      </c>
      <c r="Q1339" s="14">
        <v>1</v>
      </c>
      <c r="R1339" s="15">
        <v>0</v>
      </c>
    </row>
    <row r="1340" spans="1:18" ht="18" customHeight="1">
      <c r="A1340" s="10" t="s">
        <v>101</v>
      </c>
      <c r="B1340" s="10" t="s">
        <v>102</v>
      </c>
      <c r="C1340" s="10" t="s">
        <v>254</v>
      </c>
      <c r="D1340" s="10" t="s">
        <v>262</v>
      </c>
      <c r="E1340" s="16">
        <v>7</v>
      </c>
      <c r="F1340" s="16">
        <v>7</v>
      </c>
      <c r="G1340" s="13">
        <v>10.266839990500001</v>
      </c>
      <c r="H1340" s="13">
        <v>10.266839990500001</v>
      </c>
      <c r="I1340" s="14">
        <v>0</v>
      </c>
      <c r="J1340" s="15">
        <v>1</v>
      </c>
      <c r="K1340" s="14">
        <v>521.71464612658735</v>
      </c>
      <c r="L1340" s="13">
        <v>5356.3607924820035</v>
      </c>
      <c r="M1340" s="14">
        <v>3.6907254870576423</v>
      </c>
      <c r="N1340" s="14">
        <v>490.59767653061391</v>
      </c>
      <c r="O1340" s="13">
        <v>5036.8878446508907</v>
      </c>
      <c r="P1340" s="13">
        <v>319.47294783111283</v>
      </c>
      <c r="Q1340" s="14">
        <v>1.0634266550466056</v>
      </c>
      <c r="R1340" s="15">
        <v>6.3426655046605607E-2</v>
      </c>
    </row>
    <row r="1341" spans="1:18" ht="18" customHeight="1">
      <c r="A1341" s="10" t="s">
        <v>101</v>
      </c>
      <c r="B1341" s="10" t="s">
        <v>102</v>
      </c>
      <c r="C1341" s="10" t="s">
        <v>254</v>
      </c>
      <c r="D1341" s="10" t="s">
        <v>263</v>
      </c>
      <c r="E1341" s="16">
        <v>1</v>
      </c>
      <c r="F1341" s="16">
        <v>1</v>
      </c>
      <c r="G1341" s="13">
        <v>301.43137443989997</v>
      </c>
      <c r="H1341" s="13">
        <v>301.43137443989997</v>
      </c>
      <c r="I1341" s="14">
        <v>0</v>
      </c>
      <c r="J1341" s="15">
        <v>1</v>
      </c>
      <c r="K1341" s="14">
        <v>616.59500186148216</v>
      </c>
      <c r="L1341" s="13">
        <v>185861.07888387924</v>
      </c>
      <c r="M1341" s="14">
        <v>3.79</v>
      </c>
      <c r="N1341" s="14">
        <v>616.59500186148216</v>
      </c>
      <c r="O1341" s="13">
        <v>185861.07888387924</v>
      </c>
      <c r="P1341" s="13">
        <v>0</v>
      </c>
      <c r="Q1341" s="14">
        <v>1</v>
      </c>
      <c r="R1341" s="15">
        <v>0</v>
      </c>
    </row>
    <row r="1342" spans="1:18" ht="18" customHeight="1">
      <c r="A1342" s="10" t="s">
        <v>101</v>
      </c>
      <c r="B1342" s="10" t="s">
        <v>102</v>
      </c>
      <c r="C1342" s="10" t="s">
        <v>254</v>
      </c>
      <c r="D1342" s="10" t="s">
        <v>264</v>
      </c>
      <c r="E1342" s="16">
        <v>5</v>
      </c>
      <c r="F1342" s="16">
        <v>5</v>
      </c>
      <c r="G1342" s="13">
        <v>65.647285162600014</v>
      </c>
      <c r="H1342" s="13">
        <v>65.647285162600014</v>
      </c>
      <c r="I1342" s="14">
        <v>0</v>
      </c>
      <c r="J1342" s="15">
        <v>1</v>
      </c>
      <c r="K1342" s="14">
        <v>1367.7337733041852</v>
      </c>
      <c r="L1342" s="13">
        <v>89788.009042618767</v>
      </c>
      <c r="M1342" s="14">
        <v>4.1261017420229775</v>
      </c>
      <c r="N1342" s="14">
        <v>1336.9086770114975</v>
      </c>
      <c r="O1342" s="13">
        <v>87764.425156128098</v>
      </c>
      <c r="P1342" s="13">
        <v>2023.5838864906691</v>
      </c>
      <c r="Q1342" s="14">
        <v>1.0230569947093122</v>
      </c>
      <c r="R1342" s="15">
        <v>2.3056994709312165E-2</v>
      </c>
    </row>
    <row r="1343" spans="1:18" ht="18" customHeight="1">
      <c r="A1343" s="10" t="s">
        <v>101</v>
      </c>
      <c r="B1343" s="10" t="s">
        <v>102</v>
      </c>
      <c r="C1343" s="10" t="s">
        <v>254</v>
      </c>
      <c r="D1343" s="10" t="s">
        <v>265</v>
      </c>
      <c r="E1343" s="16">
        <v>10</v>
      </c>
      <c r="F1343" s="16">
        <v>10</v>
      </c>
      <c r="G1343" s="13">
        <v>79.311364093500003</v>
      </c>
      <c r="H1343" s="13">
        <v>79.311364093500003</v>
      </c>
      <c r="I1343" s="14">
        <v>0</v>
      </c>
      <c r="J1343" s="15">
        <v>1</v>
      </c>
      <c r="K1343" s="14">
        <v>161.64973651858404</v>
      </c>
      <c r="L1343" s="13">
        <v>12820.661108643762</v>
      </c>
      <c r="M1343" s="14">
        <v>3.0024153643866871</v>
      </c>
      <c r="N1343" s="14">
        <v>100.55770763392491</v>
      </c>
      <c r="O1343" s="13">
        <v>7975.3689625619427</v>
      </c>
      <c r="P1343" s="13">
        <v>4845.2921460818197</v>
      </c>
      <c r="Q1343" s="14">
        <v>1.6075320363015979</v>
      </c>
      <c r="R1343" s="15">
        <v>0.60753203630159791</v>
      </c>
    </row>
    <row r="1344" spans="1:18" ht="18" customHeight="1">
      <c r="A1344" s="10" t="s">
        <v>101</v>
      </c>
      <c r="B1344" s="10" t="s">
        <v>102</v>
      </c>
      <c r="C1344" s="10" t="s">
        <v>254</v>
      </c>
      <c r="D1344" s="10" t="s">
        <v>266</v>
      </c>
      <c r="E1344" s="16">
        <v>6</v>
      </c>
      <c r="F1344" s="16">
        <v>6</v>
      </c>
      <c r="G1344" s="13">
        <v>138.33658260269999</v>
      </c>
      <c r="H1344" s="13">
        <v>138.33658260269999</v>
      </c>
      <c r="I1344" s="14">
        <v>0</v>
      </c>
      <c r="J1344" s="15">
        <v>1</v>
      </c>
      <c r="K1344" s="14">
        <v>2785.806789474063</v>
      </c>
      <c r="L1344" s="13">
        <v>385378.9910472412</v>
      </c>
      <c r="M1344" s="14">
        <v>4.4203252467184493</v>
      </c>
      <c r="N1344" s="14">
        <v>2632.2385590771501</v>
      </c>
      <c r="O1344" s="13">
        <v>364134.88685778819</v>
      </c>
      <c r="P1344" s="13">
        <v>21244.104189453006</v>
      </c>
      <c r="Q1344" s="14">
        <v>1.0583413041600429</v>
      </c>
      <c r="R1344" s="15">
        <v>5.8341304160042837E-2</v>
      </c>
    </row>
    <row r="1345" spans="1:18" ht="18" customHeight="1">
      <c r="A1345" s="10" t="s">
        <v>101</v>
      </c>
      <c r="B1345" s="10" t="s">
        <v>102</v>
      </c>
      <c r="C1345" s="10" t="s">
        <v>254</v>
      </c>
      <c r="D1345" s="10" t="s">
        <v>267</v>
      </c>
      <c r="E1345" s="16">
        <v>2</v>
      </c>
      <c r="F1345" s="16">
        <v>2</v>
      </c>
      <c r="G1345" s="13">
        <v>3807.8344749529992</v>
      </c>
      <c r="H1345" s="13">
        <v>3807.8344749529992</v>
      </c>
      <c r="I1345" s="14">
        <v>0</v>
      </c>
      <c r="J1345" s="15">
        <v>1</v>
      </c>
      <c r="K1345" s="14">
        <v>450.2587178078187</v>
      </c>
      <c r="L1345" s="13">
        <v>1714510.6683167459</v>
      </c>
      <c r="M1345" s="14">
        <v>3.6520345990078704</v>
      </c>
      <c r="N1345" s="14">
        <v>448.7811416279003</v>
      </c>
      <c r="O1345" s="13">
        <v>1708884.3027994833</v>
      </c>
      <c r="P1345" s="13">
        <v>5626.3655172626022</v>
      </c>
      <c r="Q1345" s="14">
        <v>1.0032924203868252</v>
      </c>
      <c r="R1345" s="15">
        <v>3.2924203868252089E-3</v>
      </c>
    </row>
    <row r="1346" spans="1:18" ht="18" customHeight="1">
      <c r="A1346" s="10" t="s">
        <v>101</v>
      </c>
      <c r="B1346" s="10" t="s">
        <v>102</v>
      </c>
      <c r="C1346" s="10" t="s">
        <v>254</v>
      </c>
      <c r="D1346" s="10" t="s">
        <v>268</v>
      </c>
      <c r="E1346" s="16">
        <v>19</v>
      </c>
      <c r="F1346" s="16">
        <v>19</v>
      </c>
      <c r="G1346" s="13">
        <v>2947.7238142253009</v>
      </c>
      <c r="H1346" s="13">
        <v>2947.7238142253009</v>
      </c>
      <c r="I1346" s="14">
        <v>0</v>
      </c>
      <c r="J1346" s="15">
        <v>1</v>
      </c>
      <c r="K1346" s="14">
        <v>1323.1193461473204</v>
      </c>
      <c r="L1346" s="13">
        <v>3900190.4057006654</v>
      </c>
      <c r="M1346" s="14">
        <v>4.1190732457146568</v>
      </c>
      <c r="N1346" s="14">
        <v>1315.4466694728615</v>
      </c>
      <c r="O1346" s="13">
        <v>3877573.4739485118</v>
      </c>
      <c r="P1346" s="13">
        <v>22616.931752153672</v>
      </c>
      <c r="Q1346" s="14">
        <v>1.005832753886962</v>
      </c>
      <c r="R1346" s="15">
        <v>5.832753886961934E-3</v>
      </c>
    </row>
    <row r="1347" spans="1:18" ht="18" customHeight="1">
      <c r="A1347" s="10" t="s">
        <v>101</v>
      </c>
      <c r="B1347" s="10" t="s">
        <v>102</v>
      </c>
      <c r="C1347" s="10" t="s">
        <v>254</v>
      </c>
      <c r="D1347" s="10" t="s">
        <v>269</v>
      </c>
      <c r="E1347" s="16">
        <v>14</v>
      </c>
      <c r="F1347" s="16">
        <v>14</v>
      </c>
      <c r="G1347" s="13">
        <v>412416.67962855782</v>
      </c>
      <c r="H1347" s="13">
        <v>412416.67962855782</v>
      </c>
      <c r="I1347" s="14">
        <v>0</v>
      </c>
      <c r="J1347" s="15">
        <v>1</v>
      </c>
      <c r="K1347" s="14">
        <v>207.53078706582875</v>
      </c>
      <c r="L1347" s="13">
        <v>85589158.122390345</v>
      </c>
      <c r="M1347" s="14">
        <v>3.2944624698812635</v>
      </c>
      <c r="N1347" s="14">
        <v>196.99829612381549</v>
      </c>
      <c r="O1347" s="13">
        <v>81245383.179867372</v>
      </c>
      <c r="P1347" s="13">
        <v>4343774.9425229728</v>
      </c>
      <c r="Q1347" s="14">
        <v>1.0534648834495173</v>
      </c>
      <c r="R1347" s="15">
        <v>5.3464883449517185E-2</v>
      </c>
    </row>
    <row r="1348" spans="1:18" ht="18" customHeight="1">
      <c r="A1348" s="10" t="s">
        <v>101</v>
      </c>
      <c r="B1348" s="10" t="s">
        <v>102</v>
      </c>
      <c r="C1348" s="10" t="s">
        <v>254</v>
      </c>
      <c r="D1348" s="10" t="s">
        <v>270</v>
      </c>
      <c r="E1348" s="16">
        <v>14</v>
      </c>
      <c r="F1348" s="16">
        <v>14</v>
      </c>
      <c r="G1348" s="13">
        <v>130226.62855519002</v>
      </c>
      <c r="H1348" s="13">
        <v>130226.62855519002</v>
      </c>
      <c r="I1348" s="14">
        <v>0</v>
      </c>
      <c r="J1348" s="15">
        <v>1</v>
      </c>
      <c r="K1348" s="14">
        <v>344.93816468564728</v>
      </c>
      <c r="L1348" s="13">
        <v>44920134.247026749</v>
      </c>
      <c r="M1348" s="14">
        <v>3.5193207664530957</v>
      </c>
      <c r="N1348" s="14">
        <v>330.61363948794548</v>
      </c>
      <c r="O1348" s="13">
        <v>43054699.624876179</v>
      </c>
      <c r="P1348" s="13">
        <v>1865434.6221505702</v>
      </c>
      <c r="Q1348" s="14">
        <v>1.0433270848108009</v>
      </c>
      <c r="R1348" s="15">
        <v>4.3327084810800956E-2</v>
      </c>
    </row>
    <row r="1349" spans="1:18" ht="18" customHeight="1">
      <c r="A1349" s="10" t="s">
        <v>101</v>
      </c>
      <c r="B1349" s="10" t="s">
        <v>102</v>
      </c>
      <c r="C1349" s="10" t="s">
        <v>254</v>
      </c>
      <c r="D1349" s="10" t="s">
        <v>276</v>
      </c>
      <c r="E1349" s="16">
        <v>1</v>
      </c>
      <c r="F1349" s="16">
        <v>1</v>
      </c>
      <c r="G1349" s="13">
        <v>1.1997451609000001</v>
      </c>
      <c r="H1349" s="13">
        <v>1.1997451609000001</v>
      </c>
      <c r="I1349" s="14">
        <v>0</v>
      </c>
      <c r="J1349" s="15">
        <v>1</v>
      </c>
      <c r="K1349" s="14">
        <v>33.88441561392024</v>
      </c>
      <c r="L1349" s="13">
        <v>40.65266366272521</v>
      </c>
      <c r="M1349" s="14">
        <v>2.5299999999999998</v>
      </c>
      <c r="N1349" s="14">
        <v>33.88441561392024</v>
      </c>
      <c r="O1349" s="13">
        <v>40.65266366272521</v>
      </c>
      <c r="P1349" s="13">
        <v>0</v>
      </c>
      <c r="Q1349" s="14">
        <v>1</v>
      </c>
      <c r="R1349" s="15">
        <v>0</v>
      </c>
    </row>
    <row r="1350" spans="1:18" ht="18" customHeight="1">
      <c r="A1350" s="10" t="s">
        <v>101</v>
      </c>
      <c r="B1350" s="10" t="s">
        <v>102</v>
      </c>
      <c r="C1350" s="10" t="s">
        <v>254</v>
      </c>
      <c r="D1350" s="10" t="s">
        <v>271</v>
      </c>
      <c r="E1350" s="16">
        <v>21</v>
      </c>
      <c r="F1350" s="16">
        <v>21</v>
      </c>
      <c r="G1350" s="13">
        <v>27.629967698399998</v>
      </c>
      <c r="H1350" s="13">
        <v>27.629967698399998</v>
      </c>
      <c r="I1350" s="14">
        <v>0</v>
      </c>
      <c r="J1350" s="15">
        <v>1</v>
      </c>
      <c r="K1350" s="14">
        <v>35.206943568950727</v>
      </c>
      <c r="L1350" s="13">
        <v>972.7667135695001</v>
      </c>
      <c r="M1350" s="14">
        <v>2.3237714670733771</v>
      </c>
      <c r="N1350" s="14">
        <v>21.075188468795208</v>
      </c>
      <c r="O1350" s="13">
        <v>582.30677663050369</v>
      </c>
      <c r="P1350" s="13">
        <v>390.45993693899641</v>
      </c>
      <c r="Q1350" s="14">
        <v>1.6705399157440313</v>
      </c>
      <c r="R1350" s="15">
        <v>0.67053991574403127</v>
      </c>
    </row>
    <row r="1351" spans="1:18" ht="18" customHeight="1">
      <c r="A1351" s="10" t="s">
        <v>101</v>
      </c>
      <c r="B1351" s="10" t="s">
        <v>102</v>
      </c>
      <c r="C1351" s="10" t="s">
        <v>254</v>
      </c>
      <c r="D1351" s="10" t="s">
        <v>272</v>
      </c>
      <c r="E1351" s="16">
        <v>4</v>
      </c>
      <c r="F1351" s="16">
        <v>4</v>
      </c>
      <c r="G1351" s="13">
        <v>47.153007731300001</v>
      </c>
      <c r="H1351" s="13">
        <v>47.153007731300001</v>
      </c>
      <c r="I1351" s="14">
        <v>0</v>
      </c>
      <c r="J1351" s="15">
        <v>1</v>
      </c>
      <c r="K1351" s="14">
        <v>70.973326384606935</v>
      </c>
      <c r="L1351" s="13">
        <v>3346.6058077294492</v>
      </c>
      <c r="M1351" s="14">
        <v>2.797532077273837</v>
      </c>
      <c r="N1351" s="14">
        <v>62.738203311914276</v>
      </c>
      <c r="O1351" s="13">
        <v>2958.2949858145653</v>
      </c>
      <c r="P1351" s="13">
        <v>388.31082191488395</v>
      </c>
      <c r="Q1351" s="14">
        <v>1.1312616976254526</v>
      </c>
      <c r="R1351" s="15">
        <v>0.13126169762545256</v>
      </c>
    </row>
    <row r="1352" spans="1:18" ht="18" customHeight="1">
      <c r="A1352" s="10" t="s">
        <v>101</v>
      </c>
      <c r="B1352" s="10" t="s">
        <v>102</v>
      </c>
      <c r="C1352" s="10" t="s">
        <v>254</v>
      </c>
      <c r="D1352" s="10" t="s">
        <v>273</v>
      </c>
      <c r="E1352" s="16">
        <v>3</v>
      </c>
      <c r="F1352" s="16">
        <v>3</v>
      </c>
      <c r="G1352" s="13">
        <v>17.746396982100002</v>
      </c>
      <c r="H1352" s="13">
        <v>17.746396982100002</v>
      </c>
      <c r="I1352" s="14">
        <v>0</v>
      </c>
      <c r="J1352" s="15">
        <v>1</v>
      </c>
      <c r="K1352" s="14">
        <v>149.43246059542662</v>
      </c>
      <c r="L1352" s="13">
        <v>2651.8877677384567</v>
      </c>
      <c r="M1352" s="14">
        <v>3.1733236323442156</v>
      </c>
      <c r="N1352" s="14">
        <v>149.04713498297795</v>
      </c>
      <c r="O1352" s="13">
        <v>2645.0496264525714</v>
      </c>
      <c r="P1352" s="13">
        <v>6.8381412858852855</v>
      </c>
      <c r="Q1352" s="14">
        <v>1.0025852601091105</v>
      </c>
      <c r="R1352" s="15">
        <v>2.5852601091104332E-3</v>
      </c>
    </row>
    <row r="1353" spans="1:18" ht="18" customHeight="1">
      <c r="A1353" s="10" t="s">
        <v>101</v>
      </c>
      <c r="B1353" s="10" t="s">
        <v>102</v>
      </c>
      <c r="C1353" s="10" t="s">
        <v>254</v>
      </c>
      <c r="D1353" s="10" t="s">
        <v>274</v>
      </c>
      <c r="E1353" s="16">
        <v>15</v>
      </c>
      <c r="F1353" s="16">
        <v>15</v>
      </c>
      <c r="G1353" s="13">
        <v>1360.6255301430001</v>
      </c>
      <c r="H1353" s="13">
        <v>1360.6255301430001</v>
      </c>
      <c r="I1353" s="14">
        <v>0</v>
      </c>
      <c r="J1353" s="15">
        <v>1</v>
      </c>
      <c r="K1353" s="14">
        <v>2129.309137006544</v>
      </c>
      <c r="L1353" s="13">
        <v>2897192.3733778629</v>
      </c>
      <c r="M1353" s="14">
        <v>4.2863103843335377</v>
      </c>
      <c r="N1353" s="14">
        <v>1933.3495619010812</v>
      </c>
      <c r="O1353" s="13">
        <v>2630564.7726133955</v>
      </c>
      <c r="P1353" s="13">
        <v>266627.60076446738</v>
      </c>
      <c r="Q1353" s="14">
        <v>1.1013575501125485</v>
      </c>
      <c r="R1353" s="15">
        <v>0.10135755011254866</v>
      </c>
    </row>
    <row r="1354" spans="1:18" ht="18" customHeight="1">
      <c r="A1354" s="10" t="s">
        <v>101</v>
      </c>
      <c r="B1354" s="10" t="s">
        <v>102</v>
      </c>
      <c r="C1354" s="10" t="s">
        <v>254</v>
      </c>
      <c r="D1354" s="10" t="s">
        <v>282</v>
      </c>
      <c r="E1354" s="16">
        <v>1</v>
      </c>
      <c r="F1354" s="16">
        <v>1</v>
      </c>
      <c r="G1354" s="13">
        <v>76.867325458600007</v>
      </c>
      <c r="H1354" s="13">
        <v>76.867325458600007</v>
      </c>
      <c r="I1354" s="14">
        <v>0</v>
      </c>
      <c r="J1354" s="15">
        <v>1</v>
      </c>
      <c r="K1354" s="14">
        <v>630.957344480193</v>
      </c>
      <c r="L1354" s="13">
        <v>48500.003548652996</v>
      </c>
      <c r="M1354" s="14">
        <v>3.8000000000000003</v>
      </c>
      <c r="N1354" s="14">
        <v>630.95734448019368</v>
      </c>
      <c r="O1354" s="13">
        <v>48500.003548653047</v>
      </c>
      <c r="P1354" s="13">
        <v>-5.0931703299283981E-11</v>
      </c>
      <c r="Q1354" s="14">
        <v>0.999999999999999</v>
      </c>
      <c r="R1354" s="15">
        <v>-1.0501381355197543E-15</v>
      </c>
    </row>
    <row r="1355" spans="1:18" ht="18" customHeight="1">
      <c r="A1355" s="10" t="s">
        <v>101</v>
      </c>
      <c r="B1355" s="10" t="s">
        <v>102</v>
      </c>
      <c r="C1355" s="10" t="s">
        <v>254</v>
      </c>
      <c r="D1355" s="10" t="s">
        <v>275</v>
      </c>
      <c r="E1355" s="16">
        <v>1</v>
      </c>
      <c r="F1355" s="16">
        <v>1</v>
      </c>
      <c r="G1355" s="13">
        <v>0.15304084549999999</v>
      </c>
      <c r="H1355" s="13">
        <v>0.15304084549999999</v>
      </c>
      <c r="I1355" s="14">
        <v>0</v>
      </c>
      <c r="J1355" s="15">
        <v>1</v>
      </c>
      <c r="K1355" s="14">
        <v>660.69344800759575</v>
      </c>
      <c r="L1355" s="13">
        <v>101.11308389939273</v>
      </c>
      <c r="M1355" s="14">
        <v>3.82</v>
      </c>
      <c r="N1355" s="14">
        <v>660.69344800759575</v>
      </c>
      <c r="O1355" s="13">
        <v>101.11308389939273</v>
      </c>
      <c r="P1355" s="13">
        <v>0</v>
      </c>
      <c r="Q1355" s="14">
        <v>1</v>
      </c>
      <c r="R1355" s="15">
        <v>0</v>
      </c>
    </row>
    <row r="1356" spans="1:18" ht="18" customHeight="1">
      <c r="A1356" s="10" t="s">
        <v>39</v>
      </c>
      <c r="B1356" s="10" t="s">
        <v>40</v>
      </c>
      <c r="C1356" s="10" t="s">
        <v>254</v>
      </c>
      <c r="D1356" s="10" t="s">
        <v>255</v>
      </c>
      <c r="E1356" s="16">
        <v>15</v>
      </c>
      <c r="F1356" s="16">
        <v>15</v>
      </c>
      <c r="G1356" s="13">
        <v>4742.9569126531005</v>
      </c>
      <c r="H1356" s="13">
        <v>4742.9569126531005</v>
      </c>
      <c r="I1356" s="14">
        <v>0</v>
      </c>
      <c r="J1356" s="15">
        <v>1</v>
      </c>
      <c r="K1356" s="14">
        <v>1118.7807853414713</v>
      </c>
      <c r="L1356" s="13">
        <v>5306329.0595787959</v>
      </c>
      <c r="M1356" s="14">
        <v>4.0241335927532376</v>
      </c>
      <c r="N1356" s="14">
        <v>1057.1426454597292</v>
      </c>
      <c r="O1356" s="13">
        <v>5013982.0179436086</v>
      </c>
      <c r="P1356" s="13">
        <v>292347.04163518734</v>
      </c>
      <c r="Q1356" s="14">
        <v>1.058306360212095</v>
      </c>
      <c r="R1356" s="15">
        <v>5.8306360212095065E-2</v>
      </c>
    </row>
    <row r="1357" spans="1:18" ht="18" customHeight="1">
      <c r="A1357" s="10" t="s">
        <v>39</v>
      </c>
      <c r="B1357" s="10" t="s">
        <v>40</v>
      </c>
      <c r="C1357" s="10" t="s">
        <v>254</v>
      </c>
      <c r="D1357" s="10" t="s">
        <v>256</v>
      </c>
      <c r="E1357" s="16">
        <v>5</v>
      </c>
      <c r="F1357" s="16">
        <v>5</v>
      </c>
      <c r="G1357" s="13">
        <v>4428.6411215407998</v>
      </c>
      <c r="H1357" s="13">
        <v>4428.6411215407998</v>
      </c>
      <c r="I1357" s="14">
        <v>0</v>
      </c>
      <c r="J1357" s="15">
        <v>1</v>
      </c>
      <c r="K1357" s="14">
        <v>2741.5709494481889</v>
      </c>
      <c r="L1357" s="13">
        <v>12141433.844347904</v>
      </c>
      <c r="M1357" s="14">
        <v>4.436411057511771</v>
      </c>
      <c r="N1357" s="14">
        <v>2731.561969125526</v>
      </c>
      <c r="O1357" s="13">
        <v>12097107.662506266</v>
      </c>
      <c r="P1357" s="13">
        <v>44326.181841637939</v>
      </c>
      <c r="Q1357" s="14">
        <v>1.0036641966888518</v>
      </c>
      <c r="R1357" s="15">
        <v>3.6641966888516959E-3</v>
      </c>
    </row>
    <row r="1358" spans="1:18" ht="18" customHeight="1">
      <c r="A1358" s="10" t="s">
        <v>39</v>
      </c>
      <c r="B1358" s="10" t="s">
        <v>40</v>
      </c>
      <c r="C1358" s="10" t="s">
        <v>254</v>
      </c>
      <c r="D1358" s="10" t="s">
        <v>257</v>
      </c>
      <c r="E1358" s="16">
        <v>3</v>
      </c>
      <c r="F1358" s="16">
        <v>3</v>
      </c>
      <c r="G1358" s="13">
        <v>30.766149094500001</v>
      </c>
      <c r="H1358" s="13">
        <v>30.766149094500001</v>
      </c>
      <c r="I1358" s="14">
        <v>0</v>
      </c>
      <c r="J1358" s="15">
        <v>1</v>
      </c>
      <c r="K1358" s="14">
        <v>356.48352252713391</v>
      </c>
      <c r="L1358" s="13">
        <v>10967.625203802352</v>
      </c>
      <c r="M1358" s="14">
        <v>3.5475455858860645</v>
      </c>
      <c r="N1358" s="14">
        <v>352.81381791240528</v>
      </c>
      <c r="O1358" s="13">
        <v>10854.722524492836</v>
      </c>
      <c r="P1358" s="13">
        <v>112.90267930951632</v>
      </c>
      <c r="Q1358" s="14">
        <v>1.0104012496915291</v>
      </c>
      <c r="R1358" s="15">
        <v>1.0401249691529214E-2</v>
      </c>
    </row>
    <row r="1359" spans="1:18" ht="18" customHeight="1">
      <c r="A1359" s="10" t="s">
        <v>39</v>
      </c>
      <c r="B1359" s="10" t="s">
        <v>40</v>
      </c>
      <c r="C1359" s="10" t="s">
        <v>254</v>
      </c>
      <c r="D1359" s="10" t="s">
        <v>258</v>
      </c>
      <c r="E1359" s="16">
        <v>13</v>
      </c>
      <c r="F1359" s="16">
        <v>13</v>
      </c>
      <c r="G1359" s="13">
        <v>312973.69058766955</v>
      </c>
      <c r="H1359" s="13">
        <v>312973.69058766955</v>
      </c>
      <c r="I1359" s="14">
        <v>0</v>
      </c>
      <c r="J1359" s="15">
        <v>1</v>
      </c>
      <c r="K1359" s="14">
        <v>1235.0297293670769</v>
      </c>
      <c r="L1359" s="13">
        <v>386531812.38550478</v>
      </c>
      <c r="M1359" s="14">
        <v>4.0911972222806847</v>
      </c>
      <c r="N1359" s="14">
        <v>1233.6649393002199</v>
      </c>
      <c r="O1359" s="13">
        <v>386104669.00140315</v>
      </c>
      <c r="P1359" s="13">
        <v>427143.38410162926</v>
      </c>
      <c r="Q1359" s="14">
        <v>1.0011062890930751</v>
      </c>
      <c r="R1359" s="15">
        <v>1.1062890930751137E-3</v>
      </c>
    </row>
    <row r="1360" spans="1:18" ht="18" customHeight="1">
      <c r="A1360" s="10" t="s">
        <v>39</v>
      </c>
      <c r="B1360" s="10" t="s">
        <v>40</v>
      </c>
      <c r="C1360" s="10" t="s">
        <v>254</v>
      </c>
      <c r="D1360" s="10" t="s">
        <v>259</v>
      </c>
      <c r="E1360" s="16">
        <v>18</v>
      </c>
      <c r="F1360" s="16">
        <v>18</v>
      </c>
      <c r="G1360" s="13">
        <v>255005.98974116609</v>
      </c>
      <c r="H1360" s="13">
        <v>255005.98974116609</v>
      </c>
      <c r="I1360" s="14">
        <v>0</v>
      </c>
      <c r="J1360" s="15">
        <v>1</v>
      </c>
      <c r="K1360" s="14">
        <v>2064.1346346011205</v>
      </c>
      <c r="L1360" s="13">
        <v>526366695.45547897</v>
      </c>
      <c r="M1360" s="14">
        <v>4.3089415110139351</v>
      </c>
      <c r="N1360" s="14">
        <v>2036.7677557696245</v>
      </c>
      <c r="O1360" s="13">
        <v>519387977.43292677</v>
      </c>
      <c r="P1360" s="13">
        <v>6978718.0225521922</v>
      </c>
      <c r="Q1360" s="14">
        <v>1.0134364258045487</v>
      </c>
      <c r="R1360" s="15">
        <v>1.343642580454881E-2</v>
      </c>
    </row>
    <row r="1361" spans="1:18" ht="18" customHeight="1">
      <c r="A1361" s="10" t="s">
        <v>39</v>
      </c>
      <c r="B1361" s="10" t="s">
        <v>40</v>
      </c>
      <c r="C1361" s="10" t="s">
        <v>254</v>
      </c>
      <c r="D1361" s="10" t="s">
        <v>260</v>
      </c>
      <c r="E1361" s="16">
        <v>3</v>
      </c>
      <c r="F1361" s="16">
        <v>3</v>
      </c>
      <c r="G1361" s="13">
        <v>87301.792971763003</v>
      </c>
      <c r="H1361" s="13">
        <v>87301.792971763003</v>
      </c>
      <c r="I1361" s="14">
        <v>0</v>
      </c>
      <c r="J1361" s="15">
        <v>1</v>
      </c>
      <c r="K1361" s="14">
        <v>267.80946155108848</v>
      </c>
      <c r="L1361" s="13">
        <v>23380246.168212451</v>
      </c>
      <c r="M1361" s="14">
        <v>3.3063435287043776</v>
      </c>
      <c r="N1361" s="14">
        <v>202.46200281455666</v>
      </c>
      <c r="O1361" s="13">
        <v>17675295.854364924</v>
      </c>
      <c r="P1361" s="13">
        <v>5704950.3138475269</v>
      </c>
      <c r="Q1361" s="14">
        <v>1.3227640635185569</v>
      </c>
      <c r="R1361" s="15">
        <v>0.32276406351855697</v>
      </c>
    </row>
    <row r="1362" spans="1:18" ht="18" customHeight="1">
      <c r="A1362" s="10" t="s">
        <v>39</v>
      </c>
      <c r="B1362" s="10" t="s">
        <v>40</v>
      </c>
      <c r="C1362" s="10" t="s">
        <v>254</v>
      </c>
      <c r="D1362" s="10" t="s">
        <v>261</v>
      </c>
      <c r="E1362" s="16">
        <v>3</v>
      </c>
      <c r="F1362" s="16">
        <v>3</v>
      </c>
      <c r="G1362" s="13">
        <v>238.652927963</v>
      </c>
      <c r="H1362" s="13">
        <v>238.652927963</v>
      </c>
      <c r="I1362" s="14">
        <v>0</v>
      </c>
      <c r="J1362" s="15">
        <v>1</v>
      </c>
      <c r="K1362" s="14">
        <v>746.30689235358841</v>
      </c>
      <c r="L1362" s="13">
        <v>178108.32501915132</v>
      </c>
      <c r="M1362" s="14">
        <v>3.5796491351375757</v>
      </c>
      <c r="N1362" s="14">
        <v>379.88236679197593</v>
      </c>
      <c r="O1362" s="13">
        <v>90660.039116419372</v>
      </c>
      <c r="P1362" s="13">
        <v>87448.28590273195</v>
      </c>
      <c r="Q1362" s="14">
        <v>1.9645736617258338</v>
      </c>
      <c r="R1362" s="15">
        <v>0.9645736617258337</v>
      </c>
    </row>
    <row r="1363" spans="1:18" ht="18" customHeight="1">
      <c r="A1363" s="10" t="s">
        <v>39</v>
      </c>
      <c r="B1363" s="10" t="s">
        <v>40</v>
      </c>
      <c r="C1363" s="10" t="s">
        <v>254</v>
      </c>
      <c r="D1363" s="10" t="s">
        <v>262</v>
      </c>
      <c r="E1363" s="16">
        <v>14</v>
      </c>
      <c r="F1363" s="16">
        <v>14</v>
      </c>
      <c r="G1363" s="13">
        <v>1546.2287764550999</v>
      </c>
      <c r="H1363" s="13">
        <v>1546.2287764550999</v>
      </c>
      <c r="I1363" s="14">
        <v>0</v>
      </c>
      <c r="J1363" s="15">
        <v>1</v>
      </c>
      <c r="K1363" s="14">
        <v>766.76695756434583</v>
      </c>
      <c r="L1363" s="13">
        <v>1185597.134620918</v>
      </c>
      <c r="M1363" s="14">
        <v>3.8514887818684773</v>
      </c>
      <c r="N1363" s="14">
        <v>710.37682023371678</v>
      </c>
      <c r="O1363" s="13">
        <v>1098405.0815720444</v>
      </c>
      <c r="P1363" s="13">
        <v>87192.053048873553</v>
      </c>
      <c r="Q1363" s="14">
        <v>1.0793805987533158</v>
      </c>
      <c r="R1363" s="15">
        <v>7.9380598753315781E-2</v>
      </c>
    </row>
    <row r="1364" spans="1:18" ht="18" customHeight="1">
      <c r="A1364" s="10" t="s">
        <v>39</v>
      </c>
      <c r="B1364" s="10" t="s">
        <v>40</v>
      </c>
      <c r="C1364" s="10" t="s">
        <v>254</v>
      </c>
      <c r="D1364" s="10" t="s">
        <v>263</v>
      </c>
      <c r="E1364" s="16">
        <v>6</v>
      </c>
      <c r="F1364" s="16">
        <v>6</v>
      </c>
      <c r="G1364" s="13">
        <v>853.93815154330002</v>
      </c>
      <c r="H1364" s="13">
        <v>853.93815154330002</v>
      </c>
      <c r="I1364" s="14">
        <v>0</v>
      </c>
      <c r="J1364" s="15">
        <v>1</v>
      </c>
      <c r="K1364" s="14">
        <v>217.79243506361519</v>
      </c>
      <c r="L1364" s="13">
        <v>185981.26941833776</v>
      </c>
      <c r="M1364" s="14">
        <v>3.3167804464146693</v>
      </c>
      <c r="N1364" s="14">
        <v>207.38648290887411</v>
      </c>
      <c r="O1364" s="13">
        <v>177095.22987027015</v>
      </c>
      <c r="P1364" s="13">
        <v>8886.0395480676088</v>
      </c>
      <c r="Q1364" s="14">
        <v>1.0501766171487341</v>
      </c>
      <c r="R1364" s="15">
        <v>5.0176617148734122E-2</v>
      </c>
    </row>
    <row r="1365" spans="1:18" ht="18" customHeight="1">
      <c r="A1365" s="10" t="s">
        <v>39</v>
      </c>
      <c r="B1365" s="10" t="s">
        <v>40</v>
      </c>
      <c r="C1365" s="10" t="s">
        <v>254</v>
      </c>
      <c r="D1365" s="10" t="s">
        <v>264</v>
      </c>
      <c r="E1365" s="16">
        <v>18</v>
      </c>
      <c r="F1365" s="16">
        <v>18</v>
      </c>
      <c r="G1365" s="13">
        <v>2983.5354851729999</v>
      </c>
      <c r="H1365" s="13">
        <v>2983.5354851729999</v>
      </c>
      <c r="I1365" s="14">
        <v>0</v>
      </c>
      <c r="J1365" s="15">
        <v>1</v>
      </c>
      <c r="K1365" s="14">
        <v>1419.1138883615579</v>
      </c>
      <c r="L1365" s="13">
        <v>4233976.6434285427</v>
      </c>
      <c r="M1365" s="14">
        <v>4.1330411315474382</v>
      </c>
      <c r="N1365" s="14">
        <v>1358.4420970352871</v>
      </c>
      <c r="O1365" s="13">
        <v>4052960.2010576027</v>
      </c>
      <c r="P1365" s="13">
        <v>181016.44237094</v>
      </c>
      <c r="Q1365" s="14">
        <v>1.0446627732302194</v>
      </c>
      <c r="R1365" s="15">
        <v>4.4662773230219367E-2</v>
      </c>
    </row>
    <row r="1366" spans="1:18" ht="18" customHeight="1">
      <c r="A1366" s="10" t="s">
        <v>39</v>
      </c>
      <c r="B1366" s="10" t="s">
        <v>40</v>
      </c>
      <c r="C1366" s="10" t="s">
        <v>254</v>
      </c>
      <c r="D1366" s="10" t="s">
        <v>265</v>
      </c>
      <c r="E1366" s="16">
        <v>14</v>
      </c>
      <c r="F1366" s="16">
        <v>14</v>
      </c>
      <c r="G1366" s="13">
        <v>58906.581401164694</v>
      </c>
      <c r="H1366" s="13">
        <v>58906.581401164694</v>
      </c>
      <c r="I1366" s="14">
        <v>0</v>
      </c>
      <c r="J1366" s="15">
        <v>1</v>
      </c>
      <c r="K1366" s="14">
        <v>113.51897176655487</v>
      </c>
      <c r="L1366" s="13">
        <v>6687014.5509430813</v>
      </c>
      <c r="M1366" s="14">
        <v>2.9948844564599755</v>
      </c>
      <c r="N1366" s="14">
        <v>98.829012624266383</v>
      </c>
      <c r="O1366" s="13">
        <v>5821679.2769480813</v>
      </c>
      <c r="P1366" s="13">
        <v>865335.27399499994</v>
      </c>
      <c r="Q1366" s="14">
        <v>1.1486401488006117</v>
      </c>
      <c r="R1366" s="15">
        <v>0.14864014880061163</v>
      </c>
    </row>
    <row r="1367" spans="1:18" ht="18" customHeight="1">
      <c r="A1367" s="10" t="s">
        <v>39</v>
      </c>
      <c r="B1367" s="10" t="s">
        <v>40</v>
      </c>
      <c r="C1367" s="10" t="s">
        <v>254</v>
      </c>
      <c r="D1367" s="10" t="s">
        <v>266</v>
      </c>
      <c r="E1367" s="16">
        <v>10</v>
      </c>
      <c r="F1367" s="16">
        <v>10</v>
      </c>
      <c r="G1367" s="13">
        <v>10289.480541226701</v>
      </c>
      <c r="H1367" s="13">
        <v>10289.480541226701</v>
      </c>
      <c r="I1367" s="14">
        <v>0</v>
      </c>
      <c r="J1367" s="15">
        <v>1</v>
      </c>
      <c r="K1367" s="14">
        <v>2569.5858830564589</v>
      </c>
      <c r="L1367" s="13">
        <v>26439703.942720264</v>
      </c>
      <c r="M1367" s="14">
        <v>4.327540348327747</v>
      </c>
      <c r="N1367" s="14">
        <v>2125.8878426263418</v>
      </c>
      <c r="O1367" s="13">
        <v>21874281.589534156</v>
      </c>
      <c r="P1367" s="13">
        <v>4565422.3531861082</v>
      </c>
      <c r="Q1367" s="14">
        <v>1.2087118762963376</v>
      </c>
      <c r="R1367" s="15">
        <v>0.20871187629633761</v>
      </c>
    </row>
    <row r="1368" spans="1:18" ht="18" customHeight="1">
      <c r="A1368" s="10" t="s">
        <v>39</v>
      </c>
      <c r="B1368" s="10" t="s">
        <v>40</v>
      </c>
      <c r="C1368" s="10" t="s">
        <v>254</v>
      </c>
      <c r="D1368" s="10" t="s">
        <v>267</v>
      </c>
      <c r="E1368" s="16">
        <v>3</v>
      </c>
      <c r="F1368" s="16">
        <v>3</v>
      </c>
      <c r="G1368" s="13">
        <v>9.8206760977999998</v>
      </c>
      <c r="H1368" s="13">
        <v>9.8206760977999998</v>
      </c>
      <c r="I1368" s="14">
        <v>0</v>
      </c>
      <c r="J1368" s="15">
        <v>1</v>
      </c>
      <c r="K1368" s="14">
        <v>835.58713898092685</v>
      </c>
      <c r="L1368" s="13">
        <v>8206.0306434190752</v>
      </c>
      <c r="M1368" s="14">
        <v>3.8909037970005937</v>
      </c>
      <c r="N1368" s="14">
        <v>777.86422289973245</v>
      </c>
      <c r="O1368" s="13">
        <v>7639.1525811651736</v>
      </c>
      <c r="P1368" s="13">
        <v>566.87806225390159</v>
      </c>
      <c r="Q1368" s="14">
        <v>1.0742069301837975</v>
      </c>
      <c r="R1368" s="15">
        <v>7.4206930183797648E-2</v>
      </c>
    </row>
    <row r="1369" spans="1:18" ht="18" customHeight="1">
      <c r="A1369" s="10" t="s">
        <v>39</v>
      </c>
      <c r="B1369" s="10" t="s">
        <v>40</v>
      </c>
      <c r="C1369" s="10" t="s">
        <v>254</v>
      </c>
      <c r="D1369" s="10" t="s">
        <v>268</v>
      </c>
      <c r="E1369" s="16">
        <v>24</v>
      </c>
      <c r="F1369" s="16">
        <v>24</v>
      </c>
      <c r="G1369" s="13">
        <v>154594.76455023731</v>
      </c>
      <c r="H1369" s="13">
        <v>154594.76455023731</v>
      </c>
      <c r="I1369" s="14">
        <v>0</v>
      </c>
      <c r="J1369" s="15">
        <v>1</v>
      </c>
      <c r="K1369" s="14">
        <v>965.92511684668284</v>
      </c>
      <c r="L1369" s="13">
        <v>149326966.0120734</v>
      </c>
      <c r="M1369" s="14">
        <v>3.7508258129558434</v>
      </c>
      <c r="N1369" s="14">
        <v>563.41163708694205</v>
      </c>
      <c r="O1369" s="13">
        <v>87100489.380319551</v>
      </c>
      <c r="P1369" s="13">
        <v>62226476.631753847</v>
      </c>
      <c r="Q1369" s="14">
        <v>1.7144216648432975</v>
      </c>
      <c r="R1369" s="15">
        <v>0.7144216648432975</v>
      </c>
    </row>
    <row r="1370" spans="1:18" ht="18" customHeight="1">
      <c r="A1370" s="10" t="s">
        <v>39</v>
      </c>
      <c r="B1370" s="10" t="s">
        <v>40</v>
      </c>
      <c r="C1370" s="10" t="s">
        <v>254</v>
      </c>
      <c r="D1370" s="10" t="s">
        <v>269</v>
      </c>
      <c r="E1370" s="16">
        <v>32</v>
      </c>
      <c r="F1370" s="16">
        <v>32</v>
      </c>
      <c r="G1370" s="13">
        <v>432008.66991429671</v>
      </c>
      <c r="H1370" s="13">
        <v>432008.66991429671</v>
      </c>
      <c r="I1370" s="14">
        <v>0</v>
      </c>
      <c r="J1370" s="15">
        <v>1</v>
      </c>
      <c r="K1370" s="14">
        <v>413.0694627331689</v>
      </c>
      <c r="L1370" s="13">
        <v>178449589.17756945</v>
      </c>
      <c r="M1370" s="14">
        <v>3.4715794504011996</v>
      </c>
      <c r="N1370" s="14">
        <v>296.19617809993349</v>
      </c>
      <c r="O1370" s="13">
        <v>127959316.93465041</v>
      </c>
      <c r="P1370" s="13">
        <v>50490272.242919043</v>
      </c>
      <c r="Q1370" s="14">
        <v>1.3945806640145222</v>
      </c>
      <c r="R1370" s="15">
        <v>0.39458066401452213</v>
      </c>
    </row>
    <row r="1371" spans="1:18" ht="18" customHeight="1">
      <c r="A1371" s="10" t="s">
        <v>39</v>
      </c>
      <c r="B1371" s="10" t="s">
        <v>40</v>
      </c>
      <c r="C1371" s="10" t="s">
        <v>254</v>
      </c>
      <c r="D1371" s="10" t="s">
        <v>270</v>
      </c>
      <c r="E1371" s="16">
        <v>25</v>
      </c>
      <c r="F1371" s="16">
        <v>25</v>
      </c>
      <c r="G1371" s="13">
        <v>1046918.2565423957</v>
      </c>
      <c r="H1371" s="13">
        <v>1046918.2565423957</v>
      </c>
      <c r="I1371" s="14">
        <v>0</v>
      </c>
      <c r="J1371" s="15">
        <v>1</v>
      </c>
      <c r="K1371" s="14">
        <v>290.37458975971691</v>
      </c>
      <c r="L1371" s="13">
        <v>303998459.25545621</v>
      </c>
      <c r="M1371" s="14">
        <v>3.4459934137784152</v>
      </c>
      <c r="N1371" s="14">
        <v>279.25014916938187</v>
      </c>
      <c r="O1371" s="13">
        <v>292352079.30761319</v>
      </c>
      <c r="P1371" s="13">
        <v>11646379.947843015</v>
      </c>
      <c r="Q1371" s="14">
        <v>1.0398368295358991</v>
      </c>
      <c r="R1371" s="15">
        <v>3.983682953589901E-2</v>
      </c>
    </row>
    <row r="1372" spans="1:18" ht="18" customHeight="1">
      <c r="A1372" s="10" t="s">
        <v>39</v>
      </c>
      <c r="B1372" s="10" t="s">
        <v>40</v>
      </c>
      <c r="C1372" s="10" t="s">
        <v>254</v>
      </c>
      <c r="D1372" s="10" t="s">
        <v>276</v>
      </c>
      <c r="E1372" s="16">
        <v>5</v>
      </c>
      <c r="F1372" s="16">
        <v>5</v>
      </c>
      <c r="G1372" s="13">
        <v>110.2556114378</v>
      </c>
      <c r="H1372" s="13">
        <v>110.2556114378</v>
      </c>
      <c r="I1372" s="14">
        <v>0</v>
      </c>
      <c r="J1372" s="15">
        <v>1</v>
      </c>
      <c r="K1372" s="14">
        <v>161.36919116704109</v>
      </c>
      <c r="L1372" s="13">
        <v>17791.85883934535</v>
      </c>
      <c r="M1372" s="14">
        <v>3.0935853427626587</v>
      </c>
      <c r="N1372" s="14">
        <v>124.04673641375329</v>
      </c>
      <c r="O1372" s="13">
        <v>13676.84877016198</v>
      </c>
      <c r="P1372" s="13">
        <v>4115.0100691833704</v>
      </c>
      <c r="Q1372" s="14">
        <v>1.3008741368962753</v>
      </c>
      <c r="R1372" s="15">
        <v>0.30087413689627535</v>
      </c>
    </row>
    <row r="1373" spans="1:18" ht="18" customHeight="1">
      <c r="A1373" s="10" t="s">
        <v>39</v>
      </c>
      <c r="B1373" s="10" t="s">
        <v>40</v>
      </c>
      <c r="C1373" s="10" t="s">
        <v>254</v>
      </c>
      <c r="D1373" s="10" t="s">
        <v>271</v>
      </c>
      <c r="E1373" s="16">
        <v>43</v>
      </c>
      <c r="F1373" s="16">
        <v>43</v>
      </c>
      <c r="G1373" s="13">
        <v>75665.70219619869</v>
      </c>
      <c r="H1373" s="13">
        <v>75665.70219619869</v>
      </c>
      <c r="I1373" s="14">
        <v>0</v>
      </c>
      <c r="J1373" s="15">
        <v>1</v>
      </c>
      <c r="K1373" s="14">
        <v>66.268282885781019</v>
      </c>
      <c r="L1373" s="13">
        <v>5014236.1578889573</v>
      </c>
      <c r="M1373" s="14">
        <v>2.2052695367179034</v>
      </c>
      <c r="N1373" s="14">
        <v>16.042407236821273</v>
      </c>
      <c r="O1373" s="13">
        <v>1213860.0084914612</v>
      </c>
      <c r="P1373" s="13">
        <v>3800376.1493974961</v>
      </c>
      <c r="Q1373" s="14">
        <v>4.1308191412619797</v>
      </c>
      <c r="R1373" s="15">
        <v>3.1308191412619801</v>
      </c>
    </row>
    <row r="1374" spans="1:18" ht="18" customHeight="1">
      <c r="A1374" s="10" t="s">
        <v>39</v>
      </c>
      <c r="B1374" s="10" t="s">
        <v>40</v>
      </c>
      <c r="C1374" s="10" t="s">
        <v>254</v>
      </c>
      <c r="D1374" s="10" t="s">
        <v>272</v>
      </c>
      <c r="E1374" s="16">
        <v>12</v>
      </c>
      <c r="F1374" s="16">
        <v>12</v>
      </c>
      <c r="G1374" s="13">
        <v>47952.2365559928</v>
      </c>
      <c r="H1374" s="13">
        <v>47952.2365559928</v>
      </c>
      <c r="I1374" s="14">
        <v>0</v>
      </c>
      <c r="J1374" s="15">
        <v>1</v>
      </c>
      <c r="K1374" s="14">
        <v>150.94441963590006</v>
      </c>
      <c r="L1374" s="13">
        <v>7238122.5171877248</v>
      </c>
      <c r="M1374" s="14">
        <v>3.1754034799314845</v>
      </c>
      <c r="N1374" s="14">
        <v>149.76263750773595</v>
      </c>
      <c r="O1374" s="13">
        <v>7181453.4210203541</v>
      </c>
      <c r="P1374" s="13">
        <v>56669.096167370677</v>
      </c>
      <c r="Q1374" s="14">
        <v>1.0078910344250787</v>
      </c>
      <c r="R1374" s="15">
        <v>7.8910344250786805E-3</v>
      </c>
    </row>
    <row r="1375" spans="1:18" ht="18" customHeight="1">
      <c r="A1375" s="10" t="s">
        <v>39</v>
      </c>
      <c r="B1375" s="10" t="s">
        <v>40</v>
      </c>
      <c r="C1375" s="10" t="s">
        <v>254</v>
      </c>
      <c r="D1375" s="10" t="s">
        <v>280</v>
      </c>
      <c r="E1375" s="16">
        <v>1</v>
      </c>
      <c r="F1375" s="16">
        <v>1</v>
      </c>
      <c r="G1375" s="13">
        <v>1.0098579548</v>
      </c>
      <c r="H1375" s="13">
        <v>1.0098579548</v>
      </c>
      <c r="I1375" s="14">
        <v>0</v>
      </c>
      <c r="J1375" s="15">
        <v>1</v>
      </c>
      <c r="K1375" s="14">
        <v>346.73685045253166</v>
      </c>
      <c r="L1375" s="13">
        <v>350.15496665178705</v>
      </c>
      <c r="M1375" s="14">
        <v>3.54</v>
      </c>
      <c r="N1375" s="14">
        <v>346.73685045253166</v>
      </c>
      <c r="O1375" s="13">
        <v>350.15496665178705</v>
      </c>
      <c r="P1375" s="13">
        <v>0</v>
      </c>
      <c r="Q1375" s="14">
        <v>1</v>
      </c>
      <c r="R1375" s="15">
        <v>0</v>
      </c>
    </row>
    <row r="1376" spans="1:18" ht="18" customHeight="1">
      <c r="A1376" s="10" t="s">
        <v>39</v>
      </c>
      <c r="B1376" s="10" t="s">
        <v>40</v>
      </c>
      <c r="C1376" s="10" t="s">
        <v>254</v>
      </c>
      <c r="D1376" s="10" t="s">
        <v>283</v>
      </c>
      <c r="E1376" s="16">
        <v>1</v>
      </c>
      <c r="F1376" s="16">
        <v>1</v>
      </c>
      <c r="G1376" s="13">
        <v>0.167775376</v>
      </c>
      <c r="H1376" s="13">
        <v>0.167775376</v>
      </c>
      <c r="I1376" s="14">
        <v>0</v>
      </c>
      <c r="J1376" s="15">
        <v>1</v>
      </c>
      <c r="K1376" s="14">
        <v>204.17379446695296</v>
      </c>
      <c r="L1376" s="13">
        <v>34.255335136039754</v>
      </c>
      <c r="M1376" s="14">
        <v>3.31</v>
      </c>
      <c r="N1376" s="14">
        <v>204.17379446695296</v>
      </c>
      <c r="O1376" s="13">
        <v>34.255335136039754</v>
      </c>
      <c r="P1376" s="13">
        <v>0</v>
      </c>
      <c r="Q1376" s="14">
        <v>1</v>
      </c>
      <c r="R1376" s="15">
        <v>0</v>
      </c>
    </row>
    <row r="1377" spans="1:18" ht="18" customHeight="1">
      <c r="A1377" s="10" t="s">
        <v>39</v>
      </c>
      <c r="B1377" s="10" t="s">
        <v>40</v>
      </c>
      <c r="C1377" s="10" t="s">
        <v>254</v>
      </c>
      <c r="D1377" s="10" t="s">
        <v>278</v>
      </c>
      <c r="E1377" s="16">
        <v>2</v>
      </c>
      <c r="F1377" s="16">
        <v>2</v>
      </c>
      <c r="G1377" s="13">
        <v>38.940948160300003</v>
      </c>
      <c r="H1377" s="13">
        <v>38.940948160300003</v>
      </c>
      <c r="I1377" s="14">
        <v>0</v>
      </c>
      <c r="J1377" s="15">
        <v>1</v>
      </c>
      <c r="K1377" s="14">
        <v>138.03295145034565</v>
      </c>
      <c r="L1377" s="13">
        <v>5375.1340068411173</v>
      </c>
      <c r="M1377" s="14">
        <v>3.1399815573259531</v>
      </c>
      <c r="N1377" s="14">
        <v>138.03256466890659</v>
      </c>
      <c r="O1377" s="13">
        <v>5375.1189452051494</v>
      </c>
      <c r="P1377" s="13">
        <v>1.5061635967867915E-2</v>
      </c>
      <c r="Q1377" s="14">
        <v>1.0000028021028224</v>
      </c>
      <c r="R1377" s="15">
        <v>2.8021028225437838E-6</v>
      </c>
    </row>
    <row r="1378" spans="1:18" ht="18" customHeight="1">
      <c r="A1378" s="10" t="s">
        <v>39</v>
      </c>
      <c r="B1378" s="10" t="s">
        <v>40</v>
      </c>
      <c r="C1378" s="10" t="s">
        <v>254</v>
      </c>
      <c r="D1378" s="10" t="s">
        <v>273</v>
      </c>
      <c r="E1378" s="16">
        <v>9</v>
      </c>
      <c r="F1378" s="16">
        <v>9</v>
      </c>
      <c r="G1378" s="13">
        <v>140385.7362918877</v>
      </c>
      <c r="H1378" s="13">
        <v>140385.7362918877</v>
      </c>
      <c r="I1378" s="14">
        <v>0</v>
      </c>
      <c r="J1378" s="15">
        <v>1</v>
      </c>
      <c r="K1378" s="14">
        <v>102.5408934371946</v>
      </c>
      <c r="L1378" s="13">
        <v>14395278.82520856</v>
      </c>
      <c r="M1378" s="14">
        <v>3.0107486187394277</v>
      </c>
      <c r="N1378" s="14">
        <v>102.50584232714947</v>
      </c>
      <c r="O1378" s="13">
        <v>14390358.149317026</v>
      </c>
      <c r="P1378" s="13">
        <v>4920.675891533494</v>
      </c>
      <c r="Q1378" s="14">
        <v>1.0003419425590716</v>
      </c>
      <c r="R1378" s="15">
        <v>3.4194255907154278E-4</v>
      </c>
    </row>
    <row r="1379" spans="1:18" ht="18" customHeight="1">
      <c r="A1379" s="10" t="s">
        <v>39</v>
      </c>
      <c r="B1379" s="10" t="s">
        <v>40</v>
      </c>
      <c r="C1379" s="10" t="s">
        <v>254</v>
      </c>
      <c r="D1379" s="10" t="s">
        <v>284</v>
      </c>
      <c r="E1379" s="16">
        <v>3</v>
      </c>
      <c r="F1379" s="16">
        <v>3</v>
      </c>
      <c r="G1379" s="13">
        <v>92.094093379699984</v>
      </c>
      <c r="H1379" s="13">
        <v>92.094093379699984</v>
      </c>
      <c r="I1379" s="14">
        <v>0</v>
      </c>
      <c r="J1379" s="15">
        <v>1</v>
      </c>
      <c r="K1379" s="14">
        <v>164.14667501327767</v>
      </c>
      <c r="L1379" s="13">
        <v>15116.939216640059</v>
      </c>
      <c r="M1379" s="14">
        <v>3.1809337884827253</v>
      </c>
      <c r="N1379" s="14">
        <v>151.68190991511048</v>
      </c>
      <c r="O1379" s="13">
        <v>13969.007975733426</v>
      </c>
      <c r="P1379" s="13">
        <v>1147.9312409066333</v>
      </c>
      <c r="Q1379" s="14">
        <v>1.0821770051889716</v>
      </c>
      <c r="R1379" s="15">
        <v>8.2177005188971738E-2</v>
      </c>
    </row>
    <row r="1380" spans="1:18" ht="18" customHeight="1">
      <c r="A1380" s="10" t="s">
        <v>39</v>
      </c>
      <c r="B1380" s="10" t="s">
        <v>40</v>
      </c>
      <c r="C1380" s="10" t="s">
        <v>254</v>
      </c>
      <c r="D1380" s="10" t="s">
        <v>274</v>
      </c>
      <c r="E1380" s="16">
        <v>19</v>
      </c>
      <c r="F1380" s="16">
        <v>19</v>
      </c>
      <c r="G1380" s="13">
        <v>78364.906990052899</v>
      </c>
      <c r="H1380" s="13">
        <v>78364.906990052899</v>
      </c>
      <c r="I1380" s="14">
        <v>0</v>
      </c>
      <c r="J1380" s="15">
        <v>1</v>
      </c>
      <c r="K1380" s="14">
        <v>607.19231592882431</v>
      </c>
      <c r="L1380" s="13">
        <v>47582569.362837136</v>
      </c>
      <c r="M1380" s="14">
        <v>3.4874735680533164</v>
      </c>
      <c r="N1380" s="14">
        <v>307.23703695663966</v>
      </c>
      <c r="O1380" s="13">
        <v>24076601.825006511</v>
      </c>
      <c r="P1380" s="13">
        <v>23505967.537830625</v>
      </c>
      <c r="Q1380" s="14">
        <v>1.9762992181652805</v>
      </c>
      <c r="R1380" s="15">
        <v>0.97629921816528065</v>
      </c>
    </row>
    <row r="1381" spans="1:18" ht="18" customHeight="1">
      <c r="A1381" s="10" t="s">
        <v>39</v>
      </c>
      <c r="B1381" s="10" t="s">
        <v>40</v>
      </c>
      <c r="C1381" s="10" t="s">
        <v>254</v>
      </c>
      <c r="D1381" s="10" t="s">
        <v>282</v>
      </c>
      <c r="E1381" s="16">
        <v>6</v>
      </c>
      <c r="F1381" s="16">
        <v>6</v>
      </c>
      <c r="G1381" s="13">
        <v>1027.7688397753</v>
      </c>
      <c r="H1381" s="13">
        <v>1027.7688397753</v>
      </c>
      <c r="I1381" s="14">
        <v>0</v>
      </c>
      <c r="J1381" s="15">
        <v>1</v>
      </c>
      <c r="K1381" s="14">
        <v>926.78655329065668</v>
      </c>
      <c r="L1381" s="13">
        <v>952522.34059488738</v>
      </c>
      <c r="M1381" s="14">
        <v>3.9318720293285967</v>
      </c>
      <c r="N1381" s="14">
        <v>854.81479317134972</v>
      </c>
      <c r="O1381" s="13">
        <v>878552.00820048107</v>
      </c>
      <c r="P1381" s="13">
        <v>73970.332394406316</v>
      </c>
      <c r="Q1381" s="14">
        <v>1.0841957353736156</v>
      </c>
      <c r="R1381" s="15">
        <v>8.419573537361566E-2</v>
      </c>
    </row>
    <row r="1382" spans="1:18" ht="18" customHeight="1">
      <c r="A1382" s="10" t="s">
        <v>39</v>
      </c>
      <c r="B1382" s="10" t="s">
        <v>40</v>
      </c>
      <c r="C1382" s="10" t="s">
        <v>254</v>
      </c>
      <c r="D1382" s="10" t="s">
        <v>275</v>
      </c>
      <c r="E1382" s="16">
        <v>5</v>
      </c>
      <c r="F1382" s="16">
        <v>5</v>
      </c>
      <c r="G1382" s="13">
        <v>788.11259451440003</v>
      </c>
      <c r="H1382" s="13">
        <v>788.11259451440003</v>
      </c>
      <c r="I1382" s="14">
        <v>0</v>
      </c>
      <c r="J1382" s="15">
        <v>1</v>
      </c>
      <c r="K1382" s="14">
        <v>675.41495993907108</v>
      </c>
      <c r="L1382" s="13">
        <v>532303.03645142086</v>
      </c>
      <c r="M1382" s="14">
        <v>3.8281007951103265</v>
      </c>
      <c r="N1382" s="14">
        <v>673.13286510432886</v>
      </c>
      <c r="O1382" s="13">
        <v>530504.48877028422</v>
      </c>
      <c r="P1382" s="13">
        <v>1798.5476811366389</v>
      </c>
      <c r="Q1382" s="14">
        <v>1.0033902591197781</v>
      </c>
      <c r="R1382" s="15">
        <v>3.3902591197780322E-3</v>
      </c>
    </row>
    <row r="1383" spans="1:18" ht="18" customHeight="1">
      <c r="A1383" s="10" t="s">
        <v>113</v>
      </c>
      <c r="B1383" s="10" t="s">
        <v>114</v>
      </c>
      <c r="C1383" s="10" t="s">
        <v>254</v>
      </c>
      <c r="D1383" s="10" t="s">
        <v>255</v>
      </c>
      <c r="E1383" s="16">
        <v>6</v>
      </c>
      <c r="F1383" s="16">
        <v>6</v>
      </c>
      <c r="G1383" s="13">
        <v>2.4559780399999998E-2</v>
      </c>
      <c r="H1383" s="13">
        <v>2.4559780399999998E-2</v>
      </c>
      <c r="I1383" s="14">
        <v>0</v>
      </c>
      <c r="J1383" s="15">
        <v>1</v>
      </c>
      <c r="K1383" s="14">
        <v>652.45969556625698</v>
      </c>
      <c r="L1383" s="13">
        <v>16.024266842958124</v>
      </c>
      <c r="M1383" s="14">
        <v>3.8071207497848794</v>
      </c>
      <c r="N1383" s="14">
        <v>641.38788113721387</v>
      </c>
      <c r="O1383" s="13">
        <v>15.752345511951274</v>
      </c>
      <c r="P1383" s="13">
        <v>0.27192133100684934</v>
      </c>
      <c r="Q1383" s="14">
        <v>1.0172622756909784</v>
      </c>
      <c r="R1383" s="15">
        <v>1.726227569097841E-2</v>
      </c>
    </row>
    <row r="1384" spans="1:18" ht="18" customHeight="1">
      <c r="A1384" s="10" t="s">
        <v>113</v>
      </c>
      <c r="B1384" s="10" t="s">
        <v>114</v>
      </c>
      <c r="C1384" s="10" t="s">
        <v>254</v>
      </c>
      <c r="D1384" s="10" t="s">
        <v>258</v>
      </c>
      <c r="E1384" s="16">
        <v>8</v>
      </c>
      <c r="F1384" s="16">
        <v>8</v>
      </c>
      <c r="G1384" s="13">
        <v>48555.436578724599</v>
      </c>
      <c r="H1384" s="13">
        <v>48555.436578724599</v>
      </c>
      <c r="I1384" s="14">
        <v>0</v>
      </c>
      <c r="J1384" s="15">
        <v>1</v>
      </c>
      <c r="K1384" s="14">
        <v>1264.2609979185622</v>
      </c>
      <c r="L1384" s="13">
        <v>61386744.703389816</v>
      </c>
      <c r="M1384" s="14">
        <v>4.0972002161481162</v>
      </c>
      <c r="N1384" s="14">
        <v>1250.8355509140517</v>
      </c>
      <c r="O1384" s="13">
        <v>60734866.262821279</v>
      </c>
      <c r="P1384" s="13">
        <v>651878.44056853652</v>
      </c>
      <c r="Q1384" s="14">
        <v>1.0107331831068438</v>
      </c>
      <c r="R1384" s="15">
        <v>1.0733183106843895E-2</v>
      </c>
    </row>
    <row r="1385" spans="1:18" ht="18" customHeight="1">
      <c r="A1385" s="10" t="s">
        <v>113</v>
      </c>
      <c r="B1385" s="10" t="s">
        <v>114</v>
      </c>
      <c r="C1385" s="10" t="s">
        <v>254</v>
      </c>
      <c r="D1385" s="10" t="s">
        <v>259</v>
      </c>
      <c r="E1385" s="16">
        <v>14</v>
      </c>
      <c r="F1385" s="16">
        <v>14</v>
      </c>
      <c r="G1385" s="13">
        <v>2442.9237946778999</v>
      </c>
      <c r="H1385" s="13">
        <v>2442.9237946778999</v>
      </c>
      <c r="I1385" s="14">
        <v>0</v>
      </c>
      <c r="J1385" s="15">
        <v>1</v>
      </c>
      <c r="K1385" s="14">
        <v>964.12528135550565</v>
      </c>
      <c r="L1385" s="13">
        <v>2355284.5908738896</v>
      </c>
      <c r="M1385" s="14">
        <v>3.9391886804413327</v>
      </c>
      <c r="N1385" s="14">
        <v>869.33803357284955</v>
      </c>
      <c r="O1385" s="13">
        <v>2123726.5678336089</v>
      </c>
      <c r="P1385" s="13">
        <v>231558.02304028068</v>
      </c>
      <c r="Q1385" s="14">
        <v>1.1090338212778921</v>
      </c>
      <c r="R1385" s="15">
        <v>0.10903382127789199</v>
      </c>
    </row>
    <row r="1386" spans="1:18" ht="18" customHeight="1">
      <c r="A1386" s="10" t="s">
        <v>113</v>
      </c>
      <c r="B1386" s="10" t="s">
        <v>114</v>
      </c>
      <c r="C1386" s="10" t="s">
        <v>254</v>
      </c>
      <c r="D1386" s="10" t="s">
        <v>260</v>
      </c>
      <c r="E1386" s="16">
        <v>2</v>
      </c>
      <c r="F1386" s="16">
        <v>2</v>
      </c>
      <c r="G1386" s="13">
        <v>6018.0994695500995</v>
      </c>
      <c r="H1386" s="13">
        <v>6018.0994695500995</v>
      </c>
      <c r="I1386" s="14">
        <v>0</v>
      </c>
      <c r="J1386" s="15">
        <v>1</v>
      </c>
      <c r="K1386" s="14">
        <v>579.88654009467564</v>
      </c>
      <c r="L1386" s="13">
        <v>3489814.87934301</v>
      </c>
      <c r="M1386" s="14">
        <v>3.4675530393346952</v>
      </c>
      <c r="N1386" s="14">
        <v>293.46278810771162</v>
      </c>
      <c r="O1386" s="13">
        <v>1766088.2494437124</v>
      </c>
      <c r="P1386" s="13">
        <v>1723726.6298992976</v>
      </c>
      <c r="Q1386" s="14">
        <v>1.9760138715844138</v>
      </c>
      <c r="R1386" s="15">
        <v>0.97601387158441377</v>
      </c>
    </row>
    <row r="1387" spans="1:18" ht="18" customHeight="1">
      <c r="A1387" s="10" t="s">
        <v>113</v>
      </c>
      <c r="B1387" s="10" t="s">
        <v>114</v>
      </c>
      <c r="C1387" s="10" t="s">
        <v>254</v>
      </c>
      <c r="D1387" s="10" t="s">
        <v>261</v>
      </c>
      <c r="E1387" s="16">
        <v>2</v>
      </c>
      <c r="F1387" s="16">
        <v>2</v>
      </c>
      <c r="G1387" s="13">
        <v>3126.3407776510999</v>
      </c>
      <c r="H1387" s="13">
        <v>3126.3407776510999</v>
      </c>
      <c r="I1387" s="14">
        <v>0</v>
      </c>
      <c r="J1387" s="15">
        <v>1</v>
      </c>
      <c r="K1387" s="14">
        <v>904.8531177582571</v>
      </c>
      <c r="L1387" s="13">
        <v>2828879.1998323719</v>
      </c>
      <c r="M1387" s="14">
        <v>3.8897736446720552</v>
      </c>
      <c r="N1387" s="14">
        <v>775.84264018173144</v>
      </c>
      <c r="O1387" s="13">
        <v>2425548.4830406369</v>
      </c>
      <c r="P1387" s="13">
        <v>403330.71679173503</v>
      </c>
      <c r="Q1387" s="14">
        <v>1.1662843351150518</v>
      </c>
      <c r="R1387" s="15">
        <v>0.16628433511505189</v>
      </c>
    </row>
    <row r="1388" spans="1:18" ht="18" customHeight="1">
      <c r="A1388" s="10" t="s">
        <v>113</v>
      </c>
      <c r="B1388" s="10" t="s">
        <v>114</v>
      </c>
      <c r="C1388" s="10" t="s">
        <v>254</v>
      </c>
      <c r="D1388" s="10" t="s">
        <v>262</v>
      </c>
      <c r="E1388" s="16">
        <v>2</v>
      </c>
      <c r="F1388" s="16">
        <v>2</v>
      </c>
      <c r="G1388" s="13">
        <v>2.6441969000000004E-3</v>
      </c>
      <c r="H1388" s="13">
        <v>2.6441969000000004E-3</v>
      </c>
      <c r="I1388" s="14">
        <v>0</v>
      </c>
      <c r="J1388" s="15">
        <v>1</v>
      </c>
      <c r="K1388" s="14">
        <v>694.09308038636016</v>
      </c>
      <c r="L1388" s="13">
        <v>1.8353187714690646</v>
      </c>
      <c r="M1388" s="14">
        <v>3.840911873090842</v>
      </c>
      <c r="N1388" s="14">
        <v>693.28511053039119</v>
      </c>
      <c r="O1388" s="13">
        <v>1.833182340080618</v>
      </c>
      <c r="P1388" s="13">
        <v>2.1364313884466579E-3</v>
      </c>
      <c r="Q1388" s="14">
        <v>1.0011654221960009</v>
      </c>
      <c r="R1388" s="15">
        <v>1.1654221960008101E-3</v>
      </c>
    </row>
    <row r="1389" spans="1:18" ht="18" customHeight="1">
      <c r="A1389" s="10" t="s">
        <v>113</v>
      </c>
      <c r="B1389" s="10" t="s">
        <v>114</v>
      </c>
      <c r="C1389" s="10" t="s">
        <v>254</v>
      </c>
      <c r="D1389" s="10" t="s">
        <v>264</v>
      </c>
      <c r="E1389" s="16">
        <v>3</v>
      </c>
      <c r="F1389" s="16">
        <v>3</v>
      </c>
      <c r="G1389" s="13">
        <v>4.7930961999999994E-3</v>
      </c>
      <c r="H1389" s="13">
        <v>4.7930961999999994E-3</v>
      </c>
      <c r="I1389" s="14">
        <v>0</v>
      </c>
      <c r="J1389" s="15">
        <v>1</v>
      </c>
      <c r="K1389" s="14">
        <v>2338.3179345804219</v>
      </c>
      <c r="L1389" s="13">
        <v>11.207782806629268</v>
      </c>
      <c r="M1389" s="14">
        <v>4.3686951837102699</v>
      </c>
      <c r="N1389" s="14">
        <v>2337.1962655589696</v>
      </c>
      <c r="O1389" s="13">
        <v>11.202406539104887</v>
      </c>
      <c r="P1389" s="13">
        <v>5.3762675243813618E-3</v>
      </c>
      <c r="Q1389" s="14">
        <v>1.0004799207657402</v>
      </c>
      <c r="R1389" s="15">
        <v>4.7992076574030005E-4</v>
      </c>
    </row>
    <row r="1390" spans="1:18" ht="18" customHeight="1">
      <c r="A1390" s="10" t="s">
        <v>113</v>
      </c>
      <c r="B1390" s="10" t="s">
        <v>114</v>
      </c>
      <c r="C1390" s="10" t="s">
        <v>254</v>
      </c>
      <c r="D1390" s="10" t="s">
        <v>265</v>
      </c>
      <c r="E1390" s="16">
        <v>4</v>
      </c>
      <c r="F1390" s="16">
        <v>4</v>
      </c>
      <c r="G1390" s="13">
        <v>28.457958256800001</v>
      </c>
      <c r="H1390" s="13">
        <v>28.457958256800001</v>
      </c>
      <c r="I1390" s="14">
        <v>0</v>
      </c>
      <c r="J1390" s="15">
        <v>1</v>
      </c>
      <c r="K1390" s="14">
        <v>42.590199765371096</v>
      </c>
      <c r="L1390" s="13">
        <v>1212.0301270717039</v>
      </c>
      <c r="M1390" s="14">
        <v>2.6161800750913664</v>
      </c>
      <c r="N1390" s="14">
        <v>41.321880278304874</v>
      </c>
      <c r="O1390" s="13">
        <v>1175.9363440524874</v>
      </c>
      <c r="P1390" s="13">
        <v>36.093783019216517</v>
      </c>
      <c r="Q1390" s="14">
        <v>1.0306936537864209</v>
      </c>
      <c r="R1390" s="15">
        <v>3.0693653786420846E-2</v>
      </c>
    </row>
    <row r="1391" spans="1:18" ht="18" customHeight="1">
      <c r="A1391" s="10" t="s">
        <v>113</v>
      </c>
      <c r="B1391" s="10" t="s">
        <v>114</v>
      </c>
      <c r="C1391" s="10" t="s">
        <v>254</v>
      </c>
      <c r="D1391" s="10" t="s">
        <v>268</v>
      </c>
      <c r="E1391" s="16">
        <v>6</v>
      </c>
      <c r="F1391" s="16">
        <v>6</v>
      </c>
      <c r="G1391" s="13">
        <v>7307.8893723611991</v>
      </c>
      <c r="H1391" s="13">
        <v>7307.8893723611991</v>
      </c>
      <c r="I1391" s="14">
        <v>0</v>
      </c>
      <c r="J1391" s="15">
        <v>1</v>
      </c>
      <c r="K1391" s="14">
        <v>1304.8626871071676</v>
      </c>
      <c r="L1391" s="13">
        <v>9535792.1635011472</v>
      </c>
      <c r="M1391" s="14">
        <v>3.7473266591563559</v>
      </c>
      <c r="N1391" s="14">
        <v>558.89041197551921</v>
      </c>
      <c r="O1391" s="13">
        <v>4084309.301990469</v>
      </c>
      <c r="P1391" s="13">
        <v>5451482.8615106782</v>
      </c>
      <c r="Q1391" s="14">
        <v>2.3347380079304778</v>
      </c>
      <c r="R1391" s="15">
        <v>1.3347380079304776</v>
      </c>
    </row>
    <row r="1392" spans="1:18" ht="18" customHeight="1">
      <c r="A1392" s="10" t="s">
        <v>113</v>
      </c>
      <c r="B1392" s="10" t="s">
        <v>114</v>
      </c>
      <c r="C1392" s="10" t="s">
        <v>254</v>
      </c>
      <c r="D1392" s="10" t="s">
        <v>269</v>
      </c>
      <c r="E1392" s="16">
        <v>20</v>
      </c>
      <c r="F1392" s="16">
        <v>20</v>
      </c>
      <c r="G1392" s="13">
        <v>15885.517773366697</v>
      </c>
      <c r="H1392" s="13">
        <v>15885.517773366697</v>
      </c>
      <c r="I1392" s="14">
        <v>0</v>
      </c>
      <c r="J1392" s="15">
        <v>1</v>
      </c>
      <c r="K1392" s="14">
        <v>976.62057453985153</v>
      </c>
      <c r="L1392" s="13">
        <v>15514123.494688407</v>
      </c>
      <c r="M1392" s="14">
        <v>3.5391914544035363</v>
      </c>
      <c r="N1392" s="14">
        <v>346.09191538052858</v>
      </c>
      <c r="O1392" s="13">
        <v>5497849.2729959097</v>
      </c>
      <c r="P1392" s="13">
        <v>10016274.221692497</v>
      </c>
      <c r="Q1392" s="14">
        <v>2.8218531873709205</v>
      </c>
      <c r="R1392" s="15">
        <v>1.8218531873709207</v>
      </c>
    </row>
    <row r="1393" spans="1:18" ht="18" customHeight="1">
      <c r="A1393" s="10" t="s">
        <v>113</v>
      </c>
      <c r="B1393" s="10" t="s">
        <v>114</v>
      </c>
      <c r="C1393" s="10" t="s">
        <v>254</v>
      </c>
      <c r="D1393" s="10" t="s">
        <v>270</v>
      </c>
      <c r="E1393" s="16">
        <v>12</v>
      </c>
      <c r="F1393" s="16">
        <v>12</v>
      </c>
      <c r="G1393" s="13">
        <v>445632.61897257128</v>
      </c>
      <c r="H1393" s="13">
        <v>445632.61897257128</v>
      </c>
      <c r="I1393" s="14">
        <v>0</v>
      </c>
      <c r="J1393" s="15">
        <v>1</v>
      </c>
      <c r="K1393" s="14">
        <v>243.3886248033499</v>
      </c>
      <c r="L1393" s="13">
        <v>108461910.29924934</v>
      </c>
      <c r="M1393" s="14">
        <v>3.3820450404361786</v>
      </c>
      <c r="N1393" s="14">
        <v>241.01553715821453</v>
      </c>
      <c r="O1393" s="13">
        <v>107404385.03689621</v>
      </c>
      <c r="P1393" s="13">
        <v>1057525.2623531222</v>
      </c>
      <c r="Q1393" s="14">
        <v>1.0098462019217356</v>
      </c>
      <c r="R1393" s="15">
        <v>9.8462019217356415E-3</v>
      </c>
    </row>
    <row r="1394" spans="1:18" ht="18" customHeight="1">
      <c r="A1394" s="10" t="s">
        <v>113</v>
      </c>
      <c r="B1394" s="10" t="s">
        <v>114</v>
      </c>
      <c r="C1394" s="10" t="s">
        <v>254</v>
      </c>
      <c r="D1394" s="10" t="s">
        <v>276</v>
      </c>
      <c r="E1394" s="16">
        <v>4</v>
      </c>
      <c r="F1394" s="16">
        <v>4</v>
      </c>
      <c r="G1394" s="13">
        <v>0.22570889990000004</v>
      </c>
      <c r="H1394" s="13">
        <v>0.22570889990000004</v>
      </c>
      <c r="I1394" s="14">
        <v>0</v>
      </c>
      <c r="J1394" s="15">
        <v>1</v>
      </c>
      <c r="K1394" s="14">
        <v>37.848994158058268</v>
      </c>
      <c r="L1394" s="13">
        <v>8.5428548337368593</v>
      </c>
      <c r="M1394" s="14">
        <v>2.5512687148939484</v>
      </c>
      <c r="N1394" s="14">
        <v>35.5851429591673</v>
      </c>
      <c r="O1394" s="13">
        <v>8.0318834700978829</v>
      </c>
      <c r="P1394" s="13">
        <v>0.51097136363897633</v>
      </c>
      <c r="Q1394" s="14">
        <v>1.0636178756254726</v>
      </c>
      <c r="R1394" s="15">
        <v>6.3617875625472595E-2</v>
      </c>
    </row>
    <row r="1395" spans="1:18" ht="18" customHeight="1">
      <c r="A1395" s="10" t="s">
        <v>113</v>
      </c>
      <c r="B1395" s="10" t="s">
        <v>114</v>
      </c>
      <c r="C1395" s="10" t="s">
        <v>254</v>
      </c>
      <c r="D1395" s="10" t="s">
        <v>271</v>
      </c>
      <c r="E1395" s="16">
        <v>7</v>
      </c>
      <c r="F1395" s="16">
        <v>7</v>
      </c>
      <c r="G1395" s="13">
        <v>14519.801170434601</v>
      </c>
      <c r="H1395" s="13">
        <v>14519.801170434601</v>
      </c>
      <c r="I1395" s="14">
        <v>0</v>
      </c>
      <c r="J1395" s="15">
        <v>1</v>
      </c>
      <c r="K1395" s="14">
        <v>11.242626484504484</v>
      </c>
      <c r="L1395" s="13">
        <v>163240.70118846724</v>
      </c>
      <c r="M1395" s="14">
        <v>2.0039376769355037</v>
      </c>
      <c r="N1395" s="14">
        <v>10.091080644812877</v>
      </c>
      <c r="O1395" s="13">
        <v>146520.48455750395</v>
      </c>
      <c r="P1395" s="13">
        <v>16720.216630963288</v>
      </c>
      <c r="Q1395" s="14">
        <v>1.1141152152305449</v>
      </c>
      <c r="R1395" s="15">
        <v>0.11411521523054487</v>
      </c>
    </row>
    <row r="1396" spans="1:18" ht="18" customHeight="1">
      <c r="A1396" s="10" t="s">
        <v>113</v>
      </c>
      <c r="B1396" s="10" t="s">
        <v>114</v>
      </c>
      <c r="C1396" s="10" t="s">
        <v>254</v>
      </c>
      <c r="D1396" s="10" t="s">
        <v>272</v>
      </c>
      <c r="E1396" s="16">
        <v>4</v>
      </c>
      <c r="F1396" s="16">
        <v>4</v>
      </c>
      <c r="G1396" s="13">
        <v>91.010846147600006</v>
      </c>
      <c r="H1396" s="13">
        <v>91.010846147600006</v>
      </c>
      <c r="I1396" s="14">
        <v>0</v>
      </c>
      <c r="J1396" s="15">
        <v>1</v>
      </c>
      <c r="K1396" s="14">
        <v>138.75383185205305</v>
      </c>
      <c r="L1396" s="13">
        <v>12628.103643077162</v>
      </c>
      <c r="M1396" s="14">
        <v>3.1138562121059041</v>
      </c>
      <c r="N1396" s="14">
        <v>129.97391841209634</v>
      </c>
      <c r="O1396" s="13">
        <v>11829.036291804015</v>
      </c>
      <c r="P1396" s="13">
        <v>799.06735127314641</v>
      </c>
      <c r="Q1396" s="14">
        <v>1.0675513483568222</v>
      </c>
      <c r="R1396" s="15">
        <v>6.7551348356822291E-2</v>
      </c>
    </row>
    <row r="1397" spans="1:18" ht="18" customHeight="1">
      <c r="A1397" s="10" t="s">
        <v>113</v>
      </c>
      <c r="B1397" s="10" t="s">
        <v>114</v>
      </c>
      <c r="C1397" s="10" t="s">
        <v>254</v>
      </c>
      <c r="D1397" s="10" t="s">
        <v>283</v>
      </c>
      <c r="E1397" s="16">
        <v>1</v>
      </c>
      <c r="F1397" s="16">
        <v>1</v>
      </c>
      <c r="G1397" s="13">
        <v>312.89857282679998</v>
      </c>
      <c r="H1397" s="13">
        <v>312.89857282679998</v>
      </c>
      <c r="I1397" s="14">
        <v>0</v>
      </c>
      <c r="J1397" s="15">
        <v>1</v>
      </c>
      <c r="K1397" s="14">
        <v>204.17379446695296</v>
      </c>
      <c r="L1397" s="13">
        <v>63885.68889734197</v>
      </c>
      <c r="M1397" s="14">
        <v>3.3099999999999996</v>
      </c>
      <c r="N1397" s="14">
        <v>204.17379446695276</v>
      </c>
      <c r="O1397" s="13">
        <v>63885.688897341905</v>
      </c>
      <c r="P1397" s="13">
        <v>6.5483618527650833E-11</v>
      </c>
      <c r="Q1397" s="14">
        <v>1.0000000000000011</v>
      </c>
      <c r="R1397" s="15">
        <v>1.0250123252623393E-15</v>
      </c>
    </row>
    <row r="1398" spans="1:18" ht="18" customHeight="1">
      <c r="A1398" s="10" t="s">
        <v>113</v>
      </c>
      <c r="B1398" s="10" t="s">
        <v>114</v>
      </c>
      <c r="C1398" s="10" t="s">
        <v>254</v>
      </c>
      <c r="D1398" s="10" t="s">
        <v>278</v>
      </c>
      <c r="E1398" s="16">
        <v>2</v>
      </c>
      <c r="F1398" s="16">
        <v>2</v>
      </c>
      <c r="G1398" s="13">
        <v>789.31964266980003</v>
      </c>
      <c r="H1398" s="13">
        <v>789.31964266980003</v>
      </c>
      <c r="I1398" s="14">
        <v>0</v>
      </c>
      <c r="J1398" s="15">
        <v>1</v>
      </c>
      <c r="K1398" s="14">
        <v>141.45499650667909</v>
      </c>
      <c r="L1398" s="13">
        <v>111653.20729650975</v>
      </c>
      <c r="M1398" s="14">
        <v>3.1374370989492348</v>
      </c>
      <c r="N1398" s="14">
        <v>137.22621949888077</v>
      </c>
      <c r="O1398" s="13">
        <v>108315.35053978411</v>
      </c>
      <c r="P1398" s="13">
        <v>3337.8567567256396</v>
      </c>
      <c r="Q1398" s="14">
        <v>1.0308161007658803</v>
      </c>
      <c r="R1398" s="15">
        <v>3.0816100765880351E-2</v>
      </c>
    </row>
    <row r="1399" spans="1:18" ht="18" customHeight="1">
      <c r="A1399" s="10" t="s">
        <v>113</v>
      </c>
      <c r="B1399" s="10" t="s">
        <v>114</v>
      </c>
      <c r="C1399" s="10" t="s">
        <v>254</v>
      </c>
      <c r="D1399" s="10" t="s">
        <v>273</v>
      </c>
      <c r="E1399" s="16">
        <v>3</v>
      </c>
      <c r="F1399" s="16">
        <v>3</v>
      </c>
      <c r="G1399" s="13">
        <v>355522.26164876361</v>
      </c>
      <c r="H1399" s="13">
        <v>355522.26164876361</v>
      </c>
      <c r="I1399" s="14">
        <v>0</v>
      </c>
      <c r="J1399" s="15">
        <v>1</v>
      </c>
      <c r="K1399" s="14">
        <v>102.32931943975743</v>
      </c>
      <c r="L1399" s="13">
        <v>36380351.08020135</v>
      </c>
      <c r="M1399" s="14">
        <v>3.0100000762827723</v>
      </c>
      <c r="N1399" s="14">
        <v>102.3293172019702</v>
      </c>
      <c r="O1399" s="13">
        <v>36380350.284618177</v>
      </c>
      <c r="P1399" s="13">
        <v>0.79558317363262177</v>
      </c>
      <c r="Q1399" s="14">
        <v>1.0000000218684859</v>
      </c>
      <c r="R1399" s="15">
        <v>2.1868485800946202E-8</v>
      </c>
    </row>
    <row r="1400" spans="1:18" ht="18" customHeight="1">
      <c r="A1400" s="10" t="s">
        <v>113</v>
      </c>
      <c r="B1400" s="10" t="s">
        <v>114</v>
      </c>
      <c r="C1400" s="10" t="s">
        <v>254</v>
      </c>
      <c r="D1400" s="10" t="s">
        <v>284</v>
      </c>
      <c r="E1400" s="16">
        <v>3</v>
      </c>
      <c r="F1400" s="16">
        <v>3</v>
      </c>
      <c r="G1400" s="13">
        <v>1179.1952849762999</v>
      </c>
      <c r="H1400" s="13">
        <v>1179.1952849762999</v>
      </c>
      <c r="I1400" s="14">
        <v>0</v>
      </c>
      <c r="J1400" s="15">
        <v>1</v>
      </c>
      <c r="K1400" s="14">
        <v>128.92765425496984</v>
      </c>
      <c r="L1400" s="13">
        <v>152030.88200051503</v>
      </c>
      <c r="M1400" s="14">
        <v>3.1102490999260946</v>
      </c>
      <c r="N1400" s="14">
        <v>128.89886698026811</v>
      </c>
      <c r="O1400" s="13">
        <v>151996.93618191945</v>
      </c>
      <c r="P1400" s="13">
        <v>33.945818595588207</v>
      </c>
      <c r="Q1400" s="14">
        <v>1.0002233322555591</v>
      </c>
      <c r="R1400" s="15">
        <v>2.2333225555914974E-4</v>
      </c>
    </row>
    <row r="1401" spans="1:18" ht="18" customHeight="1">
      <c r="A1401" s="10" t="s">
        <v>113</v>
      </c>
      <c r="B1401" s="10" t="s">
        <v>114</v>
      </c>
      <c r="C1401" s="10" t="s">
        <v>254</v>
      </c>
      <c r="D1401" s="10" t="s">
        <v>274</v>
      </c>
      <c r="E1401" s="16">
        <v>12</v>
      </c>
      <c r="F1401" s="16">
        <v>12</v>
      </c>
      <c r="G1401" s="13">
        <v>35760.595530516992</v>
      </c>
      <c r="H1401" s="13">
        <v>35760.595530516992</v>
      </c>
      <c r="I1401" s="14">
        <v>0</v>
      </c>
      <c r="J1401" s="15">
        <v>1</v>
      </c>
      <c r="K1401" s="14">
        <v>276.53423492934854</v>
      </c>
      <c r="L1401" s="13">
        <v>9889028.9256493971</v>
      </c>
      <c r="M1401" s="14">
        <v>3.4036731814714614</v>
      </c>
      <c r="N1401" s="14">
        <v>253.32215941971873</v>
      </c>
      <c r="O1401" s="13">
        <v>9058951.2819257062</v>
      </c>
      <c r="P1401" s="13">
        <v>830077.64372369088</v>
      </c>
      <c r="Q1401" s="14">
        <v>1.0916306554578619</v>
      </c>
      <c r="R1401" s="15">
        <v>9.1630655457861906E-2</v>
      </c>
    </row>
    <row r="1402" spans="1:18" ht="18" customHeight="1">
      <c r="A1402" s="10" t="s">
        <v>113</v>
      </c>
      <c r="B1402" s="10" t="s">
        <v>114</v>
      </c>
      <c r="C1402" s="10" t="s">
        <v>254</v>
      </c>
      <c r="D1402" s="10" t="s">
        <v>282</v>
      </c>
      <c r="E1402" s="16">
        <v>1</v>
      </c>
      <c r="F1402" s="16">
        <v>1</v>
      </c>
      <c r="G1402" s="13">
        <v>2.1827263200000002E-2</v>
      </c>
      <c r="H1402" s="13">
        <v>2.1827263200000002E-2</v>
      </c>
      <c r="I1402" s="14">
        <v>0</v>
      </c>
      <c r="J1402" s="15">
        <v>1</v>
      </c>
      <c r="K1402" s="14">
        <v>630.957344480193</v>
      </c>
      <c r="L1402" s="13">
        <v>13.772072025942242</v>
      </c>
      <c r="M1402" s="14">
        <v>3.8</v>
      </c>
      <c r="N1402" s="14">
        <v>630.957344480193</v>
      </c>
      <c r="O1402" s="13">
        <v>13.772072025942242</v>
      </c>
      <c r="P1402" s="13">
        <v>0</v>
      </c>
      <c r="Q1402" s="14">
        <v>1</v>
      </c>
      <c r="R1402" s="15">
        <v>0</v>
      </c>
    </row>
    <row r="1403" spans="1:18" ht="18" customHeight="1">
      <c r="A1403" s="10" t="s">
        <v>113</v>
      </c>
      <c r="B1403" s="10" t="s">
        <v>114</v>
      </c>
      <c r="C1403" s="10" t="s">
        <v>254</v>
      </c>
      <c r="D1403" s="10" t="s">
        <v>275</v>
      </c>
      <c r="E1403" s="16">
        <v>1</v>
      </c>
      <c r="F1403" s="16">
        <v>1</v>
      </c>
      <c r="G1403" s="13">
        <v>6.6273700000000002E-5</v>
      </c>
      <c r="H1403" s="13">
        <v>6.6273700000000002E-5</v>
      </c>
      <c r="I1403" s="14">
        <v>0</v>
      </c>
      <c r="J1403" s="15">
        <v>1</v>
      </c>
      <c r="K1403" s="14">
        <v>660.69344800759575</v>
      </c>
      <c r="L1403" s="13">
        <v>4.3786599365221002E-2</v>
      </c>
      <c r="M1403" s="14">
        <v>3.82</v>
      </c>
      <c r="N1403" s="14">
        <v>660.69344800759575</v>
      </c>
      <c r="O1403" s="13">
        <v>4.3786599365221002E-2</v>
      </c>
      <c r="P1403" s="13">
        <v>0</v>
      </c>
      <c r="Q1403" s="14">
        <v>1</v>
      </c>
      <c r="R1403" s="15">
        <v>0</v>
      </c>
    </row>
    <row r="1404" spans="1:18" ht="18" customHeight="1">
      <c r="A1404" s="10" t="s">
        <v>55</v>
      </c>
      <c r="B1404" s="10" t="s">
        <v>56</v>
      </c>
      <c r="C1404" s="10" t="s">
        <v>254</v>
      </c>
      <c r="D1404" s="10" t="s">
        <v>255</v>
      </c>
      <c r="E1404" s="16">
        <v>18</v>
      </c>
      <c r="F1404" s="16">
        <v>18</v>
      </c>
      <c r="G1404" s="13">
        <v>23035.566241771998</v>
      </c>
      <c r="H1404" s="13">
        <v>23035.566241771998</v>
      </c>
      <c r="I1404" s="14">
        <v>0</v>
      </c>
      <c r="J1404" s="15">
        <v>1</v>
      </c>
      <c r="K1404" s="14">
        <v>1071.7185903080274</v>
      </c>
      <c r="L1404" s="13">
        <v>24687644.57957907</v>
      </c>
      <c r="M1404" s="14">
        <v>3.9487234371652957</v>
      </c>
      <c r="N1404" s="14">
        <v>888.6350464327885</v>
      </c>
      <c r="O1404" s="13">
        <v>20470211.476862635</v>
      </c>
      <c r="P1404" s="13">
        <v>4217433.1027164347</v>
      </c>
      <c r="Q1404" s="14">
        <v>1.2060278227942771</v>
      </c>
      <c r="R1404" s="15">
        <v>0.20602782279427723</v>
      </c>
    </row>
    <row r="1405" spans="1:18" ht="18" customHeight="1">
      <c r="A1405" s="10" t="s">
        <v>55</v>
      </c>
      <c r="B1405" s="10" t="s">
        <v>56</v>
      </c>
      <c r="C1405" s="10" t="s">
        <v>254</v>
      </c>
      <c r="D1405" s="10" t="s">
        <v>256</v>
      </c>
      <c r="E1405" s="16">
        <v>7</v>
      </c>
      <c r="F1405" s="16">
        <v>7</v>
      </c>
      <c r="G1405" s="13">
        <v>3303.0021313290999</v>
      </c>
      <c r="H1405" s="13">
        <v>3303.0021313290999</v>
      </c>
      <c r="I1405" s="14">
        <v>0</v>
      </c>
      <c r="J1405" s="15">
        <v>1</v>
      </c>
      <c r="K1405" s="14">
        <v>2324.3929356232215</v>
      </c>
      <c r="L1405" s="13">
        <v>7677474.8204098037</v>
      </c>
      <c r="M1405" s="14">
        <v>4.3535096074224953</v>
      </c>
      <c r="N1405" s="14">
        <v>2256.8859215673101</v>
      </c>
      <c r="O1405" s="13">
        <v>7454499.0091034649</v>
      </c>
      <c r="P1405" s="13">
        <v>222975.81130633876</v>
      </c>
      <c r="Q1405" s="14">
        <v>1.0299115756852393</v>
      </c>
      <c r="R1405" s="15">
        <v>2.9911575685239181E-2</v>
      </c>
    </row>
    <row r="1406" spans="1:18" ht="18" customHeight="1">
      <c r="A1406" s="10" t="s">
        <v>55</v>
      </c>
      <c r="B1406" s="10" t="s">
        <v>56</v>
      </c>
      <c r="C1406" s="10" t="s">
        <v>254</v>
      </c>
      <c r="D1406" s="10" t="s">
        <v>257</v>
      </c>
      <c r="E1406" s="16">
        <v>4</v>
      </c>
      <c r="F1406" s="16">
        <v>4</v>
      </c>
      <c r="G1406" s="13">
        <v>502.24097040599997</v>
      </c>
      <c r="H1406" s="13">
        <v>502.24097040599997</v>
      </c>
      <c r="I1406" s="14">
        <v>0</v>
      </c>
      <c r="J1406" s="15">
        <v>1</v>
      </c>
      <c r="K1406" s="14">
        <v>354.98370558259836</v>
      </c>
      <c r="L1406" s="13">
        <v>178287.360770122</v>
      </c>
      <c r="M1406" s="14">
        <v>3.5435958243162919</v>
      </c>
      <c r="N1406" s="14">
        <v>349.61964244015797</v>
      </c>
      <c r="O1406" s="13">
        <v>175593.30849214367</v>
      </c>
      <c r="P1406" s="13">
        <v>2694.052277978335</v>
      </c>
      <c r="Q1406" s="14">
        <v>1.0153425680119175</v>
      </c>
      <c r="R1406" s="15">
        <v>1.5342568011917558E-2</v>
      </c>
    </row>
    <row r="1407" spans="1:18" ht="18" customHeight="1">
      <c r="A1407" s="10" t="s">
        <v>55</v>
      </c>
      <c r="B1407" s="10" t="s">
        <v>56</v>
      </c>
      <c r="C1407" s="10" t="s">
        <v>254</v>
      </c>
      <c r="D1407" s="10" t="s">
        <v>258</v>
      </c>
      <c r="E1407" s="16">
        <v>16</v>
      </c>
      <c r="F1407" s="16">
        <v>16</v>
      </c>
      <c r="G1407" s="13">
        <v>11334.6682364972</v>
      </c>
      <c r="H1407" s="13">
        <v>11334.6682364972</v>
      </c>
      <c r="I1407" s="14">
        <v>0</v>
      </c>
      <c r="J1407" s="15">
        <v>1</v>
      </c>
      <c r="K1407" s="14">
        <v>1619.096929718896</v>
      </c>
      <c r="L1407" s="13">
        <v>18351926.54109491</v>
      </c>
      <c r="M1407" s="14">
        <v>4.163036179172793</v>
      </c>
      <c r="N1407" s="14">
        <v>1455.580333559265</v>
      </c>
      <c r="O1407" s="13">
        <v>16498520.172464201</v>
      </c>
      <c r="P1407" s="13">
        <v>1853406.3686307091</v>
      </c>
      <c r="Q1407" s="14">
        <v>1.1123377338850073</v>
      </c>
      <c r="R1407" s="15">
        <v>0.11233773388500735</v>
      </c>
    </row>
    <row r="1408" spans="1:18" ht="18" customHeight="1">
      <c r="A1408" s="10" t="s">
        <v>55</v>
      </c>
      <c r="B1408" s="10" t="s">
        <v>56</v>
      </c>
      <c r="C1408" s="10" t="s">
        <v>254</v>
      </c>
      <c r="D1408" s="10" t="s">
        <v>259</v>
      </c>
      <c r="E1408" s="16">
        <v>17</v>
      </c>
      <c r="F1408" s="16">
        <v>17</v>
      </c>
      <c r="G1408" s="13">
        <v>64021.166113979598</v>
      </c>
      <c r="H1408" s="13">
        <v>64021.166113979598</v>
      </c>
      <c r="I1408" s="14">
        <v>0</v>
      </c>
      <c r="J1408" s="15">
        <v>1</v>
      </c>
      <c r="K1408" s="14">
        <v>2432.9369653775443</v>
      </c>
      <c r="L1408" s="13">
        <v>155759461.60527718</v>
      </c>
      <c r="M1408" s="14">
        <v>4.3667258687691382</v>
      </c>
      <c r="N1408" s="14">
        <v>2326.6222057407531</v>
      </c>
      <c r="O1408" s="13">
        <v>148953066.71820238</v>
      </c>
      <c r="P1408" s="13">
        <v>6806394.8870747983</v>
      </c>
      <c r="Q1408" s="14">
        <v>1.0456948959631125</v>
      </c>
      <c r="R1408" s="15">
        <v>4.5694895963112402E-2</v>
      </c>
    </row>
    <row r="1409" spans="1:18" ht="18" customHeight="1">
      <c r="A1409" s="10" t="s">
        <v>55</v>
      </c>
      <c r="B1409" s="10" t="s">
        <v>56</v>
      </c>
      <c r="C1409" s="10" t="s">
        <v>254</v>
      </c>
      <c r="D1409" s="10" t="s">
        <v>260</v>
      </c>
      <c r="E1409" s="16">
        <v>3</v>
      </c>
      <c r="F1409" s="16">
        <v>3</v>
      </c>
      <c r="G1409" s="13">
        <v>11610.1101318199</v>
      </c>
      <c r="H1409" s="13">
        <v>11610.1101318199</v>
      </c>
      <c r="I1409" s="14">
        <v>0</v>
      </c>
      <c r="J1409" s="15">
        <v>1</v>
      </c>
      <c r="K1409" s="14">
        <v>420.71628777396654</v>
      </c>
      <c r="L1409" s="13">
        <v>4884562.4353061859</v>
      </c>
      <c r="M1409" s="14">
        <v>3.384639012742936</v>
      </c>
      <c r="N1409" s="14">
        <v>242.45939254038231</v>
      </c>
      <c r="O1409" s="13">
        <v>2814980.2498879908</v>
      </c>
      <c r="P1409" s="13">
        <v>2069582.1854181951</v>
      </c>
      <c r="Q1409" s="14">
        <v>1.7352030926329038</v>
      </c>
      <c r="R1409" s="15">
        <v>0.73520309263290373</v>
      </c>
    </row>
    <row r="1410" spans="1:18" ht="18" customHeight="1">
      <c r="A1410" s="10" t="s">
        <v>55</v>
      </c>
      <c r="B1410" s="10" t="s">
        <v>56</v>
      </c>
      <c r="C1410" s="10" t="s">
        <v>254</v>
      </c>
      <c r="D1410" s="10" t="s">
        <v>261</v>
      </c>
      <c r="E1410" s="16">
        <v>15</v>
      </c>
      <c r="F1410" s="16">
        <v>15</v>
      </c>
      <c r="G1410" s="13">
        <v>2940.8439910556999</v>
      </c>
      <c r="H1410" s="13">
        <v>2940.8439910556999</v>
      </c>
      <c r="I1410" s="14">
        <v>0</v>
      </c>
      <c r="J1410" s="15">
        <v>1</v>
      </c>
      <c r="K1410" s="14">
        <v>2216.5577873194761</v>
      </c>
      <c r="L1410" s="13">
        <v>6518550.6496661995</v>
      </c>
      <c r="M1410" s="14">
        <v>4.3392338224183149</v>
      </c>
      <c r="N1410" s="14">
        <v>2183.9054013400009</v>
      </c>
      <c r="O1410" s="13">
        <v>6422525.0765648289</v>
      </c>
      <c r="P1410" s="13">
        <v>96025.573101370595</v>
      </c>
      <c r="Q1410" s="14">
        <v>1.0149513737909344</v>
      </c>
      <c r="R1410" s="15">
        <v>1.4951373790934442E-2</v>
      </c>
    </row>
    <row r="1411" spans="1:18" ht="18" customHeight="1">
      <c r="A1411" s="10" t="s">
        <v>55</v>
      </c>
      <c r="B1411" s="10" t="s">
        <v>56</v>
      </c>
      <c r="C1411" s="10" t="s">
        <v>254</v>
      </c>
      <c r="D1411" s="10" t="s">
        <v>262</v>
      </c>
      <c r="E1411" s="16">
        <v>17</v>
      </c>
      <c r="F1411" s="16">
        <v>17</v>
      </c>
      <c r="G1411" s="13">
        <v>6493.6687386614003</v>
      </c>
      <c r="H1411" s="13">
        <v>6493.6687386614003</v>
      </c>
      <c r="I1411" s="14">
        <v>0</v>
      </c>
      <c r="J1411" s="15">
        <v>1</v>
      </c>
      <c r="K1411" s="14">
        <v>695.29634737857555</v>
      </c>
      <c r="L1411" s="13">
        <v>4515024.1550777135</v>
      </c>
      <c r="M1411" s="14">
        <v>3.8274665064395577</v>
      </c>
      <c r="N1411" s="14">
        <v>672.1504696766832</v>
      </c>
      <c r="O1411" s="13">
        <v>4364722.4926160555</v>
      </c>
      <c r="P1411" s="13">
        <v>150301.66246165801</v>
      </c>
      <c r="Q1411" s="14">
        <v>1.0344355598130073</v>
      </c>
      <c r="R1411" s="15">
        <v>3.4435559813007187E-2</v>
      </c>
    </row>
    <row r="1412" spans="1:18" ht="18" customHeight="1">
      <c r="A1412" s="10" t="s">
        <v>55</v>
      </c>
      <c r="B1412" s="10" t="s">
        <v>56</v>
      </c>
      <c r="C1412" s="10" t="s">
        <v>254</v>
      </c>
      <c r="D1412" s="10" t="s">
        <v>263</v>
      </c>
      <c r="E1412" s="16">
        <v>8</v>
      </c>
      <c r="F1412" s="16">
        <v>8</v>
      </c>
      <c r="G1412" s="13">
        <v>225.11096351080002</v>
      </c>
      <c r="H1412" s="13">
        <v>225.11096351080002</v>
      </c>
      <c r="I1412" s="14">
        <v>0</v>
      </c>
      <c r="J1412" s="15">
        <v>1</v>
      </c>
      <c r="K1412" s="14">
        <v>714.65998130398782</v>
      </c>
      <c r="L1412" s="13">
        <v>160877.79697395102</v>
      </c>
      <c r="M1412" s="14">
        <v>3.8472346799379218</v>
      </c>
      <c r="N1412" s="14">
        <v>703.45234211078389</v>
      </c>
      <c r="O1412" s="13">
        <v>158354.83451648749</v>
      </c>
      <c r="P1412" s="13">
        <v>2522.9624574635236</v>
      </c>
      <c r="Q1412" s="14">
        <v>1.0159323361687504</v>
      </c>
      <c r="R1412" s="15">
        <v>1.5932336168750436E-2</v>
      </c>
    </row>
    <row r="1413" spans="1:18" ht="18" customHeight="1">
      <c r="A1413" s="10" t="s">
        <v>55</v>
      </c>
      <c r="B1413" s="10" t="s">
        <v>56</v>
      </c>
      <c r="C1413" s="10" t="s">
        <v>254</v>
      </c>
      <c r="D1413" s="10" t="s">
        <v>264</v>
      </c>
      <c r="E1413" s="16">
        <v>21</v>
      </c>
      <c r="F1413" s="16">
        <v>21</v>
      </c>
      <c r="G1413" s="13">
        <v>13628.090237410799</v>
      </c>
      <c r="H1413" s="13">
        <v>13628.090237410799</v>
      </c>
      <c r="I1413" s="14">
        <v>0</v>
      </c>
      <c r="J1413" s="15">
        <v>1</v>
      </c>
      <c r="K1413" s="14">
        <v>1290.2436274507477</v>
      </c>
      <c r="L1413" s="13">
        <v>17583556.583143029</v>
      </c>
      <c r="M1413" s="14">
        <v>4.0623515609663121</v>
      </c>
      <c r="N1413" s="14">
        <v>1154.3873551507768</v>
      </c>
      <c r="O1413" s="13">
        <v>15732095.044920774</v>
      </c>
      <c r="P1413" s="13">
        <v>1851461.5382222552</v>
      </c>
      <c r="Q1413" s="14">
        <v>1.1176869026620846</v>
      </c>
      <c r="R1413" s="15">
        <v>0.11768690266208463</v>
      </c>
    </row>
    <row r="1414" spans="1:18" ht="18" customHeight="1">
      <c r="A1414" s="10" t="s">
        <v>55</v>
      </c>
      <c r="B1414" s="10" t="s">
        <v>56</v>
      </c>
      <c r="C1414" s="10" t="s">
        <v>254</v>
      </c>
      <c r="D1414" s="10" t="s">
        <v>265</v>
      </c>
      <c r="E1414" s="16">
        <v>16</v>
      </c>
      <c r="F1414" s="16">
        <v>16</v>
      </c>
      <c r="G1414" s="13">
        <v>49997.756490729495</v>
      </c>
      <c r="H1414" s="13">
        <v>49997.756490729495</v>
      </c>
      <c r="I1414" s="14">
        <v>0</v>
      </c>
      <c r="J1414" s="15">
        <v>1</v>
      </c>
      <c r="K1414" s="14">
        <v>125.09872655749557</v>
      </c>
      <c r="L1414" s="13">
        <v>6254655.6677220184</v>
      </c>
      <c r="M1414" s="14">
        <v>3.0277935579840749</v>
      </c>
      <c r="N1414" s="14">
        <v>106.60892349188804</v>
      </c>
      <c r="O1414" s="13">
        <v>5330206.9964862289</v>
      </c>
      <c r="P1414" s="13">
        <v>924448.67123578954</v>
      </c>
      <c r="Q1414" s="14">
        <v>1.1734357918642191</v>
      </c>
      <c r="R1414" s="15">
        <v>0.17343579186421901</v>
      </c>
    </row>
    <row r="1415" spans="1:18" ht="18" customHeight="1">
      <c r="A1415" s="10" t="s">
        <v>55</v>
      </c>
      <c r="B1415" s="10" t="s">
        <v>56</v>
      </c>
      <c r="C1415" s="10" t="s">
        <v>254</v>
      </c>
      <c r="D1415" s="10" t="s">
        <v>266</v>
      </c>
      <c r="E1415" s="16">
        <v>11</v>
      </c>
      <c r="F1415" s="16">
        <v>11</v>
      </c>
      <c r="G1415" s="13">
        <v>42224.728198947501</v>
      </c>
      <c r="H1415" s="13">
        <v>42224.728198947501</v>
      </c>
      <c r="I1415" s="14">
        <v>0</v>
      </c>
      <c r="J1415" s="15">
        <v>1</v>
      </c>
      <c r="K1415" s="14">
        <v>2209.5210690533686</v>
      </c>
      <c r="L1415" s="13">
        <v>93296426.590626404</v>
      </c>
      <c r="M1415" s="14">
        <v>4.1777004335187362</v>
      </c>
      <c r="N1415" s="14">
        <v>1505.5682011451549</v>
      </c>
      <c r="O1415" s="13">
        <v>63572208.078332491</v>
      </c>
      <c r="P1415" s="13">
        <v>29724218.512293912</v>
      </c>
      <c r="Q1415" s="14">
        <v>1.4675662433443917</v>
      </c>
      <c r="R1415" s="15">
        <v>0.46756624334439167</v>
      </c>
    </row>
    <row r="1416" spans="1:18" ht="18" customHeight="1">
      <c r="A1416" s="10" t="s">
        <v>55</v>
      </c>
      <c r="B1416" s="10" t="s">
        <v>56</v>
      </c>
      <c r="C1416" s="10" t="s">
        <v>254</v>
      </c>
      <c r="D1416" s="10" t="s">
        <v>267</v>
      </c>
      <c r="E1416" s="16">
        <v>3</v>
      </c>
      <c r="F1416" s="16">
        <v>3</v>
      </c>
      <c r="G1416" s="13">
        <v>533.81301628279994</v>
      </c>
      <c r="H1416" s="13">
        <v>533.81301628279994</v>
      </c>
      <c r="I1416" s="14">
        <v>0</v>
      </c>
      <c r="J1416" s="15">
        <v>1</v>
      </c>
      <c r="K1416" s="14">
        <v>1158.8845268860075</v>
      </c>
      <c r="L1416" s="13">
        <v>618627.64482048526</v>
      </c>
      <c r="M1416" s="14">
        <v>4.0576148667731662</v>
      </c>
      <c r="N1416" s="14">
        <v>1141.8652772230946</v>
      </c>
      <c r="O1416" s="13">
        <v>609542.54782305565</v>
      </c>
      <c r="P1416" s="13">
        <v>9085.0969974296167</v>
      </c>
      <c r="Q1416" s="14">
        <v>1.0149047790509071</v>
      </c>
      <c r="R1416" s="15">
        <v>1.4904779050907096E-2</v>
      </c>
    </row>
    <row r="1417" spans="1:18" ht="18" customHeight="1">
      <c r="A1417" s="10" t="s">
        <v>55</v>
      </c>
      <c r="B1417" s="10" t="s">
        <v>56</v>
      </c>
      <c r="C1417" s="10" t="s">
        <v>254</v>
      </c>
      <c r="D1417" s="10" t="s">
        <v>268</v>
      </c>
      <c r="E1417" s="16">
        <v>34</v>
      </c>
      <c r="F1417" s="16">
        <v>34</v>
      </c>
      <c r="G1417" s="13">
        <v>330489.95535401854</v>
      </c>
      <c r="H1417" s="13">
        <v>330489.95535401854</v>
      </c>
      <c r="I1417" s="14">
        <v>0</v>
      </c>
      <c r="J1417" s="15">
        <v>1</v>
      </c>
      <c r="K1417" s="14">
        <v>1367.846313088821</v>
      </c>
      <c r="L1417" s="13">
        <v>452059466.94388336</v>
      </c>
      <c r="M1417" s="14">
        <v>4.1217346429941779</v>
      </c>
      <c r="N1417" s="14">
        <v>1323.5326002901186</v>
      </c>
      <c r="O1417" s="13">
        <v>437414229.97946936</v>
      </c>
      <c r="P1417" s="13">
        <v>14645236.964414001</v>
      </c>
      <c r="Q1417" s="14">
        <v>1.0334813912320626</v>
      </c>
      <c r="R1417" s="15">
        <v>3.3481391232062556E-2</v>
      </c>
    </row>
    <row r="1418" spans="1:18" ht="18" customHeight="1">
      <c r="A1418" s="10" t="s">
        <v>55</v>
      </c>
      <c r="B1418" s="10" t="s">
        <v>56</v>
      </c>
      <c r="C1418" s="10" t="s">
        <v>254</v>
      </c>
      <c r="D1418" s="10" t="s">
        <v>269</v>
      </c>
      <c r="E1418" s="16">
        <v>35</v>
      </c>
      <c r="F1418" s="16">
        <v>35</v>
      </c>
      <c r="G1418" s="13">
        <v>78687.935514119716</v>
      </c>
      <c r="H1418" s="13">
        <v>78687.935514119716</v>
      </c>
      <c r="I1418" s="14">
        <v>0</v>
      </c>
      <c r="J1418" s="15">
        <v>1</v>
      </c>
      <c r="K1418" s="14">
        <v>505.24083233233432</v>
      </c>
      <c r="L1418" s="13">
        <v>39756358.033666894</v>
      </c>
      <c r="M1418" s="14">
        <v>3.5791232622662763</v>
      </c>
      <c r="N1418" s="14">
        <v>379.42265813632633</v>
      </c>
      <c r="O1418" s="13">
        <v>29855985.656027138</v>
      </c>
      <c r="P1418" s="13">
        <v>9900372.3776397556</v>
      </c>
      <c r="Q1418" s="14">
        <v>1.3316042716426322</v>
      </c>
      <c r="R1418" s="15">
        <v>0.33160427164263229</v>
      </c>
    </row>
    <row r="1419" spans="1:18" ht="18" customHeight="1">
      <c r="A1419" s="10" t="s">
        <v>55</v>
      </c>
      <c r="B1419" s="10" t="s">
        <v>56</v>
      </c>
      <c r="C1419" s="10" t="s">
        <v>254</v>
      </c>
      <c r="D1419" s="10" t="s">
        <v>270</v>
      </c>
      <c r="E1419" s="16">
        <v>25</v>
      </c>
      <c r="F1419" s="16">
        <v>25</v>
      </c>
      <c r="G1419" s="13">
        <v>275446.120372709</v>
      </c>
      <c r="H1419" s="13">
        <v>275446.120372709</v>
      </c>
      <c r="I1419" s="14">
        <v>0</v>
      </c>
      <c r="J1419" s="15">
        <v>1</v>
      </c>
      <c r="K1419" s="14">
        <v>443.66839668567246</v>
      </c>
      <c r="L1419" s="13">
        <v>122206738.59904854</v>
      </c>
      <c r="M1419" s="14">
        <v>3.6079601160511316</v>
      </c>
      <c r="N1419" s="14">
        <v>405.47129680100539</v>
      </c>
      <c r="O1419" s="13">
        <v>111685495.62632816</v>
      </c>
      <c r="P1419" s="13">
        <v>10521242.972720385</v>
      </c>
      <c r="Q1419" s="14">
        <v>1.0942042018412297</v>
      </c>
      <c r="R1419" s="15">
        <v>9.4204201841229615E-2</v>
      </c>
    </row>
    <row r="1420" spans="1:18" ht="18" customHeight="1">
      <c r="A1420" s="10" t="s">
        <v>55</v>
      </c>
      <c r="B1420" s="10" t="s">
        <v>56</v>
      </c>
      <c r="C1420" s="10" t="s">
        <v>254</v>
      </c>
      <c r="D1420" s="10" t="s">
        <v>276</v>
      </c>
      <c r="E1420" s="16">
        <v>8</v>
      </c>
      <c r="F1420" s="16">
        <v>8</v>
      </c>
      <c r="G1420" s="13">
        <v>4381.5160343977996</v>
      </c>
      <c r="H1420" s="13">
        <v>4381.5160343977996</v>
      </c>
      <c r="I1420" s="14">
        <v>0</v>
      </c>
      <c r="J1420" s="15">
        <v>1</v>
      </c>
      <c r="K1420" s="14">
        <v>158.86822078858725</v>
      </c>
      <c r="L1420" s="13">
        <v>696083.65674144484</v>
      </c>
      <c r="M1420" s="14">
        <v>3.0333178011197068</v>
      </c>
      <c r="N1420" s="14">
        <v>107.97365456763686</v>
      </c>
      <c r="O1420" s="13">
        <v>473088.29878063011</v>
      </c>
      <c r="P1420" s="13">
        <v>222995.35796081473</v>
      </c>
      <c r="Q1420" s="14">
        <v>1.4713609669391066</v>
      </c>
      <c r="R1420" s="15">
        <v>0.47136096693910651</v>
      </c>
    </row>
    <row r="1421" spans="1:18" ht="18" customHeight="1">
      <c r="A1421" s="10" t="s">
        <v>55</v>
      </c>
      <c r="B1421" s="10" t="s">
        <v>56</v>
      </c>
      <c r="C1421" s="10" t="s">
        <v>254</v>
      </c>
      <c r="D1421" s="10" t="s">
        <v>271</v>
      </c>
      <c r="E1421" s="16">
        <v>54</v>
      </c>
      <c r="F1421" s="16">
        <v>54</v>
      </c>
      <c r="G1421" s="13">
        <v>103471.15283692871</v>
      </c>
      <c r="H1421" s="13">
        <v>103471.15283692871</v>
      </c>
      <c r="I1421" s="14">
        <v>0</v>
      </c>
      <c r="J1421" s="15">
        <v>1</v>
      </c>
      <c r="K1421" s="14">
        <v>169.72701944561905</v>
      </c>
      <c r="L1421" s="13">
        <v>17561850.36961402</v>
      </c>
      <c r="M1421" s="14">
        <v>2.5183527882466157</v>
      </c>
      <c r="N1421" s="14">
        <v>32.987757115247618</v>
      </c>
      <c r="O1421" s="13">
        <v>3413281.2582192686</v>
      </c>
      <c r="P1421" s="13">
        <v>14148569.111394752</v>
      </c>
      <c r="Q1421" s="14">
        <v>5.1451518468701147</v>
      </c>
      <c r="R1421" s="15">
        <v>4.1451518468701147</v>
      </c>
    </row>
    <row r="1422" spans="1:18" ht="18" customHeight="1">
      <c r="A1422" s="10" t="s">
        <v>55</v>
      </c>
      <c r="B1422" s="10" t="s">
        <v>56</v>
      </c>
      <c r="C1422" s="10" t="s">
        <v>254</v>
      </c>
      <c r="D1422" s="10" t="s">
        <v>272</v>
      </c>
      <c r="E1422" s="16">
        <v>13</v>
      </c>
      <c r="F1422" s="16">
        <v>13</v>
      </c>
      <c r="G1422" s="13">
        <v>6301.0128806085004</v>
      </c>
      <c r="H1422" s="13">
        <v>6301.0128806085004</v>
      </c>
      <c r="I1422" s="14">
        <v>0</v>
      </c>
      <c r="J1422" s="15">
        <v>1</v>
      </c>
      <c r="K1422" s="14">
        <v>83.012211190616995</v>
      </c>
      <c r="L1422" s="13">
        <v>523061.01195987081</v>
      </c>
      <c r="M1422" s="14">
        <v>2.8534163623914193</v>
      </c>
      <c r="N1422" s="14">
        <v>71.353677704303323</v>
      </c>
      <c r="O1422" s="13">
        <v>449600.4422936028</v>
      </c>
      <c r="P1422" s="13">
        <v>73460.569666268013</v>
      </c>
      <c r="Q1422" s="14">
        <v>1.163390786031069</v>
      </c>
      <c r="R1422" s="15">
        <v>0.16339078603106894</v>
      </c>
    </row>
    <row r="1423" spans="1:18" ht="18" customHeight="1">
      <c r="A1423" s="10" t="s">
        <v>55</v>
      </c>
      <c r="B1423" s="10" t="s">
        <v>56</v>
      </c>
      <c r="C1423" s="10" t="s">
        <v>254</v>
      </c>
      <c r="D1423" s="10" t="s">
        <v>280</v>
      </c>
      <c r="E1423" s="16">
        <v>1</v>
      </c>
      <c r="F1423" s="16">
        <v>1</v>
      </c>
      <c r="G1423" s="13">
        <v>39.847968676699999</v>
      </c>
      <c r="H1423" s="13">
        <v>39.847968676699999</v>
      </c>
      <c r="I1423" s="14">
        <v>0</v>
      </c>
      <c r="J1423" s="15">
        <v>1</v>
      </c>
      <c r="K1423" s="14">
        <v>346.73685045253166</v>
      </c>
      <c r="L1423" s="13">
        <v>13816.759155890093</v>
      </c>
      <c r="M1423" s="14">
        <v>3.54</v>
      </c>
      <c r="N1423" s="14">
        <v>346.73685045253166</v>
      </c>
      <c r="O1423" s="13">
        <v>13816.759155890093</v>
      </c>
      <c r="P1423" s="13">
        <v>0</v>
      </c>
      <c r="Q1423" s="14">
        <v>1</v>
      </c>
      <c r="R1423" s="15">
        <v>0</v>
      </c>
    </row>
    <row r="1424" spans="1:18" ht="18" customHeight="1">
      <c r="A1424" s="10" t="s">
        <v>55</v>
      </c>
      <c r="B1424" s="10" t="s">
        <v>56</v>
      </c>
      <c r="C1424" s="10" t="s">
        <v>254</v>
      </c>
      <c r="D1424" s="10" t="s">
        <v>283</v>
      </c>
      <c r="E1424" s="16">
        <v>2</v>
      </c>
      <c r="F1424" s="16">
        <v>2</v>
      </c>
      <c r="G1424" s="13">
        <v>0.88707528290000015</v>
      </c>
      <c r="H1424" s="13">
        <v>0.88707528290000015</v>
      </c>
      <c r="I1424" s="14">
        <v>0</v>
      </c>
      <c r="J1424" s="15">
        <v>1</v>
      </c>
      <c r="K1424" s="14">
        <v>248.48930402454661</v>
      </c>
      <c r="L1424" s="13">
        <v>220.42871966519883</v>
      </c>
      <c r="M1424" s="14">
        <v>3.3916700860000928</v>
      </c>
      <c r="N1424" s="14">
        <v>246.4166709343875</v>
      </c>
      <c r="O1424" s="13">
        <v>218.59013808039802</v>
      </c>
      <c r="P1424" s="13">
        <v>1.8385815848008065</v>
      </c>
      <c r="Q1424" s="14">
        <v>1.0084110911907864</v>
      </c>
      <c r="R1424" s="15">
        <v>8.4110911907863441E-3</v>
      </c>
    </row>
    <row r="1425" spans="1:18" ht="18" customHeight="1">
      <c r="A1425" s="10" t="s">
        <v>55</v>
      </c>
      <c r="B1425" s="10" t="s">
        <v>56</v>
      </c>
      <c r="C1425" s="10" t="s">
        <v>254</v>
      </c>
      <c r="D1425" s="10" t="s">
        <v>278</v>
      </c>
      <c r="E1425" s="16">
        <v>4</v>
      </c>
      <c r="F1425" s="16">
        <v>4</v>
      </c>
      <c r="G1425" s="13">
        <v>2023.6314758065998</v>
      </c>
      <c r="H1425" s="13">
        <v>2023.6314758065998</v>
      </c>
      <c r="I1425" s="14">
        <v>0</v>
      </c>
      <c r="J1425" s="15">
        <v>1</v>
      </c>
      <c r="K1425" s="14">
        <v>139.12024741083255</v>
      </c>
      <c r="L1425" s="13">
        <v>281528.11158256239</v>
      </c>
      <c r="M1425" s="14">
        <v>3.1413838471789299</v>
      </c>
      <c r="N1425" s="14">
        <v>138.47897719388857</v>
      </c>
      <c r="O1425" s="13">
        <v>280230.41698705719</v>
      </c>
      <c r="P1425" s="13">
        <v>1297.6945955051924</v>
      </c>
      <c r="Q1425" s="14">
        <v>1.0046308127770625</v>
      </c>
      <c r="R1425" s="15">
        <v>4.6308127770624133E-3</v>
      </c>
    </row>
    <row r="1426" spans="1:18" ht="18" customHeight="1">
      <c r="A1426" s="10" t="s">
        <v>55</v>
      </c>
      <c r="B1426" s="10" t="s">
        <v>56</v>
      </c>
      <c r="C1426" s="10" t="s">
        <v>254</v>
      </c>
      <c r="D1426" s="10" t="s">
        <v>273</v>
      </c>
      <c r="E1426" s="16">
        <v>9</v>
      </c>
      <c r="F1426" s="16">
        <v>9</v>
      </c>
      <c r="G1426" s="13">
        <v>62483.854388766915</v>
      </c>
      <c r="H1426" s="13">
        <v>62483.854388766915</v>
      </c>
      <c r="I1426" s="14">
        <v>0</v>
      </c>
      <c r="J1426" s="15">
        <v>1</v>
      </c>
      <c r="K1426" s="14">
        <v>114.08587683192921</v>
      </c>
      <c r="L1426" s="13">
        <v>7128525.3157810615</v>
      </c>
      <c r="M1426" s="14">
        <v>3.0555302541982843</v>
      </c>
      <c r="N1426" s="14">
        <v>113.63974596138719</v>
      </c>
      <c r="O1426" s="13">
        <v>7100649.3394277804</v>
      </c>
      <c r="P1426" s="13">
        <v>27875.976353281178</v>
      </c>
      <c r="Q1426" s="14">
        <v>1.0039258348104156</v>
      </c>
      <c r="R1426" s="15">
        <v>3.9258348104157497E-3</v>
      </c>
    </row>
    <row r="1427" spans="1:18" ht="18" customHeight="1">
      <c r="A1427" s="10" t="s">
        <v>55</v>
      </c>
      <c r="B1427" s="10" t="s">
        <v>56</v>
      </c>
      <c r="C1427" s="10" t="s">
        <v>254</v>
      </c>
      <c r="D1427" s="10" t="s">
        <v>284</v>
      </c>
      <c r="E1427" s="16">
        <v>4</v>
      </c>
      <c r="F1427" s="16">
        <v>4</v>
      </c>
      <c r="G1427" s="13">
        <v>44.923464476500001</v>
      </c>
      <c r="H1427" s="13">
        <v>44.923464476500001</v>
      </c>
      <c r="I1427" s="14">
        <v>0</v>
      </c>
      <c r="J1427" s="15">
        <v>1</v>
      </c>
      <c r="K1427" s="14">
        <v>332.04388292891423</v>
      </c>
      <c r="L1427" s="13">
        <v>14916.561579396204</v>
      </c>
      <c r="M1427" s="14">
        <v>3.4989368174327704</v>
      </c>
      <c r="N1427" s="14">
        <v>315.45456564746848</v>
      </c>
      <c r="O1427" s="13">
        <v>14171.311973813788</v>
      </c>
      <c r="P1427" s="13">
        <v>745.24960558241582</v>
      </c>
      <c r="Q1427" s="14">
        <v>1.0525886104941808</v>
      </c>
      <c r="R1427" s="15">
        <v>5.258861049418094E-2</v>
      </c>
    </row>
    <row r="1428" spans="1:18" ht="18" customHeight="1">
      <c r="A1428" s="10" t="s">
        <v>55</v>
      </c>
      <c r="B1428" s="10" t="s">
        <v>56</v>
      </c>
      <c r="C1428" s="10" t="s">
        <v>254</v>
      </c>
      <c r="D1428" s="10" t="s">
        <v>274</v>
      </c>
      <c r="E1428" s="16">
        <v>23</v>
      </c>
      <c r="F1428" s="16">
        <v>23</v>
      </c>
      <c r="G1428" s="13">
        <v>35051.645256867101</v>
      </c>
      <c r="H1428" s="13">
        <v>35051.645256867101</v>
      </c>
      <c r="I1428" s="14">
        <v>0</v>
      </c>
      <c r="J1428" s="15">
        <v>1</v>
      </c>
      <c r="K1428" s="14">
        <v>553.24128261651254</v>
      </c>
      <c r="L1428" s="13">
        <v>19392017.179728154</v>
      </c>
      <c r="M1428" s="14">
        <v>3.5595257970879604</v>
      </c>
      <c r="N1428" s="14">
        <v>362.68182890213978</v>
      </c>
      <c r="O1428" s="13">
        <v>12712594.807789573</v>
      </c>
      <c r="P1428" s="13">
        <v>6679422.3719385806</v>
      </c>
      <c r="Q1428" s="14">
        <v>1.525417703696951</v>
      </c>
      <c r="R1428" s="15">
        <v>0.52541770369695107</v>
      </c>
    </row>
    <row r="1429" spans="1:18" ht="18" customHeight="1">
      <c r="A1429" s="10" t="s">
        <v>55</v>
      </c>
      <c r="B1429" s="10" t="s">
        <v>56</v>
      </c>
      <c r="C1429" s="10" t="s">
        <v>254</v>
      </c>
      <c r="D1429" s="10" t="s">
        <v>282</v>
      </c>
      <c r="E1429" s="16">
        <v>8</v>
      </c>
      <c r="F1429" s="16">
        <v>8</v>
      </c>
      <c r="G1429" s="13">
        <v>4654.3435080516001</v>
      </c>
      <c r="H1429" s="13">
        <v>4654.3435080516001</v>
      </c>
      <c r="I1429" s="14">
        <v>0</v>
      </c>
      <c r="J1429" s="15">
        <v>1</v>
      </c>
      <c r="K1429" s="14">
        <v>1211.8890698613534</v>
      </c>
      <c r="L1429" s="13">
        <v>5640548.0247878823</v>
      </c>
      <c r="M1429" s="14">
        <v>4.0374609498887519</v>
      </c>
      <c r="N1429" s="14">
        <v>1090.0864715407668</v>
      </c>
      <c r="O1429" s="13">
        <v>5073636.8920306433</v>
      </c>
      <c r="P1429" s="13">
        <v>566911.13275723904</v>
      </c>
      <c r="Q1429" s="14">
        <v>1.1117366387901562</v>
      </c>
      <c r="R1429" s="15">
        <v>0.11173663879015626</v>
      </c>
    </row>
    <row r="1430" spans="1:18" ht="18" customHeight="1">
      <c r="A1430" s="10" t="s">
        <v>55</v>
      </c>
      <c r="B1430" s="10" t="s">
        <v>56</v>
      </c>
      <c r="C1430" s="10" t="s">
        <v>254</v>
      </c>
      <c r="D1430" s="10" t="s">
        <v>275</v>
      </c>
      <c r="E1430" s="16">
        <v>7</v>
      </c>
      <c r="F1430" s="16">
        <v>7</v>
      </c>
      <c r="G1430" s="13">
        <v>6751.9754959541997</v>
      </c>
      <c r="H1430" s="13">
        <v>6751.9754959541997</v>
      </c>
      <c r="I1430" s="14">
        <v>0</v>
      </c>
      <c r="J1430" s="15">
        <v>1</v>
      </c>
      <c r="K1430" s="14">
        <v>665.4518744238319</v>
      </c>
      <c r="L1430" s="13">
        <v>4493114.7498465041</v>
      </c>
      <c r="M1430" s="14">
        <v>3.8228098529576164</v>
      </c>
      <c r="N1430" s="14">
        <v>664.98194358065291</v>
      </c>
      <c r="O1430" s="13">
        <v>4489941.7883085664</v>
      </c>
      <c r="P1430" s="13">
        <v>3172.9615379376337</v>
      </c>
      <c r="Q1430" s="14">
        <v>1.000706682110267</v>
      </c>
      <c r="R1430" s="15">
        <v>7.0668211026694394E-4</v>
      </c>
    </row>
    <row r="1431" spans="1:18" ht="18" customHeight="1">
      <c r="A1431" s="10" t="s">
        <v>99</v>
      </c>
      <c r="B1431" s="10" t="s">
        <v>100</v>
      </c>
      <c r="C1431" s="10" t="s">
        <v>254</v>
      </c>
      <c r="D1431" s="10" t="s">
        <v>255</v>
      </c>
      <c r="E1431" s="16">
        <v>21</v>
      </c>
      <c r="F1431" s="16">
        <v>21</v>
      </c>
      <c r="G1431" s="13">
        <v>13312.883097783402</v>
      </c>
      <c r="H1431" s="13">
        <v>13312.883097783402</v>
      </c>
      <c r="I1431" s="14">
        <v>0</v>
      </c>
      <c r="J1431" s="15">
        <v>1</v>
      </c>
      <c r="K1431" s="14">
        <v>738.47216864953191</v>
      </c>
      <c r="L1431" s="13">
        <v>9831193.652197808</v>
      </c>
      <c r="M1431" s="14">
        <v>3.7652455083749201</v>
      </c>
      <c r="N1431" s="14">
        <v>582.43237603268562</v>
      </c>
      <c r="O1431" s="13">
        <v>7753854.1344873672</v>
      </c>
      <c r="P1431" s="13">
        <v>2077339.5177104408</v>
      </c>
      <c r="Q1431" s="14">
        <v>1.267910574751582</v>
      </c>
      <c r="R1431" s="15">
        <v>0.26791057475158198</v>
      </c>
    </row>
    <row r="1432" spans="1:18" ht="18" customHeight="1">
      <c r="A1432" s="10" t="s">
        <v>99</v>
      </c>
      <c r="B1432" s="10" t="s">
        <v>100</v>
      </c>
      <c r="C1432" s="10" t="s">
        <v>254</v>
      </c>
      <c r="D1432" s="10" t="s">
        <v>277</v>
      </c>
      <c r="E1432" s="16">
        <v>1</v>
      </c>
      <c r="F1432" s="16">
        <v>1</v>
      </c>
      <c r="G1432" s="13">
        <v>53.603336633600001</v>
      </c>
      <c r="H1432" s="13">
        <v>53.603336633600001</v>
      </c>
      <c r="I1432" s="14">
        <v>0</v>
      </c>
      <c r="J1432" s="15">
        <v>1</v>
      </c>
      <c r="K1432" s="14">
        <v>31.622776601683793</v>
      </c>
      <c r="L1432" s="13">
        <v>1695.0863394691858</v>
      </c>
      <c r="M1432" s="14">
        <v>2.5</v>
      </c>
      <c r="N1432" s="14">
        <v>31.622776601683793</v>
      </c>
      <c r="O1432" s="13">
        <v>1695.0863394691858</v>
      </c>
      <c r="P1432" s="13">
        <v>0</v>
      </c>
      <c r="Q1432" s="14">
        <v>1</v>
      </c>
      <c r="R1432" s="15">
        <v>0</v>
      </c>
    </row>
    <row r="1433" spans="1:18" ht="18" customHeight="1">
      <c r="A1433" s="10" t="s">
        <v>99</v>
      </c>
      <c r="B1433" s="10" t="s">
        <v>100</v>
      </c>
      <c r="C1433" s="10" t="s">
        <v>254</v>
      </c>
      <c r="D1433" s="10" t="s">
        <v>256</v>
      </c>
      <c r="E1433" s="16">
        <v>6</v>
      </c>
      <c r="F1433" s="16">
        <v>6</v>
      </c>
      <c r="G1433" s="13">
        <v>1496.1450848323002</v>
      </c>
      <c r="H1433" s="13">
        <v>1496.1450848323002</v>
      </c>
      <c r="I1433" s="14">
        <v>0</v>
      </c>
      <c r="J1433" s="15">
        <v>1</v>
      </c>
      <c r="K1433" s="14">
        <v>1318.0422562273993</v>
      </c>
      <c r="L1433" s="13">
        <v>1971982.4432558985</v>
      </c>
      <c r="M1433" s="14">
        <v>4.0170657301113035</v>
      </c>
      <c r="N1433" s="14">
        <v>1040.0775687987539</v>
      </c>
      <c r="O1433" s="13">
        <v>1556106.9424025842</v>
      </c>
      <c r="P1433" s="13">
        <v>415875.5008533143</v>
      </c>
      <c r="Q1433" s="14">
        <v>1.2672538046846669</v>
      </c>
      <c r="R1433" s="15">
        <v>0.26725380468466681</v>
      </c>
    </row>
    <row r="1434" spans="1:18" ht="18" customHeight="1">
      <c r="A1434" s="10" t="s">
        <v>99</v>
      </c>
      <c r="B1434" s="10" t="s">
        <v>100</v>
      </c>
      <c r="C1434" s="10" t="s">
        <v>254</v>
      </c>
      <c r="D1434" s="10" t="s">
        <v>257</v>
      </c>
      <c r="E1434" s="16">
        <v>5</v>
      </c>
      <c r="F1434" s="16">
        <v>5</v>
      </c>
      <c r="G1434" s="13">
        <v>946.21107624859997</v>
      </c>
      <c r="H1434" s="13">
        <v>946.21107624859997</v>
      </c>
      <c r="I1434" s="14">
        <v>0</v>
      </c>
      <c r="J1434" s="15">
        <v>1</v>
      </c>
      <c r="K1434" s="14">
        <v>401.32369283657766</v>
      </c>
      <c r="L1434" s="13">
        <v>379736.92332296068</v>
      </c>
      <c r="M1434" s="14">
        <v>3.5638340970930753</v>
      </c>
      <c r="N1434" s="14">
        <v>366.29762019018204</v>
      </c>
      <c r="O1434" s="13">
        <v>346594.86542745307</v>
      </c>
      <c r="P1434" s="13">
        <v>33142.057895507605</v>
      </c>
      <c r="Q1434" s="14">
        <v>1.0956218951906103</v>
      </c>
      <c r="R1434" s="15">
        <v>9.5621895190610318E-2</v>
      </c>
    </row>
    <row r="1435" spans="1:18" ht="18" customHeight="1">
      <c r="A1435" s="10" t="s">
        <v>99</v>
      </c>
      <c r="B1435" s="10" t="s">
        <v>100</v>
      </c>
      <c r="C1435" s="10" t="s">
        <v>254</v>
      </c>
      <c r="D1435" s="10" t="s">
        <v>258</v>
      </c>
      <c r="E1435" s="16">
        <v>15</v>
      </c>
      <c r="F1435" s="16">
        <v>15</v>
      </c>
      <c r="G1435" s="13">
        <v>4861.2939082644989</v>
      </c>
      <c r="H1435" s="13">
        <v>4861.2939082644989</v>
      </c>
      <c r="I1435" s="14">
        <v>0</v>
      </c>
      <c r="J1435" s="15">
        <v>1</v>
      </c>
      <c r="K1435" s="14">
        <v>2571.1871573761114</v>
      </c>
      <c r="L1435" s="13">
        <v>12499296.465160403</v>
      </c>
      <c r="M1435" s="14">
        <v>4.3756265185939363</v>
      </c>
      <c r="N1435" s="14">
        <v>2374.7971474709511</v>
      </c>
      <c r="O1435" s="13">
        <v>11544586.906364443</v>
      </c>
      <c r="P1435" s="13">
        <v>954709.55879596062</v>
      </c>
      <c r="Q1435" s="14">
        <v>1.0826975938194581</v>
      </c>
      <c r="R1435" s="15">
        <v>8.2697593819458057E-2</v>
      </c>
    </row>
    <row r="1436" spans="1:18" ht="18" customHeight="1">
      <c r="A1436" s="10" t="s">
        <v>99</v>
      </c>
      <c r="B1436" s="10" t="s">
        <v>100</v>
      </c>
      <c r="C1436" s="10" t="s">
        <v>254</v>
      </c>
      <c r="D1436" s="10" t="s">
        <v>259</v>
      </c>
      <c r="E1436" s="16">
        <v>19</v>
      </c>
      <c r="F1436" s="16">
        <v>19</v>
      </c>
      <c r="G1436" s="13">
        <v>60991.703878616099</v>
      </c>
      <c r="H1436" s="13">
        <v>60991.703878616099</v>
      </c>
      <c r="I1436" s="14">
        <v>0</v>
      </c>
      <c r="J1436" s="15">
        <v>1</v>
      </c>
      <c r="K1436" s="14">
        <v>2531.2527023452194</v>
      </c>
      <c r="L1436" s="13">
        <v>154385415.2633864</v>
      </c>
      <c r="M1436" s="14">
        <v>4.3933881158554318</v>
      </c>
      <c r="N1436" s="14">
        <v>2473.9340375066149</v>
      </c>
      <c r="O1436" s="13">
        <v>150889452.23083258</v>
      </c>
      <c r="P1436" s="13">
        <v>3495963.0325538218</v>
      </c>
      <c r="Q1436" s="14">
        <v>1.0231690352166276</v>
      </c>
      <c r="R1436" s="15">
        <v>2.3169035216627692E-2</v>
      </c>
    </row>
    <row r="1437" spans="1:18" ht="18" customHeight="1">
      <c r="A1437" s="10" t="s">
        <v>99</v>
      </c>
      <c r="B1437" s="10" t="s">
        <v>100</v>
      </c>
      <c r="C1437" s="10" t="s">
        <v>254</v>
      </c>
      <c r="D1437" s="10" t="s">
        <v>260</v>
      </c>
      <c r="E1437" s="16">
        <v>2</v>
      </c>
      <c r="F1437" s="16">
        <v>2</v>
      </c>
      <c r="G1437" s="13">
        <v>233.7882714381</v>
      </c>
      <c r="H1437" s="13">
        <v>233.7882714381</v>
      </c>
      <c r="I1437" s="14">
        <v>0</v>
      </c>
      <c r="J1437" s="15">
        <v>1</v>
      </c>
      <c r="K1437" s="14">
        <v>1310.677431991739</v>
      </c>
      <c r="L1437" s="13">
        <v>306421.01123827655</v>
      </c>
      <c r="M1437" s="14">
        <v>3.8487332321051984</v>
      </c>
      <c r="N1437" s="14">
        <v>705.88382784736802</v>
      </c>
      <c r="O1437" s="13">
        <v>165027.35994854552</v>
      </c>
      <c r="P1437" s="13">
        <v>141393.65128973103</v>
      </c>
      <c r="Q1437" s="14">
        <v>1.8567891489860631</v>
      </c>
      <c r="R1437" s="15">
        <v>0.85678914898606306</v>
      </c>
    </row>
    <row r="1438" spans="1:18" ht="18" customHeight="1">
      <c r="A1438" s="10" t="s">
        <v>99</v>
      </c>
      <c r="B1438" s="10" t="s">
        <v>100</v>
      </c>
      <c r="C1438" s="10" t="s">
        <v>254</v>
      </c>
      <c r="D1438" s="10" t="s">
        <v>261</v>
      </c>
      <c r="E1438" s="16">
        <v>21</v>
      </c>
      <c r="F1438" s="16">
        <v>21</v>
      </c>
      <c r="G1438" s="13">
        <v>9615.2349726419015</v>
      </c>
      <c r="H1438" s="13">
        <v>9615.2349726419015</v>
      </c>
      <c r="I1438" s="14">
        <v>0</v>
      </c>
      <c r="J1438" s="15">
        <v>1</v>
      </c>
      <c r="K1438" s="14">
        <v>2568.8153198293708</v>
      </c>
      <c r="L1438" s="13">
        <v>24699762.901481658</v>
      </c>
      <c r="M1438" s="14">
        <v>4.4005335790982736</v>
      </c>
      <c r="N1438" s="14">
        <v>2514.9744601123671</v>
      </c>
      <c r="O1438" s="13">
        <v>24182070.384173617</v>
      </c>
      <c r="P1438" s="13">
        <v>517692.51730804145</v>
      </c>
      <c r="Q1438" s="14">
        <v>1.0214081139076849</v>
      </c>
      <c r="R1438" s="15">
        <v>2.1408113907684864E-2</v>
      </c>
    </row>
    <row r="1439" spans="1:18" ht="18" customHeight="1">
      <c r="A1439" s="10" t="s">
        <v>99</v>
      </c>
      <c r="B1439" s="10" t="s">
        <v>100</v>
      </c>
      <c r="C1439" s="10" t="s">
        <v>254</v>
      </c>
      <c r="D1439" s="10" t="s">
        <v>262</v>
      </c>
      <c r="E1439" s="16">
        <v>17</v>
      </c>
      <c r="F1439" s="16">
        <v>17</v>
      </c>
      <c r="G1439" s="13">
        <v>1516.1039983649002</v>
      </c>
      <c r="H1439" s="13">
        <v>1516.1039983649002</v>
      </c>
      <c r="I1439" s="14">
        <v>0</v>
      </c>
      <c r="J1439" s="15">
        <v>1</v>
      </c>
      <c r="K1439" s="14">
        <v>676.44428226426021</v>
      </c>
      <c r="L1439" s="13">
        <v>1025559.88101192</v>
      </c>
      <c r="M1439" s="14">
        <v>3.810328113867381</v>
      </c>
      <c r="N1439" s="14">
        <v>646.14221164037519</v>
      </c>
      <c r="O1439" s="13">
        <v>979618.79058031237</v>
      </c>
      <c r="P1439" s="13">
        <v>45941.090431607678</v>
      </c>
      <c r="Q1439" s="14">
        <v>1.0468969060958833</v>
      </c>
      <c r="R1439" s="15">
        <v>4.6896906095883303E-2</v>
      </c>
    </row>
    <row r="1440" spans="1:18" ht="18" customHeight="1">
      <c r="A1440" s="10" t="s">
        <v>99</v>
      </c>
      <c r="B1440" s="10" t="s">
        <v>100</v>
      </c>
      <c r="C1440" s="10" t="s">
        <v>254</v>
      </c>
      <c r="D1440" s="10" t="s">
        <v>263</v>
      </c>
      <c r="E1440" s="16">
        <v>9</v>
      </c>
      <c r="F1440" s="16">
        <v>9</v>
      </c>
      <c r="G1440" s="13">
        <v>1896.7801232111001</v>
      </c>
      <c r="H1440" s="13">
        <v>1896.7801232111001</v>
      </c>
      <c r="I1440" s="14">
        <v>0</v>
      </c>
      <c r="J1440" s="15">
        <v>1</v>
      </c>
      <c r="K1440" s="14">
        <v>625.10996666664482</v>
      </c>
      <c r="L1440" s="13">
        <v>1185696.1595944453</v>
      </c>
      <c r="M1440" s="14">
        <v>3.7692994416953582</v>
      </c>
      <c r="N1440" s="14">
        <v>587.89456023129787</v>
      </c>
      <c r="O1440" s="13">
        <v>1115106.7163906568</v>
      </c>
      <c r="P1440" s="13">
        <v>70589.443203788484</v>
      </c>
      <c r="Q1440" s="14">
        <v>1.0633028589696512</v>
      </c>
      <c r="R1440" s="15">
        <v>6.3302858969651113E-2</v>
      </c>
    </row>
    <row r="1441" spans="1:18" ht="18" customHeight="1">
      <c r="A1441" s="10" t="s">
        <v>99</v>
      </c>
      <c r="B1441" s="10" t="s">
        <v>100</v>
      </c>
      <c r="C1441" s="10" t="s">
        <v>254</v>
      </c>
      <c r="D1441" s="10" t="s">
        <v>264</v>
      </c>
      <c r="E1441" s="16">
        <v>30</v>
      </c>
      <c r="F1441" s="16">
        <v>30</v>
      </c>
      <c r="G1441" s="13">
        <v>5500.5596436468995</v>
      </c>
      <c r="H1441" s="13">
        <v>5500.5596436468995</v>
      </c>
      <c r="I1441" s="14">
        <v>0</v>
      </c>
      <c r="J1441" s="15">
        <v>1</v>
      </c>
      <c r="K1441" s="14">
        <v>1862.4613439972727</v>
      </c>
      <c r="L1441" s="13">
        <v>10244579.706643764</v>
      </c>
      <c r="M1441" s="14">
        <v>4.2381772686199133</v>
      </c>
      <c r="N1441" s="14">
        <v>1730.5225729985934</v>
      </c>
      <c r="O1441" s="13">
        <v>9518842.6274560597</v>
      </c>
      <c r="P1441" s="13">
        <v>725737.07918770425</v>
      </c>
      <c r="Q1441" s="14">
        <v>1.0762421554375103</v>
      </c>
      <c r="R1441" s="15">
        <v>7.6242155437510339E-2</v>
      </c>
    </row>
    <row r="1442" spans="1:18" ht="18" customHeight="1">
      <c r="A1442" s="10" t="s">
        <v>99</v>
      </c>
      <c r="B1442" s="10" t="s">
        <v>100</v>
      </c>
      <c r="C1442" s="10" t="s">
        <v>254</v>
      </c>
      <c r="D1442" s="10" t="s">
        <v>265</v>
      </c>
      <c r="E1442" s="16">
        <v>20</v>
      </c>
      <c r="F1442" s="16">
        <v>20</v>
      </c>
      <c r="G1442" s="13">
        <v>1894.8063457267001</v>
      </c>
      <c r="H1442" s="13">
        <v>1894.8063457267001</v>
      </c>
      <c r="I1442" s="14">
        <v>0</v>
      </c>
      <c r="J1442" s="15">
        <v>1</v>
      </c>
      <c r="K1442" s="14">
        <v>129.74550746924717</v>
      </c>
      <c r="L1442" s="13">
        <v>245842.61088226049</v>
      </c>
      <c r="M1442" s="14">
        <v>3.007033494849221</v>
      </c>
      <c r="N1442" s="14">
        <v>101.63270738099412</v>
      </c>
      <c r="O1442" s="13">
        <v>192574.2988788925</v>
      </c>
      <c r="P1442" s="13">
        <v>53268.312003367988</v>
      </c>
      <c r="Q1442" s="14">
        <v>1.2766117405774264</v>
      </c>
      <c r="R1442" s="15">
        <v>0.27661174057742638</v>
      </c>
    </row>
    <row r="1443" spans="1:18" ht="18" customHeight="1">
      <c r="A1443" s="10" t="s">
        <v>99</v>
      </c>
      <c r="B1443" s="10" t="s">
        <v>100</v>
      </c>
      <c r="C1443" s="10" t="s">
        <v>254</v>
      </c>
      <c r="D1443" s="10" t="s">
        <v>266</v>
      </c>
      <c r="E1443" s="16">
        <v>11</v>
      </c>
      <c r="F1443" s="16">
        <v>11</v>
      </c>
      <c r="G1443" s="13">
        <v>5449.9850683167006</v>
      </c>
      <c r="H1443" s="13">
        <v>5449.9850683167006</v>
      </c>
      <c r="I1443" s="14">
        <v>0</v>
      </c>
      <c r="J1443" s="15">
        <v>1</v>
      </c>
      <c r="K1443" s="14">
        <v>2201.9669889035586</v>
      </c>
      <c r="L1443" s="13">
        <v>12000687.210450679</v>
      </c>
      <c r="M1443" s="14">
        <v>4.1975451743615393</v>
      </c>
      <c r="N1443" s="14">
        <v>1575.9599421226465</v>
      </c>
      <c r="O1443" s="13">
        <v>8588958.1528336741</v>
      </c>
      <c r="P1443" s="13">
        <v>3411729.057617005</v>
      </c>
      <c r="Q1443" s="14">
        <v>1.3972226895169357</v>
      </c>
      <c r="R1443" s="15">
        <v>0.39722268951693579</v>
      </c>
    </row>
    <row r="1444" spans="1:18" ht="18" customHeight="1">
      <c r="A1444" s="10" t="s">
        <v>99</v>
      </c>
      <c r="B1444" s="10" t="s">
        <v>100</v>
      </c>
      <c r="C1444" s="10" t="s">
        <v>254</v>
      </c>
      <c r="D1444" s="10" t="s">
        <v>267</v>
      </c>
      <c r="E1444" s="16">
        <v>4</v>
      </c>
      <c r="F1444" s="16">
        <v>4</v>
      </c>
      <c r="G1444" s="13">
        <v>612.82380811849998</v>
      </c>
      <c r="H1444" s="13">
        <v>612.82380811849998</v>
      </c>
      <c r="I1444" s="14">
        <v>0</v>
      </c>
      <c r="J1444" s="15">
        <v>1</v>
      </c>
      <c r="K1444" s="14">
        <v>1175.189200935838</v>
      </c>
      <c r="L1444" s="13">
        <v>720183.9213772373</v>
      </c>
      <c r="M1444" s="14">
        <v>4.0658667282761716</v>
      </c>
      <c r="N1444" s="14">
        <v>1163.7688494624472</v>
      </c>
      <c r="O1444" s="13">
        <v>713185.25809726224</v>
      </c>
      <c r="P1444" s="13">
        <v>6998.663279975066</v>
      </c>
      <c r="Q1444" s="14">
        <v>1.0098132472601118</v>
      </c>
      <c r="R1444" s="15">
        <v>9.813247260111773E-3</v>
      </c>
    </row>
    <row r="1445" spans="1:18" ht="18" customHeight="1">
      <c r="A1445" s="10" t="s">
        <v>99</v>
      </c>
      <c r="B1445" s="10" t="s">
        <v>100</v>
      </c>
      <c r="C1445" s="10" t="s">
        <v>254</v>
      </c>
      <c r="D1445" s="10" t="s">
        <v>268</v>
      </c>
      <c r="E1445" s="16">
        <v>36</v>
      </c>
      <c r="F1445" s="16">
        <v>36</v>
      </c>
      <c r="G1445" s="13">
        <v>37273.156132389195</v>
      </c>
      <c r="H1445" s="13">
        <v>37273.156132389195</v>
      </c>
      <c r="I1445" s="14">
        <v>0</v>
      </c>
      <c r="J1445" s="15">
        <v>1</v>
      </c>
      <c r="K1445" s="14">
        <v>1001.211702329118</v>
      </c>
      <c r="L1445" s="13">
        <v>37318320.102488391</v>
      </c>
      <c r="M1445" s="14">
        <v>3.8601260165867566</v>
      </c>
      <c r="N1445" s="14">
        <v>724.646195748634</v>
      </c>
      <c r="O1445" s="13">
        <v>27009850.794880699</v>
      </c>
      <c r="P1445" s="13">
        <v>10308469.307607692</v>
      </c>
      <c r="Q1445" s="14">
        <v>1.3816559145732676</v>
      </c>
      <c r="R1445" s="15">
        <v>0.38165591457326759</v>
      </c>
    </row>
    <row r="1446" spans="1:18" ht="18" customHeight="1">
      <c r="A1446" s="10" t="s">
        <v>99</v>
      </c>
      <c r="B1446" s="10" t="s">
        <v>100</v>
      </c>
      <c r="C1446" s="10" t="s">
        <v>254</v>
      </c>
      <c r="D1446" s="10" t="s">
        <v>269</v>
      </c>
      <c r="E1446" s="16">
        <v>44</v>
      </c>
      <c r="F1446" s="16">
        <v>44</v>
      </c>
      <c r="G1446" s="13">
        <v>107560.64629001029</v>
      </c>
      <c r="H1446" s="13">
        <v>107560.64629001029</v>
      </c>
      <c r="I1446" s="14">
        <v>0</v>
      </c>
      <c r="J1446" s="15">
        <v>1</v>
      </c>
      <c r="K1446" s="14">
        <v>210.19218787107047</v>
      </c>
      <c r="L1446" s="13">
        <v>22608407.572523601</v>
      </c>
      <c r="M1446" s="14">
        <v>3.2573180808826052</v>
      </c>
      <c r="N1446" s="14">
        <v>180.84982001601878</v>
      </c>
      <c r="O1446" s="13">
        <v>19452323.52235502</v>
      </c>
      <c r="P1446" s="13">
        <v>3156084.0501685813</v>
      </c>
      <c r="Q1446" s="14">
        <v>1.1622471498863127</v>
      </c>
      <c r="R1446" s="15">
        <v>0.1622471498863127</v>
      </c>
    </row>
    <row r="1447" spans="1:18" ht="18" customHeight="1">
      <c r="A1447" s="10" t="s">
        <v>99</v>
      </c>
      <c r="B1447" s="10" t="s">
        <v>100</v>
      </c>
      <c r="C1447" s="10" t="s">
        <v>254</v>
      </c>
      <c r="D1447" s="10" t="s">
        <v>270</v>
      </c>
      <c r="E1447" s="16">
        <v>28</v>
      </c>
      <c r="F1447" s="16">
        <v>28</v>
      </c>
      <c r="G1447" s="13">
        <v>82891.547101521195</v>
      </c>
      <c r="H1447" s="13">
        <v>82891.547101521195</v>
      </c>
      <c r="I1447" s="14">
        <v>0</v>
      </c>
      <c r="J1447" s="15">
        <v>1</v>
      </c>
      <c r="K1447" s="14">
        <v>571.28302339766287</v>
      </c>
      <c r="L1447" s="13">
        <v>47354533.64226681</v>
      </c>
      <c r="M1447" s="14">
        <v>3.69768262964232</v>
      </c>
      <c r="N1447" s="14">
        <v>498.52004969507186</v>
      </c>
      <c r="O1447" s="13">
        <v>41323098.180351734</v>
      </c>
      <c r="P1447" s="13">
        <v>6031435.4619150758</v>
      </c>
      <c r="Q1447" s="14">
        <v>1.1459579684851147</v>
      </c>
      <c r="R1447" s="15">
        <v>0.14595796848511461</v>
      </c>
    </row>
    <row r="1448" spans="1:18" ht="18" customHeight="1">
      <c r="A1448" s="10" t="s">
        <v>99</v>
      </c>
      <c r="B1448" s="10" t="s">
        <v>100</v>
      </c>
      <c r="C1448" s="10" t="s">
        <v>254</v>
      </c>
      <c r="D1448" s="10" t="s">
        <v>276</v>
      </c>
      <c r="E1448" s="16">
        <v>12</v>
      </c>
      <c r="F1448" s="16">
        <v>12</v>
      </c>
      <c r="G1448" s="13">
        <v>1011.9217942874999</v>
      </c>
      <c r="H1448" s="13">
        <v>1011.9217942874999</v>
      </c>
      <c r="I1448" s="14">
        <v>0</v>
      </c>
      <c r="J1448" s="15">
        <v>1</v>
      </c>
      <c r="K1448" s="14">
        <v>227.94094274773275</v>
      </c>
      <c r="L1448" s="13">
        <v>230658.40777687001</v>
      </c>
      <c r="M1448" s="14">
        <v>2.9766144287168257</v>
      </c>
      <c r="N1448" s="14">
        <v>94.757682091644099</v>
      </c>
      <c r="O1448" s="13">
        <v>95887.363684700991</v>
      </c>
      <c r="P1448" s="13">
        <v>134771.04409216903</v>
      </c>
      <c r="Q1448" s="14">
        <v>2.4055141252535237</v>
      </c>
      <c r="R1448" s="15">
        <v>1.4055141252535239</v>
      </c>
    </row>
    <row r="1449" spans="1:18" ht="18" customHeight="1">
      <c r="A1449" s="10" t="s">
        <v>99</v>
      </c>
      <c r="B1449" s="10" t="s">
        <v>100</v>
      </c>
      <c r="C1449" s="10" t="s">
        <v>254</v>
      </c>
      <c r="D1449" s="10" t="s">
        <v>271</v>
      </c>
      <c r="E1449" s="16">
        <v>49</v>
      </c>
      <c r="F1449" s="16">
        <v>49</v>
      </c>
      <c r="G1449" s="13">
        <v>24074.829868359699</v>
      </c>
      <c r="H1449" s="13">
        <v>24074.829868359699</v>
      </c>
      <c r="I1449" s="14">
        <v>0</v>
      </c>
      <c r="J1449" s="15">
        <v>1</v>
      </c>
      <c r="K1449" s="14">
        <v>14.019357413935706</v>
      </c>
      <c r="L1449" s="13">
        <v>337513.64460422931</v>
      </c>
      <c r="M1449" s="14">
        <v>2.1203298275696745</v>
      </c>
      <c r="N1449" s="14">
        <v>13.192582768696422</v>
      </c>
      <c r="O1449" s="13">
        <v>317609.18568062008</v>
      </c>
      <c r="P1449" s="13">
        <v>19904.458923609229</v>
      </c>
      <c r="Q1449" s="14">
        <v>1.0626696576201189</v>
      </c>
      <c r="R1449" s="15">
        <v>6.266965762011889E-2</v>
      </c>
    </row>
    <row r="1450" spans="1:18" ht="18" customHeight="1">
      <c r="A1450" s="10" t="s">
        <v>99</v>
      </c>
      <c r="B1450" s="10" t="s">
        <v>100</v>
      </c>
      <c r="C1450" s="10" t="s">
        <v>254</v>
      </c>
      <c r="D1450" s="10" t="s">
        <v>272</v>
      </c>
      <c r="E1450" s="16">
        <v>17</v>
      </c>
      <c r="F1450" s="16">
        <v>17</v>
      </c>
      <c r="G1450" s="13">
        <v>5220.5806527611994</v>
      </c>
      <c r="H1450" s="13">
        <v>5220.5806527611994</v>
      </c>
      <c r="I1450" s="14">
        <v>0</v>
      </c>
      <c r="J1450" s="15">
        <v>1</v>
      </c>
      <c r="K1450" s="14">
        <v>157.78191467466885</v>
      </c>
      <c r="L1450" s="13">
        <v>823713.21110619465</v>
      </c>
      <c r="M1450" s="14">
        <v>3.077864324921463</v>
      </c>
      <c r="N1450" s="14">
        <v>119.63667238727921</v>
      </c>
      <c r="O1450" s="13">
        <v>624572.89722575981</v>
      </c>
      <c r="P1450" s="13">
        <v>199140.31388043484</v>
      </c>
      <c r="Q1450" s="14">
        <v>1.3188423877580666</v>
      </c>
      <c r="R1450" s="15">
        <v>0.31884238775806667</v>
      </c>
    </row>
    <row r="1451" spans="1:18" ht="18" customHeight="1">
      <c r="A1451" s="10" t="s">
        <v>99</v>
      </c>
      <c r="B1451" s="10" t="s">
        <v>100</v>
      </c>
      <c r="C1451" s="10" t="s">
        <v>254</v>
      </c>
      <c r="D1451" s="10" t="s">
        <v>283</v>
      </c>
      <c r="E1451" s="16">
        <v>3</v>
      </c>
      <c r="F1451" s="16">
        <v>3</v>
      </c>
      <c r="G1451" s="13">
        <v>280.52511401829997</v>
      </c>
      <c r="H1451" s="13">
        <v>280.52511401829997</v>
      </c>
      <c r="I1451" s="14">
        <v>0</v>
      </c>
      <c r="J1451" s="15">
        <v>1</v>
      </c>
      <c r="K1451" s="14">
        <v>274.4999946658798</v>
      </c>
      <c r="L1451" s="13">
        <v>77004.14230166866</v>
      </c>
      <c r="M1451" s="14">
        <v>3.426128287619981</v>
      </c>
      <c r="N1451" s="14">
        <v>266.76465526960175</v>
      </c>
      <c r="O1451" s="13">
        <v>74834.185335557515</v>
      </c>
      <c r="P1451" s="13">
        <v>2169.9569661111454</v>
      </c>
      <c r="Q1451" s="14">
        <v>1.0289968676264869</v>
      </c>
      <c r="R1451" s="15">
        <v>2.8996867626486861E-2</v>
      </c>
    </row>
    <row r="1452" spans="1:18" ht="18" customHeight="1">
      <c r="A1452" s="10" t="s">
        <v>99</v>
      </c>
      <c r="B1452" s="10" t="s">
        <v>100</v>
      </c>
      <c r="C1452" s="10" t="s">
        <v>254</v>
      </c>
      <c r="D1452" s="10" t="s">
        <v>278</v>
      </c>
      <c r="E1452" s="16">
        <v>10</v>
      </c>
      <c r="F1452" s="16">
        <v>10</v>
      </c>
      <c r="G1452" s="13">
        <v>2971.3388843357006</v>
      </c>
      <c r="H1452" s="13">
        <v>2971.3388843357006</v>
      </c>
      <c r="I1452" s="14">
        <v>0</v>
      </c>
      <c r="J1452" s="15">
        <v>1</v>
      </c>
      <c r="K1452" s="14">
        <v>250.93500472375857</v>
      </c>
      <c r="L1452" s="13">
        <v>745612.93697666656</v>
      </c>
      <c r="M1452" s="14">
        <v>3.3263033496112708</v>
      </c>
      <c r="N1452" s="14">
        <v>211.98413025811575</v>
      </c>
      <c r="O1452" s="13">
        <v>629876.68909802346</v>
      </c>
      <c r="P1452" s="13">
        <v>115736.2478786431</v>
      </c>
      <c r="Q1452" s="14">
        <v>1.1837442945291023</v>
      </c>
      <c r="R1452" s="15">
        <v>0.18374429452910243</v>
      </c>
    </row>
    <row r="1453" spans="1:18" ht="18" customHeight="1">
      <c r="A1453" s="10" t="s">
        <v>99</v>
      </c>
      <c r="B1453" s="10" t="s">
        <v>100</v>
      </c>
      <c r="C1453" s="10" t="s">
        <v>254</v>
      </c>
      <c r="D1453" s="10" t="s">
        <v>273</v>
      </c>
      <c r="E1453" s="16">
        <v>9</v>
      </c>
      <c r="F1453" s="16">
        <v>9</v>
      </c>
      <c r="G1453" s="13">
        <v>52297.617194846898</v>
      </c>
      <c r="H1453" s="13">
        <v>52297.617194846898</v>
      </c>
      <c r="I1453" s="14">
        <v>0</v>
      </c>
      <c r="J1453" s="15">
        <v>1</v>
      </c>
      <c r="K1453" s="14">
        <v>122.76118379209301</v>
      </c>
      <c r="L1453" s="13">
        <v>6420117.3963451236</v>
      </c>
      <c r="M1453" s="14">
        <v>3.0877576653999887</v>
      </c>
      <c r="N1453" s="14">
        <v>122.39330588909334</v>
      </c>
      <c r="O1453" s="13">
        <v>6400878.2585996045</v>
      </c>
      <c r="P1453" s="13">
        <v>19239.137745519169</v>
      </c>
      <c r="Q1453" s="14">
        <v>1.0030057028064345</v>
      </c>
      <c r="R1453" s="15">
        <v>3.005702806434619E-3</v>
      </c>
    </row>
    <row r="1454" spans="1:18" ht="18" customHeight="1">
      <c r="A1454" s="10" t="s">
        <v>99</v>
      </c>
      <c r="B1454" s="10" t="s">
        <v>100</v>
      </c>
      <c r="C1454" s="10" t="s">
        <v>254</v>
      </c>
      <c r="D1454" s="10" t="s">
        <v>284</v>
      </c>
      <c r="E1454" s="16">
        <v>3</v>
      </c>
      <c r="F1454" s="16">
        <v>3</v>
      </c>
      <c r="G1454" s="13">
        <v>4.0163951229000006</v>
      </c>
      <c r="H1454" s="13">
        <v>4.0163951229000006</v>
      </c>
      <c r="I1454" s="14">
        <v>0</v>
      </c>
      <c r="J1454" s="15">
        <v>1</v>
      </c>
      <c r="K1454" s="14">
        <v>351.04547761389875</v>
      </c>
      <c r="L1454" s="13">
        <v>1409.9373442045642</v>
      </c>
      <c r="M1454" s="14">
        <v>3.5081265742583194</v>
      </c>
      <c r="N1454" s="14">
        <v>322.20077021568881</v>
      </c>
      <c r="O1454" s="13">
        <v>1294.0856020889162</v>
      </c>
      <c r="P1454" s="13">
        <v>115.85174211564799</v>
      </c>
      <c r="Q1454" s="14">
        <v>1.0895240175214373</v>
      </c>
      <c r="R1454" s="15">
        <v>8.9524017521437391E-2</v>
      </c>
    </row>
    <row r="1455" spans="1:18" ht="18" customHeight="1">
      <c r="A1455" s="10" t="s">
        <v>99</v>
      </c>
      <c r="B1455" s="10" t="s">
        <v>100</v>
      </c>
      <c r="C1455" s="10" t="s">
        <v>254</v>
      </c>
      <c r="D1455" s="10" t="s">
        <v>274</v>
      </c>
      <c r="E1455" s="16">
        <v>23</v>
      </c>
      <c r="F1455" s="16">
        <v>23</v>
      </c>
      <c r="G1455" s="13">
        <v>5416.1730632679992</v>
      </c>
      <c r="H1455" s="13">
        <v>5416.1730632679992</v>
      </c>
      <c r="I1455" s="14">
        <v>0</v>
      </c>
      <c r="J1455" s="15">
        <v>1</v>
      </c>
      <c r="K1455" s="14">
        <v>608.59831833054125</v>
      </c>
      <c r="L1455" s="13">
        <v>3296273.8180920803</v>
      </c>
      <c r="M1455" s="14">
        <v>3.650834230167137</v>
      </c>
      <c r="N1455" s="14">
        <v>447.54244500097246</v>
      </c>
      <c r="O1455" s="13">
        <v>2423967.335283367</v>
      </c>
      <c r="P1455" s="13">
        <v>872306.48280871334</v>
      </c>
      <c r="Q1455" s="14">
        <v>1.3598672598064276</v>
      </c>
      <c r="R1455" s="15">
        <v>0.35986725980642759</v>
      </c>
    </row>
    <row r="1456" spans="1:18" ht="18" customHeight="1">
      <c r="A1456" s="10" t="s">
        <v>99</v>
      </c>
      <c r="B1456" s="10" t="s">
        <v>100</v>
      </c>
      <c r="C1456" s="10" t="s">
        <v>254</v>
      </c>
      <c r="D1456" s="10" t="s">
        <v>282</v>
      </c>
      <c r="E1456" s="16">
        <v>8</v>
      </c>
      <c r="F1456" s="16">
        <v>8</v>
      </c>
      <c r="G1456" s="13">
        <v>599.8514814191999</v>
      </c>
      <c r="H1456" s="13">
        <v>599.8514814191999</v>
      </c>
      <c r="I1456" s="14">
        <v>0</v>
      </c>
      <c r="J1456" s="15">
        <v>1</v>
      </c>
      <c r="K1456" s="14">
        <v>821.23627190523484</v>
      </c>
      <c r="L1456" s="13">
        <v>492619.79429753596</v>
      </c>
      <c r="M1456" s="14">
        <v>3.8742252021703067</v>
      </c>
      <c r="N1456" s="14">
        <v>748.55756228650648</v>
      </c>
      <c r="O1456" s="13">
        <v>449023.3626651059</v>
      </c>
      <c r="P1456" s="13">
        <v>43596.43163243006</v>
      </c>
      <c r="Q1456" s="14">
        <v>1.0970916777551851</v>
      </c>
      <c r="R1456" s="15">
        <v>9.7091677755185068E-2</v>
      </c>
    </row>
    <row r="1457" spans="1:18" ht="18" customHeight="1">
      <c r="A1457" s="10" t="s">
        <v>99</v>
      </c>
      <c r="B1457" s="10" t="s">
        <v>100</v>
      </c>
      <c r="C1457" s="10" t="s">
        <v>254</v>
      </c>
      <c r="D1457" s="10" t="s">
        <v>275</v>
      </c>
      <c r="E1457" s="16">
        <v>9</v>
      </c>
      <c r="F1457" s="16">
        <v>9</v>
      </c>
      <c r="G1457" s="13">
        <v>1532.2065086424</v>
      </c>
      <c r="H1457" s="13">
        <v>1532.2065086424</v>
      </c>
      <c r="I1457" s="14">
        <v>0</v>
      </c>
      <c r="J1457" s="15">
        <v>1</v>
      </c>
      <c r="K1457" s="14">
        <v>847.2430935390297</v>
      </c>
      <c r="L1457" s="13">
        <v>1298151.3823228229</v>
      </c>
      <c r="M1457" s="14">
        <v>3.9030373691331088</v>
      </c>
      <c r="N1457" s="14">
        <v>799.90308019347719</v>
      </c>
      <c r="O1457" s="13">
        <v>1225616.7057555495</v>
      </c>
      <c r="P1457" s="13">
        <v>72534.676567273447</v>
      </c>
      <c r="Q1457" s="14">
        <v>1.0591821865895328</v>
      </c>
      <c r="R1457" s="15">
        <v>5.9182186589532802E-2</v>
      </c>
    </row>
    <row r="1458" spans="1:18" ht="18" customHeight="1">
      <c r="A1458" s="10" t="s">
        <v>57</v>
      </c>
      <c r="B1458" s="10" t="s">
        <v>58</v>
      </c>
      <c r="C1458" s="10" t="s">
        <v>254</v>
      </c>
      <c r="D1458" s="10" t="s">
        <v>255</v>
      </c>
      <c r="E1458" s="16">
        <v>27</v>
      </c>
      <c r="F1458" s="16">
        <v>27</v>
      </c>
      <c r="G1458" s="13">
        <v>72017.868040891786</v>
      </c>
      <c r="H1458" s="13">
        <v>72017.868040891786</v>
      </c>
      <c r="I1458" s="14">
        <v>0</v>
      </c>
      <c r="J1458" s="15">
        <v>1</v>
      </c>
      <c r="K1458" s="14">
        <v>873.64580016335833</v>
      </c>
      <c r="L1458" s="13">
        <v>62918107.950644054</v>
      </c>
      <c r="M1458" s="14">
        <v>3.8610733851849086</v>
      </c>
      <c r="N1458" s="14">
        <v>726.22866201555473</v>
      </c>
      <c r="O1458" s="13">
        <v>52301439.948549621</v>
      </c>
      <c r="P1458" s="13">
        <v>10616668.002094433</v>
      </c>
      <c r="Q1458" s="14">
        <v>1.2029899752767486</v>
      </c>
      <c r="R1458" s="15">
        <v>0.20298997527674847</v>
      </c>
    </row>
    <row r="1459" spans="1:18" ht="18" customHeight="1">
      <c r="A1459" s="10" t="s">
        <v>57</v>
      </c>
      <c r="B1459" s="10" t="s">
        <v>58</v>
      </c>
      <c r="C1459" s="10" t="s">
        <v>254</v>
      </c>
      <c r="D1459" s="10" t="s">
        <v>256</v>
      </c>
      <c r="E1459" s="16">
        <v>5</v>
      </c>
      <c r="F1459" s="16">
        <v>5</v>
      </c>
      <c r="G1459" s="13">
        <v>5787.9995654452014</v>
      </c>
      <c r="H1459" s="13">
        <v>5787.9995654452014</v>
      </c>
      <c r="I1459" s="14">
        <v>0</v>
      </c>
      <c r="J1459" s="15">
        <v>1</v>
      </c>
      <c r="K1459" s="14">
        <v>1570.8727923224824</v>
      </c>
      <c r="L1459" s="13">
        <v>9092211.0393322185</v>
      </c>
      <c r="M1459" s="14">
        <v>4.1075997792320695</v>
      </c>
      <c r="N1459" s="14">
        <v>1281.1494050226563</v>
      </c>
      <c r="O1459" s="13">
        <v>7415292.1995415129</v>
      </c>
      <c r="P1459" s="13">
        <v>1676918.8397907056</v>
      </c>
      <c r="Q1459" s="14">
        <v>1.2261433258010237</v>
      </c>
      <c r="R1459" s="15">
        <v>0.22614332580102364</v>
      </c>
    </row>
    <row r="1460" spans="1:18" ht="18" customHeight="1">
      <c r="A1460" s="10" t="s">
        <v>57</v>
      </c>
      <c r="B1460" s="10" t="s">
        <v>58</v>
      </c>
      <c r="C1460" s="10" t="s">
        <v>254</v>
      </c>
      <c r="D1460" s="10" t="s">
        <v>257</v>
      </c>
      <c r="E1460" s="16">
        <v>1</v>
      </c>
      <c r="F1460" s="16">
        <v>1</v>
      </c>
      <c r="G1460" s="13">
        <v>54.736457866999999</v>
      </c>
      <c r="H1460" s="13">
        <v>54.736457866999999</v>
      </c>
      <c r="I1460" s="14">
        <v>0</v>
      </c>
      <c r="J1460" s="15">
        <v>1</v>
      </c>
      <c r="K1460" s="14">
        <v>831.76377110267094</v>
      </c>
      <c r="L1460" s="13">
        <v>45527.802612258376</v>
      </c>
      <c r="M1460" s="14">
        <v>3.92</v>
      </c>
      <c r="N1460" s="14">
        <v>831.76377110267083</v>
      </c>
      <c r="O1460" s="13">
        <v>45527.802612258376</v>
      </c>
      <c r="P1460" s="13">
        <v>0</v>
      </c>
      <c r="Q1460" s="14">
        <v>1</v>
      </c>
      <c r="R1460" s="15">
        <v>0</v>
      </c>
    </row>
    <row r="1461" spans="1:18" ht="18" customHeight="1">
      <c r="A1461" s="10" t="s">
        <v>57</v>
      </c>
      <c r="B1461" s="10" t="s">
        <v>58</v>
      </c>
      <c r="C1461" s="10" t="s">
        <v>254</v>
      </c>
      <c r="D1461" s="10" t="s">
        <v>258</v>
      </c>
      <c r="E1461" s="16">
        <v>11</v>
      </c>
      <c r="F1461" s="16">
        <v>11</v>
      </c>
      <c r="G1461" s="13">
        <v>18246.861018343396</v>
      </c>
      <c r="H1461" s="13">
        <v>18246.861018343396</v>
      </c>
      <c r="I1461" s="14">
        <v>0</v>
      </c>
      <c r="J1461" s="15">
        <v>1</v>
      </c>
      <c r="K1461" s="14">
        <v>1782.768983947954</v>
      </c>
      <c r="L1461" s="13">
        <v>32529937.877911583</v>
      </c>
      <c r="M1461" s="14">
        <v>3.7184686486715219</v>
      </c>
      <c r="N1461" s="14">
        <v>522.96021279154684</v>
      </c>
      <c r="O1461" s="13">
        <v>9542382.320930643</v>
      </c>
      <c r="P1461" s="13">
        <v>22987555.556980938</v>
      </c>
      <c r="Q1461" s="14">
        <v>3.4089954461957697</v>
      </c>
      <c r="R1461" s="15">
        <v>2.4089954461957697</v>
      </c>
    </row>
    <row r="1462" spans="1:18" ht="18" customHeight="1">
      <c r="A1462" s="10" t="s">
        <v>57</v>
      </c>
      <c r="B1462" s="10" t="s">
        <v>58</v>
      </c>
      <c r="C1462" s="10" t="s">
        <v>254</v>
      </c>
      <c r="D1462" s="10" t="s">
        <v>259</v>
      </c>
      <c r="E1462" s="16">
        <v>17</v>
      </c>
      <c r="F1462" s="16">
        <v>17</v>
      </c>
      <c r="G1462" s="13">
        <v>31440.705987658199</v>
      </c>
      <c r="H1462" s="13">
        <v>31440.705987658199</v>
      </c>
      <c r="I1462" s="14">
        <v>0</v>
      </c>
      <c r="J1462" s="15">
        <v>1</v>
      </c>
      <c r="K1462" s="14">
        <v>1786.3991366024536</v>
      </c>
      <c r="L1462" s="13">
        <v>56165650.030524202</v>
      </c>
      <c r="M1462" s="14">
        <v>4.1285163928606261</v>
      </c>
      <c r="N1462" s="14">
        <v>1344.3625099624562</v>
      </c>
      <c r="O1462" s="13">
        <v>42267706.416559801</v>
      </c>
      <c r="P1462" s="13">
        <v>13897943.613964401</v>
      </c>
      <c r="Q1462" s="14">
        <v>1.3288076120572139</v>
      </c>
      <c r="R1462" s="15">
        <v>0.32880761205721382</v>
      </c>
    </row>
    <row r="1463" spans="1:18" ht="18" customHeight="1">
      <c r="A1463" s="10" t="s">
        <v>57</v>
      </c>
      <c r="B1463" s="10" t="s">
        <v>58</v>
      </c>
      <c r="C1463" s="10" t="s">
        <v>254</v>
      </c>
      <c r="D1463" s="10" t="s">
        <v>260</v>
      </c>
      <c r="E1463" s="16">
        <v>2</v>
      </c>
      <c r="F1463" s="16">
        <v>2</v>
      </c>
      <c r="G1463" s="13">
        <v>4062.169357153</v>
      </c>
      <c r="H1463" s="13">
        <v>4062.169357153</v>
      </c>
      <c r="I1463" s="14">
        <v>0</v>
      </c>
      <c r="J1463" s="15">
        <v>1</v>
      </c>
      <c r="K1463" s="14">
        <v>1897.2791173666781</v>
      </c>
      <c r="L1463" s="13">
        <v>7707069.0925332094</v>
      </c>
      <c r="M1463" s="14">
        <v>4.1747527173621126</v>
      </c>
      <c r="N1463" s="14">
        <v>1495.3839579949099</v>
      </c>
      <c r="O1463" s="13">
        <v>6074502.8913450921</v>
      </c>
      <c r="P1463" s="13">
        <v>1632566.2011881173</v>
      </c>
      <c r="Q1463" s="14">
        <v>1.2687571691692148</v>
      </c>
      <c r="R1463" s="15">
        <v>0.26875716916921477</v>
      </c>
    </row>
    <row r="1464" spans="1:18" ht="18" customHeight="1">
      <c r="A1464" s="10" t="s">
        <v>57</v>
      </c>
      <c r="B1464" s="10" t="s">
        <v>58</v>
      </c>
      <c r="C1464" s="10" t="s">
        <v>254</v>
      </c>
      <c r="D1464" s="10" t="s">
        <v>261</v>
      </c>
      <c r="E1464" s="16">
        <v>25</v>
      </c>
      <c r="F1464" s="16">
        <v>25</v>
      </c>
      <c r="G1464" s="13">
        <v>100659.79150978081</v>
      </c>
      <c r="H1464" s="13">
        <v>100659.79150978081</v>
      </c>
      <c r="I1464" s="14">
        <v>0</v>
      </c>
      <c r="J1464" s="15">
        <v>1</v>
      </c>
      <c r="K1464" s="14">
        <v>2789.667526891606</v>
      </c>
      <c r="L1464" s="13">
        <v>280807351.63851494</v>
      </c>
      <c r="M1464" s="14">
        <v>4.4324714009987121</v>
      </c>
      <c r="N1464" s="14">
        <v>2706.894944596811</v>
      </c>
      <c r="O1464" s="13">
        <v>272475480.76199466</v>
      </c>
      <c r="P1464" s="13">
        <v>8331870.8765202761</v>
      </c>
      <c r="Q1464" s="14">
        <v>1.0305784243529719</v>
      </c>
      <c r="R1464" s="15">
        <v>3.0578424352971798E-2</v>
      </c>
    </row>
    <row r="1465" spans="1:18" ht="18" customHeight="1">
      <c r="A1465" s="10" t="s">
        <v>57</v>
      </c>
      <c r="B1465" s="10" t="s">
        <v>58</v>
      </c>
      <c r="C1465" s="10" t="s">
        <v>254</v>
      </c>
      <c r="D1465" s="10" t="s">
        <v>262</v>
      </c>
      <c r="E1465" s="16">
        <v>21</v>
      </c>
      <c r="F1465" s="16">
        <v>21</v>
      </c>
      <c r="G1465" s="13">
        <v>4567.7188752113007</v>
      </c>
      <c r="H1465" s="13">
        <v>4567.7188752113007</v>
      </c>
      <c r="I1465" s="14">
        <v>0</v>
      </c>
      <c r="J1465" s="15">
        <v>1</v>
      </c>
      <c r="K1465" s="14">
        <v>568.77404004399261</v>
      </c>
      <c r="L1465" s="13">
        <v>2597999.9184391331</v>
      </c>
      <c r="M1465" s="14">
        <v>3.7166273298044086</v>
      </c>
      <c r="N1465" s="14">
        <v>520.74766323687777</v>
      </c>
      <c r="O1465" s="13">
        <v>2378628.9305892647</v>
      </c>
      <c r="P1465" s="13">
        <v>219370.98784986837</v>
      </c>
      <c r="Q1465" s="14">
        <v>1.0922258133787699</v>
      </c>
      <c r="R1465" s="15">
        <v>9.2225813378769825E-2</v>
      </c>
    </row>
    <row r="1466" spans="1:18" ht="18" customHeight="1">
      <c r="A1466" s="10" t="s">
        <v>57</v>
      </c>
      <c r="B1466" s="10" t="s">
        <v>58</v>
      </c>
      <c r="C1466" s="10" t="s">
        <v>254</v>
      </c>
      <c r="D1466" s="10" t="s">
        <v>263</v>
      </c>
      <c r="E1466" s="16">
        <v>9</v>
      </c>
      <c r="F1466" s="16">
        <v>9</v>
      </c>
      <c r="G1466" s="13">
        <v>13162.5487065292</v>
      </c>
      <c r="H1466" s="13">
        <v>13162.5487065292</v>
      </c>
      <c r="I1466" s="14">
        <v>0</v>
      </c>
      <c r="J1466" s="15">
        <v>1</v>
      </c>
      <c r="K1466" s="14">
        <v>1632.7527940243829</v>
      </c>
      <c r="L1466" s="13">
        <v>21491188.177067578</v>
      </c>
      <c r="M1466" s="14">
        <v>4.1012298619144136</v>
      </c>
      <c r="N1466" s="14">
        <v>1262.4955671715604</v>
      </c>
      <c r="O1466" s="13">
        <v>16617659.394672871</v>
      </c>
      <c r="P1466" s="13">
        <v>4873528.7823947072</v>
      </c>
      <c r="Q1466" s="14">
        <v>1.2932740807021845</v>
      </c>
      <c r="R1466" s="15">
        <v>0.29327408070218458</v>
      </c>
    </row>
    <row r="1467" spans="1:18" ht="18" customHeight="1">
      <c r="A1467" s="10" t="s">
        <v>57</v>
      </c>
      <c r="B1467" s="10" t="s">
        <v>58</v>
      </c>
      <c r="C1467" s="10" t="s">
        <v>254</v>
      </c>
      <c r="D1467" s="10" t="s">
        <v>264</v>
      </c>
      <c r="E1467" s="16">
        <v>36</v>
      </c>
      <c r="F1467" s="16">
        <v>36</v>
      </c>
      <c r="G1467" s="13">
        <v>56511.338013040309</v>
      </c>
      <c r="H1467" s="13">
        <v>56511.338013040309</v>
      </c>
      <c r="I1467" s="14">
        <v>0</v>
      </c>
      <c r="J1467" s="15">
        <v>1</v>
      </c>
      <c r="K1467" s="14">
        <v>2089.4135146998333</v>
      </c>
      <c r="L1467" s="13">
        <v>118075553.37821685</v>
      </c>
      <c r="M1467" s="14">
        <v>4.2909752590224732</v>
      </c>
      <c r="N1467" s="14">
        <v>1954.2281237338309</v>
      </c>
      <c r="O1467" s="13">
        <v>110436046.05491208</v>
      </c>
      <c r="P1467" s="13">
        <v>7639507.3233047724</v>
      </c>
      <c r="Q1467" s="14">
        <v>1.0691758496995283</v>
      </c>
      <c r="R1467" s="15">
        <v>6.9175849699528211E-2</v>
      </c>
    </row>
    <row r="1468" spans="1:18" ht="18" customHeight="1">
      <c r="A1468" s="10" t="s">
        <v>57</v>
      </c>
      <c r="B1468" s="10" t="s">
        <v>58</v>
      </c>
      <c r="C1468" s="10" t="s">
        <v>254</v>
      </c>
      <c r="D1468" s="10" t="s">
        <v>265</v>
      </c>
      <c r="E1468" s="16">
        <v>27</v>
      </c>
      <c r="F1468" s="16">
        <v>27</v>
      </c>
      <c r="G1468" s="13">
        <v>20201.269895752997</v>
      </c>
      <c r="H1468" s="13">
        <v>20201.269895752997</v>
      </c>
      <c r="I1468" s="14">
        <v>0</v>
      </c>
      <c r="J1468" s="15">
        <v>1</v>
      </c>
      <c r="K1468" s="14">
        <v>208.62746463180585</v>
      </c>
      <c r="L1468" s="13">
        <v>4214539.7206937727</v>
      </c>
      <c r="M1468" s="14">
        <v>3.2422685991038089</v>
      </c>
      <c r="N1468" s="14">
        <v>174.69022295138768</v>
      </c>
      <c r="O1468" s="13">
        <v>3528964.3419902474</v>
      </c>
      <c r="P1468" s="13">
        <v>685575.37870352529</v>
      </c>
      <c r="Q1468" s="14">
        <v>1.1942709849873059</v>
      </c>
      <c r="R1468" s="15">
        <v>0.19427098498730594</v>
      </c>
    </row>
    <row r="1469" spans="1:18" ht="18" customHeight="1">
      <c r="A1469" s="10" t="s">
        <v>57</v>
      </c>
      <c r="B1469" s="10" t="s">
        <v>58</v>
      </c>
      <c r="C1469" s="10" t="s">
        <v>254</v>
      </c>
      <c r="D1469" s="10" t="s">
        <v>266</v>
      </c>
      <c r="E1469" s="16">
        <v>12</v>
      </c>
      <c r="F1469" s="16">
        <v>12</v>
      </c>
      <c r="G1469" s="13">
        <v>7534.0736412831002</v>
      </c>
      <c r="H1469" s="13">
        <v>7534.0736412831002</v>
      </c>
      <c r="I1469" s="14">
        <v>0</v>
      </c>
      <c r="J1469" s="15">
        <v>1</v>
      </c>
      <c r="K1469" s="14">
        <v>1973.8691084444761</v>
      </c>
      <c r="L1469" s="13">
        <v>14871275.221274501</v>
      </c>
      <c r="M1469" s="14">
        <v>4.1052211330844495</v>
      </c>
      <c r="N1469" s="14">
        <v>1274.1516855556877</v>
      </c>
      <c r="O1469" s="13">
        <v>9599552.6291415393</v>
      </c>
      <c r="P1469" s="13">
        <v>5271722.5921329614</v>
      </c>
      <c r="Q1469" s="14">
        <v>1.5491633616476559</v>
      </c>
      <c r="R1469" s="15">
        <v>0.54916336164765589</v>
      </c>
    </row>
    <row r="1470" spans="1:18" ht="18" customHeight="1">
      <c r="A1470" s="10" t="s">
        <v>57</v>
      </c>
      <c r="B1470" s="10" t="s">
        <v>58</v>
      </c>
      <c r="C1470" s="10" t="s">
        <v>254</v>
      </c>
      <c r="D1470" s="10" t="s">
        <v>267</v>
      </c>
      <c r="E1470" s="16">
        <v>2</v>
      </c>
      <c r="F1470" s="16">
        <v>2</v>
      </c>
      <c r="G1470" s="13">
        <v>103.91046367220001</v>
      </c>
      <c r="H1470" s="13">
        <v>103.91046367220001</v>
      </c>
      <c r="I1470" s="14">
        <v>0</v>
      </c>
      <c r="J1470" s="15">
        <v>1</v>
      </c>
      <c r="K1470" s="14">
        <v>959.92475415721538</v>
      </c>
      <c r="L1470" s="13">
        <v>99746.22629489885</v>
      </c>
      <c r="M1470" s="14">
        <v>3.9407513496316438</v>
      </c>
      <c r="N1470" s="14">
        <v>872.47170160839346</v>
      </c>
      <c r="O1470" s="13">
        <v>90658.939055001494</v>
      </c>
      <c r="P1470" s="13">
        <v>9087.2872398973559</v>
      </c>
      <c r="Q1470" s="14">
        <v>1.1002359760065605</v>
      </c>
      <c r="R1470" s="15">
        <v>0.10023597600656045</v>
      </c>
    </row>
    <row r="1471" spans="1:18" ht="18" customHeight="1">
      <c r="A1471" s="10" t="s">
        <v>57</v>
      </c>
      <c r="B1471" s="10" t="s">
        <v>58</v>
      </c>
      <c r="C1471" s="10" t="s">
        <v>254</v>
      </c>
      <c r="D1471" s="10" t="s">
        <v>268</v>
      </c>
      <c r="E1471" s="16">
        <v>37</v>
      </c>
      <c r="F1471" s="16">
        <v>37</v>
      </c>
      <c r="G1471" s="13">
        <v>92789.557938952101</v>
      </c>
      <c r="H1471" s="13">
        <v>92789.557938952101</v>
      </c>
      <c r="I1471" s="14">
        <v>0</v>
      </c>
      <c r="J1471" s="15">
        <v>1</v>
      </c>
      <c r="K1471" s="14">
        <v>481.77757402611513</v>
      </c>
      <c r="L1471" s="13">
        <v>44703928.118783996</v>
      </c>
      <c r="M1471" s="14">
        <v>3.4535817703678742</v>
      </c>
      <c r="N1471" s="14">
        <v>284.17231834361172</v>
      </c>
      <c r="O1471" s="13">
        <v>26368223.7975909</v>
      </c>
      <c r="P1471" s="13">
        <v>18335704.321193095</v>
      </c>
      <c r="Q1471" s="14">
        <v>1.6953712340255667</v>
      </c>
      <c r="R1471" s="15">
        <v>0.69537123402556655</v>
      </c>
    </row>
    <row r="1472" spans="1:18" ht="18" customHeight="1">
      <c r="A1472" s="10" t="s">
        <v>57</v>
      </c>
      <c r="B1472" s="10" t="s">
        <v>58</v>
      </c>
      <c r="C1472" s="10" t="s">
        <v>254</v>
      </c>
      <c r="D1472" s="10" t="s">
        <v>269</v>
      </c>
      <c r="E1472" s="16">
        <v>51</v>
      </c>
      <c r="F1472" s="16">
        <v>51</v>
      </c>
      <c r="G1472" s="13">
        <v>270636.25513760996</v>
      </c>
      <c r="H1472" s="13">
        <v>270636.25513760996</v>
      </c>
      <c r="I1472" s="14">
        <v>0</v>
      </c>
      <c r="J1472" s="15">
        <v>1</v>
      </c>
      <c r="K1472" s="14">
        <v>245.58007120962387</v>
      </c>
      <c r="L1472" s="13">
        <v>66462870.808600187</v>
      </c>
      <c r="M1472" s="14">
        <v>3.2866722757257683</v>
      </c>
      <c r="N1472" s="14">
        <v>193.49612659042219</v>
      </c>
      <c r="O1472" s="13">
        <v>52367067.084064774</v>
      </c>
      <c r="P1472" s="13">
        <v>14095803.724535413</v>
      </c>
      <c r="Q1472" s="14">
        <v>1.269173060654847</v>
      </c>
      <c r="R1472" s="15">
        <v>0.26917306065484708</v>
      </c>
    </row>
    <row r="1473" spans="1:18" ht="18" customHeight="1">
      <c r="A1473" s="10" t="s">
        <v>57</v>
      </c>
      <c r="B1473" s="10" t="s">
        <v>58</v>
      </c>
      <c r="C1473" s="10" t="s">
        <v>254</v>
      </c>
      <c r="D1473" s="10" t="s">
        <v>270</v>
      </c>
      <c r="E1473" s="16">
        <v>34</v>
      </c>
      <c r="F1473" s="16">
        <v>34</v>
      </c>
      <c r="G1473" s="13">
        <v>164493.25395450988</v>
      </c>
      <c r="H1473" s="13">
        <v>164493.25395450988</v>
      </c>
      <c r="I1473" s="14">
        <v>0</v>
      </c>
      <c r="J1473" s="15">
        <v>1</v>
      </c>
      <c r="K1473" s="14">
        <v>1153.1850865778981</v>
      </c>
      <c r="L1473" s="13">
        <v>189691167.30301166</v>
      </c>
      <c r="M1473" s="14">
        <v>3.8828937692628629</v>
      </c>
      <c r="N1473" s="14">
        <v>763.64896813667917</v>
      </c>
      <c r="O1473" s="13">
        <v>125615103.6478062</v>
      </c>
      <c r="P1473" s="13">
        <v>64076063.655205458</v>
      </c>
      <c r="Q1473" s="14">
        <v>1.5100984021384798</v>
      </c>
      <c r="R1473" s="15">
        <v>0.51009840213847979</v>
      </c>
    </row>
    <row r="1474" spans="1:18" ht="18" customHeight="1">
      <c r="A1474" s="10" t="s">
        <v>57</v>
      </c>
      <c r="B1474" s="10" t="s">
        <v>58</v>
      </c>
      <c r="C1474" s="10" t="s">
        <v>254</v>
      </c>
      <c r="D1474" s="10" t="s">
        <v>276</v>
      </c>
      <c r="E1474" s="16">
        <v>17</v>
      </c>
      <c r="F1474" s="16">
        <v>17</v>
      </c>
      <c r="G1474" s="13">
        <v>33482.465003490201</v>
      </c>
      <c r="H1474" s="13">
        <v>33482.465003490201</v>
      </c>
      <c r="I1474" s="14">
        <v>0</v>
      </c>
      <c r="J1474" s="15">
        <v>1</v>
      </c>
      <c r="K1474" s="14">
        <v>358.78369756805819</v>
      </c>
      <c r="L1474" s="13">
        <v>12012962.59764532</v>
      </c>
      <c r="M1474" s="14">
        <v>3.1673542572194351</v>
      </c>
      <c r="N1474" s="14">
        <v>147.01249804965852</v>
      </c>
      <c r="O1474" s="13">
        <v>4922340.8210233627</v>
      </c>
      <c r="P1474" s="13">
        <v>7090621.7766219573</v>
      </c>
      <c r="Q1474" s="14">
        <v>2.4404979326782588</v>
      </c>
      <c r="R1474" s="15">
        <v>1.4404979326782588</v>
      </c>
    </row>
    <row r="1475" spans="1:18" ht="18" customHeight="1">
      <c r="A1475" s="10" t="s">
        <v>57</v>
      </c>
      <c r="B1475" s="10" t="s">
        <v>58</v>
      </c>
      <c r="C1475" s="10" t="s">
        <v>254</v>
      </c>
      <c r="D1475" s="10" t="s">
        <v>271</v>
      </c>
      <c r="E1475" s="16">
        <v>46</v>
      </c>
      <c r="F1475" s="16">
        <v>46</v>
      </c>
      <c r="G1475" s="13">
        <v>69072.221127559082</v>
      </c>
      <c r="H1475" s="13">
        <v>69072.221127559082</v>
      </c>
      <c r="I1475" s="14">
        <v>0</v>
      </c>
      <c r="J1475" s="15">
        <v>1</v>
      </c>
      <c r="K1475" s="14">
        <v>40.349661632455415</v>
      </c>
      <c r="L1475" s="13">
        <v>2787040.7506991471</v>
      </c>
      <c r="M1475" s="14">
        <v>2.4777429963720623</v>
      </c>
      <c r="N1475" s="14">
        <v>30.04297914923043</v>
      </c>
      <c r="O1475" s="13">
        <v>2075135.2991262909</v>
      </c>
      <c r="P1475" s="13">
        <v>711905.45157285617</v>
      </c>
      <c r="Q1475" s="14">
        <v>1.3430645952929405</v>
      </c>
      <c r="R1475" s="15">
        <v>0.34306459529294059</v>
      </c>
    </row>
    <row r="1476" spans="1:18" ht="18" customHeight="1">
      <c r="A1476" s="10" t="s">
        <v>57</v>
      </c>
      <c r="B1476" s="10" t="s">
        <v>58</v>
      </c>
      <c r="C1476" s="10" t="s">
        <v>254</v>
      </c>
      <c r="D1476" s="10" t="s">
        <v>272</v>
      </c>
      <c r="E1476" s="16">
        <v>24</v>
      </c>
      <c r="F1476" s="16">
        <v>24</v>
      </c>
      <c r="G1476" s="13">
        <v>56658.423159277212</v>
      </c>
      <c r="H1476" s="13">
        <v>56658.423159277212</v>
      </c>
      <c r="I1476" s="14">
        <v>0</v>
      </c>
      <c r="J1476" s="15">
        <v>1</v>
      </c>
      <c r="K1476" s="14">
        <v>212.44514068559309</v>
      </c>
      <c r="L1476" s="13">
        <v>12036806.679096512</v>
      </c>
      <c r="M1476" s="14">
        <v>3.2564443765157205</v>
      </c>
      <c r="N1476" s="14">
        <v>180.48635593632028</v>
      </c>
      <c r="O1476" s="13">
        <v>10226072.329115959</v>
      </c>
      <c r="P1476" s="13">
        <v>1810734.3499805536</v>
      </c>
      <c r="Q1476" s="14">
        <v>1.1770703640365403</v>
      </c>
      <c r="R1476" s="15">
        <v>0.17707036403654022</v>
      </c>
    </row>
    <row r="1477" spans="1:18" ht="18" customHeight="1">
      <c r="A1477" s="10" t="s">
        <v>57</v>
      </c>
      <c r="B1477" s="10" t="s">
        <v>58</v>
      </c>
      <c r="C1477" s="10" t="s">
        <v>254</v>
      </c>
      <c r="D1477" s="10" t="s">
        <v>280</v>
      </c>
      <c r="E1477" s="16">
        <v>1</v>
      </c>
      <c r="F1477" s="16">
        <v>1</v>
      </c>
      <c r="G1477" s="13">
        <v>2.2668379046</v>
      </c>
      <c r="H1477" s="13">
        <v>2.2668379046</v>
      </c>
      <c r="I1477" s="14">
        <v>0</v>
      </c>
      <c r="J1477" s="15">
        <v>1</v>
      </c>
      <c r="K1477" s="14">
        <v>316.22776601683796</v>
      </c>
      <c r="L1477" s="13">
        <v>716.83708649394805</v>
      </c>
      <c r="M1477" s="14">
        <v>3.5</v>
      </c>
      <c r="N1477" s="14">
        <v>316.22776601683796</v>
      </c>
      <c r="O1477" s="13">
        <v>716.83708649394805</v>
      </c>
      <c r="P1477" s="13">
        <v>0</v>
      </c>
      <c r="Q1477" s="14">
        <v>1</v>
      </c>
      <c r="R1477" s="15">
        <v>0</v>
      </c>
    </row>
    <row r="1478" spans="1:18" ht="18" customHeight="1">
      <c r="A1478" s="10" t="s">
        <v>57</v>
      </c>
      <c r="B1478" s="10" t="s">
        <v>58</v>
      </c>
      <c r="C1478" s="10" t="s">
        <v>254</v>
      </c>
      <c r="D1478" s="10" t="s">
        <v>281</v>
      </c>
      <c r="E1478" s="16">
        <v>1</v>
      </c>
      <c r="F1478" s="16">
        <v>1</v>
      </c>
      <c r="G1478" s="13">
        <v>15.6764319369</v>
      </c>
      <c r="H1478" s="13">
        <v>15.6764319369</v>
      </c>
      <c r="I1478" s="14">
        <v>0</v>
      </c>
      <c r="J1478" s="15">
        <v>1</v>
      </c>
      <c r="K1478" s="14">
        <v>102.32929922807536</v>
      </c>
      <c r="L1478" s="13">
        <v>1604.1582944995971</v>
      </c>
      <c r="M1478" s="14">
        <v>3.01</v>
      </c>
      <c r="N1478" s="14">
        <v>102.32929922807536</v>
      </c>
      <c r="O1478" s="13">
        <v>1604.1582944995971</v>
      </c>
      <c r="P1478" s="13">
        <v>0</v>
      </c>
      <c r="Q1478" s="14">
        <v>1</v>
      </c>
      <c r="R1478" s="15">
        <v>0</v>
      </c>
    </row>
    <row r="1479" spans="1:18" ht="18" customHeight="1">
      <c r="A1479" s="10" t="s">
        <v>57</v>
      </c>
      <c r="B1479" s="10" t="s">
        <v>58</v>
      </c>
      <c r="C1479" s="10" t="s">
        <v>254</v>
      </c>
      <c r="D1479" s="10" t="s">
        <v>283</v>
      </c>
      <c r="E1479" s="16">
        <v>3</v>
      </c>
      <c r="F1479" s="16">
        <v>3</v>
      </c>
      <c r="G1479" s="13">
        <v>7717.8427812788996</v>
      </c>
      <c r="H1479" s="13">
        <v>7717.8427812788996</v>
      </c>
      <c r="I1479" s="14">
        <v>0</v>
      </c>
      <c r="J1479" s="15">
        <v>1</v>
      </c>
      <c r="K1479" s="14">
        <v>324.11737394671047</v>
      </c>
      <c r="L1479" s="13">
        <v>2501486.9348016931</v>
      </c>
      <c r="M1479" s="14">
        <v>3.4912328035898499</v>
      </c>
      <c r="N1479" s="14">
        <v>309.90801161667963</v>
      </c>
      <c r="O1479" s="13">
        <v>2391821.3103162884</v>
      </c>
      <c r="P1479" s="13">
        <v>109665.6244854047</v>
      </c>
      <c r="Q1479" s="14">
        <v>1.045850258132746</v>
      </c>
      <c r="R1479" s="15">
        <v>4.5850258132746041E-2</v>
      </c>
    </row>
    <row r="1480" spans="1:18" ht="18" customHeight="1">
      <c r="A1480" s="10" t="s">
        <v>57</v>
      </c>
      <c r="B1480" s="10" t="s">
        <v>58</v>
      </c>
      <c r="C1480" s="10" t="s">
        <v>254</v>
      </c>
      <c r="D1480" s="10" t="s">
        <v>278</v>
      </c>
      <c r="E1480" s="16">
        <v>16</v>
      </c>
      <c r="F1480" s="16">
        <v>16</v>
      </c>
      <c r="G1480" s="13">
        <v>13974.3820430133</v>
      </c>
      <c r="H1480" s="13">
        <v>13974.3820430133</v>
      </c>
      <c r="I1480" s="14">
        <v>0</v>
      </c>
      <c r="J1480" s="15">
        <v>1</v>
      </c>
      <c r="K1480" s="14">
        <v>418.50946075549751</v>
      </c>
      <c r="L1480" s="13">
        <v>5848411.0932128038</v>
      </c>
      <c r="M1480" s="14">
        <v>3.3977579316545752</v>
      </c>
      <c r="N1480" s="14">
        <v>249.89521001147591</v>
      </c>
      <c r="O1480" s="13">
        <v>3492131.1354194065</v>
      </c>
      <c r="P1480" s="13">
        <v>2356279.9577933974</v>
      </c>
      <c r="Q1480" s="14">
        <v>1.674739826890953</v>
      </c>
      <c r="R1480" s="15">
        <v>0.67473982689095302</v>
      </c>
    </row>
    <row r="1481" spans="1:18" ht="18" customHeight="1">
      <c r="A1481" s="10" t="s">
        <v>57</v>
      </c>
      <c r="B1481" s="10" t="s">
        <v>58</v>
      </c>
      <c r="C1481" s="10" t="s">
        <v>254</v>
      </c>
      <c r="D1481" s="10" t="s">
        <v>273</v>
      </c>
      <c r="E1481" s="16">
        <v>12</v>
      </c>
      <c r="F1481" s="16">
        <v>12</v>
      </c>
      <c r="G1481" s="13">
        <v>421994.98211981636</v>
      </c>
      <c r="H1481" s="13">
        <v>421994.98211981636</v>
      </c>
      <c r="I1481" s="14">
        <v>0</v>
      </c>
      <c r="J1481" s="15">
        <v>1</v>
      </c>
      <c r="K1481" s="14">
        <v>116.4671860757222</v>
      </c>
      <c r="L1481" s="13">
        <v>49148568.105569713</v>
      </c>
      <c r="M1481" s="14">
        <v>3.0507977621641058</v>
      </c>
      <c r="N1481" s="14">
        <v>112.40814012796525</v>
      </c>
      <c r="O1481" s="13">
        <v>47435671.083422512</v>
      </c>
      <c r="P1481" s="13">
        <v>1712897.022147201</v>
      </c>
      <c r="Q1481" s="14">
        <v>1.036109893314987</v>
      </c>
      <c r="R1481" s="15">
        <v>3.6109893314987006E-2</v>
      </c>
    </row>
    <row r="1482" spans="1:18" ht="18" customHeight="1">
      <c r="A1482" s="10" t="s">
        <v>57</v>
      </c>
      <c r="B1482" s="10" t="s">
        <v>58</v>
      </c>
      <c r="C1482" s="10" t="s">
        <v>254</v>
      </c>
      <c r="D1482" s="10" t="s">
        <v>284</v>
      </c>
      <c r="E1482" s="16">
        <v>9</v>
      </c>
      <c r="F1482" s="16">
        <v>9</v>
      </c>
      <c r="G1482" s="13">
        <v>5727.6425768158006</v>
      </c>
      <c r="H1482" s="13">
        <v>5727.6425768158006</v>
      </c>
      <c r="I1482" s="14">
        <v>0</v>
      </c>
      <c r="J1482" s="15">
        <v>1</v>
      </c>
      <c r="K1482" s="14">
        <v>296.93825566207346</v>
      </c>
      <c r="L1482" s="13">
        <v>1700756.1958155076</v>
      </c>
      <c r="M1482" s="14">
        <v>3.3595608688317298</v>
      </c>
      <c r="N1482" s="14">
        <v>228.855244268685</v>
      </c>
      <c r="O1482" s="13">
        <v>1310801.0410009003</v>
      </c>
      <c r="P1482" s="13">
        <v>389955.15481460723</v>
      </c>
      <c r="Q1482" s="14">
        <v>1.29749377870256</v>
      </c>
      <c r="R1482" s="15">
        <v>0.29749377870256011</v>
      </c>
    </row>
    <row r="1483" spans="1:18" ht="18" customHeight="1">
      <c r="A1483" s="10" t="s">
        <v>57</v>
      </c>
      <c r="B1483" s="10" t="s">
        <v>58</v>
      </c>
      <c r="C1483" s="10" t="s">
        <v>254</v>
      </c>
      <c r="D1483" s="10" t="s">
        <v>274</v>
      </c>
      <c r="E1483" s="16">
        <v>23</v>
      </c>
      <c r="F1483" s="16">
        <v>23</v>
      </c>
      <c r="G1483" s="13">
        <v>10425.3433521069</v>
      </c>
      <c r="H1483" s="13">
        <v>10425.3433521069</v>
      </c>
      <c r="I1483" s="14">
        <v>0</v>
      </c>
      <c r="J1483" s="15">
        <v>1</v>
      </c>
      <c r="K1483" s="14">
        <v>311.69527919624403</v>
      </c>
      <c r="L1483" s="13">
        <v>3249530.3068516669</v>
      </c>
      <c r="M1483" s="14">
        <v>3.3374265985324914</v>
      </c>
      <c r="N1483" s="14">
        <v>217.48364270545372</v>
      </c>
      <c r="O1483" s="13">
        <v>2267341.6486712941</v>
      </c>
      <c r="P1483" s="13">
        <v>982188.65818037279</v>
      </c>
      <c r="Q1483" s="14">
        <v>1.4331895278137523</v>
      </c>
      <c r="R1483" s="15">
        <v>0.43318952781375242</v>
      </c>
    </row>
    <row r="1484" spans="1:18" ht="18" customHeight="1">
      <c r="A1484" s="10" t="s">
        <v>57</v>
      </c>
      <c r="B1484" s="10" t="s">
        <v>58</v>
      </c>
      <c r="C1484" s="10" t="s">
        <v>254</v>
      </c>
      <c r="D1484" s="10" t="s">
        <v>282</v>
      </c>
      <c r="E1484" s="16">
        <v>7</v>
      </c>
      <c r="F1484" s="16">
        <v>7</v>
      </c>
      <c r="G1484" s="13">
        <v>1660.0309125828003</v>
      </c>
      <c r="H1484" s="13">
        <v>1660.0309125828003</v>
      </c>
      <c r="I1484" s="14">
        <v>0</v>
      </c>
      <c r="J1484" s="15">
        <v>1</v>
      </c>
      <c r="K1484" s="14">
        <v>623.57879996167082</v>
      </c>
      <c r="L1484" s="13">
        <v>1035160.0843676599</v>
      </c>
      <c r="M1484" s="14">
        <v>3.7759371566050102</v>
      </c>
      <c r="N1484" s="14">
        <v>596.94890047616718</v>
      </c>
      <c r="O1484" s="13">
        <v>990953.62802275107</v>
      </c>
      <c r="P1484" s="13">
        <v>44206.456344908802</v>
      </c>
      <c r="Q1484" s="14">
        <v>1.0446100151357374</v>
      </c>
      <c r="R1484" s="15">
        <v>4.4610015135737389E-2</v>
      </c>
    </row>
    <row r="1485" spans="1:18" ht="18" customHeight="1">
      <c r="A1485" s="10" t="s">
        <v>57</v>
      </c>
      <c r="B1485" s="10" t="s">
        <v>58</v>
      </c>
      <c r="C1485" s="10" t="s">
        <v>254</v>
      </c>
      <c r="D1485" s="10" t="s">
        <v>275</v>
      </c>
      <c r="E1485" s="16">
        <v>6</v>
      </c>
      <c r="F1485" s="16">
        <v>6</v>
      </c>
      <c r="G1485" s="13">
        <v>4740.2920143708006</v>
      </c>
      <c r="H1485" s="13">
        <v>4740.2920143708006</v>
      </c>
      <c r="I1485" s="14">
        <v>0</v>
      </c>
      <c r="J1485" s="15">
        <v>1</v>
      </c>
      <c r="K1485" s="14">
        <v>1290.7705510814662</v>
      </c>
      <c r="L1485" s="13">
        <v>6118629.3356764717</v>
      </c>
      <c r="M1485" s="14">
        <v>4.0914157949307421</v>
      </c>
      <c r="N1485" s="14">
        <v>1234.2859770788425</v>
      </c>
      <c r="O1485" s="13">
        <v>5850875.9605966983</v>
      </c>
      <c r="P1485" s="13">
        <v>267753.37507977337</v>
      </c>
      <c r="Q1485" s="14">
        <v>1.0457629553049808</v>
      </c>
      <c r="R1485" s="15">
        <v>4.5762955304980812E-2</v>
      </c>
    </row>
    <row r="1486" spans="1:18" ht="18" customHeight="1">
      <c r="A1486" s="10" t="s">
        <v>30</v>
      </c>
      <c r="B1486" s="10" t="s">
        <v>31</v>
      </c>
      <c r="C1486" s="10" t="s">
        <v>254</v>
      </c>
      <c r="D1486" s="10" t="s">
        <v>255</v>
      </c>
      <c r="E1486" s="16">
        <v>17</v>
      </c>
      <c r="F1486" s="16">
        <v>17</v>
      </c>
      <c r="G1486" s="13">
        <v>196380.5012637451</v>
      </c>
      <c r="H1486" s="13">
        <v>196380.5012637451</v>
      </c>
      <c r="I1486" s="14">
        <v>0</v>
      </c>
      <c r="J1486" s="15">
        <v>1</v>
      </c>
      <c r="K1486" s="14">
        <v>579.12134577538177</v>
      </c>
      <c r="L1486" s="13">
        <v>113728140.17590412</v>
      </c>
      <c r="M1486" s="14">
        <v>3.7162567693640698</v>
      </c>
      <c r="N1486" s="14">
        <v>520.30352638974568</v>
      </c>
      <c r="O1486" s="13">
        <v>102177467.32171248</v>
      </c>
      <c r="P1486" s="13">
        <v>11550672.854191646</v>
      </c>
      <c r="Q1486" s="14">
        <v>1.1130452061198932</v>
      </c>
      <c r="R1486" s="15">
        <v>0.11304520611989327</v>
      </c>
    </row>
    <row r="1487" spans="1:18" ht="18" customHeight="1">
      <c r="A1487" s="10" t="s">
        <v>30</v>
      </c>
      <c r="B1487" s="10" t="s">
        <v>31</v>
      </c>
      <c r="C1487" s="10" t="s">
        <v>254</v>
      </c>
      <c r="D1487" s="10" t="s">
        <v>256</v>
      </c>
      <c r="E1487" s="16">
        <v>4</v>
      </c>
      <c r="F1487" s="16">
        <v>4</v>
      </c>
      <c r="G1487" s="13">
        <v>3016.0292991802999</v>
      </c>
      <c r="H1487" s="13">
        <v>3016.0292991802999</v>
      </c>
      <c r="I1487" s="14">
        <v>0</v>
      </c>
      <c r="J1487" s="15">
        <v>1</v>
      </c>
      <c r="K1487" s="14">
        <v>806.92230231752819</v>
      </c>
      <c r="L1487" s="13">
        <v>2433701.3059516884</v>
      </c>
      <c r="M1487" s="14">
        <v>3.8761092679577711</v>
      </c>
      <c r="N1487" s="14">
        <v>751.81202520596412</v>
      </c>
      <c r="O1487" s="13">
        <v>2267487.0954972659</v>
      </c>
      <c r="P1487" s="13">
        <v>166214.21045442251</v>
      </c>
      <c r="Q1487" s="14">
        <v>1.0733032663270665</v>
      </c>
      <c r="R1487" s="15">
        <v>7.3303266327066477E-2</v>
      </c>
    </row>
    <row r="1488" spans="1:18" ht="18" customHeight="1">
      <c r="A1488" s="10" t="s">
        <v>30</v>
      </c>
      <c r="B1488" s="10" t="s">
        <v>31</v>
      </c>
      <c r="C1488" s="10" t="s">
        <v>254</v>
      </c>
      <c r="D1488" s="10" t="s">
        <v>257</v>
      </c>
      <c r="E1488" s="16">
        <v>1</v>
      </c>
      <c r="F1488" s="16">
        <v>1</v>
      </c>
      <c r="G1488" s="13">
        <v>47.292612522899994</v>
      </c>
      <c r="H1488" s="13">
        <v>47.292612522899994</v>
      </c>
      <c r="I1488" s="14">
        <v>0</v>
      </c>
      <c r="J1488" s="15">
        <v>1</v>
      </c>
      <c r="K1488" s="14">
        <v>2187.7616239495519</v>
      </c>
      <c r="L1488" s="13">
        <v>103464.9627739166</v>
      </c>
      <c r="M1488" s="14">
        <v>4.34</v>
      </c>
      <c r="N1488" s="14">
        <v>2187.7616239495519</v>
      </c>
      <c r="O1488" s="13">
        <v>103464.9627739166</v>
      </c>
      <c r="P1488" s="13">
        <v>0</v>
      </c>
      <c r="Q1488" s="14">
        <v>1</v>
      </c>
      <c r="R1488" s="15">
        <v>0</v>
      </c>
    </row>
    <row r="1489" spans="1:18" ht="18" customHeight="1">
      <c r="A1489" s="10" t="s">
        <v>30</v>
      </c>
      <c r="B1489" s="10" t="s">
        <v>31</v>
      </c>
      <c r="C1489" s="10" t="s">
        <v>254</v>
      </c>
      <c r="D1489" s="10" t="s">
        <v>258</v>
      </c>
      <c r="E1489" s="16">
        <v>15</v>
      </c>
      <c r="F1489" s="16">
        <v>15</v>
      </c>
      <c r="G1489" s="13">
        <v>64700.412139466309</v>
      </c>
      <c r="H1489" s="13">
        <v>64700.412139466309</v>
      </c>
      <c r="I1489" s="14">
        <v>0</v>
      </c>
      <c r="J1489" s="15">
        <v>1</v>
      </c>
      <c r="K1489" s="14">
        <v>1344.3110391380872</v>
      </c>
      <c r="L1489" s="13">
        <v>86977478.275868461</v>
      </c>
      <c r="M1489" s="14">
        <v>3.4948171510455706</v>
      </c>
      <c r="N1489" s="14">
        <v>312.47634857224079</v>
      </c>
      <c r="O1489" s="13">
        <v>20217348.536459513</v>
      </c>
      <c r="P1489" s="13">
        <v>66760129.739408948</v>
      </c>
      <c r="Q1489" s="14">
        <v>4.3021209294094733</v>
      </c>
      <c r="R1489" s="15">
        <v>3.3021209294094738</v>
      </c>
    </row>
    <row r="1490" spans="1:18" ht="18" customHeight="1">
      <c r="A1490" s="10" t="s">
        <v>30</v>
      </c>
      <c r="B1490" s="10" t="s">
        <v>31</v>
      </c>
      <c r="C1490" s="10" t="s">
        <v>254</v>
      </c>
      <c r="D1490" s="10" t="s">
        <v>259</v>
      </c>
      <c r="E1490" s="16">
        <v>18</v>
      </c>
      <c r="F1490" s="16">
        <v>18</v>
      </c>
      <c r="G1490" s="13">
        <v>129247.35964938509</v>
      </c>
      <c r="H1490" s="13">
        <v>129247.35964938509</v>
      </c>
      <c r="I1490" s="14">
        <v>0</v>
      </c>
      <c r="J1490" s="15">
        <v>1</v>
      </c>
      <c r="K1490" s="14">
        <v>1987.8369418462939</v>
      </c>
      <c r="L1490" s="13">
        <v>256922676.14714175</v>
      </c>
      <c r="M1490" s="14">
        <v>4.2357293502381665</v>
      </c>
      <c r="N1490" s="14">
        <v>1720.7958509293858</v>
      </c>
      <c r="O1490" s="13">
        <v>222408320.22823998</v>
      </c>
      <c r="P1490" s="13">
        <v>34514355.918901771</v>
      </c>
      <c r="Q1490" s="14">
        <v>1.1551846436476947</v>
      </c>
      <c r="R1490" s="15">
        <v>0.1551846436476946</v>
      </c>
    </row>
    <row r="1491" spans="1:18" ht="18" customHeight="1">
      <c r="A1491" s="10" t="s">
        <v>30</v>
      </c>
      <c r="B1491" s="10" t="s">
        <v>31</v>
      </c>
      <c r="C1491" s="10" t="s">
        <v>254</v>
      </c>
      <c r="D1491" s="10" t="s">
        <v>261</v>
      </c>
      <c r="E1491" s="16">
        <v>32</v>
      </c>
      <c r="F1491" s="16">
        <v>32</v>
      </c>
      <c r="G1491" s="13">
        <v>177511.37516570839</v>
      </c>
      <c r="H1491" s="13">
        <v>177511.37516570839</v>
      </c>
      <c r="I1491" s="14">
        <v>0</v>
      </c>
      <c r="J1491" s="15">
        <v>1</v>
      </c>
      <c r="K1491" s="14">
        <v>2410.2106011568985</v>
      </c>
      <c r="L1491" s="13">
        <v>427839798.25032973</v>
      </c>
      <c r="M1491" s="14">
        <v>4.3498934216776188</v>
      </c>
      <c r="N1491" s="14">
        <v>2238.1718111447271</v>
      </c>
      <c r="O1491" s="13">
        <v>397300956.05342472</v>
      </c>
      <c r="P1491" s="13">
        <v>30538842.196905017</v>
      </c>
      <c r="Q1491" s="14">
        <v>1.0768657656912319</v>
      </c>
      <c r="R1491" s="15">
        <v>7.6865765691232033E-2</v>
      </c>
    </row>
    <row r="1492" spans="1:18" ht="18" customHeight="1">
      <c r="A1492" s="10" t="s">
        <v>30</v>
      </c>
      <c r="B1492" s="10" t="s">
        <v>31</v>
      </c>
      <c r="C1492" s="10" t="s">
        <v>254</v>
      </c>
      <c r="D1492" s="10" t="s">
        <v>262</v>
      </c>
      <c r="E1492" s="16">
        <v>16</v>
      </c>
      <c r="F1492" s="16">
        <v>16</v>
      </c>
      <c r="G1492" s="13">
        <v>9852.1643929472011</v>
      </c>
      <c r="H1492" s="13">
        <v>9852.1643929472011</v>
      </c>
      <c r="I1492" s="14">
        <v>0</v>
      </c>
      <c r="J1492" s="15">
        <v>1</v>
      </c>
      <c r="K1492" s="14">
        <v>595.6169668738055</v>
      </c>
      <c r="L1492" s="13">
        <v>5868116.2728693197</v>
      </c>
      <c r="M1492" s="14">
        <v>3.6723037913483396</v>
      </c>
      <c r="N1492" s="14">
        <v>470.22291707398875</v>
      </c>
      <c r="O1492" s="13">
        <v>4632713.4803441167</v>
      </c>
      <c r="P1492" s="13">
        <v>1235402.792525203</v>
      </c>
      <c r="Q1492" s="14">
        <v>1.2666693715825132</v>
      </c>
      <c r="R1492" s="15">
        <v>0.26666937158251314</v>
      </c>
    </row>
    <row r="1493" spans="1:18" ht="18" customHeight="1">
      <c r="A1493" s="10" t="s">
        <v>30</v>
      </c>
      <c r="B1493" s="10" t="s">
        <v>31</v>
      </c>
      <c r="C1493" s="10" t="s">
        <v>254</v>
      </c>
      <c r="D1493" s="10" t="s">
        <v>263</v>
      </c>
      <c r="E1493" s="16">
        <v>18</v>
      </c>
      <c r="F1493" s="16">
        <v>18</v>
      </c>
      <c r="G1493" s="13">
        <v>13339.687692743701</v>
      </c>
      <c r="H1493" s="13">
        <v>13339.687692743701</v>
      </c>
      <c r="I1493" s="14">
        <v>0</v>
      </c>
      <c r="J1493" s="15">
        <v>1</v>
      </c>
      <c r="K1493" s="14">
        <v>1361.1550990930991</v>
      </c>
      <c r="L1493" s="13">
        <v>18157383.923287548</v>
      </c>
      <c r="M1493" s="14">
        <v>4.0235801263573201</v>
      </c>
      <c r="N1493" s="14">
        <v>1055.7962772915573</v>
      </c>
      <c r="O1493" s="13">
        <v>14083992.606230803</v>
      </c>
      <c r="P1493" s="13">
        <v>4073391.3170567453</v>
      </c>
      <c r="Q1493" s="14">
        <v>1.2892213473084801</v>
      </c>
      <c r="R1493" s="15">
        <v>0.28922134730848015</v>
      </c>
    </row>
    <row r="1494" spans="1:18" ht="18" customHeight="1">
      <c r="A1494" s="10" t="s">
        <v>30</v>
      </c>
      <c r="B1494" s="10" t="s">
        <v>31</v>
      </c>
      <c r="C1494" s="10" t="s">
        <v>254</v>
      </c>
      <c r="D1494" s="10" t="s">
        <v>264</v>
      </c>
      <c r="E1494" s="16">
        <v>35</v>
      </c>
      <c r="F1494" s="16">
        <v>35</v>
      </c>
      <c r="G1494" s="13">
        <v>32734.844587045794</v>
      </c>
      <c r="H1494" s="13">
        <v>32734.844587045794</v>
      </c>
      <c r="I1494" s="14">
        <v>0</v>
      </c>
      <c r="J1494" s="15">
        <v>1</v>
      </c>
      <c r="K1494" s="14">
        <v>2507.3340725892522</v>
      </c>
      <c r="L1494" s="13">
        <v>82077191.194013774</v>
      </c>
      <c r="M1494" s="14">
        <v>4.2842489068391192</v>
      </c>
      <c r="N1494" s="14">
        <v>1924.1942247967229</v>
      </c>
      <c r="O1494" s="13">
        <v>62988198.904011786</v>
      </c>
      <c r="P1494" s="13">
        <v>19088992.290001988</v>
      </c>
      <c r="Q1494" s="14">
        <v>1.303056645882062</v>
      </c>
      <c r="R1494" s="15">
        <v>0.30305664588206205</v>
      </c>
    </row>
    <row r="1495" spans="1:18" ht="18" customHeight="1">
      <c r="A1495" s="10" t="s">
        <v>30</v>
      </c>
      <c r="B1495" s="10" t="s">
        <v>31</v>
      </c>
      <c r="C1495" s="10" t="s">
        <v>254</v>
      </c>
      <c r="D1495" s="10" t="s">
        <v>265</v>
      </c>
      <c r="E1495" s="16">
        <v>11</v>
      </c>
      <c r="F1495" s="16">
        <v>11</v>
      </c>
      <c r="G1495" s="13">
        <v>11262.552337756599</v>
      </c>
      <c r="H1495" s="13">
        <v>11262.552337756599</v>
      </c>
      <c r="I1495" s="14">
        <v>0</v>
      </c>
      <c r="J1495" s="15">
        <v>1</v>
      </c>
      <c r="K1495" s="14">
        <v>159.05275711040684</v>
      </c>
      <c r="L1495" s="13">
        <v>1791340.001420445</v>
      </c>
      <c r="M1495" s="14">
        <v>3.1691507392424185</v>
      </c>
      <c r="N1495" s="14">
        <v>147.62188250574687</v>
      </c>
      <c r="O1495" s="13">
        <v>1662599.1779191294</v>
      </c>
      <c r="P1495" s="13">
        <v>128740.82350131567</v>
      </c>
      <c r="Q1495" s="14">
        <v>1.0774334699614398</v>
      </c>
      <c r="R1495" s="15">
        <v>7.743346996143996E-2</v>
      </c>
    </row>
    <row r="1496" spans="1:18" ht="18" customHeight="1">
      <c r="A1496" s="10" t="s">
        <v>30</v>
      </c>
      <c r="B1496" s="10" t="s">
        <v>31</v>
      </c>
      <c r="C1496" s="10" t="s">
        <v>254</v>
      </c>
      <c r="D1496" s="10" t="s">
        <v>266</v>
      </c>
      <c r="E1496" s="16">
        <v>11</v>
      </c>
      <c r="F1496" s="16">
        <v>11</v>
      </c>
      <c r="G1496" s="13">
        <v>13950.108011619301</v>
      </c>
      <c r="H1496" s="13">
        <v>13950.108011619301</v>
      </c>
      <c r="I1496" s="14">
        <v>0</v>
      </c>
      <c r="J1496" s="15">
        <v>1</v>
      </c>
      <c r="K1496" s="14">
        <v>2005.3631322814529</v>
      </c>
      <c r="L1496" s="13">
        <v>27975032.297845472</v>
      </c>
      <c r="M1496" s="14">
        <v>4.1280642446553433</v>
      </c>
      <c r="N1496" s="14">
        <v>1342.96360942058</v>
      </c>
      <c r="O1496" s="13">
        <v>18734487.407091208</v>
      </c>
      <c r="P1496" s="13">
        <v>9240544.8907542638</v>
      </c>
      <c r="Q1496" s="14">
        <v>1.493237134807148</v>
      </c>
      <c r="R1496" s="15">
        <v>0.49323713480714804</v>
      </c>
    </row>
    <row r="1497" spans="1:18" ht="18" customHeight="1">
      <c r="A1497" s="10" t="s">
        <v>30</v>
      </c>
      <c r="B1497" s="10" t="s">
        <v>31</v>
      </c>
      <c r="C1497" s="10" t="s">
        <v>254</v>
      </c>
      <c r="D1497" s="10" t="s">
        <v>267</v>
      </c>
      <c r="E1497" s="16">
        <v>4</v>
      </c>
      <c r="F1497" s="16">
        <v>4</v>
      </c>
      <c r="G1497" s="13">
        <v>6599.1527883068002</v>
      </c>
      <c r="H1497" s="13">
        <v>6599.1527883068002</v>
      </c>
      <c r="I1497" s="14">
        <v>0</v>
      </c>
      <c r="J1497" s="15">
        <v>1</v>
      </c>
      <c r="K1497" s="14">
        <v>1192.4042973999528</v>
      </c>
      <c r="L1497" s="13">
        <v>7868858.1439759098</v>
      </c>
      <c r="M1497" s="14">
        <v>4.0748765983398956</v>
      </c>
      <c r="N1497" s="14">
        <v>1188.1645710325579</v>
      </c>
      <c r="O1497" s="13">
        <v>7840879.5418968573</v>
      </c>
      <c r="P1497" s="13">
        <v>27978.602079052478</v>
      </c>
      <c r="Q1497" s="14">
        <v>1.003568298929929</v>
      </c>
      <c r="R1497" s="15">
        <v>3.568298929928966E-3</v>
      </c>
    </row>
    <row r="1498" spans="1:18" ht="18" customHeight="1">
      <c r="A1498" s="10" t="s">
        <v>30</v>
      </c>
      <c r="B1498" s="10" t="s">
        <v>31</v>
      </c>
      <c r="C1498" s="10" t="s">
        <v>254</v>
      </c>
      <c r="D1498" s="10" t="s">
        <v>268</v>
      </c>
      <c r="E1498" s="16">
        <v>44</v>
      </c>
      <c r="F1498" s="16">
        <v>44</v>
      </c>
      <c r="G1498" s="13">
        <v>131512.90413801721</v>
      </c>
      <c r="H1498" s="13">
        <v>131512.90413801721</v>
      </c>
      <c r="I1498" s="14">
        <v>0</v>
      </c>
      <c r="J1498" s="15">
        <v>1</v>
      </c>
      <c r="K1498" s="14">
        <v>389.54194242063227</v>
      </c>
      <c r="L1498" s="13">
        <v>51229792.131301634</v>
      </c>
      <c r="M1498" s="14">
        <v>3.1710392281760642</v>
      </c>
      <c r="N1498" s="14">
        <v>148.26520014389124</v>
      </c>
      <c r="O1498" s="13">
        <v>19498787.053527504</v>
      </c>
      <c r="P1498" s="13">
        <v>31731005.07777413</v>
      </c>
      <c r="Q1498" s="14">
        <v>2.627332253573881</v>
      </c>
      <c r="R1498" s="15">
        <v>1.627332253573881</v>
      </c>
    </row>
    <row r="1499" spans="1:18" ht="18" customHeight="1">
      <c r="A1499" s="10" t="s">
        <v>30</v>
      </c>
      <c r="B1499" s="10" t="s">
        <v>31</v>
      </c>
      <c r="C1499" s="10" t="s">
        <v>254</v>
      </c>
      <c r="D1499" s="10" t="s">
        <v>269</v>
      </c>
      <c r="E1499" s="16">
        <v>44</v>
      </c>
      <c r="F1499" s="16">
        <v>44</v>
      </c>
      <c r="G1499" s="13">
        <v>1363135.812517585</v>
      </c>
      <c r="H1499" s="13">
        <v>1363135.812517585</v>
      </c>
      <c r="I1499" s="14">
        <v>0</v>
      </c>
      <c r="J1499" s="15">
        <v>1</v>
      </c>
      <c r="K1499" s="14">
        <v>214.80728379615132</v>
      </c>
      <c r="L1499" s="13">
        <v>292811501.3321622</v>
      </c>
      <c r="M1499" s="14">
        <v>3.2939121691047184</v>
      </c>
      <c r="N1499" s="14">
        <v>196.74883483433769</v>
      </c>
      <c r="O1499" s="13">
        <v>268195382.83379304</v>
      </c>
      <c r="P1499" s="13">
        <v>24616118.498369157</v>
      </c>
      <c r="Q1499" s="14">
        <v>1.091784273980676</v>
      </c>
      <c r="R1499" s="15">
        <v>9.1784273980676026E-2</v>
      </c>
    </row>
    <row r="1500" spans="1:18" ht="18" customHeight="1">
      <c r="A1500" s="10" t="s">
        <v>30</v>
      </c>
      <c r="B1500" s="10" t="s">
        <v>31</v>
      </c>
      <c r="C1500" s="10" t="s">
        <v>254</v>
      </c>
      <c r="D1500" s="10" t="s">
        <v>270</v>
      </c>
      <c r="E1500" s="16">
        <v>32</v>
      </c>
      <c r="F1500" s="16">
        <v>32</v>
      </c>
      <c r="G1500" s="13">
        <v>1212339.6851625312</v>
      </c>
      <c r="H1500" s="13">
        <v>1212339.6851625312</v>
      </c>
      <c r="I1500" s="14">
        <v>0</v>
      </c>
      <c r="J1500" s="15">
        <v>1</v>
      </c>
      <c r="K1500" s="14">
        <v>552.00091871686288</v>
      </c>
      <c r="L1500" s="13">
        <v>669212620.00662947</v>
      </c>
      <c r="M1500" s="14">
        <v>3.6241553671036488</v>
      </c>
      <c r="N1500" s="14">
        <v>420.87716856904984</v>
      </c>
      <c r="O1500" s="13">
        <v>510246094.03509945</v>
      </c>
      <c r="P1500" s="13">
        <v>158966525.97153002</v>
      </c>
      <c r="Q1500" s="14">
        <v>1.3115487366388243</v>
      </c>
      <c r="R1500" s="15">
        <v>0.31154873663882438</v>
      </c>
    </row>
    <row r="1501" spans="1:18" ht="18" customHeight="1">
      <c r="A1501" s="10" t="s">
        <v>30</v>
      </c>
      <c r="B1501" s="10" t="s">
        <v>31</v>
      </c>
      <c r="C1501" s="10" t="s">
        <v>254</v>
      </c>
      <c r="D1501" s="10" t="s">
        <v>276</v>
      </c>
      <c r="E1501" s="16">
        <v>20</v>
      </c>
      <c r="F1501" s="16">
        <v>20</v>
      </c>
      <c r="G1501" s="13">
        <v>33429.196562129699</v>
      </c>
      <c r="H1501" s="13">
        <v>33429.196562129699</v>
      </c>
      <c r="I1501" s="14">
        <v>0</v>
      </c>
      <c r="J1501" s="15">
        <v>1</v>
      </c>
      <c r="K1501" s="14">
        <v>511.52321496886856</v>
      </c>
      <c r="L1501" s="13">
        <v>17099810.099286832</v>
      </c>
      <c r="M1501" s="14">
        <v>3.3452652084291885</v>
      </c>
      <c r="N1501" s="14">
        <v>221.44465817609259</v>
      </c>
      <c r="O1501" s="13">
        <v>7402717.0058022207</v>
      </c>
      <c r="P1501" s="13">
        <v>9697093.0934846103</v>
      </c>
      <c r="Q1501" s="14">
        <v>2.3099370252684341</v>
      </c>
      <c r="R1501" s="15">
        <v>1.3099370252684341</v>
      </c>
    </row>
    <row r="1502" spans="1:18" ht="18" customHeight="1">
      <c r="A1502" s="10" t="s">
        <v>30</v>
      </c>
      <c r="B1502" s="10" t="s">
        <v>31</v>
      </c>
      <c r="C1502" s="10" t="s">
        <v>254</v>
      </c>
      <c r="D1502" s="10" t="s">
        <v>271</v>
      </c>
      <c r="E1502" s="16">
        <v>19</v>
      </c>
      <c r="F1502" s="16">
        <v>19</v>
      </c>
      <c r="G1502" s="13">
        <v>48530.590650798695</v>
      </c>
      <c r="H1502" s="13">
        <v>48530.590650798695</v>
      </c>
      <c r="I1502" s="14">
        <v>0</v>
      </c>
      <c r="J1502" s="15">
        <v>1</v>
      </c>
      <c r="K1502" s="14">
        <v>35.076797424189792</v>
      </c>
      <c r="L1502" s="13">
        <v>1702297.6971343448</v>
      </c>
      <c r="M1502" s="14">
        <v>2.339667777102389</v>
      </c>
      <c r="N1502" s="14">
        <v>21.860886886323293</v>
      </c>
      <c r="O1502" s="13">
        <v>1060921.752743569</v>
      </c>
      <c r="P1502" s="13">
        <v>641375.94439077587</v>
      </c>
      <c r="Q1502" s="14">
        <v>1.6045459457609974</v>
      </c>
      <c r="R1502" s="15">
        <v>0.60454594576099729</v>
      </c>
    </row>
    <row r="1503" spans="1:18" ht="18" customHeight="1">
      <c r="A1503" s="10" t="s">
        <v>30</v>
      </c>
      <c r="B1503" s="10" t="s">
        <v>31</v>
      </c>
      <c r="C1503" s="10" t="s">
        <v>254</v>
      </c>
      <c r="D1503" s="10" t="s">
        <v>272</v>
      </c>
      <c r="E1503" s="16">
        <v>12</v>
      </c>
      <c r="F1503" s="16">
        <v>12</v>
      </c>
      <c r="G1503" s="13">
        <v>19011.6711644389</v>
      </c>
      <c r="H1503" s="13">
        <v>19011.6711644389</v>
      </c>
      <c r="I1503" s="14">
        <v>0</v>
      </c>
      <c r="J1503" s="15">
        <v>1</v>
      </c>
      <c r="K1503" s="14">
        <v>144.54965544801331</v>
      </c>
      <c r="L1503" s="13">
        <v>2748130.5163105731</v>
      </c>
      <c r="M1503" s="14">
        <v>3.0781558570165712</v>
      </c>
      <c r="N1503" s="14">
        <v>119.71700874938027</v>
      </c>
      <c r="O1503" s="13">
        <v>2276020.4031334724</v>
      </c>
      <c r="P1503" s="13">
        <v>472110.11317710066</v>
      </c>
      <c r="Q1503" s="14">
        <v>1.207427891475459</v>
      </c>
      <c r="R1503" s="15">
        <v>0.20742789147545912</v>
      </c>
    </row>
    <row r="1504" spans="1:18" ht="18" customHeight="1">
      <c r="A1504" s="10" t="s">
        <v>30</v>
      </c>
      <c r="B1504" s="10" t="s">
        <v>31</v>
      </c>
      <c r="C1504" s="10" t="s">
        <v>254</v>
      </c>
      <c r="D1504" s="10" t="s">
        <v>283</v>
      </c>
      <c r="E1504" s="16">
        <v>3</v>
      </c>
      <c r="F1504" s="16">
        <v>3</v>
      </c>
      <c r="G1504" s="13">
        <v>7430.2449320185005</v>
      </c>
      <c r="H1504" s="13">
        <v>7430.2449320185005</v>
      </c>
      <c r="I1504" s="14">
        <v>0</v>
      </c>
      <c r="J1504" s="15">
        <v>1</v>
      </c>
      <c r="K1504" s="14">
        <v>165.41238168609266</v>
      </c>
      <c r="L1504" s="13">
        <v>1229054.5107161999</v>
      </c>
      <c r="M1504" s="14">
        <v>3.2123046227895808</v>
      </c>
      <c r="N1504" s="14">
        <v>163.04392541829753</v>
      </c>
      <c r="O1504" s="13">
        <v>1211456.3005357077</v>
      </c>
      <c r="P1504" s="13">
        <v>17598.21018049214</v>
      </c>
      <c r="Q1504" s="14">
        <v>1.0145264919359536</v>
      </c>
      <c r="R1504" s="15">
        <v>1.45264919359536E-2</v>
      </c>
    </row>
    <row r="1505" spans="1:18" ht="18" customHeight="1">
      <c r="A1505" s="10" t="s">
        <v>30</v>
      </c>
      <c r="B1505" s="10" t="s">
        <v>31</v>
      </c>
      <c r="C1505" s="10" t="s">
        <v>254</v>
      </c>
      <c r="D1505" s="10" t="s">
        <v>278</v>
      </c>
      <c r="E1505" s="16">
        <v>8</v>
      </c>
      <c r="F1505" s="16">
        <v>8</v>
      </c>
      <c r="G1505" s="13">
        <v>31780.444928138106</v>
      </c>
      <c r="H1505" s="13">
        <v>31780.444928138106</v>
      </c>
      <c r="I1505" s="14">
        <v>0</v>
      </c>
      <c r="J1505" s="15">
        <v>1</v>
      </c>
      <c r="K1505" s="14">
        <v>174.54074957013293</v>
      </c>
      <c r="L1505" s="13">
        <v>5546982.6794295544</v>
      </c>
      <c r="M1505" s="14">
        <v>3.1292032426340244</v>
      </c>
      <c r="N1505" s="14">
        <v>134.64903418406959</v>
      </c>
      <c r="O1505" s="13">
        <v>4279206.2155138087</v>
      </c>
      <c r="P1505" s="13">
        <v>1267776.4639157457</v>
      </c>
      <c r="Q1505" s="14">
        <v>1.2962644004674411</v>
      </c>
      <c r="R1505" s="15">
        <v>0.29626440046744101</v>
      </c>
    </row>
    <row r="1506" spans="1:18" ht="18" customHeight="1">
      <c r="A1506" s="10" t="s">
        <v>30</v>
      </c>
      <c r="B1506" s="10" t="s">
        <v>31</v>
      </c>
      <c r="C1506" s="10" t="s">
        <v>254</v>
      </c>
      <c r="D1506" s="10" t="s">
        <v>273</v>
      </c>
      <c r="E1506" s="16">
        <v>9</v>
      </c>
      <c r="F1506" s="16">
        <v>9</v>
      </c>
      <c r="G1506" s="13">
        <v>2214415.796080132</v>
      </c>
      <c r="H1506" s="13">
        <v>2214415.796080132</v>
      </c>
      <c r="I1506" s="14">
        <v>0</v>
      </c>
      <c r="J1506" s="15">
        <v>1</v>
      </c>
      <c r="K1506" s="14">
        <v>120.09984321369592</v>
      </c>
      <c r="L1506" s="13">
        <v>265950989.91915548</v>
      </c>
      <c r="M1506" s="14">
        <v>3.0466725235539176</v>
      </c>
      <c r="N1506" s="14">
        <v>111.34546249893324</v>
      </c>
      <c r="O1506" s="13">
        <v>246565150.97948575</v>
      </c>
      <c r="P1506" s="13">
        <v>19385838.939669728</v>
      </c>
      <c r="Q1506" s="14">
        <v>1.0786235964922821</v>
      </c>
      <c r="R1506" s="15">
        <v>7.8623596492282205E-2</v>
      </c>
    </row>
    <row r="1507" spans="1:18" ht="18" customHeight="1">
      <c r="A1507" s="10" t="s">
        <v>30</v>
      </c>
      <c r="B1507" s="10" t="s">
        <v>31</v>
      </c>
      <c r="C1507" s="10" t="s">
        <v>254</v>
      </c>
      <c r="D1507" s="10" t="s">
        <v>284</v>
      </c>
      <c r="E1507" s="16">
        <v>10</v>
      </c>
      <c r="F1507" s="16">
        <v>10</v>
      </c>
      <c r="G1507" s="13">
        <v>5920.4287295724998</v>
      </c>
      <c r="H1507" s="13">
        <v>5920.4287295724998</v>
      </c>
      <c r="I1507" s="14">
        <v>0</v>
      </c>
      <c r="J1507" s="15">
        <v>1</v>
      </c>
      <c r="K1507" s="14">
        <v>417.462408061779</v>
      </c>
      <c r="L1507" s="13">
        <v>2471556.4342054748</v>
      </c>
      <c r="M1507" s="14">
        <v>3.434938184647867</v>
      </c>
      <c r="N1507" s="14">
        <v>272.23137996709306</v>
      </c>
      <c r="O1507" s="13">
        <v>1611726.4830483452</v>
      </c>
      <c r="P1507" s="13">
        <v>859829.9511571296</v>
      </c>
      <c r="Q1507" s="14">
        <v>1.5334837890923569</v>
      </c>
      <c r="R1507" s="15">
        <v>0.53348378909235694</v>
      </c>
    </row>
    <row r="1508" spans="1:18" ht="18" customHeight="1">
      <c r="A1508" s="10" t="s">
        <v>30</v>
      </c>
      <c r="B1508" s="10" t="s">
        <v>31</v>
      </c>
      <c r="C1508" s="10" t="s">
        <v>254</v>
      </c>
      <c r="D1508" s="10" t="s">
        <v>274</v>
      </c>
      <c r="E1508" s="16">
        <v>18</v>
      </c>
      <c r="F1508" s="16">
        <v>18</v>
      </c>
      <c r="G1508" s="13">
        <v>37418.025592043603</v>
      </c>
      <c r="H1508" s="13">
        <v>37418.025592043603</v>
      </c>
      <c r="I1508" s="14">
        <v>0</v>
      </c>
      <c r="J1508" s="15">
        <v>1</v>
      </c>
      <c r="K1508" s="14">
        <v>348.12523313681118</v>
      </c>
      <c r="L1508" s="13">
        <v>13026158.882749347</v>
      </c>
      <c r="M1508" s="14">
        <v>3.4806313532564084</v>
      </c>
      <c r="N1508" s="14">
        <v>302.43451515872778</v>
      </c>
      <c r="O1508" s="13">
        <v>11316502.428126575</v>
      </c>
      <c r="P1508" s="13">
        <v>1709656.4546227716</v>
      </c>
      <c r="Q1508" s="14">
        <v>1.1510764006353686</v>
      </c>
      <c r="R1508" s="15">
        <v>0.15107640063536856</v>
      </c>
    </row>
    <row r="1509" spans="1:18" ht="18" customHeight="1">
      <c r="A1509" s="10" t="s">
        <v>30</v>
      </c>
      <c r="B1509" s="10" t="s">
        <v>31</v>
      </c>
      <c r="C1509" s="10" t="s">
        <v>254</v>
      </c>
      <c r="D1509" s="10" t="s">
        <v>282</v>
      </c>
      <c r="E1509" s="16">
        <v>6</v>
      </c>
      <c r="F1509" s="16">
        <v>6</v>
      </c>
      <c r="G1509" s="13">
        <v>4583.2943247119001</v>
      </c>
      <c r="H1509" s="13">
        <v>4583.2943247119001</v>
      </c>
      <c r="I1509" s="14">
        <v>0</v>
      </c>
      <c r="J1509" s="15">
        <v>1</v>
      </c>
      <c r="K1509" s="14">
        <v>613.31509536629653</v>
      </c>
      <c r="L1509" s="13">
        <v>2811003.5958524849</v>
      </c>
      <c r="M1509" s="14">
        <v>3.7802875150227462</v>
      </c>
      <c r="N1509" s="14">
        <v>602.9586293490388</v>
      </c>
      <c r="O1509" s="13">
        <v>2763536.8639315157</v>
      </c>
      <c r="P1509" s="13">
        <v>47466.731920969207</v>
      </c>
      <c r="Q1509" s="14">
        <v>1.0171760806018131</v>
      </c>
      <c r="R1509" s="15">
        <v>1.7176080601812988E-2</v>
      </c>
    </row>
    <row r="1510" spans="1:18" ht="18" customHeight="1">
      <c r="A1510" s="10" t="s">
        <v>30</v>
      </c>
      <c r="B1510" s="10" t="s">
        <v>31</v>
      </c>
      <c r="C1510" s="10" t="s">
        <v>254</v>
      </c>
      <c r="D1510" s="10" t="s">
        <v>275</v>
      </c>
      <c r="E1510" s="16">
        <v>5</v>
      </c>
      <c r="F1510" s="16">
        <v>5</v>
      </c>
      <c r="G1510" s="13">
        <v>2865.6826068690002</v>
      </c>
      <c r="H1510" s="13">
        <v>2865.6826068690002</v>
      </c>
      <c r="I1510" s="14">
        <v>0</v>
      </c>
      <c r="J1510" s="15">
        <v>1</v>
      </c>
      <c r="K1510" s="14">
        <v>663.83627248078949</v>
      </c>
      <c r="L1510" s="13">
        <v>1902344.0598569487</v>
      </c>
      <c r="M1510" s="14">
        <v>3.8216888279233689</v>
      </c>
      <c r="N1510" s="14">
        <v>663.26766870221002</v>
      </c>
      <c r="O1510" s="13">
        <v>1900714.6218984735</v>
      </c>
      <c r="P1510" s="13">
        <v>1629.4379584752023</v>
      </c>
      <c r="Q1510" s="14">
        <v>1.000857276489433</v>
      </c>
      <c r="R1510" s="15">
        <v>8.5727648943305628E-4</v>
      </c>
    </row>
    <row r="1511" spans="1:18" ht="18" customHeight="1">
      <c r="A1511" s="10" t="s">
        <v>32</v>
      </c>
      <c r="B1511" s="10" t="s">
        <v>33</v>
      </c>
      <c r="C1511" s="10" t="s">
        <v>254</v>
      </c>
      <c r="D1511" s="10" t="s">
        <v>255</v>
      </c>
      <c r="E1511" s="16">
        <v>13</v>
      </c>
      <c r="F1511" s="16">
        <v>13</v>
      </c>
      <c r="G1511" s="13">
        <v>173878.8148369689</v>
      </c>
      <c r="H1511" s="13">
        <v>173878.8148369689</v>
      </c>
      <c r="I1511" s="14">
        <v>0</v>
      </c>
      <c r="J1511" s="15">
        <v>1</v>
      </c>
      <c r="K1511" s="14">
        <v>616.73148388304571</v>
      </c>
      <c r="L1511" s="13">
        <v>107236539.49022917</v>
      </c>
      <c r="M1511" s="14">
        <v>3.7816239970770305</v>
      </c>
      <c r="N1511" s="14">
        <v>604.81701031103341</v>
      </c>
      <c r="O1511" s="13">
        <v>105164864.94612129</v>
      </c>
      <c r="P1511" s="13">
        <v>2071674.5441078842</v>
      </c>
      <c r="Q1511" s="14">
        <v>1.0196993030435522</v>
      </c>
      <c r="R1511" s="15">
        <v>1.9699303043552208E-2</v>
      </c>
    </row>
    <row r="1512" spans="1:18" ht="18" customHeight="1">
      <c r="A1512" s="10" t="s">
        <v>32</v>
      </c>
      <c r="B1512" s="10" t="s">
        <v>33</v>
      </c>
      <c r="C1512" s="10" t="s">
        <v>254</v>
      </c>
      <c r="D1512" s="10" t="s">
        <v>256</v>
      </c>
      <c r="E1512" s="16">
        <v>2</v>
      </c>
      <c r="F1512" s="16">
        <v>2</v>
      </c>
      <c r="G1512" s="13">
        <v>1115.4458503999999</v>
      </c>
      <c r="H1512" s="13">
        <v>1115.4458503999999</v>
      </c>
      <c r="I1512" s="14">
        <v>0</v>
      </c>
      <c r="J1512" s="15">
        <v>1</v>
      </c>
      <c r="K1512" s="14">
        <v>285.07174125915486</v>
      </c>
      <c r="L1512" s="13">
        <v>317982.09085382672</v>
      </c>
      <c r="M1512" s="14">
        <v>3.4520309384126833</v>
      </c>
      <c r="N1512" s="14">
        <v>283.15937066153202</v>
      </c>
      <c r="O1512" s="13">
        <v>315848.94500628137</v>
      </c>
      <c r="P1512" s="13">
        <v>2133.1458475453546</v>
      </c>
      <c r="Q1512" s="14">
        <v>1.0067536899561369</v>
      </c>
      <c r="R1512" s="15">
        <v>6.7536899561368878E-3</v>
      </c>
    </row>
    <row r="1513" spans="1:18" ht="18" customHeight="1">
      <c r="A1513" s="10" t="s">
        <v>32</v>
      </c>
      <c r="B1513" s="10" t="s">
        <v>33</v>
      </c>
      <c r="C1513" s="10" t="s">
        <v>254</v>
      </c>
      <c r="D1513" s="10" t="s">
        <v>257</v>
      </c>
      <c r="E1513" s="16">
        <v>1</v>
      </c>
      <c r="F1513" s="16">
        <v>1</v>
      </c>
      <c r="G1513" s="13">
        <v>26.640145511699998</v>
      </c>
      <c r="H1513" s="13">
        <v>26.640145511699998</v>
      </c>
      <c r="I1513" s="14">
        <v>0</v>
      </c>
      <c r="J1513" s="15">
        <v>1</v>
      </c>
      <c r="K1513" s="14">
        <v>2187.7616239495519</v>
      </c>
      <c r="L1513" s="13">
        <v>58282.288006929157</v>
      </c>
      <c r="M1513" s="14">
        <v>4.34</v>
      </c>
      <c r="N1513" s="14">
        <v>2187.7616239495519</v>
      </c>
      <c r="O1513" s="13">
        <v>58282.288006929157</v>
      </c>
      <c r="P1513" s="13">
        <v>0</v>
      </c>
      <c r="Q1513" s="14">
        <v>1</v>
      </c>
      <c r="R1513" s="15">
        <v>0</v>
      </c>
    </row>
    <row r="1514" spans="1:18" ht="18" customHeight="1">
      <c r="A1514" s="10" t="s">
        <v>32</v>
      </c>
      <c r="B1514" s="10" t="s">
        <v>33</v>
      </c>
      <c r="C1514" s="10" t="s">
        <v>254</v>
      </c>
      <c r="D1514" s="10" t="s">
        <v>258</v>
      </c>
      <c r="E1514" s="16">
        <v>14</v>
      </c>
      <c r="F1514" s="16">
        <v>14</v>
      </c>
      <c r="G1514" s="13">
        <v>73202.474953042794</v>
      </c>
      <c r="H1514" s="13">
        <v>73202.474953042794</v>
      </c>
      <c r="I1514" s="14">
        <v>0</v>
      </c>
      <c r="J1514" s="15">
        <v>1</v>
      </c>
      <c r="K1514" s="14">
        <v>2197.6724922977974</v>
      </c>
      <c r="L1514" s="13">
        <v>160875065.57242066</v>
      </c>
      <c r="M1514" s="14">
        <v>4.293969257247193</v>
      </c>
      <c r="N1514" s="14">
        <v>1967.7469922875609</v>
      </c>
      <c r="O1514" s="13">
        <v>144043949.91685548</v>
      </c>
      <c r="P1514" s="13">
        <v>16831115.655565172</v>
      </c>
      <c r="Q1514" s="14">
        <v>1.1168470849714991</v>
      </c>
      <c r="R1514" s="15">
        <v>0.11684708497149909</v>
      </c>
    </row>
    <row r="1515" spans="1:18" ht="18" customHeight="1">
      <c r="A1515" s="10" t="s">
        <v>32</v>
      </c>
      <c r="B1515" s="10" t="s">
        <v>33</v>
      </c>
      <c r="C1515" s="10" t="s">
        <v>254</v>
      </c>
      <c r="D1515" s="10" t="s">
        <v>259</v>
      </c>
      <c r="E1515" s="16">
        <v>9</v>
      </c>
      <c r="F1515" s="16">
        <v>9</v>
      </c>
      <c r="G1515" s="13">
        <v>221473.1142202662</v>
      </c>
      <c r="H1515" s="13">
        <v>221473.1142202662</v>
      </c>
      <c r="I1515" s="14">
        <v>0</v>
      </c>
      <c r="J1515" s="15">
        <v>1</v>
      </c>
      <c r="K1515" s="14">
        <v>708.6763846754111</v>
      </c>
      <c r="L1515" s="13">
        <v>156952765.88842264</v>
      </c>
      <c r="M1515" s="14">
        <v>3.8396961832517627</v>
      </c>
      <c r="N1515" s="14">
        <v>691.347160184058</v>
      </c>
      <c r="O1515" s="13">
        <v>153114808.57330054</v>
      </c>
      <c r="P1515" s="13">
        <v>3837957.3151220977</v>
      </c>
      <c r="Q1515" s="14">
        <v>1.0250658793286134</v>
      </c>
      <c r="R1515" s="15">
        <v>2.5065879328613438E-2</v>
      </c>
    </row>
    <row r="1516" spans="1:18" ht="18" customHeight="1">
      <c r="A1516" s="10" t="s">
        <v>32</v>
      </c>
      <c r="B1516" s="10" t="s">
        <v>33</v>
      </c>
      <c r="C1516" s="10" t="s">
        <v>254</v>
      </c>
      <c r="D1516" s="10" t="s">
        <v>261</v>
      </c>
      <c r="E1516" s="16">
        <v>32</v>
      </c>
      <c r="F1516" s="16">
        <v>32</v>
      </c>
      <c r="G1516" s="13">
        <v>263234.06046414818</v>
      </c>
      <c r="H1516" s="13">
        <v>263234.06046414818</v>
      </c>
      <c r="I1516" s="14">
        <v>0</v>
      </c>
      <c r="J1516" s="15">
        <v>1</v>
      </c>
      <c r="K1516" s="14">
        <v>2181.3417231785188</v>
      </c>
      <c r="L1516" s="13">
        <v>574203439.05214334</v>
      </c>
      <c r="M1516" s="14">
        <v>4.3016433638548888</v>
      </c>
      <c r="N1516" s="14">
        <v>2002.8266605281419</v>
      </c>
      <c r="O1516" s="13">
        <v>527212194.25667286</v>
      </c>
      <c r="P1516" s="13">
        <v>46991244.795470476</v>
      </c>
      <c r="Q1516" s="14">
        <v>1.0891315589953765</v>
      </c>
      <c r="R1516" s="15">
        <v>8.9131558995376392E-2</v>
      </c>
    </row>
    <row r="1517" spans="1:18" ht="18" customHeight="1">
      <c r="A1517" s="10" t="s">
        <v>32</v>
      </c>
      <c r="B1517" s="10" t="s">
        <v>33</v>
      </c>
      <c r="C1517" s="10" t="s">
        <v>254</v>
      </c>
      <c r="D1517" s="10" t="s">
        <v>262</v>
      </c>
      <c r="E1517" s="16">
        <v>11</v>
      </c>
      <c r="F1517" s="16">
        <v>11</v>
      </c>
      <c r="G1517" s="13">
        <v>20457.841973533999</v>
      </c>
      <c r="H1517" s="13">
        <v>20457.841973533999</v>
      </c>
      <c r="I1517" s="14">
        <v>0</v>
      </c>
      <c r="J1517" s="15">
        <v>1</v>
      </c>
      <c r="K1517" s="14">
        <v>354.17632194928012</v>
      </c>
      <c r="L1517" s="13">
        <v>7245683.2252058741</v>
      </c>
      <c r="M1517" s="14">
        <v>3.496628767104013</v>
      </c>
      <c r="N1517" s="14">
        <v>313.78253487223986</v>
      </c>
      <c r="O1517" s="13">
        <v>6419313.5124712046</v>
      </c>
      <c r="P1517" s="13">
        <v>826369.71273466945</v>
      </c>
      <c r="Q1517" s="14">
        <v>1.128731789019064</v>
      </c>
      <c r="R1517" s="15">
        <v>0.12873178901906396</v>
      </c>
    </row>
    <row r="1518" spans="1:18" ht="18" customHeight="1">
      <c r="A1518" s="10" t="s">
        <v>32</v>
      </c>
      <c r="B1518" s="10" t="s">
        <v>33</v>
      </c>
      <c r="C1518" s="10" t="s">
        <v>254</v>
      </c>
      <c r="D1518" s="10" t="s">
        <v>263</v>
      </c>
      <c r="E1518" s="16">
        <v>16</v>
      </c>
      <c r="F1518" s="16">
        <v>16</v>
      </c>
      <c r="G1518" s="13">
        <v>29453.566996307101</v>
      </c>
      <c r="H1518" s="13">
        <v>29453.566996307101</v>
      </c>
      <c r="I1518" s="14">
        <v>0</v>
      </c>
      <c r="J1518" s="15">
        <v>1</v>
      </c>
      <c r="K1518" s="14">
        <v>579.7705994511158</v>
      </c>
      <c r="L1518" s="13">
        <v>17076312.193422567</v>
      </c>
      <c r="M1518" s="14">
        <v>3.5207716794257111</v>
      </c>
      <c r="N1518" s="14">
        <v>331.72001735035127</v>
      </c>
      <c r="O1518" s="13">
        <v>9770337.7550447248</v>
      </c>
      <c r="P1518" s="13">
        <v>7305974.4383778423</v>
      </c>
      <c r="Q1518" s="14">
        <v>1.7477709186261798</v>
      </c>
      <c r="R1518" s="15">
        <v>0.74777091862617995</v>
      </c>
    </row>
    <row r="1519" spans="1:18" ht="18" customHeight="1">
      <c r="A1519" s="10" t="s">
        <v>32</v>
      </c>
      <c r="B1519" s="10" t="s">
        <v>33</v>
      </c>
      <c r="C1519" s="10" t="s">
        <v>254</v>
      </c>
      <c r="D1519" s="10" t="s">
        <v>264</v>
      </c>
      <c r="E1519" s="16">
        <v>37</v>
      </c>
      <c r="F1519" s="16">
        <v>37</v>
      </c>
      <c r="G1519" s="13">
        <v>50946.908937441498</v>
      </c>
      <c r="H1519" s="13">
        <v>50946.908937441498</v>
      </c>
      <c r="I1519" s="14">
        <v>0</v>
      </c>
      <c r="J1519" s="15">
        <v>1</v>
      </c>
      <c r="K1519" s="14">
        <v>2556.3174467367057</v>
      </c>
      <c r="L1519" s="13">
        <v>130236472.1740879</v>
      </c>
      <c r="M1519" s="14">
        <v>4.2825374947278529</v>
      </c>
      <c r="N1519" s="14">
        <v>1916.6265271632335</v>
      </c>
      <c r="O1519" s="13">
        <v>97646197.146469995</v>
      </c>
      <c r="P1519" s="13">
        <v>32590275.027617902</v>
      </c>
      <c r="Q1519" s="14">
        <v>1.3337587738182191</v>
      </c>
      <c r="R1519" s="15">
        <v>0.333758773818219</v>
      </c>
    </row>
    <row r="1520" spans="1:18" ht="18" customHeight="1">
      <c r="A1520" s="10" t="s">
        <v>32</v>
      </c>
      <c r="B1520" s="10" t="s">
        <v>33</v>
      </c>
      <c r="C1520" s="10" t="s">
        <v>254</v>
      </c>
      <c r="D1520" s="10" t="s">
        <v>265</v>
      </c>
      <c r="E1520" s="16">
        <v>10</v>
      </c>
      <c r="F1520" s="16">
        <v>10</v>
      </c>
      <c r="G1520" s="13">
        <v>2173.596809867</v>
      </c>
      <c r="H1520" s="13">
        <v>2173.596809867</v>
      </c>
      <c r="I1520" s="14">
        <v>0</v>
      </c>
      <c r="J1520" s="15">
        <v>1</v>
      </c>
      <c r="K1520" s="14">
        <v>303.2697719296379</v>
      </c>
      <c r="L1520" s="13">
        <v>659186.20879535365</v>
      </c>
      <c r="M1520" s="14">
        <v>3.3481165044813403</v>
      </c>
      <c r="N1520" s="14">
        <v>222.9033032776963</v>
      </c>
      <c r="O1520" s="13">
        <v>484501.90891321708</v>
      </c>
      <c r="P1520" s="13">
        <v>174684.29988213658</v>
      </c>
      <c r="Q1520" s="14">
        <v>1.3605440900614194</v>
      </c>
      <c r="R1520" s="15">
        <v>0.36054409006141946</v>
      </c>
    </row>
    <row r="1521" spans="1:18" ht="18" customHeight="1">
      <c r="A1521" s="10" t="s">
        <v>32</v>
      </c>
      <c r="B1521" s="10" t="s">
        <v>33</v>
      </c>
      <c r="C1521" s="10" t="s">
        <v>254</v>
      </c>
      <c r="D1521" s="10" t="s">
        <v>266</v>
      </c>
      <c r="E1521" s="16">
        <v>10</v>
      </c>
      <c r="F1521" s="16">
        <v>10</v>
      </c>
      <c r="G1521" s="13">
        <v>7905.5589450769003</v>
      </c>
      <c r="H1521" s="13">
        <v>7905.5589450769003</v>
      </c>
      <c r="I1521" s="14">
        <v>0</v>
      </c>
      <c r="J1521" s="15">
        <v>1</v>
      </c>
      <c r="K1521" s="14">
        <v>2968.0089498512921</v>
      </c>
      <c r="L1521" s="13">
        <v>23463769.702565178</v>
      </c>
      <c r="M1521" s="14">
        <v>4.4513470314320358</v>
      </c>
      <c r="N1521" s="14">
        <v>2827.1381521685844</v>
      </c>
      <c r="O1521" s="13">
        <v>22350107.307844531</v>
      </c>
      <c r="P1521" s="13">
        <v>1113662.3947206475</v>
      </c>
      <c r="Q1521" s="14">
        <v>1.0498280558290549</v>
      </c>
      <c r="R1521" s="15">
        <v>4.9828055829055001E-2</v>
      </c>
    </row>
    <row r="1522" spans="1:18" ht="18" customHeight="1">
      <c r="A1522" s="10" t="s">
        <v>32</v>
      </c>
      <c r="B1522" s="10" t="s">
        <v>33</v>
      </c>
      <c r="C1522" s="10" t="s">
        <v>254</v>
      </c>
      <c r="D1522" s="10" t="s">
        <v>267</v>
      </c>
      <c r="E1522" s="16">
        <v>2</v>
      </c>
      <c r="F1522" s="16">
        <v>2</v>
      </c>
      <c r="G1522" s="13">
        <v>2985.1445349512001</v>
      </c>
      <c r="H1522" s="13">
        <v>2985.1445349512001</v>
      </c>
      <c r="I1522" s="14">
        <v>0</v>
      </c>
      <c r="J1522" s="15">
        <v>1</v>
      </c>
      <c r="K1522" s="14">
        <v>1204.8766617676165</v>
      </c>
      <c r="L1522" s="13">
        <v>3596730.982165846</v>
      </c>
      <c r="M1522" s="14">
        <v>4.0807709497747169</v>
      </c>
      <c r="N1522" s="14">
        <v>1204.4005627834824</v>
      </c>
      <c r="O1522" s="13">
        <v>3595309.7578852624</v>
      </c>
      <c r="P1522" s="13">
        <v>1421.2242805836722</v>
      </c>
      <c r="Q1522" s="14">
        <v>1.0003952995364216</v>
      </c>
      <c r="R1522" s="15">
        <v>3.9529953642148123E-4</v>
      </c>
    </row>
    <row r="1523" spans="1:18" ht="18" customHeight="1">
      <c r="A1523" s="10" t="s">
        <v>32</v>
      </c>
      <c r="B1523" s="10" t="s">
        <v>33</v>
      </c>
      <c r="C1523" s="10" t="s">
        <v>254</v>
      </c>
      <c r="D1523" s="10" t="s">
        <v>268</v>
      </c>
      <c r="E1523" s="16">
        <v>31</v>
      </c>
      <c r="F1523" s="16">
        <v>31</v>
      </c>
      <c r="G1523" s="13">
        <v>111676.81833909269</v>
      </c>
      <c r="H1523" s="13">
        <v>111676.81833909269</v>
      </c>
      <c r="I1523" s="14">
        <v>0</v>
      </c>
      <c r="J1523" s="15">
        <v>1</v>
      </c>
      <c r="K1523" s="14">
        <v>678.09123994041045</v>
      </c>
      <c r="L1523" s="13">
        <v>75727072.220155329</v>
      </c>
      <c r="M1523" s="14">
        <v>3.6106141510512142</v>
      </c>
      <c r="N1523" s="14">
        <v>407.95677606294907</v>
      </c>
      <c r="O1523" s="13">
        <v>45559314.770583883</v>
      </c>
      <c r="P1523" s="13">
        <v>30167757.449571446</v>
      </c>
      <c r="Q1523" s="14">
        <v>1.6621644245854583</v>
      </c>
      <c r="R1523" s="15">
        <v>0.66216442458545821</v>
      </c>
    </row>
    <row r="1524" spans="1:18" ht="18" customHeight="1">
      <c r="A1524" s="10" t="s">
        <v>32</v>
      </c>
      <c r="B1524" s="10" t="s">
        <v>33</v>
      </c>
      <c r="C1524" s="10" t="s">
        <v>254</v>
      </c>
      <c r="D1524" s="10" t="s">
        <v>269</v>
      </c>
      <c r="E1524" s="16">
        <v>28</v>
      </c>
      <c r="F1524" s="16">
        <v>28</v>
      </c>
      <c r="G1524" s="13">
        <v>1786958.351354066</v>
      </c>
      <c r="H1524" s="13">
        <v>1786958.351354066</v>
      </c>
      <c r="I1524" s="14">
        <v>0</v>
      </c>
      <c r="J1524" s="15">
        <v>1</v>
      </c>
      <c r="K1524" s="14">
        <v>244.64092176873129</v>
      </c>
      <c r="L1524" s="13">
        <v>437163138.23759109</v>
      </c>
      <c r="M1524" s="14">
        <v>3.3380729964548816</v>
      </c>
      <c r="N1524" s="14">
        <v>217.8075833769976</v>
      </c>
      <c r="O1524" s="13">
        <v>389213080.10377294</v>
      </c>
      <c r="P1524" s="13">
        <v>47950058.13381815</v>
      </c>
      <c r="Q1524" s="14">
        <v>1.1231974478376563</v>
      </c>
      <c r="R1524" s="15">
        <v>0.1231974478376564</v>
      </c>
    </row>
    <row r="1525" spans="1:18" ht="18" customHeight="1">
      <c r="A1525" s="10" t="s">
        <v>32</v>
      </c>
      <c r="B1525" s="10" t="s">
        <v>33</v>
      </c>
      <c r="C1525" s="10" t="s">
        <v>254</v>
      </c>
      <c r="D1525" s="10" t="s">
        <v>270</v>
      </c>
      <c r="E1525" s="16">
        <v>28</v>
      </c>
      <c r="F1525" s="16">
        <v>28</v>
      </c>
      <c r="G1525" s="13">
        <v>821194.02015905641</v>
      </c>
      <c r="H1525" s="13">
        <v>821194.02015905641</v>
      </c>
      <c r="I1525" s="14">
        <v>0</v>
      </c>
      <c r="J1525" s="15">
        <v>1</v>
      </c>
      <c r="K1525" s="14">
        <v>378.33102080765116</v>
      </c>
      <c r="L1525" s="13">
        <v>310683171.92791468</v>
      </c>
      <c r="M1525" s="14">
        <v>3.0909458318830176</v>
      </c>
      <c r="N1525" s="14">
        <v>123.29510417250877</v>
      </c>
      <c r="O1525" s="13">
        <v>101249202.26135212</v>
      </c>
      <c r="P1525" s="13">
        <v>209433969.66656256</v>
      </c>
      <c r="Q1525" s="14">
        <v>3.0684999485324904</v>
      </c>
      <c r="R1525" s="15">
        <v>2.0684999485324904</v>
      </c>
    </row>
    <row r="1526" spans="1:18" ht="18" customHeight="1">
      <c r="A1526" s="10" t="s">
        <v>32</v>
      </c>
      <c r="B1526" s="10" t="s">
        <v>33</v>
      </c>
      <c r="C1526" s="10" t="s">
        <v>254</v>
      </c>
      <c r="D1526" s="10" t="s">
        <v>276</v>
      </c>
      <c r="E1526" s="16">
        <v>19</v>
      </c>
      <c r="F1526" s="16">
        <v>19</v>
      </c>
      <c r="G1526" s="13">
        <v>154440.37054917231</v>
      </c>
      <c r="H1526" s="13">
        <v>154440.37054917231</v>
      </c>
      <c r="I1526" s="14">
        <v>0</v>
      </c>
      <c r="J1526" s="15">
        <v>1</v>
      </c>
      <c r="K1526" s="14">
        <v>835.40407938046542</v>
      </c>
      <c r="L1526" s="13">
        <v>129020115.57780924</v>
      </c>
      <c r="M1526" s="14">
        <v>3.6219592365576347</v>
      </c>
      <c r="N1526" s="14">
        <v>418.75425845638802</v>
      </c>
      <c r="O1526" s="13">
        <v>64672562.845048435</v>
      </c>
      <c r="P1526" s="13">
        <v>64347552.732760809</v>
      </c>
      <c r="Q1526" s="14">
        <v>1.994974528641051</v>
      </c>
      <c r="R1526" s="15">
        <v>0.99497452864105096</v>
      </c>
    </row>
    <row r="1527" spans="1:18" ht="18" customHeight="1">
      <c r="A1527" s="10" t="s">
        <v>32</v>
      </c>
      <c r="B1527" s="10" t="s">
        <v>33</v>
      </c>
      <c r="C1527" s="10" t="s">
        <v>254</v>
      </c>
      <c r="D1527" s="10" t="s">
        <v>271</v>
      </c>
      <c r="E1527" s="16">
        <v>8</v>
      </c>
      <c r="F1527" s="16">
        <v>8</v>
      </c>
      <c r="G1527" s="13">
        <v>23541.182782697102</v>
      </c>
      <c r="H1527" s="13">
        <v>23541.182782697102</v>
      </c>
      <c r="I1527" s="14">
        <v>0</v>
      </c>
      <c r="J1527" s="15">
        <v>1</v>
      </c>
      <c r="K1527" s="14">
        <v>36.072858110245797</v>
      </c>
      <c r="L1527" s="13">
        <v>849197.74626759381</v>
      </c>
      <c r="M1527" s="14">
        <v>2.274193728817782</v>
      </c>
      <c r="N1527" s="14">
        <v>18.801553239816812</v>
      </c>
      <c r="O1527" s="13">
        <v>442610.80141713843</v>
      </c>
      <c r="P1527" s="13">
        <v>406586.94485045539</v>
      </c>
      <c r="Q1527" s="14">
        <v>1.918610534466527</v>
      </c>
      <c r="R1527" s="15">
        <v>0.91861053446652707</v>
      </c>
    </row>
    <row r="1528" spans="1:18" ht="18" customHeight="1">
      <c r="A1528" s="10" t="s">
        <v>32</v>
      </c>
      <c r="B1528" s="10" t="s">
        <v>33</v>
      </c>
      <c r="C1528" s="10" t="s">
        <v>254</v>
      </c>
      <c r="D1528" s="10" t="s">
        <v>272</v>
      </c>
      <c r="E1528" s="16">
        <v>11</v>
      </c>
      <c r="F1528" s="16">
        <v>11</v>
      </c>
      <c r="G1528" s="13">
        <v>86188.701184921098</v>
      </c>
      <c r="H1528" s="13">
        <v>86188.701184921098</v>
      </c>
      <c r="I1528" s="14">
        <v>0</v>
      </c>
      <c r="J1528" s="15">
        <v>1</v>
      </c>
      <c r="K1528" s="14">
        <v>151.77970639141978</v>
      </c>
      <c r="L1528" s="13">
        <v>13081695.760105139</v>
      </c>
      <c r="M1528" s="14">
        <v>3.1176763602631974</v>
      </c>
      <c r="N1528" s="14">
        <v>131.12224013777299</v>
      </c>
      <c r="O1528" s="13">
        <v>11301255.573931985</v>
      </c>
      <c r="P1528" s="13">
        <v>1780440.186173154</v>
      </c>
      <c r="Q1528" s="14">
        <v>1.1575435733247199</v>
      </c>
      <c r="R1528" s="15">
        <v>0.15754357332471999</v>
      </c>
    </row>
    <row r="1529" spans="1:18" ht="18" customHeight="1">
      <c r="A1529" s="10" t="s">
        <v>32</v>
      </c>
      <c r="B1529" s="10" t="s">
        <v>33</v>
      </c>
      <c r="C1529" s="10" t="s">
        <v>254</v>
      </c>
      <c r="D1529" s="10" t="s">
        <v>281</v>
      </c>
      <c r="E1529" s="16">
        <v>1</v>
      </c>
      <c r="F1529" s="16">
        <v>1</v>
      </c>
      <c r="G1529" s="13">
        <v>31.0793950893</v>
      </c>
      <c r="H1529" s="13">
        <v>31.0793950893</v>
      </c>
      <c r="I1529" s="14">
        <v>0</v>
      </c>
      <c r="J1529" s="15">
        <v>1</v>
      </c>
      <c r="K1529" s="14">
        <v>1905.4607179632483</v>
      </c>
      <c r="L1529" s="13">
        <v>59220.566480721034</v>
      </c>
      <c r="M1529" s="14">
        <v>4.28</v>
      </c>
      <c r="N1529" s="14">
        <v>1905.4607179632483</v>
      </c>
      <c r="O1529" s="13">
        <v>59220.566480721034</v>
      </c>
      <c r="P1529" s="13">
        <v>0</v>
      </c>
      <c r="Q1529" s="14">
        <v>1</v>
      </c>
      <c r="R1529" s="15">
        <v>0</v>
      </c>
    </row>
    <row r="1530" spans="1:18" ht="18" customHeight="1">
      <c r="A1530" s="10" t="s">
        <v>32</v>
      </c>
      <c r="B1530" s="10" t="s">
        <v>33</v>
      </c>
      <c r="C1530" s="10" t="s">
        <v>254</v>
      </c>
      <c r="D1530" s="10" t="s">
        <v>283</v>
      </c>
      <c r="E1530" s="16">
        <v>4</v>
      </c>
      <c r="F1530" s="16">
        <v>4</v>
      </c>
      <c r="G1530" s="13">
        <v>1320.7120358707</v>
      </c>
      <c r="H1530" s="13">
        <v>1320.7120358707</v>
      </c>
      <c r="I1530" s="14">
        <v>0</v>
      </c>
      <c r="J1530" s="15">
        <v>1</v>
      </c>
      <c r="K1530" s="14">
        <v>123.68029818915819</v>
      </c>
      <c r="L1530" s="13">
        <v>163346.05841849837</v>
      </c>
      <c r="M1530" s="14">
        <v>3.0750789560527494</v>
      </c>
      <c r="N1530" s="14">
        <v>118.87183203857836</v>
      </c>
      <c r="O1530" s="13">
        <v>156995.45929935074</v>
      </c>
      <c r="P1530" s="13">
        <v>6350.5991191476351</v>
      </c>
      <c r="Q1530" s="14">
        <v>1.0404508458237549</v>
      </c>
      <c r="R1530" s="15">
        <v>4.0450845823754966E-2</v>
      </c>
    </row>
    <row r="1531" spans="1:18" ht="18" customHeight="1">
      <c r="A1531" s="10" t="s">
        <v>32</v>
      </c>
      <c r="B1531" s="10" t="s">
        <v>33</v>
      </c>
      <c r="C1531" s="10" t="s">
        <v>254</v>
      </c>
      <c r="D1531" s="10" t="s">
        <v>278</v>
      </c>
      <c r="E1531" s="16">
        <v>6</v>
      </c>
      <c r="F1531" s="16">
        <v>6</v>
      </c>
      <c r="G1531" s="13">
        <v>178338.85566049899</v>
      </c>
      <c r="H1531" s="13">
        <v>178338.85566049899</v>
      </c>
      <c r="I1531" s="14">
        <v>0</v>
      </c>
      <c r="J1531" s="15">
        <v>1</v>
      </c>
      <c r="K1531" s="14">
        <v>224.53337034631221</v>
      </c>
      <c r="L1531" s="13">
        <v>40043024.325156339</v>
      </c>
      <c r="M1531" s="14">
        <v>3.1818350060467195</v>
      </c>
      <c r="N1531" s="14">
        <v>151.9969964259962</v>
      </c>
      <c r="O1531" s="13">
        <v>27106970.406445116</v>
      </c>
      <c r="P1531" s="13">
        <v>12936053.918711223</v>
      </c>
      <c r="Q1531" s="14">
        <v>1.4772224164023682</v>
      </c>
      <c r="R1531" s="15">
        <v>0.47722241640236818</v>
      </c>
    </row>
    <row r="1532" spans="1:18" ht="18" customHeight="1">
      <c r="A1532" s="10" t="s">
        <v>32</v>
      </c>
      <c r="B1532" s="10" t="s">
        <v>33</v>
      </c>
      <c r="C1532" s="10" t="s">
        <v>254</v>
      </c>
      <c r="D1532" s="10" t="s">
        <v>273</v>
      </c>
      <c r="E1532" s="16">
        <v>8</v>
      </c>
      <c r="F1532" s="16">
        <v>8</v>
      </c>
      <c r="G1532" s="13">
        <v>386888.43362194672</v>
      </c>
      <c r="H1532" s="13">
        <v>386888.43362194672</v>
      </c>
      <c r="I1532" s="14">
        <v>0</v>
      </c>
      <c r="J1532" s="15">
        <v>1</v>
      </c>
      <c r="K1532" s="14">
        <v>121.83864145575326</v>
      </c>
      <c r="L1532" s="13">
        <v>47137961.147442363</v>
      </c>
      <c r="M1532" s="14">
        <v>3.0144046225471368</v>
      </c>
      <c r="N1532" s="14">
        <v>103.37240550525287</v>
      </c>
      <c r="O1532" s="13">
        <v>39993588.045659982</v>
      </c>
      <c r="P1532" s="13">
        <v>7144373.1017823815</v>
      </c>
      <c r="Q1532" s="14">
        <v>1.1786379630061143</v>
      </c>
      <c r="R1532" s="15">
        <v>0.17863796300611426</v>
      </c>
    </row>
    <row r="1533" spans="1:18" ht="18" customHeight="1">
      <c r="A1533" s="10" t="s">
        <v>32</v>
      </c>
      <c r="B1533" s="10" t="s">
        <v>33</v>
      </c>
      <c r="C1533" s="10" t="s">
        <v>254</v>
      </c>
      <c r="D1533" s="10" t="s">
        <v>284</v>
      </c>
      <c r="E1533" s="16">
        <v>5</v>
      </c>
      <c r="F1533" s="16">
        <v>5</v>
      </c>
      <c r="G1533" s="13">
        <v>10617.273554178599</v>
      </c>
      <c r="H1533" s="13">
        <v>10617.273554178599</v>
      </c>
      <c r="I1533" s="14">
        <v>0</v>
      </c>
      <c r="J1533" s="15">
        <v>1</v>
      </c>
      <c r="K1533" s="14">
        <v>60.388418984569668</v>
      </c>
      <c r="L1533" s="13">
        <v>641160.36386352836</v>
      </c>
      <c r="M1533" s="14">
        <v>2.2153172892079112</v>
      </c>
      <c r="N1533" s="14">
        <v>16.417888020788919</v>
      </c>
      <c r="O1533" s="13">
        <v>174313.20829858779</v>
      </c>
      <c r="P1533" s="13">
        <v>466847.15556494053</v>
      </c>
      <c r="Q1533" s="14">
        <v>3.6782087262444287</v>
      </c>
      <c r="R1533" s="15">
        <v>2.6782087262444283</v>
      </c>
    </row>
    <row r="1534" spans="1:18" ht="18" customHeight="1">
      <c r="A1534" s="10" t="s">
        <v>32</v>
      </c>
      <c r="B1534" s="10" t="s">
        <v>33</v>
      </c>
      <c r="C1534" s="10" t="s">
        <v>254</v>
      </c>
      <c r="D1534" s="10" t="s">
        <v>274</v>
      </c>
      <c r="E1534" s="16">
        <v>13</v>
      </c>
      <c r="F1534" s="16">
        <v>13</v>
      </c>
      <c r="G1534" s="13">
        <v>59175.295089737105</v>
      </c>
      <c r="H1534" s="13">
        <v>59175.295089737105</v>
      </c>
      <c r="I1534" s="14">
        <v>0</v>
      </c>
      <c r="J1534" s="15">
        <v>1</v>
      </c>
      <c r="K1534" s="14">
        <v>315.84119672639895</v>
      </c>
      <c r="L1534" s="13">
        <v>18689996.017780367</v>
      </c>
      <c r="M1534" s="14">
        <v>3.4795946124973005</v>
      </c>
      <c r="N1534" s="14">
        <v>301.7134094267825</v>
      </c>
      <c r="O1534" s="13">
        <v>17853980.035360523</v>
      </c>
      <c r="P1534" s="13">
        <v>836015.98241984472</v>
      </c>
      <c r="Q1534" s="14">
        <v>1.0468251886001934</v>
      </c>
      <c r="R1534" s="15">
        <v>4.6825188600193433E-2</v>
      </c>
    </row>
    <row r="1535" spans="1:18" ht="18" customHeight="1">
      <c r="A1535" s="10" t="s">
        <v>32</v>
      </c>
      <c r="B1535" s="10" t="s">
        <v>33</v>
      </c>
      <c r="C1535" s="10" t="s">
        <v>254</v>
      </c>
      <c r="D1535" s="10" t="s">
        <v>282</v>
      </c>
      <c r="E1535" s="16">
        <v>4</v>
      </c>
      <c r="F1535" s="16">
        <v>4</v>
      </c>
      <c r="G1535" s="13">
        <v>1916.2864269882</v>
      </c>
      <c r="H1535" s="13">
        <v>1916.2864269882</v>
      </c>
      <c r="I1535" s="14">
        <v>0</v>
      </c>
      <c r="J1535" s="15">
        <v>1</v>
      </c>
      <c r="K1535" s="14">
        <v>628.34349167627988</v>
      </c>
      <c r="L1535" s="13">
        <v>1204086.1045856283</v>
      </c>
      <c r="M1535" s="14">
        <v>3.7958395108033494</v>
      </c>
      <c r="N1535" s="14">
        <v>624.94170912040272</v>
      </c>
      <c r="O1535" s="13">
        <v>1197567.3148462356</v>
      </c>
      <c r="P1535" s="13">
        <v>6518.7897393926978</v>
      </c>
      <c r="Q1535" s="14">
        <v>1.0054433597665695</v>
      </c>
      <c r="R1535" s="15">
        <v>5.4433597665695249E-3</v>
      </c>
    </row>
    <row r="1536" spans="1:18" ht="18" customHeight="1">
      <c r="A1536" s="10" t="s">
        <v>32</v>
      </c>
      <c r="B1536" s="10" t="s">
        <v>33</v>
      </c>
      <c r="C1536" s="10" t="s">
        <v>254</v>
      </c>
      <c r="D1536" s="10" t="s">
        <v>275</v>
      </c>
      <c r="E1536" s="16">
        <v>2</v>
      </c>
      <c r="F1536" s="16">
        <v>2</v>
      </c>
      <c r="G1536" s="13">
        <v>14.432323412900001</v>
      </c>
      <c r="H1536" s="13">
        <v>14.432323412900001</v>
      </c>
      <c r="I1536" s="14">
        <v>0</v>
      </c>
      <c r="J1536" s="15">
        <v>1</v>
      </c>
      <c r="K1536" s="14">
        <v>932.95745491272999</v>
      </c>
      <c r="L1536" s="13">
        <v>13464.74371977659</v>
      </c>
      <c r="M1536" s="14">
        <v>3.9698470538678459</v>
      </c>
      <c r="N1536" s="14">
        <v>932.92569311152045</v>
      </c>
      <c r="O1536" s="13">
        <v>13464.285323189357</v>
      </c>
      <c r="P1536" s="13">
        <v>0.45839658723343746</v>
      </c>
      <c r="Q1536" s="14">
        <v>1.0000340453708629</v>
      </c>
      <c r="R1536" s="15">
        <v>3.4045370863015445E-5</v>
      </c>
    </row>
    <row r="1537" spans="1:18" ht="18" customHeight="1">
      <c r="A1537" s="10" t="s">
        <v>59</v>
      </c>
      <c r="B1537" s="10" t="s">
        <v>60</v>
      </c>
      <c r="C1537" s="10" t="s">
        <v>254</v>
      </c>
      <c r="D1537" s="10" t="s">
        <v>255</v>
      </c>
      <c r="E1537" s="16">
        <v>5</v>
      </c>
      <c r="F1537" s="16">
        <v>5</v>
      </c>
      <c r="G1537" s="13">
        <v>6599.7414286255998</v>
      </c>
      <c r="H1537" s="13">
        <v>6599.7414286255998</v>
      </c>
      <c r="I1537" s="14">
        <v>0</v>
      </c>
      <c r="J1537" s="15">
        <v>1</v>
      </c>
      <c r="K1537" s="14">
        <v>1063.2424351453085</v>
      </c>
      <c r="L1537" s="13">
        <v>7017125.1479012594</v>
      </c>
      <c r="M1537" s="14">
        <v>4.0113630789206844</v>
      </c>
      <c r="N1537" s="14">
        <v>1026.5097504171349</v>
      </c>
      <c r="O1537" s="13">
        <v>6774698.9267160902</v>
      </c>
      <c r="P1537" s="13">
        <v>242426.22118516918</v>
      </c>
      <c r="Q1537" s="14">
        <v>1.0357840582744067</v>
      </c>
      <c r="R1537" s="15">
        <v>3.5784058274406713E-2</v>
      </c>
    </row>
    <row r="1538" spans="1:18" ht="18" customHeight="1">
      <c r="A1538" s="10" t="s">
        <v>59</v>
      </c>
      <c r="B1538" s="10" t="s">
        <v>60</v>
      </c>
      <c r="C1538" s="10" t="s">
        <v>254</v>
      </c>
      <c r="D1538" s="10" t="s">
        <v>256</v>
      </c>
      <c r="E1538" s="16">
        <v>6</v>
      </c>
      <c r="F1538" s="16">
        <v>6</v>
      </c>
      <c r="G1538" s="13">
        <v>29366.581348545398</v>
      </c>
      <c r="H1538" s="13">
        <v>29366.581348545398</v>
      </c>
      <c r="I1538" s="14">
        <v>0</v>
      </c>
      <c r="J1538" s="15">
        <v>1</v>
      </c>
      <c r="K1538" s="14">
        <v>2682.6729437839354</v>
      </c>
      <c r="L1538" s="13">
        <v>78780933.235172689</v>
      </c>
      <c r="M1538" s="14">
        <v>4.4053349271767122</v>
      </c>
      <c r="N1538" s="14">
        <v>2542.9330552540523</v>
      </c>
      <c r="O1538" s="13">
        <v>74677250.43102321</v>
      </c>
      <c r="P1538" s="13">
        <v>4103682.8041494787</v>
      </c>
      <c r="Q1538" s="14">
        <v>1.0549522482478102</v>
      </c>
      <c r="R1538" s="15">
        <v>5.4952248247810198E-2</v>
      </c>
    </row>
    <row r="1539" spans="1:18" ht="18" customHeight="1">
      <c r="A1539" s="10" t="s">
        <v>59</v>
      </c>
      <c r="B1539" s="10" t="s">
        <v>60</v>
      </c>
      <c r="C1539" s="10" t="s">
        <v>254</v>
      </c>
      <c r="D1539" s="10" t="s">
        <v>257</v>
      </c>
      <c r="E1539" s="16">
        <v>1</v>
      </c>
      <c r="F1539" s="16">
        <v>1</v>
      </c>
      <c r="G1539" s="13">
        <v>21.540756462499999</v>
      </c>
      <c r="H1539" s="13">
        <v>21.540756462499999</v>
      </c>
      <c r="I1539" s="14">
        <v>0</v>
      </c>
      <c r="J1539" s="15">
        <v>1</v>
      </c>
      <c r="K1539" s="14">
        <v>2187.7616239495519</v>
      </c>
      <c r="L1539" s="13">
        <v>47126.040339500803</v>
      </c>
      <c r="M1539" s="14">
        <v>4.34</v>
      </c>
      <c r="N1539" s="14">
        <v>2187.7616239495519</v>
      </c>
      <c r="O1539" s="13">
        <v>47126.040339500803</v>
      </c>
      <c r="P1539" s="13">
        <v>0</v>
      </c>
      <c r="Q1539" s="14">
        <v>1</v>
      </c>
      <c r="R1539" s="15">
        <v>0</v>
      </c>
    </row>
    <row r="1540" spans="1:18" ht="18" customHeight="1">
      <c r="A1540" s="10" t="s">
        <v>59</v>
      </c>
      <c r="B1540" s="10" t="s">
        <v>60</v>
      </c>
      <c r="C1540" s="10" t="s">
        <v>254</v>
      </c>
      <c r="D1540" s="10" t="s">
        <v>258</v>
      </c>
      <c r="E1540" s="16">
        <v>7</v>
      </c>
      <c r="F1540" s="16">
        <v>7</v>
      </c>
      <c r="G1540" s="13">
        <v>30656.228200560901</v>
      </c>
      <c r="H1540" s="13">
        <v>30656.228200560901</v>
      </c>
      <c r="I1540" s="14">
        <v>0</v>
      </c>
      <c r="J1540" s="15">
        <v>1</v>
      </c>
      <c r="K1540" s="14">
        <v>1560.5863883463351</v>
      </c>
      <c r="L1540" s="13">
        <v>47841692.447834402</v>
      </c>
      <c r="M1540" s="14">
        <v>4.0804626412812182</v>
      </c>
      <c r="N1540" s="14">
        <v>1203.5458543632137</v>
      </c>
      <c r="O1540" s="13">
        <v>36896176.361197717</v>
      </c>
      <c r="P1540" s="13">
        <v>10945516.086636685</v>
      </c>
      <c r="Q1540" s="14">
        <v>1.2966571923194639</v>
      </c>
      <c r="R1540" s="15">
        <v>0.2966571923194638</v>
      </c>
    </row>
    <row r="1541" spans="1:18" ht="18" customHeight="1">
      <c r="A1541" s="10" t="s">
        <v>59</v>
      </c>
      <c r="B1541" s="10" t="s">
        <v>60</v>
      </c>
      <c r="C1541" s="10" t="s">
        <v>254</v>
      </c>
      <c r="D1541" s="10" t="s">
        <v>259</v>
      </c>
      <c r="E1541" s="16">
        <v>2</v>
      </c>
      <c r="F1541" s="16">
        <v>2</v>
      </c>
      <c r="G1541" s="13">
        <v>3941.3001936450005</v>
      </c>
      <c r="H1541" s="13">
        <v>3941.3001936450005</v>
      </c>
      <c r="I1541" s="14">
        <v>0</v>
      </c>
      <c r="J1541" s="15">
        <v>1</v>
      </c>
      <c r="K1541" s="14">
        <v>616.51678362502162</v>
      </c>
      <c r="L1541" s="13">
        <v>2429877.7186866906</v>
      </c>
      <c r="M1541" s="14">
        <v>3.789929037507779</v>
      </c>
      <c r="N1541" s="14">
        <v>616.49426020965484</v>
      </c>
      <c r="O1541" s="13">
        <v>2429788.9471453438</v>
      </c>
      <c r="P1541" s="13">
        <v>88.771541346795857</v>
      </c>
      <c r="Q1541" s="14">
        <v>1.0000365346716433</v>
      </c>
      <c r="R1541" s="15">
        <v>3.6534671643432154E-5</v>
      </c>
    </row>
    <row r="1542" spans="1:18" ht="18" customHeight="1">
      <c r="A1542" s="10" t="s">
        <v>59</v>
      </c>
      <c r="B1542" s="10" t="s">
        <v>60</v>
      </c>
      <c r="C1542" s="10" t="s">
        <v>254</v>
      </c>
      <c r="D1542" s="10" t="s">
        <v>261</v>
      </c>
      <c r="E1542" s="16">
        <v>19</v>
      </c>
      <c r="F1542" s="16">
        <v>19</v>
      </c>
      <c r="G1542" s="13">
        <v>16353.5504370075</v>
      </c>
      <c r="H1542" s="13">
        <v>16353.5504370075</v>
      </c>
      <c r="I1542" s="14">
        <v>0</v>
      </c>
      <c r="J1542" s="15">
        <v>1</v>
      </c>
      <c r="K1542" s="14">
        <v>2524.5021029926288</v>
      </c>
      <c r="L1542" s="13">
        <v>41284572.469621457</v>
      </c>
      <c r="M1542" s="14">
        <v>4.3938663975485737</v>
      </c>
      <c r="N1542" s="14">
        <v>2476.6600429916416</v>
      </c>
      <c r="O1542" s="13">
        <v>40502184.928384975</v>
      </c>
      <c r="P1542" s="13">
        <v>782387.54123648256</v>
      </c>
      <c r="Q1542" s="14">
        <v>1.0193171687557074</v>
      </c>
      <c r="R1542" s="15">
        <v>1.931716875570743E-2</v>
      </c>
    </row>
    <row r="1543" spans="1:18" ht="18" customHeight="1">
      <c r="A1543" s="10" t="s">
        <v>59</v>
      </c>
      <c r="B1543" s="10" t="s">
        <v>60</v>
      </c>
      <c r="C1543" s="10" t="s">
        <v>254</v>
      </c>
      <c r="D1543" s="10" t="s">
        <v>262</v>
      </c>
      <c r="E1543" s="16">
        <v>2</v>
      </c>
      <c r="F1543" s="16">
        <v>2</v>
      </c>
      <c r="G1543" s="13">
        <v>2138.5535094835</v>
      </c>
      <c r="H1543" s="13">
        <v>2138.5535094835</v>
      </c>
      <c r="I1543" s="14">
        <v>0</v>
      </c>
      <c r="J1543" s="15">
        <v>1</v>
      </c>
      <c r="K1543" s="14">
        <v>346.91027614602052</v>
      </c>
      <c r="L1543" s="13">
        <v>741886.18852796231</v>
      </c>
      <c r="M1543" s="14">
        <v>3.4919076438249479</v>
      </c>
      <c r="N1543" s="14">
        <v>310.38994490391292</v>
      </c>
      <c r="O1543" s="13">
        <v>663785.50598265312</v>
      </c>
      <c r="P1543" s="13">
        <v>78100.682545309188</v>
      </c>
      <c r="Q1543" s="14">
        <v>1.1176595177830686</v>
      </c>
      <c r="R1543" s="15">
        <v>0.11765951778306864</v>
      </c>
    </row>
    <row r="1544" spans="1:18" ht="18" customHeight="1">
      <c r="A1544" s="10" t="s">
        <v>59</v>
      </c>
      <c r="B1544" s="10" t="s">
        <v>60</v>
      </c>
      <c r="C1544" s="10" t="s">
        <v>254</v>
      </c>
      <c r="D1544" s="10" t="s">
        <v>263</v>
      </c>
      <c r="E1544" s="16">
        <v>1</v>
      </c>
      <c r="F1544" s="16">
        <v>1</v>
      </c>
      <c r="G1544" s="13">
        <v>18.855167798299998</v>
      </c>
      <c r="H1544" s="13">
        <v>18.855167798299998</v>
      </c>
      <c r="I1544" s="14">
        <v>0</v>
      </c>
      <c r="J1544" s="15">
        <v>1</v>
      </c>
      <c r="K1544" s="14">
        <v>363.0780547701014</v>
      </c>
      <c r="L1544" s="13">
        <v>6845.8976465706191</v>
      </c>
      <c r="M1544" s="14">
        <v>3.56</v>
      </c>
      <c r="N1544" s="14">
        <v>363.0780547701014</v>
      </c>
      <c r="O1544" s="13">
        <v>6845.8976465706191</v>
      </c>
      <c r="P1544" s="13">
        <v>0</v>
      </c>
      <c r="Q1544" s="14">
        <v>1</v>
      </c>
      <c r="R1544" s="15">
        <v>0</v>
      </c>
    </row>
    <row r="1545" spans="1:18" ht="18" customHeight="1">
      <c r="A1545" s="10" t="s">
        <v>59</v>
      </c>
      <c r="B1545" s="10" t="s">
        <v>60</v>
      </c>
      <c r="C1545" s="10" t="s">
        <v>254</v>
      </c>
      <c r="D1545" s="10" t="s">
        <v>264</v>
      </c>
      <c r="E1545" s="16">
        <v>12</v>
      </c>
      <c r="F1545" s="16">
        <v>12</v>
      </c>
      <c r="G1545" s="13">
        <v>9182.0378805995006</v>
      </c>
      <c r="H1545" s="13">
        <v>9182.0378805995006</v>
      </c>
      <c r="I1545" s="14">
        <v>0</v>
      </c>
      <c r="J1545" s="15">
        <v>1</v>
      </c>
      <c r="K1545" s="14">
        <v>1617.7226695290813</v>
      </c>
      <c r="L1545" s="13">
        <v>14853990.831920572</v>
      </c>
      <c r="M1545" s="14">
        <v>4.168071004776464</v>
      </c>
      <c r="N1545" s="14">
        <v>1472.5532371666425</v>
      </c>
      <c r="O1545" s="13">
        <v>13521039.604863532</v>
      </c>
      <c r="P1545" s="13">
        <v>1332951.2270570397</v>
      </c>
      <c r="Q1545" s="14">
        <v>1.0985834866261006</v>
      </c>
      <c r="R1545" s="15">
        <v>9.8583486626100544E-2</v>
      </c>
    </row>
    <row r="1546" spans="1:18" ht="18" customHeight="1">
      <c r="A1546" s="10" t="s">
        <v>59</v>
      </c>
      <c r="B1546" s="10" t="s">
        <v>60</v>
      </c>
      <c r="C1546" s="10" t="s">
        <v>254</v>
      </c>
      <c r="D1546" s="10" t="s">
        <v>265</v>
      </c>
      <c r="E1546" s="16">
        <v>5</v>
      </c>
      <c r="F1546" s="16">
        <v>5</v>
      </c>
      <c r="G1546" s="13">
        <v>7123.3237058996001</v>
      </c>
      <c r="H1546" s="13">
        <v>7123.3237058996001</v>
      </c>
      <c r="I1546" s="14">
        <v>0</v>
      </c>
      <c r="J1546" s="15">
        <v>1</v>
      </c>
      <c r="K1546" s="14">
        <v>65.639615671095171</v>
      </c>
      <c r="L1546" s="13">
        <v>467572.23035605112</v>
      </c>
      <c r="M1546" s="14">
        <v>2.8077931079605873</v>
      </c>
      <c r="N1546" s="14">
        <v>64.238162246370649</v>
      </c>
      <c r="O1546" s="13">
        <v>457589.22395299678</v>
      </c>
      <c r="P1546" s="13">
        <v>9983.0064030543435</v>
      </c>
      <c r="Q1546" s="14">
        <v>1.0218165242546879</v>
      </c>
      <c r="R1546" s="15">
        <v>2.1816524254687848E-2</v>
      </c>
    </row>
    <row r="1547" spans="1:18" ht="18" customHeight="1">
      <c r="A1547" s="10" t="s">
        <v>59</v>
      </c>
      <c r="B1547" s="10" t="s">
        <v>60</v>
      </c>
      <c r="C1547" s="10" t="s">
        <v>254</v>
      </c>
      <c r="D1547" s="10" t="s">
        <v>266</v>
      </c>
      <c r="E1547" s="16">
        <v>6</v>
      </c>
      <c r="F1547" s="16">
        <v>6</v>
      </c>
      <c r="G1547" s="13">
        <v>249252.73014306981</v>
      </c>
      <c r="H1547" s="13">
        <v>249252.73014306981</v>
      </c>
      <c r="I1547" s="14">
        <v>0</v>
      </c>
      <c r="J1547" s="15">
        <v>1</v>
      </c>
      <c r="K1547" s="14">
        <v>1866.1886268447954</v>
      </c>
      <c r="L1547" s="13">
        <v>465152610.20301181</v>
      </c>
      <c r="M1547" s="14">
        <v>4.269077610388754</v>
      </c>
      <c r="N1547" s="14">
        <v>1858.1364828194592</v>
      </c>
      <c r="O1547" s="13">
        <v>463145591.32119155</v>
      </c>
      <c r="P1547" s="13">
        <v>2007018.8818202615</v>
      </c>
      <c r="Q1547" s="14">
        <v>1.004333451336749</v>
      </c>
      <c r="R1547" s="15">
        <v>4.3334513367490821E-3</v>
      </c>
    </row>
    <row r="1548" spans="1:18" ht="18" customHeight="1">
      <c r="A1548" s="10" t="s">
        <v>59</v>
      </c>
      <c r="B1548" s="10" t="s">
        <v>60</v>
      </c>
      <c r="C1548" s="10" t="s">
        <v>254</v>
      </c>
      <c r="D1548" s="10" t="s">
        <v>267</v>
      </c>
      <c r="E1548" s="16">
        <v>3</v>
      </c>
      <c r="F1548" s="16">
        <v>3</v>
      </c>
      <c r="G1548" s="13">
        <v>853.24656171679999</v>
      </c>
      <c r="H1548" s="13">
        <v>853.24656171679999</v>
      </c>
      <c r="I1548" s="14">
        <v>0</v>
      </c>
      <c r="J1548" s="15">
        <v>1</v>
      </c>
      <c r="K1548" s="14">
        <v>1416.9436410514988</v>
      </c>
      <c r="L1548" s="13">
        <v>1209002.289873675</v>
      </c>
      <c r="M1548" s="14">
        <v>4.1374913139009912</v>
      </c>
      <c r="N1548" s="14">
        <v>1372.4335114011903</v>
      </c>
      <c r="O1548" s="13">
        <v>1171024.1747879803</v>
      </c>
      <c r="P1548" s="13">
        <v>37978.115085694706</v>
      </c>
      <c r="Q1548" s="14">
        <v>1.0324315380530644</v>
      </c>
      <c r="R1548" s="15">
        <v>3.2431538053064389E-2</v>
      </c>
    </row>
    <row r="1549" spans="1:18" ht="18" customHeight="1">
      <c r="A1549" s="10" t="s">
        <v>59</v>
      </c>
      <c r="B1549" s="10" t="s">
        <v>60</v>
      </c>
      <c r="C1549" s="10" t="s">
        <v>254</v>
      </c>
      <c r="D1549" s="10" t="s">
        <v>268</v>
      </c>
      <c r="E1549" s="16">
        <v>15</v>
      </c>
      <c r="F1549" s="16">
        <v>15</v>
      </c>
      <c r="G1549" s="13">
        <v>93213.878797380312</v>
      </c>
      <c r="H1549" s="13">
        <v>93213.878797380312</v>
      </c>
      <c r="I1549" s="14">
        <v>0</v>
      </c>
      <c r="J1549" s="15">
        <v>1</v>
      </c>
      <c r="K1549" s="14">
        <v>453.59632508701117</v>
      </c>
      <c r="L1549" s="13">
        <v>42281472.869597778</v>
      </c>
      <c r="M1549" s="14">
        <v>3.5390021546344617</v>
      </c>
      <c r="N1549" s="14">
        <v>345.94109411491939</v>
      </c>
      <c r="O1549" s="13">
        <v>32246511.217861231</v>
      </c>
      <c r="P1549" s="13">
        <v>10034961.651736546</v>
      </c>
      <c r="Q1549" s="14">
        <v>1.3111952664875639</v>
      </c>
      <c r="R1549" s="15">
        <v>0.31119526648756396</v>
      </c>
    </row>
    <row r="1550" spans="1:18" ht="18" customHeight="1">
      <c r="A1550" s="10" t="s">
        <v>59</v>
      </c>
      <c r="B1550" s="10" t="s">
        <v>60</v>
      </c>
      <c r="C1550" s="10" t="s">
        <v>254</v>
      </c>
      <c r="D1550" s="10" t="s">
        <v>269</v>
      </c>
      <c r="E1550" s="16">
        <v>17</v>
      </c>
      <c r="F1550" s="16">
        <v>17</v>
      </c>
      <c r="G1550" s="13">
        <v>381974.96675881371</v>
      </c>
      <c r="H1550" s="13">
        <v>381974.96675881371</v>
      </c>
      <c r="I1550" s="14">
        <v>0</v>
      </c>
      <c r="J1550" s="15">
        <v>1</v>
      </c>
      <c r="K1550" s="14">
        <v>370.14548910047989</v>
      </c>
      <c r="L1550" s="13">
        <v>141386310.89508066</v>
      </c>
      <c r="M1550" s="14">
        <v>3.3711672426110519</v>
      </c>
      <c r="N1550" s="14">
        <v>235.053781599876</v>
      </c>
      <c r="O1550" s="13">
        <v>89784660.413146093</v>
      </c>
      <c r="P1550" s="13">
        <v>51601650.481934562</v>
      </c>
      <c r="Q1550" s="14">
        <v>1.5747267990377023</v>
      </c>
      <c r="R1550" s="15">
        <v>0.5747267990377023</v>
      </c>
    </row>
    <row r="1551" spans="1:18" ht="18" customHeight="1">
      <c r="A1551" s="10" t="s">
        <v>59</v>
      </c>
      <c r="B1551" s="10" t="s">
        <v>60</v>
      </c>
      <c r="C1551" s="10" t="s">
        <v>254</v>
      </c>
      <c r="D1551" s="10" t="s">
        <v>270</v>
      </c>
      <c r="E1551" s="16">
        <v>15</v>
      </c>
      <c r="F1551" s="16">
        <v>15</v>
      </c>
      <c r="G1551" s="13">
        <v>350738.0908934999</v>
      </c>
      <c r="H1551" s="13">
        <v>350738.0908934999</v>
      </c>
      <c r="I1551" s="14">
        <v>0</v>
      </c>
      <c r="J1551" s="15">
        <v>1</v>
      </c>
      <c r="K1551" s="14">
        <v>294.93476034184016</v>
      </c>
      <c r="L1551" s="13">
        <v>103444854.78042895</v>
      </c>
      <c r="M1551" s="14">
        <v>3.447106575540853</v>
      </c>
      <c r="N1551" s="14">
        <v>279.96682718409028</v>
      </c>
      <c r="O1551" s="13">
        <v>98195030.480058238</v>
      </c>
      <c r="P1551" s="13">
        <v>5249824.3003707081</v>
      </c>
      <c r="Q1551" s="14">
        <v>1.0534632381568114</v>
      </c>
      <c r="R1551" s="15">
        <v>5.34632381568114E-2</v>
      </c>
    </row>
    <row r="1552" spans="1:18" ht="18" customHeight="1">
      <c r="A1552" s="10" t="s">
        <v>59</v>
      </c>
      <c r="B1552" s="10" t="s">
        <v>60</v>
      </c>
      <c r="C1552" s="10" t="s">
        <v>254</v>
      </c>
      <c r="D1552" s="10" t="s">
        <v>276</v>
      </c>
      <c r="E1552" s="16">
        <v>7</v>
      </c>
      <c r="F1552" s="16">
        <v>7</v>
      </c>
      <c r="G1552" s="13">
        <v>5621.4383797608007</v>
      </c>
      <c r="H1552" s="13">
        <v>5621.4383797608007</v>
      </c>
      <c r="I1552" s="14">
        <v>0</v>
      </c>
      <c r="J1552" s="15">
        <v>1</v>
      </c>
      <c r="K1552" s="14">
        <v>820.1906800244335</v>
      </c>
      <c r="L1552" s="13">
        <v>4610651.3674114607</v>
      </c>
      <c r="M1552" s="14">
        <v>3.78497822915728</v>
      </c>
      <c r="N1552" s="14">
        <v>609.50634239807539</v>
      </c>
      <c r="O1552" s="13">
        <v>3426302.3458641688</v>
      </c>
      <c r="P1552" s="13">
        <v>1184349.0215472919</v>
      </c>
      <c r="Q1552" s="14">
        <v>1.3456638971096346</v>
      </c>
      <c r="R1552" s="15">
        <v>0.34566389710963463</v>
      </c>
    </row>
    <row r="1553" spans="1:18" ht="18" customHeight="1">
      <c r="A1553" s="10" t="s">
        <v>59</v>
      </c>
      <c r="B1553" s="10" t="s">
        <v>60</v>
      </c>
      <c r="C1553" s="10" t="s">
        <v>254</v>
      </c>
      <c r="D1553" s="10" t="s">
        <v>271</v>
      </c>
      <c r="E1553" s="16">
        <v>5</v>
      </c>
      <c r="F1553" s="16">
        <v>5</v>
      </c>
      <c r="G1553" s="13">
        <v>846.81269268159997</v>
      </c>
      <c r="H1553" s="13">
        <v>846.81269268159997</v>
      </c>
      <c r="I1553" s="14">
        <v>0</v>
      </c>
      <c r="J1553" s="15">
        <v>1</v>
      </c>
      <c r="K1553" s="14">
        <v>11.656947353860788</v>
      </c>
      <c r="L1553" s="13">
        <v>9871.2509771705063</v>
      </c>
      <c r="M1553" s="14">
        <v>2.0613490024584888</v>
      </c>
      <c r="N1553" s="14">
        <v>11.517255528650765</v>
      </c>
      <c r="O1553" s="13">
        <v>9752.958166518798</v>
      </c>
      <c r="P1553" s="13">
        <v>118.29281065170835</v>
      </c>
      <c r="Q1553" s="14">
        <v>1.0121289160306048</v>
      </c>
      <c r="R1553" s="15">
        <v>1.2128916030604852E-2</v>
      </c>
    </row>
    <row r="1554" spans="1:18" ht="18" customHeight="1">
      <c r="A1554" s="10" t="s">
        <v>59</v>
      </c>
      <c r="B1554" s="10" t="s">
        <v>60</v>
      </c>
      <c r="C1554" s="10" t="s">
        <v>254</v>
      </c>
      <c r="D1554" s="10" t="s">
        <v>272</v>
      </c>
      <c r="E1554" s="16">
        <v>4</v>
      </c>
      <c r="F1554" s="16">
        <v>4</v>
      </c>
      <c r="G1554" s="13">
        <v>1450.1756482613</v>
      </c>
      <c r="H1554" s="13">
        <v>1450.1756482613</v>
      </c>
      <c r="I1554" s="14">
        <v>0</v>
      </c>
      <c r="J1554" s="15">
        <v>1</v>
      </c>
      <c r="K1554" s="14">
        <v>534.67766142619234</v>
      </c>
      <c r="L1554" s="13">
        <v>775376.52426956443</v>
      </c>
      <c r="M1554" s="14">
        <v>3.6819774063446302</v>
      </c>
      <c r="N1554" s="14">
        <v>480.81433400355564</v>
      </c>
      <c r="O1554" s="13">
        <v>697265.23850693158</v>
      </c>
      <c r="P1554" s="13">
        <v>78111.285762632848</v>
      </c>
      <c r="Q1554" s="14">
        <v>1.1120252114244131</v>
      </c>
      <c r="R1554" s="15">
        <v>0.11202521142441312</v>
      </c>
    </row>
    <row r="1555" spans="1:18" ht="18" customHeight="1">
      <c r="A1555" s="10" t="s">
        <v>59</v>
      </c>
      <c r="B1555" s="10" t="s">
        <v>60</v>
      </c>
      <c r="C1555" s="10" t="s">
        <v>254</v>
      </c>
      <c r="D1555" s="10" t="s">
        <v>278</v>
      </c>
      <c r="E1555" s="16">
        <v>3</v>
      </c>
      <c r="F1555" s="16">
        <v>3</v>
      </c>
      <c r="G1555" s="13">
        <v>4189.9208285840996</v>
      </c>
      <c r="H1555" s="13">
        <v>4189.9208285840996</v>
      </c>
      <c r="I1555" s="14">
        <v>0</v>
      </c>
      <c r="J1555" s="15">
        <v>1</v>
      </c>
      <c r="K1555" s="14">
        <v>400.62488660866381</v>
      </c>
      <c r="L1555" s="13">
        <v>1678586.5568507835</v>
      </c>
      <c r="M1555" s="14">
        <v>3.4204271867462954</v>
      </c>
      <c r="N1555" s="14">
        <v>263.28564853407124</v>
      </c>
      <c r="O1555" s="13">
        <v>1103146.0226601779</v>
      </c>
      <c r="P1555" s="13">
        <v>575440.53419060563</v>
      </c>
      <c r="Q1555" s="14">
        <v>1.5216358690239045</v>
      </c>
      <c r="R1555" s="15">
        <v>0.52163586902390435</v>
      </c>
    </row>
    <row r="1556" spans="1:18" ht="18" customHeight="1">
      <c r="A1556" s="10" t="s">
        <v>59</v>
      </c>
      <c r="B1556" s="10" t="s">
        <v>60</v>
      </c>
      <c r="C1556" s="10" t="s">
        <v>254</v>
      </c>
      <c r="D1556" s="10" t="s">
        <v>273</v>
      </c>
      <c r="E1556" s="16">
        <v>6</v>
      </c>
      <c r="F1556" s="16">
        <v>6</v>
      </c>
      <c r="G1556" s="13">
        <v>379866.94252371602</v>
      </c>
      <c r="H1556" s="13">
        <v>379866.94252371602</v>
      </c>
      <c r="I1556" s="14">
        <v>0</v>
      </c>
      <c r="J1556" s="15">
        <v>1</v>
      </c>
      <c r="K1556" s="14">
        <v>96.077392835439937</v>
      </c>
      <c r="L1556" s="13">
        <v>36496625.462048545</v>
      </c>
      <c r="M1556" s="14">
        <v>2.9379233705069385</v>
      </c>
      <c r="N1556" s="14">
        <v>86.680891735999509</v>
      </c>
      <c r="O1556" s="13">
        <v>32927205.318983376</v>
      </c>
      <c r="P1556" s="13">
        <v>3569420.1430651695</v>
      </c>
      <c r="Q1556" s="14">
        <v>1.1084033736992343</v>
      </c>
      <c r="R1556" s="15">
        <v>0.10840337369923428</v>
      </c>
    </row>
    <row r="1557" spans="1:18" ht="18" customHeight="1">
      <c r="A1557" s="10" t="s">
        <v>59</v>
      </c>
      <c r="B1557" s="10" t="s">
        <v>60</v>
      </c>
      <c r="C1557" s="10" t="s">
        <v>254</v>
      </c>
      <c r="D1557" s="10" t="s">
        <v>274</v>
      </c>
      <c r="E1557" s="16">
        <v>4</v>
      </c>
      <c r="F1557" s="16">
        <v>4</v>
      </c>
      <c r="G1557" s="13">
        <v>15813.752201610101</v>
      </c>
      <c r="H1557" s="13">
        <v>15813.752201610101</v>
      </c>
      <c r="I1557" s="14">
        <v>0</v>
      </c>
      <c r="J1557" s="15">
        <v>1</v>
      </c>
      <c r="K1557" s="14">
        <v>342.97144583904691</v>
      </c>
      <c r="L1557" s="13">
        <v>5423665.4567266274</v>
      </c>
      <c r="M1557" s="14">
        <v>3.524049162648808</v>
      </c>
      <c r="N1557" s="14">
        <v>334.23287344110969</v>
      </c>
      <c r="O1557" s="13">
        <v>5285475.8382298183</v>
      </c>
      <c r="P1557" s="13">
        <v>138189.61849680915</v>
      </c>
      <c r="Q1557" s="14">
        <v>1.0261451613300896</v>
      </c>
      <c r="R1557" s="15">
        <v>2.6145161330089598E-2</v>
      </c>
    </row>
    <row r="1558" spans="1:18" ht="18" customHeight="1">
      <c r="A1558" s="10" t="s">
        <v>59</v>
      </c>
      <c r="B1558" s="10" t="s">
        <v>60</v>
      </c>
      <c r="C1558" s="10" t="s">
        <v>254</v>
      </c>
      <c r="D1558" s="10" t="s">
        <v>282</v>
      </c>
      <c r="E1558" s="16">
        <v>2</v>
      </c>
      <c r="F1558" s="16">
        <v>2</v>
      </c>
      <c r="G1558" s="13">
        <v>3294.4137463604002</v>
      </c>
      <c r="H1558" s="13">
        <v>3294.4137463604002</v>
      </c>
      <c r="I1558" s="14">
        <v>0</v>
      </c>
      <c r="J1558" s="15">
        <v>1</v>
      </c>
      <c r="K1558" s="14">
        <v>551.44511960898831</v>
      </c>
      <c r="L1558" s="13">
        <v>1816688.3824032061</v>
      </c>
      <c r="M1558" s="14">
        <v>3.7202871381638705</v>
      </c>
      <c r="N1558" s="14">
        <v>525.15455670996698</v>
      </c>
      <c r="O1558" s="13">
        <v>1730076.3905891175</v>
      </c>
      <c r="P1558" s="13">
        <v>86611.991814088542</v>
      </c>
      <c r="Q1558" s="14">
        <v>1.0500625245712971</v>
      </c>
      <c r="R1558" s="15">
        <v>5.0062524571297014E-2</v>
      </c>
    </row>
    <row r="1559" spans="1:18" ht="18" customHeight="1">
      <c r="A1559" s="10" t="s">
        <v>91</v>
      </c>
      <c r="B1559" s="10" t="s">
        <v>92</v>
      </c>
      <c r="C1559" s="10" t="s">
        <v>254</v>
      </c>
      <c r="D1559" s="10" t="s">
        <v>255</v>
      </c>
      <c r="E1559" s="16">
        <v>9</v>
      </c>
      <c r="F1559" s="16">
        <v>9</v>
      </c>
      <c r="G1559" s="13">
        <v>19818.143951947401</v>
      </c>
      <c r="H1559" s="13">
        <v>19818.143951947401</v>
      </c>
      <c r="I1559" s="14">
        <v>0</v>
      </c>
      <c r="J1559" s="15">
        <v>1</v>
      </c>
      <c r="K1559" s="14">
        <v>706.6607431947549</v>
      </c>
      <c r="L1559" s="13">
        <v>14004704.333823787</v>
      </c>
      <c r="M1559" s="14">
        <v>3.8399361568910306</v>
      </c>
      <c r="N1559" s="14">
        <v>691.72927634169321</v>
      </c>
      <c r="O1559" s="13">
        <v>13708790.37431608</v>
      </c>
      <c r="P1559" s="13">
        <v>295913.95950770751</v>
      </c>
      <c r="Q1559" s="14">
        <v>1.0215857089814513</v>
      </c>
      <c r="R1559" s="15">
        <v>2.1585708981451283E-2</v>
      </c>
    </row>
    <row r="1560" spans="1:18" ht="18" customHeight="1">
      <c r="A1560" s="10" t="s">
        <v>91</v>
      </c>
      <c r="B1560" s="10" t="s">
        <v>92</v>
      </c>
      <c r="C1560" s="10" t="s">
        <v>254</v>
      </c>
      <c r="D1560" s="10" t="s">
        <v>277</v>
      </c>
      <c r="E1560" s="16">
        <v>1</v>
      </c>
      <c r="F1560" s="16">
        <v>1</v>
      </c>
      <c r="G1560" s="13">
        <v>121.26942356329999</v>
      </c>
      <c r="H1560" s="13">
        <v>121.26942356329999</v>
      </c>
      <c r="I1560" s="14">
        <v>0</v>
      </c>
      <c r="J1560" s="15">
        <v>1</v>
      </c>
      <c r="K1560" s="14">
        <v>31.622776601683793</v>
      </c>
      <c r="L1560" s="13">
        <v>3834.8758899572044</v>
      </c>
      <c r="M1560" s="14">
        <v>2.5000000000000004</v>
      </c>
      <c r="N1560" s="14">
        <v>31.622776601683825</v>
      </c>
      <c r="O1560" s="13">
        <v>3834.8758899572081</v>
      </c>
      <c r="P1560" s="13">
        <v>-3.637978807091713E-12</v>
      </c>
      <c r="Q1560" s="14">
        <v>0.999999999999999</v>
      </c>
      <c r="R1560" s="15">
        <v>-9.4865620465550662E-16</v>
      </c>
    </row>
    <row r="1561" spans="1:18" ht="18" customHeight="1">
      <c r="A1561" s="10" t="s">
        <v>91</v>
      </c>
      <c r="B1561" s="10" t="s">
        <v>92</v>
      </c>
      <c r="C1561" s="10" t="s">
        <v>254</v>
      </c>
      <c r="D1561" s="10" t="s">
        <v>256</v>
      </c>
      <c r="E1561" s="16">
        <v>6</v>
      </c>
      <c r="F1561" s="16">
        <v>6</v>
      </c>
      <c r="G1561" s="13">
        <v>4502.962833653999</v>
      </c>
      <c r="H1561" s="13">
        <v>4502.962833653999</v>
      </c>
      <c r="I1561" s="14">
        <v>0</v>
      </c>
      <c r="J1561" s="15">
        <v>1</v>
      </c>
      <c r="K1561" s="14">
        <v>2235.0333241054927</v>
      </c>
      <c r="L1561" s="13">
        <v>10064271.990425186</v>
      </c>
      <c r="M1561" s="14">
        <v>4.2748543697235606</v>
      </c>
      <c r="N1561" s="14">
        <v>1883.0175586703406</v>
      </c>
      <c r="O1561" s="13">
        <v>8479158.0818104316</v>
      </c>
      <c r="P1561" s="13">
        <v>1585113.9086147547</v>
      </c>
      <c r="Q1561" s="14">
        <v>1.1869423701411059</v>
      </c>
      <c r="R1561" s="15">
        <v>0.18694237014110585</v>
      </c>
    </row>
    <row r="1562" spans="1:18" ht="18" customHeight="1">
      <c r="A1562" s="10" t="s">
        <v>91</v>
      </c>
      <c r="B1562" s="10" t="s">
        <v>92</v>
      </c>
      <c r="C1562" s="10" t="s">
        <v>254</v>
      </c>
      <c r="D1562" s="10" t="s">
        <v>258</v>
      </c>
      <c r="E1562" s="16">
        <v>12</v>
      </c>
      <c r="F1562" s="16">
        <v>12</v>
      </c>
      <c r="G1562" s="13">
        <v>10356.634014197301</v>
      </c>
      <c r="H1562" s="13">
        <v>10356.634014197301</v>
      </c>
      <c r="I1562" s="14">
        <v>0</v>
      </c>
      <c r="J1562" s="15">
        <v>1</v>
      </c>
      <c r="K1562" s="14">
        <v>1028.9367746634875</v>
      </c>
      <c r="L1562" s="13">
        <v>10656321.59893834</v>
      </c>
      <c r="M1562" s="14">
        <v>3.9349698677200671</v>
      </c>
      <c r="N1562" s="14">
        <v>860.934016669073</v>
      </c>
      <c r="O1562" s="13">
        <v>8916378.5210144278</v>
      </c>
      <c r="P1562" s="13">
        <v>1739943.0779239126</v>
      </c>
      <c r="Q1562" s="14">
        <v>1.1951401091623863</v>
      </c>
      <c r="R1562" s="15">
        <v>0.19514010916238636</v>
      </c>
    </row>
    <row r="1563" spans="1:18" ht="18" customHeight="1">
      <c r="A1563" s="10" t="s">
        <v>91</v>
      </c>
      <c r="B1563" s="10" t="s">
        <v>92</v>
      </c>
      <c r="C1563" s="10" t="s">
        <v>254</v>
      </c>
      <c r="D1563" s="10" t="s">
        <v>259</v>
      </c>
      <c r="E1563" s="16">
        <v>5</v>
      </c>
      <c r="F1563" s="16">
        <v>5</v>
      </c>
      <c r="G1563" s="13">
        <v>149.43283085909999</v>
      </c>
      <c r="H1563" s="13">
        <v>149.43283085909999</v>
      </c>
      <c r="I1563" s="14">
        <v>0</v>
      </c>
      <c r="J1563" s="15">
        <v>1</v>
      </c>
      <c r="K1563" s="14">
        <v>1004.0250956220374</v>
      </c>
      <c r="L1563" s="13">
        <v>150034.31229237962</v>
      </c>
      <c r="M1563" s="14">
        <v>3.9712777190007058</v>
      </c>
      <c r="N1563" s="14">
        <v>936.00403083538117</v>
      </c>
      <c r="O1563" s="13">
        <v>139869.73202325933</v>
      </c>
      <c r="P1563" s="13">
        <v>10164.580269120284</v>
      </c>
      <c r="Q1563" s="14">
        <v>1.0726717648063413</v>
      </c>
      <c r="R1563" s="15">
        <v>7.2671764806341285E-2</v>
      </c>
    </row>
    <row r="1564" spans="1:18" ht="18" customHeight="1">
      <c r="A1564" s="10" t="s">
        <v>91</v>
      </c>
      <c r="B1564" s="10" t="s">
        <v>92</v>
      </c>
      <c r="C1564" s="10" t="s">
        <v>254</v>
      </c>
      <c r="D1564" s="10" t="s">
        <v>261</v>
      </c>
      <c r="E1564" s="16">
        <v>29</v>
      </c>
      <c r="F1564" s="16">
        <v>29</v>
      </c>
      <c r="G1564" s="13">
        <v>38370.089200314796</v>
      </c>
      <c r="H1564" s="13">
        <v>38370.089200314796</v>
      </c>
      <c r="I1564" s="14">
        <v>0</v>
      </c>
      <c r="J1564" s="15">
        <v>1</v>
      </c>
      <c r="K1564" s="14">
        <v>2814.5632644519123</v>
      </c>
      <c r="L1564" s="13">
        <v>107995043.51694909</v>
      </c>
      <c r="M1564" s="14">
        <v>4.4430789774870698</v>
      </c>
      <c r="N1564" s="14">
        <v>2773.8244853856309</v>
      </c>
      <c r="O1564" s="13">
        <v>106431892.93026394</v>
      </c>
      <c r="P1564" s="13">
        <v>1563150.5866851509</v>
      </c>
      <c r="Q1564" s="14">
        <v>1.0146868625902328</v>
      </c>
      <c r="R1564" s="15">
        <v>1.468686259023275E-2</v>
      </c>
    </row>
    <row r="1565" spans="1:18" ht="18" customHeight="1">
      <c r="A1565" s="10" t="s">
        <v>91</v>
      </c>
      <c r="B1565" s="10" t="s">
        <v>92</v>
      </c>
      <c r="C1565" s="10" t="s">
        <v>254</v>
      </c>
      <c r="D1565" s="10" t="s">
        <v>262</v>
      </c>
      <c r="E1565" s="16">
        <v>4</v>
      </c>
      <c r="F1565" s="16">
        <v>4</v>
      </c>
      <c r="G1565" s="13">
        <v>178.80871565319998</v>
      </c>
      <c r="H1565" s="13">
        <v>178.80871565319998</v>
      </c>
      <c r="I1565" s="14">
        <v>0</v>
      </c>
      <c r="J1565" s="15">
        <v>1</v>
      </c>
      <c r="K1565" s="14">
        <v>516.50579906817325</v>
      </c>
      <c r="L1565" s="13">
        <v>92355.738558809826</v>
      </c>
      <c r="M1565" s="14">
        <v>3.7120160986063082</v>
      </c>
      <c r="N1565" s="14">
        <v>515.24774364284667</v>
      </c>
      <c r="O1565" s="13">
        <v>92130.787283986647</v>
      </c>
      <c r="P1565" s="13">
        <v>224.95127482317912</v>
      </c>
      <c r="Q1565" s="14">
        <v>1.0024416514984267</v>
      </c>
      <c r="R1565" s="15">
        <v>2.441651498426717E-3</v>
      </c>
    </row>
    <row r="1566" spans="1:18" ht="18" customHeight="1">
      <c r="A1566" s="10" t="s">
        <v>91</v>
      </c>
      <c r="B1566" s="10" t="s">
        <v>92</v>
      </c>
      <c r="C1566" s="10" t="s">
        <v>254</v>
      </c>
      <c r="D1566" s="10" t="s">
        <v>263</v>
      </c>
      <c r="E1566" s="16">
        <v>10</v>
      </c>
      <c r="F1566" s="16">
        <v>10</v>
      </c>
      <c r="G1566" s="13">
        <v>742.62010864190006</v>
      </c>
      <c r="H1566" s="13">
        <v>742.62010864190006</v>
      </c>
      <c r="I1566" s="14">
        <v>0</v>
      </c>
      <c r="J1566" s="15">
        <v>1</v>
      </c>
      <c r="K1566" s="14">
        <v>636.58690658928583</v>
      </c>
      <c r="L1566" s="13">
        <v>472742.23773134657</v>
      </c>
      <c r="M1566" s="14">
        <v>3.6384527242710596</v>
      </c>
      <c r="N1566" s="14">
        <v>434.96340950752386</v>
      </c>
      <c r="O1566" s="13">
        <v>323012.57442372863</v>
      </c>
      <c r="P1566" s="13">
        <v>149729.66330761794</v>
      </c>
      <c r="Q1566" s="14">
        <v>1.4635412834151844</v>
      </c>
      <c r="R1566" s="15">
        <v>0.46354128341518441</v>
      </c>
    </row>
    <row r="1567" spans="1:18" ht="18" customHeight="1">
      <c r="A1567" s="10" t="s">
        <v>91</v>
      </c>
      <c r="B1567" s="10" t="s">
        <v>92</v>
      </c>
      <c r="C1567" s="10" t="s">
        <v>254</v>
      </c>
      <c r="D1567" s="10" t="s">
        <v>264</v>
      </c>
      <c r="E1567" s="16">
        <v>28</v>
      </c>
      <c r="F1567" s="16">
        <v>28</v>
      </c>
      <c r="G1567" s="13">
        <v>16289.661612253502</v>
      </c>
      <c r="H1567" s="13">
        <v>16289.661612253502</v>
      </c>
      <c r="I1567" s="14">
        <v>0</v>
      </c>
      <c r="J1567" s="15">
        <v>1</v>
      </c>
      <c r="K1567" s="14">
        <v>1517.168706045162</v>
      </c>
      <c r="L1567" s="13">
        <v>24714164.830176193</v>
      </c>
      <c r="M1567" s="14">
        <v>4.1477519579067463</v>
      </c>
      <c r="N1567" s="14">
        <v>1405.2447062037588</v>
      </c>
      <c r="O1567" s="13">
        <v>22890960.746469822</v>
      </c>
      <c r="P1567" s="13">
        <v>1823204.0837063715</v>
      </c>
      <c r="Q1567" s="14">
        <v>1.0796473378247149</v>
      </c>
      <c r="R1567" s="15">
        <v>7.9647337824714975E-2</v>
      </c>
    </row>
    <row r="1568" spans="1:18" ht="18" customHeight="1">
      <c r="A1568" s="10" t="s">
        <v>91</v>
      </c>
      <c r="B1568" s="10" t="s">
        <v>92</v>
      </c>
      <c r="C1568" s="10" t="s">
        <v>254</v>
      </c>
      <c r="D1568" s="10" t="s">
        <v>265</v>
      </c>
      <c r="E1568" s="16">
        <v>12</v>
      </c>
      <c r="F1568" s="16">
        <v>12</v>
      </c>
      <c r="G1568" s="13">
        <v>15246.246196298402</v>
      </c>
      <c r="H1568" s="13">
        <v>15246.246196298402</v>
      </c>
      <c r="I1568" s="14">
        <v>0</v>
      </c>
      <c r="J1568" s="15">
        <v>1</v>
      </c>
      <c r="K1568" s="14">
        <v>203.97566111000879</v>
      </c>
      <c r="L1568" s="13">
        <v>3109863.1473359233</v>
      </c>
      <c r="M1568" s="14">
        <v>3.1304588427910192</v>
      </c>
      <c r="N1568" s="14">
        <v>135.03888481731707</v>
      </c>
      <c r="O1568" s="13">
        <v>2058836.0839983984</v>
      </c>
      <c r="P1568" s="13">
        <v>1051027.0633375249</v>
      </c>
      <c r="Q1568" s="14">
        <v>1.5104957463618762</v>
      </c>
      <c r="R1568" s="15">
        <v>0.51049574636187622</v>
      </c>
    </row>
    <row r="1569" spans="1:18" ht="18" customHeight="1">
      <c r="A1569" s="10" t="s">
        <v>91</v>
      </c>
      <c r="B1569" s="10" t="s">
        <v>92</v>
      </c>
      <c r="C1569" s="10" t="s">
        <v>254</v>
      </c>
      <c r="D1569" s="10" t="s">
        <v>266</v>
      </c>
      <c r="E1569" s="16">
        <v>4</v>
      </c>
      <c r="F1569" s="16">
        <v>4</v>
      </c>
      <c r="G1569" s="13">
        <v>55314.830633159501</v>
      </c>
      <c r="H1569" s="13">
        <v>55314.830633159501</v>
      </c>
      <c r="I1569" s="14">
        <v>0</v>
      </c>
      <c r="J1569" s="15">
        <v>1</v>
      </c>
      <c r="K1569" s="14">
        <v>1878.0879408431069</v>
      </c>
      <c r="L1569" s="13">
        <v>103886116.36191574</v>
      </c>
      <c r="M1569" s="14">
        <v>4.2699886692058691</v>
      </c>
      <c r="N1569" s="14">
        <v>1862.0385552241335</v>
      </c>
      <c r="O1569" s="13">
        <v>102998347.31463596</v>
      </c>
      <c r="P1569" s="13">
        <v>887769.04727977514</v>
      </c>
      <c r="Q1569" s="14">
        <v>1.0086192552640465</v>
      </c>
      <c r="R1569" s="15">
        <v>8.6192552640465912E-3</v>
      </c>
    </row>
    <row r="1570" spans="1:18" ht="18" customHeight="1">
      <c r="A1570" s="10" t="s">
        <v>91</v>
      </c>
      <c r="B1570" s="10" t="s">
        <v>92</v>
      </c>
      <c r="C1570" s="10" t="s">
        <v>254</v>
      </c>
      <c r="D1570" s="10" t="s">
        <v>267</v>
      </c>
      <c r="E1570" s="16">
        <v>3</v>
      </c>
      <c r="F1570" s="16">
        <v>3</v>
      </c>
      <c r="G1570" s="13">
        <v>724.58150982159998</v>
      </c>
      <c r="H1570" s="13">
        <v>724.58150982159998</v>
      </c>
      <c r="I1570" s="14">
        <v>0</v>
      </c>
      <c r="J1570" s="15">
        <v>1</v>
      </c>
      <c r="K1570" s="14">
        <v>1163.9838175343323</v>
      </c>
      <c r="L1570" s="13">
        <v>843401.15191693627</v>
      </c>
      <c r="M1570" s="14">
        <v>4.0577374077492134</v>
      </c>
      <c r="N1570" s="14">
        <v>1142.1875125588049</v>
      </c>
      <c r="O1570" s="13">
        <v>827607.95234923658</v>
      </c>
      <c r="P1570" s="13">
        <v>15793.199567699688</v>
      </c>
      <c r="Q1570" s="14">
        <v>1.0190829480587631</v>
      </c>
      <c r="R1570" s="15">
        <v>1.9082948058763004E-2</v>
      </c>
    </row>
    <row r="1571" spans="1:18" ht="18" customHeight="1">
      <c r="A1571" s="10" t="s">
        <v>91</v>
      </c>
      <c r="B1571" s="10" t="s">
        <v>92</v>
      </c>
      <c r="C1571" s="10" t="s">
        <v>254</v>
      </c>
      <c r="D1571" s="10" t="s">
        <v>268</v>
      </c>
      <c r="E1571" s="16">
        <v>8</v>
      </c>
      <c r="F1571" s="16">
        <v>8</v>
      </c>
      <c r="G1571" s="13">
        <v>6399.1753685813992</v>
      </c>
      <c r="H1571" s="13">
        <v>6399.1753685813992</v>
      </c>
      <c r="I1571" s="14">
        <v>0</v>
      </c>
      <c r="J1571" s="15">
        <v>1</v>
      </c>
      <c r="K1571" s="14">
        <v>245.17341661556713</v>
      </c>
      <c r="L1571" s="13">
        <v>1568907.6886372827</v>
      </c>
      <c r="M1571" s="14">
        <v>3.3560050331309461</v>
      </c>
      <c r="N1571" s="14">
        <v>226.98911579818878</v>
      </c>
      <c r="O1571" s="13">
        <v>1452543.1587518405</v>
      </c>
      <c r="P1571" s="13">
        <v>116364.52988544223</v>
      </c>
      <c r="Q1571" s="14">
        <v>1.0801108932180945</v>
      </c>
      <c r="R1571" s="15">
        <v>8.0110893218094392E-2</v>
      </c>
    </row>
    <row r="1572" spans="1:18" ht="18" customHeight="1">
      <c r="A1572" s="10" t="s">
        <v>91</v>
      </c>
      <c r="B1572" s="10" t="s">
        <v>92</v>
      </c>
      <c r="C1572" s="10" t="s">
        <v>254</v>
      </c>
      <c r="D1572" s="10" t="s">
        <v>269</v>
      </c>
      <c r="E1572" s="16">
        <v>28</v>
      </c>
      <c r="F1572" s="16">
        <v>28</v>
      </c>
      <c r="G1572" s="13">
        <v>162985.04615878069</v>
      </c>
      <c r="H1572" s="13">
        <v>162985.04615878069</v>
      </c>
      <c r="I1572" s="14">
        <v>0</v>
      </c>
      <c r="J1572" s="15">
        <v>1</v>
      </c>
      <c r="K1572" s="14">
        <v>304.73311160005744</v>
      </c>
      <c r="L1572" s="13">
        <v>49666940.260244228</v>
      </c>
      <c r="M1572" s="14">
        <v>3.3827796396216523</v>
      </c>
      <c r="N1572" s="14">
        <v>241.42355440684932</v>
      </c>
      <c r="O1572" s="13">
        <v>39348429.158817239</v>
      </c>
      <c r="P1572" s="13">
        <v>10318511.101426989</v>
      </c>
      <c r="Q1572" s="14">
        <v>1.2622343844980355</v>
      </c>
      <c r="R1572" s="15">
        <v>0.26223438449803543</v>
      </c>
    </row>
    <row r="1573" spans="1:18" ht="18" customHeight="1">
      <c r="A1573" s="10" t="s">
        <v>91</v>
      </c>
      <c r="B1573" s="10" t="s">
        <v>92</v>
      </c>
      <c r="C1573" s="10" t="s">
        <v>254</v>
      </c>
      <c r="D1573" s="10" t="s">
        <v>270</v>
      </c>
      <c r="E1573" s="16">
        <v>13</v>
      </c>
      <c r="F1573" s="16">
        <v>13</v>
      </c>
      <c r="G1573" s="13">
        <v>92791.038564271585</v>
      </c>
      <c r="H1573" s="13">
        <v>92791.038564271585</v>
      </c>
      <c r="I1573" s="14">
        <v>0</v>
      </c>
      <c r="J1573" s="15">
        <v>1</v>
      </c>
      <c r="K1573" s="14">
        <v>1006.4932948558023</v>
      </c>
      <c r="L1573" s="13">
        <v>93393558.137645528</v>
      </c>
      <c r="M1573" s="14">
        <v>3.7712248643220487</v>
      </c>
      <c r="N1573" s="14">
        <v>590.50674725982822</v>
      </c>
      <c r="O1573" s="13">
        <v>54793734.357449293</v>
      </c>
      <c r="P1573" s="13">
        <v>38599823.780196235</v>
      </c>
      <c r="Q1573" s="14">
        <v>1.7044568915195415</v>
      </c>
      <c r="R1573" s="15">
        <v>0.70445689151954161</v>
      </c>
    </row>
    <row r="1574" spans="1:18" ht="18" customHeight="1">
      <c r="A1574" s="10" t="s">
        <v>91</v>
      </c>
      <c r="B1574" s="10" t="s">
        <v>92</v>
      </c>
      <c r="C1574" s="10" t="s">
        <v>254</v>
      </c>
      <c r="D1574" s="10" t="s">
        <v>276</v>
      </c>
      <c r="E1574" s="16">
        <v>46</v>
      </c>
      <c r="F1574" s="16">
        <v>46</v>
      </c>
      <c r="G1574" s="13">
        <v>61575.392730441105</v>
      </c>
      <c r="H1574" s="13">
        <v>61575.392730441105</v>
      </c>
      <c r="I1574" s="14">
        <v>0</v>
      </c>
      <c r="J1574" s="15">
        <v>1</v>
      </c>
      <c r="K1574" s="14">
        <v>405.77187941732399</v>
      </c>
      <c r="L1574" s="13">
        <v>24985562.834090915</v>
      </c>
      <c r="M1574" s="14">
        <v>3.1266511083899973</v>
      </c>
      <c r="N1574" s="14">
        <v>133.86008868302579</v>
      </c>
      <c r="O1574" s="13">
        <v>8242487.5315889884</v>
      </c>
      <c r="P1574" s="13">
        <v>16743075.302501926</v>
      </c>
      <c r="Q1574" s="14">
        <v>3.0313133915380268</v>
      </c>
      <c r="R1574" s="15">
        <v>2.0313133915380268</v>
      </c>
    </row>
    <row r="1575" spans="1:18" ht="18" customHeight="1">
      <c r="A1575" s="10" t="s">
        <v>91</v>
      </c>
      <c r="B1575" s="10" t="s">
        <v>92</v>
      </c>
      <c r="C1575" s="10" t="s">
        <v>254</v>
      </c>
      <c r="D1575" s="10" t="s">
        <v>271</v>
      </c>
      <c r="E1575" s="16">
        <v>7</v>
      </c>
      <c r="F1575" s="16">
        <v>7</v>
      </c>
      <c r="G1575" s="13">
        <v>19742.939315847005</v>
      </c>
      <c r="H1575" s="13">
        <v>19742.939315847005</v>
      </c>
      <c r="I1575" s="14">
        <v>0</v>
      </c>
      <c r="J1575" s="15">
        <v>1</v>
      </c>
      <c r="K1575" s="14">
        <v>24.429298161252245</v>
      </c>
      <c r="L1575" s="13">
        <v>482306.1511263359</v>
      </c>
      <c r="M1575" s="14">
        <v>2.3677875668177322</v>
      </c>
      <c r="N1575" s="14">
        <v>23.32316940929919</v>
      </c>
      <c r="O1575" s="13">
        <v>460467.91830101312</v>
      </c>
      <c r="P1575" s="13">
        <v>21838.232825322775</v>
      </c>
      <c r="Q1575" s="14">
        <v>1.0474261766289805</v>
      </c>
      <c r="R1575" s="15">
        <v>4.7426176628980424E-2</v>
      </c>
    </row>
    <row r="1576" spans="1:18" ht="18" customHeight="1">
      <c r="A1576" s="10" t="s">
        <v>91</v>
      </c>
      <c r="B1576" s="10" t="s">
        <v>92</v>
      </c>
      <c r="C1576" s="10" t="s">
        <v>254</v>
      </c>
      <c r="D1576" s="10" t="s">
        <v>272</v>
      </c>
      <c r="E1576" s="16">
        <v>7</v>
      </c>
      <c r="F1576" s="16">
        <v>7</v>
      </c>
      <c r="G1576" s="13">
        <v>28333.471446609699</v>
      </c>
      <c r="H1576" s="13">
        <v>28333.471446609699</v>
      </c>
      <c r="I1576" s="14">
        <v>0</v>
      </c>
      <c r="J1576" s="15">
        <v>1</v>
      </c>
      <c r="K1576" s="14">
        <v>108.1739165052583</v>
      </c>
      <c r="L1576" s="13">
        <v>3064942.5745696779</v>
      </c>
      <c r="M1576" s="14">
        <v>2.8926193417064372</v>
      </c>
      <c r="N1576" s="14">
        <v>78.094300944776577</v>
      </c>
      <c r="O1576" s="13">
        <v>2212682.6459617722</v>
      </c>
      <c r="P1576" s="13">
        <v>852259.92860790575</v>
      </c>
      <c r="Q1576" s="14">
        <v>1.3851704310888466</v>
      </c>
      <c r="R1576" s="15">
        <v>0.38517043108884669</v>
      </c>
    </row>
    <row r="1577" spans="1:18" ht="18" customHeight="1">
      <c r="A1577" s="10" t="s">
        <v>91</v>
      </c>
      <c r="B1577" s="10" t="s">
        <v>92</v>
      </c>
      <c r="C1577" s="10" t="s">
        <v>254</v>
      </c>
      <c r="D1577" s="10" t="s">
        <v>283</v>
      </c>
      <c r="E1577" s="16">
        <v>4</v>
      </c>
      <c r="F1577" s="16">
        <v>4</v>
      </c>
      <c r="G1577" s="13">
        <v>5675.7785591564007</v>
      </c>
      <c r="H1577" s="13">
        <v>5675.7785591564007</v>
      </c>
      <c r="I1577" s="14">
        <v>0</v>
      </c>
      <c r="J1577" s="15">
        <v>1</v>
      </c>
      <c r="K1577" s="14">
        <v>106.82095398617111</v>
      </c>
      <c r="L1577" s="13">
        <v>606292.08030334243</v>
      </c>
      <c r="M1577" s="14">
        <v>3.0217701199849887</v>
      </c>
      <c r="N1577" s="14">
        <v>105.14051984991991</v>
      </c>
      <c r="O1577" s="13">
        <v>596754.30826273339</v>
      </c>
      <c r="P1577" s="13">
        <v>9537.7720406090375</v>
      </c>
      <c r="Q1577" s="14">
        <v>1.0159827451742667</v>
      </c>
      <c r="R1577" s="15">
        <v>1.5982745174266653E-2</v>
      </c>
    </row>
    <row r="1578" spans="1:18" ht="18" customHeight="1">
      <c r="A1578" s="10" t="s">
        <v>91</v>
      </c>
      <c r="B1578" s="10" t="s">
        <v>92</v>
      </c>
      <c r="C1578" s="10" t="s">
        <v>254</v>
      </c>
      <c r="D1578" s="10" t="s">
        <v>278</v>
      </c>
      <c r="E1578" s="16">
        <v>6</v>
      </c>
      <c r="F1578" s="16">
        <v>6</v>
      </c>
      <c r="G1578" s="13">
        <v>1845.6492660008998</v>
      </c>
      <c r="H1578" s="13">
        <v>1845.6492660008998</v>
      </c>
      <c r="I1578" s="14">
        <v>0</v>
      </c>
      <c r="J1578" s="15">
        <v>1</v>
      </c>
      <c r="K1578" s="14">
        <v>451.82318807882348</v>
      </c>
      <c r="L1578" s="13">
        <v>833907.13543986704</v>
      </c>
      <c r="M1578" s="14">
        <v>3.6285973504953364</v>
      </c>
      <c r="N1578" s="14">
        <v>425.20400891777751</v>
      </c>
      <c r="O1578" s="13">
        <v>784777.46695973619</v>
      </c>
      <c r="P1578" s="13">
        <v>49129.668480130844</v>
      </c>
      <c r="Q1578" s="14">
        <v>1.0626033118285894</v>
      </c>
      <c r="R1578" s="15">
        <v>6.2603311828589359E-2</v>
      </c>
    </row>
    <row r="1579" spans="1:18" ht="18" customHeight="1">
      <c r="A1579" s="10" t="s">
        <v>91</v>
      </c>
      <c r="B1579" s="10" t="s">
        <v>92</v>
      </c>
      <c r="C1579" s="10" t="s">
        <v>254</v>
      </c>
      <c r="D1579" s="10" t="s">
        <v>273</v>
      </c>
      <c r="E1579" s="16">
        <v>14</v>
      </c>
      <c r="F1579" s="16">
        <v>14</v>
      </c>
      <c r="G1579" s="13">
        <v>252130.90091039069</v>
      </c>
      <c r="H1579" s="13">
        <v>252130.90091039069</v>
      </c>
      <c r="I1579" s="14">
        <v>0</v>
      </c>
      <c r="J1579" s="15">
        <v>1</v>
      </c>
      <c r="K1579" s="14">
        <v>123.39594564736532</v>
      </c>
      <c r="L1579" s="13">
        <v>31111930.94475982</v>
      </c>
      <c r="M1579" s="14">
        <v>3.0715793780720109</v>
      </c>
      <c r="N1579" s="14">
        <v>117.91780275360691</v>
      </c>
      <c r="O1579" s="13">
        <v>29730721.841640659</v>
      </c>
      <c r="P1579" s="13">
        <v>1381209.103119161</v>
      </c>
      <c r="Q1579" s="14">
        <v>1.0464573013220502</v>
      </c>
      <c r="R1579" s="15">
        <v>4.6457301322050254E-2</v>
      </c>
    </row>
    <row r="1580" spans="1:18" ht="18" customHeight="1">
      <c r="A1580" s="10" t="s">
        <v>91</v>
      </c>
      <c r="B1580" s="10" t="s">
        <v>92</v>
      </c>
      <c r="C1580" s="10" t="s">
        <v>254</v>
      </c>
      <c r="D1580" s="10" t="s">
        <v>284</v>
      </c>
      <c r="E1580" s="16">
        <v>9</v>
      </c>
      <c r="F1580" s="16">
        <v>9</v>
      </c>
      <c r="G1580" s="13">
        <v>184.25530687879998</v>
      </c>
      <c r="H1580" s="13">
        <v>184.25530687879998</v>
      </c>
      <c r="I1580" s="14">
        <v>0</v>
      </c>
      <c r="J1580" s="15">
        <v>1</v>
      </c>
      <c r="K1580" s="14">
        <v>383.12343366117659</v>
      </c>
      <c r="L1580" s="13">
        <v>70592.525841699666</v>
      </c>
      <c r="M1580" s="14">
        <v>3.4017038330712208</v>
      </c>
      <c r="N1580" s="14">
        <v>252.17604725356736</v>
      </c>
      <c r="O1580" s="13">
        <v>46464.774974188818</v>
      </c>
      <c r="P1580" s="13">
        <v>24127.750867510847</v>
      </c>
      <c r="Q1580" s="14">
        <v>1.5192697238050505</v>
      </c>
      <c r="R1580" s="15">
        <v>0.51926972380505043</v>
      </c>
    </row>
    <row r="1581" spans="1:18" ht="18" customHeight="1">
      <c r="A1581" s="10" t="s">
        <v>91</v>
      </c>
      <c r="B1581" s="10" t="s">
        <v>92</v>
      </c>
      <c r="C1581" s="10" t="s">
        <v>254</v>
      </c>
      <c r="D1581" s="10" t="s">
        <v>274</v>
      </c>
      <c r="E1581" s="16">
        <v>5</v>
      </c>
      <c r="F1581" s="16">
        <v>5</v>
      </c>
      <c r="G1581" s="13">
        <v>195.7302660675</v>
      </c>
      <c r="H1581" s="13">
        <v>195.7302660675</v>
      </c>
      <c r="I1581" s="14">
        <v>0</v>
      </c>
      <c r="J1581" s="15">
        <v>1</v>
      </c>
      <c r="K1581" s="14">
        <v>672.81464375238215</v>
      </c>
      <c r="L1581" s="13">
        <v>131690.18923576397</v>
      </c>
      <c r="M1581" s="14">
        <v>3.592647457243451</v>
      </c>
      <c r="N1581" s="14">
        <v>391.424005875744</v>
      </c>
      <c r="O1581" s="13">
        <v>76613.52481526605</v>
      </c>
      <c r="P1581" s="13">
        <v>55076.664420497924</v>
      </c>
      <c r="Q1581" s="14">
        <v>1.7188895766550518</v>
      </c>
      <c r="R1581" s="15">
        <v>0.71888957665505193</v>
      </c>
    </row>
    <row r="1582" spans="1:18" ht="18" customHeight="1">
      <c r="A1582" s="10" t="s">
        <v>91</v>
      </c>
      <c r="B1582" s="10" t="s">
        <v>92</v>
      </c>
      <c r="C1582" s="10" t="s">
        <v>254</v>
      </c>
      <c r="D1582" s="10" t="s">
        <v>282</v>
      </c>
      <c r="E1582" s="16">
        <v>2</v>
      </c>
      <c r="F1582" s="16">
        <v>2</v>
      </c>
      <c r="G1582" s="13">
        <v>540.76705292439999</v>
      </c>
      <c r="H1582" s="13">
        <v>540.76705292439999</v>
      </c>
      <c r="I1582" s="14">
        <v>0</v>
      </c>
      <c r="J1582" s="15">
        <v>1</v>
      </c>
      <c r="K1582" s="14">
        <v>481.260684493263</v>
      </c>
      <c r="L1582" s="13">
        <v>260249.92204180133</v>
      </c>
      <c r="M1582" s="14">
        <v>3.649925603337135</v>
      </c>
      <c r="N1582" s="14">
        <v>446.60707972959574</v>
      </c>
      <c r="O1582" s="13">
        <v>241510.39432054604</v>
      </c>
      <c r="P1582" s="13">
        <v>18739.52772125529</v>
      </c>
      <c r="Q1582" s="14">
        <v>1.0775930484233451</v>
      </c>
      <c r="R1582" s="15">
        <v>7.7593048423345065E-2</v>
      </c>
    </row>
    <row r="1583" spans="1:18" ht="18" customHeight="1">
      <c r="A1583" s="10" t="s">
        <v>117</v>
      </c>
      <c r="B1583" s="10" t="s">
        <v>118</v>
      </c>
      <c r="C1583" s="10" t="s">
        <v>254</v>
      </c>
      <c r="D1583" s="10" t="s">
        <v>255</v>
      </c>
      <c r="E1583" s="16">
        <v>11</v>
      </c>
      <c r="F1583" s="16">
        <v>11</v>
      </c>
      <c r="G1583" s="13">
        <v>16039.085727525799</v>
      </c>
      <c r="H1583" s="13">
        <v>16039.085727525799</v>
      </c>
      <c r="I1583" s="14">
        <v>0</v>
      </c>
      <c r="J1583" s="15">
        <v>1</v>
      </c>
      <c r="K1583" s="14">
        <v>476.1622726397768</v>
      </c>
      <c r="L1583" s="13">
        <v>7637207.5110828923</v>
      </c>
      <c r="M1583" s="14">
        <v>3.6487945410148566</v>
      </c>
      <c r="N1583" s="14">
        <v>445.44546417419525</v>
      </c>
      <c r="O1583" s="13">
        <v>7144537.9868274396</v>
      </c>
      <c r="P1583" s="13">
        <v>492669.52425545268</v>
      </c>
      <c r="Q1583" s="14">
        <v>1.0689575064425159</v>
      </c>
      <c r="R1583" s="15">
        <v>6.8957506442515887E-2</v>
      </c>
    </row>
    <row r="1584" spans="1:18" ht="18" customHeight="1">
      <c r="A1584" s="10" t="s">
        <v>117</v>
      </c>
      <c r="B1584" s="10" t="s">
        <v>118</v>
      </c>
      <c r="C1584" s="10" t="s">
        <v>254</v>
      </c>
      <c r="D1584" s="10" t="s">
        <v>277</v>
      </c>
      <c r="E1584" s="16">
        <v>2</v>
      </c>
      <c r="F1584" s="16">
        <v>2</v>
      </c>
      <c r="G1584" s="13">
        <v>5413.1997505203999</v>
      </c>
      <c r="H1584" s="13">
        <v>5413.1997505203999</v>
      </c>
      <c r="I1584" s="14">
        <v>0</v>
      </c>
      <c r="J1584" s="15">
        <v>1</v>
      </c>
      <c r="K1584" s="14">
        <v>285.7323345158124</v>
      </c>
      <c r="L1584" s="13">
        <v>1546726.2019166071</v>
      </c>
      <c r="M1584" s="14">
        <v>3.4500148787544789</v>
      </c>
      <c r="N1584" s="14">
        <v>281.8479489585452</v>
      </c>
      <c r="O1584" s="13">
        <v>1525699.2469870832</v>
      </c>
      <c r="P1584" s="13">
        <v>21026.954929523868</v>
      </c>
      <c r="Q1584" s="14">
        <v>1.0137818478779794</v>
      </c>
      <c r="R1584" s="15">
        <v>1.378184787797951E-2</v>
      </c>
    </row>
    <row r="1585" spans="1:18" ht="18" customHeight="1">
      <c r="A1585" s="10" t="s">
        <v>117</v>
      </c>
      <c r="B1585" s="10" t="s">
        <v>118</v>
      </c>
      <c r="C1585" s="10" t="s">
        <v>254</v>
      </c>
      <c r="D1585" s="10" t="s">
        <v>258</v>
      </c>
      <c r="E1585" s="16">
        <v>6</v>
      </c>
      <c r="F1585" s="16">
        <v>6</v>
      </c>
      <c r="G1585" s="13">
        <v>4274.8589613957001</v>
      </c>
      <c r="H1585" s="13">
        <v>4274.8589613957001</v>
      </c>
      <c r="I1585" s="14">
        <v>0</v>
      </c>
      <c r="J1585" s="15">
        <v>1</v>
      </c>
      <c r="K1585" s="14">
        <v>2428.3378034205107</v>
      </c>
      <c r="L1585" s="13">
        <v>10380801.62024812</v>
      </c>
      <c r="M1585" s="14">
        <v>4.3825477193856166</v>
      </c>
      <c r="N1585" s="14">
        <v>2412.9466476475909</v>
      </c>
      <c r="O1585" s="13">
        <v>10315006.600066017</v>
      </c>
      <c r="P1585" s="13">
        <v>65795.020182102919</v>
      </c>
      <c r="Q1585" s="14">
        <v>1.0063785727661756</v>
      </c>
      <c r="R1585" s="15">
        <v>6.3785727661756246E-3</v>
      </c>
    </row>
    <row r="1586" spans="1:18" ht="18" customHeight="1">
      <c r="A1586" s="10" t="s">
        <v>117</v>
      </c>
      <c r="B1586" s="10" t="s">
        <v>118</v>
      </c>
      <c r="C1586" s="10" t="s">
        <v>254</v>
      </c>
      <c r="D1586" s="10" t="s">
        <v>259</v>
      </c>
      <c r="E1586" s="16">
        <v>4</v>
      </c>
      <c r="F1586" s="16">
        <v>4</v>
      </c>
      <c r="G1586" s="13">
        <v>242.72845543909997</v>
      </c>
      <c r="H1586" s="13">
        <v>242.72845543909997</v>
      </c>
      <c r="I1586" s="14">
        <v>0</v>
      </c>
      <c r="J1586" s="15">
        <v>1</v>
      </c>
      <c r="K1586" s="14">
        <v>777.91307774360212</v>
      </c>
      <c r="L1586" s="13">
        <v>188821.63982658103</v>
      </c>
      <c r="M1586" s="14">
        <v>3.8874735329743006</v>
      </c>
      <c r="N1586" s="14">
        <v>771.74448205291958</v>
      </c>
      <c r="O1586" s="13">
        <v>187324.34612235337</v>
      </c>
      <c r="P1586" s="13">
        <v>1497.2937042276608</v>
      </c>
      <c r="Q1586" s="14">
        <v>1.0079930544812883</v>
      </c>
      <c r="R1586" s="15">
        <v>7.9930544812882118E-3</v>
      </c>
    </row>
    <row r="1587" spans="1:18" ht="18" customHeight="1">
      <c r="A1587" s="10" t="s">
        <v>117</v>
      </c>
      <c r="B1587" s="10" t="s">
        <v>118</v>
      </c>
      <c r="C1587" s="10" t="s">
        <v>254</v>
      </c>
      <c r="D1587" s="10" t="s">
        <v>261</v>
      </c>
      <c r="E1587" s="16">
        <v>28</v>
      </c>
      <c r="F1587" s="16">
        <v>28</v>
      </c>
      <c r="G1587" s="13">
        <v>33994.138015954006</v>
      </c>
      <c r="H1587" s="13">
        <v>33994.138015954006</v>
      </c>
      <c r="I1587" s="14">
        <v>0</v>
      </c>
      <c r="J1587" s="15">
        <v>1</v>
      </c>
      <c r="K1587" s="14">
        <v>2363.3205366424918</v>
      </c>
      <c r="L1587" s="13">
        <v>80339044.498563349</v>
      </c>
      <c r="M1587" s="14">
        <v>4.3250073920904049</v>
      </c>
      <c r="N1587" s="14">
        <v>2113.5250136646914</v>
      </c>
      <c r="O1587" s="13">
        <v>71847461.014688596</v>
      </c>
      <c r="P1587" s="13">
        <v>8491583.4838747531</v>
      </c>
      <c r="Q1587" s="14">
        <v>1.1181890544766602</v>
      </c>
      <c r="R1587" s="15">
        <v>0.11818905447666024</v>
      </c>
    </row>
    <row r="1588" spans="1:18" ht="18" customHeight="1">
      <c r="A1588" s="10" t="s">
        <v>117</v>
      </c>
      <c r="B1588" s="10" t="s">
        <v>118</v>
      </c>
      <c r="C1588" s="10" t="s">
        <v>254</v>
      </c>
      <c r="D1588" s="10" t="s">
        <v>262</v>
      </c>
      <c r="E1588" s="16">
        <v>4</v>
      </c>
      <c r="F1588" s="16">
        <v>4</v>
      </c>
      <c r="G1588" s="13">
        <v>7595.2929701746007</v>
      </c>
      <c r="H1588" s="13">
        <v>7595.2929701746007</v>
      </c>
      <c r="I1588" s="14">
        <v>0</v>
      </c>
      <c r="J1588" s="15">
        <v>1</v>
      </c>
      <c r="K1588" s="14">
        <v>524.74745341211167</v>
      </c>
      <c r="L1588" s="13">
        <v>3985610.6440180358</v>
      </c>
      <c r="M1588" s="14">
        <v>3.7199381688983508</v>
      </c>
      <c r="N1588" s="14">
        <v>524.73274800969557</v>
      </c>
      <c r="O1588" s="13">
        <v>3985498.952178441</v>
      </c>
      <c r="P1588" s="13">
        <v>111.69183959485963</v>
      </c>
      <c r="Q1588" s="14">
        <v>1.0000280245562563</v>
      </c>
      <c r="R1588" s="15">
        <v>2.8024556256327653E-5</v>
      </c>
    </row>
    <row r="1589" spans="1:18" ht="18" customHeight="1">
      <c r="A1589" s="10" t="s">
        <v>117</v>
      </c>
      <c r="B1589" s="10" t="s">
        <v>118</v>
      </c>
      <c r="C1589" s="10" t="s">
        <v>254</v>
      </c>
      <c r="D1589" s="10" t="s">
        <v>263</v>
      </c>
      <c r="E1589" s="16">
        <v>7</v>
      </c>
      <c r="F1589" s="16">
        <v>7</v>
      </c>
      <c r="G1589" s="13">
        <v>865.59204350040011</v>
      </c>
      <c r="H1589" s="13">
        <v>865.59204350040011</v>
      </c>
      <c r="I1589" s="14">
        <v>0</v>
      </c>
      <c r="J1589" s="15">
        <v>1</v>
      </c>
      <c r="K1589" s="14">
        <v>1538.3606980887703</v>
      </c>
      <c r="L1589" s="13">
        <v>1331592.7802993606</v>
      </c>
      <c r="M1589" s="14">
        <v>4.1466125358063781</v>
      </c>
      <c r="N1589" s="14">
        <v>1401.5627154043959</v>
      </c>
      <c r="O1589" s="13">
        <v>1213181.5349208608</v>
      </c>
      <c r="P1589" s="13">
        <v>118411.24537849985</v>
      </c>
      <c r="Q1589" s="14">
        <v>1.0976038968366133</v>
      </c>
      <c r="R1589" s="15">
        <v>9.7603896836613288E-2</v>
      </c>
    </row>
    <row r="1590" spans="1:18" ht="18" customHeight="1">
      <c r="A1590" s="10" t="s">
        <v>117</v>
      </c>
      <c r="B1590" s="10" t="s">
        <v>118</v>
      </c>
      <c r="C1590" s="10" t="s">
        <v>254</v>
      </c>
      <c r="D1590" s="10" t="s">
        <v>264</v>
      </c>
      <c r="E1590" s="16">
        <v>16</v>
      </c>
      <c r="F1590" s="16">
        <v>16</v>
      </c>
      <c r="G1590" s="13">
        <v>24645.361114668198</v>
      </c>
      <c r="H1590" s="13">
        <v>24645.361114668198</v>
      </c>
      <c r="I1590" s="14">
        <v>0</v>
      </c>
      <c r="J1590" s="15">
        <v>1</v>
      </c>
      <c r="K1590" s="14">
        <v>1789.7269659409576</v>
      </c>
      <c r="L1590" s="13">
        <v>44108467.372274369</v>
      </c>
      <c r="M1590" s="14">
        <v>4.1985224645886419</v>
      </c>
      <c r="N1590" s="14">
        <v>1579.5103083659374</v>
      </c>
      <c r="O1590" s="13">
        <v>38927601.934019446</v>
      </c>
      <c r="P1590" s="13">
        <v>5180865.4382549226</v>
      </c>
      <c r="Q1590" s="14">
        <v>1.1330897661519519</v>
      </c>
      <c r="R1590" s="15">
        <v>0.133089766151952</v>
      </c>
    </row>
    <row r="1591" spans="1:18" ht="18" customHeight="1">
      <c r="A1591" s="10" t="s">
        <v>117</v>
      </c>
      <c r="B1591" s="10" t="s">
        <v>118</v>
      </c>
      <c r="C1591" s="10" t="s">
        <v>254</v>
      </c>
      <c r="D1591" s="10" t="s">
        <v>265</v>
      </c>
      <c r="E1591" s="16">
        <v>6</v>
      </c>
      <c r="F1591" s="16">
        <v>6</v>
      </c>
      <c r="G1591" s="13">
        <v>1437.8212014442001</v>
      </c>
      <c r="H1591" s="13">
        <v>1437.8212014442001</v>
      </c>
      <c r="I1591" s="14">
        <v>0</v>
      </c>
      <c r="J1591" s="15">
        <v>1</v>
      </c>
      <c r="K1591" s="14">
        <v>110.58378687394087</v>
      </c>
      <c r="L1591" s="13">
        <v>158999.71330333903</v>
      </c>
      <c r="M1591" s="14">
        <v>2.952362495034107</v>
      </c>
      <c r="N1591" s="14">
        <v>89.611241670755462</v>
      </c>
      <c r="O1591" s="13">
        <v>128844.94316195219</v>
      </c>
      <c r="P1591" s="13">
        <v>30154.770141386834</v>
      </c>
      <c r="Q1591" s="14">
        <v>1.2340392211084581</v>
      </c>
      <c r="R1591" s="15">
        <v>0.23403922110845801</v>
      </c>
    </row>
    <row r="1592" spans="1:18" ht="18" customHeight="1">
      <c r="A1592" s="10" t="s">
        <v>117</v>
      </c>
      <c r="B1592" s="10" t="s">
        <v>118</v>
      </c>
      <c r="C1592" s="10" t="s">
        <v>254</v>
      </c>
      <c r="D1592" s="10" t="s">
        <v>266</v>
      </c>
      <c r="E1592" s="16">
        <v>1</v>
      </c>
      <c r="F1592" s="16">
        <v>1</v>
      </c>
      <c r="G1592" s="13">
        <v>276.47689453639998</v>
      </c>
      <c r="H1592" s="13">
        <v>276.47689453639998</v>
      </c>
      <c r="I1592" s="14">
        <v>0</v>
      </c>
      <c r="J1592" s="15">
        <v>1</v>
      </c>
      <c r="K1592" s="14">
        <v>2290.8676527677749</v>
      </c>
      <c r="L1592" s="13">
        <v>633371.97443112626</v>
      </c>
      <c r="M1592" s="14">
        <v>4.3600000000000003</v>
      </c>
      <c r="N1592" s="14">
        <v>2290.8676527677749</v>
      </c>
      <c r="O1592" s="13">
        <v>633371.97443112626</v>
      </c>
      <c r="P1592" s="13">
        <v>0</v>
      </c>
      <c r="Q1592" s="14">
        <v>1</v>
      </c>
      <c r="R1592" s="15">
        <v>0</v>
      </c>
    </row>
    <row r="1593" spans="1:18" ht="18" customHeight="1">
      <c r="A1593" s="10" t="s">
        <v>117</v>
      </c>
      <c r="B1593" s="10" t="s">
        <v>118</v>
      </c>
      <c r="C1593" s="10" t="s">
        <v>254</v>
      </c>
      <c r="D1593" s="10" t="s">
        <v>268</v>
      </c>
      <c r="E1593" s="16">
        <v>5</v>
      </c>
      <c r="F1593" s="16">
        <v>5</v>
      </c>
      <c r="G1593" s="13">
        <v>283.36397415100004</v>
      </c>
      <c r="H1593" s="13">
        <v>283.36397415100004</v>
      </c>
      <c r="I1593" s="14">
        <v>0</v>
      </c>
      <c r="J1593" s="15">
        <v>1</v>
      </c>
      <c r="K1593" s="14">
        <v>234.19530531443033</v>
      </c>
      <c r="L1593" s="13">
        <v>66362.5124414038</v>
      </c>
      <c r="M1593" s="14">
        <v>3.3240980180888138</v>
      </c>
      <c r="N1593" s="14">
        <v>210.9104110451743</v>
      </c>
      <c r="O1593" s="13">
        <v>59764.412263581566</v>
      </c>
      <c r="P1593" s="13">
        <v>6598.1001778222344</v>
      </c>
      <c r="Q1593" s="14">
        <v>1.1104018248974381</v>
      </c>
      <c r="R1593" s="15">
        <v>0.11040182489743811</v>
      </c>
    </row>
    <row r="1594" spans="1:18" ht="18" customHeight="1">
      <c r="A1594" s="10" t="s">
        <v>117</v>
      </c>
      <c r="B1594" s="10" t="s">
        <v>118</v>
      </c>
      <c r="C1594" s="10" t="s">
        <v>254</v>
      </c>
      <c r="D1594" s="10" t="s">
        <v>269</v>
      </c>
      <c r="E1594" s="16">
        <v>20</v>
      </c>
      <c r="F1594" s="16">
        <v>20</v>
      </c>
      <c r="G1594" s="13">
        <v>28803.9155835005</v>
      </c>
      <c r="H1594" s="13">
        <v>28803.9155835005</v>
      </c>
      <c r="I1594" s="14">
        <v>0</v>
      </c>
      <c r="J1594" s="15">
        <v>1</v>
      </c>
      <c r="K1594" s="14">
        <v>306.71670625553037</v>
      </c>
      <c r="L1594" s="13">
        <v>8834642.1150336172</v>
      </c>
      <c r="M1594" s="14">
        <v>3.4130145422787801</v>
      </c>
      <c r="N1594" s="14">
        <v>258.82995824847973</v>
      </c>
      <c r="O1594" s="13">
        <v>7455316.2678701691</v>
      </c>
      <c r="P1594" s="13">
        <v>1379325.8471634481</v>
      </c>
      <c r="Q1594" s="14">
        <v>1.1850123854715413</v>
      </c>
      <c r="R1594" s="15">
        <v>0.18501238547154125</v>
      </c>
    </row>
    <row r="1595" spans="1:18" ht="18" customHeight="1">
      <c r="A1595" s="10" t="s">
        <v>117</v>
      </c>
      <c r="B1595" s="10" t="s">
        <v>118</v>
      </c>
      <c r="C1595" s="10" t="s">
        <v>254</v>
      </c>
      <c r="D1595" s="10" t="s">
        <v>270</v>
      </c>
      <c r="E1595" s="16">
        <v>13</v>
      </c>
      <c r="F1595" s="16">
        <v>13</v>
      </c>
      <c r="G1595" s="13">
        <v>35128.170711487102</v>
      </c>
      <c r="H1595" s="13">
        <v>35128.170711487102</v>
      </c>
      <c r="I1595" s="14">
        <v>0</v>
      </c>
      <c r="J1595" s="15">
        <v>1</v>
      </c>
      <c r="K1595" s="14">
        <v>1015.2886222950285</v>
      </c>
      <c r="L1595" s="13">
        <v>35665232.045410313</v>
      </c>
      <c r="M1595" s="14">
        <v>3.8077267746274326</v>
      </c>
      <c r="N1595" s="14">
        <v>642.28351377955335</v>
      </c>
      <c r="O1595" s="13">
        <v>22562244.91722193</v>
      </c>
      <c r="P1595" s="13">
        <v>13102987.128188383</v>
      </c>
      <c r="Q1595" s="14">
        <v>1.5807483774891025</v>
      </c>
      <c r="R1595" s="15">
        <v>0.58074837748910235</v>
      </c>
    </row>
    <row r="1596" spans="1:18" ht="18" customHeight="1">
      <c r="A1596" s="10" t="s">
        <v>117</v>
      </c>
      <c r="B1596" s="10" t="s">
        <v>118</v>
      </c>
      <c r="C1596" s="10" t="s">
        <v>254</v>
      </c>
      <c r="D1596" s="10" t="s">
        <v>276</v>
      </c>
      <c r="E1596" s="16">
        <v>29</v>
      </c>
      <c r="F1596" s="16">
        <v>29</v>
      </c>
      <c r="G1596" s="13">
        <v>36064.363694802203</v>
      </c>
      <c r="H1596" s="13">
        <v>36064.363694802203</v>
      </c>
      <c r="I1596" s="14">
        <v>0</v>
      </c>
      <c r="J1596" s="15">
        <v>1</v>
      </c>
      <c r="K1596" s="14">
        <v>451.18025609952554</v>
      </c>
      <c r="L1596" s="13">
        <v>16271528.847887289</v>
      </c>
      <c r="M1596" s="14">
        <v>3.3186452868449861</v>
      </c>
      <c r="N1596" s="14">
        <v>208.27890551969128</v>
      </c>
      <c r="O1596" s="13">
        <v>7511446.1986174919</v>
      </c>
      <c r="P1596" s="13">
        <v>8760082.6492697969</v>
      </c>
      <c r="Q1596" s="14">
        <v>2.1662311647632011</v>
      </c>
      <c r="R1596" s="15">
        <v>1.1662311647632011</v>
      </c>
    </row>
    <row r="1597" spans="1:18" ht="18" customHeight="1">
      <c r="A1597" s="10" t="s">
        <v>117</v>
      </c>
      <c r="B1597" s="10" t="s">
        <v>118</v>
      </c>
      <c r="C1597" s="10" t="s">
        <v>254</v>
      </c>
      <c r="D1597" s="10" t="s">
        <v>271</v>
      </c>
      <c r="E1597" s="16">
        <v>4</v>
      </c>
      <c r="F1597" s="16">
        <v>4</v>
      </c>
      <c r="G1597" s="13">
        <v>2761.9356243023994</v>
      </c>
      <c r="H1597" s="13">
        <v>2761.9356243023994</v>
      </c>
      <c r="I1597" s="14">
        <v>0</v>
      </c>
      <c r="J1597" s="15">
        <v>1</v>
      </c>
      <c r="K1597" s="14">
        <v>12.775862688976899</v>
      </c>
      <c r="L1597" s="13">
        <v>35286.110291881145</v>
      </c>
      <c r="M1597" s="14">
        <v>2.1042971993000128</v>
      </c>
      <c r="N1597" s="14">
        <v>12.714438905396404</v>
      </c>
      <c r="O1597" s="13">
        <v>35116.461755830736</v>
      </c>
      <c r="P1597" s="13">
        <v>169.64853605040844</v>
      </c>
      <c r="Q1597" s="14">
        <v>1.0048310258940663</v>
      </c>
      <c r="R1597" s="15">
        <v>4.8310258940663349E-3</v>
      </c>
    </row>
    <row r="1598" spans="1:18" ht="18" customHeight="1">
      <c r="A1598" s="10" t="s">
        <v>117</v>
      </c>
      <c r="B1598" s="10" t="s">
        <v>118</v>
      </c>
      <c r="C1598" s="10" t="s">
        <v>254</v>
      </c>
      <c r="D1598" s="10" t="s">
        <v>272</v>
      </c>
      <c r="E1598" s="16">
        <v>10</v>
      </c>
      <c r="F1598" s="16">
        <v>10</v>
      </c>
      <c r="G1598" s="13">
        <v>6757.9053309250012</v>
      </c>
      <c r="H1598" s="13">
        <v>6757.9053309250012</v>
      </c>
      <c r="I1598" s="14">
        <v>0</v>
      </c>
      <c r="J1598" s="15">
        <v>1</v>
      </c>
      <c r="K1598" s="14">
        <v>73.376810061937917</v>
      </c>
      <c r="L1598" s="13">
        <v>495873.53588384151</v>
      </c>
      <c r="M1598" s="14">
        <v>2.7899522967840813</v>
      </c>
      <c r="N1598" s="14">
        <v>61.652727834578151</v>
      </c>
      <c r="O1598" s="13">
        <v>416643.29809936386</v>
      </c>
      <c r="P1598" s="13">
        <v>79230.237784477649</v>
      </c>
      <c r="Q1598" s="14">
        <v>1.1901632359044505</v>
      </c>
      <c r="R1598" s="15">
        <v>0.19016323590445056</v>
      </c>
    </row>
    <row r="1599" spans="1:18" ht="18" customHeight="1">
      <c r="A1599" s="10" t="s">
        <v>117</v>
      </c>
      <c r="B1599" s="10" t="s">
        <v>118</v>
      </c>
      <c r="C1599" s="10" t="s">
        <v>254</v>
      </c>
      <c r="D1599" s="10" t="s">
        <v>283</v>
      </c>
      <c r="E1599" s="16">
        <v>6</v>
      </c>
      <c r="F1599" s="16">
        <v>6</v>
      </c>
      <c r="G1599" s="13">
        <v>5519.3852067744001</v>
      </c>
      <c r="H1599" s="13">
        <v>5519.3852067744001</v>
      </c>
      <c r="I1599" s="14">
        <v>0</v>
      </c>
      <c r="J1599" s="15">
        <v>1</v>
      </c>
      <c r="K1599" s="14">
        <v>160.03956518179123</v>
      </c>
      <c r="L1599" s="13">
        <v>883320.00856298581</v>
      </c>
      <c r="M1599" s="14">
        <v>3.1933956307836553</v>
      </c>
      <c r="N1599" s="14">
        <v>156.09738612103624</v>
      </c>
      <c r="O1599" s="13">
        <v>861561.60377259902</v>
      </c>
      <c r="P1599" s="13">
        <v>21758.40479038679</v>
      </c>
      <c r="Q1599" s="14">
        <v>1.025254612897222</v>
      </c>
      <c r="R1599" s="15">
        <v>2.5254612897222046E-2</v>
      </c>
    </row>
    <row r="1600" spans="1:18" ht="18" customHeight="1">
      <c r="A1600" s="10" t="s">
        <v>117</v>
      </c>
      <c r="B1600" s="10" t="s">
        <v>118</v>
      </c>
      <c r="C1600" s="10" t="s">
        <v>254</v>
      </c>
      <c r="D1600" s="10" t="s">
        <v>278</v>
      </c>
      <c r="E1600" s="16">
        <v>7</v>
      </c>
      <c r="F1600" s="16">
        <v>7</v>
      </c>
      <c r="G1600" s="13">
        <v>10377.687257794001</v>
      </c>
      <c r="H1600" s="13">
        <v>10377.687257794001</v>
      </c>
      <c r="I1600" s="14">
        <v>0</v>
      </c>
      <c r="J1600" s="15">
        <v>1</v>
      </c>
      <c r="K1600" s="14">
        <v>371.58070833511471</v>
      </c>
      <c r="L1600" s="13">
        <v>3856148.3821313889</v>
      </c>
      <c r="M1600" s="14">
        <v>3.5038252469476521</v>
      </c>
      <c r="N1600" s="14">
        <v>319.02538903966285</v>
      </c>
      <c r="O1600" s="13">
        <v>3310745.7147496832</v>
      </c>
      <c r="P1600" s="13">
        <v>545402.66738170572</v>
      </c>
      <c r="Q1600" s="14">
        <v>1.1647371058888292</v>
      </c>
      <c r="R1600" s="15">
        <v>0.16473710588882909</v>
      </c>
    </row>
    <row r="1601" spans="1:18" ht="18" customHeight="1">
      <c r="A1601" s="10" t="s">
        <v>117</v>
      </c>
      <c r="B1601" s="10" t="s">
        <v>118</v>
      </c>
      <c r="C1601" s="10" t="s">
        <v>254</v>
      </c>
      <c r="D1601" s="10" t="s">
        <v>273</v>
      </c>
      <c r="E1601" s="16">
        <v>15</v>
      </c>
      <c r="F1601" s="16">
        <v>15</v>
      </c>
      <c r="G1601" s="13">
        <v>14514.755821432298</v>
      </c>
      <c r="H1601" s="13">
        <v>14514.755821432298</v>
      </c>
      <c r="I1601" s="14">
        <v>0</v>
      </c>
      <c r="J1601" s="15">
        <v>1</v>
      </c>
      <c r="K1601" s="14">
        <v>96.910098180495837</v>
      </c>
      <c r="L1601" s="13">
        <v>1406626.4117209276</v>
      </c>
      <c r="M1601" s="14">
        <v>2.8988790587888915</v>
      </c>
      <c r="N1601" s="14">
        <v>79.228066747308461</v>
      </c>
      <c r="O1601" s="13">
        <v>1149976.0430413221</v>
      </c>
      <c r="P1601" s="13">
        <v>256650.36867960542</v>
      </c>
      <c r="Q1601" s="14">
        <v>1.223178882927723</v>
      </c>
      <c r="R1601" s="15">
        <v>0.22317888292772303</v>
      </c>
    </row>
    <row r="1602" spans="1:18" ht="18" customHeight="1">
      <c r="A1602" s="10" t="s">
        <v>117</v>
      </c>
      <c r="B1602" s="10" t="s">
        <v>118</v>
      </c>
      <c r="C1602" s="10" t="s">
        <v>254</v>
      </c>
      <c r="D1602" s="10" t="s">
        <v>284</v>
      </c>
      <c r="E1602" s="16">
        <v>8</v>
      </c>
      <c r="F1602" s="16">
        <v>8</v>
      </c>
      <c r="G1602" s="13">
        <v>1691.7941281804999</v>
      </c>
      <c r="H1602" s="13">
        <v>1691.7941281804999</v>
      </c>
      <c r="I1602" s="14">
        <v>0</v>
      </c>
      <c r="J1602" s="15">
        <v>1</v>
      </c>
      <c r="K1602" s="14">
        <v>406.58193093696661</v>
      </c>
      <c r="L1602" s="13">
        <v>687852.92338344967</v>
      </c>
      <c r="M1602" s="14">
        <v>3.0320936684070503</v>
      </c>
      <c r="N1602" s="14">
        <v>107.6697410124045</v>
      </c>
      <c r="O1602" s="13">
        <v>182155.03562750109</v>
      </c>
      <c r="P1602" s="13">
        <v>505697.88775594858</v>
      </c>
      <c r="Q1602" s="14">
        <v>3.7761949375370452</v>
      </c>
      <c r="R1602" s="15">
        <v>2.7761949375370452</v>
      </c>
    </row>
    <row r="1603" spans="1:18" ht="18" customHeight="1">
      <c r="A1603" s="10" t="s">
        <v>117</v>
      </c>
      <c r="B1603" s="10" t="s">
        <v>118</v>
      </c>
      <c r="C1603" s="10" t="s">
        <v>254</v>
      </c>
      <c r="D1603" s="10" t="s">
        <v>274</v>
      </c>
      <c r="E1603" s="16">
        <v>3</v>
      </c>
      <c r="F1603" s="16">
        <v>3</v>
      </c>
      <c r="G1603" s="13">
        <v>691.24616311219995</v>
      </c>
      <c r="H1603" s="13">
        <v>691.24616311219995</v>
      </c>
      <c r="I1603" s="14">
        <v>0</v>
      </c>
      <c r="J1603" s="15">
        <v>1</v>
      </c>
      <c r="K1603" s="14">
        <v>2199.4563396655985</v>
      </c>
      <c r="L1603" s="13">
        <v>1520365.7557266487</v>
      </c>
      <c r="M1603" s="14">
        <v>4.2888962001830571</v>
      </c>
      <c r="N1603" s="14">
        <v>1944.8951807328312</v>
      </c>
      <c r="O1603" s="13">
        <v>1344401.3313369784</v>
      </c>
      <c r="P1603" s="13">
        <v>175964.42438967037</v>
      </c>
      <c r="Q1603" s="14">
        <v>1.1308868269378145</v>
      </c>
      <c r="R1603" s="15">
        <v>0.13088682693781439</v>
      </c>
    </row>
    <row r="1604" spans="1:18" ht="18" customHeight="1">
      <c r="A1604" s="10" t="s">
        <v>20</v>
      </c>
      <c r="B1604" s="10" t="s">
        <v>21</v>
      </c>
      <c r="C1604" s="10" t="s">
        <v>254</v>
      </c>
      <c r="D1604" s="10" t="s">
        <v>255</v>
      </c>
      <c r="E1604" s="16">
        <v>11</v>
      </c>
      <c r="F1604" s="16">
        <v>11</v>
      </c>
      <c r="G1604" s="13">
        <v>190758.66655314298</v>
      </c>
      <c r="H1604" s="13">
        <v>190758.66655314298</v>
      </c>
      <c r="I1604" s="14">
        <v>0</v>
      </c>
      <c r="J1604" s="15">
        <v>1</v>
      </c>
      <c r="K1604" s="14">
        <v>828.25934471016524</v>
      </c>
      <c r="L1604" s="13">
        <v>157997648.15709111</v>
      </c>
      <c r="M1604" s="14">
        <v>3.8505584373374613</v>
      </c>
      <c r="N1604" s="14">
        <v>708.8566816218181</v>
      </c>
      <c r="O1604" s="13">
        <v>135220555.36346382</v>
      </c>
      <c r="P1604" s="13">
        <v>22777092.793627292</v>
      </c>
      <c r="Q1604" s="14">
        <v>1.1684440115809611</v>
      </c>
      <c r="R1604" s="15">
        <v>0.16844401158096112</v>
      </c>
    </row>
    <row r="1605" spans="1:18" ht="18" customHeight="1">
      <c r="A1605" s="10" t="s">
        <v>20</v>
      </c>
      <c r="B1605" s="10" t="s">
        <v>21</v>
      </c>
      <c r="C1605" s="10" t="s">
        <v>254</v>
      </c>
      <c r="D1605" s="10" t="s">
        <v>277</v>
      </c>
      <c r="E1605" s="16">
        <v>5</v>
      </c>
      <c r="F1605" s="16">
        <v>5</v>
      </c>
      <c r="G1605" s="13">
        <v>25817.175724542903</v>
      </c>
      <c r="H1605" s="13">
        <v>25817.175724542903</v>
      </c>
      <c r="I1605" s="14">
        <v>0</v>
      </c>
      <c r="J1605" s="15">
        <v>1</v>
      </c>
      <c r="K1605" s="14">
        <v>263.75179448837906</v>
      </c>
      <c r="L1605" s="13">
        <v>6809326.4259700086</v>
      </c>
      <c r="M1605" s="14">
        <v>3.3678383552087694</v>
      </c>
      <c r="N1605" s="14">
        <v>233.25897087322716</v>
      </c>
      <c r="O1605" s="13">
        <v>6022087.8403601404</v>
      </c>
      <c r="P1605" s="13">
        <v>787238.58560986817</v>
      </c>
      <c r="Q1605" s="14">
        <v>1.1307251914084981</v>
      </c>
      <c r="R1605" s="15">
        <v>0.13072519140849809</v>
      </c>
    </row>
    <row r="1606" spans="1:18" ht="18" customHeight="1">
      <c r="A1606" s="10" t="s">
        <v>20</v>
      </c>
      <c r="B1606" s="10" t="s">
        <v>21</v>
      </c>
      <c r="C1606" s="10" t="s">
        <v>254</v>
      </c>
      <c r="D1606" s="10" t="s">
        <v>258</v>
      </c>
      <c r="E1606" s="16">
        <v>11</v>
      </c>
      <c r="F1606" s="16">
        <v>11</v>
      </c>
      <c r="G1606" s="13">
        <v>89433.441592389107</v>
      </c>
      <c r="H1606" s="13">
        <v>89433.441592389107</v>
      </c>
      <c r="I1606" s="14">
        <v>0</v>
      </c>
      <c r="J1606" s="15">
        <v>1</v>
      </c>
      <c r="K1606" s="14">
        <v>2362.3475279464169</v>
      </c>
      <c r="L1606" s="13">
        <v>211272869.66152066</v>
      </c>
      <c r="M1606" s="14">
        <v>4.259627974952628</v>
      </c>
      <c r="N1606" s="14">
        <v>1818.1427351373957</v>
      </c>
      <c r="O1606" s="13">
        <v>162602762.10953686</v>
      </c>
      <c r="P1606" s="13">
        <v>48670107.551983804</v>
      </c>
      <c r="Q1606" s="14">
        <v>1.2993190701102442</v>
      </c>
      <c r="R1606" s="15">
        <v>0.29931907011024411</v>
      </c>
    </row>
    <row r="1607" spans="1:18" ht="18" customHeight="1">
      <c r="A1607" s="10" t="s">
        <v>20</v>
      </c>
      <c r="B1607" s="10" t="s">
        <v>21</v>
      </c>
      <c r="C1607" s="10" t="s">
        <v>254</v>
      </c>
      <c r="D1607" s="10" t="s">
        <v>259</v>
      </c>
      <c r="E1607" s="16">
        <v>8</v>
      </c>
      <c r="F1607" s="16">
        <v>8</v>
      </c>
      <c r="G1607" s="13">
        <v>59394.756198958799</v>
      </c>
      <c r="H1607" s="13">
        <v>59394.756198958799</v>
      </c>
      <c r="I1607" s="14">
        <v>0</v>
      </c>
      <c r="J1607" s="15">
        <v>1</v>
      </c>
      <c r="K1607" s="14">
        <v>711.63101935345128</v>
      </c>
      <c r="L1607" s="13">
        <v>42267150.898114771</v>
      </c>
      <c r="M1607" s="14">
        <v>3.7282209341467016</v>
      </c>
      <c r="N1607" s="14">
        <v>534.83637198614781</v>
      </c>
      <c r="O1607" s="13">
        <v>31766475.920452885</v>
      </c>
      <c r="P1607" s="13">
        <v>10500674.977661885</v>
      </c>
      <c r="Q1607" s="14">
        <v>1.330558385008046</v>
      </c>
      <c r="R1607" s="15">
        <v>0.33055838500804596</v>
      </c>
    </row>
    <row r="1608" spans="1:18" ht="18" customHeight="1">
      <c r="A1608" s="10" t="s">
        <v>20</v>
      </c>
      <c r="B1608" s="10" t="s">
        <v>21</v>
      </c>
      <c r="C1608" s="10" t="s">
        <v>254</v>
      </c>
      <c r="D1608" s="10" t="s">
        <v>261</v>
      </c>
      <c r="E1608" s="16">
        <v>32</v>
      </c>
      <c r="F1608" s="16">
        <v>32</v>
      </c>
      <c r="G1608" s="13">
        <v>815669.30344275059</v>
      </c>
      <c r="H1608" s="13">
        <v>815669.30344275059</v>
      </c>
      <c r="I1608" s="14">
        <v>0</v>
      </c>
      <c r="J1608" s="15">
        <v>1</v>
      </c>
      <c r="K1608" s="14">
        <v>2691.5372968796241</v>
      </c>
      <c r="L1608" s="13">
        <v>2195404352.1359868</v>
      </c>
      <c r="M1608" s="14">
        <v>4.4229683888884752</v>
      </c>
      <c r="N1608" s="14">
        <v>2648.3073685166623</v>
      </c>
      <c r="O1608" s="13">
        <v>2160143026.5802898</v>
      </c>
      <c r="P1608" s="13">
        <v>35261325.555696964</v>
      </c>
      <c r="Q1608" s="14">
        <v>1.0163236068731611</v>
      </c>
      <c r="R1608" s="15">
        <v>1.6323606873161065E-2</v>
      </c>
    </row>
    <row r="1609" spans="1:18" ht="18" customHeight="1">
      <c r="A1609" s="10" t="s">
        <v>20</v>
      </c>
      <c r="B1609" s="10" t="s">
        <v>21</v>
      </c>
      <c r="C1609" s="10" t="s">
        <v>254</v>
      </c>
      <c r="D1609" s="10" t="s">
        <v>262</v>
      </c>
      <c r="E1609" s="16">
        <v>13</v>
      </c>
      <c r="F1609" s="16">
        <v>13</v>
      </c>
      <c r="G1609" s="13">
        <v>25303.213336074699</v>
      </c>
      <c r="H1609" s="13">
        <v>25303.213336074699</v>
      </c>
      <c r="I1609" s="14">
        <v>0</v>
      </c>
      <c r="J1609" s="15">
        <v>1</v>
      </c>
      <c r="K1609" s="14">
        <v>477.94837192535022</v>
      </c>
      <c r="L1609" s="13">
        <v>12093629.618456712</v>
      </c>
      <c r="M1609" s="14">
        <v>3.6263782026637132</v>
      </c>
      <c r="N1609" s="14">
        <v>423.03685293029321</v>
      </c>
      <c r="O1609" s="13">
        <v>10704191.738716867</v>
      </c>
      <c r="P1609" s="13">
        <v>1389437.8797398452</v>
      </c>
      <c r="Q1609" s="14">
        <v>1.1298031568992055</v>
      </c>
      <c r="R1609" s="15">
        <v>0.12980315689920555</v>
      </c>
    </row>
    <row r="1610" spans="1:18" ht="18" customHeight="1">
      <c r="A1610" s="10" t="s">
        <v>20</v>
      </c>
      <c r="B1610" s="10" t="s">
        <v>21</v>
      </c>
      <c r="C1610" s="10" t="s">
        <v>254</v>
      </c>
      <c r="D1610" s="10" t="s">
        <v>263</v>
      </c>
      <c r="E1610" s="16">
        <v>23</v>
      </c>
      <c r="F1610" s="16">
        <v>23</v>
      </c>
      <c r="G1610" s="13">
        <v>88939.94339352219</v>
      </c>
      <c r="H1610" s="13">
        <v>88939.94339352219</v>
      </c>
      <c r="I1610" s="14">
        <v>0</v>
      </c>
      <c r="J1610" s="15">
        <v>1</v>
      </c>
      <c r="K1610" s="14">
        <v>2119.5865322745744</v>
      </c>
      <c r="L1610" s="13">
        <v>188515906.19817266</v>
      </c>
      <c r="M1610" s="14">
        <v>4.2465486023722425</v>
      </c>
      <c r="N1610" s="14">
        <v>1764.2031873447581</v>
      </c>
      <c r="O1610" s="13">
        <v>156908131.61711422</v>
      </c>
      <c r="P1610" s="13">
        <v>31607774.581058443</v>
      </c>
      <c r="Q1610" s="14">
        <v>1.2014412781243706</v>
      </c>
      <c r="R1610" s="15">
        <v>0.20144127812437054</v>
      </c>
    </row>
    <row r="1611" spans="1:18" ht="18" customHeight="1">
      <c r="A1611" s="10" t="s">
        <v>20</v>
      </c>
      <c r="B1611" s="10" t="s">
        <v>21</v>
      </c>
      <c r="C1611" s="10" t="s">
        <v>254</v>
      </c>
      <c r="D1611" s="10" t="s">
        <v>264</v>
      </c>
      <c r="E1611" s="16">
        <v>31</v>
      </c>
      <c r="F1611" s="16">
        <v>31</v>
      </c>
      <c r="G1611" s="13">
        <v>162525.17502619539</v>
      </c>
      <c r="H1611" s="13">
        <v>162525.17502619539</v>
      </c>
      <c r="I1611" s="14">
        <v>0</v>
      </c>
      <c r="J1611" s="15">
        <v>1</v>
      </c>
      <c r="K1611" s="14">
        <v>2048.5316889573114</v>
      </c>
      <c r="L1611" s="13">
        <v>332937971.29449469</v>
      </c>
      <c r="M1611" s="14">
        <v>4.2709323549921265</v>
      </c>
      <c r="N1611" s="14">
        <v>1866.0890091836122</v>
      </c>
      <c r="O1611" s="13">
        <v>303286442.83202612</v>
      </c>
      <c r="P1611" s="13">
        <v>29651528.462468565</v>
      </c>
      <c r="Q1611" s="14">
        <v>1.0977674049179011</v>
      </c>
      <c r="R1611" s="15">
        <v>9.7767404917901105E-2</v>
      </c>
    </row>
    <row r="1612" spans="1:18" ht="18" customHeight="1">
      <c r="A1612" s="10" t="s">
        <v>20</v>
      </c>
      <c r="B1612" s="10" t="s">
        <v>21</v>
      </c>
      <c r="C1612" s="10" t="s">
        <v>254</v>
      </c>
      <c r="D1612" s="10" t="s">
        <v>265</v>
      </c>
      <c r="E1612" s="16">
        <v>12</v>
      </c>
      <c r="F1612" s="16">
        <v>12</v>
      </c>
      <c r="G1612" s="13">
        <v>207803.26378811151</v>
      </c>
      <c r="H1612" s="13">
        <v>207803.26378811151</v>
      </c>
      <c r="I1612" s="14">
        <v>0</v>
      </c>
      <c r="J1612" s="15">
        <v>1</v>
      </c>
      <c r="K1612" s="14">
        <v>255.59791476413022</v>
      </c>
      <c r="L1612" s="13">
        <v>53114080.905421793</v>
      </c>
      <c r="M1612" s="14">
        <v>3.3701870210197438</v>
      </c>
      <c r="N1612" s="14">
        <v>234.52385322152352</v>
      </c>
      <c r="O1612" s="13">
        <v>48734822.135596596</v>
      </c>
      <c r="P1612" s="13">
        <v>4379258.7698251978</v>
      </c>
      <c r="Q1612" s="14">
        <v>1.0898589258752323</v>
      </c>
      <c r="R1612" s="15">
        <v>8.9858925875232157E-2</v>
      </c>
    </row>
    <row r="1613" spans="1:18" ht="18" customHeight="1">
      <c r="A1613" s="10" t="s">
        <v>20</v>
      </c>
      <c r="B1613" s="10" t="s">
        <v>21</v>
      </c>
      <c r="C1613" s="10" t="s">
        <v>254</v>
      </c>
      <c r="D1613" s="10" t="s">
        <v>266</v>
      </c>
      <c r="E1613" s="16">
        <v>1</v>
      </c>
      <c r="F1613" s="16">
        <v>1</v>
      </c>
      <c r="G1613" s="13">
        <v>150.48445620089998</v>
      </c>
      <c r="H1613" s="13">
        <v>150.48445620089998</v>
      </c>
      <c r="I1613" s="14">
        <v>0</v>
      </c>
      <c r="J1613" s="15">
        <v>1</v>
      </c>
      <c r="K1613" s="14">
        <v>2290.8676527677749</v>
      </c>
      <c r="L1613" s="13">
        <v>344739.97295499075</v>
      </c>
      <c r="M1613" s="14">
        <v>4.3600000000000003</v>
      </c>
      <c r="N1613" s="14">
        <v>2290.8676527677749</v>
      </c>
      <c r="O1613" s="13">
        <v>344739.97295499075</v>
      </c>
      <c r="P1613" s="13">
        <v>0</v>
      </c>
      <c r="Q1613" s="14">
        <v>1</v>
      </c>
      <c r="R1613" s="15">
        <v>0</v>
      </c>
    </row>
    <row r="1614" spans="1:18" ht="18" customHeight="1">
      <c r="A1614" s="10" t="s">
        <v>20</v>
      </c>
      <c r="B1614" s="10" t="s">
        <v>21</v>
      </c>
      <c r="C1614" s="10" t="s">
        <v>254</v>
      </c>
      <c r="D1614" s="10" t="s">
        <v>267</v>
      </c>
      <c r="E1614" s="16">
        <v>1</v>
      </c>
      <c r="F1614" s="16">
        <v>1</v>
      </c>
      <c r="G1614" s="13">
        <v>1115.9424193269999</v>
      </c>
      <c r="H1614" s="13">
        <v>1115.9424193269999</v>
      </c>
      <c r="I1614" s="14">
        <v>0</v>
      </c>
      <c r="J1614" s="15">
        <v>1</v>
      </c>
      <c r="K1614" s="14">
        <v>1202.2644346174131</v>
      </c>
      <c r="L1614" s="13">
        <v>1341657.8818377638</v>
      </c>
      <c r="M1614" s="14">
        <v>4.08</v>
      </c>
      <c r="N1614" s="14">
        <v>1202.2644346174131</v>
      </c>
      <c r="O1614" s="13">
        <v>1341657.8818377638</v>
      </c>
      <c r="P1614" s="13">
        <v>0</v>
      </c>
      <c r="Q1614" s="14">
        <v>1</v>
      </c>
      <c r="R1614" s="15">
        <v>0</v>
      </c>
    </row>
    <row r="1615" spans="1:18" ht="18" customHeight="1">
      <c r="A1615" s="10" t="s">
        <v>20</v>
      </c>
      <c r="B1615" s="10" t="s">
        <v>21</v>
      </c>
      <c r="C1615" s="10" t="s">
        <v>254</v>
      </c>
      <c r="D1615" s="10" t="s">
        <v>268</v>
      </c>
      <c r="E1615" s="16">
        <v>10</v>
      </c>
      <c r="F1615" s="16">
        <v>10</v>
      </c>
      <c r="G1615" s="13">
        <v>181958.4514208631</v>
      </c>
      <c r="H1615" s="13">
        <v>181958.4514208631</v>
      </c>
      <c r="I1615" s="14">
        <v>0</v>
      </c>
      <c r="J1615" s="15">
        <v>1</v>
      </c>
      <c r="K1615" s="14">
        <v>989.80787732247052</v>
      </c>
      <c r="L1615" s="13">
        <v>180103908.56176838</v>
      </c>
      <c r="M1615" s="14">
        <v>3.7927580185188288</v>
      </c>
      <c r="N1615" s="14">
        <v>620.52319294656536</v>
      </c>
      <c r="O1615" s="13">
        <v>112909439.25928648</v>
      </c>
      <c r="P1615" s="13">
        <v>67194469.302481905</v>
      </c>
      <c r="Q1615" s="14">
        <v>1.5951182624171554</v>
      </c>
      <c r="R1615" s="15">
        <v>0.59511826241715526</v>
      </c>
    </row>
    <row r="1616" spans="1:18" ht="18" customHeight="1">
      <c r="A1616" s="10" t="s">
        <v>20</v>
      </c>
      <c r="B1616" s="10" t="s">
        <v>21</v>
      </c>
      <c r="C1616" s="10" t="s">
        <v>254</v>
      </c>
      <c r="D1616" s="10" t="s">
        <v>269</v>
      </c>
      <c r="E1616" s="16">
        <v>36</v>
      </c>
      <c r="F1616" s="16">
        <v>36</v>
      </c>
      <c r="G1616" s="13">
        <v>1040277.493119509</v>
      </c>
      <c r="H1616" s="13">
        <v>1040277.493119509</v>
      </c>
      <c r="I1616" s="14">
        <v>0</v>
      </c>
      <c r="J1616" s="15">
        <v>1</v>
      </c>
      <c r="K1616" s="14">
        <v>430.56842689096476</v>
      </c>
      <c r="L1616" s="13">
        <v>447910643.7425434</v>
      </c>
      <c r="M1616" s="14">
        <v>3.4893501962982825</v>
      </c>
      <c r="N1616" s="14">
        <v>308.56751023760847</v>
      </c>
      <c r="O1616" s="13">
        <v>320995836.00810778</v>
      </c>
      <c r="P1616" s="13">
        <v>126914807.73443562</v>
      </c>
      <c r="Q1616" s="14">
        <v>1.3953783616408968</v>
      </c>
      <c r="R1616" s="15">
        <v>0.39537836164089674</v>
      </c>
    </row>
    <row r="1617" spans="1:18" ht="18" customHeight="1">
      <c r="A1617" s="10" t="s">
        <v>20</v>
      </c>
      <c r="B1617" s="10" t="s">
        <v>21</v>
      </c>
      <c r="C1617" s="10" t="s">
        <v>254</v>
      </c>
      <c r="D1617" s="10" t="s">
        <v>270</v>
      </c>
      <c r="E1617" s="16">
        <v>24</v>
      </c>
      <c r="F1617" s="16">
        <v>24</v>
      </c>
      <c r="G1617" s="13">
        <v>696370.20790330297</v>
      </c>
      <c r="H1617" s="13">
        <v>696370.20790330297</v>
      </c>
      <c r="I1617" s="14">
        <v>0</v>
      </c>
      <c r="J1617" s="15">
        <v>1</v>
      </c>
      <c r="K1617" s="14">
        <v>675.50687629009883</v>
      </c>
      <c r="L1617" s="13">
        <v>470402863.88224685</v>
      </c>
      <c r="M1617" s="14">
        <v>3.598990474777878</v>
      </c>
      <c r="N1617" s="14">
        <v>397.18283810790496</v>
      </c>
      <c r="O1617" s="13">
        <v>276586295.54882568</v>
      </c>
      <c r="P1617" s="13">
        <v>193816568.33342117</v>
      </c>
      <c r="Q1617" s="14">
        <v>1.7007453783956799</v>
      </c>
      <c r="R1617" s="15">
        <v>0.70074537839567974</v>
      </c>
    </row>
    <row r="1618" spans="1:18" ht="18" customHeight="1">
      <c r="A1618" s="10" t="s">
        <v>20</v>
      </c>
      <c r="B1618" s="10" t="s">
        <v>21</v>
      </c>
      <c r="C1618" s="10" t="s">
        <v>254</v>
      </c>
      <c r="D1618" s="10" t="s">
        <v>276</v>
      </c>
      <c r="E1618" s="16">
        <v>87</v>
      </c>
      <c r="F1618" s="16">
        <v>87</v>
      </c>
      <c r="G1618" s="13">
        <v>238366.95934516011</v>
      </c>
      <c r="H1618" s="13">
        <v>238366.95934516011</v>
      </c>
      <c r="I1618" s="14">
        <v>0</v>
      </c>
      <c r="J1618" s="15">
        <v>1</v>
      </c>
      <c r="K1618" s="14">
        <v>772.05208717837183</v>
      </c>
      <c r="L1618" s="13">
        <v>184031708.47679296</v>
      </c>
      <c r="M1618" s="14">
        <v>3.5762511244320128</v>
      </c>
      <c r="N1618" s="14">
        <v>376.92168543462128</v>
      </c>
      <c r="O1618" s="13">
        <v>89845676.0683036</v>
      </c>
      <c r="P1618" s="13">
        <v>94186032.408489361</v>
      </c>
      <c r="Q1618" s="14">
        <v>2.048309017530082</v>
      </c>
      <c r="R1618" s="15">
        <v>1.0483090175300822</v>
      </c>
    </row>
    <row r="1619" spans="1:18" ht="18" customHeight="1">
      <c r="A1619" s="10" t="s">
        <v>20</v>
      </c>
      <c r="B1619" s="10" t="s">
        <v>21</v>
      </c>
      <c r="C1619" s="10" t="s">
        <v>254</v>
      </c>
      <c r="D1619" s="10" t="s">
        <v>271</v>
      </c>
      <c r="E1619" s="16">
        <v>20</v>
      </c>
      <c r="F1619" s="16">
        <v>20</v>
      </c>
      <c r="G1619" s="13">
        <v>98643.462707293991</v>
      </c>
      <c r="H1619" s="13">
        <v>98643.462707293991</v>
      </c>
      <c r="I1619" s="14">
        <v>0</v>
      </c>
      <c r="J1619" s="15">
        <v>1</v>
      </c>
      <c r="K1619" s="14">
        <v>18.805524092239605</v>
      </c>
      <c r="L1619" s="13">
        <v>1855042.0144839562</v>
      </c>
      <c r="M1619" s="14">
        <v>2.2353162102929707</v>
      </c>
      <c r="N1619" s="14">
        <v>17.191596536247086</v>
      </c>
      <c r="O1619" s="13">
        <v>1695838.611802134</v>
      </c>
      <c r="P1619" s="13">
        <v>159203.40268182219</v>
      </c>
      <c r="Q1619" s="14">
        <v>1.0938788641642261</v>
      </c>
      <c r="R1619" s="15">
        <v>9.3878864164226042E-2</v>
      </c>
    </row>
    <row r="1620" spans="1:18" ht="18" customHeight="1">
      <c r="A1620" s="10" t="s">
        <v>20</v>
      </c>
      <c r="B1620" s="10" t="s">
        <v>21</v>
      </c>
      <c r="C1620" s="10" t="s">
        <v>254</v>
      </c>
      <c r="D1620" s="10" t="s">
        <v>272</v>
      </c>
      <c r="E1620" s="16">
        <v>10</v>
      </c>
      <c r="F1620" s="16">
        <v>10</v>
      </c>
      <c r="G1620" s="13">
        <v>180143.65279700793</v>
      </c>
      <c r="H1620" s="13">
        <v>180143.65279700793</v>
      </c>
      <c r="I1620" s="14">
        <v>0</v>
      </c>
      <c r="J1620" s="15">
        <v>1</v>
      </c>
      <c r="K1620" s="14">
        <v>179.96852990616736</v>
      </c>
      <c r="L1620" s="13">
        <v>32420188.365804553</v>
      </c>
      <c r="M1620" s="14">
        <v>3.1522475084271604</v>
      </c>
      <c r="N1620" s="14">
        <v>141.98664861432439</v>
      </c>
      <c r="O1620" s="13">
        <v>25577993.529789623</v>
      </c>
      <c r="P1620" s="13">
        <v>6842194.8360149302</v>
      </c>
      <c r="Q1620" s="14">
        <v>1.2675031889442818</v>
      </c>
      <c r="R1620" s="15">
        <v>0.26750318894428177</v>
      </c>
    </row>
    <row r="1621" spans="1:18" ht="18" customHeight="1">
      <c r="A1621" s="10" t="s">
        <v>20</v>
      </c>
      <c r="B1621" s="10" t="s">
        <v>21</v>
      </c>
      <c r="C1621" s="10" t="s">
        <v>254</v>
      </c>
      <c r="D1621" s="10" t="s">
        <v>283</v>
      </c>
      <c r="E1621" s="16">
        <v>7</v>
      </c>
      <c r="F1621" s="16">
        <v>7</v>
      </c>
      <c r="G1621" s="13">
        <v>16357.8658160091</v>
      </c>
      <c r="H1621" s="13">
        <v>16357.8658160091</v>
      </c>
      <c r="I1621" s="14">
        <v>0</v>
      </c>
      <c r="J1621" s="15">
        <v>1</v>
      </c>
      <c r="K1621" s="14">
        <v>170.36341021208662</v>
      </c>
      <c r="L1621" s="13">
        <v>2786781.8042070274</v>
      </c>
      <c r="M1621" s="14">
        <v>3.2197929121987485</v>
      </c>
      <c r="N1621" s="14">
        <v>165.87957431671879</v>
      </c>
      <c r="O1621" s="13">
        <v>2713435.8182895952</v>
      </c>
      <c r="P1621" s="13">
        <v>73345.985917432234</v>
      </c>
      <c r="Q1621" s="14">
        <v>1.0270306691697118</v>
      </c>
      <c r="R1621" s="15">
        <v>2.7030669169711787E-2</v>
      </c>
    </row>
    <row r="1622" spans="1:18" ht="18" customHeight="1">
      <c r="A1622" s="10" t="s">
        <v>20</v>
      </c>
      <c r="B1622" s="10" t="s">
        <v>21</v>
      </c>
      <c r="C1622" s="10" t="s">
        <v>254</v>
      </c>
      <c r="D1622" s="10" t="s">
        <v>278</v>
      </c>
      <c r="E1622" s="16">
        <v>10</v>
      </c>
      <c r="F1622" s="16">
        <v>10</v>
      </c>
      <c r="G1622" s="13">
        <v>185786.3739168006</v>
      </c>
      <c r="H1622" s="13">
        <v>185786.3739168006</v>
      </c>
      <c r="I1622" s="14">
        <v>0</v>
      </c>
      <c r="J1622" s="15">
        <v>1</v>
      </c>
      <c r="K1622" s="14">
        <v>343.89524396700159</v>
      </c>
      <c r="L1622" s="13">
        <v>63891050.383862719</v>
      </c>
      <c r="M1622" s="14">
        <v>3.5221109731893718</v>
      </c>
      <c r="N1622" s="14">
        <v>332.74456705785803</v>
      </c>
      <c r="O1622" s="13">
        <v>61819406.554195143</v>
      </c>
      <c r="P1622" s="13">
        <v>2071643.8296675757</v>
      </c>
      <c r="Q1622" s="14">
        <v>1.0335112215587419</v>
      </c>
      <c r="R1622" s="15">
        <v>3.3511221558741915E-2</v>
      </c>
    </row>
    <row r="1623" spans="1:18" ht="18" customHeight="1">
      <c r="A1623" s="10" t="s">
        <v>20</v>
      </c>
      <c r="B1623" s="10" t="s">
        <v>21</v>
      </c>
      <c r="C1623" s="10" t="s">
        <v>254</v>
      </c>
      <c r="D1623" s="10" t="s">
        <v>273</v>
      </c>
      <c r="E1623" s="16">
        <v>23</v>
      </c>
      <c r="F1623" s="16">
        <v>23</v>
      </c>
      <c r="G1623" s="13">
        <v>1055406.1865886298</v>
      </c>
      <c r="H1623" s="13">
        <v>1055406.1865886298</v>
      </c>
      <c r="I1623" s="14">
        <v>0</v>
      </c>
      <c r="J1623" s="15">
        <v>1</v>
      </c>
      <c r="K1623" s="14">
        <v>104.75986678987022</v>
      </c>
      <c r="L1623" s="13">
        <v>110564211.51622978</v>
      </c>
      <c r="M1623" s="14">
        <v>2.7550989092856772</v>
      </c>
      <c r="N1623" s="14">
        <v>56.898250017283736</v>
      </c>
      <c r="O1623" s="13">
        <v>60050765.074307874</v>
      </c>
      <c r="P1623" s="13">
        <v>50513446.441921905</v>
      </c>
      <c r="Q1623" s="14">
        <v>1.8411790654026752</v>
      </c>
      <c r="R1623" s="15">
        <v>0.84117906540267517</v>
      </c>
    </row>
    <row r="1624" spans="1:18" ht="18" customHeight="1">
      <c r="A1624" s="10" t="s">
        <v>20</v>
      </c>
      <c r="B1624" s="10" t="s">
        <v>21</v>
      </c>
      <c r="C1624" s="10" t="s">
        <v>254</v>
      </c>
      <c r="D1624" s="10" t="s">
        <v>284</v>
      </c>
      <c r="E1624" s="16">
        <v>10</v>
      </c>
      <c r="F1624" s="16">
        <v>10</v>
      </c>
      <c r="G1624" s="13">
        <v>24188.354057597098</v>
      </c>
      <c r="H1624" s="13">
        <v>24188.354057597098</v>
      </c>
      <c r="I1624" s="14">
        <v>0</v>
      </c>
      <c r="J1624" s="15">
        <v>1</v>
      </c>
      <c r="K1624" s="14">
        <v>356.3959315281266</v>
      </c>
      <c r="L1624" s="13">
        <v>8620630.9764894582</v>
      </c>
      <c r="M1624" s="14">
        <v>3.1967470304764967</v>
      </c>
      <c r="N1624" s="14">
        <v>157.30663118259807</v>
      </c>
      <c r="O1624" s="13">
        <v>3804988.4906525263</v>
      </c>
      <c r="P1624" s="13">
        <v>4815642.4858369324</v>
      </c>
      <c r="Q1624" s="14">
        <v>2.2656128915152345</v>
      </c>
      <c r="R1624" s="15">
        <v>1.2656128915152347</v>
      </c>
    </row>
    <row r="1625" spans="1:18" ht="18" customHeight="1">
      <c r="A1625" s="10" t="s">
        <v>20</v>
      </c>
      <c r="B1625" s="10" t="s">
        <v>21</v>
      </c>
      <c r="C1625" s="10" t="s">
        <v>254</v>
      </c>
      <c r="D1625" s="10" t="s">
        <v>274</v>
      </c>
      <c r="E1625" s="16">
        <v>5</v>
      </c>
      <c r="F1625" s="16">
        <v>5</v>
      </c>
      <c r="G1625" s="13">
        <v>50229.592475417296</v>
      </c>
      <c r="H1625" s="13">
        <v>50229.592475417296</v>
      </c>
      <c r="I1625" s="14">
        <v>0</v>
      </c>
      <c r="J1625" s="15">
        <v>1</v>
      </c>
      <c r="K1625" s="14">
        <v>566.81409297563334</v>
      </c>
      <c r="L1625" s="13">
        <v>28470840.899489351</v>
      </c>
      <c r="M1625" s="14">
        <v>3.3798685722293471</v>
      </c>
      <c r="N1625" s="14">
        <v>239.81070853372918</v>
      </c>
      <c r="O1625" s="13">
        <v>12045594.160890294</v>
      </c>
      <c r="P1625" s="13">
        <v>16425246.738599056</v>
      </c>
      <c r="Q1625" s="14">
        <v>2.3635895846407182</v>
      </c>
      <c r="R1625" s="15">
        <v>1.3635895846407182</v>
      </c>
    </row>
    <row r="1626" spans="1:18" ht="18" customHeight="1">
      <c r="A1626" s="10" t="s">
        <v>20</v>
      </c>
      <c r="B1626" s="10" t="s">
        <v>21</v>
      </c>
      <c r="C1626" s="10" t="s">
        <v>254</v>
      </c>
      <c r="D1626" s="10" t="s">
        <v>282</v>
      </c>
      <c r="E1626" s="16">
        <v>1</v>
      </c>
      <c r="F1626" s="16">
        <v>1</v>
      </c>
      <c r="G1626" s="13">
        <v>549.71834267679992</v>
      </c>
      <c r="H1626" s="13">
        <v>549.71834267679992</v>
      </c>
      <c r="I1626" s="14">
        <v>0</v>
      </c>
      <c r="J1626" s="15">
        <v>1</v>
      </c>
      <c r="K1626" s="14">
        <v>575.43993733715661</v>
      </c>
      <c r="L1626" s="13">
        <v>316329.8886630233</v>
      </c>
      <c r="M1626" s="14">
        <v>3.76</v>
      </c>
      <c r="N1626" s="14">
        <v>575.43993733715661</v>
      </c>
      <c r="O1626" s="13">
        <v>316329.8886630233</v>
      </c>
      <c r="P1626" s="13">
        <v>0</v>
      </c>
      <c r="Q1626" s="14">
        <v>1</v>
      </c>
      <c r="R1626" s="15">
        <v>0</v>
      </c>
    </row>
    <row r="1627" spans="1:18" ht="18" customHeight="1">
      <c r="A1627" s="10" t="s">
        <v>20</v>
      </c>
      <c r="B1627" s="10" t="s">
        <v>21</v>
      </c>
      <c r="C1627" s="10" t="s">
        <v>254</v>
      </c>
      <c r="D1627" s="10" t="s">
        <v>275</v>
      </c>
      <c r="E1627" s="16">
        <v>2</v>
      </c>
      <c r="F1627" s="16">
        <v>2</v>
      </c>
      <c r="G1627" s="13">
        <v>1239.109382334</v>
      </c>
      <c r="H1627" s="13">
        <v>1239.109382334</v>
      </c>
      <c r="I1627" s="14">
        <v>0</v>
      </c>
      <c r="J1627" s="15">
        <v>1</v>
      </c>
      <c r="K1627" s="14">
        <v>1011.6293817013569</v>
      </c>
      <c r="L1627" s="13">
        <v>1253519.4583108947</v>
      </c>
      <c r="M1627" s="14">
        <v>3.9982636769890036</v>
      </c>
      <c r="N1627" s="14">
        <v>996.00995000583271</v>
      </c>
      <c r="O1627" s="13">
        <v>1234165.2739502455</v>
      </c>
      <c r="P1627" s="13">
        <v>19354.184360649204</v>
      </c>
      <c r="Q1627" s="14">
        <v>1.0156820036741931</v>
      </c>
      <c r="R1627" s="15">
        <v>1.5682003674193035E-2</v>
      </c>
    </row>
    <row r="1628" spans="1:18" ht="18" customHeight="1">
      <c r="A1628" s="10" t="s">
        <v>129</v>
      </c>
      <c r="B1628" s="10" t="s">
        <v>130</v>
      </c>
      <c r="C1628" s="10" t="s">
        <v>254</v>
      </c>
      <c r="D1628" s="10" t="s">
        <v>255</v>
      </c>
      <c r="E1628" s="16">
        <v>10</v>
      </c>
      <c r="F1628" s="16">
        <v>10</v>
      </c>
      <c r="G1628" s="13">
        <v>4351.1627640057995</v>
      </c>
      <c r="H1628" s="13">
        <v>4351.1627640057995</v>
      </c>
      <c r="I1628" s="14">
        <v>0</v>
      </c>
      <c r="J1628" s="15">
        <v>1</v>
      </c>
      <c r="K1628" s="14">
        <v>517.57950031717814</v>
      </c>
      <c r="L1628" s="13">
        <v>2252072.6491928333</v>
      </c>
      <c r="M1628" s="14">
        <v>3.6866536115135311</v>
      </c>
      <c r="N1628" s="14">
        <v>486.01940734394549</v>
      </c>
      <c r="O1628" s="13">
        <v>2114749.5478191422</v>
      </c>
      <c r="P1628" s="13">
        <v>137323.10137369111</v>
      </c>
      <c r="Q1628" s="14">
        <v>1.0649358698363629</v>
      </c>
      <c r="R1628" s="15">
        <v>6.4935869836362903E-2</v>
      </c>
    </row>
    <row r="1629" spans="1:18" ht="18" customHeight="1">
      <c r="A1629" s="10" t="s">
        <v>129</v>
      </c>
      <c r="B1629" s="10" t="s">
        <v>130</v>
      </c>
      <c r="C1629" s="10" t="s">
        <v>254</v>
      </c>
      <c r="D1629" s="10" t="s">
        <v>258</v>
      </c>
      <c r="E1629" s="16">
        <v>5</v>
      </c>
      <c r="F1629" s="16">
        <v>5</v>
      </c>
      <c r="G1629" s="13">
        <v>690.59959376710003</v>
      </c>
      <c r="H1629" s="13">
        <v>690.59959376710003</v>
      </c>
      <c r="I1629" s="14">
        <v>0</v>
      </c>
      <c r="J1629" s="15">
        <v>1</v>
      </c>
      <c r="K1629" s="14">
        <v>2018.807200950987</v>
      </c>
      <c r="L1629" s="13">
        <v>1394187.4328708479</v>
      </c>
      <c r="M1629" s="14">
        <v>4.0764519399183294</v>
      </c>
      <c r="N1629" s="14">
        <v>1192.4822955681552</v>
      </c>
      <c r="O1629" s="13">
        <v>823527.78889382689</v>
      </c>
      <c r="P1629" s="13">
        <v>570659.64397702098</v>
      </c>
      <c r="Q1629" s="14">
        <v>1.6929452189385599</v>
      </c>
      <c r="R1629" s="15">
        <v>0.69294521893855987</v>
      </c>
    </row>
    <row r="1630" spans="1:18" ht="18" customHeight="1">
      <c r="A1630" s="10" t="s">
        <v>129</v>
      </c>
      <c r="B1630" s="10" t="s">
        <v>130</v>
      </c>
      <c r="C1630" s="10" t="s">
        <v>254</v>
      </c>
      <c r="D1630" s="10" t="s">
        <v>259</v>
      </c>
      <c r="E1630" s="16">
        <v>1</v>
      </c>
      <c r="F1630" s="16">
        <v>1</v>
      </c>
      <c r="G1630" s="13">
        <v>548.14158218720002</v>
      </c>
      <c r="H1630" s="13">
        <v>548.14158218720002</v>
      </c>
      <c r="I1630" s="14">
        <v>0</v>
      </c>
      <c r="J1630" s="15">
        <v>1</v>
      </c>
      <c r="K1630" s="14">
        <v>346.73685045253166</v>
      </c>
      <c r="L1630" s="13">
        <v>190060.88580965725</v>
      </c>
      <c r="M1630" s="14">
        <v>3.54</v>
      </c>
      <c r="N1630" s="14">
        <v>346.73685045253166</v>
      </c>
      <c r="O1630" s="13">
        <v>190060.88580965725</v>
      </c>
      <c r="P1630" s="13">
        <v>0</v>
      </c>
      <c r="Q1630" s="14">
        <v>1</v>
      </c>
      <c r="R1630" s="15">
        <v>0</v>
      </c>
    </row>
    <row r="1631" spans="1:18" ht="18" customHeight="1">
      <c r="A1631" s="10" t="s">
        <v>129</v>
      </c>
      <c r="B1631" s="10" t="s">
        <v>130</v>
      </c>
      <c r="C1631" s="10" t="s">
        <v>254</v>
      </c>
      <c r="D1631" s="10" t="s">
        <v>261</v>
      </c>
      <c r="E1631" s="16">
        <v>16</v>
      </c>
      <c r="F1631" s="16">
        <v>16</v>
      </c>
      <c r="G1631" s="13">
        <v>12753.2736959468</v>
      </c>
      <c r="H1631" s="13">
        <v>12753.2736959468</v>
      </c>
      <c r="I1631" s="14">
        <v>0</v>
      </c>
      <c r="J1631" s="15">
        <v>1</v>
      </c>
      <c r="K1631" s="14">
        <v>2837.1908464038315</v>
      </c>
      <c r="L1631" s="13">
        <v>36183471.391823024</v>
      </c>
      <c r="M1631" s="14">
        <v>4.4420417269608476</v>
      </c>
      <c r="N1631" s="14">
        <v>2767.2075055990044</v>
      </c>
      <c r="O1631" s="13">
        <v>35290954.692382343</v>
      </c>
      <c r="P1631" s="13">
        <v>892516.69944068044</v>
      </c>
      <c r="Q1631" s="14">
        <v>1.0252902395874639</v>
      </c>
      <c r="R1631" s="15">
        <v>2.5290239587463834E-2</v>
      </c>
    </row>
    <row r="1632" spans="1:18" ht="18" customHeight="1">
      <c r="A1632" s="10" t="s">
        <v>129</v>
      </c>
      <c r="B1632" s="10" t="s">
        <v>130</v>
      </c>
      <c r="C1632" s="10" t="s">
        <v>254</v>
      </c>
      <c r="D1632" s="10" t="s">
        <v>262</v>
      </c>
      <c r="E1632" s="16">
        <v>3</v>
      </c>
      <c r="F1632" s="16">
        <v>3</v>
      </c>
      <c r="G1632" s="13">
        <v>16.288517289000001</v>
      </c>
      <c r="H1632" s="13">
        <v>16.288517289000001</v>
      </c>
      <c r="I1632" s="14">
        <v>0</v>
      </c>
      <c r="J1632" s="15">
        <v>1</v>
      </c>
      <c r="K1632" s="14">
        <v>536.22462163319631</v>
      </c>
      <c r="L1632" s="13">
        <v>8734.3040202598022</v>
      </c>
      <c r="M1632" s="14">
        <v>3.7293152821543463</v>
      </c>
      <c r="N1632" s="14">
        <v>536.18576781489799</v>
      </c>
      <c r="O1632" s="13">
        <v>8733.6711491687056</v>
      </c>
      <c r="P1632" s="13">
        <v>0.63287109109660378</v>
      </c>
      <c r="Q1632" s="14">
        <v>1.0000724633524996</v>
      </c>
      <c r="R1632" s="15">
        <v>7.24633524994632E-5</v>
      </c>
    </row>
    <row r="1633" spans="1:18" ht="18" customHeight="1">
      <c r="A1633" s="10" t="s">
        <v>129</v>
      </c>
      <c r="B1633" s="10" t="s">
        <v>130</v>
      </c>
      <c r="C1633" s="10" t="s">
        <v>254</v>
      </c>
      <c r="D1633" s="10" t="s">
        <v>263</v>
      </c>
      <c r="E1633" s="16">
        <v>18</v>
      </c>
      <c r="F1633" s="16">
        <v>18</v>
      </c>
      <c r="G1633" s="13">
        <v>1803.4929445482999</v>
      </c>
      <c r="H1633" s="13">
        <v>1803.4929445482999</v>
      </c>
      <c r="I1633" s="14">
        <v>0</v>
      </c>
      <c r="J1633" s="15">
        <v>1</v>
      </c>
      <c r="K1633" s="14">
        <v>1661.1749170485286</v>
      </c>
      <c r="L1633" s="13">
        <v>2995917.2425576285</v>
      </c>
      <c r="M1633" s="14">
        <v>4.0244449503970321</v>
      </c>
      <c r="N1633" s="14">
        <v>1057.9008118037777</v>
      </c>
      <c r="O1633" s="13">
        <v>1907916.650120032</v>
      </c>
      <c r="P1633" s="13">
        <v>1088000.5924375965</v>
      </c>
      <c r="Q1633" s="14">
        <v>1.5702558297654918</v>
      </c>
      <c r="R1633" s="15">
        <v>0.57025582976549194</v>
      </c>
    </row>
    <row r="1634" spans="1:18" ht="18" customHeight="1">
      <c r="A1634" s="10" t="s">
        <v>129</v>
      </c>
      <c r="B1634" s="10" t="s">
        <v>130</v>
      </c>
      <c r="C1634" s="10" t="s">
        <v>254</v>
      </c>
      <c r="D1634" s="10" t="s">
        <v>264</v>
      </c>
      <c r="E1634" s="16">
        <v>3</v>
      </c>
      <c r="F1634" s="16">
        <v>3</v>
      </c>
      <c r="G1634" s="13">
        <v>2656.0781118647001</v>
      </c>
      <c r="H1634" s="13">
        <v>2656.0781118647001</v>
      </c>
      <c r="I1634" s="14">
        <v>0</v>
      </c>
      <c r="J1634" s="15">
        <v>1</v>
      </c>
      <c r="K1634" s="14">
        <v>1244.6106016225458</v>
      </c>
      <c r="L1634" s="13">
        <v>3305782.9767644</v>
      </c>
      <c r="M1634" s="14">
        <v>4.0871132763103768</v>
      </c>
      <c r="N1634" s="14">
        <v>1222.11838171052</v>
      </c>
      <c r="O1634" s="13">
        <v>3246041.8837688207</v>
      </c>
      <c r="P1634" s="13">
        <v>59741.092995579354</v>
      </c>
      <c r="Q1634" s="14">
        <v>1.0184042890186669</v>
      </c>
      <c r="R1634" s="15">
        <v>1.8404289018666909E-2</v>
      </c>
    </row>
    <row r="1635" spans="1:18" ht="18" customHeight="1">
      <c r="A1635" s="10" t="s">
        <v>129</v>
      </c>
      <c r="B1635" s="10" t="s">
        <v>130</v>
      </c>
      <c r="C1635" s="10" t="s">
        <v>254</v>
      </c>
      <c r="D1635" s="10" t="s">
        <v>265</v>
      </c>
      <c r="E1635" s="16">
        <v>8</v>
      </c>
      <c r="F1635" s="16">
        <v>8</v>
      </c>
      <c r="G1635" s="13">
        <v>1773.3764100097001</v>
      </c>
      <c r="H1635" s="13">
        <v>1773.3764100097001</v>
      </c>
      <c r="I1635" s="14">
        <v>0</v>
      </c>
      <c r="J1635" s="15">
        <v>1</v>
      </c>
      <c r="K1635" s="14">
        <v>196.54307117007087</v>
      </c>
      <c r="L1635" s="13">
        <v>348544.84596386127</v>
      </c>
      <c r="M1635" s="14">
        <v>3.1465110984668705</v>
      </c>
      <c r="N1635" s="14">
        <v>140.12353932832585</v>
      </c>
      <c r="O1635" s="13">
        <v>248491.77913191952</v>
      </c>
      <c r="P1635" s="13">
        <v>100053.06683194175</v>
      </c>
      <c r="Q1635" s="14">
        <v>1.4026413557078905</v>
      </c>
      <c r="R1635" s="15">
        <v>0.40264135570789039</v>
      </c>
    </row>
    <row r="1636" spans="1:18" ht="18" customHeight="1">
      <c r="A1636" s="10" t="s">
        <v>129</v>
      </c>
      <c r="B1636" s="10" t="s">
        <v>130</v>
      </c>
      <c r="C1636" s="10" t="s">
        <v>254</v>
      </c>
      <c r="D1636" s="10" t="s">
        <v>268</v>
      </c>
      <c r="E1636" s="16">
        <v>2</v>
      </c>
      <c r="F1636" s="16">
        <v>2</v>
      </c>
      <c r="G1636" s="13">
        <v>950.3470980039001</v>
      </c>
      <c r="H1636" s="13">
        <v>950.3470980039001</v>
      </c>
      <c r="I1636" s="14">
        <v>0</v>
      </c>
      <c r="J1636" s="15">
        <v>1</v>
      </c>
      <c r="K1636" s="14">
        <v>204.1586919558315</v>
      </c>
      <c r="L1636" s="13">
        <v>194021.62043249665</v>
      </c>
      <c r="M1636" s="14">
        <v>3.3099517977937425</v>
      </c>
      <c r="N1636" s="14">
        <v>204.15113454005078</v>
      </c>
      <c r="O1636" s="13">
        <v>194014.43826434104</v>
      </c>
      <c r="P1636" s="13">
        <v>7.1821681556175463</v>
      </c>
      <c r="Q1636" s="14">
        <v>1.0000370187302547</v>
      </c>
      <c r="R1636" s="15">
        <v>3.7018730254662679E-5</v>
      </c>
    </row>
    <row r="1637" spans="1:18" ht="18" customHeight="1">
      <c r="A1637" s="10" t="s">
        <v>129</v>
      </c>
      <c r="B1637" s="10" t="s">
        <v>130</v>
      </c>
      <c r="C1637" s="10" t="s">
        <v>254</v>
      </c>
      <c r="D1637" s="10" t="s">
        <v>269</v>
      </c>
      <c r="E1637" s="16">
        <v>21</v>
      </c>
      <c r="F1637" s="16">
        <v>21</v>
      </c>
      <c r="G1637" s="13">
        <v>22808.418822380405</v>
      </c>
      <c r="H1637" s="13">
        <v>22808.418822380405</v>
      </c>
      <c r="I1637" s="14">
        <v>0</v>
      </c>
      <c r="J1637" s="15">
        <v>1</v>
      </c>
      <c r="K1637" s="14">
        <v>850.95446253887985</v>
      </c>
      <c r="L1637" s="13">
        <v>19408925.78036039</v>
      </c>
      <c r="M1637" s="14">
        <v>3.6701134629936285</v>
      </c>
      <c r="N1637" s="14">
        <v>467.85735689144752</v>
      </c>
      <c r="O1637" s="13">
        <v>10671086.545112038</v>
      </c>
      <c r="P1637" s="13">
        <v>8737839.2352483515</v>
      </c>
      <c r="Q1637" s="14">
        <v>1.8188331336559891</v>
      </c>
      <c r="R1637" s="15">
        <v>0.81883313365598898</v>
      </c>
    </row>
    <row r="1638" spans="1:18" ht="18" customHeight="1">
      <c r="A1638" s="10" t="s">
        <v>129</v>
      </c>
      <c r="B1638" s="10" t="s">
        <v>130</v>
      </c>
      <c r="C1638" s="10" t="s">
        <v>254</v>
      </c>
      <c r="D1638" s="10" t="s">
        <v>270</v>
      </c>
      <c r="E1638" s="16">
        <v>15</v>
      </c>
      <c r="F1638" s="16">
        <v>15</v>
      </c>
      <c r="G1638" s="13">
        <v>23871.949389571699</v>
      </c>
      <c r="H1638" s="13">
        <v>23871.949389571699</v>
      </c>
      <c r="I1638" s="14">
        <v>0</v>
      </c>
      <c r="J1638" s="15">
        <v>1</v>
      </c>
      <c r="K1638" s="14">
        <v>506.0081023286026</v>
      </c>
      <c r="L1638" s="13">
        <v>12079399.809501618</v>
      </c>
      <c r="M1638" s="14">
        <v>3.5764229286579967</v>
      </c>
      <c r="N1638" s="14">
        <v>377.07082283215789</v>
      </c>
      <c r="O1638" s="13">
        <v>9001415.5989334304</v>
      </c>
      <c r="P1638" s="13">
        <v>3077984.2105681878</v>
      </c>
      <c r="Q1638" s="14">
        <v>1.3419444615947846</v>
      </c>
      <c r="R1638" s="15">
        <v>0.34194446159478464</v>
      </c>
    </row>
    <row r="1639" spans="1:18" ht="18" customHeight="1">
      <c r="A1639" s="10" t="s">
        <v>129</v>
      </c>
      <c r="B1639" s="10" t="s">
        <v>130</v>
      </c>
      <c r="C1639" s="10" t="s">
        <v>254</v>
      </c>
      <c r="D1639" s="10" t="s">
        <v>276</v>
      </c>
      <c r="E1639" s="16">
        <v>54</v>
      </c>
      <c r="F1639" s="16">
        <v>54</v>
      </c>
      <c r="G1639" s="13">
        <v>29052.373072548602</v>
      </c>
      <c r="H1639" s="13">
        <v>29052.373072548602</v>
      </c>
      <c r="I1639" s="14">
        <v>0</v>
      </c>
      <c r="J1639" s="15">
        <v>1</v>
      </c>
      <c r="K1639" s="14">
        <v>835.18461159027322</v>
      </c>
      <c r="L1639" s="13">
        <v>24264094.920372218</v>
      </c>
      <c r="M1639" s="14">
        <v>3.6954497437199465</v>
      </c>
      <c r="N1639" s="14">
        <v>495.96353149204731</v>
      </c>
      <c r="O1639" s="13">
        <v>14408917.547285667</v>
      </c>
      <c r="P1639" s="13">
        <v>9855177.3730865512</v>
      </c>
      <c r="Q1639" s="14">
        <v>1.6839637565240324</v>
      </c>
      <c r="R1639" s="15">
        <v>0.68396375652403241</v>
      </c>
    </row>
    <row r="1640" spans="1:18" ht="18" customHeight="1">
      <c r="A1640" s="10" t="s">
        <v>129</v>
      </c>
      <c r="B1640" s="10" t="s">
        <v>130</v>
      </c>
      <c r="C1640" s="10" t="s">
        <v>254</v>
      </c>
      <c r="D1640" s="10" t="s">
        <v>271</v>
      </c>
      <c r="E1640" s="16">
        <v>5</v>
      </c>
      <c r="F1640" s="16">
        <v>5</v>
      </c>
      <c r="G1640" s="13">
        <v>2434.4811836686999</v>
      </c>
      <c r="H1640" s="13">
        <v>2434.4811836686999</v>
      </c>
      <c r="I1640" s="14">
        <v>0</v>
      </c>
      <c r="J1640" s="15">
        <v>1</v>
      </c>
      <c r="K1640" s="14">
        <v>12.022459641925524</v>
      </c>
      <c r="L1640" s="13">
        <v>29268.451779684023</v>
      </c>
      <c r="M1640" s="14">
        <v>2.0207113500354756</v>
      </c>
      <c r="N1640" s="14">
        <v>10.488450913775504</v>
      </c>
      <c r="O1640" s="13">
        <v>25533.936395419245</v>
      </c>
      <c r="P1640" s="13">
        <v>3734.5153842647778</v>
      </c>
      <c r="Q1640" s="14">
        <v>1.1462569392526076</v>
      </c>
      <c r="R1640" s="15">
        <v>0.14625693925260758</v>
      </c>
    </row>
    <row r="1641" spans="1:18" ht="18" customHeight="1">
      <c r="A1641" s="10" t="s">
        <v>129</v>
      </c>
      <c r="B1641" s="10" t="s">
        <v>130</v>
      </c>
      <c r="C1641" s="10" t="s">
        <v>254</v>
      </c>
      <c r="D1641" s="10" t="s">
        <v>272</v>
      </c>
      <c r="E1641" s="16">
        <v>5</v>
      </c>
      <c r="F1641" s="16">
        <v>5</v>
      </c>
      <c r="G1641" s="13">
        <v>3191.0123134095006</v>
      </c>
      <c r="H1641" s="13">
        <v>3191.0123134095006</v>
      </c>
      <c r="I1641" s="14">
        <v>0</v>
      </c>
      <c r="J1641" s="15">
        <v>1</v>
      </c>
      <c r="K1641" s="14">
        <v>89.940130941203421</v>
      </c>
      <c r="L1641" s="13">
        <v>287000.06530304294</v>
      </c>
      <c r="M1641" s="14">
        <v>2.7303329122136737</v>
      </c>
      <c r="N1641" s="14">
        <v>53.744362058974829</v>
      </c>
      <c r="O1641" s="13">
        <v>171498.92110652706</v>
      </c>
      <c r="P1641" s="13">
        <v>115501.14419651587</v>
      </c>
      <c r="Q1641" s="14">
        <v>1.6734802962682895</v>
      </c>
      <c r="R1641" s="15">
        <v>0.67348029626828965</v>
      </c>
    </row>
    <row r="1642" spans="1:18" ht="18" customHeight="1">
      <c r="A1642" s="10" t="s">
        <v>129</v>
      </c>
      <c r="B1642" s="10" t="s">
        <v>130</v>
      </c>
      <c r="C1642" s="10" t="s">
        <v>254</v>
      </c>
      <c r="D1642" s="10" t="s">
        <v>283</v>
      </c>
      <c r="E1642" s="16">
        <v>4</v>
      </c>
      <c r="F1642" s="16">
        <v>4</v>
      </c>
      <c r="G1642" s="13">
        <v>5862.5476458864996</v>
      </c>
      <c r="H1642" s="13">
        <v>5862.5476458864996</v>
      </c>
      <c r="I1642" s="14">
        <v>0</v>
      </c>
      <c r="J1642" s="15">
        <v>1</v>
      </c>
      <c r="K1642" s="14">
        <v>170.43716539550536</v>
      </c>
      <c r="L1642" s="13">
        <v>999196.00276098785</v>
      </c>
      <c r="M1642" s="14">
        <v>3.2299521534115576</v>
      </c>
      <c r="N1642" s="14">
        <v>169.80565658357582</v>
      </c>
      <c r="O1642" s="13">
        <v>995493.7522622539</v>
      </c>
      <c r="P1642" s="13">
        <v>3702.2504987339489</v>
      </c>
      <c r="Q1642" s="14">
        <v>1.0037190092758701</v>
      </c>
      <c r="R1642" s="15">
        <v>3.7190092758699949E-3</v>
      </c>
    </row>
    <row r="1643" spans="1:18" ht="18" customHeight="1">
      <c r="A1643" s="10" t="s">
        <v>129</v>
      </c>
      <c r="B1643" s="10" t="s">
        <v>130</v>
      </c>
      <c r="C1643" s="10" t="s">
        <v>254</v>
      </c>
      <c r="D1643" s="10" t="s">
        <v>278</v>
      </c>
      <c r="E1643" s="16">
        <v>5</v>
      </c>
      <c r="F1643" s="16">
        <v>5</v>
      </c>
      <c r="G1643" s="13">
        <v>10817.082211852799</v>
      </c>
      <c r="H1643" s="13">
        <v>10817.082211852799</v>
      </c>
      <c r="I1643" s="14">
        <v>0</v>
      </c>
      <c r="J1643" s="15">
        <v>1</v>
      </c>
      <c r="K1643" s="14">
        <v>445.4204277248229</v>
      </c>
      <c r="L1643" s="13">
        <v>4818149.3855380472</v>
      </c>
      <c r="M1643" s="14">
        <v>3.6185723103608955</v>
      </c>
      <c r="N1643" s="14">
        <v>415.50122675246143</v>
      </c>
      <c r="O1643" s="13">
        <v>4494510.9289070675</v>
      </c>
      <c r="P1643" s="13">
        <v>323638.45663097966</v>
      </c>
      <c r="Q1643" s="14">
        <v>1.0720074913044386</v>
      </c>
      <c r="R1643" s="15">
        <v>7.2007491304438537E-2</v>
      </c>
    </row>
    <row r="1644" spans="1:18" ht="18" customHeight="1">
      <c r="A1644" s="10" t="s">
        <v>129</v>
      </c>
      <c r="B1644" s="10" t="s">
        <v>130</v>
      </c>
      <c r="C1644" s="10" t="s">
        <v>254</v>
      </c>
      <c r="D1644" s="10" t="s">
        <v>273</v>
      </c>
      <c r="E1644" s="16">
        <v>8</v>
      </c>
      <c r="F1644" s="16">
        <v>8</v>
      </c>
      <c r="G1644" s="13">
        <v>21897.7068817654</v>
      </c>
      <c r="H1644" s="13">
        <v>21897.7068817654</v>
      </c>
      <c r="I1644" s="14">
        <v>0</v>
      </c>
      <c r="J1644" s="15">
        <v>1</v>
      </c>
      <c r="K1644" s="14">
        <v>167.56824482022995</v>
      </c>
      <c r="L1644" s="13">
        <v>3669360.3077652985</v>
      </c>
      <c r="M1644" s="14">
        <v>2.9946352777295422</v>
      </c>
      <c r="N1644" s="14">
        <v>98.772325225279943</v>
      </c>
      <c r="O1644" s="13">
        <v>2162887.4258135827</v>
      </c>
      <c r="P1644" s="13">
        <v>1506472.8819517158</v>
      </c>
      <c r="Q1644" s="14">
        <v>1.6965100744367438</v>
      </c>
      <c r="R1644" s="15">
        <v>0.69651007443674384</v>
      </c>
    </row>
    <row r="1645" spans="1:18" ht="18" customHeight="1">
      <c r="A1645" s="10" t="s">
        <v>129</v>
      </c>
      <c r="B1645" s="10" t="s">
        <v>130</v>
      </c>
      <c r="C1645" s="10" t="s">
        <v>254</v>
      </c>
      <c r="D1645" s="10" t="s">
        <v>284</v>
      </c>
      <c r="E1645" s="16">
        <v>5</v>
      </c>
      <c r="F1645" s="16">
        <v>5</v>
      </c>
      <c r="G1645" s="13">
        <v>913.91566820870003</v>
      </c>
      <c r="H1645" s="13">
        <v>913.91566820870003</v>
      </c>
      <c r="I1645" s="14">
        <v>0</v>
      </c>
      <c r="J1645" s="15">
        <v>1</v>
      </c>
      <c r="K1645" s="14">
        <v>669.18740186394723</v>
      </c>
      <c r="L1645" s="13">
        <v>611580.85153133317</v>
      </c>
      <c r="M1645" s="14">
        <v>3.6662512904548121</v>
      </c>
      <c r="N1645" s="14">
        <v>463.71515590193115</v>
      </c>
      <c r="O1645" s="13">
        <v>423796.54656461492</v>
      </c>
      <c r="P1645" s="13">
        <v>187784.30496671825</v>
      </c>
      <c r="Q1645" s="14">
        <v>1.4431001302132775</v>
      </c>
      <c r="R1645" s="15">
        <v>0.44310013021327765</v>
      </c>
    </row>
    <row r="1646" spans="1:18" ht="18" customHeight="1">
      <c r="A1646" s="10" t="s">
        <v>129</v>
      </c>
      <c r="B1646" s="10" t="s">
        <v>130</v>
      </c>
      <c r="C1646" s="10" t="s">
        <v>254</v>
      </c>
      <c r="D1646" s="10" t="s">
        <v>274</v>
      </c>
      <c r="E1646" s="16">
        <v>5</v>
      </c>
      <c r="F1646" s="16">
        <v>5</v>
      </c>
      <c r="G1646" s="13">
        <v>708.09387453240004</v>
      </c>
      <c r="H1646" s="13">
        <v>708.09387453240004</v>
      </c>
      <c r="I1646" s="14">
        <v>0</v>
      </c>
      <c r="J1646" s="15">
        <v>1</v>
      </c>
      <c r="K1646" s="14">
        <v>1456.5448100119254</v>
      </c>
      <c r="L1646" s="13">
        <v>1031370.4579514028</v>
      </c>
      <c r="M1646" s="14">
        <v>4.0825833080700473</v>
      </c>
      <c r="N1646" s="14">
        <v>1209.4371596703786</v>
      </c>
      <c r="O1646" s="13">
        <v>856395.04439445934</v>
      </c>
      <c r="P1646" s="13">
        <v>174975.41355694341</v>
      </c>
      <c r="Q1646" s="14">
        <v>1.2043162378183367</v>
      </c>
      <c r="R1646" s="15">
        <v>0.20431623781833674</v>
      </c>
    </row>
    <row r="1647" spans="1:18" ht="18" customHeight="1">
      <c r="A1647" s="10" t="s">
        <v>22</v>
      </c>
      <c r="B1647" s="10" t="s">
        <v>23</v>
      </c>
      <c r="C1647" s="10" t="s">
        <v>254</v>
      </c>
      <c r="D1647" s="10" t="s">
        <v>255</v>
      </c>
      <c r="E1647" s="16">
        <v>9</v>
      </c>
      <c r="F1647" s="16">
        <v>9</v>
      </c>
      <c r="G1647" s="13">
        <v>173492.63719894501</v>
      </c>
      <c r="H1647" s="13">
        <v>173492.63719894501</v>
      </c>
      <c r="I1647" s="14">
        <v>0</v>
      </c>
      <c r="J1647" s="15">
        <v>1</v>
      </c>
      <c r="K1647" s="14">
        <v>686.18251384139944</v>
      </c>
      <c r="L1647" s="13">
        <v>119047613.92614599</v>
      </c>
      <c r="M1647" s="14">
        <v>3.8012638533218093</v>
      </c>
      <c r="N1647" s="14">
        <v>632.79618659948596</v>
      </c>
      <c r="O1647" s="13">
        <v>109785479.22258052</v>
      </c>
      <c r="P1647" s="13">
        <v>9262134.7035654634</v>
      </c>
      <c r="Q1647" s="14">
        <v>1.0843657537331262</v>
      </c>
      <c r="R1647" s="15">
        <v>8.4365753733126131E-2</v>
      </c>
    </row>
    <row r="1648" spans="1:18" ht="18" customHeight="1">
      <c r="A1648" s="10" t="s">
        <v>22</v>
      </c>
      <c r="B1648" s="10" t="s">
        <v>23</v>
      </c>
      <c r="C1648" s="10" t="s">
        <v>254</v>
      </c>
      <c r="D1648" s="10" t="s">
        <v>277</v>
      </c>
      <c r="E1648" s="16">
        <v>1</v>
      </c>
      <c r="F1648" s="16">
        <v>1</v>
      </c>
      <c r="G1648" s="13">
        <v>16065.474963262001</v>
      </c>
      <c r="H1648" s="13">
        <v>16065.474963262001</v>
      </c>
      <c r="I1648" s="14">
        <v>0</v>
      </c>
      <c r="J1648" s="15">
        <v>1</v>
      </c>
      <c r="K1648" s="14">
        <v>288.40315031266056</v>
      </c>
      <c r="L1648" s="13">
        <v>4633333.5906739356</v>
      </c>
      <c r="M1648" s="14">
        <v>3.46</v>
      </c>
      <c r="N1648" s="14">
        <v>288.40315031266056</v>
      </c>
      <c r="O1648" s="13">
        <v>4633333.5906739356</v>
      </c>
      <c r="P1648" s="13">
        <v>0</v>
      </c>
      <c r="Q1648" s="14">
        <v>1</v>
      </c>
      <c r="R1648" s="15">
        <v>0</v>
      </c>
    </row>
    <row r="1649" spans="1:18" ht="18" customHeight="1">
      <c r="A1649" s="10" t="s">
        <v>22</v>
      </c>
      <c r="B1649" s="10" t="s">
        <v>23</v>
      </c>
      <c r="C1649" s="10" t="s">
        <v>254</v>
      </c>
      <c r="D1649" s="10" t="s">
        <v>258</v>
      </c>
      <c r="E1649" s="16">
        <v>7</v>
      </c>
      <c r="F1649" s="16">
        <v>7</v>
      </c>
      <c r="G1649" s="13">
        <v>76906.284157108399</v>
      </c>
      <c r="H1649" s="13">
        <v>76906.284157108399</v>
      </c>
      <c r="I1649" s="14">
        <v>0</v>
      </c>
      <c r="J1649" s="15">
        <v>1</v>
      </c>
      <c r="K1649" s="14">
        <v>2022.7588708677713</v>
      </c>
      <c r="L1649" s="13">
        <v>155562868.50426856</v>
      </c>
      <c r="M1649" s="14">
        <v>4.2853033495737769</v>
      </c>
      <c r="N1649" s="14">
        <v>1928.8717369261108</v>
      </c>
      <c r="O1649" s="13">
        <v>148342357.90265471</v>
      </c>
      <c r="P1649" s="13">
        <v>7220510.6016138494</v>
      </c>
      <c r="Q1649" s="14">
        <v>1.0486746382065202</v>
      </c>
      <c r="R1649" s="15">
        <v>4.8674638206520189E-2</v>
      </c>
    </row>
    <row r="1650" spans="1:18" ht="18" customHeight="1">
      <c r="A1650" s="10" t="s">
        <v>22</v>
      </c>
      <c r="B1650" s="10" t="s">
        <v>23</v>
      </c>
      <c r="C1650" s="10" t="s">
        <v>254</v>
      </c>
      <c r="D1650" s="10" t="s">
        <v>259</v>
      </c>
      <c r="E1650" s="16">
        <v>9</v>
      </c>
      <c r="F1650" s="16">
        <v>9</v>
      </c>
      <c r="G1650" s="13">
        <v>94735.215843054903</v>
      </c>
      <c r="H1650" s="13">
        <v>94735.215843054903</v>
      </c>
      <c r="I1650" s="14">
        <v>0</v>
      </c>
      <c r="J1650" s="15">
        <v>1</v>
      </c>
      <c r="K1650" s="14">
        <v>884.34514561656954</v>
      </c>
      <c r="L1650" s="13">
        <v>83778628.249743536</v>
      </c>
      <c r="M1650" s="14">
        <v>3.9010211048145775</v>
      </c>
      <c r="N1650" s="14">
        <v>796.19804122377093</v>
      </c>
      <c r="O1650" s="13">
        <v>75427993.28915146</v>
      </c>
      <c r="P1650" s="13">
        <v>8350634.9605920762</v>
      </c>
      <c r="Q1650" s="14">
        <v>1.110710024176039</v>
      </c>
      <c r="R1650" s="15">
        <v>0.11071002417603915</v>
      </c>
    </row>
    <row r="1651" spans="1:18" ht="18" customHeight="1">
      <c r="A1651" s="10" t="s">
        <v>22</v>
      </c>
      <c r="B1651" s="10" t="s">
        <v>23</v>
      </c>
      <c r="C1651" s="10" t="s">
        <v>254</v>
      </c>
      <c r="D1651" s="10" t="s">
        <v>261</v>
      </c>
      <c r="E1651" s="16">
        <v>30</v>
      </c>
      <c r="F1651" s="16">
        <v>30</v>
      </c>
      <c r="G1651" s="13">
        <v>273436.48819576122</v>
      </c>
      <c r="H1651" s="13">
        <v>273436.48819576122</v>
      </c>
      <c r="I1651" s="14">
        <v>0</v>
      </c>
      <c r="J1651" s="15">
        <v>1</v>
      </c>
      <c r="K1651" s="14">
        <v>2639.5821072064932</v>
      </c>
      <c r="L1651" s="13">
        <v>721758061.69891083</v>
      </c>
      <c r="M1651" s="14">
        <v>4.4150901136664444</v>
      </c>
      <c r="N1651" s="14">
        <v>2600.6991376522133</v>
      </c>
      <c r="O1651" s="13">
        <v>711126039.05336583</v>
      </c>
      <c r="P1651" s="13">
        <v>10632022.645545006</v>
      </c>
      <c r="Q1651" s="14">
        <v>1.0149509679883162</v>
      </c>
      <c r="R1651" s="15">
        <v>1.4950967988316253E-2</v>
      </c>
    </row>
    <row r="1652" spans="1:18" ht="18" customHeight="1">
      <c r="A1652" s="10" t="s">
        <v>22</v>
      </c>
      <c r="B1652" s="10" t="s">
        <v>23</v>
      </c>
      <c r="C1652" s="10" t="s">
        <v>254</v>
      </c>
      <c r="D1652" s="10" t="s">
        <v>262</v>
      </c>
      <c r="E1652" s="16">
        <v>5</v>
      </c>
      <c r="F1652" s="16">
        <v>5</v>
      </c>
      <c r="G1652" s="13">
        <v>27996.671042523794</v>
      </c>
      <c r="H1652" s="13">
        <v>27996.671042523794</v>
      </c>
      <c r="I1652" s="14">
        <v>0</v>
      </c>
      <c r="J1652" s="15">
        <v>1</v>
      </c>
      <c r="K1652" s="14">
        <v>533.19676084531739</v>
      </c>
      <c r="L1652" s="13">
        <v>14927734.314325582</v>
      </c>
      <c r="M1652" s="14">
        <v>3.7087241515726048</v>
      </c>
      <c r="N1652" s="14">
        <v>511.3569366079783</v>
      </c>
      <c r="O1652" s="13">
        <v>14316291.939526262</v>
      </c>
      <c r="P1652" s="13">
        <v>611442.37479932047</v>
      </c>
      <c r="Q1652" s="14">
        <v>1.0427095491892822</v>
      </c>
      <c r="R1652" s="15">
        <v>4.2709549189282152E-2</v>
      </c>
    </row>
    <row r="1653" spans="1:18" ht="18" customHeight="1">
      <c r="A1653" s="10" t="s">
        <v>22</v>
      </c>
      <c r="B1653" s="10" t="s">
        <v>23</v>
      </c>
      <c r="C1653" s="10" t="s">
        <v>254</v>
      </c>
      <c r="D1653" s="10" t="s">
        <v>263</v>
      </c>
      <c r="E1653" s="16">
        <v>9</v>
      </c>
      <c r="F1653" s="16">
        <v>9</v>
      </c>
      <c r="G1653" s="13">
        <v>10555.5395075628</v>
      </c>
      <c r="H1653" s="13">
        <v>10555.5395075628</v>
      </c>
      <c r="I1653" s="14">
        <v>0</v>
      </c>
      <c r="J1653" s="15">
        <v>1</v>
      </c>
      <c r="K1653" s="14">
        <v>1371.0812770867562</v>
      </c>
      <c r="L1653" s="13">
        <v>14472502.588368913</v>
      </c>
      <c r="M1653" s="14">
        <v>3.9326360891709382</v>
      </c>
      <c r="N1653" s="14">
        <v>856.32000346090717</v>
      </c>
      <c r="O1653" s="13">
        <v>9038919.6276479196</v>
      </c>
      <c r="P1653" s="13">
        <v>5433582.9607209936</v>
      </c>
      <c r="Q1653" s="14">
        <v>1.6011319034302449</v>
      </c>
      <c r="R1653" s="15">
        <v>0.60113190343024481</v>
      </c>
    </row>
    <row r="1654" spans="1:18" ht="18" customHeight="1">
      <c r="A1654" s="10" t="s">
        <v>22</v>
      </c>
      <c r="B1654" s="10" t="s">
        <v>23</v>
      </c>
      <c r="C1654" s="10" t="s">
        <v>254</v>
      </c>
      <c r="D1654" s="10" t="s">
        <v>264</v>
      </c>
      <c r="E1654" s="16">
        <v>24</v>
      </c>
      <c r="F1654" s="16">
        <v>24</v>
      </c>
      <c r="G1654" s="13">
        <v>79075.264113189187</v>
      </c>
      <c r="H1654" s="13">
        <v>79075.264113189187</v>
      </c>
      <c r="I1654" s="14">
        <v>0</v>
      </c>
      <c r="J1654" s="15">
        <v>1</v>
      </c>
      <c r="K1654" s="14">
        <v>1370.9935370361445</v>
      </c>
      <c r="L1654" s="13">
        <v>108411676.03860855</v>
      </c>
      <c r="M1654" s="14">
        <v>4.1110015679672642</v>
      </c>
      <c r="N1654" s="14">
        <v>1291.2239354116714</v>
      </c>
      <c r="O1654" s="13">
        <v>102103873.72194946</v>
      </c>
      <c r="P1654" s="13">
        <v>6307802.3166590929</v>
      </c>
      <c r="Q1654" s="14">
        <v>1.0617782860407097</v>
      </c>
      <c r="R1654" s="15">
        <v>6.1778286040709667E-2</v>
      </c>
    </row>
    <row r="1655" spans="1:18" ht="18" customHeight="1">
      <c r="A1655" s="10" t="s">
        <v>22</v>
      </c>
      <c r="B1655" s="10" t="s">
        <v>23</v>
      </c>
      <c r="C1655" s="10" t="s">
        <v>254</v>
      </c>
      <c r="D1655" s="10" t="s">
        <v>265</v>
      </c>
      <c r="E1655" s="16">
        <v>12</v>
      </c>
      <c r="F1655" s="16">
        <v>12</v>
      </c>
      <c r="G1655" s="13">
        <v>118676.18038778543</v>
      </c>
      <c r="H1655" s="13">
        <v>118676.18038778543</v>
      </c>
      <c r="I1655" s="14">
        <v>0</v>
      </c>
      <c r="J1655" s="15">
        <v>1</v>
      </c>
      <c r="K1655" s="14">
        <v>249.13612730135671</v>
      </c>
      <c r="L1655" s="13">
        <v>29566523.984730083</v>
      </c>
      <c r="M1655" s="14">
        <v>3.3072490047309446</v>
      </c>
      <c r="N1655" s="14">
        <v>202.88456340477941</v>
      </c>
      <c r="O1655" s="13">
        <v>24077565.044522692</v>
      </c>
      <c r="P1655" s="13">
        <v>5488958.940207392</v>
      </c>
      <c r="Q1655" s="14">
        <v>1.2279698520202338</v>
      </c>
      <c r="R1655" s="15">
        <v>0.22796985202023379</v>
      </c>
    </row>
    <row r="1656" spans="1:18" ht="18" customHeight="1">
      <c r="A1656" s="10" t="s">
        <v>22</v>
      </c>
      <c r="B1656" s="10" t="s">
        <v>23</v>
      </c>
      <c r="C1656" s="10" t="s">
        <v>254</v>
      </c>
      <c r="D1656" s="10" t="s">
        <v>268</v>
      </c>
      <c r="E1656" s="16">
        <v>8</v>
      </c>
      <c r="F1656" s="16">
        <v>8</v>
      </c>
      <c r="G1656" s="13">
        <v>310141.11068100517</v>
      </c>
      <c r="H1656" s="13">
        <v>310141.11068100517</v>
      </c>
      <c r="I1656" s="14">
        <v>0</v>
      </c>
      <c r="J1656" s="15">
        <v>1</v>
      </c>
      <c r="K1656" s="14">
        <v>858.0005659122927</v>
      </c>
      <c r="L1656" s="13">
        <v>266101248.47696945</v>
      </c>
      <c r="M1656" s="14">
        <v>3.726417396149567</v>
      </c>
      <c r="N1656" s="14">
        <v>532.61990910592897</v>
      </c>
      <c r="O1656" s="13">
        <v>165187330.18092883</v>
      </c>
      <c r="P1656" s="13">
        <v>100913918.29604062</v>
      </c>
      <c r="Q1656" s="14">
        <v>1.6109059222974917</v>
      </c>
      <c r="R1656" s="15">
        <v>0.61090592229749174</v>
      </c>
    </row>
    <row r="1657" spans="1:18" ht="18" customHeight="1">
      <c r="A1657" s="10" t="s">
        <v>22</v>
      </c>
      <c r="B1657" s="10" t="s">
        <v>23</v>
      </c>
      <c r="C1657" s="10" t="s">
        <v>254</v>
      </c>
      <c r="D1657" s="10" t="s">
        <v>269</v>
      </c>
      <c r="E1657" s="16">
        <v>24</v>
      </c>
      <c r="F1657" s="16">
        <v>24</v>
      </c>
      <c r="G1657" s="13">
        <v>1867644.0660899305</v>
      </c>
      <c r="H1657" s="13">
        <v>1867644.0660899305</v>
      </c>
      <c r="I1657" s="14">
        <v>0</v>
      </c>
      <c r="J1657" s="15">
        <v>1</v>
      </c>
      <c r="K1657" s="14">
        <v>374.94720886268874</v>
      </c>
      <c r="L1657" s="13">
        <v>700267929.7293824</v>
      </c>
      <c r="M1657" s="14">
        <v>3.4201347091227987</v>
      </c>
      <c r="N1657" s="14">
        <v>263.10839729079953</v>
      </c>
      <c r="O1657" s="13">
        <v>491392836.93859369</v>
      </c>
      <c r="P1657" s="13">
        <v>208875092.79078871</v>
      </c>
      <c r="Q1657" s="14">
        <v>1.4250674350324128</v>
      </c>
      <c r="R1657" s="15">
        <v>0.42506743503241284</v>
      </c>
    </row>
    <row r="1658" spans="1:18" ht="18" customHeight="1">
      <c r="A1658" s="10" t="s">
        <v>22</v>
      </c>
      <c r="B1658" s="10" t="s">
        <v>23</v>
      </c>
      <c r="C1658" s="10" t="s">
        <v>254</v>
      </c>
      <c r="D1658" s="10" t="s">
        <v>270</v>
      </c>
      <c r="E1658" s="16">
        <v>22</v>
      </c>
      <c r="F1658" s="16">
        <v>22</v>
      </c>
      <c r="G1658" s="13">
        <v>1506588.8140352736</v>
      </c>
      <c r="H1658" s="13">
        <v>1506588.8140352736</v>
      </c>
      <c r="I1658" s="14">
        <v>0</v>
      </c>
      <c r="J1658" s="15">
        <v>1</v>
      </c>
      <c r="K1658" s="14">
        <v>515.05327790458273</v>
      </c>
      <c r="L1658" s="13">
        <v>775973507.12324548</v>
      </c>
      <c r="M1658" s="14">
        <v>3.2531392162369919</v>
      </c>
      <c r="N1658" s="14">
        <v>179.11799376998866</v>
      </c>
      <c r="O1658" s="13">
        <v>269857165.80630475</v>
      </c>
      <c r="P1658" s="13">
        <v>506116341.31694072</v>
      </c>
      <c r="Q1658" s="14">
        <v>2.8754971349555181</v>
      </c>
      <c r="R1658" s="15">
        <v>1.8754971349555178</v>
      </c>
    </row>
    <row r="1659" spans="1:18" ht="18" customHeight="1">
      <c r="A1659" s="10" t="s">
        <v>22</v>
      </c>
      <c r="B1659" s="10" t="s">
        <v>23</v>
      </c>
      <c r="C1659" s="10" t="s">
        <v>254</v>
      </c>
      <c r="D1659" s="10" t="s">
        <v>276</v>
      </c>
      <c r="E1659" s="16">
        <v>29</v>
      </c>
      <c r="F1659" s="16">
        <v>29</v>
      </c>
      <c r="G1659" s="13">
        <v>213756.97513546518</v>
      </c>
      <c r="H1659" s="13">
        <v>213756.97513546518</v>
      </c>
      <c r="I1659" s="14">
        <v>0</v>
      </c>
      <c r="J1659" s="15">
        <v>1</v>
      </c>
      <c r="K1659" s="14">
        <v>641.71338773290472</v>
      </c>
      <c r="L1659" s="13">
        <v>137170712.66571763</v>
      </c>
      <c r="M1659" s="14">
        <v>3.5714760000547665</v>
      </c>
      <c r="N1659" s="14">
        <v>372.80008272679902</v>
      </c>
      <c r="O1659" s="13">
        <v>79688618.013931736</v>
      </c>
      <c r="P1659" s="13">
        <v>57482094.651785895</v>
      </c>
      <c r="Q1659" s="14">
        <v>1.7213338125870932</v>
      </c>
      <c r="R1659" s="15">
        <v>0.72133381258709317</v>
      </c>
    </row>
    <row r="1660" spans="1:18" ht="18" customHeight="1">
      <c r="A1660" s="10" t="s">
        <v>22</v>
      </c>
      <c r="B1660" s="10" t="s">
        <v>23</v>
      </c>
      <c r="C1660" s="10" t="s">
        <v>254</v>
      </c>
      <c r="D1660" s="10" t="s">
        <v>271</v>
      </c>
      <c r="E1660" s="16">
        <v>22</v>
      </c>
      <c r="F1660" s="16">
        <v>22</v>
      </c>
      <c r="G1660" s="13">
        <v>67418.856570027085</v>
      </c>
      <c r="H1660" s="13">
        <v>67418.856570027085</v>
      </c>
      <c r="I1660" s="14">
        <v>0</v>
      </c>
      <c r="J1660" s="15">
        <v>1</v>
      </c>
      <c r="K1660" s="14">
        <v>17.391342167023151</v>
      </c>
      <c r="L1660" s="13">
        <v>1172504.4031187978</v>
      </c>
      <c r="M1660" s="14">
        <v>2.1810016976047768</v>
      </c>
      <c r="N1660" s="14">
        <v>15.170562974379367</v>
      </c>
      <c r="O1660" s="13">
        <v>1022782.009256246</v>
      </c>
      <c r="P1660" s="13">
        <v>149722.39386255178</v>
      </c>
      <c r="Q1660" s="14">
        <v>1.1463873948774559</v>
      </c>
      <c r="R1660" s="15">
        <v>0.14638739487745583</v>
      </c>
    </row>
    <row r="1661" spans="1:18" ht="18" customHeight="1">
      <c r="A1661" s="10" t="s">
        <v>22</v>
      </c>
      <c r="B1661" s="10" t="s">
        <v>23</v>
      </c>
      <c r="C1661" s="10" t="s">
        <v>254</v>
      </c>
      <c r="D1661" s="10" t="s">
        <v>272</v>
      </c>
      <c r="E1661" s="16">
        <v>23</v>
      </c>
      <c r="F1661" s="16">
        <v>23</v>
      </c>
      <c r="G1661" s="13">
        <v>429046.2654992048</v>
      </c>
      <c r="H1661" s="13">
        <v>429046.2654992048</v>
      </c>
      <c r="I1661" s="14">
        <v>0</v>
      </c>
      <c r="J1661" s="15">
        <v>1</v>
      </c>
      <c r="K1661" s="14">
        <v>127.80773645286277</v>
      </c>
      <c r="L1661" s="13">
        <v>54835432.027007356</v>
      </c>
      <c r="M1661" s="14">
        <v>2.9539527255864098</v>
      </c>
      <c r="N1661" s="14">
        <v>89.939967352486647</v>
      </c>
      <c r="O1661" s="13">
        <v>38588407.111704797</v>
      </c>
      <c r="P1661" s="13">
        <v>16247024.91530256</v>
      </c>
      <c r="Q1661" s="14">
        <v>1.421033831955568</v>
      </c>
      <c r="R1661" s="15">
        <v>0.42103383195556793</v>
      </c>
    </row>
    <row r="1662" spans="1:18" ht="18" customHeight="1">
      <c r="A1662" s="10" t="s">
        <v>22</v>
      </c>
      <c r="B1662" s="10" t="s">
        <v>23</v>
      </c>
      <c r="C1662" s="10" t="s">
        <v>254</v>
      </c>
      <c r="D1662" s="10" t="s">
        <v>283</v>
      </c>
      <c r="E1662" s="16">
        <v>5</v>
      </c>
      <c r="F1662" s="16">
        <v>5</v>
      </c>
      <c r="G1662" s="13">
        <v>210420.87839446659</v>
      </c>
      <c r="H1662" s="13">
        <v>210420.87839446659</v>
      </c>
      <c r="I1662" s="14">
        <v>0</v>
      </c>
      <c r="J1662" s="15">
        <v>1</v>
      </c>
      <c r="K1662" s="14">
        <v>178.61597788223895</v>
      </c>
      <c r="L1662" s="13">
        <v>37584530.961267337</v>
      </c>
      <c r="M1662" s="14">
        <v>3.2463280634937495</v>
      </c>
      <c r="N1662" s="14">
        <v>176.33075355757347</v>
      </c>
      <c r="O1662" s="13">
        <v>37103672.051542826</v>
      </c>
      <c r="P1662" s="13">
        <v>480858.90972451121</v>
      </c>
      <c r="Q1662" s="14">
        <v>1.0129598738652208</v>
      </c>
      <c r="R1662" s="15">
        <v>1.2959873865220744E-2</v>
      </c>
    </row>
    <row r="1663" spans="1:18" ht="18" customHeight="1">
      <c r="A1663" s="10" t="s">
        <v>22</v>
      </c>
      <c r="B1663" s="10" t="s">
        <v>23</v>
      </c>
      <c r="C1663" s="10" t="s">
        <v>254</v>
      </c>
      <c r="D1663" s="10" t="s">
        <v>278</v>
      </c>
      <c r="E1663" s="16">
        <v>6</v>
      </c>
      <c r="F1663" s="16">
        <v>6</v>
      </c>
      <c r="G1663" s="13">
        <v>187653.63006632426</v>
      </c>
      <c r="H1663" s="13">
        <v>187653.63006632426</v>
      </c>
      <c r="I1663" s="14">
        <v>0</v>
      </c>
      <c r="J1663" s="15">
        <v>1</v>
      </c>
      <c r="K1663" s="14">
        <v>395.8657307144428</v>
      </c>
      <c r="L1663" s="13">
        <v>74285641.387423187</v>
      </c>
      <c r="M1663" s="14">
        <v>3.5829458195771431</v>
      </c>
      <c r="N1663" s="14">
        <v>382.77698698193672</v>
      </c>
      <c r="O1663" s="13">
        <v>71829491.11301057</v>
      </c>
      <c r="P1663" s="13">
        <v>2456150.2744126171</v>
      </c>
      <c r="Q1663" s="14">
        <v>1.0341941761852149</v>
      </c>
      <c r="R1663" s="15">
        <v>3.4194176185214982E-2</v>
      </c>
    </row>
    <row r="1664" spans="1:18" ht="18" customHeight="1">
      <c r="A1664" s="10" t="s">
        <v>22</v>
      </c>
      <c r="B1664" s="10" t="s">
        <v>23</v>
      </c>
      <c r="C1664" s="10" t="s">
        <v>254</v>
      </c>
      <c r="D1664" s="10" t="s">
        <v>273</v>
      </c>
      <c r="E1664" s="16">
        <v>25</v>
      </c>
      <c r="F1664" s="16">
        <v>25</v>
      </c>
      <c r="G1664" s="13">
        <v>940302.53205282928</v>
      </c>
      <c r="H1664" s="13">
        <v>940302.53205282928</v>
      </c>
      <c r="I1664" s="14">
        <v>0</v>
      </c>
      <c r="J1664" s="15">
        <v>1</v>
      </c>
      <c r="K1664" s="14">
        <v>193.33419971816249</v>
      </c>
      <c r="L1664" s="13">
        <v>181792637.52739558</v>
      </c>
      <c r="M1664" s="14">
        <v>3.1767889968592447</v>
      </c>
      <c r="N1664" s="14">
        <v>150.24118379093707</v>
      </c>
      <c r="O1664" s="13">
        <v>141272165.53723261</v>
      </c>
      <c r="P1664" s="13">
        <v>40520471.990162969</v>
      </c>
      <c r="Q1664" s="14">
        <v>1.2868255882966819</v>
      </c>
      <c r="R1664" s="15">
        <v>0.28682558829668187</v>
      </c>
    </row>
    <row r="1665" spans="1:18" ht="18" customHeight="1">
      <c r="A1665" s="10" t="s">
        <v>22</v>
      </c>
      <c r="B1665" s="10" t="s">
        <v>23</v>
      </c>
      <c r="C1665" s="10" t="s">
        <v>254</v>
      </c>
      <c r="D1665" s="10" t="s">
        <v>284</v>
      </c>
      <c r="E1665" s="16">
        <v>11</v>
      </c>
      <c r="F1665" s="16">
        <v>11</v>
      </c>
      <c r="G1665" s="13">
        <v>59543.591930490802</v>
      </c>
      <c r="H1665" s="13">
        <v>59543.591930490802</v>
      </c>
      <c r="I1665" s="14">
        <v>0</v>
      </c>
      <c r="J1665" s="15">
        <v>1</v>
      </c>
      <c r="K1665" s="14">
        <v>403.73532383961469</v>
      </c>
      <c r="L1665" s="13">
        <v>24039851.370630573</v>
      </c>
      <c r="M1665" s="14">
        <v>3.5198484339099392</v>
      </c>
      <c r="N1665" s="14">
        <v>331.01557893071492</v>
      </c>
      <c r="O1665" s="13">
        <v>19709856.55448566</v>
      </c>
      <c r="P1665" s="13">
        <v>4329994.8161449134</v>
      </c>
      <c r="Q1665" s="14">
        <v>1.2196867746944344</v>
      </c>
      <c r="R1665" s="15">
        <v>0.21968677469443446</v>
      </c>
    </row>
    <row r="1666" spans="1:18" ht="18" customHeight="1">
      <c r="A1666" s="10" t="s">
        <v>22</v>
      </c>
      <c r="B1666" s="10" t="s">
        <v>23</v>
      </c>
      <c r="C1666" s="10" t="s">
        <v>254</v>
      </c>
      <c r="D1666" s="10" t="s">
        <v>274</v>
      </c>
      <c r="E1666" s="16">
        <v>7</v>
      </c>
      <c r="F1666" s="16">
        <v>7</v>
      </c>
      <c r="G1666" s="13">
        <v>34269.309511656895</v>
      </c>
      <c r="H1666" s="13">
        <v>34269.309511656895</v>
      </c>
      <c r="I1666" s="14">
        <v>0</v>
      </c>
      <c r="J1666" s="15">
        <v>1</v>
      </c>
      <c r="K1666" s="14">
        <v>585.91536640482536</v>
      </c>
      <c r="L1666" s="13">
        <v>20078915.038962815</v>
      </c>
      <c r="M1666" s="14">
        <v>3.5634072568773449</v>
      </c>
      <c r="N1666" s="14">
        <v>365.93778659010201</v>
      </c>
      <c r="O1666" s="13">
        <v>12540435.270666854</v>
      </c>
      <c r="P1666" s="13">
        <v>7538479.7682959605</v>
      </c>
      <c r="Q1666" s="14">
        <v>1.6011338207637105</v>
      </c>
      <c r="R1666" s="15">
        <v>0.60113382076371036</v>
      </c>
    </row>
    <row r="1667" spans="1:18" ht="18" customHeight="1">
      <c r="A1667" s="10" t="s">
        <v>37</v>
      </c>
      <c r="B1667" s="10" t="s">
        <v>38</v>
      </c>
      <c r="C1667" s="10" t="s">
        <v>254</v>
      </c>
      <c r="D1667" s="10" t="s">
        <v>255</v>
      </c>
      <c r="E1667" s="16">
        <v>8</v>
      </c>
      <c r="F1667" s="16">
        <v>8</v>
      </c>
      <c r="G1667" s="13">
        <v>221324.71917598243</v>
      </c>
      <c r="H1667" s="13">
        <v>221324.71917598243</v>
      </c>
      <c r="I1667" s="14">
        <v>0</v>
      </c>
      <c r="J1667" s="15">
        <v>1</v>
      </c>
      <c r="K1667" s="14">
        <v>632.39079630611661</v>
      </c>
      <c r="L1667" s="13">
        <v>139963715.40192717</v>
      </c>
      <c r="M1667" s="14">
        <v>3.7769110605788452</v>
      </c>
      <c r="N1667" s="14">
        <v>598.2890585470891</v>
      </c>
      <c r="O1667" s="13">
        <v>132416157.86899741</v>
      </c>
      <c r="P1667" s="13">
        <v>7547557.5329297632</v>
      </c>
      <c r="Q1667" s="14">
        <v>1.0569987655161899</v>
      </c>
      <c r="R1667" s="15">
        <v>5.6998765516189868E-2</v>
      </c>
    </row>
    <row r="1668" spans="1:18" ht="18" customHeight="1">
      <c r="A1668" s="10" t="s">
        <v>37</v>
      </c>
      <c r="B1668" s="10" t="s">
        <v>38</v>
      </c>
      <c r="C1668" s="10" t="s">
        <v>254</v>
      </c>
      <c r="D1668" s="10" t="s">
        <v>277</v>
      </c>
      <c r="E1668" s="16">
        <v>2</v>
      </c>
      <c r="F1668" s="16">
        <v>2</v>
      </c>
      <c r="G1668" s="13">
        <v>8272.5536784780998</v>
      </c>
      <c r="H1668" s="13">
        <v>8272.5536784780998</v>
      </c>
      <c r="I1668" s="14">
        <v>0</v>
      </c>
      <c r="J1668" s="15">
        <v>1</v>
      </c>
      <c r="K1668" s="14">
        <v>288.40315031266056</v>
      </c>
      <c r="L1668" s="13">
        <v>2385830.5420036726</v>
      </c>
      <c r="M1668" s="14">
        <v>3.4600000000000004</v>
      </c>
      <c r="N1668" s="14">
        <v>288.40315031266084</v>
      </c>
      <c r="O1668" s="13">
        <v>2385830.5420036749</v>
      </c>
      <c r="P1668" s="13">
        <v>-2.3283064365386963E-9</v>
      </c>
      <c r="Q1668" s="14">
        <v>0.999999999999999</v>
      </c>
      <c r="R1668" s="15">
        <v>-9.7588927442572316E-16</v>
      </c>
    </row>
    <row r="1669" spans="1:18" ht="18" customHeight="1">
      <c r="A1669" s="10" t="s">
        <v>37</v>
      </c>
      <c r="B1669" s="10" t="s">
        <v>38</v>
      </c>
      <c r="C1669" s="10" t="s">
        <v>254</v>
      </c>
      <c r="D1669" s="10" t="s">
        <v>258</v>
      </c>
      <c r="E1669" s="16">
        <v>4</v>
      </c>
      <c r="F1669" s="16">
        <v>4</v>
      </c>
      <c r="G1669" s="13">
        <v>15352.941266845</v>
      </c>
      <c r="H1669" s="13">
        <v>15352.941266845</v>
      </c>
      <c r="I1669" s="14">
        <v>0</v>
      </c>
      <c r="J1669" s="15">
        <v>1</v>
      </c>
      <c r="K1669" s="14">
        <v>2274.4706765951414</v>
      </c>
      <c r="L1669" s="13">
        <v>34919814.710926414</v>
      </c>
      <c r="M1669" s="14">
        <v>4.3451221282118588</v>
      </c>
      <c r="N1669" s="14">
        <v>2213.7171428102215</v>
      </c>
      <c r="O1669" s="13">
        <v>33987069.274973258</v>
      </c>
      <c r="P1669" s="13">
        <v>932745.43595315516</v>
      </c>
      <c r="Q1669" s="14">
        <v>1.027444126717922</v>
      </c>
      <c r="R1669" s="15">
        <v>2.7444126717921874E-2</v>
      </c>
    </row>
    <row r="1670" spans="1:18" ht="18" customHeight="1">
      <c r="A1670" s="10" t="s">
        <v>37</v>
      </c>
      <c r="B1670" s="10" t="s">
        <v>38</v>
      </c>
      <c r="C1670" s="10" t="s">
        <v>254</v>
      </c>
      <c r="D1670" s="10" t="s">
        <v>259</v>
      </c>
      <c r="E1670" s="16">
        <v>4</v>
      </c>
      <c r="F1670" s="16">
        <v>4</v>
      </c>
      <c r="G1670" s="13">
        <v>5434.6065193144004</v>
      </c>
      <c r="H1670" s="13">
        <v>5434.6065193144004</v>
      </c>
      <c r="I1670" s="14">
        <v>0</v>
      </c>
      <c r="J1670" s="15">
        <v>1</v>
      </c>
      <c r="K1670" s="14">
        <v>2256.5483557928146</v>
      </c>
      <c r="L1670" s="13">
        <v>12263452.405539822</v>
      </c>
      <c r="M1670" s="14">
        <v>4.3426718823945629</v>
      </c>
      <c r="N1670" s="14">
        <v>2201.262739466697</v>
      </c>
      <c r="O1670" s="13">
        <v>11962996.834629588</v>
      </c>
      <c r="P1670" s="13">
        <v>300455.570910234</v>
      </c>
      <c r="Q1670" s="14">
        <v>1.025115410048467</v>
      </c>
      <c r="R1670" s="15">
        <v>2.511541004846693E-2</v>
      </c>
    </row>
    <row r="1671" spans="1:18" ht="18" customHeight="1">
      <c r="A1671" s="10" t="s">
        <v>37</v>
      </c>
      <c r="B1671" s="10" t="s">
        <v>38</v>
      </c>
      <c r="C1671" s="10" t="s">
        <v>254</v>
      </c>
      <c r="D1671" s="10" t="s">
        <v>261</v>
      </c>
      <c r="E1671" s="16">
        <v>20</v>
      </c>
      <c r="F1671" s="16">
        <v>20</v>
      </c>
      <c r="G1671" s="13">
        <v>98790.567397305102</v>
      </c>
      <c r="H1671" s="13">
        <v>98790.567397305102</v>
      </c>
      <c r="I1671" s="14">
        <v>0</v>
      </c>
      <c r="J1671" s="15">
        <v>1</v>
      </c>
      <c r="K1671" s="14">
        <v>2216.9853465309347</v>
      </c>
      <c r="L1671" s="13">
        <v>219017240.29530212</v>
      </c>
      <c r="M1671" s="14">
        <v>4.3284086073994112</v>
      </c>
      <c r="N1671" s="14">
        <v>2130.1422548564697</v>
      </c>
      <c r="O1671" s="13">
        <v>210437961.99424553</v>
      </c>
      <c r="P1671" s="13">
        <v>8579278.3010565937</v>
      </c>
      <c r="Q1671" s="14">
        <v>1.0407686817518751</v>
      </c>
      <c r="R1671" s="15">
        <v>4.0768681751875147E-2</v>
      </c>
    </row>
    <row r="1672" spans="1:18" ht="18" customHeight="1">
      <c r="A1672" s="10" t="s">
        <v>37</v>
      </c>
      <c r="B1672" s="10" t="s">
        <v>38</v>
      </c>
      <c r="C1672" s="10" t="s">
        <v>254</v>
      </c>
      <c r="D1672" s="10" t="s">
        <v>262</v>
      </c>
      <c r="E1672" s="16">
        <v>3</v>
      </c>
      <c r="F1672" s="16">
        <v>3</v>
      </c>
      <c r="G1672" s="13">
        <v>7319.8423838510998</v>
      </c>
      <c r="H1672" s="13">
        <v>7319.8423838510998</v>
      </c>
      <c r="I1672" s="14">
        <v>0</v>
      </c>
      <c r="J1672" s="15">
        <v>1</v>
      </c>
      <c r="K1672" s="14">
        <v>656.5168318518364</v>
      </c>
      <c r="L1672" s="13">
        <v>4805599.7315007178</v>
      </c>
      <c r="M1672" s="14">
        <v>3.8134933515915095</v>
      </c>
      <c r="N1672" s="14">
        <v>650.86864692435529</v>
      </c>
      <c r="O1672" s="13">
        <v>4764255.9080767129</v>
      </c>
      <c r="P1672" s="13">
        <v>41343.82342400495</v>
      </c>
      <c r="Q1672" s="14">
        <v>1.0086779182776298</v>
      </c>
      <c r="R1672" s="15">
        <v>8.6779182776298598E-3</v>
      </c>
    </row>
    <row r="1673" spans="1:18" ht="18" customHeight="1">
      <c r="A1673" s="10" t="s">
        <v>37</v>
      </c>
      <c r="B1673" s="10" t="s">
        <v>38</v>
      </c>
      <c r="C1673" s="10" t="s">
        <v>254</v>
      </c>
      <c r="D1673" s="10" t="s">
        <v>263</v>
      </c>
      <c r="E1673" s="16">
        <v>7</v>
      </c>
      <c r="F1673" s="16">
        <v>7</v>
      </c>
      <c r="G1673" s="13">
        <v>2311.5570185537003</v>
      </c>
      <c r="H1673" s="13">
        <v>2311.5570185537003</v>
      </c>
      <c r="I1673" s="14">
        <v>0</v>
      </c>
      <c r="J1673" s="15">
        <v>1</v>
      </c>
      <c r="K1673" s="14">
        <v>550.20060066802637</v>
      </c>
      <c r="L1673" s="13">
        <v>1271820.0600866382</v>
      </c>
      <c r="M1673" s="14">
        <v>3.6552306072014216</v>
      </c>
      <c r="N1673" s="14">
        <v>452.09594029719671</v>
      </c>
      <c r="O1673" s="13">
        <v>1045045.5438536197</v>
      </c>
      <c r="P1673" s="13">
        <v>226774.51623301848</v>
      </c>
      <c r="Q1673" s="14">
        <v>1.216999649026572</v>
      </c>
      <c r="R1673" s="15">
        <v>0.21699964902657196</v>
      </c>
    </row>
    <row r="1674" spans="1:18" ht="18" customHeight="1">
      <c r="A1674" s="10" t="s">
        <v>37</v>
      </c>
      <c r="B1674" s="10" t="s">
        <v>38</v>
      </c>
      <c r="C1674" s="10" t="s">
        <v>254</v>
      </c>
      <c r="D1674" s="10" t="s">
        <v>264</v>
      </c>
      <c r="E1674" s="16">
        <v>6</v>
      </c>
      <c r="F1674" s="16">
        <v>6</v>
      </c>
      <c r="G1674" s="13">
        <v>2919.5828089937004</v>
      </c>
      <c r="H1674" s="13">
        <v>2919.5828089937004</v>
      </c>
      <c r="I1674" s="14">
        <v>0</v>
      </c>
      <c r="J1674" s="15">
        <v>1</v>
      </c>
      <c r="K1674" s="14">
        <v>1703.6464452916966</v>
      </c>
      <c r="L1674" s="13">
        <v>4973936.8742768643</v>
      </c>
      <c r="M1674" s="14">
        <v>4.2250657578623834</v>
      </c>
      <c r="N1674" s="14">
        <v>1679.0582302440694</v>
      </c>
      <c r="O1674" s="13">
        <v>4902149.5443199715</v>
      </c>
      <c r="P1674" s="13">
        <v>71787.329956892878</v>
      </c>
      <c r="Q1674" s="14">
        <v>1.014644051412114</v>
      </c>
      <c r="R1674" s="15">
        <v>1.4644051412113999E-2</v>
      </c>
    </row>
    <row r="1675" spans="1:18" ht="18" customHeight="1">
      <c r="A1675" s="10" t="s">
        <v>37</v>
      </c>
      <c r="B1675" s="10" t="s">
        <v>38</v>
      </c>
      <c r="C1675" s="10" t="s">
        <v>254</v>
      </c>
      <c r="D1675" s="10" t="s">
        <v>265</v>
      </c>
      <c r="E1675" s="16">
        <v>15</v>
      </c>
      <c r="F1675" s="16">
        <v>15</v>
      </c>
      <c r="G1675" s="13">
        <v>74551.253390032201</v>
      </c>
      <c r="H1675" s="13">
        <v>74551.253390032201</v>
      </c>
      <c r="I1675" s="14">
        <v>0</v>
      </c>
      <c r="J1675" s="15">
        <v>1</v>
      </c>
      <c r="K1675" s="14">
        <v>89.047172824131195</v>
      </c>
      <c r="L1675" s="13">
        <v>6638578.3448777944</v>
      </c>
      <c r="M1675" s="14">
        <v>2.7024348953784889</v>
      </c>
      <c r="N1675" s="14">
        <v>50.400505857967389</v>
      </c>
      <c r="O1675" s="13">
        <v>3757420.8832031293</v>
      </c>
      <c r="P1675" s="13">
        <v>2881157.4616746651</v>
      </c>
      <c r="Q1675" s="14">
        <v>1.7667912515615056</v>
      </c>
      <c r="R1675" s="15">
        <v>0.76679125156150552</v>
      </c>
    </row>
    <row r="1676" spans="1:18" ht="18" customHeight="1">
      <c r="A1676" s="10" t="s">
        <v>37</v>
      </c>
      <c r="B1676" s="10" t="s">
        <v>38</v>
      </c>
      <c r="C1676" s="10" t="s">
        <v>254</v>
      </c>
      <c r="D1676" s="10" t="s">
        <v>268</v>
      </c>
      <c r="E1676" s="16">
        <v>7</v>
      </c>
      <c r="F1676" s="16">
        <v>7</v>
      </c>
      <c r="G1676" s="13">
        <v>48622.631519219802</v>
      </c>
      <c r="H1676" s="13">
        <v>48622.631519219802</v>
      </c>
      <c r="I1676" s="14">
        <v>0</v>
      </c>
      <c r="J1676" s="15">
        <v>1</v>
      </c>
      <c r="K1676" s="14">
        <v>207.01710542911238</v>
      </c>
      <c r="L1676" s="13">
        <v>10065716.435455209</v>
      </c>
      <c r="M1676" s="14">
        <v>3.2779633468729132</v>
      </c>
      <c r="N1676" s="14">
        <v>189.65458517824308</v>
      </c>
      <c r="O1676" s="13">
        <v>9221505.0110521987</v>
      </c>
      <c r="P1676" s="13">
        <v>844211.42440300994</v>
      </c>
      <c r="Q1676" s="14">
        <v>1.0915481175134865</v>
      </c>
      <c r="R1676" s="15">
        <v>9.1548117513486349E-2</v>
      </c>
    </row>
    <row r="1677" spans="1:18" ht="18" customHeight="1">
      <c r="A1677" s="10" t="s">
        <v>37</v>
      </c>
      <c r="B1677" s="10" t="s">
        <v>38</v>
      </c>
      <c r="C1677" s="10" t="s">
        <v>254</v>
      </c>
      <c r="D1677" s="10" t="s">
        <v>269</v>
      </c>
      <c r="E1677" s="16">
        <v>19</v>
      </c>
      <c r="F1677" s="16">
        <v>19</v>
      </c>
      <c r="G1677" s="13">
        <v>561378.57624612213</v>
      </c>
      <c r="H1677" s="13">
        <v>561378.57624612213</v>
      </c>
      <c r="I1677" s="14">
        <v>0</v>
      </c>
      <c r="J1677" s="15">
        <v>1</v>
      </c>
      <c r="K1677" s="14">
        <v>1243.659510858562</v>
      </c>
      <c r="L1677" s="13">
        <v>698163805.54072821</v>
      </c>
      <c r="M1677" s="14">
        <v>3.9393088240867562</v>
      </c>
      <c r="N1677" s="14">
        <v>869.57856135546615</v>
      </c>
      <c r="O1677" s="13">
        <v>488162774.70788276</v>
      </c>
      <c r="P1677" s="13">
        <v>210001030.83284545</v>
      </c>
      <c r="Q1677" s="14">
        <v>1.4301864904764816</v>
      </c>
      <c r="R1677" s="15">
        <v>0.43018649047648161</v>
      </c>
    </row>
    <row r="1678" spans="1:18" ht="18" customHeight="1">
      <c r="A1678" s="10" t="s">
        <v>37</v>
      </c>
      <c r="B1678" s="10" t="s">
        <v>38</v>
      </c>
      <c r="C1678" s="10" t="s">
        <v>254</v>
      </c>
      <c r="D1678" s="10" t="s">
        <v>270</v>
      </c>
      <c r="E1678" s="16">
        <v>16</v>
      </c>
      <c r="F1678" s="16">
        <v>16</v>
      </c>
      <c r="G1678" s="13">
        <v>440624.15506222087</v>
      </c>
      <c r="H1678" s="13">
        <v>440624.15506222087</v>
      </c>
      <c r="I1678" s="14">
        <v>0</v>
      </c>
      <c r="J1678" s="15">
        <v>1</v>
      </c>
      <c r="K1678" s="14">
        <v>987.15663603342989</v>
      </c>
      <c r="L1678" s="13">
        <v>434965058.66629434</v>
      </c>
      <c r="M1678" s="14">
        <v>3.857808492533358</v>
      </c>
      <c r="N1678" s="14">
        <v>720.78956811366186</v>
      </c>
      <c r="O1678" s="13">
        <v>317597294.42774534</v>
      </c>
      <c r="P1678" s="13">
        <v>117367764.23854899</v>
      </c>
      <c r="Q1678" s="14">
        <v>1.3695490052899384</v>
      </c>
      <c r="R1678" s="15">
        <v>0.36954900528993845</v>
      </c>
    </row>
    <row r="1679" spans="1:18" ht="18" customHeight="1">
      <c r="A1679" s="10" t="s">
        <v>37</v>
      </c>
      <c r="B1679" s="10" t="s">
        <v>38</v>
      </c>
      <c r="C1679" s="10" t="s">
        <v>254</v>
      </c>
      <c r="D1679" s="10" t="s">
        <v>276</v>
      </c>
      <c r="E1679" s="16">
        <v>31</v>
      </c>
      <c r="F1679" s="16">
        <v>31</v>
      </c>
      <c r="G1679" s="13">
        <v>146540.03994819309</v>
      </c>
      <c r="H1679" s="13">
        <v>146540.03994819309</v>
      </c>
      <c r="I1679" s="14">
        <v>0</v>
      </c>
      <c r="J1679" s="15">
        <v>1</v>
      </c>
      <c r="K1679" s="14">
        <v>608.53326248031465</v>
      </c>
      <c r="L1679" s="13">
        <v>89174488.593669578</v>
      </c>
      <c r="M1679" s="14">
        <v>3.670948310859719</v>
      </c>
      <c r="N1679" s="14">
        <v>468.75758793263077</v>
      </c>
      <c r="O1679" s="13">
        <v>68691755.661666349</v>
      </c>
      <c r="P1679" s="13">
        <v>20482732.93200323</v>
      </c>
      <c r="Q1679" s="14">
        <v>1.2981832788331786</v>
      </c>
      <c r="R1679" s="15">
        <v>0.29818327883317858</v>
      </c>
    </row>
    <row r="1680" spans="1:18" ht="18" customHeight="1">
      <c r="A1680" s="10" t="s">
        <v>37</v>
      </c>
      <c r="B1680" s="10" t="s">
        <v>38</v>
      </c>
      <c r="C1680" s="10" t="s">
        <v>254</v>
      </c>
      <c r="D1680" s="10" t="s">
        <v>271</v>
      </c>
      <c r="E1680" s="16">
        <v>7</v>
      </c>
      <c r="F1680" s="16">
        <v>7</v>
      </c>
      <c r="G1680" s="13">
        <v>53437.849407185699</v>
      </c>
      <c r="H1680" s="13">
        <v>53437.849407185699</v>
      </c>
      <c r="I1680" s="14">
        <v>0</v>
      </c>
      <c r="J1680" s="15">
        <v>1</v>
      </c>
      <c r="K1680" s="14">
        <v>11.608311129788477</v>
      </c>
      <c r="L1680" s="13">
        <v>620323.18202539429</v>
      </c>
      <c r="M1680" s="14">
        <v>2.0560263431588619</v>
      </c>
      <c r="N1680" s="14">
        <v>11.376962933897122</v>
      </c>
      <c r="O1680" s="13">
        <v>607960.43197272799</v>
      </c>
      <c r="P1680" s="13">
        <v>12362.750052666292</v>
      </c>
      <c r="Q1680" s="14">
        <v>1.0203347938492497</v>
      </c>
      <c r="R1680" s="15">
        <v>2.0334793849249817E-2</v>
      </c>
    </row>
    <row r="1681" spans="1:18" ht="18" customHeight="1">
      <c r="A1681" s="10" t="s">
        <v>37</v>
      </c>
      <c r="B1681" s="10" t="s">
        <v>38</v>
      </c>
      <c r="C1681" s="10" t="s">
        <v>254</v>
      </c>
      <c r="D1681" s="10" t="s">
        <v>272</v>
      </c>
      <c r="E1681" s="16">
        <v>21</v>
      </c>
      <c r="F1681" s="16">
        <v>21</v>
      </c>
      <c r="G1681" s="13">
        <v>106434.67207547479</v>
      </c>
      <c r="H1681" s="13">
        <v>106434.67207547479</v>
      </c>
      <c r="I1681" s="14">
        <v>0</v>
      </c>
      <c r="J1681" s="15">
        <v>1</v>
      </c>
      <c r="K1681" s="14">
        <v>158.78460796915471</v>
      </c>
      <c r="L1681" s="13">
        <v>16900187.679829802</v>
      </c>
      <c r="M1681" s="14">
        <v>3.0201706059233837</v>
      </c>
      <c r="N1681" s="14">
        <v>104.75399772403499</v>
      </c>
      <c r="O1681" s="13">
        <v>11149457.396352697</v>
      </c>
      <c r="P1681" s="13">
        <v>5750730.2834771052</v>
      </c>
      <c r="Q1681" s="14">
        <v>1.5157856637362759</v>
      </c>
      <c r="R1681" s="15">
        <v>0.51578566373627577</v>
      </c>
    </row>
    <row r="1682" spans="1:18" ht="18" customHeight="1">
      <c r="A1682" s="10" t="s">
        <v>37</v>
      </c>
      <c r="B1682" s="10" t="s">
        <v>38</v>
      </c>
      <c r="C1682" s="10" t="s">
        <v>254</v>
      </c>
      <c r="D1682" s="10" t="s">
        <v>283</v>
      </c>
      <c r="E1682" s="16">
        <v>4</v>
      </c>
      <c r="F1682" s="16">
        <v>4</v>
      </c>
      <c r="G1682" s="13">
        <v>253321.33876175841</v>
      </c>
      <c r="H1682" s="13">
        <v>253321.33876175841</v>
      </c>
      <c r="I1682" s="14">
        <v>0</v>
      </c>
      <c r="J1682" s="15">
        <v>1</v>
      </c>
      <c r="K1682" s="14">
        <v>173.63787173297652</v>
      </c>
      <c r="L1682" s="13">
        <v>43986178.127140097</v>
      </c>
      <c r="M1682" s="14">
        <v>3.2395842447029062</v>
      </c>
      <c r="N1682" s="14">
        <v>173.61380072967128</v>
      </c>
      <c r="O1682" s="13">
        <v>43980080.428357475</v>
      </c>
      <c r="P1682" s="13">
        <v>6097.6987826228142</v>
      </c>
      <c r="Q1682" s="14">
        <v>1.0001386468310933</v>
      </c>
      <c r="R1682" s="15">
        <v>1.3864683109335882E-4</v>
      </c>
    </row>
    <row r="1683" spans="1:18" ht="18" customHeight="1">
      <c r="A1683" s="10" t="s">
        <v>37</v>
      </c>
      <c r="B1683" s="10" t="s">
        <v>38</v>
      </c>
      <c r="C1683" s="10" t="s">
        <v>254</v>
      </c>
      <c r="D1683" s="10" t="s">
        <v>278</v>
      </c>
      <c r="E1683" s="16">
        <v>6</v>
      </c>
      <c r="F1683" s="16">
        <v>6</v>
      </c>
      <c r="G1683" s="13">
        <v>194722.95431945234</v>
      </c>
      <c r="H1683" s="13">
        <v>194722.95431945234</v>
      </c>
      <c r="I1683" s="14">
        <v>0</v>
      </c>
      <c r="J1683" s="15">
        <v>1</v>
      </c>
      <c r="K1683" s="14">
        <v>378.85506348193252</v>
      </c>
      <c r="L1683" s="13">
        <v>73771777.220085561</v>
      </c>
      <c r="M1683" s="14">
        <v>3.5673649443703241</v>
      </c>
      <c r="N1683" s="14">
        <v>369.28778646275038</v>
      </c>
      <c r="O1683" s="13">
        <v>71908808.774117813</v>
      </c>
      <c r="P1683" s="13">
        <v>1862968.4459677488</v>
      </c>
      <c r="Q1683" s="14">
        <v>1.0259073746002352</v>
      </c>
      <c r="R1683" s="15">
        <v>2.5907374600235185E-2</v>
      </c>
    </row>
    <row r="1684" spans="1:18" ht="18" customHeight="1">
      <c r="A1684" s="10" t="s">
        <v>37</v>
      </c>
      <c r="B1684" s="10" t="s">
        <v>38</v>
      </c>
      <c r="C1684" s="10" t="s">
        <v>254</v>
      </c>
      <c r="D1684" s="10" t="s">
        <v>273</v>
      </c>
      <c r="E1684" s="16">
        <v>21</v>
      </c>
      <c r="F1684" s="16">
        <v>21</v>
      </c>
      <c r="G1684" s="13">
        <v>332801.6865959756</v>
      </c>
      <c r="H1684" s="13">
        <v>332801.6865959756</v>
      </c>
      <c r="I1684" s="14">
        <v>0</v>
      </c>
      <c r="J1684" s="15">
        <v>1</v>
      </c>
      <c r="K1684" s="14">
        <v>181.47594605729412</v>
      </c>
      <c r="L1684" s="13">
        <v>60395500.924467772</v>
      </c>
      <c r="M1684" s="14">
        <v>3.1069661107707605</v>
      </c>
      <c r="N1684" s="14">
        <v>127.92814743035717</v>
      </c>
      <c r="O1684" s="13">
        <v>42574703.227921486</v>
      </c>
      <c r="P1684" s="13">
        <v>17820797.696546286</v>
      </c>
      <c r="Q1684" s="14">
        <v>1.4185771442995987</v>
      </c>
      <c r="R1684" s="15">
        <v>0.4185771442995988</v>
      </c>
    </row>
    <row r="1685" spans="1:18" ht="18" customHeight="1">
      <c r="A1685" s="10" t="s">
        <v>37</v>
      </c>
      <c r="B1685" s="10" t="s">
        <v>38</v>
      </c>
      <c r="C1685" s="10" t="s">
        <v>254</v>
      </c>
      <c r="D1685" s="10" t="s">
        <v>284</v>
      </c>
      <c r="E1685" s="16">
        <v>8</v>
      </c>
      <c r="F1685" s="16">
        <v>8</v>
      </c>
      <c r="G1685" s="13">
        <v>37790.127272847196</v>
      </c>
      <c r="H1685" s="13">
        <v>37790.127272847196</v>
      </c>
      <c r="I1685" s="14">
        <v>0</v>
      </c>
      <c r="J1685" s="15">
        <v>1</v>
      </c>
      <c r="K1685" s="14">
        <v>239.0759883488569</v>
      </c>
      <c r="L1685" s="13">
        <v>9034712.0275850352</v>
      </c>
      <c r="M1685" s="14">
        <v>3.280253706663451</v>
      </c>
      <c r="N1685" s="14">
        <v>190.65741774556778</v>
      </c>
      <c r="O1685" s="13">
        <v>7204968.082117402</v>
      </c>
      <c r="P1685" s="13">
        <v>1829743.9454676332</v>
      </c>
      <c r="Q1685" s="14">
        <v>1.2539558710897032</v>
      </c>
      <c r="R1685" s="15">
        <v>0.25395587108970324</v>
      </c>
    </row>
    <row r="1686" spans="1:18" ht="18" customHeight="1">
      <c r="A1686" s="10" t="s">
        <v>37</v>
      </c>
      <c r="B1686" s="10" t="s">
        <v>38</v>
      </c>
      <c r="C1686" s="10" t="s">
        <v>254</v>
      </c>
      <c r="D1686" s="10" t="s">
        <v>274</v>
      </c>
      <c r="E1686" s="16">
        <v>5</v>
      </c>
      <c r="F1686" s="16">
        <v>5</v>
      </c>
      <c r="G1686" s="13">
        <v>3873.4020140164002</v>
      </c>
      <c r="H1686" s="13">
        <v>3873.4020140164002</v>
      </c>
      <c r="I1686" s="14">
        <v>0</v>
      </c>
      <c r="J1686" s="15">
        <v>1</v>
      </c>
      <c r="K1686" s="14">
        <v>1439.6034943649333</v>
      </c>
      <c r="L1686" s="13">
        <v>5576163.07445818</v>
      </c>
      <c r="M1686" s="14">
        <v>3.9970718562282848</v>
      </c>
      <c r="N1686" s="14">
        <v>993.28037811047727</v>
      </c>
      <c r="O1686" s="13">
        <v>3847374.2170560942</v>
      </c>
      <c r="P1686" s="13">
        <v>1728788.8574020858</v>
      </c>
      <c r="Q1686" s="14">
        <v>1.4493425281424555</v>
      </c>
      <c r="R1686" s="15">
        <v>0.44934252814245551</v>
      </c>
    </row>
    <row r="1687" spans="1:18" ht="18" customHeight="1">
      <c r="A1687" s="10" t="s">
        <v>17</v>
      </c>
      <c r="B1687" s="10" t="s">
        <v>18</v>
      </c>
      <c r="C1687" s="10" t="s">
        <v>254</v>
      </c>
      <c r="D1687" s="10" t="s">
        <v>255</v>
      </c>
      <c r="E1687" s="16">
        <v>13</v>
      </c>
      <c r="F1687" s="16">
        <v>13</v>
      </c>
      <c r="G1687" s="13">
        <v>602884.9982575688</v>
      </c>
      <c r="H1687" s="13">
        <v>602884.9982575688</v>
      </c>
      <c r="I1687" s="14">
        <v>0</v>
      </c>
      <c r="J1687" s="15">
        <v>1</v>
      </c>
      <c r="K1687" s="14">
        <v>772.88320547731098</v>
      </c>
      <c r="L1687" s="13">
        <v>465959689.9874928</v>
      </c>
      <c r="M1687" s="14">
        <v>3.8263889332429195</v>
      </c>
      <c r="N1687" s="14">
        <v>670.48479455112556</v>
      </c>
      <c r="O1687" s="13">
        <v>404225224.1946817</v>
      </c>
      <c r="P1687" s="13">
        <v>61734465.792811096</v>
      </c>
      <c r="Q1687" s="14">
        <v>1.1527229427995289</v>
      </c>
      <c r="R1687" s="15">
        <v>0.15272294279952883</v>
      </c>
    </row>
    <row r="1688" spans="1:18" ht="18" customHeight="1">
      <c r="A1688" s="10" t="s">
        <v>17</v>
      </c>
      <c r="B1688" s="10" t="s">
        <v>18</v>
      </c>
      <c r="C1688" s="10" t="s">
        <v>254</v>
      </c>
      <c r="D1688" s="10" t="s">
        <v>277</v>
      </c>
      <c r="E1688" s="16">
        <v>4</v>
      </c>
      <c r="F1688" s="16">
        <v>4</v>
      </c>
      <c r="G1688" s="13">
        <v>662477.46176627383</v>
      </c>
      <c r="H1688" s="13">
        <v>662477.46176627383</v>
      </c>
      <c r="I1688" s="14">
        <v>0</v>
      </c>
      <c r="J1688" s="15">
        <v>1</v>
      </c>
      <c r="K1688" s="14">
        <v>270.59220002291721</v>
      </c>
      <c r="L1688" s="13">
        <v>179261233.84493405</v>
      </c>
      <c r="M1688" s="14">
        <v>3.4169260936791099</v>
      </c>
      <c r="N1688" s="14">
        <v>261.17168661139397</v>
      </c>
      <c r="O1688" s="13">
        <v>173020356.031533</v>
      </c>
      <c r="P1688" s="13">
        <v>6240877.8134010434</v>
      </c>
      <c r="Q1688" s="14">
        <v>1.0360701940311789</v>
      </c>
      <c r="R1688" s="15">
        <v>3.6070194031178865E-2</v>
      </c>
    </row>
    <row r="1689" spans="1:18" ht="18" customHeight="1">
      <c r="A1689" s="10" t="s">
        <v>17</v>
      </c>
      <c r="B1689" s="10" t="s">
        <v>18</v>
      </c>
      <c r="C1689" s="10" t="s">
        <v>254</v>
      </c>
      <c r="D1689" s="10" t="s">
        <v>257</v>
      </c>
      <c r="E1689" s="16">
        <v>1</v>
      </c>
      <c r="F1689" s="16">
        <v>1</v>
      </c>
      <c r="G1689" s="13">
        <v>1.1288504098999999</v>
      </c>
      <c r="H1689" s="13">
        <v>1.1288504098999999</v>
      </c>
      <c r="I1689" s="14">
        <v>0</v>
      </c>
      <c r="J1689" s="15">
        <v>1</v>
      </c>
      <c r="K1689" s="14">
        <v>1659.5869074375596</v>
      </c>
      <c r="L1689" s="13">
        <v>1873.4253607255623</v>
      </c>
      <c r="M1689" s="14">
        <v>4.22</v>
      </c>
      <c r="N1689" s="14">
        <v>1659.5869074375596</v>
      </c>
      <c r="O1689" s="13">
        <v>1873.4253607255623</v>
      </c>
      <c r="P1689" s="13">
        <v>0</v>
      </c>
      <c r="Q1689" s="14">
        <v>1</v>
      </c>
      <c r="R1689" s="15">
        <v>0</v>
      </c>
    </row>
    <row r="1690" spans="1:18" ht="18" customHeight="1">
      <c r="A1690" s="10" t="s">
        <v>17</v>
      </c>
      <c r="B1690" s="10" t="s">
        <v>18</v>
      </c>
      <c r="C1690" s="10" t="s">
        <v>254</v>
      </c>
      <c r="D1690" s="10" t="s">
        <v>258</v>
      </c>
      <c r="E1690" s="16">
        <v>9</v>
      </c>
      <c r="F1690" s="16">
        <v>9</v>
      </c>
      <c r="G1690" s="13">
        <v>505914.66333314503</v>
      </c>
      <c r="H1690" s="13">
        <v>505914.66333314503</v>
      </c>
      <c r="I1690" s="14">
        <v>0</v>
      </c>
      <c r="J1690" s="15">
        <v>1</v>
      </c>
      <c r="K1690" s="14">
        <v>2336.3242276273718</v>
      </c>
      <c r="L1690" s="13">
        <v>1181980685.0571718</v>
      </c>
      <c r="M1690" s="14">
        <v>4.2495117799204456</v>
      </c>
      <c r="N1690" s="14">
        <v>1776.2814479712117</v>
      </c>
      <c r="O1690" s="13">
        <v>898646830.73526692</v>
      </c>
      <c r="P1690" s="13">
        <v>283333854.3219049</v>
      </c>
      <c r="Q1690" s="14">
        <v>1.3152894381100559</v>
      </c>
      <c r="R1690" s="15">
        <v>0.315289438110056</v>
      </c>
    </row>
    <row r="1691" spans="1:18" ht="18" customHeight="1">
      <c r="A1691" s="10" t="s">
        <v>17</v>
      </c>
      <c r="B1691" s="10" t="s">
        <v>18</v>
      </c>
      <c r="C1691" s="10" t="s">
        <v>254</v>
      </c>
      <c r="D1691" s="10" t="s">
        <v>259</v>
      </c>
      <c r="E1691" s="16">
        <v>10</v>
      </c>
      <c r="F1691" s="16">
        <v>10</v>
      </c>
      <c r="G1691" s="13">
        <v>195320.55307734958</v>
      </c>
      <c r="H1691" s="13">
        <v>195320.55307734958</v>
      </c>
      <c r="I1691" s="14">
        <v>0</v>
      </c>
      <c r="J1691" s="15">
        <v>1</v>
      </c>
      <c r="K1691" s="14">
        <v>1995.2880898470628</v>
      </c>
      <c r="L1691" s="13">
        <v>389720773.2575767</v>
      </c>
      <c r="M1691" s="14">
        <v>4.2252577945578409</v>
      </c>
      <c r="N1691" s="14">
        <v>1679.8008417819397</v>
      </c>
      <c r="O1691" s="13">
        <v>328099629.47664583</v>
      </c>
      <c r="P1691" s="13">
        <v>61621143.780930877</v>
      </c>
      <c r="Q1691" s="14">
        <v>1.1878122931111603</v>
      </c>
      <c r="R1691" s="15">
        <v>0.18781229311116024</v>
      </c>
    </row>
    <row r="1692" spans="1:18" ht="18" customHeight="1">
      <c r="A1692" s="10" t="s">
        <v>17</v>
      </c>
      <c r="B1692" s="10" t="s">
        <v>18</v>
      </c>
      <c r="C1692" s="10" t="s">
        <v>254</v>
      </c>
      <c r="D1692" s="10" t="s">
        <v>260</v>
      </c>
      <c r="E1692" s="16">
        <v>1</v>
      </c>
      <c r="F1692" s="16">
        <v>1</v>
      </c>
      <c r="G1692" s="13">
        <v>1895.9535920133001</v>
      </c>
      <c r="H1692" s="13">
        <v>1895.9535920133001</v>
      </c>
      <c r="I1692" s="14">
        <v>0</v>
      </c>
      <c r="J1692" s="15">
        <v>1</v>
      </c>
      <c r="K1692" s="14">
        <v>1778.2794100389228</v>
      </c>
      <c r="L1692" s="13">
        <v>3371535.235066588</v>
      </c>
      <c r="M1692" s="14">
        <v>4.25</v>
      </c>
      <c r="N1692" s="14">
        <v>1778.2794100389228</v>
      </c>
      <c r="O1692" s="13">
        <v>3371535.235066588</v>
      </c>
      <c r="P1692" s="13">
        <v>0</v>
      </c>
      <c r="Q1692" s="14">
        <v>1</v>
      </c>
      <c r="R1692" s="15">
        <v>0</v>
      </c>
    </row>
    <row r="1693" spans="1:18" ht="18" customHeight="1">
      <c r="A1693" s="10" t="s">
        <v>17</v>
      </c>
      <c r="B1693" s="10" t="s">
        <v>18</v>
      </c>
      <c r="C1693" s="10" t="s">
        <v>254</v>
      </c>
      <c r="D1693" s="10" t="s">
        <v>261</v>
      </c>
      <c r="E1693" s="16">
        <v>32</v>
      </c>
      <c r="F1693" s="16">
        <v>32</v>
      </c>
      <c r="G1693" s="13">
        <v>694394.94613924553</v>
      </c>
      <c r="H1693" s="13">
        <v>694394.94613924553</v>
      </c>
      <c r="I1693" s="14">
        <v>0</v>
      </c>
      <c r="J1693" s="15">
        <v>1</v>
      </c>
      <c r="K1693" s="14">
        <v>2089.3190563763478</v>
      </c>
      <c r="L1693" s="13">
        <v>1450812593.6201534</v>
      </c>
      <c r="M1693" s="14">
        <v>4.3068584040487021</v>
      </c>
      <c r="N1693" s="14">
        <v>2027.0217282442215</v>
      </c>
      <c r="O1693" s="13">
        <v>1407553643.8072267</v>
      </c>
      <c r="P1693" s="13">
        <v>43258949.812926769</v>
      </c>
      <c r="Q1693" s="14">
        <v>1.0307334288843994</v>
      </c>
      <c r="R1693" s="15">
        <v>3.0733428884399488E-2</v>
      </c>
    </row>
    <row r="1694" spans="1:18" ht="18" customHeight="1">
      <c r="A1694" s="10" t="s">
        <v>17</v>
      </c>
      <c r="B1694" s="10" t="s">
        <v>18</v>
      </c>
      <c r="C1694" s="10" t="s">
        <v>254</v>
      </c>
      <c r="D1694" s="10" t="s">
        <v>262</v>
      </c>
      <c r="E1694" s="16">
        <v>5</v>
      </c>
      <c r="F1694" s="16">
        <v>5</v>
      </c>
      <c r="G1694" s="13">
        <v>35435.593033023302</v>
      </c>
      <c r="H1694" s="13">
        <v>35435.593033023302</v>
      </c>
      <c r="I1694" s="14">
        <v>0</v>
      </c>
      <c r="J1694" s="15">
        <v>1</v>
      </c>
      <c r="K1694" s="14">
        <v>295.21213390404307</v>
      </c>
      <c r="L1694" s="13">
        <v>10461017.03543405</v>
      </c>
      <c r="M1694" s="14">
        <v>3.3954738529482928</v>
      </c>
      <c r="N1694" s="14">
        <v>248.58438974737905</v>
      </c>
      <c r="O1694" s="13">
        <v>8808735.2694505751</v>
      </c>
      <c r="P1694" s="13">
        <v>1652281.7659834754</v>
      </c>
      <c r="Q1694" s="14">
        <v>1.1875730982305401</v>
      </c>
      <c r="R1694" s="15">
        <v>0.18757309823054005</v>
      </c>
    </row>
    <row r="1695" spans="1:18" ht="18" customHeight="1">
      <c r="A1695" s="10" t="s">
        <v>17</v>
      </c>
      <c r="B1695" s="10" t="s">
        <v>18</v>
      </c>
      <c r="C1695" s="10" t="s">
        <v>254</v>
      </c>
      <c r="D1695" s="10" t="s">
        <v>263</v>
      </c>
      <c r="E1695" s="16">
        <v>13</v>
      </c>
      <c r="F1695" s="16">
        <v>13</v>
      </c>
      <c r="G1695" s="13">
        <v>12393.1230638863</v>
      </c>
      <c r="H1695" s="13">
        <v>12393.1230638863</v>
      </c>
      <c r="I1695" s="14">
        <v>0</v>
      </c>
      <c r="J1695" s="15">
        <v>1</v>
      </c>
      <c r="K1695" s="14">
        <v>1032.4546113907529</v>
      </c>
      <c r="L1695" s="13">
        <v>12795337.056842508</v>
      </c>
      <c r="M1695" s="14">
        <v>3.9186234203125165</v>
      </c>
      <c r="N1695" s="14">
        <v>829.13151017342352</v>
      </c>
      <c r="O1695" s="13">
        <v>10275528.841725133</v>
      </c>
      <c r="P1695" s="13">
        <v>2519808.2151173744</v>
      </c>
      <c r="Q1695" s="14">
        <v>1.2452241878671355</v>
      </c>
      <c r="R1695" s="15">
        <v>0.2452241878671356</v>
      </c>
    </row>
    <row r="1696" spans="1:18" ht="18" customHeight="1">
      <c r="A1696" s="10" t="s">
        <v>17</v>
      </c>
      <c r="B1696" s="10" t="s">
        <v>18</v>
      </c>
      <c r="C1696" s="10" t="s">
        <v>254</v>
      </c>
      <c r="D1696" s="10" t="s">
        <v>264</v>
      </c>
      <c r="E1696" s="16">
        <v>11</v>
      </c>
      <c r="F1696" s="16">
        <v>11</v>
      </c>
      <c r="G1696" s="13">
        <v>68461.07042369571</v>
      </c>
      <c r="H1696" s="13">
        <v>68461.07042369571</v>
      </c>
      <c r="I1696" s="14">
        <v>0</v>
      </c>
      <c r="J1696" s="15">
        <v>1</v>
      </c>
      <c r="K1696" s="14">
        <v>1254.8159028437815</v>
      </c>
      <c r="L1696" s="13">
        <v>85906039.893361434</v>
      </c>
      <c r="M1696" s="14">
        <v>4.0829684995080813</v>
      </c>
      <c r="N1696" s="14">
        <v>1210.5103289493397</v>
      </c>
      <c r="O1696" s="13">
        <v>82872832.878811806</v>
      </c>
      <c r="P1696" s="13">
        <v>3033207.0145496279</v>
      </c>
      <c r="Q1696" s="14">
        <v>1.0366007400638182</v>
      </c>
      <c r="R1696" s="15">
        <v>3.6600740063818082E-2</v>
      </c>
    </row>
    <row r="1697" spans="1:18" ht="18" customHeight="1">
      <c r="A1697" s="10" t="s">
        <v>17</v>
      </c>
      <c r="B1697" s="10" t="s">
        <v>18</v>
      </c>
      <c r="C1697" s="10" t="s">
        <v>254</v>
      </c>
      <c r="D1697" s="10" t="s">
        <v>265</v>
      </c>
      <c r="E1697" s="16">
        <v>16</v>
      </c>
      <c r="F1697" s="16">
        <v>16</v>
      </c>
      <c r="G1697" s="13">
        <v>426320.04682124255</v>
      </c>
      <c r="H1697" s="13">
        <v>426320.04682124255</v>
      </c>
      <c r="I1697" s="14">
        <v>0</v>
      </c>
      <c r="J1697" s="15">
        <v>1</v>
      </c>
      <c r="K1697" s="14">
        <v>325.48943179216622</v>
      </c>
      <c r="L1697" s="13">
        <v>138762669.80145594</v>
      </c>
      <c r="M1697" s="14">
        <v>3.3047755232236367</v>
      </c>
      <c r="N1697" s="14">
        <v>201.73233863435237</v>
      </c>
      <c r="O1697" s="13">
        <v>86002540.051955864</v>
      </c>
      <c r="P1697" s="13">
        <v>52760129.749500081</v>
      </c>
      <c r="Q1697" s="14">
        <v>1.6134717616203733</v>
      </c>
      <c r="R1697" s="15">
        <v>0.61347176162037342</v>
      </c>
    </row>
    <row r="1698" spans="1:18" ht="18" customHeight="1">
      <c r="A1698" s="10" t="s">
        <v>17</v>
      </c>
      <c r="B1698" s="10" t="s">
        <v>18</v>
      </c>
      <c r="C1698" s="10" t="s">
        <v>254</v>
      </c>
      <c r="D1698" s="10" t="s">
        <v>268</v>
      </c>
      <c r="E1698" s="16">
        <v>14</v>
      </c>
      <c r="F1698" s="16">
        <v>14</v>
      </c>
      <c r="G1698" s="13">
        <v>650039.00560348213</v>
      </c>
      <c r="H1698" s="13">
        <v>650039.00560348213</v>
      </c>
      <c r="I1698" s="14">
        <v>0</v>
      </c>
      <c r="J1698" s="15">
        <v>1</v>
      </c>
      <c r="K1698" s="14">
        <v>378.85040469859842</v>
      </c>
      <c r="L1698" s="13">
        <v>246267540.34275368</v>
      </c>
      <c r="M1698" s="14">
        <v>3.4441274597257885</v>
      </c>
      <c r="N1698" s="14">
        <v>278.05291968169865</v>
      </c>
      <c r="O1698" s="13">
        <v>180745243.41503629</v>
      </c>
      <c r="P1698" s="13">
        <v>65522296.927717388</v>
      </c>
      <c r="Q1698" s="14">
        <v>1.3625118741147826</v>
      </c>
      <c r="R1698" s="15">
        <v>0.3625118741147827</v>
      </c>
    </row>
    <row r="1699" spans="1:18" ht="18" customHeight="1">
      <c r="A1699" s="10" t="s">
        <v>17</v>
      </c>
      <c r="B1699" s="10" t="s">
        <v>18</v>
      </c>
      <c r="C1699" s="10" t="s">
        <v>254</v>
      </c>
      <c r="D1699" s="10" t="s">
        <v>269</v>
      </c>
      <c r="E1699" s="16">
        <v>34</v>
      </c>
      <c r="F1699" s="16">
        <v>34</v>
      </c>
      <c r="G1699" s="13">
        <v>2469255.1853949139</v>
      </c>
      <c r="H1699" s="13">
        <v>2469255.1853949139</v>
      </c>
      <c r="I1699" s="14">
        <v>0</v>
      </c>
      <c r="J1699" s="15">
        <v>1</v>
      </c>
      <c r="K1699" s="14">
        <v>733.18901437634406</v>
      </c>
      <c r="L1699" s="13">
        <v>1810430775.6233735</v>
      </c>
      <c r="M1699" s="14">
        <v>3.6499906053262188</v>
      </c>
      <c r="N1699" s="14">
        <v>446.67392958001636</v>
      </c>
      <c r="O1699" s="13">
        <v>1102951916.7961781</v>
      </c>
      <c r="P1699" s="13">
        <v>707478858.82719541</v>
      </c>
      <c r="Q1699" s="14">
        <v>1.641441252382297</v>
      </c>
      <c r="R1699" s="15">
        <v>0.64144125238229688</v>
      </c>
    </row>
    <row r="1700" spans="1:18" ht="18" customHeight="1">
      <c r="A1700" s="10" t="s">
        <v>17</v>
      </c>
      <c r="B1700" s="10" t="s">
        <v>18</v>
      </c>
      <c r="C1700" s="10" t="s">
        <v>254</v>
      </c>
      <c r="D1700" s="10" t="s">
        <v>270</v>
      </c>
      <c r="E1700" s="16">
        <v>29</v>
      </c>
      <c r="F1700" s="16">
        <v>29</v>
      </c>
      <c r="G1700" s="13">
        <v>1165278.9156978827</v>
      </c>
      <c r="H1700" s="13">
        <v>1165278.9156978827</v>
      </c>
      <c r="I1700" s="14">
        <v>0</v>
      </c>
      <c r="J1700" s="15">
        <v>1</v>
      </c>
      <c r="K1700" s="14">
        <v>982.1594928210103</v>
      </c>
      <c r="L1700" s="13">
        <v>1144489748.8368492</v>
      </c>
      <c r="M1700" s="14">
        <v>3.8072305892193548</v>
      </c>
      <c r="N1700" s="14">
        <v>641.55011804030323</v>
      </c>
      <c r="O1700" s="13">
        <v>747584825.91585314</v>
      </c>
      <c r="P1700" s="13">
        <v>396904922.92099607</v>
      </c>
      <c r="Q1700" s="14">
        <v>1.5309162374112593</v>
      </c>
      <c r="R1700" s="15">
        <v>0.53091623741125937</v>
      </c>
    </row>
    <row r="1701" spans="1:18" ht="18" customHeight="1">
      <c r="A1701" s="10" t="s">
        <v>17</v>
      </c>
      <c r="B1701" s="10" t="s">
        <v>18</v>
      </c>
      <c r="C1701" s="10" t="s">
        <v>254</v>
      </c>
      <c r="D1701" s="10" t="s">
        <v>276</v>
      </c>
      <c r="E1701" s="16">
        <v>43</v>
      </c>
      <c r="F1701" s="16">
        <v>43</v>
      </c>
      <c r="G1701" s="13">
        <v>919564.93078273744</v>
      </c>
      <c r="H1701" s="13">
        <v>919564.93078273744</v>
      </c>
      <c r="I1701" s="14">
        <v>0</v>
      </c>
      <c r="J1701" s="15">
        <v>1</v>
      </c>
      <c r="K1701" s="14">
        <v>460.29565404995236</v>
      </c>
      <c r="L1701" s="13">
        <v>423271741.25603932</v>
      </c>
      <c r="M1701" s="14">
        <v>3.4888829450313863</v>
      </c>
      <c r="N1701" s="14">
        <v>308.23570535852082</v>
      </c>
      <c r="O1701" s="13">
        <v>283442745.06277645</v>
      </c>
      <c r="P1701" s="13">
        <v>139828996.19326288</v>
      </c>
      <c r="Q1701" s="14">
        <v>1.4933236028401213</v>
      </c>
      <c r="R1701" s="15">
        <v>0.49332360284012128</v>
      </c>
    </row>
    <row r="1702" spans="1:18" ht="18" customHeight="1">
      <c r="A1702" s="10" t="s">
        <v>17</v>
      </c>
      <c r="B1702" s="10" t="s">
        <v>18</v>
      </c>
      <c r="C1702" s="10" t="s">
        <v>254</v>
      </c>
      <c r="D1702" s="10" t="s">
        <v>271</v>
      </c>
      <c r="E1702" s="16">
        <v>22</v>
      </c>
      <c r="F1702" s="16">
        <v>22</v>
      </c>
      <c r="G1702" s="13">
        <v>80172.050143993314</v>
      </c>
      <c r="H1702" s="13">
        <v>80172.050143993314</v>
      </c>
      <c r="I1702" s="14">
        <v>0</v>
      </c>
      <c r="J1702" s="15">
        <v>1</v>
      </c>
      <c r="K1702" s="14">
        <v>23.179972964106248</v>
      </c>
      <c r="L1702" s="13">
        <v>1858385.9548147356</v>
      </c>
      <c r="M1702" s="14">
        <v>2.2398595716400318</v>
      </c>
      <c r="N1702" s="14">
        <v>17.372390047328121</v>
      </c>
      <c r="O1702" s="13">
        <v>1392780.1259954006</v>
      </c>
      <c r="P1702" s="13">
        <v>465605.82881933497</v>
      </c>
      <c r="Q1702" s="14">
        <v>1.3342995926845043</v>
      </c>
      <c r="R1702" s="15">
        <v>0.33429959268450427</v>
      </c>
    </row>
    <row r="1703" spans="1:18" ht="18" customHeight="1">
      <c r="A1703" s="10" t="s">
        <v>17</v>
      </c>
      <c r="B1703" s="10" t="s">
        <v>18</v>
      </c>
      <c r="C1703" s="10" t="s">
        <v>254</v>
      </c>
      <c r="D1703" s="10" t="s">
        <v>272</v>
      </c>
      <c r="E1703" s="16">
        <v>24</v>
      </c>
      <c r="F1703" s="16">
        <v>24</v>
      </c>
      <c r="G1703" s="13">
        <v>820105.58356101788</v>
      </c>
      <c r="H1703" s="13">
        <v>820105.58356101788</v>
      </c>
      <c r="I1703" s="14">
        <v>0</v>
      </c>
      <c r="J1703" s="15">
        <v>1</v>
      </c>
      <c r="K1703" s="14">
        <v>96.044621777212981</v>
      </c>
      <c r="L1703" s="13">
        <v>78766730.590498492</v>
      </c>
      <c r="M1703" s="14">
        <v>2.7642762405178316</v>
      </c>
      <c r="N1703" s="14">
        <v>58.113394028360901</v>
      </c>
      <c r="O1703" s="13">
        <v>47659118.922340289</v>
      </c>
      <c r="P1703" s="13">
        <v>31107611.668158203</v>
      </c>
      <c r="Q1703" s="14">
        <v>1.6527105907863617</v>
      </c>
      <c r="R1703" s="15">
        <v>0.65271059078636173</v>
      </c>
    </row>
    <row r="1704" spans="1:18" ht="18" customHeight="1">
      <c r="A1704" s="10" t="s">
        <v>17</v>
      </c>
      <c r="B1704" s="10" t="s">
        <v>18</v>
      </c>
      <c r="C1704" s="10" t="s">
        <v>254</v>
      </c>
      <c r="D1704" s="10" t="s">
        <v>283</v>
      </c>
      <c r="E1704" s="16">
        <v>7</v>
      </c>
      <c r="F1704" s="16">
        <v>7</v>
      </c>
      <c r="G1704" s="13">
        <v>427368.77505466173</v>
      </c>
      <c r="H1704" s="13">
        <v>427368.77505466173</v>
      </c>
      <c r="I1704" s="14">
        <v>0</v>
      </c>
      <c r="J1704" s="15">
        <v>1</v>
      </c>
      <c r="K1704" s="14">
        <v>176.32808776621877</v>
      </c>
      <c r="L1704" s="13">
        <v>75357118.876379803</v>
      </c>
      <c r="M1704" s="14">
        <v>3.2424922447950957</v>
      </c>
      <c r="N1704" s="14">
        <v>174.78020516047499</v>
      </c>
      <c r="O1704" s="13">
        <v>74695602.183234662</v>
      </c>
      <c r="P1704" s="13">
        <v>661516.69314514101</v>
      </c>
      <c r="Q1704" s="14">
        <v>1.0088561665454197</v>
      </c>
      <c r="R1704" s="15">
        <v>8.8561665454196924E-3</v>
      </c>
    </row>
    <row r="1705" spans="1:18" ht="18" customHeight="1">
      <c r="A1705" s="10" t="s">
        <v>17</v>
      </c>
      <c r="B1705" s="10" t="s">
        <v>18</v>
      </c>
      <c r="C1705" s="10" t="s">
        <v>254</v>
      </c>
      <c r="D1705" s="10" t="s">
        <v>278</v>
      </c>
      <c r="E1705" s="16">
        <v>8</v>
      </c>
      <c r="F1705" s="16">
        <v>8</v>
      </c>
      <c r="G1705" s="13">
        <v>388935.97391456971</v>
      </c>
      <c r="H1705" s="13">
        <v>388935.97391456971</v>
      </c>
      <c r="I1705" s="14">
        <v>0</v>
      </c>
      <c r="J1705" s="15">
        <v>1</v>
      </c>
      <c r="K1705" s="14">
        <v>517.02817075546375</v>
      </c>
      <c r="L1705" s="13">
        <v>201090855.13404474</v>
      </c>
      <c r="M1705" s="14">
        <v>3.7070366322502371</v>
      </c>
      <c r="N1705" s="14">
        <v>509.37383435424289</v>
      </c>
      <c r="O1705" s="13">
        <v>198113808.35116616</v>
      </c>
      <c r="P1705" s="13">
        <v>2977046.7828785777</v>
      </c>
      <c r="Q1705" s="14">
        <v>1.0150269524757285</v>
      </c>
      <c r="R1705" s="15">
        <v>1.50269524757286E-2</v>
      </c>
    </row>
    <row r="1706" spans="1:18" ht="18" customHeight="1">
      <c r="A1706" s="10" t="s">
        <v>17</v>
      </c>
      <c r="B1706" s="10" t="s">
        <v>18</v>
      </c>
      <c r="C1706" s="10" t="s">
        <v>254</v>
      </c>
      <c r="D1706" s="10" t="s">
        <v>273</v>
      </c>
      <c r="E1706" s="16">
        <v>25</v>
      </c>
      <c r="F1706" s="16">
        <v>25</v>
      </c>
      <c r="G1706" s="13">
        <v>937228.23273797147</v>
      </c>
      <c r="H1706" s="13">
        <v>937228.23273797147</v>
      </c>
      <c r="I1706" s="14">
        <v>0</v>
      </c>
      <c r="J1706" s="15">
        <v>1</v>
      </c>
      <c r="K1706" s="14">
        <v>151.90991055977648</v>
      </c>
      <c r="L1706" s="13">
        <v>142374257.00932261</v>
      </c>
      <c r="M1706" s="14">
        <v>3.1039808887831786</v>
      </c>
      <c r="N1706" s="14">
        <v>127.05181945673523</v>
      </c>
      <c r="O1706" s="13">
        <v>119076552.21557978</v>
      </c>
      <c r="P1706" s="13">
        <v>23297704.793742836</v>
      </c>
      <c r="Q1706" s="14">
        <v>1.1956531689930354</v>
      </c>
      <c r="R1706" s="15">
        <v>0.19565316899303542</v>
      </c>
    </row>
    <row r="1707" spans="1:18" ht="18" customHeight="1">
      <c r="A1707" s="10" t="s">
        <v>17</v>
      </c>
      <c r="B1707" s="10" t="s">
        <v>18</v>
      </c>
      <c r="C1707" s="10" t="s">
        <v>254</v>
      </c>
      <c r="D1707" s="10" t="s">
        <v>284</v>
      </c>
      <c r="E1707" s="16">
        <v>13</v>
      </c>
      <c r="F1707" s="16">
        <v>13</v>
      </c>
      <c r="G1707" s="13">
        <v>30183.3203171397</v>
      </c>
      <c r="H1707" s="13">
        <v>30183.3203171397</v>
      </c>
      <c r="I1707" s="14">
        <v>0</v>
      </c>
      <c r="J1707" s="15">
        <v>1</v>
      </c>
      <c r="K1707" s="14">
        <v>559.31802147366227</v>
      </c>
      <c r="L1707" s="13">
        <v>16882075.001288369</v>
      </c>
      <c r="M1707" s="14">
        <v>3.5760197599081054</v>
      </c>
      <c r="N1707" s="14">
        <v>376.72093897095004</v>
      </c>
      <c r="O1707" s="13">
        <v>11370688.771133821</v>
      </c>
      <c r="P1707" s="13">
        <v>5511386.2301545478</v>
      </c>
      <c r="Q1707" s="14">
        <v>1.4847011769547345</v>
      </c>
      <c r="R1707" s="15">
        <v>0.48470117695473458</v>
      </c>
    </row>
    <row r="1708" spans="1:18" ht="18" customHeight="1">
      <c r="A1708" s="10" t="s">
        <v>17</v>
      </c>
      <c r="B1708" s="10" t="s">
        <v>18</v>
      </c>
      <c r="C1708" s="10" t="s">
        <v>254</v>
      </c>
      <c r="D1708" s="10" t="s">
        <v>274</v>
      </c>
      <c r="E1708" s="16">
        <v>6</v>
      </c>
      <c r="F1708" s="16">
        <v>6</v>
      </c>
      <c r="G1708" s="13">
        <v>8034.5762127518992</v>
      </c>
      <c r="H1708" s="13">
        <v>8034.5762127518992</v>
      </c>
      <c r="I1708" s="14">
        <v>0</v>
      </c>
      <c r="J1708" s="15">
        <v>1</v>
      </c>
      <c r="K1708" s="14">
        <v>1389.9969278629505</v>
      </c>
      <c r="L1708" s="13">
        <v>11168036.25240588</v>
      </c>
      <c r="M1708" s="14">
        <v>3.9816484540599868</v>
      </c>
      <c r="N1708" s="14">
        <v>958.6243450506023</v>
      </c>
      <c r="O1708" s="13">
        <v>7702140.3597084377</v>
      </c>
      <c r="P1708" s="13">
        <v>3465895.8926974423</v>
      </c>
      <c r="Q1708" s="14">
        <v>1.4499912661717116</v>
      </c>
      <c r="R1708" s="15">
        <v>0.44999126617171165</v>
      </c>
    </row>
    <row r="1709" spans="1:18" ht="18" customHeight="1">
      <c r="A1709" s="10" t="s">
        <v>61</v>
      </c>
      <c r="B1709" s="10" t="s">
        <v>62</v>
      </c>
      <c r="C1709" s="10" t="s">
        <v>254</v>
      </c>
      <c r="D1709" s="10" t="s">
        <v>255</v>
      </c>
      <c r="E1709" s="16">
        <v>7</v>
      </c>
      <c r="F1709" s="16">
        <v>7</v>
      </c>
      <c r="G1709" s="13">
        <v>34890.580125699096</v>
      </c>
      <c r="H1709" s="13">
        <v>34890.580125699096</v>
      </c>
      <c r="I1709" s="14">
        <v>0</v>
      </c>
      <c r="J1709" s="15">
        <v>1</v>
      </c>
      <c r="K1709" s="14">
        <v>756.60433055625458</v>
      </c>
      <c r="L1709" s="13">
        <v>26398364.018723927</v>
      </c>
      <c r="M1709" s="14">
        <v>3.8716601065717215</v>
      </c>
      <c r="N1709" s="14">
        <v>744.14934970439538</v>
      </c>
      <c r="O1709" s="13">
        <v>25963802.511348084</v>
      </c>
      <c r="P1709" s="13">
        <v>434561.50737584382</v>
      </c>
      <c r="Q1709" s="14">
        <v>1.0167372058536459</v>
      </c>
      <c r="R1709" s="15">
        <v>1.6737205853645999E-2</v>
      </c>
    </row>
    <row r="1710" spans="1:18" ht="18" customHeight="1">
      <c r="A1710" s="10" t="s">
        <v>61</v>
      </c>
      <c r="B1710" s="10" t="s">
        <v>62</v>
      </c>
      <c r="C1710" s="10" t="s">
        <v>254</v>
      </c>
      <c r="D1710" s="10" t="s">
        <v>277</v>
      </c>
      <c r="E1710" s="16">
        <v>3</v>
      </c>
      <c r="F1710" s="16">
        <v>3</v>
      </c>
      <c r="G1710" s="13">
        <v>6821.9827036682</v>
      </c>
      <c r="H1710" s="13">
        <v>6821.9827036682</v>
      </c>
      <c r="I1710" s="14">
        <v>0</v>
      </c>
      <c r="J1710" s="15">
        <v>1</v>
      </c>
      <c r="K1710" s="14">
        <v>288.40315031266056</v>
      </c>
      <c r="L1710" s="13">
        <v>1967481.3031163902</v>
      </c>
      <c r="M1710" s="14">
        <v>3.46</v>
      </c>
      <c r="N1710" s="14">
        <v>288.40315031266056</v>
      </c>
      <c r="O1710" s="13">
        <v>1967481.3031163902</v>
      </c>
      <c r="P1710" s="13">
        <v>0</v>
      </c>
      <c r="Q1710" s="14">
        <v>1</v>
      </c>
      <c r="R1710" s="15">
        <v>0</v>
      </c>
    </row>
    <row r="1711" spans="1:18" ht="18" customHeight="1">
      <c r="A1711" s="10" t="s">
        <v>61</v>
      </c>
      <c r="B1711" s="10" t="s">
        <v>62</v>
      </c>
      <c r="C1711" s="10" t="s">
        <v>254</v>
      </c>
      <c r="D1711" s="10" t="s">
        <v>257</v>
      </c>
      <c r="E1711" s="16">
        <v>1</v>
      </c>
      <c r="F1711" s="16">
        <v>1</v>
      </c>
      <c r="G1711" s="13">
        <v>2.5784107425</v>
      </c>
      <c r="H1711" s="13">
        <v>2.5784107425</v>
      </c>
      <c r="I1711" s="14">
        <v>0</v>
      </c>
      <c r="J1711" s="15">
        <v>1</v>
      </c>
      <c r="K1711" s="14">
        <v>1659.5869074375596</v>
      </c>
      <c r="L1711" s="13">
        <v>4279.0967102493569</v>
      </c>
      <c r="M1711" s="14">
        <v>4.22</v>
      </c>
      <c r="N1711" s="14">
        <v>1659.5869074375596</v>
      </c>
      <c r="O1711" s="13">
        <v>4279.0967102493569</v>
      </c>
      <c r="P1711" s="13">
        <v>0</v>
      </c>
      <c r="Q1711" s="14">
        <v>1</v>
      </c>
      <c r="R1711" s="15">
        <v>0</v>
      </c>
    </row>
    <row r="1712" spans="1:18" ht="18" customHeight="1">
      <c r="A1712" s="10" t="s">
        <v>61</v>
      </c>
      <c r="B1712" s="10" t="s">
        <v>62</v>
      </c>
      <c r="C1712" s="10" t="s">
        <v>254</v>
      </c>
      <c r="D1712" s="10" t="s">
        <v>258</v>
      </c>
      <c r="E1712" s="16">
        <v>7</v>
      </c>
      <c r="F1712" s="16">
        <v>7</v>
      </c>
      <c r="G1712" s="13">
        <v>14031.934626760301</v>
      </c>
      <c r="H1712" s="13">
        <v>14031.934626760301</v>
      </c>
      <c r="I1712" s="14">
        <v>0</v>
      </c>
      <c r="J1712" s="15">
        <v>1</v>
      </c>
      <c r="K1712" s="14">
        <v>2162.872140815874</v>
      </c>
      <c r="L1712" s="13">
        <v>30349280.485969443</v>
      </c>
      <c r="M1712" s="14">
        <v>4.2631642063058077</v>
      </c>
      <c r="N1712" s="14">
        <v>1833.0073495964939</v>
      </c>
      <c r="O1712" s="13">
        <v>25720639.299909167</v>
      </c>
      <c r="P1712" s="13">
        <v>4628641.1860602759</v>
      </c>
      <c r="Q1712" s="14">
        <v>1.1799582480081132</v>
      </c>
      <c r="R1712" s="15">
        <v>0.17995824800811316</v>
      </c>
    </row>
    <row r="1713" spans="1:18" ht="18" customHeight="1">
      <c r="A1713" s="10" t="s">
        <v>61</v>
      </c>
      <c r="B1713" s="10" t="s">
        <v>62</v>
      </c>
      <c r="C1713" s="10" t="s">
        <v>254</v>
      </c>
      <c r="D1713" s="10" t="s">
        <v>259</v>
      </c>
      <c r="E1713" s="16">
        <v>6</v>
      </c>
      <c r="F1713" s="16">
        <v>6</v>
      </c>
      <c r="G1713" s="13">
        <v>20397.0330612941</v>
      </c>
      <c r="H1713" s="13">
        <v>20397.0330612941</v>
      </c>
      <c r="I1713" s="14">
        <v>0</v>
      </c>
      <c r="J1713" s="15">
        <v>1</v>
      </c>
      <c r="K1713" s="14">
        <v>1597.9785363779483</v>
      </c>
      <c r="L1713" s="13">
        <v>32594021.03773937</v>
      </c>
      <c r="M1713" s="14">
        <v>4.0930857860744654</v>
      </c>
      <c r="N1713" s="14">
        <v>1239.0413098626464</v>
      </c>
      <c r="O1713" s="13">
        <v>25272766.561577544</v>
      </c>
      <c r="P1713" s="13">
        <v>7321254.4761618264</v>
      </c>
      <c r="Q1713" s="14">
        <v>1.2896894749660057</v>
      </c>
      <c r="R1713" s="15">
        <v>0.28968947496600578</v>
      </c>
    </row>
    <row r="1714" spans="1:18" ht="18" customHeight="1">
      <c r="A1714" s="10" t="s">
        <v>61</v>
      </c>
      <c r="B1714" s="10" t="s">
        <v>62</v>
      </c>
      <c r="C1714" s="10" t="s">
        <v>254</v>
      </c>
      <c r="D1714" s="10" t="s">
        <v>261</v>
      </c>
      <c r="E1714" s="16">
        <v>25</v>
      </c>
      <c r="F1714" s="16">
        <v>25</v>
      </c>
      <c r="G1714" s="13">
        <v>102017.71785340001</v>
      </c>
      <c r="H1714" s="13">
        <v>102017.71785340001</v>
      </c>
      <c r="I1714" s="14">
        <v>0</v>
      </c>
      <c r="J1714" s="15">
        <v>1</v>
      </c>
      <c r="K1714" s="14">
        <v>2709.2723506542907</v>
      </c>
      <c r="L1714" s="13">
        <v>276393782.25706726</v>
      </c>
      <c r="M1714" s="14">
        <v>4.4250707721017974</v>
      </c>
      <c r="N1714" s="14">
        <v>2661.1586836564761</v>
      </c>
      <c r="O1714" s="13">
        <v>271485335.75239176</v>
      </c>
      <c r="P1714" s="13">
        <v>4908446.5046755075</v>
      </c>
      <c r="Q1714" s="14">
        <v>1.0180799691853422</v>
      </c>
      <c r="R1714" s="15">
        <v>1.8079969185342139E-2</v>
      </c>
    </row>
    <row r="1715" spans="1:18" ht="18" customHeight="1">
      <c r="A1715" s="10" t="s">
        <v>61</v>
      </c>
      <c r="B1715" s="10" t="s">
        <v>62</v>
      </c>
      <c r="C1715" s="10" t="s">
        <v>254</v>
      </c>
      <c r="D1715" s="10" t="s">
        <v>262</v>
      </c>
      <c r="E1715" s="16">
        <v>3</v>
      </c>
      <c r="F1715" s="16">
        <v>3</v>
      </c>
      <c r="G1715" s="13">
        <v>3510.3992690824998</v>
      </c>
      <c r="H1715" s="13">
        <v>3510.3992690824998</v>
      </c>
      <c r="I1715" s="14">
        <v>0</v>
      </c>
      <c r="J1715" s="15">
        <v>1</v>
      </c>
      <c r="K1715" s="14">
        <v>706.79690453346484</v>
      </c>
      <c r="L1715" s="13">
        <v>2481139.3370640483</v>
      </c>
      <c r="M1715" s="14">
        <v>3.8488687721381081</v>
      </c>
      <c r="N1715" s="14">
        <v>706.10416324788832</v>
      </c>
      <c r="O1715" s="13">
        <v>2478707.5385614973</v>
      </c>
      <c r="P1715" s="13">
        <v>2431.7985025509261</v>
      </c>
      <c r="Q1715" s="14">
        <v>1.000981075203395</v>
      </c>
      <c r="R1715" s="15">
        <v>9.8107520339499408E-4</v>
      </c>
    </row>
    <row r="1716" spans="1:18" ht="18" customHeight="1">
      <c r="A1716" s="10" t="s">
        <v>61</v>
      </c>
      <c r="B1716" s="10" t="s">
        <v>62</v>
      </c>
      <c r="C1716" s="10" t="s">
        <v>254</v>
      </c>
      <c r="D1716" s="10" t="s">
        <v>263</v>
      </c>
      <c r="E1716" s="16">
        <v>4</v>
      </c>
      <c r="F1716" s="16">
        <v>4</v>
      </c>
      <c r="G1716" s="13">
        <v>17785.941080532699</v>
      </c>
      <c r="H1716" s="13">
        <v>17785.941080532699</v>
      </c>
      <c r="I1716" s="14">
        <v>0</v>
      </c>
      <c r="J1716" s="15">
        <v>1</v>
      </c>
      <c r="K1716" s="14">
        <v>1559.2959140270041</v>
      </c>
      <c r="L1716" s="13">
        <v>27733545.253999677</v>
      </c>
      <c r="M1716" s="14">
        <v>4.179255999082419</v>
      </c>
      <c r="N1716" s="14">
        <v>1510.9705479148247</v>
      </c>
      <c r="O1716" s="13">
        <v>26874033.139633279</v>
      </c>
      <c r="P1716" s="13">
        <v>859512.11436639726</v>
      </c>
      <c r="Q1716" s="14">
        <v>1.0319829967426366</v>
      </c>
      <c r="R1716" s="15">
        <v>3.1982996742636528E-2</v>
      </c>
    </row>
    <row r="1717" spans="1:18" ht="18" customHeight="1">
      <c r="A1717" s="10" t="s">
        <v>61</v>
      </c>
      <c r="B1717" s="10" t="s">
        <v>62</v>
      </c>
      <c r="C1717" s="10" t="s">
        <v>254</v>
      </c>
      <c r="D1717" s="10" t="s">
        <v>264</v>
      </c>
      <c r="E1717" s="16">
        <v>10</v>
      </c>
      <c r="F1717" s="16">
        <v>10</v>
      </c>
      <c r="G1717" s="13">
        <v>7378.3993840391004</v>
      </c>
      <c r="H1717" s="13">
        <v>7378.3993840391004</v>
      </c>
      <c r="I1717" s="14">
        <v>0</v>
      </c>
      <c r="J1717" s="15">
        <v>1</v>
      </c>
      <c r="K1717" s="14">
        <v>1655.7266584205781</v>
      </c>
      <c r="L1717" s="13">
        <v>12216612.556627512</v>
      </c>
      <c r="M1717" s="14">
        <v>4.208559190790119</v>
      </c>
      <c r="N1717" s="14">
        <v>1616.4385184595799</v>
      </c>
      <c r="O1717" s="13">
        <v>11926728.968939241</v>
      </c>
      <c r="P1717" s="13">
        <v>289883.58768827096</v>
      </c>
      <c r="Q1717" s="14">
        <v>1.0243053722813031</v>
      </c>
      <c r="R1717" s="15">
        <v>2.4305372281303136E-2</v>
      </c>
    </row>
    <row r="1718" spans="1:18" ht="18" customHeight="1">
      <c r="A1718" s="10" t="s">
        <v>61</v>
      </c>
      <c r="B1718" s="10" t="s">
        <v>62</v>
      </c>
      <c r="C1718" s="10" t="s">
        <v>254</v>
      </c>
      <c r="D1718" s="10" t="s">
        <v>265</v>
      </c>
      <c r="E1718" s="16">
        <v>10</v>
      </c>
      <c r="F1718" s="16">
        <v>10</v>
      </c>
      <c r="G1718" s="13">
        <v>31816.610099130299</v>
      </c>
      <c r="H1718" s="13">
        <v>31816.610099130299</v>
      </c>
      <c r="I1718" s="14">
        <v>0</v>
      </c>
      <c r="J1718" s="15">
        <v>1</v>
      </c>
      <c r="K1718" s="14">
        <v>72.919503941836069</v>
      </c>
      <c r="L1718" s="13">
        <v>2320051.425539393</v>
      </c>
      <c r="M1718" s="14">
        <v>2.655306496055966</v>
      </c>
      <c r="N1718" s="14">
        <v>45.217494669089533</v>
      </c>
      <c r="O1718" s="13">
        <v>1438667.3975459244</v>
      </c>
      <c r="P1718" s="13">
        <v>881384.02799346857</v>
      </c>
      <c r="Q1718" s="14">
        <v>1.612639189222562</v>
      </c>
      <c r="R1718" s="15">
        <v>0.61263918922256211</v>
      </c>
    </row>
    <row r="1719" spans="1:18" ht="18" customHeight="1">
      <c r="A1719" s="10" t="s">
        <v>61</v>
      </c>
      <c r="B1719" s="10" t="s">
        <v>62</v>
      </c>
      <c r="C1719" s="10" t="s">
        <v>254</v>
      </c>
      <c r="D1719" s="10" t="s">
        <v>268</v>
      </c>
      <c r="E1719" s="16">
        <v>4</v>
      </c>
      <c r="F1719" s="16">
        <v>4</v>
      </c>
      <c r="G1719" s="13">
        <v>13690.0513383999</v>
      </c>
      <c r="H1719" s="13">
        <v>13690.0513383999</v>
      </c>
      <c r="I1719" s="14">
        <v>0</v>
      </c>
      <c r="J1719" s="15">
        <v>1</v>
      </c>
      <c r="K1719" s="14">
        <v>238.17078063467557</v>
      </c>
      <c r="L1719" s="13">
        <v>3260570.2141954894</v>
      </c>
      <c r="M1719" s="14">
        <v>3.2736543909024789</v>
      </c>
      <c r="N1719" s="14">
        <v>187.78218620045951</v>
      </c>
      <c r="O1719" s="13">
        <v>2570747.7695212602</v>
      </c>
      <c r="P1719" s="13">
        <v>689822.44467422925</v>
      </c>
      <c r="Q1719" s="14">
        <v>1.2683353275077205</v>
      </c>
      <c r="R1719" s="15">
        <v>0.26833532750772049</v>
      </c>
    </row>
    <row r="1720" spans="1:18" ht="18" customHeight="1">
      <c r="A1720" s="10" t="s">
        <v>61</v>
      </c>
      <c r="B1720" s="10" t="s">
        <v>62</v>
      </c>
      <c r="C1720" s="10" t="s">
        <v>254</v>
      </c>
      <c r="D1720" s="10" t="s">
        <v>269</v>
      </c>
      <c r="E1720" s="16">
        <v>21</v>
      </c>
      <c r="F1720" s="16">
        <v>21</v>
      </c>
      <c r="G1720" s="13">
        <v>386592.73940424196</v>
      </c>
      <c r="H1720" s="13">
        <v>386592.73940424196</v>
      </c>
      <c r="I1720" s="14">
        <v>0</v>
      </c>
      <c r="J1720" s="15">
        <v>1</v>
      </c>
      <c r="K1720" s="14">
        <v>288.26181358219668</v>
      </c>
      <c r="L1720" s="13">
        <v>111439924.17837635</v>
      </c>
      <c r="M1720" s="14">
        <v>3.3268430075636037</v>
      </c>
      <c r="N1720" s="14">
        <v>212.2477072373529</v>
      </c>
      <c r="O1720" s="13">
        <v>82053422.573157802</v>
      </c>
      <c r="P1720" s="13">
        <v>29386501.605218545</v>
      </c>
      <c r="Q1720" s="14">
        <v>1.3581386453321664</v>
      </c>
      <c r="R1720" s="15">
        <v>0.35813864533216649</v>
      </c>
    </row>
    <row r="1721" spans="1:18" ht="18" customHeight="1">
      <c r="A1721" s="10" t="s">
        <v>61</v>
      </c>
      <c r="B1721" s="10" t="s">
        <v>62</v>
      </c>
      <c r="C1721" s="10" t="s">
        <v>254</v>
      </c>
      <c r="D1721" s="10" t="s">
        <v>270</v>
      </c>
      <c r="E1721" s="16">
        <v>20</v>
      </c>
      <c r="F1721" s="16">
        <v>20</v>
      </c>
      <c r="G1721" s="13">
        <v>393698.72322774737</v>
      </c>
      <c r="H1721" s="13">
        <v>393698.72322774737</v>
      </c>
      <c r="I1721" s="14">
        <v>0</v>
      </c>
      <c r="J1721" s="15">
        <v>1</v>
      </c>
      <c r="K1721" s="14">
        <v>711.49683916163224</v>
      </c>
      <c r="L1721" s="13">
        <v>280115397.15851253</v>
      </c>
      <c r="M1721" s="14">
        <v>3.5822399141375691</v>
      </c>
      <c r="N1721" s="14">
        <v>382.15532382166043</v>
      </c>
      <c r="O1721" s="13">
        <v>150454063.06327406</v>
      </c>
      <c r="P1721" s="13">
        <v>129661334.09523848</v>
      </c>
      <c r="Q1721" s="14">
        <v>1.861800149861748</v>
      </c>
      <c r="R1721" s="15">
        <v>0.86180014986174802</v>
      </c>
    </row>
    <row r="1722" spans="1:18" ht="18" customHeight="1">
      <c r="A1722" s="10" t="s">
        <v>61</v>
      </c>
      <c r="B1722" s="10" t="s">
        <v>62</v>
      </c>
      <c r="C1722" s="10" t="s">
        <v>254</v>
      </c>
      <c r="D1722" s="10" t="s">
        <v>276</v>
      </c>
      <c r="E1722" s="16">
        <v>32</v>
      </c>
      <c r="F1722" s="16">
        <v>32</v>
      </c>
      <c r="G1722" s="13">
        <v>153468.86832580389</v>
      </c>
      <c r="H1722" s="13">
        <v>153468.86832580389</v>
      </c>
      <c r="I1722" s="14">
        <v>0</v>
      </c>
      <c r="J1722" s="15">
        <v>1</v>
      </c>
      <c r="K1722" s="14">
        <v>797.32689869759417</v>
      </c>
      <c r="L1722" s="13">
        <v>122364856.82884265</v>
      </c>
      <c r="M1722" s="14">
        <v>3.5465330685599388</v>
      </c>
      <c r="N1722" s="14">
        <v>351.99222330921549</v>
      </c>
      <c r="O1722" s="13">
        <v>54019848.170748949</v>
      </c>
      <c r="P1722" s="13">
        <v>68345008.658093706</v>
      </c>
      <c r="Q1722" s="14">
        <v>2.2651832793395679</v>
      </c>
      <c r="R1722" s="15">
        <v>1.2651832793395676</v>
      </c>
    </row>
    <row r="1723" spans="1:18" ht="18" customHeight="1">
      <c r="A1723" s="10" t="s">
        <v>61</v>
      </c>
      <c r="B1723" s="10" t="s">
        <v>62</v>
      </c>
      <c r="C1723" s="10" t="s">
        <v>254</v>
      </c>
      <c r="D1723" s="10" t="s">
        <v>271</v>
      </c>
      <c r="E1723" s="16">
        <v>13</v>
      </c>
      <c r="F1723" s="16">
        <v>13</v>
      </c>
      <c r="G1723" s="13">
        <v>164212.75577214005</v>
      </c>
      <c r="H1723" s="13">
        <v>164212.75577214005</v>
      </c>
      <c r="I1723" s="14">
        <v>0</v>
      </c>
      <c r="J1723" s="15">
        <v>1</v>
      </c>
      <c r="K1723" s="14">
        <v>26.318943124912067</v>
      </c>
      <c r="L1723" s="13">
        <v>4321906.1795520298</v>
      </c>
      <c r="M1723" s="14">
        <v>2.4158215937809433</v>
      </c>
      <c r="N1723" s="14">
        <v>26.050831737148837</v>
      </c>
      <c r="O1723" s="13">
        <v>4277878.8697135365</v>
      </c>
      <c r="P1723" s="13">
        <v>44027.309838493355</v>
      </c>
      <c r="Q1723" s="14">
        <v>1.0102918551879057</v>
      </c>
      <c r="R1723" s="15">
        <v>1.0291855187905681E-2</v>
      </c>
    </row>
    <row r="1724" spans="1:18" ht="18" customHeight="1">
      <c r="A1724" s="10" t="s">
        <v>61</v>
      </c>
      <c r="B1724" s="10" t="s">
        <v>62</v>
      </c>
      <c r="C1724" s="10" t="s">
        <v>254</v>
      </c>
      <c r="D1724" s="10" t="s">
        <v>272</v>
      </c>
      <c r="E1724" s="16">
        <v>16</v>
      </c>
      <c r="F1724" s="16">
        <v>16</v>
      </c>
      <c r="G1724" s="13">
        <v>35191.526332439003</v>
      </c>
      <c r="H1724" s="13">
        <v>35191.526332439003</v>
      </c>
      <c r="I1724" s="14">
        <v>0</v>
      </c>
      <c r="J1724" s="15">
        <v>1</v>
      </c>
      <c r="K1724" s="14">
        <v>181.29584155488007</v>
      </c>
      <c r="L1724" s="13">
        <v>6380077.382040251</v>
      </c>
      <c r="M1724" s="14">
        <v>3.0246418795028256</v>
      </c>
      <c r="N1724" s="14">
        <v>105.83806214956944</v>
      </c>
      <c r="O1724" s="13">
        <v>3724602.9511108887</v>
      </c>
      <c r="P1724" s="13">
        <v>2655474.4309293623</v>
      </c>
      <c r="Q1724" s="14">
        <v>1.7129550359555368</v>
      </c>
      <c r="R1724" s="15">
        <v>0.71295503595553689</v>
      </c>
    </row>
    <row r="1725" spans="1:18" ht="18" customHeight="1">
      <c r="A1725" s="10" t="s">
        <v>61</v>
      </c>
      <c r="B1725" s="10" t="s">
        <v>62</v>
      </c>
      <c r="C1725" s="10" t="s">
        <v>254</v>
      </c>
      <c r="D1725" s="10" t="s">
        <v>283</v>
      </c>
      <c r="E1725" s="16">
        <v>5</v>
      </c>
      <c r="F1725" s="16">
        <v>5</v>
      </c>
      <c r="G1725" s="13">
        <v>38976.238258745398</v>
      </c>
      <c r="H1725" s="13">
        <v>38976.238258745398</v>
      </c>
      <c r="I1725" s="14">
        <v>0</v>
      </c>
      <c r="J1725" s="15">
        <v>1</v>
      </c>
      <c r="K1725" s="14">
        <v>174.45683001372817</v>
      </c>
      <c r="L1725" s="13">
        <v>6799670.9724805141</v>
      </c>
      <c r="M1725" s="14">
        <v>3.2316701943132511</v>
      </c>
      <c r="N1725" s="14">
        <v>170.47872722058361</v>
      </c>
      <c r="O1725" s="13">
        <v>6644619.4901971314</v>
      </c>
      <c r="P1725" s="13">
        <v>155051.48228338268</v>
      </c>
      <c r="Q1725" s="14">
        <v>1.0233348926168204</v>
      </c>
      <c r="R1725" s="15">
        <v>2.3334892616820507E-2</v>
      </c>
    </row>
    <row r="1726" spans="1:18" ht="18" customHeight="1">
      <c r="A1726" s="10" t="s">
        <v>61</v>
      </c>
      <c r="B1726" s="10" t="s">
        <v>62</v>
      </c>
      <c r="C1726" s="10" t="s">
        <v>254</v>
      </c>
      <c r="D1726" s="10" t="s">
        <v>278</v>
      </c>
      <c r="E1726" s="16">
        <v>5</v>
      </c>
      <c r="F1726" s="16">
        <v>5</v>
      </c>
      <c r="G1726" s="13">
        <v>13781.1585274833</v>
      </c>
      <c r="H1726" s="13">
        <v>13781.1585274833</v>
      </c>
      <c r="I1726" s="14">
        <v>0</v>
      </c>
      <c r="J1726" s="15">
        <v>1</v>
      </c>
      <c r="K1726" s="14">
        <v>508.64459299641783</v>
      </c>
      <c r="L1726" s="13">
        <v>7009711.7702308558</v>
      </c>
      <c r="M1726" s="14">
        <v>3.6645167978028441</v>
      </c>
      <c r="N1726" s="14">
        <v>461.86685580710855</v>
      </c>
      <c r="O1726" s="13">
        <v>6365060.3584680334</v>
      </c>
      <c r="P1726" s="13">
        <v>644651.41176282242</v>
      </c>
      <c r="Q1726" s="14">
        <v>1.1012797012844007</v>
      </c>
      <c r="R1726" s="15">
        <v>0.10127970128440063</v>
      </c>
    </row>
    <row r="1727" spans="1:18" ht="18" customHeight="1">
      <c r="A1727" s="10" t="s">
        <v>61</v>
      </c>
      <c r="B1727" s="10" t="s">
        <v>62</v>
      </c>
      <c r="C1727" s="10" t="s">
        <v>254</v>
      </c>
      <c r="D1727" s="10" t="s">
        <v>273</v>
      </c>
      <c r="E1727" s="16">
        <v>14</v>
      </c>
      <c r="F1727" s="16">
        <v>14</v>
      </c>
      <c r="G1727" s="13">
        <v>267998.55672928574</v>
      </c>
      <c r="H1727" s="13">
        <v>267998.55672928574</v>
      </c>
      <c r="I1727" s="14">
        <v>0</v>
      </c>
      <c r="J1727" s="15">
        <v>1</v>
      </c>
      <c r="K1727" s="14">
        <v>91.046999593452853</v>
      </c>
      <c r="L1727" s="13">
        <v>24400464.485577229</v>
      </c>
      <c r="M1727" s="14">
        <v>2.8655391072984924</v>
      </c>
      <c r="N1727" s="14">
        <v>73.373478270718579</v>
      </c>
      <c r="O1727" s="13">
        <v>19663986.278760187</v>
      </c>
      <c r="P1727" s="13">
        <v>4736478.2068170421</v>
      </c>
      <c r="Q1727" s="14">
        <v>1.2408707034103807</v>
      </c>
      <c r="R1727" s="15">
        <v>0.24087070341038078</v>
      </c>
    </row>
    <row r="1728" spans="1:18" ht="18" customHeight="1">
      <c r="A1728" s="10" t="s">
        <v>61</v>
      </c>
      <c r="B1728" s="10" t="s">
        <v>62</v>
      </c>
      <c r="C1728" s="10" t="s">
        <v>254</v>
      </c>
      <c r="D1728" s="10" t="s">
        <v>284</v>
      </c>
      <c r="E1728" s="16">
        <v>9</v>
      </c>
      <c r="F1728" s="16">
        <v>9</v>
      </c>
      <c r="G1728" s="13">
        <v>24367.883562831299</v>
      </c>
      <c r="H1728" s="13">
        <v>24367.883562831299</v>
      </c>
      <c r="I1728" s="14">
        <v>0</v>
      </c>
      <c r="J1728" s="15">
        <v>1</v>
      </c>
      <c r="K1728" s="14">
        <v>428.6826935818176</v>
      </c>
      <c r="L1728" s="13">
        <v>10446089.962602619</v>
      </c>
      <c r="M1728" s="14">
        <v>3.4706769577098564</v>
      </c>
      <c r="N1728" s="14">
        <v>295.5813019264084</v>
      </c>
      <c r="O1728" s="13">
        <v>7202690.7486928031</v>
      </c>
      <c r="P1728" s="13">
        <v>3243399.213909816</v>
      </c>
      <c r="Q1728" s="14">
        <v>1.45030382770473</v>
      </c>
      <c r="R1728" s="15">
        <v>0.45030382770472988</v>
      </c>
    </row>
    <row r="1729" spans="1:18" ht="18" customHeight="1">
      <c r="A1729" s="10" t="s">
        <v>61</v>
      </c>
      <c r="B1729" s="10" t="s">
        <v>62</v>
      </c>
      <c r="C1729" s="10" t="s">
        <v>254</v>
      </c>
      <c r="D1729" s="10" t="s">
        <v>274</v>
      </c>
      <c r="E1729" s="16">
        <v>4</v>
      </c>
      <c r="F1729" s="16">
        <v>4</v>
      </c>
      <c r="G1729" s="13">
        <v>1340.2892292950999</v>
      </c>
      <c r="H1729" s="13">
        <v>1340.2892292950999</v>
      </c>
      <c r="I1729" s="14">
        <v>0</v>
      </c>
      <c r="J1729" s="15">
        <v>1</v>
      </c>
      <c r="K1729" s="14">
        <v>896.49677030292662</v>
      </c>
      <c r="L1729" s="13">
        <v>1201564.9653348557</v>
      </c>
      <c r="M1729" s="14">
        <v>3.9009441942373977</v>
      </c>
      <c r="N1729" s="14">
        <v>796.05705249025266</v>
      </c>
      <c r="O1729" s="13">
        <v>1066946.6933570895</v>
      </c>
      <c r="P1729" s="13">
        <v>134618.27197776618</v>
      </c>
      <c r="Q1729" s="14">
        <v>1.1261715068015228</v>
      </c>
      <c r="R1729" s="15">
        <v>0.1261715068015227</v>
      </c>
    </row>
    <row r="1730" spans="1:18" ht="18" customHeight="1">
      <c r="A1730" s="10" t="s">
        <v>43</v>
      </c>
      <c r="B1730" s="10" t="s">
        <v>44</v>
      </c>
      <c r="C1730" s="10" t="s">
        <v>254</v>
      </c>
      <c r="D1730" s="10" t="s">
        <v>255</v>
      </c>
      <c r="E1730" s="16">
        <v>6</v>
      </c>
      <c r="F1730" s="16">
        <v>6</v>
      </c>
      <c r="G1730" s="13">
        <v>1507.9466999115002</v>
      </c>
      <c r="H1730" s="13">
        <v>1507.9466999115002</v>
      </c>
      <c r="I1730" s="14">
        <v>0</v>
      </c>
      <c r="J1730" s="15">
        <v>1</v>
      </c>
      <c r="K1730" s="14">
        <v>1089.2470330883023</v>
      </c>
      <c r="L1730" s="13">
        <v>1642526.468933898</v>
      </c>
      <c r="M1730" s="14">
        <v>4.0061799256308399</v>
      </c>
      <c r="N1730" s="14">
        <v>1014.3315302424709</v>
      </c>
      <c r="O1730" s="13">
        <v>1529557.8836453161</v>
      </c>
      <c r="P1730" s="13">
        <v>112968.5852885819</v>
      </c>
      <c r="Q1730" s="14">
        <v>1.0738570187480252</v>
      </c>
      <c r="R1730" s="15">
        <v>7.3857018748025235E-2</v>
      </c>
    </row>
    <row r="1731" spans="1:18" ht="18" customHeight="1">
      <c r="A1731" s="10" t="s">
        <v>43</v>
      </c>
      <c r="B1731" s="10" t="s">
        <v>44</v>
      </c>
      <c r="C1731" s="10" t="s">
        <v>254</v>
      </c>
      <c r="D1731" s="10" t="s">
        <v>277</v>
      </c>
      <c r="E1731" s="16">
        <v>3</v>
      </c>
      <c r="F1731" s="16">
        <v>3</v>
      </c>
      <c r="G1731" s="13">
        <v>10379.6841354438</v>
      </c>
      <c r="H1731" s="13">
        <v>10379.6841354438</v>
      </c>
      <c r="I1731" s="14">
        <v>0</v>
      </c>
      <c r="J1731" s="15">
        <v>1</v>
      </c>
      <c r="K1731" s="14">
        <v>288.40315031266061</v>
      </c>
      <c r="L1731" s="13">
        <v>2993533.6039123368</v>
      </c>
      <c r="M1731" s="14">
        <v>3.4599999999999995</v>
      </c>
      <c r="N1731" s="14">
        <v>288.40315031266027</v>
      </c>
      <c r="O1731" s="13">
        <v>2993533.6039123335</v>
      </c>
      <c r="P1731" s="13">
        <v>3.2596290111541748E-9</v>
      </c>
      <c r="Q1731" s="14">
        <v>1.0000000000000011</v>
      </c>
      <c r="R1731" s="15">
        <v>1.0888900685444365E-15</v>
      </c>
    </row>
    <row r="1732" spans="1:18" ht="18" customHeight="1">
      <c r="A1732" s="10" t="s">
        <v>43</v>
      </c>
      <c r="B1732" s="10" t="s">
        <v>44</v>
      </c>
      <c r="C1732" s="10" t="s">
        <v>254</v>
      </c>
      <c r="D1732" s="10" t="s">
        <v>258</v>
      </c>
      <c r="E1732" s="16">
        <v>4</v>
      </c>
      <c r="F1732" s="16">
        <v>4</v>
      </c>
      <c r="G1732" s="13">
        <v>46819.868315063992</v>
      </c>
      <c r="H1732" s="13">
        <v>46819.868315063992</v>
      </c>
      <c r="I1732" s="14">
        <v>0</v>
      </c>
      <c r="J1732" s="15">
        <v>1</v>
      </c>
      <c r="K1732" s="14">
        <v>1452.4897944906413</v>
      </c>
      <c r="L1732" s="13">
        <v>68005380.907026187</v>
      </c>
      <c r="M1732" s="14">
        <v>4.161499930283723</v>
      </c>
      <c r="N1732" s="14">
        <v>1450.4405414691507</v>
      </c>
      <c r="O1732" s="13">
        <v>67909435.150415748</v>
      </c>
      <c r="P1732" s="13">
        <v>95945.756610438228</v>
      </c>
      <c r="Q1732" s="14">
        <v>1.0014128486917602</v>
      </c>
      <c r="R1732" s="15">
        <v>1.4128486917601882E-3</v>
      </c>
    </row>
    <row r="1733" spans="1:18" ht="18" customHeight="1">
      <c r="A1733" s="10" t="s">
        <v>43</v>
      </c>
      <c r="B1733" s="10" t="s">
        <v>44</v>
      </c>
      <c r="C1733" s="10" t="s">
        <v>254</v>
      </c>
      <c r="D1733" s="10" t="s">
        <v>259</v>
      </c>
      <c r="E1733" s="16">
        <v>4</v>
      </c>
      <c r="F1733" s="16">
        <v>4</v>
      </c>
      <c r="G1733" s="13">
        <v>149471.38026862469</v>
      </c>
      <c r="H1733" s="13">
        <v>149471.38026862469</v>
      </c>
      <c r="I1733" s="14">
        <v>0</v>
      </c>
      <c r="J1733" s="15">
        <v>1</v>
      </c>
      <c r="K1733" s="14">
        <v>1386.1539370789333</v>
      </c>
      <c r="L1733" s="13">
        <v>207190342.2399765</v>
      </c>
      <c r="M1733" s="14">
        <v>3.9850040222378529</v>
      </c>
      <c r="N1733" s="14">
        <v>966.05982615485686</v>
      </c>
      <c r="O1733" s="13">
        <v>144398295.63743407</v>
      </c>
      <c r="P1733" s="13">
        <v>62792046.60254243</v>
      </c>
      <c r="Q1733" s="14">
        <v>1.4348531007610046</v>
      </c>
      <c r="R1733" s="15">
        <v>0.43485310076100447</v>
      </c>
    </row>
    <row r="1734" spans="1:18" ht="18" customHeight="1">
      <c r="A1734" s="10" t="s">
        <v>43</v>
      </c>
      <c r="B1734" s="10" t="s">
        <v>44</v>
      </c>
      <c r="C1734" s="10" t="s">
        <v>254</v>
      </c>
      <c r="D1734" s="10" t="s">
        <v>261</v>
      </c>
      <c r="E1734" s="16">
        <v>21</v>
      </c>
      <c r="F1734" s="16">
        <v>21</v>
      </c>
      <c r="G1734" s="13">
        <v>113279.10566292852</v>
      </c>
      <c r="H1734" s="13">
        <v>113279.10566292852</v>
      </c>
      <c r="I1734" s="14">
        <v>0</v>
      </c>
      <c r="J1734" s="15">
        <v>1</v>
      </c>
      <c r="K1734" s="14">
        <v>3104.3766829283222</v>
      </c>
      <c r="L1734" s="13">
        <v>351661014.28296894</v>
      </c>
      <c r="M1734" s="14">
        <v>4.4912561280425756</v>
      </c>
      <c r="N1734" s="14">
        <v>3099.2465614977423</v>
      </c>
      <c r="O1734" s="13">
        <v>351079878.71537066</v>
      </c>
      <c r="P1734" s="13">
        <v>581135.56759828329</v>
      </c>
      <c r="Q1734" s="14">
        <v>1.0016552801878726</v>
      </c>
      <c r="R1734" s="15">
        <v>1.6552801878726424E-3</v>
      </c>
    </row>
    <row r="1735" spans="1:18" ht="18" customHeight="1">
      <c r="A1735" s="10" t="s">
        <v>43</v>
      </c>
      <c r="B1735" s="10" t="s">
        <v>44</v>
      </c>
      <c r="C1735" s="10" t="s">
        <v>254</v>
      </c>
      <c r="D1735" s="10" t="s">
        <v>262</v>
      </c>
      <c r="E1735" s="16">
        <v>2</v>
      </c>
      <c r="F1735" s="16">
        <v>2</v>
      </c>
      <c r="G1735" s="13">
        <v>214.81831546400002</v>
      </c>
      <c r="H1735" s="13">
        <v>214.81831546400002</v>
      </c>
      <c r="I1735" s="14">
        <v>0</v>
      </c>
      <c r="J1735" s="15">
        <v>1</v>
      </c>
      <c r="K1735" s="14">
        <v>252.1802909473237</v>
      </c>
      <c r="L1735" s="13">
        <v>54172.945294525489</v>
      </c>
      <c r="M1735" s="14">
        <v>3.3946740085253957</v>
      </c>
      <c r="N1735" s="14">
        <v>248.12699075689781</v>
      </c>
      <c r="O1735" s="13">
        <v>53302.22217554829</v>
      </c>
      <c r="P1735" s="13">
        <v>870.72311897719919</v>
      </c>
      <c r="Q1735" s="14">
        <v>1.0163355875878779</v>
      </c>
      <c r="R1735" s="15">
        <v>1.6335587587877946E-2</v>
      </c>
    </row>
    <row r="1736" spans="1:18" ht="18" customHeight="1">
      <c r="A1736" s="10" t="s">
        <v>43</v>
      </c>
      <c r="B1736" s="10" t="s">
        <v>44</v>
      </c>
      <c r="C1736" s="10" t="s">
        <v>254</v>
      </c>
      <c r="D1736" s="10" t="s">
        <v>264</v>
      </c>
      <c r="E1736" s="16">
        <v>9</v>
      </c>
      <c r="F1736" s="16">
        <v>9</v>
      </c>
      <c r="G1736" s="13">
        <v>19459.236145655701</v>
      </c>
      <c r="H1736" s="13">
        <v>19459.236145655701</v>
      </c>
      <c r="I1736" s="14">
        <v>0</v>
      </c>
      <c r="J1736" s="15">
        <v>1</v>
      </c>
      <c r="K1736" s="14">
        <v>1756.915272345801</v>
      </c>
      <c r="L1736" s="13">
        <v>34188229.17248594</v>
      </c>
      <c r="M1736" s="14">
        <v>4.2434898233297629</v>
      </c>
      <c r="N1736" s="14">
        <v>1751.8213839116852</v>
      </c>
      <c r="O1736" s="13">
        <v>34089105.99454686</v>
      </c>
      <c r="P1736" s="13">
        <v>99123.177939079702</v>
      </c>
      <c r="Q1736" s="14">
        <v>1.0029077670137474</v>
      </c>
      <c r="R1736" s="15">
        <v>2.9077670137473291E-3</v>
      </c>
    </row>
    <row r="1737" spans="1:18" ht="18" customHeight="1">
      <c r="A1737" s="10" t="s">
        <v>43</v>
      </c>
      <c r="B1737" s="10" t="s">
        <v>44</v>
      </c>
      <c r="C1737" s="10" t="s">
        <v>254</v>
      </c>
      <c r="D1737" s="10" t="s">
        <v>265</v>
      </c>
      <c r="E1737" s="16">
        <v>5</v>
      </c>
      <c r="F1737" s="16">
        <v>5</v>
      </c>
      <c r="G1737" s="13">
        <v>58397.537690450197</v>
      </c>
      <c r="H1737" s="13">
        <v>58397.537690450197</v>
      </c>
      <c r="I1737" s="14">
        <v>0</v>
      </c>
      <c r="J1737" s="15">
        <v>1</v>
      </c>
      <c r="K1737" s="14">
        <v>267.50059937787933</v>
      </c>
      <c r="L1737" s="13">
        <v>15621376.334387727</v>
      </c>
      <c r="M1737" s="14">
        <v>3.4234781535455645</v>
      </c>
      <c r="N1737" s="14">
        <v>265.14177145399566</v>
      </c>
      <c r="O1737" s="13">
        <v>15483626.591797443</v>
      </c>
      <c r="P1737" s="13">
        <v>137749.74259028398</v>
      </c>
      <c r="Q1737" s="14">
        <v>1.0088964779519585</v>
      </c>
      <c r="R1737" s="15">
        <v>8.8964779519584807E-3</v>
      </c>
    </row>
    <row r="1738" spans="1:18" ht="18" customHeight="1">
      <c r="A1738" s="10" t="s">
        <v>43</v>
      </c>
      <c r="B1738" s="10" t="s">
        <v>44</v>
      </c>
      <c r="C1738" s="10" t="s">
        <v>254</v>
      </c>
      <c r="D1738" s="10" t="s">
        <v>268</v>
      </c>
      <c r="E1738" s="16">
        <v>4</v>
      </c>
      <c r="F1738" s="16">
        <v>4</v>
      </c>
      <c r="G1738" s="13">
        <v>61570.703402649706</v>
      </c>
      <c r="H1738" s="13">
        <v>61570.703402649706</v>
      </c>
      <c r="I1738" s="14">
        <v>0</v>
      </c>
      <c r="J1738" s="15">
        <v>1</v>
      </c>
      <c r="K1738" s="14">
        <v>126.36286813255958</v>
      </c>
      <c r="L1738" s="13">
        <v>7780250.6748979622</v>
      </c>
      <c r="M1738" s="14">
        <v>3.0632289188836732</v>
      </c>
      <c r="N1738" s="14">
        <v>115.6721795612484</v>
      </c>
      <c r="O1738" s="13">
        <v>7122017.4597036643</v>
      </c>
      <c r="P1738" s="13">
        <v>658233.21519429795</v>
      </c>
      <c r="Q1738" s="14">
        <v>1.0924222973221531</v>
      </c>
      <c r="R1738" s="15">
        <v>9.2422297322153152E-2</v>
      </c>
    </row>
    <row r="1739" spans="1:18" ht="18" customHeight="1">
      <c r="A1739" s="10" t="s">
        <v>43</v>
      </c>
      <c r="B1739" s="10" t="s">
        <v>44</v>
      </c>
      <c r="C1739" s="10" t="s">
        <v>254</v>
      </c>
      <c r="D1739" s="10" t="s">
        <v>269</v>
      </c>
      <c r="E1739" s="16">
        <v>9</v>
      </c>
      <c r="F1739" s="16">
        <v>9</v>
      </c>
      <c r="G1739" s="13">
        <v>690300.06085564592</v>
      </c>
      <c r="H1739" s="13">
        <v>690300.06085564592</v>
      </c>
      <c r="I1739" s="14">
        <v>0</v>
      </c>
      <c r="J1739" s="15">
        <v>1</v>
      </c>
      <c r="K1739" s="14">
        <v>218.28084914514329</v>
      </c>
      <c r="L1739" s="13">
        <v>150679283.44851449</v>
      </c>
      <c r="M1739" s="14">
        <v>3.3125964862702117</v>
      </c>
      <c r="N1739" s="14">
        <v>205.39813043752608</v>
      </c>
      <c r="O1739" s="13">
        <v>141786341.94066015</v>
      </c>
      <c r="P1739" s="13">
        <v>8892941.5078543425</v>
      </c>
      <c r="Q1739" s="14">
        <v>1.0627207203891063</v>
      </c>
      <c r="R1739" s="15">
        <v>6.2720720389106172E-2</v>
      </c>
    </row>
    <row r="1740" spans="1:18" ht="18" customHeight="1">
      <c r="A1740" s="10" t="s">
        <v>43</v>
      </c>
      <c r="B1740" s="10" t="s">
        <v>44</v>
      </c>
      <c r="C1740" s="10" t="s">
        <v>254</v>
      </c>
      <c r="D1740" s="10" t="s">
        <v>270</v>
      </c>
      <c r="E1740" s="16">
        <v>17</v>
      </c>
      <c r="F1740" s="16">
        <v>17</v>
      </c>
      <c r="G1740" s="13">
        <v>577505.73090700596</v>
      </c>
      <c r="H1740" s="13">
        <v>577505.73090700596</v>
      </c>
      <c r="I1740" s="14">
        <v>0</v>
      </c>
      <c r="J1740" s="15">
        <v>1</v>
      </c>
      <c r="K1740" s="14">
        <v>679.88792328050056</v>
      </c>
      <c r="L1740" s="13">
        <v>392639172.06895185</v>
      </c>
      <c r="M1740" s="14">
        <v>3.4907538325798946</v>
      </c>
      <c r="N1740" s="14">
        <v>309.56641130597137</v>
      </c>
      <c r="O1740" s="13">
        <v>178776376.62551382</v>
      </c>
      <c r="P1740" s="13">
        <v>213862795.44343802</v>
      </c>
      <c r="Q1740" s="14">
        <v>2.1962586974867513</v>
      </c>
      <c r="R1740" s="15">
        <v>1.1962586974867511</v>
      </c>
    </row>
    <row r="1741" spans="1:18" ht="18" customHeight="1">
      <c r="A1741" s="10" t="s">
        <v>43</v>
      </c>
      <c r="B1741" s="10" t="s">
        <v>44</v>
      </c>
      <c r="C1741" s="10" t="s">
        <v>254</v>
      </c>
      <c r="D1741" s="10" t="s">
        <v>276</v>
      </c>
      <c r="E1741" s="16">
        <v>16</v>
      </c>
      <c r="F1741" s="16">
        <v>16</v>
      </c>
      <c r="G1741" s="13">
        <v>280117.38422489329</v>
      </c>
      <c r="H1741" s="13">
        <v>280117.38422489329</v>
      </c>
      <c r="I1741" s="14">
        <v>0</v>
      </c>
      <c r="J1741" s="15">
        <v>1</v>
      </c>
      <c r="K1741" s="14">
        <v>682.09745057038469</v>
      </c>
      <c r="L1741" s="13">
        <v>191067353.6402446</v>
      </c>
      <c r="M1741" s="14">
        <v>3.5811450140226744</v>
      </c>
      <c r="N1741" s="14">
        <v>381.1930852336518</v>
      </c>
      <c r="O1741" s="13">
        <v>106778809.92026734</v>
      </c>
      <c r="P1741" s="13">
        <v>84288543.71997726</v>
      </c>
      <c r="Q1741" s="14">
        <v>1.7893751932889703</v>
      </c>
      <c r="R1741" s="15">
        <v>0.78937519328897032</v>
      </c>
    </row>
    <row r="1742" spans="1:18" ht="18" customHeight="1">
      <c r="A1742" s="10" t="s">
        <v>43</v>
      </c>
      <c r="B1742" s="10" t="s">
        <v>44</v>
      </c>
      <c r="C1742" s="10" t="s">
        <v>254</v>
      </c>
      <c r="D1742" s="10" t="s">
        <v>271</v>
      </c>
      <c r="E1742" s="16">
        <v>4</v>
      </c>
      <c r="F1742" s="16">
        <v>4</v>
      </c>
      <c r="G1742" s="13">
        <v>43138.247508351102</v>
      </c>
      <c r="H1742" s="13">
        <v>43138.247508351102</v>
      </c>
      <c r="I1742" s="14">
        <v>0</v>
      </c>
      <c r="J1742" s="15">
        <v>1</v>
      </c>
      <c r="K1742" s="14">
        <v>11.84538531180441</v>
      </c>
      <c r="L1742" s="13">
        <v>510989.16341240535</v>
      </c>
      <c r="M1742" s="14">
        <v>2.0712338994291204</v>
      </c>
      <c r="N1742" s="14">
        <v>11.782403715212913</v>
      </c>
      <c r="O1742" s="13">
        <v>508272.24771017022</v>
      </c>
      <c r="P1742" s="13">
        <v>2716.9157022351283</v>
      </c>
      <c r="Q1742" s="14">
        <v>1.0053453945488371</v>
      </c>
      <c r="R1742" s="15">
        <v>5.3453945488371084E-3</v>
      </c>
    </row>
    <row r="1743" spans="1:18" ht="18" customHeight="1">
      <c r="A1743" s="10" t="s">
        <v>43</v>
      </c>
      <c r="B1743" s="10" t="s">
        <v>44</v>
      </c>
      <c r="C1743" s="10" t="s">
        <v>254</v>
      </c>
      <c r="D1743" s="10" t="s">
        <v>272</v>
      </c>
      <c r="E1743" s="16">
        <v>13</v>
      </c>
      <c r="F1743" s="16">
        <v>13</v>
      </c>
      <c r="G1743" s="13">
        <v>138294.8078855444</v>
      </c>
      <c r="H1743" s="13">
        <v>138294.8078855444</v>
      </c>
      <c r="I1743" s="14">
        <v>0</v>
      </c>
      <c r="J1743" s="15">
        <v>1</v>
      </c>
      <c r="K1743" s="14">
        <v>51.329495160526662</v>
      </c>
      <c r="L1743" s="13">
        <v>7098602.6720870156</v>
      </c>
      <c r="M1743" s="14">
        <v>2.7011216167265255</v>
      </c>
      <c r="N1743" s="14">
        <v>50.24832816535033</v>
      </c>
      <c r="O1743" s="13">
        <v>6949082.8901969139</v>
      </c>
      <c r="P1743" s="13">
        <v>149519.78189010173</v>
      </c>
      <c r="Q1743" s="14">
        <v>1.0215164769585681</v>
      </c>
      <c r="R1743" s="15">
        <v>2.1516476958568103E-2</v>
      </c>
    </row>
    <row r="1744" spans="1:18" ht="18" customHeight="1">
      <c r="A1744" s="10" t="s">
        <v>43</v>
      </c>
      <c r="B1744" s="10" t="s">
        <v>44</v>
      </c>
      <c r="C1744" s="10" t="s">
        <v>254</v>
      </c>
      <c r="D1744" s="10" t="s">
        <v>283</v>
      </c>
      <c r="E1744" s="16">
        <v>4</v>
      </c>
      <c r="F1744" s="16">
        <v>4</v>
      </c>
      <c r="G1744" s="13">
        <v>55873.064761533991</v>
      </c>
      <c r="H1744" s="13">
        <v>55873.064761533991</v>
      </c>
      <c r="I1744" s="14">
        <v>0</v>
      </c>
      <c r="J1744" s="15">
        <v>1</v>
      </c>
      <c r="K1744" s="14">
        <v>168.11336985403028</v>
      </c>
      <c r="L1744" s="13">
        <v>9393009.2011339497</v>
      </c>
      <c r="M1744" s="14">
        <v>3.2236783339375457</v>
      </c>
      <c r="N1744" s="14">
        <v>167.3702766315206</v>
      </c>
      <c r="O1744" s="13">
        <v>9351490.3053888101</v>
      </c>
      <c r="P1744" s="13">
        <v>41518.895745139569</v>
      </c>
      <c r="Q1744" s="14">
        <v>1.004439815942622</v>
      </c>
      <c r="R1744" s="15">
        <v>4.4398159426219204E-3</v>
      </c>
    </row>
    <row r="1745" spans="1:18" ht="18" customHeight="1">
      <c r="A1745" s="10" t="s">
        <v>43</v>
      </c>
      <c r="B1745" s="10" t="s">
        <v>44</v>
      </c>
      <c r="C1745" s="10" t="s">
        <v>254</v>
      </c>
      <c r="D1745" s="10" t="s">
        <v>278</v>
      </c>
      <c r="E1745" s="16">
        <v>4</v>
      </c>
      <c r="F1745" s="16">
        <v>4</v>
      </c>
      <c r="G1745" s="13">
        <v>137269.40810455161</v>
      </c>
      <c r="H1745" s="13">
        <v>137269.40810455161</v>
      </c>
      <c r="I1745" s="14">
        <v>0</v>
      </c>
      <c r="J1745" s="15">
        <v>1</v>
      </c>
      <c r="K1745" s="14">
        <v>618.35959652550775</v>
      </c>
      <c r="L1745" s="13">
        <v>84881855.810825795</v>
      </c>
      <c r="M1745" s="14">
        <v>3.7732687862440892</v>
      </c>
      <c r="N1745" s="14">
        <v>593.29240154089223</v>
      </c>
      <c r="O1745" s="13">
        <v>81440896.792446241</v>
      </c>
      <c r="P1745" s="13">
        <v>3440959.0183795542</v>
      </c>
      <c r="Q1745" s="14">
        <v>1.0422509961690243</v>
      </c>
      <c r="R1745" s="15">
        <v>4.2250996169024356E-2</v>
      </c>
    </row>
    <row r="1746" spans="1:18" ht="18" customHeight="1">
      <c r="A1746" s="10" t="s">
        <v>43</v>
      </c>
      <c r="B1746" s="10" t="s">
        <v>44</v>
      </c>
      <c r="C1746" s="10" t="s">
        <v>254</v>
      </c>
      <c r="D1746" s="10" t="s">
        <v>273</v>
      </c>
      <c r="E1746" s="16">
        <v>12</v>
      </c>
      <c r="F1746" s="16">
        <v>12</v>
      </c>
      <c r="G1746" s="13">
        <v>462424.64884699968</v>
      </c>
      <c r="H1746" s="13">
        <v>462424.64884699968</v>
      </c>
      <c r="I1746" s="14">
        <v>0</v>
      </c>
      <c r="J1746" s="15">
        <v>1</v>
      </c>
      <c r="K1746" s="14">
        <v>235.42377763067884</v>
      </c>
      <c r="L1746" s="13">
        <v>108865757.7011008</v>
      </c>
      <c r="M1746" s="14">
        <v>3.100359474448243</v>
      </c>
      <c r="N1746" s="14">
        <v>125.99678815501068</v>
      </c>
      <c r="O1746" s="13">
        <v>58264020.51843062</v>
      </c>
      <c r="P1746" s="13">
        <v>50601737.182670176</v>
      </c>
      <c r="Q1746" s="14">
        <v>1.868490308983455</v>
      </c>
      <c r="R1746" s="15">
        <v>0.86849030898345503</v>
      </c>
    </row>
    <row r="1747" spans="1:18" ht="18" customHeight="1">
      <c r="A1747" s="10" t="s">
        <v>43</v>
      </c>
      <c r="B1747" s="10" t="s">
        <v>44</v>
      </c>
      <c r="C1747" s="10" t="s">
        <v>254</v>
      </c>
      <c r="D1747" s="10" t="s">
        <v>284</v>
      </c>
      <c r="E1747" s="16">
        <v>2</v>
      </c>
      <c r="F1747" s="16">
        <v>2</v>
      </c>
      <c r="G1747" s="13">
        <v>37485.902525006102</v>
      </c>
      <c r="H1747" s="13">
        <v>37485.902525006102</v>
      </c>
      <c r="I1747" s="14">
        <v>0</v>
      </c>
      <c r="J1747" s="15">
        <v>1</v>
      </c>
      <c r="K1747" s="14">
        <v>1171.7463568706451</v>
      </c>
      <c r="L1747" s="13">
        <v>43923969.717684016</v>
      </c>
      <c r="M1747" s="14">
        <v>4.0675123089486807</v>
      </c>
      <c r="N1747" s="14">
        <v>1168.1868386128219</v>
      </c>
      <c r="O1747" s="13">
        <v>43790537.963235274</v>
      </c>
      <c r="P1747" s="13">
        <v>133431.75444874167</v>
      </c>
      <c r="Q1747" s="14">
        <v>1.0030470453357017</v>
      </c>
      <c r="R1747" s="15">
        <v>3.0470453357016409E-3</v>
      </c>
    </row>
    <row r="1748" spans="1:18" ht="18" customHeight="1">
      <c r="A1748" s="10" t="s">
        <v>43</v>
      </c>
      <c r="B1748" s="10" t="s">
        <v>44</v>
      </c>
      <c r="C1748" s="10" t="s">
        <v>254</v>
      </c>
      <c r="D1748" s="10" t="s">
        <v>274</v>
      </c>
      <c r="E1748" s="16">
        <v>3</v>
      </c>
      <c r="F1748" s="16">
        <v>3</v>
      </c>
      <c r="G1748" s="13">
        <v>32.417498366899999</v>
      </c>
      <c r="H1748" s="13">
        <v>32.417498366899999</v>
      </c>
      <c r="I1748" s="14">
        <v>0</v>
      </c>
      <c r="J1748" s="15">
        <v>1</v>
      </c>
      <c r="K1748" s="14">
        <v>474.89129473164724</v>
      </c>
      <c r="L1748" s="13">
        <v>15394.7877714182</v>
      </c>
      <c r="M1748" s="14">
        <v>3.4971539733874959</v>
      </c>
      <c r="N1748" s="14">
        <v>314.16223172615605</v>
      </c>
      <c r="O1748" s="13">
        <v>10184.353633924322</v>
      </c>
      <c r="P1748" s="13">
        <v>5210.4341374938776</v>
      </c>
      <c r="Q1748" s="14">
        <v>1.5116116667569162</v>
      </c>
      <c r="R1748" s="15">
        <v>0.51161166675691605</v>
      </c>
    </row>
    <row r="1749" spans="1:18" ht="18" customHeight="1">
      <c r="A1749" s="10" t="s">
        <v>149</v>
      </c>
      <c r="B1749" s="10" t="s">
        <v>150</v>
      </c>
      <c r="C1749" s="10" t="s">
        <v>254</v>
      </c>
      <c r="D1749" s="10" t="s">
        <v>255</v>
      </c>
      <c r="E1749" s="16">
        <v>8</v>
      </c>
      <c r="F1749" s="16">
        <v>8</v>
      </c>
      <c r="G1749" s="13">
        <v>382.96305479589995</v>
      </c>
      <c r="H1749" s="13">
        <v>382.96305479589995</v>
      </c>
      <c r="I1749" s="14">
        <v>0</v>
      </c>
      <c r="J1749" s="15">
        <v>1</v>
      </c>
      <c r="K1749" s="14">
        <v>660.6167169346561</v>
      </c>
      <c r="L1749" s="13">
        <v>252991.79596653424</v>
      </c>
      <c r="M1749" s="14">
        <v>3.8076914325230584</v>
      </c>
      <c r="N1749" s="14">
        <v>642.23124802826169</v>
      </c>
      <c r="O1749" s="13">
        <v>245950.8406302864</v>
      </c>
      <c r="P1749" s="13">
        <v>7040.9553362478327</v>
      </c>
      <c r="Q1749" s="14">
        <v>1.0286274904294057</v>
      </c>
      <c r="R1749" s="15">
        <v>2.8627490429405791E-2</v>
      </c>
    </row>
    <row r="1750" spans="1:18" ht="18" customHeight="1">
      <c r="A1750" s="10" t="s">
        <v>149</v>
      </c>
      <c r="B1750" s="10" t="s">
        <v>150</v>
      </c>
      <c r="C1750" s="10" t="s">
        <v>254</v>
      </c>
      <c r="D1750" s="10" t="s">
        <v>277</v>
      </c>
      <c r="E1750" s="16">
        <v>1</v>
      </c>
      <c r="F1750" s="16">
        <v>1</v>
      </c>
      <c r="G1750" s="13">
        <v>2.7151933764000002</v>
      </c>
      <c r="H1750" s="13">
        <v>2.7151933764000002</v>
      </c>
      <c r="I1750" s="14">
        <v>0</v>
      </c>
      <c r="J1750" s="15">
        <v>1</v>
      </c>
      <c r="K1750" s="14">
        <v>288.40315031266056</v>
      </c>
      <c r="L1750" s="13">
        <v>783.07032346182962</v>
      </c>
      <c r="M1750" s="14">
        <v>3.46</v>
      </c>
      <c r="N1750" s="14">
        <v>288.40315031266056</v>
      </c>
      <c r="O1750" s="13">
        <v>783.07032346182962</v>
      </c>
      <c r="P1750" s="13">
        <v>0</v>
      </c>
      <c r="Q1750" s="14">
        <v>1</v>
      </c>
      <c r="R1750" s="15">
        <v>0</v>
      </c>
    </row>
    <row r="1751" spans="1:18" ht="18" customHeight="1">
      <c r="A1751" s="10" t="s">
        <v>149</v>
      </c>
      <c r="B1751" s="10" t="s">
        <v>150</v>
      </c>
      <c r="C1751" s="10" t="s">
        <v>254</v>
      </c>
      <c r="D1751" s="10" t="s">
        <v>256</v>
      </c>
      <c r="E1751" s="16">
        <v>1</v>
      </c>
      <c r="F1751" s="16">
        <v>1</v>
      </c>
      <c r="G1751" s="13">
        <v>20.349969761600001</v>
      </c>
      <c r="H1751" s="13">
        <v>20.349969761600001</v>
      </c>
      <c r="I1751" s="14">
        <v>0</v>
      </c>
      <c r="J1751" s="15">
        <v>1</v>
      </c>
      <c r="K1751" s="14">
        <v>2630.2679918953813</v>
      </c>
      <c r="L1751" s="13">
        <v>53525.874099975365</v>
      </c>
      <c r="M1751" s="14">
        <v>4.42</v>
      </c>
      <c r="N1751" s="14">
        <v>2630.2679918953813</v>
      </c>
      <c r="O1751" s="13">
        <v>53525.874099975365</v>
      </c>
      <c r="P1751" s="13">
        <v>0</v>
      </c>
      <c r="Q1751" s="14">
        <v>1</v>
      </c>
      <c r="R1751" s="15">
        <v>0</v>
      </c>
    </row>
    <row r="1752" spans="1:18" ht="18" customHeight="1">
      <c r="A1752" s="10" t="s">
        <v>149</v>
      </c>
      <c r="B1752" s="10" t="s">
        <v>150</v>
      </c>
      <c r="C1752" s="10" t="s">
        <v>254</v>
      </c>
      <c r="D1752" s="10" t="s">
        <v>257</v>
      </c>
      <c r="E1752" s="16">
        <v>2</v>
      </c>
      <c r="F1752" s="16">
        <v>2</v>
      </c>
      <c r="G1752" s="13">
        <v>4.5983739999999997E-4</v>
      </c>
      <c r="H1752" s="13">
        <v>4.5983739999999997E-4</v>
      </c>
      <c r="I1752" s="14">
        <v>0</v>
      </c>
      <c r="J1752" s="15">
        <v>1</v>
      </c>
      <c r="K1752" s="14">
        <v>1720.5363906398954</v>
      </c>
      <c r="L1752" s="13">
        <v>0.79116698047723377</v>
      </c>
      <c r="M1752" s="14">
        <v>4.2338475730769183</v>
      </c>
      <c r="N1752" s="14">
        <v>1713.3558552493678</v>
      </c>
      <c r="O1752" s="13">
        <v>0.78786510175264557</v>
      </c>
      <c r="P1752" s="13">
        <v>3.3018787245882031E-3</v>
      </c>
      <c r="Q1752" s="14">
        <v>1.0041909188733491</v>
      </c>
      <c r="R1752" s="15">
        <v>4.190918873349013E-3</v>
      </c>
    </row>
    <row r="1753" spans="1:18" ht="18" customHeight="1">
      <c r="A1753" s="10" t="s">
        <v>149</v>
      </c>
      <c r="B1753" s="10" t="s">
        <v>150</v>
      </c>
      <c r="C1753" s="10" t="s">
        <v>254</v>
      </c>
      <c r="D1753" s="10" t="s">
        <v>258</v>
      </c>
      <c r="E1753" s="16">
        <v>14</v>
      </c>
      <c r="F1753" s="16">
        <v>14</v>
      </c>
      <c r="G1753" s="13">
        <v>383.34295040760003</v>
      </c>
      <c r="H1753" s="13">
        <v>383.34295040760003</v>
      </c>
      <c r="I1753" s="14">
        <v>0</v>
      </c>
      <c r="J1753" s="15">
        <v>1</v>
      </c>
      <c r="K1753" s="14">
        <v>1283.4009901795628</v>
      </c>
      <c r="L1753" s="13">
        <v>491982.72213146894</v>
      </c>
      <c r="M1753" s="14">
        <v>3.9653188869506457</v>
      </c>
      <c r="N1753" s="14">
        <v>923.24908721417899</v>
      </c>
      <c r="O1753" s="13">
        <v>353921.02905380703</v>
      </c>
      <c r="P1753" s="13">
        <v>138061.69307766191</v>
      </c>
      <c r="Q1753" s="14">
        <v>1.3900918050751718</v>
      </c>
      <c r="R1753" s="15">
        <v>0.39009180507517183</v>
      </c>
    </row>
    <row r="1754" spans="1:18" ht="18" customHeight="1">
      <c r="A1754" s="10" t="s">
        <v>149</v>
      </c>
      <c r="B1754" s="10" t="s">
        <v>150</v>
      </c>
      <c r="C1754" s="10" t="s">
        <v>254</v>
      </c>
      <c r="D1754" s="10" t="s">
        <v>259</v>
      </c>
      <c r="E1754" s="16">
        <v>9</v>
      </c>
      <c r="F1754" s="16">
        <v>9</v>
      </c>
      <c r="G1754" s="13">
        <v>3191.0513452305995</v>
      </c>
      <c r="H1754" s="13">
        <v>3191.0513452305995</v>
      </c>
      <c r="I1754" s="14">
        <v>0</v>
      </c>
      <c r="J1754" s="15">
        <v>1</v>
      </c>
      <c r="K1754" s="14">
        <v>2004.3648701814291</v>
      </c>
      <c r="L1754" s="13">
        <v>6396031.2153254049</v>
      </c>
      <c r="M1754" s="14">
        <v>4.2573946498128796</v>
      </c>
      <c r="N1754" s="14">
        <v>1808.8170782166153</v>
      </c>
      <c r="O1754" s="13">
        <v>5772028.1707192129</v>
      </c>
      <c r="P1754" s="13">
        <v>624003.04460619204</v>
      </c>
      <c r="Q1754" s="14">
        <v>1.1081081079561743</v>
      </c>
      <c r="R1754" s="15">
        <v>0.10810810795617432</v>
      </c>
    </row>
    <row r="1755" spans="1:18" ht="18" customHeight="1">
      <c r="A1755" s="10" t="s">
        <v>149</v>
      </c>
      <c r="B1755" s="10" t="s">
        <v>150</v>
      </c>
      <c r="C1755" s="10" t="s">
        <v>254</v>
      </c>
      <c r="D1755" s="10" t="s">
        <v>261</v>
      </c>
      <c r="E1755" s="16">
        <v>34</v>
      </c>
      <c r="F1755" s="16">
        <v>34</v>
      </c>
      <c r="G1755" s="13">
        <v>1694.4825260636005</v>
      </c>
      <c r="H1755" s="13">
        <v>1694.4825260636005</v>
      </c>
      <c r="I1755" s="14">
        <v>0</v>
      </c>
      <c r="J1755" s="15">
        <v>1</v>
      </c>
      <c r="K1755" s="14">
        <v>2922.5968637980804</v>
      </c>
      <c r="L1755" s="13">
        <v>4952289.3164341282</v>
      </c>
      <c r="M1755" s="14">
        <v>4.4532861258257821</v>
      </c>
      <c r="N1755" s="14">
        <v>2839.7893480135226</v>
      </c>
      <c r="O1755" s="13">
        <v>4811973.4279104592</v>
      </c>
      <c r="P1755" s="13">
        <v>140315.88852366898</v>
      </c>
      <c r="Q1755" s="14">
        <v>1.029159738852631</v>
      </c>
      <c r="R1755" s="15">
        <v>2.9159738852631081E-2</v>
      </c>
    </row>
    <row r="1756" spans="1:18" ht="18" customHeight="1">
      <c r="A1756" s="10" t="s">
        <v>149</v>
      </c>
      <c r="B1756" s="10" t="s">
        <v>150</v>
      </c>
      <c r="C1756" s="10" t="s">
        <v>254</v>
      </c>
      <c r="D1756" s="10" t="s">
        <v>262</v>
      </c>
      <c r="E1756" s="16">
        <v>7</v>
      </c>
      <c r="F1756" s="16">
        <v>7</v>
      </c>
      <c r="G1756" s="13">
        <v>17.187818428800004</v>
      </c>
      <c r="H1756" s="13">
        <v>17.187818428800004</v>
      </c>
      <c r="I1756" s="14">
        <v>0</v>
      </c>
      <c r="J1756" s="15">
        <v>1</v>
      </c>
      <c r="K1756" s="14">
        <v>251.47434062919959</v>
      </c>
      <c r="L1756" s="13">
        <v>4322.2953062368861</v>
      </c>
      <c r="M1756" s="14">
        <v>3.3841653156377327</v>
      </c>
      <c r="N1756" s="14">
        <v>242.19507949102194</v>
      </c>
      <c r="O1756" s="13">
        <v>4162.8050506404688</v>
      </c>
      <c r="P1756" s="13">
        <v>159.49025559641723</v>
      </c>
      <c r="Q1756" s="14">
        <v>1.0383131695230068</v>
      </c>
      <c r="R1756" s="15">
        <v>3.8313169523006813E-2</v>
      </c>
    </row>
    <row r="1757" spans="1:18" ht="18" customHeight="1">
      <c r="A1757" s="10" t="s">
        <v>149</v>
      </c>
      <c r="B1757" s="10" t="s">
        <v>150</v>
      </c>
      <c r="C1757" s="10" t="s">
        <v>254</v>
      </c>
      <c r="D1757" s="10" t="s">
        <v>263</v>
      </c>
      <c r="E1757" s="16">
        <v>27</v>
      </c>
      <c r="F1757" s="16">
        <v>27</v>
      </c>
      <c r="G1757" s="13">
        <v>1166.2886756618002</v>
      </c>
      <c r="H1757" s="13">
        <v>1166.2886756618002</v>
      </c>
      <c r="I1757" s="14">
        <v>0</v>
      </c>
      <c r="J1757" s="15">
        <v>1</v>
      </c>
      <c r="K1757" s="14">
        <v>1567.1660785917197</v>
      </c>
      <c r="L1757" s="13">
        <v>1827768.0503428334</v>
      </c>
      <c r="M1757" s="14">
        <v>4.054006704270833</v>
      </c>
      <c r="N1757" s="14">
        <v>1132.4178444093734</v>
      </c>
      <c r="O1757" s="13">
        <v>1320726.1080519985</v>
      </c>
      <c r="P1757" s="13">
        <v>507041.94229083485</v>
      </c>
      <c r="Q1757" s="14">
        <v>1.3839115008021572</v>
      </c>
      <c r="R1757" s="15">
        <v>0.38391150080215725</v>
      </c>
    </row>
    <row r="1758" spans="1:18" ht="18" customHeight="1">
      <c r="A1758" s="10" t="s">
        <v>149</v>
      </c>
      <c r="B1758" s="10" t="s">
        <v>150</v>
      </c>
      <c r="C1758" s="10" t="s">
        <v>254</v>
      </c>
      <c r="D1758" s="10" t="s">
        <v>264</v>
      </c>
      <c r="E1758" s="16">
        <v>42</v>
      </c>
      <c r="F1758" s="16">
        <v>42</v>
      </c>
      <c r="G1758" s="13">
        <v>352.97999117879999</v>
      </c>
      <c r="H1758" s="13">
        <v>352.97999117879999</v>
      </c>
      <c r="I1758" s="14">
        <v>0</v>
      </c>
      <c r="J1758" s="15">
        <v>1</v>
      </c>
      <c r="K1758" s="14">
        <v>1872.7169668402555</v>
      </c>
      <c r="L1758" s="13">
        <v>661031.61843566247</v>
      </c>
      <c r="M1758" s="14">
        <v>4.2349302410706988</v>
      </c>
      <c r="N1758" s="14">
        <v>1717.6324687875046</v>
      </c>
      <c r="O1758" s="13">
        <v>606289.89368103386</v>
      </c>
      <c r="P1758" s="13">
        <v>54741.724754628609</v>
      </c>
      <c r="Q1758" s="14">
        <v>1.0902896870377785</v>
      </c>
      <c r="R1758" s="15">
        <v>9.0289687037778607E-2</v>
      </c>
    </row>
    <row r="1759" spans="1:18" ht="18" customHeight="1">
      <c r="A1759" s="10" t="s">
        <v>149</v>
      </c>
      <c r="B1759" s="10" t="s">
        <v>150</v>
      </c>
      <c r="C1759" s="10" t="s">
        <v>254</v>
      </c>
      <c r="D1759" s="10" t="s">
        <v>265</v>
      </c>
      <c r="E1759" s="16">
        <v>17</v>
      </c>
      <c r="F1759" s="16">
        <v>17</v>
      </c>
      <c r="G1759" s="13">
        <v>2817.5501398645001</v>
      </c>
      <c r="H1759" s="13">
        <v>2817.5501398645001</v>
      </c>
      <c r="I1759" s="14">
        <v>0</v>
      </c>
      <c r="J1759" s="15">
        <v>1</v>
      </c>
      <c r="K1759" s="14">
        <v>251.19181859809765</v>
      </c>
      <c r="L1759" s="13">
        <v>707745.54362388817</v>
      </c>
      <c r="M1759" s="14">
        <v>3.2571960254727492</v>
      </c>
      <c r="N1759" s="14">
        <v>180.79900058753014</v>
      </c>
      <c r="O1759" s="13">
        <v>509410.24939275743</v>
      </c>
      <c r="P1759" s="13">
        <v>198335.29423113074</v>
      </c>
      <c r="Q1759" s="14">
        <v>1.3893429597609321</v>
      </c>
      <c r="R1759" s="15">
        <v>0.38934295976093208</v>
      </c>
    </row>
    <row r="1760" spans="1:18" ht="18" customHeight="1">
      <c r="A1760" s="10" t="s">
        <v>149</v>
      </c>
      <c r="B1760" s="10" t="s">
        <v>150</v>
      </c>
      <c r="C1760" s="10" t="s">
        <v>254</v>
      </c>
      <c r="D1760" s="10" t="s">
        <v>266</v>
      </c>
      <c r="E1760" s="16">
        <v>7</v>
      </c>
      <c r="F1760" s="16">
        <v>7</v>
      </c>
      <c r="G1760" s="13">
        <v>62.227716437299996</v>
      </c>
      <c r="H1760" s="13">
        <v>62.227716437299996</v>
      </c>
      <c r="I1760" s="14">
        <v>0</v>
      </c>
      <c r="J1760" s="15">
        <v>1</v>
      </c>
      <c r="K1760" s="14">
        <v>2104.8268821542392</v>
      </c>
      <c r="L1760" s="13">
        <v>130978.57037230025</v>
      </c>
      <c r="M1760" s="14">
        <v>4.2460359019625997</v>
      </c>
      <c r="N1760" s="14">
        <v>1762.1217102768846</v>
      </c>
      <c r="O1760" s="13">
        <v>109652.81011512008</v>
      </c>
      <c r="P1760" s="13">
        <v>21325.760257180169</v>
      </c>
      <c r="Q1760" s="14">
        <v>1.1944843933757019</v>
      </c>
      <c r="R1760" s="15">
        <v>0.194484393375702</v>
      </c>
    </row>
    <row r="1761" spans="1:18" ht="18" customHeight="1">
      <c r="A1761" s="10" t="s">
        <v>149</v>
      </c>
      <c r="B1761" s="10" t="s">
        <v>150</v>
      </c>
      <c r="C1761" s="10" t="s">
        <v>254</v>
      </c>
      <c r="D1761" s="10" t="s">
        <v>267</v>
      </c>
      <c r="E1761" s="16">
        <v>2</v>
      </c>
      <c r="F1761" s="16">
        <v>2</v>
      </c>
      <c r="G1761" s="13">
        <v>7.3700400000000003E-5</v>
      </c>
      <c r="H1761" s="13">
        <v>7.3700400000000003E-5</v>
      </c>
      <c r="I1761" s="14">
        <v>0</v>
      </c>
      <c r="J1761" s="15">
        <v>1</v>
      </c>
      <c r="K1761" s="14">
        <v>1201.9549595930935</v>
      </c>
      <c r="L1761" s="13">
        <v>8.8584561303994835E-2</v>
      </c>
      <c r="M1761" s="14">
        <v>4.0797748994578047</v>
      </c>
      <c r="N1761" s="14">
        <v>1201.6414466130918</v>
      </c>
      <c r="O1761" s="13">
        <v>8.8561455271963518E-2</v>
      </c>
      <c r="P1761" s="13">
        <v>2.3106032031317003E-5</v>
      </c>
      <c r="Q1761" s="14">
        <v>1.0002609039334365</v>
      </c>
      <c r="R1761" s="15">
        <v>2.60903933436512E-4</v>
      </c>
    </row>
    <row r="1762" spans="1:18" ht="18" customHeight="1">
      <c r="A1762" s="10" t="s">
        <v>149</v>
      </c>
      <c r="B1762" s="10" t="s">
        <v>150</v>
      </c>
      <c r="C1762" s="10" t="s">
        <v>254</v>
      </c>
      <c r="D1762" s="10" t="s">
        <v>268</v>
      </c>
      <c r="E1762" s="16">
        <v>14</v>
      </c>
      <c r="F1762" s="16">
        <v>14</v>
      </c>
      <c r="G1762" s="13">
        <v>465.71397681350004</v>
      </c>
      <c r="H1762" s="13">
        <v>465.71397681350004</v>
      </c>
      <c r="I1762" s="14">
        <v>0</v>
      </c>
      <c r="J1762" s="15">
        <v>1</v>
      </c>
      <c r="K1762" s="14">
        <v>521.13420845220151</v>
      </c>
      <c r="L1762" s="13">
        <v>242699.48467183029</v>
      </c>
      <c r="M1762" s="14">
        <v>3.4977361250847334</v>
      </c>
      <c r="N1762" s="14">
        <v>314.5836340618348</v>
      </c>
      <c r="O1762" s="13">
        <v>146505.99525937991</v>
      </c>
      <c r="P1762" s="13">
        <v>96193.489412450377</v>
      </c>
      <c r="Q1762" s="14">
        <v>1.6565839796668094</v>
      </c>
      <c r="R1762" s="15">
        <v>0.65658397966680948</v>
      </c>
    </row>
    <row r="1763" spans="1:18" ht="18" customHeight="1">
      <c r="A1763" s="10" t="s">
        <v>149</v>
      </c>
      <c r="B1763" s="10" t="s">
        <v>150</v>
      </c>
      <c r="C1763" s="10" t="s">
        <v>254</v>
      </c>
      <c r="D1763" s="10" t="s">
        <v>269</v>
      </c>
      <c r="E1763" s="16">
        <v>40</v>
      </c>
      <c r="F1763" s="16">
        <v>40</v>
      </c>
      <c r="G1763" s="13">
        <v>8376.7093400721005</v>
      </c>
      <c r="H1763" s="13">
        <v>8376.7093400721005</v>
      </c>
      <c r="I1763" s="14">
        <v>0</v>
      </c>
      <c r="J1763" s="15">
        <v>1</v>
      </c>
      <c r="K1763" s="14">
        <v>496.03322543397167</v>
      </c>
      <c r="L1763" s="13">
        <v>4155126.1524788402</v>
      </c>
      <c r="M1763" s="14">
        <v>3.5530828791758777</v>
      </c>
      <c r="N1763" s="14">
        <v>357.34102530415191</v>
      </c>
      <c r="O1763" s="13">
        <v>2993341.9042562302</v>
      </c>
      <c r="P1763" s="13">
        <v>1161784.24822261</v>
      </c>
      <c r="Q1763" s="14">
        <v>1.3881228023336292</v>
      </c>
      <c r="R1763" s="15">
        <v>0.38812280233362917</v>
      </c>
    </row>
    <row r="1764" spans="1:18" ht="18" customHeight="1">
      <c r="A1764" s="10" t="s">
        <v>149</v>
      </c>
      <c r="B1764" s="10" t="s">
        <v>150</v>
      </c>
      <c r="C1764" s="10" t="s">
        <v>254</v>
      </c>
      <c r="D1764" s="10" t="s">
        <v>270</v>
      </c>
      <c r="E1764" s="16">
        <v>25</v>
      </c>
      <c r="F1764" s="16">
        <v>25</v>
      </c>
      <c r="G1764" s="13">
        <v>10435.628210209899</v>
      </c>
      <c r="H1764" s="13">
        <v>10435.628210209899</v>
      </c>
      <c r="I1764" s="14">
        <v>0</v>
      </c>
      <c r="J1764" s="15">
        <v>1</v>
      </c>
      <c r="K1764" s="14">
        <v>277.75889556190805</v>
      </c>
      <c r="L1764" s="13">
        <v>2898588.5661625927</v>
      </c>
      <c r="M1764" s="14">
        <v>3.0481770493413269</v>
      </c>
      <c r="N1764" s="14">
        <v>111.73186535536485</v>
      </c>
      <c r="O1764" s="13">
        <v>1165992.2060818195</v>
      </c>
      <c r="P1764" s="13">
        <v>1732596.3600807732</v>
      </c>
      <c r="Q1764" s="14">
        <v>2.4859416306931936</v>
      </c>
      <c r="R1764" s="15">
        <v>1.4859416306931936</v>
      </c>
    </row>
    <row r="1765" spans="1:18" ht="18" customHeight="1">
      <c r="A1765" s="10" t="s">
        <v>149</v>
      </c>
      <c r="B1765" s="10" t="s">
        <v>150</v>
      </c>
      <c r="C1765" s="10" t="s">
        <v>254</v>
      </c>
      <c r="D1765" s="10" t="s">
        <v>276</v>
      </c>
      <c r="E1765" s="16">
        <v>101</v>
      </c>
      <c r="F1765" s="16">
        <v>101</v>
      </c>
      <c r="G1765" s="13">
        <v>5696.2065702275995</v>
      </c>
      <c r="H1765" s="13">
        <v>5696.2065702275995</v>
      </c>
      <c r="I1765" s="14">
        <v>0</v>
      </c>
      <c r="J1765" s="15">
        <v>1</v>
      </c>
      <c r="K1765" s="14">
        <v>1357.7223202638077</v>
      </c>
      <c r="L1765" s="13">
        <v>7733866.8012313629</v>
      </c>
      <c r="M1765" s="14">
        <v>3.8352162220287047</v>
      </c>
      <c r="N1765" s="14">
        <v>684.25223088950509</v>
      </c>
      <c r="O1765" s="13">
        <v>3897642.0532856914</v>
      </c>
      <c r="P1765" s="13">
        <v>3836224.7479456714</v>
      </c>
      <c r="Q1765" s="14">
        <v>1.9842424459454286</v>
      </c>
      <c r="R1765" s="15">
        <v>0.98424244594542853</v>
      </c>
    </row>
    <row r="1766" spans="1:18" ht="18" customHeight="1">
      <c r="A1766" s="10" t="s">
        <v>149</v>
      </c>
      <c r="B1766" s="10" t="s">
        <v>150</v>
      </c>
      <c r="C1766" s="10" t="s">
        <v>254</v>
      </c>
      <c r="D1766" s="10" t="s">
        <v>271</v>
      </c>
      <c r="E1766" s="16">
        <v>22</v>
      </c>
      <c r="F1766" s="16">
        <v>22</v>
      </c>
      <c r="G1766" s="13">
        <v>570.58199609849987</v>
      </c>
      <c r="H1766" s="13">
        <v>570.58199609849987</v>
      </c>
      <c r="I1766" s="14">
        <v>0</v>
      </c>
      <c r="J1766" s="15">
        <v>1</v>
      </c>
      <c r="K1766" s="14">
        <v>11.295405345477974</v>
      </c>
      <c r="L1766" s="13">
        <v>6444.9549287644877</v>
      </c>
      <c r="M1766" s="14">
        <v>2.0275874370584606</v>
      </c>
      <c r="N1766" s="14">
        <v>10.655833773245483</v>
      </c>
      <c r="O1766" s="13">
        <v>6080.0269044322176</v>
      </c>
      <c r="P1766" s="13">
        <v>364.92802433227007</v>
      </c>
      <c r="Q1766" s="14">
        <v>1.0600207910373298</v>
      </c>
      <c r="R1766" s="15">
        <v>6.0020791037329928E-2</v>
      </c>
    </row>
    <row r="1767" spans="1:18" ht="18" customHeight="1">
      <c r="A1767" s="10" t="s">
        <v>149</v>
      </c>
      <c r="B1767" s="10" t="s">
        <v>150</v>
      </c>
      <c r="C1767" s="10" t="s">
        <v>254</v>
      </c>
      <c r="D1767" s="10" t="s">
        <v>272</v>
      </c>
      <c r="E1767" s="16">
        <v>17</v>
      </c>
      <c r="F1767" s="16">
        <v>17</v>
      </c>
      <c r="G1767" s="13">
        <v>6745.1442186929007</v>
      </c>
      <c r="H1767" s="13">
        <v>6745.1442186929007</v>
      </c>
      <c r="I1767" s="14">
        <v>0</v>
      </c>
      <c r="J1767" s="15">
        <v>1</v>
      </c>
      <c r="K1767" s="14">
        <v>159.52861890291933</v>
      </c>
      <c r="L1767" s="13">
        <v>1076043.5415090893</v>
      </c>
      <c r="M1767" s="14">
        <v>3.0559753167249704</v>
      </c>
      <c r="N1767" s="14">
        <v>113.75626302259417</v>
      </c>
      <c r="O1767" s="13">
        <v>767302.39986696001</v>
      </c>
      <c r="P1767" s="13">
        <v>308741.14164212928</v>
      </c>
      <c r="Q1767" s="14">
        <v>1.402372182982434</v>
      </c>
      <c r="R1767" s="15">
        <v>0.40237218298243416</v>
      </c>
    </row>
    <row r="1768" spans="1:18" ht="18" customHeight="1">
      <c r="A1768" s="10" t="s">
        <v>149</v>
      </c>
      <c r="B1768" s="10" t="s">
        <v>150</v>
      </c>
      <c r="C1768" s="10" t="s">
        <v>254</v>
      </c>
      <c r="D1768" s="10" t="s">
        <v>283</v>
      </c>
      <c r="E1768" s="16">
        <v>6</v>
      </c>
      <c r="F1768" s="16">
        <v>6</v>
      </c>
      <c r="G1768" s="13">
        <v>25.008469439000006</v>
      </c>
      <c r="H1768" s="13">
        <v>25.008469439000006</v>
      </c>
      <c r="I1768" s="14">
        <v>0</v>
      </c>
      <c r="J1768" s="15">
        <v>1</v>
      </c>
      <c r="K1768" s="14">
        <v>171.92628935830115</v>
      </c>
      <c r="L1768" s="13">
        <v>4299.6133531777459</v>
      </c>
      <c r="M1768" s="14">
        <v>3.2341196559631236</v>
      </c>
      <c r="N1768" s="14">
        <v>171.44295987206371</v>
      </c>
      <c r="O1768" s="13">
        <v>4287.5260224922094</v>
      </c>
      <c r="P1768" s="13">
        <v>12.087330685536472</v>
      </c>
      <c r="Q1768" s="14">
        <v>1.0028191853815294</v>
      </c>
      <c r="R1768" s="15">
        <v>2.8191853815292931E-3</v>
      </c>
    </row>
    <row r="1769" spans="1:18" ht="18" customHeight="1">
      <c r="A1769" s="10" t="s">
        <v>149</v>
      </c>
      <c r="B1769" s="10" t="s">
        <v>150</v>
      </c>
      <c r="C1769" s="10" t="s">
        <v>254</v>
      </c>
      <c r="D1769" s="10" t="s">
        <v>278</v>
      </c>
      <c r="E1769" s="16">
        <v>4</v>
      </c>
      <c r="F1769" s="16">
        <v>4</v>
      </c>
      <c r="G1769" s="13">
        <v>1331.6841633612999</v>
      </c>
      <c r="H1769" s="13">
        <v>1331.6841633612999</v>
      </c>
      <c r="I1769" s="14">
        <v>0</v>
      </c>
      <c r="J1769" s="15">
        <v>1</v>
      </c>
      <c r="K1769" s="14">
        <v>455.90001952574437</v>
      </c>
      <c r="L1769" s="13">
        <v>607114.83607854112</v>
      </c>
      <c r="M1769" s="14">
        <v>3.640898909911038</v>
      </c>
      <c r="N1769" s="14">
        <v>437.42027563197797</v>
      </c>
      <c r="O1769" s="13">
        <v>582505.65379223973</v>
      </c>
      <c r="P1769" s="13">
        <v>24609.182286301395</v>
      </c>
      <c r="Q1769" s="14">
        <v>1.0422471131843789</v>
      </c>
      <c r="R1769" s="15">
        <v>4.2247113184378925E-2</v>
      </c>
    </row>
    <row r="1770" spans="1:18" ht="18" customHeight="1">
      <c r="A1770" s="10" t="s">
        <v>149</v>
      </c>
      <c r="B1770" s="10" t="s">
        <v>150</v>
      </c>
      <c r="C1770" s="10" t="s">
        <v>254</v>
      </c>
      <c r="D1770" s="10" t="s">
        <v>273</v>
      </c>
      <c r="E1770" s="16">
        <v>21</v>
      </c>
      <c r="F1770" s="16">
        <v>21</v>
      </c>
      <c r="G1770" s="13">
        <v>499.89402739889999</v>
      </c>
      <c r="H1770" s="13">
        <v>499.89402739889999</v>
      </c>
      <c r="I1770" s="14">
        <v>0</v>
      </c>
      <c r="J1770" s="15">
        <v>1</v>
      </c>
      <c r="K1770" s="14">
        <v>282.1665271332148</v>
      </c>
      <c r="L1770" s="13">
        <v>141053.36164578373</v>
      </c>
      <c r="M1770" s="14">
        <v>3.2765539766462939</v>
      </c>
      <c r="N1770" s="14">
        <v>189.04011666482788</v>
      </c>
      <c r="O1770" s="13">
        <v>94500.025259538714</v>
      </c>
      <c r="P1770" s="13">
        <v>46553.336386245021</v>
      </c>
      <c r="Q1770" s="14">
        <v>1.4926277665893637</v>
      </c>
      <c r="R1770" s="15">
        <v>0.4926277665893638</v>
      </c>
    </row>
    <row r="1771" spans="1:18" ht="18" customHeight="1">
      <c r="A1771" s="10" t="s">
        <v>149</v>
      </c>
      <c r="B1771" s="10" t="s">
        <v>150</v>
      </c>
      <c r="C1771" s="10" t="s">
        <v>254</v>
      </c>
      <c r="D1771" s="10" t="s">
        <v>284</v>
      </c>
      <c r="E1771" s="16">
        <v>21</v>
      </c>
      <c r="F1771" s="16">
        <v>21</v>
      </c>
      <c r="G1771" s="13">
        <v>544.86178629899996</v>
      </c>
      <c r="H1771" s="13">
        <v>544.86178629899996</v>
      </c>
      <c r="I1771" s="14">
        <v>0</v>
      </c>
      <c r="J1771" s="15">
        <v>1</v>
      </c>
      <c r="K1771" s="14">
        <v>385.90250238884482</v>
      </c>
      <c r="L1771" s="13">
        <v>210263.5267888401</v>
      </c>
      <c r="M1771" s="14">
        <v>3.4903113880718952</v>
      </c>
      <c r="N1771" s="14">
        <v>309.25119612412004</v>
      </c>
      <c r="O1771" s="13">
        <v>168499.15913529042</v>
      </c>
      <c r="P1771" s="13">
        <v>41764.367653549678</v>
      </c>
      <c r="Q1771" s="14">
        <v>1.247860985585195</v>
      </c>
      <c r="R1771" s="15">
        <v>0.24786098558519487</v>
      </c>
    </row>
    <row r="1772" spans="1:18" ht="18" customHeight="1">
      <c r="A1772" s="10" t="s">
        <v>149</v>
      </c>
      <c r="B1772" s="10" t="s">
        <v>150</v>
      </c>
      <c r="C1772" s="10" t="s">
        <v>254</v>
      </c>
      <c r="D1772" s="10" t="s">
        <v>274</v>
      </c>
      <c r="E1772" s="16">
        <v>6</v>
      </c>
      <c r="F1772" s="16">
        <v>6</v>
      </c>
      <c r="G1772" s="13">
        <v>89.007111616800003</v>
      </c>
      <c r="H1772" s="13">
        <v>89.007111616800003</v>
      </c>
      <c r="I1772" s="14">
        <v>0</v>
      </c>
      <c r="J1772" s="15">
        <v>1</v>
      </c>
      <c r="K1772" s="14">
        <v>602.23147717989991</v>
      </c>
      <c r="L1772" s="13">
        <v>53602.884308501692</v>
      </c>
      <c r="M1772" s="14">
        <v>3.7644988780832591</v>
      </c>
      <c r="N1772" s="14">
        <v>581.43193028830638</v>
      </c>
      <c r="O1772" s="13">
        <v>51751.576716742762</v>
      </c>
      <c r="P1772" s="13">
        <v>1851.3075917589304</v>
      </c>
      <c r="Q1772" s="14">
        <v>1.0357729698148499</v>
      </c>
      <c r="R1772" s="15">
        <v>3.5772969814849953E-2</v>
      </c>
    </row>
    <row r="1773" spans="1:18" ht="18" customHeight="1">
      <c r="A1773" s="10" t="s">
        <v>149</v>
      </c>
      <c r="B1773" s="10" t="s">
        <v>150</v>
      </c>
      <c r="C1773" s="10" t="s">
        <v>254</v>
      </c>
      <c r="D1773" s="10" t="s">
        <v>282</v>
      </c>
      <c r="E1773" s="16">
        <v>1</v>
      </c>
      <c r="F1773" s="16">
        <v>1</v>
      </c>
      <c r="G1773" s="13">
        <v>7.23097251E-2</v>
      </c>
      <c r="H1773" s="13">
        <v>7.23097251E-2</v>
      </c>
      <c r="I1773" s="14">
        <v>0</v>
      </c>
      <c r="J1773" s="15">
        <v>1</v>
      </c>
      <c r="K1773" s="14">
        <v>501.18723362727246</v>
      </c>
      <c r="L1773" s="13">
        <v>36.240711087217548</v>
      </c>
      <c r="M1773" s="14">
        <v>3.7000000000000006</v>
      </c>
      <c r="N1773" s="14">
        <v>501.18723362727303</v>
      </c>
      <c r="O1773" s="13">
        <v>36.240711087217591</v>
      </c>
      <c r="P1773" s="13">
        <v>-4.2632564145606011E-14</v>
      </c>
      <c r="Q1773" s="14">
        <v>0.99999999999999878</v>
      </c>
      <c r="R1773" s="15">
        <v>-1.176372175562606E-15</v>
      </c>
    </row>
    <row r="1774" spans="1:18" ht="18" customHeight="1">
      <c r="A1774" s="10" t="s">
        <v>149</v>
      </c>
      <c r="B1774" s="10" t="s">
        <v>150</v>
      </c>
      <c r="C1774" s="10" t="s">
        <v>254</v>
      </c>
      <c r="D1774" s="10" t="s">
        <v>275</v>
      </c>
      <c r="E1774" s="16">
        <v>3</v>
      </c>
      <c r="F1774" s="16">
        <v>3</v>
      </c>
      <c r="G1774" s="13">
        <v>0.79234563459999996</v>
      </c>
      <c r="H1774" s="13">
        <v>0.79234563459999996</v>
      </c>
      <c r="I1774" s="14">
        <v>0</v>
      </c>
      <c r="J1774" s="15">
        <v>1</v>
      </c>
      <c r="K1774" s="14">
        <v>1676.2701176026644</v>
      </c>
      <c r="L1774" s="13">
        <v>1328.1853100928997</v>
      </c>
      <c r="M1774" s="14">
        <v>4.2236508864107769</v>
      </c>
      <c r="N1774" s="14">
        <v>1673.5969911977509</v>
      </c>
      <c r="O1774" s="13">
        <v>1326.0672700552325</v>
      </c>
      <c r="P1774" s="13">
        <v>2.1180400376672424</v>
      </c>
      <c r="Q1774" s="14">
        <v>1.0015972342320001</v>
      </c>
      <c r="R1774" s="15">
        <v>1.5972342320001783E-3</v>
      </c>
    </row>
    <row r="1775" spans="1:18" ht="18" customHeight="1">
      <c r="A1775" s="10" t="s">
        <v>155</v>
      </c>
      <c r="B1775" s="10" t="s">
        <v>156</v>
      </c>
      <c r="C1775" s="10" t="s">
        <v>254</v>
      </c>
      <c r="D1775" s="10" t="s">
        <v>255</v>
      </c>
      <c r="E1775" s="16">
        <v>8</v>
      </c>
      <c r="F1775" s="16">
        <v>8</v>
      </c>
      <c r="G1775" s="13">
        <v>168.56973840130001</v>
      </c>
      <c r="H1775" s="13">
        <v>168.56973840130001</v>
      </c>
      <c r="I1775" s="14">
        <v>0</v>
      </c>
      <c r="J1775" s="15">
        <v>1</v>
      </c>
      <c r="K1775" s="14">
        <v>648.29892784854792</v>
      </c>
      <c r="L1775" s="13">
        <v>109283.580673273</v>
      </c>
      <c r="M1775" s="14">
        <v>3.8104726881770752</v>
      </c>
      <c r="N1775" s="14">
        <v>646.35734473232469</v>
      </c>
      <c r="O1775" s="13">
        <v>108956.28851528687</v>
      </c>
      <c r="P1775" s="13">
        <v>327.29215798612859</v>
      </c>
      <c r="Q1775" s="14">
        <v>1.0030038849748466</v>
      </c>
      <c r="R1775" s="15">
        <v>3.0038849748466661E-3</v>
      </c>
    </row>
    <row r="1776" spans="1:18" ht="18" customHeight="1">
      <c r="A1776" s="10" t="s">
        <v>155</v>
      </c>
      <c r="B1776" s="10" t="s">
        <v>156</v>
      </c>
      <c r="C1776" s="10" t="s">
        <v>254</v>
      </c>
      <c r="D1776" s="10" t="s">
        <v>256</v>
      </c>
      <c r="E1776" s="16">
        <v>1</v>
      </c>
      <c r="F1776" s="16">
        <v>1</v>
      </c>
      <c r="G1776" s="13">
        <v>12.533666052299999</v>
      </c>
      <c r="H1776" s="13">
        <v>12.533666052299999</v>
      </c>
      <c r="I1776" s="14">
        <v>0</v>
      </c>
      <c r="J1776" s="15">
        <v>1</v>
      </c>
      <c r="K1776" s="14">
        <v>2630.2679918953818</v>
      </c>
      <c r="L1776" s="13">
        <v>32966.900638470433</v>
      </c>
      <c r="M1776" s="14">
        <v>4.42</v>
      </c>
      <c r="N1776" s="14">
        <v>2630.2679918953813</v>
      </c>
      <c r="O1776" s="13">
        <v>32966.900638470433</v>
      </c>
      <c r="P1776" s="13">
        <v>0</v>
      </c>
      <c r="Q1776" s="14">
        <v>1</v>
      </c>
      <c r="R1776" s="15">
        <v>0</v>
      </c>
    </row>
    <row r="1777" spans="1:18" ht="18" customHeight="1">
      <c r="A1777" s="10" t="s">
        <v>155</v>
      </c>
      <c r="B1777" s="10" t="s">
        <v>156</v>
      </c>
      <c r="C1777" s="10" t="s">
        <v>254</v>
      </c>
      <c r="D1777" s="10" t="s">
        <v>257</v>
      </c>
      <c r="E1777" s="16">
        <v>1</v>
      </c>
      <c r="F1777" s="16">
        <v>1</v>
      </c>
      <c r="G1777" s="13">
        <v>3.1657716000000002E-2</v>
      </c>
      <c r="H1777" s="13">
        <v>3.1657716000000002E-2</v>
      </c>
      <c r="I1777" s="14">
        <v>0</v>
      </c>
      <c r="J1777" s="15">
        <v>1</v>
      </c>
      <c r="K1777" s="14">
        <v>2187.7616239495519</v>
      </c>
      <c r="L1777" s="13">
        <v>69.259536166693721</v>
      </c>
      <c r="M1777" s="14">
        <v>4.34</v>
      </c>
      <c r="N1777" s="14">
        <v>2187.7616239495519</v>
      </c>
      <c r="O1777" s="13">
        <v>69.259536166693721</v>
      </c>
      <c r="P1777" s="13">
        <v>0</v>
      </c>
      <c r="Q1777" s="14">
        <v>1</v>
      </c>
      <c r="R1777" s="15">
        <v>0</v>
      </c>
    </row>
    <row r="1778" spans="1:18" ht="18" customHeight="1">
      <c r="A1778" s="10" t="s">
        <v>155</v>
      </c>
      <c r="B1778" s="10" t="s">
        <v>156</v>
      </c>
      <c r="C1778" s="10" t="s">
        <v>254</v>
      </c>
      <c r="D1778" s="10" t="s">
        <v>258</v>
      </c>
      <c r="E1778" s="16">
        <v>12</v>
      </c>
      <c r="F1778" s="16">
        <v>12</v>
      </c>
      <c r="G1778" s="13">
        <v>205.01952860469996</v>
      </c>
      <c r="H1778" s="13">
        <v>205.01952860469996</v>
      </c>
      <c r="I1778" s="14">
        <v>0</v>
      </c>
      <c r="J1778" s="15">
        <v>1</v>
      </c>
      <c r="K1778" s="14">
        <v>1014.615716741017</v>
      </c>
      <c r="L1778" s="13">
        <v>208016.03596116308</v>
      </c>
      <c r="M1778" s="14">
        <v>3.8880441898972902</v>
      </c>
      <c r="N1778" s="14">
        <v>772.75921011697869</v>
      </c>
      <c r="O1778" s="13">
        <v>158430.72898312326</v>
      </c>
      <c r="P1778" s="13">
        <v>49585.306978039822</v>
      </c>
      <c r="Q1778" s="14">
        <v>1.3129778376726517</v>
      </c>
      <c r="R1778" s="15">
        <v>0.31297783767265164</v>
      </c>
    </row>
    <row r="1779" spans="1:18" ht="18" customHeight="1">
      <c r="A1779" s="10" t="s">
        <v>155</v>
      </c>
      <c r="B1779" s="10" t="s">
        <v>156</v>
      </c>
      <c r="C1779" s="10" t="s">
        <v>254</v>
      </c>
      <c r="D1779" s="10" t="s">
        <v>259</v>
      </c>
      <c r="E1779" s="16">
        <v>7</v>
      </c>
      <c r="F1779" s="16">
        <v>7</v>
      </c>
      <c r="G1779" s="13">
        <v>1912.1925717828999</v>
      </c>
      <c r="H1779" s="13">
        <v>1912.1925717828999</v>
      </c>
      <c r="I1779" s="14">
        <v>0</v>
      </c>
      <c r="J1779" s="15">
        <v>1</v>
      </c>
      <c r="K1779" s="14">
        <v>2126.7636615283923</v>
      </c>
      <c r="L1779" s="13">
        <v>4066781.675512393</v>
      </c>
      <c r="M1779" s="14">
        <v>4.3097122545845936</v>
      </c>
      <c r="N1779" s="14">
        <v>2040.3856222851919</v>
      </c>
      <c r="O1779" s="13">
        <v>3901610.2305063736</v>
      </c>
      <c r="P1779" s="13">
        <v>165171.44500601944</v>
      </c>
      <c r="Q1779" s="14">
        <v>1.0423341736482432</v>
      </c>
      <c r="R1779" s="15">
        <v>4.2334173648243309E-2</v>
      </c>
    </row>
    <row r="1780" spans="1:18" ht="18" customHeight="1">
      <c r="A1780" s="10" t="s">
        <v>155</v>
      </c>
      <c r="B1780" s="10" t="s">
        <v>156</v>
      </c>
      <c r="C1780" s="10" t="s">
        <v>254</v>
      </c>
      <c r="D1780" s="10" t="s">
        <v>261</v>
      </c>
      <c r="E1780" s="16">
        <v>33</v>
      </c>
      <c r="F1780" s="16">
        <v>33</v>
      </c>
      <c r="G1780" s="13">
        <v>4557.2210352062002</v>
      </c>
      <c r="H1780" s="13">
        <v>4557.2210352062002</v>
      </c>
      <c r="I1780" s="14">
        <v>0</v>
      </c>
      <c r="J1780" s="15">
        <v>1</v>
      </c>
      <c r="K1780" s="14">
        <v>2690.1276200170159</v>
      </c>
      <c r="L1780" s="13">
        <v>12259506.177330738</v>
      </c>
      <c r="M1780" s="14">
        <v>4.4200142940121294</v>
      </c>
      <c r="N1780" s="14">
        <v>2630.3545638019409</v>
      </c>
      <c r="O1780" s="13">
        <v>11987107.148208834</v>
      </c>
      <c r="P1780" s="13">
        <v>272399.0291219037</v>
      </c>
      <c r="Q1780" s="14">
        <v>1.0227243342162506</v>
      </c>
      <c r="R1780" s="15">
        <v>2.2724334216250561E-2</v>
      </c>
    </row>
    <row r="1781" spans="1:18" ht="18" customHeight="1">
      <c r="A1781" s="10" t="s">
        <v>155</v>
      </c>
      <c r="B1781" s="10" t="s">
        <v>156</v>
      </c>
      <c r="C1781" s="10" t="s">
        <v>254</v>
      </c>
      <c r="D1781" s="10" t="s">
        <v>262</v>
      </c>
      <c r="E1781" s="16">
        <v>4</v>
      </c>
      <c r="F1781" s="16">
        <v>4</v>
      </c>
      <c r="G1781" s="13">
        <v>3.0938755311000001</v>
      </c>
      <c r="H1781" s="13">
        <v>3.0938755311000001</v>
      </c>
      <c r="I1781" s="14">
        <v>0</v>
      </c>
      <c r="J1781" s="15">
        <v>1</v>
      </c>
      <c r="K1781" s="14">
        <v>276.35832204029845</v>
      </c>
      <c r="L1781" s="13">
        <v>855.0182503763333</v>
      </c>
      <c r="M1781" s="14">
        <v>3.4250626155572688</v>
      </c>
      <c r="N1781" s="14">
        <v>266.11087045377525</v>
      </c>
      <c r="O1781" s="13">
        <v>823.31391065665719</v>
      </c>
      <c r="P1781" s="13">
        <v>31.704339719676113</v>
      </c>
      <c r="Q1781" s="14">
        <v>1.0385082036259894</v>
      </c>
      <c r="R1781" s="15">
        <v>3.8508203625989293E-2</v>
      </c>
    </row>
    <row r="1782" spans="1:18" ht="18" customHeight="1">
      <c r="A1782" s="10" t="s">
        <v>155</v>
      </c>
      <c r="B1782" s="10" t="s">
        <v>156</v>
      </c>
      <c r="C1782" s="10" t="s">
        <v>254</v>
      </c>
      <c r="D1782" s="10" t="s">
        <v>263</v>
      </c>
      <c r="E1782" s="16">
        <v>22</v>
      </c>
      <c r="F1782" s="16">
        <v>22</v>
      </c>
      <c r="G1782" s="13">
        <v>574.19615882130006</v>
      </c>
      <c r="H1782" s="13">
        <v>574.19615882130006</v>
      </c>
      <c r="I1782" s="14">
        <v>0</v>
      </c>
      <c r="J1782" s="15">
        <v>1</v>
      </c>
      <c r="K1782" s="14">
        <v>1299.5551234203194</v>
      </c>
      <c r="L1782" s="13">
        <v>746199.56004448794</v>
      </c>
      <c r="M1782" s="14">
        <v>3.9719171486013511</v>
      </c>
      <c r="N1782" s="14">
        <v>937.38316303570537</v>
      </c>
      <c r="O1782" s="13">
        <v>538241.81155886245</v>
      </c>
      <c r="P1782" s="13">
        <v>207957.74848562549</v>
      </c>
      <c r="Q1782" s="14">
        <v>1.3863649088935246</v>
      </c>
      <c r="R1782" s="15">
        <v>0.38636490889352454</v>
      </c>
    </row>
    <row r="1783" spans="1:18" ht="18" customHeight="1">
      <c r="A1783" s="10" t="s">
        <v>155</v>
      </c>
      <c r="B1783" s="10" t="s">
        <v>156</v>
      </c>
      <c r="C1783" s="10" t="s">
        <v>254</v>
      </c>
      <c r="D1783" s="10" t="s">
        <v>264</v>
      </c>
      <c r="E1783" s="16">
        <v>33</v>
      </c>
      <c r="F1783" s="16">
        <v>33</v>
      </c>
      <c r="G1783" s="13">
        <v>1986.6687197545002</v>
      </c>
      <c r="H1783" s="13">
        <v>1986.6687197545002</v>
      </c>
      <c r="I1783" s="14">
        <v>0</v>
      </c>
      <c r="J1783" s="15">
        <v>1</v>
      </c>
      <c r="K1783" s="14">
        <v>1778.5663633966569</v>
      </c>
      <c r="L1783" s="13">
        <v>3533422.1601676536</v>
      </c>
      <c r="M1783" s="14">
        <v>4.21646455424146</v>
      </c>
      <c r="N1783" s="14">
        <v>1646.1316087273365</v>
      </c>
      <c r="O1783" s="13">
        <v>3270318.1756577534</v>
      </c>
      <c r="P1783" s="13">
        <v>263103.98450990021</v>
      </c>
      <c r="Q1783" s="14">
        <v>1.0804521059963783</v>
      </c>
      <c r="R1783" s="15">
        <v>8.0452105996378337E-2</v>
      </c>
    </row>
    <row r="1784" spans="1:18" ht="18" customHeight="1">
      <c r="A1784" s="10" t="s">
        <v>155</v>
      </c>
      <c r="B1784" s="10" t="s">
        <v>156</v>
      </c>
      <c r="C1784" s="10" t="s">
        <v>254</v>
      </c>
      <c r="D1784" s="10" t="s">
        <v>265</v>
      </c>
      <c r="E1784" s="16">
        <v>15</v>
      </c>
      <c r="F1784" s="16">
        <v>15</v>
      </c>
      <c r="G1784" s="13">
        <v>2194.4750011667002</v>
      </c>
      <c r="H1784" s="13">
        <v>2194.4750011667002</v>
      </c>
      <c r="I1784" s="14">
        <v>0</v>
      </c>
      <c r="J1784" s="15">
        <v>1</v>
      </c>
      <c r="K1784" s="14">
        <v>287.43342382841939</v>
      </c>
      <c r="L1784" s="13">
        <v>630765.46309121931</v>
      </c>
      <c r="M1784" s="14">
        <v>3.3288496262110381</v>
      </c>
      <c r="N1784" s="14">
        <v>213.23064775110967</v>
      </c>
      <c r="O1784" s="13">
        <v>467929.32597239263</v>
      </c>
      <c r="P1784" s="13">
        <v>162836.13711882668</v>
      </c>
      <c r="Q1784" s="14">
        <v>1.3479930153564128</v>
      </c>
      <c r="R1784" s="15">
        <v>0.34799301535641269</v>
      </c>
    </row>
    <row r="1785" spans="1:18" ht="18" customHeight="1">
      <c r="A1785" s="10" t="s">
        <v>155</v>
      </c>
      <c r="B1785" s="10" t="s">
        <v>156</v>
      </c>
      <c r="C1785" s="10" t="s">
        <v>254</v>
      </c>
      <c r="D1785" s="10" t="s">
        <v>266</v>
      </c>
      <c r="E1785" s="16">
        <v>3</v>
      </c>
      <c r="F1785" s="16">
        <v>3</v>
      </c>
      <c r="G1785" s="13">
        <v>1.2447664057999999</v>
      </c>
      <c r="H1785" s="13">
        <v>1.2447664057999999</v>
      </c>
      <c r="I1785" s="14">
        <v>0</v>
      </c>
      <c r="J1785" s="15">
        <v>1</v>
      </c>
      <c r="K1785" s="14">
        <v>1873.0832197762772</v>
      </c>
      <c r="L1785" s="13">
        <v>2331.5510672452078</v>
      </c>
      <c r="M1785" s="14">
        <v>4.2518526017638774</v>
      </c>
      <c r="N1785" s="14">
        <v>1785.8813492435318</v>
      </c>
      <c r="O1785" s="13">
        <v>2223.0051082831255</v>
      </c>
      <c r="P1785" s="13">
        <v>108.5459589620823</v>
      </c>
      <c r="Q1785" s="14">
        <v>1.0488284793218108</v>
      </c>
      <c r="R1785" s="15">
        <v>4.8828479321810767E-2</v>
      </c>
    </row>
    <row r="1786" spans="1:18" ht="18" customHeight="1">
      <c r="A1786" s="10" t="s">
        <v>155</v>
      </c>
      <c r="B1786" s="10" t="s">
        <v>156</v>
      </c>
      <c r="C1786" s="10" t="s">
        <v>254</v>
      </c>
      <c r="D1786" s="10" t="s">
        <v>267</v>
      </c>
      <c r="E1786" s="16">
        <v>2</v>
      </c>
      <c r="F1786" s="16">
        <v>2</v>
      </c>
      <c r="G1786" s="13">
        <v>11.4129080722</v>
      </c>
      <c r="H1786" s="13">
        <v>11.4129080722</v>
      </c>
      <c r="I1786" s="14">
        <v>0</v>
      </c>
      <c r="J1786" s="15">
        <v>1</v>
      </c>
      <c r="K1786" s="14">
        <v>545.43388623637043</v>
      </c>
      <c r="L1786" s="13">
        <v>6224.9868030784892</v>
      </c>
      <c r="M1786" s="14">
        <v>3.7309608633996372</v>
      </c>
      <c r="N1786" s="14">
        <v>538.22127833056925</v>
      </c>
      <c r="O1786" s="13">
        <v>6142.6699720887573</v>
      </c>
      <c r="P1786" s="13">
        <v>82.316830989731898</v>
      </c>
      <c r="Q1786" s="14">
        <v>1.0134008226656757</v>
      </c>
      <c r="R1786" s="15">
        <v>1.3400822665675596E-2</v>
      </c>
    </row>
    <row r="1787" spans="1:18" ht="18" customHeight="1">
      <c r="A1787" s="10" t="s">
        <v>155</v>
      </c>
      <c r="B1787" s="10" t="s">
        <v>156</v>
      </c>
      <c r="C1787" s="10" t="s">
        <v>254</v>
      </c>
      <c r="D1787" s="10" t="s">
        <v>268</v>
      </c>
      <c r="E1787" s="16">
        <v>9</v>
      </c>
      <c r="F1787" s="16">
        <v>9</v>
      </c>
      <c r="G1787" s="13">
        <v>166.9200991436</v>
      </c>
      <c r="H1787" s="13">
        <v>166.9200991436</v>
      </c>
      <c r="I1787" s="14">
        <v>0</v>
      </c>
      <c r="J1787" s="15">
        <v>1</v>
      </c>
      <c r="K1787" s="14">
        <v>205.25056121543113</v>
      </c>
      <c r="L1787" s="13">
        <v>34260.444027359306</v>
      </c>
      <c r="M1787" s="14">
        <v>3.3036956984066386</v>
      </c>
      <c r="N1787" s="14">
        <v>201.2313767131854</v>
      </c>
      <c r="O1787" s="13">
        <v>33589.561351768025</v>
      </c>
      <c r="P1787" s="13">
        <v>670.88267559128144</v>
      </c>
      <c r="Q1787" s="14">
        <v>1.0199729513751441</v>
      </c>
      <c r="R1787" s="15">
        <v>1.9972951375144075E-2</v>
      </c>
    </row>
    <row r="1788" spans="1:18" ht="18" customHeight="1">
      <c r="A1788" s="10" t="s">
        <v>155</v>
      </c>
      <c r="B1788" s="10" t="s">
        <v>156</v>
      </c>
      <c r="C1788" s="10" t="s">
        <v>254</v>
      </c>
      <c r="D1788" s="10" t="s">
        <v>269</v>
      </c>
      <c r="E1788" s="16">
        <v>36</v>
      </c>
      <c r="F1788" s="16">
        <v>36</v>
      </c>
      <c r="G1788" s="13">
        <v>2767.6651316482998</v>
      </c>
      <c r="H1788" s="13">
        <v>2767.6651316482998</v>
      </c>
      <c r="I1788" s="14">
        <v>0</v>
      </c>
      <c r="J1788" s="15">
        <v>1</v>
      </c>
      <c r="K1788" s="14">
        <v>455.90853061960399</v>
      </c>
      <c r="L1788" s="13">
        <v>1261802.1434168892</v>
      </c>
      <c r="M1788" s="14">
        <v>3.5257342920861778</v>
      </c>
      <c r="N1788" s="14">
        <v>335.53226773060027</v>
      </c>
      <c r="O1788" s="13">
        <v>928640.95794086438</v>
      </c>
      <c r="P1788" s="13">
        <v>333161.18547602487</v>
      </c>
      <c r="Q1788" s="14">
        <v>1.3587621056632746</v>
      </c>
      <c r="R1788" s="15">
        <v>0.35876210566327454</v>
      </c>
    </row>
    <row r="1789" spans="1:18" ht="18" customHeight="1">
      <c r="A1789" s="10" t="s">
        <v>155</v>
      </c>
      <c r="B1789" s="10" t="s">
        <v>156</v>
      </c>
      <c r="C1789" s="10" t="s">
        <v>254</v>
      </c>
      <c r="D1789" s="10" t="s">
        <v>270</v>
      </c>
      <c r="E1789" s="16">
        <v>16</v>
      </c>
      <c r="F1789" s="16">
        <v>16</v>
      </c>
      <c r="G1789" s="13">
        <v>713.01773360319999</v>
      </c>
      <c r="H1789" s="13">
        <v>713.01773360319999</v>
      </c>
      <c r="I1789" s="14">
        <v>0</v>
      </c>
      <c r="J1789" s="15">
        <v>1</v>
      </c>
      <c r="K1789" s="14">
        <v>1387.7196286099916</v>
      </c>
      <c r="L1789" s="13">
        <v>989468.70446817065</v>
      </c>
      <c r="M1789" s="14">
        <v>4.0245643003778797</v>
      </c>
      <c r="N1789" s="14">
        <v>1058.1915771657955</v>
      </c>
      <c r="O1789" s="13">
        <v>754509.36006875115</v>
      </c>
      <c r="P1789" s="13">
        <v>234959.3443994195</v>
      </c>
      <c r="Q1789" s="14">
        <v>1.3114067986883686</v>
      </c>
      <c r="R1789" s="15">
        <v>0.31140679868836874</v>
      </c>
    </row>
    <row r="1790" spans="1:18" ht="18" customHeight="1">
      <c r="A1790" s="10" t="s">
        <v>155</v>
      </c>
      <c r="B1790" s="10" t="s">
        <v>156</v>
      </c>
      <c r="C1790" s="10" t="s">
        <v>254</v>
      </c>
      <c r="D1790" s="10" t="s">
        <v>276</v>
      </c>
      <c r="E1790" s="16">
        <v>70</v>
      </c>
      <c r="F1790" s="16">
        <v>70</v>
      </c>
      <c r="G1790" s="13">
        <v>2930.2929159235005</v>
      </c>
      <c r="H1790" s="13">
        <v>2930.2929159235005</v>
      </c>
      <c r="I1790" s="14">
        <v>0</v>
      </c>
      <c r="J1790" s="15">
        <v>1</v>
      </c>
      <c r="K1790" s="14">
        <v>871.89383968860739</v>
      </c>
      <c r="L1790" s="13">
        <v>2554904.3418768663</v>
      </c>
      <c r="M1790" s="14">
        <v>3.4911380023314473</v>
      </c>
      <c r="N1790" s="14">
        <v>309.84036981063889</v>
      </c>
      <c r="O1790" s="13">
        <v>907923.04072323279</v>
      </c>
      <c r="P1790" s="13">
        <v>1646981.3011536335</v>
      </c>
      <c r="Q1790" s="14">
        <v>2.8140098084102836</v>
      </c>
      <c r="R1790" s="15">
        <v>1.8140098084102836</v>
      </c>
    </row>
    <row r="1791" spans="1:18" ht="18" customHeight="1">
      <c r="A1791" s="10" t="s">
        <v>155</v>
      </c>
      <c r="B1791" s="10" t="s">
        <v>156</v>
      </c>
      <c r="C1791" s="10" t="s">
        <v>254</v>
      </c>
      <c r="D1791" s="10" t="s">
        <v>271</v>
      </c>
      <c r="E1791" s="16">
        <v>12</v>
      </c>
      <c r="F1791" s="16">
        <v>12</v>
      </c>
      <c r="G1791" s="13">
        <v>483.73452992360001</v>
      </c>
      <c r="H1791" s="13">
        <v>483.73452992360001</v>
      </c>
      <c r="I1791" s="14">
        <v>0</v>
      </c>
      <c r="J1791" s="15">
        <v>1</v>
      </c>
      <c r="K1791" s="14">
        <v>33.49654215353079</v>
      </c>
      <c r="L1791" s="13">
        <v>16203.434072704267</v>
      </c>
      <c r="M1791" s="14">
        <v>2.2650862959803812</v>
      </c>
      <c r="N1791" s="14">
        <v>18.411378062727568</v>
      </c>
      <c r="O1791" s="13">
        <v>8906.2193124192017</v>
      </c>
      <c r="P1791" s="13">
        <v>7297.2147602850655</v>
      </c>
      <c r="Q1791" s="14">
        <v>1.8193392172714102</v>
      </c>
      <c r="R1791" s="15">
        <v>0.81933921727141013</v>
      </c>
    </row>
    <row r="1792" spans="1:18" ht="18" customHeight="1">
      <c r="A1792" s="10" t="s">
        <v>155</v>
      </c>
      <c r="B1792" s="10" t="s">
        <v>156</v>
      </c>
      <c r="C1792" s="10" t="s">
        <v>254</v>
      </c>
      <c r="D1792" s="10" t="s">
        <v>272</v>
      </c>
      <c r="E1792" s="16">
        <v>13</v>
      </c>
      <c r="F1792" s="16">
        <v>13</v>
      </c>
      <c r="G1792" s="13">
        <v>3460.0010213865003</v>
      </c>
      <c r="H1792" s="13">
        <v>3460.0010213865003</v>
      </c>
      <c r="I1792" s="14">
        <v>0</v>
      </c>
      <c r="J1792" s="15">
        <v>1</v>
      </c>
      <c r="K1792" s="14">
        <v>288.44504533893269</v>
      </c>
      <c r="L1792" s="13">
        <v>998020.15148658247</v>
      </c>
      <c r="M1792" s="14">
        <v>3.3436347383648886</v>
      </c>
      <c r="N1792" s="14">
        <v>220.61484801853607</v>
      </c>
      <c r="O1792" s="13">
        <v>763327.59947716235</v>
      </c>
      <c r="P1792" s="13">
        <v>234692.55200942012</v>
      </c>
      <c r="Q1792" s="14">
        <v>1.3074598012310463</v>
      </c>
      <c r="R1792" s="15">
        <v>0.30745980123104638</v>
      </c>
    </row>
    <row r="1793" spans="1:18" ht="18" customHeight="1">
      <c r="A1793" s="10" t="s">
        <v>155</v>
      </c>
      <c r="B1793" s="10" t="s">
        <v>156</v>
      </c>
      <c r="C1793" s="10" t="s">
        <v>254</v>
      </c>
      <c r="D1793" s="10" t="s">
        <v>283</v>
      </c>
      <c r="E1793" s="16">
        <v>3</v>
      </c>
      <c r="F1793" s="16">
        <v>3</v>
      </c>
      <c r="G1793" s="13">
        <v>11.5779995357</v>
      </c>
      <c r="H1793" s="13">
        <v>11.5779995357</v>
      </c>
      <c r="I1793" s="14">
        <v>0</v>
      </c>
      <c r="J1793" s="15">
        <v>1</v>
      </c>
      <c r="K1793" s="14">
        <v>179.10870348151744</v>
      </c>
      <c r="L1793" s="13">
        <v>2073.7204857488377</v>
      </c>
      <c r="M1793" s="14">
        <v>3.2526439394302624</v>
      </c>
      <c r="N1793" s="14">
        <v>178.91384099807686</v>
      </c>
      <c r="O1793" s="13">
        <v>2071.4643680060376</v>
      </c>
      <c r="P1793" s="13">
        <v>2.2561177428001429</v>
      </c>
      <c r="Q1793" s="14">
        <v>1.0010891414680581</v>
      </c>
      <c r="R1793" s="15">
        <v>1.0891414680581012E-3</v>
      </c>
    </row>
    <row r="1794" spans="1:18" ht="18" customHeight="1">
      <c r="A1794" s="10" t="s">
        <v>155</v>
      </c>
      <c r="B1794" s="10" t="s">
        <v>156</v>
      </c>
      <c r="C1794" s="10" t="s">
        <v>254</v>
      </c>
      <c r="D1794" s="10" t="s">
        <v>278</v>
      </c>
      <c r="E1794" s="16">
        <v>1</v>
      </c>
      <c r="F1794" s="16">
        <v>1</v>
      </c>
      <c r="G1794" s="13">
        <v>222.1164909842</v>
      </c>
      <c r="H1794" s="13">
        <v>222.1164909842</v>
      </c>
      <c r="I1794" s="14">
        <v>0</v>
      </c>
      <c r="J1794" s="15">
        <v>1</v>
      </c>
      <c r="K1794" s="14">
        <v>416.86938347033549</v>
      </c>
      <c r="L1794" s="13">
        <v>92593.56465517779</v>
      </c>
      <c r="M1794" s="14">
        <v>3.62</v>
      </c>
      <c r="N1794" s="14">
        <v>416.86938347033549</v>
      </c>
      <c r="O1794" s="13">
        <v>92593.56465517779</v>
      </c>
      <c r="P1794" s="13">
        <v>0</v>
      </c>
      <c r="Q1794" s="14">
        <v>1</v>
      </c>
      <c r="R1794" s="15">
        <v>0</v>
      </c>
    </row>
    <row r="1795" spans="1:18" ht="18" customHeight="1">
      <c r="A1795" s="10" t="s">
        <v>155</v>
      </c>
      <c r="B1795" s="10" t="s">
        <v>156</v>
      </c>
      <c r="C1795" s="10" t="s">
        <v>254</v>
      </c>
      <c r="D1795" s="10" t="s">
        <v>273</v>
      </c>
      <c r="E1795" s="16">
        <v>13</v>
      </c>
      <c r="F1795" s="16">
        <v>13</v>
      </c>
      <c r="G1795" s="13">
        <v>242.71690709419997</v>
      </c>
      <c r="H1795" s="13">
        <v>242.71690709419997</v>
      </c>
      <c r="I1795" s="14">
        <v>0</v>
      </c>
      <c r="J1795" s="15">
        <v>1</v>
      </c>
      <c r="K1795" s="14">
        <v>240.08415024259355</v>
      </c>
      <c r="L1795" s="13">
        <v>58272.482389221528</v>
      </c>
      <c r="M1795" s="14">
        <v>3.2598291109776341</v>
      </c>
      <c r="N1795" s="14">
        <v>181.89849717151131</v>
      </c>
      <c r="O1795" s="13">
        <v>44149.840638552305</v>
      </c>
      <c r="P1795" s="13">
        <v>14122.641750669223</v>
      </c>
      <c r="Q1795" s="14">
        <v>1.3198797899700032</v>
      </c>
      <c r="R1795" s="15">
        <v>0.31987978997000321</v>
      </c>
    </row>
    <row r="1796" spans="1:18" ht="18" customHeight="1">
      <c r="A1796" s="10" t="s">
        <v>155</v>
      </c>
      <c r="B1796" s="10" t="s">
        <v>156</v>
      </c>
      <c r="C1796" s="10" t="s">
        <v>254</v>
      </c>
      <c r="D1796" s="10" t="s">
        <v>284</v>
      </c>
      <c r="E1796" s="16">
        <v>12</v>
      </c>
      <c r="F1796" s="16">
        <v>12</v>
      </c>
      <c r="G1796" s="13">
        <v>185.62750908029997</v>
      </c>
      <c r="H1796" s="13">
        <v>185.62750908029997</v>
      </c>
      <c r="I1796" s="14">
        <v>0</v>
      </c>
      <c r="J1796" s="15">
        <v>1</v>
      </c>
      <c r="K1796" s="14">
        <v>207.23636368318955</v>
      </c>
      <c r="L1796" s="13">
        <v>38468.769981369616</v>
      </c>
      <c r="M1796" s="14">
        <v>3.1401224740071272</v>
      </c>
      <c r="N1796" s="14">
        <v>138.07735972786446</v>
      </c>
      <c r="O1796" s="13">
        <v>25630.956346668005</v>
      </c>
      <c r="P1796" s="13">
        <v>12837.813634701612</v>
      </c>
      <c r="Q1796" s="14">
        <v>1.5008714252041755</v>
      </c>
      <c r="R1796" s="15">
        <v>0.50087142520417549</v>
      </c>
    </row>
    <row r="1797" spans="1:18" ht="18" customHeight="1">
      <c r="A1797" s="10" t="s">
        <v>155</v>
      </c>
      <c r="B1797" s="10" t="s">
        <v>156</v>
      </c>
      <c r="C1797" s="10" t="s">
        <v>254</v>
      </c>
      <c r="D1797" s="10" t="s">
        <v>274</v>
      </c>
      <c r="E1797" s="16">
        <v>4</v>
      </c>
      <c r="F1797" s="16">
        <v>4</v>
      </c>
      <c r="G1797" s="13">
        <v>31.9597582211</v>
      </c>
      <c r="H1797" s="13">
        <v>31.9597582211</v>
      </c>
      <c r="I1797" s="14">
        <v>0</v>
      </c>
      <c r="J1797" s="15">
        <v>1</v>
      </c>
      <c r="K1797" s="14">
        <v>587.15855125859684</v>
      </c>
      <c r="L1797" s="13">
        <v>18765.445335676108</v>
      </c>
      <c r="M1797" s="14">
        <v>3.7629314272839882</v>
      </c>
      <c r="N1797" s="14">
        <v>579.3372150370443</v>
      </c>
      <c r="O1797" s="13">
        <v>18515.477321069357</v>
      </c>
      <c r="P1797" s="13">
        <v>249.96801460675124</v>
      </c>
      <c r="Q1797" s="14">
        <v>1.0135004899021591</v>
      </c>
      <c r="R1797" s="15">
        <v>1.3500489902159022E-2</v>
      </c>
    </row>
    <row r="1798" spans="1:18" ht="18" customHeight="1">
      <c r="A1798" s="10" t="s">
        <v>155</v>
      </c>
      <c r="B1798" s="10" t="s">
        <v>156</v>
      </c>
      <c r="C1798" s="10" t="s">
        <v>254</v>
      </c>
      <c r="D1798" s="10" t="s">
        <v>275</v>
      </c>
      <c r="E1798" s="16">
        <v>2</v>
      </c>
      <c r="F1798" s="16">
        <v>2</v>
      </c>
      <c r="G1798" s="13">
        <v>0.24197358400000002</v>
      </c>
      <c r="H1798" s="13">
        <v>0.24197358400000002</v>
      </c>
      <c r="I1798" s="14">
        <v>0</v>
      </c>
      <c r="J1798" s="15">
        <v>1</v>
      </c>
      <c r="K1798" s="14">
        <v>1845.3308098013854</v>
      </c>
      <c r="L1798" s="13">
        <v>446.52130971326358</v>
      </c>
      <c r="M1798" s="14">
        <v>4.2606951211046242</v>
      </c>
      <c r="N1798" s="14">
        <v>1822.6157593465214</v>
      </c>
      <c r="O1798" s="13">
        <v>441.02486754395932</v>
      </c>
      <c r="P1798" s="13">
        <v>5.4964421693042596</v>
      </c>
      <c r="Q1798" s="14">
        <v>1.0124628849160222</v>
      </c>
      <c r="R1798" s="15">
        <v>1.2462884916022109E-2</v>
      </c>
    </row>
    <row r="1799" spans="1:18" ht="18" customHeight="1">
      <c r="A1799" s="10" t="s">
        <v>151</v>
      </c>
      <c r="B1799" s="10" t="s">
        <v>152</v>
      </c>
      <c r="C1799" s="10" t="s">
        <v>254</v>
      </c>
      <c r="D1799" s="10" t="s">
        <v>255</v>
      </c>
      <c r="E1799" s="16">
        <v>9</v>
      </c>
      <c r="F1799" s="16">
        <v>9</v>
      </c>
      <c r="G1799" s="13">
        <v>1522.8228241324</v>
      </c>
      <c r="H1799" s="13">
        <v>1522.8228241324</v>
      </c>
      <c r="I1799" s="14">
        <v>0</v>
      </c>
      <c r="J1799" s="15">
        <v>1</v>
      </c>
      <c r="K1799" s="14">
        <v>585.76012685821831</v>
      </c>
      <c r="L1799" s="13">
        <v>892008.89064638491</v>
      </c>
      <c r="M1799" s="14">
        <v>3.7532056890068195</v>
      </c>
      <c r="N1799" s="14">
        <v>566.50753279233459</v>
      </c>
      <c r="O1799" s="13">
        <v>862690.60097910115</v>
      </c>
      <c r="P1799" s="13">
        <v>29318.289667283767</v>
      </c>
      <c r="Q1799" s="14">
        <v>1.0339847097371981</v>
      </c>
      <c r="R1799" s="15">
        <v>3.3984709737198131E-2</v>
      </c>
    </row>
    <row r="1800" spans="1:18" ht="18" customHeight="1">
      <c r="A1800" s="10" t="s">
        <v>151</v>
      </c>
      <c r="B1800" s="10" t="s">
        <v>152</v>
      </c>
      <c r="C1800" s="10" t="s">
        <v>254</v>
      </c>
      <c r="D1800" s="10" t="s">
        <v>256</v>
      </c>
      <c r="E1800" s="16">
        <v>4</v>
      </c>
      <c r="F1800" s="16">
        <v>4</v>
      </c>
      <c r="G1800" s="13">
        <v>246.03414308699999</v>
      </c>
      <c r="H1800" s="13">
        <v>246.03414308699999</v>
      </c>
      <c r="I1800" s="14">
        <v>0</v>
      </c>
      <c r="J1800" s="15">
        <v>1</v>
      </c>
      <c r="K1800" s="14">
        <v>1327.0258821242021</v>
      </c>
      <c r="L1800" s="13">
        <v>326493.67576269835</v>
      </c>
      <c r="M1800" s="14">
        <v>4.086933428834878</v>
      </c>
      <c r="N1800" s="14">
        <v>1221.6123900134965</v>
      </c>
      <c r="O1800" s="13">
        <v>300558.35756143264</v>
      </c>
      <c r="P1800" s="13">
        <v>25935.318201265705</v>
      </c>
      <c r="Q1800" s="14">
        <v>1.0862904575726684</v>
      </c>
      <c r="R1800" s="15">
        <v>8.6290457572668414E-2</v>
      </c>
    </row>
    <row r="1801" spans="1:18" ht="18" customHeight="1">
      <c r="A1801" s="10" t="s">
        <v>151</v>
      </c>
      <c r="B1801" s="10" t="s">
        <v>152</v>
      </c>
      <c r="C1801" s="10" t="s">
        <v>254</v>
      </c>
      <c r="D1801" s="10" t="s">
        <v>257</v>
      </c>
      <c r="E1801" s="16">
        <v>2</v>
      </c>
      <c r="F1801" s="16">
        <v>2</v>
      </c>
      <c r="G1801" s="13">
        <v>0.29701873069999996</v>
      </c>
      <c r="H1801" s="13">
        <v>0.29701873069999996</v>
      </c>
      <c r="I1801" s="14">
        <v>0</v>
      </c>
      <c r="J1801" s="15">
        <v>1</v>
      </c>
      <c r="K1801" s="14">
        <v>840.99946391928177</v>
      </c>
      <c r="L1801" s="13">
        <v>249.7925932926855</v>
      </c>
      <c r="M1801" s="14">
        <v>3.9228606173489382</v>
      </c>
      <c r="N1801" s="14">
        <v>837.26052826116859</v>
      </c>
      <c r="O1801" s="13">
        <v>248.68205936934373</v>
      </c>
      <c r="P1801" s="13">
        <v>1.1105339233417624</v>
      </c>
      <c r="Q1801" s="14">
        <v>1.0044656776856282</v>
      </c>
      <c r="R1801" s="15">
        <v>4.4656776856282681E-3</v>
      </c>
    </row>
    <row r="1802" spans="1:18" ht="18" customHeight="1">
      <c r="A1802" s="10" t="s">
        <v>151</v>
      </c>
      <c r="B1802" s="10" t="s">
        <v>152</v>
      </c>
      <c r="C1802" s="10" t="s">
        <v>254</v>
      </c>
      <c r="D1802" s="10" t="s">
        <v>258</v>
      </c>
      <c r="E1802" s="16">
        <v>17</v>
      </c>
      <c r="F1802" s="16">
        <v>17</v>
      </c>
      <c r="G1802" s="13">
        <v>3261.1311908241005</v>
      </c>
      <c r="H1802" s="13">
        <v>3261.1311908241005</v>
      </c>
      <c r="I1802" s="14">
        <v>0</v>
      </c>
      <c r="J1802" s="15">
        <v>1</v>
      </c>
      <c r="K1802" s="14">
        <v>257.44682067382621</v>
      </c>
      <c r="L1802" s="13">
        <v>839567.85687791347</v>
      </c>
      <c r="M1802" s="14">
        <v>2.5047713416500792</v>
      </c>
      <c r="N1802" s="14">
        <v>31.972113177382752</v>
      </c>
      <c r="O1802" s="13">
        <v>104265.25551932113</v>
      </c>
      <c r="P1802" s="13">
        <v>735302.60135859228</v>
      </c>
      <c r="Q1802" s="14">
        <v>8.0522303685558541</v>
      </c>
      <c r="R1802" s="15">
        <v>7.0522303685558532</v>
      </c>
    </row>
    <row r="1803" spans="1:18" ht="18" customHeight="1">
      <c r="A1803" s="10" t="s">
        <v>151</v>
      </c>
      <c r="B1803" s="10" t="s">
        <v>152</v>
      </c>
      <c r="C1803" s="10" t="s">
        <v>254</v>
      </c>
      <c r="D1803" s="10" t="s">
        <v>259</v>
      </c>
      <c r="E1803" s="16">
        <v>10</v>
      </c>
      <c r="F1803" s="16">
        <v>10</v>
      </c>
      <c r="G1803" s="13">
        <v>1324.1150013177</v>
      </c>
      <c r="H1803" s="13">
        <v>1324.1150013177</v>
      </c>
      <c r="I1803" s="14">
        <v>0</v>
      </c>
      <c r="J1803" s="15">
        <v>1</v>
      </c>
      <c r="K1803" s="14">
        <v>943.24763144895087</v>
      </c>
      <c r="L1803" s="13">
        <v>1248968.338758945</v>
      </c>
      <c r="M1803" s="14">
        <v>3.7754575948140103</v>
      </c>
      <c r="N1803" s="14">
        <v>596.29009430302108</v>
      </c>
      <c r="O1803" s="13">
        <v>789556.65900377627</v>
      </c>
      <c r="P1803" s="13">
        <v>459411.67975516873</v>
      </c>
      <c r="Q1803" s="14">
        <v>1.5818603066875931</v>
      </c>
      <c r="R1803" s="15">
        <v>0.58186030668759325</v>
      </c>
    </row>
    <row r="1804" spans="1:18" ht="18" customHeight="1">
      <c r="A1804" s="10" t="s">
        <v>151</v>
      </c>
      <c r="B1804" s="10" t="s">
        <v>152</v>
      </c>
      <c r="C1804" s="10" t="s">
        <v>254</v>
      </c>
      <c r="D1804" s="10" t="s">
        <v>261</v>
      </c>
      <c r="E1804" s="16">
        <v>32</v>
      </c>
      <c r="F1804" s="16">
        <v>32</v>
      </c>
      <c r="G1804" s="13">
        <v>3898.4283849093999</v>
      </c>
      <c r="H1804" s="13">
        <v>3898.4283849093999</v>
      </c>
      <c r="I1804" s="14">
        <v>0</v>
      </c>
      <c r="J1804" s="15">
        <v>1</v>
      </c>
      <c r="K1804" s="14">
        <v>2723.0067141729132</v>
      </c>
      <c r="L1804" s="13">
        <v>10615446.666830562</v>
      </c>
      <c r="M1804" s="14">
        <v>4.4206677566105146</v>
      </c>
      <c r="N1804" s="14">
        <v>2634.3153143439217</v>
      </c>
      <c r="O1804" s="13">
        <v>10269689.596239872</v>
      </c>
      <c r="P1804" s="13">
        <v>345757.07059068978</v>
      </c>
      <c r="Q1804" s="14">
        <v>1.0336677235811766</v>
      </c>
      <c r="R1804" s="15">
        <v>3.3667723581176659E-2</v>
      </c>
    </row>
    <row r="1805" spans="1:18" ht="18" customHeight="1">
      <c r="A1805" s="10" t="s">
        <v>151</v>
      </c>
      <c r="B1805" s="10" t="s">
        <v>152</v>
      </c>
      <c r="C1805" s="10" t="s">
        <v>254</v>
      </c>
      <c r="D1805" s="10" t="s">
        <v>262</v>
      </c>
      <c r="E1805" s="16">
        <v>6</v>
      </c>
      <c r="F1805" s="16">
        <v>6</v>
      </c>
      <c r="G1805" s="13">
        <v>27.825763003599999</v>
      </c>
      <c r="H1805" s="13">
        <v>27.825763003599999</v>
      </c>
      <c r="I1805" s="14">
        <v>0</v>
      </c>
      <c r="J1805" s="15">
        <v>1</v>
      </c>
      <c r="K1805" s="14">
        <v>239.60811863876745</v>
      </c>
      <c r="L1805" s="13">
        <v>6667.2787229808146</v>
      </c>
      <c r="M1805" s="14">
        <v>3.3767366602880835</v>
      </c>
      <c r="N1805" s="14">
        <v>238.08753590053027</v>
      </c>
      <c r="O1805" s="13">
        <v>6624.9673480792617</v>
      </c>
      <c r="P1805" s="13">
        <v>42.311374901552881</v>
      </c>
      <c r="Q1805" s="14">
        <v>1.0063866541038606</v>
      </c>
      <c r="R1805" s="15">
        <v>6.3866541038605984E-3</v>
      </c>
    </row>
    <row r="1806" spans="1:18" ht="18" customHeight="1">
      <c r="A1806" s="10" t="s">
        <v>151</v>
      </c>
      <c r="B1806" s="10" t="s">
        <v>152</v>
      </c>
      <c r="C1806" s="10" t="s">
        <v>254</v>
      </c>
      <c r="D1806" s="10" t="s">
        <v>263</v>
      </c>
      <c r="E1806" s="16">
        <v>21</v>
      </c>
      <c r="F1806" s="16">
        <v>21</v>
      </c>
      <c r="G1806" s="13">
        <v>82.19846624809999</v>
      </c>
      <c r="H1806" s="13">
        <v>82.19846624809999</v>
      </c>
      <c r="I1806" s="14">
        <v>0</v>
      </c>
      <c r="J1806" s="15">
        <v>1</v>
      </c>
      <c r="K1806" s="14">
        <v>1007.2575261604524</v>
      </c>
      <c r="L1806" s="13">
        <v>82795.023767244638</v>
      </c>
      <c r="M1806" s="14">
        <v>3.9163007079371144</v>
      </c>
      <c r="N1806" s="14">
        <v>824.70895047204044</v>
      </c>
      <c r="O1806" s="13">
        <v>67789.810829881986</v>
      </c>
      <c r="P1806" s="13">
        <v>15005.212937362652</v>
      </c>
      <c r="Q1806" s="14">
        <v>1.2213490899837163</v>
      </c>
      <c r="R1806" s="15">
        <v>0.22134908998371627</v>
      </c>
    </row>
    <row r="1807" spans="1:18" ht="18" customHeight="1">
      <c r="A1807" s="10" t="s">
        <v>151</v>
      </c>
      <c r="B1807" s="10" t="s">
        <v>152</v>
      </c>
      <c r="C1807" s="10" t="s">
        <v>254</v>
      </c>
      <c r="D1807" s="10" t="s">
        <v>264</v>
      </c>
      <c r="E1807" s="16">
        <v>50</v>
      </c>
      <c r="F1807" s="16">
        <v>50</v>
      </c>
      <c r="G1807" s="13">
        <v>2675.0059802008004</v>
      </c>
      <c r="H1807" s="13">
        <v>2675.0059802008004</v>
      </c>
      <c r="I1807" s="14">
        <v>0</v>
      </c>
      <c r="J1807" s="15">
        <v>1</v>
      </c>
      <c r="K1807" s="14">
        <v>1820.6009353824356</v>
      </c>
      <c r="L1807" s="13">
        <v>4870118.3897071863</v>
      </c>
      <c r="M1807" s="14">
        <v>4.2290196097210622</v>
      </c>
      <c r="N1807" s="14">
        <v>1694.4143066963456</v>
      </c>
      <c r="O1807" s="13">
        <v>4532568.4033505181</v>
      </c>
      <c r="P1807" s="13">
        <v>337549.98635666817</v>
      </c>
      <c r="Q1807" s="14">
        <v>1.074472121834311</v>
      </c>
      <c r="R1807" s="15">
        <v>7.4472121834310984E-2</v>
      </c>
    </row>
    <row r="1808" spans="1:18" ht="18" customHeight="1">
      <c r="A1808" s="10" t="s">
        <v>151</v>
      </c>
      <c r="B1808" s="10" t="s">
        <v>152</v>
      </c>
      <c r="C1808" s="10" t="s">
        <v>254</v>
      </c>
      <c r="D1808" s="10" t="s">
        <v>265</v>
      </c>
      <c r="E1808" s="16">
        <v>17</v>
      </c>
      <c r="F1808" s="16">
        <v>17</v>
      </c>
      <c r="G1808" s="13">
        <v>1724.2584167008001</v>
      </c>
      <c r="H1808" s="13">
        <v>1724.2584167008001</v>
      </c>
      <c r="I1808" s="14">
        <v>0</v>
      </c>
      <c r="J1808" s="15">
        <v>1</v>
      </c>
      <c r="K1808" s="14">
        <v>257.21312118688775</v>
      </c>
      <c r="L1808" s="13">
        <v>443501.88909237413</v>
      </c>
      <c r="M1808" s="14">
        <v>3.1917468780786895</v>
      </c>
      <c r="N1808" s="14">
        <v>155.50590249719733</v>
      </c>
      <c r="O1808" s="13">
        <v>268132.36122744647</v>
      </c>
      <c r="P1808" s="13">
        <v>175369.52786492766</v>
      </c>
      <c r="Q1808" s="14">
        <v>1.6540408888435827</v>
      </c>
      <c r="R1808" s="15">
        <v>0.65404088884358258</v>
      </c>
    </row>
    <row r="1809" spans="1:18" ht="18" customHeight="1">
      <c r="A1809" s="10" t="s">
        <v>151</v>
      </c>
      <c r="B1809" s="10" t="s">
        <v>152</v>
      </c>
      <c r="C1809" s="10" t="s">
        <v>254</v>
      </c>
      <c r="D1809" s="10" t="s">
        <v>266</v>
      </c>
      <c r="E1809" s="16">
        <v>9</v>
      </c>
      <c r="F1809" s="16">
        <v>9</v>
      </c>
      <c r="G1809" s="13">
        <v>369.6547083849</v>
      </c>
      <c r="H1809" s="13">
        <v>369.6547083849</v>
      </c>
      <c r="I1809" s="14">
        <v>0</v>
      </c>
      <c r="J1809" s="15">
        <v>1</v>
      </c>
      <c r="K1809" s="14">
        <v>784.82652399249832</v>
      </c>
      <c r="L1809" s="13">
        <v>290114.81985918171</v>
      </c>
      <c r="M1809" s="14">
        <v>3.7445372096494918</v>
      </c>
      <c r="N1809" s="14">
        <v>555.31219333287879</v>
      </c>
      <c r="O1809" s="13">
        <v>205273.76688904452</v>
      </c>
      <c r="P1809" s="13">
        <v>84841.052970137185</v>
      </c>
      <c r="Q1809" s="14">
        <v>1.4133068450777533</v>
      </c>
      <c r="R1809" s="15">
        <v>0.41330684507775339</v>
      </c>
    </row>
    <row r="1810" spans="1:18" ht="18" customHeight="1">
      <c r="A1810" s="10" t="s">
        <v>151</v>
      </c>
      <c r="B1810" s="10" t="s">
        <v>152</v>
      </c>
      <c r="C1810" s="10" t="s">
        <v>254</v>
      </c>
      <c r="D1810" s="10" t="s">
        <v>267</v>
      </c>
      <c r="E1810" s="16">
        <v>8</v>
      </c>
      <c r="F1810" s="16">
        <v>8</v>
      </c>
      <c r="G1810" s="13">
        <v>52.297749384700005</v>
      </c>
      <c r="H1810" s="13">
        <v>52.297749384700005</v>
      </c>
      <c r="I1810" s="14">
        <v>0</v>
      </c>
      <c r="J1810" s="15">
        <v>1</v>
      </c>
      <c r="K1810" s="14">
        <v>599.05918624830679</v>
      </c>
      <c r="L1810" s="13">
        <v>31329.447189016271</v>
      </c>
      <c r="M1810" s="14">
        <v>3.7392820944478156</v>
      </c>
      <c r="N1810" s="14">
        <v>548.63321197517882</v>
      </c>
      <c r="O1810" s="13">
        <v>28692.282224000897</v>
      </c>
      <c r="P1810" s="13">
        <v>2637.164965015374</v>
      </c>
      <c r="Q1810" s="14">
        <v>1.0919119972551157</v>
      </c>
      <c r="R1810" s="15">
        <v>9.1911997255115646E-2</v>
      </c>
    </row>
    <row r="1811" spans="1:18" ht="18" customHeight="1">
      <c r="A1811" s="10" t="s">
        <v>151</v>
      </c>
      <c r="B1811" s="10" t="s">
        <v>152</v>
      </c>
      <c r="C1811" s="10" t="s">
        <v>254</v>
      </c>
      <c r="D1811" s="10" t="s">
        <v>268</v>
      </c>
      <c r="E1811" s="16">
        <v>18</v>
      </c>
      <c r="F1811" s="16">
        <v>18</v>
      </c>
      <c r="G1811" s="13">
        <v>6057.5693896803004</v>
      </c>
      <c r="H1811" s="13">
        <v>6057.5693896803004</v>
      </c>
      <c r="I1811" s="14">
        <v>0</v>
      </c>
      <c r="J1811" s="15">
        <v>1</v>
      </c>
      <c r="K1811" s="14">
        <v>705.55969948425843</v>
      </c>
      <c r="L1811" s="13">
        <v>4273976.8381878752</v>
      </c>
      <c r="M1811" s="14">
        <v>3.7249624491500364</v>
      </c>
      <c r="N1811" s="14">
        <v>530.83854380827609</v>
      </c>
      <c r="O1811" s="13">
        <v>3215591.3138354784</v>
      </c>
      <c r="P1811" s="13">
        <v>1058385.5243523968</v>
      </c>
      <c r="Q1811" s="14">
        <v>1.3291418034992701</v>
      </c>
      <c r="R1811" s="15">
        <v>0.32914180349927014</v>
      </c>
    </row>
    <row r="1812" spans="1:18" ht="18" customHeight="1">
      <c r="A1812" s="10" t="s">
        <v>151</v>
      </c>
      <c r="B1812" s="10" t="s">
        <v>152</v>
      </c>
      <c r="C1812" s="10" t="s">
        <v>254</v>
      </c>
      <c r="D1812" s="10" t="s">
        <v>269</v>
      </c>
      <c r="E1812" s="16">
        <v>40</v>
      </c>
      <c r="F1812" s="16">
        <v>40</v>
      </c>
      <c r="G1812" s="13">
        <v>9535.8265943269998</v>
      </c>
      <c r="H1812" s="13">
        <v>9535.8265943269998</v>
      </c>
      <c r="I1812" s="14">
        <v>0</v>
      </c>
      <c r="J1812" s="15">
        <v>1</v>
      </c>
      <c r="K1812" s="14">
        <v>238.81301464185995</v>
      </c>
      <c r="L1812" s="13">
        <v>2277279.4960932513</v>
      </c>
      <c r="M1812" s="14">
        <v>3.3440418932866511</v>
      </c>
      <c r="N1812" s="14">
        <v>220.82177337376297</v>
      </c>
      <c r="O1812" s="13">
        <v>2105718.1391439787</v>
      </c>
      <c r="P1812" s="13">
        <v>171561.35694927257</v>
      </c>
      <c r="Q1812" s="14">
        <v>1.0814740367003801</v>
      </c>
      <c r="R1812" s="15">
        <v>8.1474036700380073E-2</v>
      </c>
    </row>
    <row r="1813" spans="1:18" ht="18" customHeight="1">
      <c r="A1813" s="10" t="s">
        <v>151</v>
      </c>
      <c r="B1813" s="10" t="s">
        <v>152</v>
      </c>
      <c r="C1813" s="10" t="s">
        <v>254</v>
      </c>
      <c r="D1813" s="10" t="s">
        <v>270</v>
      </c>
      <c r="E1813" s="16">
        <v>17</v>
      </c>
      <c r="F1813" s="16">
        <v>17</v>
      </c>
      <c r="G1813" s="13">
        <v>3961.1656935109004</v>
      </c>
      <c r="H1813" s="13">
        <v>3961.1656935109004</v>
      </c>
      <c r="I1813" s="14">
        <v>0</v>
      </c>
      <c r="J1813" s="15">
        <v>1</v>
      </c>
      <c r="K1813" s="14">
        <v>1293.3403553916089</v>
      </c>
      <c r="L1813" s="13">
        <v>5123135.4458104372</v>
      </c>
      <c r="M1813" s="14">
        <v>3.9860864714737176</v>
      </c>
      <c r="N1813" s="14">
        <v>968.47066725180264</v>
      </c>
      <c r="O1813" s="13">
        <v>3836272.7822894515</v>
      </c>
      <c r="P1813" s="13">
        <v>1286862.6635209857</v>
      </c>
      <c r="Q1813" s="14">
        <v>1.3354460791896552</v>
      </c>
      <c r="R1813" s="15">
        <v>0.33544607918965508</v>
      </c>
    </row>
    <row r="1814" spans="1:18" ht="18" customHeight="1">
      <c r="A1814" s="10" t="s">
        <v>151</v>
      </c>
      <c r="B1814" s="10" t="s">
        <v>152</v>
      </c>
      <c r="C1814" s="10" t="s">
        <v>254</v>
      </c>
      <c r="D1814" s="10" t="s">
        <v>276</v>
      </c>
      <c r="E1814" s="16">
        <v>62</v>
      </c>
      <c r="F1814" s="16">
        <v>62</v>
      </c>
      <c r="G1814" s="13">
        <v>1849.7641727568998</v>
      </c>
      <c r="H1814" s="13">
        <v>1849.7641727568998</v>
      </c>
      <c r="I1814" s="14">
        <v>0</v>
      </c>
      <c r="J1814" s="15">
        <v>1</v>
      </c>
      <c r="K1814" s="14">
        <v>227.08112564592693</v>
      </c>
      <c r="L1814" s="13">
        <v>420046.53052914364</v>
      </c>
      <c r="M1814" s="14">
        <v>2.8202947602961919</v>
      </c>
      <c r="N1814" s="14">
        <v>66.114201990445096</v>
      </c>
      <c r="O1814" s="13">
        <v>122295.68215233825</v>
      </c>
      <c r="P1814" s="13">
        <v>297750.84837680537</v>
      </c>
      <c r="Q1814" s="14">
        <v>3.4346799750943822</v>
      </c>
      <c r="R1814" s="15">
        <v>2.4346799750943822</v>
      </c>
    </row>
    <row r="1815" spans="1:18" ht="18" customHeight="1">
      <c r="A1815" s="10" t="s">
        <v>151</v>
      </c>
      <c r="B1815" s="10" t="s">
        <v>152</v>
      </c>
      <c r="C1815" s="10" t="s">
        <v>254</v>
      </c>
      <c r="D1815" s="10" t="s">
        <v>271</v>
      </c>
      <c r="E1815" s="16">
        <v>13</v>
      </c>
      <c r="F1815" s="16">
        <v>13</v>
      </c>
      <c r="G1815" s="13">
        <v>540.84228444579981</v>
      </c>
      <c r="H1815" s="13">
        <v>540.84228444579981</v>
      </c>
      <c r="I1815" s="14">
        <v>0</v>
      </c>
      <c r="J1815" s="15">
        <v>1</v>
      </c>
      <c r="K1815" s="14">
        <v>16.569373445758373</v>
      </c>
      <c r="L1815" s="13">
        <v>8961.4177862395318</v>
      </c>
      <c r="M1815" s="14">
        <v>2.1393419758351793</v>
      </c>
      <c r="N1815" s="14">
        <v>13.782943499025116</v>
      </c>
      <c r="O1815" s="13">
        <v>7454.3986484001289</v>
      </c>
      <c r="P1815" s="13">
        <v>1507.0191378394029</v>
      </c>
      <c r="Q1815" s="14">
        <v>1.2021650851960863</v>
      </c>
      <c r="R1815" s="15">
        <v>0.20216508519608634</v>
      </c>
    </row>
    <row r="1816" spans="1:18" ht="18" customHeight="1">
      <c r="A1816" s="10" t="s">
        <v>151</v>
      </c>
      <c r="B1816" s="10" t="s">
        <v>152</v>
      </c>
      <c r="C1816" s="10" t="s">
        <v>254</v>
      </c>
      <c r="D1816" s="10" t="s">
        <v>272</v>
      </c>
      <c r="E1816" s="16">
        <v>10</v>
      </c>
      <c r="F1816" s="16">
        <v>10</v>
      </c>
      <c r="G1816" s="13">
        <v>1511.1761478251999</v>
      </c>
      <c r="H1816" s="13">
        <v>1511.1761478251999</v>
      </c>
      <c r="I1816" s="14">
        <v>0</v>
      </c>
      <c r="J1816" s="15">
        <v>1</v>
      </c>
      <c r="K1816" s="14">
        <v>148.79057429555343</v>
      </c>
      <c r="L1816" s="13">
        <v>224848.76689665363</v>
      </c>
      <c r="M1816" s="14">
        <v>2.9585363192893448</v>
      </c>
      <c r="N1816" s="14">
        <v>90.894230914576127</v>
      </c>
      <c r="O1816" s="13">
        <v>137357.19373302336</v>
      </c>
      <c r="P1816" s="13">
        <v>87491.573163630266</v>
      </c>
      <c r="Q1816" s="14">
        <v>1.6369638952706382</v>
      </c>
      <c r="R1816" s="15">
        <v>0.63696389527063824</v>
      </c>
    </row>
    <row r="1817" spans="1:18" ht="18" customHeight="1">
      <c r="A1817" s="10" t="s">
        <v>151</v>
      </c>
      <c r="B1817" s="10" t="s">
        <v>152</v>
      </c>
      <c r="C1817" s="10" t="s">
        <v>254</v>
      </c>
      <c r="D1817" s="10" t="s">
        <v>283</v>
      </c>
      <c r="E1817" s="16">
        <v>3</v>
      </c>
      <c r="F1817" s="16">
        <v>3</v>
      </c>
      <c r="G1817" s="13">
        <v>358.00277240320003</v>
      </c>
      <c r="H1817" s="13">
        <v>358.00277240320003</v>
      </c>
      <c r="I1817" s="14">
        <v>0</v>
      </c>
      <c r="J1817" s="15">
        <v>1</v>
      </c>
      <c r="K1817" s="14">
        <v>185.0938852013231</v>
      </c>
      <c r="L1817" s="13">
        <v>66264.124056953311</v>
      </c>
      <c r="M1817" s="14">
        <v>3.2670268152286619</v>
      </c>
      <c r="N1817" s="14">
        <v>184.93828043842478</v>
      </c>
      <c r="O1817" s="13">
        <v>66208.41712043657</v>
      </c>
      <c r="P1817" s="13">
        <v>55.706936516740825</v>
      </c>
      <c r="Q1817" s="14">
        <v>1.0008413875295554</v>
      </c>
      <c r="R1817" s="15">
        <v>8.4138752955544905E-4</v>
      </c>
    </row>
    <row r="1818" spans="1:18" ht="18" customHeight="1">
      <c r="A1818" s="10" t="s">
        <v>151</v>
      </c>
      <c r="B1818" s="10" t="s">
        <v>152</v>
      </c>
      <c r="C1818" s="10" t="s">
        <v>254</v>
      </c>
      <c r="D1818" s="10" t="s">
        <v>278</v>
      </c>
      <c r="E1818" s="16">
        <v>2</v>
      </c>
      <c r="F1818" s="16">
        <v>2</v>
      </c>
      <c r="G1818" s="13">
        <v>12.7929903027</v>
      </c>
      <c r="H1818" s="13">
        <v>12.7929903027</v>
      </c>
      <c r="I1818" s="14">
        <v>0</v>
      </c>
      <c r="J1818" s="15">
        <v>1</v>
      </c>
      <c r="K1818" s="14">
        <v>413.15321404396377</v>
      </c>
      <c r="L1818" s="13">
        <v>5285.4650607937656</v>
      </c>
      <c r="M1818" s="14">
        <v>3.6154214992922622</v>
      </c>
      <c r="N1818" s="14">
        <v>412.49766954318585</v>
      </c>
      <c r="O1818" s="13">
        <v>5277.0786863523253</v>
      </c>
      <c r="P1818" s="13">
        <v>8.386374441440239</v>
      </c>
      <c r="Q1818" s="14">
        <v>1.0015892077681405</v>
      </c>
      <c r="R1818" s="15">
        <v>1.589207768140587E-3</v>
      </c>
    </row>
    <row r="1819" spans="1:18" ht="18" customHeight="1">
      <c r="A1819" s="10" t="s">
        <v>151</v>
      </c>
      <c r="B1819" s="10" t="s">
        <v>152</v>
      </c>
      <c r="C1819" s="10" t="s">
        <v>254</v>
      </c>
      <c r="D1819" s="10" t="s">
        <v>273</v>
      </c>
      <c r="E1819" s="16">
        <v>15</v>
      </c>
      <c r="F1819" s="16">
        <v>15</v>
      </c>
      <c r="G1819" s="13">
        <v>128.66621067509999</v>
      </c>
      <c r="H1819" s="13">
        <v>128.66621067509999</v>
      </c>
      <c r="I1819" s="14">
        <v>0</v>
      </c>
      <c r="J1819" s="15">
        <v>1</v>
      </c>
      <c r="K1819" s="14">
        <v>456.15506389305745</v>
      </c>
      <c r="L1819" s="13">
        <v>58691.743551377825</v>
      </c>
      <c r="M1819" s="14">
        <v>3.3077571133264843</v>
      </c>
      <c r="N1819" s="14">
        <v>203.12206980336802</v>
      </c>
      <c r="O1819" s="13">
        <v>26134.947026082515</v>
      </c>
      <c r="P1819" s="13">
        <v>32556.796525295311</v>
      </c>
      <c r="Q1819" s="14">
        <v>2.2457188642014017</v>
      </c>
      <c r="R1819" s="15">
        <v>1.2457188642014017</v>
      </c>
    </row>
    <row r="1820" spans="1:18" ht="18" customHeight="1">
      <c r="A1820" s="10" t="s">
        <v>151</v>
      </c>
      <c r="B1820" s="10" t="s">
        <v>152</v>
      </c>
      <c r="C1820" s="10" t="s">
        <v>254</v>
      </c>
      <c r="D1820" s="10" t="s">
        <v>284</v>
      </c>
      <c r="E1820" s="16">
        <v>10</v>
      </c>
      <c r="F1820" s="16">
        <v>10</v>
      </c>
      <c r="G1820" s="13">
        <v>34.646333895799991</v>
      </c>
      <c r="H1820" s="13">
        <v>34.646333895799991</v>
      </c>
      <c r="I1820" s="14">
        <v>0</v>
      </c>
      <c r="J1820" s="15">
        <v>1</v>
      </c>
      <c r="K1820" s="14">
        <v>191.95203452606211</v>
      </c>
      <c r="L1820" s="13">
        <v>6650.4342801680759</v>
      </c>
      <c r="M1820" s="14">
        <v>3.2658891689133309</v>
      </c>
      <c r="N1820" s="14">
        <v>184.45446349939095</v>
      </c>
      <c r="O1820" s="13">
        <v>6390.6709309705511</v>
      </c>
      <c r="P1820" s="13">
        <v>259.7633491975248</v>
      </c>
      <c r="Q1820" s="14">
        <v>1.0406472735027954</v>
      </c>
      <c r="R1820" s="15">
        <v>4.0647273502795511E-2</v>
      </c>
    </row>
    <row r="1821" spans="1:18" ht="18" customHeight="1">
      <c r="A1821" s="10" t="s">
        <v>151</v>
      </c>
      <c r="B1821" s="10" t="s">
        <v>152</v>
      </c>
      <c r="C1821" s="10" t="s">
        <v>254</v>
      </c>
      <c r="D1821" s="10" t="s">
        <v>274</v>
      </c>
      <c r="E1821" s="16">
        <v>3</v>
      </c>
      <c r="F1821" s="16">
        <v>3</v>
      </c>
      <c r="G1821" s="13">
        <v>28.976482422600004</v>
      </c>
      <c r="H1821" s="13">
        <v>28.976482422600004</v>
      </c>
      <c r="I1821" s="14">
        <v>0</v>
      </c>
      <c r="J1821" s="15">
        <v>1</v>
      </c>
      <c r="K1821" s="14">
        <v>422.28535255900903</v>
      </c>
      <c r="L1821" s="13">
        <v>12236.34409574757</v>
      </c>
      <c r="M1821" s="14">
        <v>3.5695898990764063</v>
      </c>
      <c r="N1821" s="14">
        <v>371.18455684568738</v>
      </c>
      <c r="O1821" s="13">
        <v>10755.622786979633</v>
      </c>
      <c r="P1821" s="13">
        <v>1480.7213087679374</v>
      </c>
      <c r="Q1821" s="14">
        <v>1.1376695090646396</v>
      </c>
      <c r="R1821" s="15">
        <v>0.13766950906463965</v>
      </c>
    </row>
    <row r="1822" spans="1:18" ht="18" customHeight="1">
      <c r="A1822" s="10" t="s">
        <v>151</v>
      </c>
      <c r="B1822" s="10" t="s">
        <v>152</v>
      </c>
      <c r="C1822" s="10" t="s">
        <v>254</v>
      </c>
      <c r="D1822" s="10" t="s">
        <v>282</v>
      </c>
      <c r="E1822" s="16">
        <v>2</v>
      </c>
      <c r="F1822" s="16">
        <v>2</v>
      </c>
      <c r="G1822" s="13">
        <v>76.957075377799995</v>
      </c>
      <c r="H1822" s="13">
        <v>76.957075377799995</v>
      </c>
      <c r="I1822" s="14">
        <v>0</v>
      </c>
      <c r="J1822" s="15">
        <v>1</v>
      </c>
      <c r="K1822" s="14">
        <v>368.82635398667207</v>
      </c>
      <c r="L1822" s="13">
        <v>28383.797525071466</v>
      </c>
      <c r="M1822" s="14">
        <v>3.5583925860419496</v>
      </c>
      <c r="N1822" s="14">
        <v>361.73671140669632</v>
      </c>
      <c r="O1822" s="13">
        <v>27838.199366642613</v>
      </c>
      <c r="P1822" s="13">
        <v>545.59815842885291</v>
      </c>
      <c r="Q1822" s="14">
        <v>1.0195989026173373</v>
      </c>
      <c r="R1822" s="15">
        <v>1.9598902617337422E-2</v>
      </c>
    </row>
    <row r="1823" spans="1:18" ht="18" customHeight="1">
      <c r="A1823" s="10" t="s">
        <v>151</v>
      </c>
      <c r="B1823" s="10" t="s">
        <v>152</v>
      </c>
      <c r="C1823" s="10" t="s">
        <v>254</v>
      </c>
      <c r="D1823" s="10" t="s">
        <v>275</v>
      </c>
      <c r="E1823" s="16">
        <v>2</v>
      </c>
      <c r="F1823" s="16">
        <v>2</v>
      </c>
      <c r="G1823" s="13">
        <v>0.56893915560000008</v>
      </c>
      <c r="H1823" s="13">
        <v>0.56893915560000008</v>
      </c>
      <c r="I1823" s="14">
        <v>0</v>
      </c>
      <c r="J1823" s="15">
        <v>1</v>
      </c>
      <c r="K1823" s="14">
        <v>2341.3948752015276</v>
      </c>
      <c r="L1823" s="13">
        <v>1332.1112232233247</v>
      </c>
      <c r="M1823" s="14">
        <v>4.3693791045904939</v>
      </c>
      <c r="N1823" s="14">
        <v>2340.8797491603705</v>
      </c>
      <c r="O1823" s="13">
        <v>1331.8181478484412</v>
      </c>
      <c r="P1823" s="13">
        <v>0.29307537488352864</v>
      </c>
      <c r="Q1823" s="14">
        <v>1.0002200566010886</v>
      </c>
      <c r="R1823" s="15">
        <v>2.2005660108851449E-4</v>
      </c>
    </row>
    <row r="1824" spans="1:18" ht="18" customHeight="1">
      <c r="A1824" s="10" t="s">
        <v>157</v>
      </c>
      <c r="B1824" s="10" t="s">
        <v>158</v>
      </c>
      <c r="C1824" s="10" t="s">
        <v>254</v>
      </c>
      <c r="D1824" s="10" t="s">
        <v>255</v>
      </c>
      <c r="E1824" s="16">
        <v>4</v>
      </c>
      <c r="F1824" s="16">
        <v>4</v>
      </c>
      <c r="G1824" s="13">
        <v>423.32760087549997</v>
      </c>
      <c r="H1824" s="13">
        <v>423.32760087549997</v>
      </c>
      <c r="I1824" s="14">
        <v>0</v>
      </c>
      <c r="J1824" s="15">
        <v>1</v>
      </c>
      <c r="K1824" s="14">
        <v>1008.6224037774041</v>
      </c>
      <c r="L1824" s="13">
        <v>426977.70238036831</v>
      </c>
      <c r="M1824" s="14">
        <v>3.9802955692207984</v>
      </c>
      <c r="N1824" s="14">
        <v>955.64274967667041</v>
      </c>
      <c r="O1824" s="13">
        <v>404549.95251469087</v>
      </c>
      <c r="P1824" s="13">
        <v>22427.749865677441</v>
      </c>
      <c r="Q1824" s="14">
        <v>1.0554387652903334</v>
      </c>
      <c r="R1824" s="15">
        <v>5.5438765290333328E-2</v>
      </c>
    </row>
    <row r="1825" spans="1:18" ht="18" customHeight="1">
      <c r="A1825" s="10" t="s">
        <v>157</v>
      </c>
      <c r="B1825" s="10" t="s">
        <v>158</v>
      </c>
      <c r="C1825" s="10" t="s">
        <v>254</v>
      </c>
      <c r="D1825" s="10" t="s">
        <v>277</v>
      </c>
      <c r="E1825" s="16">
        <v>1</v>
      </c>
      <c r="F1825" s="16">
        <v>1</v>
      </c>
      <c r="G1825" s="13">
        <v>0.8867556178999999</v>
      </c>
      <c r="H1825" s="13">
        <v>0.8867556178999999</v>
      </c>
      <c r="I1825" s="14">
        <v>0</v>
      </c>
      <c r="J1825" s="15">
        <v>1</v>
      </c>
      <c r="K1825" s="14">
        <v>288.40315031266056</v>
      </c>
      <c r="L1825" s="13">
        <v>255.74311375980986</v>
      </c>
      <c r="M1825" s="14">
        <v>3.46</v>
      </c>
      <c r="N1825" s="14">
        <v>288.40315031266056</v>
      </c>
      <c r="O1825" s="13">
        <v>255.74311375980986</v>
      </c>
      <c r="P1825" s="13">
        <v>0</v>
      </c>
      <c r="Q1825" s="14">
        <v>1</v>
      </c>
      <c r="R1825" s="15">
        <v>0</v>
      </c>
    </row>
    <row r="1826" spans="1:18" ht="18" customHeight="1">
      <c r="A1826" s="10" t="s">
        <v>157</v>
      </c>
      <c r="B1826" s="10" t="s">
        <v>158</v>
      </c>
      <c r="C1826" s="10" t="s">
        <v>254</v>
      </c>
      <c r="D1826" s="10" t="s">
        <v>256</v>
      </c>
      <c r="E1826" s="16">
        <v>4</v>
      </c>
      <c r="F1826" s="16">
        <v>4</v>
      </c>
      <c r="G1826" s="13">
        <v>687.62008152340013</v>
      </c>
      <c r="H1826" s="13">
        <v>687.62008152340013</v>
      </c>
      <c r="I1826" s="14">
        <v>0</v>
      </c>
      <c r="J1826" s="15">
        <v>1</v>
      </c>
      <c r="K1826" s="14">
        <v>1466.5847392078958</v>
      </c>
      <c r="L1826" s="13">
        <v>1008453.1179351079</v>
      </c>
      <c r="M1826" s="14">
        <v>4.1464163472084898</v>
      </c>
      <c r="N1826" s="14">
        <v>1400.9297151314249</v>
      </c>
      <c r="O1826" s="13">
        <v>963307.40492722415</v>
      </c>
      <c r="P1826" s="13">
        <v>45145.713007883751</v>
      </c>
      <c r="Q1826" s="14">
        <v>1.0468653233401588</v>
      </c>
      <c r="R1826" s="15">
        <v>4.6865323340158915E-2</v>
      </c>
    </row>
    <row r="1827" spans="1:18" ht="18" customHeight="1">
      <c r="A1827" s="10" t="s">
        <v>157</v>
      </c>
      <c r="B1827" s="10" t="s">
        <v>158</v>
      </c>
      <c r="C1827" s="10" t="s">
        <v>254</v>
      </c>
      <c r="D1827" s="10" t="s">
        <v>257</v>
      </c>
      <c r="E1827" s="16">
        <v>2</v>
      </c>
      <c r="F1827" s="16">
        <v>2</v>
      </c>
      <c r="G1827" s="13">
        <v>34.163101322599999</v>
      </c>
      <c r="H1827" s="13">
        <v>34.163101322599999</v>
      </c>
      <c r="I1827" s="14">
        <v>0</v>
      </c>
      <c r="J1827" s="15">
        <v>1</v>
      </c>
      <c r="K1827" s="14">
        <v>1575.0128624137301</v>
      </c>
      <c r="L1827" s="13">
        <v>53807.324003038513</v>
      </c>
      <c r="M1827" s="14">
        <v>4.1893506832637186</v>
      </c>
      <c r="N1827" s="14">
        <v>1546.5027024929993</v>
      </c>
      <c r="O1827" s="13">
        <v>52833.328520943061</v>
      </c>
      <c r="P1827" s="13">
        <v>973.99548209545173</v>
      </c>
      <c r="Q1827" s="14">
        <v>1.0184352473970926</v>
      </c>
      <c r="R1827" s="15">
        <v>1.8435247397092562E-2</v>
      </c>
    </row>
    <row r="1828" spans="1:18" ht="18" customHeight="1">
      <c r="A1828" s="10" t="s">
        <v>157</v>
      </c>
      <c r="B1828" s="10" t="s">
        <v>158</v>
      </c>
      <c r="C1828" s="10" t="s">
        <v>254</v>
      </c>
      <c r="D1828" s="10" t="s">
        <v>258</v>
      </c>
      <c r="E1828" s="16">
        <v>14</v>
      </c>
      <c r="F1828" s="16">
        <v>14</v>
      </c>
      <c r="G1828" s="13">
        <v>1236.6728730927998</v>
      </c>
      <c r="H1828" s="13">
        <v>1236.6728730927998</v>
      </c>
      <c r="I1828" s="14">
        <v>0</v>
      </c>
      <c r="J1828" s="15">
        <v>1</v>
      </c>
      <c r="K1828" s="14">
        <v>481.23189165777842</v>
      </c>
      <c r="L1828" s="13">
        <v>595126.42608030781</v>
      </c>
      <c r="M1828" s="14">
        <v>3.1841746243905664</v>
      </c>
      <c r="N1828" s="14">
        <v>152.81803969846084</v>
      </c>
      <c r="O1828" s="13">
        <v>188985.92421430509</v>
      </c>
      <c r="P1828" s="13">
        <v>406140.50186600268</v>
      </c>
      <c r="Q1828" s="14">
        <v>3.1490515950037103</v>
      </c>
      <c r="R1828" s="15">
        <v>2.1490515950037103</v>
      </c>
    </row>
    <row r="1829" spans="1:18" ht="18" customHeight="1">
      <c r="A1829" s="10" t="s">
        <v>157</v>
      </c>
      <c r="B1829" s="10" t="s">
        <v>158</v>
      </c>
      <c r="C1829" s="10" t="s">
        <v>254</v>
      </c>
      <c r="D1829" s="10" t="s">
        <v>259</v>
      </c>
      <c r="E1829" s="16">
        <v>5</v>
      </c>
      <c r="F1829" s="16">
        <v>5</v>
      </c>
      <c r="G1829" s="13">
        <v>1000.7775215907001</v>
      </c>
      <c r="H1829" s="13">
        <v>1000.7775215907001</v>
      </c>
      <c r="I1829" s="14">
        <v>0</v>
      </c>
      <c r="J1829" s="15">
        <v>1</v>
      </c>
      <c r="K1829" s="14">
        <v>2280.3183940269364</v>
      </c>
      <c r="L1829" s="13">
        <v>2282091.390811963</v>
      </c>
      <c r="M1829" s="14">
        <v>4.1902200030566075</v>
      </c>
      <c r="N1829" s="14">
        <v>1549.6014106275197</v>
      </c>
      <c r="O1829" s="13">
        <v>1550806.259181262</v>
      </c>
      <c r="P1829" s="13">
        <v>731285.13163070101</v>
      </c>
      <c r="Q1829" s="14">
        <v>1.4715515734484965</v>
      </c>
      <c r="R1829" s="15">
        <v>0.47155157344849652</v>
      </c>
    </row>
    <row r="1830" spans="1:18" ht="18" customHeight="1">
      <c r="A1830" s="10" t="s">
        <v>157</v>
      </c>
      <c r="B1830" s="10" t="s">
        <v>158</v>
      </c>
      <c r="C1830" s="10" t="s">
        <v>254</v>
      </c>
      <c r="D1830" s="10" t="s">
        <v>261</v>
      </c>
      <c r="E1830" s="16">
        <v>24</v>
      </c>
      <c r="F1830" s="16">
        <v>24</v>
      </c>
      <c r="G1830" s="13">
        <v>5166.4686423179</v>
      </c>
      <c r="H1830" s="13">
        <v>5166.4686423179</v>
      </c>
      <c r="I1830" s="14">
        <v>0</v>
      </c>
      <c r="J1830" s="15">
        <v>1</v>
      </c>
      <c r="K1830" s="14">
        <v>967.0166038208713</v>
      </c>
      <c r="L1830" s="13">
        <v>4996060.9602412833</v>
      </c>
      <c r="M1830" s="14">
        <v>3.9594057900828727</v>
      </c>
      <c r="N1830" s="14">
        <v>910.76386215438959</v>
      </c>
      <c r="O1830" s="13">
        <v>4705432.934376996</v>
      </c>
      <c r="P1830" s="13">
        <v>290628.02586428728</v>
      </c>
      <c r="Q1830" s="14">
        <v>1.0617643540812185</v>
      </c>
      <c r="R1830" s="15">
        <v>6.1764354081218401E-2</v>
      </c>
    </row>
    <row r="1831" spans="1:18" ht="18" customHeight="1">
      <c r="A1831" s="10" t="s">
        <v>157</v>
      </c>
      <c r="B1831" s="10" t="s">
        <v>158</v>
      </c>
      <c r="C1831" s="10" t="s">
        <v>254</v>
      </c>
      <c r="D1831" s="10" t="s">
        <v>262</v>
      </c>
      <c r="E1831" s="16">
        <v>6</v>
      </c>
      <c r="F1831" s="16">
        <v>6</v>
      </c>
      <c r="G1831" s="13">
        <v>400.69654104059998</v>
      </c>
      <c r="H1831" s="13">
        <v>400.69654104059998</v>
      </c>
      <c r="I1831" s="14">
        <v>0</v>
      </c>
      <c r="J1831" s="15">
        <v>1</v>
      </c>
      <c r="K1831" s="14">
        <v>561.55405445932013</v>
      </c>
      <c r="L1831" s="13">
        <v>225012.76722917426</v>
      </c>
      <c r="M1831" s="14">
        <v>3.7255770409450597</v>
      </c>
      <c r="N1831" s="14">
        <v>531.59029171591351</v>
      </c>
      <c r="O1831" s="13">
        <v>213006.39114133007</v>
      </c>
      <c r="P1831" s="13">
        <v>12006.376087844197</v>
      </c>
      <c r="Q1831" s="14">
        <v>1.0563662715635511</v>
      </c>
      <c r="R1831" s="15">
        <v>5.6366271563551104E-2</v>
      </c>
    </row>
    <row r="1832" spans="1:18" ht="18" customHeight="1">
      <c r="A1832" s="10" t="s">
        <v>157</v>
      </c>
      <c r="B1832" s="10" t="s">
        <v>158</v>
      </c>
      <c r="C1832" s="10" t="s">
        <v>254</v>
      </c>
      <c r="D1832" s="10" t="s">
        <v>263</v>
      </c>
      <c r="E1832" s="16">
        <v>3</v>
      </c>
      <c r="F1832" s="16">
        <v>3</v>
      </c>
      <c r="G1832" s="13">
        <v>3.5030766486</v>
      </c>
      <c r="H1832" s="13">
        <v>3.5030766486</v>
      </c>
      <c r="I1832" s="14">
        <v>0</v>
      </c>
      <c r="J1832" s="15">
        <v>1</v>
      </c>
      <c r="K1832" s="14">
        <v>836.85236080616778</v>
      </c>
      <c r="L1832" s="13">
        <v>2931.5579634658684</v>
      </c>
      <c r="M1832" s="14">
        <v>3.9216619394132657</v>
      </c>
      <c r="N1832" s="14">
        <v>834.95282684708832</v>
      </c>
      <c r="O1832" s="13">
        <v>2924.9037504105941</v>
      </c>
      <c r="P1832" s="13">
        <v>6.6542130552743401</v>
      </c>
      <c r="Q1832" s="14">
        <v>1.0022750194957151</v>
      </c>
      <c r="R1832" s="15">
        <v>2.2750194957151088E-3</v>
      </c>
    </row>
    <row r="1833" spans="1:18" ht="18" customHeight="1">
      <c r="A1833" s="10" t="s">
        <v>157</v>
      </c>
      <c r="B1833" s="10" t="s">
        <v>158</v>
      </c>
      <c r="C1833" s="10" t="s">
        <v>254</v>
      </c>
      <c r="D1833" s="10" t="s">
        <v>264</v>
      </c>
      <c r="E1833" s="16">
        <v>41</v>
      </c>
      <c r="F1833" s="16">
        <v>41</v>
      </c>
      <c r="G1833" s="13">
        <v>2039.8509761207997</v>
      </c>
      <c r="H1833" s="13">
        <v>2039.8509761207997</v>
      </c>
      <c r="I1833" s="14">
        <v>0</v>
      </c>
      <c r="J1833" s="15">
        <v>1</v>
      </c>
      <c r="K1833" s="14">
        <v>1328.737410542489</v>
      </c>
      <c r="L1833" s="13">
        <v>2710426.3039033199</v>
      </c>
      <c r="M1833" s="14">
        <v>4.095873950339084</v>
      </c>
      <c r="N1833" s="14">
        <v>1247.0215260984735</v>
      </c>
      <c r="O1833" s="13">
        <v>2543738.0772556206</v>
      </c>
      <c r="P1833" s="13">
        <v>166688.22664769925</v>
      </c>
      <c r="Q1833" s="14">
        <v>1.0655288483268432</v>
      </c>
      <c r="R1833" s="15">
        <v>6.5528848326843178E-2</v>
      </c>
    </row>
    <row r="1834" spans="1:18" ht="18" customHeight="1">
      <c r="A1834" s="10" t="s">
        <v>157</v>
      </c>
      <c r="B1834" s="10" t="s">
        <v>158</v>
      </c>
      <c r="C1834" s="10" t="s">
        <v>254</v>
      </c>
      <c r="D1834" s="10" t="s">
        <v>265</v>
      </c>
      <c r="E1834" s="16">
        <v>15</v>
      </c>
      <c r="F1834" s="16">
        <v>15</v>
      </c>
      <c r="G1834" s="13">
        <v>2767.5403530471995</v>
      </c>
      <c r="H1834" s="13">
        <v>2767.5403530471995</v>
      </c>
      <c r="I1834" s="14">
        <v>0</v>
      </c>
      <c r="J1834" s="15">
        <v>1</v>
      </c>
      <c r="K1834" s="14">
        <v>68.501172719834429</v>
      </c>
      <c r="L1834" s="13">
        <v>189579.75973319774</v>
      </c>
      <c r="M1834" s="14">
        <v>2.6836858255569234</v>
      </c>
      <c r="N1834" s="14">
        <v>48.270947720295901</v>
      </c>
      <c r="O1834" s="13">
        <v>133591.79569575062</v>
      </c>
      <c r="P1834" s="13">
        <v>55987.96403744712</v>
      </c>
      <c r="Q1834" s="14">
        <v>1.4190973236482067</v>
      </c>
      <c r="R1834" s="15">
        <v>0.41909732364820679</v>
      </c>
    </row>
    <row r="1835" spans="1:18" ht="18" customHeight="1">
      <c r="A1835" s="10" t="s">
        <v>157</v>
      </c>
      <c r="B1835" s="10" t="s">
        <v>158</v>
      </c>
      <c r="C1835" s="10" t="s">
        <v>254</v>
      </c>
      <c r="D1835" s="10" t="s">
        <v>266</v>
      </c>
      <c r="E1835" s="16">
        <v>8</v>
      </c>
      <c r="F1835" s="16">
        <v>8</v>
      </c>
      <c r="G1835" s="13">
        <v>350.60251743059996</v>
      </c>
      <c r="H1835" s="13">
        <v>350.60251743059996</v>
      </c>
      <c r="I1835" s="14">
        <v>0</v>
      </c>
      <c r="J1835" s="15">
        <v>1</v>
      </c>
      <c r="K1835" s="14">
        <v>1057.4423803718184</v>
      </c>
      <c r="L1835" s="13">
        <v>370741.96059616562</v>
      </c>
      <c r="M1835" s="14">
        <v>3.8857224872408382</v>
      </c>
      <c r="N1835" s="14">
        <v>768.63912543182892</v>
      </c>
      <c r="O1835" s="13">
        <v>269486.81237205392</v>
      </c>
      <c r="P1835" s="13">
        <v>101255.1482241117</v>
      </c>
      <c r="Q1835" s="14">
        <v>1.3757332217218803</v>
      </c>
      <c r="R1835" s="15">
        <v>0.37573322172188034</v>
      </c>
    </row>
    <row r="1836" spans="1:18" ht="18" customHeight="1">
      <c r="A1836" s="10" t="s">
        <v>157</v>
      </c>
      <c r="B1836" s="10" t="s">
        <v>158</v>
      </c>
      <c r="C1836" s="10" t="s">
        <v>254</v>
      </c>
      <c r="D1836" s="10" t="s">
        <v>267</v>
      </c>
      <c r="E1836" s="16">
        <v>10</v>
      </c>
      <c r="F1836" s="16">
        <v>10</v>
      </c>
      <c r="G1836" s="13">
        <v>422.18943037639997</v>
      </c>
      <c r="H1836" s="13">
        <v>422.18943037639997</v>
      </c>
      <c r="I1836" s="14">
        <v>0</v>
      </c>
      <c r="J1836" s="15">
        <v>1</v>
      </c>
      <c r="K1836" s="14">
        <v>1279.8873628586616</v>
      </c>
      <c r="L1836" s="13">
        <v>540354.91667125106</v>
      </c>
      <c r="M1836" s="14">
        <v>4.0496925268639998</v>
      </c>
      <c r="N1836" s="14">
        <v>1121.2243653778494</v>
      </c>
      <c r="O1836" s="13">
        <v>473369.07614301477</v>
      </c>
      <c r="P1836" s="13">
        <v>66985.840528236295</v>
      </c>
      <c r="Q1836" s="14">
        <v>1.1415086956546323</v>
      </c>
      <c r="R1836" s="15">
        <v>0.1415086956546322</v>
      </c>
    </row>
    <row r="1837" spans="1:18" ht="18" customHeight="1">
      <c r="A1837" s="10" t="s">
        <v>157</v>
      </c>
      <c r="B1837" s="10" t="s">
        <v>158</v>
      </c>
      <c r="C1837" s="10" t="s">
        <v>254</v>
      </c>
      <c r="D1837" s="10" t="s">
        <v>268</v>
      </c>
      <c r="E1837" s="16">
        <v>15</v>
      </c>
      <c r="F1837" s="16">
        <v>15</v>
      </c>
      <c r="G1837" s="13">
        <v>5396.2937264677985</v>
      </c>
      <c r="H1837" s="13">
        <v>5396.2937264677985</v>
      </c>
      <c r="I1837" s="14">
        <v>0</v>
      </c>
      <c r="J1837" s="15">
        <v>1</v>
      </c>
      <c r="K1837" s="14">
        <v>656.44530022126025</v>
      </c>
      <c r="L1837" s="13">
        <v>3542371.6553532574</v>
      </c>
      <c r="M1837" s="14">
        <v>3.7392578248315163</v>
      </c>
      <c r="N1837" s="14">
        <v>548.60255364065688</v>
      </c>
      <c r="O1837" s="13">
        <v>2960420.5185352908</v>
      </c>
      <c r="P1837" s="13">
        <v>581951.13681796659</v>
      </c>
      <c r="Q1837" s="14">
        <v>1.1965771866443808</v>
      </c>
      <c r="R1837" s="15">
        <v>0.19657718664438084</v>
      </c>
    </row>
    <row r="1838" spans="1:18" ht="18" customHeight="1">
      <c r="A1838" s="10" t="s">
        <v>157</v>
      </c>
      <c r="B1838" s="10" t="s">
        <v>158</v>
      </c>
      <c r="C1838" s="10" t="s">
        <v>254</v>
      </c>
      <c r="D1838" s="10" t="s">
        <v>269</v>
      </c>
      <c r="E1838" s="16">
        <v>17</v>
      </c>
      <c r="F1838" s="16">
        <v>17</v>
      </c>
      <c r="G1838" s="13">
        <v>5539.8491279311002</v>
      </c>
      <c r="H1838" s="13">
        <v>5539.8491279311002</v>
      </c>
      <c r="I1838" s="14">
        <v>0</v>
      </c>
      <c r="J1838" s="15">
        <v>1</v>
      </c>
      <c r="K1838" s="14">
        <v>259.30215798486086</v>
      </c>
      <c r="L1838" s="13">
        <v>1436494.8337830838</v>
      </c>
      <c r="M1838" s="14">
        <v>3.3762873695553104</v>
      </c>
      <c r="N1838" s="14">
        <v>237.84135453078127</v>
      </c>
      <c r="O1838" s="13">
        <v>1317605.2204833003</v>
      </c>
      <c r="P1838" s="13">
        <v>118889.61329978355</v>
      </c>
      <c r="Q1838" s="14">
        <v>1.0902315894408605</v>
      </c>
      <c r="R1838" s="15">
        <v>9.0231589440860446E-2</v>
      </c>
    </row>
    <row r="1839" spans="1:18" ht="18" customHeight="1">
      <c r="A1839" s="10" t="s">
        <v>157</v>
      </c>
      <c r="B1839" s="10" t="s">
        <v>158</v>
      </c>
      <c r="C1839" s="10" t="s">
        <v>254</v>
      </c>
      <c r="D1839" s="10" t="s">
        <v>270</v>
      </c>
      <c r="E1839" s="16">
        <v>22</v>
      </c>
      <c r="F1839" s="16">
        <v>22</v>
      </c>
      <c r="G1839" s="13">
        <v>4804.6659142532999</v>
      </c>
      <c r="H1839" s="13">
        <v>4804.6659142532999</v>
      </c>
      <c r="I1839" s="14">
        <v>0</v>
      </c>
      <c r="J1839" s="15">
        <v>1</v>
      </c>
      <c r="K1839" s="14">
        <v>713.98670154902084</v>
      </c>
      <c r="L1839" s="13">
        <v>3430467.5681627239</v>
      </c>
      <c r="M1839" s="14">
        <v>3.4646523575534545</v>
      </c>
      <c r="N1839" s="14">
        <v>291.50926172147217</v>
      </c>
      <c r="O1839" s="13">
        <v>1400604.6134823016</v>
      </c>
      <c r="P1839" s="13">
        <v>2029862.9546804223</v>
      </c>
      <c r="Q1839" s="14">
        <v>2.449276216243216</v>
      </c>
      <c r="R1839" s="15">
        <v>1.4492762162432162</v>
      </c>
    </row>
    <row r="1840" spans="1:18" ht="18" customHeight="1">
      <c r="A1840" s="10" t="s">
        <v>157</v>
      </c>
      <c r="B1840" s="10" t="s">
        <v>158</v>
      </c>
      <c r="C1840" s="10" t="s">
        <v>254</v>
      </c>
      <c r="D1840" s="10" t="s">
        <v>276</v>
      </c>
      <c r="E1840" s="16">
        <v>11</v>
      </c>
      <c r="F1840" s="16">
        <v>11</v>
      </c>
      <c r="G1840" s="13">
        <v>454.33170608010005</v>
      </c>
      <c r="H1840" s="13">
        <v>454.33170608010005</v>
      </c>
      <c r="I1840" s="14">
        <v>0</v>
      </c>
      <c r="J1840" s="15">
        <v>1</v>
      </c>
      <c r="K1840" s="14">
        <v>243.89091287517385</v>
      </c>
      <c r="L1840" s="13">
        <v>110807.37454401077</v>
      </c>
      <c r="M1840" s="14">
        <v>2.9601401071007039</v>
      </c>
      <c r="N1840" s="14">
        <v>91.230510928883106</v>
      </c>
      <c r="O1840" s="13">
        <v>41448.913676878678</v>
      </c>
      <c r="P1840" s="13">
        <v>69358.460867132089</v>
      </c>
      <c r="Q1840" s="14">
        <v>2.6733480980424855</v>
      </c>
      <c r="R1840" s="15">
        <v>1.6733480980424853</v>
      </c>
    </row>
    <row r="1841" spans="1:18" ht="18" customHeight="1">
      <c r="A1841" s="10" t="s">
        <v>157</v>
      </c>
      <c r="B1841" s="10" t="s">
        <v>158</v>
      </c>
      <c r="C1841" s="10" t="s">
        <v>254</v>
      </c>
      <c r="D1841" s="10" t="s">
        <v>271</v>
      </c>
      <c r="E1841" s="16">
        <v>16</v>
      </c>
      <c r="F1841" s="16">
        <v>16</v>
      </c>
      <c r="G1841" s="13">
        <v>1328.2803925241999</v>
      </c>
      <c r="H1841" s="13">
        <v>1328.2803925241999</v>
      </c>
      <c r="I1841" s="14">
        <v>0</v>
      </c>
      <c r="J1841" s="15">
        <v>1</v>
      </c>
      <c r="K1841" s="14">
        <v>10.410117257791907</v>
      </c>
      <c r="L1841" s="13">
        <v>13827.55463740278</v>
      </c>
      <c r="M1841" s="14">
        <v>2.0079974960636355</v>
      </c>
      <c r="N1841" s="14">
        <v>10.185855153553586</v>
      </c>
      <c r="O1841" s="13">
        <v>13529.671681556802</v>
      </c>
      <c r="P1841" s="13">
        <v>297.88295584597836</v>
      </c>
      <c r="Q1841" s="14">
        <v>1.0220170128926367</v>
      </c>
      <c r="R1841" s="15">
        <v>2.2017012892636745E-2</v>
      </c>
    </row>
    <row r="1842" spans="1:18" ht="18" customHeight="1">
      <c r="A1842" s="10" t="s">
        <v>157</v>
      </c>
      <c r="B1842" s="10" t="s">
        <v>158</v>
      </c>
      <c r="C1842" s="10" t="s">
        <v>254</v>
      </c>
      <c r="D1842" s="10" t="s">
        <v>272</v>
      </c>
      <c r="E1842" s="16">
        <v>3</v>
      </c>
      <c r="F1842" s="16">
        <v>3</v>
      </c>
      <c r="G1842" s="13">
        <v>378.75860584590004</v>
      </c>
      <c r="H1842" s="13">
        <v>378.75860584590004</v>
      </c>
      <c r="I1842" s="14">
        <v>0</v>
      </c>
      <c r="J1842" s="15">
        <v>1</v>
      </c>
      <c r="K1842" s="14">
        <v>317.95230864898258</v>
      </c>
      <c r="L1842" s="13">
        <v>120427.17314937394</v>
      </c>
      <c r="M1842" s="14">
        <v>3.4691972860412927</v>
      </c>
      <c r="N1842" s="14">
        <v>294.57594938748321</v>
      </c>
      <c r="O1842" s="13">
        <v>111573.17590573555</v>
      </c>
      <c r="P1842" s="13">
        <v>8853.9972436383832</v>
      </c>
      <c r="Q1842" s="14">
        <v>1.0793559668062047</v>
      </c>
      <c r="R1842" s="15">
        <v>7.9355966806204659E-2</v>
      </c>
    </row>
    <row r="1843" spans="1:18" ht="18" customHeight="1">
      <c r="A1843" s="10" t="s">
        <v>157</v>
      </c>
      <c r="B1843" s="10" t="s">
        <v>158</v>
      </c>
      <c r="C1843" s="10" t="s">
        <v>254</v>
      </c>
      <c r="D1843" s="10" t="s">
        <v>283</v>
      </c>
      <c r="E1843" s="16">
        <v>3</v>
      </c>
      <c r="F1843" s="16">
        <v>3</v>
      </c>
      <c r="G1843" s="13">
        <v>15.163032919899997</v>
      </c>
      <c r="H1843" s="13">
        <v>15.163032919899997</v>
      </c>
      <c r="I1843" s="14">
        <v>0</v>
      </c>
      <c r="J1843" s="15">
        <v>1</v>
      </c>
      <c r="K1843" s="14">
        <v>153.43941985733423</v>
      </c>
      <c r="L1843" s="13">
        <v>2326.6069745071163</v>
      </c>
      <c r="M1843" s="14">
        <v>3.1825260000954518</v>
      </c>
      <c r="N1843" s="14">
        <v>152.23902717486493</v>
      </c>
      <c r="O1843" s="13">
        <v>2308.4053807460273</v>
      </c>
      <c r="P1843" s="13">
        <v>18.201593761089043</v>
      </c>
      <c r="Q1843" s="14">
        <v>1.0078849208691443</v>
      </c>
      <c r="R1843" s="15">
        <v>7.88492086914417E-3</v>
      </c>
    </row>
    <row r="1844" spans="1:18" ht="18" customHeight="1">
      <c r="A1844" s="10" t="s">
        <v>157</v>
      </c>
      <c r="B1844" s="10" t="s">
        <v>158</v>
      </c>
      <c r="C1844" s="10" t="s">
        <v>254</v>
      </c>
      <c r="D1844" s="10" t="s">
        <v>278</v>
      </c>
      <c r="E1844" s="16">
        <v>1</v>
      </c>
      <c r="F1844" s="16">
        <v>1</v>
      </c>
      <c r="G1844" s="13">
        <v>9.0018830511000001</v>
      </c>
      <c r="H1844" s="13">
        <v>9.0018830511000001</v>
      </c>
      <c r="I1844" s="14">
        <v>0</v>
      </c>
      <c r="J1844" s="15">
        <v>1</v>
      </c>
      <c r="K1844" s="14">
        <v>295.12092266663871</v>
      </c>
      <c r="L1844" s="13">
        <v>2656.6440317778088</v>
      </c>
      <c r="M1844" s="14">
        <v>3.47</v>
      </c>
      <c r="N1844" s="14">
        <v>295.12092266663871</v>
      </c>
      <c r="O1844" s="13">
        <v>2656.6440317778088</v>
      </c>
      <c r="P1844" s="13">
        <v>0</v>
      </c>
      <c r="Q1844" s="14">
        <v>1</v>
      </c>
      <c r="R1844" s="15">
        <v>0</v>
      </c>
    </row>
    <row r="1845" spans="1:18" ht="18" customHeight="1">
      <c r="A1845" s="10" t="s">
        <v>157</v>
      </c>
      <c r="B1845" s="10" t="s">
        <v>158</v>
      </c>
      <c r="C1845" s="10" t="s">
        <v>254</v>
      </c>
      <c r="D1845" s="10" t="s">
        <v>273</v>
      </c>
      <c r="E1845" s="16">
        <v>10</v>
      </c>
      <c r="F1845" s="16">
        <v>10</v>
      </c>
      <c r="G1845" s="13">
        <v>33.324033166300005</v>
      </c>
      <c r="H1845" s="13">
        <v>33.324033166300005</v>
      </c>
      <c r="I1845" s="14">
        <v>0</v>
      </c>
      <c r="J1845" s="15">
        <v>1</v>
      </c>
      <c r="K1845" s="14">
        <v>199.24229758919248</v>
      </c>
      <c r="L1845" s="13">
        <v>6639.5569329920654</v>
      </c>
      <c r="M1845" s="14">
        <v>3.2069715982260791</v>
      </c>
      <c r="N1845" s="14">
        <v>161.05403064224953</v>
      </c>
      <c r="O1845" s="13">
        <v>5366.9698586886207</v>
      </c>
      <c r="P1845" s="13">
        <v>1272.5870743034448</v>
      </c>
      <c r="Q1845" s="14">
        <v>1.2371146303799798</v>
      </c>
      <c r="R1845" s="15">
        <v>0.23711463037997982</v>
      </c>
    </row>
    <row r="1846" spans="1:18" ht="18" customHeight="1">
      <c r="A1846" s="10" t="s">
        <v>157</v>
      </c>
      <c r="B1846" s="10" t="s">
        <v>158</v>
      </c>
      <c r="C1846" s="10" t="s">
        <v>254</v>
      </c>
      <c r="D1846" s="10" t="s">
        <v>284</v>
      </c>
      <c r="E1846" s="16">
        <v>4</v>
      </c>
      <c r="F1846" s="16">
        <v>4</v>
      </c>
      <c r="G1846" s="13">
        <v>8.8152859646999975</v>
      </c>
      <c r="H1846" s="13">
        <v>8.8152859646999975</v>
      </c>
      <c r="I1846" s="14">
        <v>0</v>
      </c>
      <c r="J1846" s="15">
        <v>1</v>
      </c>
      <c r="K1846" s="14">
        <v>198.0318228052644</v>
      </c>
      <c r="L1846" s="13">
        <v>1745.707148139204</v>
      </c>
      <c r="M1846" s="14">
        <v>3.2932768547058684</v>
      </c>
      <c r="N1846" s="14">
        <v>196.46122817495939</v>
      </c>
      <c r="O1846" s="13">
        <v>1731.8619073384432</v>
      </c>
      <c r="P1846" s="13">
        <v>13.845240800760848</v>
      </c>
      <c r="Q1846" s="14">
        <v>1.0079944253881294</v>
      </c>
      <c r="R1846" s="15">
        <v>7.9944253881295106E-3</v>
      </c>
    </row>
    <row r="1847" spans="1:18" ht="18" customHeight="1">
      <c r="A1847" s="10" t="s">
        <v>157</v>
      </c>
      <c r="B1847" s="10" t="s">
        <v>158</v>
      </c>
      <c r="C1847" s="10" t="s">
        <v>254</v>
      </c>
      <c r="D1847" s="10" t="s">
        <v>274</v>
      </c>
      <c r="E1847" s="16">
        <v>3</v>
      </c>
      <c r="F1847" s="16">
        <v>3</v>
      </c>
      <c r="G1847" s="13">
        <v>6.1966143750999994</v>
      </c>
      <c r="H1847" s="13">
        <v>6.1966143750999994</v>
      </c>
      <c r="I1847" s="14">
        <v>0</v>
      </c>
      <c r="J1847" s="15">
        <v>1</v>
      </c>
      <c r="K1847" s="14">
        <v>371.5245091103497</v>
      </c>
      <c r="L1847" s="13">
        <v>2302.1941138551638</v>
      </c>
      <c r="M1847" s="14">
        <v>3.5699194948867556</v>
      </c>
      <c r="N1847" s="14">
        <v>371.46636404164275</v>
      </c>
      <c r="O1847" s="13">
        <v>2301.8338112865731</v>
      </c>
      <c r="P1847" s="13">
        <v>0.36030256859066867</v>
      </c>
      <c r="Q1847" s="14">
        <v>1.0001565284890785</v>
      </c>
      <c r="R1847" s="15">
        <v>1.5652848907857659E-4</v>
      </c>
    </row>
    <row r="1848" spans="1:18" ht="18" customHeight="1">
      <c r="A1848" s="10" t="s">
        <v>157</v>
      </c>
      <c r="B1848" s="10" t="s">
        <v>158</v>
      </c>
      <c r="C1848" s="10" t="s">
        <v>254</v>
      </c>
      <c r="D1848" s="10" t="s">
        <v>282</v>
      </c>
      <c r="E1848" s="16">
        <v>2</v>
      </c>
      <c r="F1848" s="16">
        <v>2</v>
      </c>
      <c r="G1848" s="13">
        <v>136.033596507</v>
      </c>
      <c r="H1848" s="13">
        <v>136.033596507</v>
      </c>
      <c r="I1848" s="14">
        <v>0</v>
      </c>
      <c r="J1848" s="15">
        <v>1</v>
      </c>
      <c r="K1848" s="14">
        <v>362.1536688508246</v>
      </c>
      <c r="L1848" s="13">
        <v>49265.066061982769</v>
      </c>
      <c r="M1848" s="14">
        <v>3.5512537570404397</v>
      </c>
      <c r="N1848" s="14">
        <v>355.83917366369144</v>
      </c>
      <c r="O1848" s="13">
        <v>48406.082571550905</v>
      </c>
      <c r="P1848" s="13">
        <v>858.98349043186317</v>
      </c>
      <c r="Q1848" s="14">
        <v>1.0177453626651602</v>
      </c>
      <c r="R1848" s="15">
        <v>1.774536266516024E-2</v>
      </c>
    </row>
    <row r="1849" spans="1:18" ht="18" customHeight="1">
      <c r="A1849" s="10" t="s">
        <v>157</v>
      </c>
      <c r="B1849" s="10" t="s">
        <v>158</v>
      </c>
      <c r="C1849" s="10" t="s">
        <v>254</v>
      </c>
      <c r="D1849" s="10" t="s">
        <v>275</v>
      </c>
      <c r="E1849" s="16">
        <v>2</v>
      </c>
      <c r="F1849" s="16">
        <v>2</v>
      </c>
      <c r="G1849" s="13">
        <v>0.74096781459999994</v>
      </c>
      <c r="H1849" s="13">
        <v>0.74096781459999994</v>
      </c>
      <c r="I1849" s="14">
        <v>0</v>
      </c>
      <c r="J1849" s="15">
        <v>1</v>
      </c>
      <c r="K1849" s="14">
        <v>2270.8296117295204</v>
      </c>
      <c r="L1849" s="13">
        <v>1682.6116547321892</v>
      </c>
      <c r="M1849" s="14">
        <v>4.3501944985249841</v>
      </c>
      <c r="N1849" s="14">
        <v>2239.7239730391502</v>
      </c>
      <c r="O1849" s="13">
        <v>1659.5633776100483</v>
      </c>
      <c r="P1849" s="13">
        <v>23.048277122140917</v>
      </c>
      <c r="Q1849" s="14">
        <v>1.0138881572304475</v>
      </c>
      <c r="R1849" s="15">
        <v>1.3888157230447531E-2</v>
      </c>
    </row>
    <row r="1850" spans="1:18" ht="18" customHeight="1">
      <c r="A1850" s="10" t="s">
        <v>159</v>
      </c>
      <c r="B1850" s="10" t="s">
        <v>160</v>
      </c>
      <c r="C1850" s="10" t="s">
        <v>254</v>
      </c>
      <c r="D1850" s="10" t="s">
        <v>255</v>
      </c>
      <c r="E1850" s="16">
        <v>4</v>
      </c>
      <c r="F1850" s="16">
        <v>4</v>
      </c>
      <c r="G1850" s="13">
        <v>558.76735770470009</v>
      </c>
      <c r="H1850" s="13">
        <v>558.76735770470009</v>
      </c>
      <c r="I1850" s="14">
        <v>0</v>
      </c>
      <c r="J1850" s="15">
        <v>1</v>
      </c>
      <c r="K1850" s="14">
        <v>1075.8488542450464</v>
      </c>
      <c r="L1850" s="13">
        <v>601149.22157613351</v>
      </c>
      <c r="M1850" s="14">
        <v>4.0160652643558779</v>
      </c>
      <c r="N1850" s="14">
        <v>1037.6843439145716</v>
      </c>
      <c r="O1850" s="13">
        <v>579824.13898068049</v>
      </c>
      <c r="P1850" s="13">
        <v>21325.082595453016</v>
      </c>
      <c r="Q1850" s="14">
        <v>1.036778535355465</v>
      </c>
      <c r="R1850" s="15">
        <v>3.6778535355465013E-2</v>
      </c>
    </row>
    <row r="1851" spans="1:18" ht="18" customHeight="1">
      <c r="A1851" s="10" t="s">
        <v>159</v>
      </c>
      <c r="B1851" s="10" t="s">
        <v>160</v>
      </c>
      <c r="C1851" s="10" t="s">
        <v>254</v>
      </c>
      <c r="D1851" s="10" t="s">
        <v>256</v>
      </c>
      <c r="E1851" s="16">
        <v>4</v>
      </c>
      <c r="F1851" s="16">
        <v>4</v>
      </c>
      <c r="G1851" s="13">
        <v>756.45237952829996</v>
      </c>
      <c r="H1851" s="13">
        <v>756.45237952829996</v>
      </c>
      <c r="I1851" s="14">
        <v>0</v>
      </c>
      <c r="J1851" s="15">
        <v>1</v>
      </c>
      <c r="K1851" s="14">
        <v>1403.466298708518</v>
      </c>
      <c r="L1851" s="13">
        <v>1061655.4212458343</v>
      </c>
      <c r="M1851" s="14">
        <v>4.1209485031544189</v>
      </c>
      <c r="N1851" s="14">
        <v>1321.1389696970809</v>
      </c>
      <c r="O1851" s="13">
        <v>999378.71731492341</v>
      </c>
      <c r="P1851" s="13">
        <v>62276.70393091091</v>
      </c>
      <c r="Q1851" s="14">
        <v>1.062315419422011</v>
      </c>
      <c r="R1851" s="15">
        <v>6.231541942201109E-2</v>
      </c>
    </row>
    <row r="1852" spans="1:18" ht="18" customHeight="1">
      <c r="A1852" s="10" t="s">
        <v>159</v>
      </c>
      <c r="B1852" s="10" t="s">
        <v>160</v>
      </c>
      <c r="C1852" s="10" t="s">
        <v>254</v>
      </c>
      <c r="D1852" s="10" t="s">
        <v>257</v>
      </c>
      <c r="E1852" s="16">
        <v>1</v>
      </c>
      <c r="F1852" s="16">
        <v>1</v>
      </c>
      <c r="G1852" s="13">
        <v>18.181863541399998</v>
      </c>
      <c r="H1852" s="13">
        <v>18.181863541399998</v>
      </c>
      <c r="I1852" s="14">
        <v>0</v>
      </c>
      <c r="J1852" s="15">
        <v>1</v>
      </c>
      <c r="K1852" s="14">
        <v>1659.5869074375596</v>
      </c>
      <c r="L1852" s="13">
        <v>30174.382686123739</v>
      </c>
      <c r="M1852" s="14">
        <v>4.22</v>
      </c>
      <c r="N1852" s="14">
        <v>1659.5869074375596</v>
      </c>
      <c r="O1852" s="13">
        <v>30174.382686123739</v>
      </c>
      <c r="P1852" s="13">
        <v>0</v>
      </c>
      <c r="Q1852" s="14">
        <v>1</v>
      </c>
      <c r="R1852" s="15">
        <v>0</v>
      </c>
    </row>
    <row r="1853" spans="1:18" ht="18" customHeight="1">
      <c r="A1853" s="10" t="s">
        <v>159</v>
      </c>
      <c r="B1853" s="10" t="s">
        <v>160</v>
      </c>
      <c r="C1853" s="10" t="s">
        <v>254</v>
      </c>
      <c r="D1853" s="10" t="s">
        <v>258</v>
      </c>
      <c r="E1853" s="16">
        <v>14</v>
      </c>
      <c r="F1853" s="16">
        <v>14</v>
      </c>
      <c r="G1853" s="13">
        <v>708.97390812389995</v>
      </c>
      <c r="H1853" s="13">
        <v>708.97390812389995</v>
      </c>
      <c r="I1853" s="14">
        <v>0</v>
      </c>
      <c r="J1853" s="15">
        <v>1</v>
      </c>
      <c r="K1853" s="14">
        <v>726.34230333145604</v>
      </c>
      <c r="L1853" s="13">
        <v>514957.74142861756</v>
      </c>
      <c r="M1853" s="14">
        <v>3.6657023260636428</v>
      </c>
      <c r="N1853" s="14">
        <v>463.12937298738234</v>
      </c>
      <c r="O1853" s="13">
        <v>328346.64153383579</v>
      </c>
      <c r="P1853" s="13">
        <v>186611.09989478177</v>
      </c>
      <c r="Q1853" s="14">
        <v>1.5683356437667466</v>
      </c>
      <c r="R1853" s="15">
        <v>0.56833564376674672</v>
      </c>
    </row>
    <row r="1854" spans="1:18" ht="18" customHeight="1">
      <c r="A1854" s="10" t="s">
        <v>159</v>
      </c>
      <c r="B1854" s="10" t="s">
        <v>160</v>
      </c>
      <c r="C1854" s="10" t="s">
        <v>254</v>
      </c>
      <c r="D1854" s="10" t="s">
        <v>259</v>
      </c>
      <c r="E1854" s="16">
        <v>5</v>
      </c>
      <c r="F1854" s="16">
        <v>5</v>
      </c>
      <c r="G1854" s="13">
        <v>1113.0577576016999</v>
      </c>
      <c r="H1854" s="13">
        <v>1113.0577576016999</v>
      </c>
      <c r="I1854" s="14">
        <v>0</v>
      </c>
      <c r="J1854" s="15">
        <v>1</v>
      </c>
      <c r="K1854" s="14">
        <v>2375.2882693357701</v>
      </c>
      <c r="L1854" s="13">
        <v>2643833.0347244949</v>
      </c>
      <c r="M1854" s="14">
        <v>4.2168133102503083</v>
      </c>
      <c r="N1854" s="14">
        <v>1647.4540498073015</v>
      </c>
      <c r="O1854" s="13">
        <v>1833711.5104303544</v>
      </c>
      <c r="P1854" s="13">
        <v>810121.52429414052</v>
      </c>
      <c r="Q1854" s="14">
        <v>1.4417933353671391</v>
      </c>
      <c r="R1854" s="15">
        <v>0.441793335367139</v>
      </c>
    </row>
    <row r="1855" spans="1:18" ht="18" customHeight="1">
      <c r="A1855" s="10" t="s">
        <v>159</v>
      </c>
      <c r="B1855" s="10" t="s">
        <v>160</v>
      </c>
      <c r="C1855" s="10" t="s">
        <v>254</v>
      </c>
      <c r="D1855" s="10" t="s">
        <v>261</v>
      </c>
      <c r="E1855" s="16">
        <v>25</v>
      </c>
      <c r="F1855" s="16">
        <v>25</v>
      </c>
      <c r="G1855" s="13">
        <v>5694.3822374086003</v>
      </c>
      <c r="H1855" s="13">
        <v>5694.3822374086003</v>
      </c>
      <c r="I1855" s="14">
        <v>0</v>
      </c>
      <c r="J1855" s="15">
        <v>1</v>
      </c>
      <c r="K1855" s="14">
        <v>878.72397778329446</v>
      </c>
      <c r="L1855" s="13">
        <v>5003790.2106742216</v>
      </c>
      <c r="M1855" s="14">
        <v>3.9367989923186348</v>
      </c>
      <c r="N1855" s="14">
        <v>864.56767199934632</v>
      </c>
      <c r="O1855" s="13">
        <v>4923178.7944707824</v>
      </c>
      <c r="P1855" s="13">
        <v>80611.416203439236</v>
      </c>
      <c r="Q1855" s="14">
        <v>1.0163738550982495</v>
      </c>
      <c r="R1855" s="15">
        <v>1.6373855098249498E-2</v>
      </c>
    </row>
    <row r="1856" spans="1:18" ht="18" customHeight="1">
      <c r="A1856" s="10" t="s">
        <v>159</v>
      </c>
      <c r="B1856" s="10" t="s">
        <v>160</v>
      </c>
      <c r="C1856" s="10" t="s">
        <v>254</v>
      </c>
      <c r="D1856" s="10" t="s">
        <v>262</v>
      </c>
      <c r="E1856" s="16">
        <v>5</v>
      </c>
      <c r="F1856" s="16">
        <v>5</v>
      </c>
      <c r="G1856" s="13">
        <v>82.750496213900021</v>
      </c>
      <c r="H1856" s="13">
        <v>82.750496213900021</v>
      </c>
      <c r="I1856" s="14">
        <v>0</v>
      </c>
      <c r="J1856" s="15">
        <v>1</v>
      </c>
      <c r="K1856" s="14">
        <v>375.77261583535983</v>
      </c>
      <c r="L1856" s="13">
        <v>31095.37042397125</v>
      </c>
      <c r="M1856" s="14">
        <v>3.4627764772810075</v>
      </c>
      <c r="N1856" s="14">
        <v>290.25283964157148</v>
      </c>
      <c r="O1856" s="13">
        <v>24018.566507833591</v>
      </c>
      <c r="P1856" s="13">
        <v>7076.8039161376582</v>
      </c>
      <c r="Q1856" s="14">
        <v>1.2946388958653956</v>
      </c>
      <c r="R1856" s="15">
        <v>0.29463889586539554</v>
      </c>
    </row>
    <row r="1857" spans="1:18" ht="18" customHeight="1">
      <c r="A1857" s="10" t="s">
        <v>159</v>
      </c>
      <c r="B1857" s="10" t="s">
        <v>160</v>
      </c>
      <c r="C1857" s="10" t="s">
        <v>254</v>
      </c>
      <c r="D1857" s="10" t="s">
        <v>263</v>
      </c>
      <c r="E1857" s="16">
        <v>6</v>
      </c>
      <c r="F1857" s="16">
        <v>6</v>
      </c>
      <c r="G1857" s="13">
        <v>3.5009390679999997</v>
      </c>
      <c r="H1857" s="13">
        <v>3.5009390679999997</v>
      </c>
      <c r="I1857" s="14">
        <v>0</v>
      </c>
      <c r="J1857" s="15">
        <v>1</v>
      </c>
      <c r="K1857" s="14">
        <v>1680.9124366501571</v>
      </c>
      <c r="L1857" s="13">
        <v>5884.7720193556097</v>
      </c>
      <c r="M1857" s="14">
        <v>4.2012055275601838</v>
      </c>
      <c r="N1857" s="14">
        <v>1589.298697835304</v>
      </c>
      <c r="O1857" s="13">
        <v>5564.0379019731417</v>
      </c>
      <c r="P1857" s="13">
        <v>320.73411738246796</v>
      </c>
      <c r="Q1857" s="14">
        <v>1.0576441287843723</v>
      </c>
      <c r="R1857" s="15">
        <v>5.7644128784372216E-2</v>
      </c>
    </row>
    <row r="1858" spans="1:18" ht="18" customHeight="1">
      <c r="A1858" s="10" t="s">
        <v>159</v>
      </c>
      <c r="B1858" s="10" t="s">
        <v>160</v>
      </c>
      <c r="C1858" s="10" t="s">
        <v>254</v>
      </c>
      <c r="D1858" s="10" t="s">
        <v>264</v>
      </c>
      <c r="E1858" s="16">
        <v>39</v>
      </c>
      <c r="F1858" s="16">
        <v>39</v>
      </c>
      <c r="G1858" s="13">
        <v>1358.7797174190002</v>
      </c>
      <c r="H1858" s="13">
        <v>1358.7797174190002</v>
      </c>
      <c r="I1858" s="14">
        <v>0</v>
      </c>
      <c r="J1858" s="15">
        <v>1</v>
      </c>
      <c r="K1858" s="14">
        <v>1491.5929848072653</v>
      </c>
      <c r="L1858" s="13">
        <v>2026746.2944005791</v>
      </c>
      <c r="M1858" s="14">
        <v>4.1315515255875841</v>
      </c>
      <c r="N1858" s="14">
        <v>1353.7906976473721</v>
      </c>
      <c r="O1858" s="13">
        <v>1839503.3415937675</v>
      </c>
      <c r="P1858" s="13">
        <v>187242.95280681155</v>
      </c>
      <c r="Q1858" s="14">
        <v>1.1017899498049197</v>
      </c>
      <c r="R1858" s="15">
        <v>0.10178994980491965</v>
      </c>
    </row>
    <row r="1859" spans="1:18" ht="18" customHeight="1">
      <c r="A1859" s="10" t="s">
        <v>159</v>
      </c>
      <c r="B1859" s="10" t="s">
        <v>160</v>
      </c>
      <c r="C1859" s="10" t="s">
        <v>254</v>
      </c>
      <c r="D1859" s="10" t="s">
        <v>265</v>
      </c>
      <c r="E1859" s="16">
        <v>11</v>
      </c>
      <c r="F1859" s="16">
        <v>11</v>
      </c>
      <c r="G1859" s="13">
        <v>1419.0914499471</v>
      </c>
      <c r="H1859" s="13">
        <v>1419.0914499471</v>
      </c>
      <c r="I1859" s="14">
        <v>0</v>
      </c>
      <c r="J1859" s="15">
        <v>1</v>
      </c>
      <c r="K1859" s="14">
        <v>85.031114399108247</v>
      </c>
      <c r="L1859" s="13">
        <v>120666.92742324826</v>
      </c>
      <c r="M1859" s="14">
        <v>2.7830544534646937</v>
      </c>
      <c r="N1859" s="14">
        <v>60.681240922579086</v>
      </c>
      <c r="O1859" s="13">
        <v>86112.230165412053</v>
      </c>
      <c r="P1859" s="13">
        <v>34554.697257836204</v>
      </c>
      <c r="Q1859" s="14">
        <v>1.4012751404935218</v>
      </c>
      <c r="R1859" s="15">
        <v>0.40127514049352175</v>
      </c>
    </row>
    <row r="1860" spans="1:18" ht="18" customHeight="1">
      <c r="A1860" s="10" t="s">
        <v>159</v>
      </c>
      <c r="B1860" s="10" t="s">
        <v>160</v>
      </c>
      <c r="C1860" s="10" t="s">
        <v>254</v>
      </c>
      <c r="D1860" s="10" t="s">
        <v>266</v>
      </c>
      <c r="E1860" s="16">
        <v>6</v>
      </c>
      <c r="F1860" s="16">
        <v>6</v>
      </c>
      <c r="G1860" s="13">
        <v>505.11135492929998</v>
      </c>
      <c r="H1860" s="13">
        <v>505.11135492929998</v>
      </c>
      <c r="I1860" s="14">
        <v>0</v>
      </c>
      <c r="J1860" s="15">
        <v>1</v>
      </c>
      <c r="K1860" s="14">
        <v>553.80854810403684</v>
      </c>
      <c r="L1860" s="13">
        <v>279734.98610425845</v>
      </c>
      <c r="M1860" s="14">
        <v>3.6573582199551034</v>
      </c>
      <c r="N1860" s="14">
        <v>454.31619665088715</v>
      </c>
      <c r="O1860" s="13">
        <v>229480.2696566559</v>
      </c>
      <c r="P1860" s="13">
        <v>50254.71644760255</v>
      </c>
      <c r="Q1860" s="14">
        <v>1.2189936264359142</v>
      </c>
      <c r="R1860" s="15">
        <v>0.21899362643591416</v>
      </c>
    </row>
    <row r="1861" spans="1:18" ht="18" customHeight="1">
      <c r="A1861" s="10" t="s">
        <v>159</v>
      </c>
      <c r="B1861" s="10" t="s">
        <v>160</v>
      </c>
      <c r="C1861" s="10" t="s">
        <v>254</v>
      </c>
      <c r="D1861" s="10" t="s">
        <v>267</v>
      </c>
      <c r="E1861" s="16">
        <v>8</v>
      </c>
      <c r="F1861" s="16">
        <v>8</v>
      </c>
      <c r="G1861" s="13">
        <v>361.09855028939995</v>
      </c>
      <c r="H1861" s="13">
        <v>361.09855028939995</v>
      </c>
      <c r="I1861" s="14">
        <v>0</v>
      </c>
      <c r="J1861" s="15">
        <v>1</v>
      </c>
      <c r="K1861" s="14">
        <v>982.45841330158817</v>
      </c>
      <c r="L1861" s="13">
        <v>354764.3087628276</v>
      </c>
      <c r="M1861" s="14">
        <v>3.9188687402720577</v>
      </c>
      <c r="N1861" s="14">
        <v>829.59999406125144</v>
      </c>
      <c r="O1861" s="13">
        <v>299567.35517561273</v>
      </c>
      <c r="P1861" s="13">
        <v>55196.95358721487</v>
      </c>
      <c r="Q1861" s="14">
        <v>1.1842555693521988</v>
      </c>
      <c r="R1861" s="15">
        <v>0.18425556935219875</v>
      </c>
    </row>
    <row r="1862" spans="1:18" ht="18" customHeight="1">
      <c r="A1862" s="10" t="s">
        <v>159</v>
      </c>
      <c r="B1862" s="10" t="s">
        <v>160</v>
      </c>
      <c r="C1862" s="10" t="s">
        <v>254</v>
      </c>
      <c r="D1862" s="10" t="s">
        <v>268</v>
      </c>
      <c r="E1862" s="16">
        <v>15</v>
      </c>
      <c r="F1862" s="16">
        <v>15</v>
      </c>
      <c r="G1862" s="13">
        <v>4811.3470378239008</v>
      </c>
      <c r="H1862" s="13">
        <v>4811.3470378239008</v>
      </c>
      <c r="I1862" s="14">
        <v>0</v>
      </c>
      <c r="J1862" s="15">
        <v>1</v>
      </c>
      <c r="K1862" s="14">
        <v>773.93503425689653</v>
      </c>
      <c r="L1862" s="13">
        <v>3723670.0345400581</v>
      </c>
      <c r="M1862" s="14">
        <v>3.8506433717894044</v>
      </c>
      <c r="N1862" s="14">
        <v>708.99532543124894</v>
      </c>
      <c r="O1862" s="13">
        <v>3411222.558844632</v>
      </c>
      <c r="P1862" s="13">
        <v>312447.47569542611</v>
      </c>
      <c r="Q1862" s="14">
        <v>1.0915939872891938</v>
      </c>
      <c r="R1862" s="15">
        <v>9.1593987289193726E-2</v>
      </c>
    </row>
    <row r="1863" spans="1:18" ht="18" customHeight="1">
      <c r="A1863" s="10" t="s">
        <v>159</v>
      </c>
      <c r="B1863" s="10" t="s">
        <v>160</v>
      </c>
      <c r="C1863" s="10" t="s">
        <v>254</v>
      </c>
      <c r="D1863" s="10" t="s">
        <v>269</v>
      </c>
      <c r="E1863" s="16">
        <v>17</v>
      </c>
      <c r="F1863" s="16">
        <v>17</v>
      </c>
      <c r="G1863" s="13">
        <v>4096.7833925815003</v>
      </c>
      <c r="H1863" s="13">
        <v>4096.7833925815003</v>
      </c>
      <c r="I1863" s="14">
        <v>0</v>
      </c>
      <c r="J1863" s="15">
        <v>1</v>
      </c>
      <c r="K1863" s="14">
        <v>257.36657362038909</v>
      </c>
      <c r="L1863" s="13">
        <v>1054375.104613614</v>
      </c>
      <c r="M1863" s="14">
        <v>3.3754119872738988</v>
      </c>
      <c r="N1863" s="14">
        <v>237.36243428969161</v>
      </c>
      <c r="O1863" s="13">
        <v>972422.47882072616</v>
      </c>
      <c r="P1863" s="13">
        <v>81952.625792887877</v>
      </c>
      <c r="Q1863" s="14">
        <v>1.0842767702082261</v>
      </c>
      <c r="R1863" s="15">
        <v>8.4276770208226021E-2</v>
      </c>
    </row>
    <row r="1864" spans="1:18" ht="18" customHeight="1">
      <c r="A1864" s="10" t="s">
        <v>159</v>
      </c>
      <c r="B1864" s="10" t="s">
        <v>160</v>
      </c>
      <c r="C1864" s="10" t="s">
        <v>254</v>
      </c>
      <c r="D1864" s="10" t="s">
        <v>270</v>
      </c>
      <c r="E1864" s="16">
        <v>20</v>
      </c>
      <c r="F1864" s="16">
        <v>20</v>
      </c>
      <c r="G1864" s="13">
        <v>6565.7265544704005</v>
      </c>
      <c r="H1864" s="13">
        <v>6565.7265544704005</v>
      </c>
      <c r="I1864" s="14">
        <v>0</v>
      </c>
      <c r="J1864" s="15">
        <v>1</v>
      </c>
      <c r="K1864" s="14">
        <v>567.96933595155349</v>
      </c>
      <c r="L1864" s="13">
        <v>3729131.3511820347</v>
      </c>
      <c r="M1864" s="14">
        <v>3.2777529304428041</v>
      </c>
      <c r="N1864" s="14">
        <v>189.56271945896572</v>
      </c>
      <c r="O1864" s="13">
        <v>1244616.9808893541</v>
      </c>
      <c r="P1864" s="13">
        <v>2484514.3702926803</v>
      </c>
      <c r="Q1864" s="14">
        <v>2.9962079968709285</v>
      </c>
      <c r="R1864" s="15">
        <v>1.9962079968709285</v>
      </c>
    </row>
    <row r="1865" spans="1:18" ht="18" customHeight="1">
      <c r="A1865" s="10" t="s">
        <v>159</v>
      </c>
      <c r="B1865" s="10" t="s">
        <v>160</v>
      </c>
      <c r="C1865" s="10" t="s">
        <v>254</v>
      </c>
      <c r="D1865" s="10" t="s">
        <v>276</v>
      </c>
      <c r="E1865" s="16">
        <v>24</v>
      </c>
      <c r="F1865" s="16">
        <v>24</v>
      </c>
      <c r="G1865" s="13">
        <v>416.74911874949998</v>
      </c>
      <c r="H1865" s="13">
        <v>416.74911874949998</v>
      </c>
      <c r="I1865" s="14">
        <v>0</v>
      </c>
      <c r="J1865" s="15">
        <v>1</v>
      </c>
      <c r="K1865" s="14">
        <v>389.67848476944869</v>
      </c>
      <c r="L1865" s="13">
        <v>162398.16512330819</v>
      </c>
      <c r="M1865" s="14">
        <v>3.1309347783557433</v>
      </c>
      <c r="N1865" s="14">
        <v>135.18695263654973</v>
      </c>
      <c r="O1865" s="13">
        <v>56339.043377712493</v>
      </c>
      <c r="P1865" s="13">
        <v>106059.12174559571</v>
      </c>
      <c r="Q1865" s="14">
        <v>2.8825154881410762</v>
      </c>
      <c r="R1865" s="15">
        <v>1.8825154881410764</v>
      </c>
    </row>
    <row r="1866" spans="1:18" ht="18" customHeight="1">
      <c r="A1866" s="10" t="s">
        <v>159</v>
      </c>
      <c r="B1866" s="10" t="s">
        <v>160</v>
      </c>
      <c r="C1866" s="10" t="s">
        <v>254</v>
      </c>
      <c r="D1866" s="10" t="s">
        <v>271</v>
      </c>
      <c r="E1866" s="16">
        <v>15</v>
      </c>
      <c r="F1866" s="16">
        <v>15</v>
      </c>
      <c r="G1866" s="13">
        <v>1499.9069595585001</v>
      </c>
      <c r="H1866" s="13">
        <v>1499.9069595585001</v>
      </c>
      <c r="I1866" s="14">
        <v>0</v>
      </c>
      <c r="J1866" s="15">
        <v>1</v>
      </c>
      <c r="K1866" s="14">
        <v>10.225598231644623</v>
      </c>
      <c r="L1866" s="13">
        <v>15337.445953292861</v>
      </c>
      <c r="M1866" s="14">
        <v>2.0035993520241719</v>
      </c>
      <c r="N1866" s="14">
        <v>10.083222533239827</v>
      </c>
      <c r="O1866" s="13">
        <v>15123.895652383506</v>
      </c>
      <c r="P1866" s="13">
        <v>213.55030090935543</v>
      </c>
      <c r="Q1866" s="14">
        <v>1.0141200591314381</v>
      </c>
      <c r="R1866" s="15">
        <v>1.4120059131438148E-2</v>
      </c>
    </row>
    <row r="1867" spans="1:18" ht="18" customHeight="1">
      <c r="A1867" s="10" t="s">
        <v>159</v>
      </c>
      <c r="B1867" s="10" t="s">
        <v>160</v>
      </c>
      <c r="C1867" s="10" t="s">
        <v>254</v>
      </c>
      <c r="D1867" s="10" t="s">
        <v>272</v>
      </c>
      <c r="E1867" s="16">
        <v>1</v>
      </c>
      <c r="F1867" s="16">
        <v>1</v>
      </c>
      <c r="G1867" s="13">
        <v>346.44060940330002</v>
      </c>
      <c r="H1867" s="13">
        <v>346.44060940330002</v>
      </c>
      <c r="I1867" s="14">
        <v>0</v>
      </c>
      <c r="J1867" s="15">
        <v>1</v>
      </c>
      <c r="K1867" s="14">
        <v>204.17379446695298</v>
      </c>
      <c r="L1867" s="13">
        <v>70734.093779315313</v>
      </c>
      <c r="M1867" s="14">
        <v>3.31</v>
      </c>
      <c r="N1867" s="14">
        <v>204.17379446695296</v>
      </c>
      <c r="O1867" s="13">
        <v>70734.093779315313</v>
      </c>
      <c r="P1867" s="13">
        <v>0</v>
      </c>
      <c r="Q1867" s="14">
        <v>1</v>
      </c>
      <c r="R1867" s="15">
        <v>0</v>
      </c>
    </row>
    <row r="1868" spans="1:18" ht="18" customHeight="1">
      <c r="A1868" s="10" t="s">
        <v>159</v>
      </c>
      <c r="B1868" s="10" t="s">
        <v>160</v>
      </c>
      <c r="C1868" s="10" t="s">
        <v>254</v>
      </c>
      <c r="D1868" s="10" t="s">
        <v>283</v>
      </c>
      <c r="E1868" s="16">
        <v>3</v>
      </c>
      <c r="F1868" s="16">
        <v>3</v>
      </c>
      <c r="G1868" s="13">
        <v>12.4407369775</v>
      </c>
      <c r="H1868" s="13">
        <v>12.4407369775</v>
      </c>
      <c r="I1868" s="14">
        <v>0</v>
      </c>
      <c r="J1868" s="15">
        <v>1</v>
      </c>
      <c r="K1868" s="14">
        <v>147.15625324152751</v>
      </c>
      <c r="L1868" s="13">
        <v>1830.7322411722255</v>
      </c>
      <c r="M1868" s="14">
        <v>3.1657528833057436</v>
      </c>
      <c r="N1868" s="14">
        <v>146.47141708630343</v>
      </c>
      <c r="O1868" s="13">
        <v>1822.2123746924005</v>
      </c>
      <c r="P1868" s="13">
        <v>8.5198664798249411</v>
      </c>
      <c r="Q1868" s="14">
        <v>1.0046755617501846</v>
      </c>
      <c r="R1868" s="15">
        <v>4.6755617501846574E-3</v>
      </c>
    </row>
    <row r="1869" spans="1:18" ht="18" customHeight="1">
      <c r="A1869" s="10" t="s">
        <v>159</v>
      </c>
      <c r="B1869" s="10" t="s">
        <v>160</v>
      </c>
      <c r="C1869" s="10" t="s">
        <v>254</v>
      </c>
      <c r="D1869" s="10" t="s">
        <v>273</v>
      </c>
      <c r="E1869" s="16">
        <v>11</v>
      </c>
      <c r="F1869" s="16">
        <v>11</v>
      </c>
      <c r="G1869" s="13">
        <v>83.020803645499996</v>
      </c>
      <c r="H1869" s="13">
        <v>83.020803645499996</v>
      </c>
      <c r="I1869" s="14">
        <v>0</v>
      </c>
      <c r="J1869" s="15">
        <v>1</v>
      </c>
      <c r="K1869" s="14">
        <v>1971.227916261724</v>
      </c>
      <c r="L1869" s="13">
        <v>163652.92577649269</v>
      </c>
      <c r="M1869" s="14">
        <v>3.9882383474280561</v>
      </c>
      <c r="N1869" s="14">
        <v>973.28122879461989</v>
      </c>
      <c r="O1869" s="13">
        <v>80802.589787609089</v>
      </c>
      <c r="P1869" s="13">
        <v>82850.335988883598</v>
      </c>
      <c r="Q1869" s="14">
        <v>2.0253425813041024</v>
      </c>
      <c r="R1869" s="15">
        <v>1.0253425813041024</v>
      </c>
    </row>
    <row r="1870" spans="1:18" ht="18" customHeight="1">
      <c r="A1870" s="10" t="s">
        <v>159</v>
      </c>
      <c r="B1870" s="10" t="s">
        <v>160</v>
      </c>
      <c r="C1870" s="10" t="s">
        <v>254</v>
      </c>
      <c r="D1870" s="10" t="s">
        <v>284</v>
      </c>
      <c r="E1870" s="16">
        <v>3</v>
      </c>
      <c r="F1870" s="16">
        <v>3</v>
      </c>
      <c r="G1870" s="13">
        <v>1.7804469000000001E-3</v>
      </c>
      <c r="H1870" s="13">
        <v>1.7804469000000001E-3</v>
      </c>
      <c r="I1870" s="14">
        <v>0</v>
      </c>
      <c r="J1870" s="15">
        <v>1</v>
      </c>
      <c r="K1870" s="14">
        <v>308.81045452463547</v>
      </c>
      <c r="L1870" s="13">
        <v>0.54982061644597824</v>
      </c>
      <c r="M1870" s="14">
        <v>3.4889277433660055</v>
      </c>
      <c r="N1870" s="14">
        <v>308.26750212098136</v>
      </c>
      <c r="O1870" s="13">
        <v>0.54885391852204468</v>
      </c>
      <c r="P1870" s="13">
        <v>9.6669792393355714E-4</v>
      </c>
      <c r="Q1870" s="14">
        <v>1.0017613027643797</v>
      </c>
      <c r="R1870" s="15">
        <v>1.7613027643797897E-3</v>
      </c>
    </row>
    <row r="1871" spans="1:18" ht="18" customHeight="1">
      <c r="A1871" s="10" t="s">
        <v>159</v>
      </c>
      <c r="B1871" s="10" t="s">
        <v>160</v>
      </c>
      <c r="C1871" s="10" t="s">
        <v>254</v>
      </c>
      <c r="D1871" s="10" t="s">
        <v>274</v>
      </c>
      <c r="E1871" s="16">
        <v>5</v>
      </c>
      <c r="F1871" s="16">
        <v>5</v>
      </c>
      <c r="G1871" s="13">
        <v>5.2068770306000012</v>
      </c>
      <c r="H1871" s="13">
        <v>5.2068770306000012</v>
      </c>
      <c r="I1871" s="14">
        <v>0</v>
      </c>
      <c r="J1871" s="15">
        <v>1</v>
      </c>
      <c r="K1871" s="14">
        <v>407.60318977963311</v>
      </c>
      <c r="L1871" s="13">
        <v>2122.3396864628648</v>
      </c>
      <c r="M1871" s="14">
        <v>3.5995865814077508</v>
      </c>
      <c r="N1871" s="14">
        <v>397.72838012224986</v>
      </c>
      <c r="O1871" s="13">
        <v>2070.9227668762887</v>
      </c>
      <c r="P1871" s="13">
        <v>51.416919586576114</v>
      </c>
      <c r="Q1871" s="14">
        <v>1.0248280237239999</v>
      </c>
      <c r="R1871" s="15">
        <v>2.4828023723999951E-2</v>
      </c>
    </row>
    <row r="1872" spans="1:18" ht="18" customHeight="1">
      <c r="A1872" s="10" t="s">
        <v>159</v>
      </c>
      <c r="B1872" s="10" t="s">
        <v>160</v>
      </c>
      <c r="C1872" s="10" t="s">
        <v>254</v>
      </c>
      <c r="D1872" s="10" t="s">
        <v>282</v>
      </c>
      <c r="E1872" s="16">
        <v>1</v>
      </c>
      <c r="F1872" s="16">
        <v>1</v>
      </c>
      <c r="G1872" s="13">
        <v>32.218170892300002</v>
      </c>
      <c r="H1872" s="13">
        <v>32.218170892300002</v>
      </c>
      <c r="I1872" s="14">
        <v>0</v>
      </c>
      <c r="J1872" s="15">
        <v>1</v>
      </c>
      <c r="K1872" s="14">
        <v>501.18723362727246</v>
      </c>
      <c r="L1872" s="13">
        <v>16147.33594204255</v>
      </c>
      <c r="M1872" s="14">
        <v>3.7</v>
      </c>
      <c r="N1872" s="14">
        <v>501.18723362727246</v>
      </c>
      <c r="O1872" s="13">
        <v>16147.33594204255</v>
      </c>
      <c r="P1872" s="13">
        <v>0</v>
      </c>
      <c r="Q1872" s="14">
        <v>1</v>
      </c>
      <c r="R1872" s="15">
        <v>0</v>
      </c>
    </row>
    <row r="1873" spans="1:18" ht="18" customHeight="1">
      <c r="A1873" s="10" t="s">
        <v>159</v>
      </c>
      <c r="B1873" s="10" t="s">
        <v>160</v>
      </c>
      <c r="C1873" s="10" t="s">
        <v>254</v>
      </c>
      <c r="D1873" s="10" t="s">
        <v>275</v>
      </c>
      <c r="E1873" s="16">
        <v>2</v>
      </c>
      <c r="F1873" s="16">
        <v>2</v>
      </c>
      <c r="G1873" s="13">
        <v>0.92737155699999996</v>
      </c>
      <c r="H1873" s="13">
        <v>0.92737155699999996</v>
      </c>
      <c r="I1873" s="14">
        <v>0</v>
      </c>
      <c r="J1873" s="15">
        <v>1</v>
      </c>
      <c r="K1873" s="14">
        <v>2222.1401872679126</v>
      </c>
      <c r="L1873" s="13">
        <v>2060.7496053389154</v>
      </c>
      <c r="M1873" s="14">
        <v>4.337056502186857</v>
      </c>
      <c r="N1873" s="14">
        <v>2172.9838680509524</v>
      </c>
      <c r="O1873" s="13">
        <v>2015.1634330502943</v>
      </c>
      <c r="P1873" s="13">
        <v>45.586172288621128</v>
      </c>
      <c r="Q1873" s="14">
        <v>1.0226215757694743</v>
      </c>
      <c r="R1873" s="15">
        <v>2.2621575769474274E-2</v>
      </c>
    </row>
    <row r="1874" spans="1:18" ht="18" customHeight="1">
      <c r="A1874" s="10" t="s">
        <v>163</v>
      </c>
      <c r="B1874" s="10" t="s">
        <v>164</v>
      </c>
      <c r="C1874" s="10" t="s">
        <v>254</v>
      </c>
      <c r="D1874" s="10" t="s">
        <v>255</v>
      </c>
      <c r="E1874" s="16">
        <v>10</v>
      </c>
      <c r="F1874" s="16">
        <v>10</v>
      </c>
      <c r="G1874" s="13">
        <v>400.52617448879994</v>
      </c>
      <c r="H1874" s="13">
        <v>400.52617448879994</v>
      </c>
      <c r="I1874" s="14">
        <v>0</v>
      </c>
      <c r="J1874" s="15">
        <v>1</v>
      </c>
      <c r="K1874" s="14">
        <v>895.12698225613826</v>
      </c>
      <c r="L1874" s="13">
        <v>358521.78588475497</v>
      </c>
      <c r="M1874" s="14">
        <v>3.914282282269161</v>
      </c>
      <c r="N1874" s="14">
        <v>820.88492888670726</v>
      </c>
      <c r="O1874" s="13">
        <v>328785.90026250342</v>
      </c>
      <c r="P1874" s="13">
        <v>29735.885622251546</v>
      </c>
      <c r="Q1874" s="14">
        <v>1.0904414866893937</v>
      </c>
      <c r="R1874" s="15">
        <v>9.0441486689393752E-2</v>
      </c>
    </row>
    <row r="1875" spans="1:18" ht="18" customHeight="1">
      <c r="A1875" s="10" t="s">
        <v>163</v>
      </c>
      <c r="B1875" s="10" t="s">
        <v>164</v>
      </c>
      <c r="C1875" s="10" t="s">
        <v>254</v>
      </c>
      <c r="D1875" s="10" t="s">
        <v>256</v>
      </c>
      <c r="E1875" s="16">
        <v>5</v>
      </c>
      <c r="F1875" s="16">
        <v>5</v>
      </c>
      <c r="G1875" s="13">
        <v>239.43795418799999</v>
      </c>
      <c r="H1875" s="13">
        <v>239.43795418799999</v>
      </c>
      <c r="I1875" s="14">
        <v>0</v>
      </c>
      <c r="J1875" s="15">
        <v>1</v>
      </c>
      <c r="K1875" s="14">
        <v>1206.8749837662704</v>
      </c>
      <c r="L1875" s="13">
        <v>288971.67707367148</v>
      </c>
      <c r="M1875" s="14">
        <v>4.0420575527076137</v>
      </c>
      <c r="N1875" s="14">
        <v>1101.6852952107968</v>
      </c>
      <c r="O1875" s="13">
        <v>263785.273244276</v>
      </c>
      <c r="P1875" s="13">
        <v>25186.40382939548</v>
      </c>
      <c r="Q1875" s="14">
        <v>1.0954807048916329</v>
      </c>
      <c r="R1875" s="15">
        <v>9.5480704891632961E-2</v>
      </c>
    </row>
    <row r="1876" spans="1:18" ht="18" customHeight="1">
      <c r="A1876" s="10" t="s">
        <v>163</v>
      </c>
      <c r="B1876" s="10" t="s">
        <v>164</v>
      </c>
      <c r="C1876" s="10" t="s">
        <v>254</v>
      </c>
      <c r="D1876" s="10" t="s">
        <v>257</v>
      </c>
      <c r="E1876" s="16">
        <v>1</v>
      </c>
      <c r="F1876" s="16">
        <v>1</v>
      </c>
      <c r="G1876" s="13">
        <v>14.6039121833</v>
      </c>
      <c r="H1876" s="13">
        <v>14.6039121833</v>
      </c>
      <c r="I1876" s="14">
        <v>0</v>
      </c>
      <c r="J1876" s="15">
        <v>1</v>
      </c>
      <c r="K1876" s="14">
        <v>1659.5869074375596</v>
      </c>
      <c r="L1876" s="13">
        <v>24236.461456772548</v>
      </c>
      <c r="M1876" s="14">
        <v>4.22</v>
      </c>
      <c r="N1876" s="14">
        <v>1659.5869074375596</v>
      </c>
      <c r="O1876" s="13">
        <v>24236.461456772548</v>
      </c>
      <c r="P1876" s="13">
        <v>0</v>
      </c>
      <c r="Q1876" s="14">
        <v>1</v>
      </c>
      <c r="R1876" s="15">
        <v>0</v>
      </c>
    </row>
    <row r="1877" spans="1:18" ht="18" customHeight="1">
      <c r="A1877" s="10" t="s">
        <v>163</v>
      </c>
      <c r="B1877" s="10" t="s">
        <v>164</v>
      </c>
      <c r="C1877" s="10" t="s">
        <v>254</v>
      </c>
      <c r="D1877" s="10" t="s">
        <v>258</v>
      </c>
      <c r="E1877" s="16">
        <v>16</v>
      </c>
      <c r="F1877" s="16">
        <v>16</v>
      </c>
      <c r="G1877" s="13">
        <v>154.64643374459999</v>
      </c>
      <c r="H1877" s="13">
        <v>154.64643374459999</v>
      </c>
      <c r="I1877" s="14">
        <v>0</v>
      </c>
      <c r="J1877" s="15">
        <v>1</v>
      </c>
      <c r="K1877" s="14">
        <v>758.0562530606428</v>
      </c>
      <c r="L1877" s="13">
        <v>117230.69611362241</v>
      </c>
      <c r="M1877" s="14">
        <v>3.4531787106096532</v>
      </c>
      <c r="N1877" s="14">
        <v>283.90870621691505</v>
      </c>
      <c r="O1877" s="13">
        <v>43905.468925489258</v>
      </c>
      <c r="P1877" s="13">
        <v>73325.227188133154</v>
      </c>
      <c r="Q1877" s="14">
        <v>2.6700704714615697</v>
      </c>
      <c r="R1877" s="15">
        <v>1.6700704714615699</v>
      </c>
    </row>
    <row r="1878" spans="1:18" ht="18" customHeight="1">
      <c r="A1878" s="10" t="s">
        <v>163</v>
      </c>
      <c r="B1878" s="10" t="s">
        <v>164</v>
      </c>
      <c r="C1878" s="10" t="s">
        <v>254</v>
      </c>
      <c r="D1878" s="10" t="s">
        <v>259</v>
      </c>
      <c r="E1878" s="16">
        <v>8</v>
      </c>
      <c r="F1878" s="16">
        <v>8</v>
      </c>
      <c r="G1878" s="13">
        <v>464.45185185809993</v>
      </c>
      <c r="H1878" s="13">
        <v>464.45185185809993</v>
      </c>
      <c r="I1878" s="14">
        <v>0</v>
      </c>
      <c r="J1878" s="15">
        <v>1</v>
      </c>
      <c r="K1878" s="14">
        <v>1959.7978498298803</v>
      </c>
      <c r="L1878" s="13">
        <v>910231.74062101031</v>
      </c>
      <c r="M1878" s="14">
        <v>4.0872521102161414</v>
      </c>
      <c r="N1878" s="14">
        <v>1222.5091271568103</v>
      </c>
      <c r="O1878" s="13">
        <v>567796.62802140997</v>
      </c>
      <c r="P1878" s="13">
        <v>342435.11259960034</v>
      </c>
      <c r="Q1878" s="14">
        <v>1.6030946569599707</v>
      </c>
      <c r="R1878" s="15">
        <v>0.60309465695997067</v>
      </c>
    </row>
    <row r="1879" spans="1:18" ht="18" customHeight="1">
      <c r="A1879" s="10" t="s">
        <v>163</v>
      </c>
      <c r="B1879" s="10" t="s">
        <v>164</v>
      </c>
      <c r="C1879" s="10" t="s">
        <v>254</v>
      </c>
      <c r="D1879" s="10" t="s">
        <v>261</v>
      </c>
      <c r="E1879" s="16">
        <v>32</v>
      </c>
      <c r="F1879" s="16">
        <v>32</v>
      </c>
      <c r="G1879" s="13">
        <v>462.33130426450003</v>
      </c>
      <c r="H1879" s="13">
        <v>462.33130426450003</v>
      </c>
      <c r="I1879" s="14">
        <v>0</v>
      </c>
      <c r="J1879" s="15">
        <v>1</v>
      </c>
      <c r="K1879" s="14">
        <v>2913.0928590684171</v>
      </c>
      <c r="L1879" s="13">
        <v>1346814.0209767027</v>
      </c>
      <c r="M1879" s="14">
        <v>4.4433263898821576</v>
      </c>
      <c r="N1879" s="14">
        <v>2775.4051503665955</v>
      </c>
      <c r="O1879" s="13">
        <v>1283156.683031399</v>
      </c>
      <c r="P1879" s="13">
        <v>63657.337945303647</v>
      </c>
      <c r="Q1879" s="14">
        <v>1.0496099492658342</v>
      </c>
      <c r="R1879" s="15">
        <v>4.9609949265834077E-2</v>
      </c>
    </row>
    <row r="1880" spans="1:18" ht="18" customHeight="1">
      <c r="A1880" s="10" t="s">
        <v>163</v>
      </c>
      <c r="B1880" s="10" t="s">
        <v>164</v>
      </c>
      <c r="C1880" s="10" t="s">
        <v>254</v>
      </c>
      <c r="D1880" s="10" t="s">
        <v>262</v>
      </c>
      <c r="E1880" s="16">
        <v>8</v>
      </c>
      <c r="F1880" s="16">
        <v>8</v>
      </c>
      <c r="G1880" s="13">
        <v>26.259715090900002</v>
      </c>
      <c r="H1880" s="13">
        <v>26.259715090900002</v>
      </c>
      <c r="I1880" s="14">
        <v>0</v>
      </c>
      <c r="J1880" s="15">
        <v>1</v>
      </c>
      <c r="K1880" s="14">
        <v>849.19832032528689</v>
      </c>
      <c r="L1880" s="13">
        <v>22299.705947412869</v>
      </c>
      <c r="M1880" s="14">
        <v>3.7453491478357535</v>
      </c>
      <c r="N1880" s="14">
        <v>556.35135208057875</v>
      </c>
      <c r="O1880" s="13">
        <v>14609.627996072993</v>
      </c>
      <c r="P1880" s="13">
        <v>7690.0779513398757</v>
      </c>
      <c r="Q1880" s="14">
        <v>1.5263705518995374</v>
      </c>
      <c r="R1880" s="15">
        <v>0.52637055189953752</v>
      </c>
    </row>
    <row r="1881" spans="1:18" ht="18" customHeight="1">
      <c r="A1881" s="10" t="s">
        <v>163</v>
      </c>
      <c r="B1881" s="10" t="s">
        <v>164</v>
      </c>
      <c r="C1881" s="10" t="s">
        <v>254</v>
      </c>
      <c r="D1881" s="10" t="s">
        <v>263</v>
      </c>
      <c r="E1881" s="16">
        <v>24</v>
      </c>
      <c r="F1881" s="16">
        <v>24</v>
      </c>
      <c r="G1881" s="13">
        <v>28.089376928900002</v>
      </c>
      <c r="H1881" s="13">
        <v>28.089376928900002</v>
      </c>
      <c r="I1881" s="14">
        <v>0</v>
      </c>
      <c r="J1881" s="15">
        <v>1</v>
      </c>
      <c r="K1881" s="14">
        <v>1199.4846204589246</v>
      </c>
      <c r="L1881" s="13">
        <v>33692.775624489295</v>
      </c>
      <c r="M1881" s="14">
        <v>4.0197761100088147</v>
      </c>
      <c r="N1881" s="14">
        <v>1046.588865436451</v>
      </c>
      <c r="O1881" s="13">
        <v>29398.029130834275</v>
      </c>
      <c r="P1881" s="13">
        <v>4294.7464936550205</v>
      </c>
      <c r="Q1881" s="14">
        <v>1.1460896060256793</v>
      </c>
      <c r="R1881" s="15">
        <v>0.14608960602567922</v>
      </c>
    </row>
    <row r="1882" spans="1:18" ht="18" customHeight="1">
      <c r="A1882" s="10" t="s">
        <v>163</v>
      </c>
      <c r="B1882" s="10" t="s">
        <v>164</v>
      </c>
      <c r="C1882" s="10" t="s">
        <v>254</v>
      </c>
      <c r="D1882" s="10" t="s">
        <v>264</v>
      </c>
      <c r="E1882" s="16">
        <v>50</v>
      </c>
      <c r="F1882" s="16">
        <v>50</v>
      </c>
      <c r="G1882" s="13">
        <v>505.66607855860002</v>
      </c>
      <c r="H1882" s="13">
        <v>505.66607855860002</v>
      </c>
      <c r="I1882" s="14">
        <v>0</v>
      </c>
      <c r="J1882" s="15">
        <v>1</v>
      </c>
      <c r="K1882" s="14">
        <v>1590.0903143871938</v>
      </c>
      <c r="L1882" s="13">
        <v>804054.73383018374</v>
      </c>
      <c r="M1882" s="14">
        <v>4.1508529342293556</v>
      </c>
      <c r="N1882" s="14">
        <v>1415.3144288210756</v>
      </c>
      <c r="O1882" s="13">
        <v>715676.49714935815</v>
      </c>
      <c r="P1882" s="13">
        <v>88378.23668082559</v>
      </c>
      <c r="Q1882" s="14">
        <v>1.1234890862461584</v>
      </c>
      <c r="R1882" s="15">
        <v>0.12348908624615836</v>
      </c>
    </row>
    <row r="1883" spans="1:18" ht="18" customHeight="1">
      <c r="A1883" s="10" t="s">
        <v>163</v>
      </c>
      <c r="B1883" s="10" t="s">
        <v>164</v>
      </c>
      <c r="C1883" s="10" t="s">
        <v>254</v>
      </c>
      <c r="D1883" s="10" t="s">
        <v>265</v>
      </c>
      <c r="E1883" s="16">
        <v>13</v>
      </c>
      <c r="F1883" s="16">
        <v>13</v>
      </c>
      <c r="G1883" s="13">
        <v>7895.4722987110999</v>
      </c>
      <c r="H1883" s="13">
        <v>7895.4722987110999</v>
      </c>
      <c r="I1883" s="14">
        <v>0</v>
      </c>
      <c r="J1883" s="15">
        <v>1</v>
      </c>
      <c r="K1883" s="14">
        <v>47.219016267075816</v>
      </c>
      <c r="L1883" s="13">
        <v>372816.43490908592</v>
      </c>
      <c r="M1883" s="14">
        <v>2.6297267862271894</v>
      </c>
      <c r="N1883" s="14">
        <v>42.631124289109628</v>
      </c>
      <c r="O1883" s="13">
        <v>336592.86088757502</v>
      </c>
      <c r="P1883" s="13">
        <v>36223.574021510896</v>
      </c>
      <c r="Q1883" s="14">
        <v>1.1076183669671174</v>
      </c>
      <c r="R1883" s="15">
        <v>0.10761836696711725</v>
      </c>
    </row>
    <row r="1884" spans="1:18" ht="18" customHeight="1">
      <c r="A1884" s="10" t="s">
        <v>163</v>
      </c>
      <c r="B1884" s="10" t="s">
        <v>164</v>
      </c>
      <c r="C1884" s="10" t="s">
        <v>254</v>
      </c>
      <c r="D1884" s="10" t="s">
        <v>266</v>
      </c>
      <c r="E1884" s="16">
        <v>9</v>
      </c>
      <c r="F1884" s="16">
        <v>9</v>
      </c>
      <c r="G1884" s="13">
        <v>115.06017411949999</v>
      </c>
      <c r="H1884" s="13">
        <v>115.06017411949999</v>
      </c>
      <c r="I1884" s="14">
        <v>0</v>
      </c>
      <c r="J1884" s="15">
        <v>1</v>
      </c>
      <c r="K1884" s="14">
        <v>782.26527637183096</v>
      </c>
      <c r="L1884" s="13">
        <v>90007.578906981653</v>
      </c>
      <c r="M1884" s="14">
        <v>3.733636608628764</v>
      </c>
      <c r="N1884" s="14">
        <v>541.54756650161039</v>
      </c>
      <c r="O1884" s="13">
        <v>62310.557295666789</v>
      </c>
      <c r="P1884" s="13">
        <v>27697.021611314864</v>
      </c>
      <c r="Q1884" s="14">
        <v>1.4444996612675294</v>
      </c>
      <c r="R1884" s="15">
        <v>0.44449966126752927</v>
      </c>
    </row>
    <row r="1885" spans="1:18" ht="18" customHeight="1">
      <c r="A1885" s="10" t="s">
        <v>163</v>
      </c>
      <c r="B1885" s="10" t="s">
        <v>164</v>
      </c>
      <c r="C1885" s="10" t="s">
        <v>254</v>
      </c>
      <c r="D1885" s="10" t="s">
        <v>267</v>
      </c>
      <c r="E1885" s="16">
        <v>8</v>
      </c>
      <c r="F1885" s="16">
        <v>8</v>
      </c>
      <c r="G1885" s="13">
        <v>40.1602725714</v>
      </c>
      <c r="H1885" s="13">
        <v>40.1602725714</v>
      </c>
      <c r="I1885" s="14">
        <v>0</v>
      </c>
      <c r="J1885" s="15">
        <v>1</v>
      </c>
      <c r="K1885" s="14">
        <v>555.39275737965386</v>
      </c>
      <c r="L1885" s="13">
        <v>22304.724520548327</v>
      </c>
      <c r="M1885" s="14">
        <v>3.7002465259042849</v>
      </c>
      <c r="N1885" s="14">
        <v>501.47181175514976</v>
      </c>
      <c r="O1885" s="13">
        <v>20139.244646960604</v>
      </c>
      <c r="P1885" s="13">
        <v>2165.479873587723</v>
      </c>
      <c r="Q1885" s="14">
        <v>1.1075253770212545</v>
      </c>
      <c r="R1885" s="15">
        <v>0.10752537702125463</v>
      </c>
    </row>
    <row r="1886" spans="1:18" ht="18" customHeight="1">
      <c r="A1886" s="10" t="s">
        <v>163</v>
      </c>
      <c r="B1886" s="10" t="s">
        <v>164</v>
      </c>
      <c r="C1886" s="10" t="s">
        <v>254</v>
      </c>
      <c r="D1886" s="10" t="s">
        <v>268</v>
      </c>
      <c r="E1886" s="16">
        <v>16</v>
      </c>
      <c r="F1886" s="16">
        <v>16</v>
      </c>
      <c r="G1886" s="13">
        <v>1479.0716235861996</v>
      </c>
      <c r="H1886" s="13">
        <v>1479.0716235861996</v>
      </c>
      <c r="I1886" s="14">
        <v>0</v>
      </c>
      <c r="J1886" s="15">
        <v>1</v>
      </c>
      <c r="K1886" s="14">
        <v>713.03619601849596</v>
      </c>
      <c r="L1886" s="13">
        <v>1054631.6041208045</v>
      </c>
      <c r="M1886" s="14">
        <v>3.7873811476503492</v>
      </c>
      <c r="N1886" s="14">
        <v>612.88804156773949</v>
      </c>
      <c r="O1886" s="13">
        <v>906505.31071816268</v>
      </c>
      <c r="P1886" s="13">
        <v>148126.29340264178</v>
      </c>
      <c r="Q1886" s="14">
        <v>1.1634036686285836</v>
      </c>
      <c r="R1886" s="15">
        <v>0.16340366862858349</v>
      </c>
    </row>
    <row r="1887" spans="1:18" ht="18" customHeight="1">
      <c r="A1887" s="10" t="s">
        <v>163</v>
      </c>
      <c r="B1887" s="10" t="s">
        <v>164</v>
      </c>
      <c r="C1887" s="10" t="s">
        <v>254</v>
      </c>
      <c r="D1887" s="10" t="s">
        <v>269</v>
      </c>
      <c r="E1887" s="16">
        <v>33</v>
      </c>
      <c r="F1887" s="16">
        <v>33</v>
      </c>
      <c r="G1887" s="13">
        <v>2395.9997053986999</v>
      </c>
      <c r="H1887" s="13">
        <v>2395.9997053986999</v>
      </c>
      <c r="I1887" s="14">
        <v>0</v>
      </c>
      <c r="J1887" s="15">
        <v>1</v>
      </c>
      <c r="K1887" s="14">
        <v>249.84416961025588</v>
      </c>
      <c r="L1887" s="13">
        <v>598626.55678175588</v>
      </c>
      <c r="M1887" s="14">
        <v>3.3598957702399597</v>
      </c>
      <c r="N1887" s="14">
        <v>229.03179153314616</v>
      </c>
      <c r="O1887" s="13">
        <v>548760.10504035465</v>
      </c>
      <c r="P1887" s="13">
        <v>49866.451741401223</v>
      </c>
      <c r="Q1887" s="14">
        <v>1.0908711316354422</v>
      </c>
      <c r="R1887" s="15">
        <v>9.0871131635442318E-2</v>
      </c>
    </row>
    <row r="1888" spans="1:18" ht="18" customHeight="1">
      <c r="A1888" s="10" t="s">
        <v>163</v>
      </c>
      <c r="B1888" s="10" t="s">
        <v>164</v>
      </c>
      <c r="C1888" s="10" t="s">
        <v>254</v>
      </c>
      <c r="D1888" s="10" t="s">
        <v>270</v>
      </c>
      <c r="E1888" s="16">
        <v>22</v>
      </c>
      <c r="F1888" s="16">
        <v>22</v>
      </c>
      <c r="G1888" s="13">
        <v>3542.7010622561997</v>
      </c>
      <c r="H1888" s="13">
        <v>3542.7010622561997</v>
      </c>
      <c r="I1888" s="14">
        <v>0</v>
      </c>
      <c r="J1888" s="15">
        <v>1</v>
      </c>
      <c r="K1888" s="14">
        <v>467.02775189591307</v>
      </c>
      <c r="L1888" s="13">
        <v>1654539.7127447762</v>
      </c>
      <c r="M1888" s="14">
        <v>3.1867949960211037</v>
      </c>
      <c r="N1888" s="14">
        <v>153.74287425015802</v>
      </c>
      <c r="O1888" s="13">
        <v>544665.0439203562</v>
      </c>
      <c r="P1888" s="13">
        <v>1109874.6688244198</v>
      </c>
      <c r="Q1888" s="14">
        <v>3.0377196613093309</v>
      </c>
      <c r="R1888" s="15">
        <v>2.0377196613093305</v>
      </c>
    </row>
    <row r="1889" spans="1:18" ht="18" customHeight="1">
      <c r="A1889" s="10" t="s">
        <v>163</v>
      </c>
      <c r="B1889" s="10" t="s">
        <v>164</v>
      </c>
      <c r="C1889" s="10" t="s">
        <v>254</v>
      </c>
      <c r="D1889" s="10" t="s">
        <v>276</v>
      </c>
      <c r="E1889" s="16">
        <v>88</v>
      </c>
      <c r="F1889" s="16">
        <v>88</v>
      </c>
      <c r="G1889" s="13">
        <v>678.82478829189995</v>
      </c>
      <c r="H1889" s="13">
        <v>678.82478829189995</v>
      </c>
      <c r="I1889" s="14">
        <v>0</v>
      </c>
      <c r="J1889" s="15">
        <v>1</v>
      </c>
      <c r="K1889" s="14">
        <v>544.98133503559097</v>
      </c>
      <c r="L1889" s="13">
        <v>369946.83937857207</v>
      </c>
      <c r="M1889" s="14">
        <v>3.480927705244699</v>
      </c>
      <c r="N1889" s="14">
        <v>302.6409595420983</v>
      </c>
      <c r="O1889" s="13">
        <v>205440.18528962234</v>
      </c>
      <c r="P1889" s="13">
        <v>164506.65408894973</v>
      </c>
      <c r="Q1889" s="14">
        <v>1.8007520722249839</v>
      </c>
      <c r="R1889" s="15">
        <v>0.80075207222498379</v>
      </c>
    </row>
    <row r="1890" spans="1:18" ht="18" customHeight="1">
      <c r="A1890" s="10" t="s">
        <v>163</v>
      </c>
      <c r="B1890" s="10" t="s">
        <v>164</v>
      </c>
      <c r="C1890" s="10" t="s">
        <v>254</v>
      </c>
      <c r="D1890" s="10" t="s">
        <v>271</v>
      </c>
      <c r="E1890" s="16">
        <v>17</v>
      </c>
      <c r="F1890" s="16">
        <v>17</v>
      </c>
      <c r="G1890" s="13">
        <v>684.04901896779995</v>
      </c>
      <c r="H1890" s="13">
        <v>684.04901896779995</v>
      </c>
      <c r="I1890" s="14">
        <v>0</v>
      </c>
      <c r="J1890" s="15">
        <v>1</v>
      </c>
      <c r="K1890" s="14">
        <v>10.280541799047198</v>
      </c>
      <c r="L1890" s="13">
        <v>7032.3945320956964</v>
      </c>
      <c r="M1890" s="14">
        <v>2.0047429340790957</v>
      </c>
      <c r="N1890" s="14">
        <v>10.109808612123626</v>
      </c>
      <c r="O1890" s="13">
        <v>6915.6046630753817</v>
      </c>
      <c r="P1890" s="13">
        <v>116.78986902031465</v>
      </c>
      <c r="Q1890" s="14">
        <v>1.0168878752777604</v>
      </c>
      <c r="R1890" s="15">
        <v>1.6887875277760308E-2</v>
      </c>
    </row>
    <row r="1891" spans="1:18" ht="18" customHeight="1">
      <c r="A1891" s="10" t="s">
        <v>163</v>
      </c>
      <c r="B1891" s="10" t="s">
        <v>164</v>
      </c>
      <c r="C1891" s="10" t="s">
        <v>254</v>
      </c>
      <c r="D1891" s="10" t="s">
        <v>272</v>
      </c>
      <c r="E1891" s="16">
        <v>7</v>
      </c>
      <c r="F1891" s="16">
        <v>7</v>
      </c>
      <c r="G1891" s="13">
        <v>407.77205151300001</v>
      </c>
      <c r="H1891" s="13">
        <v>407.77205151300001</v>
      </c>
      <c r="I1891" s="14">
        <v>0</v>
      </c>
      <c r="J1891" s="15">
        <v>1</v>
      </c>
      <c r="K1891" s="14">
        <v>123.14874910736066</v>
      </c>
      <c r="L1891" s="13">
        <v>50216.618064768183</v>
      </c>
      <c r="M1891" s="14">
        <v>2.9873153664282155</v>
      </c>
      <c r="N1891" s="14">
        <v>97.121496679721574</v>
      </c>
      <c r="O1891" s="13">
        <v>39603.431947103083</v>
      </c>
      <c r="P1891" s="13">
        <v>10613.1861176651</v>
      </c>
      <c r="Q1891" s="14">
        <v>1.2679865253051998</v>
      </c>
      <c r="R1891" s="15">
        <v>0.26798652530519984</v>
      </c>
    </row>
    <row r="1892" spans="1:18" ht="18" customHeight="1">
      <c r="A1892" s="10" t="s">
        <v>163</v>
      </c>
      <c r="B1892" s="10" t="s">
        <v>164</v>
      </c>
      <c r="C1892" s="10" t="s">
        <v>254</v>
      </c>
      <c r="D1892" s="10" t="s">
        <v>283</v>
      </c>
      <c r="E1892" s="16">
        <v>4</v>
      </c>
      <c r="F1892" s="16">
        <v>4</v>
      </c>
      <c r="G1892" s="13">
        <v>6.3805574596999994</v>
      </c>
      <c r="H1892" s="13">
        <v>6.3805574596999994</v>
      </c>
      <c r="I1892" s="14">
        <v>0</v>
      </c>
      <c r="J1892" s="15">
        <v>1</v>
      </c>
      <c r="K1892" s="14">
        <v>147.13756804921394</v>
      </c>
      <c r="L1892" s="13">
        <v>938.81970741852831</v>
      </c>
      <c r="M1892" s="14">
        <v>3.1656924651985987</v>
      </c>
      <c r="N1892" s="14">
        <v>146.4510417175041</v>
      </c>
      <c r="O1892" s="13">
        <v>934.43928671145659</v>
      </c>
      <c r="P1892" s="13">
        <v>4.3804207070717212</v>
      </c>
      <c r="Q1892" s="14">
        <v>1.0046877531471174</v>
      </c>
      <c r="R1892" s="15">
        <v>4.6877531471173489E-3</v>
      </c>
    </row>
    <row r="1893" spans="1:18" ht="18" customHeight="1">
      <c r="A1893" s="10" t="s">
        <v>163</v>
      </c>
      <c r="B1893" s="10" t="s">
        <v>164</v>
      </c>
      <c r="C1893" s="10" t="s">
        <v>254</v>
      </c>
      <c r="D1893" s="10" t="s">
        <v>278</v>
      </c>
      <c r="E1893" s="16">
        <v>4</v>
      </c>
      <c r="F1893" s="16">
        <v>4</v>
      </c>
      <c r="G1893" s="13">
        <v>27.359596524499999</v>
      </c>
      <c r="H1893" s="13">
        <v>27.359596524499999</v>
      </c>
      <c r="I1893" s="14">
        <v>0</v>
      </c>
      <c r="J1893" s="15">
        <v>1</v>
      </c>
      <c r="K1893" s="14">
        <v>369.06765569981479</v>
      </c>
      <c r="L1893" s="13">
        <v>10097.542150190015</v>
      </c>
      <c r="M1893" s="14">
        <v>3.5635971388255259</v>
      </c>
      <c r="N1893" s="14">
        <v>366.09781665041692</v>
      </c>
      <c r="O1893" s="13">
        <v>10016.288552055785</v>
      </c>
      <c r="P1893" s="13">
        <v>81.253598134229833</v>
      </c>
      <c r="Q1893" s="14">
        <v>1.0081121463016911</v>
      </c>
      <c r="R1893" s="15">
        <v>8.1121463016910599E-3</v>
      </c>
    </row>
    <row r="1894" spans="1:18" ht="18" customHeight="1">
      <c r="A1894" s="10" t="s">
        <v>163</v>
      </c>
      <c r="B1894" s="10" t="s">
        <v>164</v>
      </c>
      <c r="C1894" s="10" t="s">
        <v>254</v>
      </c>
      <c r="D1894" s="10" t="s">
        <v>273</v>
      </c>
      <c r="E1894" s="16">
        <v>14</v>
      </c>
      <c r="F1894" s="16">
        <v>14</v>
      </c>
      <c r="G1894" s="13">
        <v>235.36425550579997</v>
      </c>
      <c r="H1894" s="13">
        <v>235.36425550579997</v>
      </c>
      <c r="I1894" s="14">
        <v>0</v>
      </c>
      <c r="J1894" s="15">
        <v>1</v>
      </c>
      <c r="K1894" s="14">
        <v>503.04140590702906</v>
      </c>
      <c r="L1894" s="13">
        <v>118397.96598989882</v>
      </c>
      <c r="M1894" s="14">
        <v>2.882475626359486</v>
      </c>
      <c r="N1894" s="14">
        <v>76.291407340549299</v>
      </c>
      <c r="O1894" s="13">
        <v>17956.27029019811</v>
      </c>
      <c r="P1894" s="13">
        <v>100441.69569970071</v>
      </c>
      <c r="Q1894" s="14">
        <v>6.5936836590463539</v>
      </c>
      <c r="R1894" s="15">
        <v>5.5936836590463539</v>
      </c>
    </row>
    <row r="1895" spans="1:18" ht="18" customHeight="1">
      <c r="A1895" s="10" t="s">
        <v>163</v>
      </c>
      <c r="B1895" s="10" t="s">
        <v>164</v>
      </c>
      <c r="C1895" s="10" t="s">
        <v>254</v>
      </c>
      <c r="D1895" s="10" t="s">
        <v>284</v>
      </c>
      <c r="E1895" s="16">
        <v>14</v>
      </c>
      <c r="F1895" s="16">
        <v>14</v>
      </c>
      <c r="G1895" s="13">
        <v>14.024462846599999</v>
      </c>
      <c r="H1895" s="13">
        <v>14.024462846599999</v>
      </c>
      <c r="I1895" s="14">
        <v>0</v>
      </c>
      <c r="J1895" s="15">
        <v>1</v>
      </c>
      <c r="K1895" s="14">
        <v>183.37115428980923</v>
      </c>
      <c r="L1895" s="13">
        <v>2571.6819404755856</v>
      </c>
      <c r="M1895" s="14">
        <v>3.253605257023962</v>
      </c>
      <c r="N1895" s="14">
        <v>179.31030820046561</v>
      </c>
      <c r="O1895" s="13">
        <v>2514.7307553698251</v>
      </c>
      <c r="P1895" s="13">
        <v>56.951185105760487</v>
      </c>
      <c r="Q1895" s="14">
        <v>1.022647030893526</v>
      </c>
      <c r="R1895" s="15">
        <v>2.2647030893526033E-2</v>
      </c>
    </row>
    <row r="1896" spans="1:18" ht="18" customHeight="1">
      <c r="A1896" s="10" t="s">
        <v>163</v>
      </c>
      <c r="B1896" s="10" t="s">
        <v>164</v>
      </c>
      <c r="C1896" s="10" t="s">
        <v>254</v>
      </c>
      <c r="D1896" s="10" t="s">
        <v>274</v>
      </c>
      <c r="E1896" s="16">
        <v>5</v>
      </c>
      <c r="F1896" s="16">
        <v>5</v>
      </c>
      <c r="G1896" s="13">
        <v>6.6001093889000009</v>
      </c>
      <c r="H1896" s="13">
        <v>6.6001093889000009</v>
      </c>
      <c r="I1896" s="14">
        <v>0</v>
      </c>
      <c r="J1896" s="15">
        <v>1</v>
      </c>
      <c r="K1896" s="14">
        <v>487.05761833707885</v>
      </c>
      <c r="L1896" s="13">
        <v>3214.6335597218272</v>
      </c>
      <c r="M1896" s="14">
        <v>3.6471237299001547</v>
      </c>
      <c r="N1896" s="14">
        <v>443.73504542848082</v>
      </c>
      <c r="O1896" s="13">
        <v>2928.6998395164846</v>
      </c>
      <c r="P1896" s="13">
        <v>285.93372020534252</v>
      </c>
      <c r="Q1896" s="14">
        <v>1.097631623544101</v>
      </c>
      <c r="R1896" s="15">
        <v>9.7631623544101029E-2</v>
      </c>
    </row>
    <row r="1897" spans="1:18" ht="18" customHeight="1">
      <c r="A1897" s="10" t="s">
        <v>163</v>
      </c>
      <c r="B1897" s="10" t="s">
        <v>164</v>
      </c>
      <c r="C1897" s="10" t="s">
        <v>254</v>
      </c>
      <c r="D1897" s="10" t="s">
        <v>282</v>
      </c>
      <c r="E1897" s="16">
        <v>1</v>
      </c>
      <c r="F1897" s="16">
        <v>1</v>
      </c>
      <c r="G1897" s="13">
        <v>13.7832448813</v>
      </c>
      <c r="H1897" s="13">
        <v>13.7832448813</v>
      </c>
      <c r="I1897" s="14">
        <v>0</v>
      </c>
      <c r="J1897" s="15">
        <v>1</v>
      </c>
      <c r="K1897" s="14">
        <v>501.18723362727241</v>
      </c>
      <c r="L1897" s="13">
        <v>6907.9863724660099</v>
      </c>
      <c r="M1897" s="14">
        <v>3.6999999999999997</v>
      </c>
      <c r="N1897" s="14">
        <v>501.18723362727195</v>
      </c>
      <c r="O1897" s="13">
        <v>6907.9863724660036</v>
      </c>
      <c r="P1897" s="13">
        <v>6.3664629124104977E-12</v>
      </c>
      <c r="Q1897" s="14">
        <v>1.0000000000000009</v>
      </c>
      <c r="R1897" s="15">
        <v>9.21609072332001E-16</v>
      </c>
    </row>
    <row r="1898" spans="1:18" ht="18" customHeight="1">
      <c r="A1898" s="10" t="s">
        <v>163</v>
      </c>
      <c r="B1898" s="10" t="s">
        <v>164</v>
      </c>
      <c r="C1898" s="10" t="s">
        <v>254</v>
      </c>
      <c r="D1898" s="10" t="s">
        <v>275</v>
      </c>
      <c r="E1898" s="16">
        <v>2</v>
      </c>
      <c r="F1898" s="16">
        <v>2</v>
      </c>
      <c r="G1898" s="13">
        <v>0.43690795930000004</v>
      </c>
      <c r="H1898" s="13">
        <v>0.43690795930000004</v>
      </c>
      <c r="I1898" s="14">
        <v>0</v>
      </c>
      <c r="J1898" s="15">
        <v>1</v>
      </c>
      <c r="K1898" s="14">
        <v>2151.7326017638802</v>
      </c>
      <c r="L1898" s="13">
        <v>940.1090999959365</v>
      </c>
      <c r="M1898" s="14">
        <v>4.318058236942262</v>
      </c>
      <c r="N1898" s="14">
        <v>2079.9755838012138</v>
      </c>
      <c r="O1898" s="13">
        <v>908.75788771241457</v>
      </c>
      <c r="P1898" s="13">
        <v>31.351212283521932</v>
      </c>
      <c r="Q1898" s="14">
        <v>1.0344989712963497</v>
      </c>
      <c r="R1898" s="15">
        <v>3.4498971296349656E-2</v>
      </c>
    </row>
    <row r="1899" spans="1:18" ht="18" customHeight="1">
      <c r="A1899" s="10" t="s">
        <v>161</v>
      </c>
      <c r="B1899" s="10" t="s">
        <v>162</v>
      </c>
      <c r="C1899" s="10" t="s">
        <v>254</v>
      </c>
      <c r="D1899" s="10" t="s">
        <v>255</v>
      </c>
      <c r="E1899" s="16">
        <v>9</v>
      </c>
      <c r="F1899" s="16">
        <v>9</v>
      </c>
      <c r="G1899" s="13">
        <v>1169.0399272541999</v>
      </c>
      <c r="H1899" s="13">
        <v>1169.0399272541999</v>
      </c>
      <c r="I1899" s="14">
        <v>0</v>
      </c>
      <c r="J1899" s="15">
        <v>1</v>
      </c>
      <c r="K1899" s="14">
        <v>733.62383206679465</v>
      </c>
      <c r="L1899" s="13">
        <v>857635.55127131299</v>
      </c>
      <c r="M1899" s="14">
        <v>3.835308145475214</v>
      </c>
      <c r="N1899" s="14">
        <v>684.39707611104802</v>
      </c>
      <c r="O1899" s="13">
        <v>800087.50806984666</v>
      </c>
      <c r="P1899" s="13">
        <v>57548.043201466324</v>
      </c>
      <c r="Q1899" s="14">
        <v>1.0719271862402862</v>
      </c>
      <c r="R1899" s="15">
        <v>7.192718624028617E-2</v>
      </c>
    </row>
    <row r="1900" spans="1:18" ht="18" customHeight="1">
      <c r="A1900" s="10" t="s">
        <v>161</v>
      </c>
      <c r="B1900" s="10" t="s">
        <v>162</v>
      </c>
      <c r="C1900" s="10" t="s">
        <v>254</v>
      </c>
      <c r="D1900" s="10" t="s">
        <v>277</v>
      </c>
      <c r="E1900" s="16">
        <v>1</v>
      </c>
      <c r="F1900" s="16">
        <v>1</v>
      </c>
      <c r="G1900" s="13">
        <v>30.7034823489</v>
      </c>
      <c r="H1900" s="13">
        <v>30.7034823489</v>
      </c>
      <c r="I1900" s="14">
        <v>0</v>
      </c>
      <c r="J1900" s="15">
        <v>1</v>
      </c>
      <c r="K1900" s="14">
        <v>288.40315031266056</v>
      </c>
      <c r="L1900" s="13">
        <v>8854.9810349919262</v>
      </c>
      <c r="M1900" s="14">
        <v>3.46</v>
      </c>
      <c r="N1900" s="14">
        <v>288.40315031266056</v>
      </c>
      <c r="O1900" s="13">
        <v>8854.9810349919262</v>
      </c>
      <c r="P1900" s="13">
        <v>0</v>
      </c>
      <c r="Q1900" s="14">
        <v>1</v>
      </c>
      <c r="R1900" s="15">
        <v>0</v>
      </c>
    </row>
    <row r="1901" spans="1:18" ht="18" customHeight="1">
      <c r="A1901" s="10" t="s">
        <v>161</v>
      </c>
      <c r="B1901" s="10" t="s">
        <v>162</v>
      </c>
      <c r="C1901" s="10" t="s">
        <v>254</v>
      </c>
      <c r="D1901" s="10" t="s">
        <v>256</v>
      </c>
      <c r="E1901" s="16">
        <v>2</v>
      </c>
      <c r="F1901" s="16">
        <v>2</v>
      </c>
      <c r="G1901" s="13">
        <v>5.5230256219000005</v>
      </c>
      <c r="H1901" s="13">
        <v>5.5230256219000005</v>
      </c>
      <c r="I1901" s="14">
        <v>0</v>
      </c>
      <c r="J1901" s="15">
        <v>1</v>
      </c>
      <c r="K1901" s="14">
        <v>2624.1103164346928</v>
      </c>
      <c r="L1901" s="13">
        <v>14493.028512360926</v>
      </c>
      <c r="M1901" s="14">
        <v>4.4183982146644549</v>
      </c>
      <c r="N1901" s="14">
        <v>2620.5847817832614</v>
      </c>
      <c r="O1901" s="13">
        <v>14473.556894150175</v>
      </c>
      <c r="P1901" s="13">
        <v>19.47161821075133</v>
      </c>
      <c r="Q1901" s="14">
        <v>1.0013453236376624</v>
      </c>
      <c r="R1901" s="15">
        <v>1.3453236376623661E-3</v>
      </c>
    </row>
    <row r="1902" spans="1:18" ht="18" customHeight="1">
      <c r="A1902" s="10" t="s">
        <v>161</v>
      </c>
      <c r="B1902" s="10" t="s">
        <v>162</v>
      </c>
      <c r="C1902" s="10" t="s">
        <v>254</v>
      </c>
      <c r="D1902" s="10" t="s">
        <v>257</v>
      </c>
      <c r="E1902" s="16">
        <v>1</v>
      </c>
      <c r="F1902" s="16">
        <v>1</v>
      </c>
      <c r="G1902" s="13">
        <v>7.8385879281999999</v>
      </c>
      <c r="H1902" s="13">
        <v>7.8385879281999999</v>
      </c>
      <c r="I1902" s="14">
        <v>0</v>
      </c>
      <c r="J1902" s="15">
        <v>1</v>
      </c>
      <c r="K1902" s="14">
        <v>1659.5869074375596</v>
      </c>
      <c r="L1902" s="13">
        <v>13008.817898438825</v>
      </c>
      <c r="M1902" s="14">
        <v>4.22</v>
      </c>
      <c r="N1902" s="14">
        <v>1659.5869074375596</v>
      </c>
      <c r="O1902" s="13">
        <v>13008.817898438825</v>
      </c>
      <c r="P1902" s="13">
        <v>0</v>
      </c>
      <c r="Q1902" s="14">
        <v>1</v>
      </c>
      <c r="R1902" s="15">
        <v>0</v>
      </c>
    </row>
    <row r="1903" spans="1:18" ht="18" customHeight="1">
      <c r="A1903" s="10" t="s">
        <v>161</v>
      </c>
      <c r="B1903" s="10" t="s">
        <v>162</v>
      </c>
      <c r="C1903" s="10" t="s">
        <v>254</v>
      </c>
      <c r="D1903" s="10" t="s">
        <v>258</v>
      </c>
      <c r="E1903" s="16">
        <v>13</v>
      </c>
      <c r="F1903" s="16">
        <v>13</v>
      </c>
      <c r="G1903" s="13">
        <v>164.52039656460002</v>
      </c>
      <c r="H1903" s="13">
        <v>164.52039656460002</v>
      </c>
      <c r="I1903" s="14">
        <v>0</v>
      </c>
      <c r="J1903" s="15">
        <v>1</v>
      </c>
      <c r="K1903" s="14">
        <v>656.01400007107657</v>
      </c>
      <c r="L1903" s="13">
        <v>107927.68344362307</v>
      </c>
      <c r="M1903" s="14">
        <v>3.0206965433765349</v>
      </c>
      <c r="N1903" s="14">
        <v>104.88093330903399</v>
      </c>
      <c r="O1903" s="13">
        <v>17255.05274006764</v>
      </c>
      <c r="P1903" s="13">
        <v>90672.630703555435</v>
      </c>
      <c r="Q1903" s="14">
        <v>6.2548451789432198</v>
      </c>
      <c r="R1903" s="15">
        <v>5.2548451789432198</v>
      </c>
    </row>
    <row r="1904" spans="1:18" ht="18" customHeight="1">
      <c r="A1904" s="10" t="s">
        <v>161</v>
      </c>
      <c r="B1904" s="10" t="s">
        <v>162</v>
      </c>
      <c r="C1904" s="10" t="s">
        <v>254</v>
      </c>
      <c r="D1904" s="10" t="s">
        <v>259</v>
      </c>
      <c r="E1904" s="16">
        <v>9</v>
      </c>
      <c r="F1904" s="16">
        <v>9</v>
      </c>
      <c r="G1904" s="13">
        <v>954.35155560020007</v>
      </c>
      <c r="H1904" s="13">
        <v>954.35155560020007</v>
      </c>
      <c r="I1904" s="14">
        <v>0</v>
      </c>
      <c r="J1904" s="15">
        <v>1</v>
      </c>
      <c r="K1904" s="14">
        <v>723.21001150193558</v>
      </c>
      <c r="L1904" s="13">
        <v>690196.59950251086</v>
      </c>
      <c r="M1904" s="14">
        <v>3.7258144860992846</v>
      </c>
      <c r="N1904" s="14">
        <v>531.88101162126179</v>
      </c>
      <c r="O1904" s="13">
        <v>507601.4708349593</v>
      </c>
      <c r="P1904" s="13">
        <v>182595.12866755156</v>
      </c>
      <c r="Q1904" s="14">
        <v>1.3597214333662171</v>
      </c>
      <c r="R1904" s="15">
        <v>0.35972143336621704</v>
      </c>
    </row>
    <row r="1905" spans="1:18" ht="18" customHeight="1">
      <c r="A1905" s="10" t="s">
        <v>161</v>
      </c>
      <c r="B1905" s="10" t="s">
        <v>162</v>
      </c>
      <c r="C1905" s="10" t="s">
        <v>254</v>
      </c>
      <c r="D1905" s="10" t="s">
        <v>261</v>
      </c>
      <c r="E1905" s="16">
        <v>29</v>
      </c>
      <c r="F1905" s="16">
        <v>29</v>
      </c>
      <c r="G1905" s="13">
        <v>1395.9154884426</v>
      </c>
      <c r="H1905" s="13">
        <v>1395.9154884426</v>
      </c>
      <c r="I1905" s="14">
        <v>0</v>
      </c>
      <c r="J1905" s="15">
        <v>1</v>
      </c>
      <c r="K1905" s="14">
        <v>2824.2810755634832</v>
      </c>
      <c r="L1905" s="13">
        <v>3942457.6970943916</v>
      </c>
      <c r="M1905" s="14">
        <v>4.4357752418816485</v>
      </c>
      <c r="N1905" s="14">
        <v>2727.5658348097018</v>
      </c>
      <c r="O1905" s="13">
        <v>3807451.3945577331</v>
      </c>
      <c r="P1905" s="13">
        <v>135006.30253665848</v>
      </c>
      <c r="Q1905" s="14">
        <v>1.0354584441260715</v>
      </c>
      <c r="R1905" s="15">
        <v>3.545844412607152E-2</v>
      </c>
    </row>
    <row r="1906" spans="1:18" ht="18" customHeight="1">
      <c r="A1906" s="10" t="s">
        <v>161</v>
      </c>
      <c r="B1906" s="10" t="s">
        <v>162</v>
      </c>
      <c r="C1906" s="10" t="s">
        <v>254</v>
      </c>
      <c r="D1906" s="10" t="s">
        <v>262</v>
      </c>
      <c r="E1906" s="16">
        <v>7</v>
      </c>
      <c r="F1906" s="16">
        <v>7</v>
      </c>
      <c r="G1906" s="13">
        <v>94.750778834799988</v>
      </c>
      <c r="H1906" s="13">
        <v>94.750778834799988</v>
      </c>
      <c r="I1906" s="14">
        <v>0</v>
      </c>
      <c r="J1906" s="15">
        <v>1</v>
      </c>
      <c r="K1906" s="14">
        <v>722.1015445920641</v>
      </c>
      <c r="L1906" s="13">
        <v>68419.683747910123</v>
      </c>
      <c r="M1906" s="14">
        <v>3.6758003582328351</v>
      </c>
      <c r="N1906" s="14">
        <v>474.02403003908535</v>
      </c>
      <c r="O1906" s="13">
        <v>44914.146032613964</v>
      </c>
      <c r="P1906" s="13">
        <v>23505.537715296159</v>
      </c>
      <c r="Q1906" s="14">
        <v>1.52334375228303</v>
      </c>
      <c r="R1906" s="15">
        <v>0.52334375228303009</v>
      </c>
    </row>
    <row r="1907" spans="1:18" ht="18" customHeight="1">
      <c r="A1907" s="10" t="s">
        <v>161</v>
      </c>
      <c r="B1907" s="10" t="s">
        <v>162</v>
      </c>
      <c r="C1907" s="10" t="s">
        <v>254</v>
      </c>
      <c r="D1907" s="10" t="s">
        <v>263</v>
      </c>
      <c r="E1907" s="16">
        <v>27</v>
      </c>
      <c r="F1907" s="16">
        <v>27</v>
      </c>
      <c r="G1907" s="13">
        <v>182.9703339305</v>
      </c>
      <c r="H1907" s="13">
        <v>182.9703339305</v>
      </c>
      <c r="I1907" s="14">
        <v>0</v>
      </c>
      <c r="J1907" s="15">
        <v>1</v>
      </c>
      <c r="K1907" s="14">
        <v>1256.097635419289</v>
      </c>
      <c r="L1907" s="13">
        <v>229828.60380197875</v>
      </c>
      <c r="M1907" s="14">
        <v>4.0320210541014667</v>
      </c>
      <c r="N1907" s="14">
        <v>1076.5174007013936</v>
      </c>
      <c r="O1907" s="13">
        <v>196970.74828832786</v>
      </c>
      <c r="P1907" s="13">
        <v>32857.855513650895</v>
      </c>
      <c r="Q1907" s="14">
        <v>1.1668159145415502</v>
      </c>
      <c r="R1907" s="15">
        <v>0.1668159145415502</v>
      </c>
    </row>
    <row r="1908" spans="1:18" ht="18" customHeight="1">
      <c r="A1908" s="10" t="s">
        <v>161</v>
      </c>
      <c r="B1908" s="10" t="s">
        <v>162</v>
      </c>
      <c r="C1908" s="10" t="s">
        <v>254</v>
      </c>
      <c r="D1908" s="10" t="s">
        <v>264</v>
      </c>
      <c r="E1908" s="16">
        <v>44</v>
      </c>
      <c r="F1908" s="16">
        <v>44</v>
      </c>
      <c r="G1908" s="13">
        <v>950.12493636109991</v>
      </c>
      <c r="H1908" s="13">
        <v>950.12493636109991</v>
      </c>
      <c r="I1908" s="14">
        <v>0</v>
      </c>
      <c r="J1908" s="15">
        <v>1</v>
      </c>
      <c r="K1908" s="14">
        <v>2073.8765504831599</v>
      </c>
      <c r="L1908" s="13">
        <v>1970441.8255485897</v>
      </c>
      <c r="M1908" s="14">
        <v>4.2678570173355093</v>
      </c>
      <c r="N1908" s="14">
        <v>1852.9214861016465</v>
      </c>
      <c r="O1908" s="13">
        <v>1760506.9090644415</v>
      </c>
      <c r="P1908" s="13">
        <v>209934.91648414824</v>
      </c>
      <c r="Q1908" s="14">
        <v>1.119246857483627</v>
      </c>
      <c r="R1908" s="15">
        <v>0.11924685748362707</v>
      </c>
    </row>
    <row r="1909" spans="1:18" ht="18" customHeight="1">
      <c r="A1909" s="10" t="s">
        <v>161</v>
      </c>
      <c r="B1909" s="10" t="s">
        <v>162</v>
      </c>
      <c r="C1909" s="10" t="s">
        <v>254</v>
      </c>
      <c r="D1909" s="10" t="s">
        <v>265</v>
      </c>
      <c r="E1909" s="16">
        <v>15</v>
      </c>
      <c r="F1909" s="16">
        <v>15</v>
      </c>
      <c r="G1909" s="13">
        <v>1374.4729315467</v>
      </c>
      <c r="H1909" s="13">
        <v>1374.4729315467</v>
      </c>
      <c r="I1909" s="14">
        <v>0</v>
      </c>
      <c r="J1909" s="15">
        <v>1</v>
      </c>
      <c r="K1909" s="14">
        <v>111.42386162253722</v>
      </c>
      <c r="L1909" s="13">
        <v>153149.08172858256</v>
      </c>
      <c r="M1909" s="14">
        <v>2.8770219020005445</v>
      </c>
      <c r="N1909" s="14">
        <v>75.339355733188427</v>
      </c>
      <c r="O1909" s="13">
        <v>103551.90513543518</v>
      </c>
      <c r="P1909" s="13">
        <v>49597.176593147378</v>
      </c>
      <c r="Q1909" s="14">
        <v>1.4789595761495591</v>
      </c>
      <c r="R1909" s="15">
        <v>0.47895957614955903</v>
      </c>
    </row>
    <row r="1910" spans="1:18" ht="18" customHeight="1">
      <c r="A1910" s="10" t="s">
        <v>161</v>
      </c>
      <c r="B1910" s="10" t="s">
        <v>162</v>
      </c>
      <c r="C1910" s="10" t="s">
        <v>254</v>
      </c>
      <c r="D1910" s="10" t="s">
        <v>266</v>
      </c>
      <c r="E1910" s="16">
        <v>8</v>
      </c>
      <c r="F1910" s="16">
        <v>8</v>
      </c>
      <c r="G1910" s="13">
        <v>196.84173396789998</v>
      </c>
      <c r="H1910" s="13">
        <v>196.84173396789998</v>
      </c>
      <c r="I1910" s="14">
        <v>0</v>
      </c>
      <c r="J1910" s="15">
        <v>1</v>
      </c>
      <c r="K1910" s="14">
        <v>1831.9145902983987</v>
      </c>
      <c r="L1910" s="13">
        <v>360597.2444354319</v>
      </c>
      <c r="M1910" s="14">
        <v>4.1799056714887914</v>
      </c>
      <c r="N1910" s="14">
        <v>1513.2325395042203</v>
      </c>
      <c r="O1910" s="13">
        <v>297867.31697265944</v>
      </c>
      <c r="P1910" s="13">
        <v>62729.927462772466</v>
      </c>
      <c r="Q1910" s="14">
        <v>1.2105968795110553</v>
      </c>
      <c r="R1910" s="15">
        <v>0.21059687951105527</v>
      </c>
    </row>
    <row r="1911" spans="1:18" ht="18" customHeight="1">
      <c r="A1911" s="10" t="s">
        <v>161</v>
      </c>
      <c r="B1911" s="10" t="s">
        <v>162</v>
      </c>
      <c r="C1911" s="10" t="s">
        <v>254</v>
      </c>
      <c r="D1911" s="10" t="s">
        <v>267</v>
      </c>
      <c r="E1911" s="16">
        <v>2</v>
      </c>
      <c r="F1911" s="16">
        <v>2</v>
      </c>
      <c r="G1911" s="13">
        <v>10.482047701299999</v>
      </c>
      <c r="H1911" s="13">
        <v>10.482047701299999</v>
      </c>
      <c r="I1911" s="14">
        <v>0</v>
      </c>
      <c r="J1911" s="15">
        <v>1</v>
      </c>
      <c r="K1911" s="14">
        <v>241.30014140529408</v>
      </c>
      <c r="L1911" s="13">
        <v>2529.3195925407276</v>
      </c>
      <c r="M1911" s="14">
        <v>3.3810305632647193</v>
      </c>
      <c r="N1911" s="14">
        <v>240.45320118334766</v>
      </c>
      <c r="O1911" s="13">
        <v>2520.4419247341357</v>
      </c>
      <c r="P1911" s="13">
        <v>8.8776678065919441</v>
      </c>
      <c r="Q1911" s="14">
        <v>1.0035222663610979</v>
      </c>
      <c r="R1911" s="15">
        <v>3.5222663610979211E-3</v>
      </c>
    </row>
    <row r="1912" spans="1:18" ht="18" customHeight="1">
      <c r="A1912" s="10" t="s">
        <v>161</v>
      </c>
      <c r="B1912" s="10" t="s">
        <v>162</v>
      </c>
      <c r="C1912" s="10" t="s">
        <v>254</v>
      </c>
      <c r="D1912" s="10" t="s">
        <v>268</v>
      </c>
      <c r="E1912" s="16">
        <v>11</v>
      </c>
      <c r="F1912" s="16">
        <v>11</v>
      </c>
      <c r="G1912" s="13">
        <v>1527.1477897294003</v>
      </c>
      <c r="H1912" s="13">
        <v>1527.1477897294003</v>
      </c>
      <c r="I1912" s="14">
        <v>0</v>
      </c>
      <c r="J1912" s="15">
        <v>1</v>
      </c>
      <c r="K1912" s="14">
        <v>721.30223204186075</v>
      </c>
      <c r="L1912" s="13">
        <v>1101535.1093896106</v>
      </c>
      <c r="M1912" s="14">
        <v>3.7651304537769703</v>
      </c>
      <c r="N1912" s="14">
        <v>582.27809673606487</v>
      </c>
      <c r="O1912" s="13">
        <v>889224.70843832335</v>
      </c>
      <c r="P1912" s="13">
        <v>212310.40095128724</v>
      </c>
      <c r="Q1912" s="14">
        <v>1.2387589986384338</v>
      </c>
      <c r="R1912" s="15">
        <v>0.23875899863843369</v>
      </c>
    </row>
    <row r="1913" spans="1:18" ht="18" customHeight="1">
      <c r="A1913" s="10" t="s">
        <v>161</v>
      </c>
      <c r="B1913" s="10" t="s">
        <v>162</v>
      </c>
      <c r="C1913" s="10" t="s">
        <v>254</v>
      </c>
      <c r="D1913" s="10" t="s">
        <v>269</v>
      </c>
      <c r="E1913" s="16">
        <v>33</v>
      </c>
      <c r="F1913" s="16">
        <v>33</v>
      </c>
      <c r="G1913" s="13">
        <v>8469.3074333318018</v>
      </c>
      <c r="H1913" s="13">
        <v>8469.3074333318018</v>
      </c>
      <c r="I1913" s="14">
        <v>0</v>
      </c>
      <c r="J1913" s="15">
        <v>1</v>
      </c>
      <c r="K1913" s="14">
        <v>445.2793513919321</v>
      </c>
      <c r="L1913" s="13">
        <v>3771207.7206528541</v>
      </c>
      <c r="M1913" s="14">
        <v>3.5367747603882491</v>
      </c>
      <c r="N1913" s="14">
        <v>344.17138570118749</v>
      </c>
      <c r="O1913" s="13">
        <v>2914893.2752591739</v>
      </c>
      <c r="P1913" s="13">
        <v>856314.44539368013</v>
      </c>
      <c r="Q1913" s="14">
        <v>1.2937721434475304</v>
      </c>
      <c r="R1913" s="15">
        <v>0.2937721434475305</v>
      </c>
    </row>
    <row r="1914" spans="1:18" ht="18" customHeight="1">
      <c r="A1914" s="10" t="s">
        <v>161</v>
      </c>
      <c r="B1914" s="10" t="s">
        <v>162</v>
      </c>
      <c r="C1914" s="10" t="s">
        <v>254</v>
      </c>
      <c r="D1914" s="10" t="s">
        <v>270</v>
      </c>
      <c r="E1914" s="16">
        <v>25</v>
      </c>
      <c r="F1914" s="16">
        <v>25</v>
      </c>
      <c r="G1914" s="13">
        <v>19072.816912316903</v>
      </c>
      <c r="H1914" s="13">
        <v>19072.816912316903</v>
      </c>
      <c r="I1914" s="14">
        <v>0</v>
      </c>
      <c r="J1914" s="15">
        <v>1</v>
      </c>
      <c r="K1914" s="14">
        <v>101.8551470627754</v>
      </c>
      <c r="L1914" s="13">
        <v>1942664.5715054281</v>
      </c>
      <c r="M1914" s="14">
        <v>2.8740904205456346</v>
      </c>
      <c r="N1914" s="14">
        <v>74.832528636651105</v>
      </c>
      <c r="O1914" s="13">
        <v>1427267.1177725582</v>
      </c>
      <c r="P1914" s="13">
        <v>515397.45373286982</v>
      </c>
      <c r="Q1914" s="14">
        <v>1.3611079154806121</v>
      </c>
      <c r="R1914" s="15">
        <v>0.36110791548061211</v>
      </c>
    </row>
    <row r="1915" spans="1:18" ht="18" customHeight="1">
      <c r="A1915" s="10" t="s">
        <v>161</v>
      </c>
      <c r="B1915" s="10" t="s">
        <v>162</v>
      </c>
      <c r="C1915" s="10" t="s">
        <v>254</v>
      </c>
      <c r="D1915" s="10" t="s">
        <v>276</v>
      </c>
      <c r="E1915" s="16">
        <v>97</v>
      </c>
      <c r="F1915" s="16">
        <v>97</v>
      </c>
      <c r="G1915" s="13">
        <v>3487.2842108716009</v>
      </c>
      <c r="H1915" s="13">
        <v>3487.2842108716009</v>
      </c>
      <c r="I1915" s="14">
        <v>0</v>
      </c>
      <c r="J1915" s="15">
        <v>1</v>
      </c>
      <c r="K1915" s="14">
        <v>974.93789069662444</v>
      </c>
      <c r="L1915" s="13">
        <v>3399885.5128068011</v>
      </c>
      <c r="M1915" s="14">
        <v>3.713511598496761</v>
      </c>
      <c r="N1915" s="14">
        <v>517.02506572750326</v>
      </c>
      <c r="O1915" s="13">
        <v>1803013.3483363737</v>
      </c>
      <c r="P1915" s="13">
        <v>1596872.1644704274</v>
      </c>
      <c r="Q1915" s="14">
        <v>1.8856685203932899</v>
      </c>
      <c r="R1915" s="15">
        <v>0.88566852039328992</v>
      </c>
    </row>
    <row r="1916" spans="1:18" ht="18" customHeight="1">
      <c r="A1916" s="10" t="s">
        <v>161</v>
      </c>
      <c r="B1916" s="10" t="s">
        <v>162</v>
      </c>
      <c r="C1916" s="10" t="s">
        <v>254</v>
      </c>
      <c r="D1916" s="10" t="s">
        <v>271</v>
      </c>
      <c r="E1916" s="16">
        <v>19</v>
      </c>
      <c r="F1916" s="16">
        <v>19</v>
      </c>
      <c r="G1916" s="13">
        <v>1474.9221260101001</v>
      </c>
      <c r="H1916" s="13">
        <v>1474.9221260101001</v>
      </c>
      <c r="I1916" s="14">
        <v>0</v>
      </c>
      <c r="J1916" s="15">
        <v>1</v>
      </c>
      <c r="K1916" s="14">
        <v>11.252249170040839</v>
      </c>
      <c r="L1916" s="13">
        <v>16596.191268272018</v>
      </c>
      <c r="M1916" s="14">
        <v>2.0229818358987171</v>
      </c>
      <c r="N1916" s="14">
        <v>10.543427982259104</v>
      </c>
      <c r="O1916" s="13">
        <v>15550.735215027977</v>
      </c>
      <c r="P1916" s="13">
        <v>1045.456053244041</v>
      </c>
      <c r="Q1916" s="14">
        <v>1.0672287219085133</v>
      </c>
      <c r="R1916" s="15">
        <v>6.7228721908513325E-2</v>
      </c>
    </row>
    <row r="1917" spans="1:18" ht="18" customHeight="1">
      <c r="A1917" s="10" t="s">
        <v>161</v>
      </c>
      <c r="B1917" s="10" t="s">
        <v>162</v>
      </c>
      <c r="C1917" s="10" t="s">
        <v>254</v>
      </c>
      <c r="D1917" s="10" t="s">
        <v>272</v>
      </c>
      <c r="E1917" s="16">
        <v>10</v>
      </c>
      <c r="F1917" s="16">
        <v>10</v>
      </c>
      <c r="G1917" s="13">
        <v>2862.6740231664999</v>
      </c>
      <c r="H1917" s="13">
        <v>2862.6740231664999</v>
      </c>
      <c r="I1917" s="14">
        <v>0</v>
      </c>
      <c r="J1917" s="15">
        <v>1</v>
      </c>
      <c r="K1917" s="14">
        <v>120.42934718197135</v>
      </c>
      <c r="L1917" s="13">
        <v>344749.96380472911</v>
      </c>
      <c r="M1917" s="14">
        <v>2.9775521180635103</v>
      </c>
      <c r="N1917" s="14">
        <v>94.962495331881001</v>
      </c>
      <c r="O1917" s="13">
        <v>271846.66856164573</v>
      </c>
      <c r="P1917" s="13">
        <v>72903.295243083383</v>
      </c>
      <c r="Q1917" s="14">
        <v>1.2681779976514642</v>
      </c>
      <c r="R1917" s="15">
        <v>0.26817799765146416</v>
      </c>
    </row>
    <row r="1918" spans="1:18" ht="18" customHeight="1">
      <c r="A1918" s="10" t="s">
        <v>161</v>
      </c>
      <c r="B1918" s="10" t="s">
        <v>162</v>
      </c>
      <c r="C1918" s="10" t="s">
        <v>254</v>
      </c>
      <c r="D1918" s="10" t="s">
        <v>283</v>
      </c>
      <c r="E1918" s="16">
        <v>5</v>
      </c>
      <c r="F1918" s="16">
        <v>5</v>
      </c>
      <c r="G1918" s="13">
        <v>100.29667428789999</v>
      </c>
      <c r="H1918" s="13">
        <v>100.29667428789999</v>
      </c>
      <c r="I1918" s="14">
        <v>0</v>
      </c>
      <c r="J1918" s="15">
        <v>1</v>
      </c>
      <c r="K1918" s="14">
        <v>170.11482390444735</v>
      </c>
      <c r="L1918" s="13">
        <v>17061.951084687818</v>
      </c>
      <c r="M1918" s="14">
        <v>3.2297560155869198</v>
      </c>
      <c r="N1918" s="14">
        <v>169.72898558296819</v>
      </c>
      <c r="O1918" s="13">
        <v>17023.252784230634</v>
      </c>
      <c r="P1918" s="13">
        <v>38.698300457184814</v>
      </c>
      <c r="Q1918" s="14">
        <v>1.002273261223791</v>
      </c>
      <c r="R1918" s="15">
        <v>2.2732612237910668E-3</v>
      </c>
    </row>
    <row r="1919" spans="1:18" ht="18" customHeight="1">
      <c r="A1919" s="10" t="s">
        <v>161</v>
      </c>
      <c r="B1919" s="10" t="s">
        <v>162</v>
      </c>
      <c r="C1919" s="10" t="s">
        <v>254</v>
      </c>
      <c r="D1919" s="10" t="s">
        <v>278</v>
      </c>
      <c r="E1919" s="16">
        <v>4</v>
      </c>
      <c r="F1919" s="16">
        <v>4</v>
      </c>
      <c r="G1919" s="13">
        <v>243.98661808719999</v>
      </c>
      <c r="H1919" s="13">
        <v>243.98661808719999</v>
      </c>
      <c r="I1919" s="14">
        <v>0</v>
      </c>
      <c r="J1919" s="15">
        <v>1</v>
      </c>
      <c r="K1919" s="14">
        <v>372.78436383576155</v>
      </c>
      <c r="L1919" s="13">
        <v>90954.396208075763</v>
      </c>
      <c r="M1919" s="14">
        <v>3.5679820076025899</v>
      </c>
      <c r="N1919" s="14">
        <v>369.81285847634251</v>
      </c>
      <c r="O1919" s="13">
        <v>90229.388664803118</v>
      </c>
      <c r="P1919" s="13">
        <v>725.0075432726444</v>
      </c>
      <c r="Q1919" s="14">
        <v>1.0080351596525385</v>
      </c>
      <c r="R1919" s="15">
        <v>8.0351596525385406E-3</v>
      </c>
    </row>
    <row r="1920" spans="1:18" ht="18" customHeight="1">
      <c r="A1920" s="10" t="s">
        <v>161</v>
      </c>
      <c r="B1920" s="10" t="s">
        <v>162</v>
      </c>
      <c r="C1920" s="10" t="s">
        <v>254</v>
      </c>
      <c r="D1920" s="10" t="s">
        <v>273</v>
      </c>
      <c r="E1920" s="16">
        <v>15</v>
      </c>
      <c r="F1920" s="16">
        <v>15</v>
      </c>
      <c r="G1920" s="13">
        <v>780.61791458350012</v>
      </c>
      <c r="H1920" s="13">
        <v>780.61791458350012</v>
      </c>
      <c r="I1920" s="14">
        <v>0</v>
      </c>
      <c r="J1920" s="15">
        <v>1</v>
      </c>
      <c r="K1920" s="14">
        <v>78.685405611288814</v>
      </c>
      <c r="L1920" s="13">
        <v>61423.237236441113</v>
      </c>
      <c r="M1920" s="14">
        <v>2.6683693516051115</v>
      </c>
      <c r="N1920" s="14">
        <v>46.598222592580768</v>
      </c>
      <c r="O1920" s="13">
        <v>36375.407343518142</v>
      </c>
      <c r="P1920" s="13">
        <v>25047.829892922971</v>
      </c>
      <c r="Q1920" s="14">
        <v>1.6885924233474277</v>
      </c>
      <c r="R1920" s="15">
        <v>0.68859242334742765</v>
      </c>
    </row>
    <row r="1921" spans="1:18" ht="18" customHeight="1">
      <c r="A1921" s="10" t="s">
        <v>161</v>
      </c>
      <c r="B1921" s="10" t="s">
        <v>162</v>
      </c>
      <c r="C1921" s="10" t="s">
        <v>254</v>
      </c>
      <c r="D1921" s="10" t="s">
        <v>284</v>
      </c>
      <c r="E1921" s="16">
        <v>15</v>
      </c>
      <c r="F1921" s="16">
        <v>15</v>
      </c>
      <c r="G1921" s="13">
        <v>42.741559922399993</v>
      </c>
      <c r="H1921" s="13">
        <v>42.741559922399993</v>
      </c>
      <c r="I1921" s="14">
        <v>0</v>
      </c>
      <c r="J1921" s="15">
        <v>1</v>
      </c>
      <c r="K1921" s="14">
        <v>180.55074890409841</v>
      </c>
      <c r="L1921" s="13">
        <v>7717.0206533187175</v>
      </c>
      <c r="M1921" s="14">
        <v>3.2452872122029781</v>
      </c>
      <c r="N1921" s="14">
        <v>175.90865670323035</v>
      </c>
      <c r="O1921" s="13">
        <v>7518.6103913500092</v>
      </c>
      <c r="P1921" s="13">
        <v>198.41026196870826</v>
      </c>
      <c r="Q1921" s="14">
        <v>1.0263892197681868</v>
      </c>
      <c r="R1921" s="15">
        <v>2.6389219768186787E-2</v>
      </c>
    </row>
    <row r="1922" spans="1:18" ht="18" customHeight="1">
      <c r="A1922" s="10" t="s">
        <v>161</v>
      </c>
      <c r="B1922" s="10" t="s">
        <v>162</v>
      </c>
      <c r="C1922" s="10" t="s">
        <v>254</v>
      </c>
      <c r="D1922" s="10" t="s">
        <v>274</v>
      </c>
      <c r="E1922" s="16">
        <v>6</v>
      </c>
      <c r="F1922" s="16">
        <v>6</v>
      </c>
      <c r="G1922" s="13">
        <v>25.893980348800003</v>
      </c>
      <c r="H1922" s="13">
        <v>25.893980348800003</v>
      </c>
      <c r="I1922" s="14">
        <v>0</v>
      </c>
      <c r="J1922" s="15">
        <v>1</v>
      </c>
      <c r="K1922" s="14">
        <v>501.02669329914414</v>
      </c>
      <c r="L1922" s="13">
        <v>12973.575350512285</v>
      </c>
      <c r="M1922" s="14">
        <v>3.6220591275378204</v>
      </c>
      <c r="N1922" s="14">
        <v>418.85058614653059</v>
      </c>
      <c r="O1922" s="13">
        <v>10845.708846761627</v>
      </c>
      <c r="P1922" s="13">
        <v>2127.866503750658</v>
      </c>
      <c r="Q1922" s="14">
        <v>1.1961943229174927</v>
      </c>
      <c r="R1922" s="15">
        <v>0.1961943229174927</v>
      </c>
    </row>
    <row r="1923" spans="1:18" ht="18" customHeight="1">
      <c r="A1923" s="10" t="s">
        <v>161</v>
      </c>
      <c r="B1923" s="10" t="s">
        <v>162</v>
      </c>
      <c r="C1923" s="10" t="s">
        <v>254</v>
      </c>
      <c r="D1923" s="10" t="s">
        <v>282</v>
      </c>
      <c r="E1923" s="16">
        <v>1</v>
      </c>
      <c r="F1923" s="16">
        <v>1</v>
      </c>
      <c r="G1923" s="13">
        <v>22.045049113699999</v>
      </c>
      <c r="H1923" s="13">
        <v>22.045049113699999</v>
      </c>
      <c r="I1923" s="14">
        <v>0</v>
      </c>
      <c r="J1923" s="15">
        <v>1</v>
      </c>
      <c r="K1923" s="14">
        <v>501.18723362727252</v>
      </c>
      <c r="L1923" s="13">
        <v>11048.697180472658</v>
      </c>
      <c r="M1923" s="14">
        <v>3.7</v>
      </c>
      <c r="N1923" s="14">
        <v>501.18723362727246</v>
      </c>
      <c r="O1923" s="13">
        <v>11048.697180472658</v>
      </c>
      <c r="P1923" s="13">
        <v>0</v>
      </c>
      <c r="Q1923" s="14">
        <v>1</v>
      </c>
      <c r="R1923" s="15">
        <v>0</v>
      </c>
    </row>
    <row r="1924" spans="1:18" ht="18" customHeight="1">
      <c r="A1924" s="10" t="s">
        <v>161</v>
      </c>
      <c r="B1924" s="10" t="s">
        <v>162</v>
      </c>
      <c r="C1924" s="10" t="s">
        <v>254</v>
      </c>
      <c r="D1924" s="10" t="s">
        <v>275</v>
      </c>
      <c r="E1924" s="16">
        <v>2</v>
      </c>
      <c r="F1924" s="16">
        <v>2</v>
      </c>
      <c r="G1924" s="13">
        <v>0.67546355660000001</v>
      </c>
      <c r="H1924" s="13">
        <v>0.67546355660000001</v>
      </c>
      <c r="I1924" s="14">
        <v>0</v>
      </c>
      <c r="J1924" s="15">
        <v>1</v>
      </c>
      <c r="K1924" s="14">
        <v>2175.0079685908299</v>
      </c>
      <c r="L1924" s="13">
        <v>1469.1386180977031</v>
      </c>
      <c r="M1924" s="14">
        <v>4.3243386908092445</v>
      </c>
      <c r="N1924" s="14">
        <v>2110.273235366597</v>
      </c>
      <c r="O1924" s="13">
        <v>1425.4126649585105</v>
      </c>
      <c r="P1924" s="13">
        <v>43.725953139192598</v>
      </c>
      <c r="Q1924" s="14">
        <v>1.0306759959512954</v>
      </c>
      <c r="R1924" s="15">
        <v>3.0675995951295502E-2</v>
      </c>
    </row>
    <row r="1925" spans="1:18" ht="18" customHeight="1">
      <c r="A1925" s="10" t="s">
        <v>73</v>
      </c>
      <c r="B1925" s="10" t="s">
        <v>74</v>
      </c>
      <c r="C1925" s="10" t="s">
        <v>254</v>
      </c>
      <c r="D1925" s="10" t="s">
        <v>255</v>
      </c>
      <c r="E1925" s="16">
        <v>2</v>
      </c>
      <c r="F1925" s="16">
        <v>2</v>
      </c>
      <c r="G1925" s="13">
        <v>532.51489291060011</v>
      </c>
      <c r="H1925" s="13">
        <v>532.51489291060011</v>
      </c>
      <c r="I1925" s="14">
        <v>0</v>
      </c>
      <c r="J1925" s="15">
        <v>1</v>
      </c>
      <c r="K1925" s="14">
        <v>1274.1163073578887</v>
      </c>
      <c r="L1925" s="13">
        <v>678485.90896833537</v>
      </c>
      <c r="M1925" s="14">
        <v>4.1047766509688524</v>
      </c>
      <c r="N1925" s="14">
        <v>1272.8483120433441</v>
      </c>
      <c r="O1925" s="13">
        <v>677810.68257919955</v>
      </c>
      <c r="P1925" s="13">
        <v>675.22638913581613</v>
      </c>
      <c r="Q1925" s="14">
        <v>1.0009961872931339</v>
      </c>
      <c r="R1925" s="15">
        <v>9.9618729313390338E-4</v>
      </c>
    </row>
    <row r="1926" spans="1:18" ht="18" customHeight="1">
      <c r="A1926" s="10" t="s">
        <v>73</v>
      </c>
      <c r="B1926" s="10" t="s">
        <v>74</v>
      </c>
      <c r="C1926" s="10" t="s">
        <v>254</v>
      </c>
      <c r="D1926" s="10" t="s">
        <v>277</v>
      </c>
      <c r="E1926" s="16">
        <v>1</v>
      </c>
      <c r="F1926" s="16">
        <v>1</v>
      </c>
      <c r="G1926" s="13">
        <v>1.6065636322999999</v>
      </c>
      <c r="H1926" s="13">
        <v>1.6065636322999999</v>
      </c>
      <c r="I1926" s="14">
        <v>0</v>
      </c>
      <c r="J1926" s="15">
        <v>1</v>
      </c>
      <c r="K1926" s="14">
        <v>288.40315031266056</v>
      </c>
      <c r="L1926" s="13">
        <v>463.3380127330708</v>
      </c>
      <c r="M1926" s="14">
        <v>3.4599999999999995</v>
      </c>
      <c r="N1926" s="14">
        <v>288.40315031266027</v>
      </c>
      <c r="O1926" s="13">
        <v>463.33801273307034</v>
      </c>
      <c r="P1926" s="13">
        <v>4.5474735088646412E-13</v>
      </c>
      <c r="Q1926" s="14">
        <v>1.0000000000000009</v>
      </c>
      <c r="R1926" s="15">
        <v>9.8145919046025845E-16</v>
      </c>
    </row>
    <row r="1927" spans="1:18" ht="18" customHeight="1">
      <c r="A1927" s="10" t="s">
        <v>73</v>
      </c>
      <c r="B1927" s="10" t="s">
        <v>74</v>
      </c>
      <c r="C1927" s="10" t="s">
        <v>254</v>
      </c>
      <c r="D1927" s="10" t="s">
        <v>256</v>
      </c>
      <c r="E1927" s="16">
        <v>6</v>
      </c>
      <c r="F1927" s="16">
        <v>6</v>
      </c>
      <c r="G1927" s="13">
        <v>27982.702008064698</v>
      </c>
      <c r="H1927" s="13">
        <v>27982.702008064698</v>
      </c>
      <c r="I1927" s="14">
        <v>0</v>
      </c>
      <c r="J1927" s="15">
        <v>1</v>
      </c>
      <c r="K1927" s="14">
        <v>1759.7479389668267</v>
      </c>
      <c r="L1927" s="13">
        <v>49242502.185414739</v>
      </c>
      <c r="M1927" s="14">
        <v>4.226712032330461</v>
      </c>
      <c r="N1927" s="14">
        <v>1685.4350932423285</v>
      </c>
      <c r="O1927" s="13">
        <v>47163027.96813482</v>
      </c>
      <c r="P1927" s="13">
        <v>2079474.2172799185</v>
      </c>
      <c r="Q1927" s="14">
        <v>1.0440911940320052</v>
      </c>
      <c r="R1927" s="15">
        <v>4.4091194032005163E-2</v>
      </c>
    </row>
    <row r="1928" spans="1:18" ht="18" customHeight="1">
      <c r="A1928" s="10" t="s">
        <v>73</v>
      </c>
      <c r="B1928" s="10" t="s">
        <v>74</v>
      </c>
      <c r="C1928" s="10" t="s">
        <v>254</v>
      </c>
      <c r="D1928" s="10" t="s">
        <v>257</v>
      </c>
      <c r="E1928" s="16">
        <v>4</v>
      </c>
      <c r="F1928" s="16">
        <v>4</v>
      </c>
      <c r="G1928" s="13">
        <v>83.5254957609</v>
      </c>
      <c r="H1928" s="13">
        <v>83.5254957609</v>
      </c>
      <c r="I1928" s="14">
        <v>0</v>
      </c>
      <c r="J1928" s="15">
        <v>1</v>
      </c>
      <c r="K1928" s="14">
        <v>1514.6079488152905</v>
      </c>
      <c r="L1928" s="13">
        <v>126508.37980819699</v>
      </c>
      <c r="M1928" s="14">
        <v>4.1204284319751476</v>
      </c>
      <c r="N1928" s="14">
        <v>1319.5578419162528</v>
      </c>
      <c r="O1928" s="13">
        <v>110216.72293123833</v>
      </c>
      <c r="P1928" s="13">
        <v>16291.656876958659</v>
      </c>
      <c r="Q1928" s="14">
        <v>1.1478147457452772</v>
      </c>
      <c r="R1928" s="15">
        <v>0.14781474574527723</v>
      </c>
    </row>
    <row r="1929" spans="1:18" ht="18" customHeight="1">
      <c r="A1929" s="10" t="s">
        <v>73</v>
      </c>
      <c r="B1929" s="10" t="s">
        <v>74</v>
      </c>
      <c r="C1929" s="10" t="s">
        <v>254</v>
      </c>
      <c r="D1929" s="10" t="s">
        <v>258</v>
      </c>
      <c r="E1929" s="16">
        <v>8</v>
      </c>
      <c r="F1929" s="16">
        <v>8</v>
      </c>
      <c r="G1929" s="13">
        <v>35212.126357636196</v>
      </c>
      <c r="H1929" s="13">
        <v>35212.126357636196</v>
      </c>
      <c r="I1929" s="14">
        <v>0</v>
      </c>
      <c r="J1929" s="15">
        <v>1</v>
      </c>
      <c r="K1929" s="14">
        <v>783.25634238666532</v>
      </c>
      <c r="L1929" s="13">
        <v>27580121.298539218</v>
      </c>
      <c r="M1929" s="14">
        <v>3.741856119182279</v>
      </c>
      <c r="N1929" s="14">
        <v>551.89456751949228</v>
      </c>
      <c r="O1929" s="13">
        <v>19433381.247589342</v>
      </c>
      <c r="P1929" s="13">
        <v>8146740.0509498753</v>
      </c>
      <c r="Q1929" s="14">
        <v>1.4192137203071882</v>
      </c>
      <c r="R1929" s="15">
        <v>0.41921372030718823</v>
      </c>
    </row>
    <row r="1930" spans="1:18" ht="18" customHeight="1">
      <c r="A1930" s="10" t="s">
        <v>73</v>
      </c>
      <c r="B1930" s="10" t="s">
        <v>74</v>
      </c>
      <c r="C1930" s="10" t="s">
        <v>254</v>
      </c>
      <c r="D1930" s="10" t="s">
        <v>259</v>
      </c>
      <c r="E1930" s="16">
        <v>4</v>
      </c>
      <c r="F1930" s="16">
        <v>4</v>
      </c>
      <c r="G1930" s="13">
        <v>149987.45172010318</v>
      </c>
      <c r="H1930" s="13">
        <v>149987.45172010318</v>
      </c>
      <c r="I1930" s="14">
        <v>0</v>
      </c>
      <c r="J1930" s="15">
        <v>1</v>
      </c>
      <c r="K1930" s="14">
        <v>3174.5739014056458</v>
      </c>
      <c r="L1930" s="13">
        <v>476146249.76897889</v>
      </c>
      <c r="M1930" s="14">
        <v>4.4646195969411426</v>
      </c>
      <c r="N1930" s="14">
        <v>2914.8727281275492</v>
      </c>
      <c r="O1930" s="13">
        <v>437194332.58027625</v>
      </c>
      <c r="P1930" s="13">
        <v>38951917.188702643</v>
      </c>
      <c r="Q1930" s="14">
        <v>1.089095201575035</v>
      </c>
      <c r="R1930" s="15">
        <v>8.9095201575035088E-2</v>
      </c>
    </row>
    <row r="1931" spans="1:18" ht="18" customHeight="1">
      <c r="A1931" s="10" t="s">
        <v>73</v>
      </c>
      <c r="B1931" s="10" t="s">
        <v>74</v>
      </c>
      <c r="C1931" s="10" t="s">
        <v>254</v>
      </c>
      <c r="D1931" s="10" t="s">
        <v>260</v>
      </c>
      <c r="E1931" s="16">
        <v>1</v>
      </c>
      <c r="F1931" s="16">
        <v>1</v>
      </c>
      <c r="G1931" s="13">
        <v>5.4913121799999999E-2</v>
      </c>
      <c r="H1931" s="13">
        <v>5.4913121799999999E-2</v>
      </c>
      <c r="I1931" s="14">
        <v>0</v>
      </c>
      <c r="J1931" s="15">
        <v>1</v>
      </c>
      <c r="K1931" s="14">
        <v>251.18864315095794</v>
      </c>
      <c r="L1931" s="13">
        <v>13.79355255612529</v>
      </c>
      <c r="M1931" s="14">
        <v>3.4</v>
      </c>
      <c r="N1931" s="14">
        <v>251.18864315095797</v>
      </c>
      <c r="O1931" s="13">
        <v>13.79355255612529</v>
      </c>
      <c r="P1931" s="13">
        <v>0</v>
      </c>
      <c r="Q1931" s="14">
        <v>1</v>
      </c>
      <c r="R1931" s="15">
        <v>0</v>
      </c>
    </row>
    <row r="1932" spans="1:18" ht="18" customHeight="1">
      <c r="A1932" s="10" t="s">
        <v>73</v>
      </c>
      <c r="B1932" s="10" t="s">
        <v>74</v>
      </c>
      <c r="C1932" s="10" t="s">
        <v>254</v>
      </c>
      <c r="D1932" s="10" t="s">
        <v>261</v>
      </c>
      <c r="E1932" s="16">
        <v>17</v>
      </c>
      <c r="F1932" s="16">
        <v>17</v>
      </c>
      <c r="G1932" s="13">
        <v>6890.2306048800983</v>
      </c>
      <c r="H1932" s="13">
        <v>6890.2306048800983</v>
      </c>
      <c r="I1932" s="14">
        <v>0</v>
      </c>
      <c r="J1932" s="15">
        <v>1</v>
      </c>
      <c r="K1932" s="14">
        <v>2408.6534236074785</v>
      </c>
      <c r="L1932" s="13">
        <v>16596177.535889477</v>
      </c>
      <c r="M1932" s="14">
        <v>4.3571053417992394</v>
      </c>
      <c r="N1932" s="14">
        <v>2275.6493418261289</v>
      </c>
      <c r="O1932" s="13">
        <v>15679748.741025645</v>
      </c>
      <c r="P1932" s="13">
        <v>916428.79486383125</v>
      </c>
      <c r="Q1932" s="14">
        <v>1.0584466505171743</v>
      </c>
      <c r="R1932" s="15">
        <v>5.8446650517174403E-2</v>
      </c>
    </row>
    <row r="1933" spans="1:18" ht="18" customHeight="1">
      <c r="A1933" s="10" t="s">
        <v>73</v>
      </c>
      <c r="B1933" s="10" t="s">
        <v>74</v>
      </c>
      <c r="C1933" s="10" t="s">
        <v>254</v>
      </c>
      <c r="D1933" s="10" t="s">
        <v>262</v>
      </c>
      <c r="E1933" s="16">
        <v>6</v>
      </c>
      <c r="F1933" s="16">
        <v>6</v>
      </c>
      <c r="G1933" s="13">
        <v>4094.7858374279999</v>
      </c>
      <c r="H1933" s="13">
        <v>4094.7858374279999</v>
      </c>
      <c r="I1933" s="14">
        <v>0</v>
      </c>
      <c r="J1933" s="15">
        <v>1</v>
      </c>
      <c r="K1933" s="14">
        <v>523.8572721368655</v>
      </c>
      <c r="L1933" s="13">
        <v>2145083.3387797023</v>
      </c>
      <c r="M1933" s="14">
        <v>3.6963053226477456</v>
      </c>
      <c r="N1933" s="14">
        <v>496.94156418393379</v>
      </c>
      <c r="O1933" s="13">
        <v>2034869.2790496894</v>
      </c>
      <c r="P1933" s="13">
        <v>110214.0597300129</v>
      </c>
      <c r="Q1933" s="14">
        <v>1.0541627223255758</v>
      </c>
      <c r="R1933" s="15">
        <v>5.4162722325575778E-2</v>
      </c>
    </row>
    <row r="1934" spans="1:18" ht="18" customHeight="1">
      <c r="A1934" s="10" t="s">
        <v>73</v>
      </c>
      <c r="B1934" s="10" t="s">
        <v>74</v>
      </c>
      <c r="C1934" s="10" t="s">
        <v>254</v>
      </c>
      <c r="D1934" s="10" t="s">
        <v>263</v>
      </c>
      <c r="E1934" s="16">
        <v>1</v>
      </c>
      <c r="F1934" s="16">
        <v>1</v>
      </c>
      <c r="G1934" s="13">
        <v>254.8355450736</v>
      </c>
      <c r="H1934" s="13">
        <v>254.8355450736</v>
      </c>
      <c r="I1934" s="14">
        <v>0</v>
      </c>
      <c r="J1934" s="15">
        <v>1</v>
      </c>
      <c r="K1934" s="14">
        <v>831.76377110267083</v>
      </c>
      <c r="L1934" s="13">
        <v>211962.9739814222</v>
      </c>
      <c r="M1934" s="14">
        <v>3.92</v>
      </c>
      <c r="N1934" s="14">
        <v>831.76377110267083</v>
      </c>
      <c r="O1934" s="13">
        <v>211962.9739814222</v>
      </c>
      <c r="P1934" s="13">
        <v>0</v>
      </c>
      <c r="Q1934" s="14">
        <v>1</v>
      </c>
      <c r="R1934" s="15">
        <v>0</v>
      </c>
    </row>
    <row r="1935" spans="1:18" ht="18" customHeight="1">
      <c r="A1935" s="10" t="s">
        <v>73</v>
      </c>
      <c r="B1935" s="10" t="s">
        <v>74</v>
      </c>
      <c r="C1935" s="10" t="s">
        <v>254</v>
      </c>
      <c r="D1935" s="10" t="s">
        <v>264</v>
      </c>
      <c r="E1935" s="16">
        <v>29</v>
      </c>
      <c r="F1935" s="16">
        <v>29</v>
      </c>
      <c r="G1935" s="13">
        <v>18410.2083282495</v>
      </c>
      <c r="H1935" s="13">
        <v>18410.2083282495</v>
      </c>
      <c r="I1935" s="14">
        <v>0</v>
      </c>
      <c r="J1935" s="15">
        <v>1</v>
      </c>
      <c r="K1935" s="14">
        <v>1882.9047044469485</v>
      </c>
      <c r="L1935" s="13">
        <v>34664667.871109374</v>
      </c>
      <c r="M1935" s="14">
        <v>4.2256836469578873</v>
      </c>
      <c r="N1935" s="14">
        <v>1681.4487974560034</v>
      </c>
      <c r="O1935" s="13">
        <v>30955822.654449619</v>
      </c>
      <c r="P1935" s="13">
        <v>3708845.2166597545</v>
      </c>
      <c r="Q1935" s="14">
        <v>1.1198109078883305</v>
      </c>
      <c r="R1935" s="15">
        <v>0.11981090788833039</v>
      </c>
    </row>
    <row r="1936" spans="1:18" ht="18" customHeight="1">
      <c r="A1936" s="10" t="s">
        <v>73</v>
      </c>
      <c r="B1936" s="10" t="s">
        <v>74</v>
      </c>
      <c r="C1936" s="10" t="s">
        <v>254</v>
      </c>
      <c r="D1936" s="10" t="s">
        <v>265</v>
      </c>
      <c r="E1936" s="16">
        <v>8</v>
      </c>
      <c r="F1936" s="16">
        <v>8</v>
      </c>
      <c r="G1936" s="13">
        <v>4936.7618480225001</v>
      </c>
      <c r="H1936" s="13">
        <v>4936.7618480225001</v>
      </c>
      <c r="I1936" s="14">
        <v>0</v>
      </c>
      <c r="J1936" s="15">
        <v>1</v>
      </c>
      <c r="K1936" s="14">
        <v>82.723103841358778</v>
      </c>
      <c r="L1936" s="13">
        <v>408384.26299402351</v>
      </c>
      <c r="M1936" s="14">
        <v>2.7333388669650218</v>
      </c>
      <c r="N1936" s="14">
        <v>54.117642198733179</v>
      </c>
      <c r="O1936" s="13">
        <v>267165.91131163843</v>
      </c>
      <c r="P1936" s="13">
        <v>141218.35168238508</v>
      </c>
      <c r="Q1936" s="14">
        <v>1.528579229996373</v>
      </c>
      <c r="R1936" s="15">
        <v>0.52857922999637286</v>
      </c>
    </row>
    <row r="1937" spans="1:18" ht="18" customHeight="1">
      <c r="A1937" s="10" t="s">
        <v>73</v>
      </c>
      <c r="B1937" s="10" t="s">
        <v>74</v>
      </c>
      <c r="C1937" s="10" t="s">
        <v>254</v>
      </c>
      <c r="D1937" s="10" t="s">
        <v>266</v>
      </c>
      <c r="E1937" s="16">
        <v>11</v>
      </c>
      <c r="F1937" s="16">
        <v>11</v>
      </c>
      <c r="G1937" s="13">
        <v>4421.5642559183998</v>
      </c>
      <c r="H1937" s="13">
        <v>4421.5642559183998</v>
      </c>
      <c r="I1937" s="14">
        <v>0</v>
      </c>
      <c r="J1937" s="15">
        <v>1</v>
      </c>
      <c r="K1937" s="14">
        <v>1184.5574231728122</v>
      </c>
      <c r="L1937" s="13">
        <v>5237596.7613837123</v>
      </c>
      <c r="M1937" s="14">
        <v>3.7676246475259125</v>
      </c>
      <c r="N1937" s="14">
        <v>585.63179528252829</v>
      </c>
      <c r="O1937" s="13">
        <v>2589408.6131505487</v>
      </c>
      <c r="P1937" s="13">
        <v>2648188.1482331636</v>
      </c>
      <c r="Q1937" s="14">
        <v>2.0226999843841167</v>
      </c>
      <c r="R1937" s="15">
        <v>1.0226999843841167</v>
      </c>
    </row>
    <row r="1938" spans="1:18" ht="18" customHeight="1">
      <c r="A1938" s="10" t="s">
        <v>73</v>
      </c>
      <c r="B1938" s="10" t="s">
        <v>74</v>
      </c>
      <c r="C1938" s="10" t="s">
        <v>254</v>
      </c>
      <c r="D1938" s="10" t="s">
        <v>267</v>
      </c>
      <c r="E1938" s="16">
        <v>10</v>
      </c>
      <c r="F1938" s="16">
        <v>10</v>
      </c>
      <c r="G1938" s="13">
        <v>16023.136463771698</v>
      </c>
      <c r="H1938" s="13">
        <v>16023.136463771698</v>
      </c>
      <c r="I1938" s="14">
        <v>0</v>
      </c>
      <c r="J1938" s="15">
        <v>1</v>
      </c>
      <c r="K1938" s="14">
        <v>933.57757557818456</v>
      </c>
      <c r="L1938" s="13">
        <v>14958840.893006388</v>
      </c>
      <c r="M1938" s="14">
        <v>3.8837607368323841</v>
      </c>
      <c r="N1938" s="14">
        <v>765.17493768144402</v>
      </c>
      <c r="O1938" s="13">
        <v>12260502.445127781</v>
      </c>
      <c r="P1938" s="13">
        <v>2698338.4478786066</v>
      </c>
      <c r="Q1938" s="14">
        <v>1.2200838391375146</v>
      </c>
      <c r="R1938" s="15">
        <v>0.22008383913751456</v>
      </c>
    </row>
    <row r="1939" spans="1:18" ht="18" customHeight="1">
      <c r="A1939" s="10" t="s">
        <v>73</v>
      </c>
      <c r="B1939" s="10" t="s">
        <v>74</v>
      </c>
      <c r="C1939" s="10" t="s">
        <v>254</v>
      </c>
      <c r="D1939" s="10" t="s">
        <v>268</v>
      </c>
      <c r="E1939" s="16">
        <v>15</v>
      </c>
      <c r="F1939" s="16">
        <v>15</v>
      </c>
      <c r="G1939" s="13">
        <v>31756.307247082401</v>
      </c>
      <c r="H1939" s="13">
        <v>31756.307247082401</v>
      </c>
      <c r="I1939" s="14">
        <v>0</v>
      </c>
      <c r="J1939" s="15">
        <v>1</v>
      </c>
      <c r="K1939" s="14">
        <v>623.09015069628765</v>
      </c>
      <c r="L1939" s="13">
        <v>19787042.268142186</v>
      </c>
      <c r="M1939" s="14">
        <v>3.6828176135670452</v>
      </c>
      <c r="N1939" s="14">
        <v>481.74544118608634</v>
      </c>
      <c r="O1939" s="13">
        <v>15298456.245186621</v>
      </c>
      <c r="P1939" s="13">
        <v>4488586.0229555648</v>
      </c>
      <c r="Q1939" s="14">
        <v>1.2934012393811183</v>
      </c>
      <c r="R1939" s="15">
        <v>0.29340123938111834</v>
      </c>
    </row>
    <row r="1940" spans="1:18" ht="18" customHeight="1">
      <c r="A1940" s="10" t="s">
        <v>73</v>
      </c>
      <c r="B1940" s="10" t="s">
        <v>74</v>
      </c>
      <c r="C1940" s="10" t="s">
        <v>254</v>
      </c>
      <c r="D1940" s="10" t="s">
        <v>269</v>
      </c>
      <c r="E1940" s="16">
        <v>16</v>
      </c>
      <c r="F1940" s="16">
        <v>16</v>
      </c>
      <c r="G1940" s="13">
        <v>59057.058629881096</v>
      </c>
      <c r="H1940" s="13">
        <v>59057.058629881096</v>
      </c>
      <c r="I1940" s="14">
        <v>0</v>
      </c>
      <c r="J1940" s="15">
        <v>1</v>
      </c>
      <c r="K1940" s="14">
        <v>535.48360623935935</v>
      </c>
      <c r="L1940" s="13">
        <v>31624086.72901801</v>
      </c>
      <c r="M1940" s="14">
        <v>3.5002210313842732</v>
      </c>
      <c r="N1940" s="14">
        <v>316.38874906733878</v>
      </c>
      <c r="O1940" s="13">
        <v>18684988.903504565</v>
      </c>
      <c r="P1940" s="13">
        <v>12939097.825513445</v>
      </c>
      <c r="Q1940" s="14">
        <v>1.6924862461698642</v>
      </c>
      <c r="R1940" s="15">
        <v>0.69248624616986432</v>
      </c>
    </row>
    <row r="1941" spans="1:18" ht="18" customHeight="1">
      <c r="A1941" s="10" t="s">
        <v>73</v>
      </c>
      <c r="B1941" s="10" t="s">
        <v>74</v>
      </c>
      <c r="C1941" s="10" t="s">
        <v>254</v>
      </c>
      <c r="D1941" s="10" t="s">
        <v>270</v>
      </c>
      <c r="E1941" s="16">
        <v>10</v>
      </c>
      <c r="F1941" s="16">
        <v>10</v>
      </c>
      <c r="G1941" s="13">
        <v>59273.740845969805</v>
      </c>
      <c r="H1941" s="13">
        <v>59273.740845969805</v>
      </c>
      <c r="I1941" s="14">
        <v>0</v>
      </c>
      <c r="J1941" s="15">
        <v>1</v>
      </c>
      <c r="K1941" s="14">
        <v>688.92724238138794</v>
      </c>
      <c r="L1941" s="13">
        <v>40835294.826643012</v>
      </c>
      <c r="M1941" s="14">
        <v>3.7788321195325931</v>
      </c>
      <c r="N1941" s="14">
        <v>600.94139323770435</v>
      </c>
      <c r="O1941" s="13">
        <v>35620044.406387717</v>
      </c>
      <c r="P1941" s="13">
        <v>5215250.4202552959</v>
      </c>
      <c r="Q1941" s="14">
        <v>1.1464133609928921</v>
      </c>
      <c r="R1941" s="15">
        <v>0.14641336099289221</v>
      </c>
    </row>
    <row r="1942" spans="1:18" ht="18" customHeight="1">
      <c r="A1942" s="10" t="s">
        <v>73</v>
      </c>
      <c r="B1942" s="10" t="s">
        <v>74</v>
      </c>
      <c r="C1942" s="10" t="s">
        <v>254</v>
      </c>
      <c r="D1942" s="10" t="s">
        <v>276</v>
      </c>
      <c r="E1942" s="16">
        <v>6</v>
      </c>
      <c r="F1942" s="16">
        <v>6</v>
      </c>
      <c r="G1942" s="13">
        <v>128.59219492250003</v>
      </c>
      <c r="H1942" s="13">
        <v>128.59219492250003</v>
      </c>
      <c r="I1942" s="14">
        <v>0</v>
      </c>
      <c r="J1942" s="15">
        <v>1</v>
      </c>
      <c r="K1942" s="14">
        <v>544.83016211271297</v>
      </c>
      <c r="L1942" s="13">
        <v>70060.906406055277</v>
      </c>
      <c r="M1942" s="14">
        <v>3.443539837106897</v>
      </c>
      <c r="N1942" s="14">
        <v>277.67695428526429</v>
      </c>
      <c r="O1942" s="13">
        <v>35707.089030936833</v>
      </c>
      <c r="P1942" s="13">
        <v>34353.817375118444</v>
      </c>
      <c r="Q1942" s="14">
        <v>1.9621007566691895</v>
      </c>
      <c r="R1942" s="15">
        <v>0.96210075666918948</v>
      </c>
    </row>
    <row r="1943" spans="1:18" ht="18" customHeight="1">
      <c r="A1943" s="10" t="s">
        <v>73</v>
      </c>
      <c r="B1943" s="10" t="s">
        <v>74</v>
      </c>
      <c r="C1943" s="10" t="s">
        <v>254</v>
      </c>
      <c r="D1943" s="10" t="s">
        <v>271</v>
      </c>
      <c r="E1943" s="16">
        <v>16</v>
      </c>
      <c r="F1943" s="16">
        <v>16</v>
      </c>
      <c r="G1943" s="13">
        <v>6055.6315499435004</v>
      </c>
      <c r="H1943" s="13">
        <v>6055.6315499435004</v>
      </c>
      <c r="I1943" s="14">
        <v>0</v>
      </c>
      <c r="J1943" s="15">
        <v>1</v>
      </c>
      <c r="K1943" s="14">
        <v>17.154309606976046</v>
      </c>
      <c r="L1943" s="13">
        <v>103880.17847350302</v>
      </c>
      <c r="M1943" s="14">
        <v>2.1822348618757914</v>
      </c>
      <c r="N1943" s="14">
        <v>15.213700481856549</v>
      </c>
      <c r="O1943" s="13">
        <v>92128.564629321147</v>
      </c>
      <c r="P1943" s="13">
        <v>11751.613844181877</v>
      </c>
      <c r="Q1943" s="14">
        <v>1.127556680074898</v>
      </c>
      <c r="R1943" s="15">
        <v>0.12755668007489795</v>
      </c>
    </row>
    <row r="1944" spans="1:18" ht="18" customHeight="1">
      <c r="A1944" s="10" t="s">
        <v>73</v>
      </c>
      <c r="B1944" s="10" t="s">
        <v>74</v>
      </c>
      <c r="C1944" s="10" t="s">
        <v>254</v>
      </c>
      <c r="D1944" s="10" t="s">
        <v>272</v>
      </c>
      <c r="E1944" s="16">
        <v>4</v>
      </c>
      <c r="F1944" s="16">
        <v>4</v>
      </c>
      <c r="G1944" s="13">
        <v>4.0210568033000005</v>
      </c>
      <c r="H1944" s="13">
        <v>4.0210568033000005</v>
      </c>
      <c r="I1944" s="14">
        <v>0</v>
      </c>
      <c r="J1944" s="15">
        <v>1</v>
      </c>
      <c r="K1944" s="14">
        <v>74.812165757674563</v>
      </c>
      <c r="L1944" s="13">
        <v>300.82396808950466</v>
      </c>
      <c r="M1944" s="14">
        <v>2.7003973975174107</v>
      </c>
      <c r="N1944" s="14">
        <v>50.164605068155268</v>
      </c>
      <c r="O1944" s="13">
        <v>201.71472649416341</v>
      </c>
      <c r="P1944" s="13">
        <v>99.109241595341246</v>
      </c>
      <c r="Q1944" s="14">
        <v>1.4913336934683792</v>
      </c>
      <c r="R1944" s="15">
        <v>0.49133369346837924</v>
      </c>
    </row>
    <row r="1945" spans="1:18" ht="18" customHeight="1">
      <c r="A1945" s="10" t="s">
        <v>73</v>
      </c>
      <c r="B1945" s="10" t="s">
        <v>74</v>
      </c>
      <c r="C1945" s="10" t="s">
        <v>254</v>
      </c>
      <c r="D1945" s="10" t="s">
        <v>280</v>
      </c>
      <c r="E1945" s="16">
        <v>1</v>
      </c>
      <c r="F1945" s="16">
        <v>1</v>
      </c>
      <c r="G1945" s="13">
        <v>3.3585673764000004</v>
      </c>
      <c r="H1945" s="13">
        <v>3.3585673764000004</v>
      </c>
      <c r="I1945" s="14">
        <v>0</v>
      </c>
      <c r="J1945" s="15">
        <v>1</v>
      </c>
      <c r="K1945" s="14">
        <v>323.59365692962808</v>
      </c>
      <c r="L1945" s="13">
        <v>1086.8110993738228</v>
      </c>
      <c r="M1945" s="14">
        <v>3.51</v>
      </c>
      <c r="N1945" s="14">
        <v>323.59365692962808</v>
      </c>
      <c r="O1945" s="13">
        <v>1086.8110993738228</v>
      </c>
      <c r="P1945" s="13">
        <v>0</v>
      </c>
      <c r="Q1945" s="14">
        <v>1</v>
      </c>
      <c r="R1945" s="15">
        <v>0</v>
      </c>
    </row>
    <row r="1946" spans="1:18" ht="18" customHeight="1">
      <c r="A1946" s="10" t="s">
        <v>73</v>
      </c>
      <c r="B1946" s="10" t="s">
        <v>74</v>
      </c>
      <c r="C1946" s="10" t="s">
        <v>254</v>
      </c>
      <c r="D1946" s="10" t="s">
        <v>281</v>
      </c>
      <c r="E1946" s="16">
        <v>1</v>
      </c>
      <c r="F1946" s="16">
        <v>1</v>
      </c>
      <c r="G1946" s="13">
        <v>11.032067511399999</v>
      </c>
      <c r="H1946" s="13">
        <v>11.032067511399999</v>
      </c>
      <c r="I1946" s="14">
        <v>0</v>
      </c>
      <c r="J1946" s="15">
        <v>1</v>
      </c>
      <c r="K1946" s="14">
        <v>316.22776601683796</v>
      </c>
      <c r="L1946" s="13">
        <v>3488.6460636769589</v>
      </c>
      <c r="M1946" s="14">
        <v>3.5</v>
      </c>
      <c r="N1946" s="14">
        <v>316.22776601683796</v>
      </c>
      <c r="O1946" s="13">
        <v>3488.6460636769589</v>
      </c>
      <c r="P1946" s="13">
        <v>0</v>
      </c>
      <c r="Q1946" s="14">
        <v>1</v>
      </c>
      <c r="R1946" s="15">
        <v>0</v>
      </c>
    </row>
    <row r="1947" spans="1:18" ht="18" customHeight="1">
      <c r="A1947" s="10" t="s">
        <v>73</v>
      </c>
      <c r="B1947" s="10" t="s">
        <v>74</v>
      </c>
      <c r="C1947" s="10" t="s">
        <v>254</v>
      </c>
      <c r="D1947" s="10" t="s">
        <v>283</v>
      </c>
      <c r="E1947" s="16">
        <v>1</v>
      </c>
      <c r="F1947" s="16">
        <v>1</v>
      </c>
      <c r="G1947" s="13">
        <v>109.83820586740001</v>
      </c>
      <c r="H1947" s="13">
        <v>109.83820586740001</v>
      </c>
      <c r="I1947" s="14">
        <v>0</v>
      </c>
      <c r="J1947" s="15">
        <v>1</v>
      </c>
      <c r="K1947" s="14">
        <v>141.2537544622754</v>
      </c>
      <c r="L1947" s="13">
        <v>15515.058962170577</v>
      </c>
      <c r="M1947" s="14">
        <v>3.15</v>
      </c>
      <c r="N1947" s="14">
        <v>141.2537544622754</v>
      </c>
      <c r="O1947" s="13">
        <v>15515.058962170577</v>
      </c>
      <c r="P1947" s="13">
        <v>0</v>
      </c>
      <c r="Q1947" s="14">
        <v>1</v>
      </c>
      <c r="R1947" s="15">
        <v>0</v>
      </c>
    </row>
    <row r="1948" spans="1:18" ht="18" customHeight="1">
      <c r="A1948" s="10" t="s">
        <v>73</v>
      </c>
      <c r="B1948" s="10" t="s">
        <v>74</v>
      </c>
      <c r="C1948" s="10" t="s">
        <v>254</v>
      </c>
      <c r="D1948" s="10" t="s">
        <v>278</v>
      </c>
      <c r="E1948" s="16">
        <v>2</v>
      </c>
      <c r="F1948" s="16">
        <v>2</v>
      </c>
      <c r="G1948" s="13">
        <v>363.26673842980006</v>
      </c>
      <c r="H1948" s="13">
        <v>363.26673842980006</v>
      </c>
      <c r="I1948" s="14">
        <v>0</v>
      </c>
      <c r="J1948" s="15">
        <v>1</v>
      </c>
      <c r="K1948" s="14">
        <v>129.60842278966956</v>
      </c>
      <c r="L1948" s="13">
        <v>47082.429019833828</v>
      </c>
      <c r="M1948" s="14">
        <v>3.1116304577853291</v>
      </c>
      <c r="N1948" s="14">
        <v>129.30950754978508</v>
      </c>
      <c r="O1948" s="13">
        <v>46973.843055574034</v>
      </c>
      <c r="P1948" s="13">
        <v>108.5859642597934</v>
      </c>
      <c r="Q1948" s="14">
        <v>1.0023116261560998</v>
      </c>
      <c r="R1948" s="15">
        <v>2.3116261560998321E-3</v>
      </c>
    </row>
    <row r="1949" spans="1:18" ht="18" customHeight="1">
      <c r="A1949" s="10" t="s">
        <v>73</v>
      </c>
      <c r="B1949" s="10" t="s">
        <v>74</v>
      </c>
      <c r="C1949" s="10" t="s">
        <v>254</v>
      </c>
      <c r="D1949" s="10" t="s">
        <v>273</v>
      </c>
      <c r="E1949" s="16">
        <v>9</v>
      </c>
      <c r="F1949" s="16">
        <v>9</v>
      </c>
      <c r="G1949" s="13">
        <v>462.80924046250004</v>
      </c>
      <c r="H1949" s="13">
        <v>462.80924046250004</v>
      </c>
      <c r="I1949" s="14">
        <v>0</v>
      </c>
      <c r="J1949" s="15">
        <v>1</v>
      </c>
      <c r="K1949" s="14">
        <v>372.14810783745753</v>
      </c>
      <c r="L1949" s="13">
        <v>172233.58312781027</v>
      </c>
      <c r="M1949" s="14">
        <v>2.8309970927528778</v>
      </c>
      <c r="N1949" s="14">
        <v>67.763697136899808</v>
      </c>
      <c r="O1949" s="13">
        <v>31361.665202859487</v>
      </c>
      <c r="P1949" s="13">
        <v>140871.91792495077</v>
      </c>
      <c r="Q1949" s="14">
        <v>5.4918507041554152</v>
      </c>
      <c r="R1949" s="15">
        <v>4.4918507041554152</v>
      </c>
    </row>
    <row r="1950" spans="1:18" ht="18" customHeight="1">
      <c r="A1950" s="10" t="s">
        <v>73</v>
      </c>
      <c r="B1950" s="10" t="s">
        <v>74</v>
      </c>
      <c r="C1950" s="10" t="s">
        <v>254</v>
      </c>
      <c r="D1950" s="10" t="s">
        <v>274</v>
      </c>
      <c r="E1950" s="16">
        <v>2</v>
      </c>
      <c r="F1950" s="16">
        <v>2</v>
      </c>
      <c r="G1950" s="13">
        <v>1744.0761210575001</v>
      </c>
      <c r="H1950" s="13">
        <v>1744.0761210575001</v>
      </c>
      <c r="I1950" s="14">
        <v>0</v>
      </c>
      <c r="J1950" s="15">
        <v>1</v>
      </c>
      <c r="K1950" s="14">
        <v>376.73990501289126</v>
      </c>
      <c r="L1950" s="13">
        <v>657063.0721824544</v>
      </c>
      <c r="M1950" s="14">
        <v>3.5747901280270922</v>
      </c>
      <c r="N1950" s="14">
        <v>375.65582546317984</v>
      </c>
      <c r="O1950" s="13">
        <v>655172.35492647602</v>
      </c>
      <c r="P1950" s="13">
        <v>1890.7172559783794</v>
      </c>
      <c r="Q1950" s="14">
        <v>1.0028858318605194</v>
      </c>
      <c r="R1950" s="15">
        <v>2.8858318605194462E-3</v>
      </c>
    </row>
    <row r="1951" spans="1:18" ht="18" customHeight="1">
      <c r="A1951" s="10" t="s">
        <v>73</v>
      </c>
      <c r="B1951" s="10" t="s">
        <v>74</v>
      </c>
      <c r="C1951" s="10" t="s">
        <v>254</v>
      </c>
      <c r="D1951" s="10" t="s">
        <v>282</v>
      </c>
      <c r="E1951" s="16">
        <v>3</v>
      </c>
      <c r="F1951" s="16">
        <v>3</v>
      </c>
      <c r="G1951" s="13">
        <v>3177.6184165408004</v>
      </c>
      <c r="H1951" s="13">
        <v>3177.6184165408004</v>
      </c>
      <c r="I1951" s="14">
        <v>0</v>
      </c>
      <c r="J1951" s="15">
        <v>1</v>
      </c>
      <c r="K1951" s="14">
        <v>329.51832117033752</v>
      </c>
      <c r="L1951" s="13">
        <v>1047083.4859384708</v>
      </c>
      <c r="M1951" s="14">
        <v>3.517824507827445</v>
      </c>
      <c r="N1951" s="14">
        <v>329.4765485257908</v>
      </c>
      <c r="O1951" s="13">
        <v>1046950.7484138516</v>
      </c>
      <c r="P1951" s="13">
        <v>132.73752461920958</v>
      </c>
      <c r="Q1951" s="14">
        <v>1.0001267848796329</v>
      </c>
      <c r="R1951" s="15">
        <v>1.267848796328855E-4</v>
      </c>
    </row>
    <row r="1952" spans="1:18" ht="18" customHeight="1">
      <c r="A1952" s="10" t="s">
        <v>73</v>
      </c>
      <c r="B1952" s="10" t="s">
        <v>74</v>
      </c>
      <c r="C1952" s="10" t="s">
        <v>254</v>
      </c>
      <c r="D1952" s="10" t="s">
        <v>275</v>
      </c>
      <c r="E1952" s="16">
        <v>3</v>
      </c>
      <c r="F1952" s="16">
        <v>3</v>
      </c>
      <c r="G1952" s="13">
        <v>148.9214503112</v>
      </c>
      <c r="H1952" s="13">
        <v>148.9214503112</v>
      </c>
      <c r="I1952" s="14">
        <v>0</v>
      </c>
      <c r="J1952" s="15">
        <v>1</v>
      </c>
      <c r="K1952" s="14">
        <v>1672.1198028913166</v>
      </c>
      <c r="L1952" s="13">
        <v>249014.50614065275</v>
      </c>
      <c r="M1952" s="14">
        <v>4.2086776806280657</v>
      </c>
      <c r="N1952" s="14">
        <v>1616.8795962915979</v>
      </c>
      <c r="O1952" s="13">
        <v>240788.05445833231</v>
      </c>
      <c r="P1952" s="13">
        <v>8226.4516823204467</v>
      </c>
      <c r="Q1952" s="14">
        <v>1.0341647001585124</v>
      </c>
      <c r="R1952" s="15">
        <v>3.4164700158512272E-2</v>
      </c>
    </row>
    <row r="1953" spans="1:18" ht="18" customHeight="1">
      <c r="A1953" s="10" t="s">
        <v>24</v>
      </c>
      <c r="B1953" s="10" t="s">
        <v>25</v>
      </c>
      <c r="C1953" s="10" t="s">
        <v>254</v>
      </c>
      <c r="D1953" s="10" t="s">
        <v>255</v>
      </c>
      <c r="E1953" s="16">
        <v>12</v>
      </c>
      <c r="F1953" s="16">
        <v>12</v>
      </c>
      <c r="G1953" s="13">
        <v>244503.22427324337</v>
      </c>
      <c r="H1953" s="13">
        <v>244503.22427324337</v>
      </c>
      <c r="I1953" s="14">
        <v>0</v>
      </c>
      <c r="J1953" s="15">
        <v>1</v>
      </c>
      <c r="K1953" s="14">
        <v>982.59536412322325</v>
      </c>
      <c r="L1953" s="13">
        <v>240247734.68406969</v>
      </c>
      <c r="M1953" s="14">
        <v>3.9132250246698677</v>
      </c>
      <c r="N1953" s="14">
        <v>818.88897609637183</v>
      </c>
      <c r="O1953" s="13">
        <v>200220994.97737783</v>
      </c>
      <c r="P1953" s="13">
        <v>40026739.706691861</v>
      </c>
      <c r="Q1953" s="14">
        <v>1.199912799909991</v>
      </c>
      <c r="R1953" s="15">
        <v>0.19991279990999106</v>
      </c>
    </row>
    <row r="1954" spans="1:18" ht="18" customHeight="1">
      <c r="A1954" s="10" t="s">
        <v>24</v>
      </c>
      <c r="B1954" s="10" t="s">
        <v>25</v>
      </c>
      <c r="C1954" s="10" t="s">
        <v>254</v>
      </c>
      <c r="D1954" s="10" t="s">
        <v>277</v>
      </c>
      <c r="E1954" s="16">
        <v>4</v>
      </c>
      <c r="F1954" s="16">
        <v>4</v>
      </c>
      <c r="G1954" s="13">
        <v>162114.01245256959</v>
      </c>
      <c r="H1954" s="13">
        <v>162114.01245256959</v>
      </c>
      <c r="I1954" s="14">
        <v>0</v>
      </c>
      <c r="J1954" s="15">
        <v>1</v>
      </c>
      <c r="K1954" s="14">
        <v>244.20613358393553</v>
      </c>
      <c r="L1954" s="13">
        <v>39589236.180819996</v>
      </c>
      <c r="M1954" s="14">
        <v>3.330054953624773</v>
      </c>
      <c r="N1954" s="14">
        <v>213.8232634500842</v>
      </c>
      <c r="O1954" s="13">
        <v>34663747.19359602</v>
      </c>
      <c r="P1954" s="13">
        <v>4925488.9872239754</v>
      </c>
      <c r="Q1954" s="14">
        <v>1.1420933795678598</v>
      </c>
      <c r="R1954" s="15">
        <v>0.14209337956785983</v>
      </c>
    </row>
    <row r="1955" spans="1:18" ht="18" customHeight="1">
      <c r="A1955" s="10" t="s">
        <v>24</v>
      </c>
      <c r="B1955" s="10" t="s">
        <v>25</v>
      </c>
      <c r="C1955" s="10" t="s">
        <v>254</v>
      </c>
      <c r="D1955" s="10" t="s">
        <v>258</v>
      </c>
      <c r="E1955" s="16">
        <v>8</v>
      </c>
      <c r="F1955" s="16">
        <v>8</v>
      </c>
      <c r="G1955" s="13">
        <v>476355.10137950536</v>
      </c>
      <c r="H1955" s="13">
        <v>476355.10137950536</v>
      </c>
      <c r="I1955" s="14">
        <v>0</v>
      </c>
      <c r="J1955" s="15">
        <v>1</v>
      </c>
      <c r="K1955" s="14">
        <v>2333.8645125820526</v>
      </c>
      <c r="L1955" s="13">
        <v>1111748266.4970536</v>
      </c>
      <c r="M1955" s="14">
        <v>4.2473576378668279</v>
      </c>
      <c r="N1955" s="14">
        <v>1767.4927370070802</v>
      </c>
      <c r="O1955" s="13">
        <v>841954181.92454708</v>
      </c>
      <c r="P1955" s="13">
        <v>269794084.57250655</v>
      </c>
      <c r="Q1955" s="14">
        <v>1.3204379648733482</v>
      </c>
      <c r="R1955" s="15">
        <v>0.32043796487334808</v>
      </c>
    </row>
    <row r="1956" spans="1:18" ht="18" customHeight="1">
      <c r="A1956" s="10" t="s">
        <v>24</v>
      </c>
      <c r="B1956" s="10" t="s">
        <v>25</v>
      </c>
      <c r="C1956" s="10" t="s">
        <v>254</v>
      </c>
      <c r="D1956" s="10" t="s">
        <v>259</v>
      </c>
      <c r="E1956" s="16">
        <v>8</v>
      </c>
      <c r="F1956" s="16">
        <v>8</v>
      </c>
      <c r="G1956" s="13">
        <v>176147.42237189031</v>
      </c>
      <c r="H1956" s="13">
        <v>176147.42237189031</v>
      </c>
      <c r="I1956" s="14">
        <v>0</v>
      </c>
      <c r="J1956" s="15">
        <v>1</v>
      </c>
      <c r="K1956" s="14">
        <v>1960.8820069983117</v>
      </c>
      <c r="L1956" s="13">
        <v>345404311.10817158</v>
      </c>
      <c r="M1956" s="14">
        <v>4.2520819243915993</v>
      </c>
      <c r="N1956" s="14">
        <v>1786.8246058733166</v>
      </c>
      <c r="O1956" s="13">
        <v>314744548.55525351</v>
      </c>
      <c r="P1956" s="13">
        <v>30659762.552918077</v>
      </c>
      <c r="Q1956" s="14">
        <v>1.0974115761294456</v>
      </c>
      <c r="R1956" s="15">
        <v>9.7411576129445634E-2</v>
      </c>
    </row>
    <row r="1957" spans="1:18" ht="18" customHeight="1">
      <c r="A1957" s="10" t="s">
        <v>24</v>
      </c>
      <c r="B1957" s="10" t="s">
        <v>25</v>
      </c>
      <c r="C1957" s="10" t="s">
        <v>254</v>
      </c>
      <c r="D1957" s="10" t="s">
        <v>260</v>
      </c>
      <c r="E1957" s="16">
        <v>1</v>
      </c>
      <c r="F1957" s="16">
        <v>1</v>
      </c>
      <c r="G1957" s="13">
        <v>6225.5744773235001</v>
      </c>
      <c r="H1957" s="13">
        <v>6225.5744773235001</v>
      </c>
      <c r="I1957" s="14">
        <v>0</v>
      </c>
      <c r="J1957" s="15">
        <v>1</v>
      </c>
      <c r="K1957" s="14">
        <v>1778.2794100389231</v>
      </c>
      <c r="L1957" s="13">
        <v>11070810.90868821</v>
      </c>
      <c r="M1957" s="14">
        <v>4.25</v>
      </c>
      <c r="N1957" s="14">
        <v>1778.2794100389228</v>
      </c>
      <c r="O1957" s="13">
        <v>11070810.90868821</v>
      </c>
      <c r="P1957" s="13">
        <v>0</v>
      </c>
      <c r="Q1957" s="14">
        <v>1</v>
      </c>
      <c r="R1957" s="15">
        <v>0</v>
      </c>
    </row>
    <row r="1958" spans="1:18" ht="18" customHeight="1">
      <c r="A1958" s="10" t="s">
        <v>24</v>
      </c>
      <c r="B1958" s="10" t="s">
        <v>25</v>
      </c>
      <c r="C1958" s="10" t="s">
        <v>254</v>
      </c>
      <c r="D1958" s="10" t="s">
        <v>261</v>
      </c>
      <c r="E1958" s="16">
        <v>22</v>
      </c>
      <c r="F1958" s="16">
        <v>22</v>
      </c>
      <c r="G1958" s="13">
        <v>202034.05612440169</v>
      </c>
      <c r="H1958" s="13">
        <v>202034.05612440169</v>
      </c>
      <c r="I1958" s="14">
        <v>0</v>
      </c>
      <c r="J1958" s="15">
        <v>1</v>
      </c>
      <c r="K1958" s="14">
        <v>2581.8645726605591</v>
      </c>
      <c r="L1958" s="13">
        <v>521624571.97850782</v>
      </c>
      <c r="M1958" s="14">
        <v>4.4055812237734795</v>
      </c>
      <c r="N1958" s="14">
        <v>2544.3756095915874</v>
      </c>
      <c r="O1958" s="13">
        <v>514050524.70978552</v>
      </c>
      <c r="P1958" s="13">
        <v>7574047.2687222958</v>
      </c>
      <c r="Q1958" s="14">
        <v>1.0147340522081916</v>
      </c>
      <c r="R1958" s="15">
        <v>1.4734052208191658E-2</v>
      </c>
    </row>
    <row r="1959" spans="1:18" ht="18" customHeight="1">
      <c r="A1959" s="10" t="s">
        <v>24</v>
      </c>
      <c r="B1959" s="10" t="s">
        <v>25</v>
      </c>
      <c r="C1959" s="10" t="s">
        <v>254</v>
      </c>
      <c r="D1959" s="10" t="s">
        <v>262</v>
      </c>
      <c r="E1959" s="16">
        <v>2</v>
      </c>
      <c r="F1959" s="16">
        <v>2</v>
      </c>
      <c r="G1959" s="13">
        <v>123.59276146489999</v>
      </c>
      <c r="H1959" s="13">
        <v>123.59276146489999</v>
      </c>
      <c r="I1959" s="14">
        <v>0</v>
      </c>
      <c r="J1959" s="15">
        <v>1</v>
      </c>
      <c r="K1959" s="14">
        <v>528.17005351061414</v>
      </c>
      <c r="L1959" s="13">
        <v>65277.995436440797</v>
      </c>
      <c r="M1959" s="14">
        <v>3.7224158945628933</v>
      </c>
      <c r="N1959" s="14">
        <v>527.73499576472682</v>
      </c>
      <c r="O1959" s="13">
        <v>65224.225448229889</v>
      </c>
      <c r="P1959" s="13">
        <v>53.769988210908195</v>
      </c>
      <c r="Q1959" s="14">
        <v>1.0008243867649083</v>
      </c>
      <c r="R1959" s="15">
        <v>8.2438676490818267E-4</v>
      </c>
    </row>
    <row r="1960" spans="1:18" ht="18" customHeight="1">
      <c r="A1960" s="10" t="s">
        <v>24</v>
      </c>
      <c r="B1960" s="10" t="s">
        <v>25</v>
      </c>
      <c r="C1960" s="10" t="s">
        <v>254</v>
      </c>
      <c r="D1960" s="10" t="s">
        <v>263</v>
      </c>
      <c r="E1960" s="16">
        <v>9</v>
      </c>
      <c r="F1960" s="16">
        <v>9</v>
      </c>
      <c r="G1960" s="13">
        <v>8538.7138993152003</v>
      </c>
      <c r="H1960" s="13">
        <v>8538.7138993152003</v>
      </c>
      <c r="I1960" s="14">
        <v>0</v>
      </c>
      <c r="J1960" s="15">
        <v>1</v>
      </c>
      <c r="K1960" s="14">
        <v>617.83925686244959</v>
      </c>
      <c r="L1960" s="13">
        <v>5275552.6501139728</v>
      </c>
      <c r="M1960" s="14">
        <v>3.6942471646665931</v>
      </c>
      <c r="N1960" s="14">
        <v>494.59208800418804</v>
      </c>
      <c r="O1960" s="13">
        <v>4223180.3363326872</v>
      </c>
      <c r="P1960" s="13">
        <v>1052372.3137812857</v>
      </c>
      <c r="Q1960" s="14">
        <v>1.2491895277896519</v>
      </c>
      <c r="R1960" s="15">
        <v>0.24918952778965192</v>
      </c>
    </row>
    <row r="1961" spans="1:18" ht="18" customHeight="1">
      <c r="A1961" s="10" t="s">
        <v>24</v>
      </c>
      <c r="B1961" s="10" t="s">
        <v>25</v>
      </c>
      <c r="C1961" s="10" t="s">
        <v>254</v>
      </c>
      <c r="D1961" s="10" t="s">
        <v>264</v>
      </c>
      <c r="E1961" s="16">
        <v>9</v>
      </c>
      <c r="F1961" s="16">
        <v>9</v>
      </c>
      <c r="G1961" s="13">
        <v>2970.0866628570002</v>
      </c>
      <c r="H1961" s="13">
        <v>2970.0866628570002</v>
      </c>
      <c r="I1961" s="14">
        <v>0</v>
      </c>
      <c r="J1961" s="15">
        <v>1</v>
      </c>
      <c r="K1961" s="14">
        <v>1145.5708865679117</v>
      </c>
      <c r="L1961" s="13">
        <v>3402444.8115526238</v>
      </c>
      <c r="M1961" s="14">
        <v>4.0529513868947724</v>
      </c>
      <c r="N1961" s="14">
        <v>1129.6694571280445</v>
      </c>
      <c r="O1961" s="13">
        <v>3355216.1880529127</v>
      </c>
      <c r="P1961" s="13">
        <v>47228.623499711044</v>
      </c>
      <c r="Q1961" s="14">
        <v>1.0140761789561819</v>
      </c>
      <c r="R1961" s="15">
        <v>1.4076178956181835E-2</v>
      </c>
    </row>
    <row r="1962" spans="1:18" ht="18" customHeight="1">
      <c r="A1962" s="10" t="s">
        <v>24</v>
      </c>
      <c r="B1962" s="10" t="s">
        <v>25</v>
      </c>
      <c r="C1962" s="10" t="s">
        <v>254</v>
      </c>
      <c r="D1962" s="10" t="s">
        <v>265</v>
      </c>
      <c r="E1962" s="16">
        <v>14</v>
      </c>
      <c r="F1962" s="16">
        <v>14</v>
      </c>
      <c r="G1962" s="13">
        <v>190068.90743903539</v>
      </c>
      <c r="H1962" s="13">
        <v>190068.90743903539</v>
      </c>
      <c r="I1962" s="14">
        <v>0</v>
      </c>
      <c r="J1962" s="15">
        <v>1</v>
      </c>
      <c r="K1962" s="14">
        <v>348.71701100930039</v>
      </c>
      <c r="L1962" s="13">
        <v>66280261.287943803</v>
      </c>
      <c r="M1962" s="14">
        <v>3.3796739103888802</v>
      </c>
      <c r="N1962" s="14">
        <v>239.70324335660709</v>
      </c>
      <c r="O1962" s="13">
        <v>45560133.574383527</v>
      </c>
      <c r="P1962" s="13">
        <v>20720127.713560276</v>
      </c>
      <c r="Q1962" s="14">
        <v>1.454786368870751</v>
      </c>
      <c r="R1962" s="15">
        <v>0.45478636887075102</v>
      </c>
    </row>
    <row r="1963" spans="1:18" ht="18" customHeight="1">
      <c r="A1963" s="10" t="s">
        <v>24</v>
      </c>
      <c r="B1963" s="10" t="s">
        <v>25</v>
      </c>
      <c r="C1963" s="10" t="s">
        <v>254</v>
      </c>
      <c r="D1963" s="10" t="s">
        <v>266</v>
      </c>
      <c r="E1963" s="16">
        <v>1</v>
      </c>
      <c r="F1963" s="16">
        <v>1</v>
      </c>
      <c r="G1963" s="13">
        <v>51.015088738599999</v>
      </c>
      <c r="H1963" s="13">
        <v>51.015088738599999</v>
      </c>
      <c r="I1963" s="14">
        <v>0</v>
      </c>
      <c r="J1963" s="15">
        <v>1</v>
      </c>
      <c r="K1963" s="14">
        <v>954.99258602143595</v>
      </c>
      <c r="L1963" s="13">
        <v>48719.031520588651</v>
      </c>
      <c r="M1963" s="14">
        <v>3.98</v>
      </c>
      <c r="N1963" s="14">
        <v>954.99258602143595</v>
      </c>
      <c r="O1963" s="13">
        <v>48719.031520588651</v>
      </c>
      <c r="P1963" s="13">
        <v>0</v>
      </c>
      <c r="Q1963" s="14">
        <v>1</v>
      </c>
      <c r="R1963" s="15">
        <v>0</v>
      </c>
    </row>
    <row r="1964" spans="1:18" ht="18" customHeight="1">
      <c r="A1964" s="10" t="s">
        <v>24</v>
      </c>
      <c r="B1964" s="10" t="s">
        <v>25</v>
      </c>
      <c r="C1964" s="10" t="s">
        <v>254</v>
      </c>
      <c r="D1964" s="10" t="s">
        <v>268</v>
      </c>
      <c r="E1964" s="16">
        <v>14</v>
      </c>
      <c r="F1964" s="16">
        <v>14</v>
      </c>
      <c r="G1964" s="13">
        <v>491914.49299355957</v>
      </c>
      <c r="H1964" s="13">
        <v>491914.49299355957</v>
      </c>
      <c r="I1964" s="14">
        <v>0</v>
      </c>
      <c r="J1964" s="15">
        <v>1</v>
      </c>
      <c r="K1964" s="14">
        <v>485.09163749377768</v>
      </c>
      <c r="L1964" s="13">
        <v>238623606.91316724</v>
      </c>
      <c r="M1964" s="14">
        <v>3.6012211679290038</v>
      </c>
      <c r="N1964" s="14">
        <v>399.22816072752039</v>
      </c>
      <c r="O1964" s="13">
        <v>196386118.27302951</v>
      </c>
      <c r="P1964" s="13">
        <v>42237488.640137732</v>
      </c>
      <c r="Q1964" s="14">
        <v>1.2150736977316099</v>
      </c>
      <c r="R1964" s="15">
        <v>0.21507369773160986</v>
      </c>
    </row>
    <row r="1965" spans="1:18" ht="18" customHeight="1">
      <c r="A1965" s="10" t="s">
        <v>24</v>
      </c>
      <c r="B1965" s="10" t="s">
        <v>25</v>
      </c>
      <c r="C1965" s="10" t="s">
        <v>254</v>
      </c>
      <c r="D1965" s="10" t="s">
        <v>269</v>
      </c>
      <c r="E1965" s="16">
        <v>31</v>
      </c>
      <c r="F1965" s="16">
        <v>31</v>
      </c>
      <c r="G1965" s="13">
        <v>802517.45163721405</v>
      </c>
      <c r="H1965" s="13">
        <v>802517.45163721405</v>
      </c>
      <c r="I1965" s="14">
        <v>0</v>
      </c>
      <c r="J1965" s="15">
        <v>1</v>
      </c>
      <c r="K1965" s="14">
        <v>253.27292279218389</v>
      </c>
      <c r="L1965" s="13">
        <v>203255940.56789228</v>
      </c>
      <c r="M1965" s="14">
        <v>3.2791069818779723</v>
      </c>
      <c r="N1965" s="14">
        <v>190.15466394926682</v>
      </c>
      <c r="O1965" s="13">
        <v>152602436.32949641</v>
      </c>
      <c r="P1965" s="13">
        <v>50653504.23839587</v>
      </c>
      <c r="Q1965" s="14">
        <v>1.3319311634646891</v>
      </c>
      <c r="R1965" s="15">
        <v>0.33193116346468898</v>
      </c>
    </row>
    <row r="1966" spans="1:18" ht="18" customHeight="1">
      <c r="A1966" s="10" t="s">
        <v>24</v>
      </c>
      <c r="B1966" s="10" t="s">
        <v>25</v>
      </c>
      <c r="C1966" s="10" t="s">
        <v>254</v>
      </c>
      <c r="D1966" s="10" t="s">
        <v>270</v>
      </c>
      <c r="E1966" s="16">
        <v>23</v>
      </c>
      <c r="F1966" s="16">
        <v>23</v>
      </c>
      <c r="G1966" s="13">
        <v>1256219.3690349171</v>
      </c>
      <c r="H1966" s="13">
        <v>1256219.3690349171</v>
      </c>
      <c r="I1966" s="14">
        <v>0</v>
      </c>
      <c r="J1966" s="15">
        <v>1</v>
      </c>
      <c r="K1966" s="14">
        <v>276.60974895499373</v>
      </c>
      <c r="L1966" s="13">
        <v>347482524.30114907</v>
      </c>
      <c r="M1966" s="14">
        <v>3.2927416588252809</v>
      </c>
      <c r="N1966" s="14">
        <v>196.2192714290926</v>
      </c>
      <c r="O1966" s="13">
        <v>246494449.34714586</v>
      </c>
      <c r="P1966" s="13">
        <v>100988074.95400321</v>
      </c>
      <c r="Q1966" s="14">
        <v>1.4096971563516976</v>
      </c>
      <c r="R1966" s="15">
        <v>0.40969715635169757</v>
      </c>
    </row>
    <row r="1967" spans="1:18" ht="18" customHeight="1">
      <c r="A1967" s="10" t="s">
        <v>24</v>
      </c>
      <c r="B1967" s="10" t="s">
        <v>25</v>
      </c>
      <c r="C1967" s="10" t="s">
        <v>254</v>
      </c>
      <c r="D1967" s="10" t="s">
        <v>276</v>
      </c>
      <c r="E1967" s="16">
        <v>24</v>
      </c>
      <c r="F1967" s="16">
        <v>24</v>
      </c>
      <c r="G1967" s="13">
        <v>142021.1774306962</v>
      </c>
      <c r="H1967" s="13">
        <v>142021.1774306962</v>
      </c>
      <c r="I1967" s="14">
        <v>0</v>
      </c>
      <c r="J1967" s="15">
        <v>1</v>
      </c>
      <c r="K1967" s="14">
        <v>325.97577230303347</v>
      </c>
      <c r="L1967" s="13">
        <v>46295462.996357344</v>
      </c>
      <c r="M1967" s="14">
        <v>3.3429902839988848</v>
      </c>
      <c r="N1967" s="14">
        <v>220.28771799116129</v>
      </c>
      <c r="O1967" s="13">
        <v>31285521.082625885</v>
      </c>
      <c r="P1967" s="13">
        <v>15009941.91373146</v>
      </c>
      <c r="Q1967" s="14">
        <v>1.4797727956676767</v>
      </c>
      <c r="R1967" s="15">
        <v>0.47977279566767667</v>
      </c>
    </row>
    <row r="1968" spans="1:18" ht="18" customHeight="1">
      <c r="A1968" s="10" t="s">
        <v>24</v>
      </c>
      <c r="B1968" s="10" t="s">
        <v>25</v>
      </c>
      <c r="C1968" s="10" t="s">
        <v>254</v>
      </c>
      <c r="D1968" s="10" t="s">
        <v>271</v>
      </c>
      <c r="E1968" s="16">
        <v>26</v>
      </c>
      <c r="F1968" s="16">
        <v>26</v>
      </c>
      <c r="G1968" s="13">
        <v>267441.11875896627</v>
      </c>
      <c r="H1968" s="13">
        <v>267441.11875896627</v>
      </c>
      <c r="I1968" s="14">
        <v>0</v>
      </c>
      <c r="J1968" s="15">
        <v>1</v>
      </c>
      <c r="K1968" s="14">
        <v>14.873814671489249</v>
      </c>
      <c r="L1968" s="13">
        <v>3977869.6359566115</v>
      </c>
      <c r="M1968" s="14">
        <v>2.0873580673741108</v>
      </c>
      <c r="N1968" s="14">
        <v>12.228074256636802</v>
      </c>
      <c r="O1968" s="13">
        <v>3270289.8594626612</v>
      </c>
      <c r="P1968" s="13">
        <v>707579.77649395028</v>
      </c>
      <c r="Q1968" s="14">
        <v>1.2163660736208295</v>
      </c>
      <c r="R1968" s="15">
        <v>0.21636607362082949</v>
      </c>
    </row>
    <row r="1969" spans="1:18" ht="18" customHeight="1">
      <c r="A1969" s="10" t="s">
        <v>24</v>
      </c>
      <c r="B1969" s="10" t="s">
        <v>25</v>
      </c>
      <c r="C1969" s="10" t="s">
        <v>254</v>
      </c>
      <c r="D1969" s="10" t="s">
        <v>272</v>
      </c>
      <c r="E1969" s="16">
        <v>17</v>
      </c>
      <c r="F1969" s="16">
        <v>17</v>
      </c>
      <c r="G1969" s="13">
        <v>485220.74737202906</v>
      </c>
      <c r="H1969" s="13">
        <v>485220.74737202906</v>
      </c>
      <c r="I1969" s="14">
        <v>0</v>
      </c>
      <c r="J1969" s="15">
        <v>1</v>
      </c>
      <c r="K1969" s="14">
        <v>81.245990957675289</v>
      </c>
      <c r="L1969" s="13">
        <v>39422240.453464322</v>
      </c>
      <c r="M1969" s="14">
        <v>2.6414420988768739</v>
      </c>
      <c r="N1969" s="14">
        <v>43.796771643072169</v>
      </c>
      <c r="O1969" s="13">
        <v>21251102.269133568</v>
      </c>
      <c r="P1969" s="13">
        <v>18171138.184330754</v>
      </c>
      <c r="Q1969" s="14">
        <v>1.8550680314932959</v>
      </c>
      <c r="R1969" s="15">
        <v>0.85506803149329591</v>
      </c>
    </row>
    <row r="1970" spans="1:18" ht="18" customHeight="1">
      <c r="A1970" s="10" t="s">
        <v>24</v>
      </c>
      <c r="B1970" s="10" t="s">
        <v>25</v>
      </c>
      <c r="C1970" s="10" t="s">
        <v>254</v>
      </c>
      <c r="D1970" s="10" t="s">
        <v>280</v>
      </c>
      <c r="E1970" s="16">
        <v>1</v>
      </c>
      <c r="F1970" s="16">
        <v>1</v>
      </c>
      <c r="G1970" s="13">
        <v>821.87291905270001</v>
      </c>
      <c r="H1970" s="13">
        <v>821.87291905270001</v>
      </c>
      <c r="I1970" s="14">
        <v>0</v>
      </c>
      <c r="J1970" s="15">
        <v>1</v>
      </c>
      <c r="K1970" s="14">
        <v>323.59365692962808</v>
      </c>
      <c r="L1970" s="13">
        <v>265952.86340769142</v>
      </c>
      <c r="M1970" s="14">
        <v>3.51</v>
      </c>
      <c r="N1970" s="14">
        <v>323.59365692962808</v>
      </c>
      <c r="O1970" s="13">
        <v>265952.86340769142</v>
      </c>
      <c r="P1970" s="13">
        <v>0</v>
      </c>
      <c r="Q1970" s="14">
        <v>1</v>
      </c>
      <c r="R1970" s="15">
        <v>0</v>
      </c>
    </row>
    <row r="1971" spans="1:18" ht="18" customHeight="1">
      <c r="A1971" s="10" t="s">
        <v>24</v>
      </c>
      <c r="B1971" s="10" t="s">
        <v>25</v>
      </c>
      <c r="C1971" s="10" t="s">
        <v>254</v>
      </c>
      <c r="D1971" s="10" t="s">
        <v>281</v>
      </c>
      <c r="E1971" s="16">
        <v>1</v>
      </c>
      <c r="F1971" s="16">
        <v>1</v>
      </c>
      <c r="G1971" s="13">
        <v>1098.2277475731</v>
      </c>
      <c r="H1971" s="13">
        <v>1098.2277475731</v>
      </c>
      <c r="I1971" s="14">
        <v>0</v>
      </c>
      <c r="J1971" s="15">
        <v>1</v>
      </c>
      <c r="K1971" s="14">
        <v>125.89254117941675</v>
      </c>
      <c r="L1971" s="13">
        <v>138258.6819357246</v>
      </c>
      <c r="M1971" s="14">
        <v>3.1</v>
      </c>
      <c r="N1971" s="14">
        <v>125.89254117941675</v>
      </c>
      <c r="O1971" s="13">
        <v>138258.6819357246</v>
      </c>
      <c r="P1971" s="13">
        <v>0</v>
      </c>
      <c r="Q1971" s="14">
        <v>1</v>
      </c>
      <c r="R1971" s="15">
        <v>0</v>
      </c>
    </row>
    <row r="1972" spans="1:18" ht="18" customHeight="1">
      <c r="A1972" s="10" t="s">
        <v>24</v>
      </c>
      <c r="B1972" s="10" t="s">
        <v>25</v>
      </c>
      <c r="C1972" s="10" t="s">
        <v>254</v>
      </c>
      <c r="D1972" s="10" t="s">
        <v>283</v>
      </c>
      <c r="E1972" s="16">
        <v>3</v>
      </c>
      <c r="F1972" s="16">
        <v>3</v>
      </c>
      <c r="G1972" s="13">
        <v>18813.6042749636</v>
      </c>
      <c r="H1972" s="13">
        <v>18813.6042749636</v>
      </c>
      <c r="I1972" s="14">
        <v>0</v>
      </c>
      <c r="J1972" s="15">
        <v>1</v>
      </c>
      <c r="K1972" s="14">
        <v>701.06280561403685</v>
      </c>
      <c r="L1972" s="13">
        <v>13189518.196718218</v>
      </c>
      <c r="M1972" s="14">
        <v>3.80520223130672</v>
      </c>
      <c r="N1972" s="14">
        <v>638.56076585105086</v>
      </c>
      <c r="O1972" s="13">
        <v>12013629.554239361</v>
      </c>
      <c r="P1972" s="13">
        <v>1175888.6424788572</v>
      </c>
      <c r="Q1972" s="14">
        <v>1.0978795489880833</v>
      </c>
      <c r="R1972" s="15">
        <v>9.7879548988083334E-2</v>
      </c>
    </row>
    <row r="1973" spans="1:18" ht="18" customHeight="1">
      <c r="A1973" s="10" t="s">
        <v>24</v>
      </c>
      <c r="B1973" s="10" t="s">
        <v>25</v>
      </c>
      <c r="C1973" s="10" t="s">
        <v>254</v>
      </c>
      <c r="D1973" s="10" t="s">
        <v>278</v>
      </c>
      <c r="E1973" s="16">
        <v>4</v>
      </c>
      <c r="F1973" s="16">
        <v>4</v>
      </c>
      <c r="G1973" s="13">
        <v>147151.05580121759</v>
      </c>
      <c r="H1973" s="13">
        <v>147151.05580121759</v>
      </c>
      <c r="I1973" s="14">
        <v>0</v>
      </c>
      <c r="J1973" s="15">
        <v>1</v>
      </c>
      <c r="K1973" s="14">
        <v>462.75091896397805</v>
      </c>
      <c r="L1973" s="13">
        <v>68094286.298533052</v>
      </c>
      <c r="M1973" s="14">
        <v>3.6277016413314143</v>
      </c>
      <c r="N1973" s="14">
        <v>424.32795208940928</v>
      </c>
      <c r="O1973" s="13">
        <v>62440306.15592505</v>
      </c>
      <c r="P1973" s="13">
        <v>5653980.1426080018</v>
      </c>
      <c r="Q1973" s="14">
        <v>1.0905501668824134</v>
      </c>
      <c r="R1973" s="15">
        <v>9.0550166882413463E-2</v>
      </c>
    </row>
    <row r="1974" spans="1:18" ht="18" customHeight="1">
      <c r="A1974" s="10" t="s">
        <v>24</v>
      </c>
      <c r="B1974" s="10" t="s">
        <v>25</v>
      </c>
      <c r="C1974" s="10" t="s">
        <v>254</v>
      </c>
      <c r="D1974" s="10" t="s">
        <v>273</v>
      </c>
      <c r="E1974" s="16">
        <v>14</v>
      </c>
      <c r="F1974" s="16">
        <v>14</v>
      </c>
      <c r="G1974" s="13">
        <v>549933.59889584978</v>
      </c>
      <c r="H1974" s="13">
        <v>549933.59889584978</v>
      </c>
      <c r="I1974" s="14">
        <v>0</v>
      </c>
      <c r="J1974" s="15">
        <v>1</v>
      </c>
      <c r="K1974" s="14">
        <v>152.23643411784917</v>
      </c>
      <c r="L1974" s="13">
        <v>83719930.097499728</v>
      </c>
      <c r="M1974" s="14">
        <v>3.1724028457962969</v>
      </c>
      <c r="N1974" s="14">
        <v>148.73146159234307</v>
      </c>
      <c r="O1974" s="13">
        <v>81792427.942517072</v>
      </c>
      <c r="P1974" s="13">
        <v>1927502.1549826562</v>
      </c>
      <c r="Q1974" s="14">
        <v>1.0235657774621545</v>
      </c>
      <c r="R1974" s="15">
        <v>2.3565777462154394E-2</v>
      </c>
    </row>
    <row r="1975" spans="1:18" ht="18" customHeight="1">
      <c r="A1975" s="10" t="s">
        <v>24</v>
      </c>
      <c r="B1975" s="10" t="s">
        <v>25</v>
      </c>
      <c r="C1975" s="10" t="s">
        <v>254</v>
      </c>
      <c r="D1975" s="10" t="s">
        <v>284</v>
      </c>
      <c r="E1975" s="16">
        <v>1</v>
      </c>
      <c r="F1975" s="16">
        <v>1</v>
      </c>
      <c r="G1975" s="13">
        <v>460.141634313</v>
      </c>
      <c r="H1975" s="13">
        <v>460.141634313</v>
      </c>
      <c r="I1975" s="14">
        <v>0</v>
      </c>
      <c r="J1975" s="15">
        <v>1</v>
      </c>
      <c r="K1975" s="14">
        <v>128.82495516931337</v>
      </c>
      <c r="L1975" s="13">
        <v>59277.725411906809</v>
      </c>
      <c r="M1975" s="14">
        <v>3.1100000000000003</v>
      </c>
      <c r="N1975" s="14">
        <v>128.82495516931348</v>
      </c>
      <c r="O1975" s="13">
        <v>59277.72541190686</v>
      </c>
      <c r="P1975" s="13">
        <v>-5.0931703299283981E-11</v>
      </c>
      <c r="Q1975" s="14">
        <v>0.99999999999999911</v>
      </c>
      <c r="R1975" s="15">
        <v>-8.592047509477068E-16</v>
      </c>
    </row>
    <row r="1976" spans="1:18" ht="18" customHeight="1">
      <c r="A1976" s="10" t="s">
        <v>24</v>
      </c>
      <c r="B1976" s="10" t="s">
        <v>25</v>
      </c>
      <c r="C1976" s="10" t="s">
        <v>254</v>
      </c>
      <c r="D1976" s="10" t="s">
        <v>274</v>
      </c>
      <c r="E1976" s="16">
        <v>5</v>
      </c>
      <c r="F1976" s="16">
        <v>5</v>
      </c>
      <c r="G1976" s="13">
        <v>17085.4187794957</v>
      </c>
      <c r="H1976" s="13">
        <v>17085.4187794957</v>
      </c>
      <c r="I1976" s="14">
        <v>0</v>
      </c>
      <c r="J1976" s="15">
        <v>1</v>
      </c>
      <c r="K1976" s="14">
        <v>430.94054555438657</v>
      </c>
      <c r="L1976" s="13">
        <v>7362799.6898610387</v>
      </c>
      <c r="M1976" s="14">
        <v>3.573162613302082</v>
      </c>
      <c r="N1976" s="14">
        <v>374.2506930889017</v>
      </c>
      <c r="O1976" s="13">
        <v>6394229.8199404022</v>
      </c>
      <c r="P1976" s="13">
        <v>968569.86992063653</v>
      </c>
      <c r="Q1976" s="14">
        <v>1.1514756111674547</v>
      </c>
      <c r="R1976" s="15">
        <v>0.15147561116745475</v>
      </c>
    </row>
    <row r="1977" spans="1:18" ht="18" customHeight="1">
      <c r="A1977" s="10" t="s">
        <v>45</v>
      </c>
      <c r="B1977" s="10" t="s">
        <v>46</v>
      </c>
      <c r="C1977" s="10" t="s">
        <v>254</v>
      </c>
      <c r="D1977" s="10" t="s">
        <v>255</v>
      </c>
      <c r="E1977" s="16">
        <v>11</v>
      </c>
      <c r="F1977" s="16">
        <v>11</v>
      </c>
      <c r="G1977" s="13">
        <v>165339.39911687688</v>
      </c>
      <c r="H1977" s="13">
        <v>165339.39911687688</v>
      </c>
      <c r="I1977" s="14">
        <v>0</v>
      </c>
      <c r="J1977" s="15">
        <v>1</v>
      </c>
      <c r="K1977" s="14">
        <v>940.44491647770872</v>
      </c>
      <c r="L1977" s="13">
        <v>155492597.39294583</v>
      </c>
      <c r="M1977" s="14">
        <v>3.8993143633827909</v>
      </c>
      <c r="N1977" s="14">
        <v>793.07518899968375</v>
      </c>
      <c r="O1977" s="13">
        <v>131126575.20371129</v>
      </c>
      <c r="P1977" s="13">
        <v>24366022.18923454</v>
      </c>
      <c r="Q1977" s="14">
        <v>1.1858206252346695</v>
      </c>
      <c r="R1977" s="15">
        <v>0.1858206252346695</v>
      </c>
    </row>
    <row r="1978" spans="1:18" ht="18" customHeight="1">
      <c r="A1978" s="10" t="s">
        <v>45</v>
      </c>
      <c r="B1978" s="10" t="s">
        <v>46</v>
      </c>
      <c r="C1978" s="10" t="s">
        <v>254</v>
      </c>
      <c r="D1978" s="10" t="s">
        <v>277</v>
      </c>
      <c r="E1978" s="16">
        <v>3</v>
      </c>
      <c r="F1978" s="16">
        <v>3</v>
      </c>
      <c r="G1978" s="13">
        <v>237933.36303136402</v>
      </c>
      <c r="H1978" s="13">
        <v>237933.36303136402</v>
      </c>
      <c r="I1978" s="14">
        <v>0</v>
      </c>
      <c r="J1978" s="15">
        <v>1</v>
      </c>
      <c r="K1978" s="14">
        <v>344.41710209904926</v>
      </c>
      <c r="L1978" s="13">
        <v>81948319.387943447</v>
      </c>
      <c r="M1978" s="14">
        <v>3.5140963389689115</v>
      </c>
      <c r="N1978" s="14">
        <v>326.66028675394466</v>
      </c>
      <c r="O1978" s="13">
        <v>77723380.596155792</v>
      </c>
      <c r="P1978" s="13">
        <v>4224938.7917876542</v>
      </c>
      <c r="Q1978" s="14">
        <v>1.0543586596385981</v>
      </c>
      <c r="R1978" s="15">
        <v>5.4358659638598122E-2</v>
      </c>
    </row>
    <row r="1979" spans="1:18" ht="18" customHeight="1">
      <c r="A1979" s="10" t="s">
        <v>45</v>
      </c>
      <c r="B1979" s="10" t="s">
        <v>46</v>
      </c>
      <c r="C1979" s="10" t="s">
        <v>254</v>
      </c>
      <c r="D1979" s="10" t="s">
        <v>258</v>
      </c>
      <c r="E1979" s="16">
        <v>6</v>
      </c>
      <c r="F1979" s="16">
        <v>6</v>
      </c>
      <c r="G1979" s="13">
        <v>201774.43868183921</v>
      </c>
      <c r="H1979" s="13">
        <v>201774.43868183921</v>
      </c>
      <c r="I1979" s="14">
        <v>0</v>
      </c>
      <c r="J1979" s="15">
        <v>1</v>
      </c>
      <c r="K1979" s="14">
        <v>2388.5940076003403</v>
      </c>
      <c r="L1979" s="13">
        <v>481957215.12236345</v>
      </c>
      <c r="M1979" s="14">
        <v>4.2190678869408105</v>
      </c>
      <c r="N1979" s="14">
        <v>1656.028806139605</v>
      </c>
      <c r="O1979" s="13">
        <v>334144282.79977512</v>
      </c>
      <c r="P1979" s="13">
        <v>147812932.32258832</v>
      </c>
      <c r="Q1979" s="14">
        <v>1.4423625958345674</v>
      </c>
      <c r="R1979" s="15">
        <v>0.44236259583456744</v>
      </c>
    </row>
    <row r="1980" spans="1:18" ht="18" customHeight="1">
      <c r="A1980" s="10" t="s">
        <v>45</v>
      </c>
      <c r="B1980" s="10" t="s">
        <v>46</v>
      </c>
      <c r="C1980" s="10" t="s">
        <v>254</v>
      </c>
      <c r="D1980" s="10" t="s">
        <v>259</v>
      </c>
      <c r="E1980" s="16">
        <v>7</v>
      </c>
      <c r="F1980" s="16">
        <v>7</v>
      </c>
      <c r="G1980" s="13">
        <v>74153.886680390598</v>
      </c>
      <c r="H1980" s="13">
        <v>74153.886680390598</v>
      </c>
      <c r="I1980" s="14">
        <v>0</v>
      </c>
      <c r="J1980" s="15">
        <v>1</v>
      </c>
      <c r="K1980" s="14">
        <v>2053.6622651211264</v>
      </c>
      <c r="L1980" s="13">
        <v>152287038.8875863</v>
      </c>
      <c r="M1980" s="14">
        <v>4.2925399013307555</v>
      </c>
      <c r="N1980" s="14">
        <v>1961.2813622955912</v>
      </c>
      <c r="O1980" s="13">
        <v>145436635.88802937</v>
      </c>
      <c r="P1980" s="13">
        <v>6850402.9995569289</v>
      </c>
      <c r="Q1980" s="14">
        <v>1.0471023202491496</v>
      </c>
      <c r="R1980" s="15">
        <v>4.7102320249149641E-2</v>
      </c>
    </row>
    <row r="1981" spans="1:18" ht="18" customHeight="1">
      <c r="A1981" s="10" t="s">
        <v>45</v>
      </c>
      <c r="B1981" s="10" t="s">
        <v>46</v>
      </c>
      <c r="C1981" s="10" t="s">
        <v>254</v>
      </c>
      <c r="D1981" s="10" t="s">
        <v>260</v>
      </c>
      <c r="E1981" s="16">
        <v>1</v>
      </c>
      <c r="F1981" s="16">
        <v>1</v>
      </c>
      <c r="G1981" s="13">
        <v>3592.9103292158002</v>
      </c>
      <c r="H1981" s="13">
        <v>3592.9103292158002</v>
      </c>
      <c r="I1981" s="14">
        <v>0</v>
      </c>
      <c r="J1981" s="15">
        <v>1</v>
      </c>
      <c r="K1981" s="14">
        <v>1778.2794100389228</v>
      </c>
      <c r="L1981" s="13">
        <v>6389198.4605606254</v>
      </c>
      <c r="M1981" s="14">
        <v>4.25</v>
      </c>
      <c r="N1981" s="14">
        <v>1778.2794100389228</v>
      </c>
      <c r="O1981" s="13">
        <v>6389198.4605606254</v>
      </c>
      <c r="P1981" s="13">
        <v>0</v>
      </c>
      <c r="Q1981" s="14">
        <v>1</v>
      </c>
      <c r="R1981" s="15">
        <v>0</v>
      </c>
    </row>
    <row r="1982" spans="1:18" ht="18" customHeight="1">
      <c r="A1982" s="10" t="s">
        <v>45</v>
      </c>
      <c r="B1982" s="10" t="s">
        <v>46</v>
      </c>
      <c r="C1982" s="10" t="s">
        <v>254</v>
      </c>
      <c r="D1982" s="10" t="s">
        <v>261</v>
      </c>
      <c r="E1982" s="16">
        <v>12</v>
      </c>
      <c r="F1982" s="16">
        <v>12</v>
      </c>
      <c r="G1982" s="13">
        <v>61768.275526439094</v>
      </c>
      <c r="H1982" s="13">
        <v>61768.275526439094</v>
      </c>
      <c r="I1982" s="14">
        <v>0</v>
      </c>
      <c r="J1982" s="15">
        <v>1</v>
      </c>
      <c r="K1982" s="14">
        <v>2810.7325312995299</v>
      </c>
      <c r="L1982" s="13">
        <v>173614101.42443496</v>
      </c>
      <c r="M1982" s="14">
        <v>4.4429727329619055</v>
      </c>
      <c r="N1982" s="14">
        <v>2773.1459881151432</v>
      </c>
      <c r="O1982" s="13">
        <v>171292445.46893537</v>
      </c>
      <c r="P1982" s="13">
        <v>2321655.9554995894</v>
      </c>
      <c r="Q1982" s="14">
        <v>1.0135537556787386</v>
      </c>
      <c r="R1982" s="15">
        <v>1.3553755678738511E-2</v>
      </c>
    </row>
    <row r="1983" spans="1:18" ht="18" customHeight="1">
      <c r="A1983" s="10" t="s">
        <v>45</v>
      </c>
      <c r="B1983" s="10" t="s">
        <v>46</v>
      </c>
      <c r="C1983" s="10" t="s">
        <v>254</v>
      </c>
      <c r="D1983" s="10" t="s">
        <v>262</v>
      </c>
      <c r="E1983" s="16">
        <v>1</v>
      </c>
      <c r="F1983" s="16">
        <v>1</v>
      </c>
      <c r="G1983" s="13">
        <v>1.11412561E-2</v>
      </c>
      <c r="H1983" s="13">
        <v>1.11412561E-2</v>
      </c>
      <c r="I1983" s="14">
        <v>0</v>
      </c>
      <c r="J1983" s="15">
        <v>1</v>
      </c>
      <c r="K1983" s="14">
        <v>691.83097091893626</v>
      </c>
      <c r="L1983" s="13">
        <v>7.7078660249195217</v>
      </c>
      <c r="M1983" s="14">
        <v>3.8400000000000003</v>
      </c>
      <c r="N1983" s="14">
        <v>691.83097091893694</v>
      </c>
      <c r="O1983" s="13">
        <v>7.7078660249195288</v>
      </c>
      <c r="P1983" s="13">
        <v>-7.1054273576010019E-15</v>
      </c>
      <c r="Q1983" s="14">
        <v>0.99999999999999911</v>
      </c>
      <c r="R1983" s="15">
        <v>-9.2184105621830437E-16</v>
      </c>
    </row>
    <row r="1984" spans="1:18" ht="18" customHeight="1">
      <c r="A1984" s="10" t="s">
        <v>45</v>
      </c>
      <c r="B1984" s="10" t="s">
        <v>46</v>
      </c>
      <c r="C1984" s="10" t="s">
        <v>254</v>
      </c>
      <c r="D1984" s="10" t="s">
        <v>263</v>
      </c>
      <c r="E1984" s="16">
        <v>6</v>
      </c>
      <c r="F1984" s="16">
        <v>6</v>
      </c>
      <c r="G1984" s="13">
        <v>8316.522449336002</v>
      </c>
      <c r="H1984" s="13">
        <v>8316.522449336002</v>
      </c>
      <c r="I1984" s="14">
        <v>0</v>
      </c>
      <c r="J1984" s="15">
        <v>1</v>
      </c>
      <c r="K1984" s="14">
        <v>525.73756169516139</v>
      </c>
      <c r="L1984" s="13">
        <v>4372308.2342969812</v>
      </c>
      <c r="M1984" s="14">
        <v>3.677840289108083</v>
      </c>
      <c r="N1984" s="14">
        <v>476.25581251347541</v>
      </c>
      <c r="O1984" s="13">
        <v>3960792.1563950763</v>
      </c>
      <c r="P1984" s="13">
        <v>411516.07790190494</v>
      </c>
      <c r="Q1984" s="14">
        <v>1.1038974179035053</v>
      </c>
      <c r="R1984" s="15">
        <v>0.10389741790350525</v>
      </c>
    </row>
    <row r="1985" spans="1:18" ht="18" customHeight="1">
      <c r="A1985" s="10" t="s">
        <v>45</v>
      </c>
      <c r="B1985" s="10" t="s">
        <v>46</v>
      </c>
      <c r="C1985" s="10" t="s">
        <v>254</v>
      </c>
      <c r="D1985" s="10" t="s">
        <v>264</v>
      </c>
      <c r="E1985" s="16">
        <v>4</v>
      </c>
      <c r="F1985" s="16">
        <v>4</v>
      </c>
      <c r="G1985" s="13">
        <v>58.249080335800002</v>
      </c>
      <c r="H1985" s="13">
        <v>58.249080335800002</v>
      </c>
      <c r="I1985" s="14">
        <v>0</v>
      </c>
      <c r="J1985" s="15">
        <v>1</v>
      </c>
      <c r="K1985" s="14">
        <v>1127.1605378351178</v>
      </c>
      <c r="L1985" s="13">
        <v>65656.064719701317</v>
      </c>
      <c r="M1985" s="14">
        <v>4.0511350426003094</v>
      </c>
      <c r="N1985" s="14">
        <v>1124.9547209715129</v>
      </c>
      <c r="O1985" s="13">
        <v>65527.577916007125</v>
      </c>
      <c r="P1985" s="13">
        <v>128.48680369419162</v>
      </c>
      <c r="Q1985" s="14">
        <v>1.0019608050195123</v>
      </c>
      <c r="R1985" s="15">
        <v>1.9608050195123231E-3</v>
      </c>
    </row>
    <row r="1986" spans="1:18" ht="18" customHeight="1">
      <c r="A1986" s="10" t="s">
        <v>45</v>
      </c>
      <c r="B1986" s="10" t="s">
        <v>46</v>
      </c>
      <c r="C1986" s="10" t="s">
        <v>254</v>
      </c>
      <c r="D1986" s="10" t="s">
        <v>265</v>
      </c>
      <c r="E1986" s="16">
        <v>12</v>
      </c>
      <c r="F1986" s="16">
        <v>12</v>
      </c>
      <c r="G1986" s="13">
        <v>245206.4949684215</v>
      </c>
      <c r="H1986" s="13">
        <v>245206.4949684215</v>
      </c>
      <c r="I1986" s="14">
        <v>0</v>
      </c>
      <c r="J1986" s="15">
        <v>1</v>
      </c>
      <c r="K1986" s="14">
        <v>276.39304731903275</v>
      </c>
      <c r="L1986" s="13">
        <v>67773370.366741091</v>
      </c>
      <c r="M1986" s="14">
        <v>3.1294270450649737</v>
      </c>
      <c r="N1986" s="14">
        <v>134.7184399636856</v>
      </c>
      <c r="O1986" s="13">
        <v>33033836.471109066</v>
      </c>
      <c r="P1986" s="13">
        <v>34739533.895632029</v>
      </c>
      <c r="Q1986" s="14">
        <v>2.0516348570658676</v>
      </c>
      <c r="R1986" s="15">
        <v>1.0516348570658676</v>
      </c>
    </row>
    <row r="1987" spans="1:18" ht="18" customHeight="1">
      <c r="A1987" s="10" t="s">
        <v>45</v>
      </c>
      <c r="B1987" s="10" t="s">
        <v>46</v>
      </c>
      <c r="C1987" s="10" t="s">
        <v>254</v>
      </c>
      <c r="D1987" s="10" t="s">
        <v>268</v>
      </c>
      <c r="E1987" s="16">
        <v>7</v>
      </c>
      <c r="F1987" s="16">
        <v>7</v>
      </c>
      <c r="G1987" s="13">
        <v>177015.58747701978</v>
      </c>
      <c r="H1987" s="13">
        <v>177015.58747701978</v>
      </c>
      <c r="I1987" s="14">
        <v>0</v>
      </c>
      <c r="J1987" s="15">
        <v>1</v>
      </c>
      <c r="K1987" s="14">
        <v>324.36744329296937</v>
      </c>
      <c r="L1987" s="13">
        <v>57418093.53292387</v>
      </c>
      <c r="M1987" s="14">
        <v>3.4914015577087909</v>
      </c>
      <c r="N1987" s="14">
        <v>310.0284561945731</v>
      </c>
      <c r="O1987" s="13">
        <v>54879869.307875849</v>
      </c>
      <c r="P1987" s="13">
        <v>2538224.2250480205</v>
      </c>
      <c r="Q1987" s="14">
        <v>1.0462505515603289</v>
      </c>
      <c r="R1987" s="15">
        <v>4.6250551560328847E-2</v>
      </c>
    </row>
    <row r="1988" spans="1:18" ht="18" customHeight="1">
      <c r="A1988" s="10" t="s">
        <v>45</v>
      </c>
      <c r="B1988" s="10" t="s">
        <v>46</v>
      </c>
      <c r="C1988" s="10" t="s">
        <v>254</v>
      </c>
      <c r="D1988" s="10" t="s">
        <v>269</v>
      </c>
      <c r="E1988" s="16">
        <v>20</v>
      </c>
      <c r="F1988" s="16">
        <v>20</v>
      </c>
      <c r="G1988" s="13">
        <v>363425.61338329018</v>
      </c>
      <c r="H1988" s="13">
        <v>363425.61338329018</v>
      </c>
      <c r="I1988" s="14">
        <v>0</v>
      </c>
      <c r="J1988" s="15">
        <v>1</v>
      </c>
      <c r="K1988" s="14">
        <v>264.47054827943077</v>
      </c>
      <c r="L1988" s="13">
        <v>96115371.230267182</v>
      </c>
      <c r="M1988" s="14">
        <v>3.3687638546963559</v>
      </c>
      <c r="N1988" s="14">
        <v>233.75658540952992</v>
      </c>
      <c r="O1988" s="13">
        <v>84953130.434841871</v>
      </c>
      <c r="P1988" s="13">
        <v>11162240.795425311</v>
      </c>
      <c r="Q1988" s="14">
        <v>1.1313929308818893</v>
      </c>
      <c r="R1988" s="15">
        <v>0.13139293088188939</v>
      </c>
    </row>
    <row r="1989" spans="1:18" ht="18" customHeight="1">
      <c r="A1989" s="10" t="s">
        <v>45</v>
      </c>
      <c r="B1989" s="10" t="s">
        <v>46</v>
      </c>
      <c r="C1989" s="10" t="s">
        <v>254</v>
      </c>
      <c r="D1989" s="10" t="s">
        <v>270</v>
      </c>
      <c r="E1989" s="16">
        <v>15</v>
      </c>
      <c r="F1989" s="16">
        <v>15</v>
      </c>
      <c r="G1989" s="13">
        <v>462894.2454829762</v>
      </c>
      <c r="H1989" s="13">
        <v>462894.2454829762</v>
      </c>
      <c r="I1989" s="14">
        <v>0</v>
      </c>
      <c r="J1989" s="15">
        <v>1</v>
      </c>
      <c r="K1989" s="14">
        <v>391.67236722857791</v>
      </c>
      <c r="L1989" s="13">
        <v>181302884.90480375</v>
      </c>
      <c r="M1989" s="14">
        <v>3.5247666075318325</v>
      </c>
      <c r="N1989" s="14">
        <v>334.7854750762171</v>
      </c>
      <c r="O1989" s="13">
        <v>154970269.88406524</v>
      </c>
      <c r="P1989" s="13">
        <v>26332615.020738512</v>
      </c>
      <c r="Q1989" s="14">
        <v>1.1699204308054583</v>
      </c>
      <c r="R1989" s="15">
        <v>0.16992043080545835</v>
      </c>
    </row>
    <row r="1990" spans="1:18" ht="18" customHeight="1">
      <c r="A1990" s="10" t="s">
        <v>45</v>
      </c>
      <c r="B1990" s="10" t="s">
        <v>46</v>
      </c>
      <c r="C1990" s="10" t="s">
        <v>254</v>
      </c>
      <c r="D1990" s="10" t="s">
        <v>276</v>
      </c>
      <c r="E1990" s="16">
        <v>13</v>
      </c>
      <c r="F1990" s="16">
        <v>13</v>
      </c>
      <c r="G1990" s="13">
        <v>54092.548214648399</v>
      </c>
      <c r="H1990" s="13">
        <v>54092.548214648399</v>
      </c>
      <c r="I1990" s="14">
        <v>0</v>
      </c>
      <c r="J1990" s="15">
        <v>1</v>
      </c>
      <c r="K1990" s="14">
        <v>376.73839524059611</v>
      </c>
      <c r="L1990" s="13">
        <v>20378739.808861211</v>
      </c>
      <c r="M1990" s="14">
        <v>3.334360275418728</v>
      </c>
      <c r="N1990" s="14">
        <v>215.95351406415307</v>
      </c>
      <c r="O1990" s="13">
        <v>11681475.871637952</v>
      </c>
      <c r="P1990" s="13">
        <v>8697263.9372232594</v>
      </c>
      <c r="Q1990" s="14">
        <v>1.7445346831850064</v>
      </c>
      <c r="R1990" s="15">
        <v>0.74453468318500649</v>
      </c>
    </row>
    <row r="1991" spans="1:18" ht="18" customHeight="1">
      <c r="A1991" s="10" t="s">
        <v>45</v>
      </c>
      <c r="B1991" s="10" t="s">
        <v>46</v>
      </c>
      <c r="C1991" s="10" t="s">
        <v>254</v>
      </c>
      <c r="D1991" s="10" t="s">
        <v>271</v>
      </c>
      <c r="E1991" s="16">
        <v>24</v>
      </c>
      <c r="F1991" s="16">
        <v>24</v>
      </c>
      <c r="G1991" s="13">
        <v>79159.598417322399</v>
      </c>
      <c r="H1991" s="13">
        <v>79159.598417322399</v>
      </c>
      <c r="I1991" s="14">
        <v>0</v>
      </c>
      <c r="J1991" s="15">
        <v>1</v>
      </c>
      <c r="K1991" s="14">
        <v>21.825226500133091</v>
      </c>
      <c r="L1991" s="13">
        <v>1727676.1651176382</v>
      </c>
      <c r="M1991" s="14">
        <v>2.2132504548033594</v>
      </c>
      <c r="N1991" s="14">
        <v>16.339939899410847</v>
      </c>
      <c r="O1991" s="13">
        <v>1293463.080600546</v>
      </c>
      <c r="P1991" s="13">
        <v>434213.08451709221</v>
      </c>
      <c r="Q1991" s="14">
        <v>1.3356980891294479</v>
      </c>
      <c r="R1991" s="15">
        <v>0.33569808912944782</v>
      </c>
    </row>
    <row r="1992" spans="1:18" ht="18" customHeight="1">
      <c r="A1992" s="10" t="s">
        <v>45</v>
      </c>
      <c r="B1992" s="10" t="s">
        <v>46</v>
      </c>
      <c r="C1992" s="10" t="s">
        <v>254</v>
      </c>
      <c r="D1992" s="10" t="s">
        <v>272</v>
      </c>
      <c r="E1992" s="16">
        <v>13</v>
      </c>
      <c r="F1992" s="16">
        <v>13</v>
      </c>
      <c r="G1992" s="13">
        <v>238928.71941462738</v>
      </c>
      <c r="H1992" s="13">
        <v>238928.71941462738</v>
      </c>
      <c r="I1992" s="14">
        <v>0</v>
      </c>
      <c r="J1992" s="15">
        <v>1</v>
      </c>
      <c r="K1992" s="14">
        <v>94.175022521490504</v>
      </c>
      <c r="L1992" s="13">
        <v>22501117.53190342</v>
      </c>
      <c r="M1992" s="14">
        <v>2.7949049909230261</v>
      </c>
      <c r="N1992" s="14">
        <v>62.359839812980503</v>
      </c>
      <c r="O1992" s="13">
        <v>14899556.669416729</v>
      </c>
      <c r="P1992" s="13">
        <v>7601560.8624866903</v>
      </c>
      <c r="Q1992" s="14">
        <v>1.5101870499334975</v>
      </c>
      <c r="R1992" s="15">
        <v>0.51018704993349762</v>
      </c>
    </row>
    <row r="1993" spans="1:18" ht="18" customHeight="1">
      <c r="A1993" s="10" t="s">
        <v>45</v>
      </c>
      <c r="B1993" s="10" t="s">
        <v>46</v>
      </c>
      <c r="C1993" s="10" t="s">
        <v>254</v>
      </c>
      <c r="D1993" s="10" t="s">
        <v>280</v>
      </c>
      <c r="E1993" s="16">
        <v>1</v>
      </c>
      <c r="F1993" s="16">
        <v>1</v>
      </c>
      <c r="G1993" s="13">
        <v>9917.3769116907006</v>
      </c>
      <c r="H1993" s="13">
        <v>9917.3769116907006</v>
      </c>
      <c r="I1993" s="14">
        <v>0</v>
      </c>
      <c r="J1993" s="15">
        <v>1</v>
      </c>
      <c r="K1993" s="14">
        <v>323.59365692962808</v>
      </c>
      <c r="L1993" s="13">
        <v>3209200.2620034548</v>
      </c>
      <c r="M1993" s="14">
        <v>3.5100000000000002</v>
      </c>
      <c r="N1993" s="14">
        <v>323.59365692962842</v>
      </c>
      <c r="O1993" s="13">
        <v>3209200.2620034586</v>
      </c>
      <c r="P1993" s="13">
        <v>-3.7252902984619141E-9</v>
      </c>
      <c r="Q1993" s="14">
        <v>0.99999999999999889</v>
      </c>
      <c r="R1993" s="15">
        <v>-1.16081577786494E-15</v>
      </c>
    </row>
    <row r="1994" spans="1:18" ht="18" customHeight="1">
      <c r="A1994" s="10" t="s">
        <v>45</v>
      </c>
      <c r="B1994" s="10" t="s">
        <v>46</v>
      </c>
      <c r="C1994" s="10" t="s">
        <v>254</v>
      </c>
      <c r="D1994" s="10" t="s">
        <v>283</v>
      </c>
      <c r="E1994" s="16">
        <v>2</v>
      </c>
      <c r="F1994" s="16">
        <v>2</v>
      </c>
      <c r="G1994" s="13">
        <v>1639.4354315983999</v>
      </c>
      <c r="H1994" s="13">
        <v>1639.4354315983999</v>
      </c>
      <c r="I1994" s="14">
        <v>0</v>
      </c>
      <c r="J1994" s="15">
        <v>1</v>
      </c>
      <c r="K1994" s="14">
        <v>416.86988514910627</v>
      </c>
      <c r="L1994" s="13">
        <v>683431.26007980038</v>
      </c>
      <c r="M1994" s="14">
        <v>3.6200005166547675</v>
      </c>
      <c r="N1994" s="14">
        <v>416.86987939577654</v>
      </c>
      <c r="O1994" s="13">
        <v>683431.25064758782</v>
      </c>
      <c r="P1994" s="13">
        <v>9.4322125660255551E-3</v>
      </c>
      <c r="Q1994" s="14">
        <v>1.0000000138012604</v>
      </c>
      <c r="R1994" s="15">
        <v>1.3801260268809814E-8</v>
      </c>
    </row>
    <row r="1995" spans="1:18" ht="18" customHeight="1">
      <c r="A1995" s="10" t="s">
        <v>45</v>
      </c>
      <c r="B1995" s="10" t="s">
        <v>46</v>
      </c>
      <c r="C1995" s="10" t="s">
        <v>254</v>
      </c>
      <c r="D1995" s="10" t="s">
        <v>278</v>
      </c>
      <c r="E1995" s="16">
        <v>3</v>
      </c>
      <c r="F1995" s="16">
        <v>3</v>
      </c>
      <c r="G1995" s="13">
        <v>28937.592907115097</v>
      </c>
      <c r="H1995" s="13">
        <v>28937.592907115097</v>
      </c>
      <c r="I1995" s="14">
        <v>0</v>
      </c>
      <c r="J1995" s="15">
        <v>1</v>
      </c>
      <c r="K1995" s="14">
        <v>302.91154061490937</v>
      </c>
      <c r="L1995" s="13">
        <v>8765530.8491813075</v>
      </c>
      <c r="M1995" s="14">
        <v>3.3529967932966183</v>
      </c>
      <c r="N1995" s="14">
        <v>225.42225675711165</v>
      </c>
      <c r="O1995" s="13">
        <v>6523177.4982404727</v>
      </c>
      <c r="P1995" s="13">
        <v>2242353.3509408347</v>
      </c>
      <c r="Q1995" s="14">
        <v>1.343751699466353</v>
      </c>
      <c r="R1995" s="15">
        <v>0.34375169946635292</v>
      </c>
    </row>
    <row r="1996" spans="1:18" ht="18" customHeight="1">
      <c r="A1996" s="10" t="s">
        <v>45</v>
      </c>
      <c r="B1996" s="10" t="s">
        <v>46</v>
      </c>
      <c r="C1996" s="10" t="s">
        <v>254</v>
      </c>
      <c r="D1996" s="10" t="s">
        <v>273</v>
      </c>
      <c r="E1996" s="16">
        <v>9</v>
      </c>
      <c r="F1996" s="16">
        <v>9</v>
      </c>
      <c r="G1996" s="13">
        <v>200691.32088429795</v>
      </c>
      <c r="H1996" s="13">
        <v>200691.32088429795</v>
      </c>
      <c r="I1996" s="14">
        <v>0</v>
      </c>
      <c r="J1996" s="15">
        <v>1</v>
      </c>
      <c r="K1996" s="14">
        <v>139.75454153699991</v>
      </c>
      <c r="L1996" s="13">
        <v>28047523.540639993</v>
      </c>
      <c r="M1996" s="14">
        <v>3.1447607580186538</v>
      </c>
      <c r="N1996" s="14">
        <v>139.55993484416675</v>
      </c>
      <c r="O1996" s="13">
        <v>28008467.666402385</v>
      </c>
      <c r="P1996" s="13">
        <v>39055.874237608165</v>
      </c>
      <c r="Q1996" s="14">
        <v>1.0013944309521958</v>
      </c>
      <c r="R1996" s="15">
        <v>1.3944309521958503E-3</v>
      </c>
    </row>
    <row r="1997" spans="1:18" ht="18" customHeight="1">
      <c r="A1997" s="10" t="s">
        <v>45</v>
      </c>
      <c r="B1997" s="10" t="s">
        <v>46</v>
      </c>
      <c r="C1997" s="10" t="s">
        <v>254</v>
      </c>
      <c r="D1997" s="10" t="s">
        <v>284</v>
      </c>
      <c r="E1997" s="16">
        <v>1</v>
      </c>
      <c r="F1997" s="16">
        <v>1</v>
      </c>
      <c r="G1997" s="13">
        <v>1064.356947855</v>
      </c>
      <c r="H1997" s="13">
        <v>1064.356947855</v>
      </c>
      <c r="I1997" s="14">
        <v>0</v>
      </c>
      <c r="J1997" s="15">
        <v>1</v>
      </c>
      <c r="K1997" s="14">
        <v>128.82495516931337</v>
      </c>
      <c r="L1997" s="13">
        <v>137115.73609156758</v>
      </c>
      <c r="M1997" s="14">
        <v>3.11</v>
      </c>
      <c r="N1997" s="14">
        <v>128.82495516931337</v>
      </c>
      <c r="O1997" s="13">
        <v>137115.73609156758</v>
      </c>
      <c r="P1997" s="13">
        <v>0</v>
      </c>
      <c r="Q1997" s="14">
        <v>1</v>
      </c>
      <c r="R1997" s="15">
        <v>0</v>
      </c>
    </row>
    <row r="1998" spans="1:18" ht="18" customHeight="1">
      <c r="A1998" s="10" t="s">
        <v>45</v>
      </c>
      <c r="B1998" s="10" t="s">
        <v>46</v>
      </c>
      <c r="C1998" s="10" t="s">
        <v>254</v>
      </c>
      <c r="D1998" s="10" t="s">
        <v>274</v>
      </c>
      <c r="E1998" s="16">
        <v>4</v>
      </c>
      <c r="F1998" s="16">
        <v>4</v>
      </c>
      <c r="G1998" s="13">
        <v>43068.022421390298</v>
      </c>
      <c r="H1998" s="13">
        <v>43068.022421390298</v>
      </c>
      <c r="I1998" s="14">
        <v>0</v>
      </c>
      <c r="J1998" s="15">
        <v>1</v>
      </c>
      <c r="K1998" s="14">
        <v>232.84123978064099</v>
      </c>
      <c r="L1998" s="13">
        <v>10028011.735496961</v>
      </c>
      <c r="M1998" s="14">
        <v>3.2554894761259368</v>
      </c>
      <c r="N1998" s="14">
        <v>180.08994943085577</v>
      </c>
      <c r="O1998" s="13">
        <v>7756117.9799551414</v>
      </c>
      <c r="P1998" s="13">
        <v>2271893.7555418191</v>
      </c>
      <c r="Q1998" s="14">
        <v>1.29291634828316</v>
      </c>
      <c r="R1998" s="15">
        <v>0.29291634828315993</v>
      </c>
    </row>
    <row r="1999" spans="1:18" ht="18" customHeight="1">
      <c r="A1999" s="10" t="s">
        <v>41</v>
      </c>
      <c r="B1999" s="10" t="s">
        <v>42</v>
      </c>
      <c r="C1999" s="10" t="s">
        <v>254</v>
      </c>
      <c r="D1999" s="10" t="s">
        <v>255</v>
      </c>
      <c r="E1999" s="16">
        <v>12</v>
      </c>
      <c r="F1999" s="16">
        <v>12</v>
      </c>
      <c r="G1999" s="13">
        <v>193499.03653770869</v>
      </c>
      <c r="H1999" s="13">
        <v>193499.03653770869</v>
      </c>
      <c r="I1999" s="14">
        <v>0</v>
      </c>
      <c r="J1999" s="15">
        <v>1</v>
      </c>
      <c r="K1999" s="14">
        <v>1606.1275189868645</v>
      </c>
      <c r="L1999" s="13">
        <v>310784127.48065871</v>
      </c>
      <c r="M1999" s="14">
        <v>4.1690136720374138</v>
      </c>
      <c r="N1999" s="14">
        <v>1475.7529907681217</v>
      </c>
      <c r="O1999" s="13">
        <v>285556781.88127363</v>
      </c>
      <c r="P1999" s="13">
        <v>25227345.599385083</v>
      </c>
      <c r="Q1999" s="14">
        <v>1.0883444106394009</v>
      </c>
      <c r="R1999" s="15">
        <v>8.8344410639400933E-2</v>
      </c>
    </row>
    <row r="2000" spans="1:18" ht="18" customHeight="1">
      <c r="A2000" s="10" t="s">
        <v>41</v>
      </c>
      <c r="B2000" s="10" t="s">
        <v>42</v>
      </c>
      <c r="C2000" s="10" t="s">
        <v>254</v>
      </c>
      <c r="D2000" s="10" t="s">
        <v>277</v>
      </c>
      <c r="E2000" s="16">
        <v>3</v>
      </c>
      <c r="F2000" s="16">
        <v>3</v>
      </c>
      <c r="G2000" s="13">
        <v>402034.48979384889</v>
      </c>
      <c r="H2000" s="13">
        <v>402034.48979384889</v>
      </c>
      <c r="I2000" s="14">
        <v>0</v>
      </c>
      <c r="J2000" s="15">
        <v>1</v>
      </c>
      <c r="K2000" s="14">
        <v>286.72820995656474</v>
      </c>
      <c r="L2000" s="13">
        <v>115274629.59939109</v>
      </c>
      <c r="M2000" s="14">
        <v>3.4559493332574682</v>
      </c>
      <c r="N2000" s="14">
        <v>285.72571834888299</v>
      </c>
      <c r="O2000" s="13">
        <v>114871593.39737414</v>
      </c>
      <c r="P2000" s="13">
        <v>403036.20201694965</v>
      </c>
      <c r="Q2000" s="14">
        <v>1.0035085802337809</v>
      </c>
      <c r="R2000" s="15">
        <v>3.5085802337809541E-3</v>
      </c>
    </row>
    <row r="2001" spans="1:18" ht="18" customHeight="1">
      <c r="A2001" s="10" t="s">
        <v>41</v>
      </c>
      <c r="B2001" s="10" t="s">
        <v>42</v>
      </c>
      <c r="C2001" s="10" t="s">
        <v>254</v>
      </c>
      <c r="D2001" s="10" t="s">
        <v>258</v>
      </c>
      <c r="E2001" s="16">
        <v>8</v>
      </c>
      <c r="F2001" s="16">
        <v>8</v>
      </c>
      <c r="G2001" s="13">
        <v>141999.09343673318</v>
      </c>
      <c r="H2001" s="13">
        <v>141999.09343673318</v>
      </c>
      <c r="I2001" s="14">
        <v>0</v>
      </c>
      <c r="J2001" s="15">
        <v>1</v>
      </c>
      <c r="K2001" s="14">
        <v>1873.5857682579756</v>
      </c>
      <c r="L2001" s="13">
        <v>266047480.56859779</v>
      </c>
      <c r="M2001" s="14">
        <v>4.140720993432021</v>
      </c>
      <c r="N2001" s="14">
        <v>1382.6778110722666</v>
      </c>
      <c r="O2001" s="13">
        <v>196338995.68734848</v>
      </c>
      <c r="P2001" s="13">
        <v>69708484.881249309</v>
      </c>
      <c r="Q2001" s="14">
        <v>1.35504146609904</v>
      </c>
      <c r="R2001" s="15">
        <v>0.35504146609904008</v>
      </c>
    </row>
    <row r="2002" spans="1:18" ht="18" customHeight="1">
      <c r="A2002" s="10" t="s">
        <v>41</v>
      </c>
      <c r="B2002" s="10" t="s">
        <v>42</v>
      </c>
      <c r="C2002" s="10" t="s">
        <v>254</v>
      </c>
      <c r="D2002" s="10" t="s">
        <v>259</v>
      </c>
      <c r="E2002" s="16">
        <v>6</v>
      </c>
      <c r="F2002" s="16">
        <v>6</v>
      </c>
      <c r="G2002" s="13">
        <v>22270.227679709398</v>
      </c>
      <c r="H2002" s="13">
        <v>22270.227679709398</v>
      </c>
      <c r="I2002" s="14">
        <v>0</v>
      </c>
      <c r="J2002" s="15">
        <v>1</v>
      </c>
      <c r="K2002" s="14">
        <v>1240.2466748098332</v>
      </c>
      <c r="L2002" s="13">
        <v>27620575.827017486</v>
      </c>
      <c r="M2002" s="14">
        <v>3.9735130348662651</v>
      </c>
      <c r="N2002" s="14">
        <v>940.83406770186718</v>
      </c>
      <c r="O2002" s="13">
        <v>20952588.896547709</v>
      </c>
      <c r="P2002" s="13">
        <v>6667986.9304697774</v>
      </c>
      <c r="Q2002" s="14">
        <v>1.318241672348587</v>
      </c>
      <c r="R2002" s="15">
        <v>0.31824167234858697</v>
      </c>
    </row>
    <row r="2003" spans="1:18" ht="18" customHeight="1">
      <c r="A2003" s="10" t="s">
        <v>41</v>
      </c>
      <c r="B2003" s="10" t="s">
        <v>42</v>
      </c>
      <c r="C2003" s="10" t="s">
        <v>254</v>
      </c>
      <c r="D2003" s="10" t="s">
        <v>260</v>
      </c>
      <c r="E2003" s="16">
        <v>1</v>
      </c>
      <c r="F2003" s="16">
        <v>1</v>
      </c>
      <c r="G2003" s="13">
        <v>2960.1217273264001</v>
      </c>
      <c r="H2003" s="13">
        <v>2960.1217273264001</v>
      </c>
      <c r="I2003" s="14">
        <v>0</v>
      </c>
      <c r="J2003" s="15">
        <v>1</v>
      </c>
      <c r="K2003" s="14">
        <v>1778.2794100389228</v>
      </c>
      <c r="L2003" s="13">
        <v>5263923.5189133883</v>
      </c>
      <c r="M2003" s="14">
        <v>4.25</v>
      </c>
      <c r="N2003" s="14">
        <v>1778.2794100389228</v>
      </c>
      <c r="O2003" s="13">
        <v>5263923.5189133883</v>
      </c>
      <c r="P2003" s="13">
        <v>0</v>
      </c>
      <c r="Q2003" s="14">
        <v>1</v>
      </c>
      <c r="R2003" s="15">
        <v>0</v>
      </c>
    </row>
    <row r="2004" spans="1:18" ht="18" customHeight="1">
      <c r="A2004" s="10" t="s">
        <v>41</v>
      </c>
      <c r="B2004" s="10" t="s">
        <v>42</v>
      </c>
      <c r="C2004" s="10" t="s">
        <v>254</v>
      </c>
      <c r="D2004" s="10" t="s">
        <v>261</v>
      </c>
      <c r="E2004" s="16">
        <v>22</v>
      </c>
      <c r="F2004" s="16">
        <v>22</v>
      </c>
      <c r="G2004" s="13">
        <v>177593.17781819531</v>
      </c>
      <c r="H2004" s="13">
        <v>177593.17781819531</v>
      </c>
      <c r="I2004" s="14">
        <v>0</v>
      </c>
      <c r="J2004" s="15">
        <v>1</v>
      </c>
      <c r="K2004" s="14">
        <v>2492.0853446249871</v>
      </c>
      <c r="L2004" s="13">
        <v>442577355.74610388</v>
      </c>
      <c r="M2004" s="14">
        <v>4.3930577643741575</v>
      </c>
      <c r="N2004" s="14">
        <v>2472.0529244502131</v>
      </c>
      <c r="O2004" s="13">
        <v>439019734.58787644</v>
      </c>
      <c r="P2004" s="13">
        <v>3557621.1582274437</v>
      </c>
      <c r="Q2004" s="14">
        <v>1.0081035563505296</v>
      </c>
      <c r="R2004" s="15">
        <v>8.1035563505296865E-3</v>
      </c>
    </row>
    <row r="2005" spans="1:18" ht="18" customHeight="1">
      <c r="A2005" s="10" t="s">
        <v>41</v>
      </c>
      <c r="B2005" s="10" t="s">
        <v>42</v>
      </c>
      <c r="C2005" s="10" t="s">
        <v>254</v>
      </c>
      <c r="D2005" s="10" t="s">
        <v>262</v>
      </c>
      <c r="E2005" s="16">
        <v>2</v>
      </c>
      <c r="F2005" s="16">
        <v>2</v>
      </c>
      <c r="G2005" s="13">
        <v>259.55667886089998</v>
      </c>
      <c r="H2005" s="13">
        <v>259.55667886089998</v>
      </c>
      <c r="I2005" s="14">
        <v>0</v>
      </c>
      <c r="J2005" s="15">
        <v>1</v>
      </c>
      <c r="K2005" s="14">
        <v>527.35023367312772</v>
      </c>
      <c r="L2005" s="13">
        <v>136877.27524871659</v>
      </c>
      <c r="M2005" s="14">
        <v>3.7218268853862559</v>
      </c>
      <c r="N2005" s="14">
        <v>527.0197436129564</v>
      </c>
      <c r="O2005" s="13">
        <v>136791.49434630197</v>
      </c>
      <c r="P2005" s="13">
        <v>85.780902414611774</v>
      </c>
      <c r="Q2005" s="14">
        <v>1.0006270923702132</v>
      </c>
      <c r="R2005" s="15">
        <v>6.27092370213081E-4</v>
      </c>
    </row>
    <row r="2006" spans="1:18" ht="18" customHeight="1">
      <c r="A2006" s="10" t="s">
        <v>41</v>
      </c>
      <c r="B2006" s="10" t="s">
        <v>42</v>
      </c>
      <c r="C2006" s="10" t="s">
        <v>254</v>
      </c>
      <c r="D2006" s="10" t="s">
        <v>263</v>
      </c>
      <c r="E2006" s="16">
        <v>7</v>
      </c>
      <c r="F2006" s="16">
        <v>7</v>
      </c>
      <c r="G2006" s="13">
        <v>3504.1007764472001</v>
      </c>
      <c r="H2006" s="13">
        <v>3504.1007764472001</v>
      </c>
      <c r="I2006" s="14">
        <v>0</v>
      </c>
      <c r="J2006" s="15">
        <v>1</v>
      </c>
      <c r="K2006" s="14">
        <v>469.06328835627204</v>
      </c>
      <c r="L2006" s="13">
        <v>1643645.0329320899</v>
      </c>
      <c r="M2006" s="14">
        <v>3.6109791197625292</v>
      </c>
      <c r="N2006" s="14">
        <v>408.29975541138174</v>
      </c>
      <c r="O2006" s="13">
        <v>1430723.4899602246</v>
      </c>
      <c r="P2006" s="13">
        <v>212921.54297186527</v>
      </c>
      <c r="Q2006" s="14">
        <v>1.1488208898966108</v>
      </c>
      <c r="R2006" s="15">
        <v>0.14882088989661077</v>
      </c>
    </row>
    <row r="2007" spans="1:18" ht="18" customHeight="1">
      <c r="A2007" s="10" t="s">
        <v>41</v>
      </c>
      <c r="B2007" s="10" t="s">
        <v>42</v>
      </c>
      <c r="C2007" s="10" t="s">
        <v>254</v>
      </c>
      <c r="D2007" s="10" t="s">
        <v>264</v>
      </c>
      <c r="E2007" s="16">
        <v>9</v>
      </c>
      <c r="F2007" s="16">
        <v>9</v>
      </c>
      <c r="G2007" s="13">
        <v>35890.340163825902</v>
      </c>
      <c r="H2007" s="13">
        <v>35890.340163825902</v>
      </c>
      <c r="I2007" s="14">
        <v>0</v>
      </c>
      <c r="J2007" s="15">
        <v>1</v>
      </c>
      <c r="K2007" s="14">
        <v>1101.9944200038065</v>
      </c>
      <c r="L2007" s="13">
        <v>39550954.592574641</v>
      </c>
      <c r="M2007" s="14">
        <v>4.0376964297548659</v>
      </c>
      <c r="N2007" s="14">
        <v>1090.6776902433523</v>
      </c>
      <c r="O2007" s="13">
        <v>39144793.311929852</v>
      </c>
      <c r="P2007" s="13">
        <v>406161.28064478934</v>
      </c>
      <c r="Q2007" s="14">
        <v>1.0103758698483409</v>
      </c>
      <c r="R2007" s="15">
        <v>1.0375869848340897E-2</v>
      </c>
    </row>
    <row r="2008" spans="1:18" ht="18" customHeight="1">
      <c r="A2008" s="10" t="s">
        <v>41</v>
      </c>
      <c r="B2008" s="10" t="s">
        <v>42</v>
      </c>
      <c r="C2008" s="10" t="s">
        <v>254</v>
      </c>
      <c r="D2008" s="10" t="s">
        <v>265</v>
      </c>
      <c r="E2008" s="16">
        <v>13</v>
      </c>
      <c r="F2008" s="16">
        <v>13</v>
      </c>
      <c r="G2008" s="13">
        <v>86858.839693071321</v>
      </c>
      <c r="H2008" s="13">
        <v>86858.839693071321</v>
      </c>
      <c r="I2008" s="14">
        <v>0</v>
      </c>
      <c r="J2008" s="15">
        <v>1</v>
      </c>
      <c r="K2008" s="14">
        <v>379.25461414680967</v>
      </c>
      <c r="L2008" s="13">
        <v>32941615.73303536</v>
      </c>
      <c r="M2008" s="14">
        <v>3.4291014750203272</v>
      </c>
      <c r="N2008" s="14">
        <v>268.59719627718505</v>
      </c>
      <c r="O2008" s="13">
        <v>23330040.813448429</v>
      </c>
      <c r="P2008" s="13">
        <v>9611574.9195869304</v>
      </c>
      <c r="Q2008" s="14">
        <v>1.4119827734740356</v>
      </c>
      <c r="R2008" s="15">
        <v>0.41198277347403567</v>
      </c>
    </row>
    <row r="2009" spans="1:18" ht="18" customHeight="1">
      <c r="A2009" s="10" t="s">
        <v>41</v>
      </c>
      <c r="B2009" s="10" t="s">
        <v>42</v>
      </c>
      <c r="C2009" s="10" t="s">
        <v>254</v>
      </c>
      <c r="D2009" s="10" t="s">
        <v>266</v>
      </c>
      <c r="E2009" s="16">
        <v>1</v>
      </c>
      <c r="F2009" s="16">
        <v>1</v>
      </c>
      <c r="G2009" s="13">
        <v>39.694649419699999</v>
      </c>
      <c r="H2009" s="13">
        <v>39.694649419699999</v>
      </c>
      <c r="I2009" s="14">
        <v>0</v>
      </c>
      <c r="J2009" s="15">
        <v>1</v>
      </c>
      <c r="K2009" s="14">
        <v>954.99258602143607</v>
      </c>
      <c r="L2009" s="13">
        <v>37908.095900533597</v>
      </c>
      <c r="M2009" s="14">
        <v>3.98</v>
      </c>
      <c r="N2009" s="14">
        <v>954.99258602143595</v>
      </c>
      <c r="O2009" s="13">
        <v>37908.095900533597</v>
      </c>
      <c r="P2009" s="13">
        <v>0</v>
      </c>
      <c r="Q2009" s="14">
        <v>1</v>
      </c>
      <c r="R2009" s="15">
        <v>0</v>
      </c>
    </row>
    <row r="2010" spans="1:18" ht="18" customHeight="1">
      <c r="A2010" s="10" t="s">
        <v>41</v>
      </c>
      <c r="B2010" s="10" t="s">
        <v>42</v>
      </c>
      <c r="C2010" s="10" t="s">
        <v>254</v>
      </c>
      <c r="D2010" s="10" t="s">
        <v>268</v>
      </c>
      <c r="E2010" s="16">
        <v>14</v>
      </c>
      <c r="F2010" s="16">
        <v>14</v>
      </c>
      <c r="G2010" s="13">
        <v>110604.65128141131</v>
      </c>
      <c r="H2010" s="13">
        <v>110604.65128141131</v>
      </c>
      <c r="I2010" s="14">
        <v>0</v>
      </c>
      <c r="J2010" s="15">
        <v>1</v>
      </c>
      <c r="K2010" s="14">
        <v>360.71230712389513</v>
      </c>
      <c r="L2010" s="13">
        <v>39896458.942351758</v>
      </c>
      <c r="M2010" s="14">
        <v>3.5233492262220398</v>
      </c>
      <c r="N2010" s="14">
        <v>333.69463646952289</v>
      </c>
      <c r="O2010" s="13">
        <v>36908178.901188895</v>
      </c>
      <c r="P2010" s="13">
        <v>2988280.0411628634</v>
      </c>
      <c r="Q2010" s="14">
        <v>1.0809652529636624</v>
      </c>
      <c r="R2010" s="15">
        <v>8.0965252963662318E-2</v>
      </c>
    </row>
    <row r="2011" spans="1:18" ht="18" customHeight="1">
      <c r="A2011" s="10" t="s">
        <v>41</v>
      </c>
      <c r="B2011" s="10" t="s">
        <v>42</v>
      </c>
      <c r="C2011" s="10" t="s">
        <v>254</v>
      </c>
      <c r="D2011" s="10" t="s">
        <v>269</v>
      </c>
      <c r="E2011" s="16">
        <v>28</v>
      </c>
      <c r="F2011" s="16">
        <v>28</v>
      </c>
      <c r="G2011" s="13">
        <v>479432.25049939618</v>
      </c>
      <c r="H2011" s="13">
        <v>479432.25049939618</v>
      </c>
      <c r="I2011" s="14">
        <v>0</v>
      </c>
      <c r="J2011" s="15">
        <v>1</v>
      </c>
      <c r="K2011" s="14">
        <v>233.99551722929468</v>
      </c>
      <c r="L2011" s="13">
        <v>112184997.43201098</v>
      </c>
      <c r="M2011" s="14">
        <v>3.3336810578860301</v>
      </c>
      <c r="N2011" s="14">
        <v>215.61603620340853</v>
      </c>
      <c r="O2011" s="13">
        <v>103373281.48075943</v>
      </c>
      <c r="P2011" s="13">
        <v>8811715.9512515515</v>
      </c>
      <c r="Q2011" s="14">
        <v>1.0852417164767247</v>
      </c>
      <c r="R2011" s="15">
        <v>8.524171647672471E-2</v>
      </c>
    </row>
    <row r="2012" spans="1:18" ht="18" customHeight="1">
      <c r="A2012" s="10" t="s">
        <v>41</v>
      </c>
      <c r="B2012" s="10" t="s">
        <v>42</v>
      </c>
      <c r="C2012" s="10" t="s">
        <v>254</v>
      </c>
      <c r="D2012" s="10" t="s">
        <v>270</v>
      </c>
      <c r="E2012" s="16">
        <v>22</v>
      </c>
      <c r="F2012" s="16">
        <v>22</v>
      </c>
      <c r="G2012" s="13">
        <v>759846.72150984686</v>
      </c>
      <c r="H2012" s="13">
        <v>759846.72150984686</v>
      </c>
      <c r="I2012" s="14">
        <v>0</v>
      </c>
      <c r="J2012" s="15">
        <v>1</v>
      </c>
      <c r="K2012" s="14">
        <v>270.18397329891491</v>
      </c>
      <c r="L2012" s="13">
        <v>205298406.3156845</v>
      </c>
      <c r="M2012" s="14">
        <v>3.2579720902630545</v>
      </c>
      <c r="N2012" s="14">
        <v>181.12236914143617</v>
      </c>
      <c r="O2012" s="13">
        <v>137625238.38421652</v>
      </c>
      <c r="P2012" s="13">
        <v>67673167.93146798</v>
      </c>
      <c r="Q2012" s="14">
        <v>1.4917206228013267</v>
      </c>
      <c r="R2012" s="15">
        <v>0.49172062280132656</v>
      </c>
    </row>
    <row r="2013" spans="1:18" ht="18" customHeight="1">
      <c r="A2013" s="10" t="s">
        <v>41</v>
      </c>
      <c r="B2013" s="10" t="s">
        <v>42</v>
      </c>
      <c r="C2013" s="10" t="s">
        <v>254</v>
      </c>
      <c r="D2013" s="10" t="s">
        <v>276</v>
      </c>
      <c r="E2013" s="16">
        <v>22</v>
      </c>
      <c r="F2013" s="16">
        <v>22</v>
      </c>
      <c r="G2013" s="13">
        <v>54029.813272897591</v>
      </c>
      <c r="H2013" s="13">
        <v>54029.813272897591</v>
      </c>
      <c r="I2013" s="14">
        <v>0</v>
      </c>
      <c r="J2013" s="15">
        <v>1</v>
      </c>
      <c r="K2013" s="14">
        <v>250.90837037452121</v>
      </c>
      <c r="L2013" s="13">
        <v>13556532.399942411</v>
      </c>
      <c r="M2013" s="14">
        <v>3.33490820116831</v>
      </c>
      <c r="N2013" s="14">
        <v>216.22614282287606</v>
      </c>
      <c r="O2013" s="13">
        <v>11682658.12143888</v>
      </c>
      <c r="P2013" s="13">
        <v>1873874.2785035316</v>
      </c>
      <c r="Q2013" s="14">
        <v>1.1603979384678542</v>
      </c>
      <c r="R2013" s="15">
        <v>0.1603979384678543</v>
      </c>
    </row>
    <row r="2014" spans="1:18" ht="18" customHeight="1">
      <c r="A2014" s="10" t="s">
        <v>41</v>
      </c>
      <c r="B2014" s="10" t="s">
        <v>42</v>
      </c>
      <c r="C2014" s="10" t="s">
        <v>254</v>
      </c>
      <c r="D2014" s="10" t="s">
        <v>271</v>
      </c>
      <c r="E2014" s="16">
        <v>18</v>
      </c>
      <c r="F2014" s="16">
        <v>18</v>
      </c>
      <c r="G2014" s="13">
        <v>171695.38575440212</v>
      </c>
      <c r="H2014" s="13">
        <v>171695.38575440212</v>
      </c>
      <c r="I2014" s="14">
        <v>0</v>
      </c>
      <c r="J2014" s="15">
        <v>1</v>
      </c>
      <c r="K2014" s="14">
        <v>12.217701511753495</v>
      </c>
      <c r="L2014" s="13">
        <v>2097722.9740926581</v>
      </c>
      <c r="M2014" s="14">
        <v>2.0523277778720823</v>
      </c>
      <c r="N2014" s="14">
        <v>11.280485142949845</v>
      </c>
      <c r="O2014" s="13">
        <v>1936807.2481155754</v>
      </c>
      <c r="P2014" s="13">
        <v>160915.72597708274</v>
      </c>
      <c r="Q2014" s="14">
        <v>1.0830829841914555</v>
      </c>
      <c r="R2014" s="15">
        <v>8.3082984191455475E-2</v>
      </c>
    </row>
    <row r="2015" spans="1:18" ht="18" customHeight="1">
      <c r="A2015" s="10" t="s">
        <v>41</v>
      </c>
      <c r="B2015" s="10" t="s">
        <v>42</v>
      </c>
      <c r="C2015" s="10" t="s">
        <v>254</v>
      </c>
      <c r="D2015" s="10" t="s">
        <v>272</v>
      </c>
      <c r="E2015" s="16">
        <v>15</v>
      </c>
      <c r="F2015" s="16">
        <v>15</v>
      </c>
      <c r="G2015" s="13">
        <v>93668.355335532993</v>
      </c>
      <c r="H2015" s="13">
        <v>93668.355335532993</v>
      </c>
      <c r="I2015" s="14">
        <v>0</v>
      </c>
      <c r="J2015" s="15">
        <v>1</v>
      </c>
      <c r="K2015" s="14">
        <v>65.864059827600343</v>
      </c>
      <c r="L2015" s="13">
        <v>6169378.1597724725</v>
      </c>
      <c r="M2015" s="14">
        <v>2.5984181898858529</v>
      </c>
      <c r="N2015" s="14">
        <v>39.665980120286157</v>
      </c>
      <c r="O2015" s="13">
        <v>3715447.1206391514</v>
      </c>
      <c r="P2015" s="13">
        <v>2453931.039133321</v>
      </c>
      <c r="Q2015" s="14">
        <v>1.6604672222360097</v>
      </c>
      <c r="R2015" s="15">
        <v>0.66046722223600973</v>
      </c>
    </row>
    <row r="2016" spans="1:18" ht="18" customHeight="1">
      <c r="A2016" s="10" t="s">
        <v>41</v>
      </c>
      <c r="B2016" s="10" t="s">
        <v>42</v>
      </c>
      <c r="C2016" s="10" t="s">
        <v>254</v>
      </c>
      <c r="D2016" s="10" t="s">
        <v>280</v>
      </c>
      <c r="E2016" s="16">
        <v>1</v>
      </c>
      <c r="F2016" s="16">
        <v>1</v>
      </c>
      <c r="G2016" s="13">
        <v>1382.8641561113</v>
      </c>
      <c r="H2016" s="13">
        <v>1382.8641561113</v>
      </c>
      <c r="I2016" s="14">
        <v>0</v>
      </c>
      <c r="J2016" s="15">
        <v>1</v>
      </c>
      <c r="K2016" s="14">
        <v>323.59365692962808</v>
      </c>
      <c r="L2016" s="13">
        <v>447486.06931295968</v>
      </c>
      <c r="M2016" s="14">
        <v>3.51</v>
      </c>
      <c r="N2016" s="14">
        <v>323.59365692962808</v>
      </c>
      <c r="O2016" s="13">
        <v>447486.06931295968</v>
      </c>
      <c r="P2016" s="13">
        <v>0</v>
      </c>
      <c r="Q2016" s="14">
        <v>1</v>
      </c>
      <c r="R2016" s="15">
        <v>0</v>
      </c>
    </row>
    <row r="2017" spans="1:18" ht="18" customHeight="1">
      <c r="A2017" s="10" t="s">
        <v>41</v>
      </c>
      <c r="B2017" s="10" t="s">
        <v>42</v>
      </c>
      <c r="C2017" s="10" t="s">
        <v>254</v>
      </c>
      <c r="D2017" s="10" t="s">
        <v>281</v>
      </c>
      <c r="E2017" s="16">
        <v>1</v>
      </c>
      <c r="F2017" s="16">
        <v>1</v>
      </c>
      <c r="G2017" s="13">
        <v>406.69677479670003</v>
      </c>
      <c r="H2017" s="13">
        <v>406.69677479670003</v>
      </c>
      <c r="I2017" s="14">
        <v>0</v>
      </c>
      <c r="J2017" s="15">
        <v>1</v>
      </c>
      <c r="K2017" s="14">
        <v>125.89254117941675</v>
      </c>
      <c r="L2017" s="13">
        <v>51200.09046862954</v>
      </c>
      <c r="M2017" s="14">
        <v>3.1</v>
      </c>
      <c r="N2017" s="14">
        <v>125.89254117941675</v>
      </c>
      <c r="O2017" s="13">
        <v>51200.09046862954</v>
      </c>
      <c r="P2017" s="13">
        <v>0</v>
      </c>
      <c r="Q2017" s="14">
        <v>1</v>
      </c>
      <c r="R2017" s="15">
        <v>0</v>
      </c>
    </row>
    <row r="2018" spans="1:18" ht="18" customHeight="1">
      <c r="A2018" s="10" t="s">
        <v>41</v>
      </c>
      <c r="B2018" s="10" t="s">
        <v>42</v>
      </c>
      <c r="C2018" s="10" t="s">
        <v>254</v>
      </c>
      <c r="D2018" s="10" t="s">
        <v>283</v>
      </c>
      <c r="E2018" s="16">
        <v>3</v>
      </c>
      <c r="F2018" s="16">
        <v>3</v>
      </c>
      <c r="G2018" s="13">
        <v>1028.7208106920998</v>
      </c>
      <c r="H2018" s="13">
        <v>1028.7208106920998</v>
      </c>
      <c r="I2018" s="14">
        <v>0</v>
      </c>
      <c r="J2018" s="15">
        <v>1</v>
      </c>
      <c r="K2018" s="14">
        <v>938.79339586751632</v>
      </c>
      <c r="L2018" s="13">
        <v>965756.30326922075</v>
      </c>
      <c r="M2018" s="14">
        <v>3.9601228808928397</v>
      </c>
      <c r="N2018" s="14">
        <v>912.26892359817691</v>
      </c>
      <c r="O2018" s="13">
        <v>938470.02665312577</v>
      </c>
      <c r="P2018" s="13">
        <v>27286.276616094983</v>
      </c>
      <c r="Q2018" s="14">
        <v>1.0290752776765884</v>
      </c>
      <c r="R2018" s="15">
        <v>2.9075277676588438E-2</v>
      </c>
    </row>
    <row r="2019" spans="1:18" ht="18" customHeight="1">
      <c r="A2019" s="10" t="s">
        <v>41</v>
      </c>
      <c r="B2019" s="10" t="s">
        <v>42</v>
      </c>
      <c r="C2019" s="10" t="s">
        <v>254</v>
      </c>
      <c r="D2019" s="10" t="s">
        <v>278</v>
      </c>
      <c r="E2019" s="16">
        <v>4</v>
      </c>
      <c r="F2019" s="16">
        <v>4</v>
      </c>
      <c r="G2019" s="13">
        <v>34731.762883257295</v>
      </c>
      <c r="H2019" s="13">
        <v>34731.762883257295</v>
      </c>
      <c r="I2019" s="14">
        <v>0</v>
      </c>
      <c r="J2019" s="15">
        <v>1</v>
      </c>
      <c r="K2019" s="14">
        <v>284.42291684097222</v>
      </c>
      <c r="L2019" s="13">
        <v>9878509.3062850554</v>
      </c>
      <c r="M2019" s="14">
        <v>3.3136399462641553</v>
      </c>
      <c r="N2019" s="14">
        <v>205.89222470179894</v>
      </c>
      <c r="O2019" s="13">
        <v>7150999.9278492108</v>
      </c>
      <c r="P2019" s="13">
        <v>2727509.3784358446</v>
      </c>
      <c r="Q2019" s="14">
        <v>1.3814165020214439</v>
      </c>
      <c r="R2019" s="15">
        <v>0.381416502021444</v>
      </c>
    </row>
    <row r="2020" spans="1:18" ht="18" customHeight="1">
      <c r="A2020" s="10" t="s">
        <v>41</v>
      </c>
      <c r="B2020" s="10" t="s">
        <v>42</v>
      </c>
      <c r="C2020" s="10" t="s">
        <v>254</v>
      </c>
      <c r="D2020" s="10" t="s">
        <v>273</v>
      </c>
      <c r="E2020" s="16">
        <v>13</v>
      </c>
      <c r="F2020" s="16">
        <v>13</v>
      </c>
      <c r="G2020" s="13">
        <v>298769.514454299</v>
      </c>
      <c r="H2020" s="13">
        <v>298769.514454299</v>
      </c>
      <c r="I2020" s="14">
        <v>0</v>
      </c>
      <c r="J2020" s="15">
        <v>1</v>
      </c>
      <c r="K2020" s="14">
        <v>148.8053071294257</v>
      </c>
      <c r="L2020" s="13">
        <v>44458489.359281354</v>
      </c>
      <c r="M2020" s="14">
        <v>3.1632717259776011</v>
      </c>
      <c r="N2020" s="14">
        <v>145.63700057862445</v>
      </c>
      <c r="O2020" s="13">
        <v>43511895.949456088</v>
      </c>
      <c r="P2020" s="13">
        <v>946593.40982526541</v>
      </c>
      <c r="Q2020" s="14">
        <v>1.0217548187494481</v>
      </c>
      <c r="R2020" s="15">
        <v>2.1754818749448176E-2</v>
      </c>
    </row>
    <row r="2021" spans="1:18" ht="18" customHeight="1">
      <c r="A2021" s="10" t="s">
        <v>41</v>
      </c>
      <c r="B2021" s="10" t="s">
        <v>42</v>
      </c>
      <c r="C2021" s="10" t="s">
        <v>254</v>
      </c>
      <c r="D2021" s="10" t="s">
        <v>284</v>
      </c>
      <c r="E2021" s="16">
        <v>1</v>
      </c>
      <c r="F2021" s="16">
        <v>1</v>
      </c>
      <c r="G2021" s="13">
        <v>24.165266374599998</v>
      </c>
      <c r="H2021" s="13">
        <v>24.165266374599998</v>
      </c>
      <c r="I2021" s="14">
        <v>0</v>
      </c>
      <c r="J2021" s="15">
        <v>1</v>
      </c>
      <c r="K2021" s="14">
        <v>128.82495516931337</v>
      </c>
      <c r="L2021" s="13">
        <v>3113.0893573623607</v>
      </c>
      <c r="M2021" s="14">
        <v>3.11</v>
      </c>
      <c r="N2021" s="14">
        <v>128.82495516931337</v>
      </c>
      <c r="O2021" s="13">
        <v>3113.0893573623607</v>
      </c>
      <c r="P2021" s="13">
        <v>0</v>
      </c>
      <c r="Q2021" s="14">
        <v>1</v>
      </c>
      <c r="R2021" s="15">
        <v>0</v>
      </c>
    </row>
    <row r="2022" spans="1:18" ht="18" customHeight="1">
      <c r="A2022" s="10" t="s">
        <v>41</v>
      </c>
      <c r="B2022" s="10" t="s">
        <v>42</v>
      </c>
      <c r="C2022" s="10" t="s">
        <v>254</v>
      </c>
      <c r="D2022" s="10" t="s">
        <v>274</v>
      </c>
      <c r="E2022" s="16">
        <v>3</v>
      </c>
      <c r="F2022" s="16">
        <v>3</v>
      </c>
      <c r="G2022" s="13">
        <v>17926.684170309501</v>
      </c>
      <c r="H2022" s="13">
        <v>17926.684170309501</v>
      </c>
      <c r="I2022" s="14">
        <v>0</v>
      </c>
      <c r="J2022" s="15">
        <v>1</v>
      </c>
      <c r="K2022" s="14">
        <v>312.32974346776967</v>
      </c>
      <c r="L2022" s="13">
        <v>5599036.6681404943</v>
      </c>
      <c r="M2022" s="14">
        <v>3.4935812809149023</v>
      </c>
      <c r="N2022" s="14">
        <v>311.58839984868831</v>
      </c>
      <c r="O2022" s="13">
        <v>5585746.8352195481</v>
      </c>
      <c r="P2022" s="13">
        <v>13289.832920946181</v>
      </c>
      <c r="Q2022" s="14">
        <v>1.0023792401111253</v>
      </c>
      <c r="R2022" s="15">
        <v>2.379240111125413E-3</v>
      </c>
    </row>
    <row r="2023" spans="1:18" ht="18" customHeight="1">
      <c r="A2023" s="10" t="s">
        <v>49</v>
      </c>
      <c r="B2023" s="10" t="s">
        <v>50</v>
      </c>
      <c r="C2023" s="10" t="s">
        <v>254</v>
      </c>
      <c r="D2023" s="10" t="s">
        <v>255</v>
      </c>
      <c r="E2023" s="16">
        <v>10</v>
      </c>
      <c r="F2023" s="16">
        <v>10</v>
      </c>
      <c r="G2023" s="13">
        <v>137072.35819004162</v>
      </c>
      <c r="H2023" s="13">
        <v>137072.35819004162</v>
      </c>
      <c r="I2023" s="14">
        <v>0</v>
      </c>
      <c r="J2023" s="15">
        <v>1</v>
      </c>
      <c r="K2023" s="14">
        <v>1582.0586254236232</v>
      </c>
      <c r="L2023" s="13">
        <v>216856506.58171177</v>
      </c>
      <c r="M2023" s="14">
        <v>4.1658464550221757</v>
      </c>
      <c r="N2023" s="14">
        <v>1465.0297875485528</v>
      </c>
      <c r="O2023" s="13">
        <v>200815087.79793581</v>
      </c>
      <c r="P2023" s="13">
        <v>16041418.783775955</v>
      </c>
      <c r="Q2023" s="14">
        <v>1.0798815415698104</v>
      </c>
      <c r="R2023" s="15">
        <v>7.9881541569810505E-2</v>
      </c>
    </row>
    <row r="2024" spans="1:18" ht="18" customHeight="1">
      <c r="A2024" s="10" t="s">
        <v>49</v>
      </c>
      <c r="B2024" s="10" t="s">
        <v>50</v>
      </c>
      <c r="C2024" s="10" t="s">
        <v>254</v>
      </c>
      <c r="D2024" s="10" t="s">
        <v>277</v>
      </c>
      <c r="E2024" s="16">
        <v>3</v>
      </c>
      <c r="F2024" s="16">
        <v>3</v>
      </c>
      <c r="G2024" s="13">
        <v>172.87413681450002</v>
      </c>
      <c r="H2024" s="13">
        <v>172.87413681450002</v>
      </c>
      <c r="I2024" s="14">
        <v>0</v>
      </c>
      <c r="J2024" s="15">
        <v>1</v>
      </c>
      <c r="K2024" s="14">
        <v>139.17115910157705</v>
      </c>
      <c r="L2024" s="13">
        <v>24059.09399915858</v>
      </c>
      <c r="M2024" s="14">
        <v>3.0990981556325141</v>
      </c>
      <c r="N2024" s="14">
        <v>125.63138732397036</v>
      </c>
      <c r="O2024" s="13">
        <v>21718.417640439497</v>
      </c>
      <c r="P2024" s="13">
        <v>2340.6763587190835</v>
      </c>
      <c r="Q2024" s="14">
        <v>1.1077737981408353</v>
      </c>
      <c r="R2024" s="15">
        <v>0.10777379814083533</v>
      </c>
    </row>
    <row r="2025" spans="1:18" ht="18" customHeight="1">
      <c r="A2025" s="10" t="s">
        <v>49</v>
      </c>
      <c r="B2025" s="10" t="s">
        <v>50</v>
      </c>
      <c r="C2025" s="10" t="s">
        <v>254</v>
      </c>
      <c r="D2025" s="10" t="s">
        <v>256</v>
      </c>
      <c r="E2025" s="16">
        <v>1</v>
      </c>
      <c r="F2025" s="16">
        <v>1</v>
      </c>
      <c r="G2025" s="13">
        <v>0.15606946969999999</v>
      </c>
      <c r="H2025" s="13">
        <v>0.15606946969999999</v>
      </c>
      <c r="I2025" s="14">
        <v>0</v>
      </c>
      <c r="J2025" s="15">
        <v>1</v>
      </c>
      <c r="K2025" s="14">
        <v>691.83097091893626</v>
      </c>
      <c r="L2025" s="13">
        <v>107.9736927533545</v>
      </c>
      <c r="M2025" s="14">
        <v>3.84</v>
      </c>
      <c r="N2025" s="14">
        <v>691.83097091893626</v>
      </c>
      <c r="O2025" s="13">
        <v>107.9736927533545</v>
      </c>
      <c r="P2025" s="13">
        <v>0</v>
      </c>
      <c r="Q2025" s="14">
        <v>1</v>
      </c>
      <c r="R2025" s="15">
        <v>0</v>
      </c>
    </row>
    <row r="2026" spans="1:18" ht="18" customHeight="1">
      <c r="A2026" s="10" t="s">
        <v>49</v>
      </c>
      <c r="B2026" s="10" t="s">
        <v>50</v>
      </c>
      <c r="C2026" s="10" t="s">
        <v>254</v>
      </c>
      <c r="D2026" s="10" t="s">
        <v>258</v>
      </c>
      <c r="E2026" s="16">
        <v>11</v>
      </c>
      <c r="F2026" s="16">
        <v>11</v>
      </c>
      <c r="G2026" s="13">
        <v>141855.71670439272</v>
      </c>
      <c r="H2026" s="13">
        <v>141855.71670439272</v>
      </c>
      <c r="I2026" s="14">
        <v>0</v>
      </c>
      <c r="J2026" s="15">
        <v>1</v>
      </c>
      <c r="K2026" s="14">
        <v>1352.4260216071523</v>
      </c>
      <c r="L2026" s="13">
        <v>191849362.5847531</v>
      </c>
      <c r="M2026" s="14">
        <v>3.9848764358463415</v>
      </c>
      <c r="N2026" s="14">
        <v>965.77606021005306</v>
      </c>
      <c r="O2026" s="13">
        <v>137000855.19704181</v>
      </c>
      <c r="P2026" s="13">
        <v>54848507.387711287</v>
      </c>
      <c r="Q2026" s="14">
        <v>1.4003515694031639</v>
      </c>
      <c r="R2026" s="15">
        <v>0.40035156940316385</v>
      </c>
    </row>
    <row r="2027" spans="1:18" ht="18" customHeight="1">
      <c r="A2027" s="10" t="s">
        <v>49</v>
      </c>
      <c r="B2027" s="10" t="s">
        <v>50</v>
      </c>
      <c r="C2027" s="10" t="s">
        <v>254</v>
      </c>
      <c r="D2027" s="10" t="s">
        <v>259</v>
      </c>
      <c r="E2027" s="16">
        <v>8</v>
      </c>
      <c r="F2027" s="16">
        <v>8</v>
      </c>
      <c r="G2027" s="13">
        <v>99158.666172711091</v>
      </c>
      <c r="H2027" s="13">
        <v>99158.666172711091</v>
      </c>
      <c r="I2027" s="14">
        <v>0</v>
      </c>
      <c r="J2027" s="15">
        <v>1</v>
      </c>
      <c r="K2027" s="14">
        <v>1542.0974118564461</v>
      </c>
      <c r="L2027" s="13">
        <v>152912322.4680751</v>
      </c>
      <c r="M2027" s="14">
        <v>4.1830384646983019</v>
      </c>
      <c r="N2027" s="14">
        <v>1524.1877424465242</v>
      </c>
      <c r="O2027" s="13">
        <v>151136423.53779304</v>
      </c>
      <c r="P2027" s="13">
        <v>1775898.9302820563</v>
      </c>
      <c r="Q2027" s="14">
        <v>1.0117503040545217</v>
      </c>
      <c r="R2027" s="15">
        <v>1.1750304054521819E-2</v>
      </c>
    </row>
    <row r="2028" spans="1:18" ht="18" customHeight="1">
      <c r="A2028" s="10" t="s">
        <v>49</v>
      </c>
      <c r="B2028" s="10" t="s">
        <v>50</v>
      </c>
      <c r="C2028" s="10" t="s">
        <v>254</v>
      </c>
      <c r="D2028" s="10" t="s">
        <v>260</v>
      </c>
      <c r="E2028" s="16">
        <v>3</v>
      </c>
      <c r="F2028" s="16">
        <v>3</v>
      </c>
      <c r="G2028" s="13">
        <v>3582.9937328958003</v>
      </c>
      <c r="H2028" s="13">
        <v>3582.9937328958003</v>
      </c>
      <c r="I2028" s="14">
        <v>0</v>
      </c>
      <c r="J2028" s="15">
        <v>1</v>
      </c>
      <c r="K2028" s="14">
        <v>1670.2939942165076</v>
      </c>
      <c r="L2028" s="13">
        <v>5984652.9133712407</v>
      </c>
      <c r="M2028" s="14">
        <v>4.2195220633701478</v>
      </c>
      <c r="N2028" s="14">
        <v>1657.7615536170817</v>
      </c>
      <c r="O2028" s="13">
        <v>5939749.2572456095</v>
      </c>
      <c r="P2028" s="13">
        <v>44903.656125631183</v>
      </c>
      <c r="Q2028" s="14">
        <v>1.0075598571894016</v>
      </c>
      <c r="R2028" s="15">
        <v>7.5598571894016251E-3</v>
      </c>
    </row>
    <row r="2029" spans="1:18" ht="18" customHeight="1">
      <c r="A2029" s="10" t="s">
        <v>49</v>
      </c>
      <c r="B2029" s="10" t="s">
        <v>50</v>
      </c>
      <c r="C2029" s="10" t="s">
        <v>254</v>
      </c>
      <c r="D2029" s="10" t="s">
        <v>261</v>
      </c>
      <c r="E2029" s="16">
        <v>18</v>
      </c>
      <c r="F2029" s="16">
        <v>18</v>
      </c>
      <c r="G2029" s="13">
        <v>58237.796610843609</v>
      </c>
      <c r="H2029" s="13">
        <v>58237.796610843609</v>
      </c>
      <c r="I2029" s="14">
        <v>0</v>
      </c>
      <c r="J2029" s="15">
        <v>1</v>
      </c>
      <c r="K2029" s="14">
        <v>2545.1276056853467</v>
      </c>
      <c r="L2029" s="13">
        <v>148222623.84854659</v>
      </c>
      <c r="M2029" s="14">
        <v>4.3964508966982461</v>
      </c>
      <c r="N2029" s="14">
        <v>2491.4426615333787</v>
      </c>
      <c r="O2029" s="13">
        <v>145096130.98995978</v>
      </c>
      <c r="P2029" s="13">
        <v>3126492.858586818</v>
      </c>
      <c r="Q2029" s="14">
        <v>1.0215477341625543</v>
      </c>
      <c r="R2029" s="15">
        <v>2.1547734162554354E-2</v>
      </c>
    </row>
    <row r="2030" spans="1:18" ht="18" customHeight="1">
      <c r="A2030" s="10" t="s">
        <v>49</v>
      </c>
      <c r="B2030" s="10" t="s">
        <v>50</v>
      </c>
      <c r="C2030" s="10" t="s">
        <v>254</v>
      </c>
      <c r="D2030" s="10" t="s">
        <v>262</v>
      </c>
      <c r="E2030" s="16">
        <v>2</v>
      </c>
      <c r="F2030" s="16">
        <v>2</v>
      </c>
      <c r="G2030" s="13">
        <v>2134.1115997504999</v>
      </c>
      <c r="H2030" s="13">
        <v>2134.1115997504999</v>
      </c>
      <c r="I2030" s="14">
        <v>0</v>
      </c>
      <c r="J2030" s="15">
        <v>1</v>
      </c>
      <c r="K2030" s="14">
        <v>524.80792183285405</v>
      </c>
      <c r="L2030" s="13">
        <v>1119998.6736244475</v>
      </c>
      <c r="M2030" s="14">
        <v>3.7200003316297785</v>
      </c>
      <c r="N2030" s="14">
        <v>524.80786099593797</v>
      </c>
      <c r="O2030" s="13">
        <v>1119998.5437916792</v>
      </c>
      <c r="P2030" s="13">
        <v>0.12983276834711432</v>
      </c>
      <c r="Q2030" s="14">
        <v>1.0000001159222653</v>
      </c>
      <c r="R2030" s="15">
        <v>1.1592226531614432E-7</v>
      </c>
    </row>
    <row r="2031" spans="1:18" ht="18" customHeight="1">
      <c r="A2031" s="10" t="s">
        <v>49</v>
      </c>
      <c r="B2031" s="10" t="s">
        <v>50</v>
      </c>
      <c r="C2031" s="10" t="s">
        <v>254</v>
      </c>
      <c r="D2031" s="10" t="s">
        <v>263</v>
      </c>
      <c r="E2031" s="16">
        <v>5</v>
      </c>
      <c r="F2031" s="16">
        <v>5</v>
      </c>
      <c r="G2031" s="13">
        <v>2806.7963193941005</v>
      </c>
      <c r="H2031" s="13">
        <v>2806.7963193941005</v>
      </c>
      <c r="I2031" s="14">
        <v>0</v>
      </c>
      <c r="J2031" s="15">
        <v>1</v>
      </c>
      <c r="K2031" s="14">
        <v>468.46218589117882</v>
      </c>
      <c r="L2031" s="13">
        <v>1314877.9391346755</v>
      </c>
      <c r="M2031" s="14">
        <v>3.6335800220526591</v>
      </c>
      <c r="N2031" s="14">
        <v>430.11047744778307</v>
      </c>
      <c r="O2031" s="13">
        <v>1207232.5050332767</v>
      </c>
      <c r="P2031" s="13">
        <v>107645.4341013988</v>
      </c>
      <c r="Q2031" s="14">
        <v>1.089167110438624</v>
      </c>
      <c r="R2031" s="15">
        <v>8.9167110438623923E-2</v>
      </c>
    </row>
    <row r="2032" spans="1:18" ht="18" customHeight="1">
      <c r="A2032" s="10" t="s">
        <v>49</v>
      </c>
      <c r="B2032" s="10" t="s">
        <v>50</v>
      </c>
      <c r="C2032" s="10" t="s">
        <v>254</v>
      </c>
      <c r="D2032" s="10" t="s">
        <v>264</v>
      </c>
      <c r="E2032" s="16">
        <v>4</v>
      </c>
      <c r="F2032" s="16">
        <v>4</v>
      </c>
      <c r="G2032" s="13">
        <v>1627.0950654007002</v>
      </c>
      <c r="H2032" s="13">
        <v>1627.0950654007002</v>
      </c>
      <c r="I2032" s="14">
        <v>0</v>
      </c>
      <c r="J2032" s="15">
        <v>1</v>
      </c>
      <c r="K2032" s="14">
        <v>1043.743682139982</v>
      </c>
      <c r="L2032" s="13">
        <v>1698270.1947531216</v>
      </c>
      <c r="M2032" s="14">
        <v>4.0156541770674457</v>
      </c>
      <c r="N2032" s="14">
        <v>1036.702574556065</v>
      </c>
      <c r="O2032" s="13">
        <v>1686813.6433483749</v>
      </c>
      <c r="P2032" s="13">
        <v>11456.551404746715</v>
      </c>
      <c r="Q2032" s="14">
        <v>1.0067918299392014</v>
      </c>
      <c r="R2032" s="15">
        <v>6.7918299392012993E-3</v>
      </c>
    </row>
    <row r="2033" spans="1:18" ht="18" customHeight="1">
      <c r="A2033" s="10" t="s">
        <v>49</v>
      </c>
      <c r="B2033" s="10" t="s">
        <v>50</v>
      </c>
      <c r="C2033" s="10" t="s">
        <v>254</v>
      </c>
      <c r="D2033" s="10" t="s">
        <v>265</v>
      </c>
      <c r="E2033" s="16">
        <v>15</v>
      </c>
      <c r="F2033" s="16">
        <v>15</v>
      </c>
      <c r="G2033" s="13">
        <v>55978.73337344289</v>
      </c>
      <c r="H2033" s="13">
        <v>55978.73337344289</v>
      </c>
      <c r="I2033" s="14">
        <v>0</v>
      </c>
      <c r="J2033" s="15">
        <v>1</v>
      </c>
      <c r="K2033" s="14">
        <v>358.90329154104688</v>
      </c>
      <c r="L2033" s="13">
        <v>20090951.664027303</v>
      </c>
      <c r="M2033" s="14">
        <v>3.3774770026054788</v>
      </c>
      <c r="N2033" s="14">
        <v>238.4937501433939</v>
      </c>
      <c r="O2033" s="13">
        <v>13350578.050509553</v>
      </c>
      <c r="P2033" s="13">
        <v>6740373.6135177501</v>
      </c>
      <c r="Q2033" s="14">
        <v>1.504875038969604</v>
      </c>
      <c r="R2033" s="15">
        <v>0.50487503896960395</v>
      </c>
    </row>
    <row r="2034" spans="1:18" ht="18" customHeight="1">
      <c r="A2034" s="10" t="s">
        <v>49</v>
      </c>
      <c r="B2034" s="10" t="s">
        <v>50</v>
      </c>
      <c r="C2034" s="10" t="s">
        <v>254</v>
      </c>
      <c r="D2034" s="10" t="s">
        <v>266</v>
      </c>
      <c r="E2034" s="16">
        <v>3</v>
      </c>
      <c r="F2034" s="16">
        <v>3</v>
      </c>
      <c r="G2034" s="13">
        <v>171.68634431729998</v>
      </c>
      <c r="H2034" s="13">
        <v>171.68634431729998</v>
      </c>
      <c r="I2034" s="14">
        <v>0</v>
      </c>
      <c r="J2034" s="15">
        <v>1</v>
      </c>
      <c r="K2034" s="14">
        <v>464.28868391854832</v>
      </c>
      <c r="L2034" s="13">
        <v>79712.026849865942</v>
      </c>
      <c r="M2034" s="14">
        <v>3.6389870272421168</v>
      </c>
      <c r="N2034" s="14">
        <v>435.49886475741783</v>
      </c>
      <c r="O2034" s="13">
        <v>74769.208044535291</v>
      </c>
      <c r="P2034" s="13">
        <v>4942.8188053306512</v>
      </c>
      <c r="Q2034" s="14">
        <v>1.0661076790112118</v>
      </c>
      <c r="R2034" s="15">
        <v>6.6107679011211756E-2</v>
      </c>
    </row>
    <row r="2035" spans="1:18" ht="18" customHeight="1">
      <c r="A2035" s="10" t="s">
        <v>49</v>
      </c>
      <c r="B2035" s="10" t="s">
        <v>50</v>
      </c>
      <c r="C2035" s="10" t="s">
        <v>254</v>
      </c>
      <c r="D2035" s="10" t="s">
        <v>268</v>
      </c>
      <c r="E2035" s="16">
        <v>11</v>
      </c>
      <c r="F2035" s="16">
        <v>11</v>
      </c>
      <c r="G2035" s="13">
        <v>518604.12077382195</v>
      </c>
      <c r="H2035" s="13">
        <v>518604.12077382195</v>
      </c>
      <c r="I2035" s="14">
        <v>0</v>
      </c>
      <c r="J2035" s="15">
        <v>1</v>
      </c>
      <c r="K2035" s="14">
        <v>369.54678568749773</v>
      </c>
      <c r="L2035" s="13">
        <v>191648485.87625676</v>
      </c>
      <c r="M2035" s="14">
        <v>3.5647812907735807</v>
      </c>
      <c r="N2035" s="14">
        <v>367.09738494400864</v>
      </c>
      <c r="O2035" s="13">
        <v>190378216.55725688</v>
      </c>
      <c r="P2035" s="13">
        <v>1270269.3189998865</v>
      </c>
      <c r="Q2035" s="14">
        <v>1.0066723459331171</v>
      </c>
      <c r="R2035" s="15">
        <v>6.6723459331170321E-3</v>
      </c>
    </row>
    <row r="2036" spans="1:18" ht="18" customHeight="1">
      <c r="A2036" s="10" t="s">
        <v>49</v>
      </c>
      <c r="B2036" s="10" t="s">
        <v>50</v>
      </c>
      <c r="C2036" s="10" t="s">
        <v>254</v>
      </c>
      <c r="D2036" s="10" t="s">
        <v>269</v>
      </c>
      <c r="E2036" s="16">
        <v>31</v>
      </c>
      <c r="F2036" s="16">
        <v>31</v>
      </c>
      <c r="G2036" s="13">
        <v>506880.35163519718</v>
      </c>
      <c r="H2036" s="13">
        <v>506880.35163519718</v>
      </c>
      <c r="I2036" s="14">
        <v>0</v>
      </c>
      <c r="J2036" s="15">
        <v>1</v>
      </c>
      <c r="K2036" s="14">
        <v>607.04475004318169</v>
      </c>
      <c r="L2036" s="13">
        <v>307699056.36018831</v>
      </c>
      <c r="M2036" s="14">
        <v>3.4981452868137546</v>
      </c>
      <c r="N2036" s="14">
        <v>314.88015230333559</v>
      </c>
      <c r="O2036" s="13">
        <v>159606562.32245919</v>
      </c>
      <c r="P2036" s="13">
        <v>148092494.03772911</v>
      </c>
      <c r="Q2036" s="14">
        <v>1.9278596812237094</v>
      </c>
      <c r="R2036" s="15">
        <v>0.92785968122370954</v>
      </c>
    </row>
    <row r="2037" spans="1:18" ht="18" customHeight="1">
      <c r="A2037" s="10" t="s">
        <v>49</v>
      </c>
      <c r="B2037" s="10" t="s">
        <v>50</v>
      </c>
      <c r="C2037" s="10" t="s">
        <v>254</v>
      </c>
      <c r="D2037" s="10" t="s">
        <v>270</v>
      </c>
      <c r="E2037" s="16">
        <v>17</v>
      </c>
      <c r="F2037" s="16">
        <v>17</v>
      </c>
      <c r="G2037" s="13">
        <v>603089.94869409013</v>
      </c>
      <c r="H2037" s="13">
        <v>603089.94869409013</v>
      </c>
      <c r="I2037" s="14">
        <v>0</v>
      </c>
      <c r="J2037" s="15">
        <v>1</v>
      </c>
      <c r="K2037" s="14">
        <v>235.44911757888266</v>
      </c>
      <c r="L2037" s="13">
        <v>141996996.24071714</v>
      </c>
      <c r="M2037" s="14">
        <v>3.2309974828654942</v>
      </c>
      <c r="N2037" s="14">
        <v>170.2148642855143</v>
      </c>
      <c r="O2037" s="13">
        <v>102654873.76892233</v>
      </c>
      <c r="P2037" s="13">
        <v>39342122.471794814</v>
      </c>
      <c r="Q2037" s="14">
        <v>1.3832465135591567</v>
      </c>
      <c r="R2037" s="15">
        <v>0.38324651355915673</v>
      </c>
    </row>
    <row r="2038" spans="1:18" ht="18" customHeight="1">
      <c r="A2038" s="10" t="s">
        <v>49</v>
      </c>
      <c r="B2038" s="10" t="s">
        <v>50</v>
      </c>
      <c r="C2038" s="10" t="s">
        <v>254</v>
      </c>
      <c r="D2038" s="10" t="s">
        <v>276</v>
      </c>
      <c r="E2038" s="16">
        <v>10</v>
      </c>
      <c r="F2038" s="16">
        <v>10</v>
      </c>
      <c r="G2038" s="13">
        <v>7800.9668996210994</v>
      </c>
      <c r="H2038" s="13">
        <v>7800.9668996210994</v>
      </c>
      <c r="I2038" s="14">
        <v>0</v>
      </c>
      <c r="J2038" s="15">
        <v>1</v>
      </c>
      <c r="K2038" s="14">
        <v>337.51992826317706</v>
      </c>
      <c r="L2038" s="13">
        <v>2632981.7883435325</v>
      </c>
      <c r="M2038" s="14">
        <v>3.315633611450377</v>
      </c>
      <c r="N2038" s="14">
        <v>206.83956295448814</v>
      </c>
      <c r="O2038" s="13">
        <v>1613548.5841400565</v>
      </c>
      <c r="P2038" s="13">
        <v>1019433.204203476</v>
      </c>
      <c r="Q2038" s="14">
        <v>1.6317957911052208</v>
      </c>
      <c r="R2038" s="15">
        <v>0.63179579110522077</v>
      </c>
    </row>
    <row r="2039" spans="1:18" ht="18" customHeight="1">
      <c r="A2039" s="10" t="s">
        <v>49</v>
      </c>
      <c r="B2039" s="10" t="s">
        <v>50</v>
      </c>
      <c r="C2039" s="10" t="s">
        <v>254</v>
      </c>
      <c r="D2039" s="10" t="s">
        <v>271</v>
      </c>
      <c r="E2039" s="16">
        <v>26</v>
      </c>
      <c r="F2039" s="16">
        <v>26</v>
      </c>
      <c r="G2039" s="13">
        <v>123909.21561616661</v>
      </c>
      <c r="H2039" s="13">
        <v>123909.21561616661</v>
      </c>
      <c r="I2039" s="14">
        <v>0</v>
      </c>
      <c r="J2039" s="15">
        <v>1</v>
      </c>
      <c r="K2039" s="14">
        <v>13.679474083322793</v>
      </c>
      <c r="L2039" s="13">
        <v>1695012.9037062069</v>
      </c>
      <c r="M2039" s="14">
        <v>2.0639847995842122</v>
      </c>
      <c r="N2039" s="14">
        <v>11.58736799366792</v>
      </c>
      <c r="O2039" s="13">
        <v>1435781.6791512661</v>
      </c>
      <c r="P2039" s="13">
        <v>259231.22455494083</v>
      </c>
      <c r="Q2039" s="14">
        <v>1.1805505867077091</v>
      </c>
      <c r="R2039" s="15">
        <v>0.1805505867077091</v>
      </c>
    </row>
    <row r="2040" spans="1:18" ht="18" customHeight="1">
      <c r="A2040" s="10" t="s">
        <v>49</v>
      </c>
      <c r="B2040" s="10" t="s">
        <v>50</v>
      </c>
      <c r="C2040" s="10" t="s">
        <v>254</v>
      </c>
      <c r="D2040" s="10" t="s">
        <v>272</v>
      </c>
      <c r="E2040" s="16">
        <v>19</v>
      </c>
      <c r="F2040" s="16">
        <v>19</v>
      </c>
      <c r="G2040" s="13">
        <v>55273.292719719793</v>
      </c>
      <c r="H2040" s="13">
        <v>55273.292719719793</v>
      </c>
      <c r="I2040" s="14">
        <v>0</v>
      </c>
      <c r="J2040" s="15">
        <v>1</v>
      </c>
      <c r="K2040" s="14">
        <v>73.664856262418695</v>
      </c>
      <c r="L2040" s="13">
        <v>4071699.1633487525</v>
      </c>
      <c r="M2040" s="14">
        <v>2.6651076748339477</v>
      </c>
      <c r="N2040" s="14">
        <v>46.249567395442028</v>
      </c>
      <c r="O2040" s="13">
        <v>2556365.8768086759</v>
      </c>
      <c r="P2040" s="13">
        <v>1515333.2865400766</v>
      </c>
      <c r="Q2040" s="14">
        <v>1.5927685470562583</v>
      </c>
      <c r="R2040" s="15">
        <v>0.59276854705625825</v>
      </c>
    </row>
    <row r="2041" spans="1:18" ht="18" customHeight="1">
      <c r="A2041" s="10" t="s">
        <v>49</v>
      </c>
      <c r="B2041" s="10" t="s">
        <v>50</v>
      </c>
      <c r="C2041" s="10" t="s">
        <v>254</v>
      </c>
      <c r="D2041" s="10" t="s">
        <v>280</v>
      </c>
      <c r="E2041" s="16">
        <v>1</v>
      </c>
      <c r="F2041" s="16">
        <v>1</v>
      </c>
      <c r="G2041" s="13">
        <v>3849.9036484653998</v>
      </c>
      <c r="H2041" s="13">
        <v>3849.9036484653998</v>
      </c>
      <c r="I2041" s="14">
        <v>0</v>
      </c>
      <c r="J2041" s="15">
        <v>1</v>
      </c>
      <c r="K2041" s="14">
        <v>323.59365692962808</v>
      </c>
      <c r="L2041" s="13">
        <v>1245804.400433636</v>
      </c>
      <c r="M2041" s="14">
        <v>3.51</v>
      </c>
      <c r="N2041" s="14">
        <v>323.59365692962808</v>
      </c>
      <c r="O2041" s="13">
        <v>1245804.400433636</v>
      </c>
      <c r="P2041" s="13">
        <v>0</v>
      </c>
      <c r="Q2041" s="14">
        <v>1</v>
      </c>
      <c r="R2041" s="15">
        <v>0</v>
      </c>
    </row>
    <row r="2042" spans="1:18" ht="18" customHeight="1">
      <c r="A2042" s="10" t="s">
        <v>49</v>
      </c>
      <c r="B2042" s="10" t="s">
        <v>50</v>
      </c>
      <c r="C2042" s="10" t="s">
        <v>254</v>
      </c>
      <c r="D2042" s="10" t="s">
        <v>281</v>
      </c>
      <c r="E2042" s="16">
        <v>1</v>
      </c>
      <c r="F2042" s="16">
        <v>1</v>
      </c>
      <c r="G2042" s="13">
        <v>682.88063984020005</v>
      </c>
      <c r="H2042" s="13">
        <v>682.88063984020005</v>
      </c>
      <c r="I2042" s="14">
        <v>0</v>
      </c>
      <c r="J2042" s="15">
        <v>1</v>
      </c>
      <c r="K2042" s="14">
        <v>125.89254117941674</v>
      </c>
      <c r="L2042" s="13">
        <v>85969.579071708838</v>
      </c>
      <c r="M2042" s="14">
        <v>3.1000000000000005</v>
      </c>
      <c r="N2042" s="14">
        <v>125.89254117941688</v>
      </c>
      <c r="O2042" s="13">
        <v>85969.579071708926</v>
      </c>
      <c r="P2042" s="13">
        <v>-8.7311491370201111E-11</v>
      </c>
      <c r="Q2042" s="14">
        <v>0.999999999999999</v>
      </c>
      <c r="R2042" s="15">
        <v>-1.0156091528303618E-15</v>
      </c>
    </row>
    <row r="2043" spans="1:18" ht="18" customHeight="1">
      <c r="A2043" s="10" t="s">
        <v>49</v>
      </c>
      <c r="B2043" s="10" t="s">
        <v>50</v>
      </c>
      <c r="C2043" s="10" t="s">
        <v>254</v>
      </c>
      <c r="D2043" s="10" t="s">
        <v>283</v>
      </c>
      <c r="E2043" s="16">
        <v>1</v>
      </c>
      <c r="F2043" s="16">
        <v>1</v>
      </c>
      <c r="G2043" s="13">
        <v>153.90636320429999</v>
      </c>
      <c r="H2043" s="13">
        <v>153.90636320429999</v>
      </c>
      <c r="I2043" s="14">
        <v>0</v>
      </c>
      <c r="J2043" s="15">
        <v>1</v>
      </c>
      <c r="K2043" s="14">
        <v>416.86938347033549</v>
      </c>
      <c r="L2043" s="13">
        <v>64158.850741138063</v>
      </c>
      <c r="M2043" s="14">
        <v>3.62</v>
      </c>
      <c r="N2043" s="14">
        <v>416.86938347033549</v>
      </c>
      <c r="O2043" s="13">
        <v>64158.850741138063</v>
      </c>
      <c r="P2043" s="13">
        <v>0</v>
      </c>
      <c r="Q2043" s="14">
        <v>1</v>
      </c>
      <c r="R2043" s="15">
        <v>0</v>
      </c>
    </row>
    <row r="2044" spans="1:18" ht="18" customHeight="1">
      <c r="A2044" s="10" t="s">
        <v>49</v>
      </c>
      <c r="B2044" s="10" t="s">
        <v>50</v>
      </c>
      <c r="C2044" s="10" t="s">
        <v>254</v>
      </c>
      <c r="D2044" s="10" t="s">
        <v>278</v>
      </c>
      <c r="E2044" s="16">
        <v>2</v>
      </c>
      <c r="F2044" s="16">
        <v>2</v>
      </c>
      <c r="G2044" s="13">
        <v>43764.287900565003</v>
      </c>
      <c r="H2044" s="13">
        <v>43764.287900565003</v>
      </c>
      <c r="I2044" s="14">
        <v>0</v>
      </c>
      <c r="J2044" s="15">
        <v>1</v>
      </c>
      <c r="K2044" s="14">
        <v>110.30234488763794</v>
      </c>
      <c r="L2044" s="13">
        <v>4827303.5777700013</v>
      </c>
      <c r="M2044" s="14">
        <v>3.0174612948528208</v>
      </c>
      <c r="N2044" s="14">
        <v>104.10253253392835</v>
      </c>
      <c r="O2044" s="13">
        <v>4555973.2049927749</v>
      </c>
      <c r="P2044" s="13">
        <v>271330.37277722638</v>
      </c>
      <c r="Q2044" s="14">
        <v>1.0595548657924243</v>
      </c>
      <c r="R2044" s="15">
        <v>5.9554865792424402E-2</v>
      </c>
    </row>
    <row r="2045" spans="1:18" ht="18" customHeight="1">
      <c r="A2045" s="10" t="s">
        <v>49</v>
      </c>
      <c r="B2045" s="10" t="s">
        <v>50</v>
      </c>
      <c r="C2045" s="10" t="s">
        <v>254</v>
      </c>
      <c r="D2045" s="10" t="s">
        <v>273</v>
      </c>
      <c r="E2045" s="16">
        <v>11</v>
      </c>
      <c r="F2045" s="16">
        <v>11</v>
      </c>
      <c r="G2045" s="13">
        <v>173588.117621307</v>
      </c>
      <c r="H2045" s="13">
        <v>173588.117621307</v>
      </c>
      <c r="I2045" s="14">
        <v>0</v>
      </c>
      <c r="J2045" s="15">
        <v>1</v>
      </c>
      <c r="K2045" s="14">
        <v>142.31356231391851</v>
      </c>
      <c r="L2045" s="13">
        <v>24703943.394055691</v>
      </c>
      <c r="M2045" s="14">
        <v>3.1500838923898549</v>
      </c>
      <c r="N2045" s="14">
        <v>141.28104299608131</v>
      </c>
      <c r="O2045" s="13">
        <v>24524710.309264693</v>
      </c>
      <c r="P2045" s="13">
        <v>179233.08479099721</v>
      </c>
      <c r="Q2045" s="14">
        <v>1.0073082651142791</v>
      </c>
      <c r="R2045" s="15">
        <v>7.3082651142789799E-3</v>
      </c>
    </row>
    <row r="2046" spans="1:18" ht="18" customHeight="1">
      <c r="A2046" s="10" t="s">
        <v>49</v>
      </c>
      <c r="B2046" s="10" t="s">
        <v>50</v>
      </c>
      <c r="C2046" s="10" t="s">
        <v>254</v>
      </c>
      <c r="D2046" s="10" t="s">
        <v>274</v>
      </c>
      <c r="E2046" s="16">
        <v>5</v>
      </c>
      <c r="F2046" s="16">
        <v>5</v>
      </c>
      <c r="G2046" s="13">
        <v>46545.859864296908</v>
      </c>
      <c r="H2046" s="13">
        <v>46545.859864296908</v>
      </c>
      <c r="I2046" s="14">
        <v>0</v>
      </c>
      <c r="J2046" s="15">
        <v>1</v>
      </c>
      <c r="K2046" s="14">
        <v>394.67991427561702</v>
      </c>
      <c r="L2046" s="13">
        <v>18370715.981125586</v>
      </c>
      <c r="M2046" s="14">
        <v>3.5098441612642781</v>
      </c>
      <c r="N2046" s="14">
        <v>323.47756201730198</v>
      </c>
      <c r="O2046" s="13">
        <v>15056541.270901751</v>
      </c>
      <c r="P2046" s="13">
        <v>3314174.710223835</v>
      </c>
      <c r="Q2046" s="14">
        <v>1.2201152741917431</v>
      </c>
      <c r="R2046" s="15">
        <v>0.22011527419174309</v>
      </c>
    </row>
    <row r="2047" spans="1:18" ht="18" customHeight="1">
      <c r="A2047" s="10" t="s">
        <v>87</v>
      </c>
      <c r="B2047" s="10" t="s">
        <v>88</v>
      </c>
      <c r="C2047" s="10" t="s">
        <v>254</v>
      </c>
      <c r="D2047" s="10" t="s">
        <v>255</v>
      </c>
      <c r="E2047" s="16">
        <v>9</v>
      </c>
      <c r="F2047" s="16">
        <v>9</v>
      </c>
      <c r="G2047" s="13">
        <v>46432.575584225306</v>
      </c>
      <c r="H2047" s="13">
        <v>46432.575584225306</v>
      </c>
      <c r="I2047" s="14">
        <v>0</v>
      </c>
      <c r="J2047" s="15">
        <v>1</v>
      </c>
      <c r="K2047" s="14">
        <v>1319.5179800622045</v>
      </c>
      <c r="L2047" s="13">
        <v>61268618.343982607</v>
      </c>
      <c r="M2047" s="14">
        <v>4.0961804780768594</v>
      </c>
      <c r="N2047" s="14">
        <v>1247.9019923053193</v>
      </c>
      <c r="O2047" s="13">
        <v>57943303.579422079</v>
      </c>
      <c r="P2047" s="13">
        <v>3325314.7645605281</v>
      </c>
      <c r="Q2047" s="14">
        <v>1.0573891124451087</v>
      </c>
      <c r="R2047" s="15">
        <v>5.7389112445108789E-2</v>
      </c>
    </row>
    <row r="2048" spans="1:18" ht="18" customHeight="1">
      <c r="A2048" s="10" t="s">
        <v>87</v>
      </c>
      <c r="B2048" s="10" t="s">
        <v>88</v>
      </c>
      <c r="C2048" s="10" t="s">
        <v>254</v>
      </c>
      <c r="D2048" s="10" t="s">
        <v>277</v>
      </c>
      <c r="E2048" s="16">
        <v>2</v>
      </c>
      <c r="F2048" s="16">
        <v>2</v>
      </c>
      <c r="G2048" s="13">
        <v>178.44663747769999</v>
      </c>
      <c r="H2048" s="13">
        <v>178.44663747769999</v>
      </c>
      <c r="I2048" s="14">
        <v>0</v>
      </c>
      <c r="J2048" s="15">
        <v>1</v>
      </c>
      <c r="K2048" s="14">
        <v>288.40315031266056</v>
      </c>
      <c r="L2048" s="13">
        <v>51464.572411269961</v>
      </c>
      <c r="M2048" s="14">
        <v>3.46</v>
      </c>
      <c r="N2048" s="14">
        <v>288.40315031266056</v>
      </c>
      <c r="O2048" s="13">
        <v>51464.572411269961</v>
      </c>
      <c r="P2048" s="13">
        <v>0</v>
      </c>
      <c r="Q2048" s="14">
        <v>1</v>
      </c>
      <c r="R2048" s="15">
        <v>0</v>
      </c>
    </row>
    <row r="2049" spans="1:18" ht="18" customHeight="1">
      <c r="A2049" s="10" t="s">
        <v>87</v>
      </c>
      <c r="B2049" s="10" t="s">
        <v>88</v>
      </c>
      <c r="C2049" s="10" t="s">
        <v>254</v>
      </c>
      <c r="D2049" s="10" t="s">
        <v>256</v>
      </c>
      <c r="E2049" s="16">
        <v>1</v>
      </c>
      <c r="F2049" s="16">
        <v>1</v>
      </c>
      <c r="G2049" s="13">
        <v>109.77148337289999</v>
      </c>
      <c r="H2049" s="13">
        <v>109.77148337289999</v>
      </c>
      <c r="I2049" s="14">
        <v>0</v>
      </c>
      <c r="J2049" s="15">
        <v>1</v>
      </c>
      <c r="K2049" s="14">
        <v>691.83097091893626</v>
      </c>
      <c r="L2049" s="13">
        <v>75943.311921085275</v>
      </c>
      <c r="M2049" s="14">
        <v>3.84</v>
      </c>
      <c r="N2049" s="14">
        <v>691.83097091893626</v>
      </c>
      <c r="O2049" s="13">
        <v>75943.311921085275</v>
      </c>
      <c r="P2049" s="13">
        <v>0</v>
      </c>
      <c r="Q2049" s="14">
        <v>1</v>
      </c>
      <c r="R2049" s="15">
        <v>0</v>
      </c>
    </row>
    <row r="2050" spans="1:18" ht="18" customHeight="1">
      <c r="A2050" s="10" t="s">
        <v>87</v>
      </c>
      <c r="B2050" s="10" t="s">
        <v>88</v>
      </c>
      <c r="C2050" s="10" t="s">
        <v>254</v>
      </c>
      <c r="D2050" s="10" t="s">
        <v>258</v>
      </c>
      <c r="E2050" s="16">
        <v>11</v>
      </c>
      <c r="F2050" s="16">
        <v>11</v>
      </c>
      <c r="G2050" s="13">
        <v>48881.438483192607</v>
      </c>
      <c r="H2050" s="13">
        <v>48881.438483192607</v>
      </c>
      <c r="I2050" s="14">
        <v>0</v>
      </c>
      <c r="J2050" s="15">
        <v>1</v>
      </c>
      <c r="K2050" s="14">
        <v>1042.163949516578</v>
      </c>
      <c r="L2050" s="13">
        <v>50942472.987695657</v>
      </c>
      <c r="M2050" s="14">
        <v>3.8824797189213722</v>
      </c>
      <c r="N2050" s="14">
        <v>762.92126273876977</v>
      </c>
      <c r="O2050" s="13">
        <v>37292688.772084802</v>
      </c>
      <c r="P2050" s="13">
        <v>13649784.215610854</v>
      </c>
      <c r="Q2050" s="14">
        <v>1.366017701191562</v>
      </c>
      <c r="R2050" s="15">
        <v>0.36601770119156202</v>
      </c>
    </row>
    <row r="2051" spans="1:18" ht="18" customHeight="1">
      <c r="A2051" s="10" t="s">
        <v>87</v>
      </c>
      <c r="B2051" s="10" t="s">
        <v>88</v>
      </c>
      <c r="C2051" s="10" t="s">
        <v>254</v>
      </c>
      <c r="D2051" s="10" t="s">
        <v>259</v>
      </c>
      <c r="E2051" s="16">
        <v>5</v>
      </c>
      <c r="F2051" s="16">
        <v>5</v>
      </c>
      <c r="G2051" s="13">
        <v>23747.217128488399</v>
      </c>
      <c r="H2051" s="13">
        <v>23747.217128488399</v>
      </c>
      <c r="I2051" s="14">
        <v>0</v>
      </c>
      <c r="J2051" s="15">
        <v>1</v>
      </c>
      <c r="K2051" s="14">
        <v>1515.0610426311569</v>
      </c>
      <c r="L2051" s="13">
        <v>35978483.542276099</v>
      </c>
      <c r="M2051" s="14">
        <v>4.1781125154491887</v>
      </c>
      <c r="N2051" s="14">
        <v>1506.9974430822242</v>
      </c>
      <c r="O2051" s="13">
        <v>35786995.492950417</v>
      </c>
      <c r="P2051" s="13">
        <v>191488.04932568222</v>
      </c>
      <c r="Q2051" s="14">
        <v>1.0053507718848151</v>
      </c>
      <c r="R2051" s="15">
        <v>5.3507718848150561E-3</v>
      </c>
    </row>
    <row r="2052" spans="1:18" ht="18" customHeight="1">
      <c r="A2052" s="10" t="s">
        <v>87</v>
      </c>
      <c r="B2052" s="10" t="s">
        <v>88</v>
      </c>
      <c r="C2052" s="10" t="s">
        <v>254</v>
      </c>
      <c r="D2052" s="10" t="s">
        <v>260</v>
      </c>
      <c r="E2052" s="16">
        <v>3</v>
      </c>
      <c r="F2052" s="16">
        <v>3</v>
      </c>
      <c r="G2052" s="13">
        <v>1556.8514660572</v>
      </c>
      <c r="H2052" s="13">
        <v>1556.8514660572</v>
      </c>
      <c r="I2052" s="14">
        <v>0</v>
      </c>
      <c r="J2052" s="15">
        <v>1</v>
      </c>
      <c r="K2052" s="14">
        <v>1577.4928270617058</v>
      </c>
      <c r="L2052" s="13">
        <v>2455922.0205057338</v>
      </c>
      <c r="M2052" s="14">
        <v>4.1935025618980806</v>
      </c>
      <c r="N2052" s="14">
        <v>1561.3582483765704</v>
      </c>
      <c r="O2052" s="13">
        <v>2430802.8780255653</v>
      </c>
      <c r="P2052" s="13">
        <v>25119.142480168492</v>
      </c>
      <c r="Q2052" s="14">
        <v>1.0103336813968937</v>
      </c>
      <c r="R2052" s="15">
        <v>1.0333681396893717E-2</v>
      </c>
    </row>
    <row r="2053" spans="1:18" ht="18" customHeight="1">
      <c r="A2053" s="10" t="s">
        <v>87</v>
      </c>
      <c r="B2053" s="10" t="s">
        <v>88</v>
      </c>
      <c r="C2053" s="10" t="s">
        <v>254</v>
      </c>
      <c r="D2053" s="10" t="s">
        <v>261</v>
      </c>
      <c r="E2053" s="16">
        <v>11</v>
      </c>
      <c r="F2053" s="16">
        <v>11</v>
      </c>
      <c r="G2053" s="13">
        <v>3168.9616558898992</v>
      </c>
      <c r="H2053" s="13">
        <v>3168.9616558898992</v>
      </c>
      <c r="I2053" s="14">
        <v>0</v>
      </c>
      <c r="J2053" s="15">
        <v>1</v>
      </c>
      <c r="K2053" s="14">
        <v>2154.9291217296291</v>
      </c>
      <c r="L2053" s="13">
        <v>6828887.7579216911</v>
      </c>
      <c r="M2053" s="14">
        <v>4.3194139548773096</v>
      </c>
      <c r="N2053" s="14">
        <v>2086.478696829613</v>
      </c>
      <c r="O2053" s="13">
        <v>6611970.9860841697</v>
      </c>
      <c r="P2053" s="13">
        <v>216916.77183752134</v>
      </c>
      <c r="Q2053" s="14">
        <v>1.0328066732739833</v>
      </c>
      <c r="R2053" s="15">
        <v>3.2806673273983421E-2</v>
      </c>
    </row>
    <row r="2054" spans="1:18" ht="18" customHeight="1">
      <c r="A2054" s="10" t="s">
        <v>87</v>
      </c>
      <c r="B2054" s="10" t="s">
        <v>88</v>
      </c>
      <c r="C2054" s="10" t="s">
        <v>254</v>
      </c>
      <c r="D2054" s="10" t="s">
        <v>262</v>
      </c>
      <c r="E2054" s="16">
        <v>1</v>
      </c>
      <c r="F2054" s="16">
        <v>1</v>
      </c>
      <c r="G2054" s="13">
        <v>3572.0250857925002</v>
      </c>
      <c r="H2054" s="13">
        <v>3572.0250857925002</v>
      </c>
      <c r="I2054" s="14">
        <v>0</v>
      </c>
      <c r="J2054" s="15">
        <v>1</v>
      </c>
      <c r="K2054" s="14">
        <v>524.80746024977282</v>
      </c>
      <c r="L2054" s="13">
        <v>1874625.4132232389</v>
      </c>
      <c r="M2054" s="14">
        <v>3.72</v>
      </c>
      <c r="N2054" s="14">
        <v>524.80746024977282</v>
      </c>
      <c r="O2054" s="13">
        <v>1874625.4132232389</v>
      </c>
      <c r="P2054" s="13">
        <v>0</v>
      </c>
      <c r="Q2054" s="14">
        <v>1</v>
      </c>
      <c r="R2054" s="15">
        <v>0</v>
      </c>
    </row>
    <row r="2055" spans="1:18" ht="18" customHeight="1">
      <c r="A2055" s="10" t="s">
        <v>87</v>
      </c>
      <c r="B2055" s="10" t="s">
        <v>88</v>
      </c>
      <c r="C2055" s="10" t="s">
        <v>254</v>
      </c>
      <c r="D2055" s="10" t="s">
        <v>263</v>
      </c>
      <c r="E2055" s="16">
        <v>4</v>
      </c>
      <c r="F2055" s="16">
        <v>4</v>
      </c>
      <c r="G2055" s="13">
        <v>517.06838023430009</v>
      </c>
      <c r="H2055" s="13">
        <v>517.06838023430009</v>
      </c>
      <c r="I2055" s="14">
        <v>0</v>
      </c>
      <c r="J2055" s="15">
        <v>1</v>
      </c>
      <c r="K2055" s="14">
        <v>456.48407642083851</v>
      </c>
      <c r="L2055" s="13">
        <v>236033.48199767343</v>
      </c>
      <c r="M2055" s="14">
        <v>3.6339299869116051</v>
      </c>
      <c r="N2055" s="14">
        <v>430.45721042016771</v>
      </c>
      <c r="O2055" s="13">
        <v>222575.81255213139</v>
      </c>
      <c r="P2055" s="13">
        <v>13457.669445542037</v>
      </c>
      <c r="Q2055" s="14">
        <v>1.060463305923639</v>
      </c>
      <c r="R2055" s="15">
        <v>6.0463305923638938E-2</v>
      </c>
    </row>
    <row r="2056" spans="1:18" ht="18" customHeight="1">
      <c r="A2056" s="10" t="s">
        <v>87</v>
      </c>
      <c r="B2056" s="10" t="s">
        <v>88</v>
      </c>
      <c r="C2056" s="10" t="s">
        <v>254</v>
      </c>
      <c r="D2056" s="10" t="s">
        <v>264</v>
      </c>
      <c r="E2056" s="16">
        <v>4</v>
      </c>
      <c r="F2056" s="16">
        <v>4</v>
      </c>
      <c r="G2056" s="13">
        <v>2626.7946257920003</v>
      </c>
      <c r="H2056" s="13">
        <v>2626.7946257920003</v>
      </c>
      <c r="I2056" s="14">
        <v>0</v>
      </c>
      <c r="J2056" s="15">
        <v>1</v>
      </c>
      <c r="K2056" s="14">
        <v>1023.551922700312</v>
      </c>
      <c r="L2056" s="13">
        <v>2688660.6897682487</v>
      </c>
      <c r="M2056" s="14">
        <v>4.0095475484430656</v>
      </c>
      <c r="N2056" s="14">
        <v>1022.2274723699232</v>
      </c>
      <c r="O2056" s="13">
        <v>2685181.6307582548</v>
      </c>
      <c r="P2056" s="13">
        <v>3479.0590099939145</v>
      </c>
      <c r="Q2056" s="14">
        <v>1.0012956512774189</v>
      </c>
      <c r="R2056" s="15">
        <v>1.2956512774189807E-3</v>
      </c>
    </row>
    <row r="2057" spans="1:18" ht="18" customHeight="1">
      <c r="A2057" s="10" t="s">
        <v>87</v>
      </c>
      <c r="B2057" s="10" t="s">
        <v>88</v>
      </c>
      <c r="C2057" s="10" t="s">
        <v>254</v>
      </c>
      <c r="D2057" s="10" t="s">
        <v>265</v>
      </c>
      <c r="E2057" s="16">
        <v>8</v>
      </c>
      <c r="F2057" s="16">
        <v>8</v>
      </c>
      <c r="G2057" s="13">
        <v>30856.794118012102</v>
      </c>
      <c r="H2057" s="13">
        <v>30856.794118012102</v>
      </c>
      <c r="I2057" s="14">
        <v>0</v>
      </c>
      <c r="J2057" s="15">
        <v>1</v>
      </c>
      <c r="K2057" s="14">
        <v>388.80540297931111</v>
      </c>
      <c r="L2057" s="13">
        <v>11997288.271703333</v>
      </c>
      <c r="M2057" s="14">
        <v>3.3659808892410843</v>
      </c>
      <c r="N2057" s="14">
        <v>232.26345885507729</v>
      </c>
      <c r="O2057" s="13">
        <v>7166905.7310284944</v>
      </c>
      <c r="P2057" s="13">
        <v>4830382.5406748382</v>
      </c>
      <c r="Q2057" s="14">
        <v>1.6739843834923234</v>
      </c>
      <c r="R2057" s="15">
        <v>0.67398438349232326</v>
      </c>
    </row>
    <row r="2058" spans="1:18" ht="18" customHeight="1">
      <c r="A2058" s="10" t="s">
        <v>87</v>
      </c>
      <c r="B2058" s="10" t="s">
        <v>88</v>
      </c>
      <c r="C2058" s="10" t="s">
        <v>254</v>
      </c>
      <c r="D2058" s="10" t="s">
        <v>266</v>
      </c>
      <c r="E2058" s="16">
        <v>2</v>
      </c>
      <c r="F2058" s="16">
        <v>2</v>
      </c>
      <c r="G2058" s="13">
        <v>148.77136258940001</v>
      </c>
      <c r="H2058" s="13">
        <v>148.77136258940001</v>
      </c>
      <c r="I2058" s="14">
        <v>0</v>
      </c>
      <c r="J2058" s="15">
        <v>1</v>
      </c>
      <c r="K2058" s="14">
        <v>401.47423273559286</v>
      </c>
      <c r="L2058" s="13">
        <v>59727.868648608055</v>
      </c>
      <c r="M2058" s="14">
        <v>3.5973333174273674</v>
      </c>
      <c r="N2058" s="14">
        <v>395.67017715697915</v>
      </c>
      <c r="O2058" s="13">
        <v>58864.391391633086</v>
      </c>
      <c r="P2058" s="13">
        <v>863.47725697496935</v>
      </c>
      <c r="Q2058" s="14">
        <v>1.0146689235471771</v>
      </c>
      <c r="R2058" s="15">
        <v>1.4668923547176995E-2</v>
      </c>
    </row>
    <row r="2059" spans="1:18" ht="18" customHeight="1">
      <c r="A2059" s="10" t="s">
        <v>87</v>
      </c>
      <c r="B2059" s="10" t="s">
        <v>88</v>
      </c>
      <c r="C2059" s="10" t="s">
        <v>254</v>
      </c>
      <c r="D2059" s="10" t="s">
        <v>268</v>
      </c>
      <c r="E2059" s="16">
        <v>6</v>
      </c>
      <c r="F2059" s="16">
        <v>6</v>
      </c>
      <c r="G2059" s="13">
        <v>351840.75019773393</v>
      </c>
      <c r="H2059" s="13">
        <v>351840.75019773393</v>
      </c>
      <c r="I2059" s="14">
        <v>0</v>
      </c>
      <c r="J2059" s="15">
        <v>1</v>
      </c>
      <c r="K2059" s="14">
        <v>371.50358363851171</v>
      </c>
      <c r="L2059" s="13">
        <v>130710099.56852056</v>
      </c>
      <c r="M2059" s="14">
        <v>3.5686148625606631</v>
      </c>
      <c r="N2059" s="14">
        <v>370.35214348676209</v>
      </c>
      <c r="O2059" s="13">
        <v>130304976.00172117</v>
      </c>
      <c r="P2059" s="13">
        <v>405123.56679938734</v>
      </c>
      <c r="Q2059" s="14">
        <v>1.0031090414136912</v>
      </c>
      <c r="R2059" s="15">
        <v>3.1090414136911867E-3</v>
      </c>
    </row>
    <row r="2060" spans="1:18" ht="18" customHeight="1">
      <c r="A2060" s="10" t="s">
        <v>87</v>
      </c>
      <c r="B2060" s="10" t="s">
        <v>88</v>
      </c>
      <c r="C2060" s="10" t="s">
        <v>254</v>
      </c>
      <c r="D2060" s="10" t="s">
        <v>269</v>
      </c>
      <c r="E2060" s="16">
        <v>17</v>
      </c>
      <c r="F2060" s="16">
        <v>17</v>
      </c>
      <c r="G2060" s="13">
        <v>190224.43005656419</v>
      </c>
      <c r="H2060" s="13">
        <v>190224.43005656419</v>
      </c>
      <c r="I2060" s="14">
        <v>0</v>
      </c>
      <c r="J2060" s="15">
        <v>1</v>
      </c>
      <c r="K2060" s="14">
        <v>763.80958921678007</v>
      </c>
      <c r="L2060" s="13">
        <v>145295243.78050041</v>
      </c>
      <c r="M2060" s="14">
        <v>3.5499998507809121</v>
      </c>
      <c r="N2060" s="14">
        <v>354.81326732338908</v>
      </c>
      <c r="O2060" s="13">
        <v>67494151.553099036</v>
      </c>
      <c r="P2060" s="13">
        <v>77801092.227401376</v>
      </c>
      <c r="Q2060" s="14">
        <v>2.1527086486329656</v>
      </c>
      <c r="R2060" s="15">
        <v>1.1527086486329658</v>
      </c>
    </row>
    <row r="2061" spans="1:18" ht="18" customHeight="1">
      <c r="A2061" s="10" t="s">
        <v>87</v>
      </c>
      <c r="B2061" s="10" t="s">
        <v>88</v>
      </c>
      <c r="C2061" s="10" t="s">
        <v>254</v>
      </c>
      <c r="D2061" s="10" t="s">
        <v>270</v>
      </c>
      <c r="E2061" s="16">
        <v>13</v>
      </c>
      <c r="F2061" s="16">
        <v>13</v>
      </c>
      <c r="G2061" s="13">
        <v>258141.85692159808</v>
      </c>
      <c r="H2061" s="13">
        <v>258141.85692159808</v>
      </c>
      <c r="I2061" s="14">
        <v>0</v>
      </c>
      <c r="J2061" s="15">
        <v>1</v>
      </c>
      <c r="K2061" s="14">
        <v>200.13330352636876</v>
      </c>
      <c r="L2061" s="13">
        <v>51662782.604150645</v>
      </c>
      <c r="M2061" s="14">
        <v>3.1962617789148013</v>
      </c>
      <c r="N2061" s="14">
        <v>157.13096544736035</v>
      </c>
      <c r="O2061" s="13">
        <v>40562079.200465068</v>
      </c>
      <c r="P2061" s="13">
        <v>11100703.403685577</v>
      </c>
      <c r="Q2061" s="14">
        <v>1.2736719522888338</v>
      </c>
      <c r="R2061" s="15">
        <v>0.2736719522888339</v>
      </c>
    </row>
    <row r="2062" spans="1:18" ht="18" customHeight="1">
      <c r="A2062" s="10" t="s">
        <v>87</v>
      </c>
      <c r="B2062" s="10" t="s">
        <v>88</v>
      </c>
      <c r="C2062" s="10" t="s">
        <v>254</v>
      </c>
      <c r="D2062" s="10" t="s">
        <v>276</v>
      </c>
      <c r="E2062" s="16">
        <v>8</v>
      </c>
      <c r="F2062" s="16">
        <v>8</v>
      </c>
      <c r="G2062" s="13">
        <v>7081.8644284018001</v>
      </c>
      <c r="H2062" s="13">
        <v>7081.8644284018001</v>
      </c>
      <c r="I2062" s="14">
        <v>0</v>
      </c>
      <c r="J2062" s="15">
        <v>1</v>
      </c>
      <c r="K2062" s="14">
        <v>1044.2915431149197</v>
      </c>
      <c r="L2062" s="13">
        <v>7395531.1320663746</v>
      </c>
      <c r="M2062" s="14">
        <v>4.0168950626446529</v>
      </c>
      <c r="N2062" s="14">
        <v>1039.6689231961884</v>
      </c>
      <c r="O2062" s="13">
        <v>7362794.3644978898</v>
      </c>
      <c r="P2062" s="13">
        <v>32736.76756848488</v>
      </c>
      <c r="Q2062" s="14">
        <v>1.004446242275397</v>
      </c>
      <c r="R2062" s="15">
        <v>4.4462422753969418E-3</v>
      </c>
    </row>
    <row r="2063" spans="1:18" ht="18" customHeight="1">
      <c r="A2063" s="10" t="s">
        <v>87</v>
      </c>
      <c r="B2063" s="10" t="s">
        <v>88</v>
      </c>
      <c r="C2063" s="10" t="s">
        <v>254</v>
      </c>
      <c r="D2063" s="10" t="s">
        <v>271</v>
      </c>
      <c r="E2063" s="16">
        <v>16</v>
      </c>
      <c r="F2063" s="16">
        <v>16</v>
      </c>
      <c r="G2063" s="13">
        <v>38255.760414238699</v>
      </c>
      <c r="H2063" s="13">
        <v>38255.760414238699</v>
      </c>
      <c r="I2063" s="14">
        <v>0</v>
      </c>
      <c r="J2063" s="15">
        <v>1</v>
      </c>
      <c r="K2063" s="14">
        <v>17.331374048558317</v>
      </c>
      <c r="L2063" s="13">
        <v>663024.89325120114</v>
      </c>
      <c r="M2063" s="14">
        <v>2.1148840398089686</v>
      </c>
      <c r="N2063" s="14">
        <v>13.028188686764871</v>
      </c>
      <c r="O2063" s="13">
        <v>498403.26503237203</v>
      </c>
      <c r="P2063" s="13">
        <v>164621.62821882911</v>
      </c>
      <c r="Q2063" s="14">
        <v>1.3302980533406752</v>
      </c>
      <c r="R2063" s="15">
        <v>0.33029805334067525</v>
      </c>
    </row>
    <row r="2064" spans="1:18" ht="18" customHeight="1">
      <c r="A2064" s="10" t="s">
        <v>87</v>
      </c>
      <c r="B2064" s="10" t="s">
        <v>88</v>
      </c>
      <c r="C2064" s="10" t="s">
        <v>254</v>
      </c>
      <c r="D2064" s="10" t="s">
        <v>272</v>
      </c>
      <c r="E2064" s="16">
        <v>10</v>
      </c>
      <c r="F2064" s="16">
        <v>10</v>
      </c>
      <c r="G2064" s="13">
        <v>13885.118450503</v>
      </c>
      <c r="H2064" s="13">
        <v>13885.118450503</v>
      </c>
      <c r="I2064" s="14">
        <v>0</v>
      </c>
      <c r="J2064" s="15">
        <v>1</v>
      </c>
      <c r="K2064" s="14">
        <v>55.025657851139663</v>
      </c>
      <c r="L2064" s="13">
        <v>764037.77707992459</v>
      </c>
      <c r="M2064" s="14">
        <v>2.7051664286135333</v>
      </c>
      <c r="N2064" s="14">
        <v>50.718503248026146</v>
      </c>
      <c r="O2064" s="13">
        <v>704232.4252310642</v>
      </c>
      <c r="P2064" s="13">
        <v>59805.351848860388</v>
      </c>
      <c r="Q2064" s="14">
        <v>1.0849227466759115</v>
      </c>
      <c r="R2064" s="15">
        <v>8.4922746675911404E-2</v>
      </c>
    </row>
    <row r="2065" spans="1:18" ht="18" customHeight="1">
      <c r="A2065" s="10" t="s">
        <v>87</v>
      </c>
      <c r="B2065" s="10" t="s">
        <v>88</v>
      </c>
      <c r="C2065" s="10" t="s">
        <v>254</v>
      </c>
      <c r="D2065" s="10" t="s">
        <v>280</v>
      </c>
      <c r="E2065" s="16">
        <v>1</v>
      </c>
      <c r="F2065" s="16">
        <v>1</v>
      </c>
      <c r="G2065" s="13">
        <v>1511.7817078331</v>
      </c>
      <c r="H2065" s="13">
        <v>1511.7817078331</v>
      </c>
      <c r="I2065" s="14">
        <v>0</v>
      </c>
      <c r="J2065" s="15">
        <v>1</v>
      </c>
      <c r="K2065" s="14">
        <v>323.59365692962808</v>
      </c>
      <c r="L2065" s="13">
        <v>489202.97131703136</v>
      </c>
      <c r="M2065" s="14">
        <v>3.51</v>
      </c>
      <c r="N2065" s="14">
        <v>323.59365692962808</v>
      </c>
      <c r="O2065" s="13">
        <v>489202.97131703136</v>
      </c>
      <c r="P2065" s="13">
        <v>0</v>
      </c>
      <c r="Q2065" s="14">
        <v>1</v>
      </c>
      <c r="R2065" s="15">
        <v>0</v>
      </c>
    </row>
    <row r="2066" spans="1:18" ht="18" customHeight="1">
      <c r="A2066" s="10" t="s">
        <v>87</v>
      </c>
      <c r="B2066" s="10" t="s">
        <v>88</v>
      </c>
      <c r="C2066" s="10" t="s">
        <v>254</v>
      </c>
      <c r="D2066" s="10" t="s">
        <v>281</v>
      </c>
      <c r="E2066" s="16">
        <v>1</v>
      </c>
      <c r="F2066" s="16">
        <v>1</v>
      </c>
      <c r="G2066" s="13">
        <v>122.4792590461</v>
      </c>
      <c r="H2066" s="13">
        <v>122.4792590461</v>
      </c>
      <c r="I2066" s="14">
        <v>0</v>
      </c>
      <c r="J2066" s="15">
        <v>1</v>
      </c>
      <c r="K2066" s="14">
        <v>125.89254117941675</v>
      </c>
      <c r="L2066" s="13">
        <v>15419.225163085595</v>
      </c>
      <c r="M2066" s="14">
        <v>3.1</v>
      </c>
      <c r="N2066" s="14">
        <v>125.89254117941675</v>
      </c>
      <c r="O2066" s="13">
        <v>15419.225163085595</v>
      </c>
      <c r="P2066" s="13">
        <v>0</v>
      </c>
      <c r="Q2066" s="14">
        <v>1</v>
      </c>
      <c r="R2066" s="15">
        <v>0</v>
      </c>
    </row>
    <row r="2067" spans="1:18" ht="18" customHeight="1">
      <c r="A2067" s="10" t="s">
        <v>87</v>
      </c>
      <c r="B2067" s="10" t="s">
        <v>88</v>
      </c>
      <c r="C2067" s="10" t="s">
        <v>254</v>
      </c>
      <c r="D2067" s="10" t="s">
        <v>283</v>
      </c>
      <c r="E2067" s="16">
        <v>1</v>
      </c>
      <c r="F2067" s="16">
        <v>1</v>
      </c>
      <c r="G2067" s="13">
        <v>0.38106122370000001</v>
      </c>
      <c r="H2067" s="13">
        <v>0.38106122370000001</v>
      </c>
      <c r="I2067" s="14">
        <v>0</v>
      </c>
      <c r="J2067" s="15">
        <v>1</v>
      </c>
      <c r="K2067" s="14">
        <v>416.86938347033549</v>
      </c>
      <c r="L2067" s="13">
        <v>158.85275738827059</v>
      </c>
      <c r="M2067" s="14">
        <v>3.6199999999999997</v>
      </c>
      <c r="N2067" s="14">
        <v>416.86938347033509</v>
      </c>
      <c r="O2067" s="13">
        <v>158.85275738827045</v>
      </c>
      <c r="P2067" s="13">
        <v>1.4210854715202004E-13</v>
      </c>
      <c r="Q2067" s="14">
        <v>1.0000000000000009</v>
      </c>
      <c r="R2067" s="15">
        <v>8.9459288896494298E-16</v>
      </c>
    </row>
    <row r="2068" spans="1:18" ht="18" customHeight="1">
      <c r="A2068" s="10" t="s">
        <v>87</v>
      </c>
      <c r="B2068" s="10" t="s">
        <v>88</v>
      </c>
      <c r="C2068" s="10" t="s">
        <v>254</v>
      </c>
      <c r="D2068" s="10" t="s">
        <v>278</v>
      </c>
      <c r="E2068" s="16">
        <v>1</v>
      </c>
      <c r="F2068" s="16">
        <v>1</v>
      </c>
      <c r="G2068" s="13">
        <v>22632.797118732899</v>
      </c>
      <c r="H2068" s="13">
        <v>22632.797118732899</v>
      </c>
      <c r="I2068" s="14">
        <v>0</v>
      </c>
      <c r="J2068" s="15">
        <v>1</v>
      </c>
      <c r="K2068" s="14">
        <v>99.999999999999986</v>
      </c>
      <c r="L2068" s="13">
        <v>2263279.7118732897</v>
      </c>
      <c r="M2068" s="14">
        <v>3</v>
      </c>
      <c r="N2068" s="14">
        <v>100</v>
      </c>
      <c r="O2068" s="13">
        <v>2263279.7118732897</v>
      </c>
      <c r="P2068" s="13">
        <v>0</v>
      </c>
      <c r="Q2068" s="14">
        <v>1</v>
      </c>
      <c r="R2068" s="15">
        <v>0</v>
      </c>
    </row>
    <row r="2069" spans="1:18" ht="18" customHeight="1">
      <c r="A2069" s="10" t="s">
        <v>87</v>
      </c>
      <c r="B2069" s="10" t="s">
        <v>88</v>
      </c>
      <c r="C2069" s="10" t="s">
        <v>254</v>
      </c>
      <c r="D2069" s="10" t="s">
        <v>273</v>
      </c>
      <c r="E2069" s="16">
        <v>5</v>
      </c>
      <c r="F2069" s="16">
        <v>5</v>
      </c>
      <c r="G2069" s="13">
        <v>18442.835557229697</v>
      </c>
      <c r="H2069" s="13">
        <v>18442.835557229697</v>
      </c>
      <c r="I2069" s="14">
        <v>0</v>
      </c>
      <c r="J2069" s="15">
        <v>1</v>
      </c>
      <c r="K2069" s="14">
        <v>141.83971606772377</v>
      </c>
      <c r="L2069" s="13">
        <v>2615926.5589211802</v>
      </c>
      <c r="M2069" s="14">
        <v>3.1498196342150933</v>
      </c>
      <c r="N2069" s="14">
        <v>141.19510288915768</v>
      </c>
      <c r="O2069" s="13">
        <v>2604038.0640708627</v>
      </c>
      <c r="P2069" s="13">
        <v>11888.494850317482</v>
      </c>
      <c r="Q2069" s="14">
        <v>1.0045654074778509</v>
      </c>
      <c r="R2069" s="15">
        <v>4.5654074778508939E-3</v>
      </c>
    </row>
    <row r="2070" spans="1:18" ht="18" customHeight="1">
      <c r="A2070" s="10" t="s">
        <v>87</v>
      </c>
      <c r="B2070" s="10" t="s">
        <v>88</v>
      </c>
      <c r="C2070" s="10" t="s">
        <v>254</v>
      </c>
      <c r="D2070" s="10" t="s">
        <v>274</v>
      </c>
      <c r="E2070" s="16">
        <v>3</v>
      </c>
      <c r="F2070" s="16">
        <v>3</v>
      </c>
      <c r="G2070" s="13">
        <v>28085.066265593498</v>
      </c>
      <c r="H2070" s="13">
        <v>28085.066265593498</v>
      </c>
      <c r="I2070" s="14">
        <v>0</v>
      </c>
      <c r="J2070" s="15">
        <v>1</v>
      </c>
      <c r="K2070" s="14">
        <v>430.44769034843421</v>
      </c>
      <c r="L2070" s="13">
        <v>12089151.907307446</v>
      </c>
      <c r="M2070" s="14">
        <v>3.579753589075183</v>
      </c>
      <c r="N2070" s="14">
        <v>379.97374483820892</v>
      </c>
      <c r="O2070" s="13">
        <v>10671587.802966813</v>
      </c>
      <c r="P2070" s="13">
        <v>1417564.1043406334</v>
      </c>
      <c r="Q2070" s="14">
        <v>1.1328353503258939</v>
      </c>
      <c r="R2070" s="15">
        <v>0.13283535032589394</v>
      </c>
    </row>
    <row r="2071" spans="1:18" ht="18" customHeight="1">
      <c r="A2071" s="10" t="s">
        <v>26</v>
      </c>
      <c r="B2071" s="10" t="s">
        <v>27</v>
      </c>
      <c r="C2071" s="10" t="s">
        <v>254</v>
      </c>
      <c r="D2071" s="10" t="s">
        <v>255</v>
      </c>
      <c r="E2071" s="16">
        <v>9</v>
      </c>
      <c r="F2071" s="16">
        <v>9</v>
      </c>
      <c r="G2071" s="13">
        <v>74184.154207658881</v>
      </c>
      <c r="H2071" s="13">
        <v>74184.154207658881</v>
      </c>
      <c r="I2071" s="14">
        <v>0</v>
      </c>
      <c r="J2071" s="15">
        <v>1</v>
      </c>
      <c r="K2071" s="14">
        <v>1311.5151117680725</v>
      </c>
      <c r="L2071" s="13">
        <v>97293639.297077671</v>
      </c>
      <c r="M2071" s="14">
        <v>4.0970056410682627</v>
      </c>
      <c r="N2071" s="14">
        <v>1250.2752699873561</v>
      </c>
      <c r="O2071" s="13">
        <v>92750613.430764362</v>
      </c>
      <c r="P2071" s="13">
        <v>4543025.8663133085</v>
      </c>
      <c r="Q2071" s="14">
        <v>1.0489810870060126</v>
      </c>
      <c r="R2071" s="15">
        <v>4.8981087006012586E-2</v>
      </c>
    </row>
    <row r="2072" spans="1:18" ht="18" customHeight="1">
      <c r="A2072" s="10" t="s">
        <v>26</v>
      </c>
      <c r="B2072" s="10" t="s">
        <v>27</v>
      </c>
      <c r="C2072" s="10" t="s">
        <v>254</v>
      </c>
      <c r="D2072" s="10" t="s">
        <v>277</v>
      </c>
      <c r="E2072" s="16">
        <v>2</v>
      </c>
      <c r="F2072" s="16">
        <v>2</v>
      </c>
      <c r="G2072" s="13">
        <v>31.798045257100004</v>
      </c>
      <c r="H2072" s="13">
        <v>31.798045257100004</v>
      </c>
      <c r="I2072" s="14">
        <v>0</v>
      </c>
      <c r="J2072" s="15">
        <v>1</v>
      </c>
      <c r="K2072" s="14">
        <v>288.40315031266056</v>
      </c>
      <c r="L2072" s="13">
        <v>9170.6564259321949</v>
      </c>
      <c r="M2072" s="14">
        <v>3.46</v>
      </c>
      <c r="N2072" s="14">
        <v>288.40315031266056</v>
      </c>
      <c r="O2072" s="13">
        <v>9170.6564259321949</v>
      </c>
      <c r="P2072" s="13">
        <v>0</v>
      </c>
      <c r="Q2072" s="14">
        <v>1</v>
      </c>
      <c r="R2072" s="15">
        <v>0</v>
      </c>
    </row>
    <row r="2073" spans="1:18" ht="18" customHeight="1">
      <c r="A2073" s="10" t="s">
        <v>26</v>
      </c>
      <c r="B2073" s="10" t="s">
        <v>27</v>
      </c>
      <c r="C2073" s="10" t="s">
        <v>254</v>
      </c>
      <c r="D2073" s="10" t="s">
        <v>256</v>
      </c>
      <c r="E2073" s="16">
        <v>1</v>
      </c>
      <c r="F2073" s="16">
        <v>1</v>
      </c>
      <c r="G2073" s="13">
        <v>301.67982065709998</v>
      </c>
      <c r="H2073" s="13">
        <v>301.67982065709998</v>
      </c>
      <c r="I2073" s="14">
        <v>0</v>
      </c>
      <c r="J2073" s="15">
        <v>1</v>
      </c>
      <c r="K2073" s="14">
        <v>691.83097091893626</v>
      </c>
      <c r="L2073" s="13">
        <v>208711.44323185206</v>
      </c>
      <c r="M2073" s="14">
        <v>3.8400000000000003</v>
      </c>
      <c r="N2073" s="14">
        <v>691.83097091893694</v>
      </c>
      <c r="O2073" s="13">
        <v>208711.44323185226</v>
      </c>
      <c r="P2073" s="13">
        <v>-2.0372681319713593E-10</v>
      </c>
      <c r="Q2073" s="14">
        <v>0.999999999999999</v>
      </c>
      <c r="R2073" s="15">
        <v>-9.7611712152659011E-16</v>
      </c>
    </row>
    <row r="2074" spans="1:18" ht="18" customHeight="1">
      <c r="A2074" s="10" t="s">
        <v>26</v>
      </c>
      <c r="B2074" s="10" t="s">
        <v>27</v>
      </c>
      <c r="C2074" s="10" t="s">
        <v>254</v>
      </c>
      <c r="D2074" s="10" t="s">
        <v>258</v>
      </c>
      <c r="E2074" s="16">
        <v>10</v>
      </c>
      <c r="F2074" s="16">
        <v>10</v>
      </c>
      <c r="G2074" s="13">
        <v>185039.82247503489</v>
      </c>
      <c r="H2074" s="13">
        <v>185039.82247503489</v>
      </c>
      <c r="I2074" s="14">
        <v>0</v>
      </c>
      <c r="J2074" s="15">
        <v>1</v>
      </c>
      <c r="K2074" s="14">
        <v>686.21155172377507</v>
      </c>
      <c r="L2074" s="13">
        <v>126976463.71128556</v>
      </c>
      <c r="M2074" s="14">
        <v>3.77956182779121</v>
      </c>
      <c r="N2074" s="14">
        <v>601.95195293741574</v>
      </c>
      <c r="O2074" s="13">
        <v>111385082.51003997</v>
      </c>
      <c r="P2074" s="13">
        <v>15591381.201245591</v>
      </c>
      <c r="Q2074" s="14">
        <v>1.1399772828631718</v>
      </c>
      <c r="R2074" s="15">
        <v>0.13997728286317176</v>
      </c>
    </row>
    <row r="2075" spans="1:18" ht="18" customHeight="1">
      <c r="A2075" s="10" t="s">
        <v>26</v>
      </c>
      <c r="B2075" s="10" t="s">
        <v>27</v>
      </c>
      <c r="C2075" s="10" t="s">
        <v>254</v>
      </c>
      <c r="D2075" s="10" t="s">
        <v>259</v>
      </c>
      <c r="E2075" s="16">
        <v>5</v>
      </c>
      <c r="F2075" s="16">
        <v>5</v>
      </c>
      <c r="G2075" s="13">
        <v>157381.27136901309</v>
      </c>
      <c r="H2075" s="13">
        <v>157381.27136901309</v>
      </c>
      <c r="I2075" s="14">
        <v>0</v>
      </c>
      <c r="J2075" s="15">
        <v>1</v>
      </c>
      <c r="K2075" s="14">
        <v>1485.9424069536751</v>
      </c>
      <c r="L2075" s="13">
        <v>233859505.18750083</v>
      </c>
      <c r="M2075" s="14">
        <v>4.1712439547565081</v>
      </c>
      <c r="N2075" s="14">
        <v>1483.3510889064376</v>
      </c>
      <c r="O2075" s="13">
        <v>233451680.25870511</v>
      </c>
      <c r="P2075" s="13">
        <v>407824.92879572511</v>
      </c>
      <c r="Q2075" s="14">
        <v>1.0017469350760029</v>
      </c>
      <c r="R2075" s="15">
        <v>1.7469350760028117E-3</v>
      </c>
    </row>
    <row r="2076" spans="1:18" ht="18" customHeight="1">
      <c r="A2076" s="10" t="s">
        <v>26</v>
      </c>
      <c r="B2076" s="10" t="s">
        <v>27</v>
      </c>
      <c r="C2076" s="10" t="s">
        <v>254</v>
      </c>
      <c r="D2076" s="10" t="s">
        <v>260</v>
      </c>
      <c r="E2076" s="16">
        <v>3</v>
      </c>
      <c r="F2076" s="16">
        <v>3</v>
      </c>
      <c r="G2076" s="13">
        <v>4989.8621398864998</v>
      </c>
      <c r="H2076" s="13">
        <v>4989.8621398864998</v>
      </c>
      <c r="I2076" s="14">
        <v>0</v>
      </c>
      <c r="J2076" s="15">
        <v>1</v>
      </c>
      <c r="K2076" s="14">
        <v>1527.3154825447918</v>
      </c>
      <c r="L2076" s="13">
        <v>7621093.7020127373</v>
      </c>
      <c r="M2076" s="14">
        <v>4.1786000240179408</v>
      </c>
      <c r="N2076" s="14">
        <v>1508.6900426855743</v>
      </c>
      <c r="O2076" s="13">
        <v>7528155.3248204943</v>
      </c>
      <c r="P2076" s="13">
        <v>92938.377192243002</v>
      </c>
      <c r="Q2076" s="14">
        <v>1.0123454383155224</v>
      </c>
      <c r="R2076" s="15">
        <v>1.2345438315522412E-2</v>
      </c>
    </row>
    <row r="2077" spans="1:18" ht="18" customHeight="1">
      <c r="A2077" s="10" t="s">
        <v>26</v>
      </c>
      <c r="B2077" s="10" t="s">
        <v>27</v>
      </c>
      <c r="C2077" s="10" t="s">
        <v>254</v>
      </c>
      <c r="D2077" s="10" t="s">
        <v>261</v>
      </c>
      <c r="E2077" s="16">
        <v>7</v>
      </c>
      <c r="F2077" s="16">
        <v>7</v>
      </c>
      <c r="G2077" s="13">
        <v>1795.3358928863001</v>
      </c>
      <c r="H2077" s="13">
        <v>1795.3358928863001</v>
      </c>
      <c r="I2077" s="14">
        <v>0</v>
      </c>
      <c r="J2077" s="15">
        <v>1</v>
      </c>
      <c r="K2077" s="14">
        <v>1856.8978225645362</v>
      </c>
      <c r="L2077" s="13">
        <v>3333755.3102725283</v>
      </c>
      <c r="M2077" s="14">
        <v>4.2601477455356429</v>
      </c>
      <c r="N2077" s="14">
        <v>1820.3200200910728</v>
      </c>
      <c r="O2077" s="13">
        <v>3268085.868609014</v>
      </c>
      <c r="P2077" s="13">
        <v>65669.441663514357</v>
      </c>
      <c r="Q2077" s="14">
        <v>1.0200941604057254</v>
      </c>
      <c r="R2077" s="15">
        <v>2.0094160405725526E-2</v>
      </c>
    </row>
    <row r="2078" spans="1:18" ht="18" customHeight="1">
      <c r="A2078" s="10" t="s">
        <v>26</v>
      </c>
      <c r="B2078" s="10" t="s">
        <v>27</v>
      </c>
      <c r="C2078" s="10" t="s">
        <v>254</v>
      </c>
      <c r="D2078" s="10" t="s">
        <v>262</v>
      </c>
      <c r="E2078" s="16">
        <v>1</v>
      </c>
      <c r="F2078" s="16">
        <v>1</v>
      </c>
      <c r="G2078" s="13">
        <v>6855.2835830245003</v>
      </c>
      <c r="H2078" s="13">
        <v>6855.2835830245003</v>
      </c>
      <c r="I2078" s="14">
        <v>0</v>
      </c>
      <c r="J2078" s="15">
        <v>1</v>
      </c>
      <c r="K2078" s="14">
        <v>524.80746024977282</v>
      </c>
      <c r="L2078" s="13">
        <v>3597703.9664990506</v>
      </c>
      <c r="M2078" s="14">
        <v>3.72</v>
      </c>
      <c r="N2078" s="14">
        <v>524.80746024977282</v>
      </c>
      <c r="O2078" s="13">
        <v>3597703.9664990506</v>
      </c>
      <c r="P2078" s="13">
        <v>0</v>
      </c>
      <c r="Q2078" s="14">
        <v>1</v>
      </c>
      <c r="R2078" s="15">
        <v>0</v>
      </c>
    </row>
    <row r="2079" spans="1:18" ht="18" customHeight="1">
      <c r="A2079" s="10" t="s">
        <v>26</v>
      </c>
      <c r="B2079" s="10" t="s">
        <v>27</v>
      </c>
      <c r="C2079" s="10" t="s">
        <v>254</v>
      </c>
      <c r="D2079" s="10" t="s">
        <v>263</v>
      </c>
      <c r="E2079" s="16">
        <v>3</v>
      </c>
      <c r="F2079" s="16">
        <v>3</v>
      </c>
      <c r="G2079" s="13">
        <v>295.25335495680002</v>
      </c>
      <c r="H2079" s="13">
        <v>295.25335495680002</v>
      </c>
      <c r="I2079" s="14">
        <v>0</v>
      </c>
      <c r="J2079" s="15">
        <v>1</v>
      </c>
      <c r="K2079" s="14">
        <v>471.2303302934107</v>
      </c>
      <c r="L2079" s="13">
        <v>139132.33597653051</v>
      </c>
      <c r="M2079" s="14">
        <v>3.6489863041097608</v>
      </c>
      <c r="N2079" s="14">
        <v>445.64219442473717</v>
      </c>
      <c r="O2079" s="13">
        <v>131577.35301421423</v>
      </c>
      <c r="P2079" s="13">
        <v>7554.9829623162805</v>
      </c>
      <c r="Q2079" s="14">
        <v>1.057418566259652</v>
      </c>
      <c r="R2079" s="15">
        <v>5.7418566259651992E-2</v>
      </c>
    </row>
    <row r="2080" spans="1:18" ht="18" customHeight="1">
      <c r="A2080" s="10" t="s">
        <v>26</v>
      </c>
      <c r="B2080" s="10" t="s">
        <v>27</v>
      </c>
      <c r="C2080" s="10" t="s">
        <v>254</v>
      </c>
      <c r="D2080" s="10" t="s">
        <v>264</v>
      </c>
      <c r="E2080" s="16">
        <v>4</v>
      </c>
      <c r="F2080" s="16">
        <v>4</v>
      </c>
      <c r="G2080" s="13">
        <v>487.86914871229999</v>
      </c>
      <c r="H2080" s="13">
        <v>487.86914871229999</v>
      </c>
      <c r="I2080" s="14">
        <v>0</v>
      </c>
      <c r="J2080" s="15">
        <v>1</v>
      </c>
      <c r="K2080" s="14">
        <v>1018.5387657783145</v>
      </c>
      <c r="L2080" s="13">
        <v>496913.64059074305</v>
      </c>
      <c r="M2080" s="14">
        <v>4.0073968559610806</v>
      </c>
      <c r="N2080" s="14">
        <v>1017.1777598824432</v>
      </c>
      <c r="O2080" s="13">
        <v>496249.64780293184</v>
      </c>
      <c r="P2080" s="13">
        <v>663.99278781120665</v>
      </c>
      <c r="Q2080" s="14">
        <v>1.0013380216807224</v>
      </c>
      <c r="R2080" s="15">
        <v>1.338021680722458E-3</v>
      </c>
    </row>
    <row r="2081" spans="1:18" ht="18" customHeight="1">
      <c r="A2081" s="10" t="s">
        <v>26</v>
      </c>
      <c r="B2081" s="10" t="s">
        <v>27</v>
      </c>
      <c r="C2081" s="10" t="s">
        <v>254</v>
      </c>
      <c r="D2081" s="10" t="s">
        <v>265</v>
      </c>
      <c r="E2081" s="16">
        <v>9</v>
      </c>
      <c r="F2081" s="16">
        <v>9</v>
      </c>
      <c r="G2081" s="13">
        <v>72635.521526805096</v>
      </c>
      <c r="H2081" s="13">
        <v>72635.521526805096</v>
      </c>
      <c r="I2081" s="14">
        <v>0</v>
      </c>
      <c r="J2081" s="15">
        <v>1</v>
      </c>
      <c r="K2081" s="14">
        <v>223.35156989468555</v>
      </c>
      <c r="L2081" s="13">
        <v>16223257.763131145</v>
      </c>
      <c r="M2081" s="14">
        <v>2.9712499186510821</v>
      </c>
      <c r="N2081" s="14">
        <v>93.594411663530749</v>
      </c>
      <c r="O2081" s="13">
        <v>6798278.9031750457</v>
      </c>
      <c r="P2081" s="13">
        <v>9424978.8599561006</v>
      </c>
      <c r="Q2081" s="14">
        <v>2.3863771984338991</v>
      </c>
      <c r="R2081" s="15">
        <v>1.3863771984338991</v>
      </c>
    </row>
    <row r="2082" spans="1:18" ht="18" customHeight="1">
      <c r="A2082" s="10" t="s">
        <v>26</v>
      </c>
      <c r="B2082" s="10" t="s">
        <v>27</v>
      </c>
      <c r="C2082" s="10" t="s">
        <v>254</v>
      </c>
      <c r="D2082" s="10" t="s">
        <v>266</v>
      </c>
      <c r="E2082" s="16">
        <v>2</v>
      </c>
      <c r="F2082" s="16">
        <v>2</v>
      </c>
      <c r="G2082" s="13">
        <v>608.90241949580002</v>
      </c>
      <c r="H2082" s="13">
        <v>608.90241949580002</v>
      </c>
      <c r="I2082" s="14">
        <v>0</v>
      </c>
      <c r="J2082" s="15">
        <v>1</v>
      </c>
      <c r="K2082" s="14">
        <v>389.27786990613407</v>
      </c>
      <c r="L2082" s="13">
        <v>237032.23684201631</v>
      </c>
      <c r="M2082" s="14">
        <v>3.5793762938451219</v>
      </c>
      <c r="N2082" s="14">
        <v>379.6437843340529</v>
      </c>
      <c r="O2082" s="13">
        <v>231166.0188275465</v>
      </c>
      <c r="P2082" s="13">
        <v>5866.2180144698068</v>
      </c>
      <c r="Q2082" s="14">
        <v>1.0253766450805475</v>
      </c>
      <c r="R2082" s="15">
        <v>2.5376645080547492E-2</v>
      </c>
    </row>
    <row r="2083" spans="1:18" ht="18" customHeight="1">
      <c r="A2083" s="10" t="s">
        <v>26</v>
      </c>
      <c r="B2083" s="10" t="s">
        <v>27</v>
      </c>
      <c r="C2083" s="10" t="s">
        <v>254</v>
      </c>
      <c r="D2083" s="10" t="s">
        <v>268</v>
      </c>
      <c r="E2083" s="16">
        <v>5</v>
      </c>
      <c r="F2083" s="16">
        <v>5</v>
      </c>
      <c r="G2083" s="13">
        <v>2643249.4572871537</v>
      </c>
      <c r="H2083" s="13">
        <v>2643249.4572871537</v>
      </c>
      <c r="I2083" s="14">
        <v>0</v>
      </c>
      <c r="J2083" s="15">
        <v>1</v>
      </c>
      <c r="K2083" s="14">
        <v>372.09747291650996</v>
      </c>
      <c r="L2083" s="13">
        <v>983546443.34448636</v>
      </c>
      <c r="M2083" s="14">
        <v>3.5703546708235447</v>
      </c>
      <c r="N2083" s="14">
        <v>371.83877089324795</v>
      </c>
      <c r="O2083" s="13">
        <v>982862629.36189997</v>
      </c>
      <c r="P2083" s="13">
        <v>683813.98258638382</v>
      </c>
      <c r="Q2083" s="14">
        <v>1.0006957370869114</v>
      </c>
      <c r="R2083" s="15">
        <v>6.9573708691145751E-4</v>
      </c>
    </row>
    <row r="2084" spans="1:18" ht="18" customHeight="1">
      <c r="A2084" s="10" t="s">
        <v>26</v>
      </c>
      <c r="B2084" s="10" t="s">
        <v>27</v>
      </c>
      <c r="C2084" s="10" t="s">
        <v>254</v>
      </c>
      <c r="D2084" s="10" t="s">
        <v>269</v>
      </c>
      <c r="E2084" s="16">
        <v>17</v>
      </c>
      <c r="F2084" s="16">
        <v>17</v>
      </c>
      <c r="G2084" s="13">
        <v>775814.2436010564</v>
      </c>
      <c r="H2084" s="13">
        <v>775814.2436010564</v>
      </c>
      <c r="I2084" s="14">
        <v>0</v>
      </c>
      <c r="J2084" s="15">
        <v>1</v>
      </c>
      <c r="K2084" s="14">
        <v>1488.8385461573246</v>
      </c>
      <c r="L2084" s="13">
        <v>1155062150.5311413</v>
      </c>
      <c r="M2084" s="14">
        <v>3.8447834858620724</v>
      </c>
      <c r="N2084" s="14">
        <v>699.49318217188454</v>
      </c>
      <c r="O2084" s="13">
        <v>542676774.0307765</v>
      </c>
      <c r="P2084" s="13">
        <v>612385376.50036478</v>
      </c>
      <c r="Q2084" s="14">
        <v>2.1284532631677267</v>
      </c>
      <c r="R2084" s="15">
        <v>1.1284532631677267</v>
      </c>
    </row>
    <row r="2085" spans="1:18" ht="18" customHeight="1">
      <c r="A2085" s="10" t="s">
        <v>26</v>
      </c>
      <c r="B2085" s="10" t="s">
        <v>27</v>
      </c>
      <c r="C2085" s="10" t="s">
        <v>254</v>
      </c>
      <c r="D2085" s="10" t="s">
        <v>270</v>
      </c>
      <c r="E2085" s="16">
        <v>12</v>
      </c>
      <c r="F2085" s="16">
        <v>12</v>
      </c>
      <c r="G2085" s="13">
        <v>663237.94485362491</v>
      </c>
      <c r="H2085" s="13">
        <v>663237.94485362491</v>
      </c>
      <c r="I2085" s="14">
        <v>0</v>
      </c>
      <c r="J2085" s="15">
        <v>1</v>
      </c>
      <c r="K2085" s="14">
        <v>172.42577815203737</v>
      </c>
      <c r="L2085" s="13">
        <v>114359318.74134432</v>
      </c>
      <c r="M2085" s="14">
        <v>3.1843472718801715</v>
      </c>
      <c r="N2085" s="14">
        <v>152.8788023766304</v>
      </c>
      <c r="O2085" s="13">
        <v>101395022.69995981</v>
      </c>
      <c r="P2085" s="13">
        <v>12964296.041384503</v>
      </c>
      <c r="Q2085" s="14">
        <v>1.1278592942352548</v>
      </c>
      <c r="R2085" s="15">
        <v>0.12785929423525483</v>
      </c>
    </row>
    <row r="2086" spans="1:18" ht="18" customHeight="1">
      <c r="A2086" s="10" t="s">
        <v>26</v>
      </c>
      <c r="B2086" s="10" t="s">
        <v>27</v>
      </c>
      <c r="C2086" s="10" t="s">
        <v>254</v>
      </c>
      <c r="D2086" s="10" t="s">
        <v>276</v>
      </c>
      <c r="E2086" s="16">
        <v>4</v>
      </c>
      <c r="F2086" s="16">
        <v>4</v>
      </c>
      <c r="G2086" s="13">
        <v>696.68695056850004</v>
      </c>
      <c r="H2086" s="13">
        <v>696.68695056850004</v>
      </c>
      <c r="I2086" s="14">
        <v>0</v>
      </c>
      <c r="J2086" s="15">
        <v>1</v>
      </c>
      <c r="K2086" s="14">
        <v>1011.3196042854587</v>
      </c>
      <c r="L2086" s="13">
        <v>704573.17115977837</v>
      </c>
      <c r="M2086" s="14">
        <v>3.9695061529431328</v>
      </c>
      <c r="N2086" s="14">
        <v>932.19367726523524</v>
      </c>
      <c r="O2086" s="13">
        <v>649447.17035315325</v>
      </c>
      <c r="P2086" s="13">
        <v>55126.000806625118</v>
      </c>
      <c r="Q2086" s="14">
        <v>1.0848814242683495</v>
      </c>
      <c r="R2086" s="15">
        <v>8.4881424268349603E-2</v>
      </c>
    </row>
    <row r="2087" spans="1:18" ht="18" customHeight="1">
      <c r="A2087" s="10" t="s">
        <v>26</v>
      </c>
      <c r="B2087" s="10" t="s">
        <v>27</v>
      </c>
      <c r="C2087" s="10" t="s">
        <v>254</v>
      </c>
      <c r="D2087" s="10" t="s">
        <v>271</v>
      </c>
      <c r="E2087" s="16">
        <v>15</v>
      </c>
      <c r="F2087" s="16">
        <v>15</v>
      </c>
      <c r="G2087" s="13">
        <v>45596.077793215591</v>
      </c>
      <c r="H2087" s="13">
        <v>45596.077793215591</v>
      </c>
      <c r="I2087" s="14">
        <v>0</v>
      </c>
      <c r="J2087" s="15">
        <v>1</v>
      </c>
      <c r="K2087" s="14">
        <v>25.767344033508195</v>
      </c>
      <c r="L2087" s="13">
        <v>1174889.8230763893</v>
      </c>
      <c r="M2087" s="14">
        <v>2.2300422028008473</v>
      </c>
      <c r="N2087" s="14">
        <v>16.984086882245066</v>
      </c>
      <c r="O2087" s="13">
        <v>774407.74672957847</v>
      </c>
      <c r="P2087" s="13">
        <v>400482.07634681079</v>
      </c>
      <c r="Q2087" s="14">
        <v>1.5171462682780448</v>
      </c>
      <c r="R2087" s="15">
        <v>0.51714626827804488</v>
      </c>
    </row>
    <row r="2088" spans="1:18" ht="18" customHeight="1">
      <c r="A2088" s="10" t="s">
        <v>26</v>
      </c>
      <c r="B2088" s="10" t="s">
        <v>27</v>
      </c>
      <c r="C2088" s="10" t="s">
        <v>254</v>
      </c>
      <c r="D2088" s="10" t="s">
        <v>272</v>
      </c>
      <c r="E2088" s="16">
        <v>10</v>
      </c>
      <c r="F2088" s="16">
        <v>10</v>
      </c>
      <c r="G2088" s="13">
        <v>33568.46112087091</v>
      </c>
      <c r="H2088" s="13">
        <v>33568.46112087091</v>
      </c>
      <c r="I2088" s="14">
        <v>0</v>
      </c>
      <c r="J2088" s="15">
        <v>1</v>
      </c>
      <c r="K2088" s="14">
        <v>73.011424946877966</v>
      </c>
      <c r="L2088" s="13">
        <v>2450881.1797086573</v>
      </c>
      <c r="M2088" s="14">
        <v>2.812218757096653</v>
      </c>
      <c r="N2088" s="14">
        <v>64.896123744218812</v>
      </c>
      <c r="O2088" s="13">
        <v>2178463.0068030367</v>
      </c>
      <c r="P2088" s="13">
        <v>272418.17290562065</v>
      </c>
      <c r="Q2088" s="14">
        <v>1.1250506306762595</v>
      </c>
      <c r="R2088" s="15">
        <v>0.12505063067625966</v>
      </c>
    </row>
    <row r="2089" spans="1:18" ht="18" customHeight="1">
      <c r="A2089" s="10" t="s">
        <v>26</v>
      </c>
      <c r="B2089" s="10" t="s">
        <v>27</v>
      </c>
      <c r="C2089" s="10" t="s">
        <v>254</v>
      </c>
      <c r="D2089" s="10" t="s">
        <v>280</v>
      </c>
      <c r="E2089" s="16">
        <v>1</v>
      </c>
      <c r="F2089" s="16">
        <v>1</v>
      </c>
      <c r="G2089" s="13">
        <v>1189.3235408127</v>
      </c>
      <c r="H2089" s="13">
        <v>1189.3235408127</v>
      </c>
      <c r="I2089" s="14">
        <v>0</v>
      </c>
      <c r="J2089" s="15">
        <v>1</v>
      </c>
      <c r="K2089" s="14">
        <v>323.59365692962808</v>
      </c>
      <c r="L2089" s="13">
        <v>384857.55384407536</v>
      </c>
      <c r="M2089" s="14">
        <v>3.51</v>
      </c>
      <c r="N2089" s="14">
        <v>323.59365692962808</v>
      </c>
      <c r="O2089" s="13">
        <v>384857.55384407536</v>
      </c>
      <c r="P2089" s="13">
        <v>0</v>
      </c>
      <c r="Q2089" s="14">
        <v>1</v>
      </c>
      <c r="R2089" s="15">
        <v>0</v>
      </c>
    </row>
    <row r="2090" spans="1:18" ht="18" customHeight="1">
      <c r="A2090" s="10" t="s">
        <v>26</v>
      </c>
      <c r="B2090" s="10" t="s">
        <v>27</v>
      </c>
      <c r="C2090" s="10" t="s">
        <v>254</v>
      </c>
      <c r="D2090" s="10" t="s">
        <v>281</v>
      </c>
      <c r="E2090" s="16">
        <v>1</v>
      </c>
      <c r="F2090" s="16">
        <v>1</v>
      </c>
      <c r="G2090" s="13">
        <v>194.26874402370001</v>
      </c>
      <c r="H2090" s="13">
        <v>194.26874402370001</v>
      </c>
      <c r="I2090" s="14">
        <v>0</v>
      </c>
      <c r="J2090" s="15">
        <v>1</v>
      </c>
      <c r="K2090" s="14">
        <v>125.89254117941675</v>
      </c>
      <c r="L2090" s="13">
        <v>24456.985856877225</v>
      </c>
      <c r="M2090" s="14">
        <v>3.1</v>
      </c>
      <c r="N2090" s="14">
        <v>125.89254117941675</v>
      </c>
      <c r="O2090" s="13">
        <v>24456.985856877225</v>
      </c>
      <c r="P2090" s="13">
        <v>0</v>
      </c>
      <c r="Q2090" s="14">
        <v>1</v>
      </c>
      <c r="R2090" s="15">
        <v>0</v>
      </c>
    </row>
    <row r="2091" spans="1:18" ht="18" customHeight="1">
      <c r="A2091" s="10" t="s">
        <v>26</v>
      </c>
      <c r="B2091" s="10" t="s">
        <v>27</v>
      </c>
      <c r="C2091" s="10" t="s">
        <v>254</v>
      </c>
      <c r="D2091" s="10" t="s">
        <v>283</v>
      </c>
      <c r="E2091" s="16">
        <v>1</v>
      </c>
      <c r="F2091" s="16">
        <v>1</v>
      </c>
      <c r="G2091" s="13">
        <v>0.95643595930000003</v>
      </c>
      <c r="H2091" s="13">
        <v>0.95643595930000003</v>
      </c>
      <c r="I2091" s="14">
        <v>0</v>
      </c>
      <c r="J2091" s="15">
        <v>1</v>
      </c>
      <c r="K2091" s="14">
        <v>416.86938347033549</v>
      </c>
      <c r="L2091" s="13">
        <v>398.70886868224989</v>
      </c>
      <c r="M2091" s="14">
        <v>3.62</v>
      </c>
      <c r="N2091" s="14">
        <v>416.86938347033549</v>
      </c>
      <c r="O2091" s="13">
        <v>398.70886868224989</v>
      </c>
      <c r="P2091" s="13">
        <v>0</v>
      </c>
      <c r="Q2091" s="14">
        <v>1</v>
      </c>
      <c r="R2091" s="15">
        <v>0</v>
      </c>
    </row>
    <row r="2092" spans="1:18" ht="18" customHeight="1">
      <c r="A2092" s="10" t="s">
        <v>26</v>
      </c>
      <c r="B2092" s="10" t="s">
        <v>27</v>
      </c>
      <c r="C2092" s="10" t="s">
        <v>254</v>
      </c>
      <c r="D2092" s="10" t="s">
        <v>278</v>
      </c>
      <c r="E2092" s="16">
        <v>1</v>
      </c>
      <c r="F2092" s="16">
        <v>1</v>
      </c>
      <c r="G2092" s="13">
        <v>22825.861939992799</v>
      </c>
      <c r="H2092" s="13">
        <v>22825.861939992799</v>
      </c>
      <c r="I2092" s="14">
        <v>0</v>
      </c>
      <c r="J2092" s="15">
        <v>1</v>
      </c>
      <c r="K2092" s="14">
        <v>99.999999999999986</v>
      </c>
      <c r="L2092" s="13">
        <v>2282586.1939992798</v>
      </c>
      <c r="M2092" s="14">
        <v>3</v>
      </c>
      <c r="N2092" s="14">
        <v>100</v>
      </c>
      <c r="O2092" s="13">
        <v>2282586.1939992798</v>
      </c>
      <c r="P2092" s="13">
        <v>0</v>
      </c>
      <c r="Q2092" s="14">
        <v>1</v>
      </c>
      <c r="R2092" s="15">
        <v>0</v>
      </c>
    </row>
    <row r="2093" spans="1:18" ht="18" customHeight="1">
      <c r="A2093" s="10" t="s">
        <v>26</v>
      </c>
      <c r="B2093" s="10" t="s">
        <v>27</v>
      </c>
      <c r="C2093" s="10" t="s">
        <v>254</v>
      </c>
      <c r="D2093" s="10" t="s">
        <v>273</v>
      </c>
      <c r="E2093" s="16">
        <v>5</v>
      </c>
      <c r="F2093" s="16">
        <v>5</v>
      </c>
      <c r="G2093" s="13">
        <v>41662.990223749599</v>
      </c>
      <c r="H2093" s="13">
        <v>41662.990223749599</v>
      </c>
      <c r="I2093" s="14">
        <v>0</v>
      </c>
      <c r="J2093" s="15">
        <v>1</v>
      </c>
      <c r="K2093" s="14">
        <v>155.63737075094548</v>
      </c>
      <c r="L2093" s="13">
        <v>6484318.2560467329</v>
      </c>
      <c r="M2093" s="14">
        <v>3.1797297062689429</v>
      </c>
      <c r="N2093" s="14">
        <v>151.26195398677083</v>
      </c>
      <c r="O2093" s="13">
        <v>6302025.310176095</v>
      </c>
      <c r="P2093" s="13">
        <v>182292.94587063789</v>
      </c>
      <c r="Q2093" s="14">
        <v>1.0289260891377703</v>
      </c>
      <c r="R2093" s="15">
        <v>2.8926089137770245E-2</v>
      </c>
    </row>
    <row r="2094" spans="1:18" ht="18" customHeight="1">
      <c r="A2094" s="10" t="s">
        <v>26</v>
      </c>
      <c r="B2094" s="10" t="s">
        <v>27</v>
      </c>
      <c r="C2094" s="10" t="s">
        <v>254</v>
      </c>
      <c r="D2094" s="10" t="s">
        <v>274</v>
      </c>
      <c r="E2094" s="16">
        <v>3</v>
      </c>
      <c r="F2094" s="16">
        <v>3</v>
      </c>
      <c r="G2094" s="13">
        <v>68209.099150701892</v>
      </c>
      <c r="H2094" s="13">
        <v>68209.099150701892</v>
      </c>
      <c r="I2094" s="14">
        <v>0</v>
      </c>
      <c r="J2094" s="15">
        <v>1</v>
      </c>
      <c r="K2094" s="14">
        <v>631.47274743594096</v>
      </c>
      <c r="L2094" s="13">
        <v>43072187.24082423</v>
      </c>
      <c r="M2094" s="14">
        <v>3.6681899729578498</v>
      </c>
      <c r="N2094" s="14">
        <v>465.78979888614271</v>
      </c>
      <c r="O2094" s="13">
        <v>31771102.575610403</v>
      </c>
      <c r="P2094" s="13">
        <v>11301084.665213827</v>
      </c>
      <c r="Q2094" s="14">
        <v>1.355703257018511</v>
      </c>
      <c r="R2094" s="15">
        <v>0.35570325701851108</v>
      </c>
    </row>
    <row r="2095" spans="1:18" ht="18" customHeight="1">
      <c r="A2095" s="10" t="s">
        <v>89</v>
      </c>
      <c r="B2095" s="10" t="s">
        <v>90</v>
      </c>
      <c r="C2095" s="10" t="s">
        <v>254</v>
      </c>
      <c r="D2095" s="10" t="s">
        <v>255</v>
      </c>
      <c r="E2095" s="16">
        <v>5</v>
      </c>
      <c r="F2095" s="16">
        <v>5</v>
      </c>
      <c r="G2095" s="13">
        <v>29423.1921881003</v>
      </c>
      <c r="H2095" s="13">
        <v>29423.1921881003</v>
      </c>
      <c r="I2095" s="14">
        <v>0</v>
      </c>
      <c r="J2095" s="15">
        <v>1</v>
      </c>
      <c r="K2095" s="14">
        <v>1283.7062391783277</v>
      </c>
      <c r="L2095" s="13">
        <v>37770735.388407387</v>
      </c>
      <c r="M2095" s="14">
        <v>4.0983166425122999</v>
      </c>
      <c r="N2095" s="14">
        <v>1254.0551687255884</v>
      </c>
      <c r="O2095" s="13">
        <v>36898306.243893534</v>
      </c>
      <c r="P2095" s="13">
        <v>872429.14451385289</v>
      </c>
      <c r="Q2095" s="14">
        <v>1.023644151543087</v>
      </c>
      <c r="R2095" s="15">
        <v>2.3644151543087025E-2</v>
      </c>
    </row>
    <row r="2096" spans="1:18" ht="18" customHeight="1">
      <c r="A2096" s="10" t="s">
        <v>89</v>
      </c>
      <c r="B2096" s="10" t="s">
        <v>90</v>
      </c>
      <c r="C2096" s="10" t="s">
        <v>254</v>
      </c>
      <c r="D2096" s="10" t="s">
        <v>277</v>
      </c>
      <c r="E2096" s="16">
        <v>1</v>
      </c>
      <c r="F2096" s="16">
        <v>1</v>
      </c>
      <c r="G2096" s="13">
        <v>90.270430601499996</v>
      </c>
      <c r="H2096" s="13">
        <v>90.270430601499996</v>
      </c>
      <c r="I2096" s="14">
        <v>0</v>
      </c>
      <c r="J2096" s="15">
        <v>1</v>
      </c>
      <c r="K2096" s="14">
        <v>288.40315031266056</v>
      </c>
      <c r="L2096" s="13">
        <v>26034.276565552998</v>
      </c>
      <c r="M2096" s="14">
        <v>3.46</v>
      </c>
      <c r="N2096" s="14">
        <v>288.40315031266056</v>
      </c>
      <c r="O2096" s="13">
        <v>26034.276565552998</v>
      </c>
      <c r="P2096" s="13">
        <v>0</v>
      </c>
      <c r="Q2096" s="14">
        <v>1</v>
      </c>
      <c r="R2096" s="15">
        <v>0</v>
      </c>
    </row>
    <row r="2097" spans="1:18" ht="18" customHeight="1">
      <c r="A2097" s="10" t="s">
        <v>89</v>
      </c>
      <c r="B2097" s="10" t="s">
        <v>90</v>
      </c>
      <c r="C2097" s="10" t="s">
        <v>254</v>
      </c>
      <c r="D2097" s="10" t="s">
        <v>256</v>
      </c>
      <c r="E2097" s="16">
        <v>1</v>
      </c>
      <c r="F2097" s="16">
        <v>1</v>
      </c>
      <c r="G2097" s="13">
        <v>18.519821018399998</v>
      </c>
      <c r="H2097" s="13">
        <v>18.519821018399998</v>
      </c>
      <c r="I2097" s="14">
        <v>0</v>
      </c>
      <c r="J2097" s="15">
        <v>1</v>
      </c>
      <c r="K2097" s="14">
        <v>691.83097091893626</v>
      </c>
      <c r="L2097" s="13">
        <v>12812.585756404595</v>
      </c>
      <c r="M2097" s="14">
        <v>3.8400000000000003</v>
      </c>
      <c r="N2097" s="14">
        <v>691.83097091893694</v>
      </c>
      <c r="O2097" s="13">
        <v>12812.585756404605</v>
      </c>
      <c r="P2097" s="13">
        <v>-1.0913936421275139E-11</v>
      </c>
      <c r="Q2097" s="14">
        <v>0.99999999999999911</v>
      </c>
      <c r="R2097" s="15">
        <v>-8.5181372665697931E-16</v>
      </c>
    </row>
    <row r="2098" spans="1:18" ht="18" customHeight="1">
      <c r="A2098" s="10" t="s">
        <v>89</v>
      </c>
      <c r="B2098" s="10" t="s">
        <v>90</v>
      </c>
      <c r="C2098" s="10" t="s">
        <v>254</v>
      </c>
      <c r="D2098" s="10" t="s">
        <v>258</v>
      </c>
      <c r="E2098" s="16">
        <v>7</v>
      </c>
      <c r="F2098" s="16">
        <v>7</v>
      </c>
      <c r="G2098" s="13">
        <v>35793.013380934004</v>
      </c>
      <c r="H2098" s="13">
        <v>35793.013380934004</v>
      </c>
      <c r="I2098" s="14">
        <v>0</v>
      </c>
      <c r="J2098" s="15">
        <v>1</v>
      </c>
      <c r="K2098" s="14">
        <v>617.26618351908348</v>
      </c>
      <c r="L2098" s="13">
        <v>22093816.766296621</v>
      </c>
      <c r="M2098" s="14">
        <v>3.7490268326113232</v>
      </c>
      <c r="N2098" s="14">
        <v>561.08264109954871</v>
      </c>
      <c r="O2098" s="13">
        <v>20082838.480685938</v>
      </c>
      <c r="P2098" s="13">
        <v>2010978.2856106833</v>
      </c>
      <c r="Q2098" s="14">
        <v>1.1001341661710162</v>
      </c>
      <c r="R2098" s="15">
        <v>0.10013416617101616</v>
      </c>
    </row>
    <row r="2099" spans="1:18" ht="18" customHeight="1">
      <c r="A2099" s="10" t="s">
        <v>89</v>
      </c>
      <c r="B2099" s="10" t="s">
        <v>90</v>
      </c>
      <c r="C2099" s="10" t="s">
        <v>254</v>
      </c>
      <c r="D2099" s="10" t="s">
        <v>259</v>
      </c>
      <c r="E2099" s="16">
        <v>2</v>
      </c>
      <c r="F2099" s="16">
        <v>2</v>
      </c>
      <c r="G2099" s="13">
        <v>24448.863720109901</v>
      </c>
      <c r="H2099" s="13">
        <v>24448.863720109901</v>
      </c>
      <c r="I2099" s="14">
        <v>0</v>
      </c>
      <c r="J2099" s="15">
        <v>1</v>
      </c>
      <c r="K2099" s="14">
        <v>1492.9695892412028</v>
      </c>
      <c r="L2099" s="13">
        <v>36501410.025626622</v>
      </c>
      <c r="M2099" s="14">
        <v>4.1733169611967451</v>
      </c>
      <c r="N2099" s="14">
        <v>1490.4484550470409</v>
      </c>
      <c r="O2099" s="13">
        <v>36439771.15929345</v>
      </c>
      <c r="P2099" s="13">
        <v>61638.866333171725</v>
      </c>
      <c r="Q2099" s="14">
        <v>1.0016915272618954</v>
      </c>
      <c r="R2099" s="15">
        <v>1.6915272618953207E-3</v>
      </c>
    </row>
    <row r="2100" spans="1:18" ht="18" customHeight="1">
      <c r="A2100" s="10" t="s">
        <v>89</v>
      </c>
      <c r="B2100" s="10" t="s">
        <v>90</v>
      </c>
      <c r="C2100" s="10" t="s">
        <v>254</v>
      </c>
      <c r="D2100" s="10" t="s">
        <v>260</v>
      </c>
      <c r="E2100" s="16">
        <v>2</v>
      </c>
      <c r="F2100" s="16">
        <v>2</v>
      </c>
      <c r="G2100" s="13">
        <v>631.5496346164</v>
      </c>
      <c r="H2100" s="13">
        <v>631.5496346164</v>
      </c>
      <c r="I2100" s="14">
        <v>0</v>
      </c>
      <c r="J2100" s="15">
        <v>1</v>
      </c>
      <c r="K2100" s="14">
        <v>1479.8127394382652</v>
      </c>
      <c r="L2100" s="13">
        <v>934575.19489293033</v>
      </c>
      <c r="M2100" s="14">
        <v>4.1658727010407866</v>
      </c>
      <c r="N2100" s="14">
        <v>1465.1183273817057</v>
      </c>
      <c r="O2100" s="13">
        <v>925294.9443277074</v>
      </c>
      <c r="P2100" s="13">
        <v>9280.2505652229302</v>
      </c>
      <c r="Q2100" s="14">
        <v>1.0100295053183994</v>
      </c>
      <c r="R2100" s="15">
        <v>1.0029505318399521E-2</v>
      </c>
    </row>
    <row r="2101" spans="1:18" ht="18" customHeight="1">
      <c r="A2101" s="10" t="s">
        <v>89</v>
      </c>
      <c r="B2101" s="10" t="s">
        <v>90</v>
      </c>
      <c r="C2101" s="10" t="s">
        <v>254</v>
      </c>
      <c r="D2101" s="10" t="s">
        <v>262</v>
      </c>
      <c r="E2101" s="16">
        <v>1</v>
      </c>
      <c r="F2101" s="16">
        <v>1</v>
      </c>
      <c r="G2101" s="13">
        <v>3226.3785931759999</v>
      </c>
      <c r="H2101" s="13">
        <v>3226.3785931759999</v>
      </c>
      <c r="I2101" s="14">
        <v>0</v>
      </c>
      <c r="J2101" s="15">
        <v>1</v>
      </c>
      <c r="K2101" s="14">
        <v>524.80746024977282</v>
      </c>
      <c r="L2101" s="13">
        <v>1693227.5552889316</v>
      </c>
      <c r="M2101" s="14">
        <v>3.7200000000000006</v>
      </c>
      <c r="N2101" s="14">
        <v>524.80746024977338</v>
      </c>
      <c r="O2101" s="13">
        <v>1693227.5552889332</v>
      </c>
      <c r="P2101" s="13">
        <v>-1.6298145055770874E-9</v>
      </c>
      <c r="Q2101" s="14">
        <v>0.999999999999999</v>
      </c>
      <c r="R2101" s="15">
        <v>-9.6254900913124761E-16</v>
      </c>
    </row>
    <row r="2102" spans="1:18" ht="18" customHeight="1">
      <c r="A2102" s="10" t="s">
        <v>89</v>
      </c>
      <c r="B2102" s="10" t="s">
        <v>90</v>
      </c>
      <c r="C2102" s="10" t="s">
        <v>254</v>
      </c>
      <c r="D2102" s="10" t="s">
        <v>264</v>
      </c>
      <c r="E2102" s="16">
        <v>1</v>
      </c>
      <c r="F2102" s="16">
        <v>1</v>
      </c>
      <c r="G2102" s="13">
        <v>2.6947672231000004</v>
      </c>
      <c r="H2102" s="13">
        <v>2.6947672231000004</v>
      </c>
      <c r="I2102" s="14">
        <v>0</v>
      </c>
      <c r="J2102" s="15">
        <v>1</v>
      </c>
      <c r="K2102" s="14">
        <v>1122.0184543019629</v>
      </c>
      <c r="L2102" s="13">
        <v>3023.5785543662555</v>
      </c>
      <c r="M2102" s="14">
        <v>4.05</v>
      </c>
      <c r="N2102" s="14">
        <v>1122.0184543019629</v>
      </c>
      <c r="O2102" s="13">
        <v>3023.5785543662555</v>
      </c>
      <c r="P2102" s="13">
        <v>0</v>
      </c>
      <c r="Q2102" s="14">
        <v>1</v>
      </c>
      <c r="R2102" s="15">
        <v>0</v>
      </c>
    </row>
    <row r="2103" spans="1:18" ht="18" customHeight="1">
      <c r="A2103" s="10" t="s">
        <v>89</v>
      </c>
      <c r="B2103" s="10" t="s">
        <v>90</v>
      </c>
      <c r="C2103" s="10" t="s">
        <v>254</v>
      </c>
      <c r="D2103" s="10" t="s">
        <v>265</v>
      </c>
      <c r="E2103" s="16">
        <v>6</v>
      </c>
      <c r="F2103" s="16">
        <v>6</v>
      </c>
      <c r="G2103" s="13">
        <v>24858.036536623898</v>
      </c>
      <c r="H2103" s="13">
        <v>24858.036536623898</v>
      </c>
      <c r="I2103" s="14">
        <v>0</v>
      </c>
      <c r="J2103" s="15">
        <v>1</v>
      </c>
      <c r="K2103" s="14">
        <v>109.85609064876019</v>
      </c>
      <c r="L2103" s="13">
        <v>2730806.7151175477</v>
      </c>
      <c r="M2103" s="14">
        <v>2.6282272465566572</v>
      </c>
      <c r="N2103" s="14">
        <v>42.484180619784716</v>
      </c>
      <c r="O2103" s="13">
        <v>1056073.3140751375</v>
      </c>
      <c r="P2103" s="13">
        <v>1674733.4010424102</v>
      </c>
      <c r="Q2103" s="14">
        <v>2.5858116843990779</v>
      </c>
      <c r="R2103" s="15">
        <v>1.5858116843990779</v>
      </c>
    </row>
    <row r="2104" spans="1:18" ht="18" customHeight="1">
      <c r="A2104" s="10" t="s">
        <v>89</v>
      </c>
      <c r="B2104" s="10" t="s">
        <v>90</v>
      </c>
      <c r="C2104" s="10" t="s">
        <v>254</v>
      </c>
      <c r="D2104" s="10" t="s">
        <v>266</v>
      </c>
      <c r="E2104" s="16">
        <v>2</v>
      </c>
      <c r="F2104" s="16">
        <v>2</v>
      </c>
      <c r="G2104" s="13">
        <v>53.916510077000005</v>
      </c>
      <c r="H2104" s="13">
        <v>53.916510077000005</v>
      </c>
      <c r="I2104" s="14">
        <v>0</v>
      </c>
      <c r="J2104" s="15">
        <v>1</v>
      </c>
      <c r="K2104" s="14">
        <v>374.25796880348059</v>
      </c>
      <c r="L2104" s="13">
        <v>20178.683546390414</v>
      </c>
      <c r="M2104" s="14">
        <v>3.5572621011079315</v>
      </c>
      <c r="N2104" s="14">
        <v>360.79632155497563</v>
      </c>
      <c r="O2104" s="13">
        <v>19452.878506863377</v>
      </c>
      <c r="P2104" s="13">
        <v>725.80503952703657</v>
      </c>
      <c r="Q2104" s="14">
        <v>1.0373109326350318</v>
      </c>
      <c r="R2104" s="15">
        <v>3.7310932635031754E-2</v>
      </c>
    </row>
    <row r="2105" spans="1:18" ht="18" customHeight="1">
      <c r="A2105" s="10" t="s">
        <v>89</v>
      </c>
      <c r="B2105" s="10" t="s">
        <v>90</v>
      </c>
      <c r="C2105" s="10" t="s">
        <v>254</v>
      </c>
      <c r="D2105" s="10" t="s">
        <v>268</v>
      </c>
      <c r="E2105" s="16">
        <v>3</v>
      </c>
      <c r="F2105" s="16">
        <v>3</v>
      </c>
      <c r="G2105" s="13">
        <v>237528.47553457308</v>
      </c>
      <c r="H2105" s="13">
        <v>237528.47553457308</v>
      </c>
      <c r="I2105" s="14">
        <v>0</v>
      </c>
      <c r="J2105" s="15">
        <v>1</v>
      </c>
      <c r="K2105" s="14">
        <v>371.96731538473551</v>
      </c>
      <c r="L2105" s="13">
        <v>88352829.372023985</v>
      </c>
      <c r="M2105" s="14">
        <v>3.5703505538014668</v>
      </c>
      <c r="N2105" s="14">
        <v>371.83524595513143</v>
      </c>
      <c r="O2105" s="13">
        <v>88321459.121745393</v>
      </c>
      <c r="P2105" s="13">
        <v>31370.25027859211</v>
      </c>
      <c r="Q2105" s="14">
        <v>1.0003551826542556</v>
      </c>
      <c r="R2105" s="15">
        <v>3.5518265425563518E-4</v>
      </c>
    </row>
    <row r="2106" spans="1:18" ht="18" customHeight="1">
      <c r="A2106" s="10" t="s">
        <v>89</v>
      </c>
      <c r="B2106" s="10" t="s">
        <v>90</v>
      </c>
      <c r="C2106" s="10" t="s">
        <v>254</v>
      </c>
      <c r="D2106" s="10" t="s">
        <v>269</v>
      </c>
      <c r="E2106" s="16">
        <v>7</v>
      </c>
      <c r="F2106" s="16">
        <v>7</v>
      </c>
      <c r="G2106" s="13">
        <v>230123.27332873974</v>
      </c>
      <c r="H2106" s="13">
        <v>230123.27332873974</v>
      </c>
      <c r="I2106" s="14">
        <v>0</v>
      </c>
      <c r="J2106" s="15">
        <v>1</v>
      </c>
      <c r="K2106" s="14">
        <v>1277.7649551842396</v>
      </c>
      <c r="L2106" s="13">
        <v>294043454.03174764</v>
      </c>
      <c r="M2106" s="14">
        <v>3.7606954183207546</v>
      </c>
      <c r="N2106" s="14">
        <v>576.36210432739824</v>
      </c>
      <c r="O2106" s="13">
        <v>132634334.07046148</v>
      </c>
      <c r="P2106" s="13">
        <v>161409119.96128616</v>
      </c>
      <c r="Q2106" s="14">
        <v>2.2169482441517609</v>
      </c>
      <c r="R2106" s="15">
        <v>1.2169482441517607</v>
      </c>
    </row>
    <row r="2107" spans="1:18" ht="18" customHeight="1">
      <c r="A2107" s="10" t="s">
        <v>89</v>
      </c>
      <c r="B2107" s="10" t="s">
        <v>90</v>
      </c>
      <c r="C2107" s="10" t="s">
        <v>254</v>
      </c>
      <c r="D2107" s="10" t="s">
        <v>270</v>
      </c>
      <c r="E2107" s="16">
        <v>5</v>
      </c>
      <c r="F2107" s="16">
        <v>5</v>
      </c>
      <c r="G2107" s="13">
        <v>76451.815779108394</v>
      </c>
      <c r="H2107" s="13">
        <v>76451.815779108394</v>
      </c>
      <c r="I2107" s="14">
        <v>0</v>
      </c>
      <c r="J2107" s="15">
        <v>1</v>
      </c>
      <c r="K2107" s="14">
        <v>179.26075341640728</v>
      </c>
      <c r="L2107" s="13">
        <v>13704810.096615344</v>
      </c>
      <c r="M2107" s="14">
        <v>3.2041633653728767</v>
      </c>
      <c r="N2107" s="14">
        <v>160.01598358188141</v>
      </c>
      <c r="O2107" s="13">
        <v>12233512.498514831</v>
      </c>
      <c r="P2107" s="13">
        <v>1471297.5981005132</v>
      </c>
      <c r="Q2107" s="14">
        <v>1.1202677970271524</v>
      </c>
      <c r="R2107" s="15">
        <v>0.12026779702715236</v>
      </c>
    </row>
    <row r="2108" spans="1:18" ht="18" customHeight="1">
      <c r="A2108" s="10" t="s">
        <v>89</v>
      </c>
      <c r="B2108" s="10" t="s">
        <v>90</v>
      </c>
      <c r="C2108" s="10" t="s">
        <v>254</v>
      </c>
      <c r="D2108" s="10" t="s">
        <v>276</v>
      </c>
      <c r="E2108" s="16">
        <v>1</v>
      </c>
      <c r="F2108" s="16">
        <v>1</v>
      </c>
      <c r="G2108" s="13">
        <v>9.7934661029000001</v>
      </c>
      <c r="H2108" s="13">
        <v>9.7934661029000001</v>
      </c>
      <c r="I2108" s="14">
        <v>0</v>
      </c>
      <c r="J2108" s="15">
        <v>1</v>
      </c>
      <c r="K2108" s="14">
        <v>33.88441561392024</v>
      </c>
      <c r="L2108" s="13">
        <v>331.84587573150338</v>
      </c>
      <c r="M2108" s="14">
        <v>2.5299999999999998</v>
      </c>
      <c r="N2108" s="14">
        <v>33.88441561392024</v>
      </c>
      <c r="O2108" s="13">
        <v>331.84587573150338</v>
      </c>
      <c r="P2108" s="13">
        <v>0</v>
      </c>
      <c r="Q2108" s="14">
        <v>1</v>
      </c>
      <c r="R2108" s="15">
        <v>0</v>
      </c>
    </row>
    <row r="2109" spans="1:18" ht="18" customHeight="1">
      <c r="A2109" s="10" t="s">
        <v>89</v>
      </c>
      <c r="B2109" s="10" t="s">
        <v>90</v>
      </c>
      <c r="C2109" s="10" t="s">
        <v>254</v>
      </c>
      <c r="D2109" s="10" t="s">
        <v>271</v>
      </c>
      <c r="E2109" s="16">
        <v>7</v>
      </c>
      <c r="F2109" s="16">
        <v>7</v>
      </c>
      <c r="G2109" s="13">
        <v>3641.7133939419991</v>
      </c>
      <c r="H2109" s="13">
        <v>3641.7133939419991</v>
      </c>
      <c r="I2109" s="14">
        <v>0</v>
      </c>
      <c r="J2109" s="15">
        <v>1</v>
      </c>
      <c r="K2109" s="14">
        <v>63.303813310332714</v>
      </c>
      <c r="L2109" s="13">
        <v>230534.34481984246</v>
      </c>
      <c r="M2109" s="14">
        <v>2.7031675215283903</v>
      </c>
      <c r="N2109" s="14">
        <v>50.485599941385821</v>
      </c>
      <c r="O2109" s="13">
        <v>183854.08550774216</v>
      </c>
      <c r="P2109" s="13">
        <v>46680.259312100301</v>
      </c>
      <c r="Q2109" s="14">
        <v>1.2538984063540681</v>
      </c>
      <c r="R2109" s="15">
        <v>0.25389840635406807</v>
      </c>
    </row>
    <row r="2110" spans="1:18" ht="18" customHeight="1">
      <c r="A2110" s="10" t="s">
        <v>89</v>
      </c>
      <c r="B2110" s="10" t="s">
        <v>90</v>
      </c>
      <c r="C2110" s="10" t="s">
        <v>254</v>
      </c>
      <c r="D2110" s="10" t="s">
        <v>272</v>
      </c>
      <c r="E2110" s="16">
        <v>6</v>
      </c>
      <c r="F2110" s="16">
        <v>6</v>
      </c>
      <c r="G2110" s="13">
        <v>10388.844141261103</v>
      </c>
      <c r="H2110" s="13">
        <v>10388.844141261103</v>
      </c>
      <c r="I2110" s="14">
        <v>0</v>
      </c>
      <c r="J2110" s="15">
        <v>1</v>
      </c>
      <c r="K2110" s="14">
        <v>58.943497883680138</v>
      </c>
      <c r="L2110" s="13">
        <v>612354.81265430665</v>
      </c>
      <c r="M2110" s="14">
        <v>2.7449182058040047</v>
      </c>
      <c r="N2110" s="14">
        <v>55.579956917950028</v>
      </c>
      <c r="O2110" s="13">
        <v>577411.50979858963</v>
      </c>
      <c r="P2110" s="13">
        <v>34943.302855717018</v>
      </c>
      <c r="Q2110" s="14">
        <v>1.0605171567638232</v>
      </c>
      <c r="R2110" s="15">
        <v>6.0517156763823084E-2</v>
      </c>
    </row>
    <row r="2111" spans="1:18" ht="18" customHeight="1">
      <c r="A2111" s="10" t="s">
        <v>89</v>
      </c>
      <c r="B2111" s="10" t="s">
        <v>90</v>
      </c>
      <c r="C2111" s="10" t="s">
        <v>254</v>
      </c>
      <c r="D2111" s="10" t="s">
        <v>278</v>
      </c>
      <c r="E2111" s="16">
        <v>1</v>
      </c>
      <c r="F2111" s="16">
        <v>1</v>
      </c>
      <c r="G2111" s="13">
        <v>3096.1231134459003</v>
      </c>
      <c r="H2111" s="13">
        <v>3096.1231134459003</v>
      </c>
      <c r="I2111" s="14">
        <v>0</v>
      </c>
      <c r="J2111" s="15">
        <v>1</v>
      </c>
      <c r="K2111" s="14">
        <v>100</v>
      </c>
      <c r="L2111" s="13">
        <v>309612.31134459004</v>
      </c>
      <c r="M2111" s="14">
        <v>2.9999999999999996</v>
      </c>
      <c r="N2111" s="14">
        <v>99.999999999999901</v>
      </c>
      <c r="O2111" s="13">
        <v>309612.31134458975</v>
      </c>
      <c r="P2111" s="13">
        <v>2.9103830456733704E-10</v>
      </c>
      <c r="Q2111" s="14">
        <v>1.0000000000000009</v>
      </c>
      <c r="R2111" s="15">
        <v>9.400088236265891E-16</v>
      </c>
    </row>
    <row r="2112" spans="1:18" ht="18" customHeight="1">
      <c r="A2112" s="10" t="s">
        <v>89</v>
      </c>
      <c r="B2112" s="10" t="s">
        <v>90</v>
      </c>
      <c r="C2112" s="10" t="s">
        <v>254</v>
      </c>
      <c r="D2112" s="10" t="s">
        <v>273</v>
      </c>
      <c r="E2112" s="16">
        <v>2</v>
      </c>
      <c r="F2112" s="16">
        <v>2</v>
      </c>
      <c r="G2112" s="13">
        <v>1856.3491574334998</v>
      </c>
      <c r="H2112" s="13">
        <v>1856.3491574334998</v>
      </c>
      <c r="I2112" s="14">
        <v>0</v>
      </c>
      <c r="J2112" s="15">
        <v>1</v>
      </c>
      <c r="K2112" s="14">
        <v>163.86553796582851</v>
      </c>
      <c r="L2112" s="13">
        <v>304191.65333525295</v>
      </c>
      <c r="M2112" s="14">
        <v>3.1976363008192612</v>
      </c>
      <c r="N2112" s="14">
        <v>157.62906548552164</v>
      </c>
      <c r="O2112" s="13">
        <v>292614.58290107804</v>
      </c>
      <c r="P2112" s="13">
        <v>11577.070434174908</v>
      </c>
      <c r="Q2112" s="14">
        <v>1.0395642292308058</v>
      </c>
      <c r="R2112" s="15">
        <v>3.9564229230805902E-2</v>
      </c>
    </row>
    <row r="2113" spans="1:18" ht="18" customHeight="1">
      <c r="A2113" s="10" t="s">
        <v>89</v>
      </c>
      <c r="B2113" s="10" t="s">
        <v>90</v>
      </c>
      <c r="C2113" s="10" t="s">
        <v>254</v>
      </c>
      <c r="D2113" s="10" t="s">
        <v>274</v>
      </c>
      <c r="E2113" s="16">
        <v>3</v>
      </c>
      <c r="F2113" s="16">
        <v>3</v>
      </c>
      <c r="G2113" s="13">
        <v>24044.698580516699</v>
      </c>
      <c r="H2113" s="13">
        <v>24044.698580516699</v>
      </c>
      <c r="I2113" s="14">
        <v>0</v>
      </c>
      <c r="J2113" s="15">
        <v>1</v>
      </c>
      <c r="K2113" s="14">
        <v>503.27488098852331</v>
      </c>
      <c r="L2113" s="13">
        <v>12101092.816514457</v>
      </c>
      <c r="M2113" s="14">
        <v>3.6217838848269164</v>
      </c>
      <c r="N2113" s="14">
        <v>418.585215410638</v>
      </c>
      <c r="O2113" s="13">
        <v>10064755.334809445</v>
      </c>
      <c r="P2113" s="13">
        <v>2036337.4817050118</v>
      </c>
      <c r="Q2113" s="14">
        <v>1.2023235949573696</v>
      </c>
      <c r="R2113" s="15">
        <v>0.20232359495736968</v>
      </c>
    </row>
    <row r="2114" spans="1:18" ht="18" customHeight="1">
      <c r="A2114" s="10" t="s">
        <v>125</v>
      </c>
      <c r="B2114" s="10" t="s">
        <v>126</v>
      </c>
      <c r="C2114" s="10" t="s">
        <v>254</v>
      </c>
      <c r="D2114" s="10" t="s">
        <v>255</v>
      </c>
      <c r="E2114" s="16">
        <v>4</v>
      </c>
      <c r="F2114" s="16">
        <v>4</v>
      </c>
      <c r="G2114" s="13">
        <v>4691.7664163664995</v>
      </c>
      <c r="H2114" s="13">
        <v>4691.7664163664995</v>
      </c>
      <c r="I2114" s="14">
        <v>0</v>
      </c>
      <c r="J2114" s="15">
        <v>1</v>
      </c>
      <c r="K2114" s="14">
        <v>1283.9497325101552</v>
      </c>
      <c r="L2114" s="13">
        <v>6023992.2352938959</v>
      </c>
      <c r="M2114" s="14">
        <v>4.098694559054981</v>
      </c>
      <c r="N2114" s="14">
        <v>1255.1469036563315</v>
      </c>
      <c r="O2114" s="13">
        <v>5888856.0901811747</v>
      </c>
      <c r="P2114" s="13">
        <v>135136.14511272125</v>
      </c>
      <c r="Q2114" s="14">
        <v>1.022947775093034</v>
      </c>
      <c r="R2114" s="15">
        <v>2.2947775093034018E-2</v>
      </c>
    </row>
    <row r="2115" spans="1:18" ht="18" customHeight="1">
      <c r="A2115" s="10" t="s">
        <v>125</v>
      </c>
      <c r="B2115" s="10" t="s">
        <v>126</v>
      </c>
      <c r="C2115" s="10" t="s">
        <v>254</v>
      </c>
      <c r="D2115" s="10" t="s">
        <v>277</v>
      </c>
      <c r="E2115" s="16">
        <v>1</v>
      </c>
      <c r="F2115" s="16">
        <v>1</v>
      </c>
      <c r="G2115" s="13">
        <v>9.8973148999999989E-3</v>
      </c>
      <c r="H2115" s="13">
        <v>9.8973148999999989E-3</v>
      </c>
      <c r="I2115" s="14">
        <v>0</v>
      </c>
      <c r="J2115" s="15">
        <v>1</v>
      </c>
      <c r="K2115" s="14">
        <v>288.40315031266056</v>
      </c>
      <c r="L2115" s="13">
        <v>2.8544167967964347</v>
      </c>
      <c r="M2115" s="14">
        <v>3.46</v>
      </c>
      <c r="N2115" s="14">
        <v>288.40315031266056</v>
      </c>
      <c r="O2115" s="13">
        <v>2.8544167967964347</v>
      </c>
      <c r="P2115" s="13">
        <v>0</v>
      </c>
      <c r="Q2115" s="14">
        <v>1</v>
      </c>
      <c r="R2115" s="15">
        <v>0</v>
      </c>
    </row>
    <row r="2116" spans="1:18" ht="18" customHeight="1">
      <c r="A2116" s="10" t="s">
        <v>125</v>
      </c>
      <c r="B2116" s="10" t="s">
        <v>126</v>
      </c>
      <c r="C2116" s="10" t="s">
        <v>254</v>
      </c>
      <c r="D2116" s="10" t="s">
        <v>258</v>
      </c>
      <c r="E2116" s="16">
        <v>8</v>
      </c>
      <c r="F2116" s="16">
        <v>8</v>
      </c>
      <c r="G2116" s="13">
        <v>8701.645945472299</v>
      </c>
      <c r="H2116" s="13">
        <v>8701.645945472299</v>
      </c>
      <c r="I2116" s="14">
        <v>0</v>
      </c>
      <c r="J2116" s="15">
        <v>1</v>
      </c>
      <c r="K2116" s="14">
        <v>678.52872204853361</v>
      </c>
      <c r="L2116" s="13">
        <v>5904316.7031001225</v>
      </c>
      <c r="M2116" s="14">
        <v>3.78393399188155</v>
      </c>
      <c r="N2116" s="14">
        <v>608.04257828358607</v>
      </c>
      <c r="O2116" s="13">
        <v>5290971.2359958896</v>
      </c>
      <c r="P2116" s="13">
        <v>613345.46710423287</v>
      </c>
      <c r="Q2116" s="14">
        <v>1.1159230394093773</v>
      </c>
      <c r="R2116" s="15">
        <v>0.11592303940937723</v>
      </c>
    </row>
    <row r="2117" spans="1:18" ht="18" customHeight="1">
      <c r="A2117" s="10" t="s">
        <v>125</v>
      </c>
      <c r="B2117" s="10" t="s">
        <v>126</v>
      </c>
      <c r="C2117" s="10" t="s">
        <v>254</v>
      </c>
      <c r="D2117" s="10" t="s">
        <v>259</v>
      </c>
      <c r="E2117" s="16">
        <v>4</v>
      </c>
      <c r="F2117" s="16">
        <v>4</v>
      </c>
      <c r="G2117" s="13">
        <v>1940.8734315608001</v>
      </c>
      <c r="H2117" s="13">
        <v>1940.8734315608001</v>
      </c>
      <c r="I2117" s="14">
        <v>0</v>
      </c>
      <c r="J2117" s="15">
        <v>1</v>
      </c>
      <c r="K2117" s="14">
        <v>1587.5238686135824</v>
      </c>
      <c r="L2117" s="13">
        <v>3081182.8985607205</v>
      </c>
      <c r="M2117" s="14">
        <v>4.1996948992185494</v>
      </c>
      <c r="N2117" s="14">
        <v>1583.7801634939185</v>
      </c>
      <c r="O2117" s="13">
        <v>3073916.8407583665</v>
      </c>
      <c r="P2117" s="13">
        <v>7266.0578023539856</v>
      </c>
      <c r="Q2117" s="14">
        <v>1.0023637782603649</v>
      </c>
      <c r="R2117" s="15">
        <v>2.3637782603648364E-3</v>
      </c>
    </row>
    <row r="2118" spans="1:18" ht="18" customHeight="1">
      <c r="A2118" s="10" t="s">
        <v>125</v>
      </c>
      <c r="B2118" s="10" t="s">
        <v>126</v>
      </c>
      <c r="C2118" s="10" t="s">
        <v>254</v>
      </c>
      <c r="D2118" s="10" t="s">
        <v>260</v>
      </c>
      <c r="E2118" s="16">
        <v>2</v>
      </c>
      <c r="F2118" s="16">
        <v>2</v>
      </c>
      <c r="G2118" s="13">
        <v>458.50015904400004</v>
      </c>
      <c r="H2118" s="13">
        <v>458.50015904400004</v>
      </c>
      <c r="I2118" s="14">
        <v>0</v>
      </c>
      <c r="J2118" s="15">
        <v>1</v>
      </c>
      <c r="K2118" s="14">
        <v>1460.3121223428579</v>
      </c>
      <c r="L2118" s="13">
        <v>669553.34034808166</v>
      </c>
      <c r="M2118" s="14">
        <v>4.1607983635629591</v>
      </c>
      <c r="N2118" s="14">
        <v>1448.0993665512196</v>
      </c>
      <c r="O2118" s="13">
        <v>663953.78987524996</v>
      </c>
      <c r="P2118" s="13">
        <v>5599.5504728317028</v>
      </c>
      <c r="Q2118" s="14">
        <v>1.0084336448683933</v>
      </c>
      <c r="R2118" s="15">
        <v>8.4336448683933266E-3</v>
      </c>
    </row>
    <row r="2119" spans="1:18" ht="18" customHeight="1">
      <c r="A2119" s="10" t="s">
        <v>125</v>
      </c>
      <c r="B2119" s="10" t="s">
        <v>126</v>
      </c>
      <c r="C2119" s="10" t="s">
        <v>254</v>
      </c>
      <c r="D2119" s="10" t="s">
        <v>262</v>
      </c>
      <c r="E2119" s="16">
        <v>2</v>
      </c>
      <c r="F2119" s="16">
        <v>2</v>
      </c>
      <c r="G2119" s="13">
        <v>516.17765693670003</v>
      </c>
      <c r="H2119" s="13">
        <v>516.17765693670003</v>
      </c>
      <c r="I2119" s="14">
        <v>0</v>
      </c>
      <c r="J2119" s="15">
        <v>1</v>
      </c>
      <c r="K2119" s="14">
        <v>537.26810008146697</v>
      </c>
      <c r="L2119" s="13">
        <v>277325.78904688405</v>
      </c>
      <c r="M2119" s="14">
        <v>3.7291699225485275</v>
      </c>
      <c r="N2119" s="14">
        <v>536.00633493414898</v>
      </c>
      <c r="O2119" s="13">
        <v>276674.49406953709</v>
      </c>
      <c r="P2119" s="13">
        <v>651.29497734695906</v>
      </c>
      <c r="Q2119" s="14">
        <v>1.0023540116321068</v>
      </c>
      <c r="R2119" s="15">
        <v>2.3540116321068179E-3</v>
      </c>
    </row>
    <row r="2120" spans="1:18" ht="18" customHeight="1">
      <c r="A2120" s="10" t="s">
        <v>125</v>
      </c>
      <c r="B2120" s="10" t="s">
        <v>126</v>
      </c>
      <c r="C2120" s="10" t="s">
        <v>254</v>
      </c>
      <c r="D2120" s="10" t="s">
        <v>263</v>
      </c>
      <c r="E2120" s="16">
        <v>2</v>
      </c>
      <c r="F2120" s="16">
        <v>2</v>
      </c>
      <c r="G2120" s="13">
        <v>1144.0891453243999</v>
      </c>
      <c r="H2120" s="13">
        <v>1144.0891453243999</v>
      </c>
      <c r="I2120" s="14">
        <v>0</v>
      </c>
      <c r="J2120" s="15">
        <v>1</v>
      </c>
      <c r="K2120" s="14">
        <v>626.86063360274807</v>
      </c>
      <c r="L2120" s="13">
        <v>717184.44653607975</v>
      </c>
      <c r="M2120" s="14">
        <v>3.7970653164174597</v>
      </c>
      <c r="N2120" s="14">
        <v>626.70811235992994</v>
      </c>
      <c r="O2120" s="13">
        <v>717009.94863774022</v>
      </c>
      <c r="P2120" s="13">
        <v>174.49789833952673</v>
      </c>
      <c r="Q2120" s="14">
        <v>1.0002433688663193</v>
      </c>
      <c r="R2120" s="15">
        <v>2.4336886631916104E-4</v>
      </c>
    </row>
    <row r="2121" spans="1:18" ht="18" customHeight="1">
      <c r="A2121" s="10" t="s">
        <v>125</v>
      </c>
      <c r="B2121" s="10" t="s">
        <v>126</v>
      </c>
      <c r="C2121" s="10" t="s">
        <v>254</v>
      </c>
      <c r="D2121" s="10" t="s">
        <v>264</v>
      </c>
      <c r="E2121" s="16">
        <v>2</v>
      </c>
      <c r="F2121" s="16">
        <v>2</v>
      </c>
      <c r="G2121" s="13">
        <v>1.4539729900000001E-2</v>
      </c>
      <c r="H2121" s="13">
        <v>1.4539729900000001E-2</v>
      </c>
      <c r="I2121" s="14">
        <v>0</v>
      </c>
      <c r="J2121" s="15">
        <v>1</v>
      </c>
      <c r="K2121" s="14">
        <v>1121.4753630670657</v>
      </c>
      <c r="L2121" s="13">
        <v>16.305948868499573</v>
      </c>
      <c r="M2121" s="14">
        <v>4.0497774552882166</v>
      </c>
      <c r="N2121" s="14">
        <v>1121.4436477631052</v>
      </c>
      <c r="O2121" s="13">
        <v>16.30548773654629</v>
      </c>
      <c r="P2121" s="13">
        <v>4.6113195328345569E-4</v>
      </c>
      <c r="Q2121" s="14">
        <v>1.0000282807825644</v>
      </c>
      <c r="R2121" s="15">
        <v>2.8280782564381562E-5</v>
      </c>
    </row>
    <row r="2122" spans="1:18" ht="18" customHeight="1">
      <c r="A2122" s="10" t="s">
        <v>125</v>
      </c>
      <c r="B2122" s="10" t="s">
        <v>126</v>
      </c>
      <c r="C2122" s="10" t="s">
        <v>254</v>
      </c>
      <c r="D2122" s="10" t="s">
        <v>265</v>
      </c>
      <c r="E2122" s="16">
        <v>11</v>
      </c>
      <c r="F2122" s="16">
        <v>11</v>
      </c>
      <c r="G2122" s="13">
        <v>20540.918950721996</v>
      </c>
      <c r="H2122" s="13">
        <v>20540.918950721996</v>
      </c>
      <c r="I2122" s="14">
        <v>0</v>
      </c>
      <c r="J2122" s="15">
        <v>1</v>
      </c>
      <c r="K2122" s="14">
        <v>276.1700777673442</v>
      </c>
      <c r="L2122" s="13">
        <v>5672787.1840336081</v>
      </c>
      <c r="M2122" s="14">
        <v>3.2383120588083081</v>
      </c>
      <c r="N2122" s="14">
        <v>173.10597515138201</v>
      </c>
      <c r="O2122" s="13">
        <v>3555755.8054702338</v>
      </c>
      <c r="P2122" s="13">
        <v>2117031.3785633743</v>
      </c>
      <c r="Q2122" s="14">
        <v>1.5953815431606686</v>
      </c>
      <c r="R2122" s="15">
        <v>0.59538154316066871</v>
      </c>
    </row>
    <row r="2123" spans="1:18" ht="18" customHeight="1">
      <c r="A2123" s="10" t="s">
        <v>125</v>
      </c>
      <c r="B2123" s="10" t="s">
        <v>126</v>
      </c>
      <c r="C2123" s="10" t="s">
        <v>254</v>
      </c>
      <c r="D2123" s="10" t="s">
        <v>266</v>
      </c>
      <c r="E2123" s="16">
        <v>2</v>
      </c>
      <c r="F2123" s="16">
        <v>2</v>
      </c>
      <c r="G2123" s="13">
        <v>7.9801591834999996</v>
      </c>
      <c r="H2123" s="13">
        <v>7.9801591834999996</v>
      </c>
      <c r="I2123" s="14">
        <v>0</v>
      </c>
      <c r="J2123" s="15">
        <v>1</v>
      </c>
      <c r="K2123" s="14">
        <v>333.46034269308745</v>
      </c>
      <c r="L2123" s="13">
        <v>2661.066616075299</v>
      </c>
      <c r="M2123" s="14">
        <v>3.49719469048659</v>
      </c>
      <c r="N2123" s="14">
        <v>314.19168725671511</v>
      </c>
      <c r="O2123" s="13">
        <v>2507.2996784410348</v>
      </c>
      <c r="P2123" s="13">
        <v>153.7669376342642</v>
      </c>
      <c r="Q2123" s="14">
        <v>1.0613277060402575</v>
      </c>
      <c r="R2123" s="15">
        <v>6.1327706040257605E-2</v>
      </c>
    </row>
    <row r="2124" spans="1:18" ht="18" customHeight="1">
      <c r="A2124" s="10" t="s">
        <v>125</v>
      </c>
      <c r="B2124" s="10" t="s">
        <v>126</v>
      </c>
      <c r="C2124" s="10" t="s">
        <v>254</v>
      </c>
      <c r="D2124" s="10" t="s">
        <v>268</v>
      </c>
      <c r="E2124" s="16">
        <v>3</v>
      </c>
      <c r="F2124" s="16">
        <v>3</v>
      </c>
      <c r="G2124" s="13">
        <v>194832.59600395791</v>
      </c>
      <c r="H2124" s="13">
        <v>194832.59600395791</v>
      </c>
      <c r="I2124" s="14">
        <v>0</v>
      </c>
      <c r="J2124" s="15">
        <v>1</v>
      </c>
      <c r="K2124" s="14">
        <v>372.18752720172256</v>
      </c>
      <c r="L2124" s="13">
        <v>72514262.125005305</v>
      </c>
      <c r="M2124" s="14">
        <v>3.5702581722773954</v>
      </c>
      <c r="N2124" s="14">
        <v>371.75615894174052</v>
      </c>
      <c r="O2124" s="13">
        <v>72430217.527079299</v>
      </c>
      <c r="P2124" s="13">
        <v>84044.597926005721</v>
      </c>
      <c r="Q2124" s="14">
        <v>1.0011603526925013</v>
      </c>
      <c r="R2124" s="15">
        <v>1.1603526925013609E-3</v>
      </c>
    </row>
    <row r="2125" spans="1:18" ht="18" customHeight="1">
      <c r="A2125" s="10" t="s">
        <v>125</v>
      </c>
      <c r="B2125" s="10" t="s">
        <v>126</v>
      </c>
      <c r="C2125" s="10" t="s">
        <v>254</v>
      </c>
      <c r="D2125" s="10" t="s">
        <v>269</v>
      </c>
      <c r="E2125" s="16">
        <v>15</v>
      </c>
      <c r="F2125" s="16">
        <v>15</v>
      </c>
      <c r="G2125" s="13">
        <v>79612.185707635901</v>
      </c>
      <c r="H2125" s="13">
        <v>79612.185707635901</v>
      </c>
      <c r="I2125" s="14">
        <v>0</v>
      </c>
      <c r="J2125" s="15">
        <v>1</v>
      </c>
      <c r="K2125" s="14">
        <v>1032.7731847114474</v>
      </c>
      <c r="L2125" s="13">
        <v>82221330.575114295</v>
      </c>
      <c r="M2125" s="14">
        <v>3.6588299217483424</v>
      </c>
      <c r="N2125" s="14">
        <v>455.85835790099611</v>
      </c>
      <c r="O2125" s="13">
        <v>36291880.24559205</v>
      </c>
      <c r="P2125" s="13">
        <v>45929450.329522245</v>
      </c>
      <c r="Q2125" s="14">
        <v>2.2655571995364103</v>
      </c>
      <c r="R2125" s="15">
        <v>1.2655571995364103</v>
      </c>
    </row>
    <row r="2126" spans="1:18" ht="18" customHeight="1">
      <c r="A2126" s="10" t="s">
        <v>125</v>
      </c>
      <c r="B2126" s="10" t="s">
        <v>126</v>
      </c>
      <c r="C2126" s="10" t="s">
        <v>254</v>
      </c>
      <c r="D2126" s="10" t="s">
        <v>270</v>
      </c>
      <c r="E2126" s="16">
        <v>7</v>
      </c>
      <c r="F2126" s="16">
        <v>7</v>
      </c>
      <c r="G2126" s="13">
        <v>18365.136628691002</v>
      </c>
      <c r="H2126" s="13">
        <v>18365.136628691002</v>
      </c>
      <c r="I2126" s="14">
        <v>0</v>
      </c>
      <c r="J2126" s="15">
        <v>1</v>
      </c>
      <c r="K2126" s="14">
        <v>242.68499355139977</v>
      </c>
      <c r="L2126" s="13">
        <v>4456943.0643044515</v>
      </c>
      <c r="M2126" s="14">
        <v>3.3428288367765555</v>
      </c>
      <c r="N2126" s="14">
        <v>220.20584213977307</v>
      </c>
      <c r="O2126" s="13">
        <v>4044110.3773328951</v>
      </c>
      <c r="P2126" s="13">
        <v>412832.6869715564</v>
      </c>
      <c r="Q2126" s="14">
        <v>1.1020824479186992</v>
      </c>
      <c r="R2126" s="15">
        <v>0.10208244791869923</v>
      </c>
    </row>
    <row r="2127" spans="1:18" ht="18" customHeight="1">
      <c r="A2127" s="10" t="s">
        <v>125</v>
      </c>
      <c r="B2127" s="10" t="s">
        <v>126</v>
      </c>
      <c r="C2127" s="10" t="s">
        <v>254</v>
      </c>
      <c r="D2127" s="10" t="s">
        <v>276</v>
      </c>
      <c r="E2127" s="16">
        <v>1</v>
      </c>
      <c r="F2127" s="16">
        <v>1</v>
      </c>
      <c r="G2127" s="13">
        <v>0.4557669385</v>
      </c>
      <c r="H2127" s="13">
        <v>0.4557669385</v>
      </c>
      <c r="I2127" s="14">
        <v>0</v>
      </c>
      <c r="J2127" s="15">
        <v>1</v>
      </c>
      <c r="K2127" s="14">
        <v>33.88441561392024</v>
      </c>
      <c r="L2127" s="13">
        <v>15.443396367218025</v>
      </c>
      <c r="M2127" s="14">
        <v>2.5299999999999998</v>
      </c>
      <c r="N2127" s="14">
        <v>33.88441561392024</v>
      </c>
      <c r="O2127" s="13">
        <v>15.443396367218025</v>
      </c>
      <c r="P2127" s="13">
        <v>0</v>
      </c>
      <c r="Q2127" s="14">
        <v>1</v>
      </c>
      <c r="R2127" s="15">
        <v>0</v>
      </c>
    </row>
    <row r="2128" spans="1:18" ht="18" customHeight="1">
      <c r="A2128" s="10" t="s">
        <v>125</v>
      </c>
      <c r="B2128" s="10" t="s">
        <v>126</v>
      </c>
      <c r="C2128" s="10" t="s">
        <v>254</v>
      </c>
      <c r="D2128" s="10" t="s">
        <v>271</v>
      </c>
      <c r="E2128" s="16">
        <v>10</v>
      </c>
      <c r="F2128" s="16">
        <v>10</v>
      </c>
      <c r="G2128" s="13">
        <v>4112.0337852668999</v>
      </c>
      <c r="H2128" s="13">
        <v>4112.0337852668999</v>
      </c>
      <c r="I2128" s="14">
        <v>0</v>
      </c>
      <c r="J2128" s="15">
        <v>1</v>
      </c>
      <c r="K2128" s="14">
        <v>33.042702128884684</v>
      </c>
      <c r="L2128" s="13">
        <v>135872.70751048435</v>
      </c>
      <c r="M2128" s="14">
        <v>2.4766404424396198</v>
      </c>
      <c r="N2128" s="14">
        <v>29.966805042988089</v>
      </c>
      <c r="O2128" s="13">
        <v>123224.51477327353</v>
      </c>
      <c r="P2128" s="13">
        <v>12648.192737210818</v>
      </c>
      <c r="Q2128" s="14">
        <v>1.1026434777242402</v>
      </c>
      <c r="R2128" s="15">
        <v>0.10264347772424028</v>
      </c>
    </row>
    <row r="2129" spans="1:18" ht="18" customHeight="1">
      <c r="A2129" s="10" t="s">
        <v>125</v>
      </c>
      <c r="B2129" s="10" t="s">
        <v>126</v>
      </c>
      <c r="C2129" s="10" t="s">
        <v>254</v>
      </c>
      <c r="D2129" s="10" t="s">
        <v>272</v>
      </c>
      <c r="E2129" s="16">
        <v>5</v>
      </c>
      <c r="F2129" s="16">
        <v>5</v>
      </c>
      <c r="G2129" s="13">
        <v>2777.1110310027002</v>
      </c>
      <c r="H2129" s="13">
        <v>2777.1110310027002</v>
      </c>
      <c r="I2129" s="14">
        <v>0</v>
      </c>
      <c r="J2129" s="15">
        <v>1</v>
      </c>
      <c r="K2129" s="14">
        <v>81.979069027133562</v>
      </c>
      <c r="L2129" s="13">
        <v>227664.9769065844</v>
      </c>
      <c r="M2129" s="14">
        <v>2.8701934637567144</v>
      </c>
      <c r="N2129" s="14">
        <v>74.164054393789002</v>
      </c>
      <c r="O2129" s="13">
        <v>205961.81356087571</v>
      </c>
      <c r="P2129" s="13">
        <v>21703.163345708686</v>
      </c>
      <c r="Q2129" s="14">
        <v>1.1053746952917267</v>
      </c>
      <c r="R2129" s="15">
        <v>0.10537469529172662</v>
      </c>
    </row>
    <row r="2130" spans="1:18" ht="18" customHeight="1">
      <c r="A2130" s="10" t="s">
        <v>125</v>
      </c>
      <c r="B2130" s="10" t="s">
        <v>126</v>
      </c>
      <c r="C2130" s="10" t="s">
        <v>254</v>
      </c>
      <c r="D2130" s="10" t="s">
        <v>273</v>
      </c>
      <c r="E2130" s="16">
        <v>2</v>
      </c>
      <c r="F2130" s="16">
        <v>2</v>
      </c>
      <c r="G2130" s="13">
        <v>275.17591558669994</v>
      </c>
      <c r="H2130" s="13">
        <v>275.17591558669994</v>
      </c>
      <c r="I2130" s="14">
        <v>0</v>
      </c>
      <c r="J2130" s="15">
        <v>1</v>
      </c>
      <c r="K2130" s="14">
        <v>210.54213175191148</v>
      </c>
      <c r="L2130" s="13">
        <v>57936.123874407851</v>
      </c>
      <c r="M2130" s="14">
        <v>3.2959699976045198</v>
      </c>
      <c r="N2130" s="14">
        <v>197.68330697000249</v>
      </c>
      <c r="O2130" s="13">
        <v>54397.684991677095</v>
      </c>
      <c r="P2130" s="13">
        <v>3538.4388827307557</v>
      </c>
      <c r="Q2130" s="14">
        <v>1.0650476005232969</v>
      </c>
      <c r="R2130" s="15">
        <v>6.5047600523296917E-2</v>
      </c>
    </row>
    <row r="2131" spans="1:18" ht="18" customHeight="1">
      <c r="A2131" s="10" t="s">
        <v>125</v>
      </c>
      <c r="B2131" s="10" t="s">
        <v>126</v>
      </c>
      <c r="C2131" s="10" t="s">
        <v>254</v>
      </c>
      <c r="D2131" s="10" t="s">
        <v>274</v>
      </c>
      <c r="E2131" s="16">
        <v>11</v>
      </c>
      <c r="F2131" s="16">
        <v>11</v>
      </c>
      <c r="G2131" s="13">
        <v>10848.119214491502</v>
      </c>
      <c r="H2131" s="13">
        <v>10848.119214491502</v>
      </c>
      <c r="I2131" s="14">
        <v>0</v>
      </c>
      <c r="J2131" s="15">
        <v>1</v>
      </c>
      <c r="K2131" s="14">
        <v>628.09811028414026</v>
      </c>
      <c r="L2131" s="13">
        <v>6813683.1787591847</v>
      </c>
      <c r="M2131" s="14">
        <v>3.7001750942878595</v>
      </c>
      <c r="N2131" s="14">
        <v>501.38933777057889</v>
      </c>
      <c r="O2131" s="13">
        <v>5439131.3090101872</v>
      </c>
      <c r="P2131" s="13">
        <v>1374551.8697489975</v>
      </c>
      <c r="Q2131" s="14">
        <v>1.2527153311176704</v>
      </c>
      <c r="R2131" s="15">
        <v>0.25271533111767042</v>
      </c>
    </row>
    <row r="2132" spans="1:18" ht="18" customHeight="1">
      <c r="A2132" s="10" t="s">
        <v>125</v>
      </c>
      <c r="B2132" s="10" t="s">
        <v>126</v>
      </c>
      <c r="C2132" s="10" t="s">
        <v>254</v>
      </c>
      <c r="D2132" s="10" t="s">
        <v>282</v>
      </c>
      <c r="E2132" s="16">
        <v>1</v>
      </c>
      <c r="F2132" s="16">
        <v>1</v>
      </c>
      <c r="G2132" s="13">
        <v>3.4309181699</v>
      </c>
      <c r="H2132" s="13">
        <v>3.4309181699</v>
      </c>
      <c r="I2132" s="14">
        <v>0</v>
      </c>
      <c r="J2132" s="15">
        <v>1</v>
      </c>
      <c r="K2132" s="14">
        <v>630.95734448019311</v>
      </c>
      <c r="L2132" s="13">
        <v>2164.7630176089478</v>
      </c>
      <c r="M2132" s="14">
        <v>3.8</v>
      </c>
      <c r="N2132" s="14">
        <v>630.957344480193</v>
      </c>
      <c r="O2132" s="13">
        <v>2164.7630176089478</v>
      </c>
      <c r="P2132" s="13">
        <v>0</v>
      </c>
      <c r="Q2132" s="14">
        <v>1</v>
      </c>
      <c r="R2132" s="15">
        <v>0</v>
      </c>
    </row>
    <row r="2133" spans="1:18" ht="18" customHeight="1">
      <c r="A2133" s="10" t="s">
        <v>173</v>
      </c>
      <c r="B2133" s="10" t="s">
        <v>174</v>
      </c>
      <c r="C2133" s="10" t="s">
        <v>254</v>
      </c>
      <c r="D2133" s="10" t="s">
        <v>258</v>
      </c>
      <c r="E2133" s="16">
        <v>2</v>
      </c>
      <c r="F2133" s="16">
        <v>2</v>
      </c>
      <c r="G2133" s="13">
        <v>2.0638226688999999</v>
      </c>
      <c r="H2133" s="13">
        <v>2.0638226688999999</v>
      </c>
      <c r="I2133" s="14">
        <v>0</v>
      </c>
      <c r="J2133" s="15">
        <v>1</v>
      </c>
      <c r="K2133" s="14">
        <v>2511.8763786228205</v>
      </c>
      <c r="L2133" s="13">
        <v>5184.0674116762157</v>
      </c>
      <c r="M2133" s="14">
        <v>4.3999972086264556</v>
      </c>
      <c r="N2133" s="14">
        <v>2511.8702867251295</v>
      </c>
      <c r="O2133" s="13">
        <v>5184.0548390796648</v>
      </c>
      <c r="P2133" s="13">
        <v>1.2572596550853632E-2</v>
      </c>
      <c r="Q2133" s="14">
        <v>1.0000024252437409</v>
      </c>
      <c r="R2133" s="15">
        <v>2.4252437408794213E-6</v>
      </c>
    </row>
    <row r="2134" spans="1:18" ht="18" customHeight="1">
      <c r="A2134" s="10" t="s">
        <v>173</v>
      </c>
      <c r="B2134" s="10" t="s">
        <v>174</v>
      </c>
      <c r="C2134" s="10" t="s">
        <v>254</v>
      </c>
      <c r="D2134" s="10" t="s">
        <v>259</v>
      </c>
      <c r="E2134" s="16">
        <v>1</v>
      </c>
      <c r="F2134" s="16">
        <v>1</v>
      </c>
      <c r="G2134" s="13">
        <v>18.618456657399999</v>
      </c>
      <c r="H2134" s="13">
        <v>18.618456657399999</v>
      </c>
      <c r="I2134" s="14">
        <v>0</v>
      </c>
      <c r="J2134" s="15">
        <v>1</v>
      </c>
      <c r="K2134" s="14">
        <v>1412.5375446227554</v>
      </c>
      <c r="L2134" s="13">
        <v>26299.269051508989</v>
      </c>
      <c r="M2134" s="14">
        <v>4.1500000000000004</v>
      </c>
      <c r="N2134" s="14">
        <v>1412.5375446227554</v>
      </c>
      <c r="O2134" s="13">
        <v>26299.269051508989</v>
      </c>
      <c r="P2134" s="13">
        <v>0</v>
      </c>
      <c r="Q2134" s="14">
        <v>1</v>
      </c>
      <c r="R2134" s="15">
        <v>0</v>
      </c>
    </row>
    <row r="2135" spans="1:18" ht="18" customHeight="1">
      <c r="A2135" s="10" t="s">
        <v>173</v>
      </c>
      <c r="B2135" s="10" t="s">
        <v>174</v>
      </c>
      <c r="C2135" s="10" t="s">
        <v>254</v>
      </c>
      <c r="D2135" s="10" t="s">
        <v>263</v>
      </c>
      <c r="E2135" s="16">
        <v>1</v>
      </c>
      <c r="F2135" s="16">
        <v>1</v>
      </c>
      <c r="G2135" s="13">
        <v>2.3898616300000002E-2</v>
      </c>
      <c r="H2135" s="13">
        <v>2.3898616300000002E-2</v>
      </c>
      <c r="I2135" s="14">
        <v>0</v>
      </c>
      <c r="J2135" s="15">
        <v>1</v>
      </c>
      <c r="K2135" s="14">
        <v>645.6542290346556</v>
      </c>
      <c r="L2135" s="13">
        <v>15.430242682171555</v>
      </c>
      <c r="M2135" s="14">
        <v>3.81</v>
      </c>
      <c r="N2135" s="14">
        <v>645.6542290346556</v>
      </c>
      <c r="O2135" s="13">
        <v>15.430242682171555</v>
      </c>
      <c r="P2135" s="13">
        <v>0</v>
      </c>
      <c r="Q2135" s="14">
        <v>1</v>
      </c>
      <c r="R2135" s="15">
        <v>0</v>
      </c>
    </row>
    <row r="2136" spans="1:18" ht="18" customHeight="1">
      <c r="A2136" s="10" t="s">
        <v>173</v>
      </c>
      <c r="B2136" s="10" t="s">
        <v>174</v>
      </c>
      <c r="C2136" s="10" t="s">
        <v>254</v>
      </c>
      <c r="D2136" s="10" t="s">
        <v>268</v>
      </c>
      <c r="E2136" s="16">
        <v>1</v>
      </c>
      <c r="F2136" s="16">
        <v>1</v>
      </c>
      <c r="G2136" s="13">
        <v>162.08282598070002</v>
      </c>
      <c r="H2136" s="13">
        <v>162.08282598070002</v>
      </c>
      <c r="I2136" s="14">
        <v>0</v>
      </c>
      <c r="J2136" s="15">
        <v>1</v>
      </c>
      <c r="K2136" s="14">
        <v>2454.7089156850284</v>
      </c>
      <c r="L2136" s="13">
        <v>397866.15801424929</v>
      </c>
      <c r="M2136" s="14">
        <v>4.3899999999999997</v>
      </c>
      <c r="N2136" s="14">
        <v>2454.7089156850284</v>
      </c>
      <c r="O2136" s="13">
        <v>397866.15801424929</v>
      </c>
      <c r="P2136" s="13">
        <v>0</v>
      </c>
      <c r="Q2136" s="14">
        <v>1</v>
      </c>
      <c r="R2136" s="15">
        <v>0</v>
      </c>
    </row>
    <row r="2137" spans="1:18" ht="18" customHeight="1">
      <c r="A2137" s="10" t="s">
        <v>173</v>
      </c>
      <c r="B2137" s="10" t="s">
        <v>174</v>
      </c>
      <c r="C2137" s="10" t="s">
        <v>254</v>
      </c>
      <c r="D2137" s="10" t="s">
        <v>269</v>
      </c>
      <c r="E2137" s="16">
        <v>8</v>
      </c>
      <c r="F2137" s="16">
        <v>8</v>
      </c>
      <c r="G2137" s="13">
        <v>21.428639332699998</v>
      </c>
      <c r="H2137" s="13">
        <v>21.428639332699998</v>
      </c>
      <c r="I2137" s="14">
        <v>0</v>
      </c>
      <c r="J2137" s="15">
        <v>1</v>
      </c>
      <c r="K2137" s="14">
        <v>414.80496719306507</v>
      </c>
      <c r="L2137" s="13">
        <v>8888.7060353926463</v>
      </c>
      <c r="M2137" s="14">
        <v>3.5519347252345015</v>
      </c>
      <c r="N2137" s="14">
        <v>356.3975625966342</v>
      </c>
      <c r="O2137" s="13">
        <v>7637.1148279366453</v>
      </c>
      <c r="P2137" s="13">
        <v>1251.591207456001</v>
      </c>
      <c r="Q2137" s="14">
        <v>1.1638827273982666</v>
      </c>
      <c r="R2137" s="15">
        <v>0.16388272739826662</v>
      </c>
    </row>
    <row r="2138" spans="1:18" ht="18" customHeight="1">
      <c r="A2138" s="10" t="s">
        <v>173</v>
      </c>
      <c r="B2138" s="10" t="s">
        <v>174</v>
      </c>
      <c r="C2138" s="10" t="s">
        <v>254</v>
      </c>
      <c r="D2138" s="10" t="s">
        <v>270</v>
      </c>
      <c r="E2138" s="16">
        <v>5</v>
      </c>
      <c r="F2138" s="16">
        <v>5</v>
      </c>
      <c r="G2138" s="13">
        <v>8.2695778379</v>
      </c>
      <c r="H2138" s="13">
        <v>8.2695778379</v>
      </c>
      <c r="I2138" s="14">
        <v>0</v>
      </c>
      <c r="J2138" s="15">
        <v>1</v>
      </c>
      <c r="K2138" s="14">
        <v>185.49714316076066</v>
      </c>
      <c r="L2138" s="13">
        <v>1533.9830640759899</v>
      </c>
      <c r="M2138" s="14">
        <v>3.254191013903172</v>
      </c>
      <c r="N2138" s="14">
        <v>179.5523170542817</v>
      </c>
      <c r="O2138" s="13">
        <v>1484.8218618556821</v>
      </c>
      <c r="P2138" s="13">
        <v>49.161202220307814</v>
      </c>
      <c r="Q2138" s="14">
        <v>1.0331091584002325</v>
      </c>
      <c r="R2138" s="15">
        <v>3.310915840023243E-2</v>
      </c>
    </row>
    <row r="2139" spans="1:18" ht="18" customHeight="1">
      <c r="A2139" s="10" t="s">
        <v>173</v>
      </c>
      <c r="B2139" s="10" t="s">
        <v>174</v>
      </c>
      <c r="C2139" s="10" t="s">
        <v>254</v>
      </c>
      <c r="D2139" s="10" t="s">
        <v>273</v>
      </c>
      <c r="E2139" s="16">
        <v>1</v>
      </c>
      <c r="F2139" s="16">
        <v>1</v>
      </c>
      <c r="G2139" s="13">
        <v>0.3013019341</v>
      </c>
      <c r="H2139" s="13">
        <v>0.3013019341</v>
      </c>
      <c r="I2139" s="14">
        <v>0</v>
      </c>
      <c r="J2139" s="15">
        <v>1</v>
      </c>
      <c r="K2139" s="14">
        <v>288.40315031266056</v>
      </c>
      <c r="L2139" s="13">
        <v>86.896426989737648</v>
      </c>
      <c r="M2139" s="14">
        <v>3.46</v>
      </c>
      <c r="N2139" s="14">
        <v>288.40315031266056</v>
      </c>
      <c r="O2139" s="13">
        <v>86.896426989737648</v>
      </c>
      <c r="P2139" s="13">
        <v>0</v>
      </c>
      <c r="Q2139" s="14">
        <v>1</v>
      </c>
      <c r="R2139" s="15">
        <v>0</v>
      </c>
    </row>
    <row r="2140" spans="1:18" ht="18" customHeight="1">
      <c r="A2140" s="10" t="s">
        <v>177</v>
      </c>
      <c r="B2140" s="10" t="s">
        <v>178</v>
      </c>
      <c r="C2140" s="10" t="s">
        <v>254</v>
      </c>
      <c r="D2140" s="10" t="s">
        <v>269</v>
      </c>
      <c r="E2140" s="16">
        <v>1</v>
      </c>
      <c r="F2140" s="16">
        <v>1</v>
      </c>
      <c r="G2140" s="13">
        <v>343.31946203410001</v>
      </c>
      <c r="H2140" s="13">
        <v>343.31946203410001</v>
      </c>
      <c r="I2140" s="14">
        <v>0</v>
      </c>
      <c r="J2140" s="15">
        <v>1</v>
      </c>
      <c r="K2140" s="14">
        <v>190.54607179632464</v>
      </c>
      <c r="L2140" s="13">
        <v>65418.174861825173</v>
      </c>
      <c r="M2140" s="14">
        <v>3.28</v>
      </c>
      <c r="N2140" s="14">
        <v>190.54607179632464</v>
      </c>
      <c r="O2140" s="13">
        <v>65418.174861825173</v>
      </c>
      <c r="P2140" s="13">
        <v>0</v>
      </c>
      <c r="Q2140" s="14">
        <v>1</v>
      </c>
      <c r="R2140" s="15">
        <v>0</v>
      </c>
    </row>
    <row r="2141" spans="1:18" ht="18" customHeight="1">
      <c r="A2141" s="10" t="s">
        <v>177</v>
      </c>
      <c r="B2141" s="10" t="s">
        <v>178</v>
      </c>
      <c r="C2141" s="10" t="s">
        <v>254</v>
      </c>
      <c r="D2141" s="10" t="s">
        <v>270</v>
      </c>
      <c r="E2141" s="16">
        <v>3</v>
      </c>
      <c r="F2141" s="16">
        <v>3</v>
      </c>
      <c r="G2141" s="13">
        <v>960.7493124575999</v>
      </c>
      <c r="H2141" s="13">
        <v>960.7493124575999</v>
      </c>
      <c r="I2141" s="14">
        <v>0</v>
      </c>
      <c r="J2141" s="15">
        <v>1</v>
      </c>
      <c r="K2141" s="14">
        <v>218.59072388840198</v>
      </c>
      <c r="L2141" s="13">
        <v>210010.88768539127</v>
      </c>
      <c r="M2141" s="14">
        <v>3.2999178833080554</v>
      </c>
      <c r="N2141" s="14">
        <v>199.48850850965903</v>
      </c>
      <c r="O2141" s="13">
        <v>191658.44739384699</v>
      </c>
      <c r="P2141" s="13">
        <v>18352.440291544277</v>
      </c>
      <c r="Q2141" s="14">
        <v>1.0957559687094358</v>
      </c>
      <c r="R2141" s="15">
        <v>9.5755968709435896E-2</v>
      </c>
    </row>
    <row r="2142" spans="1:18" ht="18" customHeight="1">
      <c r="A2142" s="10" t="s">
        <v>171</v>
      </c>
      <c r="B2142" s="10" t="s">
        <v>172</v>
      </c>
      <c r="C2142" s="10" t="s">
        <v>254</v>
      </c>
      <c r="D2142" s="10" t="s">
        <v>258</v>
      </c>
      <c r="E2142" s="16">
        <v>1</v>
      </c>
      <c r="F2142" s="16">
        <v>1</v>
      </c>
      <c r="G2142" s="13">
        <v>508.34639316400001</v>
      </c>
      <c r="H2142" s="13">
        <v>508.34639316400001</v>
      </c>
      <c r="I2142" s="14">
        <v>0</v>
      </c>
      <c r="J2142" s="15">
        <v>1</v>
      </c>
      <c r="K2142" s="14">
        <v>186.20871366628674</v>
      </c>
      <c r="L2142" s="13">
        <v>94658.527967964896</v>
      </c>
      <c r="M2142" s="14">
        <v>3.27</v>
      </c>
      <c r="N2142" s="14">
        <v>186.20871366628674</v>
      </c>
      <c r="O2142" s="13">
        <v>94658.527967964896</v>
      </c>
      <c r="P2142" s="13">
        <v>0</v>
      </c>
      <c r="Q2142" s="14">
        <v>1</v>
      </c>
      <c r="R2142" s="15">
        <v>0</v>
      </c>
    </row>
    <row r="2143" spans="1:18" ht="18" customHeight="1">
      <c r="A2143" s="10" t="s">
        <v>171</v>
      </c>
      <c r="B2143" s="10" t="s">
        <v>172</v>
      </c>
      <c r="C2143" s="10" t="s">
        <v>254</v>
      </c>
      <c r="D2143" s="10" t="s">
        <v>269</v>
      </c>
      <c r="E2143" s="16">
        <v>1</v>
      </c>
      <c r="F2143" s="16">
        <v>1</v>
      </c>
      <c r="G2143" s="13">
        <v>1128.8195392729001</v>
      </c>
      <c r="H2143" s="13">
        <v>1128.8195392729001</v>
      </c>
      <c r="I2143" s="14">
        <v>0</v>
      </c>
      <c r="J2143" s="15">
        <v>1</v>
      </c>
      <c r="K2143" s="14">
        <v>190.54607179632464</v>
      </c>
      <c r="L2143" s="13">
        <v>215092.12897538813</v>
      </c>
      <c r="M2143" s="14">
        <v>3.28</v>
      </c>
      <c r="N2143" s="14">
        <v>190.54607179632464</v>
      </c>
      <c r="O2143" s="13">
        <v>215092.12897538813</v>
      </c>
      <c r="P2143" s="13">
        <v>0</v>
      </c>
      <c r="Q2143" s="14">
        <v>1</v>
      </c>
      <c r="R2143" s="15">
        <v>0</v>
      </c>
    </row>
    <row r="2144" spans="1:18" ht="18" customHeight="1">
      <c r="A2144" s="10" t="s">
        <v>171</v>
      </c>
      <c r="B2144" s="10" t="s">
        <v>172</v>
      </c>
      <c r="C2144" s="10" t="s">
        <v>254</v>
      </c>
      <c r="D2144" s="10" t="s">
        <v>270</v>
      </c>
      <c r="E2144" s="16">
        <v>3</v>
      </c>
      <c r="F2144" s="16">
        <v>3</v>
      </c>
      <c r="G2144" s="13">
        <v>979.01748379879996</v>
      </c>
      <c r="H2144" s="13">
        <v>979.01748379879996</v>
      </c>
      <c r="I2144" s="14">
        <v>0</v>
      </c>
      <c r="J2144" s="15">
        <v>1</v>
      </c>
      <c r="K2144" s="14">
        <v>201.58406444370851</v>
      </c>
      <c r="L2144" s="13">
        <v>197354.32354561464</v>
      </c>
      <c r="M2144" s="14">
        <v>3.2750421360093016</v>
      </c>
      <c r="N2144" s="14">
        <v>188.38318532808898</v>
      </c>
      <c r="O2144" s="13">
        <v>184430.43208990869</v>
      </c>
      <c r="P2144" s="13">
        <v>12923.891455705947</v>
      </c>
      <c r="Q2144" s="14">
        <v>1.0700746146352118</v>
      </c>
      <c r="R2144" s="15">
        <v>7.0074614635211779E-2</v>
      </c>
    </row>
    <row r="2145" spans="1:18" ht="18" customHeight="1">
      <c r="A2145" s="10" t="s">
        <v>179</v>
      </c>
      <c r="B2145" s="10" t="s">
        <v>180</v>
      </c>
      <c r="C2145" s="10" t="s">
        <v>254</v>
      </c>
      <c r="D2145" s="10" t="s">
        <v>258</v>
      </c>
      <c r="E2145" s="16">
        <v>1</v>
      </c>
      <c r="F2145" s="16">
        <v>1</v>
      </c>
      <c r="G2145" s="13">
        <v>189.9309432293</v>
      </c>
      <c r="H2145" s="13">
        <v>189.9309432293</v>
      </c>
      <c r="I2145" s="14">
        <v>0</v>
      </c>
      <c r="J2145" s="15">
        <v>1</v>
      </c>
      <c r="K2145" s="14">
        <v>186.20871366628674</v>
      </c>
      <c r="L2145" s="13">
        <v>35366.796624152485</v>
      </c>
      <c r="M2145" s="14">
        <v>3.2699999999999996</v>
      </c>
      <c r="N2145" s="14">
        <v>186.20871366628657</v>
      </c>
      <c r="O2145" s="13">
        <v>35366.796624152455</v>
      </c>
      <c r="P2145" s="13">
        <v>2.9103830456733704E-11</v>
      </c>
      <c r="Q2145" s="14">
        <v>1.0000000000000009</v>
      </c>
      <c r="R2145" s="15">
        <v>8.2291395418205081E-16</v>
      </c>
    </row>
    <row r="2146" spans="1:18" ht="18" customHeight="1">
      <c r="A2146" s="10" t="s">
        <v>179</v>
      </c>
      <c r="B2146" s="10" t="s">
        <v>180</v>
      </c>
      <c r="C2146" s="10" t="s">
        <v>254</v>
      </c>
      <c r="D2146" s="10" t="s">
        <v>269</v>
      </c>
      <c r="E2146" s="16">
        <v>1</v>
      </c>
      <c r="F2146" s="16">
        <v>1</v>
      </c>
      <c r="G2146" s="13">
        <v>291.62512638319998</v>
      </c>
      <c r="H2146" s="13">
        <v>291.62512638319998</v>
      </c>
      <c r="I2146" s="14">
        <v>0</v>
      </c>
      <c r="J2146" s="15">
        <v>1</v>
      </c>
      <c r="K2146" s="14">
        <v>190.54607179632464</v>
      </c>
      <c r="L2146" s="13">
        <v>55568.02226942547</v>
      </c>
      <c r="M2146" s="14">
        <v>3.28</v>
      </c>
      <c r="N2146" s="14">
        <v>190.54607179632464</v>
      </c>
      <c r="O2146" s="13">
        <v>55568.02226942547</v>
      </c>
      <c r="P2146" s="13">
        <v>0</v>
      </c>
      <c r="Q2146" s="14">
        <v>1</v>
      </c>
      <c r="R2146" s="15">
        <v>0</v>
      </c>
    </row>
    <row r="2147" spans="1:18" ht="18" customHeight="1">
      <c r="A2147" s="10" t="s">
        <v>179</v>
      </c>
      <c r="B2147" s="10" t="s">
        <v>180</v>
      </c>
      <c r="C2147" s="10" t="s">
        <v>254</v>
      </c>
      <c r="D2147" s="10" t="s">
        <v>270</v>
      </c>
      <c r="E2147" s="16">
        <v>3</v>
      </c>
      <c r="F2147" s="16">
        <v>3</v>
      </c>
      <c r="G2147" s="13">
        <v>237.73313229530001</v>
      </c>
      <c r="H2147" s="13">
        <v>237.73313229530001</v>
      </c>
      <c r="I2147" s="14">
        <v>0</v>
      </c>
      <c r="J2147" s="15">
        <v>1</v>
      </c>
      <c r="K2147" s="14">
        <v>194.35282840898796</v>
      </c>
      <c r="L2147" s="13">
        <v>46204.106668119675</v>
      </c>
      <c r="M2147" s="14">
        <v>3.2743857961073335</v>
      </c>
      <c r="N2147" s="14">
        <v>188.09870089694422</v>
      </c>
      <c r="O2147" s="13">
        <v>44717.29334490731</v>
      </c>
      <c r="P2147" s="13">
        <v>1486.8133232123655</v>
      </c>
      <c r="Q2147" s="14">
        <v>1.0332491797243737</v>
      </c>
      <c r="R2147" s="15">
        <v>3.3249179724373752E-2</v>
      </c>
    </row>
    <row r="2148" spans="1:18" ht="18" customHeight="1">
      <c r="A2148" s="10" t="s">
        <v>75</v>
      </c>
      <c r="B2148" s="10" t="s">
        <v>76</v>
      </c>
      <c r="C2148" s="10" t="s">
        <v>254</v>
      </c>
      <c r="D2148" s="10" t="s">
        <v>255</v>
      </c>
      <c r="E2148" s="16">
        <v>2</v>
      </c>
      <c r="F2148" s="16">
        <v>2</v>
      </c>
      <c r="G2148" s="13">
        <v>3.4973299026000002</v>
      </c>
      <c r="H2148" s="13">
        <v>3.4973299026000002</v>
      </c>
      <c r="I2148" s="14">
        <v>0</v>
      </c>
      <c r="J2148" s="15">
        <v>1</v>
      </c>
      <c r="K2148" s="14">
        <v>780.92989257269983</v>
      </c>
      <c r="L2148" s="13">
        <v>2731.1694651287089</v>
      </c>
      <c r="M2148" s="14">
        <v>3.8843420991353179</v>
      </c>
      <c r="N2148" s="14">
        <v>766.19991441361697</v>
      </c>
      <c r="O2148" s="13">
        <v>2679.6538720483036</v>
      </c>
      <c r="P2148" s="13">
        <v>51.515593080405324</v>
      </c>
      <c r="Q2148" s="14">
        <v>1.0192247191392025</v>
      </c>
      <c r="R2148" s="15">
        <v>1.9224719139202581E-2</v>
      </c>
    </row>
    <row r="2149" spans="1:18" ht="18" customHeight="1">
      <c r="A2149" s="10" t="s">
        <v>75</v>
      </c>
      <c r="B2149" s="10" t="s">
        <v>76</v>
      </c>
      <c r="C2149" s="10" t="s">
        <v>254</v>
      </c>
      <c r="D2149" s="10" t="s">
        <v>256</v>
      </c>
      <c r="E2149" s="16">
        <v>2</v>
      </c>
      <c r="F2149" s="16">
        <v>2</v>
      </c>
      <c r="G2149" s="13">
        <v>591.12473970309998</v>
      </c>
      <c r="H2149" s="13">
        <v>591.12473970309998</v>
      </c>
      <c r="I2149" s="14">
        <v>0</v>
      </c>
      <c r="J2149" s="15">
        <v>1</v>
      </c>
      <c r="K2149" s="14">
        <v>2801.7290626936801</v>
      </c>
      <c r="L2149" s="13">
        <v>1656171.362903412</v>
      </c>
      <c r="M2149" s="14">
        <v>4.4445645805359835</v>
      </c>
      <c r="N2149" s="14">
        <v>2783.329230203839</v>
      </c>
      <c r="O2149" s="13">
        <v>1645294.7667122739</v>
      </c>
      <c r="P2149" s="13">
        <v>10876.596191138029</v>
      </c>
      <c r="Q2149" s="14">
        <v>1.0066107280052148</v>
      </c>
      <c r="R2149" s="15">
        <v>6.6107280052147077E-3</v>
      </c>
    </row>
    <row r="2150" spans="1:18" ht="18" customHeight="1">
      <c r="A2150" s="10" t="s">
        <v>75</v>
      </c>
      <c r="B2150" s="10" t="s">
        <v>76</v>
      </c>
      <c r="C2150" s="10" t="s">
        <v>254</v>
      </c>
      <c r="D2150" s="10" t="s">
        <v>257</v>
      </c>
      <c r="E2150" s="16">
        <v>2</v>
      </c>
      <c r="F2150" s="16">
        <v>2</v>
      </c>
      <c r="G2150" s="13">
        <v>9.6284300212999998</v>
      </c>
      <c r="H2150" s="13">
        <v>9.6284300212999998</v>
      </c>
      <c r="I2150" s="14">
        <v>0</v>
      </c>
      <c r="J2150" s="15">
        <v>1</v>
      </c>
      <c r="K2150" s="14">
        <v>379.19809290604985</v>
      </c>
      <c r="L2150" s="13">
        <v>3651.0823017563171</v>
      </c>
      <c r="M2150" s="14">
        <v>3.5510681374774751</v>
      </c>
      <c r="N2150" s="14">
        <v>355.68711877589834</v>
      </c>
      <c r="O2150" s="13">
        <v>3424.7085326115584</v>
      </c>
      <c r="P2150" s="13">
        <v>226.37376914475863</v>
      </c>
      <c r="Q2150" s="14">
        <v>1.0661001562583003</v>
      </c>
      <c r="R2150" s="15">
        <v>6.6100156258300388E-2</v>
      </c>
    </row>
    <row r="2151" spans="1:18" ht="18" customHeight="1">
      <c r="A2151" s="10" t="s">
        <v>75</v>
      </c>
      <c r="B2151" s="10" t="s">
        <v>76</v>
      </c>
      <c r="C2151" s="10" t="s">
        <v>254</v>
      </c>
      <c r="D2151" s="10" t="s">
        <v>258</v>
      </c>
      <c r="E2151" s="16">
        <v>4</v>
      </c>
      <c r="F2151" s="16">
        <v>4</v>
      </c>
      <c r="G2151" s="13">
        <v>231838.20441677049</v>
      </c>
      <c r="H2151" s="13">
        <v>231838.20441677049</v>
      </c>
      <c r="I2151" s="14">
        <v>0</v>
      </c>
      <c r="J2151" s="15">
        <v>1</v>
      </c>
      <c r="K2151" s="14">
        <v>1231.0138964754342</v>
      </c>
      <c r="L2151" s="13">
        <v>285396051.37095684</v>
      </c>
      <c r="M2151" s="14">
        <v>4.0901565262506097</v>
      </c>
      <c r="N2151" s="14">
        <v>1230.7122580602656</v>
      </c>
      <c r="O2151" s="13">
        <v>285326120.06240106</v>
      </c>
      <c r="P2151" s="13">
        <v>69931.308555781841</v>
      </c>
      <c r="Q2151" s="14">
        <v>1.0002450925577389</v>
      </c>
      <c r="R2151" s="15">
        <v>2.4509255773880011E-4</v>
      </c>
    </row>
    <row r="2152" spans="1:18" ht="18" customHeight="1">
      <c r="A2152" s="10" t="s">
        <v>75</v>
      </c>
      <c r="B2152" s="10" t="s">
        <v>76</v>
      </c>
      <c r="C2152" s="10" t="s">
        <v>254</v>
      </c>
      <c r="D2152" s="10" t="s">
        <v>259</v>
      </c>
      <c r="E2152" s="16">
        <v>9</v>
      </c>
      <c r="F2152" s="16">
        <v>9</v>
      </c>
      <c r="G2152" s="13">
        <v>88453.07862478531</v>
      </c>
      <c r="H2152" s="13">
        <v>88453.07862478531</v>
      </c>
      <c r="I2152" s="14">
        <v>0</v>
      </c>
      <c r="J2152" s="15">
        <v>1</v>
      </c>
      <c r="K2152" s="14">
        <v>1825.2716717588341</v>
      </c>
      <c r="L2152" s="13">
        <v>161450898.69367748</v>
      </c>
      <c r="M2152" s="14">
        <v>4.2039404026484473</v>
      </c>
      <c r="N2152" s="14">
        <v>1599.3385395686416</v>
      </c>
      <c r="O2152" s="13">
        <v>141466417.58811438</v>
      </c>
      <c r="P2152" s="13">
        <v>19984481.105563104</v>
      </c>
      <c r="Q2152" s="14">
        <v>1.1412666090389649</v>
      </c>
      <c r="R2152" s="15">
        <v>0.1412666090389649</v>
      </c>
    </row>
    <row r="2153" spans="1:18" ht="18" customHeight="1">
      <c r="A2153" s="10" t="s">
        <v>75</v>
      </c>
      <c r="B2153" s="10" t="s">
        <v>76</v>
      </c>
      <c r="C2153" s="10" t="s">
        <v>254</v>
      </c>
      <c r="D2153" s="10" t="s">
        <v>260</v>
      </c>
      <c r="E2153" s="16">
        <v>2</v>
      </c>
      <c r="F2153" s="16">
        <v>2</v>
      </c>
      <c r="G2153" s="13">
        <v>6043.3365690604996</v>
      </c>
      <c r="H2153" s="13">
        <v>6043.3365690604996</v>
      </c>
      <c r="I2153" s="14">
        <v>0</v>
      </c>
      <c r="J2153" s="15">
        <v>1</v>
      </c>
      <c r="K2153" s="14">
        <v>227.03705272752526</v>
      </c>
      <c r="L2153" s="13">
        <v>1372061.3232799703</v>
      </c>
      <c r="M2153" s="14">
        <v>3.3007681368429309</v>
      </c>
      <c r="N2153" s="14">
        <v>199.87944590426812</v>
      </c>
      <c r="O2153" s="13">
        <v>1207938.7648368136</v>
      </c>
      <c r="P2153" s="13">
        <v>164122.55844315677</v>
      </c>
      <c r="Q2153" s="14">
        <v>1.1358699325005344</v>
      </c>
      <c r="R2153" s="15">
        <v>0.13586993250053442</v>
      </c>
    </row>
    <row r="2154" spans="1:18" ht="18" customHeight="1">
      <c r="A2154" s="10" t="s">
        <v>75</v>
      </c>
      <c r="B2154" s="10" t="s">
        <v>76</v>
      </c>
      <c r="C2154" s="10" t="s">
        <v>254</v>
      </c>
      <c r="D2154" s="10" t="s">
        <v>262</v>
      </c>
      <c r="E2154" s="16">
        <v>6</v>
      </c>
      <c r="F2154" s="16">
        <v>6</v>
      </c>
      <c r="G2154" s="13">
        <v>1318.8402945119999</v>
      </c>
      <c r="H2154" s="13">
        <v>1318.8402945119999</v>
      </c>
      <c r="I2154" s="14">
        <v>0</v>
      </c>
      <c r="J2154" s="15">
        <v>1</v>
      </c>
      <c r="K2154" s="14">
        <v>1254.7871845295399</v>
      </c>
      <c r="L2154" s="13">
        <v>1654863.8999948215</v>
      </c>
      <c r="M2154" s="14">
        <v>4.0281412793621634</v>
      </c>
      <c r="N2154" s="14">
        <v>1066.9431496605557</v>
      </c>
      <c r="O2154" s="13">
        <v>1407127.617725888</v>
      </c>
      <c r="P2154" s="13">
        <v>247736.28226893349</v>
      </c>
      <c r="Q2154" s="14">
        <v>1.1760581479235761</v>
      </c>
      <c r="R2154" s="15">
        <v>0.17605814792357599</v>
      </c>
    </row>
    <row r="2155" spans="1:18" ht="18" customHeight="1">
      <c r="A2155" s="10" t="s">
        <v>75</v>
      </c>
      <c r="B2155" s="10" t="s">
        <v>76</v>
      </c>
      <c r="C2155" s="10" t="s">
        <v>254</v>
      </c>
      <c r="D2155" s="10" t="s">
        <v>263</v>
      </c>
      <c r="E2155" s="16">
        <v>1</v>
      </c>
      <c r="F2155" s="16">
        <v>1</v>
      </c>
      <c r="G2155" s="13">
        <v>1358.0404244061999</v>
      </c>
      <c r="H2155" s="13">
        <v>1358.0404244061999</v>
      </c>
      <c r="I2155" s="14">
        <v>0</v>
      </c>
      <c r="J2155" s="15">
        <v>1</v>
      </c>
      <c r="K2155" s="14">
        <v>616.59500186148216</v>
      </c>
      <c r="L2155" s="13">
        <v>837360.93801470881</v>
      </c>
      <c r="M2155" s="14">
        <v>3.79</v>
      </c>
      <c r="N2155" s="14">
        <v>616.59500186148216</v>
      </c>
      <c r="O2155" s="13">
        <v>837360.93801470881</v>
      </c>
      <c r="P2155" s="13">
        <v>0</v>
      </c>
      <c r="Q2155" s="14">
        <v>1</v>
      </c>
      <c r="R2155" s="15">
        <v>0</v>
      </c>
    </row>
    <row r="2156" spans="1:18" ht="18" customHeight="1">
      <c r="A2156" s="10" t="s">
        <v>75</v>
      </c>
      <c r="B2156" s="10" t="s">
        <v>76</v>
      </c>
      <c r="C2156" s="10" t="s">
        <v>254</v>
      </c>
      <c r="D2156" s="10" t="s">
        <v>264</v>
      </c>
      <c r="E2156" s="16">
        <v>6</v>
      </c>
      <c r="F2156" s="16">
        <v>6</v>
      </c>
      <c r="G2156" s="13">
        <v>28.146417429</v>
      </c>
      <c r="H2156" s="13">
        <v>28.146417429</v>
      </c>
      <c r="I2156" s="14">
        <v>0</v>
      </c>
      <c r="J2156" s="15">
        <v>1</v>
      </c>
      <c r="K2156" s="14">
        <v>1958.5377590434623</v>
      </c>
      <c r="L2156" s="13">
        <v>55125.821316495509</v>
      </c>
      <c r="M2156" s="14">
        <v>4.2698869076450308</v>
      </c>
      <c r="N2156" s="14">
        <v>1861.6023034182363</v>
      </c>
      <c r="O2156" s="13">
        <v>52397.435518797589</v>
      </c>
      <c r="P2156" s="13">
        <v>2728.3857976979198</v>
      </c>
      <c r="Q2156" s="14">
        <v>1.0520709796325645</v>
      </c>
      <c r="R2156" s="15">
        <v>5.2070979632564476E-2</v>
      </c>
    </row>
    <row r="2157" spans="1:18" ht="18" customHeight="1">
      <c r="A2157" s="10" t="s">
        <v>75</v>
      </c>
      <c r="B2157" s="10" t="s">
        <v>76</v>
      </c>
      <c r="C2157" s="10" t="s">
        <v>254</v>
      </c>
      <c r="D2157" s="10" t="s">
        <v>265</v>
      </c>
      <c r="E2157" s="16">
        <v>2</v>
      </c>
      <c r="F2157" s="16">
        <v>2</v>
      </c>
      <c r="G2157" s="13">
        <v>142.89021609299999</v>
      </c>
      <c r="H2157" s="13">
        <v>142.89021609299999</v>
      </c>
      <c r="I2157" s="14">
        <v>0</v>
      </c>
      <c r="J2157" s="15">
        <v>1</v>
      </c>
      <c r="K2157" s="14">
        <v>73.818157447068856</v>
      </c>
      <c r="L2157" s="13">
        <v>10547.892469198765</v>
      </c>
      <c r="M2157" s="14">
        <v>2.8675386582575668</v>
      </c>
      <c r="N2157" s="14">
        <v>73.712078643405235</v>
      </c>
      <c r="O2157" s="13">
        <v>10532.734846020383</v>
      </c>
      <c r="P2157" s="13">
        <v>15.157623178381982</v>
      </c>
      <c r="Q2157" s="14">
        <v>1.0014390966258977</v>
      </c>
      <c r="R2157" s="15">
        <v>1.4390966258975974E-3</v>
      </c>
    </row>
    <row r="2158" spans="1:18" ht="18" customHeight="1">
      <c r="A2158" s="10" t="s">
        <v>75</v>
      </c>
      <c r="B2158" s="10" t="s">
        <v>76</v>
      </c>
      <c r="C2158" s="10" t="s">
        <v>254</v>
      </c>
      <c r="D2158" s="10" t="s">
        <v>266</v>
      </c>
      <c r="E2158" s="16">
        <v>2</v>
      </c>
      <c r="F2158" s="16">
        <v>2</v>
      </c>
      <c r="G2158" s="13">
        <v>3287.6095585217995</v>
      </c>
      <c r="H2158" s="13">
        <v>3287.6095585217995</v>
      </c>
      <c r="I2158" s="14">
        <v>0</v>
      </c>
      <c r="J2158" s="15">
        <v>1</v>
      </c>
      <c r="K2158" s="14">
        <v>215.38131184126811</v>
      </c>
      <c r="L2158" s="13">
        <v>708089.65953631746</v>
      </c>
      <c r="M2158" s="14">
        <v>3.3227494042784191</v>
      </c>
      <c r="N2158" s="14">
        <v>210.25648719546632</v>
      </c>
      <c r="O2158" s="13">
        <v>691241.23704503139</v>
      </c>
      <c r="P2158" s="13">
        <v>16848.422491286066</v>
      </c>
      <c r="Q2158" s="14">
        <v>1.0243741570790987</v>
      </c>
      <c r="R2158" s="15">
        <v>2.4374157079098659E-2</v>
      </c>
    </row>
    <row r="2159" spans="1:18" ht="18" customHeight="1">
      <c r="A2159" s="10" t="s">
        <v>75</v>
      </c>
      <c r="B2159" s="10" t="s">
        <v>76</v>
      </c>
      <c r="C2159" s="10" t="s">
        <v>254</v>
      </c>
      <c r="D2159" s="10" t="s">
        <v>267</v>
      </c>
      <c r="E2159" s="16">
        <v>1</v>
      </c>
      <c r="F2159" s="16">
        <v>1</v>
      </c>
      <c r="G2159" s="13">
        <v>9848.1594076503006</v>
      </c>
      <c r="H2159" s="13">
        <v>9848.1594076503006</v>
      </c>
      <c r="I2159" s="14">
        <v>0</v>
      </c>
      <c r="J2159" s="15">
        <v>1</v>
      </c>
      <c r="K2159" s="14">
        <v>446.68359215096302</v>
      </c>
      <c r="L2159" s="13">
        <v>4399011.2202845365</v>
      </c>
      <c r="M2159" s="14">
        <v>3.65</v>
      </c>
      <c r="N2159" s="14">
        <v>446.68359215096302</v>
      </c>
      <c r="O2159" s="13">
        <v>4399011.2202845365</v>
      </c>
      <c r="P2159" s="13">
        <v>0</v>
      </c>
      <c r="Q2159" s="14">
        <v>1</v>
      </c>
      <c r="R2159" s="15">
        <v>0</v>
      </c>
    </row>
    <row r="2160" spans="1:18" ht="18" customHeight="1">
      <c r="A2160" s="10" t="s">
        <v>75</v>
      </c>
      <c r="B2160" s="10" t="s">
        <v>76</v>
      </c>
      <c r="C2160" s="10" t="s">
        <v>254</v>
      </c>
      <c r="D2160" s="10" t="s">
        <v>268</v>
      </c>
      <c r="E2160" s="16">
        <v>7</v>
      </c>
      <c r="F2160" s="16">
        <v>7</v>
      </c>
      <c r="G2160" s="13">
        <v>85572.431214188618</v>
      </c>
      <c r="H2160" s="13">
        <v>85572.431214188618</v>
      </c>
      <c r="I2160" s="14">
        <v>0</v>
      </c>
      <c r="J2160" s="15">
        <v>1</v>
      </c>
      <c r="K2160" s="14">
        <v>1165.7019213430276</v>
      </c>
      <c r="L2160" s="13">
        <v>99751947.48037374</v>
      </c>
      <c r="M2160" s="14">
        <v>4.0540158429874822</v>
      </c>
      <c r="N2160" s="14">
        <v>1132.4416737581776</v>
      </c>
      <c r="O2160" s="13">
        <v>96905787.231752276</v>
      </c>
      <c r="P2160" s="13">
        <v>2846160.2486214638</v>
      </c>
      <c r="Q2160" s="14">
        <v>1.029370384679037</v>
      </c>
      <c r="R2160" s="15">
        <v>2.9370384679036871E-2</v>
      </c>
    </row>
    <row r="2161" spans="1:18" ht="18" customHeight="1">
      <c r="A2161" s="10" t="s">
        <v>75</v>
      </c>
      <c r="B2161" s="10" t="s">
        <v>76</v>
      </c>
      <c r="C2161" s="10" t="s">
        <v>254</v>
      </c>
      <c r="D2161" s="10" t="s">
        <v>269</v>
      </c>
      <c r="E2161" s="16">
        <v>7</v>
      </c>
      <c r="F2161" s="16">
        <v>7</v>
      </c>
      <c r="G2161" s="13">
        <v>183646.88041889382</v>
      </c>
      <c r="H2161" s="13">
        <v>183646.88041889382</v>
      </c>
      <c r="I2161" s="14">
        <v>0</v>
      </c>
      <c r="J2161" s="15">
        <v>1</v>
      </c>
      <c r="K2161" s="14">
        <v>490.60932373114338</v>
      </c>
      <c r="L2161" s="13">
        <v>90098871.80764766</v>
      </c>
      <c r="M2161" s="14">
        <v>3.5354631336602327</v>
      </c>
      <c r="N2161" s="14">
        <v>343.13351068234925</v>
      </c>
      <c r="O2161" s="13">
        <v>63015398.803996623</v>
      </c>
      <c r="P2161" s="13">
        <v>27083473.003651038</v>
      </c>
      <c r="Q2161" s="14">
        <v>1.4297913449360464</v>
      </c>
      <c r="R2161" s="15">
        <v>0.42979134493604637</v>
      </c>
    </row>
    <row r="2162" spans="1:18" ht="18" customHeight="1">
      <c r="A2162" s="10" t="s">
        <v>75</v>
      </c>
      <c r="B2162" s="10" t="s">
        <v>76</v>
      </c>
      <c r="C2162" s="10" t="s">
        <v>254</v>
      </c>
      <c r="D2162" s="10" t="s">
        <v>270</v>
      </c>
      <c r="E2162" s="16">
        <v>2</v>
      </c>
      <c r="F2162" s="16">
        <v>2</v>
      </c>
      <c r="G2162" s="13">
        <v>65672.616105530004</v>
      </c>
      <c r="H2162" s="13">
        <v>65672.616105530004</v>
      </c>
      <c r="I2162" s="14">
        <v>0</v>
      </c>
      <c r="J2162" s="15">
        <v>1</v>
      </c>
      <c r="K2162" s="14">
        <v>426.64825446861198</v>
      </c>
      <c r="L2162" s="13">
        <v>28019107.027811632</v>
      </c>
      <c r="M2162" s="14">
        <v>3.6300415118836091</v>
      </c>
      <c r="N2162" s="14">
        <v>426.62029520196512</v>
      </c>
      <c r="O2162" s="13">
        <v>28017270.869626541</v>
      </c>
      <c r="P2162" s="13">
        <v>1836.1581850908697</v>
      </c>
      <c r="Q2162" s="14">
        <v>1.0000655366539317</v>
      </c>
      <c r="R2162" s="15">
        <v>6.5536653931609184E-5</v>
      </c>
    </row>
    <row r="2163" spans="1:18" ht="18" customHeight="1">
      <c r="A2163" s="10" t="s">
        <v>75</v>
      </c>
      <c r="B2163" s="10" t="s">
        <v>76</v>
      </c>
      <c r="C2163" s="10" t="s">
        <v>254</v>
      </c>
      <c r="D2163" s="10" t="s">
        <v>271</v>
      </c>
      <c r="E2163" s="16">
        <v>4</v>
      </c>
      <c r="F2163" s="16">
        <v>4</v>
      </c>
      <c r="G2163" s="13">
        <v>608.23457245700001</v>
      </c>
      <c r="H2163" s="13">
        <v>608.23457245700001</v>
      </c>
      <c r="I2163" s="14">
        <v>0</v>
      </c>
      <c r="J2163" s="15">
        <v>1</v>
      </c>
      <c r="K2163" s="14">
        <v>302.77846961920397</v>
      </c>
      <c r="L2163" s="13">
        <v>184160.33301802131</v>
      </c>
      <c r="M2163" s="14">
        <v>3.13583840576857</v>
      </c>
      <c r="N2163" s="14">
        <v>136.72200096099888</v>
      </c>
      <c r="O2163" s="13">
        <v>83159.047799978696</v>
      </c>
      <c r="P2163" s="13">
        <v>101001.28521804261</v>
      </c>
      <c r="Q2163" s="14">
        <v>2.2145555762131814</v>
      </c>
      <c r="R2163" s="15">
        <v>1.2145555762131812</v>
      </c>
    </row>
    <row r="2164" spans="1:18" ht="18" customHeight="1">
      <c r="A2164" s="10" t="s">
        <v>75</v>
      </c>
      <c r="B2164" s="10" t="s">
        <v>76</v>
      </c>
      <c r="C2164" s="10" t="s">
        <v>254</v>
      </c>
      <c r="D2164" s="10" t="s">
        <v>272</v>
      </c>
      <c r="E2164" s="16">
        <v>2</v>
      </c>
      <c r="F2164" s="16">
        <v>2</v>
      </c>
      <c r="G2164" s="13">
        <v>2954.9606595894998</v>
      </c>
      <c r="H2164" s="13">
        <v>2954.9606595894998</v>
      </c>
      <c r="I2164" s="14">
        <v>0</v>
      </c>
      <c r="J2164" s="15">
        <v>1</v>
      </c>
      <c r="K2164" s="14">
        <v>117.38627570934753</v>
      </c>
      <c r="L2164" s="13">
        <v>346871.82669684844</v>
      </c>
      <c r="M2164" s="14">
        <v>3.0694316916470954</v>
      </c>
      <c r="N2164" s="14">
        <v>117.33611149408107</v>
      </c>
      <c r="O2164" s="13">
        <v>346723.59341421688</v>
      </c>
      <c r="P2164" s="13">
        <v>148.23328263155418</v>
      </c>
      <c r="Q2164" s="14">
        <v>1.0004275258028215</v>
      </c>
      <c r="R2164" s="15">
        <v>4.2752580282145889E-4</v>
      </c>
    </row>
    <row r="2165" spans="1:18" ht="18" customHeight="1">
      <c r="A2165" s="10" t="s">
        <v>75</v>
      </c>
      <c r="B2165" s="10" t="s">
        <v>76</v>
      </c>
      <c r="C2165" s="10" t="s">
        <v>254</v>
      </c>
      <c r="D2165" s="10" t="s">
        <v>281</v>
      </c>
      <c r="E2165" s="16">
        <v>1</v>
      </c>
      <c r="F2165" s="16">
        <v>1</v>
      </c>
      <c r="G2165" s="13">
        <v>7.7488433199999998E-2</v>
      </c>
      <c r="H2165" s="13">
        <v>7.7488433199999998E-2</v>
      </c>
      <c r="I2165" s="14">
        <v>0</v>
      </c>
      <c r="J2165" s="15">
        <v>1</v>
      </c>
      <c r="K2165" s="14">
        <v>102.32929922807536</v>
      </c>
      <c r="L2165" s="13">
        <v>7.9293370676375288</v>
      </c>
      <c r="M2165" s="14">
        <v>3.01</v>
      </c>
      <c r="N2165" s="14">
        <v>102.32929922807536</v>
      </c>
      <c r="O2165" s="13">
        <v>7.9293370676375288</v>
      </c>
      <c r="P2165" s="13">
        <v>0</v>
      </c>
      <c r="Q2165" s="14">
        <v>1</v>
      </c>
      <c r="R2165" s="15">
        <v>0</v>
      </c>
    </row>
    <row r="2166" spans="1:18" ht="18" customHeight="1">
      <c r="A2166" s="10" t="s">
        <v>75</v>
      </c>
      <c r="B2166" s="10" t="s">
        <v>76</v>
      </c>
      <c r="C2166" s="10" t="s">
        <v>254</v>
      </c>
      <c r="D2166" s="10" t="s">
        <v>273</v>
      </c>
      <c r="E2166" s="16">
        <v>1</v>
      </c>
      <c r="F2166" s="16">
        <v>1</v>
      </c>
      <c r="G2166" s="13">
        <v>957.40953745149989</v>
      </c>
      <c r="H2166" s="13">
        <v>957.40953745149989</v>
      </c>
      <c r="I2166" s="14">
        <v>0</v>
      </c>
      <c r="J2166" s="15">
        <v>1</v>
      </c>
      <c r="K2166" s="14">
        <v>141.25375446227537</v>
      </c>
      <c r="L2166" s="13">
        <v>135237.69172301481</v>
      </c>
      <c r="M2166" s="14">
        <v>3.15</v>
      </c>
      <c r="N2166" s="14">
        <v>141.2537544622754</v>
      </c>
      <c r="O2166" s="13">
        <v>135237.69172301481</v>
      </c>
      <c r="P2166" s="13">
        <v>0</v>
      </c>
      <c r="Q2166" s="14">
        <v>1</v>
      </c>
      <c r="R2166" s="15">
        <v>0</v>
      </c>
    </row>
    <row r="2167" spans="1:18" ht="18" customHeight="1">
      <c r="A2167" s="10" t="s">
        <v>75</v>
      </c>
      <c r="B2167" s="10" t="s">
        <v>76</v>
      </c>
      <c r="C2167" s="10" t="s">
        <v>254</v>
      </c>
      <c r="D2167" s="10" t="s">
        <v>274</v>
      </c>
      <c r="E2167" s="16">
        <v>8</v>
      </c>
      <c r="F2167" s="16">
        <v>8</v>
      </c>
      <c r="G2167" s="13">
        <v>15635.1413376487</v>
      </c>
      <c r="H2167" s="13">
        <v>15635.1413376487</v>
      </c>
      <c r="I2167" s="14">
        <v>0</v>
      </c>
      <c r="J2167" s="15">
        <v>1</v>
      </c>
      <c r="K2167" s="14">
        <v>1985.8807501641013</v>
      </c>
      <c r="L2167" s="13">
        <v>31049526.208531551</v>
      </c>
      <c r="M2167" s="14">
        <v>4.1668116611387571</v>
      </c>
      <c r="N2167" s="14">
        <v>1468.2893919950434</v>
      </c>
      <c r="O2167" s="13">
        <v>22956912.168412779</v>
      </c>
      <c r="P2167" s="13">
        <v>8092614.0401187725</v>
      </c>
      <c r="Q2167" s="14">
        <v>1.3525131768920424</v>
      </c>
      <c r="R2167" s="15">
        <v>0.35251317689204231</v>
      </c>
    </row>
    <row r="2168" spans="1:18" ht="18" customHeight="1">
      <c r="A2168" s="10" t="s">
        <v>75</v>
      </c>
      <c r="B2168" s="10" t="s">
        <v>76</v>
      </c>
      <c r="C2168" s="10" t="s">
        <v>254</v>
      </c>
      <c r="D2168" s="10" t="s">
        <v>282</v>
      </c>
      <c r="E2168" s="16">
        <v>2</v>
      </c>
      <c r="F2168" s="16">
        <v>2</v>
      </c>
      <c r="G2168" s="13">
        <v>4.5868321310000004</v>
      </c>
      <c r="H2168" s="13">
        <v>4.5868321310000004</v>
      </c>
      <c r="I2168" s="14">
        <v>0</v>
      </c>
      <c r="J2168" s="15">
        <v>1</v>
      </c>
      <c r="K2168" s="14">
        <v>633.41150532520999</v>
      </c>
      <c r="L2168" s="13">
        <v>2905.352244770751</v>
      </c>
      <c r="M2168" s="14">
        <v>3.8008871840389564</v>
      </c>
      <c r="N2168" s="14">
        <v>632.24759212857225</v>
      </c>
      <c r="O2168" s="13">
        <v>2900.0135703227184</v>
      </c>
      <c r="P2168" s="13">
        <v>5.3386744480326342</v>
      </c>
      <c r="Q2168" s="14">
        <v>1.0018409136090485</v>
      </c>
      <c r="R2168" s="15">
        <v>1.8409136090485733E-3</v>
      </c>
    </row>
    <row r="2169" spans="1:18" ht="18" customHeight="1">
      <c r="A2169" s="10" t="s">
        <v>75</v>
      </c>
      <c r="B2169" s="10" t="s">
        <v>76</v>
      </c>
      <c r="C2169" s="10" t="s">
        <v>254</v>
      </c>
      <c r="D2169" s="10" t="s">
        <v>275</v>
      </c>
      <c r="E2169" s="16">
        <v>1</v>
      </c>
      <c r="F2169" s="16">
        <v>1</v>
      </c>
      <c r="G2169" s="13">
        <v>1.7090432499999999E-2</v>
      </c>
      <c r="H2169" s="13">
        <v>1.7090432499999999E-2</v>
      </c>
      <c r="I2169" s="14">
        <v>0</v>
      </c>
      <c r="J2169" s="15">
        <v>1</v>
      </c>
      <c r="K2169" s="14">
        <v>691.83097091893626</v>
      </c>
      <c r="L2169" s="13">
        <v>11.823690509899542</v>
      </c>
      <c r="M2169" s="14">
        <v>3.84</v>
      </c>
      <c r="N2169" s="14">
        <v>691.83097091893626</v>
      </c>
      <c r="O2169" s="13">
        <v>11.823690509899542</v>
      </c>
      <c r="P2169" s="13">
        <v>0</v>
      </c>
      <c r="Q2169" s="14">
        <v>1</v>
      </c>
      <c r="R2169" s="15">
        <v>0</v>
      </c>
    </row>
    <row r="2170" spans="1:18" ht="18" customHeight="1">
      <c r="A2170" s="10" t="s">
        <v>93</v>
      </c>
      <c r="B2170" s="10" t="s">
        <v>94</v>
      </c>
      <c r="C2170" s="10" t="s">
        <v>254</v>
      </c>
      <c r="D2170" s="10" t="s">
        <v>255</v>
      </c>
      <c r="E2170" s="16">
        <v>3</v>
      </c>
      <c r="F2170" s="16">
        <v>3</v>
      </c>
      <c r="G2170" s="13">
        <v>0.73794922849999989</v>
      </c>
      <c r="H2170" s="13">
        <v>0.73794922849999989</v>
      </c>
      <c r="I2170" s="14">
        <v>0</v>
      </c>
      <c r="J2170" s="15">
        <v>1</v>
      </c>
      <c r="K2170" s="14">
        <v>664.05990879913486</v>
      </c>
      <c r="L2170" s="13">
        <v>490.04249737610184</v>
      </c>
      <c r="M2170" s="14">
        <v>3.8183996438624912</v>
      </c>
      <c r="N2170" s="14">
        <v>658.2633018404706</v>
      </c>
      <c r="O2170" s="13">
        <v>485.76489574303781</v>
      </c>
      <c r="P2170" s="13">
        <v>4.2776016330640232</v>
      </c>
      <c r="Q2170" s="14">
        <v>1.0088059093412276</v>
      </c>
      <c r="R2170" s="15">
        <v>8.8059093412275087E-3</v>
      </c>
    </row>
    <row r="2171" spans="1:18" ht="18" customHeight="1">
      <c r="A2171" s="10" t="s">
        <v>93</v>
      </c>
      <c r="B2171" s="10" t="s">
        <v>94</v>
      </c>
      <c r="C2171" s="10" t="s">
        <v>254</v>
      </c>
      <c r="D2171" s="10" t="s">
        <v>256</v>
      </c>
      <c r="E2171" s="16">
        <v>2</v>
      </c>
      <c r="F2171" s="16">
        <v>2</v>
      </c>
      <c r="G2171" s="13">
        <v>2543.7530976598</v>
      </c>
      <c r="H2171" s="13">
        <v>2543.7530976598</v>
      </c>
      <c r="I2171" s="14">
        <v>0</v>
      </c>
      <c r="J2171" s="15">
        <v>1</v>
      </c>
      <c r="K2171" s="14">
        <v>2806.5623608178616</v>
      </c>
      <c r="L2171" s="13">
        <v>7139201.6991058365</v>
      </c>
      <c r="M2171" s="14">
        <v>4.4479607815116449</v>
      </c>
      <c r="N2171" s="14">
        <v>2805.1803077728659</v>
      </c>
      <c r="O2171" s="13">
        <v>7135686.0973914992</v>
      </c>
      <c r="P2171" s="13">
        <v>3515.6017143372446</v>
      </c>
      <c r="Q2171" s="14">
        <v>1.0004926788631612</v>
      </c>
      <c r="R2171" s="15">
        <v>4.9267886316109086E-4</v>
      </c>
    </row>
    <row r="2172" spans="1:18" ht="18" customHeight="1">
      <c r="A2172" s="10" t="s">
        <v>93</v>
      </c>
      <c r="B2172" s="10" t="s">
        <v>94</v>
      </c>
      <c r="C2172" s="10" t="s">
        <v>254</v>
      </c>
      <c r="D2172" s="10" t="s">
        <v>257</v>
      </c>
      <c r="E2172" s="16">
        <v>2</v>
      </c>
      <c r="F2172" s="16">
        <v>2</v>
      </c>
      <c r="G2172" s="13">
        <v>42.214865961800001</v>
      </c>
      <c r="H2172" s="13">
        <v>42.214865961800001</v>
      </c>
      <c r="I2172" s="14">
        <v>0</v>
      </c>
      <c r="J2172" s="15">
        <v>1</v>
      </c>
      <c r="K2172" s="14">
        <v>355.98032565750685</v>
      </c>
      <c r="L2172" s="13">
        <v>15027.661732669565</v>
      </c>
      <c r="M2172" s="14">
        <v>3.5447877235529992</v>
      </c>
      <c r="N2172" s="14">
        <v>350.58047373661577</v>
      </c>
      <c r="O2172" s="13">
        <v>14799.70770761558</v>
      </c>
      <c r="P2172" s="13">
        <v>227.95402505398488</v>
      </c>
      <c r="Q2172" s="14">
        <v>1.0154026031836214</v>
      </c>
      <c r="R2172" s="15">
        <v>1.5402603183621331E-2</v>
      </c>
    </row>
    <row r="2173" spans="1:18" ht="18" customHeight="1">
      <c r="A2173" s="10" t="s">
        <v>93</v>
      </c>
      <c r="B2173" s="10" t="s">
        <v>94</v>
      </c>
      <c r="C2173" s="10" t="s">
        <v>254</v>
      </c>
      <c r="D2173" s="10" t="s">
        <v>258</v>
      </c>
      <c r="E2173" s="16">
        <v>6</v>
      </c>
      <c r="F2173" s="16">
        <v>6</v>
      </c>
      <c r="G2173" s="13">
        <v>21642.826085908706</v>
      </c>
      <c r="H2173" s="13">
        <v>21642.826085908706</v>
      </c>
      <c r="I2173" s="14">
        <v>0</v>
      </c>
      <c r="J2173" s="15">
        <v>1</v>
      </c>
      <c r="K2173" s="14">
        <v>1273.3345036292485</v>
      </c>
      <c r="L2173" s="13">
        <v>27558557.211234715</v>
      </c>
      <c r="M2173" s="14">
        <v>4.0994279373383327</v>
      </c>
      <c r="N2173" s="14">
        <v>1257.2682180270342</v>
      </c>
      <c r="O2173" s="13">
        <v>27210837.38609945</v>
      </c>
      <c r="P2173" s="13">
        <v>347719.82513526455</v>
      </c>
      <c r="Q2173" s="14">
        <v>1.0127787256305789</v>
      </c>
      <c r="R2173" s="15">
        <v>1.2778725630578934E-2</v>
      </c>
    </row>
    <row r="2174" spans="1:18" ht="18" customHeight="1">
      <c r="A2174" s="10" t="s">
        <v>93</v>
      </c>
      <c r="B2174" s="10" t="s">
        <v>94</v>
      </c>
      <c r="C2174" s="10" t="s">
        <v>254</v>
      </c>
      <c r="D2174" s="10" t="s">
        <v>259</v>
      </c>
      <c r="E2174" s="16">
        <v>10</v>
      </c>
      <c r="F2174" s="16">
        <v>10</v>
      </c>
      <c r="G2174" s="13">
        <v>9197.5576795693014</v>
      </c>
      <c r="H2174" s="13">
        <v>9197.5576795693014</v>
      </c>
      <c r="I2174" s="14">
        <v>0</v>
      </c>
      <c r="J2174" s="15">
        <v>1</v>
      </c>
      <c r="K2174" s="14">
        <v>2212.2373989623993</v>
      </c>
      <c r="L2174" s="13">
        <v>20347181.077857032</v>
      </c>
      <c r="M2174" s="14">
        <v>4.3001961960102664</v>
      </c>
      <c r="N2174" s="14">
        <v>1996.1638943313287</v>
      </c>
      <c r="O2174" s="13">
        <v>18359832.555986077</v>
      </c>
      <c r="P2174" s="13">
        <v>1987348.5218709558</v>
      </c>
      <c r="Q2174" s="14">
        <v>1.1082443707376295</v>
      </c>
      <c r="R2174" s="15">
        <v>0.10824437073762945</v>
      </c>
    </row>
    <row r="2175" spans="1:18" ht="18" customHeight="1">
      <c r="A2175" s="10" t="s">
        <v>93</v>
      </c>
      <c r="B2175" s="10" t="s">
        <v>94</v>
      </c>
      <c r="C2175" s="10" t="s">
        <v>254</v>
      </c>
      <c r="D2175" s="10" t="s">
        <v>260</v>
      </c>
      <c r="E2175" s="16">
        <v>3</v>
      </c>
      <c r="F2175" s="16">
        <v>3</v>
      </c>
      <c r="G2175" s="13">
        <v>317.79970326020003</v>
      </c>
      <c r="H2175" s="13">
        <v>317.79970326020003</v>
      </c>
      <c r="I2175" s="14">
        <v>0</v>
      </c>
      <c r="J2175" s="15">
        <v>1</v>
      </c>
      <c r="K2175" s="14">
        <v>238.45940936609668</v>
      </c>
      <c r="L2175" s="13">
        <v>75782.329536148085</v>
      </c>
      <c r="M2175" s="14">
        <v>3.310402224125172</v>
      </c>
      <c r="N2175" s="14">
        <v>204.36297869710998</v>
      </c>
      <c r="O2175" s="13">
        <v>64946.493987312133</v>
      </c>
      <c r="P2175" s="13">
        <v>10835.835548835952</v>
      </c>
      <c r="Q2175" s="14">
        <v>1.1668425019363298</v>
      </c>
      <c r="R2175" s="15">
        <v>0.16684250193632974</v>
      </c>
    </row>
    <row r="2176" spans="1:18" ht="18" customHeight="1">
      <c r="A2176" s="10" t="s">
        <v>93</v>
      </c>
      <c r="B2176" s="10" t="s">
        <v>94</v>
      </c>
      <c r="C2176" s="10" t="s">
        <v>254</v>
      </c>
      <c r="D2176" s="10" t="s">
        <v>262</v>
      </c>
      <c r="E2176" s="16">
        <v>8</v>
      </c>
      <c r="F2176" s="16">
        <v>8</v>
      </c>
      <c r="G2176" s="13">
        <v>53.157836763700004</v>
      </c>
      <c r="H2176" s="13">
        <v>53.157836763700004</v>
      </c>
      <c r="I2176" s="14">
        <v>0</v>
      </c>
      <c r="J2176" s="15">
        <v>1</v>
      </c>
      <c r="K2176" s="14">
        <v>499.96633562039682</v>
      </c>
      <c r="L2176" s="13">
        <v>26577.128856254305</v>
      </c>
      <c r="M2176" s="14">
        <v>3.6549855618600899</v>
      </c>
      <c r="N2176" s="14">
        <v>451.84092265308971</v>
      </c>
      <c r="O2176" s="13">
        <v>24018.886009552542</v>
      </c>
      <c r="P2176" s="13">
        <v>2558.2428467017635</v>
      </c>
      <c r="Q2176" s="14">
        <v>1.1065096376944512</v>
      </c>
      <c r="R2176" s="15">
        <v>0.10650963769445118</v>
      </c>
    </row>
    <row r="2177" spans="1:18" ht="18" customHeight="1">
      <c r="A2177" s="10" t="s">
        <v>93</v>
      </c>
      <c r="B2177" s="10" t="s">
        <v>94</v>
      </c>
      <c r="C2177" s="10" t="s">
        <v>254</v>
      </c>
      <c r="D2177" s="10" t="s">
        <v>263</v>
      </c>
      <c r="E2177" s="16">
        <v>1</v>
      </c>
      <c r="F2177" s="16">
        <v>1</v>
      </c>
      <c r="G2177" s="13">
        <v>1525.4638402142</v>
      </c>
      <c r="H2177" s="13">
        <v>1525.4638402142</v>
      </c>
      <c r="I2177" s="14">
        <v>0</v>
      </c>
      <c r="J2177" s="15">
        <v>1</v>
      </c>
      <c r="K2177" s="14">
        <v>616.59500186148216</v>
      </c>
      <c r="L2177" s="13">
        <v>940593.37939649832</v>
      </c>
      <c r="M2177" s="14">
        <v>3.79</v>
      </c>
      <c r="N2177" s="14">
        <v>616.59500186148216</v>
      </c>
      <c r="O2177" s="13">
        <v>940593.37939649832</v>
      </c>
      <c r="P2177" s="13">
        <v>0</v>
      </c>
      <c r="Q2177" s="14">
        <v>1</v>
      </c>
      <c r="R2177" s="15">
        <v>0</v>
      </c>
    </row>
    <row r="2178" spans="1:18" ht="18" customHeight="1">
      <c r="A2178" s="10" t="s">
        <v>93</v>
      </c>
      <c r="B2178" s="10" t="s">
        <v>94</v>
      </c>
      <c r="C2178" s="10" t="s">
        <v>254</v>
      </c>
      <c r="D2178" s="10" t="s">
        <v>264</v>
      </c>
      <c r="E2178" s="16">
        <v>6</v>
      </c>
      <c r="F2178" s="16">
        <v>6</v>
      </c>
      <c r="G2178" s="13">
        <v>88.193178304100002</v>
      </c>
      <c r="H2178" s="13">
        <v>88.193178304100002</v>
      </c>
      <c r="I2178" s="14">
        <v>0</v>
      </c>
      <c r="J2178" s="15">
        <v>1</v>
      </c>
      <c r="K2178" s="14">
        <v>2036.49362024277</v>
      </c>
      <c r="L2178" s="13">
        <v>179604.84496523274</v>
      </c>
      <c r="M2178" s="14">
        <v>4.2924221936556419</v>
      </c>
      <c r="N2178" s="14">
        <v>1960.7498644366131</v>
      </c>
      <c r="O2178" s="13">
        <v>172924.76240399812</v>
      </c>
      <c r="P2178" s="13">
        <v>6680.0825612346234</v>
      </c>
      <c r="Q2178" s="14">
        <v>1.0386299941568125</v>
      </c>
      <c r="R2178" s="15">
        <v>3.8629994156812418E-2</v>
      </c>
    </row>
    <row r="2179" spans="1:18" ht="18" customHeight="1">
      <c r="A2179" s="10" t="s">
        <v>93</v>
      </c>
      <c r="B2179" s="10" t="s">
        <v>94</v>
      </c>
      <c r="C2179" s="10" t="s">
        <v>254</v>
      </c>
      <c r="D2179" s="10" t="s">
        <v>265</v>
      </c>
      <c r="E2179" s="16">
        <v>6</v>
      </c>
      <c r="F2179" s="16">
        <v>6</v>
      </c>
      <c r="G2179" s="13">
        <v>44.737190063699998</v>
      </c>
      <c r="H2179" s="13">
        <v>44.737190063699998</v>
      </c>
      <c r="I2179" s="14">
        <v>0</v>
      </c>
      <c r="J2179" s="15">
        <v>1</v>
      </c>
      <c r="K2179" s="14">
        <v>59.335824948574079</v>
      </c>
      <c r="L2179" s="13">
        <v>2654.5180783107908</v>
      </c>
      <c r="M2179" s="14">
        <v>2.7509521542712752</v>
      </c>
      <c r="N2179" s="14">
        <v>56.357556392734629</v>
      </c>
      <c r="O2179" s="13">
        <v>2521.2787118674601</v>
      </c>
      <c r="P2179" s="13">
        <v>133.23936644333071</v>
      </c>
      <c r="Q2179" s="14">
        <v>1.0528459490877322</v>
      </c>
      <c r="R2179" s="15">
        <v>5.2845949087732158E-2</v>
      </c>
    </row>
    <row r="2180" spans="1:18" ht="18" customHeight="1">
      <c r="A2180" s="10" t="s">
        <v>93</v>
      </c>
      <c r="B2180" s="10" t="s">
        <v>94</v>
      </c>
      <c r="C2180" s="10" t="s">
        <v>254</v>
      </c>
      <c r="D2180" s="10" t="s">
        <v>266</v>
      </c>
      <c r="E2180" s="16">
        <v>4</v>
      </c>
      <c r="F2180" s="16">
        <v>4</v>
      </c>
      <c r="G2180" s="13">
        <v>18426.909917236397</v>
      </c>
      <c r="H2180" s="13">
        <v>18426.909917236397</v>
      </c>
      <c r="I2180" s="14">
        <v>0</v>
      </c>
      <c r="J2180" s="15">
        <v>1</v>
      </c>
      <c r="K2180" s="14">
        <v>226.67518961360329</v>
      </c>
      <c r="L2180" s="13">
        <v>4176923.2994823474</v>
      </c>
      <c r="M2180" s="14">
        <v>3.3512256662702553</v>
      </c>
      <c r="N2180" s="14">
        <v>224.50481832381664</v>
      </c>
      <c r="O2180" s="13">
        <v>4136930.0632384922</v>
      </c>
      <c r="P2180" s="13">
        <v>39993.236243855208</v>
      </c>
      <c r="Q2180" s="14">
        <v>1.0096673706426034</v>
      </c>
      <c r="R2180" s="15">
        <v>9.6673706426033956E-3</v>
      </c>
    </row>
    <row r="2181" spans="1:18" ht="18" customHeight="1">
      <c r="A2181" s="10" t="s">
        <v>93</v>
      </c>
      <c r="B2181" s="10" t="s">
        <v>94</v>
      </c>
      <c r="C2181" s="10" t="s">
        <v>254</v>
      </c>
      <c r="D2181" s="10" t="s">
        <v>267</v>
      </c>
      <c r="E2181" s="16">
        <v>2</v>
      </c>
      <c r="F2181" s="16">
        <v>2</v>
      </c>
      <c r="G2181" s="13">
        <v>4.5135139951000003</v>
      </c>
      <c r="H2181" s="13">
        <v>4.5135139951000003</v>
      </c>
      <c r="I2181" s="14">
        <v>0</v>
      </c>
      <c r="J2181" s="15">
        <v>1</v>
      </c>
      <c r="K2181" s="14">
        <v>523.19203412487411</v>
      </c>
      <c r="L2181" s="13">
        <v>2361.434568147456</v>
      </c>
      <c r="M2181" s="14">
        <v>3.716150736283113</v>
      </c>
      <c r="N2181" s="14">
        <v>520.17650969030694</v>
      </c>
      <c r="O2181" s="13">
        <v>2347.8239564094715</v>
      </c>
      <c r="P2181" s="13">
        <v>13.610611737984527</v>
      </c>
      <c r="Q2181" s="14">
        <v>1.005797117667544</v>
      </c>
      <c r="R2181" s="15">
        <v>5.797117667544054E-3</v>
      </c>
    </row>
    <row r="2182" spans="1:18" ht="18" customHeight="1">
      <c r="A2182" s="10" t="s">
        <v>93</v>
      </c>
      <c r="B2182" s="10" t="s">
        <v>94</v>
      </c>
      <c r="C2182" s="10" t="s">
        <v>254</v>
      </c>
      <c r="D2182" s="10" t="s">
        <v>268</v>
      </c>
      <c r="E2182" s="16">
        <v>10</v>
      </c>
      <c r="F2182" s="16">
        <v>10</v>
      </c>
      <c r="G2182" s="13">
        <v>277839.45508209872</v>
      </c>
      <c r="H2182" s="13">
        <v>277839.45508209872</v>
      </c>
      <c r="I2182" s="14">
        <v>0</v>
      </c>
      <c r="J2182" s="15">
        <v>1</v>
      </c>
      <c r="K2182" s="14">
        <v>1349.7053300654345</v>
      </c>
      <c r="L2182" s="13">
        <v>375001393.42678452</v>
      </c>
      <c r="M2182" s="14">
        <v>4.1300146008684893</v>
      </c>
      <c r="N2182" s="14">
        <v>1349.008235138273</v>
      </c>
      <c r="O2182" s="13">
        <v>374807712.95208144</v>
      </c>
      <c r="P2182" s="13">
        <v>193680.4747030735</v>
      </c>
      <c r="Q2182" s="14">
        <v>1.0005167462354967</v>
      </c>
      <c r="R2182" s="15">
        <v>5.1674623549658708E-4</v>
      </c>
    </row>
    <row r="2183" spans="1:18" ht="18" customHeight="1">
      <c r="A2183" s="10" t="s">
        <v>93</v>
      </c>
      <c r="B2183" s="10" t="s">
        <v>94</v>
      </c>
      <c r="C2183" s="10" t="s">
        <v>254</v>
      </c>
      <c r="D2183" s="10" t="s">
        <v>269</v>
      </c>
      <c r="E2183" s="16">
        <v>12</v>
      </c>
      <c r="F2183" s="16">
        <v>12</v>
      </c>
      <c r="G2183" s="13">
        <v>30462.982592970802</v>
      </c>
      <c r="H2183" s="13">
        <v>30462.982592970802</v>
      </c>
      <c r="I2183" s="14">
        <v>0</v>
      </c>
      <c r="J2183" s="15">
        <v>1</v>
      </c>
      <c r="K2183" s="14">
        <v>470.02495639895443</v>
      </c>
      <c r="L2183" s="13">
        <v>14318362.065043209</v>
      </c>
      <c r="M2183" s="14">
        <v>3.5184863669198196</v>
      </c>
      <c r="N2183" s="14">
        <v>329.97904926794689</v>
      </c>
      <c r="O2183" s="13">
        <v>10052146.03389452</v>
      </c>
      <c r="P2183" s="13">
        <v>4266216.0311486889</v>
      </c>
      <c r="Q2183" s="14">
        <v>1.4244084812102378</v>
      </c>
      <c r="R2183" s="15">
        <v>0.42440848121023778</v>
      </c>
    </row>
    <row r="2184" spans="1:18" ht="18" customHeight="1">
      <c r="A2184" s="10" t="s">
        <v>93</v>
      </c>
      <c r="B2184" s="10" t="s">
        <v>94</v>
      </c>
      <c r="C2184" s="10" t="s">
        <v>254</v>
      </c>
      <c r="D2184" s="10" t="s">
        <v>270</v>
      </c>
      <c r="E2184" s="16">
        <v>4</v>
      </c>
      <c r="F2184" s="16">
        <v>4</v>
      </c>
      <c r="G2184" s="13">
        <v>49793.872470972899</v>
      </c>
      <c r="H2184" s="13">
        <v>49793.872470972899</v>
      </c>
      <c r="I2184" s="14">
        <v>0</v>
      </c>
      <c r="J2184" s="15">
        <v>1</v>
      </c>
      <c r="K2184" s="14">
        <v>428.42716845407233</v>
      </c>
      <c r="L2184" s="13">
        <v>21333047.7891021</v>
      </c>
      <c r="M2184" s="14">
        <v>3.6308648558939312</v>
      </c>
      <c r="N2184" s="14">
        <v>427.42985748795257</v>
      </c>
      <c r="O2184" s="13">
        <v>21283387.814041231</v>
      </c>
      <c r="P2184" s="13">
        <v>49659.975060869008</v>
      </c>
      <c r="Q2184" s="14">
        <v>1.0023332739832005</v>
      </c>
      <c r="R2184" s="15">
        <v>2.3332739832005022E-3</v>
      </c>
    </row>
    <row r="2185" spans="1:18" ht="18" customHeight="1">
      <c r="A2185" s="10" t="s">
        <v>93</v>
      </c>
      <c r="B2185" s="10" t="s">
        <v>94</v>
      </c>
      <c r="C2185" s="10" t="s">
        <v>254</v>
      </c>
      <c r="D2185" s="10" t="s">
        <v>276</v>
      </c>
      <c r="E2185" s="16">
        <v>1</v>
      </c>
      <c r="F2185" s="16">
        <v>1</v>
      </c>
      <c r="G2185" s="13">
        <v>2.8852980000000004E-4</v>
      </c>
      <c r="H2185" s="13">
        <v>2.8852980000000004E-4</v>
      </c>
      <c r="I2185" s="14">
        <v>0</v>
      </c>
      <c r="J2185" s="15">
        <v>1</v>
      </c>
      <c r="K2185" s="14">
        <v>33.88441561392024</v>
      </c>
      <c r="L2185" s="13">
        <v>9.7766636602012857E-3</v>
      </c>
      <c r="M2185" s="14">
        <v>2.5299999999999998</v>
      </c>
      <c r="N2185" s="14">
        <v>33.88441561392024</v>
      </c>
      <c r="O2185" s="13">
        <v>9.7766636602012857E-3</v>
      </c>
      <c r="P2185" s="13">
        <v>0</v>
      </c>
      <c r="Q2185" s="14">
        <v>1</v>
      </c>
      <c r="R2185" s="15">
        <v>0</v>
      </c>
    </row>
    <row r="2186" spans="1:18" ht="18" customHeight="1">
      <c r="A2186" s="10" t="s">
        <v>93</v>
      </c>
      <c r="B2186" s="10" t="s">
        <v>94</v>
      </c>
      <c r="C2186" s="10" t="s">
        <v>254</v>
      </c>
      <c r="D2186" s="10" t="s">
        <v>271</v>
      </c>
      <c r="E2186" s="16">
        <v>12</v>
      </c>
      <c r="F2186" s="16">
        <v>12</v>
      </c>
      <c r="G2186" s="13">
        <v>5382.7483826371017</v>
      </c>
      <c r="H2186" s="13">
        <v>5382.7483826371017</v>
      </c>
      <c r="I2186" s="14">
        <v>0</v>
      </c>
      <c r="J2186" s="15">
        <v>1</v>
      </c>
      <c r="K2186" s="14">
        <v>10.186893568146463</v>
      </c>
      <c r="L2186" s="13">
        <v>54833.484878036666</v>
      </c>
      <c r="M2186" s="14">
        <v>2.0021704274950727</v>
      </c>
      <c r="N2186" s="14">
        <v>10.050101027977414</v>
      </c>
      <c r="O2186" s="13">
        <v>54097.165053684897</v>
      </c>
      <c r="P2186" s="13">
        <v>736.31982435176906</v>
      </c>
      <c r="Q2186" s="14">
        <v>1.0136110612011011</v>
      </c>
      <c r="R2186" s="15">
        <v>1.3611061201101031E-2</v>
      </c>
    </row>
    <row r="2187" spans="1:18" ht="18" customHeight="1">
      <c r="A2187" s="10" t="s">
        <v>93</v>
      </c>
      <c r="B2187" s="10" t="s">
        <v>94</v>
      </c>
      <c r="C2187" s="10" t="s">
        <v>254</v>
      </c>
      <c r="D2187" s="10" t="s">
        <v>272</v>
      </c>
      <c r="E2187" s="16">
        <v>5</v>
      </c>
      <c r="F2187" s="16">
        <v>5</v>
      </c>
      <c r="G2187" s="13">
        <v>28.593095415400001</v>
      </c>
      <c r="H2187" s="13">
        <v>28.593095415400001</v>
      </c>
      <c r="I2187" s="14">
        <v>0</v>
      </c>
      <c r="J2187" s="15">
        <v>1</v>
      </c>
      <c r="K2187" s="14">
        <v>52.966283432064742</v>
      </c>
      <c r="L2187" s="13">
        <v>1514.4699959721474</v>
      </c>
      <c r="M2187" s="14">
        <v>2.7133559678150245</v>
      </c>
      <c r="N2187" s="14">
        <v>51.683982149553074</v>
      </c>
      <c r="O2187" s="13">
        <v>1477.8050330500014</v>
      </c>
      <c r="P2187" s="13">
        <v>36.66496292214606</v>
      </c>
      <c r="Q2187" s="14">
        <v>1.0248104195764405</v>
      </c>
      <c r="R2187" s="15">
        <v>2.4810419576440503E-2</v>
      </c>
    </row>
    <row r="2188" spans="1:18" ht="18" customHeight="1">
      <c r="A2188" s="10" t="s">
        <v>93</v>
      </c>
      <c r="B2188" s="10" t="s">
        <v>94</v>
      </c>
      <c r="C2188" s="10" t="s">
        <v>254</v>
      </c>
      <c r="D2188" s="10" t="s">
        <v>273</v>
      </c>
      <c r="E2188" s="16">
        <v>3</v>
      </c>
      <c r="F2188" s="16">
        <v>3</v>
      </c>
      <c r="G2188" s="13">
        <v>110.110890758</v>
      </c>
      <c r="H2188" s="13">
        <v>110.110890758</v>
      </c>
      <c r="I2188" s="14">
        <v>0</v>
      </c>
      <c r="J2188" s="15">
        <v>1</v>
      </c>
      <c r="K2188" s="14">
        <v>142.05950886308031</v>
      </c>
      <c r="L2188" s="13">
        <v>15642.299061557767</v>
      </c>
      <c r="M2188" s="14">
        <v>3.1524489358190793</v>
      </c>
      <c r="N2188" s="14">
        <v>142.05251782272634</v>
      </c>
      <c r="O2188" s="13">
        <v>15641.529271877069</v>
      </c>
      <c r="P2188" s="13">
        <v>0.76978968069852272</v>
      </c>
      <c r="Q2188" s="14">
        <v>1.0000492144768787</v>
      </c>
      <c r="R2188" s="15">
        <v>4.9214476878714028E-5</v>
      </c>
    </row>
    <row r="2189" spans="1:18" ht="18" customHeight="1">
      <c r="A2189" s="10" t="s">
        <v>93</v>
      </c>
      <c r="B2189" s="10" t="s">
        <v>94</v>
      </c>
      <c r="C2189" s="10" t="s">
        <v>254</v>
      </c>
      <c r="D2189" s="10" t="s">
        <v>284</v>
      </c>
      <c r="E2189" s="16">
        <v>1</v>
      </c>
      <c r="F2189" s="16">
        <v>1</v>
      </c>
      <c r="G2189" s="13">
        <v>5.3299099999999999E-5</v>
      </c>
      <c r="H2189" s="13">
        <v>5.3299099999999999E-5</v>
      </c>
      <c r="I2189" s="14">
        <v>0</v>
      </c>
      <c r="J2189" s="15">
        <v>1</v>
      </c>
      <c r="K2189" s="14">
        <v>239.88329190194898</v>
      </c>
      <c r="L2189" s="13">
        <v>1.2785563563411168E-2</v>
      </c>
      <c r="M2189" s="14">
        <v>3.38</v>
      </c>
      <c r="N2189" s="14">
        <v>239.88329190194898</v>
      </c>
      <c r="O2189" s="13">
        <v>1.2785563563411168E-2</v>
      </c>
      <c r="P2189" s="13">
        <v>0</v>
      </c>
      <c r="Q2189" s="14">
        <v>1</v>
      </c>
      <c r="R2189" s="15">
        <v>0</v>
      </c>
    </row>
    <row r="2190" spans="1:18" ht="18" customHeight="1">
      <c r="A2190" s="10" t="s">
        <v>93</v>
      </c>
      <c r="B2190" s="10" t="s">
        <v>94</v>
      </c>
      <c r="C2190" s="10" t="s">
        <v>254</v>
      </c>
      <c r="D2190" s="10" t="s">
        <v>274</v>
      </c>
      <c r="E2190" s="16">
        <v>10</v>
      </c>
      <c r="F2190" s="16">
        <v>10</v>
      </c>
      <c r="G2190" s="13">
        <v>2598.1289270666002</v>
      </c>
      <c r="H2190" s="13">
        <v>2598.1289270666002</v>
      </c>
      <c r="I2190" s="14">
        <v>0</v>
      </c>
      <c r="J2190" s="15">
        <v>1</v>
      </c>
      <c r="K2190" s="14">
        <v>1997.0247360851597</v>
      </c>
      <c r="L2190" s="13">
        <v>5188527.7348903967</v>
      </c>
      <c r="M2190" s="14">
        <v>4.1761199532787501</v>
      </c>
      <c r="N2190" s="14">
        <v>1500.099109609534</v>
      </c>
      <c r="O2190" s="13">
        <v>3897450.890143381</v>
      </c>
      <c r="P2190" s="13">
        <v>1291076.8447470157</v>
      </c>
      <c r="Q2190" s="14">
        <v>1.3312618634944542</v>
      </c>
      <c r="R2190" s="15">
        <v>0.33126186349445419</v>
      </c>
    </row>
    <row r="2191" spans="1:18" ht="18" customHeight="1">
      <c r="A2191" s="10" t="s">
        <v>93</v>
      </c>
      <c r="B2191" s="10" t="s">
        <v>94</v>
      </c>
      <c r="C2191" s="10" t="s">
        <v>254</v>
      </c>
      <c r="D2191" s="10" t="s">
        <v>282</v>
      </c>
      <c r="E2191" s="16">
        <v>3</v>
      </c>
      <c r="F2191" s="16">
        <v>3</v>
      </c>
      <c r="G2191" s="13">
        <v>118.44437266</v>
      </c>
      <c r="H2191" s="13">
        <v>118.44437266</v>
      </c>
      <c r="I2191" s="14">
        <v>0</v>
      </c>
      <c r="J2191" s="15">
        <v>1</v>
      </c>
      <c r="K2191" s="14">
        <v>617.68999401716962</v>
      </c>
      <c r="L2191" s="13">
        <v>73161.903839722814</v>
      </c>
      <c r="M2191" s="14">
        <v>3.7864675238324983</v>
      </c>
      <c r="N2191" s="14">
        <v>611.60006631813656</v>
      </c>
      <c r="O2191" s="13">
        <v>72440.586173866075</v>
      </c>
      <c r="P2191" s="13">
        <v>721.31766585673904</v>
      </c>
      <c r="Q2191" s="14">
        <v>1.0099573692587949</v>
      </c>
      <c r="R2191" s="15">
        <v>9.9573692587949288E-3</v>
      </c>
    </row>
    <row r="2192" spans="1:18" ht="18" customHeight="1">
      <c r="A2192" s="10" t="s">
        <v>183</v>
      </c>
      <c r="B2192" s="10" t="s">
        <v>184</v>
      </c>
      <c r="C2192" s="10" t="s">
        <v>254</v>
      </c>
      <c r="D2192" s="10" t="s">
        <v>262</v>
      </c>
      <c r="E2192" s="16">
        <v>1</v>
      </c>
      <c r="F2192" s="16">
        <v>1</v>
      </c>
      <c r="G2192" s="13">
        <v>3.2189145400000001E-2</v>
      </c>
      <c r="H2192" s="13">
        <v>3.2189145400000001E-2</v>
      </c>
      <c r="I2192" s="14">
        <v>0</v>
      </c>
      <c r="J2192" s="15">
        <v>1</v>
      </c>
      <c r="K2192" s="14">
        <v>407.38027780411261</v>
      </c>
      <c r="L2192" s="13">
        <v>13.113222995328973</v>
      </c>
      <c r="M2192" s="14">
        <v>3.61</v>
      </c>
      <c r="N2192" s="14">
        <v>407.38027780411261</v>
      </c>
      <c r="O2192" s="13">
        <v>13.113222995328973</v>
      </c>
      <c r="P2192" s="13">
        <v>0</v>
      </c>
      <c r="Q2192" s="14">
        <v>1</v>
      </c>
      <c r="R2192" s="15">
        <v>0</v>
      </c>
    </row>
    <row r="2193" spans="1:18" ht="18" customHeight="1">
      <c r="A2193" s="10" t="s">
        <v>183</v>
      </c>
      <c r="B2193" s="10" t="s">
        <v>184</v>
      </c>
      <c r="C2193" s="10" t="s">
        <v>254</v>
      </c>
      <c r="D2193" s="10" t="s">
        <v>266</v>
      </c>
      <c r="E2193" s="16">
        <v>1</v>
      </c>
      <c r="F2193" s="16">
        <v>1</v>
      </c>
      <c r="G2193" s="13">
        <v>2.3521774999999997E-3</v>
      </c>
      <c r="H2193" s="13">
        <v>2.3521774999999997E-3</v>
      </c>
      <c r="I2193" s="14">
        <v>0</v>
      </c>
      <c r="J2193" s="15">
        <v>1</v>
      </c>
      <c r="K2193" s="14">
        <v>371.53522909717242</v>
      </c>
      <c r="L2193" s="13">
        <v>0.87391680633971414</v>
      </c>
      <c r="M2193" s="14">
        <v>3.57</v>
      </c>
      <c r="N2193" s="14">
        <v>371.53522909717242</v>
      </c>
      <c r="O2193" s="13">
        <v>0.87391680633971414</v>
      </c>
      <c r="P2193" s="13">
        <v>0</v>
      </c>
      <c r="Q2193" s="14">
        <v>1</v>
      </c>
      <c r="R2193" s="15">
        <v>0</v>
      </c>
    </row>
    <row r="2194" spans="1:18" ht="18" customHeight="1">
      <c r="A2194" s="10" t="s">
        <v>183</v>
      </c>
      <c r="B2194" s="10" t="s">
        <v>184</v>
      </c>
      <c r="C2194" s="10" t="s">
        <v>254</v>
      </c>
      <c r="D2194" s="10" t="s">
        <v>267</v>
      </c>
      <c r="E2194" s="16">
        <v>1</v>
      </c>
      <c r="F2194" s="16">
        <v>1</v>
      </c>
      <c r="G2194" s="13">
        <v>2.7647901200000002E-2</v>
      </c>
      <c r="H2194" s="13">
        <v>2.7647901200000002E-2</v>
      </c>
      <c r="I2194" s="14">
        <v>0</v>
      </c>
      <c r="J2194" s="15">
        <v>1</v>
      </c>
      <c r="K2194" s="14">
        <v>295.12092266663871</v>
      </c>
      <c r="L2194" s="13">
        <v>8.1594741119400673</v>
      </c>
      <c r="M2194" s="14">
        <v>3.47</v>
      </c>
      <c r="N2194" s="14">
        <v>295.12092266663871</v>
      </c>
      <c r="O2194" s="13">
        <v>8.1594741119400673</v>
      </c>
      <c r="P2194" s="13">
        <v>0</v>
      </c>
      <c r="Q2194" s="14">
        <v>1</v>
      </c>
      <c r="R2194" s="15">
        <v>0</v>
      </c>
    </row>
    <row r="2195" spans="1:18" ht="18" customHeight="1">
      <c r="A2195" s="10" t="s">
        <v>183</v>
      </c>
      <c r="B2195" s="10" t="s">
        <v>184</v>
      </c>
      <c r="C2195" s="10" t="s">
        <v>254</v>
      </c>
      <c r="D2195" s="10" t="s">
        <v>268</v>
      </c>
      <c r="E2195" s="16">
        <v>1</v>
      </c>
      <c r="F2195" s="16">
        <v>1</v>
      </c>
      <c r="G2195" s="13">
        <v>3.9711029999999999E-4</v>
      </c>
      <c r="H2195" s="13">
        <v>3.9711029999999999E-4</v>
      </c>
      <c r="I2195" s="14">
        <v>0</v>
      </c>
      <c r="J2195" s="15">
        <v>1</v>
      </c>
      <c r="K2195" s="14">
        <v>263.02679918953817</v>
      </c>
      <c r="L2195" s="13">
        <v>0.10445065113419726</v>
      </c>
      <c r="M2195" s="14">
        <v>3.42</v>
      </c>
      <c r="N2195" s="14">
        <v>263.02679918953817</v>
      </c>
      <c r="O2195" s="13">
        <v>0.10445065113419726</v>
      </c>
      <c r="P2195" s="13">
        <v>0</v>
      </c>
      <c r="Q2195" s="14">
        <v>1</v>
      </c>
      <c r="R2195" s="15">
        <v>0</v>
      </c>
    </row>
    <row r="2196" spans="1:18" ht="18" customHeight="1">
      <c r="A2196" s="10" t="s">
        <v>183</v>
      </c>
      <c r="B2196" s="10" t="s">
        <v>184</v>
      </c>
      <c r="C2196" s="10" t="s">
        <v>254</v>
      </c>
      <c r="D2196" s="10" t="s">
        <v>269</v>
      </c>
      <c r="E2196" s="16">
        <v>1</v>
      </c>
      <c r="F2196" s="16">
        <v>1</v>
      </c>
      <c r="G2196" s="13">
        <v>0.18297418560000001</v>
      </c>
      <c r="H2196" s="13">
        <v>0.18297418560000001</v>
      </c>
      <c r="I2196" s="14">
        <v>0</v>
      </c>
      <c r="J2196" s="15">
        <v>1</v>
      </c>
      <c r="K2196" s="14">
        <v>190.54607179632464</v>
      </c>
      <c r="L2196" s="13">
        <v>34.865012306211632</v>
      </c>
      <c r="M2196" s="14">
        <v>3.2799999999999994</v>
      </c>
      <c r="N2196" s="14">
        <v>190.54607179632444</v>
      </c>
      <c r="O2196" s="13">
        <v>34.865012306211597</v>
      </c>
      <c r="P2196" s="13">
        <v>3.5527136788005009E-14</v>
      </c>
      <c r="Q2196" s="14">
        <v>1.0000000000000011</v>
      </c>
      <c r="R2196" s="15">
        <v>1.0189910869951263E-15</v>
      </c>
    </row>
    <row r="2197" spans="1:18" ht="18" customHeight="1">
      <c r="A2197" s="10" t="s">
        <v>183</v>
      </c>
      <c r="B2197" s="10" t="s">
        <v>184</v>
      </c>
      <c r="C2197" s="10" t="s">
        <v>254</v>
      </c>
      <c r="D2197" s="10" t="s">
        <v>271</v>
      </c>
      <c r="E2197" s="16">
        <v>1</v>
      </c>
      <c r="F2197" s="16">
        <v>1</v>
      </c>
      <c r="G2197" s="13">
        <v>4.6147E-6</v>
      </c>
      <c r="H2197" s="13">
        <v>4.6147E-6</v>
      </c>
      <c r="I2197" s="14">
        <v>0</v>
      </c>
      <c r="J2197" s="15">
        <v>1</v>
      </c>
      <c r="K2197" s="14">
        <v>12.589254117941675</v>
      </c>
      <c r="L2197" s="13">
        <v>5.809563097806545E-5</v>
      </c>
      <c r="M2197" s="14">
        <v>2.1</v>
      </c>
      <c r="N2197" s="14">
        <v>12.589254117941675</v>
      </c>
      <c r="O2197" s="13">
        <v>5.809563097806545E-5</v>
      </c>
      <c r="P2197" s="13">
        <v>0</v>
      </c>
      <c r="Q2197" s="14">
        <v>1</v>
      </c>
      <c r="R2197" s="15">
        <v>0</v>
      </c>
    </row>
    <row r="2198" spans="1:18" ht="18" customHeight="1">
      <c r="A2198" s="10" t="s">
        <v>183</v>
      </c>
      <c r="B2198" s="10" t="s">
        <v>184</v>
      </c>
      <c r="C2198" s="10" t="s">
        <v>254</v>
      </c>
      <c r="D2198" s="10" t="s">
        <v>280</v>
      </c>
      <c r="E2198" s="16">
        <v>1</v>
      </c>
      <c r="F2198" s="16">
        <v>1</v>
      </c>
      <c r="G2198" s="13">
        <v>1.3419120000000002E-4</v>
      </c>
      <c r="H2198" s="13">
        <v>1.3419120000000002E-4</v>
      </c>
      <c r="I2198" s="14">
        <v>0</v>
      </c>
      <c r="J2198" s="15">
        <v>1</v>
      </c>
      <c r="K2198" s="14">
        <v>194.98445997580455</v>
      </c>
      <c r="L2198" s="13">
        <v>2.6165198665505186E-2</v>
      </c>
      <c r="M2198" s="14">
        <v>3.29</v>
      </c>
      <c r="N2198" s="14">
        <v>194.98445997580455</v>
      </c>
      <c r="O2198" s="13">
        <v>2.6165198665505186E-2</v>
      </c>
      <c r="P2198" s="13">
        <v>0</v>
      </c>
      <c r="Q2198" s="14">
        <v>1</v>
      </c>
      <c r="R2198" s="15">
        <v>0</v>
      </c>
    </row>
    <row r="2199" spans="1:18" ht="18" customHeight="1">
      <c r="A2199" s="10" t="s">
        <v>183</v>
      </c>
      <c r="B2199" s="10" t="s">
        <v>184</v>
      </c>
      <c r="C2199" s="10" t="s">
        <v>254</v>
      </c>
      <c r="D2199" s="10" t="s">
        <v>278</v>
      </c>
      <c r="E2199" s="16">
        <v>2</v>
      </c>
      <c r="F2199" s="16">
        <v>2</v>
      </c>
      <c r="G2199" s="13">
        <v>1.7141261999999999E-3</v>
      </c>
      <c r="H2199" s="13">
        <v>1.7141261999999999E-3</v>
      </c>
      <c r="I2199" s="14">
        <v>0</v>
      </c>
      <c r="J2199" s="15">
        <v>1</v>
      </c>
      <c r="K2199" s="14">
        <v>126.4390828996894</v>
      </c>
      <c r="L2199" s="13">
        <v>0.21673254470232955</v>
      </c>
      <c r="M2199" s="14">
        <v>3.1013945297609946</v>
      </c>
      <c r="N2199" s="14">
        <v>126.29743479353881</v>
      </c>
      <c r="O2199" s="13">
        <v>0.21648974197239645</v>
      </c>
      <c r="P2199" s="13">
        <v>2.4280272993310037E-4</v>
      </c>
      <c r="Q2199" s="14">
        <v>1.0011215438095171</v>
      </c>
      <c r="R2199" s="15">
        <v>1.1215438095171224E-3</v>
      </c>
    </row>
    <row r="2200" spans="1:18" ht="18" customHeight="1">
      <c r="A2200" s="10" t="s">
        <v>183</v>
      </c>
      <c r="B2200" s="10" t="s">
        <v>184</v>
      </c>
      <c r="C2200" s="10" t="s">
        <v>254</v>
      </c>
      <c r="D2200" s="10" t="s">
        <v>273</v>
      </c>
      <c r="E2200" s="16">
        <v>1</v>
      </c>
      <c r="F2200" s="16">
        <v>1</v>
      </c>
      <c r="G2200" s="13">
        <v>2.2005613000000003E-3</v>
      </c>
      <c r="H2200" s="13">
        <v>2.2005613000000003E-3</v>
      </c>
      <c r="I2200" s="14">
        <v>0</v>
      </c>
      <c r="J2200" s="15">
        <v>1</v>
      </c>
      <c r="K2200" s="14">
        <v>169.82436524617444</v>
      </c>
      <c r="L2200" s="13">
        <v>0.37370892595779648</v>
      </c>
      <c r="M2200" s="14">
        <v>3.23</v>
      </c>
      <c r="N2200" s="14">
        <v>169.82436524617444</v>
      </c>
      <c r="O2200" s="13">
        <v>0.37370892595779648</v>
      </c>
      <c r="P2200" s="13">
        <v>0</v>
      </c>
      <c r="Q2200" s="14">
        <v>1</v>
      </c>
      <c r="R2200" s="15">
        <v>0</v>
      </c>
    </row>
    <row r="2201" spans="1:18" ht="18" customHeight="1">
      <c r="A2201" s="10" t="s">
        <v>105</v>
      </c>
      <c r="B2201" s="10" t="s">
        <v>106</v>
      </c>
      <c r="C2201" s="10" t="s">
        <v>254</v>
      </c>
      <c r="D2201" s="10" t="s">
        <v>255</v>
      </c>
      <c r="E2201" s="16">
        <v>1</v>
      </c>
      <c r="F2201" s="16">
        <v>1</v>
      </c>
      <c r="G2201" s="13">
        <v>7.7905853999999997E-2</v>
      </c>
      <c r="H2201" s="13">
        <v>7.7905853999999997E-2</v>
      </c>
      <c r="I2201" s="14">
        <v>0</v>
      </c>
      <c r="J2201" s="15">
        <v>1</v>
      </c>
      <c r="K2201" s="14">
        <v>1862.0871366628655</v>
      </c>
      <c r="L2201" s="13">
        <v>145.06748860413524</v>
      </c>
      <c r="M2201" s="14">
        <v>4.2699999999999996</v>
      </c>
      <c r="N2201" s="14">
        <v>1862.0871366628655</v>
      </c>
      <c r="O2201" s="13">
        <v>145.06748860413524</v>
      </c>
      <c r="P2201" s="13">
        <v>0</v>
      </c>
      <c r="Q2201" s="14">
        <v>1</v>
      </c>
      <c r="R2201" s="15">
        <v>0</v>
      </c>
    </row>
    <row r="2202" spans="1:18" ht="18" customHeight="1">
      <c r="A2202" s="10" t="s">
        <v>105</v>
      </c>
      <c r="B2202" s="10" t="s">
        <v>106</v>
      </c>
      <c r="C2202" s="10" t="s">
        <v>254</v>
      </c>
      <c r="D2202" s="10" t="s">
        <v>256</v>
      </c>
      <c r="E2202" s="16">
        <v>2</v>
      </c>
      <c r="F2202" s="16">
        <v>2</v>
      </c>
      <c r="G2202" s="13">
        <v>3.8063066539999997</v>
      </c>
      <c r="H2202" s="13">
        <v>3.8063066539999997</v>
      </c>
      <c r="I2202" s="14">
        <v>0</v>
      </c>
      <c r="J2202" s="15">
        <v>1</v>
      </c>
      <c r="K2202" s="14">
        <v>2678.0720753182186</v>
      </c>
      <c r="L2202" s="13">
        <v>10193.563560175324</v>
      </c>
      <c r="M2202" s="14">
        <v>4.4257943584148229</v>
      </c>
      <c r="N2202" s="14">
        <v>2665.5961865328559</v>
      </c>
      <c r="O2202" s="13">
        <v>10146.076501677033</v>
      </c>
      <c r="P2202" s="13">
        <v>47.487058498290935</v>
      </c>
      <c r="Q2202" s="14">
        <v>1.0046803371224771</v>
      </c>
      <c r="R2202" s="15">
        <v>4.6803371224770343E-3</v>
      </c>
    </row>
    <row r="2203" spans="1:18" ht="18" customHeight="1">
      <c r="A2203" s="10" t="s">
        <v>105</v>
      </c>
      <c r="B2203" s="10" t="s">
        <v>106</v>
      </c>
      <c r="C2203" s="10" t="s">
        <v>254</v>
      </c>
      <c r="D2203" s="10" t="s">
        <v>258</v>
      </c>
      <c r="E2203" s="16">
        <v>3</v>
      </c>
      <c r="F2203" s="16">
        <v>3</v>
      </c>
      <c r="G2203" s="13">
        <v>614.25132410929996</v>
      </c>
      <c r="H2203" s="13">
        <v>614.25132410929996</v>
      </c>
      <c r="I2203" s="14">
        <v>0</v>
      </c>
      <c r="J2203" s="15">
        <v>1</v>
      </c>
      <c r="K2203" s="14">
        <v>25.240344896791001</v>
      </c>
      <c r="L2203" s="13">
        <v>15503.915273829285</v>
      </c>
      <c r="M2203" s="14">
        <v>2.1521537415941765</v>
      </c>
      <c r="N2203" s="14">
        <v>14.195599613823559</v>
      </c>
      <c r="O2203" s="13">
        <v>8719.6658593165885</v>
      </c>
      <c r="P2203" s="13">
        <v>6784.2494145126966</v>
      </c>
      <c r="Q2203" s="14">
        <v>1.7780400675863075</v>
      </c>
      <c r="R2203" s="15">
        <v>0.7780400675863075</v>
      </c>
    </row>
    <row r="2204" spans="1:18" ht="18" customHeight="1">
      <c r="A2204" s="10" t="s">
        <v>105</v>
      </c>
      <c r="B2204" s="10" t="s">
        <v>106</v>
      </c>
      <c r="C2204" s="10" t="s">
        <v>254</v>
      </c>
      <c r="D2204" s="10" t="s">
        <v>259</v>
      </c>
      <c r="E2204" s="16">
        <v>11</v>
      </c>
      <c r="F2204" s="16">
        <v>11</v>
      </c>
      <c r="G2204" s="13">
        <v>277.5061913609</v>
      </c>
      <c r="H2204" s="13">
        <v>277.5061913609</v>
      </c>
      <c r="I2204" s="14">
        <v>0</v>
      </c>
      <c r="J2204" s="15">
        <v>1</v>
      </c>
      <c r="K2204" s="14">
        <v>707.07529902375779</v>
      </c>
      <c r="L2204" s="13">
        <v>196217.77323745252</v>
      </c>
      <c r="M2204" s="14">
        <v>3.6020031183920471</v>
      </c>
      <c r="N2204" s="14">
        <v>399.94762151990756</v>
      </c>
      <c r="O2204" s="13">
        <v>110987.94119184028</v>
      </c>
      <c r="P2204" s="13">
        <v>85229.832045612246</v>
      </c>
      <c r="Q2204" s="14">
        <v>1.7679197499329617</v>
      </c>
      <c r="R2204" s="15">
        <v>0.76791974993296175</v>
      </c>
    </row>
    <row r="2205" spans="1:18" ht="18" customHeight="1">
      <c r="A2205" s="10" t="s">
        <v>105</v>
      </c>
      <c r="B2205" s="10" t="s">
        <v>106</v>
      </c>
      <c r="C2205" s="10" t="s">
        <v>254</v>
      </c>
      <c r="D2205" s="10" t="s">
        <v>260</v>
      </c>
      <c r="E2205" s="16">
        <v>2</v>
      </c>
      <c r="F2205" s="16">
        <v>2</v>
      </c>
      <c r="G2205" s="13">
        <v>2744.0093329760998</v>
      </c>
      <c r="H2205" s="13">
        <v>2744.0093329760998</v>
      </c>
      <c r="I2205" s="14">
        <v>0</v>
      </c>
      <c r="J2205" s="15">
        <v>1</v>
      </c>
      <c r="K2205" s="14">
        <v>2284.9719546151209</v>
      </c>
      <c r="L2205" s="13">
        <v>6269984.3690525331</v>
      </c>
      <c r="M2205" s="14">
        <v>4.3572251171876255</v>
      </c>
      <c r="N2205" s="14">
        <v>2276.2770365921724</v>
      </c>
      <c r="O2205" s="13">
        <v>6246125.4328481006</v>
      </c>
      <c r="P2205" s="13">
        <v>23858.93620443251</v>
      </c>
      <c r="Q2205" s="14">
        <v>1.0038197978028043</v>
      </c>
      <c r="R2205" s="15">
        <v>3.8197978028041845E-3</v>
      </c>
    </row>
    <row r="2206" spans="1:18" ht="18" customHeight="1">
      <c r="A2206" s="10" t="s">
        <v>105</v>
      </c>
      <c r="B2206" s="10" t="s">
        <v>106</v>
      </c>
      <c r="C2206" s="10" t="s">
        <v>254</v>
      </c>
      <c r="D2206" s="10" t="s">
        <v>261</v>
      </c>
      <c r="E2206" s="16">
        <v>5</v>
      </c>
      <c r="F2206" s="16">
        <v>5</v>
      </c>
      <c r="G2206" s="13">
        <v>6008.7722163453991</v>
      </c>
      <c r="H2206" s="13">
        <v>6008.7722163453991</v>
      </c>
      <c r="I2206" s="14">
        <v>0</v>
      </c>
      <c r="J2206" s="15">
        <v>1</v>
      </c>
      <c r="K2206" s="14">
        <v>3388.3272905160998</v>
      </c>
      <c r="L2206" s="13">
        <v>20359686.883138027</v>
      </c>
      <c r="M2206" s="14">
        <v>4.5299843917188403</v>
      </c>
      <c r="N2206" s="14">
        <v>3388.3197850388324</v>
      </c>
      <c r="O2206" s="13">
        <v>20359641.784434751</v>
      </c>
      <c r="P2206" s="13">
        <v>45.098703276365995</v>
      </c>
      <c r="Q2206" s="14">
        <v>1.0000022151029844</v>
      </c>
      <c r="R2206" s="15">
        <v>2.2151029843189397E-6</v>
      </c>
    </row>
    <row r="2207" spans="1:18" ht="18" customHeight="1">
      <c r="A2207" s="10" t="s">
        <v>105</v>
      </c>
      <c r="B2207" s="10" t="s">
        <v>106</v>
      </c>
      <c r="C2207" s="10" t="s">
        <v>254</v>
      </c>
      <c r="D2207" s="10" t="s">
        <v>262</v>
      </c>
      <c r="E2207" s="16">
        <v>5</v>
      </c>
      <c r="F2207" s="16">
        <v>5</v>
      </c>
      <c r="G2207" s="13">
        <v>9320.3595678584006</v>
      </c>
      <c r="H2207" s="13">
        <v>9320.3595678584006</v>
      </c>
      <c r="I2207" s="14">
        <v>0</v>
      </c>
      <c r="J2207" s="15">
        <v>1</v>
      </c>
      <c r="K2207" s="14">
        <v>435.5902791339164</v>
      </c>
      <c r="L2207" s="13">
        <v>4059858.0257919091</v>
      </c>
      <c r="M2207" s="14">
        <v>3.590335187471029</v>
      </c>
      <c r="N2207" s="14">
        <v>389.34552503372367</v>
      </c>
      <c r="O2207" s="13">
        <v>3628840.2894509188</v>
      </c>
      <c r="P2207" s="13">
        <v>431017.73634099029</v>
      </c>
      <c r="Q2207" s="14">
        <v>1.1187756147863448</v>
      </c>
      <c r="R2207" s="15">
        <v>0.1187756147863448</v>
      </c>
    </row>
    <row r="2208" spans="1:18" ht="18" customHeight="1">
      <c r="A2208" s="10" t="s">
        <v>105</v>
      </c>
      <c r="B2208" s="10" t="s">
        <v>106</v>
      </c>
      <c r="C2208" s="10" t="s">
        <v>254</v>
      </c>
      <c r="D2208" s="10" t="s">
        <v>263</v>
      </c>
      <c r="E2208" s="16">
        <v>3</v>
      </c>
      <c r="F2208" s="16">
        <v>3</v>
      </c>
      <c r="G2208" s="13">
        <v>1401.1381500962998</v>
      </c>
      <c r="H2208" s="13">
        <v>1401.1381500962998</v>
      </c>
      <c r="I2208" s="14">
        <v>0</v>
      </c>
      <c r="J2208" s="15">
        <v>1</v>
      </c>
      <c r="K2208" s="14">
        <v>799.16585908830928</v>
      </c>
      <c r="L2208" s="13">
        <v>1119741.7734231139</v>
      </c>
      <c r="M2208" s="14">
        <v>3.9017968034743395</v>
      </c>
      <c r="N2208" s="14">
        <v>797.62141100607062</v>
      </c>
      <c r="O2208" s="13">
        <v>1117577.7882942462</v>
      </c>
      <c r="P2208" s="13">
        <v>2163.9851288676728</v>
      </c>
      <c r="Q2208" s="14">
        <v>1.0019363172313676</v>
      </c>
      <c r="R2208" s="15">
        <v>1.9363172313674498E-3</v>
      </c>
    </row>
    <row r="2209" spans="1:18" ht="18" customHeight="1">
      <c r="A2209" s="10" t="s">
        <v>105</v>
      </c>
      <c r="B2209" s="10" t="s">
        <v>106</v>
      </c>
      <c r="C2209" s="10" t="s">
        <v>254</v>
      </c>
      <c r="D2209" s="10" t="s">
        <v>264</v>
      </c>
      <c r="E2209" s="16">
        <v>7</v>
      </c>
      <c r="F2209" s="16">
        <v>7</v>
      </c>
      <c r="G2209" s="13">
        <v>6603.6436950345997</v>
      </c>
      <c r="H2209" s="13">
        <v>6603.6436950345997</v>
      </c>
      <c r="I2209" s="14">
        <v>0</v>
      </c>
      <c r="J2209" s="15">
        <v>1</v>
      </c>
      <c r="K2209" s="14">
        <v>2316.0578791899666</v>
      </c>
      <c r="L2209" s="13">
        <v>15294421.011248028</v>
      </c>
      <c r="M2209" s="14">
        <v>4.3626077474612099</v>
      </c>
      <c r="N2209" s="14">
        <v>2304.6646871363287</v>
      </c>
      <c r="O2209" s="13">
        <v>15219184.430376705</v>
      </c>
      <c r="P2209" s="13">
        <v>75236.580871323124</v>
      </c>
      <c r="Q2209" s="14">
        <v>1.0049435356549825</v>
      </c>
      <c r="R2209" s="15">
        <v>4.9435356549825888E-3</v>
      </c>
    </row>
    <row r="2210" spans="1:18" ht="18" customHeight="1">
      <c r="A2210" s="10" t="s">
        <v>105</v>
      </c>
      <c r="B2210" s="10" t="s">
        <v>106</v>
      </c>
      <c r="C2210" s="10" t="s">
        <v>254</v>
      </c>
      <c r="D2210" s="10" t="s">
        <v>265</v>
      </c>
      <c r="E2210" s="16">
        <v>6</v>
      </c>
      <c r="F2210" s="16">
        <v>6</v>
      </c>
      <c r="G2210" s="13">
        <v>333.67420800089997</v>
      </c>
      <c r="H2210" s="13">
        <v>333.67420800089997</v>
      </c>
      <c r="I2210" s="14">
        <v>0</v>
      </c>
      <c r="J2210" s="15">
        <v>1</v>
      </c>
      <c r="K2210" s="14">
        <v>268.35507386871512</v>
      </c>
      <c r="L2210" s="13">
        <v>89543.166736166517</v>
      </c>
      <c r="M2210" s="14">
        <v>3.4269005220886832</v>
      </c>
      <c r="N2210" s="14">
        <v>267.23942096733447</v>
      </c>
      <c r="O2210" s="13">
        <v>89170.902137894431</v>
      </c>
      <c r="P2210" s="13">
        <v>372.264598272086</v>
      </c>
      <c r="Q2210" s="14">
        <v>1.0041747317717657</v>
      </c>
      <c r="R2210" s="15">
        <v>4.1747317717657911E-3</v>
      </c>
    </row>
    <row r="2211" spans="1:18" ht="18" customHeight="1">
      <c r="A2211" s="10" t="s">
        <v>105</v>
      </c>
      <c r="B2211" s="10" t="s">
        <v>106</v>
      </c>
      <c r="C2211" s="10" t="s">
        <v>254</v>
      </c>
      <c r="D2211" s="10" t="s">
        <v>266</v>
      </c>
      <c r="E2211" s="16">
        <v>2</v>
      </c>
      <c r="F2211" s="16">
        <v>2</v>
      </c>
      <c r="G2211" s="13">
        <v>2.5583459960000003</v>
      </c>
      <c r="H2211" s="13">
        <v>2.5583459960000003</v>
      </c>
      <c r="I2211" s="14">
        <v>0</v>
      </c>
      <c r="J2211" s="15">
        <v>1</v>
      </c>
      <c r="K2211" s="14">
        <v>2245.3662199557243</v>
      </c>
      <c r="L2211" s="13">
        <v>5744.4236783773831</v>
      </c>
      <c r="M2211" s="14">
        <v>4.3412592859410086</v>
      </c>
      <c r="N2211" s="14">
        <v>2194.114492051574</v>
      </c>
      <c r="O2211" s="13">
        <v>5613.3040255057185</v>
      </c>
      <c r="P2211" s="13">
        <v>131.11965287166458</v>
      </c>
      <c r="Q2211" s="14">
        <v>1.0233587299522497</v>
      </c>
      <c r="R2211" s="15">
        <v>2.335872995224976E-2</v>
      </c>
    </row>
    <row r="2212" spans="1:18" ht="18" customHeight="1">
      <c r="A2212" s="10" t="s">
        <v>105</v>
      </c>
      <c r="B2212" s="10" t="s">
        <v>106</v>
      </c>
      <c r="C2212" s="10" t="s">
        <v>254</v>
      </c>
      <c r="D2212" s="10" t="s">
        <v>268</v>
      </c>
      <c r="E2212" s="16">
        <v>9</v>
      </c>
      <c r="F2212" s="16">
        <v>9</v>
      </c>
      <c r="G2212" s="13">
        <v>22065.300523424998</v>
      </c>
      <c r="H2212" s="13">
        <v>22065.300523424998</v>
      </c>
      <c r="I2212" s="14">
        <v>0</v>
      </c>
      <c r="J2212" s="15">
        <v>1</v>
      </c>
      <c r="K2212" s="14">
        <v>2097.8947166120925</v>
      </c>
      <c r="L2212" s="13">
        <v>46290677.38855134</v>
      </c>
      <c r="M2212" s="14">
        <v>4.2380159043165824</v>
      </c>
      <c r="N2212" s="14">
        <v>1729.8797080530667</v>
      </c>
      <c r="O2212" s="13">
        <v>38170315.627565615</v>
      </c>
      <c r="P2212" s="13">
        <v>8120361.7609857246</v>
      </c>
      <c r="Q2212" s="14">
        <v>1.212740230922309</v>
      </c>
      <c r="R2212" s="15">
        <v>0.2127402309223089</v>
      </c>
    </row>
    <row r="2213" spans="1:18" ht="18" customHeight="1">
      <c r="A2213" s="10" t="s">
        <v>105</v>
      </c>
      <c r="B2213" s="10" t="s">
        <v>106</v>
      </c>
      <c r="C2213" s="10" t="s">
        <v>254</v>
      </c>
      <c r="D2213" s="10" t="s">
        <v>269</v>
      </c>
      <c r="E2213" s="16">
        <v>15</v>
      </c>
      <c r="F2213" s="16">
        <v>15</v>
      </c>
      <c r="G2213" s="13">
        <v>79917.922776764302</v>
      </c>
      <c r="H2213" s="13">
        <v>79917.922776764302</v>
      </c>
      <c r="I2213" s="14">
        <v>0</v>
      </c>
      <c r="J2213" s="15">
        <v>1</v>
      </c>
      <c r="K2213" s="14">
        <v>186.56026013087441</v>
      </c>
      <c r="L2213" s="13">
        <v>14909508.462352281</v>
      </c>
      <c r="M2213" s="14">
        <v>3.2505809849836709</v>
      </c>
      <c r="N2213" s="14">
        <v>178.06599261286993</v>
      </c>
      <c r="O2213" s="13">
        <v>14230664.246803222</v>
      </c>
      <c r="P2213" s="13">
        <v>678844.21554905921</v>
      </c>
      <c r="Q2213" s="14">
        <v>1.0477029184144764</v>
      </c>
      <c r="R2213" s="15">
        <v>4.7702918414476318E-2</v>
      </c>
    </row>
    <row r="2214" spans="1:18" ht="18" customHeight="1">
      <c r="A2214" s="10" t="s">
        <v>105</v>
      </c>
      <c r="B2214" s="10" t="s">
        <v>106</v>
      </c>
      <c r="C2214" s="10" t="s">
        <v>254</v>
      </c>
      <c r="D2214" s="10" t="s">
        <v>270</v>
      </c>
      <c r="E2214" s="16">
        <v>13</v>
      </c>
      <c r="F2214" s="16">
        <v>13</v>
      </c>
      <c r="G2214" s="13">
        <v>40866.532894749209</v>
      </c>
      <c r="H2214" s="13">
        <v>40866.532894749209</v>
      </c>
      <c r="I2214" s="14">
        <v>0</v>
      </c>
      <c r="J2214" s="15">
        <v>1</v>
      </c>
      <c r="K2214" s="14">
        <v>1623.8526005778206</v>
      </c>
      <c r="L2214" s="13">
        <v>66361225.717737548</v>
      </c>
      <c r="M2214" s="14">
        <v>4.0584278695014833</v>
      </c>
      <c r="N2214" s="14">
        <v>1144.0048601477897</v>
      </c>
      <c r="O2214" s="13">
        <v>46751512.248982616</v>
      </c>
      <c r="P2214" s="13">
        <v>19609713.468754932</v>
      </c>
      <c r="Q2214" s="14">
        <v>1.4194455435862756</v>
      </c>
      <c r="R2214" s="15">
        <v>0.41944554358627556</v>
      </c>
    </row>
    <row r="2215" spans="1:18" ht="18" customHeight="1">
      <c r="A2215" s="10" t="s">
        <v>105</v>
      </c>
      <c r="B2215" s="10" t="s">
        <v>106</v>
      </c>
      <c r="C2215" s="10" t="s">
        <v>254</v>
      </c>
      <c r="D2215" s="10" t="s">
        <v>276</v>
      </c>
      <c r="E2215" s="16">
        <v>2</v>
      </c>
      <c r="F2215" s="16">
        <v>2</v>
      </c>
      <c r="G2215" s="13">
        <v>957.20443427199996</v>
      </c>
      <c r="H2215" s="13">
        <v>957.20443427199996</v>
      </c>
      <c r="I2215" s="14">
        <v>0</v>
      </c>
      <c r="J2215" s="15">
        <v>1</v>
      </c>
      <c r="K2215" s="14">
        <v>169.16424575393438</v>
      </c>
      <c r="L2215" s="13">
        <v>161924.76615594432</v>
      </c>
      <c r="M2215" s="14">
        <v>3.0243064100138941</v>
      </c>
      <c r="N2215" s="14">
        <v>105.75633941858486</v>
      </c>
      <c r="O2215" s="13">
        <v>101230.43704384413</v>
      </c>
      <c r="P2215" s="13">
        <v>60694.329112100197</v>
      </c>
      <c r="Q2215" s="14">
        <v>1.5995660088458648</v>
      </c>
      <c r="R2215" s="15">
        <v>0.59956600884586475</v>
      </c>
    </row>
    <row r="2216" spans="1:18" ht="18" customHeight="1">
      <c r="A2216" s="10" t="s">
        <v>105</v>
      </c>
      <c r="B2216" s="10" t="s">
        <v>106</v>
      </c>
      <c r="C2216" s="10" t="s">
        <v>254</v>
      </c>
      <c r="D2216" s="10" t="s">
        <v>271</v>
      </c>
      <c r="E2216" s="16">
        <v>9</v>
      </c>
      <c r="F2216" s="16">
        <v>9</v>
      </c>
      <c r="G2216" s="13">
        <v>67065.332026572287</v>
      </c>
      <c r="H2216" s="13">
        <v>67065.332026572287</v>
      </c>
      <c r="I2216" s="14">
        <v>0</v>
      </c>
      <c r="J2216" s="15">
        <v>1</v>
      </c>
      <c r="K2216" s="14">
        <v>23.934470311875611</v>
      </c>
      <c r="L2216" s="13">
        <v>1605173.1983460749</v>
      </c>
      <c r="M2216" s="14">
        <v>2.2852551645097723</v>
      </c>
      <c r="N2216" s="14">
        <v>19.28657740073395</v>
      </c>
      <c r="O2216" s="13">
        <v>1293460.7170364079</v>
      </c>
      <c r="P2216" s="13">
        <v>311712.481309667</v>
      </c>
      <c r="Q2216" s="14">
        <v>1.2409910693104513</v>
      </c>
      <c r="R2216" s="15">
        <v>0.24099106931045128</v>
      </c>
    </row>
    <row r="2217" spans="1:18" ht="18" customHeight="1">
      <c r="A2217" s="10" t="s">
        <v>105</v>
      </c>
      <c r="B2217" s="10" t="s">
        <v>106</v>
      </c>
      <c r="C2217" s="10" t="s">
        <v>254</v>
      </c>
      <c r="D2217" s="10" t="s">
        <v>272</v>
      </c>
      <c r="E2217" s="16">
        <v>7</v>
      </c>
      <c r="F2217" s="16">
        <v>7</v>
      </c>
      <c r="G2217" s="13">
        <v>5416.1937477212996</v>
      </c>
      <c r="H2217" s="13">
        <v>5416.1937477212996</v>
      </c>
      <c r="I2217" s="14">
        <v>0</v>
      </c>
      <c r="J2217" s="15">
        <v>1</v>
      </c>
      <c r="K2217" s="14">
        <v>80.568663305702032</v>
      </c>
      <c r="L2217" s="13">
        <v>436375.49045860581</v>
      </c>
      <c r="M2217" s="14">
        <v>2.8286542093954243</v>
      </c>
      <c r="N2217" s="14">
        <v>67.399117394451991</v>
      </c>
      <c r="O2217" s="13">
        <v>365046.67823376477</v>
      </c>
      <c r="P2217" s="13">
        <v>71328.812224841036</v>
      </c>
      <c r="Q2217" s="14">
        <v>1.1953964149734413</v>
      </c>
      <c r="R2217" s="15">
        <v>0.1953964149734414</v>
      </c>
    </row>
    <row r="2218" spans="1:18" ht="18" customHeight="1">
      <c r="A2218" s="10" t="s">
        <v>105</v>
      </c>
      <c r="B2218" s="10" t="s">
        <v>106</v>
      </c>
      <c r="C2218" s="10" t="s">
        <v>254</v>
      </c>
      <c r="D2218" s="10" t="s">
        <v>283</v>
      </c>
      <c r="E2218" s="16">
        <v>2</v>
      </c>
      <c r="F2218" s="16">
        <v>2</v>
      </c>
      <c r="G2218" s="13">
        <v>2.9235505685000001</v>
      </c>
      <c r="H2218" s="13">
        <v>2.9235505685000001</v>
      </c>
      <c r="I2218" s="14">
        <v>0</v>
      </c>
      <c r="J2218" s="15">
        <v>1</v>
      </c>
      <c r="K2218" s="14">
        <v>389.99897898186157</v>
      </c>
      <c r="L2218" s="13">
        <v>1140.181736716841</v>
      </c>
      <c r="M2218" s="14">
        <v>3.5784924701356333</v>
      </c>
      <c r="N2218" s="14">
        <v>378.87196475123005</v>
      </c>
      <c r="O2218" s="13">
        <v>1107.6513479371706</v>
      </c>
      <c r="P2218" s="13">
        <v>32.530388779670375</v>
      </c>
      <c r="Q2218" s="14">
        <v>1.0293687980791548</v>
      </c>
      <c r="R2218" s="15">
        <v>2.9368798079154775E-2</v>
      </c>
    </row>
    <row r="2219" spans="1:18" ht="18" customHeight="1">
      <c r="A2219" s="10" t="s">
        <v>105</v>
      </c>
      <c r="B2219" s="10" t="s">
        <v>106</v>
      </c>
      <c r="C2219" s="10" t="s">
        <v>254</v>
      </c>
      <c r="D2219" s="10" t="s">
        <v>278</v>
      </c>
      <c r="E2219" s="16">
        <v>5</v>
      </c>
      <c r="F2219" s="16">
        <v>5</v>
      </c>
      <c r="G2219" s="13">
        <v>2317.9771843980998</v>
      </c>
      <c r="H2219" s="13">
        <v>2317.9771843980998</v>
      </c>
      <c r="I2219" s="14">
        <v>0</v>
      </c>
      <c r="J2219" s="15">
        <v>1</v>
      </c>
      <c r="K2219" s="14">
        <v>263.00883770060244</v>
      </c>
      <c r="L2219" s="13">
        <v>609648.48508505931</v>
      </c>
      <c r="M2219" s="14">
        <v>3.3023865858880068</v>
      </c>
      <c r="N2219" s="14">
        <v>200.62570963011666</v>
      </c>
      <c r="O2219" s="13">
        <v>465045.81752628856</v>
      </c>
      <c r="P2219" s="13">
        <v>144602.66755877074</v>
      </c>
      <c r="Q2219" s="14">
        <v>1.3109428407032098</v>
      </c>
      <c r="R2219" s="15">
        <v>0.31094284070320988</v>
      </c>
    </row>
    <row r="2220" spans="1:18" ht="18" customHeight="1">
      <c r="A2220" s="10" t="s">
        <v>105</v>
      </c>
      <c r="B2220" s="10" t="s">
        <v>106</v>
      </c>
      <c r="C2220" s="10" t="s">
        <v>254</v>
      </c>
      <c r="D2220" s="10" t="s">
        <v>273</v>
      </c>
      <c r="E2220" s="16">
        <v>6</v>
      </c>
      <c r="F2220" s="16">
        <v>6</v>
      </c>
      <c r="G2220" s="13">
        <v>862091.542115535</v>
      </c>
      <c r="H2220" s="13">
        <v>862091.542115535</v>
      </c>
      <c r="I2220" s="14">
        <v>0</v>
      </c>
      <c r="J2220" s="15">
        <v>1</v>
      </c>
      <c r="K2220" s="14">
        <v>121.67547650822766</v>
      </c>
      <c r="L2220" s="13">
        <v>104895399.18062054</v>
      </c>
      <c r="M2220" s="14">
        <v>3.0829944709199926</v>
      </c>
      <c r="N2220" s="14">
        <v>121.05827213092306</v>
      </c>
      <c r="O2220" s="13">
        <v>104363312.50718956</v>
      </c>
      <c r="P2220" s="13">
        <v>532086.67343097925</v>
      </c>
      <c r="Q2220" s="14">
        <v>1.005098407291301</v>
      </c>
      <c r="R2220" s="15">
        <v>5.0984072913009921E-3</v>
      </c>
    </row>
    <row r="2221" spans="1:18" ht="18" customHeight="1">
      <c r="A2221" s="10" t="s">
        <v>105</v>
      </c>
      <c r="B2221" s="10" t="s">
        <v>106</v>
      </c>
      <c r="C2221" s="10" t="s">
        <v>254</v>
      </c>
      <c r="D2221" s="10" t="s">
        <v>284</v>
      </c>
      <c r="E2221" s="16">
        <v>1</v>
      </c>
      <c r="F2221" s="16">
        <v>1</v>
      </c>
      <c r="G2221" s="13">
        <v>36615.373905483597</v>
      </c>
      <c r="H2221" s="13">
        <v>36615.373905483597</v>
      </c>
      <c r="I2221" s="14">
        <v>0</v>
      </c>
      <c r="J2221" s="15">
        <v>1</v>
      </c>
      <c r="K2221" s="14">
        <v>128.82495516931337</v>
      </c>
      <c r="L2221" s="13">
        <v>4716973.9018815709</v>
      </c>
      <c r="M2221" s="14">
        <v>3.11</v>
      </c>
      <c r="N2221" s="14">
        <v>128.82495516931337</v>
      </c>
      <c r="O2221" s="13">
        <v>4716973.9018815709</v>
      </c>
      <c r="P2221" s="13">
        <v>0</v>
      </c>
      <c r="Q2221" s="14">
        <v>1</v>
      </c>
      <c r="R2221" s="15">
        <v>0</v>
      </c>
    </row>
    <row r="2222" spans="1:18" ht="18" customHeight="1">
      <c r="A2222" s="10" t="s">
        <v>105</v>
      </c>
      <c r="B2222" s="10" t="s">
        <v>106</v>
      </c>
      <c r="C2222" s="10" t="s">
        <v>254</v>
      </c>
      <c r="D2222" s="10" t="s">
        <v>274</v>
      </c>
      <c r="E2222" s="16">
        <v>3</v>
      </c>
      <c r="F2222" s="16">
        <v>3</v>
      </c>
      <c r="G2222" s="13">
        <v>536.37369104919992</v>
      </c>
      <c r="H2222" s="13">
        <v>536.37369104919992</v>
      </c>
      <c r="I2222" s="14">
        <v>0</v>
      </c>
      <c r="J2222" s="15">
        <v>1</v>
      </c>
      <c r="K2222" s="14">
        <v>366.71444501588712</v>
      </c>
      <c r="L2222" s="13">
        <v>196695.98043423024</v>
      </c>
      <c r="M2222" s="14">
        <v>3.5619800858136754</v>
      </c>
      <c r="N2222" s="14">
        <v>364.73722184198391</v>
      </c>
      <c r="O2222" s="13">
        <v>195635.44994241578</v>
      </c>
      <c r="P2222" s="13">
        <v>1060.5304918144539</v>
      </c>
      <c r="Q2222" s="14">
        <v>1.005420952552958</v>
      </c>
      <c r="R2222" s="15">
        <v>5.4209525529581434E-3</v>
      </c>
    </row>
    <row r="2223" spans="1:18" ht="18" customHeight="1">
      <c r="A2223" s="10" t="s">
        <v>105</v>
      </c>
      <c r="B2223" s="10" t="s">
        <v>106</v>
      </c>
      <c r="C2223" s="10" t="s">
        <v>254</v>
      </c>
      <c r="D2223" s="10" t="s">
        <v>282</v>
      </c>
      <c r="E2223" s="16">
        <v>1</v>
      </c>
      <c r="F2223" s="16">
        <v>1</v>
      </c>
      <c r="G2223" s="13">
        <v>5.7118598995000003</v>
      </c>
      <c r="H2223" s="13">
        <v>5.7118598995000003</v>
      </c>
      <c r="I2223" s="14">
        <v>0</v>
      </c>
      <c r="J2223" s="15">
        <v>1</v>
      </c>
      <c r="K2223" s="14">
        <v>630.957344480193</v>
      </c>
      <c r="L2223" s="13">
        <v>3603.9399542314222</v>
      </c>
      <c r="M2223" s="14">
        <v>3.8</v>
      </c>
      <c r="N2223" s="14">
        <v>630.957344480193</v>
      </c>
      <c r="O2223" s="13">
        <v>3603.9399542314222</v>
      </c>
      <c r="P2223" s="13">
        <v>0</v>
      </c>
      <c r="Q2223" s="14">
        <v>1</v>
      </c>
      <c r="R2223" s="15">
        <v>0</v>
      </c>
    </row>
    <row r="2224" spans="1:18" ht="18" customHeight="1">
      <c r="A2224" s="10" t="s">
        <v>167</v>
      </c>
      <c r="B2224" s="10" t="s">
        <v>168</v>
      </c>
      <c r="C2224" s="10" t="s">
        <v>254</v>
      </c>
      <c r="D2224" s="10" t="s">
        <v>255</v>
      </c>
      <c r="E2224" s="16">
        <v>1</v>
      </c>
      <c r="F2224" s="16">
        <v>1</v>
      </c>
      <c r="G2224" s="13">
        <v>5.8461169999999999E-4</v>
      </c>
      <c r="H2224" s="13">
        <v>5.8461169999999999E-4</v>
      </c>
      <c r="I2224" s="14">
        <v>0</v>
      </c>
      <c r="J2224" s="15">
        <v>1</v>
      </c>
      <c r="K2224" s="14">
        <v>1348.9628825916532</v>
      </c>
      <c r="L2224" s="13">
        <v>0.78861948402880677</v>
      </c>
      <c r="M2224" s="14">
        <v>4.13</v>
      </c>
      <c r="N2224" s="14">
        <v>1348.9628825916532</v>
      </c>
      <c r="O2224" s="13">
        <v>0.78861948402880677</v>
      </c>
      <c r="P2224" s="13">
        <v>0</v>
      </c>
      <c r="Q2224" s="14">
        <v>1</v>
      </c>
      <c r="R2224" s="15">
        <v>0</v>
      </c>
    </row>
    <row r="2225" spans="1:18" ht="18" customHeight="1">
      <c r="A2225" s="10" t="s">
        <v>167</v>
      </c>
      <c r="B2225" s="10" t="s">
        <v>168</v>
      </c>
      <c r="C2225" s="10" t="s">
        <v>254</v>
      </c>
      <c r="D2225" s="10" t="s">
        <v>257</v>
      </c>
      <c r="E2225" s="16">
        <v>1</v>
      </c>
      <c r="F2225" s="16">
        <v>1</v>
      </c>
      <c r="G2225" s="13">
        <v>9.4043514000000002E-3</v>
      </c>
      <c r="H2225" s="13">
        <v>9.4043514000000002E-3</v>
      </c>
      <c r="I2225" s="14">
        <v>0</v>
      </c>
      <c r="J2225" s="15">
        <v>1</v>
      </c>
      <c r="K2225" s="14">
        <v>933.25430079699152</v>
      </c>
      <c r="L2225" s="13">
        <v>8.7766513902562089</v>
      </c>
      <c r="M2225" s="14">
        <v>3.97</v>
      </c>
      <c r="N2225" s="14">
        <v>933.25430079699152</v>
      </c>
      <c r="O2225" s="13">
        <v>8.7766513902562089</v>
      </c>
      <c r="P2225" s="13">
        <v>0</v>
      </c>
      <c r="Q2225" s="14">
        <v>1</v>
      </c>
      <c r="R2225" s="15">
        <v>0</v>
      </c>
    </row>
    <row r="2226" spans="1:18" ht="18" customHeight="1">
      <c r="A2226" s="10" t="s">
        <v>167</v>
      </c>
      <c r="B2226" s="10" t="s">
        <v>168</v>
      </c>
      <c r="C2226" s="10" t="s">
        <v>254</v>
      </c>
      <c r="D2226" s="10" t="s">
        <v>258</v>
      </c>
      <c r="E2226" s="16">
        <v>5</v>
      </c>
      <c r="F2226" s="16">
        <v>5</v>
      </c>
      <c r="G2226" s="13">
        <v>69.63791194289999</v>
      </c>
      <c r="H2226" s="13">
        <v>69.63791194289999</v>
      </c>
      <c r="I2226" s="14">
        <v>0</v>
      </c>
      <c r="J2226" s="15">
        <v>1</v>
      </c>
      <c r="K2226" s="14">
        <v>2591.1035112886611</v>
      </c>
      <c r="L2226" s="13">
        <v>180439.03815405877</v>
      </c>
      <c r="M2226" s="14">
        <v>4.367690683956293</v>
      </c>
      <c r="N2226" s="14">
        <v>2331.7967032883134</v>
      </c>
      <c r="O2226" s="13">
        <v>162381.45349233606</v>
      </c>
      <c r="P2226" s="13">
        <v>18057.584661722707</v>
      </c>
      <c r="Q2226" s="14">
        <v>1.111204723651368</v>
      </c>
      <c r="R2226" s="15">
        <v>0.11120472365136806</v>
      </c>
    </row>
    <row r="2227" spans="1:18" ht="18" customHeight="1">
      <c r="A2227" s="10" t="s">
        <v>167</v>
      </c>
      <c r="B2227" s="10" t="s">
        <v>168</v>
      </c>
      <c r="C2227" s="10" t="s">
        <v>254</v>
      </c>
      <c r="D2227" s="10" t="s">
        <v>259</v>
      </c>
      <c r="E2227" s="16">
        <v>3</v>
      </c>
      <c r="F2227" s="16">
        <v>3</v>
      </c>
      <c r="G2227" s="13">
        <v>2.0691977862000002</v>
      </c>
      <c r="H2227" s="13">
        <v>2.0691977862000002</v>
      </c>
      <c r="I2227" s="14">
        <v>0</v>
      </c>
      <c r="J2227" s="15">
        <v>1</v>
      </c>
      <c r="K2227" s="14">
        <v>318.03304005100301</v>
      </c>
      <c r="L2227" s="13">
        <v>658.07326241199144</v>
      </c>
      <c r="M2227" s="14">
        <v>3.4043109107140412</v>
      </c>
      <c r="N2227" s="14">
        <v>253.69441747609736</v>
      </c>
      <c r="O2227" s="13">
        <v>524.94392701283925</v>
      </c>
      <c r="P2227" s="13">
        <v>133.12933539915218</v>
      </c>
      <c r="Q2227" s="14">
        <v>1.2536067731209244</v>
      </c>
      <c r="R2227" s="15">
        <v>0.25360677312092433</v>
      </c>
    </row>
    <row r="2228" spans="1:18" ht="18" customHeight="1">
      <c r="A2228" s="10" t="s">
        <v>167</v>
      </c>
      <c r="B2228" s="10" t="s">
        <v>168</v>
      </c>
      <c r="C2228" s="10" t="s">
        <v>254</v>
      </c>
      <c r="D2228" s="10" t="s">
        <v>260</v>
      </c>
      <c r="E2228" s="16">
        <v>1</v>
      </c>
      <c r="F2228" s="16">
        <v>1</v>
      </c>
      <c r="G2228" s="13">
        <v>0.24331082089999997</v>
      </c>
      <c r="H2228" s="13">
        <v>0.24331082089999997</v>
      </c>
      <c r="I2228" s="14">
        <v>0</v>
      </c>
      <c r="J2228" s="15">
        <v>1</v>
      </c>
      <c r="K2228" s="14">
        <v>1000</v>
      </c>
      <c r="L2228" s="13">
        <v>243.31082089999998</v>
      </c>
      <c r="M2228" s="14">
        <v>4</v>
      </c>
      <c r="N2228" s="14">
        <v>1000</v>
      </c>
      <c r="O2228" s="13">
        <v>243.31082089999998</v>
      </c>
      <c r="P2228" s="13">
        <v>0</v>
      </c>
      <c r="Q2228" s="14">
        <v>1</v>
      </c>
      <c r="R2228" s="15">
        <v>0</v>
      </c>
    </row>
    <row r="2229" spans="1:18" ht="18" customHeight="1">
      <c r="A2229" s="10" t="s">
        <v>167</v>
      </c>
      <c r="B2229" s="10" t="s">
        <v>168</v>
      </c>
      <c r="C2229" s="10" t="s">
        <v>254</v>
      </c>
      <c r="D2229" s="10" t="s">
        <v>262</v>
      </c>
      <c r="E2229" s="16">
        <v>1</v>
      </c>
      <c r="F2229" s="16">
        <v>1</v>
      </c>
      <c r="G2229" s="13">
        <v>4.8500627000000003E-3</v>
      </c>
      <c r="H2229" s="13">
        <v>4.8500627000000003E-3</v>
      </c>
      <c r="I2229" s="14">
        <v>0</v>
      </c>
      <c r="J2229" s="15">
        <v>1</v>
      </c>
      <c r="K2229" s="14">
        <v>660.69344800759575</v>
      </c>
      <c r="L2229" s="13">
        <v>3.2044046483160296</v>
      </c>
      <c r="M2229" s="14">
        <v>3.82</v>
      </c>
      <c r="N2229" s="14">
        <v>660.69344800759575</v>
      </c>
      <c r="O2229" s="13">
        <v>3.2044046483160296</v>
      </c>
      <c r="P2229" s="13">
        <v>0</v>
      </c>
      <c r="Q2229" s="14">
        <v>1</v>
      </c>
      <c r="R2229" s="15">
        <v>0</v>
      </c>
    </row>
    <row r="2230" spans="1:18" ht="18" customHeight="1">
      <c r="A2230" s="10" t="s">
        <v>167</v>
      </c>
      <c r="B2230" s="10" t="s">
        <v>168</v>
      </c>
      <c r="C2230" s="10" t="s">
        <v>254</v>
      </c>
      <c r="D2230" s="10" t="s">
        <v>263</v>
      </c>
      <c r="E2230" s="16">
        <v>4</v>
      </c>
      <c r="F2230" s="16">
        <v>4</v>
      </c>
      <c r="G2230" s="13">
        <v>1.8939543184000001</v>
      </c>
      <c r="H2230" s="13">
        <v>1.8939543184000001</v>
      </c>
      <c r="I2230" s="14">
        <v>0</v>
      </c>
      <c r="J2230" s="15">
        <v>1</v>
      </c>
      <c r="K2230" s="14">
        <v>597.44030790143972</v>
      </c>
      <c r="L2230" s="13">
        <v>1131.5246511361574</v>
      </c>
      <c r="M2230" s="14">
        <v>3.7749533067016761</v>
      </c>
      <c r="N2230" s="14">
        <v>595.59810418198663</v>
      </c>
      <c r="O2230" s="13">
        <v>1128.0356014463266</v>
      </c>
      <c r="P2230" s="13">
        <v>3.4890496898308356</v>
      </c>
      <c r="Q2230" s="14">
        <v>1.0030930315367328</v>
      </c>
      <c r="R2230" s="15">
        <v>3.0930315367327962E-3</v>
      </c>
    </row>
    <row r="2231" spans="1:18" ht="18" customHeight="1">
      <c r="A2231" s="10" t="s">
        <v>167</v>
      </c>
      <c r="B2231" s="10" t="s">
        <v>168</v>
      </c>
      <c r="C2231" s="10" t="s">
        <v>254</v>
      </c>
      <c r="D2231" s="10" t="s">
        <v>264</v>
      </c>
      <c r="E2231" s="16">
        <v>2</v>
      </c>
      <c r="F2231" s="16">
        <v>2</v>
      </c>
      <c r="G2231" s="13">
        <v>2.8919399100000001</v>
      </c>
      <c r="H2231" s="13">
        <v>2.8919399100000001</v>
      </c>
      <c r="I2231" s="14">
        <v>0</v>
      </c>
      <c r="J2231" s="15">
        <v>1</v>
      </c>
      <c r="K2231" s="14">
        <v>1698.1982923348862</v>
      </c>
      <c r="L2231" s="13">
        <v>4911.0874166971043</v>
      </c>
      <c r="M2231" s="14">
        <v>4.2299858305001923</v>
      </c>
      <c r="N2231" s="14">
        <v>1698.1882456546948</v>
      </c>
      <c r="O2231" s="13">
        <v>4911.0583623016964</v>
      </c>
      <c r="P2231" s="13">
        <v>2.9054395407911215E-2</v>
      </c>
      <c r="Q2231" s="14">
        <v>1.0000059161169068</v>
      </c>
      <c r="R2231" s="15">
        <v>5.9161169068848353E-6</v>
      </c>
    </row>
    <row r="2232" spans="1:18" ht="18" customHeight="1">
      <c r="A2232" s="10" t="s">
        <v>167</v>
      </c>
      <c r="B2232" s="10" t="s">
        <v>168</v>
      </c>
      <c r="C2232" s="10" t="s">
        <v>254</v>
      </c>
      <c r="D2232" s="10" t="s">
        <v>265</v>
      </c>
      <c r="E2232" s="16">
        <v>2</v>
      </c>
      <c r="F2232" s="16">
        <v>2</v>
      </c>
      <c r="G2232" s="13">
        <v>3.9505669799999997E-2</v>
      </c>
      <c r="H2232" s="13">
        <v>3.9505669799999997E-2</v>
      </c>
      <c r="I2232" s="14">
        <v>0</v>
      </c>
      <c r="J2232" s="15">
        <v>1</v>
      </c>
      <c r="K2232" s="14">
        <v>37.478386850636376</v>
      </c>
      <c r="L2232" s="13">
        <v>1.4806087755579025</v>
      </c>
      <c r="M2232" s="14">
        <v>2.5647650441810761</v>
      </c>
      <c r="N2232" s="14">
        <v>36.708365239543397</v>
      </c>
      <c r="O2232" s="13">
        <v>1.4501885560511993</v>
      </c>
      <c r="P2232" s="13">
        <v>3.042021950670315E-2</v>
      </c>
      <c r="Q2232" s="14">
        <v>1.0209767339424716</v>
      </c>
      <c r="R2232" s="15">
        <v>2.0976733942471654E-2</v>
      </c>
    </row>
    <row r="2233" spans="1:18" ht="18" customHeight="1">
      <c r="A2233" s="10" t="s">
        <v>167</v>
      </c>
      <c r="B2233" s="10" t="s">
        <v>168</v>
      </c>
      <c r="C2233" s="10" t="s">
        <v>254</v>
      </c>
      <c r="D2233" s="10" t="s">
        <v>266</v>
      </c>
      <c r="E2233" s="16">
        <v>1</v>
      </c>
      <c r="F2233" s="16">
        <v>1</v>
      </c>
      <c r="G2233" s="13">
        <v>0.17867818269999999</v>
      </c>
      <c r="H2233" s="13">
        <v>0.17867818269999999</v>
      </c>
      <c r="I2233" s="14">
        <v>0</v>
      </c>
      <c r="J2233" s="15">
        <v>1</v>
      </c>
      <c r="K2233" s="14">
        <v>199.52623149688787</v>
      </c>
      <c r="L2233" s="13">
        <v>35.650984444843424</v>
      </c>
      <c r="M2233" s="14">
        <v>3.2999999999999994</v>
      </c>
      <c r="N2233" s="14">
        <v>199.52623149688768</v>
      </c>
      <c r="O2233" s="13">
        <v>35.650984444843388</v>
      </c>
      <c r="P2233" s="13">
        <v>3.5527136788005009E-14</v>
      </c>
      <c r="Q2233" s="14">
        <v>1.0000000000000009</v>
      </c>
      <c r="R2233" s="15">
        <v>9.9652610835950434E-16</v>
      </c>
    </row>
    <row r="2234" spans="1:18" ht="18" customHeight="1">
      <c r="A2234" s="10" t="s">
        <v>167</v>
      </c>
      <c r="B2234" s="10" t="s">
        <v>168</v>
      </c>
      <c r="C2234" s="10" t="s">
        <v>254</v>
      </c>
      <c r="D2234" s="10" t="s">
        <v>268</v>
      </c>
      <c r="E2234" s="16">
        <v>2</v>
      </c>
      <c r="F2234" s="16">
        <v>2</v>
      </c>
      <c r="G2234" s="13">
        <v>775.23213937490004</v>
      </c>
      <c r="H2234" s="13">
        <v>775.23213937490004</v>
      </c>
      <c r="I2234" s="14">
        <v>0</v>
      </c>
      <c r="J2234" s="15">
        <v>1</v>
      </c>
      <c r="K2234" s="14">
        <v>2453.6484732067711</v>
      </c>
      <c r="L2234" s="13">
        <v>1902147.1551580422</v>
      </c>
      <c r="M2234" s="14">
        <v>4.3896841028854938</v>
      </c>
      <c r="N2234" s="14">
        <v>2452.9240587596842</v>
      </c>
      <c r="O2234" s="13">
        <v>1901585.565796433</v>
      </c>
      <c r="P2234" s="13">
        <v>561.58936160919257</v>
      </c>
      <c r="Q2234" s="14">
        <v>1.0002953268954657</v>
      </c>
      <c r="R2234" s="15">
        <v>2.9532689546577645E-4</v>
      </c>
    </row>
    <row r="2235" spans="1:18" ht="18" customHeight="1">
      <c r="A2235" s="10" t="s">
        <v>167</v>
      </c>
      <c r="B2235" s="10" t="s">
        <v>168</v>
      </c>
      <c r="C2235" s="10" t="s">
        <v>254</v>
      </c>
      <c r="D2235" s="10" t="s">
        <v>269</v>
      </c>
      <c r="E2235" s="16">
        <v>6</v>
      </c>
      <c r="F2235" s="16">
        <v>6</v>
      </c>
      <c r="G2235" s="13">
        <v>70.88257152060001</v>
      </c>
      <c r="H2235" s="13">
        <v>70.88257152060001</v>
      </c>
      <c r="I2235" s="14">
        <v>0</v>
      </c>
      <c r="J2235" s="15">
        <v>1</v>
      </c>
      <c r="K2235" s="14">
        <v>482.00617481224293</v>
      </c>
      <c r="L2235" s="13">
        <v>34165.837159499642</v>
      </c>
      <c r="M2235" s="14">
        <v>3.6321953013414139</v>
      </c>
      <c r="N2235" s="14">
        <v>428.74128113050654</v>
      </c>
      <c r="O2235" s="13">
        <v>30390.284523566806</v>
      </c>
      <c r="P2235" s="13">
        <v>3775.552635932836</v>
      </c>
      <c r="Q2235" s="14">
        <v>1.1242355145771998</v>
      </c>
      <c r="R2235" s="15">
        <v>0.12423551457719988</v>
      </c>
    </row>
    <row r="2236" spans="1:18" ht="18" customHeight="1">
      <c r="A2236" s="10" t="s">
        <v>167</v>
      </c>
      <c r="B2236" s="10" t="s">
        <v>168</v>
      </c>
      <c r="C2236" s="10" t="s">
        <v>254</v>
      </c>
      <c r="D2236" s="10" t="s">
        <v>270</v>
      </c>
      <c r="E2236" s="16">
        <v>3</v>
      </c>
      <c r="F2236" s="16">
        <v>3</v>
      </c>
      <c r="G2236" s="13">
        <v>14.8511830984</v>
      </c>
      <c r="H2236" s="13">
        <v>14.8511830984</v>
      </c>
      <c r="I2236" s="14">
        <v>0</v>
      </c>
      <c r="J2236" s="15">
        <v>1</v>
      </c>
      <c r="K2236" s="14">
        <v>200.23298875726169</v>
      </c>
      <c r="L2236" s="13">
        <v>2973.6967783739619</v>
      </c>
      <c r="M2236" s="14">
        <v>3.3009773443828565</v>
      </c>
      <c r="N2236" s="14">
        <v>199.97575465870128</v>
      </c>
      <c r="O2236" s="13">
        <v>2969.8765476770895</v>
      </c>
      <c r="P2236" s="13">
        <v>3.820230696872386</v>
      </c>
      <c r="Q2236" s="14">
        <v>1.0012863264299185</v>
      </c>
      <c r="R2236" s="15">
        <v>1.2863264299185794E-3</v>
      </c>
    </row>
    <row r="2237" spans="1:18" ht="18" customHeight="1">
      <c r="A2237" s="10" t="s">
        <v>167</v>
      </c>
      <c r="B2237" s="10" t="s">
        <v>168</v>
      </c>
      <c r="C2237" s="10" t="s">
        <v>254</v>
      </c>
      <c r="D2237" s="10" t="s">
        <v>271</v>
      </c>
      <c r="E2237" s="16">
        <v>5</v>
      </c>
      <c r="F2237" s="16">
        <v>5</v>
      </c>
      <c r="G2237" s="13">
        <v>0.49965669940000002</v>
      </c>
      <c r="H2237" s="13">
        <v>0.49965669940000002</v>
      </c>
      <c r="I2237" s="14">
        <v>0</v>
      </c>
      <c r="J2237" s="15">
        <v>1</v>
      </c>
      <c r="K2237" s="14">
        <v>19.674597597262245</v>
      </c>
      <c r="L2237" s="13">
        <v>9.8305444974712248</v>
      </c>
      <c r="M2237" s="14">
        <v>2.1216526104563229</v>
      </c>
      <c r="N2237" s="14">
        <v>13.232826259309659</v>
      </c>
      <c r="O2237" s="13">
        <v>6.6118702924603134</v>
      </c>
      <c r="P2237" s="13">
        <v>3.2186742050109114</v>
      </c>
      <c r="Q2237" s="14">
        <v>1.4868023815714064</v>
      </c>
      <c r="R2237" s="15">
        <v>0.48680238157140632</v>
      </c>
    </row>
    <row r="2238" spans="1:18" ht="18" customHeight="1">
      <c r="A2238" s="10" t="s">
        <v>167</v>
      </c>
      <c r="B2238" s="10" t="s">
        <v>168</v>
      </c>
      <c r="C2238" s="10" t="s">
        <v>254</v>
      </c>
      <c r="D2238" s="10" t="s">
        <v>272</v>
      </c>
      <c r="E2238" s="16">
        <v>1</v>
      </c>
      <c r="F2238" s="16">
        <v>1</v>
      </c>
      <c r="G2238" s="13">
        <v>1.5665E-5</v>
      </c>
      <c r="H2238" s="13">
        <v>1.5665E-5</v>
      </c>
      <c r="I2238" s="14">
        <v>0</v>
      </c>
      <c r="J2238" s="15">
        <v>1</v>
      </c>
      <c r="K2238" s="14">
        <v>50.118723362727252</v>
      </c>
      <c r="L2238" s="13">
        <v>7.8510980147712239E-4</v>
      </c>
      <c r="M2238" s="14">
        <v>2.7</v>
      </c>
      <c r="N2238" s="14">
        <v>50.118723362727252</v>
      </c>
      <c r="O2238" s="13">
        <v>7.8510980147712239E-4</v>
      </c>
      <c r="P2238" s="13">
        <v>0</v>
      </c>
      <c r="Q2238" s="14">
        <v>1</v>
      </c>
      <c r="R2238" s="15">
        <v>0</v>
      </c>
    </row>
    <row r="2239" spans="1:18" ht="18" customHeight="1">
      <c r="A2239" s="10" t="s">
        <v>167</v>
      </c>
      <c r="B2239" s="10" t="s">
        <v>168</v>
      </c>
      <c r="C2239" s="10" t="s">
        <v>254</v>
      </c>
      <c r="D2239" s="10" t="s">
        <v>273</v>
      </c>
      <c r="E2239" s="16">
        <v>3</v>
      </c>
      <c r="F2239" s="16">
        <v>3</v>
      </c>
      <c r="G2239" s="13">
        <v>0.46592843750000001</v>
      </c>
      <c r="H2239" s="13">
        <v>0.46592843750000001</v>
      </c>
      <c r="I2239" s="14">
        <v>0</v>
      </c>
      <c r="J2239" s="15">
        <v>1</v>
      </c>
      <c r="K2239" s="14">
        <v>135.979573868199</v>
      </c>
      <c r="L2239" s="13">
        <v>63.356750384325792</v>
      </c>
      <c r="M2239" s="14">
        <v>3.1307536862503693</v>
      </c>
      <c r="N2239" s="14">
        <v>135.1305941344333</v>
      </c>
      <c r="O2239" s="13">
        <v>62.961186583503171</v>
      </c>
      <c r="P2239" s="13">
        <v>0.39556380082262166</v>
      </c>
      <c r="Q2239" s="14">
        <v>1.0062826611486746</v>
      </c>
      <c r="R2239" s="15">
        <v>6.2826611486745017E-3</v>
      </c>
    </row>
    <row r="2240" spans="1:18" ht="18" customHeight="1">
      <c r="A2240" s="10" t="s">
        <v>167</v>
      </c>
      <c r="B2240" s="10" t="s">
        <v>168</v>
      </c>
      <c r="C2240" s="10" t="s">
        <v>254</v>
      </c>
      <c r="D2240" s="10" t="s">
        <v>274</v>
      </c>
      <c r="E2240" s="16">
        <v>2</v>
      </c>
      <c r="F2240" s="16">
        <v>2</v>
      </c>
      <c r="G2240" s="13">
        <v>330.65858528719997</v>
      </c>
      <c r="H2240" s="13">
        <v>330.65858528719997</v>
      </c>
      <c r="I2240" s="14">
        <v>0</v>
      </c>
      <c r="J2240" s="15">
        <v>1</v>
      </c>
      <c r="K2240" s="14">
        <v>2398.0088804608599</v>
      </c>
      <c r="L2240" s="13">
        <v>792922.22391933016</v>
      </c>
      <c r="M2240" s="14">
        <v>4.3795570319094059</v>
      </c>
      <c r="N2240" s="14">
        <v>2396.387424655672</v>
      </c>
      <c r="O2240" s="13">
        <v>792386.07563668105</v>
      </c>
      <c r="P2240" s="13">
        <v>536.14828264911193</v>
      </c>
      <c r="Q2240" s="14">
        <v>1.000676625068428</v>
      </c>
      <c r="R2240" s="15">
        <v>6.7662506842806089E-4</v>
      </c>
    </row>
    <row r="2241" spans="1:18" ht="18" customHeight="1">
      <c r="A2241" s="10" t="s">
        <v>167</v>
      </c>
      <c r="B2241" s="10" t="s">
        <v>168</v>
      </c>
      <c r="C2241" s="10" t="s">
        <v>254</v>
      </c>
      <c r="D2241" s="10" t="s">
        <v>275</v>
      </c>
      <c r="E2241" s="16">
        <v>1</v>
      </c>
      <c r="F2241" s="16">
        <v>1</v>
      </c>
      <c r="G2241" s="13">
        <v>0.17621286829999999</v>
      </c>
      <c r="H2241" s="13">
        <v>0.17621286829999999</v>
      </c>
      <c r="I2241" s="14">
        <v>0</v>
      </c>
      <c r="J2241" s="15">
        <v>1</v>
      </c>
      <c r="K2241" s="14">
        <v>691.83097091893626</v>
      </c>
      <c r="L2241" s="13">
        <v>121.90951976439963</v>
      </c>
      <c r="M2241" s="14">
        <v>3.8400000000000003</v>
      </c>
      <c r="N2241" s="14">
        <v>691.83097091893694</v>
      </c>
      <c r="O2241" s="13">
        <v>121.90951976439976</v>
      </c>
      <c r="P2241" s="13">
        <v>-1.2789769243681803E-13</v>
      </c>
      <c r="Q2241" s="14">
        <v>0.999999999999999</v>
      </c>
      <c r="R2241" s="15">
        <v>-1.0491198118407069E-15</v>
      </c>
    </row>
    <row r="2242" spans="1:18" ht="18" customHeight="1">
      <c r="A2242" s="10" t="s">
        <v>139</v>
      </c>
      <c r="B2242" s="10" t="s">
        <v>140</v>
      </c>
      <c r="C2242" s="10" t="s">
        <v>254</v>
      </c>
      <c r="D2242" s="10" t="s">
        <v>255</v>
      </c>
      <c r="E2242" s="16">
        <v>3</v>
      </c>
      <c r="F2242" s="16">
        <v>3</v>
      </c>
      <c r="G2242" s="13">
        <v>234.06939684630001</v>
      </c>
      <c r="H2242" s="13">
        <v>234.06939684630001</v>
      </c>
      <c r="I2242" s="14">
        <v>0</v>
      </c>
      <c r="J2242" s="15">
        <v>1</v>
      </c>
      <c r="K2242" s="14">
        <v>927.89228622282258</v>
      </c>
      <c r="L2242" s="13">
        <v>217191.18777451044</v>
      </c>
      <c r="M2242" s="14">
        <v>3.8926303423190869</v>
      </c>
      <c r="N2242" s="14">
        <v>780.96279086500635</v>
      </c>
      <c r="O2242" s="13">
        <v>182799.48941717518</v>
      </c>
      <c r="P2242" s="13">
        <v>34391.698357335263</v>
      </c>
      <c r="Q2242" s="14">
        <v>1.1881389191347704</v>
      </c>
      <c r="R2242" s="15">
        <v>0.18813891913477054</v>
      </c>
    </row>
    <row r="2243" spans="1:18" ht="18" customHeight="1">
      <c r="A2243" s="10" t="s">
        <v>139</v>
      </c>
      <c r="B2243" s="10" t="s">
        <v>140</v>
      </c>
      <c r="C2243" s="10" t="s">
        <v>254</v>
      </c>
      <c r="D2243" s="10" t="s">
        <v>256</v>
      </c>
      <c r="E2243" s="16">
        <v>1</v>
      </c>
      <c r="F2243" s="16">
        <v>1</v>
      </c>
      <c r="G2243" s="13">
        <v>864.01819410100006</v>
      </c>
      <c r="H2243" s="13">
        <v>864.01819410100006</v>
      </c>
      <c r="I2243" s="14">
        <v>0</v>
      </c>
      <c r="J2243" s="15">
        <v>1</v>
      </c>
      <c r="K2243" s="14">
        <v>691.83097091893626</v>
      </c>
      <c r="L2243" s="13">
        <v>597754.54611652077</v>
      </c>
      <c r="M2243" s="14">
        <v>3.84</v>
      </c>
      <c r="N2243" s="14">
        <v>691.83097091893626</v>
      </c>
      <c r="O2243" s="13">
        <v>597754.54611652077</v>
      </c>
      <c r="P2243" s="13">
        <v>0</v>
      </c>
      <c r="Q2243" s="14">
        <v>1</v>
      </c>
      <c r="R2243" s="15">
        <v>0</v>
      </c>
    </row>
    <row r="2244" spans="1:18" ht="18" customHeight="1">
      <c r="A2244" s="10" t="s">
        <v>139</v>
      </c>
      <c r="B2244" s="10" t="s">
        <v>140</v>
      </c>
      <c r="C2244" s="10" t="s">
        <v>254</v>
      </c>
      <c r="D2244" s="10" t="s">
        <v>258</v>
      </c>
      <c r="E2244" s="16">
        <v>6</v>
      </c>
      <c r="F2244" s="16">
        <v>6</v>
      </c>
      <c r="G2244" s="13">
        <v>1714.7434603232998</v>
      </c>
      <c r="H2244" s="13">
        <v>1714.7434603232998</v>
      </c>
      <c r="I2244" s="14">
        <v>0</v>
      </c>
      <c r="J2244" s="15">
        <v>1</v>
      </c>
      <c r="K2244" s="14">
        <v>656.61037766982815</v>
      </c>
      <c r="L2244" s="13">
        <v>1125918.35108975</v>
      </c>
      <c r="M2244" s="14">
        <v>3.7760094511496569</v>
      </c>
      <c r="N2244" s="14">
        <v>597.04827945267971</v>
      </c>
      <c r="O2244" s="13">
        <v>1023784.6326887605</v>
      </c>
      <c r="P2244" s="13">
        <v>102133.71840098943</v>
      </c>
      <c r="Q2244" s="14">
        <v>1.0997609410611646</v>
      </c>
      <c r="R2244" s="15">
        <v>9.9760941061164538E-2</v>
      </c>
    </row>
    <row r="2245" spans="1:18" ht="18" customHeight="1">
      <c r="A2245" s="10" t="s">
        <v>139</v>
      </c>
      <c r="B2245" s="10" t="s">
        <v>140</v>
      </c>
      <c r="C2245" s="10" t="s">
        <v>254</v>
      </c>
      <c r="D2245" s="10" t="s">
        <v>259</v>
      </c>
      <c r="E2245" s="16">
        <v>4</v>
      </c>
      <c r="F2245" s="16">
        <v>4</v>
      </c>
      <c r="G2245" s="13">
        <v>15098.782689014199</v>
      </c>
      <c r="H2245" s="13">
        <v>15098.782689014199</v>
      </c>
      <c r="I2245" s="14">
        <v>0</v>
      </c>
      <c r="J2245" s="15">
        <v>1</v>
      </c>
      <c r="K2245" s="14">
        <v>1452.27842389693</v>
      </c>
      <c r="L2245" s="13">
        <v>21927636.326363791</v>
      </c>
      <c r="M2245" s="14">
        <v>4.1618947149888967</v>
      </c>
      <c r="N2245" s="14">
        <v>1451.7596281800991</v>
      </c>
      <c r="O2245" s="13">
        <v>21919803.142575368</v>
      </c>
      <c r="P2245" s="13">
        <v>7833.1837884224951</v>
      </c>
      <c r="Q2245" s="14">
        <v>1.0003573564843384</v>
      </c>
      <c r="R2245" s="15">
        <v>3.5735648433848894E-4</v>
      </c>
    </row>
    <row r="2246" spans="1:18" ht="18" customHeight="1">
      <c r="A2246" s="10" t="s">
        <v>139</v>
      </c>
      <c r="B2246" s="10" t="s">
        <v>140</v>
      </c>
      <c r="C2246" s="10" t="s">
        <v>254</v>
      </c>
      <c r="D2246" s="10" t="s">
        <v>260</v>
      </c>
      <c r="E2246" s="16">
        <v>2</v>
      </c>
      <c r="F2246" s="16">
        <v>2</v>
      </c>
      <c r="G2246" s="13">
        <v>438.69438051880002</v>
      </c>
      <c r="H2246" s="13">
        <v>438.69438051880002</v>
      </c>
      <c r="I2246" s="14">
        <v>0</v>
      </c>
      <c r="J2246" s="15">
        <v>1</v>
      </c>
      <c r="K2246" s="14">
        <v>1520.6090421865952</v>
      </c>
      <c r="L2246" s="13">
        <v>667082.64177333424</v>
      </c>
      <c r="M2246" s="14">
        <v>4.1764884783251555</v>
      </c>
      <c r="N2246" s="14">
        <v>1501.3725743567702</v>
      </c>
      <c r="O2246" s="13">
        <v>658643.71143535932</v>
      </c>
      <c r="P2246" s="13">
        <v>8438.9303379749181</v>
      </c>
      <c r="Q2246" s="14">
        <v>1.0128125877336387</v>
      </c>
      <c r="R2246" s="15">
        <v>1.2812587733638648E-2</v>
      </c>
    </row>
    <row r="2247" spans="1:18" ht="18" customHeight="1">
      <c r="A2247" s="10" t="s">
        <v>139</v>
      </c>
      <c r="B2247" s="10" t="s">
        <v>140</v>
      </c>
      <c r="C2247" s="10" t="s">
        <v>254</v>
      </c>
      <c r="D2247" s="10" t="s">
        <v>262</v>
      </c>
      <c r="E2247" s="16">
        <v>1</v>
      </c>
      <c r="F2247" s="16">
        <v>1</v>
      </c>
      <c r="G2247" s="13">
        <v>482.28779970739998</v>
      </c>
      <c r="H2247" s="13">
        <v>482.28779970739998</v>
      </c>
      <c r="I2247" s="14">
        <v>0</v>
      </c>
      <c r="J2247" s="15">
        <v>1</v>
      </c>
      <c r="K2247" s="14">
        <v>660.69344800759575</v>
      </c>
      <c r="L2247" s="13">
        <v>318644.38932067883</v>
      </c>
      <c r="M2247" s="14">
        <v>3.82</v>
      </c>
      <c r="N2247" s="14">
        <v>660.69344800759575</v>
      </c>
      <c r="O2247" s="13">
        <v>318644.38932067883</v>
      </c>
      <c r="P2247" s="13">
        <v>0</v>
      </c>
      <c r="Q2247" s="14">
        <v>1</v>
      </c>
      <c r="R2247" s="15">
        <v>0</v>
      </c>
    </row>
    <row r="2248" spans="1:18" ht="18" customHeight="1">
      <c r="A2248" s="10" t="s">
        <v>139</v>
      </c>
      <c r="B2248" s="10" t="s">
        <v>140</v>
      </c>
      <c r="C2248" s="10" t="s">
        <v>254</v>
      </c>
      <c r="D2248" s="10" t="s">
        <v>263</v>
      </c>
      <c r="E2248" s="16">
        <v>2</v>
      </c>
      <c r="F2248" s="16">
        <v>2</v>
      </c>
      <c r="G2248" s="13">
        <v>3489.7060062763003</v>
      </c>
      <c r="H2248" s="13">
        <v>3489.7060062763003</v>
      </c>
      <c r="I2248" s="14">
        <v>0</v>
      </c>
      <c r="J2248" s="15">
        <v>1</v>
      </c>
      <c r="K2248" s="14">
        <v>638.70898552851259</v>
      </c>
      <c r="L2248" s="13">
        <v>2228906.583061493</v>
      </c>
      <c r="M2248" s="14">
        <v>3.8052199392882993</v>
      </c>
      <c r="N2248" s="14">
        <v>638.58680314436799</v>
      </c>
      <c r="O2248" s="13">
        <v>2228480.2024616823</v>
      </c>
      <c r="P2248" s="13">
        <v>426.38059981074184</v>
      </c>
      <c r="Q2248" s="14">
        <v>1.0001913324602749</v>
      </c>
      <c r="R2248" s="15">
        <v>1.9133246027482862E-4</v>
      </c>
    </row>
    <row r="2249" spans="1:18" ht="18" customHeight="1">
      <c r="A2249" s="10" t="s">
        <v>139</v>
      </c>
      <c r="B2249" s="10" t="s">
        <v>140</v>
      </c>
      <c r="C2249" s="10" t="s">
        <v>254</v>
      </c>
      <c r="D2249" s="10" t="s">
        <v>264</v>
      </c>
      <c r="E2249" s="16">
        <v>3</v>
      </c>
      <c r="F2249" s="16">
        <v>3</v>
      </c>
      <c r="G2249" s="13">
        <v>32.793815131199999</v>
      </c>
      <c r="H2249" s="13">
        <v>32.793815131199999</v>
      </c>
      <c r="I2249" s="14">
        <v>0</v>
      </c>
      <c r="J2249" s="15">
        <v>1</v>
      </c>
      <c r="K2249" s="14">
        <v>1121.6487003769616</v>
      </c>
      <c r="L2249" s="13">
        <v>36783.14012231282</v>
      </c>
      <c r="M2249" s="14">
        <v>4.0498260016136527</v>
      </c>
      <c r="N2249" s="14">
        <v>1121.5690120343127</v>
      </c>
      <c r="O2249" s="13">
        <v>36780.526837535879</v>
      </c>
      <c r="P2249" s="13">
        <v>2.6132847769404179</v>
      </c>
      <c r="Q2249" s="14">
        <v>1.0000710507706561</v>
      </c>
      <c r="R2249" s="15">
        <v>7.1050770655994646E-5</v>
      </c>
    </row>
    <row r="2250" spans="1:18" ht="18" customHeight="1">
      <c r="A2250" s="10" t="s">
        <v>139</v>
      </c>
      <c r="B2250" s="10" t="s">
        <v>140</v>
      </c>
      <c r="C2250" s="10" t="s">
        <v>254</v>
      </c>
      <c r="D2250" s="10" t="s">
        <v>265</v>
      </c>
      <c r="E2250" s="16">
        <v>7</v>
      </c>
      <c r="F2250" s="16">
        <v>7</v>
      </c>
      <c r="G2250" s="13">
        <v>280.82059622239996</v>
      </c>
      <c r="H2250" s="13">
        <v>280.82059622239996</v>
      </c>
      <c r="I2250" s="14">
        <v>0</v>
      </c>
      <c r="J2250" s="15">
        <v>1</v>
      </c>
      <c r="K2250" s="14">
        <v>191.43107039107642</v>
      </c>
      <c r="L2250" s="13">
        <v>53757.787322714292</v>
      </c>
      <c r="M2250" s="14">
        <v>3.1570217387049793</v>
      </c>
      <c r="N2250" s="14">
        <v>143.55612888885742</v>
      </c>
      <c r="O2250" s="13">
        <v>40313.51770594863</v>
      </c>
      <c r="P2250" s="13">
        <v>13444.269616765661</v>
      </c>
      <c r="Q2250" s="14">
        <v>1.333492842644735</v>
      </c>
      <c r="R2250" s="15">
        <v>0.33349284264473489</v>
      </c>
    </row>
    <row r="2251" spans="1:18" ht="18" customHeight="1">
      <c r="A2251" s="10" t="s">
        <v>139</v>
      </c>
      <c r="B2251" s="10" t="s">
        <v>140</v>
      </c>
      <c r="C2251" s="10" t="s">
        <v>254</v>
      </c>
      <c r="D2251" s="10" t="s">
        <v>268</v>
      </c>
      <c r="E2251" s="16">
        <v>1</v>
      </c>
      <c r="F2251" s="16">
        <v>1</v>
      </c>
      <c r="G2251" s="13">
        <v>86041.664358249094</v>
      </c>
      <c r="H2251" s="13">
        <v>86041.664358249094</v>
      </c>
      <c r="I2251" s="14">
        <v>0</v>
      </c>
      <c r="J2251" s="15">
        <v>1</v>
      </c>
      <c r="K2251" s="14">
        <v>371.53522909717242</v>
      </c>
      <c r="L2251" s="13">
        <v>31967509.479244091</v>
      </c>
      <c r="M2251" s="14">
        <v>3.57</v>
      </c>
      <c r="N2251" s="14">
        <v>371.53522909717242</v>
      </c>
      <c r="O2251" s="13">
        <v>31967509.479244091</v>
      </c>
      <c r="P2251" s="13">
        <v>0</v>
      </c>
      <c r="Q2251" s="14">
        <v>1</v>
      </c>
      <c r="R2251" s="15">
        <v>0</v>
      </c>
    </row>
    <row r="2252" spans="1:18" ht="18" customHeight="1">
      <c r="A2252" s="10" t="s">
        <v>139</v>
      </c>
      <c r="B2252" s="10" t="s">
        <v>140</v>
      </c>
      <c r="C2252" s="10" t="s">
        <v>254</v>
      </c>
      <c r="D2252" s="10" t="s">
        <v>269</v>
      </c>
      <c r="E2252" s="16">
        <v>7</v>
      </c>
      <c r="F2252" s="16">
        <v>7</v>
      </c>
      <c r="G2252" s="13">
        <v>22410.609057331698</v>
      </c>
      <c r="H2252" s="13">
        <v>22410.609057331698</v>
      </c>
      <c r="I2252" s="14">
        <v>0</v>
      </c>
      <c r="J2252" s="15">
        <v>1</v>
      </c>
      <c r="K2252" s="14">
        <v>793.98372394076773</v>
      </c>
      <c r="L2252" s="13">
        <v>17793658.83512092</v>
      </c>
      <c r="M2252" s="14">
        <v>3.5939827005348137</v>
      </c>
      <c r="N2252" s="14">
        <v>392.62929529273708</v>
      </c>
      <c r="O2252" s="13">
        <v>8799061.6412611753</v>
      </c>
      <c r="P2252" s="13">
        <v>8994597.1938597448</v>
      </c>
      <c r="Q2252" s="14">
        <v>2.0222223187619974</v>
      </c>
      <c r="R2252" s="15">
        <v>1.0222223187619974</v>
      </c>
    </row>
    <row r="2253" spans="1:18" ht="18" customHeight="1">
      <c r="A2253" s="10" t="s">
        <v>139</v>
      </c>
      <c r="B2253" s="10" t="s">
        <v>140</v>
      </c>
      <c r="C2253" s="10" t="s">
        <v>254</v>
      </c>
      <c r="D2253" s="10" t="s">
        <v>270</v>
      </c>
      <c r="E2253" s="16">
        <v>5</v>
      </c>
      <c r="F2253" s="16">
        <v>5</v>
      </c>
      <c r="G2253" s="13">
        <v>2898.1178985512001</v>
      </c>
      <c r="H2253" s="13">
        <v>2898.1178985512001</v>
      </c>
      <c r="I2253" s="14">
        <v>0</v>
      </c>
      <c r="J2253" s="15">
        <v>1</v>
      </c>
      <c r="K2253" s="14">
        <v>330.10755785798</v>
      </c>
      <c r="L2253" s="13">
        <v>956690.62187523767</v>
      </c>
      <c r="M2253" s="14">
        <v>3.5086600841802071</v>
      </c>
      <c r="N2253" s="14">
        <v>322.59682160929498</v>
      </c>
      <c r="O2253" s="13">
        <v>934923.62272162631</v>
      </c>
      <c r="P2253" s="13">
        <v>21766.999153611367</v>
      </c>
      <c r="Q2253" s="14">
        <v>1.0232821148429709</v>
      </c>
      <c r="R2253" s="15">
        <v>2.328211484297097E-2</v>
      </c>
    </row>
    <row r="2254" spans="1:18" ht="18" customHeight="1">
      <c r="A2254" s="10" t="s">
        <v>139</v>
      </c>
      <c r="B2254" s="10" t="s">
        <v>140</v>
      </c>
      <c r="C2254" s="10" t="s">
        <v>254</v>
      </c>
      <c r="D2254" s="10" t="s">
        <v>276</v>
      </c>
      <c r="E2254" s="16">
        <v>1</v>
      </c>
      <c r="F2254" s="16">
        <v>1</v>
      </c>
      <c r="G2254" s="13">
        <v>2.9814762331</v>
      </c>
      <c r="H2254" s="13">
        <v>2.9814762331</v>
      </c>
      <c r="I2254" s="14">
        <v>0</v>
      </c>
      <c r="J2254" s="15">
        <v>1</v>
      </c>
      <c r="K2254" s="14">
        <v>2398.83291901949</v>
      </c>
      <c r="L2254" s="13">
        <v>7152.0633352345067</v>
      </c>
      <c r="M2254" s="14">
        <v>4.38</v>
      </c>
      <c r="N2254" s="14">
        <v>2398.83291901949</v>
      </c>
      <c r="O2254" s="13">
        <v>7152.0633352345067</v>
      </c>
      <c r="P2254" s="13">
        <v>0</v>
      </c>
      <c r="Q2254" s="14">
        <v>1</v>
      </c>
      <c r="R2254" s="15">
        <v>0</v>
      </c>
    </row>
    <row r="2255" spans="1:18" ht="18" customHeight="1">
      <c r="A2255" s="10" t="s">
        <v>139</v>
      </c>
      <c r="B2255" s="10" t="s">
        <v>140</v>
      </c>
      <c r="C2255" s="10" t="s">
        <v>254</v>
      </c>
      <c r="D2255" s="10" t="s">
        <v>271</v>
      </c>
      <c r="E2255" s="16">
        <v>9</v>
      </c>
      <c r="F2255" s="16">
        <v>9</v>
      </c>
      <c r="G2255" s="13">
        <v>68.548149087699997</v>
      </c>
      <c r="H2255" s="13">
        <v>68.548149087699997</v>
      </c>
      <c r="I2255" s="14">
        <v>0</v>
      </c>
      <c r="J2255" s="15">
        <v>1</v>
      </c>
      <c r="K2255" s="14">
        <v>12.582770828156628</v>
      </c>
      <c r="L2255" s="13">
        <v>862.52565066484283</v>
      </c>
      <c r="M2255" s="14">
        <v>2.0981993150535239</v>
      </c>
      <c r="N2255" s="14">
        <v>12.537164233827811</v>
      </c>
      <c r="O2255" s="13">
        <v>859.39940303740889</v>
      </c>
      <c r="P2255" s="13">
        <v>3.1262476274339406</v>
      </c>
      <c r="Q2255" s="14">
        <v>1.0036377121235887</v>
      </c>
      <c r="R2255" s="15">
        <v>3.6377121235885452E-3</v>
      </c>
    </row>
    <row r="2256" spans="1:18" ht="18" customHeight="1">
      <c r="A2256" s="10" t="s">
        <v>139</v>
      </c>
      <c r="B2256" s="10" t="s">
        <v>140</v>
      </c>
      <c r="C2256" s="10" t="s">
        <v>254</v>
      </c>
      <c r="D2256" s="10" t="s">
        <v>272</v>
      </c>
      <c r="E2256" s="16">
        <v>2</v>
      </c>
      <c r="F2256" s="16">
        <v>2</v>
      </c>
      <c r="G2256" s="13">
        <v>4.4595393542000004</v>
      </c>
      <c r="H2256" s="13">
        <v>4.4595393542000004</v>
      </c>
      <c r="I2256" s="14">
        <v>0</v>
      </c>
      <c r="J2256" s="15">
        <v>1</v>
      </c>
      <c r="K2256" s="14">
        <v>50.118723362727252</v>
      </c>
      <c r="L2256" s="13">
        <v>223.50641921834514</v>
      </c>
      <c r="M2256" s="14">
        <v>2.7</v>
      </c>
      <c r="N2256" s="14">
        <v>50.118723362727252</v>
      </c>
      <c r="O2256" s="13">
        <v>223.50641921834517</v>
      </c>
      <c r="P2256" s="13">
        <v>-2.8421709430404007E-14</v>
      </c>
      <c r="Q2256" s="14">
        <v>0.99999999999999989</v>
      </c>
      <c r="R2256" s="15">
        <v>-1.2716283286091492E-16</v>
      </c>
    </row>
    <row r="2257" spans="1:18" ht="18" customHeight="1">
      <c r="A2257" s="10" t="s">
        <v>139</v>
      </c>
      <c r="B2257" s="10" t="s">
        <v>140</v>
      </c>
      <c r="C2257" s="10" t="s">
        <v>254</v>
      </c>
      <c r="D2257" s="10" t="s">
        <v>273</v>
      </c>
      <c r="E2257" s="16">
        <v>2</v>
      </c>
      <c r="F2257" s="16">
        <v>2</v>
      </c>
      <c r="G2257" s="13">
        <v>0.48974039160000005</v>
      </c>
      <c r="H2257" s="13">
        <v>0.48974039160000005</v>
      </c>
      <c r="I2257" s="14">
        <v>0</v>
      </c>
      <c r="J2257" s="15">
        <v>1</v>
      </c>
      <c r="K2257" s="14">
        <v>280.40043429447246</v>
      </c>
      <c r="L2257" s="13">
        <v>137.32341849618501</v>
      </c>
      <c r="M2257" s="14">
        <v>3.4431406581637565</v>
      </c>
      <c r="N2257" s="14">
        <v>277.42184658035274</v>
      </c>
      <c r="O2257" s="13">
        <v>135.8646837826571</v>
      </c>
      <c r="P2257" s="13">
        <v>1.4587347135279174</v>
      </c>
      <c r="Q2257" s="14">
        <v>1.0107366732318861</v>
      </c>
      <c r="R2257" s="15">
        <v>1.0736673231886052E-2</v>
      </c>
    </row>
    <row r="2258" spans="1:18" ht="18" customHeight="1">
      <c r="A2258" s="10" t="s">
        <v>139</v>
      </c>
      <c r="B2258" s="10" t="s">
        <v>140</v>
      </c>
      <c r="C2258" s="10" t="s">
        <v>254</v>
      </c>
      <c r="D2258" s="10" t="s">
        <v>274</v>
      </c>
      <c r="E2258" s="16">
        <v>11</v>
      </c>
      <c r="F2258" s="16">
        <v>11</v>
      </c>
      <c r="G2258" s="13">
        <v>17277.2007249003</v>
      </c>
      <c r="H2258" s="13">
        <v>17277.2007249003</v>
      </c>
      <c r="I2258" s="14">
        <v>0</v>
      </c>
      <c r="J2258" s="15">
        <v>1</v>
      </c>
      <c r="K2258" s="14">
        <v>435.2944926304898</v>
      </c>
      <c r="L2258" s="13">
        <v>7520670.3236206062</v>
      </c>
      <c r="M2258" s="14">
        <v>3.565859619297957</v>
      </c>
      <c r="N2258" s="14">
        <v>368.00999941047843</v>
      </c>
      <c r="O2258" s="13">
        <v>6358182.6285852771</v>
      </c>
      <c r="P2258" s="13">
        <v>1162487.6950353291</v>
      </c>
      <c r="Q2258" s="14">
        <v>1.1828333287894228</v>
      </c>
      <c r="R2258" s="15">
        <v>0.18283332878942291</v>
      </c>
    </row>
    <row r="2259" spans="1:18" ht="18" customHeight="1">
      <c r="A2259" s="10" t="s">
        <v>139</v>
      </c>
      <c r="B2259" s="10" t="s">
        <v>140</v>
      </c>
      <c r="C2259" s="10" t="s">
        <v>254</v>
      </c>
      <c r="D2259" s="10" t="s">
        <v>282</v>
      </c>
      <c r="E2259" s="16">
        <v>1</v>
      </c>
      <c r="F2259" s="16">
        <v>1</v>
      </c>
      <c r="G2259" s="13">
        <v>167.68450873980001</v>
      </c>
      <c r="H2259" s="13">
        <v>167.68450873980001</v>
      </c>
      <c r="I2259" s="14">
        <v>0</v>
      </c>
      <c r="J2259" s="15">
        <v>1</v>
      </c>
      <c r="K2259" s="14">
        <v>630.957344480193</v>
      </c>
      <c r="L2259" s="13">
        <v>105801.77234492992</v>
      </c>
      <c r="M2259" s="14">
        <v>3.7999999999999994</v>
      </c>
      <c r="N2259" s="14">
        <v>630.95734448019232</v>
      </c>
      <c r="O2259" s="13">
        <v>105801.77234492982</v>
      </c>
      <c r="P2259" s="13">
        <v>1.0186340659856796E-10</v>
      </c>
      <c r="Q2259" s="14">
        <v>1.0000000000000009</v>
      </c>
      <c r="R2259" s="15">
        <v>9.6277599458804734E-16</v>
      </c>
    </row>
    <row r="2260" spans="1:18" ht="18" customHeight="1">
      <c r="A2260" s="10" t="s">
        <v>181</v>
      </c>
      <c r="B2260" s="10" t="s">
        <v>182</v>
      </c>
      <c r="C2260" s="10" t="s">
        <v>254</v>
      </c>
      <c r="D2260" s="10" t="s">
        <v>259</v>
      </c>
      <c r="E2260" s="16">
        <v>2</v>
      </c>
      <c r="F2260" s="16">
        <v>2</v>
      </c>
      <c r="G2260" s="13">
        <v>8.3048248000000005E-2</v>
      </c>
      <c r="H2260" s="13">
        <v>8.3048248000000005E-2</v>
      </c>
      <c r="I2260" s="14">
        <v>0</v>
      </c>
      <c r="J2260" s="15">
        <v>1</v>
      </c>
      <c r="K2260" s="14">
        <v>286.39507636107209</v>
      </c>
      <c r="L2260" s="13">
        <v>23.784609327613254</v>
      </c>
      <c r="M2260" s="14">
        <v>3.45530359209986</v>
      </c>
      <c r="N2260" s="14">
        <v>285.3011959014824</v>
      </c>
      <c r="O2260" s="13">
        <v>23.693764471922897</v>
      </c>
      <c r="P2260" s="13">
        <v>9.0844855690356496E-2</v>
      </c>
      <c r="Q2260" s="14">
        <v>1.0038341250415488</v>
      </c>
      <c r="R2260" s="15">
        <v>3.8341250415487001E-3</v>
      </c>
    </row>
    <row r="2261" spans="1:18" ht="18" customHeight="1">
      <c r="A2261" s="10" t="s">
        <v>181</v>
      </c>
      <c r="B2261" s="10" t="s">
        <v>182</v>
      </c>
      <c r="C2261" s="10" t="s">
        <v>254</v>
      </c>
      <c r="D2261" s="10" t="s">
        <v>262</v>
      </c>
      <c r="E2261" s="16">
        <v>1</v>
      </c>
      <c r="F2261" s="16">
        <v>1</v>
      </c>
      <c r="G2261" s="13">
        <v>9.8919999999999999E-7</v>
      </c>
      <c r="H2261" s="13">
        <v>9.8919999999999999E-7</v>
      </c>
      <c r="I2261" s="14">
        <v>0</v>
      </c>
      <c r="J2261" s="15">
        <v>1</v>
      </c>
      <c r="K2261" s="14">
        <v>660.69344800759575</v>
      </c>
      <c r="L2261" s="13">
        <v>6.5355795876911372E-4</v>
      </c>
      <c r="M2261" s="14">
        <v>3.82</v>
      </c>
      <c r="N2261" s="14">
        <v>660.69344800759575</v>
      </c>
      <c r="O2261" s="13">
        <v>6.5355795876911372E-4</v>
      </c>
      <c r="P2261" s="13">
        <v>0</v>
      </c>
      <c r="Q2261" s="14">
        <v>1</v>
      </c>
      <c r="R2261" s="15">
        <v>0</v>
      </c>
    </row>
    <row r="2262" spans="1:18" ht="18" customHeight="1">
      <c r="A2262" s="10" t="s">
        <v>181</v>
      </c>
      <c r="B2262" s="10" t="s">
        <v>182</v>
      </c>
      <c r="C2262" s="10" t="s">
        <v>254</v>
      </c>
      <c r="D2262" s="10" t="s">
        <v>263</v>
      </c>
      <c r="E2262" s="16">
        <v>3</v>
      </c>
      <c r="F2262" s="16">
        <v>3</v>
      </c>
      <c r="G2262" s="13">
        <v>4.7707631699999996E-2</v>
      </c>
      <c r="H2262" s="13">
        <v>4.7707631699999996E-2</v>
      </c>
      <c r="I2262" s="14">
        <v>0</v>
      </c>
      <c r="J2262" s="15">
        <v>1</v>
      </c>
      <c r="K2262" s="14">
        <v>530.72487901468605</v>
      </c>
      <c r="L2262" s="13">
        <v>25.319627062059698</v>
      </c>
      <c r="M2262" s="14">
        <v>3.7237200575814788</v>
      </c>
      <c r="N2262" s="14">
        <v>529.32213748906793</v>
      </c>
      <c r="O2262" s="13">
        <v>25.252705585985215</v>
      </c>
      <c r="P2262" s="13">
        <v>6.6921476074483621E-2</v>
      </c>
      <c r="Q2262" s="14">
        <v>1.0026500715278455</v>
      </c>
      <c r="R2262" s="15">
        <v>2.6500715278454678E-3</v>
      </c>
    </row>
    <row r="2263" spans="1:18" ht="18" customHeight="1">
      <c r="A2263" s="10" t="s">
        <v>181</v>
      </c>
      <c r="B2263" s="10" t="s">
        <v>182</v>
      </c>
      <c r="C2263" s="10" t="s">
        <v>254</v>
      </c>
      <c r="D2263" s="10" t="s">
        <v>264</v>
      </c>
      <c r="E2263" s="16">
        <v>2</v>
      </c>
      <c r="F2263" s="16">
        <v>2</v>
      </c>
      <c r="G2263" s="13">
        <v>3.02315534E-2</v>
      </c>
      <c r="H2263" s="13">
        <v>3.02315534E-2</v>
      </c>
      <c r="I2263" s="14">
        <v>0</v>
      </c>
      <c r="J2263" s="15">
        <v>1</v>
      </c>
      <c r="K2263" s="14">
        <v>1657.642608204141</v>
      </c>
      <c r="L2263" s="13">
        <v>50.113111028038766</v>
      </c>
      <c r="M2263" s="14">
        <v>4.2193851371527602</v>
      </c>
      <c r="N2263" s="14">
        <v>1657.2389698663405</v>
      </c>
      <c r="O2263" s="13">
        <v>50.100908414075263</v>
      </c>
      <c r="P2263" s="13">
        <v>1.2202613963502529E-2</v>
      </c>
      <c r="Q2263" s="14">
        <v>1.0002435607327247</v>
      </c>
      <c r="R2263" s="15">
        <v>2.435607327246455E-4</v>
      </c>
    </row>
    <row r="2264" spans="1:18" ht="18" customHeight="1">
      <c r="A2264" s="10" t="s">
        <v>181</v>
      </c>
      <c r="B2264" s="10" t="s">
        <v>182</v>
      </c>
      <c r="C2264" s="10" t="s">
        <v>254</v>
      </c>
      <c r="D2264" s="10" t="s">
        <v>265</v>
      </c>
      <c r="E2264" s="16">
        <v>2</v>
      </c>
      <c r="F2264" s="16">
        <v>2</v>
      </c>
      <c r="G2264" s="13">
        <v>5.2418418E-3</v>
      </c>
      <c r="H2264" s="13">
        <v>5.2418418E-3</v>
      </c>
      <c r="I2264" s="14">
        <v>0</v>
      </c>
      <c r="J2264" s="15">
        <v>1</v>
      </c>
      <c r="K2264" s="14">
        <v>21.559525945839169</v>
      </c>
      <c r="L2264" s="13">
        <v>0.1130116242910843</v>
      </c>
      <c r="M2264" s="14">
        <v>2.3242757860414636</v>
      </c>
      <c r="N2264" s="14">
        <v>21.099675979705459</v>
      </c>
      <c r="O2264" s="13">
        <v>0.11060116351687603</v>
      </c>
      <c r="P2264" s="13">
        <v>2.4104607742082701E-3</v>
      </c>
      <c r="Q2264" s="14">
        <v>1.0217941719378067</v>
      </c>
      <c r="R2264" s="15">
        <v>2.1794171937806701E-2</v>
      </c>
    </row>
    <row r="2265" spans="1:18" ht="18" customHeight="1">
      <c r="A2265" s="10" t="s">
        <v>181</v>
      </c>
      <c r="B2265" s="10" t="s">
        <v>182</v>
      </c>
      <c r="C2265" s="10" t="s">
        <v>254</v>
      </c>
      <c r="D2265" s="10" t="s">
        <v>266</v>
      </c>
      <c r="E2265" s="16">
        <v>1</v>
      </c>
      <c r="F2265" s="16">
        <v>1</v>
      </c>
      <c r="G2265" s="13">
        <v>5.8452370000000001E-4</v>
      </c>
      <c r="H2265" s="13">
        <v>5.8452370000000001E-4</v>
      </c>
      <c r="I2265" s="14">
        <v>0</v>
      </c>
      <c r="J2265" s="15">
        <v>1</v>
      </c>
      <c r="K2265" s="14">
        <v>199.52623149688787</v>
      </c>
      <c r="L2265" s="13">
        <v>0.11662781108161745</v>
      </c>
      <c r="M2265" s="14">
        <v>3.3</v>
      </c>
      <c r="N2265" s="14">
        <v>199.52623149688787</v>
      </c>
      <c r="O2265" s="13">
        <v>0.11662781108161745</v>
      </c>
      <c r="P2265" s="13">
        <v>0</v>
      </c>
      <c r="Q2265" s="14">
        <v>1</v>
      </c>
      <c r="R2265" s="15">
        <v>0</v>
      </c>
    </row>
    <row r="2266" spans="1:18" ht="18" customHeight="1">
      <c r="A2266" s="10" t="s">
        <v>181</v>
      </c>
      <c r="B2266" s="10" t="s">
        <v>182</v>
      </c>
      <c r="C2266" s="10" t="s">
        <v>254</v>
      </c>
      <c r="D2266" s="10" t="s">
        <v>267</v>
      </c>
      <c r="E2266" s="16">
        <v>1</v>
      </c>
      <c r="F2266" s="16">
        <v>1</v>
      </c>
      <c r="G2266" s="13">
        <v>5.7861800000000002E-5</v>
      </c>
      <c r="H2266" s="13">
        <v>5.7861800000000002E-5</v>
      </c>
      <c r="I2266" s="14">
        <v>0</v>
      </c>
      <c r="J2266" s="15">
        <v>1</v>
      </c>
      <c r="K2266" s="14">
        <v>446.68359215096302</v>
      </c>
      <c r="L2266" s="13">
        <v>2.5845916672320592E-2</v>
      </c>
      <c r="M2266" s="14">
        <v>3.65</v>
      </c>
      <c r="N2266" s="14">
        <v>446.68359215096302</v>
      </c>
      <c r="O2266" s="13">
        <v>2.5845916672320592E-2</v>
      </c>
      <c r="P2266" s="13">
        <v>0</v>
      </c>
      <c r="Q2266" s="14">
        <v>1</v>
      </c>
      <c r="R2266" s="15">
        <v>0</v>
      </c>
    </row>
    <row r="2267" spans="1:18" ht="18" customHeight="1">
      <c r="A2267" s="10" t="s">
        <v>181</v>
      </c>
      <c r="B2267" s="10" t="s">
        <v>182</v>
      </c>
      <c r="C2267" s="10" t="s">
        <v>254</v>
      </c>
      <c r="D2267" s="10" t="s">
        <v>268</v>
      </c>
      <c r="E2267" s="16">
        <v>1</v>
      </c>
      <c r="F2267" s="16">
        <v>1</v>
      </c>
      <c r="G2267" s="13">
        <v>0.12678097720000001</v>
      </c>
      <c r="H2267" s="13">
        <v>0.12678097720000001</v>
      </c>
      <c r="I2267" s="14">
        <v>0</v>
      </c>
      <c r="J2267" s="15">
        <v>1</v>
      </c>
      <c r="K2267" s="14">
        <v>2454.7089156850284</v>
      </c>
      <c r="L2267" s="13">
        <v>311.21039507210031</v>
      </c>
      <c r="M2267" s="14">
        <v>4.3899999999999997</v>
      </c>
      <c r="N2267" s="14">
        <v>2454.7089156850284</v>
      </c>
      <c r="O2267" s="13">
        <v>311.21039507210031</v>
      </c>
      <c r="P2267" s="13">
        <v>0</v>
      </c>
      <c r="Q2267" s="14">
        <v>1</v>
      </c>
      <c r="R2267" s="15">
        <v>0</v>
      </c>
    </row>
    <row r="2268" spans="1:18" ht="18" customHeight="1">
      <c r="A2268" s="10" t="s">
        <v>181</v>
      </c>
      <c r="B2268" s="10" t="s">
        <v>182</v>
      </c>
      <c r="C2268" s="10" t="s">
        <v>254</v>
      </c>
      <c r="D2268" s="10" t="s">
        <v>269</v>
      </c>
      <c r="E2268" s="16">
        <v>3</v>
      </c>
      <c r="F2268" s="16">
        <v>3</v>
      </c>
      <c r="G2268" s="13">
        <v>53.293513992699999</v>
      </c>
      <c r="H2268" s="13">
        <v>53.293513992699999</v>
      </c>
      <c r="I2268" s="14">
        <v>0</v>
      </c>
      <c r="J2268" s="15">
        <v>1</v>
      </c>
      <c r="K2268" s="14">
        <v>190.54695704364053</v>
      </c>
      <c r="L2268" s="13">
        <v>10154.916921471662</v>
      </c>
      <c r="M2268" s="14">
        <v>3.2800010017209975</v>
      </c>
      <c r="N2268" s="14">
        <v>190.54651130046119</v>
      </c>
      <c r="O2268" s="13">
        <v>10154.893166251297</v>
      </c>
      <c r="P2268" s="13">
        <v>2.3755220365273999E-2</v>
      </c>
      <c r="Q2268" s="14">
        <v>1.000002339288063</v>
      </c>
      <c r="R2268" s="15">
        <v>2.3392880630415628E-6</v>
      </c>
    </row>
    <row r="2269" spans="1:18" ht="18" customHeight="1">
      <c r="A2269" s="10" t="s">
        <v>181</v>
      </c>
      <c r="B2269" s="10" t="s">
        <v>182</v>
      </c>
      <c r="C2269" s="10" t="s">
        <v>254</v>
      </c>
      <c r="D2269" s="10" t="s">
        <v>271</v>
      </c>
      <c r="E2269" s="16">
        <v>5</v>
      </c>
      <c r="F2269" s="16">
        <v>5</v>
      </c>
      <c r="G2269" s="13">
        <v>4.7664644000000008E-3</v>
      </c>
      <c r="H2269" s="13">
        <v>4.7664644000000008E-3</v>
      </c>
      <c r="I2269" s="14">
        <v>0</v>
      </c>
      <c r="J2269" s="15">
        <v>1</v>
      </c>
      <c r="K2269" s="14">
        <v>127.19219560768693</v>
      </c>
      <c r="L2269" s="13">
        <v>0.6062570723218762</v>
      </c>
      <c r="M2269" s="14">
        <v>2.4711838407940272</v>
      </c>
      <c r="N2269" s="14">
        <v>29.592648851245379</v>
      </c>
      <c r="O2269" s="13">
        <v>0.14105230725116202</v>
      </c>
      <c r="P2269" s="13">
        <v>0.46520476507071418</v>
      </c>
      <c r="Q2269" s="14">
        <v>4.2981010671619604</v>
      </c>
      <c r="R2269" s="15">
        <v>3.2981010671619604</v>
      </c>
    </row>
  </sheetData>
  <conditionalFormatting sqref="R2:R2269">
    <cfRule type="colorScale" priority="1">
      <colorScale>
        <cfvo type="min"/>
        <cfvo type="percentile" val="50"/>
        <cfvo type="max"/>
        <color rgb="FFFFFFFF"/>
        <color rgb="FFFCEAD8"/>
        <color rgb="FFF79009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5"/>
  <sheetViews>
    <sheetView showGridLines="0" workbookViewId="0"/>
  </sheetViews>
  <sheetFormatPr defaultRowHeight="14"/>
  <cols>
    <col min="1" max="3" width="22" customWidth="1"/>
    <col min="4" max="5" width="15" customWidth="1"/>
    <col min="6" max="6" width="22" customWidth="1"/>
    <col min="7" max="9" width="18" customWidth="1"/>
    <col min="10" max="10" width="15" customWidth="1"/>
    <col min="11" max="11" width="36" customWidth="1"/>
  </cols>
  <sheetData>
    <row r="1" spans="1:11" ht="32" customHeight="1">
      <c r="A1" s="11" t="s">
        <v>0</v>
      </c>
      <c r="B1" s="11" t="s">
        <v>285</v>
      </c>
      <c r="C1" s="11" t="s">
        <v>286</v>
      </c>
      <c r="D1" s="11" t="s">
        <v>3</v>
      </c>
      <c r="E1" s="11" t="s">
        <v>287</v>
      </c>
      <c r="F1" s="11" t="s">
        <v>288</v>
      </c>
      <c r="G1" s="11" t="s">
        <v>192</v>
      </c>
      <c r="H1" s="11" t="s">
        <v>289</v>
      </c>
      <c r="I1" s="11" t="s">
        <v>290</v>
      </c>
      <c r="J1" s="11" t="s">
        <v>291</v>
      </c>
      <c r="K1" s="11" t="s">
        <v>292</v>
      </c>
    </row>
    <row r="2" spans="1:11" ht="18" customHeight="1">
      <c r="A2" s="10" t="s">
        <v>185</v>
      </c>
      <c r="B2" s="10"/>
      <c r="C2" s="10"/>
      <c r="D2" s="12">
        <v>2019</v>
      </c>
      <c r="E2" s="10">
        <v>0</v>
      </c>
      <c r="F2" s="10">
        <v>0</v>
      </c>
      <c r="G2" s="13">
        <v>0</v>
      </c>
      <c r="H2" s="13">
        <v>0</v>
      </c>
      <c r="I2" s="13">
        <v>0</v>
      </c>
      <c r="J2" s="10" t="s">
        <v>197</v>
      </c>
      <c r="K2" s="10" t="s">
        <v>293</v>
      </c>
    </row>
    <row r="3" spans="1:11" ht="18" customHeight="1">
      <c r="A3" s="10" t="s">
        <v>133</v>
      </c>
      <c r="B3" s="10" t="s">
        <v>134</v>
      </c>
      <c r="C3" s="10" t="s">
        <v>294</v>
      </c>
      <c r="D3" s="12">
        <v>2019</v>
      </c>
      <c r="E3" s="10">
        <v>561</v>
      </c>
      <c r="F3" s="10">
        <v>67</v>
      </c>
      <c r="G3" s="13">
        <v>87745.099472887407</v>
      </c>
      <c r="H3" s="13">
        <v>87745.099472887392</v>
      </c>
      <c r="I3" s="13">
        <v>-1.4551915228366852E-11</v>
      </c>
      <c r="J3" s="10" t="s">
        <v>197</v>
      </c>
      <c r="K3" s="10" t="s">
        <v>295</v>
      </c>
    </row>
    <row r="4" spans="1:11" ht="18" customHeight="1">
      <c r="A4" s="10" t="s">
        <v>123</v>
      </c>
      <c r="B4" s="10" t="s">
        <v>124</v>
      </c>
      <c r="C4" s="10" t="s">
        <v>294</v>
      </c>
      <c r="D4" s="12">
        <v>2019</v>
      </c>
      <c r="E4" s="10">
        <v>1237</v>
      </c>
      <c r="F4" s="10">
        <v>131</v>
      </c>
      <c r="G4" s="13">
        <v>734932.2904610422</v>
      </c>
      <c r="H4" s="13">
        <v>734932.2904610422</v>
      </c>
      <c r="I4" s="13">
        <v>0</v>
      </c>
      <c r="J4" s="10" t="s">
        <v>197</v>
      </c>
      <c r="K4" s="10" t="s">
        <v>295</v>
      </c>
    </row>
    <row r="5" spans="1:11" ht="18" customHeight="1">
      <c r="A5" s="10" t="s">
        <v>147</v>
      </c>
      <c r="B5" s="10" t="s">
        <v>148</v>
      </c>
      <c r="C5" s="10" t="s">
        <v>294</v>
      </c>
      <c r="D5" s="12">
        <v>2019</v>
      </c>
      <c r="E5" s="10">
        <v>290</v>
      </c>
      <c r="F5" s="10">
        <v>32</v>
      </c>
      <c r="G5" s="13">
        <v>16859.0112032287</v>
      </c>
      <c r="H5" s="13">
        <v>16859.0112032287</v>
      </c>
      <c r="I5" s="13">
        <v>0</v>
      </c>
      <c r="J5" s="10" t="s">
        <v>197</v>
      </c>
      <c r="K5" s="10" t="s">
        <v>295</v>
      </c>
    </row>
    <row r="6" spans="1:11" ht="18" customHeight="1">
      <c r="A6" s="10" t="s">
        <v>81</v>
      </c>
      <c r="B6" s="10" t="s">
        <v>82</v>
      </c>
      <c r="C6" s="10" t="s">
        <v>294</v>
      </c>
      <c r="D6" s="12">
        <v>2019</v>
      </c>
      <c r="E6" s="10">
        <v>437</v>
      </c>
      <c r="F6" s="10">
        <v>37</v>
      </c>
      <c r="G6" s="13">
        <v>235319.45527268609</v>
      </c>
      <c r="H6" s="13">
        <v>235319.45527268609</v>
      </c>
      <c r="I6" s="13">
        <v>0</v>
      </c>
      <c r="J6" s="10" t="s">
        <v>197</v>
      </c>
      <c r="K6" s="10" t="s">
        <v>295</v>
      </c>
    </row>
    <row r="7" spans="1:11" ht="18" customHeight="1">
      <c r="A7" s="10" t="s">
        <v>127</v>
      </c>
      <c r="B7" s="10" t="s">
        <v>128</v>
      </c>
      <c r="C7" s="10" t="s">
        <v>294</v>
      </c>
      <c r="D7" s="12">
        <v>2019</v>
      </c>
      <c r="E7" s="10">
        <v>321</v>
      </c>
      <c r="F7" s="10">
        <v>33</v>
      </c>
      <c r="G7" s="13">
        <v>62238.365213295103</v>
      </c>
      <c r="H7" s="13">
        <v>62238.365213295096</v>
      </c>
      <c r="I7" s="13">
        <v>-7.2759576141834259E-12</v>
      </c>
      <c r="J7" s="10" t="s">
        <v>197</v>
      </c>
      <c r="K7" s="10" t="s">
        <v>295</v>
      </c>
    </row>
    <row r="8" spans="1:11" ht="18" customHeight="1">
      <c r="A8" s="10" t="s">
        <v>137</v>
      </c>
      <c r="B8" s="10" t="s">
        <v>138</v>
      </c>
      <c r="C8" s="10" t="s">
        <v>294</v>
      </c>
      <c r="D8" s="12">
        <v>2019</v>
      </c>
      <c r="E8" s="10">
        <v>257</v>
      </c>
      <c r="F8" s="10">
        <v>35</v>
      </c>
      <c r="G8" s="13">
        <v>41830.726780533703</v>
      </c>
      <c r="H8" s="13">
        <v>41830.726780533703</v>
      </c>
      <c r="I8" s="13">
        <v>0</v>
      </c>
      <c r="J8" s="10" t="s">
        <v>197</v>
      </c>
      <c r="K8" s="10" t="s">
        <v>295</v>
      </c>
    </row>
    <row r="9" spans="1:11" ht="18" customHeight="1">
      <c r="A9" s="10" t="s">
        <v>153</v>
      </c>
      <c r="B9" s="10" t="s">
        <v>154</v>
      </c>
      <c r="C9" s="10" t="s">
        <v>294</v>
      </c>
      <c r="D9" s="12">
        <v>2019</v>
      </c>
      <c r="E9" s="10">
        <v>43</v>
      </c>
      <c r="F9" s="10">
        <v>6</v>
      </c>
      <c r="G9" s="13">
        <v>154127.61540295079</v>
      </c>
      <c r="H9" s="13">
        <v>154127.61540295079</v>
      </c>
      <c r="I9" s="13">
        <v>0</v>
      </c>
      <c r="J9" s="10" t="s">
        <v>197</v>
      </c>
      <c r="K9" s="10" t="s">
        <v>295</v>
      </c>
    </row>
    <row r="10" spans="1:11" ht="18" customHeight="1">
      <c r="A10" s="10" t="s">
        <v>67</v>
      </c>
      <c r="B10" s="10" t="s">
        <v>68</v>
      </c>
      <c r="C10" s="10" t="s">
        <v>294</v>
      </c>
      <c r="D10" s="12">
        <v>2019</v>
      </c>
      <c r="E10" s="10">
        <v>262</v>
      </c>
      <c r="F10" s="10">
        <v>36</v>
      </c>
      <c r="G10" s="13">
        <v>377854.00832854409</v>
      </c>
      <c r="H10" s="13">
        <v>377854.00832854409</v>
      </c>
      <c r="I10" s="13">
        <v>0</v>
      </c>
      <c r="J10" s="10" t="s">
        <v>197</v>
      </c>
      <c r="K10" s="10" t="s">
        <v>295</v>
      </c>
    </row>
    <row r="11" spans="1:11" ht="18" customHeight="1">
      <c r="A11" s="10" t="s">
        <v>83</v>
      </c>
      <c r="B11" s="10" t="s">
        <v>84</v>
      </c>
      <c r="C11" s="10" t="s">
        <v>294</v>
      </c>
      <c r="D11" s="12">
        <v>2019</v>
      </c>
      <c r="E11" s="10">
        <v>257</v>
      </c>
      <c r="F11" s="10">
        <v>34</v>
      </c>
      <c r="G11" s="13">
        <v>249459.5239463328</v>
      </c>
      <c r="H11" s="13">
        <v>249459.5239463328</v>
      </c>
      <c r="I11" s="13">
        <v>0</v>
      </c>
      <c r="J11" s="10" t="s">
        <v>197</v>
      </c>
      <c r="K11" s="10" t="s">
        <v>295</v>
      </c>
    </row>
    <row r="12" spans="1:11" ht="18" customHeight="1">
      <c r="A12" s="10" t="s">
        <v>175</v>
      </c>
      <c r="B12" s="10" t="s">
        <v>176</v>
      </c>
      <c r="C12" s="10" t="s">
        <v>294</v>
      </c>
      <c r="D12" s="12">
        <v>2019</v>
      </c>
      <c r="E12" s="10">
        <v>51</v>
      </c>
      <c r="F12" s="10">
        <v>6</v>
      </c>
      <c r="G12" s="13">
        <v>1622.2799593135001</v>
      </c>
      <c r="H12" s="13">
        <v>1622.2799593135003</v>
      </c>
      <c r="I12" s="13">
        <v>2.2737367544323206E-13</v>
      </c>
      <c r="J12" s="10" t="s">
        <v>197</v>
      </c>
      <c r="K12" s="10" t="s">
        <v>295</v>
      </c>
    </row>
    <row r="13" spans="1:11" ht="18" customHeight="1">
      <c r="A13" s="10" t="s">
        <v>107</v>
      </c>
      <c r="B13" s="10" t="s">
        <v>108</v>
      </c>
      <c r="C13" s="10" t="s">
        <v>294</v>
      </c>
      <c r="D13" s="12">
        <v>2019</v>
      </c>
      <c r="E13" s="10">
        <v>467</v>
      </c>
      <c r="F13" s="10">
        <v>21</v>
      </c>
      <c r="G13" s="13">
        <v>132995.67933726677</v>
      </c>
      <c r="H13" s="13">
        <v>132995.6793372668</v>
      </c>
      <c r="I13" s="13">
        <v>2.9103830456733704E-11</v>
      </c>
      <c r="J13" s="10" t="s">
        <v>197</v>
      </c>
      <c r="K13" s="10" t="s">
        <v>295</v>
      </c>
    </row>
    <row r="14" spans="1:11" ht="18" customHeight="1">
      <c r="A14" s="10" t="s">
        <v>169</v>
      </c>
      <c r="B14" s="10" t="s">
        <v>170</v>
      </c>
      <c r="C14" s="10" t="s">
        <v>294</v>
      </c>
      <c r="D14" s="12">
        <v>2019</v>
      </c>
      <c r="E14" s="10">
        <v>77</v>
      </c>
      <c r="F14" s="10">
        <v>16</v>
      </c>
      <c r="G14" s="13">
        <v>402.2913954087</v>
      </c>
      <c r="H14" s="13">
        <v>402.2913954087</v>
      </c>
      <c r="I14" s="13">
        <v>0</v>
      </c>
      <c r="J14" s="10" t="s">
        <v>197</v>
      </c>
      <c r="K14" s="10" t="s">
        <v>295</v>
      </c>
    </row>
    <row r="15" spans="1:11" ht="18" customHeight="1">
      <c r="A15" s="10" t="s">
        <v>47</v>
      </c>
      <c r="B15" s="10" t="s">
        <v>48</v>
      </c>
      <c r="C15" s="10" t="s">
        <v>294</v>
      </c>
      <c r="D15" s="12">
        <v>2019</v>
      </c>
      <c r="E15" s="10">
        <v>764</v>
      </c>
      <c r="F15" s="10">
        <v>23</v>
      </c>
      <c r="G15" s="13">
        <v>571817.78655524598</v>
      </c>
      <c r="H15" s="13">
        <v>571817.78655524598</v>
      </c>
      <c r="I15" s="13">
        <v>0</v>
      </c>
      <c r="J15" s="10" t="s">
        <v>197</v>
      </c>
      <c r="K15" s="10" t="s">
        <v>295</v>
      </c>
    </row>
    <row r="16" spans="1:11" ht="18" customHeight="1">
      <c r="A16" s="10" t="s">
        <v>34</v>
      </c>
      <c r="B16" s="10" t="s">
        <v>35</v>
      </c>
      <c r="C16" s="10" t="s">
        <v>294</v>
      </c>
      <c r="D16" s="12">
        <v>2019</v>
      </c>
      <c r="E16" s="10">
        <v>1083</v>
      </c>
      <c r="F16" s="10">
        <v>26</v>
      </c>
      <c r="G16" s="13">
        <v>860671.20760849258</v>
      </c>
      <c r="H16" s="13">
        <v>860671.20760849258</v>
      </c>
      <c r="I16" s="13">
        <v>0</v>
      </c>
      <c r="J16" s="10" t="s">
        <v>197</v>
      </c>
      <c r="K16" s="10" t="s">
        <v>295</v>
      </c>
    </row>
    <row r="17" spans="1:11" ht="18" customHeight="1">
      <c r="A17" s="10" t="s">
        <v>135</v>
      </c>
      <c r="B17" s="10" t="s">
        <v>136</v>
      </c>
      <c r="C17" s="10" t="s">
        <v>294</v>
      </c>
      <c r="D17" s="12">
        <v>2019</v>
      </c>
      <c r="E17" s="10">
        <v>728</v>
      </c>
      <c r="F17" s="10">
        <v>27</v>
      </c>
      <c r="G17" s="13">
        <v>45252.466822717099</v>
      </c>
      <c r="H17" s="13">
        <v>45252.466822717091</v>
      </c>
      <c r="I17" s="13">
        <v>-7.2759576141834259E-12</v>
      </c>
      <c r="J17" s="10" t="s">
        <v>197</v>
      </c>
      <c r="K17" s="10" t="s">
        <v>295</v>
      </c>
    </row>
    <row r="18" spans="1:11" ht="18" customHeight="1">
      <c r="A18" s="10" t="s">
        <v>79</v>
      </c>
      <c r="B18" s="10" t="s">
        <v>80</v>
      </c>
      <c r="C18" s="10" t="s">
        <v>294</v>
      </c>
      <c r="D18" s="12">
        <v>2019</v>
      </c>
      <c r="E18" s="10">
        <v>543</v>
      </c>
      <c r="F18" s="10">
        <v>25</v>
      </c>
      <c r="G18" s="13">
        <v>245882.4176735426</v>
      </c>
      <c r="H18" s="13">
        <v>245882.41767354263</v>
      </c>
      <c r="I18" s="13">
        <v>2.9103830456733704E-11</v>
      </c>
      <c r="J18" s="10" t="s">
        <v>197</v>
      </c>
      <c r="K18" s="10" t="s">
        <v>295</v>
      </c>
    </row>
    <row r="19" spans="1:11" ht="18" customHeight="1">
      <c r="A19" s="10" t="s">
        <v>165</v>
      </c>
      <c r="B19" s="10" t="s">
        <v>166</v>
      </c>
      <c r="C19" s="10" t="s">
        <v>294</v>
      </c>
      <c r="D19" s="12">
        <v>2019</v>
      </c>
      <c r="E19" s="10">
        <v>353</v>
      </c>
      <c r="F19" s="10">
        <v>32</v>
      </c>
      <c r="G19" s="13">
        <v>3559.327863</v>
      </c>
      <c r="H19" s="13">
        <v>3559.327863</v>
      </c>
      <c r="I19" s="13">
        <v>0</v>
      </c>
      <c r="J19" s="10" t="s">
        <v>197</v>
      </c>
      <c r="K19" s="10" t="s">
        <v>295</v>
      </c>
    </row>
    <row r="20" spans="1:11" ht="18" customHeight="1">
      <c r="A20" s="10" t="s">
        <v>69</v>
      </c>
      <c r="B20" s="10" t="s">
        <v>70</v>
      </c>
      <c r="C20" s="10" t="s">
        <v>296</v>
      </c>
      <c r="D20" s="12">
        <v>2019</v>
      </c>
      <c r="E20" s="10">
        <v>453</v>
      </c>
      <c r="F20" s="10">
        <v>73</v>
      </c>
      <c r="G20" s="13">
        <v>1300999.7714510455</v>
      </c>
      <c r="H20" s="13">
        <v>1300999.7714510451</v>
      </c>
      <c r="I20" s="13">
        <v>-4.6566128730773926E-10</v>
      </c>
      <c r="J20" s="10" t="s">
        <v>197</v>
      </c>
      <c r="K20" s="10" t="s">
        <v>295</v>
      </c>
    </row>
    <row r="21" spans="1:11" ht="18" customHeight="1">
      <c r="A21" s="10" t="s">
        <v>63</v>
      </c>
      <c r="B21" s="10" t="s">
        <v>64</v>
      </c>
      <c r="C21" s="10" t="s">
        <v>296</v>
      </c>
      <c r="D21" s="12">
        <v>2019</v>
      </c>
      <c r="E21" s="10">
        <v>1528</v>
      </c>
      <c r="F21" s="10">
        <v>170</v>
      </c>
      <c r="G21" s="13">
        <v>1102866.6258441233</v>
      </c>
      <c r="H21" s="13">
        <v>1102866.6258441233</v>
      </c>
      <c r="I21" s="13">
        <v>0</v>
      </c>
      <c r="J21" s="10" t="s">
        <v>197</v>
      </c>
      <c r="K21" s="10" t="s">
        <v>295</v>
      </c>
    </row>
    <row r="22" spans="1:11" ht="18" customHeight="1">
      <c r="A22" s="10" t="s">
        <v>53</v>
      </c>
      <c r="B22" s="10" t="s">
        <v>54</v>
      </c>
      <c r="C22" s="10" t="s">
        <v>296</v>
      </c>
      <c r="D22" s="12">
        <v>2019</v>
      </c>
      <c r="E22" s="10">
        <v>2433</v>
      </c>
      <c r="F22" s="10">
        <v>277</v>
      </c>
      <c r="G22" s="13">
        <v>1037537.6190575529</v>
      </c>
      <c r="H22" s="13">
        <v>1037537.6190575529</v>
      </c>
      <c r="I22" s="13">
        <v>0</v>
      </c>
      <c r="J22" s="10" t="s">
        <v>197</v>
      </c>
      <c r="K22" s="10" t="s">
        <v>295</v>
      </c>
    </row>
    <row r="23" spans="1:11" ht="18" customHeight="1">
      <c r="A23" s="10" t="s">
        <v>111</v>
      </c>
      <c r="B23" s="10" t="s">
        <v>112</v>
      </c>
      <c r="C23" s="10" t="s">
        <v>296</v>
      </c>
      <c r="D23" s="12">
        <v>2019</v>
      </c>
      <c r="E23" s="10">
        <v>644</v>
      </c>
      <c r="F23" s="10">
        <v>129</v>
      </c>
      <c r="G23" s="13">
        <v>664877.85522775259</v>
      </c>
      <c r="H23" s="13">
        <v>664877.85522775259</v>
      </c>
      <c r="I23" s="13">
        <v>0</v>
      </c>
      <c r="J23" s="10" t="s">
        <v>197</v>
      </c>
      <c r="K23" s="10" t="s">
        <v>295</v>
      </c>
    </row>
    <row r="24" spans="1:11" ht="18" customHeight="1">
      <c r="A24" s="10" t="s">
        <v>85</v>
      </c>
      <c r="B24" s="10" t="s">
        <v>86</v>
      </c>
      <c r="C24" s="10" t="s">
        <v>296</v>
      </c>
      <c r="D24" s="12">
        <v>2019</v>
      </c>
      <c r="E24" s="10">
        <v>12968</v>
      </c>
      <c r="F24" s="10">
        <v>418</v>
      </c>
      <c r="G24" s="13">
        <v>1549275.8254257175</v>
      </c>
      <c r="H24" s="13">
        <v>1549275.8254257175</v>
      </c>
      <c r="I24" s="13">
        <v>0</v>
      </c>
      <c r="J24" s="10" t="s">
        <v>197</v>
      </c>
      <c r="K24" s="10" t="s">
        <v>295</v>
      </c>
    </row>
    <row r="25" spans="1:11" ht="18" customHeight="1">
      <c r="A25" s="10" t="s">
        <v>131</v>
      </c>
      <c r="B25" s="10" t="s">
        <v>132</v>
      </c>
      <c r="C25" s="10" t="s">
        <v>296</v>
      </c>
      <c r="D25" s="12">
        <v>2019</v>
      </c>
      <c r="E25" s="10">
        <v>5973</v>
      </c>
      <c r="F25" s="10">
        <v>283</v>
      </c>
      <c r="G25" s="13">
        <v>115599.57003481101</v>
      </c>
      <c r="H25" s="13">
        <v>115599.570034811</v>
      </c>
      <c r="I25" s="13">
        <v>-1.4551915228366852E-11</v>
      </c>
      <c r="J25" s="10" t="s">
        <v>197</v>
      </c>
      <c r="K25" s="10" t="s">
        <v>295</v>
      </c>
    </row>
    <row r="26" spans="1:11" ht="18" customHeight="1">
      <c r="A26" s="10" t="s">
        <v>95</v>
      </c>
      <c r="B26" s="10" t="s">
        <v>96</v>
      </c>
      <c r="C26" s="10" t="s">
        <v>296</v>
      </c>
      <c r="D26" s="12">
        <v>2019</v>
      </c>
      <c r="E26" s="10">
        <v>5309</v>
      </c>
      <c r="F26" s="10">
        <v>232</v>
      </c>
      <c r="G26" s="13">
        <v>700878.74730421579</v>
      </c>
      <c r="H26" s="13">
        <v>700878.74730421591</v>
      </c>
      <c r="I26" s="13">
        <v>1.1641532182693481E-10</v>
      </c>
      <c r="J26" s="10" t="s">
        <v>197</v>
      </c>
      <c r="K26" s="10" t="s">
        <v>295</v>
      </c>
    </row>
    <row r="27" spans="1:11" ht="18" customHeight="1">
      <c r="A27" s="10" t="s">
        <v>143</v>
      </c>
      <c r="B27" s="10" t="s">
        <v>144</v>
      </c>
      <c r="C27" s="10" t="s">
        <v>296</v>
      </c>
      <c r="D27" s="12">
        <v>2019</v>
      </c>
      <c r="E27" s="10">
        <v>574</v>
      </c>
      <c r="F27" s="10">
        <v>92</v>
      </c>
      <c r="G27" s="13">
        <v>148680.2607308072</v>
      </c>
      <c r="H27" s="13">
        <v>148680.2607308072</v>
      </c>
      <c r="I27" s="13">
        <v>0</v>
      </c>
      <c r="J27" s="10" t="s">
        <v>197</v>
      </c>
      <c r="K27" s="10" t="s">
        <v>295</v>
      </c>
    </row>
    <row r="28" spans="1:11" ht="18" customHeight="1">
      <c r="A28" s="10" t="s">
        <v>109</v>
      </c>
      <c r="B28" s="10" t="s">
        <v>110</v>
      </c>
      <c r="C28" s="10" t="s">
        <v>296</v>
      </c>
      <c r="D28" s="12">
        <v>2019</v>
      </c>
      <c r="E28" s="10">
        <v>1041</v>
      </c>
      <c r="F28" s="10">
        <v>111</v>
      </c>
      <c r="G28" s="13">
        <v>506689.99406100804</v>
      </c>
      <c r="H28" s="13">
        <v>506689.99406100804</v>
      </c>
      <c r="I28" s="13">
        <v>0</v>
      </c>
      <c r="J28" s="10" t="s">
        <v>197</v>
      </c>
      <c r="K28" s="10" t="s">
        <v>295</v>
      </c>
    </row>
    <row r="29" spans="1:11" ht="18" customHeight="1">
      <c r="A29" s="10" t="s">
        <v>145</v>
      </c>
      <c r="B29" s="10" t="s">
        <v>146</v>
      </c>
      <c r="C29" s="10" t="s">
        <v>296</v>
      </c>
      <c r="D29" s="12">
        <v>2019</v>
      </c>
      <c r="E29" s="10">
        <v>632</v>
      </c>
      <c r="F29" s="10">
        <v>140</v>
      </c>
      <c r="G29" s="13">
        <v>21171.953396398498</v>
      </c>
      <c r="H29" s="13">
        <v>21171.953396398501</v>
      </c>
      <c r="I29" s="13">
        <v>3.637978807091713E-12</v>
      </c>
      <c r="J29" s="10" t="s">
        <v>197</v>
      </c>
      <c r="K29" s="10" t="s">
        <v>295</v>
      </c>
    </row>
    <row r="30" spans="1:11" ht="18" customHeight="1">
      <c r="A30" s="10" t="s">
        <v>71</v>
      </c>
      <c r="B30" s="10" t="s">
        <v>72</v>
      </c>
      <c r="C30" s="10" t="s">
        <v>296</v>
      </c>
      <c r="D30" s="12">
        <v>2019</v>
      </c>
      <c r="E30" s="10">
        <v>4398</v>
      </c>
      <c r="F30" s="10">
        <v>270</v>
      </c>
      <c r="G30" s="13">
        <v>1587670.7135199134</v>
      </c>
      <c r="H30" s="13">
        <v>1587670.7135199131</v>
      </c>
      <c r="I30" s="13">
        <v>-2.3283064365386963E-10</v>
      </c>
      <c r="J30" s="10" t="s">
        <v>197</v>
      </c>
      <c r="K30" s="10" t="s">
        <v>295</v>
      </c>
    </row>
    <row r="31" spans="1:11" ht="18" customHeight="1">
      <c r="A31" s="10" t="s">
        <v>97</v>
      </c>
      <c r="B31" s="10" t="s">
        <v>98</v>
      </c>
      <c r="C31" s="10" t="s">
        <v>296</v>
      </c>
      <c r="D31" s="12">
        <v>2019</v>
      </c>
      <c r="E31" s="10">
        <v>19871</v>
      </c>
      <c r="F31" s="10">
        <v>507</v>
      </c>
      <c r="G31" s="13">
        <v>625707.96322015335</v>
      </c>
      <c r="H31" s="13">
        <v>625707.96322015347</v>
      </c>
      <c r="I31" s="13">
        <v>1.1641532182693481E-10</v>
      </c>
      <c r="J31" s="10" t="s">
        <v>197</v>
      </c>
      <c r="K31" s="10" t="s">
        <v>295</v>
      </c>
    </row>
    <row r="32" spans="1:11" ht="18" customHeight="1">
      <c r="A32" s="10" t="s">
        <v>28</v>
      </c>
      <c r="B32" s="10" t="s">
        <v>29</v>
      </c>
      <c r="C32" s="10" t="s">
        <v>296</v>
      </c>
      <c r="D32" s="12">
        <v>2019</v>
      </c>
      <c r="E32" s="10">
        <v>2211</v>
      </c>
      <c r="F32" s="10">
        <v>184</v>
      </c>
      <c r="G32" s="13">
        <v>7390380.6806016136</v>
      </c>
      <c r="H32" s="13">
        <v>7390380.6806016127</v>
      </c>
      <c r="I32" s="13">
        <v>-9.3132257461547852E-10</v>
      </c>
      <c r="J32" s="10" t="s">
        <v>197</v>
      </c>
      <c r="K32" s="10" t="s">
        <v>295</v>
      </c>
    </row>
    <row r="33" spans="1:11" ht="18" customHeight="1">
      <c r="A33" s="10" t="s">
        <v>51</v>
      </c>
      <c r="B33" s="10" t="s">
        <v>52</v>
      </c>
      <c r="C33" s="10" t="s">
        <v>296</v>
      </c>
      <c r="D33" s="12">
        <v>2019</v>
      </c>
      <c r="E33" s="10">
        <v>5190</v>
      </c>
      <c r="F33" s="10">
        <v>195</v>
      </c>
      <c r="G33" s="13">
        <v>1589890.9385366845</v>
      </c>
      <c r="H33" s="13">
        <v>1589890.9385366838</v>
      </c>
      <c r="I33" s="13">
        <v>-6.9849193096160889E-10</v>
      </c>
      <c r="J33" s="10" t="s">
        <v>197</v>
      </c>
      <c r="K33" s="10" t="s">
        <v>295</v>
      </c>
    </row>
    <row r="34" spans="1:11" ht="18" customHeight="1">
      <c r="A34" s="10" t="s">
        <v>115</v>
      </c>
      <c r="B34" s="10" t="s">
        <v>116</v>
      </c>
      <c r="C34" s="10" t="s">
        <v>296</v>
      </c>
      <c r="D34" s="12">
        <v>2019</v>
      </c>
      <c r="E34" s="10">
        <v>7388</v>
      </c>
      <c r="F34" s="10">
        <v>264</v>
      </c>
      <c r="G34" s="13">
        <v>292432.09997720609</v>
      </c>
      <c r="H34" s="13">
        <v>292432.09997720609</v>
      </c>
      <c r="I34" s="13">
        <v>0</v>
      </c>
      <c r="J34" s="10" t="s">
        <v>197</v>
      </c>
      <c r="K34" s="10" t="s">
        <v>295</v>
      </c>
    </row>
    <row r="35" spans="1:11" ht="18" customHeight="1">
      <c r="A35" s="10" t="s">
        <v>121</v>
      </c>
      <c r="B35" s="10" t="s">
        <v>122</v>
      </c>
      <c r="C35" s="10" t="s">
        <v>296</v>
      </c>
      <c r="D35" s="12">
        <v>2019</v>
      </c>
      <c r="E35" s="10">
        <v>7252</v>
      </c>
      <c r="F35" s="10">
        <v>254</v>
      </c>
      <c r="G35" s="13">
        <v>306003.28874194151</v>
      </c>
      <c r="H35" s="13">
        <v>306003.28874194151</v>
      </c>
      <c r="I35" s="13">
        <v>0</v>
      </c>
      <c r="J35" s="10" t="s">
        <v>197</v>
      </c>
      <c r="K35" s="10" t="s">
        <v>295</v>
      </c>
    </row>
    <row r="36" spans="1:11" ht="18" customHeight="1">
      <c r="A36" s="10" t="s">
        <v>103</v>
      </c>
      <c r="B36" s="10" t="s">
        <v>104</v>
      </c>
      <c r="C36" s="10" t="s">
        <v>296</v>
      </c>
      <c r="D36" s="12">
        <v>2019</v>
      </c>
      <c r="E36" s="10">
        <v>9018</v>
      </c>
      <c r="F36" s="10">
        <v>311</v>
      </c>
      <c r="G36" s="13">
        <v>453226.03085279721</v>
      </c>
      <c r="H36" s="13">
        <v>453226.03085279721</v>
      </c>
      <c r="I36" s="13">
        <v>0</v>
      </c>
      <c r="J36" s="10" t="s">
        <v>197</v>
      </c>
      <c r="K36" s="10" t="s">
        <v>295</v>
      </c>
    </row>
    <row r="37" spans="1:11" ht="18" customHeight="1">
      <c r="A37" s="10" t="s">
        <v>119</v>
      </c>
      <c r="B37" s="10" t="s">
        <v>120</v>
      </c>
      <c r="C37" s="10" t="s">
        <v>296</v>
      </c>
      <c r="D37" s="12">
        <v>2019</v>
      </c>
      <c r="E37" s="10">
        <v>448</v>
      </c>
      <c r="F37" s="10">
        <v>61</v>
      </c>
      <c r="G37" s="13">
        <v>219045.62416918139</v>
      </c>
      <c r="H37" s="13">
        <v>219045.62416918145</v>
      </c>
      <c r="I37" s="13">
        <v>5.8207660913467407E-11</v>
      </c>
      <c r="J37" s="10" t="s">
        <v>197</v>
      </c>
      <c r="K37" s="10" t="s">
        <v>295</v>
      </c>
    </row>
    <row r="38" spans="1:11" ht="18" customHeight="1">
      <c r="A38" s="10" t="s">
        <v>141</v>
      </c>
      <c r="B38" s="10" t="s">
        <v>142</v>
      </c>
      <c r="C38" s="10" t="s">
        <v>296</v>
      </c>
      <c r="D38" s="12">
        <v>2019</v>
      </c>
      <c r="E38" s="10">
        <v>1241</v>
      </c>
      <c r="F38" s="10">
        <v>64</v>
      </c>
      <c r="G38" s="13">
        <v>87093.82357372019</v>
      </c>
      <c r="H38" s="13">
        <v>87093.82357372019</v>
      </c>
      <c r="I38" s="13">
        <v>0</v>
      </c>
      <c r="J38" s="10" t="s">
        <v>197</v>
      </c>
      <c r="K38" s="10" t="s">
        <v>295</v>
      </c>
    </row>
    <row r="39" spans="1:11" ht="18" customHeight="1">
      <c r="A39" s="10" t="s">
        <v>77</v>
      </c>
      <c r="B39" s="10" t="s">
        <v>78</v>
      </c>
      <c r="C39" s="10" t="s">
        <v>296</v>
      </c>
      <c r="D39" s="12">
        <v>2019</v>
      </c>
      <c r="E39" s="10">
        <v>1939</v>
      </c>
      <c r="F39" s="10">
        <v>138</v>
      </c>
      <c r="G39" s="13">
        <v>675569.01796316425</v>
      </c>
      <c r="H39" s="13">
        <v>675569.01796316425</v>
      </c>
      <c r="I39" s="13">
        <v>0</v>
      </c>
      <c r="J39" s="10" t="s">
        <v>197</v>
      </c>
      <c r="K39" s="10" t="s">
        <v>295</v>
      </c>
    </row>
    <row r="40" spans="1:11" ht="18" customHeight="1">
      <c r="A40" s="10" t="s">
        <v>101</v>
      </c>
      <c r="B40" s="10" t="s">
        <v>102</v>
      </c>
      <c r="C40" s="10" t="s">
        <v>296</v>
      </c>
      <c r="D40" s="12">
        <v>2019</v>
      </c>
      <c r="E40" s="10">
        <v>1552</v>
      </c>
      <c r="F40" s="10">
        <v>162</v>
      </c>
      <c r="G40" s="13">
        <v>707251.51654349733</v>
      </c>
      <c r="H40" s="13">
        <v>707251.51654349722</v>
      </c>
      <c r="I40" s="13">
        <v>-1.1641532182693481E-10</v>
      </c>
      <c r="J40" s="10" t="s">
        <v>197</v>
      </c>
      <c r="K40" s="10" t="s">
        <v>295</v>
      </c>
    </row>
    <row r="41" spans="1:11" ht="18" customHeight="1">
      <c r="A41" s="10" t="s">
        <v>39</v>
      </c>
      <c r="B41" s="10" t="s">
        <v>40</v>
      </c>
      <c r="C41" s="10" t="s">
        <v>296</v>
      </c>
      <c r="D41" s="12">
        <v>2019</v>
      </c>
      <c r="E41" s="10">
        <v>13340</v>
      </c>
      <c r="F41" s="10">
        <v>312</v>
      </c>
      <c r="G41" s="13">
        <v>2717260.6982051707</v>
      </c>
      <c r="H41" s="13">
        <v>2717260.6982051707</v>
      </c>
      <c r="I41" s="13">
        <v>0</v>
      </c>
      <c r="J41" s="10" t="s">
        <v>197</v>
      </c>
      <c r="K41" s="10" t="s">
        <v>295</v>
      </c>
    </row>
    <row r="42" spans="1:11" ht="18" customHeight="1">
      <c r="A42" s="10" t="s">
        <v>113</v>
      </c>
      <c r="B42" s="10" t="s">
        <v>114</v>
      </c>
      <c r="C42" s="10" t="s">
        <v>296</v>
      </c>
      <c r="D42" s="12">
        <v>2019</v>
      </c>
      <c r="E42" s="10">
        <v>9364</v>
      </c>
      <c r="F42" s="10">
        <v>117</v>
      </c>
      <c r="G42" s="13">
        <v>937172.64699300565</v>
      </c>
      <c r="H42" s="13">
        <v>937172.64699300565</v>
      </c>
      <c r="I42" s="13">
        <v>0</v>
      </c>
      <c r="J42" s="10" t="s">
        <v>197</v>
      </c>
      <c r="K42" s="10" t="s">
        <v>295</v>
      </c>
    </row>
    <row r="43" spans="1:11" ht="18" customHeight="1">
      <c r="A43" s="10" t="s">
        <v>55</v>
      </c>
      <c r="B43" s="10" t="s">
        <v>56</v>
      </c>
      <c r="C43" s="10" t="s">
        <v>296</v>
      </c>
      <c r="D43" s="12">
        <v>2019</v>
      </c>
      <c r="E43" s="10">
        <v>14673</v>
      </c>
      <c r="F43" s="10">
        <v>383</v>
      </c>
      <c r="G43" s="13">
        <v>1139679.5670890671</v>
      </c>
      <c r="H43" s="13">
        <v>1139679.5670890671</v>
      </c>
      <c r="I43" s="13">
        <v>0</v>
      </c>
      <c r="J43" s="10" t="s">
        <v>197</v>
      </c>
      <c r="K43" s="10" t="s">
        <v>295</v>
      </c>
    </row>
    <row r="44" spans="1:11" ht="18" customHeight="1">
      <c r="A44" s="10" t="s">
        <v>99</v>
      </c>
      <c r="B44" s="10" t="s">
        <v>100</v>
      </c>
      <c r="C44" s="10" t="s">
        <v>296</v>
      </c>
      <c r="D44" s="12">
        <v>2019</v>
      </c>
      <c r="E44" s="10">
        <v>10442</v>
      </c>
      <c r="F44" s="10">
        <v>432</v>
      </c>
      <c r="G44" s="13">
        <v>429516.33309482579</v>
      </c>
      <c r="H44" s="13">
        <v>429516.33309482585</v>
      </c>
      <c r="I44" s="13">
        <v>5.8207660913467407E-11</v>
      </c>
      <c r="J44" s="10" t="s">
        <v>197</v>
      </c>
      <c r="K44" s="10" t="s">
        <v>295</v>
      </c>
    </row>
    <row r="45" spans="1:11" ht="18" customHeight="1">
      <c r="A45" s="10" t="s">
        <v>57</v>
      </c>
      <c r="B45" s="10" t="s">
        <v>58</v>
      </c>
      <c r="C45" s="10" t="s">
        <v>296</v>
      </c>
      <c r="D45" s="12">
        <v>2019</v>
      </c>
      <c r="E45" s="10">
        <v>25132</v>
      </c>
      <c r="F45" s="10">
        <v>482</v>
      </c>
      <c r="G45" s="13">
        <v>1487741.6269238535</v>
      </c>
      <c r="H45" s="13">
        <v>1487741.6269238533</v>
      </c>
      <c r="I45" s="13">
        <v>-2.3283064365386963E-10</v>
      </c>
      <c r="J45" s="10" t="s">
        <v>197</v>
      </c>
      <c r="K45" s="10" t="s">
        <v>295</v>
      </c>
    </row>
    <row r="46" spans="1:11" ht="18" customHeight="1">
      <c r="A46" s="10" t="s">
        <v>30</v>
      </c>
      <c r="B46" s="10" t="s">
        <v>31</v>
      </c>
      <c r="C46" s="10" t="s">
        <v>296</v>
      </c>
      <c r="D46" s="12">
        <v>2019</v>
      </c>
      <c r="E46" s="10">
        <v>8933</v>
      </c>
      <c r="F46" s="10">
        <v>412</v>
      </c>
      <c r="G46" s="13">
        <v>5771015.2573294127</v>
      </c>
      <c r="H46" s="13">
        <v>5771015.2573294127</v>
      </c>
      <c r="I46" s="13">
        <v>0</v>
      </c>
      <c r="J46" s="10" t="s">
        <v>197</v>
      </c>
      <c r="K46" s="10" t="s">
        <v>295</v>
      </c>
    </row>
    <row r="47" spans="1:11" ht="18" customHeight="1">
      <c r="A47" s="10" t="s">
        <v>32</v>
      </c>
      <c r="B47" s="10" t="s">
        <v>33</v>
      </c>
      <c r="C47" s="10" t="s">
        <v>296</v>
      </c>
      <c r="D47" s="12">
        <v>2019</v>
      </c>
      <c r="E47" s="10">
        <v>9016</v>
      </c>
      <c r="F47" s="10">
        <v>325</v>
      </c>
      <c r="G47" s="13">
        <v>4469154.9811442439</v>
      </c>
      <c r="H47" s="13">
        <v>4469154.9811442439</v>
      </c>
      <c r="I47" s="13">
        <v>0</v>
      </c>
      <c r="J47" s="10" t="s">
        <v>197</v>
      </c>
      <c r="K47" s="10" t="s">
        <v>295</v>
      </c>
    </row>
    <row r="48" spans="1:11" ht="18" customHeight="1">
      <c r="A48" s="10" t="s">
        <v>59</v>
      </c>
      <c r="B48" s="10" t="s">
        <v>60</v>
      </c>
      <c r="C48" s="10" t="s">
        <v>296</v>
      </c>
      <c r="D48" s="12">
        <v>2019</v>
      </c>
      <c r="E48" s="10">
        <v>2387</v>
      </c>
      <c r="F48" s="10">
        <v>147</v>
      </c>
      <c r="G48" s="13">
        <v>1592518.0818040827</v>
      </c>
      <c r="H48" s="13">
        <v>1592518.0818040827</v>
      </c>
      <c r="I48" s="13">
        <v>0</v>
      </c>
      <c r="J48" s="10" t="s">
        <v>197</v>
      </c>
      <c r="K48" s="10" t="s">
        <v>295</v>
      </c>
    </row>
    <row r="49" spans="1:11" ht="18" customHeight="1">
      <c r="A49" s="10" t="s">
        <v>91</v>
      </c>
      <c r="B49" s="10" t="s">
        <v>92</v>
      </c>
      <c r="C49" s="10" t="s">
        <v>296</v>
      </c>
      <c r="D49" s="12">
        <v>2019</v>
      </c>
      <c r="E49" s="10">
        <v>3912</v>
      </c>
      <c r="F49" s="10">
        <v>272</v>
      </c>
      <c r="G49" s="13">
        <v>794215.42597631435</v>
      </c>
      <c r="H49" s="13">
        <v>794215.42597631423</v>
      </c>
      <c r="I49" s="13">
        <v>-1.1641532182693481E-10</v>
      </c>
      <c r="J49" s="10" t="s">
        <v>197</v>
      </c>
      <c r="K49" s="10" t="s">
        <v>295</v>
      </c>
    </row>
    <row r="50" spans="1:11" ht="18" customHeight="1">
      <c r="A50" s="10" t="s">
        <v>117</v>
      </c>
      <c r="B50" s="10" t="s">
        <v>118</v>
      </c>
      <c r="C50" s="10" t="s">
        <v>296</v>
      </c>
      <c r="D50" s="12">
        <v>2019</v>
      </c>
      <c r="E50" s="10">
        <v>2021</v>
      </c>
      <c r="F50" s="10">
        <v>205</v>
      </c>
      <c r="G50" s="13">
        <v>237379.07863162042</v>
      </c>
      <c r="H50" s="13">
        <v>237379.07863162039</v>
      </c>
      <c r="I50" s="13">
        <v>-2.9103830456733704E-11</v>
      </c>
      <c r="J50" s="10" t="s">
        <v>197</v>
      </c>
      <c r="K50" s="10" t="s">
        <v>295</v>
      </c>
    </row>
    <row r="51" spans="1:11" ht="18" customHeight="1">
      <c r="A51" s="10" t="s">
        <v>20</v>
      </c>
      <c r="B51" s="10" t="s">
        <v>21</v>
      </c>
      <c r="C51" s="10" t="s">
        <v>296</v>
      </c>
      <c r="D51" s="12">
        <v>2019</v>
      </c>
      <c r="E51" s="10">
        <v>16251</v>
      </c>
      <c r="F51" s="10">
        <v>393</v>
      </c>
      <c r="G51" s="13">
        <v>5436428.7938038176</v>
      </c>
      <c r="H51" s="13">
        <v>5436428.7938038185</v>
      </c>
      <c r="I51" s="13">
        <v>9.3132257461547852E-10</v>
      </c>
      <c r="J51" s="10" t="s">
        <v>197</v>
      </c>
      <c r="K51" s="10" t="s">
        <v>295</v>
      </c>
    </row>
    <row r="52" spans="1:11" ht="18" customHeight="1">
      <c r="A52" s="10" t="s">
        <v>129</v>
      </c>
      <c r="B52" s="10" t="s">
        <v>130</v>
      </c>
      <c r="C52" s="10" t="s">
        <v>296</v>
      </c>
      <c r="D52" s="12">
        <v>2019</v>
      </c>
      <c r="E52" s="10">
        <v>4755</v>
      </c>
      <c r="F52" s="10">
        <v>193</v>
      </c>
      <c r="G52" s="13">
        <v>147100.3417814472</v>
      </c>
      <c r="H52" s="13">
        <v>147100.34178144718</v>
      </c>
      <c r="I52" s="13">
        <v>-2.9103830456733704E-11</v>
      </c>
      <c r="J52" s="10" t="s">
        <v>197</v>
      </c>
      <c r="K52" s="10" t="s">
        <v>295</v>
      </c>
    </row>
    <row r="53" spans="1:11" ht="18" customHeight="1">
      <c r="A53" s="10" t="s">
        <v>22</v>
      </c>
      <c r="B53" s="10" t="s">
        <v>23</v>
      </c>
      <c r="C53" s="10" t="s">
        <v>296</v>
      </c>
      <c r="D53" s="12">
        <v>2019</v>
      </c>
      <c r="E53" s="10">
        <v>8639</v>
      </c>
      <c r="F53" s="10">
        <v>288</v>
      </c>
      <c r="G53" s="13">
        <v>6697725.785375867</v>
      </c>
      <c r="H53" s="13">
        <v>6697725.785375867</v>
      </c>
      <c r="I53" s="13">
        <v>0</v>
      </c>
      <c r="J53" s="10" t="s">
        <v>197</v>
      </c>
      <c r="K53" s="10" t="s">
        <v>295</v>
      </c>
    </row>
    <row r="54" spans="1:11" ht="18" customHeight="1">
      <c r="A54" s="10" t="s">
        <v>37</v>
      </c>
      <c r="B54" s="10" t="s">
        <v>38</v>
      </c>
      <c r="C54" s="10" t="s">
        <v>296</v>
      </c>
      <c r="D54" s="12">
        <v>2019</v>
      </c>
      <c r="E54" s="10">
        <v>8389</v>
      </c>
      <c r="F54" s="10">
        <v>214</v>
      </c>
      <c r="G54" s="13">
        <v>2615825.056861822</v>
      </c>
      <c r="H54" s="13">
        <v>2615825.056861822</v>
      </c>
      <c r="I54" s="13">
        <v>0</v>
      </c>
      <c r="J54" s="10" t="s">
        <v>197</v>
      </c>
      <c r="K54" s="10" t="s">
        <v>295</v>
      </c>
    </row>
    <row r="55" spans="1:11" ht="18" customHeight="1">
      <c r="A55" s="10" t="s">
        <v>17</v>
      </c>
      <c r="B55" s="10" t="s">
        <v>18</v>
      </c>
      <c r="C55" s="10" t="s">
        <v>296</v>
      </c>
      <c r="D55" s="12">
        <v>2019</v>
      </c>
      <c r="E55" s="10">
        <v>14092</v>
      </c>
      <c r="F55" s="10">
        <v>340</v>
      </c>
      <c r="G55" s="13">
        <v>11101666.087778974</v>
      </c>
      <c r="H55" s="13">
        <v>11101666.087778976</v>
      </c>
      <c r="I55" s="13">
        <v>1.862645149230957E-9</v>
      </c>
      <c r="J55" s="10" t="s">
        <v>197</v>
      </c>
      <c r="K55" s="10" t="s">
        <v>295</v>
      </c>
    </row>
    <row r="56" spans="1:11" ht="18" customHeight="1">
      <c r="A56" s="10" t="s">
        <v>61</v>
      </c>
      <c r="B56" s="10" t="s">
        <v>62</v>
      </c>
      <c r="C56" s="10" t="s">
        <v>296</v>
      </c>
      <c r="D56" s="12">
        <v>2019</v>
      </c>
      <c r="E56" s="10">
        <v>5616</v>
      </c>
      <c r="F56" s="10">
        <v>219</v>
      </c>
      <c r="G56" s="13">
        <v>1731971.9673227617</v>
      </c>
      <c r="H56" s="13">
        <v>1731971.9673227617</v>
      </c>
      <c r="I56" s="13">
        <v>0</v>
      </c>
      <c r="J56" s="10" t="s">
        <v>197</v>
      </c>
      <c r="K56" s="10" t="s">
        <v>295</v>
      </c>
    </row>
    <row r="57" spans="1:11" ht="18" customHeight="1">
      <c r="A57" s="10" t="s">
        <v>43</v>
      </c>
      <c r="B57" s="10" t="s">
        <v>44</v>
      </c>
      <c r="C57" s="10" t="s">
        <v>296</v>
      </c>
      <c r="D57" s="12">
        <v>2019</v>
      </c>
      <c r="E57" s="10">
        <v>2314</v>
      </c>
      <c r="F57" s="10">
        <v>142</v>
      </c>
      <c r="G57" s="13">
        <v>2883541.9537540907</v>
      </c>
      <c r="H57" s="13">
        <v>2883541.9537540907</v>
      </c>
      <c r="I57" s="13">
        <v>0</v>
      </c>
      <c r="J57" s="10" t="s">
        <v>197</v>
      </c>
      <c r="K57" s="10" t="s">
        <v>295</v>
      </c>
    </row>
    <row r="58" spans="1:11" ht="18" customHeight="1">
      <c r="A58" s="10" t="s">
        <v>149</v>
      </c>
      <c r="B58" s="10" t="s">
        <v>150</v>
      </c>
      <c r="C58" s="10" t="s">
        <v>296</v>
      </c>
      <c r="D58" s="12">
        <v>2019</v>
      </c>
      <c r="E58" s="10">
        <v>5676</v>
      </c>
      <c r="F58" s="10">
        <v>452</v>
      </c>
      <c r="G58" s="13">
        <v>44872.4444403339</v>
      </c>
      <c r="H58" s="13">
        <v>44872.4444403339</v>
      </c>
      <c r="I58" s="13">
        <v>0</v>
      </c>
      <c r="J58" s="10" t="s">
        <v>197</v>
      </c>
      <c r="K58" s="10" t="s">
        <v>295</v>
      </c>
    </row>
    <row r="59" spans="1:11" ht="18" customHeight="1">
      <c r="A59" s="10" t="s">
        <v>155</v>
      </c>
      <c r="B59" s="10" t="s">
        <v>156</v>
      </c>
      <c r="C59" s="10" t="s">
        <v>296</v>
      </c>
      <c r="D59" s="12">
        <v>2019</v>
      </c>
      <c r="E59" s="10">
        <v>3146</v>
      </c>
      <c r="F59" s="10">
        <v>332</v>
      </c>
      <c r="G59" s="13">
        <v>22842.5316976432</v>
      </c>
      <c r="H59" s="13">
        <v>22842.5316976432</v>
      </c>
      <c r="I59" s="13">
        <v>0</v>
      </c>
      <c r="J59" s="10" t="s">
        <v>197</v>
      </c>
      <c r="K59" s="10" t="s">
        <v>295</v>
      </c>
    </row>
    <row r="60" spans="1:11" ht="18" customHeight="1">
      <c r="A60" s="10" t="s">
        <v>151</v>
      </c>
      <c r="B60" s="10" t="s">
        <v>152</v>
      </c>
      <c r="C60" s="10" t="s">
        <v>296</v>
      </c>
      <c r="D60" s="12">
        <v>2019</v>
      </c>
      <c r="E60" s="10">
        <v>4133</v>
      </c>
      <c r="F60" s="10">
        <v>382</v>
      </c>
      <c r="G60" s="13">
        <v>39281.024733703103</v>
      </c>
      <c r="H60" s="13">
        <v>39281.024733703103</v>
      </c>
      <c r="I60" s="13">
        <v>0</v>
      </c>
      <c r="J60" s="10" t="s">
        <v>197</v>
      </c>
      <c r="K60" s="10" t="s">
        <v>295</v>
      </c>
    </row>
    <row r="61" spans="1:11" ht="18" customHeight="1">
      <c r="A61" s="10" t="s">
        <v>157</v>
      </c>
      <c r="B61" s="10" t="s">
        <v>158</v>
      </c>
      <c r="C61" s="10" t="s">
        <v>296</v>
      </c>
      <c r="D61" s="12">
        <v>2019</v>
      </c>
      <c r="E61" s="10">
        <v>2895</v>
      </c>
      <c r="F61" s="10">
        <v>246</v>
      </c>
      <c r="G61" s="13">
        <v>32645.754357906102</v>
      </c>
      <c r="H61" s="13">
        <v>32645.754357906095</v>
      </c>
      <c r="I61" s="13">
        <v>-7.2759576141834259E-12</v>
      </c>
      <c r="J61" s="10" t="s">
        <v>197</v>
      </c>
      <c r="K61" s="10" t="s">
        <v>295</v>
      </c>
    </row>
    <row r="62" spans="1:11" ht="18" customHeight="1">
      <c r="A62" s="10" t="s">
        <v>159</v>
      </c>
      <c r="B62" s="10" t="s">
        <v>160</v>
      </c>
      <c r="C62" s="10" t="s">
        <v>296</v>
      </c>
      <c r="D62" s="12">
        <v>2019</v>
      </c>
      <c r="E62" s="10">
        <v>2139</v>
      </c>
      <c r="F62" s="10">
        <v>245</v>
      </c>
      <c r="G62" s="13">
        <v>30450.917424912201</v>
      </c>
      <c r="H62" s="13">
        <v>30450.917424912201</v>
      </c>
      <c r="I62" s="13">
        <v>0</v>
      </c>
      <c r="J62" s="10" t="s">
        <v>197</v>
      </c>
      <c r="K62" s="10" t="s">
        <v>295</v>
      </c>
    </row>
    <row r="63" spans="1:11" ht="18" customHeight="1">
      <c r="A63" s="10" t="s">
        <v>163</v>
      </c>
      <c r="B63" s="10" t="s">
        <v>164</v>
      </c>
      <c r="C63" s="10" t="s">
        <v>296</v>
      </c>
      <c r="D63" s="12">
        <v>2019</v>
      </c>
      <c r="E63" s="10">
        <v>2969</v>
      </c>
      <c r="F63" s="10">
        <v>411</v>
      </c>
      <c r="G63" s="13">
        <v>19839.072931287599</v>
      </c>
      <c r="H63" s="13">
        <v>19839.072931287599</v>
      </c>
      <c r="I63" s="13">
        <v>0</v>
      </c>
      <c r="J63" s="10" t="s">
        <v>197</v>
      </c>
      <c r="K63" s="10" t="s">
        <v>295</v>
      </c>
    </row>
    <row r="64" spans="1:11" ht="18" customHeight="1">
      <c r="A64" s="10" t="s">
        <v>161</v>
      </c>
      <c r="B64" s="10" t="s">
        <v>162</v>
      </c>
      <c r="C64" s="10" t="s">
        <v>296</v>
      </c>
      <c r="D64" s="12">
        <v>2019</v>
      </c>
      <c r="E64" s="10">
        <v>3021</v>
      </c>
      <c r="F64" s="10">
        <v>410</v>
      </c>
      <c r="G64" s="13">
        <v>44647.944981429304</v>
      </c>
      <c r="H64" s="13">
        <v>44647.944981429297</v>
      </c>
      <c r="I64" s="13">
        <v>-7.2759576141834259E-12</v>
      </c>
      <c r="J64" s="10" t="s">
        <v>197</v>
      </c>
      <c r="K64" s="10" t="s">
        <v>295</v>
      </c>
    </row>
    <row r="65" spans="1:11" ht="18" customHeight="1">
      <c r="A65" s="10" t="s">
        <v>73</v>
      </c>
      <c r="B65" s="10" t="s">
        <v>74</v>
      </c>
      <c r="C65" s="10" t="s">
        <v>296</v>
      </c>
      <c r="D65" s="12">
        <v>2019</v>
      </c>
      <c r="E65" s="10">
        <v>4667</v>
      </c>
      <c r="F65" s="10">
        <v>197</v>
      </c>
      <c r="G65" s="13">
        <v>431127.77716673305</v>
      </c>
      <c r="H65" s="13">
        <v>431127.77716673305</v>
      </c>
      <c r="I65" s="13">
        <v>0</v>
      </c>
      <c r="J65" s="10" t="s">
        <v>197</v>
      </c>
      <c r="K65" s="10" t="s">
        <v>295</v>
      </c>
    </row>
    <row r="66" spans="1:11" ht="18" customHeight="1">
      <c r="A66" s="10" t="s">
        <v>24</v>
      </c>
      <c r="B66" s="10" t="s">
        <v>25</v>
      </c>
      <c r="C66" s="10" t="s">
        <v>296</v>
      </c>
      <c r="D66" s="12">
        <v>2019</v>
      </c>
      <c r="E66" s="10">
        <v>6581</v>
      </c>
      <c r="F66" s="10">
        <v>254</v>
      </c>
      <c r="G66" s="13">
        <v>5649829.9842101932</v>
      </c>
      <c r="H66" s="13">
        <v>5649829.9842101932</v>
      </c>
      <c r="I66" s="13">
        <v>0</v>
      </c>
      <c r="J66" s="10" t="s">
        <v>197</v>
      </c>
      <c r="K66" s="10" t="s">
        <v>295</v>
      </c>
    </row>
    <row r="67" spans="1:11" ht="18" customHeight="1">
      <c r="A67" s="10" t="s">
        <v>45</v>
      </c>
      <c r="B67" s="10" t="s">
        <v>46</v>
      </c>
      <c r="C67" s="10" t="s">
        <v>296</v>
      </c>
      <c r="D67" s="12">
        <v>2019</v>
      </c>
      <c r="E67" s="10">
        <v>3922</v>
      </c>
      <c r="F67" s="10">
        <v>175</v>
      </c>
      <c r="G67" s="13">
        <v>2658977.9688993068</v>
      </c>
      <c r="H67" s="13">
        <v>2658977.9688993068</v>
      </c>
      <c r="I67" s="13">
        <v>0</v>
      </c>
      <c r="J67" s="10" t="s">
        <v>197</v>
      </c>
      <c r="K67" s="10" t="s">
        <v>295</v>
      </c>
    </row>
    <row r="68" spans="1:11" ht="18" customHeight="1">
      <c r="A68" s="10" t="s">
        <v>41</v>
      </c>
      <c r="B68" s="10" t="s">
        <v>42</v>
      </c>
      <c r="C68" s="10" t="s">
        <v>296</v>
      </c>
      <c r="D68" s="12">
        <v>2019</v>
      </c>
      <c r="E68" s="10">
        <v>5722</v>
      </c>
      <c r="F68" s="10">
        <v>229</v>
      </c>
      <c r="G68" s="13">
        <v>3090456.2651244747</v>
      </c>
      <c r="H68" s="13">
        <v>3090456.2651244747</v>
      </c>
      <c r="I68" s="13">
        <v>0</v>
      </c>
      <c r="J68" s="10" t="s">
        <v>197</v>
      </c>
      <c r="K68" s="10" t="s">
        <v>295</v>
      </c>
    </row>
    <row r="69" spans="1:11" ht="18" customHeight="1">
      <c r="A69" s="10" t="s">
        <v>49</v>
      </c>
      <c r="B69" s="10" t="s">
        <v>50</v>
      </c>
      <c r="C69" s="10" t="s">
        <v>296</v>
      </c>
      <c r="D69" s="12">
        <v>2019</v>
      </c>
      <c r="E69" s="10">
        <v>3380</v>
      </c>
      <c r="F69" s="10">
        <v>218</v>
      </c>
      <c r="G69" s="13">
        <v>2586941.8366957698</v>
      </c>
      <c r="H69" s="13">
        <v>2586941.8366957698</v>
      </c>
      <c r="I69" s="13">
        <v>0</v>
      </c>
      <c r="J69" s="10" t="s">
        <v>197</v>
      </c>
      <c r="K69" s="10" t="s">
        <v>295</v>
      </c>
    </row>
    <row r="70" spans="1:11" ht="18" customHeight="1">
      <c r="A70" s="10" t="s">
        <v>87</v>
      </c>
      <c r="B70" s="10" t="s">
        <v>88</v>
      </c>
      <c r="C70" s="10" t="s">
        <v>296</v>
      </c>
      <c r="D70" s="12">
        <v>2019</v>
      </c>
      <c r="E70" s="10">
        <v>1944</v>
      </c>
      <c r="F70" s="10">
        <v>143</v>
      </c>
      <c r="G70" s="13">
        <v>1092021.8374498228</v>
      </c>
      <c r="H70" s="13">
        <v>1092021.837449823</v>
      </c>
      <c r="I70" s="13">
        <v>2.3283064365386963E-10</v>
      </c>
      <c r="J70" s="10" t="s">
        <v>197</v>
      </c>
      <c r="K70" s="10" t="s">
        <v>295</v>
      </c>
    </row>
    <row r="71" spans="1:11" ht="18" customHeight="1">
      <c r="A71" s="10" t="s">
        <v>26</v>
      </c>
      <c r="B71" s="10" t="s">
        <v>27</v>
      </c>
      <c r="C71" s="10" t="s">
        <v>296</v>
      </c>
      <c r="D71" s="12">
        <v>2019</v>
      </c>
      <c r="E71" s="10">
        <v>1732</v>
      </c>
      <c r="F71" s="10">
        <v>131</v>
      </c>
      <c r="G71" s="13">
        <v>4800852.1256251186</v>
      </c>
      <c r="H71" s="13">
        <v>4800852.1256251186</v>
      </c>
      <c r="I71" s="13">
        <v>0</v>
      </c>
      <c r="J71" s="10" t="s">
        <v>197</v>
      </c>
      <c r="K71" s="10" t="s">
        <v>295</v>
      </c>
    </row>
    <row r="72" spans="1:11" ht="18" customHeight="1">
      <c r="A72" s="10" t="s">
        <v>89</v>
      </c>
      <c r="B72" s="10" t="s">
        <v>90</v>
      </c>
      <c r="C72" s="10" t="s">
        <v>296</v>
      </c>
      <c r="D72" s="12">
        <v>2019</v>
      </c>
      <c r="E72" s="10">
        <v>512</v>
      </c>
      <c r="F72" s="10">
        <v>63</v>
      </c>
      <c r="G72" s="13">
        <v>705687.52207760385</v>
      </c>
      <c r="H72" s="13">
        <v>705687.52207760385</v>
      </c>
      <c r="I72" s="13">
        <v>0</v>
      </c>
      <c r="J72" s="10" t="s">
        <v>197</v>
      </c>
      <c r="K72" s="10" t="s">
        <v>295</v>
      </c>
    </row>
    <row r="73" spans="1:11" ht="18" customHeight="1">
      <c r="A73" s="10" t="s">
        <v>125</v>
      </c>
      <c r="B73" s="10" t="s">
        <v>126</v>
      </c>
      <c r="C73" s="10" t="s">
        <v>296</v>
      </c>
      <c r="D73" s="12">
        <v>2019</v>
      </c>
      <c r="E73" s="10">
        <v>871</v>
      </c>
      <c r="F73" s="10">
        <v>93</v>
      </c>
      <c r="G73" s="13">
        <v>348828.22127339599</v>
      </c>
      <c r="H73" s="13">
        <v>348828.22127339599</v>
      </c>
      <c r="I73" s="13">
        <v>0</v>
      </c>
      <c r="J73" s="10" t="s">
        <v>197</v>
      </c>
      <c r="K73" s="10" t="s">
        <v>295</v>
      </c>
    </row>
    <row r="74" spans="1:11" ht="18" customHeight="1">
      <c r="A74" s="10" t="s">
        <v>173</v>
      </c>
      <c r="B74" s="10" t="s">
        <v>174</v>
      </c>
      <c r="C74" s="10" t="s">
        <v>296</v>
      </c>
      <c r="D74" s="12">
        <v>2019</v>
      </c>
      <c r="E74" s="10">
        <v>97</v>
      </c>
      <c r="F74" s="10">
        <v>19</v>
      </c>
      <c r="G74" s="13">
        <v>212.78852302800001</v>
      </c>
      <c r="H74" s="13">
        <v>212.78852302800001</v>
      </c>
      <c r="I74" s="13">
        <v>0</v>
      </c>
      <c r="J74" s="10" t="s">
        <v>197</v>
      </c>
      <c r="K74" s="10" t="s">
        <v>295</v>
      </c>
    </row>
    <row r="75" spans="1:11" ht="18" customHeight="1">
      <c r="A75" s="10" t="s">
        <v>177</v>
      </c>
      <c r="B75" s="10" t="s">
        <v>178</v>
      </c>
      <c r="C75" s="10" t="s">
        <v>296</v>
      </c>
      <c r="D75" s="12">
        <v>2019</v>
      </c>
      <c r="E75" s="10">
        <v>4</v>
      </c>
      <c r="F75" s="10">
        <v>4</v>
      </c>
      <c r="G75" s="13">
        <v>1304.0687744917</v>
      </c>
      <c r="H75" s="13">
        <v>1304.0687744917</v>
      </c>
      <c r="I75" s="13">
        <v>0</v>
      </c>
      <c r="J75" s="10" t="s">
        <v>197</v>
      </c>
      <c r="K75" s="10" t="s">
        <v>295</v>
      </c>
    </row>
    <row r="76" spans="1:11" ht="18" customHeight="1">
      <c r="A76" s="10" t="s">
        <v>171</v>
      </c>
      <c r="B76" s="10" t="s">
        <v>172</v>
      </c>
      <c r="C76" s="10" t="s">
        <v>296</v>
      </c>
      <c r="D76" s="12">
        <v>2019</v>
      </c>
      <c r="E76" s="10">
        <v>5</v>
      </c>
      <c r="F76" s="10">
        <v>5</v>
      </c>
      <c r="G76" s="13">
        <v>2616.1834162357</v>
      </c>
      <c r="H76" s="13">
        <v>2616.1834162357</v>
      </c>
      <c r="I76" s="13">
        <v>0</v>
      </c>
      <c r="J76" s="10" t="s">
        <v>197</v>
      </c>
      <c r="K76" s="10" t="s">
        <v>295</v>
      </c>
    </row>
    <row r="77" spans="1:11" ht="18" customHeight="1">
      <c r="A77" s="10" t="s">
        <v>179</v>
      </c>
      <c r="B77" s="10" t="s">
        <v>180</v>
      </c>
      <c r="C77" s="10" t="s">
        <v>296</v>
      </c>
      <c r="D77" s="12">
        <v>2019</v>
      </c>
      <c r="E77" s="10">
        <v>5</v>
      </c>
      <c r="F77" s="10">
        <v>5</v>
      </c>
      <c r="G77" s="13">
        <v>719.28920190779991</v>
      </c>
      <c r="H77" s="13">
        <v>719.28920190779991</v>
      </c>
      <c r="I77" s="13">
        <v>0</v>
      </c>
      <c r="J77" s="10" t="s">
        <v>197</v>
      </c>
      <c r="K77" s="10" t="s">
        <v>295</v>
      </c>
    </row>
    <row r="78" spans="1:11" ht="18" customHeight="1">
      <c r="A78" s="10" t="s">
        <v>75</v>
      </c>
      <c r="B78" s="10" t="s">
        <v>76</v>
      </c>
      <c r="C78" s="10" t="s">
        <v>296</v>
      </c>
      <c r="D78" s="12">
        <v>2019</v>
      </c>
      <c r="E78" s="10">
        <v>1595</v>
      </c>
      <c r="F78" s="10">
        <v>74</v>
      </c>
      <c r="G78" s="13">
        <v>697974.91168561147</v>
      </c>
      <c r="H78" s="13">
        <v>697974.91168561124</v>
      </c>
      <c r="I78" s="13">
        <v>-2.3283064365386963E-10</v>
      </c>
      <c r="J78" s="10" t="s">
        <v>197</v>
      </c>
      <c r="K78" s="10" t="s">
        <v>295</v>
      </c>
    </row>
    <row r="79" spans="1:11" ht="18" customHeight="1">
      <c r="A79" s="10" t="s">
        <v>93</v>
      </c>
      <c r="B79" s="10" t="s">
        <v>94</v>
      </c>
      <c r="C79" s="10" t="s">
        <v>296</v>
      </c>
      <c r="D79" s="12">
        <v>2019</v>
      </c>
      <c r="E79" s="10">
        <v>1872</v>
      </c>
      <c r="F79" s="10">
        <v>114</v>
      </c>
      <c r="G79" s="13">
        <v>420222.20101457392</v>
      </c>
      <c r="H79" s="13">
        <v>420222.20101457386</v>
      </c>
      <c r="I79" s="13">
        <v>-5.8207660913467407E-11</v>
      </c>
      <c r="J79" s="10" t="s">
        <v>197</v>
      </c>
      <c r="K79" s="10" t="s">
        <v>295</v>
      </c>
    </row>
    <row r="80" spans="1:11" ht="18" customHeight="1">
      <c r="A80" s="10" t="s">
        <v>183</v>
      </c>
      <c r="B80" s="10" t="s">
        <v>184</v>
      </c>
      <c r="C80" s="10" t="s">
        <v>296</v>
      </c>
      <c r="D80" s="12">
        <v>2019</v>
      </c>
      <c r="E80" s="10">
        <v>73</v>
      </c>
      <c r="F80" s="10">
        <v>10</v>
      </c>
      <c r="G80" s="13">
        <v>0.2496140134</v>
      </c>
      <c r="H80" s="13">
        <v>0.24961401340000003</v>
      </c>
      <c r="I80" s="13">
        <v>2.7755575615628914E-17</v>
      </c>
      <c r="J80" s="10" t="s">
        <v>197</v>
      </c>
      <c r="K80" s="10" t="s">
        <v>295</v>
      </c>
    </row>
    <row r="81" spans="1:11" ht="18" customHeight="1">
      <c r="A81" s="10" t="s">
        <v>105</v>
      </c>
      <c r="B81" s="10" t="s">
        <v>106</v>
      </c>
      <c r="C81" s="10" t="s">
        <v>296</v>
      </c>
      <c r="D81" s="12">
        <v>2019</v>
      </c>
      <c r="E81" s="10">
        <v>3337</v>
      </c>
      <c r="F81" s="10">
        <v>120</v>
      </c>
      <c r="G81" s="13">
        <v>1145168.185954724</v>
      </c>
      <c r="H81" s="13">
        <v>1145168.185954724</v>
      </c>
      <c r="I81" s="13">
        <v>0</v>
      </c>
      <c r="J81" s="10" t="s">
        <v>197</v>
      </c>
      <c r="K81" s="10" t="s">
        <v>295</v>
      </c>
    </row>
    <row r="82" spans="1:11" ht="18" customHeight="1">
      <c r="A82" s="10" t="s">
        <v>167</v>
      </c>
      <c r="B82" s="10" t="s">
        <v>168</v>
      </c>
      <c r="C82" s="10" t="s">
        <v>296</v>
      </c>
      <c r="D82" s="12">
        <v>2019</v>
      </c>
      <c r="E82" s="10">
        <v>154</v>
      </c>
      <c r="F82" s="10">
        <v>44</v>
      </c>
      <c r="G82" s="13">
        <v>1269.7356306080001</v>
      </c>
      <c r="H82" s="13">
        <v>1269.7356306080001</v>
      </c>
      <c r="I82" s="13">
        <v>0</v>
      </c>
      <c r="J82" s="10" t="s">
        <v>197</v>
      </c>
      <c r="K82" s="10" t="s">
        <v>295</v>
      </c>
    </row>
    <row r="83" spans="1:11" ht="18" customHeight="1">
      <c r="A83" s="10" t="s">
        <v>187</v>
      </c>
      <c r="B83" s="10"/>
      <c r="C83" s="10"/>
      <c r="D83" s="12">
        <v>2019</v>
      </c>
      <c r="E83" s="10">
        <v>0</v>
      </c>
      <c r="F83" s="10">
        <v>0</v>
      </c>
      <c r="G83" s="13">
        <v>0</v>
      </c>
      <c r="H83" s="13">
        <v>0</v>
      </c>
      <c r="I83" s="13">
        <v>0</v>
      </c>
      <c r="J83" s="10" t="s">
        <v>197</v>
      </c>
      <c r="K83" s="10" t="s">
        <v>293</v>
      </c>
    </row>
    <row r="84" spans="1:11" ht="18" customHeight="1">
      <c r="A84" s="10" t="s">
        <v>139</v>
      </c>
      <c r="B84" s="10" t="s">
        <v>140</v>
      </c>
      <c r="C84" s="10" t="s">
        <v>296</v>
      </c>
      <c r="D84" s="12">
        <v>2019</v>
      </c>
      <c r="E84" s="10">
        <v>435</v>
      </c>
      <c r="F84" s="10">
        <v>68</v>
      </c>
      <c r="G84" s="13">
        <v>151507.6717909796</v>
      </c>
      <c r="H84" s="13">
        <v>151507.6717909796</v>
      </c>
      <c r="I84" s="13">
        <v>0</v>
      </c>
      <c r="J84" s="10" t="s">
        <v>197</v>
      </c>
      <c r="K84" s="10" t="s">
        <v>295</v>
      </c>
    </row>
    <row r="85" spans="1:11" ht="18" customHeight="1">
      <c r="A85" s="10" t="s">
        <v>181</v>
      </c>
      <c r="B85" s="10" t="s">
        <v>182</v>
      </c>
      <c r="C85" s="10" t="s">
        <v>296</v>
      </c>
      <c r="D85" s="12">
        <v>2019</v>
      </c>
      <c r="E85" s="10">
        <v>110</v>
      </c>
      <c r="F85" s="10">
        <v>21</v>
      </c>
      <c r="G85" s="13">
        <v>53.591934083899986</v>
      </c>
      <c r="H85" s="13">
        <v>53.5919340839</v>
      </c>
      <c r="I85" s="13">
        <v>1.4210854715202004E-14</v>
      </c>
      <c r="J85" s="10" t="s">
        <v>197</v>
      </c>
      <c r="K85" s="10" t="s">
        <v>295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showGridLines="0" workbookViewId="0">
      <selection activeCell="B10" sqref="B10"/>
    </sheetView>
  </sheetViews>
  <sheetFormatPr defaultRowHeight="14"/>
  <cols>
    <col min="1" max="1" width="31" customWidth="1"/>
    <col min="2" max="2" width="28" customWidth="1"/>
    <col min="3" max="3" width="68" customWidth="1"/>
  </cols>
  <sheetData>
    <row r="1" spans="1:3" ht="30" customHeight="1">
      <c r="A1" s="21" t="s">
        <v>297</v>
      </c>
      <c r="B1" s="21"/>
      <c r="C1" s="21"/>
    </row>
    <row r="3" spans="1:3">
      <c r="A3" s="1" t="s">
        <v>298</v>
      </c>
      <c r="B3" s="2" t="s">
        <v>299</v>
      </c>
      <c r="C3" s="3" t="s">
        <v>300</v>
      </c>
    </row>
    <row r="4" spans="1:3" ht="26">
      <c r="A4" s="8" t="s">
        <v>301</v>
      </c>
      <c r="B4" s="4" t="s">
        <v>302</v>
      </c>
      <c r="C4" s="5" t="s">
        <v>303</v>
      </c>
    </row>
    <row r="5" spans="1:3">
      <c r="A5" s="8" t="s">
        <v>304</v>
      </c>
      <c r="B5" s="4">
        <v>84</v>
      </c>
      <c r="C5" s="5" t="s">
        <v>305</v>
      </c>
    </row>
    <row r="6" spans="1:3">
      <c r="A6" s="8" t="s">
        <v>306</v>
      </c>
      <c r="B6" s="4">
        <v>2019</v>
      </c>
      <c r="C6" s="5" t="s">
        <v>307</v>
      </c>
    </row>
    <row r="7" spans="1:3">
      <c r="A7" s="8" t="s">
        <v>308</v>
      </c>
      <c r="B7" s="4">
        <v>0.1</v>
      </c>
      <c r="C7" s="5" t="s">
        <v>309</v>
      </c>
    </row>
    <row r="8" spans="1:3">
      <c r="A8" s="8" t="s">
        <v>310</v>
      </c>
      <c r="B8" s="4" t="s">
        <v>311</v>
      </c>
      <c r="C8" s="5" t="s">
        <v>312</v>
      </c>
    </row>
    <row r="9" spans="1:3">
      <c r="A9" s="8" t="s">
        <v>313</v>
      </c>
      <c r="B9" s="4" t="s">
        <v>314</v>
      </c>
      <c r="C9" s="5" t="s">
        <v>315</v>
      </c>
    </row>
    <row r="10" spans="1:3">
      <c r="A10" s="8" t="s">
        <v>316</v>
      </c>
      <c r="B10" s="4" t="s">
        <v>317</v>
      </c>
      <c r="C10" s="5" t="s">
        <v>318</v>
      </c>
    </row>
    <row r="11" spans="1:3">
      <c r="A11" s="8" t="s">
        <v>319</v>
      </c>
      <c r="B11" s="4" t="s">
        <v>320</v>
      </c>
      <c r="C11" s="5" t="s">
        <v>321</v>
      </c>
    </row>
    <row r="12" spans="1:3">
      <c r="A12" s="8" t="s">
        <v>322</v>
      </c>
      <c r="B12" s="4" t="s">
        <v>323</v>
      </c>
      <c r="C12" s="5" t="s">
        <v>324</v>
      </c>
    </row>
    <row r="13" spans="1:3">
      <c r="A13" s="8" t="s">
        <v>325</v>
      </c>
      <c r="B13" s="4" t="s">
        <v>222</v>
      </c>
      <c r="C13" s="5" t="s">
        <v>326</v>
      </c>
    </row>
    <row r="14" spans="1:3">
      <c r="A14" s="9" t="s">
        <v>327</v>
      </c>
      <c r="B14" s="6" t="s">
        <v>225</v>
      </c>
      <c r="C14" s="7" t="s">
        <v>328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"/>
  <sheetViews>
    <sheetView showGridLines="0" workbookViewId="0">
      <selection sqref="A1:C1"/>
    </sheetView>
  </sheetViews>
  <sheetFormatPr defaultRowHeight="14"/>
  <cols>
    <col min="1" max="1" width="31" customWidth="1"/>
    <col min="2" max="2" width="28" customWidth="1"/>
    <col min="3" max="3" width="68" customWidth="1"/>
  </cols>
  <sheetData>
    <row r="1" spans="1:3" ht="30" customHeight="1">
      <c r="A1" s="21" t="s">
        <v>329</v>
      </c>
      <c r="B1" s="21"/>
      <c r="C1" s="21"/>
    </row>
    <row r="3" spans="1:3">
      <c r="A3" s="1" t="s">
        <v>298</v>
      </c>
      <c r="B3" s="2" t="s">
        <v>299</v>
      </c>
      <c r="C3" s="3" t="s">
        <v>300</v>
      </c>
    </row>
    <row r="4" spans="1:3">
      <c r="A4" s="8" t="s">
        <v>330</v>
      </c>
      <c r="B4" s="4" t="s">
        <v>331</v>
      </c>
      <c r="C4" s="5" t="s">
        <v>332</v>
      </c>
    </row>
    <row r="5" spans="1:3" ht="26">
      <c r="A5" s="8" t="s">
        <v>333</v>
      </c>
      <c r="B5" s="4" t="s">
        <v>334</v>
      </c>
      <c r="C5" s="5" t="s">
        <v>335</v>
      </c>
    </row>
    <row r="6" spans="1:3">
      <c r="A6" s="8" t="s">
        <v>336</v>
      </c>
      <c r="B6" s="4" t="s">
        <v>337</v>
      </c>
      <c r="C6" s="5" t="s">
        <v>338</v>
      </c>
    </row>
    <row r="7" spans="1:3" ht="26">
      <c r="A7" s="8" t="s">
        <v>339</v>
      </c>
      <c r="B7" s="4" t="s">
        <v>340</v>
      </c>
      <c r="C7" s="5" t="s">
        <v>341</v>
      </c>
    </row>
    <row r="8" spans="1:3">
      <c r="A8" s="8" t="s">
        <v>342</v>
      </c>
      <c r="B8" s="4" t="s">
        <v>343</v>
      </c>
      <c r="C8" s="5" t="s">
        <v>344</v>
      </c>
    </row>
    <row r="9" spans="1:3">
      <c r="A9" s="9" t="s">
        <v>345</v>
      </c>
      <c r="B9" s="6" t="s">
        <v>346</v>
      </c>
      <c r="C9" s="7" t="s">
        <v>347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8</vt:i4>
      </vt:variant>
    </vt:vector>
  </HeadingPairs>
  <TitlesOfParts>
    <vt:vector size="8" baseType="lpstr">
      <vt:lpstr>summarized summary</vt:lpstr>
      <vt:lpstr>Summary</vt:lpstr>
      <vt:lpstr>Validation</vt:lpstr>
      <vt:lpstr>TL Coverage</vt:lpstr>
      <vt:lpstr>Jensen Comparison</vt:lpstr>
      <vt:lpstr>Ingestion Audit</vt:lpstr>
      <vt:lpstr>Configuration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Ido Carmel</cp:lastModifiedBy>
  <dcterms:modified xsi:type="dcterms:W3CDTF">2026-09-03T20:47:49Z</dcterms:modified>
</cp:coreProperties>
</file>