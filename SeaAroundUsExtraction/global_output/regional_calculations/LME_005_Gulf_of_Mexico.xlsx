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ed883e49824e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da7570a7af14d9a"/>
    <x:sheet xmlns:r="http://schemas.openxmlformats.org/officeDocument/2006/relationships" name="Commercial" sheetId="2" r:id="R49d224ee226f4b8f"/>
    <x:sheet xmlns:r="http://schemas.openxmlformats.org/officeDocument/2006/relationships" name="Functional" sheetId="3" r:id="R6a73369d52324d94"/>
    <x:sheet xmlns:r="http://schemas.openxmlformats.org/officeDocument/2006/relationships" name="Missing TL" sheetId="4" r:id="R2d63e1edb3074c7f"/>
    <x:sheet xmlns:r="http://schemas.openxmlformats.org/officeDocument/2006/relationships" name="Validation" sheetId="5" r:id="Rcf6e5926132e4d41"/>
    <x:sheet xmlns:r="http://schemas.openxmlformats.org/officeDocument/2006/relationships" name="Metadata" sheetId="6" r:id="Rb874bc885de74c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141dd8d32e4f0d" /><Relationship Type="http://schemas.openxmlformats.org/officeDocument/2006/relationships/theme" Target="/xl/theme/theme1.xml" Id="R6b7211f13acf43c1" /><Relationship Type="http://schemas.microsoft.com/office/2022/11/relationships/FeaturePropertyBag" Target="/xl/featurePropertyBag/featurePropertyBag.xml" Id="Ra9de7eb4f59140de" /><Relationship Type="http://schemas.openxmlformats.org/officeDocument/2006/relationships/sharedStrings" Target="/xl/sharedStrings.xml" Id="R4d259d54156642b2" /><Relationship Type="http://schemas.openxmlformats.org/officeDocument/2006/relationships/worksheet" Target="/xl/worksheets/sheet1.xml" Id="R4da7570a7af14d9a" /><Relationship Type="http://schemas.openxmlformats.org/officeDocument/2006/relationships/worksheet" Target="/xl/worksheets/sheet2.xml" Id="R49d224ee226f4b8f" /><Relationship Type="http://schemas.openxmlformats.org/officeDocument/2006/relationships/worksheet" Target="/xl/worksheets/sheet3.xml" Id="R6a73369d52324d94" /><Relationship Type="http://schemas.openxmlformats.org/officeDocument/2006/relationships/worksheet" Target="/xl/worksheets/sheet4.xml" Id="R2d63e1edb3074c7f" /><Relationship Type="http://schemas.openxmlformats.org/officeDocument/2006/relationships/worksheet" Target="/xl/worksheets/sheet5.xml" Id="Rcf6e5926132e4d41" /><Relationship Type="http://schemas.openxmlformats.org/officeDocument/2006/relationships/worksheet" Target="/xl/worksheets/sheet6.xml" Id="Rb874bc885de74c9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ME005SpeciesTable" displayName="LME005SpeciesTable" ref="A1:U419" headerRowCount="1" totalsRowCount="0" totalsRowShown="0">
  <x:autoFilter ref="A1:U419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05CommercialTable" displayName="LME005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05FunctionalTable" displayName="LME005FunctionalTable" ref="A1:E25" headerRowCount="1" totalsRowCount="0" totalsRowShown="0">
  <x:autoFilter ref="A1:E2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05ValidationTable" displayName="LME005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42f4890009414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fe4f96e4c3348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38fa0c7a78f4b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0412b5f3e53430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LME_005</x:v>
      </x:c>
      <x:c r="B2" s="24" t="str">
        <x:v>Gulf of Mexico</x:v>
      </x:c>
      <x:c r="C2" s="24" t="str">
        <x:v>LME</x:v>
      </x:c>
      <x:c r="D2" s="30" t="n">
        <x:v>2019</x:v>
      </x:c>
      <x:c r="E2" s="24" t="str">
        <x:v>Clupeidae</x:v>
      </x:c>
      <x:c r="F2" s="24" t="str">
        <x:v>Herrings, sardines, menhadens</x:v>
      </x:c>
      <x:c r="G2" s="24" t="str">
        <x:v>Small pelagics (&lt;30 cm)</x:v>
      </x:c>
      <x:c r="H2" s="24" t="str">
        <x:v>Herring-likes</x:v>
      </x:c>
      <x:c r="I2" s="31" t="n">
        <x:v>489373.64351709944</x:v>
      </x:c>
      <x:c r="J2" s="31" t="n">
        <x:v>489371.7970994255</x:v>
      </x:c>
      <x:c r="K2" s="31" t="n">
        <x:v>1.8464176739</x:v>
      </x:c>
      <x:c r="L2" s="31" t="n">
        <x:v>486533.64865926164</x:v>
      </x:c>
      <x:c r="M2" s="31" t="n">
        <x:v>2839.9948578378</x:v>
      </x:c>
      <x:c r="N2" s="24" t="str">
        <x:v>clupeidae</x:v>
      </x:c>
      <x:c r="O2" s="32" t="n">
        <x:v>3.16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Clupeidae</x:v>
      </x:c>
      <x:c r="T2" s="32" t="n">
        <x:f>IF(O2="","",(1/'Metadata'!$B$5)^(O2-1))</x:f>
        <x:v>144.5439770745928</x:v>
      </x:c>
      <x:c r="U2" s="31" t="n">
        <x:f>IF(T2="","",I2*T2)</x:f>
        <x:v>70736012.70944557</x:v>
      </x:c>
    </x:row>
    <x:row r="3" ht="18" customHeight="1">
      <x:c r="A3" s="24" t="str">
        <x:v>LME_005</x:v>
      </x:c>
      <x:c r="B3" s="24" t="str">
        <x:v>Gulf of Mexico</x:v>
      </x:c>
      <x:c r="C3" s="24" t="str">
        <x:v>LME</x:v>
      </x:c>
      <x:c r="D3" s="30" t="n">
        <x:v>2019</x:v>
      </x:c>
      <x:c r="E3" s="24" t="str">
        <x:v>Marine finfishes not identified</x:v>
      </x:c>
      <x:c r="F3" s="24" t="str">
        <x:v>Finfishes</x:v>
      </x:c>
      <x:c r="G3" s="24" t="str">
        <x:v>Medium demersals (30 - 89 cm)</x:v>
      </x:c>
      <x:c r="H3" s="24" t="str">
        <x:v>Other fishes &amp; inverts</x:v>
      </x:c>
      <x:c r="I3" s="31" t="n">
        <x:v>169639.7481078118</x:v>
      </x:c>
      <x:c r="J3" s="31" t="n">
        <x:v>71331.231428085</x:v>
      </x:c>
      <x:c r="K3" s="31" t="n">
        <x:v>98308.5166797268</x:v>
      </x:c>
      <x:c r="L3" s="31" t="n">
        <x:v>14430.910664555999</x:v>
      </x:c>
      <x:c r="M3" s="31" t="n">
        <x:v>155208.8374432558</x:v>
      </x:c>
      <x:c r="N3" s="24" t="str">
        <x:v>marine finfishes not identified</x:v>
      </x:c>
      <x:c r="O3" s="32" t="n">
        <x:v>3.23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finfishes not identified</x:v>
      </x:c>
      <x:c r="T3" s="32" t="n">
        <x:f>IF(O3="","",(1/'Metadata'!$B$5)^(O3-1))</x:f>
        <x:v>169.82436524617444</x:v>
      </x:c>
      <x:c r="U3" s="31" t="n">
        <x:f>IF(T3="","",I3*T3)</x:f>
        <x:v>28808962.542930063</x:v>
      </x:c>
    </x:row>
    <x:row r="4" ht="18" customHeight="1">
      <x:c r="A4" s="24" t="str">
        <x:v>LME_005</x:v>
      </x:c>
      <x:c r="B4" s="24" t="str">
        <x:v>Gulf of Mexico</x:v>
      </x:c>
      <x:c r="C4" s="24" t="str">
        <x:v>LME</x:v>
      </x:c>
      <x:c r="D4" s="30" t="n">
        <x:v>2019</x:v>
      </x:c>
      <x:c r="E4" s="24" t="str">
        <x:v>Brevoortia patronus</x:v>
      </x:c>
      <x:c r="F4" s="24" t="str">
        <x:v>Gulf menhaden</x:v>
      </x:c>
      <x:c r="G4" s="24" t="str">
        <x:v>Medium pelagics (30 - 89 cm)</x:v>
      </x:c>
      <x:c r="H4" s="24" t="str">
        <x:v>Herring-likes</x:v>
      </x:c>
      <x:c r="I4" s="31" t="n">
        <x:v>144577.9402017138</x:v>
      </x:c>
      <x:c r="J4" s="31" t="n">
        <x:v>144522.1991264211</x:v>
      </x:c>
      <x:c r="K4" s="31" t="n">
        <x:v>55.7410752927</x:v>
      </x:c>
      <x:c r="L4" s="31" t="n">
        <x:v>0</x:v>
      </x:c>
      <x:c r="M4" s="31" t="n">
        <x:v>144577.9402017138</x:v>
      </x:c>
      <x:c r="N4" s="24" t="str">
        <x:v>brevoortia patronus</x:v>
      </x:c>
      <x:c r="O4" s="32" t="n">
        <x:v>2.19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Brevoortia patronus</x:v>
      </x:c>
      <x:c r="T4" s="32" t="n">
        <x:f>IF(O4="","",(1/'Metadata'!$B$5)^(O4-1))</x:f>
        <x:v>15.488166189124811</x:v>
      </x:c>
      <x:c r="U4" s="31" t="n">
        <x:f>IF(T4="","",I4*T4)</x:f>
        <x:v>2239247.1651254925</x:v>
      </x:c>
    </x:row>
    <x:row r="5" ht="18" customHeight="1">
      <x:c r="A5" s="24" t="str">
        <x:v>LME_005</x:v>
      </x:c>
      <x:c r="B5" s="24" t="str">
        <x:v>Gulf of Mexico</x:v>
      </x:c>
      <x:c r="C5" s="24" t="str">
        <x:v>LME</x:v>
      </x:c>
      <x:c r="D5" s="30" t="n">
        <x:v>2019</x:v>
      </x:c>
      <x:c r="E5" s="24" t="str">
        <x:v>Crassostrea virginica</x:v>
      </x:c>
      <x:c r="F5" s="24" t="str">
        <x:v>American cupped oyster</x:v>
      </x:c>
      <x:c r="G5" s="24" t="str">
        <x:v>Other demersal invertebrates</x:v>
      </x:c>
      <x:c r="H5" s="24" t="str">
        <x:v>Molluscs</x:v>
      </x:c>
      <x:c r="I5" s="31" t="n">
        <x:v>66787.3782226037</x:v>
      </x:c>
      <x:c r="J5" s="31" t="n">
        <x:v>66786.1435349736</x:v>
      </x:c>
      <x:c r="K5" s="31" t="n">
        <x:v>1.2346876301</x:v>
      </x:c>
      <x:c r="L5" s="31" t="n">
        <x:v>47113.8881092157</x:v>
      </x:c>
      <x:c r="M5" s="31" t="n">
        <x:v>19673.490113388</x:v>
      </x:c>
      <x:c r="N5" s="24" t="str">
        <x:v>crassostrea virginica</x:v>
      </x:c>
      <x:c r="O5" s="32" t="n">
        <x:v>2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Crassostrea virginica</x:v>
      </x:c>
      <x:c r="T5" s="32" t="n">
        <x:f>IF(O5="","",(1/'Metadata'!$B$5)^(O5-1))</x:f>
        <x:v>10</x:v>
      </x:c>
      <x:c r="U5" s="31" t="n">
        <x:f>IF(T5="","",I5*T5)</x:f>
        <x:v>667873.782226037</x:v>
      </x:c>
    </x:row>
    <x:row r="6" ht="18" customHeight="1">
      <x:c r="A6" s="24" t="str">
        <x:v>LME_005</x:v>
      </x:c>
      <x:c r="B6" s="24" t="str">
        <x:v>Gulf of Mexico</x:v>
      </x:c>
      <x:c r="C6" s="24" t="str">
        <x:v>LME</x:v>
      </x:c>
      <x:c r="D6" s="30" t="n">
        <x:v>2019</x:v>
      </x:c>
      <x:c r="E6" s="24" t="str">
        <x:v>Actinopterygii</x:v>
      </x:c>
      <x:c r="F6" s="24" t="str">
        <x:v>Ray-finned fishes</x:v>
      </x:c>
      <x:c r="G6" s="24" t="str">
        <x:v>Medium demersals (30 - 89 cm)</x:v>
      </x:c>
      <x:c r="H6" s="24" t="str">
        <x:v>Other fishes &amp; inverts</x:v>
      </x:c>
      <x:c r="I6" s="31" t="n">
        <x:v>63916.78981805509</x:v>
      </x:c>
      <x:c r="J6" s="31" t="n">
        <x:v>44770.5915686639</x:v>
      </x:c>
      <x:c r="K6" s="31" t="n">
        <x:v>19146.1982493912</x:v>
      </x:c>
      <x:c r="L6" s="31" t="n">
        <x:v>68.3122338787</x:v>
      </x:c>
      <x:c r="M6" s="31" t="n">
        <x:v>63848.47758417639</x:v>
      </x:c>
      <x:c r="N6" s="24" t="str">
        <x:v>actinopterygii</x:v>
      </x:c>
      <x:c r="O6" s="32" t="n">
        <x:v>3.79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Actinopterygii</x:v>
      </x:c>
      <x:c r="T6" s="32" t="n">
        <x:f>IF(O6="","",(1/'Metadata'!$B$5)^(O6-1))</x:f>
        <x:v>616.5950018614822</x:v>
      </x:c>
      <x:c r="U6" s="31" t="n">
        <x:f>IF(T6="","",I6*T6)</x:f>
        <x:v>39410773.136843644</x:v>
      </x:c>
    </x:row>
    <x:row r="7" ht="18" customHeight="1">
      <x:c r="A7" s="24" t="str">
        <x:v>LME_005</x:v>
      </x:c>
      <x:c r="B7" s="24" t="str">
        <x:v>Gulf of Mexico</x:v>
      </x:c>
      <x:c r="C7" s="24" t="str">
        <x:v>LME</x:v>
      </x:c>
      <x:c r="D7" s="30" t="n">
        <x:v>2019</x:v>
      </x:c>
      <x:c r="E7" s="24" t="str">
        <x:v>Penaeus setiferus</x:v>
      </x:c>
      <x:c r="F7" s="24" t="str">
        <x:v>Northern white shrimp</x:v>
      </x:c>
      <x:c r="G7" s="24" t="str">
        <x:v>Shrimps</x:v>
      </x:c>
      <x:c r="H7" s="24" t="str">
        <x:v>Crustaceans</x:v>
      </x:c>
      <x:c r="I7" s="31" t="n">
        <x:v>53824.164380048496</x:v>
      </x:c>
      <x:c r="J7" s="31" t="n">
        <x:v>53824.164380048496</x:v>
      </x:c>
      <x:c r="K7" s="31" t="n">
        <x:v>0</x:v>
      </x:c>
      <x:c r="L7" s="31" t="n">
        <x:v>47262.2381777364</x:v>
      </x:c>
      <x:c r="M7" s="31" t="n">
        <x:v>6561.9262023121</x:v>
      </x:c>
      <x:c r="N7" s="24" t="str">
        <x:v>penaeus setiferus</x:v>
      </x:c>
      <x:c r="O7" s="32" t="n">
        <x:v>2.93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Penaeus setiferus</x:v>
      </x:c>
      <x:c r="T7" s="32" t="n">
        <x:f>IF(O7="","",(1/'Metadata'!$B$5)^(O7-1))</x:f>
        <x:v>85.11380382023768</x:v>
      </x:c>
      <x:c r="U7" s="31" t="n">
        <x:f>IF(T7="","",I7*T7)</x:f>
        <x:v>4581179.367831673</x:v>
      </x:c>
    </x:row>
    <x:row r="8" ht="18" customHeight="1">
      <x:c r="A8" s="24" t="str">
        <x:v>LME_005</x:v>
      </x:c>
      <x:c r="B8" s="24" t="str">
        <x:v>Gulf of Mexico</x:v>
      </x:c>
      <x:c r="C8" s="24" t="str">
        <x:v>LME</x:v>
      </x:c>
      <x:c r="D8" s="30" t="n">
        <x:v>2019</x:v>
      </x:c>
      <x:c r="E8" s="24" t="str">
        <x:v>Micropogonias undulatus</x:v>
      </x:c>
      <x:c r="F8" s="24" t="str">
        <x:v>Atlantic croaker</x:v>
      </x:c>
      <x:c r="G8" s="24" t="str">
        <x:v>Medium demersals (30 - 89 cm)</x:v>
      </x:c>
      <x:c r="H8" s="24" t="str">
        <x:v>Perch-likes</x:v>
      </x:c>
      <x:c r="I8" s="31" t="n">
        <x:v>44581.565930903904</x:v>
      </x:c>
      <x:c r="J8" s="31" t="n">
        <x:v>1047.8547263809</x:v>
      </x:c>
      <x:c r="K8" s="31" t="n">
        <x:v>43533.711204523</x:v>
      </x:c>
      <x:c r="L8" s="31" t="n">
        <x:v>112.5968455331</x:v>
      </x:c>
      <x:c r="M8" s="31" t="n">
        <x:v>44468.9690853708</x:v>
      </x:c>
      <x:c r="N8" s="24" t="str">
        <x:v>micropogonias undulatus</x:v>
      </x:c>
      <x:c r="O8" s="32" t="n">
        <x:v>3.31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Micropogonias undulatus</x:v>
      </x:c>
      <x:c r="T8" s="32" t="n">
        <x:f>IF(O8="","",(1/'Metadata'!$B$5)^(O8-1))</x:f>
        <x:v>204.17379446695296</x:v>
      </x:c>
      <x:c r="U8" s="31" t="n">
        <x:f>IF(T8="","",I8*T8)</x:f>
        <x:v>9102387.479391286</x:v>
      </x:c>
    </x:row>
    <x:row r="9" ht="18" customHeight="1">
      <x:c r="A9" s="24" t="str">
        <x:v>LME_005</x:v>
      </x:c>
      <x:c r="B9" s="24" t="str">
        <x:v>Gulf of Mexico</x:v>
      </x:c>
      <x:c r="C9" s="24" t="str">
        <x:v>LME</x:v>
      </x:c>
      <x:c r="D9" s="30" t="n">
        <x:v>2019</x:v>
      </x:c>
      <x:c r="E9" s="24" t="str">
        <x:v>Penaeus aztecus</x:v>
      </x:c>
      <x:c r="F9" s="24" t="str">
        <x:v>Northern brown shrimp</x:v>
      </x:c>
      <x:c r="G9" s="24" t="str">
        <x:v>Shrimps</x:v>
      </x:c>
      <x:c r="H9" s="24" t="str">
        <x:v>Crustaceans</x:v>
      </x:c>
      <x:c r="I9" s="31" t="n">
        <x:v>44153.784114040405</x:v>
      </x:c>
      <x:c r="J9" s="31" t="n">
        <x:v>44153.784114040405</x:v>
      </x:c>
      <x:c r="K9" s="31" t="n">
        <x:v>0</x:v>
      </x:c>
      <x:c r="L9" s="31" t="n">
        <x:v>41461.0757704524</x:v>
      </x:c>
      <x:c r="M9" s="31" t="n">
        <x:v>2692.708343588</x:v>
      </x:c>
      <x:c r="N9" s="24" t="str">
        <x:v>penaeus aztecus</x:v>
      </x:c>
      <x:c r="O9" s="32" t="n">
        <x:v>2.8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Penaeus aztecus</x:v>
      </x:c>
      <x:c r="T9" s="32" t="n">
        <x:f>IF(O9="","",(1/'Metadata'!$B$5)^(O9-1))</x:f>
        <x:v>63.0957344480193</x:v>
      </x:c>
      <x:c r="U9" s="31" t="n">
        <x:f>IF(T9="","",I9*T9)</x:f>
        <x:v>2785915.4373346665</x:v>
      </x:c>
    </x:row>
    <x:row r="10" ht="18" customHeight="1">
      <x:c r="A10" s="24" t="str">
        <x:v>LME_005</x:v>
      </x:c>
      <x:c r="B10" s="24" t="str">
        <x:v>Gulf of Mexico</x:v>
      </x:c>
      <x:c r="C10" s="24" t="str">
        <x:v>LME</x:v>
      </x:c>
      <x:c r="D10" s="30" t="n">
        <x:v>2019</x:v>
      </x:c>
      <x:c r="E10" s="24" t="str">
        <x:v>Callinectes sapidus</x:v>
      </x:c>
      <x:c r="F10" s="24" t="str">
        <x:v>Blue crab</x:v>
      </x:c>
      <x:c r="G10" s="24" t="str">
        <x:v>Lobsters, crabs</x:v>
      </x:c>
      <x:c r="H10" s="24" t="str">
        <x:v>Crustaceans</x:v>
      </x:c>
      <x:c r="I10" s="31" t="n">
        <x:v>41993.4905836105</x:v>
      </x:c>
      <x:c r="J10" s="31" t="n">
        <x:v>41980.661784987606</x:v>
      </x:c>
      <x:c r="K10" s="31" t="n">
        <x:v>12.8287986229</x:v>
      </x:c>
      <x:c r="L10" s="31" t="n">
        <x:v>36045.5407711745</x:v>
      </x:c>
      <x:c r="M10" s="31" t="n">
        <x:v>5947.949812436001</x:v>
      </x:c>
      <x:c r="N10" s="24" t="str">
        <x:v>callinectes sapidus</x:v>
      </x:c>
      <x:c r="O10" s="32" t="n">
        <x:v>4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Callinectes sapidus</x:v>
      </x:c>
      <x:c r="T10" s="32" t="n">
        <x:f>IF(O10="","",(1/'Metadata'!$B$5)^(O10-1))</x:f>
        <x:v>1000</x:v>
      </x:c>
      <x:c r="U10" s="31" t="n">
        <x:f>IF(T10="","",I10*T10)</x:f>
        <x:v>41993490.583610505</x:v>
      </x:c>
    </x:row>
    <x:row r="11" ht="18" customHeight="1">
      <x:c r="A11" s="24" t="str">
        <x:v>LME_005</x:v>
      </x:c>
      <x:c r="B11" s="24" t="str">
        <x:v>Gulf of Mexico</x:v>
      </x:c>
      <x:c r="C11" s="24" t="str">
        <x:v>LME</x:v>
      </x:c>
      <x:c r="D11" s="30" t="n">
        <x:v>2019</x:v>
      </x:c>
      <x:c r="E11" s="24" t="str">
        <x:v>Marine fishes not identified</x:v>
      </x:c>
      <x:c r="F11" s="24" t="str">
        <x:v>Marine fishes nei</x:v>
      </x:c>
      <x:c r="G11" s="24" t="str">
        <x:v>Medium demersals (30 - 89 cm)</x:v>
      </x:c>
      <x:c r="H11" s="24" t="str">
        <x:v>Other fishes &amp; inverts</x:v>
      </x:c>
      <x:c r="I11" s="31" t="n">
        <x:v>40172.977380010896</x:v>
      </x:c>
      <x:c r="J11" s="31" t="n">
        <x:v>28362.611160005697</x:v>
      </x:c>
      <x:c r="K11" s="31" t="n">
        <x:v>11810.3662200052</x:v>
      </x:c>
      <x:c r="L11" s="31" t="n">
        <x:v>5504.0786483494</x:v>
      </x:c>
      <x:c r="M11" s="31" t="n">
        <x:v>34668.898731661495</x:v>
      </x:c>
      <x:c r="N11" s="24" t="str">
        <x:v>marine fishes not identified</x:v>
      </x:c>
      <x:c r="O11" s="32" t="n">
        <x:v>3.28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Marine fishes not identified</x:v>
      </x:c>
      <x:c r="T11" s="32" t="n">
        <x:f>IF(O11="","",(1/'Metadata'!$B$5)^(O11-1))</x:f>
        <x:v>190.54607179632464</x:v>
      </x:c>
      <x:c r="U11" s="31" t="n">
        <x:f>IF(T11="","",I11*T11)</x:f>
        <x:v>7654803.032123682</x:v>
      </x:c>
    </x:row>
    <x:row r="12" ht="18" customHeight="1">
      <x:c r="A12" s="24" t="str">
        <x:v>LME_005</x:v>
      </x:c>
      <x:c r="B12" s="24" t="str">
        <x:v>Gulf of Mexico</x:v>
      </x:c>
      <x:c r="C12" s="24" t="str">
        <x:v>LME</x:v>
      </x:c>
      <x:c r="D12" s="30" t="n">
        <x:v>2019</x:v>
      </x:c>
      <x:c r="E12" s="24" t="str">
        <x:v>Cynoscion</x:v>
      </x:c>
      <x:c r="F12" s="24" t="str">
        <x:v>Weakfishes</x:v>
      </x:c>
      <x:c r="G12" s="24" t="str">
        <x:v>Medium demersals (30 - 89 cm)</x:v>
      </x:c>
      <x:c r="H12" s="24" t="str">
        <x:v>Perch-likes</x:v>
      </x:c>
      <x:c r="I12" s="31" t="n">
        <x:v>21367.6513089614</x:v>
      </x:c>
      <x:c r="J12" s="31" t="n">
        <x:v>5535.8640066668</x:v>
      </x:c>
      <x:c r="K12" s="31" t="n">
        <x:v>15831.7873022946</x:v>
      </x:c>
      <x:c r="L12" s="31" t="n">
        <x:v>3922.305672634</x:v>
      </x:c>
      <x:c r="M12" s="31" t="n">
        <x:v>17445.3456363274</x:v>
      </x:c>
      <x:c r="N12" s="24" t="str">
        <x:v>cynoscion</x:v>
      </x:c>
      <x:c r="O12" s="32" t="n">
        <x:v>4.21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Cynoscion</x:v>
      </x:c>
      <x:c r="T12" s="32" t="n">
        <x:f>IF(O12="","",(1/'Metadata'!$B$5)^(O12-1))</x:f>
        <x:v>1621.8100973589299</x:v>
      </x:c>
      <x:c r="U12" s="31" t="n">
        <x:f>IF(T12="","",I12*T12)</x:f>
        <x:v>34654272.64971836</x:v>
      </x:c>
    </x:row>
    <x:row r="13" ht="18" customHeight="1">
      <x:c r="A13" s="24" t="str">
        <x:v>LME_005</x:v>
      </x:c>
      <x:c r="B13" s="24" t="str">
        <x:v>Gulf of Mexico</x:v>
      </x:c>
      <x:c r="C13" s="24" t="str">
        <x:v>LME</x:v>
      </x:c>
      <x:c r="D13" s="30" t="n">
        <x:v>2019</x:v>
      </x:c>
      <x:c r="E13" s="24" t="str">
        <x:v>Octopus maya</x:v>
      </x:c>
      <x:c r="F13" s="24" t="str">
        <x:v>Mexican foureyed octopus</x:v>
      </x:c>
      <x:c r="G13" s="24" t="str">
        <x:v>Cephalopods</x:v>
      </x:c>
      <x:c r="H13" s="24" t="str">
        <x:v>Other fishes &amp; inverts</x:v>
      </x:c>
      <x:c r="I13" s="31" t="n">
        <x:v>19431.3641131457</x:v>
      </x:c>
      <x:c r="J13" s="31" t="n">
        <x:v>19431.3641131457</x:v>
      </x:c>
      <x:c r="K13" s="31" t="n">
        <x:v>0</x:v>
      </x:c>
      <x:c r="L13" s="31" t="n">
        <x:v>18064.271895991</x:v>
      </x:c>
      <x:c r="M13" s="31" t="n">
        <x:v>1367.0922171547</x:v>
      </x:c>
      <x:c r="N13" s="24" t="str">
        <x:v>octopus maya</x:v>
      </x:c>
      <x:c r="O13" s="32" t="n">
        <x:v>3.5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Octopus maya</x:v>
      </x:c>
      <x:c r="T13" s="32" t="n">
        <x:f>IF(O13="","",(1/'Metadata'!$B$5)^(O13-1))</x:f>
        <x:v>316.22776601683796</x:v>
      </x:c>
      <x:c r="U13" s="31" t="n">
        <x:f>IF(T13="","",I13*T13)</x:f>
        <x:v>6144736.864159821</x:v>
      </x:c>
    </x:row>
    <x:row r="14" ht="18" customHeight="1">
      <x:c r="A14" s="24" t="str">
        <x:v>LME_005</x:v>
      </x:c>
      <x:c r="B14" s="24" t="str">
        <x:v>Gulf of Mexico</x:v>
      </x:c>
      <x:c r="C14" s="24" t="str">
        <x:v>LME</x:v>
      </x:c>
      <x:c r="D14" s="30" t="n">
        <x:v>2019</x:v>
      </x:c>
      <x:c r="E14" s="24" t="str">
        <x:v>Malacostraca</x:v>
      </x:c>
      <x:c r="F14" s="24" t="str">
        <x:v>Lobsters, crabs, shrimps, krill</x:v>
      </x:c>
      <x:c r="G14" s="24" t="str">
        <x:v>Shrimps</x:v>
      </x:c>
      <x:c r="H14" s="24" t="str">
        <x:v>Crustaceans</x:v>
      </x:c>
      <x:c r="I14" s="31" t="n">
        <x:v>18407.7728294367</x:v>
      </x:c>
      <x:c r="J14" s="31" t="n">
        <x:v>0</x:v>
      </x:c>
      <x:c r="K14" s="31" t="n">
        <x:v>18407.7728294367</x:v>
      </x:c>
      <x:c r="L14" s="31" t="n">
        <x:v>0</x:v>
      </x:c>
      <x:c r="M14" s="31" t="n">
        <x:v>18407.7728294367</x:v>
      </x:c>
      <x:c r="N14" s="24" t="str">
        <x:v>malacostraca</x:v>
      </x:c>
      <x:c r="O14" s="32" t="n">
        <x:v>3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Malacostraca</x:v>
      </x:c>
      <x:c r="T14" s="32" t="n">
        <x:f>IF(O14="","",(1/'Metadata'!$B$5)^(O14-1))</x:f>
        <x:v>100</x:v>
      </x:c>
      <x:c r="U14" s="31" t="n">
        <x:f>IF(T14="","",I14*T14)</x:f>
        <x:v>1840777.2829436702</x:v>
      </x:c>
    </x:row>
    <x:row r="15" ht="18" customHeight="1">
      <x:c r="A15" s="24" t="str">
        <x:v>LME_005</x:v>
      </x:c>
      <x:c r="B15" s="24" t="str">
        <x:v>Gulf of Mexico</x:v>
      </x:c>
      <x:c r="C15" s="24" t="str">
        <x:v>LME</x:v>
      </x:c>
      <x:c r="D15" s="30" t="n">
        <x:v>2019</x:v>
      </x:c>
      <x:c r="E15" s="24" t="str">
        <x:v>Sciaenops ocellatus</x:v>
      </x:c>
      <x:c r="F15" s="24" t="str">
        <x:v>Red drum</x:v>
      </x:c>
      <x:c r="G15" s="24" t="str">
        <x:v>Large demersals (&gt;=90 cm)</x:v>
      </x:c>
      <x:c r="H15" s="24" t="str">
        <x:v>Perch-likes</x:v>
      </x:c>
      <x:c r="I15" s="31" t="n">
        <x:v>16721.4400956619</x:v>
      </x:c>
      <x:c r="J15" s="31" t="n">
        <x:v>14719.2913078877</x:v>
      </x:c>
      <x:c r="K15" s="31" t="n">
        <x:v>2002.1487877742</x:v>
      </x:c>
      <x:c r="L15" s="31" t="n">
        <x:v>29.605628653799997</x:v>
      </x:c>
      <x:c r="M15" s="31" t="n">
        <x:v>16691.8344670081</x:v>
      </x:c>
      <x:c r="N15" s="24" t="str">
        <x:v>sciaenops ocellatus</x:v>
      </x:c>
      <x:c r="O15" s="32" t="n">
        <x:v>4.07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Sciaenops ocellatus</x:v>
      </x:c>
      <x:c r="T15" s="32" t="n">
        <x:f>IF(O15="","",(1/'Metadata'!$B$5)^(O15-1))</x:f>
        <x:v>1174.8975549395302</x:v>
      </x:c>
      <x:c r="U15" s="31" t="n">
        <x:f>IF(T15="","",I15*T15)</x:f>
        <x:v>19645979.08346099</x:v>
      </x:c>
    </x:row>
    <x:row r="16" ht="18" customHeight="1">
      <x:c r="A16" s="24" t="str">
        <x:v>LME_005</x:v>
      </x:c>
      <x:c r="B16" s="24" t="str">
        <x:v>Gulf of Mexico</x:v>
      </x:c>
      <x:c r="C16" s="24" t="str">
        <x:v>LME</x:v>
      </x:c>
      <x:c r="D16" s="30" t="n">
        <x:v>2019</x:v>
      </x:c>
      <x:c r="E16" s="24" t="str">
        <x:v>Sparidae</x:v>
      </x:c>
      <x:c r="F16" s="24" t="str">
        <x:v>Porgies, seabreams</x:v>
      </x:c>
      <x:c r="G16" s="24" t="str">
        <x:v>Medium benthopelagics (30 - 89 cm)</x:v>
      </x:c>
      <x:c r="H16" s="24" t="str">
        <x:v>Perch-likes</x:v>
      </x:c>
      <x:c r="I16" s="31" t="n">
        <x:v>14208.8070378694</x:v>
      </x:c>
      <x:c r="J16" s="31" t="n">
        <x:v>2040.7443101998</x:v>
      </x:c>
      <x:c r="K16" s="31" t="n">
        <x:v>12168.0627276696</x:v>
      </x:c>
      <x:c r="L16" s="31" t="n">
        <x:v>312.32481496680003</x:v>
      </x:c>
      <x:c r="M16" s="31" t="n">
        <x:v>13896.4822229026</x:v>
      </x:c>
      <x:c r="N16" s="24" t="str">
        <x:v>sparidae</x:v>
      </x:c>
      <x:c r="O16" s="32" t="n">
        <x:v>3.31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Sparidae</x:v>
      </x:c>
      <x:c r="T16" s="32" t="n">
        <x:f>IF(O16="","",(1/'Metadata'!$B$5)^(O16-1))</x:f>
        <x:v>204.17379446695296</x:v>
      </x:c>
      <x:c r="U16" s="31" t="n">
        <x:f>IF(T16="","",I16*T16)</x:f>
        <x:v>2901066.047770541</x:v>
      </x:c>
    </x:row>
    <x:row r="17" ht="18" customHeight="1">
      <x:c r="A17" s="24" t="str">
        <x:v>LME_005</x:v>
      </x:c>
      <x:c r="B17" s="24" t="str">
        <x:v>Gulf of Mexico</x:v>
      </x:c>
      <x:c r="C17" s="24" t="str">
        <x:v>LME</x:v>
      </x:c>
      <x:c r="D17" s="30" t="n">
        <x:v>2019</x:v>
      </x:c>
      <x:c r="E17" s="24" t="str">
        <x:v>Miscellaneous aquatic invertebrates</x:v>
      </x:c>
      <x:c r="F17" s="24" t="str">
        <x:v>Aquatic invertebrates</x:v>
      </x:c>
      <x:c r="G17" s="24" t="str">
        <x:v>Other demersal invertebrates</x:v>
      </x:c>
      <x:c r="H17" s="24" t="str">
        <x:v>Other fishes &amp; inverts</x:v>
      </x:c>
      <x:c r="I17" s="31" t="n">
        <x:v>14126.8852679619</x:v>
      </x:c>
      <x:c r="J17" s="31" t="n">
        <x:v>0</x:v>
      </x:c>
      <x:c r="K17" s="31" t="n">
        <x:v>14126.8852679619</x:v>
      </x:c>
      <x:c r="L17" s="31" t="n">
        <x:v>0</x:v>
      </x:c>
      <x:c r="M17" s="31" t="n">
        <x:v>14126.8852679619</x:v>
      </x:c>
      <x:c r="N17" s="24" t="str">
        <x:v>miscellaneous aquatic invertebrates</x:v>
      </x:c>
      <x:c r="O17" s="32" t="n">
        <x:v>2.43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Miscellaneous aquatic invertebrates</x:v>
      </x:c>
      <x:c r="T17" s="32" t="n">
        <x:f>IF(O17="","",(1/'Metadata'!$B$5)^(O17-1))</x:f>
        <x:v>26.915348039269166</x:v>
      </x:c>
      <x:c r="U17" s="31" t="n">
        <x:f>IF(T17="","",I17*T17)</x:f>
        <x:v>380230.03369801876</x:v>
      </x:c>
    </x:row>
    <x:row r="18" ht="18" customHeight="1">
      <x:c r="A18" s="24" t="str">
        <x:v>LME_005</x:v>
      </x:c>
      <x:c r="B18" s="24" t="str">
        <x:v>Gulf of Mexico</x:v>
      </x:c>
      <x:c r="C18" s="24" t="str">
        <x:v>LME</x:v>
      </x:c>
      <x:c r="D18" s="30" t="n">
        <x:v>2019</x:v>
      </x:c>
      <x:c r="E18" s="24" t="str">
        <x:v>Serranidae</x:v>
      </x:c>
      <x:c r="F18" s="24" t="str">
        <x:v>Basses, groupers, hinds</x:v>
      </x:c>
      <x:c r="G18" s="24" t="str">
        <x:v>Medium reef assoc. fish (30 - 89 cm)</x:v>
      </x:c>
      <x:c r="H18" s="24" t="str">
        <x:v>Perch-likes</x:v>
      </x:c>
      <x:c r="I18" s="31" t="n">
        <x:v>13586.3289540728</x:v>
      </x:c>
      <x:c r="J18" s="31" t="n">
        <x:v>13503.0240340076</x:v>
      </x:c>
      <x:c r="K18" s="31" t="n">
        <x:v>83.3049200652</x:v>
      </x:c>
      <x:c r="L18" s="31" t="n">
        <x:v>8978.1816563872</x:v>
      </x:c>
      <x:c r="M18" s="31" t="n">
        <x:v>4608.1472976856</x:v>
      </x:c>
      <x:c r="N18" s="24" t="str">
        <x:v>serranidae</x:v>
      </x:c>
      <x:c r="O18" s="32" t="n">
        <x:v>3.98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Serranidae</x:v>
      </x:c>
      <x:c r="T18" s="32" t="n">
        <x:f>IF(O18="","",(1/'Metadata'!$B$5)^(O18-1))</x:f>
        <x:v>954.992586021436</x:v>
      </x:c>
      <x:c r="U18" s="31" t="n">
        <x:f>IF(T18="","",I18*T18)</x:f>
        <x:v>12974843.422387894</x:v>
      </x:c>
    </x:row>
    <x:row r="19" ht="18" customHeight="1">
      <x:c r="A19" s="24" t="str">
        <x:v>LME_005</x:v>
      </x:c>
      <x:c r="B19" s="24" t="str">
        <x:v>Gulf of Mexico</x:v>
      </x:c>
      <x:c r="C19" s="24" t="str">
        <x:v>LME</x:v>
      </x:c>
      <x:c r="D19" s="30" t="n">
        <x:v>2019</x:v>
      </x:c>
      <x:c r="E19" s="24" t="str">
        <x:v>Octopus vulgaris</x:v>
      </x:c>
      <x:c r="F19" s="24" t="str">
        <x:v>Common octopus</x:v>
      </x:c>
      <x:c r="G19" s="24" t="str">
        <x:v>Cephalopods</x:v>
      </x:c>
      <x:c r="H19" s="24" t="str">
        <x:v>Other fishes &amp; inverts</x:v>
      </x:c>
      <x:c r="I19" s="31" t="n">
        <x:v>12976.404024784899</x:v>
      </x:c>
      <x:c r="J19" s="31" t="n">
        <x:v>12976.404024784899</x:v>
      </x:c>
      <x:c r="K19" s="31" t="n">
        <x:v>0</x:v>
      </x:c>
      <x:c r="L19" s="31" t="n">
        <x:v>12976.404024784899</x:v>
      </x:c>
      <x:c r="M19" s="31" t="n">
        <x:v>0</x:v>
      </x:c>
      <x:c r="N19" s="24" t="str">
        <x:v>octopus vulgaris</x:v>
      </x:c>
      <x:c r="O19" s="32" t="n">
        <x:v>3.6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Octopus vulgaris</x:v>
      </x:c>
      <x:c r="T19" s="32" t="n">
        <x:f>IF(O19="","",(1/'Metadata'!$B$5)^(O19-1))</x:f>
        <x:v>398.1071705534973</x:v>
      </x:c>
      <x:c r="U19" s="31" t="n">
        <x:f>IF(T19="","",I19*T19)</x:f>
        <x:v>5165999.490266131</x:v>
      </x:c>
    </x:row>
    <x:row r="20" ht="18" customHeight="1">
      <x:c r="A20" s="24" t="str">
        <x:v>LME_005</x:v>
      </x:c>
      <x:c r="B20" s="24" t="str">
        <x:v>Gulf of Mexico</x:v>
      </x:c>
      <x:c r="C20" s="24" t="str">
        <x:v>LME</x:v>
      </x:c>
      <x:c r="D20" s="30" t="n">
        <x:v>2019</x:v>
      </x:c>
      <x:c r="E20" s="24" t="str">
        <x:v>Scomberomorus maculatus</x:v>
      </x:c>
      <x:c r="F20" s="24" t="str">
        <x:v>Atlantic Spanish mackerel</x:v>
      </x:c>
      <x:c r="G20" s="24" t="str">
        <x:v>Medium pelagics (30 - 89 cm)</x:v>
      </x:c>
      <x:c r="H20" s="24" t="str">
        <x:v>Perch-likes</x:v>
      </x:c>
      <x:c r="I20" s="31" t="n">
        <x:v>12651.7628164718</x:v>
      </x:c>
      <x:c r="J20" s="31" t="n">
        <x:v>12134.409078066801</x:v>
      </x:c>
      <x:c r="K20" s="31" t="n">
        <x:v>517.3537384050001</x:v>
      </x:c>
      <x:c r="L20" s="31" t="n">
        <x:v>9329.6997082662</x:v>
      </x:c>
      <x:c r="M20" s="31" t="n">
        <x:v>3322.0631082056</x:v>
      </x:c>
      <x:c r="N20" s="24" t="str">
        <x:v>scomberomorus maculatus</x:v>
      </x:c>
      <x:c r="O20" s="32" t="n">
        <x:v>4.53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Scomberomorus maculatus</x:v>
      </x:c>
      <x:c r="T20" s="32" t="n">
        <x:f>IF(O20="","",(1/'Metadata'!$B$5)^(O20-1))</x:f>
        <x:v>3388.4415613920273</x:v>
      </x:c>
      <x:c r="U20" s="31" t="n">
        <x:f>IF(T20="","",I20*T20)</x:f>
        <x:v>42869758.952207305</x:v>
      </x:c>
    </x:row>
    <x:row r="21" ht="18" customHeight="1">
      <x:c r="A21" s="24" t="str">
        <x:v>LME_005</x:v>
      </x:c>
      <x:c r="B21" s="24" t="str">
        <x:v>Gulf of Mexico</x:v>
      </x:c>
      <x:c r="C21" s="24" t="str">
        <x:v>LME</x:v>
      </x:c>
      <x:c r="D21" s="30" t="n">
        <x:v>2019</x:v>
      </x:c>
      <x:c r="E21" s="24" t="str">
        <x:v>Lutjanus campechanus</x:v>
      </x:c>
      <x:c r="F21" s="24" t="str">
        <x:v>Northern red snapper</x:v>
      </x:c>
      <x:c r="G21" s="24" t="str">
        <x:v>Medium reef assoc. fish (30 - 89 cm)</x:v>
      </x:c>
      <x:c r="H21" s="24" t="str">
        <x:v>Perch-likes</x:v>
      </x:c>
      <x:c r="I21" s="31" t="n">
        <x:v>12018.4520253159</x:v>
      </x:c>
      <x:c r="J21" s="31" t="n">
        <x:v>8923.0596385068</x:v>
      </x:c>
      <x:c r="K21" s="31" t="n">
        <x:v>3095.3923868091</x:v>
      </x:c>
      <x:c r="L21" s="31" t="n">
        <x:v>7094.2884504290005</x:v>
      </x:c>
      <x:c r="M21" s="31" t="n">
        <x:v>4924.1635748869</x:v>
      </x:c>
      <x:c r="N21" s="24" t="str">
        <x:v>lutjanus campechanus</x:v>
      </x:c>
      <x:c r="O21" s="32" t="n">
        <x:v>4.01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Lutjanus campechanus</x:v>
      </x:c>
      <x:c r="T21" s="32" t="n">
        <x:f>IF(O21="","",(1/'Metadata'!$B$5)^(O21-1))</x:f>
        <x:v>1023.2929922807537</x:v>
      </x:c>
      <x:c r="U21" s="31" t="n">
        <x:f>IF(T21="","",I21*T21)</x:f>
        <x:v>12298397.735568192</x:v>
      </x:c>
    </x:row>
    <x:row r="22" ht="18" customHeight="1">
      <x:c r="A22" s="24" t="str">
        <x:v>LME_005</x:v>
      </x:c>
      <x:c r="B22" s="24" t="str">
        <x:v>Gulf of Mexico</x:v>
      </x:c>
      <x:c r="C22" s="24" t="str">
        <x:v>LME</x:v>
      </x:c>
      <x:c r="D22" s="30" t="n">
        <x:v>2019</x:v>
      </x:c>
      <x:c r="E22" s="24" t="str">
        <x:v>Caranx crysos</x:v>
      </x:c>
      <x:c r="F22" s="24" t="str">
        <x:v>Blue runner</x:v>
      </x:c>
      <x:c r="G22" s="24" t="str">
        <x:v>Medium reef assoc. fish (30 - 89 cm)</x:v>
      </x:c>
      <x:c r="H22" s="24" t="str">
        <x:v>Perch-likes</x:v>
      </x:c>
      <x:c r="I22" s="31" t="n">
        <x:v>10928.1544816576</x:v>
      </x:c>
      <x:c r="J22" s="31" t="n">
        <x:v>10928.1544816576</x:v>
      </x:c>
      <x:c r="K22" s="31" t="n">
        <x:v>0</x:v>
      </x:c>
      <x:c r="L22" s="31" t="n">
        <x:v>7794.4185931405</x:v>
      </x:c>
      <x:c r="M22" s="31" t="n">
        <x:v>3133.7358885170997</x:v>
      </x:c>
      <x:c r="N22" s="24" t="str">
        <x:v>caranx crysos</x:v>
      </x:c>
      <x:c r="O22" s="32" t="n">
        <x:v>4.13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Caranx crysos</x:v>
      </x:c>
      <x:c r="T22" s="32" t="n">
        <x:f>IF(O22="","",(1/'Metadata'!$B$5)^(O22-1))</x:f>
        <x:v>1348.9628825916532</x:v>
      </x:c>
      <x:c r="U22" s="31" t="n">
        <x:f>IF(T22="","",I22*T22)</x:f>
        <x:v>14741674.77098373</x:v>
      </x:c>
    </x:row>
    <x:row r="23" ht="18" customHeight="1">
      <x:c r="A23" s="24" t="str">
        <x:v>LME_005</x:v>
      </x:c>
      <x:c r="B23" s="24" t="str">
        <x:v>Gulf of Mexico</x:v>
      </x:c>
      <x:c r="C23" s="24" t="str">
        <x:v>LME</x:v>
      </x:c>
      <x:c r="D23" s="30" t="n">
        <x:v>2019</x:v>
      </x:c>
      <x:c r="E23" s="24" t="str">
        <x:v>Mugil cephalus</x:v>
      </x:c>
      <x:c r="F23" s="24" t="str">
        <x:v>Flathead grey mullet</x:v>
      </x:c>
      <x:c r="G23" s="24" t="str">
        <x:v>Large benthopelagics (&gt;=90 cm)</x:v>
      </x:c>
      <x:c r="H23" s="24" t="str">
        <x:v>Perch-likes</x:v>
      </x:c>
      <x:c r="I23" s="31" t="n">
        <x:v>9682.7878694581</x:v>
      </x:c>
      <x:c r="J23" s="31" t="n">
        <x:v>9682.7878694581</x:v>
      </x:c>
      <x:c r="K23" s="31" t="n">
        <x:v>0</x:v>
      </x:c>
      <x:c r="L23" s="31" t="n">
        <x:v>7220.4741735602</x:v>
      </x:c>
      <x:c r="M23" s="31" t="n">
        <x:v>2462.3136958979</x:v>
      </x:c>
      <x:c r="N23" s="24" t="str">
        <x:v>mugil cephalus</x:v>
      </x:c>
      <x:c r="O23" s="32" t="n">
        <x:v>2.14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Mugil cephalus</x:v>
      </x:c>
      <x:c r="T23" s="32" t="n">
        <x:f>IF(O23="","",(1/'Metadata'!$B$5)^(O23-1))</x:f>
        <x:v>13.803842646028853</x:v>
      </x:c>
      <x:c r="U23" s="31" t="n">
        <x:f>IF(T23="","",I23*T23)</x:f>
        <x:v>133659.68012487658</x:v>
      </x:c>
    </x:row>
    <x:row r="24" ht="18" customHeight="1">
      <x:c r="A24" s="24" t="str">
        <x:v>LME_005</x:v>
      </x:c>
      <x:c r="B24" s="24" t="str">
        <x:v>Gulf of Mexico</x:v>
      </x:c>
      <x:c r="C24" s="24" t="str">
        <x:v>LME</x:v>
      </x:c>
      <x:c r="D24" s="30" t="n">
        <x:v>2019</x:v>
      </x:c>
      <x:c r="E24" s="24" t="str">
        <x:v>Ariidae</x:v>
      </x:c>
      <x:c r="F24" s="24" t="str">
        <x:v>Sea catfishes, coblers</x:v>
      </x:c>
      <x:c r="G24" s="24" t="str">
        <x:v>Medium demersals (30 - 89 cm)</x:v>
      </x:c>
      <x:c r="H24" s="24" t="str">
        <x:v>Other fishes &amp; inverts</x:v>
      </x:c>
      <x:c r="I24" s="31" t="n">
        <x:v>9589.2754016853</x:v>
      </x:c>
      <x:c r="J24" s="31" t="n">
        <x:v>9260.5475275838</x:v>
      </x:c>
      <x:c r="K24" s="31" t="n">
        <x:v>328.7278741015</x:v>
      </x:c>
      <x:c r="L24" s="31" t="n">
        <x:v>5214.021436188799</x:v>
      </x:c>
      <x:c r="M24" s="31" t="n">
        <x:v>4375.2539654965</x:v>
      </x:c>
      <x:c r="N24" s="24" t="str">
        <x:v>ariidae</x:v>
      </x:c>
      <x:c r="O24" s="32" t="n">
        <x:v>3.48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Ariidae</x:v>
      </x:c>
      <x:c r="T24" s="32" t="n">
        <x:f>IF(O24="","",(1/'Metadata'!$B$5)^(O24-1))</x:f>
        <x:v>301.9951720402016</x:v>
      </x:c>
      <x:c r="U24" s="31" t="n">
        <x:f>IF(T24="","",I24*T24)</x:f>
        <x:v>2895914.8746728254</x:v>
      </x:c>
    </x:row>
    <x:row r="25" ht="18" customHeight="1">
      <x:c r="A25" s="24" t="str">
        <x:v>LME_005</x:v>
      </x:c>
      <x:c r="B25" s="24" t="str">
        <x:v>Gulf of Mexico</x:v>
      </x:c>
      <x:c r="C25" s="24" t="str">
        <x:v>LME</x:v>
      </x:c>
      <x:c r="D25" s="30" t="n">
        <x:v>2019</x:v>
      </x:c>
      <x:c r="E25" s="24" t="str">
        <x:v>Penaeus duorarum</x:v>
      </x:c>
      <x:c r="F25" s="24" t="str">
        <x:v>Northern pink shrimp</x:v>
      </x:c>
      <x:c r="G25" s="24" t="str">
        <x:v>Shrimps</x:v>
      </x:c>
      <x:c r="H25" s="24" t="str">
        <x:v>Crustaceans</x:v>
      </x:c>
      <x:c r="I25" s="31" t="n">
        <x:v>9486.0117419975</x:v>
      </x:c>
      <x:c r="J25" s="31" t="n">
        <x:v>9486.0117419975</x:v>
      </x:c>
      <x:c r="K25" s="31" t="n">
        <x:v>0</x:v>
      </x:c>
      <x:c r="L25" s="31" t="n">
        <x:v>8591.3079872084</x:v>
      </x:c>
      <x:c r="M25" s="31" t="n">
        <x:v>894.7037547891</x:v>
      </x:c>
      <x:c r="N25" s="24" t="str">
        <x:v>penaeus duorarum</x:v>
      </x:c>
      <x:c r="O25" s="32" t="n">
        <x:v>2.15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Penaeus duorarum</x:v>
      </x:c>
      <x:c r="T25" s="32" t="n">
        <x:f>IF(O25="","",(1/'Metadata'!$B$5)^(O25-1))</x:f>
        <x:v>14.12537544622754</x:v>
      </x:c>
      <x:c r="U25" s="31" t="n">
        <x:f>IF(T25="","",I25*T25)</x:f>
        <x:v>133993.4773430376</x:v>
      </x:c>
    </x:row>
    <x:row r="26" ht="18" customHeight="1">
      <x:c r="A26" s="24" t="str">
        <x:v>LME_005</x:v>
      </x:c>
      <x:c r="B26" s="24" t="str">
        <x:v>Gulf of Mexico</x:v>
      </x:c>
      <x:c r="C26" s="24" t="str">
        <x:v>LME</x:v>
      </x:c>
      <x:c r="D26" s="30" t="n">
        <x:v>2019</x:v>
      </x:c>
      <x:c r="E26" s="24" t="str">
        <x:v>Miscellaneous marine crustaceans</x:v>
      </x:c>
      <x:c r="F26" s="24" t="str">
        <x:v>Marine crabs, shrimps, lobsters nei</x:v>
      </x:c>
      <x:c r="G26" s="24" t="str">
        <x:v>Shrimps</x:v>
      </x:c>
      <x:c r="H26" s="24" t="str">
        <x:v>Crustaceans</x:v>
      </x:c>
      <x:c r="I26" s="31" t="n">
        <x:v>9351.026023047101</x:v>
      </x:c>
      <x:c r="J26" s="31" t="n">
        <x:v>300.88467662510004</x:v>
      </x:c>
      <x:c r="K26" s="31" t="n">
        <x:v>9050.141346422</x:v>
      </x:c>
      <x:c r="L26" s="31" t="n">
        <x:v>300.88467662510004</x:v>
      </x:c>
      <x:c r="M26" s="31" t="n">
        <x:v>9050.141346422</x:v>
      </x:c>
      <x:c r="N26" s="24" t="str">
        <x:v>miscellaneous marine crustaceans</x:v>
      </x:c>
      <x:c r="O26" s="32" t="n">
        <x:v>2.7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Miscellaneous marine crustaceans</x:v>
      </x:c>
      <x:c r="T26" s="32" t="n">
        <x:f>IF(O26="","",(1/'Metadata'!$B$5)^(O26-1))</x:f>
        <x:v>50.11872336272725</x:v>
      </x:c>
      <x:c r="U26" s="31" t="n">
        <x:f>IF(T26="","",I26*T26)</x:f>
        <x:v>468661.4864067613</x:v>
      </x:c>
    </x:row>
    <x:row r="27" ht="18" customHeight="1">
      <x:c r="A27" s="24" t="str">
        <x:v>LME_005</x:v>
      </x:c>
      <x:c r="B27" s="24" t="str">
        <x:v>Gulf of Mexico</x:v>
      </x:c>
      <x:c r="C27" s="24" t="str">
        <x:v>LME</x:v>
      </x:c>
      <x:c r="D27" s="30" t="n">
        <x:v>2019</x:v>
      </x:c>
      <x:c r="E27" s="24" t="str">
        <x:v>Scomberomorus cavalla</x:v>
      </x:c>
      <x:c r="F27" s="24" t="str">
        <x:v>King mackerel</x:v>
      </x:c>
      <x:c r="G27" s="24" t="str">
        <x:v>Large pelagics (&gt;=90 cm)</x:v>
      </x:c>
      <x:c r="H27" s="24" t="str">
        <x:v>Perch-likes</x:v>
      </x:c>
      <x:c r="I27" s="31" t="n">
        <x:v>9264.1199112683</x:v>
      </x:c>
      <x:c r="J27" s="31" t="n">
        <x:v>9092.1478991944</x:v>
      </x:c>
      <x:c r="K27" s="31" t="n">
        <x:v>171.97201207389998</x:v>
      </x:c>
      <x:c r="L27" s="31" t="n">
        <x:v>5733.1612336926</x:v>
      </x:c>
      <x:c r="M27" s="31" t="n">
        <x:v>3530.9586775756998</x:v>
      </x:c>
      <x:c r="N27" s="24" t="str">
        <x:v>scomberomorus cavalla</x:v>
      </x:c>
      <x:c r="O27" s="32" t="n">
        <x:v>4.42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Scomberomorus cavalla</x:v>
      </x:c>
      <x:c r="T27" s="32" t="n">
        <x:f>IF(O27="","",(1/'Metadata'!$B$5)^(O27-1))</x:f>
        <x:v>2630.2679918953813</x:v>
      </x:c>
      <x:c r="U27" s="31" t="n">
        <x:f>IF(T27="","",I27*T27)</x:f>
        <x:v>24367118.075689692</x:v>
      </x:c>
    </x:row>
    <x:row r="28" ht="18" customHeight="1">
      <x:c r="A28" s="24" t="str">
        <x:v>LME_005</x:v>
      </x:c>
      <x:c r="B28" s="24" t="str">
        <x:v>Gulf of Mexico</x:v>
      </x:c>
      <x:c r="C28" s="24" t="str">
        <x:v>LME</x:v>
      </x:c>
      <x:c r="D28" s="30" t="n">
        <x:v>2019</x:v>
      </x:c>
      <x:c r="E28" s="24" t="str">
        <x:v>Lutjanidae</x:v>
      </x:c>
      <x:c r="F28" s="24" t="str">
        <x:v>Snappers</x:v>
      </x:c>
      <x:c r="G28" s="24" t="str">
        <x:v>Medium reef assoc. fish (30 - 89 cm)</x:v>
      </x:c>
      <x:c r="H28" s="24" t="str">
        <x:v>Perch-likes</x:v>
      </x:c>
      <x:c r="I28" s="31" t="n">
        <x:v>9197.4149462284</x:v>
      </x:c>
      <x:c r="J28" s="31" t="n">
        <x:v>9179.824119339399</x:v>
      </x:c>
      <x:c r="K28" s="31" t="n">
        <x:v>17.590826889000002</x:v>
      </x:c>
      <x:c r="L28" s="31" t="n">
        <x:v>1685.6493115421001</x:v>
      </x:c>
      <x:c r="M28" s="31" t="n">
        <x:v>7511.7656346863</x:v>
      </x:c>
      <x:c r="N28" s="24" t="str">
        <x:v>lutjanidae</x:v>
      </x:c>
      <x:c r="O28" s="32" t="n">
        <x:v>4.02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Lutjanidae</x:v>
      </x:c>
      <x:c r="T28" s="32" t="n">
        <x:f>IF(O28="","",(1/'Metadata'!$B$5)^(O28-1))</x:f>
        <x:v>1047.1285480508984</x:v>
      </x:c>
      <x:c r="U28" s="31" t="n">
        <x:f>IF(T28="","",I28*T28)</x:f>
        <x:v>9630875.758465776</x:v>
      </x:c>
    </x:row>
    <x:row r="29" ht="18" customHeight="1">
      <x:c r="A29" s="24" t="str">
        <x:v>LME_005</x:v>
      </x:c>
      <x:c r="B29" s="24" t="str">
        <x:v>Gulf of Mexico</x:v>
      </x:c>
      <x:c r="C29" s="24" t="str">
        <x:v>LME</x:v>
      </x:c>
      <x:c r="D29" s="30" t="n">
        <x:v>2019</x:v>
      </x:c>
      <x:c r="E29" s="24" t="str">
        <x:v>Centropomidae</x:v>
      </x:c>
      <x:c r="F29" s="24" t="str">
        <x:v>Snooks</x:v>
      </x:c>
      <x:c r="G29" s="24" t="str">
        <x:v>Large reef assoc. fish (&gt;=90 cm)</x:v>
      </x:c>
      <x:c r="H29" s="24" t="str">
        <x:v>Perch-likes</x:v>
      </x:c>
      <x:c r="I29" s="31" t="n">
        <x:v>8241.3955228623</x:v>
      </x:c>
      <x:c r="J29" s="31" t="n">
        <x:v>8241.3955228623</x:v>
      </x:c>
      <x:c r="K29" s="31" t="n">
        <x:v>0</x:v>
      </x:c>
      <x:c r="L29" s="31" t="n">
        <x:v>5840.4288438848</x:v>
      </x:c>
      <x:c r="M29" s="31" t="n">
        <x:v>2400.9666789775</x:v>
      </x:c>
      <x:c r="N29" s="24" t="str">
        <x:v>centropomidae</x:v>
      </x:c>
      <x:c r="O29" s="32" t="n">
        <x:v>3.92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Centropomidae</x:v>
      </x:c>
      <x:c r="T29" s="32" t="n">
        <x:f>IF(O29="","",(1/'Metadata'!$B$5)^(O29-1))</x:f>
        <x:v>831.7637711026708</x:v>
      </x:c>
      <x:c r="U29" s="31" t="n">
        <x:f>IF(T29="","",I29*T29)</x:f>
        <x:v>6854894.219244614</x:v>
      </x:c>
    </x:row>
    <x:row r="30" ht="18" customHeight="1">
      <x:c r="A30" s="24" t="str">
        <x:v>LME_005</x:v>
      </x:c>
      <x:c r="B30" s="24" t="str">
        <x:v>Gulf of Mexico</x:v>
      </x:c>
      <x:c r="C30" s="24" t="str">
        <x:v>LME</x:v>
      </x:c>
      <x:c r="D30" s="30" t="n">
        <x:v>2019</x:v>
      </x:c>
      <x:c r="E30" s="24" t="str">
        <x:v>Caranx</x:v>
      </x:c>
      <x:c r="F30" s="24" t="str">
        <x:v>Jacks</x:v>
      </x:c>
      <x:c r="G30" s="24" t="str">
        <x:v>Medium reef assoc. fish (30 - 89 cm)</x:v>
      </x:c>
      <x:c r="H30" s="24" t="str">
        <x:v>Perch-likes</x:v>
      </x:c>
      <x:c r="I30" s="31" t="n">
        <x:v>8100.4153747572</x:v>
      </x:c>
      <x:c r="J30" s="31" t="n">
        <x:v>8100.4153747572</x:v>
      </x:c>
      <x:c r="K30" s="31" t="n">
        <x:v>0</x:v>
      </x:c>
      <x:c r="L30" s="31" t="n">
        <x:v>5681.8272942881</x:v>
      </x:c>
      <x:c r="M30" s="31" t="n">
        <x:v>2418.5880804691</x:v>
      </x:c>
      <x:c r="N30" s="24" t="str">
        <x:v>caranx</x:v>
      </x:c>
      <x:c r="O30" s="32" t="n">
        <x:v>4.12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Caranx</x:v>
      </x:c>
      <x:c r="T30" s="32" t="n">
        <x:f>IF(O30="","",(1/'Metadata'!$B$5)^(O30-1))</x:f>
        <x:v>1318.2567385564075</x:v>
      </x:c>
      <x:c r="U30" s="31" t="n">
        <x:f>IF(T30="","",I30*T30)</x:f>
        <x:v>10678427.152879607</x:v>
      </x:c>
    </x:row>
    <x:row r="31" ht="18" customHeight="1">
      <x:c r="A31" s="24" t="str">
        <x:v>LME_005</x:v>
      </x:c>
      <x:c r="B31" s="24" t="str">
        <x:v>Gulf of Mexico</x:v>
      </x:c>
      <x:c r="C31" s="24" t="str">
        <x:v>LME</x:v>
      </x:c>
      <x:c r="D31" s="30" t="n">
        <x:v>2019</x:v>
      </x:c>
      <x:c r="E31" s="24" t="str">
        <x:v>Pogonias courbina</x:v>
      </x:c>
      <x:c r="F31" s="24" t="str">
        <x:v>Black drum</x:v>
      </x:c>
      <x:c r="G31" s="24" t="str">
        <x:v>Large demersals (&gt;=90 cm)</x:v>
      </x:c>
      <x:c r="H31" s="24" t="str">
        <x:v>Perch-likes</x:v>
      </x:c>
      <x:c r="I31" s="31" t="n">
        <x:v>7683.515143158</x:v>
      </x:c>
      <x:c r="J31" s="31" t="n">
        <x:v>7507.069485480801</x:v>
      </x:c>
      <x:c r="K31" s="31" t="n">
        <x:v>176.4456576772</x:v>
      </x:c>
      <x:c r="L31" s="31" t="n">
        <x:v>2436.8568702786</x:v>
      </x:c>
      <x:c r="M31" s="31" t="n">
        <x:v>5246.6582728794</x:v>
      </x:c>
      <x:c r="N31" s="24" t="str">
        <x:v>pogonias courbina</x:v>
      </x:c>
      <x:c r="O31" s="32" t="n">
        <x:v>3.89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Pogonias courbina</x:v>
      </x:c>
      <x:c r="T31" s="32" t="n">
        <x:f>IF(O31="","",(1/'Metadata'!$B$5)^(O31-1))</x:f>
        <x:v>776.247116628692</x:v>
      </x:c>
      <x:c r="U31" s="31" t="n">
        <x:f>IF(T31="","",I31*T31)</x:f>
        <x:v>5964306.475449288</x:v>
      </x:c>
    </x:row>
    <x:row r="32" ht="18" customHeight="1">
      <x:c r="A32" s="24" t="str">
        <x:v>LME_005</x:v>
      </x:c>
      <x:c r="B32" s="24" t="str">
        <x:v>Gulf of Mexico</x:v>
      </x:c>
      <x:c r="C32" s="24" t="str">
        <x:v>LME</x:v>
      </x:c>
      <x:c r="D32" s="30" t="n">
        <x:v>2019</x:v>
      </x:c>
      <x:c r="E32" s="24" t="str">
        <x:v>Gastropoda</x:v>
      </x:c>
      <x:c r="F32" s="24" t="str">
        <x:v>Sea snails</x:v>
      </x:c>
      <x:c r="G32" s="24" t="str">
        <x:v>Other demersal invertebrates</x:v>
      </x:c>
      <x:c r="H32" s="24" t="str">
        <x:v>Molluscs</x:v>
      </x:c>
      <x:c r="I32" s="31" t="n">
        <x:v>6165.9933188769</x:v>
      </x:c>
      <x:c r="J32" s="31" t="n">
        <x:v>5556.1081693208</x:v>
      </x:c>
      <x:c r="K32" s="31" t="n">
        <x:v>609.8851495561</x:v>
      </x:c>
      <x:c r="L32" s="31" t="n">
        <x:v>5554.970846296699</x:v>
      </x:c>
      <x:c r="M32" s="31" t="n">
        <x:v>611.0224725802001</x:v>
      </x:c>
      <x:c r="N32" s="24" t="str">
        <x:v>gastropoda</x:v>
      </x:c>
      <x:c r="O32" s="32" t="n">
        <x:v>3.06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Gastropoda</x:v>
      </x:c>
      <x:c r="T32" s="32" t="n">
        <x:f>IF(O32="","",(1/'Metadata'!$B$5)^(O32-1))</x:f>
        <x:v>114.81536214968828</x:v>
      </x:c>
      <x:c r="U32" s="31" t="n">
        <x:f>IF(T32="","",I32*T32)</x:f>
        <x:v>707950.7559194097</x:v>
      </x:c>
    </x:row>
    <x:row r="33" ht="18" customHeight="1">
      <x:c r="A33" s="24" t="str">
        <x:v>LME_005</x:v>
      </x:c>
      <x:c r="B33" s="24" t="str">
        <x:v>Gulf of Mexico</x:v>
      </x:c>
      <x:c r="C33" s="24" t="str">
        <x:v>LME</x:v>
      </x:c>
      <x:c r="D33" s="30" t="n">
        <x:v>2019</x:v>
      </x:c>
      <x:c r="E33" s="24" t="str">
        <x:v>Marine pelagic fishes not identified</x:v>
      </x:c>
      <x:c r="F33" s="24" t="str">
        <x:v>Pelagic fishes</x:v>
      </x:c>
      <x:c r="G33" s="24" t="str">
        <x:v>Medium pelagics (30 - 89 cm)</x:v>
      </x:c>
      <x:c r="H33" s="24" t="str">
        <x:v>Other fishes &amp; inverts</x:v>
      </x:c>
      <x:c r="I33" s="31" t="n">
        <x:v>5296.2137113645</x:v>
      </x:c>
      <x:c r="J33" s="31" t="n">
        <x:v>5296.2137113645</x:v>
      </x:c>
      <x:c r="K33" s="31" t="n">
        <x:v>0</x:v>
      </x:c>
      <x:c r="L33" s="31" t="n">
        <x:v>5296.2137113645</x:v>
      </x:c>
      <x:c r="M33" s="31" t="n">
        <x:v>0</x:v>
      </x:c>
      <x:c r="N33" s="24" t="str">
        <x:v>marine pelagic fishes not identified</x:v>
      </x:c>
      <x:c r="O33" s="32" t="n">
        <x:v>3.35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Marine pelagic fishes not identified</x:v>
      </x:c>
      <x:c r="T33" s="32" t="n">
        <x:f>IF(O33="","",(1/'Metadata'!$B$5)^(O33-1))</x:f>
        <x:v>223.872113856834</x:v>
      </x:c>
      <x:c r="U33" s="31" t="n">
        <x:f>IF(T33="","",I33*T33)</x:f>
        <x:v>1185674.5590007189</x:v>
      </x:c>
    </x:row>
    <x:row r="34" ht="18" customHeight="1">
      <x:c r="A34" s="24" t="str">
        <x:v>LME_005</x:v>
      </x:c>
      <x:c r="B34" s="24" t="str">
        <x:v>Gulf of Mexico</x:v>
      </x:c>
      <x:c r="C34" s="24" t="str">
        <x:v>LME</x:v>
      </x:c>
      <x:c r="D34" s="30" t="n">
        <x:v>2019</x:v>
      </x:c>
      <x:c r="E34" s="24" t="str">
        <x:v>Mugil curema</x:v>
      </x:c>
      <x:c r="F34" s="24" t="str">
        <x:v>White mullet</x:v>
      </x:c>
      <x:c r="G34" s="24" t="str">
        <x:v>Medium benthopelagics (30 - 89 cm)</x:v>
      </x:c>
      <x:c r="H34" s="24" t="str">
        <x:v>Perch-likes</x:v>
      </x:c>
      <x:c r="I34" s="31" t="n">
        <x:v>5207.3277047644</x:v>
      </x:c>
      <x:c r="J34" s="31" t="n">
        <x:v>5207.3277047644</x:v>
      </x:c>
      <x:c r="K34" s="31" t="n">
        <x:v>0</x:v>
      </x:c>
      <x:c r="L34" s="31" t="n">
        <x:v>3820.1468187122</x:v>
      </x:c>
      <x:c r="M34" s="31" t="n">
        <x:v>1387.1808860521999</x:v>
      </x:c>
      <x:c r="N34" s="24" t="str">
        <x:v>mugil curema</x:v>
      </x:c>
      <x:c r="O34" s="32" t="n">
        <x:v>2.01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Mugil curema</x:v>
      </x:c>
      <x:c r="T34" s="32" t="n">
        <x:f>IF(O34="","",(1/'Metadata'!$B$5)^(O34-1))</x:f>
        <x:v>10.232929922807536</x:v>
      </x:c>
      <x:c r="U34" s="31" t="n">
        <x:f>IF(T34="","",I34*T34)</x:f>
        <x:v>53286.21948794831</x:v>
      </x:c>
    </x:row>
    <x:row r="35" ht="18" customHeight="1">
      <x:c r="A35" s="24" t="str">
        <x:v>LME_005</x:v>
      </x:c>
      <x:c r="B35" s="24" t="str">
        <x:v>Gulf of Mexico</x:v>
      </x:c>
      <x:c r="C35" s="24" t="str">
        <x:v>LME</x:v>
      </x:c>
      <x:c r="D35" s="30" t="n">
        <x:v>2019</x:v>
      </x:c>
      <x:c r="E35" s="24" t="str">
        <x:v>Scomberomorus</x:v>
      </x:c>
      <x:c r="F35" s="24" t="str">
        <x:v>Spanish mackerels</x:v>
      </x:c>
      <x:c r="G35" s="24" t="str">
        <x:v>Large pelagics (&gt;=90 cm)</x:v>
      </x:c>
      <x:c r="H35" s="24" t="str">
        <x:v>Perch-likes</x:v>
      </x:c>
      <x:c r="I35" s="31" t="n">
        <x:v>5041.4702687132</x:v>
      </x:c>
      <x:c r="J35" s="31" t="n">
        <x:v>5041.4702687132</x:v>
      </x:c>
      <x:c r="K35" s="31" t="n">
        <x:v>0</x:v>
      </x:c>
      <x:c r="L35" s="31" t="n">
        <x:v>0.0007733746</x:v>
      </x:c>
      <x:c r="M35" s="31" t="n">
        <x:v>5041.469495338601</x:v>
      </x:c>
      <x:c r="N35" s="24" t="str">
        <x:v>scomberomorus</x:v>
      </x:c>
      <x:c r="O35" s="32" t="n">
        <x:v>4.35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Scomberomorus</x:v>
      </x:c>
      <x:c r="T35" s="32" t="n">
        <x:f>IF(O35="","",(1/'Metadata'!$B$5)^(O35-1))</x:f>
        <x:v>2238.7211385683377</x:v>
      </x:c>
      <x:c r="U35" s="31" t="n">
        <x:f>IF(T35="","",I35*T35)</x:f>
        <x:v>11286446.06003204</x:v>
      </x:c>
    </x:row>
    <x:row r="36" ht="18" customHeight="1">
      <x:c r="A36" s="24" t="str">
        <x:v>LME_005</x:v>
      </x:c>
      <x:c r="B36" s="24" t="str">
        <x:v>Gulf of Mexico</x:v>
      </x:c>
      <x:c r="C36" s="24" t="str">
        <x:v>LME</x:v>
      </x:c>
      <x:c r="D36" s="30" t="n">
        <x:v>2019</x:v>
      </x:c>
      <x:c r="E36" s="24" t="str">
        <x:v>Epinephelus morio</x:v>
      </x:c>
      <x:c r="F36" s="24" t="str">
        <x:v>Red grouper</x:v>
      </x:c>
      <x:c r="G36" s="24" t="str">
        <x:v>Large reef assoc. fish (&gt;=90 cm)</x:v>
      </x:c>
      <x:c r="H36" s="24" t="str">
        <x:v>Perch-likes</x:v>
      </x:c>
      <x:c r="I36" s="31" t="n">
        <x:v>4778.6325415907995</x:v>
      </x:c>
      <x:c r="J36" s="31" t="n">
        <x:v>2825.3415877087</x:v>
      </x:c>
      <x:c r="K36" s="31" t="n">
        <x:v>1953.2909538821</x:v>
      </x:c>
      <x:c r="L36" s="31" t="n">
        <x:v>1070.065611882</x:v>
      </x:c>
      <x:c r="M36" s="31" t="n">
        <x:v>3708.5669297088</x:v>
      </x:c>
      <x:c r="N36" s="24" t="str">
        <x:v>epinephelus morio</x:v>
      </x:c>
      <x:c r="O36" s="32" t="n">
        <x:v>3.5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Epinephelus morio</x:v>
      </x:c>
      <x:c r="T36" s="32" t="n">
        <x:f>IF(O36="","",(1/'Metadata'!$B$5)^(O36-1))</x:f>
        <x:v>316.22776601683796</x:v>
      </x:c>
      <x:c r="U36" s="31" t="n">
        <x:f>IF(T36="","",I36*T36)</x:f>
        <x:v>1511136.293242623</x:v>
      </x:c>
    </x:row>
    <x:row r="37" ht="18" customHeight="1">
      <x:c r="A37" s="24" t="str">
        <x:v>LME_005</x:v>
      </x:c>
      <x:c r="B37" s="24" t="str">
        <x:v>Gulf of Mexico</x:v>
      </x:c>
      <x:c r="C37" s="24" t="str">
        <x:v>LME</x:v>
      </x:c>
      <x:c r="D37" s="30" t="n">
        <x:v>2019</x:v>
      </x:c>
      <x:c r="E37" s="24" t="str">
        <x:v>Mugilidae</x:v>
      </x:c>
      <x:c r="F37" s="24" t="str">
        <x:v>Mullets, grey mullets</x:v>
      </x:c>
      <x:c r="G37" s="24" t="str">
        <x:v>Medium reef assoc. fish (30 - 89 cm)</x:v>
      </x:c>
      <x:c r="H37" s="24" t="str">
        <x:v>Perch-likes</x:v>
      </x:c>
      <x:c r="I37" s="31" t="n">
        <x:v>4483.4879496832</x:v>
      </x:c>
      <x:c r="J37" s="31" t="n">
        <x:v>4483.4879496832</x:v>
      </x:c>
      <x:c r="K37" s="31" t="n">
        <x:v>0</x:v>
      </x:c>
      <x:c r="L37" s="31" t="n">
        <x:v>1044.9189530636</x:v>
      </x:c>
      <x:c r="M37" s="31" t="n">
        <x:v>3438.5689966195996</x:v>
      </x:c>
      <x:c r="N37" s="24" t="str">
        <x:v>mugilidae</x:v>
      </x:c>
      <x:c r="O37" s="32" t="n">
        <x:v>2.53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Mugilidae</x:v>
      </x:c>
      <x:c r="T37" s="32" t="n">
        <x:f>IF(O37="","",(1/'Metadata'!$B$5)^(O37-1))</x:f>
        <x:v>33.88441561392024</x:v>
      </x:c>
      <x:c r="U37" s="31" t="n">
        <x:f>IF(T37="","",I37*T37)</x:f>
        <x:v>151920.36908706866</x:v>
      </x:c>
    </x:row>
    <x:row r="38" ht="18" customHeight="1">
      <x:c r="A38" s="24" t="str">
        <x:v>LME_005</x:v>
      </x:c>
      <x:c r="B38" s="24" t="str">
        <x:v>Gulf of Mexico</x:v>
      </x:c>
      <x:c r="C38" s="24" t="str">
        <x:v>LME</x:v>
      </x:c>
      <x:c r="D38" s="30" t="n">
        <x:v>2019</x:v>
      </x:c>
      <x:c r="E38" s="24" t="str">
        <x:v>Decapoda</x:v>
      </x:c>
      <x:c r="F38" s="24" t="str">
        <x:v>Crabs, lobsters, shrimps</x:v>
      </x:c>
      <x:c r="G38" s="24" t="str">
        <x:v>Lobsters, crabs</x:v>
      </x:c>
      <x:c r="H38" s="24" t="str">
        <x:v>Crustaceans</x:v>
      </x:c>
      <x:c r="I38" s="31" t="n">
        <x:v>4409.1711489226</x:v>
      </x:c>
      <x:c r="J38" s="31" t="n">
        <x:v>4409.1711489226</x:v>
      </x:c>
      <x:c r="K38" s="31" t="n">
        <x:v>0</x:v>
      </x:c>
      <x:c r="L38" s="31" t="n">
        <x:v>4191.4729381894</x:v>
      </x:c>
      <x:c r="M38" s="31" t="n">
        <x:v>217.6982107332</x:v>
      </x:c>
      <x:c r="N38" s="24" t="str">
        <x:v>decapoda</x:v>
      </x:c>
      <x:c r="O38" s="32" t="n">
        <x:v>3.43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Decapoda</x:v>
      </x:c>
      <x:c r="T38" s="32" t="n">
        <x:f>IF(O38="","",(1/'Metadata'!$B$5)^(O38-1))</x:f>
        <x:v>269.1534803926917</x:v>
      </x:c>
      <x:c r="U38" s="31" t="n">
        <x:f>IF(T38="","",I38*T38)</x:f>
        <x:v>1186743.7603795608</x:v>
      </x:c>
    </x:row>
    <x:row r="39" ht="18" customHeight="1">
      <x:c r="A39" s="24" t="str">
        <x:v>LME_005</x:v>
      </x:c>
      <x:c r="B39" s="24" t="str">
        <x:v>Gulf of Mexico</x:v>
      </x:c>
      <x:c r="C39" s="24" t="str">
        <x:v>LME</x:v>
      </x:c>
      <x:c r="D39" s="30" t="n">
        <x:v>2019</x:v>
      </x:c>
      <x:c r="E39" s="24" t="str">
        <x:v>Elasmobranchii</x:v>
      </x:c>
      <x:c r="F39" s="24" t="str">
        <x:v>Sharks, rays, skates</x:v>
      </x:c>
      <x:c r="G39" s="24" t="str">
        <x:v>Large sharks (&gt;=90 cm)</x:v>
      </x:c>
      <x:c r="H39" s="24" t="str">
        <x:v>Sharks &amp; rays</x:v>
      </x:c>
      <x:c r="I39" s="31" t="n">
        <x:v>4335.3187631532</x:v>
      </x:c>
      <x:c r="J39" s="31" t="n">
        <x:v>3914.4837678267</x:v>
      </x:c>
      <x:c r="K39" s="31" t="n">
        <x:v>420.8349953265</x:v>
      </x:c>
      <x:c r="L39" s="31" t="n">
        <x:v>2805.9049609805998</x:v>
      </x:c>
      <x:c r="M39" s="31" t="n">
        <x:v>1529.4138021726</x:v>
      </x:c>
      <x:c r="N39" s="24" t="str">
        <x:v>elasmobranchii</x:v>
      </x:c>
      <x:c r="O39" s="32" t="n">
        <x:v>4.05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Elasmobranchii</x:v>
      </x:c>
      <x:c r="T39" s="32" t="n">
        <x:f>IF(O39="","",(1/'Metadata'!$B$5)^(O39-1))</x:f>
        <x:v>1122.018454301963</x:v>
      </x:c>
      <x:c r="U39" s="31" t="n">
        <x:f>IF(T39="","",I39*T39)</x:f>
        <x:v>4864307.6575394515</x:v>
      </x:c>
    </x:row>
    <x:row r="40" ht="18" customHeight="1">
      <x:c r="A40" s="24" t="str">
        <x:v>LME_005</x:v>
      </x:c>
      <x:c r="B40" s="24" t="str">
        <x:v>Gulf of Mexico</x:v>
      </x:c>
      <x:c r="C40" s="24" t="str">
        <x:v>LME</x:v>
      </x:c>
      <x:c r="D40" s="30" t="n">
        <x:v>2019</x:v>
      </x:c>
      <x:c r="E40" s="24" t="str">
        <x:v>Ocyurus chrysurus</x:v>
      </x:c>
      <x:c r="F40" s="24" t="str">
        <x:v>Yellowtail snapper</x:v>
      </x:c>
      <x:c r="G40" s="24" t="str">
        <x:v>Medium reef assoc. fish (30 - 89 cm)</x:v>
      </x:c>
      <x:c r="H40" s="24" t="str">
        <x:v>Perch-likes</x:v>
      </x:c>
      <x:c r="I40" s="31" t="n">
        <x:v>3962.3794747874</x:v>
      </x:c>
      <x:c r="J40" s="31" t="n">
        <x:v>3512.0188922502</x:v>
      </x:c>
      <x:c r="K40" s="31" t="n">
        <x:v>450.36058253720006</x:v>
      </x:c>
      <x:c r="L40" s="31" t="n">
        <x:v>2717.1834384192002</x:v>
      </x:c>
      <x:c r="M40" s="31" t="n">
        <x:v>1245.1960363682</x:v>
      </x:c>
      <x:c r="N40" s="24" t="str">
        <x:v>ocyurus chrysurus</x:v>
      </x:c>
      <x:c r="O40" s="32" t="n">
        <x:v>4.03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Ocyurus chrysurus</x:v>
      </x:c>
      <x:c r="T40" s="32" t="n">
        <x:f>IF(O40="","",(1/'Metadata'!$B$5)^(O40-1))</x:f>
        <x:v>1071.519305237607</x:v>
      </x:c>
      <x:c r="U40" s="31" t="n">
        <x:f>IF(T40="","",I40*T40)</x:f>
        <x:v>4245766.101911949</x:v>
      </x:c>
    </x:row>
    <x:row r="41" ht="18" customHeight="1">
      <x:c r="A41" s="24" t="str">
        <x:v>LME_005</x:v>
      </x:c>
      <x:c r="B41" s="24" t="str">
        <x:v>Gulf of Mexico</x:v>
      </x:c>
      <x:c r="C41" s="24" t="str">
        <x:v>LME</x:v>
      </x:c>
      <x:c r="D41" s="30" t="n">
        <x:v>2019</x:v>
      </x:c>
      <x:c r="E41" s="24" t="str">
        <x:v>Sarda sarda</x:v>
      </x:c>
      <x:c r="F41" s="24" t="str">
        <x:v>Atlantic bonito</x:v>
      </x:c>
      <x:c r="G41" s="24" t="str">
        <x:v>Medium pelagics (30 - 89 cm)</x:v>
      </x:c>
      <x:c r="H41" s="24" t="str">
        <x:v>Tuna &amp; billfishes</x:v>
      </x:c>
      <x:c r="I41" s="31" t="n">
        <x:v>3789.4921792143</x:v>
      </x:c>
      <x:c r="J41" s="31" t="n">
        <x:v>3789.4921792143</x:v>
      </x:c>
      <x:c r="K41" s="31" t="n">
        <x:v>0</x:v>
      </x:c>
      <x:c r="L41" s="31" t="n">
        <x:v>3786.1339949727003</x:v>
      </x:c>
      <x:c r="M41" s="31" t="n">
        <x:v>3.3581842416</x:v>
      </x:c>
      <x:c r="N41" s="24" t="str">
        <x:v>sarda sarda</x:v>
      </x:c>
      <x:c r="O41" s="32" t="n">
        <x:v>4.5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Sarda sarda</x:v>
      </x:c>
      <x:c r="T41" s="32" t="n">
        <x:f>IF(O41="","",(1/'Metadata'!$B$5)^(O41-1))</x:f>
        <x:v>3162.2776601683795</x:v>
      </x:c>
      <x:c r="U41" s="31" t="n">
        <x:f>IF(T41="","",I41*T41)</x:f>
        <x:v>11983426.46171217</x:v>
      </x:c>
    </x:row>
    <x:row r="42" ht="18" customHeight="1">
      <x:c r="A42" s="24" t="str">
        <x:v>LME_005</x:v>
      </x:c>
      <x:c r="B42" s="24" t="str">
        <x:v>Gulf of Mexico</x:v>
      </x:c>
      <x:c r="C42" s="24" t="str">
        <x:v>LME</x:v>
      </x:c>
      <x:c r="D42" s="30" t="n">
        <x:v>2019</x:v>
      </x:c>
      <x:c r="E42" s="24" t="str">
        <x:v>Archosargus probatocephalus</x:v>
      </x:c>
      <x:c r="F42" s="24" t="str">
        <x:v>Sheepshead</x:v>
      </x:c>
      <x:c r="G42" s="24" t="str">
        <x:v>Medium demersals (30 - 89 cm)</x:v>
      </x:c>
      <x:c r="H42" s="24" t="str">
        <x:v>Perch-likes</x:v>
      </x:c>
      <x:c r="I42" s="31" t="n">
        <x:v>3767.3605223286004</x:v>
      </x:c>
      <x:c r="J42" s="31" t="n">
        <x:v>3607.558612704</x:v>
      </x:c>
      <x:c r="K42" s="31" t="n">
        <x:v>159.8019096246</x:v>
      </x:c>
      <x:c r="L42" s="31" t="n">
        <x:v>619.2011304699</x:v>
      </x:c>
      <x:c r="M42" s="31" t="n">
        <x:v>3148.1593918587</x:v>
      </x:c>
      <x:c r="N42" s="24" t="str">
        <x:v>archosargus probatocephalus</x:v>
      </x:c>
      <x:c r="O42" s="32" t="n">
        <x:v>3.53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Archosargus probatocephalus</x:v>
      </x:c>
      <x:c r="T42" s="32" t="n">
        <x:f>IF(O42="","",(1/'Metadata'!$B$5)^(O42-1))</x:f>
        <x:v>338.84415613920237</x:v>
      </x:c>
      <x:c r="U42" s="31" t="n">
        <x:f>IF(T42="","",I42*T42)</x:f>
        <x:v>1276548.0970605793</x:v>
      </x:c>
    </x:row>
    <x:row r="43" ht="18" customHeight="1">
      <x:c r="A43" s="24" t="str">
        <x:v>LME_005</x:v>
      </x:c>
      <x:c r="B43" s="24" t="str">
        <x:v>Gulf of Mexico</x:v>
      </x:c>
      <x:c r="C43" s="24" t="str">
        <x:v>LME</x:v>
      </x:c>
      <x:c r="D43" s="30" t="n">
        <x:v>2019</x:v>
      </x:c>
      <x:c r="E43" s="24" t="str">
        <x:v>Haemulidae</x:v>
      </x:c>
      <x:c r="F43" s="24" t="str">
        <x:v>Grunts, sweetlips, bonnetmouths</x:v>
      </x:c>
      <x:c r="G43" s="24" t="str">
        <x:v>Medium demersals (30 - 89 cm)</x:v>
      </x:c>
      <x:c r="H43" s="24" t="str">
        <x:v>Perch-likes</x:v>
      </x:c>
      <x:c r="I43" s="31" t="n">
        <x:v>3597.9206391434004</x:v>
      </x:c>
      <x:c r="J43" s="31" t="n">
        <x:v>3597.9206391434004</x:v>
      </x:c>
      <x:c r="K43" s="31" t="n">
        <x:v>0</x:v>
      </x:c>
      <x:c r="L43" s="31" t="n">
        <x:v>2490.0138894031</x:v>
      </x:c>
      <x:c r="M43" s="31" t="n">
        <x:v>1107.9067497403</x:v>
      </x:c>
      <x:c r="N43" s="24" t="str">
        <x:v>haemulidae</x:v>
      </x:c>
      <x:c r="O43" s="32" t="n">
        <x:v>3.36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Haemulidae</x:v>
      </x:c>
      <x:c r="T43" s="32" t="n">
        <x:f>IF(O43="","",(1/'Metadata'!$B$5)^(O43-1))</x:f>
        <x:v>229.08676527677724</x:v>
      </x:c>
      <x:c r="U43" s="31" t="n">
        <x:f>IF(T43="","",I43*T43)</x:f>
        <x:v>824236.0009439165</x:v>
      </x:c>
    </x:row>
    <x:row r="44" ht="18" customHeight="1">
      <x:c r="A44" s="24" t="str">
        <x:v>LME_005</x:v>
      </x:c>
      <x:c r="B44" s="24" t="str">
        <x:v>Gulf of Mexico</x:v>
      </x:c>
      <x:c r="C44" s="24" t="str">
        <x:v>LME</x:v>
      </x:c>
      <x:c r="D44" s="30" t="n">
        <x:v>2019</x:v>
      </x:c>
      <x:c r="E44" s="24" t="str">
        <x:v>Rhomboplites aurorubens</x:v>
      </x:c>
      <x:c r="F44" s="24" t="str">
        <x:v>Vermilion snapper</x:v>
      </x:c>
      <x:c r="G44" s="24" t="str">
        <x:v>Medium demersals (30 - 89 cm)</x:v>
      </x:c>
      <x:c r="H44" s="24" t="str">
        <x:v>Perch-likes</x:v>
      </x:c>
      <x:c r="I44" s="31" t="n">
        <x:v>3068.0311126137</x:v>
      </x:c>
      <x:c r="J44" s="31" t="n">
        <x:v>2941.6844370227</x:v>
      </x:c>
      <x:c r="K44" s="31" t="n">
        <x:v>126.346675591</x:v>
      </x:c>
      <x:c r="L44" s="31" t="n">
        <x:v>1683.4755679245</x:v>
      </x:c>
      <x:c r="M44" s="31" t="n">
        <x:v>1384.5555446892</x:v>
      </x:c>
      <x:c r="N44" s="24" t="str">
        <x:v>rhomboplites aurorubens</x:v>
      </x:c>
      <x:c r="O44" s="32" t="n">
        <x:v>4.36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Rhomboplites aurorubens</x:v>
      </x:c>
      <x:c r="T44" s="32" t="n">
        <x:f>IF(O44="","",(1/'Metadata'!$B$5)^(O44-1))</x:f>
        <x:v>2290.867652767775</x:v>
      </x:c>
      <x:c r="U44" s="31" t="n">
        <x:f>IF(T44="","",I44*T44)</x:f>
        <x:v>7028453.233571852</x:v>
      </x:c>
    </x:row>
    <x:row r="45" ht="18" customHeight="1">
      <x:c r="A45" s="24" t="str">
        <x:v>LME_005</x:v>
      </x:c>
      <x:c r="B45" s="24" t="str">
        <x:v>Gulf of Mexico</x:v>
      </x:c>
      <x:c r="C45" s="24" t="str">
        <x:v>LME</x:v>
      </x:c>
      <x:c r="D45" s="30" t="n">
        <x:v>2019</x:v>
      </x:c>
      <x:c r="E45" s="24" t="str">
        <x:v>Dasyatidae</x:v>
      </x:c>
      <x:c r="F45" s="24" t="str">
        <x:v>Whiptail stingrays</x:v>
      </x:c>
      <x:c r="G45" s="24" t="str">
        <x:v>Large rays (&gt;=90 cm)</x:v>
      </x:c>
      <x:c r="H45" s="24" t="str">
        <x:v>Sharks &amp; rays</x:v>
      </x:c>
      <x:c r="I45" s="31" t="n">
        <x:v>3047.2352062037</x:v>
      </x:c>
      <x:c r="J45" s="31" t="n">
        <x:v>3035.4706841757</x:v>
      </x:c>
      <x:c r="K45" s="31" t="n">
        <x:v>11.764522028</x:v>
      </x:c>
      <x:c r="L45" s="31" t="n">
        <x:v>3015.9488497577</x:v>
      </x:c>
      <x:c r="M45" s="31" t="n">
        <x:v>31.286356446</x:v>
      </x:c>
      <x:c r="N45" s="24" t="str">
        <x:v>dasyatidae</x:v>
      </x:c>
      <x:c r="O45" s="32" t="n">
        <x:v>3.38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Dasyatidae</x:v>
      </x:c>
      <x:c r="T45" s="32" t="n">
        <x:f>IF(O45="","",(1/'Metadata'!$B$5)^(O45-1))</x:f>
        <x:v>239.88329190194898</x:v>
      </x:c>
      <x:c r="U45" s="31" t="n">
        <x:f>IF(T45="","",I45*T45)</x:f>
        <x:v>730980.8124636578</x:v>
      </x:c>
    </x:row>
    <x:row r="46" ht="18" customHeight="1">
      <x:c r="A46" s="24" t="str">
        <x:v>LME_005</x:v>
      </x:c>
      <x:c r="B46" s="24" t="str">
        <x:v>Gulf of Mexico</x:v>
      </x:c>
      <x:c r="C46" s="24" t="str">
        <x:v>LME</x:v>
      </x:c>
      <x:c r="D46" s="30" t="n">
        <x:v>2019</x:v>
      </x:c>
      <x:c r="E46" s="24" t="str">
        <x:v>Lutjanus griseus</x:v>
      </x:c>
      <x:c r="F46" s="24" t="str">
        <x:v>Grey snapper</x:v>
      </x:c>
      <x:c r="G46" s="24" t="str">
        <x:v>Medium reef assoc. fish (30 - 89 cm)</x:v>
      </x:c>
      <x:c r="H46" s="24" t="str">
        <x:v>Perch-likes</x:v>
      </x:c>
      <x:c r="I46" s="31" t="n">
        <x:v>2890.1676813994</x:v>
      </x:c>
      <x:c r="J46" s="31" t="n">
        <x:v>2758.4955951963</x:v>
      </x:c>
      <x:c r="K46" s="31" t="n">
        <x:v>131.6720862031</x:v>
      </x:c>
      <x:c r="L46" s="31" t="n">
        <x:v>493.9924798808</x:v>
      </x:c>
      <x:c r="M46" s="31" t="n">
        <x:v>2396.1752015186</x:v>
      </x:c>
      <x:c r="N46" s="24" t="str">
        <x:v>lutjanus griseus</x:v>
      </x:c>
      <x:c r="O46" s="32" t="n">
        <x:v>4.23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Lutjanus griseus</x:v>
      </x:c>
      <x:c r="T46" s="32" t="n">
        <x:f>IF(O46="","",(1/'Metadata'!$B$5)^(O46-1))</x:f>
        <x:v>1698.243652461746</x:v>
      </x:c>
      <x:c r="U46" s="31" t="n">
        <x:f>IF(T46="","",I46*T46)</x:f>
        <x:v>4908208.919486613</x:v>
      </x:c>
    </x:row>
    <x:row r="47" ht="18" customHeight="1">
      <x:c r="A47" s="24" t="str">
        <x:v>LME_005</x:v>
      </x:c>
      <x:c r="B47" s="24" t="str">
        <x:v>Gulf of Mexico</x:v>
      </x:c>
      <x:c r="C47" s="24" t="str">
        <x:v>LME</x:v>
      </x:c>
      <x:c r="D47" s="30" t="n">
        <x:v>2019</x:v>
      </x:c>
      <x:c r="E47" s="24" t="str">
        <x:v>Elops saurus</x:v>
      </x:c>
      <x:c r="F47" s="24" t="str">
        <x:v>Ladyfish</x:v>
      </x:c>
      <x:c r="G47" s="24" t="str">
        <x:v>Medium pelagics (30 - 89 cm)</x:v>
      </x:c>
      <x:c r="H47" s="24" t="str">
        <x:v>Other fishes &amp; inverts</x:v>
      </x:c>
      <x:c r="I47" s="31" t="n">
        <x:v>2756.6511767662</x:v>
      </x:c>
      <x:c r="J47" s="31" t="n">
        <x:v>2756.6511767662</x:v>
      </x:c>
      <x:c r="K47" s="31" t="n">
        <x:v>0</x:v>
      </x:c>
      <x:c r="L47" s="31" t="n">
        <x:v>1704.2264683022</x:v>
      </x:c>
      <x:c r="M47" s="31" t="n">
        <x:v>1052.424708464</x:v>
      </x:c>
      <x:c r="N47" s="24" t="str">
        <x:v>elops saurus</x:v>
      </x:c>
      <x:c r="O47" s="32" t="n">
        <x:v>3.49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Elops saurus</x:v>
      </x:c>
      <x:c r="T47" s="32" t="n">
        <x:f>IF(O47="","",(1/'Metadata'!$B$5)^(O47-1))</x:f>
        <x:v>309.0295432513592</x:v>
      </x:c>
      <x:c r="U47" s="31" t="n">
        <x:f>IF(T47="","",I47*T47)</x:f>
        <x:v>851886.6540593806</x:v>
      </x:c>
    </x:row>
    <x:row r="48" ht="18" customHeight="1">
      <x:c r="A48" s="24" t="str">
        <x:v>LME_005</x:v>
      </x:c>
      <x:c r="B48" s="24" t="str">
        <x:v>Gulf of Mexico</x:v>
      </x:c>
      <x:c r="C48" s="24" t="str">
        <x:v>LME</x:v>
      </x:c>
      <x:c r="D48" s="30" t="n">
        <x:v>2019</x:v>
      </x:c>
      <x:c r="E48" s="24" t="str">
        <x:v>Opisthonema oglinum</x:v>
      </x:c>
      <x:c r="F48" s="24" t="str">
        <x:v>Atlantic thread herring</x:v>
      </x:c>
      <x:c r="G48" s="24" t="str">
        <x:v>Small pelagics (&lt;30 cm)</x:v>
      </x:c>
      <x:c r="H48" s="24" t="str">
        <x:v>Herring-likes</x:v>
      </x:c>
      <x:c r="I48" s="31" t="n">
        <x:v>2740.5933709229002</x:v>
      </x:c>
      <x:c r="J48" s="31" t="n">
        <x:v>2738.3232932698</x:v>
      </x:c>
      <x:c r="K48" s="31" t="n">
        <x:v>2.2700776531</x:v>
      </x:c>
      <x:c r="L48" s="31" t="n">
        <x:v>1905.6088456210998</x:v>
      </x:c>
      <x:c r="M48" s="31" t="n">
        <x:v>834.9845253018001</x:v>
      </x:c>
      <x:c r="N48" s="24" t="str">
        <x:v>opisthonema oglinum</x:v>
      </x:c>
      <x:c r="O48" s="32" t="n">
        <x:v>4.5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Opisthonema oglinum</x:v>
      </x:c>
      <x:c r="T48" s="32" t="n">
        <x:f>IF(O48="","",(1/'Metadata'!$B$5)^(O48-1))</x:f>
        <x:v>3162.2776601683795</x:v>
      </x:c>
      <x:c r="U48" s="31" t="n">
        <x:f>IF(T48="","",I48*T48)</x:f>
        <x:v>8666517.192475041</x:v>
      </x:c>
    </x:row>
    <x:row r="49" ht="18" customHeight="1">
      <x:c r="A49" s="24" t="str">
        <x:v>LME_005</x:v>
      </x:c>
      <x:c r="B49" s="24" t="str">
        <x:v>Gulf of Mexico</x:v>
      </x:c>
      <x:c r="C49" s="24" t="str">
        <x:v>LME</x:v>
      </x:c>
      <x:c r="D49" s="30" t="n">
        <x:v>2019</x:v>
      </x:c>
      <x:c r="E49" s="24" t="str">
        <x:v>Xiphopenaeus kroyeri</x:v>
      </x:c>
      <x:c r="F49" s="24" t="str">
        <x:v>Atlantic seabob</x:v>
      </x:c>
      <x:c r="G49" s="24" t="str">
        <x:v>Shrimps</x:v>
      </x:c>
      <x:c r="H49" s="24" t="str">
        <x:v>Crustaceans</x:v>
      </x:c>
      <x:c r="I49" s="31" t="n">
        <x:v>2692.9159419543</x:v>
      </x:c>
      <x:c r="J49" s="31" t="n">
        <x:v>2692.9159419543</x:v>
      </x:c>
      <x:c r="K49" s="31" t="n">
        <x:v>0</x:v>
      </x:c>
      <x:c r="L49" s="31" t="n">
        <x:v>2069.9720782432</x:v>
      </x:c>
      <x:c r="M49" s="31" t="n">
        <x:v>622.9438637111</x:v>
      </x:c>
      <x:c r="N49" s="24" t="str">
        <x:v>xiphopenaeus kroyeri</x:v>
      </x:c>
      <x:c r="O49" s="32" t="n">
        <x:v>2.7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Xiphopenaeus kroyeri</x:v>
      </x:c>
      <x:c r="T49" s="32" t="n">
        <x:f>IF(O49="","",(1/'Metadata'!$B$5)^(O49-1))</x:f>
        <x:v>50.11872336272725</x:v>
      </x:c>
      <x:c r="U49" s="31" t="n">
        <x:f>IF(T49="","",I49*T49)</x:f>
        <x:v>134965.50913388564</x:v>
      </x:c>
    </x:row>
    <x:row r="50" ht="18" customHeight="1">
      <x:c r="A50" s="24" t="str">
        <x:v>LME_005</x:v>
      </x:c>
      <x:c r="B50" s="24" t="str">
        <x:v>Gulf of Mexico</x:v>
      </x:c>
      <x:c r="C50" s="24" t="str">
        <x:v>LME</x:v>
      </x:c>
      <x:c r="D50" s="30" t="n">
        <x:v>2019</x:v>
      </x:c>
      <x:c r="E50" s="24" t="str">
        <x:v>Panulirus argus</x:v>
      </x:c>
      <x:c r="F50" s="24" t="str">
        <x:v>Caribbean spiny lobster</x:v>
      </x:c>
      <x:c r="G50" s="24" t="str">
        <x:v>Lobsters, crabs</x:v>
      </x:c>
      <x:c r="H50" s="24" t="str">
        <x:v>Crustaceans</x:v>
      </x:c>
      <x:c r="I50" s="31" t="n">
        <x:v>2688.9824381971002</x:v>
      </x:c>
      <x:c r="J50" s="31" t="n">
        <x:v>2686.5160841253</x:v>
      </x:c>
      <x:c r="K50" s="31" t="n">
        <x:v>2.4663540718</x:v>
      </x:c>
      <x:c r="L50" s="31" t="n">
        <x:v>2438.3577374775005</x:v>
      </x:c>
      <x:c r="M50" s="31" t="n">
        <x:v>250.6247007196</x:v>
      </x:c>
      <x:c r="N50" s="24" t="str">
        <x:v>panulirus argus</x:v>
      </x:c>
      <x:c r="O50" s="32" t="n">
        <x:v>3.2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Panulirus argus</x:v>
      </x:c>
      <x:c r="T50" s="32" t="n">
        <x:f>IF(O50="","",(1/'Metadata'!$B$5)^(O50-1))</x:f>
        <x:v>158.48931924611142</x:v>
      </x:c>
      <x:c r="U50" s="31" t="n">
        <x:f>IF(T50="","",I50*T50)</x:f>
        <x:v>426174.9960946073</x:v>
      </x:c>
    </x:row>
    <x:row r="51" ht="18" customHeight="1">
      <x:c r="A51" s="24" t="str">
        <x:v>LME_005</x:v>
      </x:c>
      <x:c r="B51" s="24" t="str">
        <x:v>Gulf of Mexico</x:v>
      </x:c>
      <x:c r="C51" s="24" t="str">
        <x:v>LME</x:v>
      </x:c>
      <x:c r="D51" s="30" t="n">
        <x:v>2019</x:v>
      </x:c>
      <x:c r="E51" s="24" t="str">
        <x:v>Trichiuridae</x:v>
      </x:c>
      <x:c r="F51" s="24" t="str">
        <x:v>Cutlassfishes</x:v>
      </x:c>
      <x:c r="G51" s="24" t="str">
        <x:v>Large benthopelagics (&gt;=90 cm)</x:v>
      </x:c>
      <x:c r="H51" s="24" t="str">
        <x:v>Perch-likes</x:v>
      </x:c>
      <x:c r="I51" s="31" t="n">
        <x:v>2373.5840885156</x:v>
      </x:c>
      <x:c r="J51" s="31" t="n">
        <x:v>2373.5840885156</x:v>
      </x:c>
      <x:c r="K51" s="31" t="n">
        <x:v>0</x:v>
      </x:c>
      <x:c r="L51" s="31" t="n">
        <x:v>1066.5090651928</x:v>
      </x:c>
      <x:c r="M51" s="31" t="n">
        <x:v>1307.0750233228</x:v>
      </x:c>
      <x:c r="N51" s="24" t="str">
        <x:v>trichiuridae</x:v>
      </x:c>
      <x:c r="O51" s="32" t="n">
        <x:v>4.15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Trichiuridae</x:v>
      </x:c>
      <x:c r="T51" s="32" t="n">
        <x:f>IF(O51="","",(1/'Metadata'!$B$5)^(O51-1))</x:f>
        <x:v>1412.5375446227554</x:v>
      </x:c>
      <x:c r="U51" s="31" t="n">
        <x:f>IF(T51="","",I51*T51)</x:f>
        <x:v>3352776.6403474663</x:v>
      </x:c>
    </x:row>
    <x:row r="52" ht="18" customHeight="1">
      <x:c r="A52" s="24" t="str">
        <x:v>LME_005</x:v>
      </x:c>
      <x:c r="B52" s="24" t="str">
        <x:v>Gulf of Mexico</x:v>
      </x:c>
      <x:c r="C52" s="24" t="str">
        <x:v>LME</x:v>
      </x:c>
      <x:c r="D52" s="30" t="n">
        <x:v>2019</x:v>
      </x:c>
      <x:c r="E52" s="24" t="str">
        <x:v>Haemulon</x:v>
      </x:c>
      <x:c r="F52" s="24" t="str">
        <x:v>Grunts</x:v>
      </x:c>
      <x:c r="G52" s="24" t="str">
        <x:v>Small reef assoc. fish (&lt;30 cm)</x:v>
      </x:c>
      <x:c r="H52" s="24" t="str">
        <x:v>Perch-likes</x:v>
      </x:c>
      <x:c r="I52" s="31" t="n">
        <x:v>2128.2492094974</x:v>
      </x:c>
      <x:c r="J52" s="31" t="n">
        <x:v>2128.2492094974</x:v>
      </x:c>
      <x:c r="K52" s="31" t="n">
        <x:v>0</x:v>
      </x:c>
      <x:c r="L52" s="31" t="n">
        <x:v>1354.4651304352</x:v>
      </x:c>
      <x:c r="M52" s="31" t="n">
        <x:v>773.7840790622</x:v>
      </x:c>
      <x:c r="N52" s="24" t="str">
        <x:v>haemulon</x:v>
      </x:c>
      <x:c r="O52" s="32" t="n">
        <x:v>3.25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Haemulon</x:v>
      </x:c>
      <x:c r="T52" s="32" t="n">
        <x:f>IF(O52="","",(1/'Metadata'!$B$5)^(O52-1))</x:f>
        <x:v>177.82794100389228</x:v>
      </x:c>
      <x:c r="U52" s="31" t="n">
        <x:f>IF(T52="","",I52*T52)</x:f>
        <x:v>378462.174868084</x:v>
      </x:c>
    </x:row>
    <x:row r="53" ht="18" customHeight="1">
      <x:c r="A53" s="24" t="str">
        <x:v>LME_005</x:v>
      </x:c>
      <x:c r="B53" s="24" t="str">
        <x:v>Gulf of Mexico</x:v>
      </x:c>
      <x:c r="C53" s="24" t="str">
        <x:v>LME</x:v>
      </x:c>
      <x:c r="D53" s="30" t="n">
        <x:v>2019</x:v>
      </x:c>
      <x:c r="E53" s="24" t="str">
        <x:v>Coryphaena hippurus</x:v>
      </x:c>
      <x:c r="F53" s="24" t="str">
        <x:v>Common dolphinfish</x:v>
      </x:c>
      <x:c r="G53" s="24" t="str">
        <x:v>Large pelagics (&gt;=90 cm)</x:v>
      </x:c>
      <x:c r="H53" s="24" t="str">
        <x:v>Perch-likes</x:v>
      </x:c>
      <x:c r="I53" s="31" t="n">
        <x:v>2016.2291054544</x:v>
      </x:c>
      <x:c r="J53" s="31" t="n">
        <x:v>2013.0244056933002</x:v>
      </x:c>
      <x:c r="K53" s="31" t="n">
        <x:v>3.2046997611</x:v>
      </x:c>
      <x:c r="L53" s="31" t="n">
        <x:v>58.1283409387</x:v>
      </x:c>
      <x:c r="M53" s="31" t="n">
        <x:v>1958.1007645157001</x:v>
      </x:c>
      <x:c r="N53" s="24" t="str">
        <x:v>coryphaena hippurus</x:v>
      </x:c>
      <x:c r="O53" s="32" t="n">
        <x:v>4.37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Coryphaena hippurus</x:v>
      </x:c>
      <x:c r="T53" s="32" t="n">
        <x:f>IF(O53="","",(1/'Metadata'!$B$5)^(O53-1))</x:f>
        <x:v>2344.228815319923</x:v>
      </x:c>
      <x:c r="U53" s="31" t="n">
        <x:f>IF(T53="","",I53*T53)</x:f>
        <x:v>4726502.367292916</x:v>
      </x:c>
    </x:row>
    <x:row r="54" ht="18" customHeight="1">
      <x:c r="A54" s="24" t="str">
        <x:v>LME_005</x:v>
      </x:c>
      <x:c r="B54" s="24" t="str">
        <x:v>Gulf of Mexico</x:v>
      </x:c>
      <x:c r="C54" s="24" t="str">
        <x:v>LME</x:v>
      </x:c>
      <x:c r="D54" s="30" t="n">
        <x:v>2019</x:v>
      </x:c>
      <x:c r="E54" s="24" t="str">
        <x:v>Mycteroperca</x:v>
      </x:c>
      <x:c r="F54" s="24" t="str">
        <x:v>Scamps, gags</x:v>
      </x:c>
      <x:c r="G54" s="24" t="str">
        <x:v>Medium reef assoc. fish (30 - 89 cm)</x:v>
      </x:c>
      <x:c r="H54" s="24" t="str">
        <x:v>Perch-likes</x:v>
      </x:c>
      <x:c r="I54" s="31" t="n">
        <x:v>1970.4876014764</x:v>
      </x:c>
      <x:c r="J54" s="31" t="n">
        <x:v>1970.4876014764</x:v>
      </x:c>
      <x:c r="K54" s="31" t="n">
        <x:v>0</x:v>
      </x:c>
      <x:c r="L54" s="31" t="n">
        <x:v>1496.3945624811</x:v>
      </x:c>
      <x:c r="M54" s="31" t="n">
        <x:v>474.09303899530005</x:v>
      </x:c>
      <x:c r="N54" s="24" t="str">
        <x:v>mycteroperca</x:v>
      </x:c>
      <x:c r="O54" s="32" t="n">
        <x:v>4.35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Mycteroperca</x:v>
      </x:c>
      <x:c r="T54" s="32" t="n">
        <x:f>IF(O54="","",(1/'Metadata'!$B$5)^(O54-1))</x:f>
        <x:v>2238.7211385683377</x:v>
      </x:c>
      <x:c r="U54" s="31" t="n">
        <x:f>IF(T54="","",I54*T54)</x:f>
        <x:v>4411372.246712039</x:v>
      </x:c>
    </x:row>
    <x:row r="55" ht="18" customHeight="1">
      <x:c r="A55" s="24" t="str">
        <x:v>LME_005</x:v>
      </x:c>
      <x:c r="B55" s="24" t="str">
        <x:v>Gulf of Mexico</x:v>
      </x:c>
      <x:c r="C55" s="24" t="str">
        <x:v>LME</x:v>
      </x:c>
      <x:c r="D55" s="30" t="n">
        <x:v>2019</x:v>
      </x:c>
      <x:c r="E55" s="24" t="str">
        <x:v>Atractosteus spatula</x:v>
      </x:c>
      <x:c r="F55" s="24" t="str">
        <x:v>Alligator gar</x:v>
      </x:c>
      <x:c r="G55" s="24" t="str">
        <x:v>Large demersals (&gt;=90 cm)</x:v>
      </x:c>
      <x:c r="H55" s="24" t="str">
        <x:v>Other fishes &amp; inverts</x:v>
      </x:c>
      <x:c r="I55" s="31" t="n">
        <x:v>1925.3115099015</x:v>
      </x:c>
      <x:c r="J55" s="31" t="n">
        <x:v>1925.3115099015</x:v>
      </x:c>
      <x:c r="K55" s="31" t="n">
        <x:v>0</x:v>
      </x:c>
      <x:c r="L55" s="31" t="n">
        <x:v>203.8493235842</x:v>
      </x:c>
      <x:c r="M55" s="31" t="n">
        <x:v>1721.4621863173</x:v>
      </x:c>
      <x:c r="N55" s="24" t="str">
        <x:v>atractosteus spatula</x:v>
      </x:c>
      <x:c r="O55" s="32" t="n">
        <x:v>4.02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Atractosteus spatula</x:v>
      </x:c>
      <x:c r="T55" s="32" t="n">
        <x:f>IF(O55="","",(1/'Metadata'!$B$5)^(O55-1))</x:f>
        <x:v>1047.1285480508984</x:v>
      </x:c>
      <x:c r="U55" s="31" t="n">
        <x:f>IF(T55="","",I55*T55)</x:f>
        <x:v>2016048.6459088405</x:v>
      </x:c>
    </x:row>
    <x:row r="56" ht="18" customHeight="1">
      <x:c r="A56" s="24" t="str">
        <x:v>LME_005</x:v>
      </x:c>
      <x:c r="B56" s="24" t="str">
        <x:v>Gulf of Mexico</x:v>
      </x:c>
      <x:c r="C56" s="24" t="str">
        <x:v>LME</x:v>
      </x:c>
      <x:c r="D56" s="30" t="n">
        <x:v>2019</x:v>
      </x:c>
      <x:c r="E56" s="24" t="str">
        <x:v>Euthynnus alletteratus</x:v>
      </x:c>
      <x:c r="F56" s="24" t="str">
        <x:v>Little tunny </x:v>
      </x:c>
      <x:c r="G56" s="24" t="str">
        <x:v>Large pelagics (&gt;=90 cm)</x:v>
      </x:c>
      <x:c r="H56" s="24" t="str">
        <x:v>Tuna &amp; billfishes</x:v>
      </x:c>
      <x:c r="I56" s="31" t="n">
        <x:v>1900.8402352854998</x:v>
      </x:c>
      <x:c r="J56" s="31" t="n">
        <x:v>1884.3390746815999</x:v>
      </x:c>
      <x:c r="K56" s="31" t="n">
        <x:v>16.5011606039</x:v>
      </x:c>
      <x:c r="L56" s="31" t="n">
        <x:v>41.4085614837</x:v>
      </x:c>
      <x:c r="M56" s="31" t="n">
        <x:v>1859.4316738018</x:v>
      </x:c>
      <x:c r="N56" s="24" t="str">
        <x:v>euthynnus alletteratus</x:v>
      </x:c>
      <x:c r="O56" s="32" t="n">
        <x:v>4.49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Euthynnus alletteratus</x:v>
      </x:c>
      <x:c r="T56" s="32" t="n">
        <x:f>IF(O56="","",(1/'Metadata'!$B$5)^(O56-1))</x:f>
        <x:v>3090.295432513592</x:v>
      </x:c>
      <x:c r="U56" s="31" t="n">
        <x:f>IF(T56="","",I56*T56)</x:f>
        <x:v>5874157.897040842</x:v>
      </x:c>
    </x:row>
    <x:row r="57" ht="18" customHeight="1">
      <x:c r="A57" s="24" t="str">
        <x:v>LME_005</x:v>
      </x:c>
      <x:c r="B57" s="24" t="str">
        <x:v>Gulf of Mexico</x:v>
      </x:c>
      <x:c r="C57" s="24" t="str">
        <x:v>LME</x:v>
      </x:c>
      <x:c r="D57" s="30" t="n">
        <x:v>2019</x:v>
      </x:c>
      <x:c r="E57" s="24" t="str">
        <x:v>Gerreidae</x:v>
      </x:c>
      <x:c r="F57" s="24" t="str">
        <x:v>Mojarras, silverbellies</x:v>
      </x:c>
      <x:c r="G57" s="24" t="str">
        <x:v>Small benthopelagics (&lt;30 cm)</x:v>
      </x:c>
      <x:c r="H57" s="24" t="str">
        <x:v>Perch-likes</x:v>
      </x:c>
      <x:c r="I57" s="31" t="n">
        <x:v>1872.7540740038</x:v>
      </x:c>
      <x:c r="J57" s="31" t="n">
        <x:v>1569.4475370845</x:v>
      </x:c>
      <x:c r="K57" s="31" t="n">
        <x:v>303.3065369193</x:v>
      </x:c>
      <x:c r="L57" s="31" t="n">
        <x:v>1113.3995830014</x:v>
      </x:c>
      <x:c r="M57" s="31" t="n">
        <x:v>759.3544910024</x:v>
      </x:c>
      <x:c r="N57" s="24" t="str">
        <x:v>gerreidae</x:v>
      </x:c>
      <x:c r="O57" s="32" t="n">
        <x:v>3.03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Gerreidae</x:v>
      </x:c>
      <x:c r="T57" s="32" t="n">
        <x:f>IF(O57="","",(1/'Metadata'!$B$5)^(O57-1))</x:f>
        <x:v>107.1519305237606</x:v>
      </x:c>
      <x:c r="U57" s="31" t="n">
        <x:f>IF(T57="","",I57*T57)</x:f>
        <x:v>200669.2144257448</x:v>
      </x:c>
    </x:row>
    <x:row r="58" ht="18" customHeight="1">
      <x:c r="A58" s="24" t="str">
        <x:v>LME_005</x:v>
      </x:c>
      <x:c r="B58" s="24" t="str">
        <x:v>Gulf of Mexico</x:v>
      </x:c>
      <x:c r="C58" s="24" t="str">
        <x:v>LME</x:v>
      </x:c>
      <x:c r="D58" s="30" t="n">
        <x:v>2019</x:v>
      </x:c>
      <x:c r="E58" s="24" t="str">
        <x:v>Dendrobranchiata</x:v>
      </x:c>
      <x:c r="F58" s="24" t="str">
        <x:v>Shrimps and prawns</x:v>
      </x:c>
      <x:c r="G58" s="24" t="str">
        <x:v>Shrimps</x:v>
      </x:c>
      <x:c r="H58" s="24" t="str">
        <x:v>Crustaceans</x:v>
      </x:c>
      <x:c r="I58" s="31" t="n">
        <x:v>1863.6902474897</x:v>
      </x:c>
      <x:c r="J58" s="31" t="n">
        <x:v>1863.6902474897</x:v>
      </x:c>
      <x:c r="K58" s="31" t="n">
        <x:v>0</x:v>
      </x:c>
      <x:c r="L58" s="31" t="n">
        <x:v>1863.6902474897</x:v>
      </x:c>
      <x:c r="M58" s="31" t="n">
        <x:v>0</x:v>
      </x:c>
      <x:c r="N58" s="24" t="str">
        <x:v>dendrobranchiata</x:v>
      </x:c>
      <x:c r="O58" s="32" t="n">
        <x:v>3.24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Dendrobranchiata</x:v>
      </x:c>
      <x:c r="T58" s="32" t="n">
        <x:f>IF(O58="","",(1/'Metadata'!$B$5)^(O58-1))</x:f>
        <x:v>173.78008287493762</x:v>
      </x:c>
      <x:c r="U58" s="31" t="n">
        <x:f>IF(T58="","",I58*T58)</x:f>
        <x:v>323872.2456619731</x:v>
      </x:c>
    </x:row>
    <x:row r="59" ht="18" customHeight="1">
      <x:c r="A59" s="24" t="str">
        <x:v>LME_005</x:v>
      </x:c>
      <x:c r="B59" s="24" t="str">
        <x:v>Gulf of Mexico</x:v>
      </x:c>
      <x:c r="C59" s="24" t="str">
        <x:v>LME</x:v>
      </x:c>
      <x:c r="D59" s="30" t="n">
        <x:v>2019</x:v>
      </x:c>
      <x:c r="E59" s="24" t="str">
        <x:v>Lachnolaimus maximus</x:v>
      </x:c>
      <x:c r="F59" s="24" t="str">
        <x:v>Hogfish</x:v>
      </x:c>
      <x:c r="G59" s="24" t="str">
        <x:v>Medium reef assoc. fish (30 - 89 cm)</x:v>
      </x:c>
      <x:c r="H59" s="24" t="str">
        <x:v>Perch-likes</x:v>
      </x:c>
      <x:c r="I59" s="31" t="n">
        <x:v>1790.9220591245</x:v>
      </x:c>
      <x:c r="J59" s="31" t="n">
        <x:v>1790.9220591245</x:v>
      </x:c>
      <x:c r="K59" s="31" t="n">
        <x:v>0</x:v>
      </x:c>
      <x:c r="L59" s="31" t="n">
        <x:v>1329.1087231928</x:v>
      </x:c>
      <x:c r="M59" s="31" t="n">
        <x:v>461.8133359317</x:v>
      </x:c>
      <x:c r="N59" s="24" t="str">
        <x:v>lachnolaimus maximus</x:v>
      </x:c>
      <x:c r="O59" s="32" t="n">
        <x:v>4.17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Lachnolaimus maximus</x:v>
      </x:c>
      <x:c r="T59" s="32" t="n">
        <x:f>IF(O59="","",(1/'Metadata'!$B$5)^(O59-1))</x:f>
        <x:v>1479.1083881682073</x:v>
      </x:c>
      <x:c r="U59" s="31" t="n">
        <x:f>IF(T59="","",I59*T59)</x:f>
        <x:v>2648967.840206526</x:v>
      </x:c>
    </x:row>
    <x:row r="60" ht="18" customHeight="1">
      <x:c r="A60" s="24" t="str">
        <x:v>LME_005</x:v>
      </x:c>
      <x:c r="B60" s="24" t="str">
        <x:v>Gulf of Mexico</x:v>
      </x:c>
      <x:c r="C60" s="24" t="str">
        <x:v>LME</x:v>
      </x:c>
      <x:c r="D60" s="30" t="n">
        <x:v>2019</x:v>
      </x:c>
      <x:c r="E60" s="24" t="str">
        <x:v>Mactridae</x:v>
      </x:c>
      <x:c r="F60" s="24" t="str">
        <x:v>Mactra surf clams</x:v>
      </x:c>
      <x:c r="G60" s="24" t="str">
        <x:v>Other demersal invertebrates</x:v>
      </x:c>
      <x:c r="H60" s="24" t="str">
        <x:v>Molluscs</x:v>
      </x:c>
      <x:c r="I60" s="31" t="n">
        <x:v>1740.7334019214002</x:v>
      </x:c>
      <x:c r="J60" s="31" t="n">
        <x:v>1740.7334019214002</x:v>
      </x:c>
      <x:c r="K60" s="31" t="n">
        <x:v>0</x:v>
      </x:c>
      <x:c r="L60" s="31" t="n">
        <x:v>678.6452837038</x:v>
      </x:c>
      <x:c r="M60" s="31" t="n">
        <x:v>1062.0881182176001</x:v>
      </x:c>
      <x:c r="N60" s="24" t="str">
        <x:v>mactridae</x:v>
      </x:c>
      <x:c r="O60" s="32" t="n">
        <x:v>2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Mactridae</x:v>
      </x:c>
      <x:c r="T60" s="32" t="n">
        <x:f>IF(O60="","",(1/'Metadata'!$B$5)^(O60-1))</x:f>
        <x:v>10</x:v>
      </x:c>
      <x:c r="U60" s="31" t="n">
        <x:f>IF(T60="","",I60*T60)</x:f>
        <x:v>17407.334019214002</x:v>
      </x:c>
    </x:row>
    <x:row r="61" ht="18" customHeight="1">
      <x:c r="A61" s="24" t="str">
        <x:v>LME_005</x:v>
      </x:c>
      <x:c r="B61" s="24" t="str">
        <x:v>Gulf of Mexico</x:v>
      </x:c>
      <x:c r="C61" s="24" t="str">
        <x:v>LME</x:v>
      </x:c>
      <x:c r="D61" s="30" t="n">
        <x:v>2019</x:v>
      </x:c>
      <x:c r="E61" s="24" t="str">
        <x:v>Scombridae</x:v>
      </x:c>
      <x:c r="F61" s="24" t="str">
        <x:v>Mackerels, tunas, bonitos</x:v>
      </x:c>
      <x:c r="G61" s="24" t="str">
        <x:v>Medium pelagics (30 - 89 cm)</x:v>
      </x:c>
      <x:c r="H61" s="24" t="str">
        <x:v>Perch-likes</x:v>
      </x:c>
      <x:c r="I61" s="31" t="n">
        <x:v>1702.5578687367</x:v>
      </x:c>
      <x:c r="J61" s="31" t="n">
        <x:v>1702.4697237875</x:v>
      </x:c>
      <x:c r="K61" s="31" t="n">
        <x:v>0.0881449492</x:v>
      </x:c>
      <x:c r="L61" s="31" t="n">
        <x:v>0</x:v>
      </x:c>
      <x:c r="M61" s="31" t="n">
        <x:v>1702.5578687367</x:v>
      </x:c>
      <x:c r="N61" s="24" t="str">
        <x:v>scombridae</x:v>
      </x:c>
      <x:c r="O61" s="32" t="n">
        <x:v>4.26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Scombridae</x:v>
      </x:c>
      <x:c r="T61" s="32" t="n">
        <x:f>IF(O61="","",(1/'Metadata'!$B$5)^(O61-1))</x:f>
        <x:v>1819.7008586099826</x:v>
      </x:c>
      <x:c r="U61" s="31" t="n">
        <x:f>IF(T61="","",I61*T61)</x:f>
        <x:v>3098146.015573355</x:v>
      </x:c>
    </x:row>
    <x:row r="62" ht="18" customHeight="1">
      <x:c r="A62" s="24" t="str">
        <x:v>LME_005</x:v>
      </x:c>
      <x:c r="B62" s="24" t="str">
        <x:v>Gulf of Mexico</x:v>
      </x:c>
      <x:c r="C62" s="24" t="str">
        <x:v>LME</x:v>
      </x:c>
      <x:c r="D62" s="30" t="n">
        <x:v>2019</x:v>
      </x:c>
      <x:c r="E62" s="24" t="str">
        <x:v>Aliger gigas</x:v>
      </x:c>
      <x:c r="F62" s="24" t="str">
        <x:v>Pink conch</x:v>
      </x:c>
      <x:c r="G62" s="24" t="str">
        <x:v>Other demersal invertebrates</x:v>
      </x:c>
      <x:c r="H62" s="24" t="str">
        <x:v>Molluscs</x:v>
      </x:c>
      <x:c r="I62" s="31" t="n">
        <x:v>1553.8129671498002</x:v>
      </x:c>
      <x:c r="J62" s="31" t="n">
        <x:v>1553.8129671498002</x:v>
      </x:c>
      <x:c r="K62" s="31" t="n">
        <x:v>0</x:v>
      </x:c>
      <x:c r="L62" s="31" t="n">
        <x:v>1523.4656073876001</x:v>
      </x:c>
      <x:c r="M62" s="31" t="n">
        <x:v>30.3473597622</x:v>
      </x:c>
      <x:c r="N62" s="24" t="str">
        <x:v>aliger gigas</x:v>
      </x:c>
      <x:c r="O62" s="32" t="n">
        <x:v>2.19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Aliger gigas</x:v>
      </x:c>
      <x:c r="T62" s="32" t="n">
        <x:f>IF(O62="","",(1/'Metadata'!$B$5)^(O62-1))</x:f>
        <x:v>15.488166189124811</x:v>
      </x:c>
      <x:c r="U62" s="31" t="n">
        <x:f>IF(T62="","",I62*T62)</x:f>
        <x:v>24065.713462033236</x:v>
      </x:c>
    </x:row>
    <x:row r="63" ht="18" customHeight="1">
      <x:c r="A63" s="24" t="str">
        <x:v>LME_005</x:v>
      </x:c>
      <x:c r="B63" s="24" t="str">
        <x:v>Gulf of Mexico</x:v>
      </x:c>
      <x:c r="C63" s="24" t="str">
        <x:v>LME</x:v>
      </x:c>
      <x:c r="D63" s="30" t="n">
        <x:v>2019</x:v>
      </x:c>
      <x:c r="E63" s="24" t="str">
        <x:v>Thunnus albacares</x:v>
      </x:c>
      <x:c r="F63" s="24" t="str">
        <x:v>Yellowfin tuna</x:v>
      </x:c>
      <x:c r="G63" s="24" t="str">
        <x:v>Large pelagics (&gt;=90 cm)</x:v>
      </x:c>
      <x:c r="H63" s="24" t="str">
        <x:v>Tuna &amp; billfishes</x:v>
      </x:c>
      <x:c r="I63" s="31" t="n">
        <x:v>1533.4395739343</x:v>
      </x:c>
      <x:c r="J63" s="31" t="n">
        <x:v>1533.4395739343</x:v>
      </x:c>
      <x:c r="K63" s="31" t="n">
        <x:v>0</x:v>
      </x:c>
      <x:c r="L63" s="31" t="n">
        <x:v>1028.4391671496</x:v>
      </x:c>
      <x:c r="M63" s="31" t="n">
        <x:v>505.00040678470003</x:v>
      </x:c>
      <x:c r="N63" s="24" t="str">
        <x:v>thunnus albacares</x:v>
      </x:c>
      <x:c r="O63" s="32" t="n">
        <x:v>4.41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Thunnus albacares</x:v>
      </x:c>
      <x:c r="T63" s="32" t="n">
        <x:f>IF(O63="","",(1/'Metadata'!$B$5)^(O63-1))</x:f>
        <x:v>2570.3957827688646</x:v>
      </x:c>
      <x:c r="U63" s="31" t="n">
        <x:f>IF(T63="","",I63*T63)</x:f>
        <x:v>3941546.613971609</x:v>
      </x:c>
    </x:row>
    <x:row r="64" ht="18" customHeight="1">
      <x:c r="A64" s="24" t="str">
        <x:v>LME_005</x:v>
      </x:c>
      <x:c r="B64" s="24" t="str">
        <x:v>Gulf of Mexico</x:v>
      </x:c>
      <x:c r="C64" s="24" t="str">
        <x:v>LME</x:v>
      </x:c>
      <x:c r="D64" s="30" t="n">
        <x:v>2019</x:v>
      </x:c>
      <x:c r="E64" s="24" t="str">
        <x:v>Carcharhinus</x:v>
      </x:c>
      <x:c r="F64" s="24" t="str">
        <x:v>Sharp-nosed sharks</x:v>
      </x:c>
      <x:c r="G64" s="24" t="str">
        <x:v>Large sharks (&gt;=90 cm)</x:v>
      </x:c>
      <x:c r="H64" s="24" t="str">
        <x:v>Sharks &amp; rays</x:v>
      </x:c>
      <x:c r="I64" s="31" t="n">
        <x:v>1508.7143927834</x:v>
      </x:c>
      <x:c r="J64" s="31" t="n">
        <x:v>1457.4700015586</x:v>
      </x:c>
      <x:c r="K64" s="31" t="n">
        <x:v>51.2443912248</x:v>
      </x:c>
      <x:c r="L64" s="31" t="n">
        <x:v>1.369944432</x:v>
      </x:c>
      <x:c r="M64" s="31" t="n">
        <x:v>1507.3444483514</x:v>
      </x:c>
      <x:c r="N64" s="24" t="str">
        <x:v>carcharhinus</x:v>
      </x:c>
      <x:c r="O64" s="32" t="n">
        <x:v>4.26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Carcharhinus</x:v>
      </x:c>
      <x:c r="T64" s="32" t="n">
        <x:f>IF(O64="","",(1/'Metadata'!$B$5)^(O64-1))</x:f>
        <x:v>1819.7008586099826</x:v>
      </x:c>
      <x:c r="U64" s="31" t="n">
        <x:f>IF(T64="","",I64*T64)</x:f>
        <x:v>2745408.8759451914</x:v>
      </x:c>
    </x:row>
    <x:row r="65" ht="18" customHeight="1">
      <x:c r="A65" s="24" t="str">
        <x:v>LME_005</x:v>
      </x:c>
      <x:c r="B65" s="24" t="str">
        <x:v>Gulf of Mexico</x:v>
      </x:c>
      <x:c r="C65" s="24" t="str">
        <x:v>LME</x:v>
      </x:c>
      <x:c r="D65" s="30" t="n">
        <x:v>2019</x:v>
      </x:c>
      <x:c r="E65" s="24" t="str">
        <x:v>Rachycentron canadum</x:v>
      </x:c>
      <x:c r="F65" s="24" t="str">
        <x:v>Cobia</x:v>
      </x:c>
      <x:c r="G65" s="24" t="str">
        <x:v>Large pelagics (&gt;=90 cm)</x:v>
      </x:c>
      <x:c r="H65" s="24" t="str">
        <x:v>Perch-likes</x:v>
      </x:c>
      <x:c r="I65" s="31" t="n">
        <x:v>1391.5756135338002</x:v>
      </x:c>
      <x:c r="J65" s="31" t="n">
        <x:v>1391.5756135338002</x:v>
      </x:c>
      <x:c r="K65" s="31" t="n">
        <x:v>0</x:v>
      </x:c>
      <x:c r="L65" s="31" t="n">
        <x:v>370.7417539387</x:v>
      </x:c>
      <x:c r="M65" s="31" t="n">
        <x:v>1020.8338595951</x:v>
      </x:c>
      <x:c r="N65" s="24" t="str">
        <x:v>rachycentron canadum</x:v>
      </x:c>
      <x:c r="O65" s="32" t="n">
        <x:v>3.96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Rachycentron canadum</x:v>
      </x:c>
      <x:c r="T65" s="32" t="n">
        <x:f>IF(O65="","",(1/'Metadata'!$B$5)^(O65-1))</x:f>
        <x:v>912.0108393559096</x:v>
      </x:c>
      <x:c r="U65" s="31" t="n">
        <x:f>IF(T65="","",I65*T65)</x:f>
        <x:v>1269132.043326176</x:v>
      </x:c>
    </x:row>
    <x:row r="66" ht="18" customHeight="1">
      <x:c r="A66" s="24" t="str">
        <x:v>LME_005</x:v>
      </x:c>
      <x:c r="B66" s="24" t="str">
        <x:v>Gulf of Mexico</x:v>
      </x:c>
      <x:c r="C66" s="24" t="str">
        <x:v>LME</x:v>
      </x:c>
      <x:c r="D66" s="30" t="n">
        <x:v>2019</x:v>
      </x:c>
      <x:c r="E66" s="24" t="str">
        <x:v>Holothuriidae</x:v>
      </x:c>
      <x:c r="F66" s="24" t="str">
        <x:v>Fleshy sea cucumbers</x:v>
      </x:c>
      <x:c r="G66" s="24" t="str">
        <x:v>Other demersal invertebrates</x:v>
      </x:c>
      <x:c r="H66" s="24" t="str">
        <x:v>Other fishes &amp; inverts</x:v>
      </x:c>
      <x:c r="I66" s="31" t="n">
        <x:v>1378.4841801948</x:v>
      </x:c>
      <x:c r="J66" s="31" t="n">
        <x:v>1378.4841801948</x:v>
      </x:c>
      <x:c r="K66" s="31" t="n">
        <x:v>0</x:v>
      </x:c>
      <x:c r="L66" s="31" t="n">
        <x:v>1378.4841801948</x:v>
      </x:c>
      <x:c r="M66" s="31" t="n">
        <x:v>0</x:v>
      </x:c>
      <x:c r="N66" s="24" t="str">
        <x:v>holothuriidae</x:v>
      </x:c>
      <x:c r="O66" s="32" t="n">
        <x:v>2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Holothuriidae</x:v>
      </x:c>
      <x:c r="T66" s="32" t="n">
        <x:f>IF(O66="","",(1/'Metadata'!$B$5)^(O66-1))</x:f>
        <x:v>10</x:v>
      </x:c>
      <x:c r="U66" s="31" t="n">
        <x:f>IF(T66="","",I66*T66)</x:f>
        <x:v>13784.841801948001</x:v>
      </x:c>
    </x:row>
    <x:row r="67" ht="18" customHeight="1">
      <x:c r="A67" s="24" t="str">
        <x:v>LME_005</x:v>
      </x:c>
      <x:c r="B67" s="24" t="str">
        <x:v>Gulf of Mexico</x:v>
      </x:c>
      <x:c r="C67" s="24" t="str">
        <x:v>LME</x:v>
      </x:c>
      <x:c r="D67" s="30" t="n">
        <x:v>2019</x:v>
      </x:c>
      <x:c r="E67" s="24" t="str">
        <x:v>Rangia cuneata</x:v>
      </x:c>
      <x:c r="F67" s="24" t="str">
        <x:v>Atlantic rangia</x:v>
      </x:c>
      <x:c r="G67" s="24" t="str">
        <x:v>Other demersal invertebrates</x:v>
      </x:c>
      <x:c r="H67" s="24" t="str">
        <x:v>Molluscs</x:v>
      </x:c>
      <x:c r="I67" s="31" t="n">
        <x:v>1377.0541753139</x:v>
      </x:c>
      <x:c r="J67" s="31" t="n">
        <x:v>1377.0541753139</x:v>
      </x:c>
      <x:c r="K67" s="31" t="n">
        <x:v>0</x:v>
      </x:c>
      <x:c r="L67" s="31" t="n">
        <x:v>670.4369001281</x:v>
      </x:c>
      <x:c r="M67" s="31" t="n">
        <x:v>706.6172751857999</x:v>
      </x:c>
      <x:c r="N67" s="24" t="str">
        <x:v>rangia cuneata</x:v>
      </x:c>
      <x:c r="O67" s="32" t="n">
        <x:v>2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Rangia cuneata</x:v>
      </x:c>
      <x:c r="T67" s="32" t="n">
        <x:f>IF(O67="","",(1/'Metadata'!$B$5)^(O67-1))</x:f>
        <x:v>10</x:v>
      </x:c>
      <x:c r="U67" s="31" t="n">
        <x:f>IF(T67="","",I67*T67)</x:f>
        <x:v>13770.541753139001</x:v>
      </x:c>
    </x:row>
    <x:row r="68" ht="18" customHeight="1">
      <x:c r="A68" s="24" t="str">
        <x:v>LME_005</x:v>
      </x:c>
      <x:c r="B68" s="24" t="str">
        <x:v>Gulf of Mexico</x:v>
      </x:c>
      <x:c r="C68" s="24" t="str">
        <x:v>LME</x:v>
      </x:c>
      <x:c r="D68" s="30" t="n">
        <x:v>2019</x:v>
      </x:c>
      <x:c r="E68" s="24" t="str">
        <x:v>Polymesoda caroliniana</x:v>
      </x:c>
      <x:c r="F68" s="24" t="str">
        <x:v>Carolina marshclam</x:v>
      </x:c>
      <x:c r="G68" s="24" t="str">
        <x:v>Other demersal invertebrates</x:v>
      </x:c>
      <x:c r="H68" s="24" t="str">
        <x:v>Molluscs</x:v>
      </x:c>
      <x:c r="I68" s="31" t="n">
        <x:v>1375.5234002250002</x:v>
      </x:c>
      <x:c r="J68" s="31" t="n">
        <x:v>1375.5234002250002</x:v>
      </x:c>
      <x:c r="K68" s="31" t="n">
        <x:v>0</x:v>
      </x:c>
      <x:c r="L68" s="31" t="n">
        <x:v>669.6916221835</x:v>
      </x:c>
      <x:c r="M68" s="31" t="n">
        <x:v>705.8317780415</x:v>
      </x:c>
      <x:c r="N68" s="24" t="str">
        <x:v>polymesoda caroliniana</x:v>
      </x:c>
      <x:c r="O68" s="32" t="n">
        <x:v>2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Polymesoda caroliniana</x:v>
      </x:c>
      <x:c r="T68" s="32" t="n">
        <x:f>IF(O68="","",(1/'Metadata'!$B$5)^(O68-1))</x:f>
        <x:v>10</x:v>
      </x:c>
      <x:c r="U68" s="31" t="n">
        <x:f>IF(T68="","",I68*T68)</x:f>
        <x:v>13755.234002250001</x:v>
      </x:c>
    </x:row>
    <x:row r="69" ht="18" customHeight="1">
      <x:c r="A69" s="24" t="str">
        <x:v>LME_005</x:v>
      </x:c>
      <x:c r="B69" s="24" t="str">
        <x:v>Gulf of Mexico</x:v>
      </x:c>
      <x:c r="C69" s="24" t="str">
        <x:v>LME</x:v>
      </x:c>
      <x:c r="D69" s="30" t="n">
        <x:v>2019</x:v>
      </x:c>
      <x:c r="E69" s="24" t="str">
        <x:v>Sciaenidae</x:v>
      </x:c>
      <x:c r="F69" s="24" t="str">
        <x:v>Drums, croakers</x:v>
      </x:c>
      <x:c r="G69" s="24" t="str">
        <x:v>Medium demersals (30 - 89 cm)</x:v>
      </x:c>
      <x:c r="H69" s="24" t="str">
        <x:v>Perch-likes</x:v>
      </x:c>
      <x:c r="I69" s="31" t="n">
        <x:v>1320.3980038713</x:v>
      </x:c>
      <x:c r="J69" s="31" t="n">
        <x:v>661.3657608589</x:v>
      </x:c>
      <x:c r="K69" s="31" t="n">
        <x:v>659.0322430124</x:v>
      </x:c>
      <x:c r="L69" s="31" t="n">
        <x:v>1.5562854841</x:v>
      </x:c>
      <x:c r="M69" s="31" t="n">
        <x:v>1318.8417183872</x:v>
      </x:c>
      <x:c r="N69" s="24" t="str">
        <x:v>sciaenidae</x:v>
      </x:c>
      <x:c r="O69" s="32" t="n">
        <x:v>3.76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Sciaenidae</x:v>
      </x:c>
      <x:c r="T69" s="32" t="n">
        <x:f>IF(O69="","",(1/'Metadata'!$B$5)^(O69-1))</x:f>
        <x:v>575.4399373371566</x:v>
      </x:c>
      <x:c r="U69" s="31" t="n">
        <x:f>IF(T69="","",I69*T69)</x:f>
        <x:v>759809.7446078076</x:v>
      </x:c>
    </x:row>
    <x:row r="70" ht="18" customHeight="1">
      <x:c r="A70" s="24" t="str">
        <x:v>LME_005</x:v>
      </x:c>
      <x:c r="B70" s="24" t="str">
        <x:v>Gulf of Mexico</x:v>
      </x:c>
      <x:c r="C70" s="24" t="str">
        <x:v>LME</x:v>
      </x:c>
      <x:c r="D70" s="30" t="n">
        <x:v>2019</x:v>
      </x:c>
      <x:c r="E70" s="24" t="str">
        <x:v>Penaeidae</x:v>
      </x:c>
      <x:c r="F70" s="24" t="str">
        <x:v>Commercial shrimps and prawns</x:v>
      </x:c>
      <x:c r="G70" s="24" t="str">
        <x:v>Shrimps</x:v>
      </x:c>
      <x:c r="H70" s="24" t="str">
        <x:v>Crustaceans</x:v>
      </x:c>
      <x:c r="I70" s="31" t="n">
        <x:v>1311.1759648526</x:v>
      </x:c>
      <x:c r="J70" s="31" t="n">
        <x:v>0.7495944434</x:v>
      </x:c>
      <x:c r="K70" s="31" t="n">
        <x:v>1310.4263704092</x:v>
      </x:c>
      <x:c r="L70" s="31" t="n">
        <x:v>0.3740219031</x:v>
      </x:c>
      <x:c r="M70" s="31" t="n">
        <x:v>1310.8019429495</x:v>
      </x:c>
      <x:c r="N70" s="24" t="str">
        <x:v>penaeidae</x:v>
      </x:c>
      <x:c r="O70" s="32" t="n">
        <x:v>3.31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Penaeidae</x:v>
      </x:c>
      <x:c r="T70" s="32" t="n">
        <x:f>IF(O70="","",(1/'Metadata'!$B$5)^(O70-1))</x:f>
        <x:v>204.17379446695296</x:v>
      </x:c>
      <x:c r="U70" s="31" t="n">
        <x:f>IF(T70="","",I70*T70)</x:f>
        <x:v>267707.7719578235</x:v>
      </x:c>
    </x:row>
    <x:row r="71" ht="18" customHeight="1">
      <x:c r="A71" s="24" t="str">
        <x:v>LME_005</x:v>
      </x:c>
      <x:c r="B71" s="24" t="str">
        <x:v>Gulf of Mexico</x:v>
      </x:c>
      <x:c r="C71" s="24" t="str">
        <x:v>LME</x:v>
      </x:c>
      <x:c r="D71" s="30" t="n">
        <x:v>2019</x:v>
      </x:c>
      <x:c r="E71" s="24" t="str">
        <x:v>Stomolophus meleagris</x:v>
      </x:c>
      <x:c r="F71" s="24" t="str">
        <x:v>Cannonball jellyfish</x:v>
      </x:c>
      <x:c r="G71" s="24" t="str">
        <x:v>Jellyfish</x:v>
      </x:c>
      <x:c r="H71" s="24" t="str">
        <x:v>Other fishes &amp; inverts</x:v>
      </x:c>
      <x:c r="I71" s="31" t="n">
        <x:v>1307.5132563727</x:v>
      </x:c>
      <x:c r="J71" s="31" t="n">
        <x:v>1307.5132563727</x:v>
      </x:c>
      <x:c r="K71" s="31" t="n">
        <x:v>0</x:v>
      </x:c>
      <x:c r="L71" s="31" t="n">
        <x:v>0</x:v>
      </x:c>
      <x:c r="M71" s="31" t="n">
        <x:v>1307.5132563727</x:v>
      </x:c>
      <x:c r="N71" s="24" t="str">
        <x:v>stomolophus meleagris</x:v>
      </x:c>
      <x:c r="O71" s="32" t="n">
        <x:v>3.34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Stomolophus meleagris</x:v>
      </x:c>
      <x:c r="T71" s="32" t="n">
        <x:f>IF(O71="","",(1/'Metadata'!$B$5)^(O71-1))</x:f>
        <x:v>218.77616239495518</x:v>
      </x:c>
      <x:c r="U71" s="31" t="n">
        <x:f>IF(T71="","",I71*T71)</x:f>
        <x:v>286052.73250975047</x:v>
      </x:c>
    </x:row>
    <x:row r="72" ht="18" customHeight="1">
      <x:c r="A72" s="24" t="str">
        <x:v>LME_005</x:v>
      </x:c>
      <x:c r="B72" s="24" t="str">
        <x:v>Gulf of Mexico</x:v>
      </x:c>
      <x:c r="C72" s="24" t="str">
        <x:v>LME</x:v>
      </x:c>
      <x:c r="D72" s="30" t="n">
        <x:v>2019</x:v>
      </x:c>
      <x:c r="E72" s="24" t="str">
        <x:v>Carcharhinus limbatus</x:v>
      </x:c>
      <x:c r="F72" s="24" t="str">
        <x:v>Blacktip shark</x:v>
      </x:c>
      <x:c r="G72" s="24" t="str">
        <x:v>Large sharks (&gt;=90 cm)</x:v>
      </x:c>
      <x:c r="H72" s="24" t="str">
        <x:v>Sharks &amp; rays</x:v>
      </x:c>
      <x:c r="I72" s="31" t="n">
        <x:v>1244.7619962607</x:v>
      </x:c>
      <x:c r="J72" s="31" t="n">
        <x:v>1160.0172887562999</x:v>
      </x:c>
      <x:c r="K72" s="31" t="n">
        <x:v>84.7447075044</x:v>
      </x:c>
      <x:c r="L72" s="31" t="n">
        <x:v>1126.2607305829</x:v>
      </x:c>
      <x:c r="M72" s="31" t="n">
        <x:v>118.5012656778</x:v>
      </x:c>
      <x:c r="N72" s="24" t="str">
        <x:v>carcharhinus limbatus</x:v>
      </x:c>
      <x:c r="O72" s="32" t="n">
        <x:v>4.37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Carcharhinus limbatus</x:v>
      </x:c>
      <x:c r="T72" s="32" t="n">
        <x:f>IF(O72="","",(1/'Metadata'!$B$5)^(O72-1))</x:f>
        <x:v>2344.228815319923</x:v>
      </x:c>
      <x:c r="U72" s="31" t="n">
        <x:f>IF(T72="","",I72*T72)</x:f>
        <x:v>2918006.939849483</x:v>
      </x:c>
    </x:row>
    <x:row r="73" ht="18" customHeight="1">
      <x:c r="A73" s="24" t="str">
        <x:v>LME_005</x:v>
      </x:c>
      <x:c r="B73" s="24" t="str">
        <x:v>Gulf of Mexico</x:v>
      </x:c>
      <x:c r="C73" s="24" t="str">
        <x:v>LME</x:v>
      </x:c>
      <x:c r="D73" s="30" t="n">
        <x:v>2019</x:v>
      </x:c>
      <x:c r="E73" s="24" t="str">
        <x:v>Lutjanus synagris</x:v>
      </x:c>
      <x:c r="F73" s="24" t="str">
        <x:v>Lane snapper</x:v>
      </x:c>
      <x:c r="G73" s="24" t="str">
        <x:v>Medium reef assoc. fish (30 - 89 cm)</x:v>
      </x:c>
      <x:c r="H73" s="24" t="str">
        <x:v>Perch-likes</x:v>
      </x:c>
      <x:c r="I73" s="31" t="n">
        <x:v>1232.1504681232</x:v>
      </x:c>
      <x:c r="J73" s="31" t="n">
        <x:v>658.9771167143</x:v>
      </x:c>
      <x:c r="K73" s="31" t="n">
        <x:v>573.1733514089</x:v>
      </x:c>
      <x:c r="L73" s="31" t="n">
        <x:v>188.027703309</x:v>
      </x:c>
      <x:c r="M73" s="31" t="n">
        <x:v>1044.1227648142</x:v>
      </x:c>
      <x:c r="N73" s="24" t="str">
        <x:v>lutjanus synagris</x:v>
      </x:c>
      <x:c r="O73" s="32" t="n">
        <x:v>3.82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Lutjanus synagris</x:v>
      </x:c>
      <x:c r="T73" s="32" t="n">
        <x:f>IF(O73="","",(1/'Metadata'!$B$5)^(O73-1))</x:f>
        <x:v>660.6934480075957</x:v>
      </x:c>
      <x:c r="U73" s="31" t="n">
        <x:f>IF(T73="","",I73*T73)</x:f>
        <x:v>814073.7412484902</x:v>
      </x:c>
    </x:row>
    <x:row r="74" ht="18" customHeight="1">
      <x:c r="A74" s="24" t="str">
        <x:v>LME_005</x:v>
      </x:c>
      <x:c r="B74" s="24" t="str">
        <x:v>Gulf of Mexico</x:v>
      </x:c>
      <x:c r="C74" s="24" t="str">
        <x:v>LME</x:v>
      </x:c>
      <x:c r="D74" s="30" t="n">
        <x:v>2019</x:v>
      </x:c>
      <x:c r="E74" s="24" t="str">
        <x:v>Pomatomus saltatrix</x:v>
      </x:c>
      <x:c r="F74" s="24" t="str">
        <x:v>Bluefish</x:v>
      </x:c>
      <x:c r="G74" s="24" t="str">
        <x:v>Large pelagics (&gt;=90 cm)</x:v>
      </x:c>
      <x:c r="H74" s="24" t="str">
        <x:v>Perch-likes</x:v>
      </x:c>
      <x:c r="I74" s="31" t="n">
        <x:v>1156.1487896052</x:v>
      </x:c>
      <x:c r="J74" s="31" t="n">
        <x:v>644.6108055878</x:v>
      </x:c>
      <x:c r="K74" s="31" t="n">
        <x:v>511.5379840174</x:v>
      </x:c>
      <x:c r="L74" s="31" t="n">
        <x:v>101.8489493322</x:v>
      </x:c>
      <x:c r="M74" s="31" t="n">
        <x:v>1054.299840273</x:v>
      </x:c>
      <x:c r="N74" s="24" t="str">
        <x:v>pomatomus saltatrix</x:v>
      </x:c>
      <x:c r="O74" s="32" t="n">
        <x:v>4.53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Pomatomus saltatrix</x:v>
      </x:c>
      <x:c r="T74" s="32" t="n">
        <x:f>IF(O74="","",(1/'Metadata'!$B$5)^(O74-1))</x:f>
        <x:v>3388.4415613920273</x:v>
      </x:c>
      <x:c r="U74" s="31" t="n">
        <x:f>IF(T74="","",I74*T74)</x:f>
        <x:v>3917542.609851346</x:v>
      </x:c>
    </x:row>
    <x:row r="75" ht="18" customHeight="1">
      <x:c r="A75" s="24" t="str">
        <x:v>LME_005</x:v>
      </x:c>
      <x:c r="B75" s="24" t="str">
        <x:v>Gulf of Mexico</x:v>
      </x:c>
      <x:c r="C75" s="24" t="str">
        <x:v>LME</x:v>
      </x:c>
      <x:c r="D75" s="30" t="n">
        <x:v>2019</x:v>
      </x:c>
      <x:c r="E75" s="24" t="str">
        <x:v>Carangidae</x:v>
      </x:c>
      <x:c r="F75" s="24" t="str">
        <x:v>Jacks, pompanos</x:v>
      </x:c>
      <x:c r="G75" s="24" t="str">
        <x:v>Medium pelagics (30 - 89 cm)</x:v>
      </x:c>
      <x:c r="H75" s="24" t="str">
        <x:v>Perch-likes</x:v>
      </x:c>
      <x:c r="I75" s="31" t="n">
        <x:v>1114.4324272811</x:v>
      </x:c>
      <x:c r="J75" s="31" t="n">
        <x:v>1114.4324272811</x:v>
      </x:c>
      <x:c r="K75" s="31" t="n">
        <x:v>0</x:v>
      </x:c>
      <x:c r="L75" s="31" t="n">
        <x:v>61.9886909809</x:v>
      </x:c>
      <x:c r="M75" s="31" t="n">
        <x:v>1052.4437363001998</x:v>
      </x:c>
      <x:c r="N75" s="24" t="str">
        <x:v>carangidae</x:v>
      </x:c>
      <x:c r="O75" s="32" t="n">
        <x:v>4.05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Carangidae</x:v>
      </x:c>
      <x:c r="T75" s="32" t="n">
        <x:f>IF(O75="","",(1/'Metadata'!$B$5)^(O75-1))</x:f>
        <x:v>1122.018454301963</x:v>
      </x:c>
      <x:c r="U75" s="31" t="n">
        <x:f>IF(T75="","",I75*T75)</x:f>
        <x:v>1250413.7494819246</x:v>
      </x:c>
    </x:row>
    <x:row r="76" ht="18" customHeight="1">
      <x:c r="A76" s="24" t="str">
        <x:v>LME_005</x:v>
      </x:c>
      <x:c r="B76" s="24" t="str">
        <x:v>Gulf of Mexico</x:v>
      </x:c>
      <x:c r="C76" s="24" t="str">
        <x:v>LME</x:v>
      </x:c>
      <x:c r="D76" s="30" t="n">
        <x:v>2019</x:v>
      </x:c>
      <x:c r="E76" s="24" t="str">
        <x:v>Haemulon plumierii</x:v>
      </x:c>
      <x:c r="F76" s="24" t="str">
        <x:v>White grunt</x:v>
      </x:c>
      <x:c r="G76" s="24" t="str">
        <x:v>Medium reef assoc. fish (30 - 89 cm)</x:v>
      </x:c>
      <x:c r="H76" s="24" t="str">
        <x:v>Perch-likes</x:v>
      </x:c>
      <x:c r="I76" s="31" t="n">
        <x:v>1085.9291068257</x:v>
      </x:c>
      <x:c r="J76" s="31" t="n">
        <x:v>1004.1050964409001</x:v>
      </x:c>
      <x:c r="K76" s="31" t="n">
        <x:v>81.8240103848</x:v>
      </x:c>
      <x:c r="L76" s="31" t="n">
        <x:v>1.7109145686</x:v>
      </x:c>
      <x:c r="M76" s="31" t="n">
        <x:v>1084.2181922571</x:v>
      </x:c>
      <x:c r="N76" s="24" t="str">
        <x:v>haemulon plumierii</x:v>
      </x:c>
      <x:c r="O76" s="32" t="n">
        <x:v>3.82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Haemulon plumierii</x:v>
      </x:c>
      <x:c r="T76" s="32" t="n">
        <x:f>IF(O76="","",(1/'Metadata'!$B$5)^(O76-1))</x:f>
        <x:v>660.6934480075957</x:v>
      </x:c>
      <x:c r="U76" s="31" t="n">
        <x:f>IF(T76="","",I76*T76)</x:f>
        <x:v>717466.2458804805</x:v>
      </x:c>
    </x:row>
    <x:row r="77" ht="18" customHeight="1">
      <x:c r="A77" s="24" t="str">
        <x:v>LME_005</x:v>
      </x:c>
      <x:c r="B77" s="24" t="str">
        <x:v>Gulf of Mexico</x:v>
      </x:c>
      <x:c r="C77" s="24" t="str">
        <x:v>LME</x:v>
      </x:c>
      <x:c r="D77" s="30" t="n">
        <x:v>2019</x:v>
      </x:c>
      <x:c r="E77" s="24" t="str">
        <x:v>Seriola dumerili</x:v>
      </x:c>
      <x:c r="F77" s="24" t="str">
        <x:v>Greater amberjack</x:v>
      </x:c>
      <x:c r="G77" s="24" t="str">
        <x:v>Large reef assoc. fish (&gt;=90 cm)</x:v>
      </x:c>
      <x:c r="H77" s="24" t="str">
        <x:v>Perch-likes</x:v>
      </x:c>
      <x:c r="I77" s="31" t="n">
        <x:v>1067.2993988778999</x:v>
      </x:c>
      <x:c r="J77" s="31" t="n">
        <x:v>805.9861789643</x:v>
      </x:c>
      <x:c r="K77" s="31" t="n">
        <x:v>261.3132199136</x:v>
      </x:c>
      <x:c r="L77" s="31" t="n">
        <x:v>238.38754603980001</x:v>
      </x:c>
      <x:c r="M77" s="31" t="n">
        <x:v>828.9118528381</x:v>
      </x:c>
      <x:c r="N77" s="24" t="str">
        <x:v>seriola dumerili</x:v>
      </x:c>
      <x:c r="O77" s="32" t="n">
        <x:v>4.5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Seriola dumerili</x:v>
      </x:c>
      <x:c r="T77" s="32" t="n">
        <x:f>IF(O77="","",(1/'Metadata'!$B$5)^(O77-1))</x:f>
        <x:v>3162.2776601683795</x:v>
      </x:c>
      <x:c r="U77" s="31" t="n">
        <x:f>IF(T77="","",I77*T77)</x:f>
        <x:v>3375097.045782723</x:v>
      </x:c>
    </x:row>
    <x:row r="78" ht="18" customHeight="1">
      <x:c r="A78" s="24" t="str">
        <x:v>LME_005</x:v>
      </x:c>
      <x:c r="B78" s="24" t="str">
        <x:v>Gulf of Mexico</x:v>
      </x:c>
      <x:c r="C78" s="24" t="str">
        <x:v>LME</x:v>
      </x:c>
      <x:c r="D78" s="30" t="n">
        <x:v>2019</x:v>
      </x:c>
      <x:c r="E78" s="24" t="str">
        <x:v>Cynoscion nebulosus</x:v>
      </x:c>
      <x:c r="F78" s="24" t="str">
        <x:v>Spotted weakfish</x:v>
      </x:c>
      <x:c r="G78" s="24" t="str">
        <x:v>Medium demersals (30 - 89 cm)</x:v>
      </x:c>
      <x:c r="H78" s="24" t="str">
        <x:v>Perch-likes</x:v>
      </x:c>
      <x:c r="I78" s="31" t="n">
        <x:v>1056.1235179368</x:v>
      </x:c>
      <x:c r="J78" s="31" t="n">
        <x:v>1027.1667549852</x:v>
      </x:c>
      <x:c r="K78" s="31" t="n">
        <x:v>28.9567629516</x:v>
      </x:c>
      <x:c r="L78" s="31" t="n">
        <x:v>784.294846471</x:v>
      </x:c>
      <x:c r="M78" s="31" t="n">
        <x:v>271.82867146579997</x:v>
      </x:c>
      <x:c r="N78" s="24" t="str">
        <x:v>cynoscion nebulosus</x:v>
      </x:c>
      <x:c r="O78" s="32" t="n">
        <x:v>3.98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Cynoscion nebulosus</x:v>
      </x:c>
      <x:c r="T78" s="32" t="n">
        <x:f>IF(O78="","",(1/'Metadata'!$B$5)^(O78-1))</x:f>
        <x:v>954.992586021436</x:v>
      </x:c>
      <x:c r="U78" s="31" t="n">
        <x:f>IF(T78="","",I78*T78)</x:f>
        <x:v>1008590.129552521</x:v>
      </x:c>
    </x:row>
    <x:row r="79" ht="18" customHeight="1">
      <x:c r="A79" s="24" t="str">
        <x:v>LME_005</x:v>
      </x:c>
      <x:c r="B79" s="24" t="str">
        <x:v>Gulf of Mexico</x:v>
      </x:c>
      <x:c r="C79" s="24" t="str">
        <x:v>LME</x:v>
      </x:c>
      <x:c r="D79" s="30" t="n">
        <x:v>2019</x:v>
      </x:c>
      <x:c r="E79" s="24" t="str">
        <x:v>Mycteroperca microlepis</x:v>
      </x:c>
      <x:c r="F79" s="24" t="str">
        <x:v>Gag</x:v>
      </x:c>
      <x:c r="G79" s="24" t="str">
        <x:v>Large demersals (&gt;=90 cm)</x:v>
      </x:c>
      <x:c r="H79" s="24" t="str">
        <x:v>Perch-likes</x:v>
      </x:c>
      <x:c r="I79" s="31" t="n">
        <x:v>935.8814914444999</x:v>
      </x:c>
      <x:c r="J79" s="31" t="n">
        <x:v>430.2964558063</x:v>
      </x:c>
      <x:c r="K79" s="31" t="n">
        <x:v>505.5850356382</x:v>
      </x:c>
      <x:c r="L79" s="31" t="n">
        <x:v>323.9859939872</x:v>
      </x:c>
      <x:c r="M79" s="31" t="n">
        <x:v>611.8954974573</x:v>
      </x:c>
      <x:c r="N79" s="24" t="str">
        <x:v>mycteroperca microlepis</x:v>
      </x:c>
      <x:c r="O79" s="32" t="n">
        <x:v>3.65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Mycteroperca microlepis</x:v>
      </x:c>
      <x:c r="T79" s="32" t="n">
        <x:f>IF(O79="","",(1/'Metadata'!$B$5)^(O79-1))</x:f>
        <x:v>446.683592150963</x:v>
      </x:c>
      <x:c r="U79" s="31" t="n">
        <x:f>IF(T79="","",I79*T79)</x:f>
        <x:v>418042.90642603</x:v>
      </x:c>
    </x:row>
    <x:row r="80" ht="18" customHeight="1">
      <x:c r="A80" s="24" t="str">
        <x:v>LME_005</x:v>
      </x:c>
      <x:c r="B80" s="24" t="str">
        <x:v>Gulf of Mexico</x:v>
      </x:c>
      <x:c r="C80" s="24" t="str">
        <x:v>LME</x:v>
      </x:c>
      <x:c r="D80" s="30" t="n">
        <x:v>2019</x:v>
      </x:c>
      <x:c r="E80" s="24" t="str">
        <x:v>Bagre marinus</x:v>
      </x:c>
      <x:c r="F80" s="24" t="str">
        <x:v>Gafftopsail sea catfish</x:v>
      </x:c>
      <x:c r="G80" s="24" t="str">
        <x:v>Large reef assoc. fish (&gt;=90 cm)</x:v>
      </x:c>
      <x:c r="H80" s="24" t="str">
        <x:v>Other fishes &amp; inverts</x:v>
      </x:c>
      <x:c r="I80" s="31" t="n">
        <x:v>876.2035837968</x:v>
      </x:c>
      <x:c r="J80" s="31" t="n">
        <x:v>876.2035837968</x:v>
      </x:c>
      <x:c r="K80" s="31" t="n">
        <x:v>0</x:v>
      </x:c>
      <x:c r="L80" s="31" t="n">
        <x:v>0.6528353309</x:v>
      </x:c>
      <x:c r="M80" s="31" t="n">
        <x:v>875.5507484659</x:v>
      </x:c>
      <x:c r="N80" s="24" t="str">
        <x:v>bagre marinus</x:v>
      </x:c>
      <x:c r="O80" s="32" t="n">
        <x:v>3.51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Bagre marinus</x:v>
      </x:c>
      <x:c r="T80" s="32" t="n">
        <x:f>IF(O80="","",(1/'Metadata'!$B$5)^(O80-1))</x:f>
        <x:v>323.5936569296281</x:v>
      </x:c>
      <x:c r="U80" s="31" t="n">
        <x:f>IF(T80="","",I80*T80)</x:f>
        <x:v>283533.9218956523</x:v>
      </x:c>
    </x:row>
    <x:row r="81" ht="18" customHeight="1">
      <x:c r="A81" s="24" t="str">
        <x:v>LME_005</x:v>
      </x:c>
      <x:c r="B81" s="24" t="str">
        <x:v>Gulf of Mexico</x:v>
      </x:c>
      <x:c r="C81" s="24" t="str">
        <x:v>LME</x:v>
      </x:c>
      <x:c r="D81" s="30" t="n">
        <x:v>2019</x:v>
      </x:c>
      <x:c r="E81" s="24" t="str">
        <x:v>Hippospongia lachne</x:v>
      </x:c>
      <x:c r="F81" s="24" t="str">
        <x:v>Sheepswool sponge</x:v>
      </x:c>
      <x:c r="G81" s="24" t="str">
        <x:v>Other demersal invertebrates</x:v>
      </x:c>
      <x:c r="H81" s="24" t="str">
        <x:v>Other fishes &amp; inverts</x:v>
      </x:c>
      <x:c r="I81" s="31" t="n">
        <x:v>837.9409794401</x:v>
      </x:c>
      <x:c r="J81" s="31" t="n">
        <x:v>837.9409794401</x:v>
      </x:c>
      <x:c r="K81" s="31" t="n">
        <x:v>0</x:v>
      </x:c>
      <x:c r="L81" s="31" t="n">
        <x:v>0</x:v>
      </x:c>
      <x:c r="M81" s="31" t="n">
        <x:v>837.9409794401</x:v>
      </x:c>
      <x:c r="N81" s="24" t="str">
        <x:v>hippospongia lachne</x:v>
      </x:c>
      <x:c r="O81" s="32" t="n">
        <x:v>2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Hippospongia lachne</x:v>
      </x:c>
      <x:c r="T81" s="32" t="n">
        <x:f>IF(O81="","",(1/'Metadata'!$B$5)^(O81-1))</x:f>
        <x:v>10</x:v>
      </x:c>
      <x:c r="U81" s="31" t="n">
        <x:f>IF(T81="","",I81*T81)</x:f>
        <x:v>8379.409794401</x:v>
      </x:c>
    </x:row>
    <x:row r="82" ht="18" customHeight="1">
      <x:c r="A82" s="24" t="str">
        <x:v>LME_005</x:v>
      </x:c>
      <x:c r="B82" s="24" t="str">
        <x:v>Gulf of Mexico</x:v>
      </x:c>
      <x:c r="C82" s="24" t="str">
        <x:v>LME</x:v>
      </x:c>
      <x:c r="D82" s="30" t="n">
        <x:v>2019</x:v>
      </x:c>
      <x:c r="E82" s="24" t="str">
        <x:v>Rhizoprionodon terraenovae</x:v>
      </x:c>
      <x:c r="F82" s="24" t="str">
        <x:v>Atlantic sharpnose shark</x:v>
      </x:c>
      <x:c r="G82" s="24" t="str">
        <x:v>Large sharks (&gt;=90 cm)</x:v>
      </x:c>
      <x:c r="H82" s="24" t="str">
        <x:v>Sharks &amp; rays</x:v>
      </x:c>
      <x:c r="I82" s="31" t="n">
        <x:v>823.5749036933</x:v>
      </x:c>
      <x:c r="J82" s="31" t="n">
        <x:v>400.49838335870004</x:v>
      </x:c>
      <x:c r="K82" s="31" t="n">
        <x:v>423.0765203346</x:v>
      </x:c>
      <x:c r="L82" s="31" t="n">
        <x:v>256.9071058312</x:v>
      </x:c>
      <x:c r="M82" s="31" t="n">
        <x:v>566.6677978621</x:v>
      </x:c>
      <x:c r="N82" s="24" t="str">
        <x:v>rhizoprionodon terraenovae</x:v>
      </x:c>
      <x:c r="O82" s="32" t="n">
        <x:v>4.37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Rhizoprionodon terraenovae</x:v>
      </x:c>
      <x:c r="T82" s="32" t="n">
        <x:f>IF(O82="","",(1/'Metadata'!$B$5)^(O82-1))</x:f>
        <x:v>2344.228815319923</x:v>
      </x:c>
      <x:c r="U82" s="31" t="n">
        <x:f>IF(T82="","",I82*T82)</x:f>
        <x:v>1930648.0208121643</x:v>
      </x:c>
    </x:row>
    <x:row r="83" ht="18" customHeight="1">
      <x:c r="A83" s="24" t="str">
        <x:v>LME_005</x:v>
      </x:c>
      <x:c r="B83" s="24" t="str">
        <x:v>Gulf of Mexico</x:v>
      </x:c>
      <x:c r="C83" s="24" t="str">
        <x:v>LME</x:v>
      </x:c>
      <x:c r="D83" s="30" t="n">
        <x:v>2019</x:v>
      </x:c>
      <x:c r="E83" s="24" t="str">
        <x:v>Hyporthodus flavolimbatus</x:v>
      </x:c>
      <x:c r="F83" s="24" t="str">
        <x:v>Yellowedge grouper</x:v>
      </x:c>
      <x:c r="G83" s="24" t="str">
        <x:v>Large demersals (&gt;=90 cm)</x:v>
      </x:c>
      <x:c r="H83" s="24" t="str">
        <x:v>Perch-likes</x:v>
      </x:c>
      <x:c r="I83" s="31" t="n">
        <x:v>811.7389013073</x:v>
      </x:c>
      <x:c r="J83" s="31" t="n">
        <x:v>600.6802447086</x:v>
      </x:c>
      <x:c r="K83" s="31" t="n">
        <x:v>211.0586565987</x:v>
      </x:c>
      <x:c r="L83" s="31" t="n">
        <x:v>446.1947755524</x:v>
      </x:c>
      <x:c r="M83" s="31" t="n">
        <x:v>365.5441257549</x:v>
      </x:c>
      <x:c r="N83" s="24" t="str">
        <x:v>hyporthodus flavolimbatus</x:v>
      </x:c>
      <x:c r="O83" s="32" t="n">
        <x:v>3.82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Hyporthodus flavolimbatus</x:v>
      </x:c>
      <x:c r="T83" s="32" t="n">
        <x:f>IF(O83="","",(1/'Metadata'!$B$5)^(O83-1))</x:f>
        <x:v>660.6934480075957</x:v>
      </x:c>
      <x:c r="U83" s="31" t="n">
        <x:f>IF(T83="","",I83*T83)</x:f>
        <x:v>536310.5735866175</x:v>
      </x:c>
    </x:row>
    <x:row r="84" ht="18" customHeight="1">
      <x:c r="A84" s="24" t="str">
        <x:v>LME_005</x:v>
      </x:c>
      <x:c r="B84" s="24" t="str">
        <x:v>Gulf of Mexico</x:v>
      </x:c>
      <x:c r="C84" s="24" t="str">
        <x:v>LME</x:v>
      </x:c>
      <x:c r="D84" s="30" t="n">
        <x:v>2019</x:v>
      </x:c>
      <x:c r="E84" s="24" t="str">
        <x:v>Caranx hippos</x:v>
      </x:c>
      <x:c r="F84" s="24" t="str">
        <x:v>Crevalle jack</x:v>
      </x:c>
      <x:c r="G84" s="24" t="str">
        <x:v>Large reef assoc. fish (&gt;=90 cm)</x:v>
      </x:c>
      <x:c r="H84" s="24" t="str">
        <x:v>Perch-likes</x:v>
      </x:c>
      <x:c r="I84" s="31" t="n">
        <x:v>798.4709946249</x:v>
      </x:c>
      <x:c r="J84" s="31" t="n">
        <x:v>497.1867177376</x:v>
      </x:c>
      <x:c r="K84" s="31" t="n">
        <x:v>301.2842768873</x:v>
      </x:c>
      <x:c r="L84" s="31" t="n">
        <x:v>134.6474895107</x:v>
      </x:c>
      <x:c r="M84" s="31" t="n">
        <x:v>663.8235051142001</x:v>
      </x:c>
      <x:c r="N84" s="24" t="str">
        <x:v>caranx hippos</x:v>
      </x:c>
      <x:c r="O84" s="32" t="n">
        <x:v>3.56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Caranx hippos</x:v>
      </x:c>
      <x:c r="T84" s="32" t="n">
        <x:f>IF(O84="","",(1/'Metadata'!$B$5)^(O84-1))</x:f>
        <x:v>363.0780547701014</x:v>
      </x:c>
      <x:c r="U84" s="31" t="n">
        <x:f>IF(T84="","",I84*T84)</x:f>
        <x:v>289907.2955187568</x:v>
      </x:c>
    </x:row>
    <x:row r="85" ht="18" customHeight="1">
      <x:c r="A85" s="24" t="str">
        <x:v>LME_005</x:v>
      </x:c>
      <x:c r="B85" s="24" t="str">
        <x:v>Gulf of Mexico</x:v>
      </x:c>
      <x:c r="C85" s="24" t="str">
        <x:v>LME</x:v>
      </x:c>
      <x:c r="D85" s="30" t="n">
        <x:v>2019</x:v>
      </x:c>
      <x:c r="E85" s="24" t="str">
        <x:v>Clibanarius tricolor</x:v>
      </x:c>
      <x:c r="F85" s="24" t="str">
        <x:v>Tricolor hermit</x:v>
      </x:c>
      <x:c r="G85" s="24" t="str">
        <x:v>Lobsters, crabs</x:v>
      </x:c>
      <x:c r="H85" s="24" t="str">
        <x:v>Crustaceans</x:v>
      </x:c>
      <x:c r="I85" s="31" t="n">
        <x:v>743.5158823618999</x:v>
      </x:c>
      <x:c r="J85" s="31" t="n">
        <x:v>743.5158823618999</x:v>
      </x:c>
      <x:c r="K85" s="31" t="n">
        <x:v>0</x:v>
      </x:c>
      <x:c r="L85" s="31" t="n">
        <x:v>743.5158823618999</x:v>
      </x:c>
      <x:c r="M85" s="31" t="n">
        <x:v>0</x:v>
      </x:c>
      <x:c r="N85" s="24" t="str">
        <x:v>clibanarius tricolor</x:v>
      </x:c>
      <x:c r="O85" s="32" t="n">
        <x:v>4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Clibanarius tricolor</x:v>
      </x:c>
      <x:c r="T85" s="32" t="n">
        <x:f>IF(O85="","",(1/'Metadata'!$B$5)^(O85-1))</x:f>
        <x:v>1000</x:v>
      </x:c>
      <x:c r="U85" s="31" t="n">
        <x:f>IF(T85="","",I85*T85)</x:f>
        <x:v>743515.8823619</x:v>
      </x:c>
    </x:row>
    <x:row r="86" ht="18" customHeight="1">
      <x:c r="A86" s="24" t="str">
        <x:v>LME_005</x:v>
      </x:c>
      <x:c r="B86" s="24" t="str">
        <x:v>Gulf of Mexico</x:v>
      </x:c>
      <x:c r="C86" s="24" t="str">
        <x:v>LME</x:v>
      </x:c>
      <x:c r="D86" s="30" t="n">
        <x:v>2019</x:v>
      </x:c>
      <x:c r="E86" s="24" t="str">
        <x:v>Sphyraena</x:v>
      </x:c>
      <x:c r="F86" s="24" t="str">
        <x:v>Barracudas, sennets</x:v>
      </x:c>
      <x:c r="G86" s="24" t="str">
        <x:v>Large pelagics (&gt;=90 cm)</x:v>
      </x:c>
      <x:c r="H86" s="24" t="str">
        <x:v>Perch-likes</x:v>
      </x:c>
      <x:c r="I86" s="31" t="n">
        <x:v>729.4509281756999</x:v>
      </x:c>
      <x:c r="J86" s="31" t="n">
        <x:v>729.4509281756999</x:v>
      </x:c>
      <x:c r="K86" s="31" t="n">
        <x:v>0</x:v>
      </x:c>
      <x:c r="L86" s="31" t="n">
        <x:v>450.1717023998</x:v>
      </x:c>
      <x:c r="M86" s="31" t="n">
        <x:v>279.2792257759</x:v>
      </x:c>
      <x:c r="N86" s="24" t="str">
        <x:v>sphyraena</x:v>
      </x:c>
      <x:c r="O86" s="32" t="n">
        <x:v>4.4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Sphyraena</x:v>
      </x:c>
      <x:c r="T86" s="32" t="n">
        <x:f>IF(O86="","",(1/'Metadata'!$B$5)^(O86-1))</x:f>
        <x:v>2511.886431509582</x:v>
      </x:c>
      <x:c r="U86" s="31" t="n">
        <x:f>IF(T86="","",I86*T86)</x:f>
        <x:v>1832297.8889366114</x:v>
      </x:c>
    </x:row>
    <x:row r="87" ht="18" customHeight="1">
      <x:c r="A87" s="24" t="str">
        <x:v>LME_005</x:v>
      </x:c>
      <x:c r="B87" s="24" t="str">
        <x:v>Gulf of Mexico</x:v>
      </x:c>
      <x:c r="C87" s="24" t="str">
        <x:v>LME</x:v>
      </x:c>
      <x:c r="D87" s="30" t="n">
        <x:v>2019</x:v>
      </x:c>
      <x:c r="E87" s="24" t="str">
        <x:v>Trachinotus</x:v>
      </x:c>
      <x:c r="F87" s="24" t="str">
        <x:v>Pompanos</x:v>
      </x:c>
      <x:c r="G87" s="24" t="str">
        <x:v>Medium pelagics (30 - 89 cm)</x:v>
      </x:c>
      <x:c r="H87" s="24" t="str">
        <x:v>Perch-likes</x:v>
      </x:c>
      <x:c r="I87" s="31" t="n">
        <x:v>714.244162171</x:v>
      </x:c>
      <x:c r="J87" s="31" t="n">
        <x:v>714.244162171</x:v>
      </x:c>
      <x:c r="K87" s="31" t="n">
        <x:v>0</x:v>
      </x:c>
      <x:c r="L87" s="31" t="n">
        <x:v>541.2996026392</x:v>
      </x:c>
      <x:c r="M87" s="31" t="n">
        <x:v>172.9445595318</x:v>
      </x:c>
      <x:c r="N87" s="24" t="str">
        <x:v>trachinotus</x:v>
      </x:c>
      <x:c r="O87" s="32" t="n">
        <x:v>3.69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Trachinotus</x:v>
      </x:c>
      <x:c r="T87" s="32" t="n">
        <x:f>IF(O87="","",(1/'Metadata'!$B$5)^(O87-1))</x:f>
        <x:v>489.77881936844614</x:v>
      </x:c>
      <x:c r="U87" s="31" t="n">
        <x:f>IF(T87="","",I87*T87)</x:f>
        <x:v>349821.66248891735</x:v>
      </x:c>
    </x:row>
    <x:row r="88" ht="18" customHeight="1">
      <x:c r="A88" s="24" t="str">
        <x:v>LME_005</x:v>
      </x:c>
      <x:c r="B88" s="24" t="str">
        <x:v>Gulf of Mexico</x:v>
      </x:c>
      <x:c r="C88" s="24" t="str">
        <x:v>LME</x:v>
      </x:c>
      <x:c r="D88" s="30" t="n">
        <x:v>2019</x:v>
      </x:c>
      <x:c r="E88" s="24" t="str">
        <x:v>Mercenaria mercenaria</x:v>
      </x:c>
      <x:c r="F88" s="24" t="str">
        <x:v>Northern quahog</x:v>
      </x:c>
      <x:c r="G88" s="24" t="str">
        <x:v>Other demersal invertebrates</x:v>
      </x:c>
      <x:c r="H88" s="24" t="str">
        <x:v>Molluscs</x:v>
      </x:c>
      <x:c r="I88" s="31" t="n">
        <x:v>701.7901397895</x:v>
      </x:c>
      <x:c r="J88" s="31" t="n">
        <x:v>701.7901397895</x:v>
      </x:c>
      <x:c r="K88" s="31" t="n">
        <x:v>0</x:v>
      </x:c>
      <x:c r="L88" s="31" t="n">
        <x:v>238.4377258414</x:v>
      </x:c>
      <x:c r="M88" s="31" t="n">
        <x:v>463.3524139481</x:v>
      </x:c>
      <x:c r="N88" s="24" t="str">
        <x:v>mercenaria mercenaria</x:v>
      </x:c>
      <x:c r="O88" s="32" t="n">
        <x:v>2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Mercenaria mercenaria</x:v>
      </x:c>
      <x:c r="T88" s="32" t="n">
        <x:f>IF(O88="","",(1/'Metadata'!$B$5)^(O88-1))</x:f>
        <x:v>10</x:v>
      </x:c>
      <x:c r="U88" s="31" t="n">
        <x:f>IF(T88="","",I88*T88)</x:f>
        <x:v>7017.901397895001</x:v>
      </x:c>
    </x:row>
    <x:row r="89" ht="18" customHeight="1">
      <x:c r="A89" s="24" t="str">
        <x:v>LME_005</x:v>
      </x:c>
      <x:c r="B89" s="24" t="str">
        <x:v>Gulf of Mexico</x:v>
      </x:c>
      <x:c r="C89" s="24" t="str">
        <x:v>LME</x:v>
      </x:c>
      <x:c r="D89" s="30" t="n">
        <x:v>2019</x:v>
      </x:c>
      <x:c r="E89" s="24" t="str">
        <x:v>Menticirrhus americanus</x:v>
      </x:c>
      <x:c r="F89" s="24" t="str">
        <x:v>Southern kingcroaker</x:v>
      </x:c>
      <x:c r="G89" s="24" t="str">
        <x:v>Medium demersals (30 - 89 cm)</x:v>
      </x:c>
      <x:c r="H89" s="24" t="str">
        <x:v>Perch-likes</x:v>
      </x:c>
      <x:c r="I89" s="31" t="n">
        <x:v>577.7756900729</x:v>
      </x:c>
      <x:c r="J89" s="31" t="n">
        <x:v>318.6794311814</x:v>
      </x:c>
      <x:c r="K89" s="31" t="n">
        <x:v>259.0962588915</x:v>
      </x:c>
      <x:c r="L89" s="31" t="n">
        <x:v>0</x:v>
      </x:c>
      <x:c r="M89" s="31" t="n">
        <x:v>577.7756900729</x:v>
      </x:c>
      <x:c r="N89" s="24" t="str">
        <x:v>menticirrhus americanus</x:v>
      </x:c>
      <x:c r="O89" s="32" t="n">
        <x:v>3.5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Menticirrhus americanus</x:v>
      </x:c>
      <x:c r="T89" s="32" t="n">
        <x:f>IF(O89="","",(1/'Metadata'!$B$5)^(O89-1))</x:f>
        <x:v>316.22776601683796</x:v>
      </x:c>
      <x:c r="U89" s="31" t="n">
        <x:f>IF(T89="","",I89*T89)</x:f>
        <x:v>182708.7157305901</x:v>
      </x:c>
    </x:row>
    <x:row r="90" ht="18" customHeight="1">
      <x:c r="A90" s="24" t="str">
        <x:v>LME_005</x:v>
      </x:c>
      <x:c r="B90" s="24" t="str">
        <x:v>Gulf of Mexico</x:v>
      </x:c>
      <x:c r="C90" s="24" t="str">
        <x:v>LME</x:v>
      </x:c>
      <x:c r="D90" s="30" t="n">
        <x:v>2019</x:v>
      </x:c>
      <x:c r="E90" s="24" t="str">
        <x:v>Lutjanus</x:v>
      </x:c>
      <x:c r="F90" s="24" t="str">
        <x:v>Snappers</x:v>
      </x:c>
      <x:c r="G90" s="24" t="str">
        <x:v>Medium reef assoc. fish (30 - 89 cm)</x:v>
      </x:c>
      <x:c r="H90" s="24" t="str">
        <x:v>Perch-likes</x:v>
      </x:c>
      <x:c r="I90" s="31" t="n">
        <x:v>560.2341140921</x:v>
      </x:c>
      <x:c r="J90" s="31" t="n">
        <x:v>559.5402993893</x:v>
      </x:c>
      <x:c r="K90" s="31" t="n">
        <x:v>0.6938147028</x:v>
      </x:c>
      <x:c r="L90" s="31" t="n">
        <x:v>415.48437973349996</x:v>
      </x:c>
      <x:c r="M90" s="31" t="n">
        <x:v>144.7497343586</x:v>
      </x:c>
      <x:c r="N90" s="24" t="str">
        <x:v>lutjanus</x:v>
      </x:c>
      <x:c r="O90" s="32" t="n">
        <x:v>4.02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Lutjanus</x:v>
      </x:c>
      <x:c r="T90" s="32" t="n">
        <x:f>IF(O90="","",(1/'Metadata'!$B$5)^(O90-1))</x:f>
        <x:v>1047.1285480508984</x:v>
      </x:c>
      <x:c r="U90" s="31" t="n">
        <x:f>IF(T90="","",I90*T90)</x:f>
        <x:v>586637.134457842</x:v>
      </x:c>
    </x:row>
    <x:row r="91" ht="18" customHeight="1">
      <x:c r="A91" s="24" t="str">
        <x:v>LME_005</x:v>
      </x:c>
      <x:c r="B91" s="24" t="str">
        <x:v>Gulf of Mexico</x:v>
      </x:c>
      <x:c r="C91" s="24" t="str">
        <x:v>LME</x:v>
      </x:c>
      <x:c r="D91" s="30" t="n">
        <x:v>2019</x:v>
      </x:c>
      <x:c r="E91" s="24" t="str">
        <x:v>Eucinostomus</x:v>
      </x:c>
      <x:c r="F91" s="24" t="str">
        <x:v>Mojarras</x:v>
      </x:c>
      <x:c r="G91" s="24" t="str">
        <x:v>Large reef assoc. fish (&gt;=90 cm)</x:v>
      </x:c>
      <x:c r="H91" s="24" t="str">
        <x:v>Perch-likes</x:v>
      </x:c>
      <x:c r="I91" s="31" t="n">
        <x:v>557.1599767448</x:v>
      </x:c>
      <x:c r="J91" s="31" t="n">
        <x:v>0</x:v>
      </x:c>
      <x:c r="K91" s="31" t="n">
        <x:v>557.1599767448</x:v>
      </x:c>
      <x:c r="L91" s="31" t="n">
        <x:v>0</x:v>
      </x:c>
      <x:c r="M91" s="31" t="n">
        <x:v>557.1599767448</x:v>
      </x:c>
      <x:c r="N91" s="24" t="str">
        <x:v>eucinostomus</x:v>
      </x:c>
      <x:c r="O91" s="32" t="n">
        <x:v>3.5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Eucinostomus</x:v>
      </x:c>
      <x:c r="T91" s="32" t="n">
        <x:f>IF(O91="","",(1/'Metadata'!$B$5)^(O91-1))</x:f>
        <x:v>316.22776601683796</x:v>
      </x:c>
      <x:c r="U91" s="31" t="n">
        <x:f>IF(T91="","",I91*T91)</x:f>
        <x:v>176189.4547600015</x:v>
      </x:c>
    </x:row>
    <x:row r="92" ht="18" customHeight="1">
      <x:c r="A92" s="24" t="str">
        <x:v>LME_005</x:v>
      </x:c>
      <x:c r="B92" s="24" t="str">
        <x:v>Gulf of Mexico</x:v>
      </x:c>
      <x:c r="C92" s="24" t="str">
        <x:v>LME</x:v>
      </x:c>
      <x:c r="D92" s="30" t="n">
        <x:v>2019</x:v>
      </x:c>
      <x:c r="E92" s="24" t="str">
        <x:v>Dorosoma cepedianum</x:v>
      </x:c>
      <x:c r="F92" s="24" t="str">
        <x:v>American gizzard shad</x:v>
      </x:c>
      <x:c r="G92" s="24" t="str">
        <x:v>Medium pelagics (30 - 89 cm)</x:v>
      </x:c>
      <x:c r="H92" s="24" t="str">
        <x:v>Herring-likes</x:v>
      </x:c>
      <x:c r="I92" s="31" t="n">
        <x:v>519.6701890451</x:v>
      </x:c>
      <x:c r="J92" s="31" t="n">
        <x:v>519.6701890451</x:v>
      </x:c>
      <x:c r="K92" s="31" t="n">
        <x:v>0</x:v>
      </x:c>
      <x:c r="L92" s="31" t="n">
        <x:v>490.558512862</x:v>
      </x:c>
      <x:c r="M92" s="31" t="n">
        <x:v>29.111676183100002</x:v>
      </x:c>
      <x:c r="N92" s="24" t="str">
        <x:v>dorosoma cepedianum</x:v>
      </x:c>
      <x:c r="O92" s="32" t="n">
        <x:v>2.4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Dorosoma cepedianum</x:v>
      </x:c>
      <x:c r="T92" s="32" t="n">
        <x:f>IF(O92="","",(1/'Metadata'!$B$5)^(O92-1))</x:f>
        <x:v>25.118864315095795</x:v>
      </x:c>
      <x:c r="U92" s="31" t="n">
        <x:f>IF(T92="","",I92*T92)</x:f>
        <x:v>13053.524967224048</x:v>
      </x:c>
    </x:row>
    <x:row r="93" ht="18" customHeight="1">
      <x:c r="A93" s="24" t="str">
        <x:v>LME_005</x:v>
      </x:c>
      <x:c r="B93" s="24" t="str">
        <x:v>Gulf of Mexico</x:v>
      </x:c>
      <x:c r="C93" s="24" t="str">
        <x:v>LME</x:v>
      </x:c>
      <x:c r="D93" s="30" t="n">
        <x:v>2019</x:v>
      </x:c>
      <x:c r="E93" s="24" t="str">
        <x:v>Menticirrhus littoralis</x:v>
      </x:c>
      <x:c r="F93" s="24" t="str">
        <x:v>Gulf kingcroaker</x:v>
      </x:c>
      <x:c r="G93" s="24" t="str">
        <x:v>Medium demersals (30 - 89 cm)</x:v>
      </x:c>
      <x:c r="H93" s="24" t="str">
        <x:v>Perch-likes</x:v>
      </x:c>
      <x:c r="I93" s="31" t="n">
        <x:v>513.7870469543</x:v>
      </x:c>
      <x:c r="J93" s="31" t="n">
        <x:v>494.4232001626</x:v>
      </x:c>
      <x:c r="K93" s="31" t="n">
        <x:v>19.3638467917</x:v>
      </x:c>
      <x:c r="L93" s="31" t="n">
        <x:v>219.3005809274</x:v>
      </x:c>
      <x:c r="M93" s="31" t="n">
        <x:v>294.4864660269</x:v>
      </x:c>
      <x:c r="N93" s="24" t="str">
        <x:v>menticirrhus littoralis</x:v>
      </x:c>
      <x:c r="O93" s="32" t="n">
        <x:v>3.92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Menticirrhus littoralis</x:v>
      </x:c>
      <x:c r="T93" s="32" t="n">
        <x:f>IF(O93="","",(1/'Metadata'!$B$5)^(O93-1))</x:f>
        <x:v>831.7637711026708</x:v>
      </x:c>
      <x:c r="U93" s="31" t="n">
        <x:f>IF(T93="","",I93*T93)</x:f>
        <x:v>427349.45171841356</x:v>
      </x:c>
    </x:row>
    <x:row r="94" ht="18" customHeight="1">
      <x:c r="A94" s="24" t="str">
        <x:v>LME_005</x:v>
      </x:c>
      <x:c r="B94" s="24" t="str">
        <x:v>Gulf of Mexico</x:v>
      </x:c>
      <x:c r="C94" s="24" t="str">
        <x:v>LME</x:v>
      </x:c>
      <x:c r="D94" s="30" t="n">
        <x:v>2019</x:v>
      </x:c>
      <x:c r="E94" s="24" t="str">
        <x:v>Trachinotus carolinus</x:v>
      </x:c>
      <x:c r="F94" s="24" t="str">
        <x:v>Florida pompano</x:v>
      </x:c>
      <x:c r="G94" s="24" t="str">
        <x:v>Medium benthopelagics (30 - 89 cm)</x:v>
      </x:c>
      <x:c r="H94" s="24" t="str">
        <x:v>Perch-likes</x:v>
      </x:c>
      <x:c r="I94" s="31" t="n">
        <x:v>511.5256990223</x:v>
      </x:c>
      <x:c r="J94" s="31" t="n">
        <x:v>510.5974048247</x:v>
      </x:c>
      <x:c r="K94" s="31" t="n">
        <x:v>0.9282941976</x:v>
      </x:c>
      <x:c r="L94" s="31" t="n">
        <x:v>87.00311270399999</x:v>
      </x:c>
      <x:c r="M94" s="31" t="n">
        <x:v>424.5225863183</x:v>
      </x:c>
      <x:c r="N94" s="24" t="str">
        <x:v>trachinotus carolinus</x:v>
      </x:c>
      <x:c r="O94" s="32" t="n">
        <x:v>3.5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Trachinotus carolinus</x:v>
      </x:c>
      <x:c r="T94" s="32" t="n">
        <x:f>IF(O94="","",(1/'Metadata'!$B$5)^(O94-1))</x:f>
        <x:v>316.22776601683796</x:v>
      </x:c>
      <x:c r="U94" s="31" t="n">
        <x:f>IF(T94="","",I94*T94)</x:f>
        <x:v>161758.62906202336</x:v>
      </x:c>
    </x:row>
    <x:row r="95" ht="18" customHeight="1">
      <x:c r="A95" s="24" t="str">
        <x:v>LME_005</x:v>
      </x:c>
      <x:c r="B95" s="24" t="str">
        <x:v>Gulf of Mexico</x:v>
      </x:c>
      <x:c r="C95" s="24" t="str">
        <x:v>LME</x:v>
      </x:c>
      <x:c r="D95" s="30" t="n">
        <x:v>2019</x:v>
      </x:c>
      <x:c r="E95" s="24" t="str">
        <x:v>Lysmata wurdemanni</x:v>
      </x:c>
      <x:c r="F95" s="24" t="str">
        <x:v>Peppermint shrimp</x:v>
      </x:c>
      <x:c r="G95" s="24" t="str">
        <x:v>Shrimps</x:v>
      </x:c>
      <x:c r="H95" s="24" t="str">
        <x:v>Crustaceans</x:v>
      </x:c>
      <x:c r="I95" s="31" t="n">
        <x:v>509.8096077035</x:v>
      </x:c>
      <x:c r="J95" s="31" t="n">
        <x:v>509.8096077035</x:v>
      </x:c>
      <x:c r="K95" s="31" t="n">
        <x:v>0</x:v>
      </x:c>
      <x:c r="L95" s="31" t="n">
        <x:v>509.8096077035</x:v>
      </x:c>
      <x:c r="M95" s="31" t="n">
        <x:v>0</x:v>
      </x:c>
      <x:c r="N95" s="24" t="str">
        <x:v>lysmata wurdemanni</x:v>
      </x:c>
      <x:c r="O95" s="32" t="n">
        <x:v>2.86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Lysmata wurdemanni</x:v>
      </x:c>
      <x:c r="T95" s="32" t="n">
        <x:f>IF(O95="","",(1/'Metadata'!$B$5)^(O95-1))</x:f>
        <x:v>72.44359600749898</x:v>
      </x:c>
      <x:c r="U95" s="31" t="n">
        <x:f>IF(T95="","",I95*T95)</x:f>
        <x:v>36932.44126121389</x:v>
      </x:c>
    </x:row>
    <x:row r="96" ht="18" customHeight="1">
      <x:c r="A96" s="24" t="str">
        <x:v>LME_005</x:v>
      </x:c>
      <x:c r="B96" s="24" t="str">
        <x:v>Gulf of Mexico</x:v>
      </x:c>
      <x:c r="C96" s="24" t="str">
        <x:v>LME</x:v>
      </x:c>
      <x:c r="D96" s="30" t="n">
        <x:v>2019</x:v>
      </x:c>
      <x:c r="E96" s="24" t="str">
        <x:v>Hemiramphus</x:v>
      </x:c>
      <x:c r="F96" s="24" t="str">
        <x:v>Halfbeaks</x:v>
      </x:c>
      <x:c r="G96" s="24" t="str">
        <x:v>Medium pelagics (30 - 89 cm)</x:v>
      </x:c>
      <x:c r="H96" s="24" t="str">
        <x:v>Other fishes &amp; inverts</x:v>
      </x:c>
      <x:c r="I96" s="31" t="n">
        <x:v>498.3222805161</x:v>
      </x:c>
      <x:c r="J96" s="31" t="n">
        <x:v>498.3222805161</x:v>
      </x:c>
      <x:c r="K96" s="31" t="n">
        <x:v>0</x:v>
      </x:c>
      <x:c r="L96" s="31" t="n">
        <x:v>498.3222805161</x:v>
      </x:c>
      <x:c r="M96" s="31" t="n">
        <x:v>0</x:v>
      </x:c>
      <x:c r="N96" s="24" t="str">
        <x:v>hemiramphus</x:v>
      </x:c>
      <x:c r="O96" s="32" t="n">
        <x:v>3.05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Hemiramphus</x:v>
      </x:c>
      <x:c r="T96" s="32" t="n">
        <x:f>IF(O96="","",(1/'Metadata'!$B$5)^(O96-1))</x:f>
        <x:v>112.2018454301963</x:v>
      </x:c>
      <x:c r="U96" s="31" t="n">
        <x:f>IF(T96="","",I96*T96)</x:f>
        <x:v>55912.67949289038</x:v>
      </x:c>
    </x:row>
    <x:row r="97" ht="18" customHeight="1">
      <x:c r="A97" s="24" t="str">
        <x:v>LME_005</x:v>
      </x:c>
      <x:c r="B97" s="24" t="str">
        <x:v>Gulf of Mexico</x:v>
      </x:c>
      <x:c r="C97" s="24" t="str">
        <x:v>LME</x:v>
      </x:c>
      <x:c r="D97" s="30" t="n">
        <x:v>2019</x:v>
      </x:c>
      <x:c r="E97" s="24" t="str">
        <x:v>Ictalurus furcatus</x:v>
      </x:c>
      <x:c r="F97" s="24" t="str">
        <x:v>Blue catfish</x:v>
      </x:c>
      <x:c r="G97" s="24" t="str">
        <x:v>Large demersals (&gt;=90 cm)</x:v>
      </x:c>
      <x:c r="H97" s="24" t="str">
        <x:v>Other fishes &amp; inverts</x:v>
      </x:c>
      <x:c r="I97" s="31" t="n">
        <x:v>420.1304370324</x:v>
      </x:c>
      <x:c r="J97" s="31" t="n">
        <x:v>420.1304370324</x:v>
      </x:c>
      <x:c r="K97" s="31" t="n">
        <x:v>0</x:v>
      </x:c>
      <x:c r="L97" s="31" t="n">
        <x:v>0</x:v>
      </x:c>
      <x:c r="M97" s="31" t="n">
        <x:v>420.1304370324</x:v>
      </x:c>
      <x:c r="N97" s="24" t="str">
        <x:v>ictalurus furcatus</x:v>
      </x:c>
      <x:c r="O97" s="32" t="n">
        <x:v>3.41</x:v>
      </x:c>
      <x:c r="P97" s="24" t="str">
        <x:v>exact_2020_supplement</x:v>
      </x:c>
      <x:c r="Q97" s="32" t="str">
        <x:v>2020 supplement MeanTL</x:v>
      </x:c>
      <x:c r="R97" s="24" t="str">
        <x:v>high</x:v>
      </x:c>
      <x:c r="S97" s="24" t="str">
        <x:v>Ictalurus furcatus</x:v>
      </x:c>
      <x:c r="T97" s="32" t="n">
        <x:f>IF(O97="","",(1/'Metadata'!$B$5)^(O97-1))</x:f>
        <x:v>257.03957827688646</x:v>
      </x:c>
      <x:c r="U97" s="31" t="n">
        <x:f>IF(T97="","",I97*T97)</x:f>
        <x:v>107990.1503560921</x:v>
      </x:c>
    </x:row>
    <x:row r="98" ht="18" customHeight="1">
      <x:c r="A98" s="24" t="str">
        <x:v>LME_005</x:v>
      </x:c>
      <x:c r="B98" s="24" t="str">
        <x:v>Gulf of Mexico</x:v>
      </x:c>
      <x:c r="C98" s="24" t="str">
        <x:v>LME</x:v>
      </x:c>
      <x:c r="D98" s="30" t="n">
        <x:v>2019</x:v>
      </x:c>
      <x:c r="E98" s="24" t="str">
        <x:v>Thunnus atlanticus</x:v>
      </x:c>
      <x:c r="F98" s="24" t="str">
        <x:v>Blackfin tuna</x:v>
      </x:c>
      <x:c r="G98" s="24" t="str">
        <x:v>Large pelagics (&gt;=90 cm)</x:v>
      </x:c>
      <x:c r="H98" s="24" t="str">
        <x:v>Tuna &amp; billfishes</x:v>
      </x:c>
      <x:c r="I98" s="31" t="n">
        <x:v>414.02070453190004</x:v>
      </x:c>
      <x:c r="J98" s="31" t="n">
        <x:v>414.02070453190004</x:v>
      </x:c>
      <x:c r="K98" s="31" t="n">
        <x:v>0</x:v>
      </x:c>
      <x:c r="L98" s="31" t="n">
        <x:v>35.8517096674</x:v>
      </x:c>
      <x:c r="M98" s="31" t="n">
        <x:v>378.1689948645</x:v>
      </x:c>
      <x:c r="N98" s="24" t="str">
        <x:v>thunnus atlanticus</x:v>
      </x:c>
      <x:c r="O98" s="32" t="n">
        <x:v>4.35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Thunnus atlanticus</x:v>
      </x:c>
      <x:c r="T98" s="32" t="n">
        <x:f>IF(O98="","",(1/'Metadata'!$B$5)^(O98-1))</x:f>
        <x:v>2238.7211385683377</x:v>
      </x:c>
      <x:c r="U98" s="31" t="n">
        <x:f>IF(T98="","",I98*T98)</x:f>
        <x:v>926876.9030405206</x:v>
      </x:c>
    </x:row>
    <x:row r="99" ht="18" customHeight="1">
      <x:c r="A99" s="24" t="str">
        <x:v>LME_005</x:v>
      </x:c>
      <x:c r="B99" s="24" t="str">
        <x:v>Gulf of Mexico</x:v>
      </x:c>
      <x:c r="C99" s="24" t="str">
        <x:v>LME</x:v>
      </x:c>
      <x:c r="D99" s="30" t="n">
        <x:v>2019</x:v>
      </x:c>
      <x:c r="E99" s="24" t="str">
        <x:v>Lutjanus analis</x:v>
      </x:c>
      <x:c r="F99" s="24" t="str">
        <x:v>Mutton snapper</x:v>
      </x:c>
      <x:c r="G99" s="24" t="str">
        <x:v>Medium reef assoc. fish (30 - 89 cm)</x:v>
      </x:c>
      <x:c r="H99" s="24" t="str">
        <x:v>Perch-likes</x:v>
      </x:c>
      <x:c r="I99" s="31" t="n">
        <x:v>411.30435810489996</x:v>
      </x:c>
      <x:c r="J99" s="31" t="n">
        <x:v>318.2118196476</x:v>
      </x:c>
      <x:c r="K99" s="31" t="n">
        <x:v>93.09253845730001</x:v>
      </x:c>
      <x:c r="L99" s="31" t="n">
        <x:v>49.568243346500005</x:v>
      </x:c>
      <x:c r="M99" s="31" t="n">
        <x:v>361.7361147584</x:v>
      </x:c>
      <x:c r="N99" s="24" t="str">
        <x:v>lutjanus analis</x:v>
      </x:c>
      <x:c r="O99" s="32" t="n">
        <x:v>3.91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Lutjanus analis</x:v>
      </x:c>
      <x:c r="T99" s="32" t="n">
        <x:f>IF(O99="","",(1/'Metadata'!$B$5)^(O99-1))</x:f>
        <x:v>812.8305161640995</x:v>
      </x:c>
      <x:c r="U99" s="31" t="n">
        <x:f>IF(T99="","",I99*T99)</x:f>
        <x:v>334320.73369894945</x:v>
      </x:c>
    </x:row>
    <x:row r="100" ht="18" customHeight="1">
      <x:c r="A100" s="24" t="str">
        <x:v>LME_005</x:v>
      </x:c>
      <x:c r="B100" s="24" t="str">
        <x:v>Gulf of Mexico</x:v>
      </x:c>
      <x:c r="C100" s="24" t="str">
        <x:v>LME</x:v>
      </x:c>
      <x:c r="D100" s="30" t="n">
        <x:v>2019</x:v>
      </x:c>
      <x:c r="E100" s="24" t="str">
        <x:v>Conodon nobilis</x:v>
      </x:c>
      <x:c r="F100" s="24" t="str">
        <x:v>Barred grunt</x:v>
      </x:c>
      <x:c r="G100" s="24" t="str">
        <x:v>Small demersals (&lt;30 cm)</x:v>
      </x:c>
      <x:c r="H100" s="24" t="str">
        <x:v>Perch-likes</x:v>
      </x:c>
      <x:c r="I100" s="31" t="n">
        <x:v>379.626023081</x:v>
      </x:c>
      <x:c r="J100" s="31" t="n">
        <x:v>379.626023081</x:v>
      </x:c>
      <x:c r="K100" s="31" t="n">
        <x:v>0</x:v>
      </x:c>
      <x:c r="L100" s="31" t="n">
        <x:v>284.7998117707</x:v>
      </x:c>
      <x:c r="M100" s="31" t="n">
        <x:v>94.82621131030001</x:v>
      </x:c>
      <x:c r="N100" s="24" t="str">
        <x:v>conodon nobilis</x:v>
      </x:c>
      <x:c r="O100" s="32" t="n">
        <x:v>3.61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Conodon nobilis</x:v>
      </x:c>
      <x:c r="T100" s="32" t="n">
        <x:f>IF(O100="","",(1/'Metadata'!$B$5)^(O100-1))</x:f>
        <x:v>407.3802778041126</x:v>
      </x:c>
      <x:c r="U100" s="31" t="n">
        <x:f>IF(T100="","",I100*T100)</x:f>
        <x:v>154652.15474440827</x:v>
      </x:c>
    </x:row>
    <x:row r="101" ht="18" customHeight="1">
      <x:c r="A101" s="24" t="str">
        <x:v>LME_005</x:v>
      </x:c>
      <x:c r="B101" s="24" t="str">
        <x:v>Gulf of Mexico</x:v>
      </x:c>
      <x:c r="C101" s="24" t="str">
        <x:v>LME</x:v>
      </x:c>
      <x:c r="D101" s="30" t="n">
        <x:v>2019</x:v>
      </x:c>
      <x:c r="E101" s="24" t="str">
        <x:v>Mollusca</x:v>
      </x:c>
      <x:c r="F101" s="24" t="str">
        <x:v>Clams, seasnails, squids, octopuses</x:v>
      </x:c>
      <x:c r="G101" s="24" t="str">
        <x:v>Other demersal invertebrates</x:v>
      </x:c>
      <x:c r="H101" s="24" t="str">
        <x:v>Molluscs</x:v>
      </x:c>
      <x:c r="I101" s="31" t="n">
        <x:v>378.33104171040003</x:v>
      </x:c>
      <x:c r="J101" s="31" t="n">
        <x:v>378.33104171040003</x:v>
      </x:c>
      <x:c r="K101" s="31" t="n">
        <x:v>0</x:v>
      </x:c>
      <x:c r="L101" s="31" t="n">
        <x:v>0</x:v>
      </x:c>
      <x:c r="M101" s="31" t="n">
        <x:v>378.33104171040003</x:v>
      </x:c>
      <x:c r="N101" s="24" t="str">
        <x:v>mollusca</x:v>
      </x:c>
      <x:c r="O101" s="32" t="n">
        <x:v>2.1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Mollusca</x:v>
      </x:c>
      <x:c r="T101" s="32" t="n">
        <x:f>IF(O101="","",(1/'Metadata'!$B$5)^(O101-1))</x:f>
        <x:v>12.589254117941675</x:v>
      </x:c>
      <x:c r="U101" s="31" t="n">
        <x:f>IF(T101="","",I101*T101)</x:f>
        <x:v>4762.905624797817</x:v>
      </x:c>
    </x:row>
    <x:row r="102" ht="18" customHeight="1">
      <x:c r="A102" s="24" t="str">
        <x:v>LME_005</x:v>
      </x:c>
      <x:c r="B102" s="24" t="str">
        <x:v>Gulf of Mexico</x:v>
      </x:c>
      <x:c r="C102" s="24" t="str">
        <x:v>LME</x:v>
      </x:c>
      <x:c r="D102" s="30" t="n">
        <x:v>2019</x:v>
      </x:c>
      <x:c r="E102" s="24" t="str">
        <x:v>Balistes capriscus</x:v>
      </x:c>
      <x:c r="F102" s="24" t="str">
        <x:v>Grey triggerfish</x:v>
      </x:c>
      <x:c r="G102" s="24" t="str">
        <x:v>Medium benthopelagics (30 - 89 cm)</x:v>
      </x:c>
      <x:c r="H102" s="24" t="str">
        <x:v>Other fishes &amp; inverts</x:v>
      </x:c>
      <x:c r="I102" s="31" t="n">
        <x:v>371.9586777696</x:v>
      </x:c>
      <x:c r="J102" s="31" t="n">
        <x:v>316.0935946907</x:v>
      </x:c>
      <x:c r="K102" s="31" t="n">
        <x:v>55.8650830789</x:v>
      </x:c>
      <x:c r="L102" s="31" t="n">
        <x:v>36.1790034315</x:v>
      </x:c>
      <x:c r="M102" s="31" t="n">
        <x:v>335.7796743381</x:v>
      </x:c>
      <x:c r="N102" s="24" t="str">
        <x:v>balistes capriscus</x:v>
      </x:c>
      <x:c r="O102" s="32" t="n">
        <x:v>4.06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Balistes capriscus</x:v>
      </x:c>
      <x:c r="T102" s="32" t="n">
        <x:f>IF(O102="","",(1/'Metadata'!$B$5)^(O102-1))</x:f>
        <x:v>1148.1536214968817</x:v>
      </x:c>
      <x:c r="U102" s="31" t="n">
        <x:f>IF(T102="","",I102*T102)</x:f>
        <x:v>427065.7029283579</x:v>
      </x:c>
    </x:row>
    <x:row r="103" ht="18" customHeight="1">
      <x:c r="A103" s="24" t="str">
        <x:v>LME_005</x:v>
      </x:c>
      <x:c r="B103" s="24" t="str">
        <x:v>Gulf of Mexico</x:v>
      </x:c>
      <x:c r="C103" s="24" t="str">
        <x:v>LME</x:v>
      </x:c>
      <x:c r="D103" s="30" t="n">
        <x:v>2019</x:v>
      </x:c>
      <x:c r="E103" s="24" t="str">
        <x:v>Bothidae</x:v>
      </x:c>
      <x:c r="F103" s="24" t="str">
        <x:v>Lefteye flounders</x:v>
      </x:c>
      <x:c r="G103" s="24" t="str">
        <x:v>Small to medium flatfishes (&lt;90 cm)</x:v>
      </x:c>
      <x:c r="H103" s="24" t="str">
        <x:v>Flatfishes</x:v>
      </x:c>
      <x:c r="I103" s="31" t="n">
        <x:v>365.3411122685</x:v>
      </x:c>
      <x:c r="J103" s="31" t="n">
        <x:v>3.6142895962</x:v>
      </x:c>
      <x:c r="K103" s="31" t="n">
        <x:v>361.7268226723</x:v>
      </x:c>
      <x:c r="L103" s="31" t="n">
        <x:v>3.6142895962</x:v>
      </x:c>
      <x:c r="M103" s="31" t="n">
        <x:v>361.7268226723</x:v>
      </x:c>
      <x:c r="N103" s="24" t="str">
        <x:v>bothidae</x:v>
      </x:c>
      <x:c r="O103" s="32" t="n">
        <x:v>3.77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Bothidae</x:v>
      </x:c>
      <x:c r="T103" s="32" t="n">
        <x:f>IF(O103="","",(1/'Metadata'!$B$5)^(O103-1))</x:f>
        <x:v>588.843655355589</x:v>
      </x:c>
      <x:c r="U103" s="31" t="n">
        <x:f>IF(T103="","",I103*T103)</x:f>
        <x:v>215128.7959998602</x:v>
      </x:c>
    </x:row>
    <x:row r="104" ht="18" customHeight="1">
      <x:c r="A104" s="24" t="str">
        <x:v>LME_005</x:v>
      </x:c>
      <x:c r="B104" s="24" t="str">
        <x:v>Gulf of Mexico</x:v>
      </x:c>
      <x:c r="C104" s="24" t="str">
        <x:v>LME</x:v>
      </x:c>
      <x:c r="D104" s="30" t="n">
        <x:v>2019</x:v>
      </x:c>
      <x:c r="E104" s="24" t="str">
        <x:v>Joturus pichardi</x:v>
      </x:c>
      <x:c r="F104" s="24" t="str">
        <x:v>Bobo mullet</x:v>
      </x:c>
      <x:c r="G104" s="24" t="str">
        <x:v>Medium pelagics (30 - 89 cm)</x:v>
      </x:c>
      <x:c r="H104" s="24" t="str">
        <x:v>Perch-likes</x:v>
      </x:c>
      <x:c r="I104" s="31" t="n">
        <x:v>349.4157288836</x:v>
      </x:c>
      <x:c r="J104" s="31" t="n">
        <x:v>349.4157288836</x:v>
      </x:c>
      <x:c r="K104" s="31" t="n">
        <x:v>0</x:v>
      </x:c>
      <x:c r="L104" s="31" t="n">
        <x:v>277.785146106</x:v>
      </x:c>
      <x:c r="M104" s="31" t="n">
        <x:v>71.6305827776</x:v>
      </x:c>
      <x:c r="N104" s="24" t="str">
        <x:v>joturus pichardi</x:v>
      </x:c>
      <x:c r="O104" s="32" t="n">
        <x:v>2.47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Joturus pichardi</x:v>
      </x:c>
      <x:c r="T104" s="32" t="n">
        <x:f>IF(O104="","",(1/'Metadata'!$B$5)^(O104-1))</x:f>
        <x:v>29.51209226666387</x:v>
      </x:c>
      <x:c r="U104" s="31" t="n">
        <x:f>IF(T104="","",I104*T104)</x:f>
        <x:v>10311.989230236411</x:v>
      </x:c>
    </x:row>
    <x:row r="105" ht="18" customHeight="1">
      <x:c r="A105" s="24" t="str">
        <x:v>LME_005</x:v>
      </x:c>
      <x:c r="B105" s="24" t="str">
        <x:v>Gulf of Mexico</x:v>
      </x:c>
      <x:c r="C105" s="24" t="str">
        <x:v>LME</x:v>
      </x:c>
      <x:c r="D105" s="30" t="n">
        <x:v>2019</x:v>
      </x:c>
      <x:c r="E105" s="24" t="str">
        <x:v>Sphyraena barracuda</x:v>
      </x:c>
      <x:c r="F105" s="24" t="str">
        <x:v>Great barracuda</x:v>
      </x:c>
      <x:c r="G105" s="24" t="str">
        <x:v>Large pelagics (&gt;=90 cm)</x:v>
      </x:c>
      <x:c r="H105" s="24" t="str">
        <x:v>Perch-likes</x:v>
      </x:c>
      <x:c r="I105" s="31" t="n">
        <x:v>345.1652327129</x:v>
      </x:c>
      <x:c r="J105" s="31" t="n">
        <x:v>345.1652327129</x:v>
      </x:c>
      <x:c r="K105" s="31" t="n">
        <x:v>0</x:v>
      </x:c>
      <x:c r="L105" s="31" t="n">
        <x:v>5.430215700800001</x:v>
      </x:c>
      <x:c r="M105" s="31" t="n">
        <x:v>339.7350170121</x:v>
      </x:c>
      <x:c r="N105" s="24" t="str">
        <x:v>sphyraena barracuda</x:v>
      </x:c>
      <x:c r="O105" s="32" t="n">
        <x:v>4.49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Sphyraena barracuda</x:v>
      </x:c>
      <x:c r="T105" s="32" t="n">
        <x:f>IF(O105="","",(1/'Metadata'!$B$5)^(O105-1))</x:f>
        <x:v>3090.295432513592</x:v>
      </x:c>
      <x:c r="U105" s="31" t="n">
        <x:f>IF(T105="","",I105*T105)</x:f>
        <x:v>1066662.5421151659</x:v>
      </x:c>
    </x:row>
    <x:row r="106" ht="18" customHeight="1">
      <x:c r="A106" s="24" t="str">
        <x:v>LME_005</x:v>
      </x:c>
      <x:c r="B106" s="24" t="str">
        <x:v>Gulf of Mexico</x:v>
      </x:c>
      <x:c r="C106" s="24" t="str">
        <x:v>LME</x:v>
      </x:c>
      <x:c r="D106" s="30" t="n">
        <x:v>2019</x:v>
      </x:c>
      <x:c r="E106" s="24" t="str">
        <x:v>Centropomus undecimalis</x:v>
      </x:c>
      <x:c r="F106" s="24" t="str">
        <x:v>Common snook</x:v>
      </x:c>
      <x:c r="G106" s="24" t="str">
        <x:v>Large benthopelagics (&gt;=90 cm)</x:v>
      </x:c>
      <x:c r="H106" s="24" t="str">
        <x:v>Perch-likes</x:v>
      </x:c>
      <x:c r="I106" s="31" t="n">
        <x:v>343.3572223599</x:v>
      </x:c>
      <x:c r="J106" s="31" t="n">
        <x:v>343.3572223599</x:v>
      </x:c>
      <x:c r="K106" s="31" t="n">
        <x:v>0</x:v>
      </x:c>
      <x:c r="L106" s="31" t="n">
        <x:v>115.5312619566</x:v>
      </x:c>
      <x:c r="M106" s="31" t="n">
        <x:v>227.8259604033</x:v>
      </x:c>
      <x:c r="N106" s="24" t="str">
        <x:v>centropomus undecimalis</x:v>
      </x:c>
      <x:c r="O106" s="32" t="n">
        <x:v>4.17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Centropomus undecimalis</x:v>
      </x:c>
      <x:c r="T106" s="32" t="n">
        <x:f>IF(O106="","",(1/'Metadata'!$B$5)^(O106-1))</x:f>
        <x:v>1479.1083881682073</x:v>
      </x:c>
      <x:c r="U106" s="31" t="n">
        <x:f>IF(T106="","",I106*T106)</x:f>
        <x:v>507862.54773066443</x:v>
      </x:c>
    </x:row>
    <x:row r="107" ht="18" customHeight="1">
      <x:c r="A107" s="24" t="str">
        <x:v>LME_005</x:v>
      </x:c>
      <x:c r="B107" s="24" t="str">
        <x:v>Gulf of Mexico</x:v>
      </x:c>
      <x:c r="C107" s="24" t="str">
        <x:v>LME</x:v>
      </x:c>
      <x:c r="D107" s="30" t="n">
        <x:v>2019</x:v>
      </x:c>
      <x:c r="E107" s="24" t="str">
        <x:v>Mycteroperca phenax</x:v>
      </x:c>
      <x:c r="F107" s="24" t="str">
        <x:v>Scamp</x:v>
      </x:c>
      <x:c r="G107" s="24" t="str">
        <x:v>Medium reef assoc. fish (30 - 89 cm)</x:v>
      </x:c>
      <x:c r="H107" s="24" t="str">
        <x:v>Perch-likes</x:v>
      </x:c>
      <x:c r="I107" s="31" t="n">
        <x:v>331.4846842899</x:v>
      </x:c>
      <x:c r="J107" s="31" t="n">
        <x:v>307.07608375760003</x:v>
      </x:c>
      <x:c r="K107" s="31" t="n">
        <x:v>24.408600532300003</x:v>
      </x:c>
      <x:c r="L107" s="31" t="n">
        <x:v>67.88031561769999</x:v>
      </x:c>
      <x:c r="M107" s="31" t="n">
        <x:v>263.6043686722</x:v>
      </x:c>
      <x:c r="N107" s="24" t="str">
        <x:v>mycteroperca phenax</x:v>
      </x:c>
      <x:c r="O107" s="32" t="n">
        <x:v>4.47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Mycteroperca phenax</x:v>
      </x:c>
      <x:c r="T107" s="32" t="n">
        <x:f>IF(O107="","",(1/'Metadata'!$B$5)^(O107-1))</x:f>
        <x:v>2951.209226666384</x:v>
      </x:c>
      <x:c r="U107" s="31" t="n">
        <x:f>IF(T107="","",I107*T107)</x:f>
        <x:v>978280.6587749461</x:v>
      </x:c>
    </x:row>
    <x:row r="108" ht="18" customHeight="1">
      <x:c r="A108" s="24" t="str">
        <x:v>LME_005</x:v>
      </x:c>
      <x:c r="B108" s="24" t="str">
        <x:v>Gulf of Mexico</x:v>
      </x:c>
      <x:c r="C108" s="24" t="str">
        <x:v>LME</x:v>
      </x:c>
      <x:c r="D108" s="30" t="n">
        <x:v>2019</x:v>
      </x:c>
      <x:c r="E108" s="24" t="str">
        <x:v>Peprilus</x:v>
      </x:c>
      <x:c r="F108" s="24" t="str">
        <x:v>Harvestfishes</x:v>
      </x:c>
      <x:c r="G108" s="24" t="str">
        <x:v>Small benthopelagics (&lt;30 cm)</x:v>
      </x:c>
      <x:c r="H108" s="24" t="str">
        <x:v>Perch-likes</x:v>
      </x:c>
      <x:c r="I108" s="31" t="n">
        <x:v>322.8940523782</x:v>
      </x:c>
      <x:c r="J108" s="31" t="n">
        <x:v>2.1595760447</x:v>
      </x:c>
      <x:c r="K108" s="31" t="n">
        <x:v>320.7344763335</x:v>
      </x:c>
      <x:c r="L108" s="31" t="n">
        <x:v>2.1336963648</x:v>
      </x:c>
      <x:c r="M108" s="31" t="n">
        <x:v>320.76035601340004</x:v>
      </x:c>
      <x:c r="N108" s="24" t="str">
        <x:v>peprilus</x:v>
      </x:c>
      <x:c r="O108" s="32" t="n">
        <x:v>3.78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Peprilus</x:v>
      </x:c>
      <x:c r="T108" s="32" t="n">
        <x:f>IF(O108="","",(1/'Metadata'!$B$5)^(O108-1))</x:f>
        <x:v>602.5595860743575</x:v>
      </x:c>
      <x:c r="U108" s="31" t="n">
        <x:f>IF(T108="","",I108*T108)</x:f>
        <x:v>194562.9065468801</x:v>
      </x:c>
    </x:row>
    <x:row r="109" ht="18" customHeight="1">
      <x:c r="A109" s="24" t="str">
        <x:v>LME_005</x:v>
      </x:c>
      <x:c r="B109" s="24" t="str">
        <x:v>Gulf of Mexico</x:v>
      </x:c>
      <x:c r="C109" s="24" t="str">
        <x:v>LME</x:v>
      </x:c>
      <x:c r="D109" s="30" t="n">
        <x:v>2019</x:v>
      </x:c>
      <x:c r="E109" s="24" t="str">
        <x:v>Acanthocybium solandri</x:v>
      </x:c>
      <x:c r="F109" s="24" t="str">
        <x:v>Wahoo</x:v>
      </x:c>
      <x:c r="G109" s="24" t="str">
        <x:v>Large pelagics (&gt;=90 cm)</x:v>
      </x:c>
      <x:c r="H109" s="24" t="str">
        <x:v>Perch-likes</x:v>
      </x:c>
      <x:c r="I109" s="31" t="n">
        <x:v>319.21042007</x:v>
      </x:c>
      <x:c r="J109" s="31" t="n">
        <x:v>318.9761997351</x:v>
      </x:c>
      <x:c r="K109" s="31" t="n">
        <x:v>0.2342203349</x:v>
      </x:c>
      <x:c r="L109" s="31" t="n">
        <x:v>39.5122630917</x:v>
      </x:c>
      <x:c r="M109" s="31" t="n">
        <x:v>279.6981569783</x:v>
      </x:c>
      <x:c r="N109" s="24" t="str">
        <x:v>acanthocybium solandri</x:v>
      </x:c>
      <x:c r="O109" s="32" t="n">
        <x:v>4.26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Acanthocybium solandri</x:v>
      </x:c>
      <x:c r="T109" s="32" t="n">
        <x:f>IF(O109="","",(1/'Metadata'!$B$5)^(O109-1))</x:f>
        <x:v>1819.7008586099826</x:v>
      </x:c>
      <x:c r="U109" s="31" t="n">
        <x:f>IF(T109="","",I109*T109)</x:f>
        <x:v>580867.4754786323</x:v>
      </x:c>
    </x:row>
    <x:row r="110" ht="18" customHeight="1">
      <x:c r="A110" s="24" t="str">
        <x:v>LME_005</x:v>
      </x:c>
      <x:c r="B110" s="24" t="str">
        <x:v>Gulf of Mexico</x:v>
      </x:c>
      <x:c r="C110" s="24" t="str">
        <x:v>LME</x:v>
      </x:c>
      <x:c r="D110" s="30" t="n">
        <x:v>2019</x:v>
      </x:c>
      <x:c r="E110" s="24" t="str">
        <x:v>Lopholatilus chamaeleonticeps</x:v>
      </x:c>
      <x:c r="F110" s="24" t="str">
        <x:v>Great northern tilefish</x:v>
      </x:c>
      <x:c r="G110" s="24" t="str">
        <x:v>Large demersals (&gt;=90 cm)</x:v>
      </x:c>
      <x:c r="H110" s="24" t="str">
        <x:v>Perch-likes</x:v>
      </x:c>
      <x:c r="I110" s="31" t="n">
        <x:v>277.1400022873</x:v>
      </x:c>
      <x:c r="J110" s="31" t="n">
        <x:v>275.2463739346</x:v>
      </x:c>
      <x:c r="K110" s="31" t="n">
        <x:v>1.8936283527</x:v>
      </x:c>
      <x:c r="L110" s="31" t="n">
        <x:v>214.1807071884</x:v>
      </x:c>
      <x:c r="M110" s="31" t="n">
        <x:v>62.9592950989</x:v>
      </x:c>
      <x:c r="N110" s="24" t="str">
        <x:v>lopholatilus chamaeleonticeps</x:v>
      </x:c>
      <x:c r="O110" s="32" t="n">
        <x:v>3.85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Lopholatilus chamaeleonticeps</x:v>
      </x:c>
      <x:c r="T110" s="32" t="n">
        <x:f>IF(O110="","",(1/'Metadata'!$B$5)^(O110-1))</x:f>
        <x:v>707.945784384138</x:v>
      </x:c>
      <x:c r="U110" s="31" t="n">
        <x:f>IF(T110="","",I110*T110)</x:f>
        <x:v>196200.0963035044</x:v>
      </x:c>
    </x:row>
    <x:row r="111" ht="18" customHeight="1">
      <x:c r="A111" s="24" t="str">
        <x:v>LME_005</x:v>
      </x:c>
      <x:c r="B111" s="24" t="str">
        <x:v>Gulf of Mexico</x:v>
      </x:c>
      <x:c r="C111" s="24" t="str">
        <x:v>LME</x:v>
      </x:c>
      <x:c r="D111" s="30" t="n">
        <x:v>2019</x:v>
      </x:c>
      <x:c r="E111" s="24" t="str">
        <x:v>Batoidea</x:v>
      </x:c>
      <x:c r="F111" s="24" t="str">
        <x:v>Batoids, skates, rays, sawfishes</x:v>
      </x:c>
      <x:c r="G111" s="24" t="str">
        <x:v>Large rays (&gt;=90 cm)</x:v>
      </x:c>
      <x:c r="H111" s="24" t="str">
        <x:v>Sharks &amp; rays</x:v>
      </x:c>
      <x:c r="I111" s="31" t="n">
        <x:v>272.8008574113</x:v>
      </x:c>
      <x:c r="J111" s="31" t="n">
        <x:v>272.8008574113</x:v>
      </x:c>
      <x:c r="K111" s="31" t="n">
        <x:v>0</x:v>
      </x:c>
      <x:c r="L111" s="31" t="n">
        <x:v>176.9889193033</x:v>
      </x:c>
      <x:c r="M111" s="31" t="n">
        <x:v>95.811938108</x:v>
      </x:c>
      <x:c r="N111" s="24" t="str">
        <x:v>batoidea</x:v>
      </x:c>
      <x:c r="O111" s="32" t="n">
        <x:v>3.72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Batoidea</x:v>
      </x:c>
      <x:c r="T111" s="32" t="n">
        <x:f>IF(O111="","",(1/'Metadata'!$B$5)^(O111-1))</x:f>
        <x:v>524.8074602497728</x:v>
      </x:c>
      <x:c r="U111" s="31" t="n">
        <x:f>IF(T111="","",I111*T111)</x:f>
        <x:v>143167.92513198475</x:v>
      </x:c>
    </x:row>
    <x:row r="112" ht="18" customHeight="1">
      <x:c r="A112" s="24" t="str">
        <x:v>LME_005</x:v>
      </x:c>
      <x:c r="B112" s="24" t="str">
        <x:v>Gulf of Mexico</x:v>
      </x:c>
      <x:c r="C112" s="24" t="str">
        <x:v>LME</x:v>
      </x:c>
      <x:c r="D112" s="30" t="n">
        <x:v>2019</x:v>
      </x:c>
      <x:c r="E112" s="24" t="str">
        <x:v>Gadiformes</x:v>
      </x:c>
      <x:c r="F112" s="24" t="str">
        <x:v>Cods</x:v>
      </x:c>
      <x:c r="G112" s="24" t="str">
        <x:v>Medium benthopelagics (30 - 89 cm)</x:v>
      </x:c>
      <x:c r="H112" s="24" t="str">
        <x:v>Cod-likes</x:v>
      </x:c>
      <x:c r="I112" s="31" t="n">
        <x:v>262.2222669504</x:v>
      </x:c>
      <x:c r="J112" s="31" t="n">
        <x:v>258.2923068929</x:v>
      </x:c>
      <x:c r="K112" s="31" t="n">
        <x:v>3.9299600575</x:v>
      </x:c>
      <x:c r="L112" s="31" t="n">
        <x:v>174.89942893260002</x:v>
      </x:c>
      <x:c r="M112" s="31" t="n">
        <x:v>87.3228380178</x:v>
      </x:c>
      <x:c r="N112" s="24" t="str">
        <x:v>gadiformes</x:v>
      </x:c>
      <x:c r="O112" s="32" t="n">
        <x:v>3.91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Gadiformes</x:v>
      </x:c>
      <x:c r="T112" s="32" t="n">
        <x:f>IF(O112="","",(1/'Metadata'!$B$5)^(O112-1))</x:f>
        <x:v>812.8305161640995</x:v>
      </x:c>
      <x:c r="U112" s="31" t="n">
        <x:f>IF(T112="","",I112*T112)</x:f>
        <x:v>213142.26059501394</x:v>
      </x:c>
    </x:row>
    <x:row r="113" ht="18" customHeight="1">
      <x:c r="A113" s="24" t="str">
        <x:v>LME_005</x:v>
      </x:c>
      <x:c r="B113" s="24" t="str">
        <x:v>Gulf of Mexico</x:v>
      </x:c>
      <x:c r="C113" s="24" t="str">
        <x:v>LME</x:v>
      </x:c>
      <x:c r="D113" s="30" t="n">
        <x:v>2019</x:v>
      </x:c>
      <x:c r="E113" s="24" t="str">
        <x:v>Leiostomus xanthurus</x:v>
      </x:c>
      <x:c r="F113" s="24" t="str">
        <x:v>Spot croaker</x:v>
      </x:c>
      <x:c r="G113" s="24" t="str">
        <x:v>Medium demersals (30 - 89 cm)</x:v>
      </x:c>
      <x:c r="H113" s="24" t="str">
        <x:v>Perch-likes</x:v>
      </x:c>
      <x:c r="I113" s="31" t="n">
        <x:v>249.26974143700002</x:v>
      </x:c>
      <x:c r="J113" s="31" t="n">
        <x:v>48.643889321500005</x:v>
      </x:c>
      <x:c r="K113" s="31" t="n">
        <x:v>200.6258521155</x:v>
      </x:c>
      <x:c r="L113" s="31" t="n">
        <x:v>11.499076403</x:v>
      </x:c>
      <x:c r="M113" s="31" t="n">
        <x:v>237.77066503400002</x:v>
      </x:c>
      <x:c r="N113" s="24" t="str">
        <x:v>leiostomus xanthurus</x:v>
      </x:c>
      <x:c r="O113" s="32" t="n">
        <x:v>3.23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Leiostomus xanthurus</x:v>
      </x:c>
      <x:c r="T113" s="32" t="n">
        <x:f>IF(O113="","",(1/'Metadata'!$B$5)^(O113-1))</x:f>
        <x:v>169.82436524617444</x:v>
      </x:c>
      <x:c r="U113" s="31" t="n">
        <x:f>IF(T113="","",I113*T113)</x:f>
        <x:v>42332.07561461655</x:v>
      </x:c>
    </x:row>
    <x:row r="114" ht="18" customHeight="1">
      <x:c r="A114" s="24" t="str">
        <x:v>LME_005</x:v>
      </x:c>
      <x:c r="B114" s="24" t="str">
        <x:v>Gulf of Mexico</x:v>
      </x:c>
      <x:c r="C114" s="24" t="str">
        <x:v>LME</x:v>
      </x:c>
      <x:c r="D114" s="30" t="n">
        <x:v>2019</x:v>
      </x:c>
      <x:c r="E114" s="24" t="str">
        <x:v>Engraulidae</x:v>
      </x:c>
      <x:c r="F114" s="24" t="str">
        <x:v>Anchovies, round herrings</x:v>
      </x:c>
      <x:c r="G114" s="24" t="str">
        <x:v>Small pelagics (&lt;30 cm)</x:v>
      </x:c>
      <x:c r="H114" s="24" t="str">
        <x:v>Anchovies</x:v>
      </x:c>
      <x:c r="I114" s="31" t="n">
        <x:v>229.1074683858</x:v>
      </x:c>
      <x:c r="J114" s="31" t="n">
        <x:v>229.1074683858</x:v>
      </x:c>
      <x:c r="K114" s="31" t="n">
        <x:v>0</x:v>
      </x:c>
      <x:c r="L114" s="31" t="n">
        <x:v>69.9813418268</x:v>
      </x:c>
      <x:c r="M114" s="31" t="n">
        <x:v>159.126126559</x:v>
      </x:c>
      <x:c r="N114" s="24" t="str">
        <x:v>engraulidae</x:v>
      </x:c>
      <x:c r="O114" s="32" t="n">
        <x:v>3.2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Engraulidae</x:v>
      </x:c>
      <x:c r="T114" s="32" t="n">
        <x:f>IF(O114="","",(1/'Metadata'!$B$5)^(O114-1))</x:f>
        <x:v>158.48931924611142</x:v>
      </x:c>
      <x:c r="U114" s="31" t="n">
        <x:f>IF(T114="","",I114*T114)</x:f>
        <x:v>36311.08669866544</x:v>
      </x:c>
    </x:row>
    <x:row r="115" ht="18" customHeight="1">
      <x:c r="A115" s="24" t="str">
        <x:v>LME_005</x:v>
      </x:c>
      <x:c r="B115" s="24" t="str">
        <x:v>Gulf of Mexico</x:v>
      </x:c>
      <x:c r="C115" s="24" t="str">
        <x:v>LME</x:v>
      </x:c>
      <x:c r="D115" s="30" t="n">
        <x:v>2019</x:v>
      </x:c>
      <x:c r="E115" s="24" t="str">
        <x:v>Diplectrum formosum</x:v>
      </x:c>
      <x:c r="F115" s="24" t="str">
        <x:v>Sand perch</x:v>
      </x:c>
      <x:c r="G115" s="24" t="str">
        <x:v>Small demersals (&lt;30 cm)</x:v>
      </x:c>
      <x:c r="H115" s="24" t="str">
        <x:v>Perch-likes</x:v>
      </x:c>
      <x:c r="I115" s="31" t="n">
        <x:v>228.8078195223</x:v>
      </x:c>
      <x:c r="J115" s="31" t="n">
        <x:v>109.5880742944</x:v>
      </x:c>
      <x:c r="K115" s="31" t="n">
        <x:v>119.2197452279</x:v>
      </x:c>
      <x:c r="L115" s="31" t="n">
        <x:v>0.5806713034000001</x:v>
      </x:c>
      <x:c r="M115" s="31" t="n">
        <x:v>228.22714821890003</x:v>
      </x:c>
      <x:c r="N115" s="24" t="str">
        <x:v>diplectrum formosum</x:v>
      </x:c>
      <x:c r="O115" s="32" t="n">
        <x:v>4.49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Diplectrum formosum</x:v>
      </x:c>
      <x:c r="T115" s="32" t="n">
        <x:f>IF(O115="","",(1/'Metadata'!$B$5)^(O115-1))</x:f>
        <x:v>3090.295432513592</x:v>
      </x:c>
      <x:c r="U115" s="31" t="n">
        <x:f>IF(T115="","",I115*T115)</x:f>
        <x:v>707083.759593158</x:v>
      </x:c>
    </x:row>
    <x:row r="116" ht="18" customHeight="1">
      <x:c r="A116" s="24" t="str">
        <x:v>LME_005</x:v>
      </x:c>
      <x:c r="B116" s="24" t="str">
        <x:v>Gulf of Mexico</x:v>
      </x:c>
      <x:c r="C116" s="24" t="str">
        <x:v>LME</x:v>
      </x:c>
      <x:c r="D116" s="30" t="n">
        <x:v>2019</x:v>
      </x:c>
      <x:c r="E116" s="24" t="str">
        <x:v>Centropristis striata</x:v>
      </x:c>
      <x:c r="F116" s="24" t="str">
        <x:v>Black seabass</x:v>
      </x:c>
      <x:c r="G116" s="24" t="str">
        <x:v>Medium reef assoc. fish (30 - 89 cm)</x:v>
      </x:c>
      <x:c r="H116" s="24" t="str">
        <x:v>Perch-likes</x:v>
      </x:c>
      <x:c r="I116" s="31" t="n">
        <x:v>220.0546877689</x:v>
      </x:c>
      <x:c r="J116" s="31" t="n">
        <x:v>206.3609570598</x:v>
      </x:c>
      <x:c r="K116" s="31" t="n">
        <x:v>13.6937307091</x:v>
      </x:c>
      <x:c r="L116" s="31" t="n">
        <x:v>58.2878656735</x:v>
      </x:c>
      <x:c r="M116" s="31" t="n">
        <x:v>161.7668220954</x:v>
      </x:c>
      <x:c r="N116" s="24" t="str">
        <x:v>centropristis striata</x:v>
      </x:c>
      <x:c r="O116" s="32" t="n">
        <x:v>3.89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Centropristis striata</x:v>
      </x:c>
      <x:c r="T116" s="32" t="n">
        <x:f>IF(O116="","",(1/'Metadata'!$B$5)^(O116-1))</x:f>
        <x:v>776.247116628692</x:v>
      </x:c>
      <x:c r="U116" s="31" t="n">
        <x:f>IF(T116="","",I116*T116)</x:f>
        <x:v>170816.81688123572</x:v>
      </x:c>
    </x:row>
    <x:row r="117" ht="18" customHeight="1">
      <x:c r="A117" s="24" t="str">
        <x:v>LME_005</x:v>
      </x:c>
      <x:c r="B117" s="24" t="str">
        <x:v>Gulf of Mexico</x:v>
      </x:c>
      <x:c r="C117" s="24" t="str">
        <x:v>LME</x:v>
      </x:c>
      <x:c r="D117" s="30" t="n">
        <x:v>2019</x:v>
      </x:c>
      <x:c r="E117" s="24" t="str">
        <x:v>Xiphias gladius</x:v>
      </x:c>
      <x:c r="F117" s="24" t="str">
        <x:v>Swordfish</x:v>
      </x:c>
      <x:c r="G117" s="24" t="str">
        <x:v>Large pelagics (&gt;=90 cm)</x:v>
      </x:c>
      <x:c r="H117" s="24" t="str">
        <x:v>Tuna &amp; billfishes</x:v>
      </x:c>
      <x:c r="I117" s="31" t="n">
        <x:v>212.6832739654</x:v>
      </x:c>
      <x:c r="J117" s="31" t="n">
        <x:v>212.6832739654</x:v>
      </x:c>
      <x:c r="K117" s="31" t="n">
        <x:v>0</x:v>
      </x:c>
      <x:c r="L117" s="31" t="n">
        <x:v>207.398893481</x:v>
      </x:c>
      <x:c r="M117" s="31" t="n">
        <x:v>5.2843804844</x:v>
      </x:c>
      <x:c r="N117" s="24" t="str">
        <x:v>xiphias gladius</x:v>
      </x:c>
      <x:c r="O117" s="32" t="n">
        <x:v>4.53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Xiphias gladius</x:v>
      </x:c>
      <x:c r="T117" s="32" t="n">
        <x:f>IF(O117="","",(1/'Metadata'!$B$5)^(O117-1))</x:f>
        <x:v>3388.4415613920273</x:v>
      </x:c>
      <x:c r="U117" s="31" t="n">
        <x:f>IF(T117="","",I117*T117)</x:f>
        <x:v>720664.8449172883</x:v>
      </x:c>
    </x:row>
    <x:row r="118" ht="18" customHeight="1">
      <x:c r="A118" s="24" t="str">
        <x:v>LME_005</x:v>
      </x:c>
      <x:c r="B118" s="24" t="str">
        <x:v>Gulf of Mexico</x:v>
      </x:c>
      <x:c r="C118" s="24" t="str">
        <x:v>LME</x:v>
      </x:c>
      <x:c r="D118" s="30" t="n">
        <x:v>2019</x:v>
      </x:c>
      <x:c r="E118" s="24" t="str">
        <x:v>Sphyrna tiburo</x:v>
      </x:c>
      <x:c r="F118" s="24" t="str">
        <x:v>Bonnethead</x:v>
      </x:c>
      <x:c r="G118" s="24" t="str">
        <x:v>Large sharks (&gt;=90 cm)</x:v>
      </x:c>
      <x:c r="H118" s="24" t="str">
        <x:v>Sharks &amp; rays</x:v>
      </x:c>
      <x:c r="I118" s="31" t="n">
        <x:v>204.3062914569</x:v>
      </x:c>
      <x:c r="J118" s="31" t="n">
        <x:v>38.840172784100005</x:v>
      </x:c>
      <x:c r="K118" s="31" t="n">
        <x:v>165.4661186728</x:v>
      </x:c>
      <x:c r="L118" s="31" t="n">
        <x:v>0.0201439683</x:v>
      </x:c>
      <x:c r="M118" s="31" t="n">
        <x:v>204.28614748860002</x:v>
      </x:c>
      <x:c r="N118" s="24" t="str">
        <x:v>sphyrna tiburo</x:v>
      </x:c>
      <x:c r="O118" s="32" t="n">
        <x:v>3.88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Sphyrna tiburo</x:v>
      </x:c>
      <x:c r="T118" s="32" t="n">
        <x:f>IF(O118="","",(1/'Metadata'!$B$5)^(O118-1))</x:f>
        <x:v>758.5775750291835</x:v>
      </x:c>
      <x:c r="U118" s="31" t="n">
        <x:f>IF(T118="","",I118*T118)</x:f>
        <x:v>154982.17113658082</x:v>
      </x:c>
    </x:row>
    <x:row r="119" ht="18" customHeight="1">
      <x:c r="A119" s="24" t="str">
        <x:v>LME_005</x:v>
      </x:c>
      <x:c r="B119" s="24" t="str">
        <x:v>Gulf of Mexico</x:v>
      </x:c>
      <x:c r="C119" s="24" t="str">
        <x:v>LME</x:v>
      </x:c>
      <x:c r="D119" s="30" t="n">
        <x:v>2019</x:v>
      </x:c>
      <x:c r="E119" s="24" t="str">
        <x:v>Rachycentridae</x:v>
      </x:c>
      <x:c r="F119" s="24" t="str">
        <x:v>Cobias</x:v>
      </x:c>
      <x:c r="G119" s="24" t="str">
        <x:v>Large pelagics (&gt;=90 cm)</x:v>
      </x:c>
      <x:c r="H119" s="24" t="str">
        <x:v>Perch-likes</x:v>
      </x:c>
      <x:c r="I119" s="31" t="n">
        <x:v>203.90934339400002</x:v>
      </x:c>
      <x:c r="J119" s="31" t="n">
        <x:v>84.184910282</x:v>
      </x:c>
      <x:c r="K119" s="31" t="n">
        <x:v>119.724433112</x:v>
      </x:c>
      <x:c r="L119" s="31" t="n">
        <x:v>0</x:v>
      </x:c>
      <x:c r="M119" s="31" t="n">
        <x:v>203.90934339400002</x:v>
      </x:c>
      <x:c r="N119" s="24" t="str">
        <x:v>rachycentridae</x:v>
      </x:c>
      <x:c r="O119" s="32" t="n">
        <x:v>3.96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Rachycentridae</x:v>
      </x:c>
      <x:c r="T119" s="32" t="n">
        <x:f>IF(O119="","",(1/'Metadata'!$B$5)^(O119-1))</x:f>
        <x:v>912.0108393559096</x:v>
      </x:c>
      <x:c r="U119" s="31" t="n">
        <x:f>IF(T119="","",I119*T119)</x:f>
        <x:v>185967.53142127435</x:v>
      </x:c>
    </x:row>
    <x:row r="120" ht="18" customHeight="1">
      <x:c r="A120" s="24" t="str">
        <x:v>LME_005</x:v>
      </x:c>
      <x:c r="B120" s="24" t="str">
        <x:v>Gulf of Mexico</x:v>
      </x:c>
      <x:c r="C120" s="24" t="str">
        <x:v>LME</x:v>
      </x:c>
      <x:c r="D120" s="30" t="n">
        <x:v>2019</x:v>
      </x:c>
      <x:c r="E120" s="24" t="str">
        <x:v>Calamus</x:v>
      </x:c>
      <x:c r="F120" s="24" t="str">
        <x:v>Porgies</x:v>
      </x:c>
      <x:c r="G120" s="24" t="str">
        <x:v>Medium reef assoc. fish (30 - 89 cm)</x:v>
      </x:c>
      <x:c r="H120" s="24" t="str">
        <x:v>Perch-likes</x:v>
      </x:c>
      <x:c r="I120" s="31" t="n">
        <x:v>203.1499183289</x:v>
      </x:c>
      <x:c r="J120" s="31" t="n">
        <x:v>189.9512580803</x:v>
      </x:c>
      <x:c r="K120" s="31" t="n">
        <x:v>13.1986602486</x:v>
      </x:c>
      <x:c r="L120" s="31" t="n">
        <x:v>6.923179987599999</x:v>
      </x:c>
      <x:c r="M120" s="31" t="n">
        <x:v>196.2267383413</x:v>
      </x:c>
      <x:c r="N120" s="24" t="str">
        <x:v>calamus</x:v>
      </x:c>
      <x:c r="O120" s="32" t="n">
        <x:v>3.51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Calamus</x:v>
      </x:c>
      <x:c r="T120" s="32" t="n">
        <x:f>IF(O120="","",(1/'Metadata'!$B$5)^(O120-1))</x:f>
        <x:v>323.5936569296281</x:v>
      </x:c>
      <x:c r="U120" s="31" t="n">
        <x:f>IF(T120="","",I120*T120)</x:f>
        <x:v>65738.02497700402</x:v>
      </x:c>
    </x:row>
    <x:row r="121" ht="18" customHeight="1">
      <x:c r="A121" s="24" t="str">
        <x:v>LME_005</x:v>
      </x:c>
      <x:c r="B121" s="24" t="str">
        <x:v>Gulf of Mexico</x:v>
      </x:c>
      <x:c r="C121" s="24" t="str">
        <x:v>LME</x:v>
      </x:c>
      <x:c r="D121" s="30" t="n">
        <x:v>2019</x:v>
      </x:c>
      <x:c r="E121" s="24" t="str">
        <x:v>Caranx bartholomaei</x:v>
      </x:c>
      <x:c r="F121" s="24" t="str">
        <x:v>Yellow jack</x:v>
      </x:c>
      <x:c r="G121" s="24" t="str">
        <x:v>Medium reef assoc. fish (30 - 89 cm)</x:v>
      </x:c>
      <x:c r="H121" s="24" t="str">
        <x:v>Perch-likes</x:v>
      </x:c>
      <x:c r="I121" s="31" t="n">
        <x:v>203.0751776556</x:v>
      </x:c>
      <x:c r="J121" s="31" t="n">
        <x:v>203.0751776556</x:v>
      </x:c>
      <x:c r="K121" s="31" t="n">
        <x:v>0</x:v>
      </x:c>
      <x:c r="L121" s="31" t="n">
        <x:v>6.1126186167</x:v>
      </x:c>
      <x:c r="M121" s="31" t="n">
        <x:v>196.9625590389</x:v>
      </x:c>
      <x:c r="N121" s="24" t="str">
        <x:v>caranx bartholomaei</x:v>
      </x:c>
      <x:c r="O121" s="32" t="n">
        <x:v>4.5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Caranx bartholomaei</x:v>
      </x:c>
      <x:c r="T121" s="32" t="n">
        <x:f>IF(O121="","",(1/'Metadata'!$B$5)^(O121-1))</x:f>
        <x:v>3162.2776601683795</x:v>
      </x:c>
      <x:c r="U121" s="31" t="n">
        <x:f>IF(T121="","",I121*T121)</x:f>
        <x:v>642180.0976350287</x:v>
      </x:c>
    </x:row>
    <x:row r="122" ht="18" customHeight="1">
      <x:c r="A122" s="24" t="str">
        <x:v>LME_005</x:v>
      </x:c>
      <x:c r="B122" s="24" t="str">
        <x:v>Gulf of Mexico</x:v>
      </x:c>
      <x:c r="C122" s="24" t="str">
        <x:v>LME</x:v>
      </x:c>
      <x:c r="D122" s="30" t="n">
        <x:v>2019</x:v>
      </x:c>
      <x:c r="E122" s="24" t="str">
        <x:v>Pagrus pagrus</x:v>
      </x:c>
      <x:c r="F122" s="24" t="str">
        <x:v>Red porgy</x:v>
      </x:c>
      <x:c r="G122" s="24" t="str">
        <x:v>Medium benthopelagics (30 - 89 cm)</x:v>
      </x:c>
      <x:c r="H122" s="24" t="str">
        <x:v>Perch-likes</x:v>
      </x:c>
      <x:c r="I122" s="31" t="n">
        <x:v>182.5311007574</x:v>
      </x:c>
      <x:c r="J122" s="31" t="n">
        <x:v>182.19261832450002</x:v>
      </x:c>
      <x:c r="K122" s="31" t="n">
        <x:v>0.3384824329</x:v>
      </x:c>
      <x:c r="L122" s="31" t="n">
        <x:v>66.559256041</x:v>
      </x:c>
      <x:c r="M122" s="31" t="n">
        <x:v>115.9718447164</x:v>
      </x:c>
      <x:c r="N122" s="24" t="str">
        <x:v>pagrus pagrus</x:v>
      </x:c>
      <x:c r="O122" s="32" t="n">
        <x:v>3.86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Pagrus pagrus</x:v>
      </x:c>
      <x:c r="T122" s="32" t="n">
        <x:f>IF(O122="","",(1/'Metadata'!$B$5)^(O122-1))</x:f>
        <x:v>724.4359600749899</x:v>
      </x:c>
      <x:c r="U122" s="31" t="n">
        <x:f>IF(T122="","",I122*T122)</x:f>
        <x:v>132232.0932207318</x:v>
      </x:c>
    </x:row>
    <x:row r="123" ht="18" customHeight="1">
      <x:c r="A123" s="24" t="str">
        <x:v>LME_005</x:v>
      </x:c>
      <x:c r="B123" s="24" t="str">
        <x:v>Gulf of Mexico</x:v>
      </x:c>
      <x:c r="C123" s="24" t="str">
        <x:v>LME</x:v>
      </x:c>
      <x:c r="D123" s="30" t="n">
        <x:v>2019</x:v>
      </x:c>
      <x:c r="E123" s="24" t="str">
        <x:v>Sphyrna</x:v>
      </x:c>
      <x:c r="F123" s="24" t="str">
        <x:v>Hammerhead sharks</x:v>
      </x:c>
      <x:c r="G123" s="24" t="str">
        <x:v>Large sharks (&gt;=90 cm)</x:v>
      </x:c>
      <x:c r="H123" s="24" t="str">
        <x:v>Sharks &amp; rays</x:v>
      </x:c>
      <x:c r="I123" s="31" t="n">
        <x:v>178.792892774</x:v>
      </x:c>
      <x:c r="J123" s="31" t="n">
        <x:v>178.792892774</x:v>
      </x:c>
      <x:c r="K123" s="31" t="n">
        <x:v>0</x:v>
      </x:c>
      <x:c r="L123" s="31" t="n">
        <x:v>119.580537239</x:v>
      </x:c>
      <x:c r="M123" s="31" t="n">
        <x:v>59.212355535</x:v>
      </x:c>
      <x:c r="N123" s="24" t="str">
        <x:v>sphyrna</x:v>
      </x:c>
      <x:c r="O123" s="32" t="n">
        <x:v>4.2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Sphyrna</x:v>
      </x:c>
      <x:c r="T123" s="32" t="n">
        <x:f>IF(O123="","",(1/'Metadata'!$B$5)^(O123-1))</x:f>
        <x:v>1584.893192461114</x:v>
      </x:c>
      <x:c r="U123" s="31" t="n">
        <x:f>IF(T123="","",I123*T123)</x:f>
        <x:v>283367.6386179425</x:v>
      </x:c>
    </x:row>
    <x:row r="124" ht="18" customHeight="1">
      <x:c r="A124" s="24" t="str">
        <x:v>LME_005</x:v>
      </x:c>
      <x:c r="B124" s="24" t="str">
        <x:v>Gulf of Mexico</x:v>
      </x:c>
      <x:c r="C124" s="24" t="str">
        <x:v>LME</x:v>
      </x:c>
      <x:c r="D124" s="30" t="n">
        <x:v>2019</x:v>
      </x:c>
      <x:c r="E124" s="24" t="str">
        <x:v>Trichiurus lepturus</x:v>
      </x:c>
      <x:c r="F124" s="24" t="str">
        <x:v>Largehead hairtail</x:v>
      </x:c>
      <x:c r="G124" s="24" t="str">
        <x:v>Large benthopelagics (&gt;=90 cm)</x:v>
      </x:c>
      <x:c r="H124" s="24" t="str">
        <x:v>Perch-likes</x:v>
      </x:c>
      <x:c r="I124" s="31" t="n">
        <x:v>174.5584179513</x:v>
      </x:c>
      <x:c r="J124" s="31" t="n">
        <x:v>17.5002615684</x:v>
      </x:c>
      <x:c r="K124" s="31" t="n">
        <x:v>157.0581563829</x:v>
      </x:c>
      <x:c r="L124" s="31" t="n">
        <x:v>13.154831595500001</x:v>
      </x:c>
      <x:c r="M124" s="31" t="n">
        <x:v>161.4035863558</x:v>
      </x:c>
      <x:c r="N124" s="24" t="str">
        <x:v>trichiurus lepturus</x:v>
      </x:c>
      <x:c r="O124" s="32" t="n">
        <x:v>4.42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Trichiurus lepturus</x:v>
      </x:c>
      <x:c r="T124" s="32" t="n">
        <x:f>IF(O124="","",(1/'Metadata'!$B$5)^(O124-1))</x:f>
        <x:v>2630.2679918953813</x:v>
      </x:c>
      <x:c r="U124" s="31" t="n">
        <x:f>IF(T124="","",I124*T124)</x:f>
        <x:v>459135.4194532005</x:v>
      </x:c>
    </x:row>
    <x:row r="125" ht="18" customHeight="1">
      <x:c r="A125" s="24" t="str">
        <x:v>LME_005</x:v>
      </x:c>
      <x:c r="B125" s="24" t="str">
        <x:v>Gulf of Mexico</x:v>
      </x:c>
      <x:c r="C125" s="24" t="str">
        <x:v>LME</x:v>
      </x:c>
      <x:c r="D125" s="30" t="n">
        <x:v>2019</x:v>
      </x:c>
      <x:c r="E125" s="24" t="str">
        <x:v>Chloroscombrus chrysurus</x:v>
      </x:c>
      <x:c r="F125" s="24" t="str">
        <x:v>Atlantic bumper</x:v>
      </x:c>
      <x:c r="G125" s="24" t="str">
        <x:v>Medium pelagics (30 - 89 cm)</x:v>
      </x:c>
      <x:c r="H125" s="24" t="str">
        <x:v>Perch-likes</x:v>
      </x:c>
      <x:c r="I125" s="31" t="n">
        <x:v>163.8434912609</x:v>
      </x:c>
      <x:c r="J125" s="31" t="n">
        <x:v>30.1264554185</x:v>
      </x:c>
      <x:c r="K125" s="31" t="n">
        <x:v>133.7170358424</x:v>
      </x:c>
      <x:c r="L125" s="31" t="n">
        <x:v>20.7279968499</x:v>
      </x:c>
      <x:c r="M125" s="31" t="n">
        <x:v>143.11549441100001</x:v>
      </x:c>
      <x:c r="N125" s="24" t="str">
        <x:v>chloroscombrus chrysurus</x:v>
      </x:c>
      <x:c r="O125" s="32" t="n">
        <x:v>3.54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Chloroscombrus chrysurus</x:v>
      </x:c>
      <x:c r="T125" s="32" t="n">
        <x:f>IF(O125="","",(1/'Metadata'!$B$5)^(O125-1))</x:f>
        <x:v>346.73685045253166</x:v>
      </x:c>
      <x:c r="U125" s="31" t="n">
        <x:f>IF(T125="","",I125*T125)</x:f>
        <x:v>56810.57612695136</x:v>
      </x:c>
    </x:row>
    <x:row r="126" ht="18" customHeight="1">
      <x:c r="A126" s="24" t="str">
        <x:v>LME_005</x:v>
      </x:c>
      <x:c r="B126" s="24" t="str">
        <x:v>Gulf of Mexico</x:v>
      </x:c>
      <x:c r="C126" s="24" t="str">
        <x:v>LME</x:v>
      </x:c>
      <x:c r="D126" s="30" t="n">
        <x:v>2019</x:v>
      </x:c>
      <x:c r="E126" s="24" t="str">
        <x:v>Decapterus punctatus</x:v>
      </x:c>
      <x:c r="F126" s="24" t="str">
        <x:v>Round scad</x:v>
      </x:c>
      <x:c r="G126" s="24" t="str">
        <x:v>Medium benthopelagics (30 - 89 cm)</x:v>
      </x:c>
      <x:c r="H126" s="24" t="str">
        <x:v>Perch-likes</x:v>
      </x:c>
      <x:c r="I126" s="31" t="n">
        <x:v>154.4139108251</x:v>
      </x:c>
      <x:c r="J126" s="31" t="n">
        <x:v>154.4139108251</x:v>
      </x:c>
      <x:c r="K126" s="31" t="n">
        <x:v>0</x:v>
      </x:c>
      <x:c r="L126" s="31" t="n">
        <x:v>42.077049994</x:v>
      </x:c>
      <x:c r="M126" s="31" t="n">
        <x:v>112.3368608311</x:v>
      </x:c>
      <x:c r="N126" s="24" t="str">
        <x:v>decapterus punctatus</x:v>
      </x:c>
      <x:c r="O126" s="32" t="n">
        <x:v>4.43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Decapterus punctatus</x:v>
      </x:c>
      <x:c r="T126" s="32" t="n">
        <x:f>IF(O126="","",(1/'Metadata'!$B$5)^(O126-1))</x:f>
        <x:v>2691.534803926914</x:v>
      </x:c>
      <x:c r="U126" s="31" t="n">
        <x:f>IF(T126="","",I126*T126)</x:f>
        <x:v>415610.4151962235</x:v>
      </x:c>
    </x:row>
    <x:row r="127" ht="18" customHeight="1">
      <x:c r="A127" s="24" t="str">
        <x:v>LME_005</x:v>
      </x:c>
      <x:c r="B127" s="24" t="str">
        <x:v>Gulf of Mexico</x:v>
      </x:c>
      <x:c r="C127" s="24" t="str">
        <x:v>LME</x:v>
      </x:c>
      <x:c r="D127" s="30" t="n">
        <x:v>2019</x:v>
      </x:c>
      <x:c r="E127" s="24" t="str">
        <x:v>Spongia</x:v>
      </x:c>
      <x:c r="F127" s="24" t="str">
        <x:v>Bathing sponges</x:v>
      </x:c>
      <x:c r="G127" s="24" t="str">
        <x:v>Other demersal invertebrates</x:v>
      </x:c>
      <x:c r="H127" s="24" t="str">
        <x:v>Other fishes &amp; inverts</x:v>
      </x:c>
      <x:c r="I127" s="31" t="n">
        <x:v>146.31993797</x:v>
      </x:c>
      <x:c r="J127" s="31" t="n">
        <x:v>146.31993797</x:v>
      </x:c>
      <x:c r="K127" s="31" t="n">
        <x:v>0</x:v>
      </x:c>
      <x:c r="L127" s="31" t="n">
        <x:v>0</x:v>
      </x:c>
      <x:c r="M127" s="31" t="n">
        <x:v>146.31993797</x:v>
      </x:c>
      <x:c r="N127" s="24" t="str">
        <x:v>spongia</x:v>
      </x:c>
      <x:c r="O127" s="32" t="n">
        <x:v>2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Spongia</x:v>
      </x:c>
      <x:c r="T127" s="32" t="n">
        <x:f>IF(O127="","",(1/'Metadata'!$B$5)^(O127-1))</x:f>
        <x:v>10</x:v>
      </x:c>
      <x:c r="U127" s="31" t="n">
        <x:f>IF(T127="","",I127*T127)</x:f>
        <x:v>1463.1993797</x:v>
      </x:c>
    </x:row>
    <x:row r="128" ht="18" customHeight="1">
      <x:c r="A128" s="24" t="str">
        <x:v>LME_005</x:v>
      </x:c>
      <x:c r="B128" s="24" t="str">
        <x:v>Gulf of Mexico</x:v>
      </x:c>
      <x:c r="C128" s="24" t="str">
        <x:v>LME</x:v>
      </x:c>
      <x:c r="D128" s="30" t="n">
        <x:v>2019</x:v>
      </x:c>
      <x:c r="E128" s="24" t="str">
        <x:v>Lobotes surinamensis</x:v>
      </x:c>
      <x:c r="F128" s="24" t="str">
        <x:v>Tripletail</x:v>
      </x:c>
      <x:c r="G128" s="24" t="str">
        <x:v>Large benthopelagics (&gt;=90 cm)</x:v>
      </x:c>
      <x:c r="H128" s="24" t="str">
        <x:v>Perch-likes</x:v>
      </x:c>
      <x:c r="I128" s="31" t="n">
        <x:v>145.0638846255</x:v>
      </x:c>
      <x:c r="J128" s="31" t="n">
        <x:v>142.38824608870001</x:v>
      </x:c>
      <x:c r="K128" s="31" t="n">
        <x:v>2.6756385368</x:v>
      </x:c>
      <x:c r="L128" s="31" t="n">
        <x:v>5.451315162</x:v>
      </x:c>
      <x:c r="M128" s="31" t="n">
        <x:v>139.61256946350002</x:v>
      </x:c>
      <x:c r="N128" s="24" t="str">
        <x:v>lobotes surinamensis</x:v>
      </x:c>
      <x:c r="O128" s="32" t="n">
        <x:v>4.04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Lobotes surinamensis</x:v>
      </x:c>
      <x:c r="T128" s="32" t="n">
        <x:f>IF(O128="","",(1/'Metadata'!$B$5)^(O128-1))</x:f>
        <x:v>1096.4781961431852</x:v>
      </x:c>
      <x:c r="U128" s="31" t="n">
        <x:f>IF(T128="","",I128*T128)</x:f>
        <x:v>159059.3865396914</x:v>
      </x:c>
    </x:row>
    <x:row r="129" ht="18" customHeight="1">
      <x:c r="A129" s="24" t="str">
        <x:v>LME_005</x:v>
      </x:c>
      <x:c r="B129" s="24" t="str">
        <x:v>Gulf of Mexico</x:v>
      </x:c>
      <x:c r="C129" s="24" t="str">
        <x:v>LME</x:v>
      </x:c>
      <x:c r="D129" s="30" t="n">
        <x:v>2019</x:v>
      </x:c>
      <x:c r="E129" s="24" t="str">
        <x:v>Orthopristis chrysoptera</x:v>
      </x:c>
      <x:c r="F129" s="24" t="str">
        <x:v>Pigfish</x:v>
      </x:c>
      <x:c r="G129" s="24" t="str">
        <x:v>Medium demersals (30 - 89 cm)</x:v>
      </x:c>
      <x:c r="H129" s="24" t="str">
        <x:v>Perch-likes</x:v>
      </x:c>
      <x:c r="I129" s="31" t="n">
        <x:v>144.32775557399998</x:v>
      </x:c>
      <x:c r="J129" s="31" t="n">
        <x:v>80.3245586054</x:v>
      </x:c>
      <x:c r="K129" s="31" t="n">
        <x:v>64.0031969686</x:v>
      </x:c>
      <x:c r="L129" s="31" t="n">
        <x:v>0.9347865592000001</x:v>
      </x:c>
      <x:c r="M129" s="31" t="n">
        <x:v>143.3929690148</x:v>
      </x:c>
      <x:c r="N129" s="24" t="str">
        <x:v>orthopristis chrysoptera</x:v>
      </x:c>
      <x:c r="O129" s="32" t="n">
        <x:v>3.42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Orthopristis chrysoptera</x:v>
      </x:c>
      <x:c r="T129" s="32" t="n">
        <x:f>IF(O129="","",(1/'Metadata'!$B$5)^(O129-1))</x:f>
        <x:v>263.02679918953817</x:v>
      </x:c>
      <x:c r="U129" s="31" t="n">
        <x:f>IF(T129="","",I129*T129)</x:f>
        <x:v>37962.06758283924</x:v>
      </x:c>
    </x:row>
    <x:row r="130" ht="18" customHeight="1">
      <x:c r="A130" s="24" t="str">
        <x:v>LME_005</x:v>
      </x:c>
      <x:c r="B130" s="24" t="str">
        <x:v>Gulf of Mexico</x:v>
      </x:c>
      <x:c r="C130" s="24" t="str">
        <x:v>LME</x:v>
      </x:c>
      <x:c r="D130" s="30" t="n">
        <x:v>2019</x:v>
      </x:c>
      <x:c r="E130" s="24" t="str">
        <x:v>Hyporthodus niveatus</x:v>
      </x:c>
      <x:c r="F130" s="24" t="str">
        <x:v>Snowy grouper</x:v>
      </x:c>
      <x:c r="G130" s="24" t="str">
        <x:v>Large demersals (&gt;=90 cm)</x:v>
      </x:c>
      <x:c r="H130" s="24" t="str">
        <x:v>Perch-likes</x:v>
      </x:c>
      <x:c r="I130" s="31" t="n">
        <x:v>141.705182872</x:v>
      </x:c>
      <x:c r="J130" s="31" t="n">
        <x:v>111.8603391568</x:v>
      </x:c>
      <x:c r="K130" s="31" t="n">
        <x:v>29.8448437152</x:v>
      </x:c>
      <x:c r="L130" s="31" t="n">
        <x:v>77.0144751205</x:v>
      </x:c>
      <x:c r="M130" s="31" t="n">
        <x:v>64.6907077515</x:v>
      </x:c>
      <x:c r="N130" s="24" t="str">
        <x:v>hyporthodus niveatus</x:v>
      </x:c>
      <x:c r="O130" s="32" t="n">
        <x:v>4.04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Hyporthodus niveatus</x:v>
      </x:c>
      <x:c r="T130" s="32" t="n">
        <x:f>IF(O130="","",(1/'Metadata'!$B$5)^(O130-1))</x:f>
        <x:v>1096.4781961431852</x:v>
      </x:c>
      <x:c r="U130" s="31" t="n">
        <x:f>IF(T130="","",I130*T130)</x:f>
        <x:v>155376.64329963073</x:v>
      </x:c>
    </x:row>
    <x:row r="131" ht="18" customHeight="1">
      <x:c r="A131" s="24" t="str">
        <x:v>LME_005</x:v>
      </x:c>
      <x:c r="B131" s="24" t="str">
        <x:v>Gulf of Mexico</x:v>
      </x:c>
      <x:c r="C131" s="24" t="str">
        <x:v>LME</x:v>
      </x:c>
      <x:c r="D131" s="30" t="n">
        <x:v>2019</x:v>
      </x:c>
      <x:c r="E131" s="24" t="str">
        <x:v>Chaetodipterus faber</x:v>
      </x:c>
      <x:c r="F131" s="24" t="str">
        <x:v>Atlantic spadefish</x:v>
      </x:c>
      <x:c r="G131" s="24" t="str">
        <x:v>Medium demersals (30 - 89 cm)</x:v>
      </x:c>
      <x:c r="H131" s="24" t="str">
        <x:v>Perch-likes</x:v>
      </x:c>
      <x:c r="I131" s="31" t="n">
        <x:v>135.6665310721</x:v>
      </x:c>
      <x:c r="J131" s="31" t="n">
        <x:v>134.7681876632</x:v>
      </x:c>
      <x:c r="K131" s="31" t="n">
        <x:v>0.8983434089</x:v>
      </x:c>
      <x:c r="L131" s="31" t="n">
        <x:v>3.5169132936</x:v>
      </x:c>
      <x:c r="M131" s="31" t="n">
        <x:v>132.14961777850002</x:v>
      </x:c>
      <x:c r="N131" s="24" t="str">
        <x:v>chaetodipterus faber</x:v>
      </x:c>
      <x:c r="O131" s="32" t="n">
        <x:v>4.5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Chaetodipterus faber</x:v>
      </x:c>
      <x:c r="T131" s="32" t="n">
        <x:f>IF(O131="","",(1/'Metadata'!$B$5)^(O131-1))</x:f>
        <x:v>3162.2776601683795</x:v>
      </x:c>
      <x:c r="U131" s="31" t="n">
        <x:f>IF(T131="","",I131*T131)</x:f>
        <x:v>429015.2404418412</x:v>
      </x:c>
    </x:row>
    <x:row r="132" ht="18" customHeight="1">
      <x:c r="A132" s="24" t="str">
        <x:v>LME_005</x:v>
      </x:c>
      <x:c r="B132" s="24" t="str">
        <x:v>Gulf of Mexico</x:v>
      </x:c>
      <x:c r="C132" s="24" t="str">
        <x:v>LME</x:v>
      </x:c>
      <x:c r="D132" s="30" t="n">
        <x:v>2019</x:v>
      </x:c>
      <x:c r="E132" s="24" t="str">
        <x:v>Makaira nigricans</x:v>
      </x:c>
      <x:c r="F132" s="24" t="str">
        <x:v>Blue marlin</x:v>
      </x:c>
      <x:c r="G132" s="24" t="str">
        <x:v>Large pelagics (&gt;=90 cm)</x:v>
      </x:c>
      <x:c r="H132" s="24" t="str">
        <x:v>Tuna &amp; billfishes</x:v>
      </x:c>
      <x:c r="I132" s="31" t="n">
        <x:v>134.9655093636</x:v>
      </x:c>
      <x:c r="J132" s="31" t="n">
        <x:v>134.9655093636</x:v>
      </x:c>
      <x:c r="K132" s="31" t="n">
        <x:v>0</x:v>
      </x:c>
      <x:c r="L132" s="31" t="n">
        <x:v>127.0238278409</x:v>
      </x:c>
      <x:c r="M132" s="31" t="n">
        <x:v>7.9416815227</x:v>
      </x:c>
      <x:c r="N132" s="24" t="str">
        <x:v>makaira nigricans</x:v>
      </x:c>
      <x:c r="O132" s="32" t="n">
        <x:v>4.49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Makaira nigricans</x:v>
      </x:c>
      <x:c r="T132" s="32" t="n">
        <x:f>IF(O132="","",(1/'Metadata'!$B$5)^(O132-1))</x:f>
        <x:v>3090.295432513592</x:v>
      </x:c>
      <x:c r="U132" s="31" t="n">
        <x:f>IF(T132="","",I132*T132)</x:f>
        <x:v>417083.29713320354</x:v>
      </x:c>
    </x:row>
    <x:row r="133" ht="18" customHeight="1">
      <x:c r="A133" s="24" t="str">
        <x:v>LME_005</x:v>
      </x:c>
      <x:c r="B133" s="24" t="str">
        <x:v>Gulf of Mexico</x:v>
      </x:c>
      <x:c r="C133" s="24" t="str">
        <x:v>LME</x:v>
      </x:c>
      <x:c r="D133" s="30" t="n">
        <x:v>2019</x:v>
      </x:c>
      <x:c r="E133" s="24" t="str">
        <x:v>Labridae</x:v>
      </x:c>
      <x:c r="F133" s="24" t="str">
        <x:v>Wrasses, gropers, tuskfishes</x:v>
      </x:c>
      <x:c r="G133" s="24" t="str">
        <x:v>Medium reef assoc. fish (30 - 89 cm)</x:v>
      </x:c>
      <x:c r="H133" s="24" t="str">
        <x:v>Perch-likes</x:v>
      </x:c>
      <x:c r="I133" s="31" t="n">
        <x:v>132.98934352</x:v>
      </x:c>
      <x:c r="J133" s="31" t="n">
        <x:v>132.98934352</x:v>
      </x:c>
      <x:c r="K133" s="31" t="n">
        <x:v>0</x:v>
      </x:c>
      <x:c r="L133" s="31" t="n">
        <x:v>0.5798741313</x:v>
      </x:c>
      <x:c r="M133" s="31" t="n">
        <x:v>132.4094693887</x:v>
      </x:c>
      <x:c r="N133" s="24" t="str">
        <x:v>labridae</x:v>
      </x:c>
      <x:c r="O133" s="32" t="n">
        <x:v>3.46</x:v>
      </x:c>
      <x:c r="P133" s="24" t="str">
        <x:v>exact_sea_around_us</x:v>
      </x:c>
      <x:c r="Q133" s="32" t="str">
        <x:v>Sea Around Us exploited organisms</x:v>
      </x:c>
      <x:c r="R133" s="24" t="str">
        <x:v>high</x:v>
      </x:c>
      <x:c r="S133" s="24" t="str">
        <x:v>Labridae</x:v>
      </x:c>
      <x:c r="T133" s="32" t="n">
        <x:f>IF(O133="","",(1/'Metadata'!$B$5)^(O133-1))</x:f>
        <x:v>288.40315031266056</x:v>
      </x:c>
      <x:c r="U133" s="31" t="n">
        <x:f>IF(T133="","",I133*T133)</x:f>
        <x:v>38354.54562918061</x:v>
      </x:c>
    </x:row>
    <x:row r="134" ht="18" customHeight="1">
      <x:c r="A134" s="24" t="str">
        <x:v>LME_005</x:v>
      </x:c>
      <x:c r="B134" s="24" t="str">
        <x:v>Gulf of Mexico</x:v>
      </x:c>
      <x:c r="C134" s="24" t="str">
        <x:v>LME</x:v>
      </x:c>
      <x:c r="D134" s="30" t="n">
        <x:v>2019</x:v>
      </x:c>
      <x:c r="E134" s="24" t="str">
        <x:v>Sardinella aurita</x:v>
      </x:c>
      <x:c r="F134" s="24" t="str">
        <x:v>Round sardinella</x:v>
      </x:c>
      <x:c r="G134" s="24" t="str">
        <x:v>Small pelagics (&lt;30 cm)</x:v>
      </x:c>
      <x:c r="H134" s="24" t="str">
        <x:v>Herring-likes</x:v>
      </x:c>
      <x:c r="I134" s="31" t="n">
        <x:v>132.23052810340002</x:v>
      </x:c>
      <x:c r="J134" s="31" t="n">
        <x:v>128.4739141723</x:v>
      </x:c>
      <x:c r="K134" s="31" t="n">
        <x:v>3.7566139311</x:v>
      </x:c>
      <x:c r="L134" s="31" t="n">
        <x:v>128.4739141723</x:v>
      </x:c>
      <x:c r="M134" s="31" t="n">
        <x:v>3.7566139311</x:v>
      </x:c>
      <x:c r="N134" s="24" t="str">
        <x:v>sardinella aurita</x:v>
      </x:c>
      <x:c r="O134" s="32" t="n">
        <x:v>3.4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Sardinella aurita</x:v>
      </x:c>
      <x:c r="T134" s="32" t="n">
        <x:f>IF(O134="","",(1/'Metadata'!$B$5)^(O134-1))</x:f>
        <x:v>251.18864315095797</x:v>
      </x:c>
      <x:c r="U134" s="31" t="n">
        <x:f>IF(T134="","",I134*T134)</x:f>
        <x:v>33214.80693742767</x:v>
      </x:c>
    </x:row>
    <x:row r="135" ht="18" customHeight="1">
      <x:c r="A135" s="24" t="str">
        <x:v>LME_005</x:v>
      </x:c>
      <x:c r="B135" s="24" t="str">
        <x:v>Gulf of Mexico</x:v>
      </x:c>
      <x:c r="C135" s="24" t="str">
        <x:v>LME</x:v>
      </x:c>
      <x:c r="D135" s="30" t="n">
        <x:v>2019</x:v>
      </x:c>
      <x:c r="E135" s="24" t="str">
        <x:v>Malacanthidae</x:v>
      </x:c>
      <x:c r="F135" s="24" t="str">
        <x:v>Tilefishes</x:v>
      </x:c>
      <x:c r="G135" s="24" t="str">
        <x:v>Medium demersals (30 - 89 cm)</x:v>
      </x:c>
      <x:c r="H135" s="24" t="str">
        <x:v>Perch-likes</x:v>
      </x:c>
      <x:c r="I135" s="31" t="n">
        <x:v>110.4809294299</x:v>
      </x:c>
      <x:c r="J135" s="31" t="n">
        <x:v>110.4809294299</x:v>
      </x:c>
      <x:c r="K135" s="31" t="n">
        <x:v>0</x:v>
      </x:c>
      <x:c r="L135" s="31" t="n">
        <x:v>73.5290238071</x:v>
      </x:c>
      <x:c r="M135" s="31" t="n">
        <x:v>36.9519056228</x:v>
      </x:c>
      <x:c r="N135" s="24" t="str">
        <x:v>malacanthidae</x:v>
      </x:c>
      <x:c r="O135" s="32" t="n">
        <x:v>3.62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Malacanthidae</x:v>
      </x:c>
      <x:c r="T135" s="32" t="n">
        <x:f>IF(O135="","",(1/'Metadata'!$B$5)^(O135-1))</x:f>
        <x:v>416.8693834703355</x:v>
      </x:c>
      <x:c r="U135" s="31" t="n">
        <x:f>IF(T135="","",I135*T135)</x:f>
        <x:v>46056.11693667206</x:v>
      </x:c>
    </x:row>
    <x:row r="136" ht="18" customHeight="1">
      <x:c r="A136" s="24" t="str">
        <x:v>LME_005</x:v>
      </x:c>
      <x:c r="B136" s="24" t="str">
        <x:v>Gulf of Mexico</x:v>
      </x:c>
      <x:c r="C136" s="24" t="str">
        <x:v>LME</x:v>
      </x:c>
      <x:c r="D136" s="30" t="n">
        <x:v>2019</x:v>
      </x:c>
      <x:c r="E136" s="24" t="str">
        <x:v>Selar crumenophthalmus</x:v>
      </x:c>
      <x:c r="F136" s="24" t="str">
        <x:v>Bigeye scad</x:v>
      </x:c>
      <x:c r="G136" s="24" t="str">
        <x:v>Medium pelagics (30 - 89 cm)</x:v>
      </x:c>
      <x:c r="H136" s="24" t="str">
        <x:v>Perch-likes</x:v>
      </x:c>
      <x:c r="I136" s="31" t="n">
        <x:v>108.2676988104</x:v>
      </x:c>
      <x:c r="J136" s="31" t="n">
        <x:v>108.2676988104</x:v>
      </x:c>
      <x:c r="K136" s="31" t="n">
        <x:v>0</x:v>
      </x:c>
      <x:c r="L136" s="31" t="n">
        <x:v>3.8468890819999997</x:v>
      </x:c>
      <x:c r="M136" s="31" t="n">
        <x:v>104.4208097284</x:v>
      </x:c>
      <x:c r="N136" s="24" t="str">
        <x:v>selar crumenophthalmus</x:v>
      </x:c>
      <x:c r="O136" s="32" t="n">
        <x:v>3.81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Selar crumenophthalmus</x:v>
      </x:c>
      <x:c r="T136" s="32" t="n">
        <x:f>IF(O136="","",(1/'Metadata'!$B$5)^(O136-1))</x:f>
        <x:v>645.6542290346556</x:v>
      </x:c>
      <x:c r="U136" s="31" t="n">
        <x:f>IF(T136="","",I136*T136)</x:f>
        <x:v>69903.49760478511</x:v>
      </x:c>
    </x:row>
    <x:row r="137" ht="18" customHeight="1">
      <x:c r="A137" s="24" t="str">
        <x:v>LME_005</x:v>
      </x:c>
      <x:c r="B137" s="24" t="str">
        <x:v>Gulf of Mexico</x:v>
      </x:c>
      <x:c r="C137" s="24" t="str">
        <x:v>LME</x:v>
      </x:c>
      <x:c r="D137" s="30" t="n">
        <x:v>2019</x:v>
      </x:c>
      <x:c r="E137" s="24" t="str">
        <x:v>Haemulon aurolineatum</x:v>
      </x:c>
      <x:c r="F137" s="24" t="str">
        <x:v>Tomtate grunt</x:v>
      </x:c>
      <x:c r="G137" s="24" t="str">
        <x:v>Small reef assoc. fish (&lt;30 cm)</x:v>
      </x:c>
      <x:c r="H137" s="24" t="str">
        <x:v>Perch-likes</x:v>
      </x:c>
      <x:c r="I137" s="31" t="n">
        <x:v>103.9826088997</x:v>
      </x:c>
      <x:c r="J137" s="31" t="n">
        <x:v>75.6197909216</x:v>
      </x:c>
      <x:c r="K137" s="31" t="n">
        <x:v>28.3628179781</x:v>
      </x:c>
      <x:c r="L137" s="31" t="n">
        <x:v>0</x:v>
      </x:c>
      <x:c r="M137" s="31" t="n">
        <x:v>103.9826088997</x:v>
      </x:c>
      <x:c r="N137" s="24" t="str">
        <x:v>haemulon aurolineatum</x:v>
      </x:c>
      <x:c r="O137" s="32" t="n">
        <x:v>4.35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Haemulon aurolineatum</x:v>
      </x:c>
      <x:c r="T137" s="32" t="n">
        <x:f>IF(O137="","",(1/'Metadata'!$B$5)^(O137-1))</x:f>
        <x:v>2238.7211385683377</x:v>
      </x:c>
      <x:c r="U137" s="31" t="n">
        <x:f>IF(T137="","",I137*T137)</x:f>
        <x:v>232788.06458724255</x:v>
      </x:c>
    </x:row>
    <x:row r="138" ht="18" customHeight="1">
      <x:c r="A138" s="24" t="str">
        <x:v>LME_005</x:v>
      </x:c>
      <x:c r="B138" s="24" t="str">
        <x:v>Gulf of Mexico</x:v>
      </x:c>
      <x:c r="C138" s="24" t="str">
        <x:v>LME</x:v>
      </x:c>
      <x:c r="D138" s="30" t="n">
        <x:v>2019</x:v>
      </x:c>
      <x:c r="E138" s="24" t="str">
        <x:v>Mithraculus sculptus</x:v>
      </x:c>
      <x:c r="F138" s="24" t="str">
        <x:v>Green clinging crab</x:v>
      </x:c>
      <x:c r="G138" s="24" t="str">
        <x:v>Lobsters, crabs</x:v>
      </x:c>
      <x:c r="H138" s="24" t="str">
        <x:v>Crustaceans</x:v>
      </x:c>
      <x:c r="I138" s="31" t="n">
        <x:v>99.975812061</x:v>
      </x:c>
      <x:c r="J138" s="31" t="n">
        <x:v>99.975812061</x:v>
      </x:c>
      <x:c r="K138" s="31" t="n">
        <x:v>0</x:v>
      </x:c>
      <x:c r="L138" s="31" t="n">
        <x:v>99.975812061</x:v>
      </x:c>
      <x:c r="M138" s="31" t="n">
        <x:v>0</x:v>
      </x:c>
      <x:c r="N138" s="24" t="str">
        <x:v>mithraculus sculptus</x:v>
      </x:c>
      <x:c r="O138" s="32" t="n">
        <x:v>3.54</x:v>
      </x:c>
      <x:c r="P138" s="24" t="str">
        <x:v>exact_sea_around_us</x:v>
      </x:c>
      <x:c r="Q138" s="32" t="str">
        <x:v>Sea Around Us exploited organisms</x:v>
      </x:c>
      <x:c r="R138" s="24" t="str">
        <x:v>high</x:v>
      </x:c>
      <x:c r="S138" s="24" t="str">
        <x:v>Mithraculus sculptus</x:v>
      </x:c>
      <x:c r="T138" s="32" t="n">
        <x:f>IF(O138="","",(1/'Metadata'!$B$5)^(O138-1))</x:f>
        <x:v>346.73685045253166</x:v>
      </x:c>
      <x:c r="U138" s="31" t="n">
        <x:f>IF(T138="","",I138*T138)</x:f>
        <x:v>34665.298195465366</x:v>
      </x:c>
    </x:row>
    <x:row r="139" ht="18" customHeight="1">
      <x:c r="A139" s="24" t="str">
        <x:v>LME_005</x:v>
      </x:c>
      <x:c r="B139" s="24" t="str">
        <x:v>Gulf of Mexico</x:v>
      </x:c>
      <x:c r="C139" s="24" t="str">
        <x:v>LME</x:v>
      </x:c>
      <x:c r="D139" s="30" t="n">
        <x:v>2019</x:v>
      </x:c>
      <x:c r="E139" s="24" t="str">
        <x:v>Pleuronectiformes</x:v>
      </x:c>
      <x:c r="F139" s="24" t="str">
        <x:v>Flatfishes</x:v>
      </x:c>
      <x:c r="G139" s="24" t="str">
        <x:v>Small to medium flatfishes (&lt;90 cm)</x:v>
      </x:c>
      <x:c r="H139" s="24" t="str">
        <x:v>Flatfishes</x:v>
      </x:c>
      <x:c r="I139" s="31" t="n">
        <x:v>97.38699666</x:v>
      </x:c>
      <x:c r="J139" s="31" t="n">
        <x:v>96.5821220536</x:v>
      </x:c>
      <x:c r="K139" s="31" t="n">
        <x:v>0.8048746064</x:v>
      </x:c>
      <x:c r="L139" s="31" t="n">
        <x:v>94.5997113751</x:v>
      </x:c>
      <x:c r="M139" s="31" t="n">
        <x:v>2.7872852849</x:v>
      </x:c>
      <x:c r="N139" s="24" t="str">
        <x:v>pleuronectiformes</x:v>
      </x:c>
      <x:c r="O139" s="32" t="n">
        <x:v>3.57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Pleuronectiformes</x:v>
      </x:c>
      <x:c r="T139" s="32" t="n">
        <x:f>IF(O139="","",(1/'Metadata'!$B$5)^(O139-1))</x:f>
        <x:v>371.5352290971724</x:v>
      </x:c>
      <x:c r="U139" s="31" t="n">
        <x:f>IF(T139="","",I139*T139)</x:f>
        <x:v>36182.70011515867</x:v>
      </x:c>
    </x:row>
    <x:row r="140" ht="18" customHeight="1">
      <x:c r="A140" s="24" t="str">
        <x:v>LME_005</x:v>
      </x:c>
      <x:c r="B140" s="24" t="str">
        <x:v>Gulf of Mexico</x:v>
      </x:c>
      <x:c r="C140" s="24" t="str">
        <x:v>LME</x:v>
      </x:c>
      <x:c r="D140" s="30" t="n">
        <x:v>2019</x:v>
      </x:c>
      <x:c r="E140" s="24" t="str">
        <x:v>Sicyonia brevirostris</x:v>
      </x:c>
      <x:c r="F140" s="24" t="str">
        <x:v>Rock shrimp</x:v>
      </x:c>
      <x:c r="G140" s="24" t="str">
        <x:v>Shrimps</x:v>
      </x:c>
      <x:c r="H140" s="24" t="str">
        <x:v>Crustaceans</x:v>
      </x:c>
      <x:c r="I140" s="31" t="n">
        <x:v>95.2135849664</x:v>
      </x:c>
      <x:c r="J140" s="31" t="n">
        <x:v>91.42118761930001</x:v>
      </x:c>
      <x:c r="K140" s="31" t="n">
        <x:v>3.7923973471</x:v>
      </x:c>
      <x:c r="L140" s="31" t="n">
        <x:v>44.4730310988</x:v>
      </x:c>
      <x:c r="M140" s="31" t="n">
        <x:v>50.740553867600006</x:v>
      </x:c>
      <x:c r="N140" s="24" t="str">
        <x:v>sicyonia brevirostris</x:v>
      </x:c>
      <x:c r="O140" s="32" t="n">
        <x:v>2.2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Sicyonia brevirostris</x:v>
      </x:c>
      <x:c r="T140" s="32" t="n">
        <x:f>IF(O140="","",(1/'Metadata'!$B$5)^(O140-1))</x:f>
        <x:v>15.848931924611142</x:v>
      </x:c>
      <x:c r="U140" s="31" t="n">
        <x:f>IF(T140="","",I140*T140)</x:f>
        <x:v>1509.0336264306525</x:v>
      </x:c>
    </x:row>
    <x:row r="141" ht="18" customHeight="1">
      <x:c r="A141" s="24" t="str">
        <x:v>LME_005</x:v>
      </x:c>
      <x:c r="B141" s="24" t="str">
        <x:v>Gulf of Mexico</x:v>
      </x:c>
      <x:c r="C141" s="24" t="str">
        <x:v>LME</x:v>
      </x:c>
      <x:c r="D141" s="30" t="n">
        <x:v>2019</x:v>
      </x:c>
      <x:c r="E141" s="24" t="str">
        <x:v>Kyphosus</x:v>
      </x:c>
      <x:c r="F141" s="24" t="str">
        <x:v>Sea chubs</x:v>
      </x:c>
      <x:c r="G141" s="24" t="str">
        <x:v>Medium reef assoc. fish (30 - 89 cm)</x:v>
      </x:c>
      <x:c r="H141" s="24" t="str">
        <x:v>Perch-likes</x:v>
      </x:c>
      <x:c r="I141" s="31" t="n">
        <x:v>94.8603402321</x:v>
      </x:c>
      <x:c r="J141" s="31" t="n">
        <x:v>94.8603402321</x:v>
      </x:c>
      <x:c r="K141" s="31" t="n">
        <x:v>0</x:v>
      </x:c>
      <x:c r="L141" s="31" t="n">
        <x:v>0</x:v>
      </x:c>
      <x:c r="M141" s="31" t="n">
        <x:v>94.8603402321</x:v>
      </x:c>
      <x:c r="N141" s="24" t="str">
        <x:v>kyphosus</x:v>
      </x:c>
      <x:c r="O141" s="32" t="n">
        <x:v>2.05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Kyphosus</x:v>
      </x:c>
      <x:c r="T141" s="32" t="n">
        <x:f>IF(O141="","",(1/'Metadata'!$B$5)^(O141-1))</x:f>
        <x:v>11.220184543019629</x:v>
      </x:c>
      <x:c r="U141" s="31" t="n">
        <x:f>IF(T141="","",I141*T141)</x:f>
        <x:v>1064.3505232177915</x:v>
      </x:c>
    </x:row>
    <x:row r="142" ht="18" customHeight="1">
      <x:c r="A142" s="24" t="str">
        <x:v>LME_005</x:v>
      </x:c>
      <x:c r="B142" s="24" t="str">
        <x:v>Gulf of Mexico</x:v>
      </x:c>
      <x:c r="C142" s="24" t="str">
        <x:v>LME</x:v>
      </x:c>
      <x:c r="D142" s="30" t="n">
        <x:v>2019</x:v>
      </x:c>
      <x:c r="E142" s="24" t="str">
        <x:v>Sphyraenidae</x:v>
      </x:c>
      <x:c r="F142" s="24" t="str">
        <x:v>Barracudas</x:v>
      </x:c>
      <x:c r="G142" s="24" t="str">
        <x:v>Medium reef assoc. fish (30 - 89 cm)</x:v>
      </x:c>
      <x:c r="H142" s="24" t="str">
        <x:v>Perch-likes</x:v>
      </x:c>
      <x:c r="I142" s="31" t="n">
        <x:v>92.6828582914</x:v>
      </x:c>
      <x:c r="J142" s="31" t="n">
        <x:v>92.6828582914</x:v>
      </x:c>
      <x:c r="K142" s="31" t="n">
        <x:v>0</x:v>
      </x:c>
      <x:c r="L142" s="31" t="n">
        <x:v>2.8876784806</x:v>
      </x:c>
      <x:c r="M142" s="31" t="n">
        <x:v>89.7951798108</x:v>
      </x:c>
      <x:c r="N142" s="24" t="str">
        <x:v>sphyraenidae</x:v>
      </x:c>
      <x:c r="O142" s="32" t="n">
        <x:v>4.4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Sphyraenidae</x:v>
      </x:c>
      <x:c r="T142" s="32" t="n">
        <x:f>IF(O142="","",(1/'Metadata'!$B$5)^(O142-1))</x:f>
        <x:v>2511.886431509582</x:v>
      </x:c>
      <x:c r="U142" s="31" t="n">
        <x:f>IF(T142="","",I142*T142)</x:f>
        <x:v>232808.81417569303</x:v>
      </x:c>
    </x:row>
    <x:row r="143" ht="18" customHeight="1">
      <x:c r="A143" s="24" t="str">
        <x:v>LME_005</x:v>
      </x:c>
      <x:c r="B143" s="24" t="str">
        <x:v>Gulf of Mexico</x:v>
      </x:c>
      <x:c r="C143" s="24" t="str">
        <x:v>LME</x:v>
      </x:c>
      <x:c r="D143" s="30" t="n">
        <x:v>2019</x:v>
      </x:c>
      <x:c r="E143" s="24" t="str">
        <x:v>Mycteroperca bonaci</x:v>
      </x:c>
      <x:c r="F143" s="24" t="str">
        <x:v>Black grouper</x:v>
      </x:c>
      <x:c r="G143" s="24" t="str">
        <x:v>Large reef assoc. fish (&gt;=90 cm)</x:v>
      </x:c>
      <x:c r="H143" s="24" t="str">
        <x:v>Perch-likes</x:v>
      </x:c>
      <x:c r="I143" s="31" t="n">
        <x:v>92.54655962940001</x:v>
      </x:c>
      <x:c r="J143" s="31" t="n">
        <x:v>73.9551015317</x:v>
      </x:c>
      <x:c r="K143" s="31" t="n">
        <x:v>18.591458097700002</x:v>
      </x:c>
      <x:c r="L143" s="31" t="n">
        <x:v>41.1273036528</x:v>
      </x:c>
      <x:c r="M143" s="31" t="n">
        <x:v>51.4192559766</x:v>
      </x:c>
      <x:c r="N143" s="24" t="str">
        <x:v>mycteroperca bonaci</x:v>
      </x:c>
      <x:c r="O143" s="32" t="n">
        <x:v>4.3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Mycteroperca bonaci</x:v>
      </x:c>
      <x:c r="T143" s="32" t="n">
        <x:f>IF(O143="","",(1/'Metadata'!$B$5)^(O143-1))</x:f>
        <x:v>1995.2623149688789</x:v>
      </x:c>
      <x:c r="U143" s="31" t="n">
        <x:f>IF(T143="","",I143*T143)</x:f>
        <x:v>184654.66280856205</x:v>
      </x:c>
    </x:row>
    <x:row r="144" ht="18" customHeight="1">
      <x:c r="A144" s="24" t="str">
        <x:v>LME_005</x:v>
      </x:c>
      <x:c r="B144" s="24" t="str">
        <x:v>Gulf of Mexico</x:v>
      </x:c>
      <x:c r="C144" s="24" t="str">
        <x:v>LME</x:v>
      </x:c>
      <x:c r="D144" s="30" t="n">
        <x:v>2019</x:v>
      </x:c>
      <x:c r="E144" s="24" t="str">
        <x:v>Caranx ruber</x:v>
      </x:c>
      <x:c r="F144" s="24" t="str">
        <x:v>Bar jack</x:v>
      </x:c>
      <x:c r="G144" s="24" t="str">
        <x:v>Medium reef assoc. fish (30 - 89 cm)</x:v>
      </x:c>
      <x:c r="H144" s="24" t="str">
        <x:v>Perch-likes</x:v>
      </x:c>
      <x:c r="I144" s="31" t="n">
        <x:v>87.3821203641</x:v>
      </x:c>
      <x:c r="J144" s="31" t="n">
        <x:v>87.3821203641</x:v>
      </x:c>
      <x:c r="K144" s="31" t="n">
        <x:v>0</x:v>
      </x:c>
      <x:c r="L144" s="31" t="n">
        <x:v>79.6121206876</x:v>
      </x:c>
      <x:c r="M144" s="31" t="n">
        <x:v>7.7699996765</x:v>
      </x:c>
      <x:c r="N144" s="24" t="str">
        <x:v>caranx ruber</x:v>
      </x:c>
      <x:c r="O144" s="32" t="n">
        <x:v>4.28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Caranx ruber</x:v>
      </x:c>
      <x:c r="T144" s="32" t="n">
        <x:f>IF(O144="","",(1/'Metadata'!$B$5)^(O144-1))</x:f>
        <x:v>1905.4607179632483</x:v>
      </x:c>
      <x:c r="U144" s="31" t="n">
        <x:f>IF(T144="","",I144*T144)</x:f>
        <x:v>166503.19780612897</x:v>
      </x:c>
    </x:row>
    <x:row r="145" ht="18" customHeight="1">
      <x:c r="A145" s="24" t="str">
        <x:v>LME_005</x:v>
      </x:c>
      <x:c r="B145" s="24" t="str">
        <x:v>Gulf of Mexico</x:v>
      </x:c>
      <x:c r="C145" s="24" t="str">
        <x:v>LME</x:v>
      </x:c>
      <x:c r="D145" s="30" t="n">
        <x:v>2019</x:v>
      </x:c>
      <x:c r="E145" s="24" t="str">
        <x:v>Rajidae</x:v>
      </x:c>
      <x:c r="F145" s="24" t="str">
        <x:v>Stingrays</x:v>
      </x:c>
      <x:c r="G145" s="24" t="str">
        <x:v>Large rays (&gt;=90 cm)</x:v>
      </x:c>
      <x:c r="H145" s="24" t="str">
        <x:v>Sharks &amp; rays</x:v>
      </x:c>
      <x:c r="I145" s="31" t="n">
        <x:v>82.5018205017</x:v>
      </x:c>
      <x:c r="J145" s="31" t="n">
        <x:v>24.556094857399998</x:v>
      </x:c>
      <x:c r="K145" s="31" t="n">
        <x:v>57.9457256443</x:v>
      </x:c>
      <x:c r="L145" s="31" t="n">
        <x:v>24.556094857399998</x:v>
      </x:c>
      <x:c r="M145" s="31" t="n">
        <x:v>57.9457256443</x:v>
      </x:c>
      <x:c r="N145" s="24" t="str">
        <x:v>rajidae</x:v>
      </x:c>
      <x:c r="O145" s="32" t="n">
        <x:v>3.82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Rajidae</x:v>
      </x:c>
      <x:c r="T145" s="32" t="n">
        <x:f>IF(O145="","",(1/'Metadata'!$B$5)^(O145-1))</x:f>
        <x:v>660.6934480075957</x:v>
      </x:c>
      <x:c r="U145" s="31" t="n">
        <x:f>IF(T145="","",I145*T145)</x:f>
        <x:v>54508.412254171926</x:v>
      </x:c>
    </x:row>
    <x:row r="146" ht="18" customHeight="1">
      <x:c r="A146" s="24" t="str">
        <x:v>LME_005</x:v>
      </x:c>
      <x:c r="B146" s="24" t="str">
        <x:v>Gulf of Mexico</x:v>
      </x:c>
      <x:c r="C146" s="24" t="str">
        <x:v>LME</x:v>
      </x:c>
      <x:c r="D146" s="30" t="n">
        <x:v>2019</x:v>
      </x:c>
      <x:c r="E146" s="24" t="str">
        <x:v>Scyphozoa</x:v>
      </x:c>
      <x:c r="F146" s="24" t="str">
        <x:v>True jellyfishes</x:v>
      </x:c>
      <x:c r="G146" s="24" t="str">
        <x:v>Jellyfish</x:v>
      </x:c>
      <x:c r="H146" s="24" t="str">
        <x:v>Other fishes &amp; inverts</x:v>
      </x:c>
      <x:c r="I146" s="31" t="n">
        <x:v>77.98922143809999</x:v>
      </x:c>
      <x:c r="J146" s="31" t="n">
        <x:v>61.3194386499</x:v>
      </x:c>
      <x:c r="K146" s="31" t="n">
        <x:v>16.6697827882</x:v>
      </x:c>
      <x:c r="L146" s="31" t="n">
        <x:v>0</x:v>
      </x:c>
      <x:c r="M146" s="31" t="n">
        <x:v>77.98922143809999</x:v>
      </x:c>
      <x:c r="N146" s="24" t="str">
        <x:v>scyphozoa</x:v>
      </x:c>
      <x:c r="O146" s="32" t="n">
        <x:v>3.46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Scyphozoa</x:v>
      </x:c>
      <x:c r="T146" s="32" t="n">
        <x:f>IF(O146="","",(1/'Metadata'!$B$5)^(O146-1))</x:f>
        <x:v>288.40315031266056</x:v>
      </x:c>
      <x:c r="U146" s="31" t="n">
        <x:f>IF(T146="","",I146*T146)</x:f>
        <x:v>22492.33715317972</x:v>
      </x:c>
    </x:row>
    <x:row r="147" ht="18" customHeight="1">
      <x:c r="A147" s="24" t="str">
        <x:v>LME_005</x:v>
      </x:c>
      <x:c r="B147" s="24" t="str">
        <x:v>Gulf of Mexico</x:v>
      </x:c>
      <x:c r="C147" s="24" t="str">
        <x:v>LME</x:v>
      </x:c>
      <x:c r="D147" s="30" t="n">
        <x:v>2019</x:v>
      </x:c>
      <x:c r="E147" s="24" t="str">
        <x:v>Menticirrhus saxatilis</x:v>
      </x:c>
      <x:c r="F147" s="24" t="str">
        <x:v>Northern kingfish</x:v>
      </x:c>
      <x:c r="G147" s="24" t="str">
        <x:v>Medium demersals (30 - 89 cm)</x:v>
      </x:c>
      <x:c r="H147" s="24" t="str">
        <x:v>Perch-likes</x:v>
      </x:c>
      <x:c r="I147" s="31" t="n">
        <x:v>77.1896143907</x:v>
      </x:c>
      <x:c r="J147" s="31" t="n">
        <x:v>1.3117581155</x:v>
      </x:c>
      <x:c r="K147" s="31" t="n">
        <x:v>75.8778562752</x:v>
      </x:c>
      <x:c r="L147" s="31" t="n">
        <x:v>0</x:v>
      </x:c>
      <x:c r="M147" s="31" t="n">
        <x:v>77.1896143907</x:v>
      </x:c>
      <x:c r="N147" s="24" t="str">
        <x:v>menticirrhus saxatilis</x:v>
      </x:c>
      <x:c r="O147" s="32" t="n">
        <x:v>3.56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Menticirrhus saxatilis</x:v>
      </x:c>
      <x:c r="T147" s="32" t="n">
        <x:f>IF(O147="","",(1/'Metadata'!$B$5)^(O147-1))</x:f>
        <x:v>363.0780547701014</x:v>
      </x:c>
      <x:c r="U147" s="31" t="n">
        <x:f>IF(T147="","",I147*T147)</x:f>
        <x:v>28025.855041429582</x:v>
      </x:c>
    </x:row>
    <x:row r="148" ht="18" customHeight="1">
      <x:c r="A148" s="24" t="str">
        <x:v>LME_005</x:v>
      </x:c>
      <x:c r="B148" s="24" t="str">
        <x:v>Gulf of Mexico</x:v>
      </x:c>
      <x:c r="C148" s="24" t="str">
        <x:v>LME</x:v>
      </x:c>
      <x:c r="D148" s="30" t="n">
        <x:v>2019</x:v>
      </x:c>
      <x:c r="E148" s="24" t="str">
        <x:v>Galeocerdo cuvier</x:v>
      </x:c>
      <x:c r="F148" s="24" t="str">
        <x:v>Tiger shark</x:v>
      </x:c>
      <x:c r="G148" s="24" t="str">
        <x:v>Large sharks (&gt;=90 cm)</x:v>
      </x:c>
      <x:c r="H148" s="24" t="str">
        <x:v>Sharks &amp; rays</x:v>
      </x:c>
      <x:c r="I148" s="31" t="n">
        <x:v>71.1638403032</x:v>
      </x:c>
      <x:c r="J148" s="31" t="n">
        <x:v>71.1638403032</x:v>
      </x:c>
      <x:c r="K148" s="31" t="n">
        <x:v>0</x:v>
      </x:c>
      <x:c r="L148" s="31" t="n">
        <x:v>55.2299575398</x:v>
      </x:c>
      <x:c r="M148" s="31" t="n">
        <x:v>15.933882763400002</x:v>
      </x:c>
      <x:c r="N148" s="24" t="str">
        <x:v>galeocerdo cuvier</x:v>
      </x:c>
      <x:c r="O148" s="32" t="n">
        <x:v>4.54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Galeocerdo cuvier</x:v>
      </x:c>
      <x:c r="T148" s="32" t="n">
        <x:f>IF(O148="","",(1/'Metadata'!$B$5)^(O148-1))</x:f>
        <x:v>3467.368504525317</x:v>
      </x:c>
      <x:c r="U148" s="31" t="n">
        <x:f>IF(T148="","",I148*T148)</x:f>
        <x:v>246751.25852838508</x:v>
      </x:c>
    </x:row>
    <x:row r="149" ht="18" customHeight="1">
      <x:c r="A149" s="24" t="str">
        <x:v>LME_005</x:v>
      </x:c>
      <x:c r="B149" s="24" t="str">
        <x:v>Gulf of Mexico</x:v>
      </x:c>
      <x:c r="C149" s="24" t="str">
        <x:v>LME</x:v>
      </x:c>
      <x:c r="D149" s="30" t="n">
        <x:v>2019</x:v>
      </x:c>
      <x:c r="E149" s="24" t="str">
        <x:v>Echinodermata</x:v>
      </x:c>
      <x:c r="F149" s="24" t="str">
        <x:v>Sea urchins, stars, cucumbers</x:v>
      </x:c>
      <x:c r="G149" s="24" t="str">
        <x:v>Other demersal invertebrates</x:v>
      </x:c>
      <x:c r="H149" s="24" t="str">
        <x:v>Other fishes &amp; inverts</x:v>
      </x:c>
      <x:c r="I149" s="31" t="n">
        <x:v>69.7632351195</x:v>
      </x:c>
      <x:c r="J149" s="31" t="n">
        <x:v>69.7632351195</x:v>
      </x:c>
      <x:c r="K149" s="31" t="n">
        <x:v>0</x:v>
      </x:c>
      <x:c r="L149" s="31" t="n">
        <x:v>0</x:v>
      </x:c>
      <x:c r="M149" s="31" t="n">
        <x:v>69.7632351195</x:v>
      </x:c>
      <x:c r="N149" s="24" t="str">
        <x:v>echinodermata</x:v>
      </x:c>
      <x:c r="O149" s="32" t="n">
        <x:v>2.3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Echinodermata</x:v>
      </x:c>
      <x:c r="T149" s="32" t="n">
        <x:f>IF(O149="","",(1/'Metadata'!$B$5)^(O149-1))</x:f>
        <x:v>19.952623149688787</x:v>
      </x:c>
      <x:c r="U149" s="31" t="n">
        <x:f>IF(T149="","",I149*T149)</x:f>
        <x:v>1391.9595400425173</x:v>
      </x:c>
    </x:row>
    <x:row r="150" ht="18" customHeight="1">
      <x:c r="A150" s="24" t="str">
        <x:v>LME_005</x:v>
      </x:c>
      <x:c r="B150" s="24" t="str">
        <x:v>Gulf of Mexico</x:v>
      </x:c>
      <x:c r="C150" s="24" t="str">
        <x:v>LME</x:v>
      </x:c>
      <x:c r="D150" s="30" t="n">
        <x:v>2019</x:v>
      </x:c>
      <x:c r="E150" s="24" t="str">
        <x:v>Anchoa hepsetus</x:v>
      </x:c>
      <x:c r="F150" s="24" t="str">
        <x:v>Broad-striped anchovy</x:v>
      </x:c>
      <x:c r="G150" s="24" t="str">
        <x:v>Small pelagics (&lt;30 cm)</x:v>
      </x:c>
      <x:c r="H150" s="24" t="str">
        <x:v>Anchovies</x:v>
      </x:c>
      <x:c r="I150" s="31" t="n">
        <x:v>68.1344580066</x:v>
      </x:c>
      <x:c r="J150" s="31" t="n">
        <x:v>0</x:v>
      </x:c>
      <x:c r="K150" s="31" t="n">
        <x:v>68.1344580066</x:v>
      </x:c>
      <x:c r="L150" s="31" t="n">
        <x:v>0</x:v>
      </x:c>
      <x:c r="M150" s="31" t="n">
        <x:v>68.1344580066</x:v>
      </x:c>
      <x:c r="N150" s="24" t="str">
        <x:v>anchoa hepsetus</x:v>
      </x:c>
      <x:c r="O150" s="32" t="n">
        <x:v>3.34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Anchoa hepsetus</x:v>
      </x:c>
      <x:c r="T150" s="32" t="n">
        <x:f>IF(O150="","",(1/'Metadata'!$B$5)^(O150-1))</x:f>
        <x:v>218.77616239495518</x:v>
      </x:c>
      <x:c r="U150" s="31" t="n">
        <x:f>IF(T150="","",I150*T150)</x:f>
        <x:v>14906.195249544175</x:v>
      </x:c>
    </x:row>
    <x:row r="151" ht="18" customHeight="1">
      <x:c r="A151" s="24" t="str">
        <x:v>LME_005</x:v>
      </x:c>
      <x:c r="B151" s="24" t="str">
        <x:v>Gulf of Mexico</x:v>
      </x:c>
      <x:c r="C151" s="24" t="str">
        <x:v>LME</x:v>
      </x:c>
      <x:c r="D151" s="30" t="n">
        <x:v>2019</x:v>
      </x:c>
      <x:c r="E151" s="24" t="str">
        <x:v>Thunnus thynnus</x:v>
      </x:c>
      <x:c r="F151" s="24" t="str">
        <x:v>Atlantic bluefin tuna</x:v>
      </x:c>
      <x:c r="G151" s="24" t="str">
        <x:v>Large pelagics (&gt;=90 cm)</x:v>
      </x:c>
      <x:c r="H151" s="24" t="str">
        <x:v>Tuna &amp; billfishes</x:v>
      </x:c>
      <x:c r="I151" s="31" t="n">
        <x:v>66.128813276</x:v>
      </x:c>
      <x:c r="J151" s="31" t="n">
        <x:v>66.128813276</x:v>
      </x:c>
      <x:c r="K151" s="31" t="n">
        <x:v>0</x:v>
      </x:c>
      <x:c r="L151" s="31" t="n">
        <x:v>56.3898916002</x:v>
      </x:c>
      <x:c r="M151" s="31" t="n">
        <x:v>9.7389216758</x:v>
      </x:c>
      <x:c r="N151" s="24" t="str">
        <x:v>thunnus thynnus</x:v>
      </x:c>
      <x:c r="O151" s="32" t="n">
        <x:v>4.45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Thunnus thynnus</x:v>
      </x:c>
      <x:c r="T151" s="32" t="n">
        <x:f>IF(O151="","",(1/'Metadata'!$B$5)^(O151-1))</x:f>
        <x:v>2818.382931264455</x:v>
      </x:c>
      <x:c r="U151" s="31" t="n">
        <x:f>IF(T151="","",I151*T151)</x:f>
        <x:v>186376.3186018527</x:v>
      </x:c>
    </x:row>
    <x:row r="152" ht="18" customHeight="1">
      <x:c r="A152" s="24" t="str">
        <x:v>LME_005</x:v>
      </x:c>
      <x:c r="B152" s="24" t="str">
        <x:v>Gulf of Mexico</x:v>
      </x:c>
      <x:c r="C152" s="24" t="str">
        <x:v>LME</x:v>
      </x:c>
      <x:c r="D152" s="30" t="n">
        <x:v>2019</x:v>
      </x:c>
      <x:c r="E152" s="24" t="str">
        <x:v>Myliobatidae</x:v>
      </x:c>
      <x:c r="F152" s="24" t="str">
        <x:v>Eagle/manta rays</x:v>
      </x:c>
      <x:c r="G152" s="24" t="str">
        <x:v>Large rays (&gt;=90 cm)</x:v>
      </x:c>
      <x:c r="H152" s="24" t="str">
        <x:v>Sharks &amp; rays</x:v>
      </x:c>
      <x:c r="I152" s="31" t="n">
        <x:v>64.7433773834</x:v>
      </x:c>
      <x:c r="J152" s="31" t="n">
        <x:v>0</x:v>
      </x:c>
      <x:c r="K152" s="31" t="n">
        <x:v>64.7433773834</x:v>
      </x:c>
      <x:c r="L152" s="31" t="n">
        <x:v>0</x:v>
      </x:c>
      <x:c r="M152" s="31" t="n">
        <x:v>64.7433773834</x:v>
      </x:c>
      <x:c r="N152" s="24" t="str">
        <x:v>myliobatidae</x:v>
      </x:c>
      <x:c r="O152" s="32" t="n">
        <x:v>3.36</x:v>
      </x:c>
      <x:c r="P152" s="24" t="str">
        <x:v>exact_sea_around_us</x:v>
      </x:c>
      <x:c r="Q152" s="32" t="str">
        <x:v>Sea Around Us exploited organisms</x:v>
      </x:c>
      <x:c r="R152" s="24" t="str">
        <x:v>high</x:v>
      </x:c>
      <x:c r="S152" s="24" t="str">
        <x:v>Myliobatidae</x:v>
      </x:c>
      <x:c r="T152" s="32" t="n">
        <x:f>IF(O152="","",(1/'Metadata'!$B$5)^(O152-1))</x:f>
        <x:v>229.08676527677724</x:v>
      </x:c>
      <x:c r="U152" s="31" t="n">
        <x:f>IF(T152="","",I152*T152)</x:f>
        <x:v>14831.850897856764</x:v>
      </x:c>
    </x:row>
    <x:row r="153" ht="18" customHeight="1">
      <x:c r="A153" s="24" t="str">
        <x:v>LME_005</x:v>
      </x:c>
      <x:c r="B153" s="24" t="str">
        <x:v>Gulf of Mexico</x:v>
      </x:c>
      <x:c r="C153" s="24" t="str">
        <x:v>LME</x:v>
      </x:c>
      <x:c r="D153" s="30" t="n">
        <x:v>2019</x:v>
      </x:c>
      <x:c r="E153" s="24" t="str">
        <x:v>Carcharhinus leucas</x:v>
      </x:c>
      <x:c r="F153" s="24" t="str">
        <x:v>Bull shark</x:v>
      </x:c>
      <x:c r="G153" s="24" t="str">
        <x:v>Large sharks (&gt;=90 cm)</x:v>
      </x:c>
      <x:c r="H153" s="24" t="str">
        <x:v>Sharks &amp; rays</x:v>
      </x:c>
      <x:c r="I153" s="31" t="n">
        <x:v>64.3644684654</x:v>
      </x:c>
      <x:c r="J153" s="31" t="n">
        <x:v>60.5352056289</x:v>
      </x:c>
      <x:c r="K153" s="31" t="n">
        <x:v>3.8292628365</x:v>
      </x:c>
      <x:c r="L153" s="31" t="n">
        <x:v>43.0996769667</x:v>
      </x:c>
      <x:c r="M153" s="31" t="n">
        <x:v>21.2647914987</x:v>
      </x:c>
      <x:c r="N153" s="24" t="str">
        <x:v>carcharhinus leucas</x:v>
      </x:c>
      <x:c r="O153" s="32" t="n">
        <x:v>4.31</x:v>
      </x:c>
      <x:c r="P153" s="24" t="str">
        <x:v>exact_2020_supplement</x:v>
      </x:c>
      <x:c r="Q153" s="32" t="str">
        <x:v>2020 supplement MeanTL</x:v>
      </x:c>
      <x:c r="R153" s="24" t="str">
        <x:v>high</x:v>
      </x:c>
      <x:c r="S153" s="24" t="str">
        <x:v>Carcharhinus leucas</x:v>
      </x:c>
      <x:c r="T153" s="32" t="n">
        <x:f>IF(O153="","",(1/'Metadata'!$B$5)^(O153-1))</x:f>
        <x:v>2041.7379446695275</x:v>
      </x:c>
      <x:c r="U153" s="31" t="n">
        <x:f>IF(T153="","",I153*T153)</x:f>
        <x:v>131415.3775542924</x:v>
      </x:c>
    </x:row>
    <x:row r="154" ht="18" customHeight="1">
      <x:c r="A154" s="24" t="str">
        <x:v>LME_005</x:v>
      </x:c>
      <x:c r="B154" s="24" t="str">
        <x:v>Gulf of Mexico</x:v>
      </x:c>
      <x:c r="C154" s="24" t="str">
        <x:v>LME</x:v>
      </x:c>
      <x:c r="D154" s="30" t="n">
        <x:v>2019</x:v>
      </x:c>
      <x:c r="E154" s="24" t="str">
        <x:v>Menticirrhus</x:v>
      </x:c>
      <x:c r="F154" s="24" t="str">
        <x:v>Kingcroakers</x:v>
      </x:c>
      <x:c r="G154" s="24" t="str">
        <x:v>Medium demersals (30 - 89 cm)</x:v>
      </x:c>
      <x:c r="H154" s="24" t="str">
        <x:v>Perch-likes</x:v>
      </x:c>
      <x:c r="I154" s="31" t="n">
        <x:v>60.1263481809</x:v>
      </x:c>
      <x:c r="J154" s="31" t="n">
        <x:v>60.1263481809</x:v>
      </x:c>
      <x:c r="K154" s="31" t="n">
        <x:v>0</x:v>
      </x:c>
      <x:c r="L154" s="31" t="n">
        <x:v>60.1263481809</x:v>
      </x:c>
      <x:c r="M154" s="31" t="n">
        <x:v>0</x:v>
      </x:c>
      <x:c r="N154" s="24" t="str">
        <x:v>menticirrhus</x:v>
      </x:c>
      <x:c r="O154" s="32" t="n">
        <x:v>3.67</x:v>
      </x:c>
      <x:c r="P154" s="24" t="str">
        <x:v>exact_sea_around_us</x:v>
      </x:c>
      <x:c r="Q154" s="32" t="str">
        <x:v>Sea Around Us exploited organisms</x:v>
      </x:c>
      <x:c r="R154" s="24" t="str">
        <x:v>high</x:v>
      </x:c>
      <x:c r="S154" s="24" t="str">
        <x:v>Menticirrhus</x:v>
      </x:c>
      <x:c r="T154" s="32" t="n">
        <x:f>IF(O154="","",(1/'Metadata'!$B$5)^(O154-1))</x:f>
        <x:v>467.73514128719813</x:v>
      </x:c>
      <x:c r="U154" s="31" t="n">
        <x:f>IF(T154="","",I154*T154)</x:f>
        <x:v>28123.20596147653</x:v>
      </x:c>
    </x:row>
    <x:row r="155" ht="18" customHeight="1">
      <x:c r="A155" s="24" t="str">
        <x:v>LME_005</x:v>
      </x:c>
      <x:c r="B155" s="24" t="str">
        <x:v>Gulf of Mexico</x:v>
      </x:c>
      <x:c r="C155" s="24" t="str">
        <x:v>LME</x:v>
      </x:c>
      <x:c r="D155" s="30" t="n">
        <x:v>2019</x:v>
      </x:c>
      <x:c r="E155" s="24" t="str">
        <x:v>Eucinostomus argenteus</x:v>
      </x:c>
      <x:c r="F155" s="24" t="str">
        <x:v>Silver mojarra</x:v>
      </x:c>
      <x:c r="G155" s="24" t="str">
        <x:v>Small demersals (&lt;30 cm)</x:v>
      </x:c>
      <x:c r="H155" s="24" t="str">
        <x:v>Perch-likes</x:v>
      </x:c>
      <x:c r="I155" s="31" t="n">
        <x:v>57.3824227967</x:v>
      </x:c>
      <x:c r="J155" s="31" t="n">
        <x:v>0</x:v>
      </x:c>
      <x:c r="K155" s="31" t="n">
        <x:v>57.3824227967</x:v>
      </x:c>
      <x:c r="L155" s="31" t="n">
        <x:v>0</x:v>
      </x:c>
      <x:c r="M155" s="31" t="n">
        <x:v>57.3824227967</x:v>
      </x:c>
      <x:c r="N155" s="24" t="str">
        <x:v>eucinostomus argenteus</x:v>
      </x:c>
      <x:c r="O155" s="32" t="n">
        <x:v>3.24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Eucinostomus argenteus</x:v>
      </x:c>
      <x:c r="T155" s="32" t="n">
        <x:f>IF(O155="","",(1/'Metadata'!$B$5)^(O155-1))</x:f>
        <x:v>173.78008287493762</x:v>
      </x:c>
      <x:c r="U155" s="31" t="n">
        <x:f>IF(T155="","",I155*T155)</x:f>
        <x:v>9971.922189175235</x:v>
      </x:c>
    </x:row>
    <x:row r="156" ht="18" customHeight="1">
      <x:c r="A156" s="24" t="str">
        <x:v>LME_005</x:v>
      </x:c>
      <x:c r="B156" s="24" t="str">
        <x:v>Gulf of Mexico</x:v>
      </x:c>
      <x:c r="C156" s="24" t="str">
        <x:v>LME</x:v>
      </x:c>
      <x:c r="D156" s="30" t="n">
        <x:v>2019</x:v>
      </x:c>
      <x:c r="E156" s="24" t="str">
        <x:v>Calamus bajonado</x:v>
      </x:c>
      <x:c r="F156" s="24" t="str">
        <x:v>Jolthead porgy</x:v>
      </x:c>
      <x:c r="G156" s="24" t="str">
        <x:v>Medium reef assoc. fish (30 - 89 cm)</x:v>
      </x:c>
      <x:c r="H156" s="24" t="str">
        <x:v>Perch-likes</x:v>
      </x:c>
      <x:c r="I156" s="31" t="n">
        <x:v>54.829477505300005</x:v>
      </x:c>
      <x:c r="J156" s="31" t="n">
        <x:v>54.829477505300005</x:v>
      </x:c>
      <x:c r="K156" s="31" t="n">
        <x:v>0</x:v>
      </x:c>
      <x:c r="L156" s="31" t="n">
        <x:v>8.4119310624</x:v>
      </x:c>
      <x:c r="M156" s="31" t="n">
        <x:v>46.417546442900004</x:v>
      </x:c>
      <x:c r="N156" s="24" t="str">
        <x:v>calamus bajonado</x:v>
      </x:c>
      <x:c r="O156" s="32" t="n">
        <x:v>3.5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Calamus bajonado</x:v>
      </x:c>
      <x:c r="T156" s="32" t="n">
        <x:f>IF(O156="","",(1/'Metadata'!$B$5)^(O156-1))</x:f>
        <x:v>316.22776601683796</x:v>
      </x:c>
      <x:c r="U156" s="31" t="n">
        <x:f>IF(T156="","",I156*T156)</x:f>
        <x:v>17338.60318337149</x:v>
      </x:c>
    </x:row>
    <x:row r="157" ht="18" customHeight="1">
      <x:c r="A157" s="24" t="str">
        <x:v>LME_005</x:v>
      </x:c>
      <x:c r="B157" s="24" t="str">
        <x:v>Gulf of Mexico</x:v>
      </x:c>
      <x:c r="C157" s="24" t="str">
        <x:v>LME</x:v>
      </x:c>
      <x:c r="D157" s="30" t="n">
        <x:v>2019</x:v>
      </x:c>
      <x:c r="E157" s="24" t="str">
        <x:v>Phrontis vibex</x:v>
      </x:c>
      <x:c r="F157" s="24" t="str">
        <x:v>Bruised nassa</x:v>
      </x:c>
      <x:c r="G157" s="24" t="str">
        <x:v>Other demersal invertebrates</x:v>
      </x:c>
      <x:c r="H157" s="24" t="str">
        <x:v>Molluscs</x:v>
      </x:c>
      <x:c r="I157" s="31" t="n">
        <x:v>52.695815554999996</x:v>
      </x:c>
      <x:c r="J157" s="31" t="n">
        <x:v>52.695815554999996</x:v>
      </x:c>
      <x:c r="K157" s="31" t="n">
        <x:v>0</x:v>
      </x:c>
      <x:c r="L157" s="31" t="n">
        <x:v>52.695815554999996</x:v>
      </x:c>
      <x:c r="M157" s="31" t="n">
        <x:v>0</x:v>
      </x:c>
      <x:c r="N157" s="24" t="str">
        <x:v>phrontis vibex</x:v>
      </x:c>
      <x:c r="O157" s="32" t="n">
        <x:v>2.8</x:v>
      </x:c>
      <x:c r="P157" s="24" t="str">
        <x:v>exact_sea_around_us</x:v>
      </x:c>
      <x:c r="Q157" s="32" t="str">
        <x:v>Sea Around Us exploited organisms</x:v>
      </x:c>
      <x:c r="R157" s="24" t="str">
        <x:v>high</x:v>
      </x:c>
      <x:c r="S157" s="24" t="str">
        <x:v>Phrontis vibex</x:v>
      </x:c>
      <x:c r="T157" s="32" t="n">
        <x:f>IF(O157="","",(1/'Metadata'!$B$5)^(O157-1))</x:f>
        <x:v>63.0957344480193</x:v>
      </x:c>
      <x:c r="U157" s="31" t="n">
        <x:f>IF(T157="","",I157*T157)</x:f>
        <x:v>3324.8811847800844</x:v>
      </x:c>
    </x:row>
    <x:row r="158" ht="18" customHeight="1">
      <x:c r="A158" s="24" t="str">
        <x:v>LME_005</x:v>
      </x:c>
      <x:c r="B158" s="24" t="str">
        <x:v>Gulf of Mexico</x:v>
      </x:c>
      <x:c r="C158" s="24" t="str">
        <x:v>LME</x:v>
      </x:c>
      <x:c r="D158" s="30" t="n">
        <x:v>2019</x:v>
      </x:c>
      <x:c r="E158" s="24" t="str">
        <x:v>Prionotus</x:v>
      </x:c>
      <x:c r="F158" s="24" t="str">
        <x:v>Saw-back searobins</x:v>
      </x:c>
      <x:c r="G158" s="24" t="str">
        <x:v>Large reef assoc. fish (&gt;=90 cm)</x:v>
      </x:c>
      <x:c r="H158" s="24" t="str">
        <x:v>Scorpionfishes</x:v>
      </x:c>
      <x:c r="I158" s="31" t="n">
        <x:v>49.286205618699995</x:v>
      </x:c>
      <x:c r="J158" s="31" t="n">
        <x:v>0.0554948904</x:v>
      </x:c>
      <x:c r="K158" s="31" t="n">
        <x:v>49.2307107283</x:v>
      </x:c>
      <x:c r="L158" s="31" t="n">
        <x:v>0</x:v>
      </x:c>
      <x:c r="M158" s="31" t="n">
        <x:v>49.286205618699995</x:v>
      </x:c>
      <x:c r="N158" s="24" t="str">
        <x:v>prionotus</x:v>
      </x:c>
      <x:c r="O158" s="32" t="n">
        <x:v>3.97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Prionotus</x:v>
      </x:c>
      <x:c r="T158" s="32" t="n">
        <x:f>IF(O158="","",(1/'Metadata'!$B$5)^(O158-1))</x:f>
        <x:v>933.2543007969915</x:v>
      </x:c>
      <x:c r="U158" s="31" t="n">
        <x:f>IF(T158="","",I158*T158)</x:f>
        <x:v>45996.56336361662</x:v>
      </x:c>
    </x:row>
    <x:row r="159" ht="18" customHeight="1">
      <x:c r="A159" s="24" t="str">
        <x:v>LME_005</x:v>
      </x:c>
      <x:c r="B159" s="24" t="str">
        <x:v>Gulf of Mexico</x:v>
      </x:c>
      <x:c r="C159" s="24" t="str">
        <x:v>LME</x:v>
      </x:c>
      <x:c r="D159" s="30" t="n">
        <x:v>2019</x:v>
      </x:c>
      <x:c r="E159" s="24" t="str">
        <x:v>Scomberomorus regalis</x:v>
      </x:c>
      <x:c r="F159" s="24" t="str">
        <x:v>Cero</x:v>
      </x:c>
      <x:c r="G159" s="24" t="str">
        <x:v>Large reef assoc. fish (&gt;=90 cm)</x:v>
      </x:c>
      <x:c r="H159" s="24" t="str">
        <x:v>Perch-likes</x:v>
      </x:c>
      <x:c r="I159" s="31" t="n">
        <x:v>46.9312897018</x:v>
      </x:c>
      <x:c r="J159" s="31" t="n">
        <x:v>46.9312897018</x:v>
      </x:c>
      <x:c r="K159" s="31" t="n">
        <x:v>0</x:v>
      </x:c>
      <x:c r="L159" s="31" t="n">
        <x:v>1.5988081949000001</x:v>
      </x:c>
      <x:c r="M159" s="31" t="n">
        <x:v>45.332481506899995</x:v>
      </x:c>
      <x:c r="N159" s="24" t="str">
        <x:v>scomberomorus regalis</x:v>
      </x:c>
      <x:c r="O159" s="32" t="n">
        <x:v>4.51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Scomberomorus regalis</x:v>
      </x:c>
      <x:c r="T159" s="32" t="n">
        <x:f>IF(O159="","",(1/'Metadata'!$B$5)^(O159-1))</x:f>
        <x:v>3235.936569296281</x:v>
      </x:c>
      <x:c r="U159" s="31" t="n">
        <x:f>IF(T159="","",I159*T159)</x:f>
        <x:v>151866.67659029257</x:v>
      </x:c>
    </x:row>
    <x:row r="160" ht="18" customHeight="1">
      <x:c r="A160" s="24" t="str">
        <x:v>LME_005</x:v>
      </x:c>
      <x:c r="B160" s="24" t="str">
        <x:v>Gulf of Mexico</x:v>
      </x:c>
      <x:c r="C160" s="24" t="str">
        <x:v>LME</x:v>
      </x:c>
      <x:c r="D160" s="30" t="n">
        <x:v>2019</x:v>
      </x:c>
      <x:c r="E160" s="24" t="str">
        <x:v>Cyprinus carpio</x:v>
      </x:c>
      <x:c r="F160" s="24" t="str">
        <x:v>Common carp</x:v>
      </x:c>
      <x:c r="G160" s="24" t="str">
        <x:v>Large benthopelagics (&gt;=90 cm)</x:v>
      </x:c>
      <x:c r="H160" s="24" t="str">
        <x:v>Other fishes &amp; inverts</x:v>
      </x:c>
      <x:c r="I160" s="31" t="n">
        <x:v>46.8596550238</x:v>
      </x:c>
      <x:c r="J160" s="31" t="n">
        <x:v>46.8596550238</x:v>
      </x:c>
      <x:c r="K160" s="31" t="n">
        <x:v>0</x:v>
      </x:c>
      <x:c r="L160" s="31" t="n">
        <x:v>46.8276144759</x:v>
      </x:c>
      <x:c r="M160" s="31" t="n">
        <x:v>0.0320405479</x:v>
      </x:c>
      <x:c r="N160" s="24" t="str">
        <x:v>cyprinus carpio</x:v>
      </x:c>
      <x:c r="O160" s="32" t="n">
        <x:v>3.06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Cyprinus carpio</x:v>
      </x:c>
      <x:c r="T160" s="32" t="n">
        <x:f>IF(O160="","",(1/'Metadata'!$B$5)^(O160-1))</x:f>
        <x:v>114.81536214968828</x:v>
      </x:c>
      <x:c r="U160" s="31" t="n">
        <x:f>IF(T160="","",I160*T160)</x:f>
        <x:v>5380.208261767058</x:v>
      </x:c>
    </x:row>
    <x:row r="161" ht="18" customHeight="1">
      <x:c r="A161" s="24" t="str">
        <x:v>LME_005</x:v>
      </x:c>
      <x:c r="B161" s="24" t="str">
        <x:v>Gulf of Mexico</x:v>
      </x:c>
      <x:c r="C161" s="24" t="str">
        <x:v>LME</x:v>
      </x:c>
      <x:c r="D161" s="30" t="n">
        <x:v>2019</x:v>
      </x:c>
      <x:c r="E161" s="24" t="str">
        <x:v>Alopias superciliosus</x:v>
      </x:c>
      <x:c r="F161" s="24" t="str">
        <x:v>Bigeye thresher</x:v>
      </x:c>
      <x:c r="G161" s="24" t="str">
        <x:v>Large sharks (&gt;=90 cm)</x:v>
      </x:c>
      <x:c r="H161" s="24" t="str">
        <x:v>Sharks &amp; rays</x:v>
      </x:c>
      <x:c r="I161" s="31" t="n">
        <x:v>46.825307892</x:v>
      </x:c>
      <x:c r="J161" s="31" t="n">
        <x:v>46.825307892</x:v>
      </x:c>
      <x:c r="K161" s="31" t="n">
        <x:v>0</x:v>
      </x:c>
      <x:c r="L161" s="31" t="n">
        <x:v>46.825307892</x:v>
      </x:c>
      <x:c r="M161" s="31" t="n">
        <x:v>0</x:v>
      </x:c>
      <x:c r="N161" s="24" t="str">
        <x:v>alopias superciliosus</x:v>
      </x:c>
      <x:c r="O161" s="32" t="n">
        <x:v>4.51</x:v>
      </x:c>
      <x:c r="P161" s="24" t="str">
        <x:v>exact_2020_supplement</x:v>
      </x:c>
      <x:c r="Q161" s="32" t="str">
        <x:v>2020 supplement MeanTL</x:v>
      </x:c>
      <x:c r="R161" s="24" t="str">
        <x:v>high</x:v>
      </x:c>
      <x:c r="S161" s="24" t="str">
        <x:v>Alopias superciliosus</x:v>
      </x:c>
      <x:c r="T161" s="32" t="n">
        <x:f>IF(O161="","",(1/'Metadata'!$B$5)^(O161-1))</x:f>
        <x:v>3235.936569296281</x:v>
      </x:c>
      <x:c r="U161" s="31" t="n">
        <x:f>IF(T161="","",I161*T161)</x:f>
        <x:v>151523.72617628056</x:v>
      </x:c>
    </x:row>
    <x:row r="162" ht="18" customHeight="1">
      <x:c r="A162" s="24" t="str">
        <x:v>LME_005</x:v>
      </x:c>
      <x:c r="B162" s="24" t="str">
        <x:v>Gulf of Mexico</x:v>
      </x:c>
      <x:c r="C162" s="24" t="str">
        <x:v>LME</x:v>
      </x:c>
      <x:c r="D162" s="30" t="n">
        <x:v>2019</x:v>
      </x:c>
      <x:c r="E162" s="24" t="str">
        <x:v>Lutjanus apodus</x:v>
      </x:c>
      <x:c r="F162" s="24" t="str">
        <x:v>Schoolmaster snapper</x:v>
      </x:c>
      <x:c r="G162" s="24" t="str">
        <x:v>Medium reef assoc. fish (30 - 89 cm)</x:v>
      </x:c>
      <x:c r="H162" s="24" t="str">
        <x:v>Perch-likes</x:v>
      </x:c>
      <x:c r="I162" s="31" t="n">
        <x:v>46.657849470500004</x:v>
      </x:c>
      <x:c r="J162" s="31" t="n">
        <x:v>46.657849470500004</x:v>
      </x:c>
      <x:c r="K162" s="31" t="n">
        <x:v>0</x:v>
      </x:c>
      <x:c r="L162" s="31" t="n">
        <x:v>0.0383791129</x:v>
      </x:c>
      <x:c r="M162" s="31" t="n">
        <x:v>46.6194703576</x:v>
      </x:c>
      <x:c r="N162" s="24" t="str">
        <x:v>lutjanus apodus</x:v>
      </x:c>
      <x:c r="O162" s="32" t="n">
        <x:v>4.25</x:v>
      </x:c>
      <x:c r="P162" s="24" t="str">
        <x:v>exact_2020_supplement</x:v>
      </x:c>
      <x:c r="Q162" s="32" t="str">
        <x:v>2020 supplement MeanTL</x:v>
      </x:c>
      <x:c r="R162" s="24" t="str">
        <x:v>high</x:v>
      </x:c>
      <x:c r="S162" s="24" t="str">
        <x:v>Lutjanus apodus</x:v>
      </x:c>
      <x:c r="T162" s="32" t="n">
        <x:f>IF(O162="","",(1/'Metadata'!$B$5)^(O162-1))</x:f>
        <x:v>1778.2794100389228</x:v>
      </x:c>
      <x:c r="U162" s="31" t="n">
        <x:f>IF(T162="","",I162*T162)</x:f>
        <x:v>82970.69303008562</x:v>
      </x:c>
    </x:row>
    <x:row r="163" ht="18" customHeight="1">
      <x:c r="A163" s="24" t="str">
        <x:v>LME_005</x:v>
      </x:c>
      <x:c r="B163" s="24" t="str">
        <x:v>Gulf of Mexico</x:v>
      </x:c>
      <x:c r="C163" s="24" t="str">
        <x:v>LME</x:v>
      </x:c>
      <x:c r="D163" s="30" t="n">
        <x:v>2019</x:v>
      </x:c>
      <x:c r="E163" s="24" t="str">
        <x:v>Epinephelus</x:v>
      </x:c>
      <x:c r="F163" s="24" t="str">
        <x:v>Seabasses, hinds</x:v>
      </x:c>
      <x:c r="G163" s="24" t="str">
        <x:v>Medium reef assoc. fish (30 - 89 cm)</x:v>
      </x:c>
      <x:c r="H163" s="24" t="str">
        <x:v>Perch-likes</x:v>
      </x:c>
      <x:c r="I163" s="31" t="n">
        <x:v>46.4869531675</x:v>
      </x:c>
      <x:c r="J163" s="31" t="n">
        <x:v>46.4869531675</x:v>
      </x:c>
      <x:c r="K163" s="31" t="n">
        <x:v>0</x:v>
      </x:c>
      <x:c r="L163" s="31" t="n">
        <x:v>33.768405949699996</x:v>
      </x:c>
      <x:c r="M163" s="31" t="n">
        <x:v>12.7185472178</x:v>
      </x:c>
      <x:c r="N163" s="24" t="str">
        <x:v>epinephelus</x:v>
      </x:c>
      <x:c r="O163" s="32" t="n">
        <x:v>3.84</x:v>
      </x:c>
      <x:c r="P163" s="24" t="str">
        <x:v>exact_sea_around_us</x:v>
      </x:c>
      <x:c r="Q163" s="32" t="str">
        <x:v>Sea Around Us exploited organisms</x:v>
      </x:c>
      <x:c r="R163" s="24" t="str">
        <x:v>high</x:v>
      </x:c>
      <x:c r="S163" s="24" t="str">
        <x:v>Epinephelus</x:v>
      </x:c>
      <x:c r="T163" s="32" t="n">
        <x:f>IF(O163="","",(1/'Metadata'!$B$5)^(O163-1))</x:f>
        <x:v>691.8309709189363</x:v>
      </x:c>
      <x:c r="U163" s="31" t="n">
        <x:f>IF(T163="","",I163*T163)</x:f>
        <x:v>32161.11394493464</x:v>
      </x:c>
    </x:row>
    <x:row r="164" ht="18" customHeight="1">
      <x:c r="A164" s="24" t="str">
        <x:v>LME_005</x:v>
      </x:c>
      <x:c r="B164" s="24" t="str">
        <x:v>Gulf of Mexico</x:v>
      </x:c>
      <x:c r="C164" s="24" t="str">
        <x:v>LME</x:v>
      </x:c>
      <x:c r="D164" s="30" t="n">
        <x:v>2019</x:v>
      </x:c>
      <x:c r="E164" s="24" t="str">
        <x:v>Thunnus obesus</x:v>
      </x:c>
      <x:c r="F164" s="24" t="str">
        <x:v>Bigeye tuna</x:v>
      </x:c>
      <x:c r="G164" s="24" t="str">
        <x:v>Large pelagics (&gt;=90 cm)</x:v>
      </x:c>
      <x:c r="H164" s="24" t="str">
        <x:v>Tuna &amp; billfishes</x:v>
      </x:c>
      <x:c r="I164" s="31" t="n">
        <x:v>43.1732558058</x:v>
      </x:c>
      <x:c r="J164" s="31" t="n">
        <x:v>43.1732558058</x:v>
      </x:c>
      <x:c r="K164" s="31" t="n">
        <x:v>0</x:v>
      </x:c>
      <x:c r="L164" s="31" t="n">
        <x:v>25.2380877568</x:v>
      </x:c>
      <x:c r="M164" s="31" t="n">
        <x:v>17.935168049</x:v>
      </x:c>
      <x:c r="N164" s="24" t="str">
        <x:v>thunnus obesus</x:v>
      </x:c>
      <x:c r="O164" s="32" t="n">
        <x:v>4.49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Thunnus obesus</x:v>
      </x:c>
      <x:c r="T164" s="32" t="n">
        <x:f>IF(O164="","",(1/'Metadata'!$B$5)^(O164-1))</x:f>
        <x:v>3090.295432513592</x:v>
      </x:c>
      <x:c r="U164" s="31" t="n">
        <x:f>IF(T164="","",I164*T164)</x:f>
        <x:v>133418.11522340466</x:v>
      </x:c>
    </x:row>
    <x:row r="165" ht="18" customHeight="1">
      <x:c r="A165" s="24" t="str">
        <x:v>LME_005</x:v>
      </x:c>
      <x:c r="B165" s="24" t="str">
        <x:v>Gulf of Mexico</x:v>
      </x:c>
      <x:c r="C165" s="24" t="str">
        <x:v>LME</x:v>
      </x:c>
      <x:c r="D165" s="30" t="n">
        <x:v>2019</x:v>
      </x:c>
      <x:c r="E165" s="24" t="str">
        <x:v>Hyporthodus nigritus</x:v>
      </x:c>
      <x:c r="F165" s="24" t="str">
        <x:v>Warsaw grouper</x:v>
      </x:c>
      <x:c r="G165" s="24" t="str">
        <x:v>Large demersals (&gt;=90 cm)</x:v>
      </x:c>
      <x:c r="H165" s="24" t="str">
        <x:v>Perch-likes</x:v>
      </x:c>
      <x:c r="I165" s="31" t="n">
        <x:v>43.0424870154</x:v>
      </x:c>
      <x:c r="J165" s="31" t="n">
        <x:v>33.302092109499995</x:v>
      </x:c>
      <x:c r="K165" s="31" t="n">
        <x:v>9.7403949059</x:v>
      </x:c>
      <x:c r="L165" s="31" t="n">
        <x:v>17.734448050399997</x:v>
      </x:c>
      <x:c r="M165" s="31" t="n">
        <x:v>25.308038964999998</x:v>
      </x:c>
      <x:c r="N165" s="24" t="str">
        <x:v>hyporthodus nigritus</x:v>
      </x:c>
      <x:c r="O165" s="32" t="n">
        <x:v>3.97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Hyporthodus nigritus</x:v>
      </x:c>
      <x:c r="T165" s="32" t="n">
        <x:f>IF(O165="","",(1/'Metadata'!$B$5)^(O165-1))</x:f>
        <x:v>933.2543007969915</x:v>
      </x:c>
      <x:c r="U165" s="31" t="n">
        <x:f>IF(T165="","",I165*T165)</x:f>
        <x:v>40169.58612412071</x:v>
      </x:c>
    </x:row>
    <x:row r="166" ht="18" customHeight="1">
      <x:c r="A166" s="24" t="str">
        <x:v>LME_005</x:v>
      </x:c>
      <x:c r="B166" s="24" t="str">
        <x:v>Gulf of Mexico</x:v>
      </x:c>
      <x:c r="C166" s="24" t="str">
        <x:v>LME</x:v>
      </x:c>
      <x:c r="D166" s="30" t="n">
        <x:v>2019</x:v>
      </x:c>
      <x:c r="E166" s="24" t="str">
        <x:v>Harengula jaguana</x:v>
      </x:c>
      <x:c r="F166" s="24" t="str">
        <x:v>Scaled herring</x:v>
      </x:c>
      <x:c r="G166" s="24" t="str">
        <x:v>Small pelagics (&lt;30 cm)</x:v>
      </x:c>
      <x:c r="H166" s="24" t="str">
        <x:v>Herring-likes</x:v>
      </x:c>
      <x:c r="I166" s="31" t="n">
        <x:v>42.9335622292</x:v>
      </x:c>
      <x:c r="J166" s="31" t="n">
        <x:v>42.9335622292</x:v>
      </x:c>
      <x:c r="K166" s="31" t="n">
        <x:v>0</x:v>
      </x:c>
      <x:c r="L166" s="31" t="n">
        <x:v>42.9303426297</x:v>
      </x:c>
      <x:c r="M166" s="31" t="n">
        <x:v>0.0032195995</x:v>
      </x:c>
      <x:c r="N166" s="24" t="str">
        <x:v>harengula jaguana</x:v>
      </x:c>
      <x:c r="O166" s="32" t="n">
        <x:v>3.42</x:v>
      </x:c>
      <x:c r="P166" s="24" t="str">
        <x:v>exact_2020_supplement</x:v>
      </x:c>
      <x:c r="Q166" s="32" t="str">
        <x:v>2020 supplement MeanTL</x:v>
      </x:c>
      <x:c r="R166" s="24" t="str">
        <x:v>high</x:v>
      </x:c>
      <x:c r="S166" s="24" t="str">
        <x:v>Harengula jaguana</x:v>
      </x:c>
      <x:c r="T166" s="32" t="n">
        <x:f>IF(O166="","",(1/'Metadata'!$B$5)^(O166-1))</x:f>
        <x:v>263.02679918953817</x:v>
      </x:c>
      <x:c r="U166" s="31" t="n">
        <x:f>IF(T166="","",I166*T166)</x:f>
        <x:v>11292.677450951329</x:v>
      </x:c>
    </x:row>
    <x:row r="167" ht="18" customHeight="1">
      <x:c r="A167" s="24" t="str">
        <x:v>LME_005</x:v>
      </x:c>
      <x:c r="B167" s="24" t="str">
        <x:v>Gulf of Mexico</x:v>
      </x:c>
      <x:c r="C167" s="24" t="str">
        <x:v>LME</x:v>
      </x:c>
      <x:c r="D167" s="30" t="n">
        <x:v>2019</x:v>
      </x:c>
      <x:c r="E167" s="24" t="str">
        <x:v>Siluriformes</x:v>
      </x:c>
      <x:c r="F167" s="24" t="str">
        <x:v>Catfishes</x:v>
      </x:c>
      <x:c r="G167" s="24" t="str">
        <x:v>Medium demersals (30 - 89 cm)</x:v>
      </x:c>
      <x:c r="H167" s="24" t="str">
        <x:v>Other fishes &amp; inverts</x:v>
      </x:c>
      <x:c r="I167" s="31" t="n">
        <x:v>39.5467779736</x:v>
      </x:c>
      <x:c r="J167" s="31" t="n">
        <x:v>39.5467779736</x:v>
      </x:c>
      <x:c r="K167" s="31" t="n">
        <x:v>0</x:v>
      </x:c>
      <x:c r="L167" s="31" t="n">
        <x:v>39.5467779736</x:v>
      </x:c>
      <x:c r="M167" s="31" t="n">
        <x:v>0</x:v>
      </x:c>
      <x:c r="N167" s="24" t="str">
        <x:v>siluriformes</x:v>
      </x:c>
      <x:c r="O167" s="32" t="n">
        <x:v>3.48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Siluriformes</x:v>
      </x:c>
      <x:c r="T167" s="32" t="n">
        <x:f>IF(O167="","",(1/'Metadata'!$B$5)^(O167-1))</x:f>
        <x:v>301.9951720402016</x:v>
      </x:c>
      <x:c r="U167" s="31" t="n">
        <x:f>IF(T167="","",I167*T167)</x:f>
        <x:v>11942.936017772989</x:v>
      </x:c>
    </x:row>
    <x:row r="168" ht="18" customHeight="1">
      <x:c r="A168" s="24" t="str">
        <x:v>LME_005</x:v>
      </x:c>
      <x:c r="B168" s="24" t="str">
        <x:v>Gulf of Mexico</x:v>
      </x:c>
      <x:c r="C168" s="24" t="str">
        <x:v>LME</x:v>
      </x:c>
      <x:c r="D168" s="30" t="n">
        <x:v>2019</x:v>
      </x:c>
      <x:c r="E168" s="24" t="str">
        <x:v>Seriola zonata</x:v>
      </x:c>
      <x:c r="F168" s="24" t="str">
        <x:v>Banded rudderfish</x:v>
      </x:c>
      <x:c r="G168" s="24" t="str">
        <x:v>Medium benthopelagics (30 - 89 cm)</x:v>
      </x:c>
      <x:c r="H168" s="24" t="str">
        <x:v>Perch-likes</x:v>
      </x:c>
      <x:c r="I168" s="31" t="n">
        <x:v>39.0227749684</x:v>
      </x:c>
      <x:c r="J168" s="31" t="n">
        <x:v>39.0227749684</x:v>
      </x:c>
      <x:c r="K168" s="31" t="n">
        <x:v>0</x:v>
      </x:c>
      <x:c r="L168" s="31" t="n">
        <x:v>5.3318216198999995</x:v>
      </x:c>
      <x:c r="M168" s="31" t="n">
        <x:v>33.6909533485</x:v>
      </x:c>
      <x:c r="N168" s="24" t="str">
        <x:v>seriola zonata</x:v>
      </x:c>
      <x:c r="O168" s="32" t="n">
        <x:v>4.47</x:v>
      </x:c>
      <x:c r="P168" s="24" t="str">
        <x:v>exact_2020_supplement</x:v>
      </x:c>
      <x:c r="Q168" s="32" t="str">
        <x:v>2020 supplement MeanTL</x:v>
      </x:c>
      <x:c r="R168" s="24" t="str">
        <x:v>high</x:v>
      </x:c>
      <x:c r="S168" s="24" t="str">
        <x:v>Seriola zonata</x:v>
      </x:c>
      <x:c r="T168" s="32" t="n">
        <x:f>IF(O168="","",(1/'Metadata'!$B$5)^(O168-1))</x:f>
        <x:v>2951.209226666384</x:v>
      </x:c>
      <x:c r="U168" s="31" t="n">
        <x:f>IF(T168="","",I168*T168)</x:f>
        <x:v>115164.3735368681</x:v>
      </x:c>
    </x:row>
    <x:row r="169" ht="18" customHeight="1">
      <x:c r="A169" s="24" t="str">
        <x:v>LME_005</x:v>
      </x:c>
      <x:c r="B169" s="24" t="str">
        <x:v>Gulf of Mexico</x:v>
      </x:c>
      <x:c r="C169" s="24" t="str">
        <x:v>LME</x:v>
      </x:c>
      <x:c r="D169" s="30" t="n">
        <x:v>2019</x:v>
      </x:c>
      <x:c r="E169" s="24" t="str">
        <x:v>Anguilla rostrata</x:v>
      </x:c>
      <x:c r="F169" s="24" t="str">
        <x:v>American eel</x:v>
      </x:c>
      <x:c r="G169" s="24" t="str">
        <x:v>Large demersals (&gt;=90 cm)</x:v>
      </x:c>
      <x:c r="H169" s="24" t="str">
        <x:v>Other fishes &amp; inverts</x:v>
      </x:c>
      <x:c r="I169" s="31" t="n">
        <x:v>38.4164236198</x:v>
      </x:c>
      <x:c r="J169" s="31" t="n">
        <x:v>38.4164236198</x:v>
      </x:c>
      <x:c r="K169" s="31" t="n">
        <x:v>0</x:v>
      </x:c>
      <x:c r="L169" s="31" t="n">
        <x:v>38.4115514779</x:v>
      </x:c>
      <x:c r="M169" s="31" t="n">
        <x:v>0.004872141900000001</x:v>
      </x:c>
      <x:c r="N169" s="24" t="str">
        <x:v>anguilla rostrata</x:v>
      </x:c>
      <x:c r="O169" s="32" t="n">
        <x:v>3.83</x:v>
      </x:c>
      <x:c r="P169" s="24" t="str">
        <x:v>exact_2020_supplement</x:v>
      </x:c>
      <x:c r="Q169" s="32" t="str">
        <x:v>2020 supplement MeanTL</x:v>
      </x:c>
      <x:c r="R169" s="24" t="str">
        <x:v>high</x:v>
      </x:c>
      <x:c r="S169" s="24" t="str">
        <x:v>Anguilla rostrata</x:v>
      </x:c>
      <x:c r="T169" s="32" t="n">
        <x:f>IF(O169="","",(1/'Metadata'!$B$5)^(O169-1))</x:f>
        <x:v>676.0829753919819</x:v>
      </x:c>
      <x:c r="U169" s="31" t="n">
        <x:f>IF(T169="","",I169*T169)</x:f>
        <x:v>25972.689984793196</x:v>
      </x:c>
    </x:row>
    <x:row r="170" ht="18" customHeight="1">
      <x:c r="A170" s="24" t="str">
        <x:v>LME_005</x:v>
      </x:c>
      <x:c r="B170" s="24" t="str">
        <x:v>Gulf of Mexico</x:v>
      </x:c>
      <x:c r="C170" s="24" t="str">
        <x:v>LME</x:v>
      </x:c>
      <x:c r="D170" s="30" t="n">
        <x:v>2019</x:v>
      </x:c>
      <x:c r="E170" s="24" t="str">
        <x:v>Balistidae</x:v>
      </x:c>
      <x:c r="F170" s="24" t="str">
        <x:v>Triggerfishes</x:v>
      </x:c>
      <x:c r="G170" s="24" t="str">
        <x:v>Medium reef assoc. fish (30 - 89 cm)</x:v>
      </x:c>
      <x:c r="H170" s="24" t="str">
        <x:v>Other fishes &amp; inverts</x:v>
      </x:c>
      <x:c r="I170" s="31" t="n">
        <x:v>37.269355149199995</x:v>
      </x:c>
      <x:c r="J170" s="31" t="n">
        <x:v>33.716061186</x:v>
      </x:c>
      <x:c r="K170" s="31" t="n">
        <x:v>3.5532939632</x:v>
      </x:c>
      <x:c r="L170" s="31" t="n">
        <x:v>14.8902964586</x:v>
      </x:c>
      <x:c r="M170" s="31" t="n">
        <x:v>22.379058690599997</x:v>
      </x:c>
      <x:c r="N170" s="24" t="str">
        <x:v>balistidae</x:v>
      </x:c>
      <x:c r="O170" s="32" t="n">
        <x:v>3.25</x:v>
      </x:c>
      <x:c r="P170" s="24" t="str">
        <x:v>exact_sea_around_us</x:v>
      </x:c>
      <x:c r="Q170" s="32" t="str">
        <x:v>Sea Around Us exploited organisms</x:v>
      </x:c>
      <x:c r="R170" s="24" t="str">
        <x:v>high</x:v>
      </x:c>
      <x:c r="S170" s="24" t="str">
        <x:v>Balistidae</x:v>
      </x:c>
      <x:c r="T170" s="32" t="n">
        <x:f>IF(O170="","",(1/'Metadata'!$B$5)^(O170-1))</x:f>
        <x:v>177.82794100389228</x:v>
      </x:c>
      <x:c r="U170" s="31" t="n">
        <x:f>IF(T170="","",I170*T170)</x:f>
        <x:v>6627.532688725046</x:v>
      </x:c>
    </x:row>
    <x:row r="171" ht="18" customHeight="1">
      <x:c r="A171" s="24" t="str">
        <x:v>LME_005</x:v>
      </x:c>
      <x:c r="B171" s="24" t="str">
        <x:v>Gulf of Mexico</x:v>
      </x:c>
      <x:c r="C171" s="24" t="str">
        <x:v>LME</x:v>
      </x:c>
      <x:c r="D171" s="30" t="n">
        <x:v>2019</x:v>
      </x:c>
      <x:c r="E171" s="24" t="str">
        <x:v>Kajikia albida</x:v>
      </x:c>
      <x:c r="F171" s="24" t="str">
        <x:v>Atlantic white marlin</x:v>
      </x:c>
      <x:c r="G171" s="24" t="str">
        <x:v>Large pelagics (&gt;=90 cm)</x:v>
      </x:c>
      <x:c r="H171" s="24" t="str">
        <x:v>Tuna &amp; billfishes</x:v>
      </x:c>
      <x:c r="I171" s="31" t="n">
        <x:v>37.2684396427</x:v>
      </x:c>
      <x:c r="J171" s="31" t="n">
        <x:v>37.2684396427</x:v>
      </x:c>
      <x:c r="K171" s="31" t="n">
        <x:v>0</x:v>
      </x:c>
      <x:c r="L171" s="31" t="n">
        <x:v>34.9562643996</x:v>
      </x:c>
      <x:c r="M171" s="31" t="n">
        <x:v>2.3121752431</x:v>
      </x:c>
      <x:c r="N171" s="24" t="str">
        <x:v>kajikia albida</x:v>
      </x:c>
      <x:c r="O171" s="32" t="n">
        <x:v>4.49</x:v>
      </x:c>
      <x:c r="P171" s="24" t="str">
        <x:v>exact_2020_supplement</x:v>
      </x:c>
      <x:c r="Q171" s="32" t="str">
        <x:v>2020 supplement MeanTL</x:v>
      </x:c>
      <x:c r="R171" s="24" t="str">
        <x:v>high</x:v>
      </x:c>
      <x:c r="S171" s="24" t="str">
        <x:v>Kajikia albida</x:v>
      </x:c>
      <x:c r="T171" s="32" t="n">
        <x:f>IF(O171="","",(1/'Metadata'!$B$5)^(O171-1))</x:f>
        <x:v>3090.295432513592</x:v>
      </x:c>
      <x:c r="U171" s="31" t="n">
        <x:f>IF(T171="","",I171*T171)</x:f>
        <x:v>115170.48880474431</x:v>
      </x:c>
    </x:row>
    <x:row r="172" ht="18" customHeight="1">
      <x:c r="A172" s="24" t="str">
        <x:v>LME_005</x:v>
      </x:c>
      <x:c r="B172" s="24" t="str">
        <x:v>Gulf of Mexico</x:v>
      </x:c>
      <x:c r="C172" s="24" t="str">
        <x:v>LME</x:v>
      </x:c>
      <x:c r="D172" s="30" t="n">
        <x:v>2019</x:v>
      </x:c>
      <x:c r="E172" s="24" t="str">
        <x:v>Calamus calamus</x:v>
      </x:c>
      <x:c r="F172" s="24" t="str">
        <x:v>Saucereye porgy</x:v>
      </x:c>
      <x:c r="G172" s="24" t="str">
        <x:v>Medium reef assoc. fish (30 - 89 cm)</x:v>
      </x:c>
      <x:c r="H172" s="24" t="str">
        <x:v>Perch-likes</x:v>
      </x:c>
      <x:c r="I172" s="31" t="n">
        <x:v>36.5050104395</x:v>
      </x:c>
      <x:c r="J172" s="31" t="n">
        <x:v>36.5050104395</x:v>
      </x:c>
      <x:c r="K172" s="31" t="n">
        <x:v>0</x:v>
      </x:c>
      <x:c r="L172" s="31" t="n">
        <x:v>0</x:v>
      </x:c>
      <x:c r="M172" s="31" t="n">
        <x:v>36.5050104395</x:v>
      </x:c>
      <x:c r="N172" s="24" t="str">
        <x:v>calamus calamus</x:v>
      </x:c>
      <x:c r="O172" s="32" t="n">
        <x:v>3.5</x:v>
      </x:c>
      <x:c r="P172" s="24" t="str">
        <x:v>exact_2020_supplement</x:v>
      </x:c>
      <x:c r="Q172" s="32" t="str">
        <x:v>2020 supplement MeanTL</x:v>
      </x:c>
      <x:c r="R172" s="24" t="str">
        <x:v>high</x:v>
      </x:c>
      <x:c r="S172" s="24" t="str">
        <x:v>Calamus calamus</x:v>
      </x:c>
      <x:c r="T172" s="32" t="n">
        <x:f>IF(O172="","",(1/'Metadata'!$B$5)^(O172-1))</x:f>
        <x:v>316.22776601683796</x:v>
      </x:c>
      <x:c r="U172" s="31" t="n">
        <x:f>IF(T172="","",I172*T172)</x:f>
        <x:v>11543.897899704432</x:v>
      </x:c>
    </x:row>
    <x:row r="173" ht="18" customHeight="1">
      <x:c r="A173" s="24" t="str">
        <x:v>LME_005</x:v>
      </x:c>
      <x:c r="B173" s="24" t="str">
        <x:v>Gulf of Mexico</x:v>
      </x:c>
      <x:c r="C173" s="24" t="str">
        <x:v>LME</x:v>
      </x:c>
      <x:c r="D173" s="30" t="n">
        <x:v>2019</x:v>
      </x:c>
      <x:c r="E173" s="24" t="str">
        <x:v>Penaeus brasiliensis</x:v>
      </x:c>
      <x:c r="F173" s="24" t="str">
        <x:v>Redspotted shrimp</x:v>
      </x:c>
      <x:c r="G173" s="24" t="str">
        <x:v>Shrimps</x:v>
      </x:c>
      <x:c r="H173" s="24" t="str">
        <x:v>Crustaceans</x:v>
      </x:c>
      <x:c r="I173" s="31" t="n">
        <x:v>36.1337904343</x:v>
      </x:c>
      <x:c r="J173" s="31" t="n">
        <x:v>36.1337904343</x:v>
      </x:c>
      <x:c r="K173" s="31" t="n">
        <x:v>0</x:v>
      </x:c>
      <x:c r="L173" s="31" t="n">
        <x:v>27.977242989900002</x:v>
      </x:c>
      <x:c r="M173" s="31" t="n">
        <x:v>8.1565474444</x:v>
      </x:c>
      <x:c r="N173" s="24" t="str">
        <x:v>penaeus brasiliensis</x:v>
      </x:c>
      <x:c r="O173" s="32" t="n">
        <x:v>2.7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Penaeus brasiliensis</x:v>
      </x:c>
      <x:c r="T173" s="32" t="n">
        <x:f>IF(O173="","",(1/'Metadata'!$B$5)^(O173-1))</x:f>
        <x:v>50.11872336272725</x:v>
      </x:c>
      <x:c r="U173" s="31" t="n">
        <x:f>IF(T173="","",I173*T173)</x:f>
        <x:v>1810.979446823442</x:v>
      </x:c>
    </x:row>
    <x:row r="174" ht="18" customHeight="1">
      <x:c r="A174" s="24" t="str">
        <x:v>LME_005</x:v>
      </x:c>
      <x:c r="B174" s="24" t="str">
        <x:v>Gulf of Mexico</x:v>
      </x:c>
      <x:c r="C174" s="24" t="str">
        <x:v>LME</x:v>
      </x:c>
      <x:c r="D174" s="30" t="n">
        <x:v>2019</x:v>
      </x:c>
      <x:c r="E174" s="24" t="str">
        <x:v>Lepisosteus osseus</x:v>
      </x:c>
      <x:c r="F174" s="24" t="str">
        <x:v>Longnose gar</x:v>
      </x:c>
      <x:c r="G174" s="24" t="str">
        <x:v>Large demersals (&gt;=90 cm)</x:v>
      </x:c>
      <x:c r="H174" s="24" t="str">
        <x:v>Other fishes &amp; inverts</x:v>
      </x:c>
      <x:c r="I174" s="31" t="n">
        <x:v>34.0948405942</x:v>
      </x:c>
      <x:c r="J174" s="31" t="n">
        <x:v>34.0948405942</x:v>
      </x:c>
      <x:c r="K174" s="31" t="n">
        <x:v>0</x:v>
      </x:c>
      <x:c r="L174" s="31" t="n">
        <x:v>0</x:v>
      </x:c>
      <x:c r="M174" s="31" t="n">
        <x:v>34.0948405942</x:v>
      </x:c>
      <x:c r="N174" s="24" t="str">
        <x:v>lepisosteus osseus</x:v>
      </x:c>
      <x:c r="O174" s="32" t="n">
        <x:v>4.19</x:v>
      </x:c>
      <x:c r="P174" s="24" t="str">
        <x:v>exact_2020_supplement</x:v>
      </x:c>
      <x:c r="Q174" s="32" t="str">
        <x:v>2020 supplement MeanTL</x:v>
      </x:c>
      <x:c r="R174" s="24" t="str">
        <x:v>high</x:v>
      </x:c>
      <x:c r="S174" s="24" t="str">
        <x:v>Lepisosteus osseus</x:v>
      </x:c>
      <x:c r="T174" s="32" t="n">
        <x:f>IF(O174="","",(1/'Metadata'!$B$5)^(O174-1))</x:f>
        <x:v>1548.8166189124827</x:v>
      </x:c>
      <x:c r="U174" s="31" t="n">
        <x:f>IF(T174="","",I174*T174)</x:f>
        <x:v>52806.655731468905</x:v>
      </x:c>
    </x:row>
    <x:row r="175" ht="18" customHeight="1">
      <x:c r="A175" s="24" t="str">
        <x:v>LME_005</x:v>
      </x:c>
      <x:c r="B175" s="24" t="str">
        <x:v>Gulf of Mexico</x:v>
      </x:c>
      <x:c r="C175" s="24" t="str">
        <x:v>LME</x:v>
      </x:c>
      <x:c r="D175" s="30" t="n">
        <x:v>2019</x:v>
      </x:c>
      <x:c r="E175" s="24" t="str">
        <x:v>Pristipomoides</x:v>
      </x:c>
      <x:c r="F175" s="24" t="str">
        <x:v>Jobfishes</x:v>
      </x:c>
      <x:c r="G175" s="24" t="str">
        <x:v>Medium demersals (30 - 89 cm)</x:v>
      </x:c>
      <x:c r="H175" s="24" t="str">
        <x:v>Perch-likes</x:v>
      </x:c>
      <x:c r="I175" s="31" t="n">
        <x:v>34.0406926586</x:v>
      </x:c>
      <x:c r="J175" s="31" t="n">
        <x:v>0</x:v>
      </x:c>
      <x:c r="K175" s="31" t="n">
        <x:v>34.0406926586</x:v>
      </x:c>
      <x:c r="L175" s="31" t="n">
        <x:v>0</x:v>
      </x:c>
      <x:c r="M175" s="31" t="n">
        <x:v>34.0406926586</x:v>
      </x:c>
      <x:c r="N175" s="24" t="str">
        <x:v>pristipomoides</x:v>
      </x:c>
      <x:c r="O175" s="32" t="n">
        <x:v>3.91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Pristipomoides</x:v>
      </x:c>
      <x:c r="T175" s="32" t="n">
        <x:f>IF(O175="","",(1/'Metadata'!$B$5)^(O175-1))</x:f>
        <x:v>812.8305161640995</x:v>
      </x:c>
      <x:c r="U175" s="31" t="n">
        <x:f>IF(T175="","",I175*T175)</x:f>
        <x:v>27669.313784273312</x:v>
      </x:c>
    </x:row>
    <x:row r="176" ht="18" customHeight="1">
      <x:c r="A176" s="24" t="str">
        <x:v>LME_005</x:v>
      </x:c>
      <x:c r="B176" s="24" t="str">
        <x:v>Gulf of Mexico</x:v>
      </x:c>
      <x:c r="C176" s="24" t="str">
        <x:v>LME</x:v>
      </x:c>
      <x:c r="D176" s="30" t="n">
        <x:v>2019</x:v>
      </x:c>
      <x:c r="E176" s="24" t="str">
        <x:v>Hemiramphus brasiliensis</x:v>
      </x:c>
      <x:c r="F176" s="24" t="str">
        <x:v>Ballyhoo halfbeak</x:v>
      </x:c>
      <x:c r="G176" s="24" t="str">
        <x:v>Medium pelagics (30 - 89 cm)</x:v>
      </x:c>
      <x:c r="H176" s="24" t="str">
        <x:v>Other fishes &amp; inverts</x:v>
      </x:c>
      <x:c r="I176" s="31" t="n">
        <x:v>32.7641332367</x:v>
      </x:c>
      <x:c r="J176" s="31" t="n">
        <x:v>32.7641332367</x:v>
      </x:c>
      <x:c r="K176" s="31" t="n">
        <x:v>0</x:v>
      </x:c>
      <x:c r="L176" s="31" t="n">
        <x:v>0.3492986168</x:v>
      </x:c>
      <x:c r="M176" s="31" t="n">
        <x:v>32.4148346199</x:v>
      </x:c>
      <x:c r="N176" s="24" t="str">
        <x:v>hemiramphus brasiliensis</x:v>
      </x:c>
      <x:c r="O176" s="32" t="n">
        <x:v>2.28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Hemiramphus brasiliensis</x:v>
      </x:c>
      <x:c r="T176" s="32" t="n">
        <x:f>IF(O176="","",(1/'Metadata'!$B$5)^(O176-1))</x:f>
        <x:v>19.054607179632463</x:v>
      </x:c>
      <x:c r="U176" s="31" t="n">
        <x:f>IF(T176="","",I176*T176)</x:f>
        <x:v>624.3076884064584</x:v>
      </x:c>
    </x:row>
    <x:row r="177" ht="18" customHeight="1">
      <x:c r="A177" s="24" t="str">
        <x:v>LME_005</x:v>
      </x:c>
      <x:c r="B177" s="24" t="str">
        <x:v>Gulf of Mexico</x:v>
      </x:c>
      <x:c r="C177" s="24" t="str">
        <x:v>LME</x:v>
      </x:c>
      <x:c r="D177" s="30" t="n">
        <x:v>2019</x:v>
      </x:c>
      <x:c r="E177" s="24" t="str">
        <x:v>Squalus acanthias</x:v>
      </x:c>
      <x:c r="F177" s="24" t="str">
        <x:v>Picked dogfish</x:v>
      </x:c>
      <x:c r="G177" s="24" t="str">
        <x:v>Large sharks (&gt;=90 cm)</x:v>
      </x:c>
      <x:c r="H177" s="24" t="str">
        <x:v>Sharks &amp; rays</x:v>
      </x:c>
      <x:c r="I177" s="31" t="n">
        <x:v>32.7261876049</x:v>
      </x:c>
      <x:c r="J177" s="31" t="n">
        <x:v>32.7261876049</x:v>
      </x:c>
      <x:c r="K177" s="31" t="n">
        <x:v>0</x:v>
      </x:c>
      <x:c r="L177" s="31" t="n">
        <x:v>31.2776386567</x:v>
      </x:c>
      <x:c r="M177" s="31" t="n">
        <x:v>1.4485489482</x:v>
      </x:c>
      <x:c r="N177" s="24" t="str">
        <x:v>squalus acanthias</x:v>
      </x:c>
      <x:c r="O177" s="32" t="n">
        <x:v>4.37</x:v>
      </x:c>
      <x:c r="P177" s="24" t="str">
        <x:v>exact_2020_supplement</x:v>
      </x:c>
      <x:c r="Q177" s="32" t="str">
        <x:v>2020 supplement MeanTL</x:v>
      </x:c>
      <x:c r="R177" s="24" t="str">
        <x:v>high</x:v>
      </x:c>
      <x:c r="S177" s="24" t="str">
        <x:v>Squalus acanthias</x:v>
      </x:c>
      <x:c r="T177" s="32" t="n">
        <x:f>IF(O177="","",(1/'Metadata'!$B$5)^(O177-1))</x:f>
        <x:v>2344.228815319923</x:v>
      </x:c>
      <x:c r="U177" s="31" t="n">
        <x:f>IF(T177="","",I177*T177)</x:f>
        <x:v>76717.67199897226</x:v>
      </x:c>
    </x:row>
    <x:row r="178" ht="18" customHeight="1">
      <x:c r="A178" s="24" t="str">
        <x:v>LME_005</x:v>
      </x:c>
      <x:c r="B178" s="24" t="str">
        <x:v>Gulf of Mexico</x:v>
      </x:c>
      <x:c r="C178" s="24" t="str">
        <x:v>LME</x:v>
      </x:c>
      <x:c r="D178" s="30" t="n">
        <x:v>2019</x:v>
      </x:c>
      <x:c r="E178" s="24" t="str">
        <x:v>Negaprion brevirostris</x:v>
      </x:c>
      <x:c r="F178" s="24" t="str">
        <x:v>Lemon shark</x:v>
      </x:c>
      <x:c r="G178" s="24" t="str">
        <x:v>Large sharks (&gt;=90 cm)</x:v>
      </x:c>
      <x:c r="H178" s="24" t="str">
        <x:v>Sharks &amp; rays</x:v>
      </x:c>
      <x:c r="I178" s="31" t="n">
        <x:v>32.028533955499995</x:v>
      </x:c>
      <x:c r="J178" s="31" t="n">
        <x:v>29.1104755788</x:v>
      </x:c>
      <x:c r="K178" s="31" t="n">
        <x:v>2.9180583767</x:v>
      </x:c>
      <x:c r="L178" s="31" t="n">
        <x:v>29.0836486915</x:v>
      </x:c>
      <x:c r="M178" s="31" t="n">
        <x:v>2.944885264</x:v>
      </x:c>
      <x:c r="N178" s="24" t="str">
        <x:v>negaprion brevirostris</x:v>
      </x:c>
      <x:c r="O178" s="32" t="n">
        <x:v>4.27</x:v>
      </x:c>
      <x:c r="P178" s="24" t="str">
        <x:v>exact_2020_supplement</x:v>
      </x:c>
      <x:c r="Q178" s="32" t="str">
        <x:v>2020 supplement MeanTL</x:v>
      </x:c>
      <x:c r="R178" s="24" t="str">
        <x:v>high</x:v>
      </x:c>
      <x:c r="S178" s="24" t="str">
        <x:v>Negaprion brevirostris</x:v>
      </x:c>
      <x:c r="T178" s="32" t="n">
        <x:f>IF(O178="","",(1/'Metadata'!$B$5)^(O178-1))</x:f>
        <x:v>1862.0871366628655</x:v>
      </x:c>
      <x:c r="U178" s="31" t="n">
        <x:f>IF(T178="","",I178*T178)</x:f>
        <x:v>59639.92108470635</x:v>
      </x:c>
    </x:row>
    <x:row r="179" ht="18" customHeight="1">
      <x:c r="A179" s="24" t="str">
        <x:v>LME_005</x:v>
      </x:c>
      <x:c r="B179" s="24" t="str">
        <x:v>Gulf of Mexico</x:v>
      </x:c>
      <x:c r="C179" s="24" t="str">
        <x:v>LME</x:v>
      </x:c>
      <x:c r="D179" s="30" t="n">
        <x:v>2019</x:v>
      </x:c>
      <x:c r="E179" s="24" t="str">
        <x:v>Lutjanus vivanus</x:v>
      </x:c>
      <x:c r="F179" s="24" t="str">
        <x:v>Silk snapper</x:v>
      </x:c>
      <x:c r="G179" s="24" t="str">
        <x:v>Medium demersals (30 - 89 cm)</x:v>
      </x:c>
      <x:c r="H179" s="24" t="str">
        <x:v>Perch-likes</x:v>
      </x:c>
      <x:c r="I179" s="31" t="n">
        <x:v>31.9201284812</x:v>
      </x:c>
      <x:c r="J179" s="31" t="n">
        <x:v>31.0911413594</x:v>
      </x:c>
      <x:c r="K179" s="31" t="n">
        <x:v>0.8289871218</x:v>
      </x:c>
      <x:c r="L179" s="31" t="n">
        <x:v>21.500258705700002</x:v>
      </x:c>
      <x:c r="M179" s="31" t="n">
        <x:v>10.4198697755</x:v>
      </x:c>
      <x:c r="N179" s="24" t="str">
        <x:v>lutjanus vivanus</x:v>
      </x:c>
      <x:c r="O179" s="32" t="n">
        <x:v>3.09</x:v>
      </x:c>
      <x:c r="P179" s="24" t="str">
        <x:v>exact_2020_supplement</x:v>
      </x:c>
      <x:c r="Q179" s="32" t="str">
        <x:v>2020 supplement MeanTL</x:v>
      </x:c>
      <x:c r="R179" s="24" t="str">
        <x:v>high</x:v>
      </x:c>
      <x:c r="S179" s="24" t="str">
        <x:v>Lutjanus vivanus</x:v>
      </x:c>
      <x:c r="T179" s="32" t="n">
        <x:f>IF(O179="","",(1/'Metadata'!$B$5)^(O179-1))</x:f>
        <x:v>123.02687708123811</x:v>
      </x:c>
      <x:c r="U179" s="31" t="n">
        <x:f>IF(T179="","",I179*T179)</x:f>
        <x:v>3927.03372307392</x:v>
      </x:c>
    </x:row>
    <x:row r="180" ht="18" customHeight="1">
      <x:c r="A180" s="24" t="str">
        <x:v>LME_005</x:v>
      </x:c>
      <x:c r="B180" s="24" t="str">
        <x:v>Gulf of Mexico</x:v>
      </x:c>
      <x:c r="C180" s="24" t="str">
        <x:v>LME</x:v>
      </x:c>
      <x:c r="D180" s="30" t="n">
        <x:v>2019</x:v>
      </x:c>
      <x:c r="E180" s="24" t="str">
        <x:v>Istiophorus albicans</x:v>
      </x:c>
      <x:c r="F180" s="24" t="str">
        <x:v>Atlantic sailfish</x:v>
      </x:c>
      <x:c r="G180" s="24" t="str">
        <x:v>Large pelagics (&gt;=90 cm)</x:v>
      </x:c>
      <x:c r="H180" s="24" t="str">
        <x:v>Tuna &amp; billfishes</x:v>
      </x:c>
      <x:c r="I180" s="31" t="n">
        <x:v>31.2619975656</x:v>
      </x:c>
      <x:c r="J180" s="31" t="n">
        <x:v>31.2619975656</x:v>
      </x:c>
      <x:c r="K180" s="31" t="n">
        <x:v>0</x:v>
      </x:c>
      <x:c r="L180" s="31" t="n">
        <x:v>26.5381422668</x:v>
      </x:c>
      <x:c r="M180" s="31" t="n">
        <x:v>4.7238552988</x:v>
      </x:c>
      <x:c r="N180" s="24" t="str">
        <x:v>istiophorus albicans</x:v>
      </x:c>
      <x:c r="O180" s="32" t="n">
        <x:v>4.5</x:v>
      </x:c>
      <x:c r="P180" s="24" t="str">
        <x:v>exact_2020_supplement</x:v>
      </x:c>
      <x:c r="Q180" s="32" t="str">
        <x:v>2020 supplement MeanTL</x:v>
      </x:c>
      <x:c r="R180" s="24" t="str">
        <x:v>high</x:v>
      </x:c>
      <x:c r="S180" s="24" t="str">
        <x:v>Istiophorus albicans</x:v>
      </x:c>
      <x:c r="T180" s="32" t="n">
        <x:f>IF(O180="","",(1/'Metadata'!$B$5)^(O180-1))</x:f>
        <x:v>3162.2776601683795</x:v>
      </x:c>
      <x:c r="U180" s="31" t="n">
        <x:f>IF(T180="","",I180*T180)</x:f>
        <x:v>98859.11651393515</x:v>
      </x:c>
    </x:row>
    <x:row r="181" ht="18" customHeight="1">
      <x:c r="A181" s="24" t="str">
        <x:v>LME_005</x:v>
      </x:c>
      <x:c r="B181" s="24" t="str">
        <x:v>Gulf of Mexico</x:v>
      </x:c>
      <x:c r="C181" s="24" t="str">
        <x:v>LME</x:v>
      </x:c>
      <x:c r="D181" s="30" t="n">
        <x:v>2019</x:v>
      </x:c>
      <x:c r="E181" s="24" t="str">
        <x:v>Etelis oculatus</x:v>
      </x:c>
      <x:c r="F181" s="24" t="str">
        <x:v>Queen snapper</x:v>
      </x:c>
      <x:c r="G181" s="24" t="str">
        <x:v>Medium bathydemersals (30 - 89 cm)</x:v>
      </x:c>
      <x:c r="H181" s="24" t="str">
        <x:v>Perch-likes</x:v>
      </x:c>
      <x:c r="I181" s="31" t="n">
        <x:v>30.9278724435</x:v>
      </x:c>
      <x:c r="J181" s="31" t="n">
        <x:v>12.9969419073</x:v>
      </x:c>
      <x:c r="K181" s="31" t="n">
        <x:v>17.9309305362</x:v>
      </x:c>
      <x:c r="L181" s="31" t="n">
        <x:v>7.4979004301000005</x:v>
      </x:c>
      <x:c r="M181" s="31" t="n">
        <x:v>23.4299720134</x:v>
      </x:c>
      <x:c r="N181" s="24" t="str">
        <x:v>etelis oculatus</x:v>
      </x:c>
      <x:c r="O181" s="32" t="n">
        <x:v>4.18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Etelis oculatus</x:v>
      </x:c>
      <x:c r="T181" s="32" t="n">
        <x:f>IF(O181="","",(1/'Metadata'!$B$5)^(O181-1))</x:f>
        <x:v>1513.5612484362073</x:v>
      </x:c>
      <x:c r="U181" s="31" t="n">
        <x:f>IF(T181="","",I181*T181)</x:f>
        <x:v>46811.22922705963</x:v>
      </x:c>
    </x:row>
    <x:row r="182" ht="18" customHeight="1">
      <x:c r="A182" s="24" t="str">
        <x:v>LME_005</x:v>
      </x:c>
      <x:c r="B182" s="24" t="str">
        <x:v>Gulf of Mexico</x:v>
      </x:c>
      <x:c r="C182" s="24" t="str">
        <x:v>LME</x:v>
      </x:c>
      <x:c r="D182" s="30" t="n">
        <x:v>2019</x:v>
      </x:c>
      <x:c r="E182" s="24" t="str">
        <x:v>Aluterus</x:v>
      </x:c>
      <x:c r="F182" s="24" t="str">
        <x:v>Aluterid filefishes</x:v>
      </x:c>
      <x:c r="G182" s="24" t="str">
        <x:v>Large reef assoc. fish (&gt;=90 cm)</x:v>
      </x:c>
      <x:c r="H182" s="24" t="str">
        <x:v>Other fishes &amp; inverts</x:v>
      </x:c>
      <x:c r="I182" s="31" t="n">
        <x:v>29.8512847384</x:v>
      </x:c>
      <x:c r="J182" s="31" t="n">
        <x:v>0</x:v>
      </x:c>
      <x:c r="K182" s="31" t="n">
        <x:v>29.8512847384</x:v>
      </x:c>
      <x:c r="L182" s="31" t="n">
        <x:v>0</x:v>
      </x:c>
      <x:c r="M182" s="31" t="n">
        <x:v>29.8512847384</x:v>
      </x:c>
      <x:c r="N182" s="24" t="str">
        <x:v>aluterus</x:v>
      </x:c>
      <x:c r="O182" s="32" t="n">
        <x:v>2.81</x:v>
      </x:c>
      <x:c r="P182" s="24" t="str">
        <x:v>exact_sea_around_us</x:v>
      </x:c>
      <x:c r="Q182" s="32" t="str">
        <x:v>Sea Around Us exploited organisms</x:v>
      </x:c>
      <x:c r="R182" s="24" t="str">
        <x:v>high</x:v>
      </x:c>
      <x:c r="S182" s="24" t="str">
        <x:v>Aluterus</x:v>
      </x:c>
      <x:c r="T182" s="32" t="n">
        <x:f>IF(O182="","",(1/'Metadata'!$B$5)^(O182-1))</x:f>
        <x:v>64.56542290346556</x:v>
      </x:c>
      <x:c r="U182" s="31" t="n">
        <x:f>IF(T182="","",I182*T182)</x:f>
        <x:v>1927.3608233465634</x:v>
      </x:c>
    </x:row>
    <x:row r="183" ht="18" customHeight="1">
      <x:c r="A183" s="24" t="str">
        <x:v>LME_005</x:v>
      </x:c>
      <x:c r="B183" s="24" t="str">
        <x:v>Gulf of Mexico</x:v>
      </x:c>
      <x:c r="C183" s="24" t="str">
        <x:v>LME</x:v>
      </x:c>
      <x:c r="D183" s="30" t="n">
        <x:v>2019</x:v>
      </x:c>
      <x:c r="E183" s="24" t="str">
        <x:v>Eugerres plumieri</x:v>
      </x:c>
      <x:c r="F183" s="24" t="str">
        <x:v>Striped mojarra</x:v>
      </x:c>
      <x:c r="G183" s="24" t="str">
        <x:v>Medium demersals (30 - 89 cm)</x:v>
      </x:c>
      <x:c r="H183" s="24" t="str">
        <x:v>Other fishes &amp; inverts</x:v>
      </x:c>
      <x:c r="I183" s="31" t="n">
        <x:v>27.4430766019</x:v>
      </x:c>
      <x:c r="J183" s="31" t="n">
        <x:v>27.4430766019</x:v>
      </x:c>
      <x:c r="K183" s="31" t="n">
        <x:v>0</x:v>
      </x:c>
      <x:c r="L183" s="31" t="n">
        <x:v>0</x:v>
      </x:c>
      <x:c r="M183" s="31" t="n">
        <x:v>27.4430766019</x:v>
      </x:c>
      <x:c r="N183" s="24" t="str">
        <x:v>eugerres plumieri</x:v>
      </x:c>
      <x:c r="O183" s="32" t="n">
        <x:v>2.2</x:v>
      </x:c>
      <x:c r="P183" s="24" t="str">
        <x:v>exact_2020_supplement</x:v>
      </x:c>
      <x:c r="Q183" s="32" t="str">
        <x:v>2020 supplement MeanTL</x:v>
      </x:c>
      <x:c r="R183" s="24" t="str">
        <x:v>high</x:v>
      </x:c>
      <x:c r="S183" s="24" t="str">
        <x:v>Eugerres plumieri</x:v>
      </x:c>
      <x:c r="T183" s="32" t="n">
        <x:f>IF(O183="","",(1/'Metadata'!$B$5)^(O183-1))</x:f>
        <x:v>15.848931924611142</x:v>
      </x:c>
      <x:c r="U183" s="31" t="n">
        <x:f>IF(T183="","",I183*T183)</x:f>
        <x:v>434.943452865402</x:v>
      </x:c>
    </x:row>
    <x:row r="184" ht="18" customHeight="1">
      <x:c r="A184" s="24" t="str">
        <x:v>LME_005</x:v>
      </x:c>
      <x:c r="B184" s="24" t="str">
        <x:v>Gulf of Mexico</x:v>
      </x:c>
      <x:c r="C184" s="24" t="str">
        <x:v>LME</x:v>
      </x:c>
      <x:c r="D184" s="30" t="n">
        <x:v>2019</x:v>
      </x:c>
      <x:c r="E184" s="24" t="str">
        <x:v>Elagatis bipinnulata</x:v>
      </x:c>
      <x:c r="F184" s="24" t="str">
        <x:v>Rainbow runner</x:v>
      </x:c>
      <x:c r="G184" s="24" t="str">
        <x:v>Large pelagics (&gt;=90 cm)</x:v>
      </x:c>
      <x:c r="H184" s="24" t="str">
        <x:v>Perch-likes</x:v>
      </x:c>
      <x:c r="I184" s="31" t="n">
        <x:v>25.9905163528</x:v>
      </x:c>
      <x:c r="J184" s="31" t="n">
        <x:v>25.9905163528</x:v>
      </x:c>
      <x:c r="K184" s="31" t="n">
        <x:v>0</x:v>
      </x:c>
      <x:c r="L184" s="31" t="n">
        <x:v>0.0415799307</x:v>
      </x:c>
      <x:c r="M184" s="31" t="n">
        <x:v>25.9489364221</x:v>
      </x:c>
      <x:c r="N184" s="24" t="str">
        <x:v>elagatis bipinnulata</x:v>
      </x:c>
      <x:c r="O184" s="32" t="n">
        <x:v>4.27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Elagatis bipinnulata</x:v>
      </x:c>
      <x:c r="T184" s="32" t="n">
        <x:f>IF(O184="","",(1/'Metadata'!$B$5)^(O184-1))</x:f>
        <x:v>1862.0871366628655</x:v>
      </x:c>
      <x:c r="U184" s="31" t="n">
        <x:f>IF(T184="","",I184*T184)</x:f>
        <x:v>48396.60617577474</x:v>
      </x:c>
    </x:row>
    <x:row r="185" ht="18" customHeight="1">
      <x:c r="A185" s="24" t="str">
        <x:v>LME_005</x:v>
      </x:c>
      <x:c r="B185" s="24" t="str">
        <x:v>Gulf of Mexico</x:v>
      </x:c>
      <x:c r="C185" s="24" t="str">
        <x:v>LME</x:v>
      </x:c>
      <x:c r="D185" s="30" t="n">
        <x:v>2019</x:v>
      </x:c>
      <x:c r="E185" s="24" t="str">
        <x:v>Seriola rivoliana</x:v>
      </x:c>
      <x:c r="F185" s="24" t="str">
        <x:v>Longfin yellowtail</x:v>
      </x:c>
      <x:c r="G185" s="24" t="str">
        <x:v>Large benthopelagics (&gt;=90 cm)</x:v>
      </x:c>
      <x:c r="H185" s="24" t="str">
        <x:v>Perch-likes</x:v>
      </x:c>
      <x:c r="I185" s="31" t="n">
        <x:v>24.025514123500002</x:v>
      </x:c>
      <x:c r="J185" s="31" t="n">
        <x:v>24.025514123500002</x:v>
      </x:c>
      <x:c r="K185" s="31" t="n">
        <x:v>0</x:v>
      </x:c>
      <x:c r="L185" s="31" t="n">
        <x:v>20.8826332445</x:v>
      </x:c>
      <x:c r="M185" s="31" t="n">
        <x:v>3.1428808790000002</x:v>
      </x:c>
      <x:c r="N185" s="24" t="str">
        <x:v>seriola rivoliana</x:v>
      </x:c>
      <x:c r="O185" s="32" t="n">
        <x:v>4.45</x:v>
      </x:c>
      <x:c r="P185" s="24" t="str">
        <x:v>exact_2020_supplement</x:v>
      </x:c>
      <x:c r="Q185" s="32" t="str">
        <x:v>2020 supplement MeanTL</x:v>
      </x:c>
      <x:c r="R185" s="24" t="str">
        <x:v>high</x:v>
      </x:c>
      <x:c r="S185" s="24" t="str">
        <x:v>Seriola rivoliana</x:v>
      </x:c>
      <x:c r="T185" s="32" t="n">
        <x:f>IF(O185="","",(1/'Metadata'!$B$5)^(O185-1))</x:f>
        <x:v>2818.382931264455</x:v>
      </x:c>
      <x:c r="U185" s="31" t="n">
        <x:f>IF(T185="","",I185*T185)</x:f>
        <x:v>67713.09892052549</x:v>
      </x:c>
    </x:row>
    <x:row r="186" ht="18" customHeight="1">
      <x:c r="A186" s="24" t="str">
        <x:v>LME_005</x:v>
      </x:c>
      <x:c r="B186" s="24" t="str">
        <x:v>Gulf of Mexico</x:v>
      </x:c>
      <x:c r="C186" s="24" t="str">
        <x:v>LME</x:v>
      </x:c>
      <x:c r="D186" s="30" t="n">
        <x:v>2019</x:v>
      </x:c>
      <x:c r="E186" s="24" t="str">
        <x:v>Ginglymostoma cirratum</x:v>
      </x:c>
      <x:c r="F186" s="24" t="str">
        <x:v>Nurse shark</x:v>
      </x:c>
      <x:c r="G186" s="24" t="str">
        <x:v>Large sharks (&gt;=90 cm)</x:v>
      </x:c>
      <x:c r="H186" s="24" t="str">
        <x:v>Sharks &amp; rays</x:v>
      </x:c>
      <x:c r="I186" s="31" t="n">
        <x:v>23.1022356</x:v>
      </x:c>
      <x:c r="J186" s="31" t="n">
        <x:v>23.1022356</x:v>
      </x:c>
      <x:c r="K186" s="31" t="n">
        <x:v>0</x:v>
      </x:c>
      <x:c r="L186" s="31" t="n">
        <x:v>17.4452531502</x:v>
      </x:c>
      <x:c r="M186" s="31" t="n">
        <x:v>5.6569824498</x:v>
      </x:c>
      <x:c r="N186" s="24" t="str">
        <x:v>ginglymostoma cirratum</x:v>
      </x:c>
      <x:c r="O186" s="32" t="n">
        <x:v>4.15</x:v>
      </x:c>
      <x:c r="P186" s="24" t="str">
        <x:v>exact_2020_supplement</x:v>
      </x:c>
      <x:c r="Q186" s="32" t="str">
        <x:v>2020 supplement MeanTL</x:v>
      </x:c>
      <x:c r="R186" s="24" t="str">
        <x:v>high</x:v>
      </x:c>
      <x:c r="S186" s="24" t="str">
        <x:v>Ginglymostoma cirratum</x:v>
      </x:c>
      <x:c r="T186" s="32" t="n">
        <x:f>IF(O186="","",(1/'Metadata'!$B$5)^(O186-1))</x:f>
        <x:v>1412.5375446227554</x:v>
      </x:c>
      <x:c r="U186" s="31" t="n">
        <x:f>IF(T186="","",I186*T186)</x:f>
        <x:v>32632.775149720408</x:v>
      </x:c>
    </x:row>
    <x:row r="187" ht="18" customHeight="1">
      <x:c r="A187" s="24" t="str">
        <x:v>LME_005</x:v>
      </x:c>
      <x:c r="B187" s="24" t="str">
        <x:v>Gulf of Mexico</x:v>
      </x:c>
      <x:c r="C187" s="24" t="str">
        <x:v>LME</x:v>
      </x:c>
      <x:c r="D187" s="30" t="n">
        <x:v>2019</x:v>
      </x:c>
      <x:c r="E187" s="24" t="str">
        <x:v>Pleoticus robustus</x:v>
      </x:c>
      <x:c r="F187" s="24" t="str">
        <x:v>Royal red shrimp</x:v>
      </x:c>
      <x:c r="G187" s="24" t="str">
        <x:v>Shrimps</x:v>
      </x:c>
      <x:c r="H187" s="24" t="str">
        <x:v>Crustaceans</x:v>
      </x:c>
      <x:c r="I187" s="31" t="n">
        <x:v>21.363984428900004</x:v>
      </x:c>
      <x:c r="J187" s="31" t="n">
        <x:v>21.363984428900004</x:v>
      </x:c>
      <x:c r="K187" s="31" t="n">
        <x:v>0</x:v>
      </x:c>
      <x:c r="L187" s="31" t="n">
        <x:v>2.7299658065</x:v>
      </x:c>
      <x:c r="M187" s="31" t="n">
        <x:v>18.634018622400003</x:v>
      </x:c>
      <x:c r="N187" s="24" t="str">
        <x:v>pleoticus robustus</x:v>
      </x:c>
      <x:c r="O187" s="32" t="n">
        <x:v>2.2</x:v>
      </x:c>
      <x:c r="P187" s="24" t="str">
        <x:v>exact_sea_around_us</x:v>
      </x:c>
      <x:c r="Q187" s="32" t="str">
        <x:v>Sea Around Us exploited organisms</x:v>
      </x:c>
      <x:c r="R187" s="24" t="str">
        <x:v>high</x:v>
      </x:c>
      <x:c r="S187" s="24" t="str">
        <x:v>Pleoticus robustus</x:v>
      </x:c>
      <x:c r="T187" s="32" t="n">
        <x:f>IF(O187="","",(1/'Metadata'!$B$5)^(O187-1))</x:f>
        <x:v>15.848931924611142</x:v>
      </x:c>
      <x:c r="U187" s="31" t="n">
        <x:f>IF(T187="","",I187*T187)</x:f>
        <x:v>338.5963348520886</x:v>
      </x:c>
    </x:row>
    <x:row r="188" ht="18" customHeight="1">
      <x:c r="A188" s="24" t="str">
        <x:v>LME_005</x:v>
      </x:c>
      <x:c r="B188" s="24" t="str">
        <x:v>Gulf of Mexico</x:v>
      </x:c>
      <x:c r="C188" s="24" t="str">
        <x:v>LME</x:v>
      </x:c>
      <x:c r="D188" s="30" t="n">
        <x:v>2019</x:v>
      </x:c>
      <x:c r="E188" s="24" t="str">
        <x:v>Turbo castanea</x:v>
      </x:c>
      <x:c r="F188" s="24" t="str">
        <x:v>Chestnut turban</x:v>
      </x:c>
      <x:c r="G188" s="24" t="str">
        <x:v>Other demersal invertebrates</x:v>
      </x:c>
      <x:c r="H188" s="24" t="str">
        <x:v>Molluscs</x:v>
      </x:c>
      <x:c r="I188" s="31" t="n">
        <x:v>20.3916807724</x:v>
      </x:c>
      <x:c r="J188" s="31" t="n">
        <x:v>20.3916807724</x:v>
      </x:c>
      <x:c r="K188" s="31" t="n">
        <x:v>0</x:v>
      </x:c>
      <x:c r="L188" s="31" t="n">
        <x:v>20.3916807724</x:v>
      </x:c>
      <x:c r="M188" s="31" t="n">
        <x:v>0</x:v>
      </x:c>
      <x:c r="N188" s="24" t="str">
        <x:v>turbo castanea</x:v>
      </x:c>
      <x:c r="O188" s="32" t="n">
        <x:v>2.1</x:v>
      </x:c>
      <x:c r="P188" s="24" t="str">
        <x:v>exact_sea_around_us</x:v>
      </x:c>
      <x:c r="Q188" s="32" t="str">
        <x:v>Sea Around Us exploited organisms</x:v>
      </x:c>
      <x:c r="R188" s="24" t="str">
        <x:v>high</x:v>
      </x:c>
      <x:c r="S188" s="24" t="str">
        <x:v>Turbo castanea</x:v>
      </x:c>
      <x:c r="T188" s="32" t="n">
        <x:f>IF(O188="","",(1/'Metadata'!$B$5)^(O188-1))</x:f>
        <x:v>12.589254117941675</x:v>
      </x:c>
      <x:c r="U188" s="31" t="n">
        <x:f>IF(T188="","",I188*T188)</x:f>
        <x:v>256.71605113568876</x:v>
      </x:c>
    </x:row>
    <x:row r="189" ht="18" customHeight="1">
      <x:c r="A189" s="24" t="str">
        <x:v>LME_005</x:v>
      </x:c>
      <x:c r="B189" s="24" t="str">
        <x:v>Gulf of Mexico</x:v>
      </x:c>
      <x:c r="C189" s="24" t="str">
        <x:v>LME</x:v>
      </x:c>
      <x:c r="D189" s="30" t="n">
        <x:v>2019</x:v>
      </x:c>
      <x:c r="E189" s="24" t="str">
        <x:v>Chaceon fenneri</x:v>
      </x:c>
      <x:c r="F189" s="24" t="str">
        <x:v>Golden deepsea crab</x:v>
      </x:c>
      <x:c r="G189" s="24" t="str">
        <x:v>Lobsters, crabs</x:v>
      </x:c>
      <x:c r="H189" s="24" t="str">
        <x:v>Crustaceans</x:v>
      </x:c>
      <x:c r="I189" s="31" t="n">
        <x:v>18.7131455292</x:v>
      </x:c>
      <x:c r="J189" s="31" t="n">
        <x:v>18.7131455292</x:v>
      </x:c>
      <x:c r="K189" s="31" t="n">
        <x:v>0</x:v>
      </x:c>
      <x:c r="L189" s="31" t="n">
        <x:v>18.7131455292</x:v>
      </x:c>
      <x:c r="M189" s="31" t="n">
        <x:v>0</x:v>
      </x:c>
      <x:c r="N189" s="24" t="str">
        <x:v>chaceon fenneri</x:v>
      </x:c>
      <x:c r="O189" s="32" t="n">
        <x:v>3.02</x:v>
      </x:c>
      <x:c r="P189" s="24" t="str">
        <x:v>exact_sea_around_us</x:v>
      </x:c>
      <x:c r="Q189" s="32" t="str">
        <x:v>Sea Around Us exploited organisms</x:v>
      </x:c>
      <x:c r="R189" s="24" t="str">
        <x:v>high</x:v>
      </x:c>
      <x:c r="S189" s="24" t="str">
        <x:v>Chaceon fenneri</x:v>
      </x:c>
      <x:c r="T189" s="32" t="n">
        <x:f>IF(O189="","",(1/'Metadata'!$B$5)^(O189-1))</x:f>
        <x:v>104.71285480508996</x:v>
      </x:c>
      <x:c r="U189" s="31" t="n">
        <x:f>IF(T189="","",I189*T189)</x:f>
        <x:v>1959.5068907456377</x:v>
      </x:c>
    </x:row>
    <x:row r="190" ht="18" customHeight="1">
      <x:c r="A190" s="24" t="str">
        <x:v>LME_005</x:v>
      </x:c>
      <x:c r="B190" s="24" t="str">
        <x:v>Gulf of Mexico</x:v>
      </x:c>
      <x:c r="C190" s="24" t="str">
        <x:v>LME</x:v>
      </x:c>
      <x:c r="D190" s="30" t="n">
        <x:v>2019</x:v>
      </x:c>
      <x:c r="E190" s="24" t="str">
        <x:v>Sphyrna lewini</x:v>
      </x:c>
      <x:c r="F190" s="24" t="str">
        <x:v>Scalloped hammerhead</x:v>
      </x:c>
      <x:c r="G190" s="24" t="str">
        <x:v>Large sharks (&gt;=90 cm)</x:v>
      </x:c>
      <x:c r="H190" s="24" t="str">
        <x:v>Sharks &amp; rays</x:v>
      </x:c>
      <x:c r="I190" s="31" t="n">
        <x:v>18.6192837192</x:v>
      </x:c>
      <x:c r="J190" s="31" t="n">
        <x:v>2.5276220043</x:v>
      </x:c>
      <x:c r="K190" s="31" t="n">
        <x:v>16.0916617149</x:v>
      </x:c>
      <x:c r="L190" s="31" t="n">
        <x:v>0.3266117753</x:v>
      </x:c>
      <x:c r="M190" s="31" t="n">
        <x:v>18.2926719439</x:v>
      </x:c>
      <x:c r="N190" s="24" t="str">
        <x:v>sphyrna lewini</x:v>
      </x:c>
      <x:c r="O190" s="32" t="n">
        <x:v>4.08</x:v>
      </x:c>
      <x:c r="P190" s="24" t="str">
        <x:v>exact_2020_supplement</x:v>
      </x:c>
      <x:c r="Q190" s="32" t="str">
        <x:v>2020 supplement MeanTL</x:v>
      </x:c>
      <x:c r="R190" s="24" t="str">
        <x:v>high</x:v>
      </x:c>
      <x:c r="S190" s="24" t="str">
        <x:v>Sphyrna lewini</x:v>
      </x:c>
      <x:c r="T190" s="32" t="n">
        <x:f>IF(O190="","",(1/'Metadata'!$B$5)^(O190-1))</x:f>
        <x:v>1202.2644346174131</x:v>
      </x:c>
      <x:c r="U190" s="31" t="n">
        <x:f>IF(T190="","",I190*T190)</x:f>
        <x:v>22385.30261364519</x:v>
      </x:c>
    </x:row>
    <x:row r="191" ht="18" customHeight="1">
      <x:c r="A191" s="24" t="str">
        <x:v>LME_005</x:v>
      </x:c>
      <x:c r="B191" s="24" t="str">
        <x:v>Gulf of Mexico</x:v>
      </x:c>
      <x:c r="C191" s="24" t="str">
        <x:v>LME</x:v>
      </x:c>
      <x:c r="D191" s="30" t="n">
        <x:v>2019</x:v>
      </x:c>
      <x:c r="E191" s="24" t="str">
        <x:v>Helicolenus dactylopterus</x:v>
      </x:c>
      <x:c r="F191" s="24" t="str">
        <x:v>Blackbelly rosefish</x:v>
      </x:c>
      <x:c r="G191" s="24" t="str">
        <x:v>Medium bathydemersals (30 - 89 cm)</x:v>
      </x:c>
      <x:c r="H191" s="24" t="str">
        <x:v>Scorpionfishes</x:v>
      </x:c>
      <x:c r="I191" s="31" t="n">
        <x:v>18.2517882538</x:v>
      </x:c>
      <x:c r="J191" s="31" t="n">
        <x:v>5.543274005600001</x:v>
      </x:c>
      <x:c r="K191" s="31" t="n">
        <x:v>12.7085142482</x:v>
      </x:c>
      <x:c r="L191" s="31" t="n">
        <x:v>2.4865144883</x:v>
      </x:c>
      <x:c r="M191" s="31" t="n">
        <x:v>15.7652737655</x:v>
      </x:c>
      <x:c r="N191" s="24" t="str">
        <x:v>helicolenus dactylopterus</x:v>
      </x:c>
      <x:c r="O191" s="32" t="n">
        <x:v>3.54</x:v>
      </x:c>
      <x:c r="P191" s="24" t="str">
        <x:v>exact_2020_supplement</x:v>
      </x:c>
      <x:c r="Q191" s="32" t="str">
        <x:v>2020 supplement MeanTL</x:v>
      </x:c>
      <x:c r="R191" s="24" t="str">
        <x:v>high</x:v>
      </x:c>
      <x:c r="S191" s="24" t="str">
        <x:v>Helicolenus dactylopterus</x:v>
      </x:c>
      <x:c r="T191" s="32" t="n">
        <x:f>IF(O191="","",(1/'Metadata'!$B$5)^(O191-1))</x:f>
        <x:v>346.73685045253166</x:v>
      </x:c>
      <x:c r="U191" s="31" t="n">
        <x:f>IF(T191="","",I191*T191)</x:f>
        <x:v>6328.567574249125</x:v>
      </x:c>
    </x:row>
    <x:row r="192" ht="18" customHeight="1">
      <x:c r="A192" s="24" t="str">
        <x:v>LME_005</x:v>
      </x:c>
      <x:c r="B192" s="24" t="str">
        <x:v>Gulf of Mexico</x:v>
      </x:c>
      <x:c r="C192" s="24" t="str">
        <x:v>LME</x:v>
      </x:c>
      <x:c r="D192" s="30" t="n">
        <x:v>2019</x:v>
      </x:c>
      <x:c r="E192" s="24" t="str">
        <x:v>Coryphaena</x:v>
      </x:c>
      <x:c r="F192" s="24" t="str">
        <x:v>Dolphinfishes</x:v>
      </x:c>
      <x:c r="G192" s="24" t="str">
        <x:v>Large pelagics (&gt;=90 cm)</x:v>
      </x:c>
      <x:c r="H192" s="24" t="str">
        <x:v>Perch-likes</x:v>
      </x:c>
      <x:c r="I192" s="31" t="n">
        <x:v>18.2368497739</x:v>
      </x:c>
      <x:c r="J192" s="31" t="n">
        <x:v>18.2368497739</x:v>
      </x:c>
      <x:c r="K192" s="31" t="n">
        <x:v>0</x:v>
      </x:c>
      <x:c r="L192" s="31" t="n">
        <x:v>4.0998507448</x:v>
      </x:c>
      <x:c r="M192" s="31" t="n">
        <x:v>14.1369990291</x:v>
      </x:c>
      <x:c r="N192" s="24" t="str">
        <x:v>coryphaena</x:v>
      </x:c>
      <x:c r="O192" s="32" t="n">
        <x:v>4.49</x:v>
      </x:c>
      <x:c r="P192" s="24" t="str">
        <x:v>exact_sea_around_us</x:v>
      </x:c>
      <x:c r="Q192" s="32" t="str">
        <x:v>Sea Around Us exploited organisms</x:v>
      </x:c>
      <x:c r="R192" s="24" t="str">
        <x:v>high</x:v>
      </x:c>
      <x:c r="S192" s="24" t="str">
        <x:v>Coryphaena</x:v>
      </x:c>
      <x:c r="T192" s="32" t="n">
        <x:f>IF(O192="","",(1/'Metadata'!$B$5)^(O192-1))</x:f>
        <x:v>3090.295432513592</x:v>
      </x:c>
      <x:c r="U192" s="31" t="n">
        <x:f>IF(T192="","",I192*T192)</x:f>
        <x:v>56357.253559719706</x:v>
      </x:c>
    </x:row>
    <x:row r="193" ht="18" customHeight="1">
      <x:c r="A193" s="24" t="str">
        <x:v>LME_005</x:v>
      </x:c>
      <x:c r="B193" s="24" t="str">
        <x:v>Gulf of Mexico</x:v>
      </x:c>
      <x:c r="C193" s="24" t="str">
        <x:v>LME</x:v>
      </x:c>
      <x:c r="D193" s="30" t="n">
        <x:v>2019</x:v>
      </x:c>
      <x:c r="E193" s="24" t="str">
        <x:v>Anomura</x:v>
      </x:c>
      <x:c r="F193" s="24" t="str">
        <x:v>Craylets, squat lobsters, hermits</x:v>
      </x:c>
      <x:c r="G193" s="24" t="str">
        <x:v>Lobsters, crabs</x:v>
      </x:c>
      <x:c r="H193" s="24" t="str">
        <x:v>Crustaceans</x:v>
      </x:c>
      <x:c r="I193" s="31" t="n">
        <x:v>18.1745409118</x:v>
      </x:c>
      <x:c r="J193" s="31" t="n">
        <x:v>18.1745409118</x:v>
      </x:c>
      <x:c r="K193" s="31" t="n">
        <x:v>0</x:v>
      </x:c>
      <x:c r="L193" s="31" t="n">
        <x:v>18.1745409118</x:v>
      </x:c>
      <x:c r="M193" s="31" t="n">
        <x:v>0</x:v>
      </x:c>
      <x:c r="N193" s="24" t="str">
        <x:v>anomura</x:v>
      </x:c>
      <x:c r="O193" s="32" t="n">
        <x:v>3.1</x:v>
      </x:c>
      <x:c r="P193" s="24" t="str">
        <x:v>exact_sea_around_us</x:v>
      </x:c>
      <x:c r="Q193" s="32" t="str">
        <x:v>Sea Around Us exploited organisms</x:v>
      </x:c>
      <x:c r="R193" s="24" t="str">
        <x:v>high</x:v>
      </x:c>
      <x:c r="S193" s="24" t="str">
        <x:v>Anomura</x:v>
      </x:c>
      <x:c r="T193" s="32" t="n">
        <x:f>IF(O193="","",(1/'Metadata'!$B$5)^(O193-1))</x:f>
        <x:v>125.89254117941675</x:v>
      </x:c>
      <x:c r="U193" s="31" t="n">
        <x:f>IF(T193="","",I193*T193)</x:f>
        <x:v>2288.0391401557763</x:v>
      </x:c>
    </x:row>
    <x:row r="194" ht="18" customHeight="1">
      <x:c r="A194" s="24" t="str">
        <x:v>LME_005</x:v>
      </x:c>
      <x:c r="B194" s="24" t="str">
        <x:v>Gulf of Mexico</x:v>
      </x:c>
      <x:c r="C194" s="24" t="str">
        <x:v>LME</x:v>
      </x:c>
      <x:c r="D194" s="30" t="n">
        <x:v>2019</x:v>
      </x:c>
      <x:c r="E194" s="24" t="str">
        <x:v>Teuthida</x:v>
      </x:c>
      <x:c r="F194" s="24" t="str">
        <x:v>Squids</x:v>
      </x:c>
      <x:c r="G194" s="24" t="str">
        <x:v>Cephalopods</x:v>
      </x:c>
      <x:c r="H194" s="24" t="str">
        <x:v>Other fishes &amp; inverts</x:v>
      </x:c>
      <x:c r="I194" s="31" t="n">
        <x:v>17.8893997554</x:v>
      </x:c>
      <x:c r="J194" s="31" t="n">
        <x:v>17.8893997554</x:v>
      </x:c>
      <x:c r="K194" s="31" t="n">
        <x:v>0</x:v>
      </x:c>
      <x:c r="L194" s="31" t="n">
        <x:v>5.9467133080000005</x:v>
      </x:c>
      <x:c r="M194" s="31" t="n">
        <x:v>11.9426864474</x:v>
      </x:c>
      <x:c r="N194" s="24" t="str">
        <x:v>teuthida</x:v>
      </x:c>
      <x:c r="O194" s="32" t="n">
        <x:v>4.13</x:v>
      </x:c>
      <x:c r="P194" s="24" t="str">
        <x:v>exact_sea_around_us</x:v>
      </x:c>
      <x:c r="Q194" s="32" t="str">
        <x:v>Sea Around Us exploited organisms</x:v>
      </x:c>
      <x:c r="R194" s="24" t="str">
        <x:v>high</x:v>
      </x:c>
      <x:c r="S194" s="24" t="str">
        <x:v>Teuthida</x:v>
      </x:c>
      <x:c r="T194" s="32" t="n">
        <x:f>IF(O194="","",(1/'Metadata'!$B$5)^(O194-1))</x:f>
        <x:v>1348.9628825916532</x:v>
      </x:c>
      <x:c r="U194" s="31" t="n">
        <x:f>IF(T194="","",I194*T194)</x:f>
        <x:v>24132.136261878797</x:v>
      </x:c>
    </x:row>
    <x:row r="195" ht="18" customHeight="1">
      <x:c r="A195" s="24" t="str">
        <x:v>LME_005</x:v>
      </x:c>
      <x:c r="B195" s="24" t="str">
        <x:v>Gulf of Mexico</x:v>
      </x:c>
      <x:c r="C195" s="24" t="str">
        <x:v>LME</x:v>
      </x:c>
      <x:c r="D195" s="30" t="n">
        <x:v>2019</x:v>
      </x:c>
      <x:c r="E195" s="24" t="str">
        <x:v>Pectinidae</x:v>
      </x:c>
      <x:c r="F195" s="24" t="str">
        <x:v>Scallops</x:v>
      </x:c>
      <x:c r="G195" s="24" t="str">
        <x:v>Other demersal invertebrates</x:v>
      </x:c>
      <x:c r="H195" s="24" t="str">
        <x:v>Molluscs</x:v>
      </x:c>
      <x:c r="I195" s="31" t="n">
        <x:v>16.6993708748</x:v>
      </x:c>
      <x:c r="J195" s="31" t="n">
        <x:v>1.1946261465</x:v>
      </x:c>
      <x:c r="K195" s="31" t="n">
        <x:v>15.5047447283</x:v>
      </x:c>
      <x:c r="L195" s="31" t="n">
        <x:v>0.1713217976</x:v>
      </x:c>
      <x:c r="M195" s="31" t="n">
        <x:v>16.5280490772</x:v>
      </x:c>
      <x:c r="N195" s="24" t="str">
        <x:v>pectinidae</x:v>
      </x:c>
      <x:c r="O195" s="32" t="n">
        <x:v>2</x:v>
      </x:c>
      <x:c r="P195" s="24" t="str">
        <x:v>exact_sea_around_us</x:v>
      </x:c>
      <x:c r="Q195" s="32" t="str">
        <x:v>Sea Around Us exploited organisms</x:v>
      </x:c>
      <x:c r="R195" s="24" t="str">
        <x:v>high</x:v>
      </x:c>
      <x:c r="S195" s="24" t="str">
        <x:v>Pectinidae</x:v>
      </x:c>
      <x:c r="T195" s="32" t="n">
        <x:f>IF(O195="","",(1/'Metadata'!$B$5)^(O195-1))</x:f>
        <x:v>10</x:v>
      </x:c>
      <x:c r="U195" s="31" t="n">
        <x:f>IF(T195="","",I195*T195)</x:f>
        <x:v>166.993708748</x:v>
      </x:c>
    </x:row>
    <x:row r="196" ht="18" customHeight="1">
      <x:c r="A196" s="24" t="str">
        <x:v>LME_005</x:v>
      </x:c>
      <x:c r="B196" s="24" t="str">
        <x:v>Gulf of Mexico</x:v>
      </x:c>
      <x:c r="C196" s="24" t="str">
        <x:v>LME</x:v>
      </x:c>
      <x:c r="D196" s="30" t="n">
        <x:v>2019</x:v>
      </x:c>
      <x:c r="E196" s="24" t="str">
        <x:v>Monacanthidae</x:v>
      </x:c>
      <x:c r="F196" s="24" t="str">
        <x:v>Filefishes</x:v>
      </x:c>
      <x:c r="G196" s="24" t="str">
        <x:v>Medium reef assoc. fish (30 - 89 cm)</x:v>
      </x:c>
      <x:c r="H196" s="24" t="str">
        <x:v>Other fishes &amp; inverts</x:v>
      </x:c>
      <x:c r="I196" s="31" t="n">
        <x:v>13.619307750099999</x:v>
      </x:c>
      <x:c r="J196" s="31" t="n">
        <x:v>5.132983375899999</x:v>
      </x:c>
      <x:c r="K196" s="31" t="n">
        <x:v>8.4863243742</x:v>
      </x:c>
      <x:c r="L196" s="31" t="n">
        <x:v>0.0544948216</x:v>
      </x:c>
      <x:c r="M196" s="31" t="n">
        <x:v>13.5648129285</x:v>
      </x:c>
      <x:c r="N196" s="24" t="str">
        <x:v>monacanthidae</x:v>
      </x:c>
      <x:c r="O196" s="32" t="n">
        <x:v>3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Monacanthidae</x:v>
      </x:c>
      <x:c r="T196" s="32" t="n">
        <x:f>IF(O196="","",(1/'Metadata'!$B$5)^(O196-1))</x:f>
        <x:v>100</x:v>
      </x:c>
      <x:c r="U196" s="31" t="n">
        <x:f>IF(T196="","",I196*T196)</x:f>
        <x:v>1361.93077501</x:v>
      </x:c>
    </x:row>
    <x:row r="197" ht="18" customHeight="1">
      <x:c r="A197" s="24" t="str">
        <x:v>LME_005</x:v>
      </x:c>
      <x:c r="B197" s="24" t="str">
        <x:v>Gulf of Mexico</x:v>
      </x:c>
      <x:c r="C197" s="24" t="str">
        <x:v>LME</x:v>
      </x:c>
      <x:c r="D197" s="30" t="n">
        <x:v>2019</x:v>
      </x:c>
      <x:c r="E197" s="24" t="str">
        <x:v>Cyprinidae</x:v>
      </x:c>
      <x:c r="F197" s="24" t="str">
        <x:v>Carps, barbels, other cyprinids</x:v>
      </x:c>
      <x:c r="G197" s="24" t="str">
        <x:v>Medium demersals (30 - 89 cm)</x:v>
      </x:c>
      <x:c r="H197" s="24" t="str">
        <x:v>Other fishes &amp; inverts</x:v>
      </x:c>
      <x:c r="I197" s="31" t="n">
        <x:v>12.7376261902</x:v>
      </x:c>
      <x:c r="J197" s="31" t="n">
        <x:v>12.7376261902</x:v>
      </x:c>
      <x:c r="K197" s="31" t="n">
        <x:v>0</x:v>
      </x:c>
      <x:c r="L197" s="31" t="n">
        <x:v>0</x:v>
      </x:c>
      <x:c r="M197" s="31" t="n">
        <x:v>12.7376261902</x:v>
      </x:c>
      <x:c r="N197" s="24" t="str">
        <x:v>cyprinidae</x:v>
      </x:c>
      <x:c r="O197" s="32" t="n">
        <x:v>2.8</x:v>
      </x:c>
      <x:c r="P197" s="24" t="str">
        <x:v>exact_sea_around_us</x:v>
      </x:c>
      <x:c r="Q197" s="32" t="str">
        <x:v>Sea Around Us exploited organisms</x:v>
      </x:c>
      <x:c r="R197" s="24" t="str">
        <x:v>high</x:v>
      </x:c>
      <x:c r="S197" s="24" t="str">
        <x:v>Cyprinidae</x:v>
      </x:c>
      <x:c r="T197" s="32" t="n">
        <x:f>IF(O197="","",(1/'Metadata'!$B$5)^(O197-1))</x:f>
        <x:v>63.0957344480193</x:v>
      </x:c>
      <x:c r="U197" s="31" t="n">
        <x:f>IF(T197="","",I197*T197)</x:f>
        <x:v>803.689879594995</x:v>
      </x:c>
    </x:row>
    <x:row r="198" ht="18" customHeight="1">
      <x:c r="A198" s="24" t="str">
        <x:v>LME_005</x:v>
      </x:c>
      <x:c r="B198" s="24" t="str">
        <x:v>Gulf of Mexico</x:v>
      </x:c>
      <x:c r="C198" s="24" t="str">
        <x:v>LME</x:v>
      </x:c>
      <x:c r="D198" s="30" t="n">
        <x:v>2019</x:v>
      </x:c>
      <x:c r="E198" s="24" t="str">
        <x:v>Lytechinus variegatus</x:v>
      </x:c>
      <x:c r="F198" s="24" t="str">
        <x:v>Green sea urchin</x:v>
      </x:c>
      <x:c r="G198" s="24" t="str">
        <x:v>Other demersal invertebrates</x:v>
      </x:c>
      <x:c r="H198" s="24" t="str">
        <x:v>Other fishes &amp; inverts</x:v>
      </x:c>
      <x:c r="I198" s="31" t="n">
        <x:v>12.0767315882</x:v>
      </x:c>
      <x:c r="J198" s="31" t="n">
        <x:v>12.0767315882</x:v>
      </x:c>
      <x:c r="K198" s="31" t="n">
        <x:v>0</x:v>
      </x:c>
      <x:c r="L198" s="31" t="n">
        <x:v>12.0767315882</x:v>
      </x:c>
      <x:c r="M198" s="31" t="n">
        <x:v>0</x:v>
      </x:c>
      <x:c r="N198" s="24" t="str">
        <x:v>lytechinus variegatus</x:v>
      </x:c>
      <x:c r="O198" s="32" t="n">
        <x:v>2</x:v>
      </x:c>
      <x:c r="P198" s="24" t="str">
        <x:v>exact_sea_around_us</x:v>
      </x:c>
      <x:c r="Q198" s="32" t="str">
        <x:v>Sea Around Us exploited organisms</x:v>
      </x:c>
      <x:c r="R198" s="24" t="str">
        <x:v>high</x:v>
      </x:c>
      <x:c r="S198" s="24" t="str">
        <x:v>Lytechinus variegatus</x:v>
      </x:c>
      <x:c r="T198" s="32" t="n">
        <x:f>IF(O198="","",(1/'Metadata'!$B$5)^(O198-1))</x:f>
        <x:v>10</x:v>
      </x:c>
      <x:c r="U198" s="31" t="n">
        <x:f>IF(T198="","",I198*T198)</x:f>
        <x:v>120.76731588199999</x:v>
      </x:c>
    </x:row>
    <x:row r="199" ht="18" customHeight="1">
      <x:c r="A199" s="24" t="str">
        <x:v>LME_005</x:v>
      </x:c>
      <x:c r="B199" s="24" t="str">
        <x:v>Gulf of Mexico</x:v>
      </x:c>
      <x:c r="C199" s="24" t="str">
        <x:v>LME</x:v>
      </x:c>
      <x:c r="D199" s="30" t="n">
        <x:v>2019</x:v>
      </x:c>
      <x:c r="E199" s="24" t="str">
        <x:v>Ophidiidae</x:v>
      </x:c>
      <x:c r="F199" s="24" t="str">
        <x:v>Cuskeels</x:v>
      </x:c>
      <x:c r="G199" s="24" t="str">
        <x:v>Large bathydemersals (&gt;=90 cm)</x:v>
      </x:c>
      <x:c r="H199" s="24" t="str">
        <x:v>Other fishes &amp; inverts</x:v>
      </x:c>
      <x:c r="I199" s="31" t="n">
        <x:v>11.252048885699999</x:v>
      </x:c>
      <x:c r="J199" s="31" t="n">
        <x:v>1.9988834492999998</x:v>
      </x:c>
      <x:c r="K199" s="31" t="n">
        <x:v>9.2531654364</x:v>
      </x:c>
      <x:c r="L199" s="31" t="n">
        <x:v>1.2486123273999998</x:v>
      </x:c>
      <x:c r="M199" s="31" t="n">
        <x:v>10.003436558299999</x:v>
      </x:c>
      <x:c r="N199" s="24" t="str">
        <x:v>ophidiidae</x:v>
      </x:c>
      <x:c r="O199" s="32" t="n">
        <x:v>3.67</x:v>
      </x:c>
      <x:c r="P199" s="24" t="str">
        <x:v>exact_sea_around_us</x:v>
      </x:c>
      <x:c r="Q199" s="32" t="str">
        <x:v>Sea Around Us exploited organisms</x:v>
      </x:c>
      <x:c r="R199" s="24" t="str">
        <x:v>high</x:v>
      </x:c>
      <x:c r="S199" s="24" t="str">
        <x:v>Ophidiidae</x:v>
      </x:c>
      <x:c r="T199" s="32" t="n">
        <x:f>IF(O199="","",(1/'Metadata'!$B$5)^(O199-1))</x:f>
        <x:v>467.73514128719813</x:v>
      </x:c>
      <x:c r="U199" s="31" t="n">
        <x:f>IF(T199="","",I199*T199)</x:f>
        <x:v>5262.978675323349</x:v>
      </x:c>
    </x:row>
    <x:row r="200" ht="18" customHeight="1">
      <x:c r="A200" s="24" t="str">
        <x:v>LME_005</x:v>
      </x:c>
      <x:c r="B200" s="24" t="str">
        <x:v>Gulf of Mexico</x:v>
      </x:c>
      <x:c r="C200" s="24" t="str">
        <x:v>LME</x:v>
      </x:c>
      <x:c r="D200" s="30" t="n">
        <x:v>2019</x:v>
      </x:c>
      <x:c r="E200" s="24" t="str">
        <x:v>Peprilus paru</x:v>
      </x:c>
      <x:c r="F200" s="24" t="str">
        <x:v>American harvestfish</x:v>
      </x:c>
      <x:c r="G200" s="24" t="str">
        <x:v>Small benthopelagics (&lt;30 cm)</x:v>
      </x:c>
      <x:c r="H200" s="24" t="str">
        <x:v>Perch-likes</x:v>
      </x:c>
      <x:c r="I200" s="31" t="n">
        <x:v>11.1675526839</x:v>
      </x:c>
      <x:c r="J200" s="31" t="n">
        <x:v>3.7663737806</x:v>
      </x:c>
      <x:c r="K200" s="31" t="n">
        <x:v>7.4011789033</x:v>
      </x:c>
      <x:c r="L200" s="31" t="n">
        <x:v>3.7144330084</x:v>
      </x:c>
      <x:c r="M200" s="31" t="n">
        <x:v>7.4531196755</x:v>
      </x:c>
      <x:c r="N200" s="24" t="str">
        <x:v>peprilus paru</x:v>
      </x:c>
      <x:c r="O200" s="32" t="n">
        <x:v>4.5</x:v>
      </x:c>
      <x:c r="P200" s="24" t="str">
        <x:v>exact_2020_supplement</x:v>
      </x:c>
      <x:c r="Q200" s="32" t="str">
        <x:v>2020 supplement MeanTL</x:v>
      </x:c>
      <x:c r="R200" s="24" t="str">
        <x:v>high</x:v>
      </x:c>
      <x:c r="S200" s="24" t="str">
        <x:v>Peprilus paru</x:v>
      </x:c>
      <x:c r="T200" s="32" t="n">
        <x:f>IF(O200="","",(1/'Metadata'!$B$5)^(O200-1))</x:f>
        <x:v>3162.2776601683795</x:v>
      </x:c>
      <x:c r="U200" s="31" t="n">
        <x:f>IF(T200="","",I200*T200)</x:f>
        <x:v>35314.9023710504</x:v>
      </x:c>
    </x:row>
    <x:row r="201" ht="18" customHeight="1">
      <x:c r="A201" s="24" t="str">
        <x:v>LME_005</x:v>
      </x:c>
      <x:c r="B201" s="24" t="str">
        <x:v>Gulf of Mexico</x:v>
      </x:c>
      <x:c r="C201" s="24" t="str">
        <x:v>LME</x:v>
      </x:c>
      <x:c r="D201" s="30" t="n">
        <x:v>2019</x:v>
      </x:c>
      <x:c r="E201" s="24" t="str">
        <x:v>Lepidocybium flavobrunneum</x:v>
      </x:c>
      <x:c r="F201" s="24" t="str">
        <x:v>Escolar</x:v>
      </x:c>
      <x:c r="G201" s="24" t="str">
        <x:v>Large bathypelagics (&gt;=90 cm)</x:v>
      </x:c>
      <x:c r="H201" s="24" t="str">
        <x:v>Perch-likes</x:v>
      </x:c>
      <x:c r="I201" s="31" t="n">
        <x:v>10.901996807</x:v>
      </x:c>
      <x:c r="J201" s="31" t="n">
        <x:v>10.901996807</x:v>
      </x:c>
      <x:c r="K201" s="31" t="n">
        <x:v>0</x:v>
      </x:c>
      <x:c r="L201" s="31" t="n">
        <x:v>10.901854496999999</x:v>
      </x:c>
      <x:c r="M201" s="31" t="n">
        <x:v>0.00014230999999999998</x:v>
      </x:c>
      <x:c r="N201" s="24" t="str">
        <x:v>lepidocybium flavobrunneum</x:v>
      </x:c>
      <x:c r="O201" s="32" t="n">
        <x:v>4.34</x:v>
      </x:c>
      <x:c r="P201" s="24" t="str">
        <x:v>exact_2020_supplement</x:v>
      </x:c>
      <x:c r="Q201" s="32" t="str">
        <x:v>2020 supplement MeanTL</x:v>
      </x:c>
      <x:c r="R201" s="24" t="str">
        <x:v>high</x:v>
      </x:c>
      <x:c r="S201" s="24" t="str">
        <x:v>Lepidocybium flavobrunneum</x:v>
      </x:c>
      <x:c r="T201" s="32" t="n">
        <x:f>IF(O201="","",(1/'Metadata'!$B$5)^(O201-1))</x:f>
        <x:v>2187.761623949552</x:v>
      </x:c>
      <x:c r="U201" s="31" t="n">
        <x:f>IF(T201="","",I201*T201)</x:f>
        <x:v>23850.97023877515</x:v>
      </x:c>
    </x:row>
    <x:row r="202" ht="18" customHeight="1">
      <x:c r="A202" s="24" t="str">
        <x:v>LME_005</x:v>
      </x:c>
      <x:c r="B202" s="24" t="str">
        <x:v>Gulf of Mexico</x:v>
      </x:c>
      <x:c r="C202" s="24" t="str">
        <x:v>LME</x:v>
      </x:c>
      <x:c r="D202" s="30" t="n">
        <x:v>2019</x:v>
      </x:c>
      <x:c r="E202" s="24" t="str">
        <x:v>Katsuwonus pelamis</x:v>
      </x:c>
      <x:c r="F202" s="24" t="str">
        <x:v>Skipjack tuna</x:v>
      </x:c>
      <x:c r="G202" s="24" t="str">
        <x:v>Large pelagics (&gt;=90 cm)</x:v>
      </x:c>
      <x:c r="H202" s="24" t="str">
        <x:v>Tuna &amp; billfishes</x:v>
      </x:c>
      <x:c r="I202" s="31" t="n">
        <x:v>10.025439194699999</x:v>
      </x:c>
      <x:c r="J202" s="31" t="n">
        <x:v>10.025439194699999</x:v>
      </x:c>
      <x:c r="K202" s="31" t="n">
        <x:v>0</x:v>
      </x:c>
      <x:c r="L202" s="31" t="n">
        <x:v>3.8186462032999997</x:v>
      </x:c>
      <x:c r="M202" s="31" t="n">
        <x:v>6.2067929913999995</x:v>
      </x:c>
      <x:c r="N202" s="24" t="str">
        <x:v>katsuwonus pelamis</x:v>
      </x:c>
      <x:c r="O202" s="32" t="n">
        <x:v>4.43</x:v>
      </x:c>
      <x:c r="P202" s="24" t="str">
        <x:v>exact_2020_supplement</x:v>
      </x:c>
      <x:c r="Q202" s="32" t="str">
        <x:v>2020 supplement MeanTL</x:v>
      </x:c>
      <x:c r="R202" s="24" t="str">
        <x:v>high</x:v>
      </x:c>
      <x:c r="S202" s="24" t="str">
        <x:v>Katsuwonus pelamis</x:v>
      </x:c>
      <x:c r="T202" s="32" t="n">
        <x:f>IF(O202="","",(1/'Metadata'!$B$5)^(O202-1))</x:f>
        <x:v>2691.534803926914</x:v>
      </x:c>
      <x:c r="U202" s="31" t="n">
        <x:f>IF(T202="","",I202*T202)</x:f>
        <x:v>26983.818517188058</x:v>
      </x:c>
    </x:row>
    <x:row r="203" ht="18" customHeight="1">
      <x:c r="A203" s="24" t="str">
        <x:v>LME_005</x:v>
      </x:c>
      <x:c r="B203" s="24" t="str">
        <x:v>Gulf of Mexico</x:v>
      </x:c>
      <x:c r="C203" s="24" t="str">
        <x:v>LME</x:v>
      </x:c>
      <x:c r="D203" s="30" t="n">
        <x:v>2019</x:v>
      </x:c>
      <x:c r="E203" s="24" t="str">
        <x:v>Veneridae</x:v>
      </x:c>
      <x:c r="F203" s="24" t="str">
        <x:v>Venus clams</x:v>
      </x:c>
      <x:c r="G203" s="24" t="str">
        <x:v>Other demersal invertebrates</x:v>
      </x:c>
      <x:c r="H203" s="24" t="str">
        <x:v>Molluscs</x:v>
      </x:c>
      <x:c r="I203" s="31" t="n">
        <x:v>9.7508899117</x:v>
      </x:c>
      <x:c r="J203" s="31" t="n">
        <x:v>9.7508899117</x:v>
      </x:c>
      <x:c r="K203" s="31" t="n">
        <x:v>0</x:v>
      </x:c>
      <x:c r="L203" s="31" t="n">
        <x:v>9.7508899117</x:v>
      </x:c>
      <x:c r="M203" s="31" t="n">
        <x:v>0</x:v>
      </x:c>
      <x:c r="N203" s="24" t="str">
        <x:v>veneridae</x:v>
      </x:c>
      <x:c r="O203" s="32" t="n">
        <x:v>2</x:v>
      </x:c>
      <x:c r="P203" s="24" t="str">
        <x:v>exact_sea_around_us</x:v>
      </x:c>
      <x:c r="Q203" s="32" t="str">
        <x:v>Sea Around Us exploited organisms</x:v>
      </x:c>
      <x:c r="R203" s="24" t="str">
        <x:v>high</x:v>
      </x:c>
      <x:c r="S203" s="24" t="str">
        <x:v>Veneridae</x:v>
      </x:c>
      <x:c r="T203" s="32" t="n">
        <x:f>IF(O203="","",(1/'Metadata'!$B$5)^(O203-1))</x:f>
        <x:v>10</x:v>
      </x:c>
      <x:c r="U203" s="31" t="n">
        <x:f>IF(T203="","",I203*T203)</x:f>
        <x:v>97.508899117</x:v>
      </x:c>
    </x:row>
    <x:row r="204" ht="18" customHeight="1">
      <x:c r="A204" s="24" t="str">
        <x:v>LME_005</x:v>
      </x:c>
      <x:c r="B204" s="24" t="str">
        <x:v>Gulf of Mexico</x:v>
      </x:c>
      <x:c r="C204" s="24" t="str">
        <x:v>LME</x:v>
      </x:c>
      <x:c r="D204" s="30" t="n">
        <x:v>2019</x:v>
      </x:c>
      <x:c r="E204" s="24" t="str">
        <x:v>Cynoscion arenarius</x:v>
      </x:c>
      <x:c r="F204" s="24" t="str">
        <x:v>Sand weakfish</x:v>
      </x:c>
      <x:c r="G204" s="24" t="str">
        <x:v>Medium demersals (30 - 89 cm)</x:v>
      </x:c>
      <x:c r="H204" s="24" t="str">
        <x:v>Perch-likes</x:v>
      </x:c>
      <x:c r="I204" s="31" t="n">
        <x:v>9.614601240199999</x:v>
      </x:c>
      <x:c r="J204" s="31" t="n">
        <x:v>9.614601240199999</x:v>
      </x:c>
      <x:c r="K204" s="31" t="n">
        <x:v>0</x:v>
      </x:c>
      <x:c r="L204" s="31" t="n">
        <x:v>7.9308564792</x:v>
      </x:c>
      <x:c r="M204" s="31" t="n">
        <x:v>1.683744761</x:v>
      </x:c>
      <x:c r="N204" s="24" t="str">
        <x:v>cynoscion arenarius</x:v>
      </x:c>
      <x:c r="O204" s="32" t="n">
        <x:v>4.17</x:v>
      </x:c>
      <x:c r="P204" s="24" t="str">
        <x:v>exact_2020_supplement</x:v>
      </x:c>
      <x:c r="Q204" s="32" t="str">
        <x:v>2020 supplement MeanTL</x:v>
      </x:c>
      <x:c r="R204" s="24" t="str">
        <x:v>high</x:v>
      </x:c>
      <x:c r="S204" s="24" t="str">
        <x:v>Cynoscion arenarius</x:v>
      </x:c>
      <x:c r="T204" s="32" t="n">
        <x:f>IF(O204="","",(1/'Metadata'!$B$5)^(O204-1))</x:f>
        <x:v>1479.1083881682073</x:v>
      </x:c>
      <x:c r="U204" s="31" t="n">
        <x:f>IF(T204="","",I204*T204)</x:f>
        <x:v>14221.037343272268</x:v>
      </x:c>
    </x:row>
    <x:row r="205" ht="18" customHeight="1">
      <x:c r="A205" s="24" t="str">
        <x:v>LME_005</x:v>
      </x:c>
      <x:c r="B205" s="24" t="str">
        <x:v>Gulf of Mexico</x:v>
      </x:c>
      <x:c r="C205" s="24" t="str">
        <x:v>LME</x:v>
      </x:c>
      <x:c r="D205" s="30" t="n">
        <x:v>2019</x:v>
      </x:c>
      <x:c r="E205" s="24" t="str">
        <x:v>Thunnus alalunga</x:v>
      </x:c>
      <x:c r="F205" s="24" t="str">
        <x:v>Albacore</x:v>
      </x:c>
      <x:c r="G205" s="24" t="str">
        <x:v>Large pelagics (&gt;=90 cm)</x:v>
      </x:c>
      <x:c r="H205" s="24" t="str">
        <x:v>Tuna &amp; billfishes</x:v>
      </x:c>
      <x:c r="I205" s="31" t="n">
        <x:v>9.3479256628</x:v>
      </x:c>
      <x:c r="J205" s="31" t="n">
        <x:v>9.3479256628</x:v>
      </x:c>
      <x:c r="K205" s="31" t="n">
        <x:v>0</x:v>
      </x:c>
      <x:c r="L205" s="31" t="n">
        <x:v>9.3207534507</x:v>
      </x:c>
      <x:c r="M205" s="31" t="n">
        <x:v>0.027172212100000002</x:v>
      </x:c>
      <x:c r="N205" s="24" t="str">
        <x:v>thunnus alalunga</x:v>
      </x:c>
      <x:c r="O205" s="32" t="n">
        <x:v>4.3</x:v>
      </x:c>
      <x:c r="P205" s="24" t="str">
        <x:v>exact_2020_supplement</x:v>
      </x:c>
      <x:c r="Q205" s="32" t="str">
        <x:v>2020 supplement MeanTL</x:v>
      </x:c>
      <x:c r="R205" s="24" t="str">
        <x:v>high</x:v>
      </x:c>
      <x:c r="S205" s="24" t="str">
        <x:v>Thunnus alalunga</x:v>
      </x:c>
      <x:c r="T205" s="32" t="n">
        <x:f>IF(O205="","",(1/'Metadata'!$B$5)^(O205-1))</x:f>
        <x:v>1995.2623149688789</x:v>
      </x:c>
      <x:c r="U205" s="31" t="n">
        <x:f>IF(T205="","",I205*T205)</x:f>
        <x:v>18651.56379811532</x:v>
      </x:c>
    </x:row>
    <x:row r="206" ht="18" customHeight="1">
      <x:c r="A206" s="24" t="str">
        <x:v>LME_005</x:v>
      </x:c>
      <x:c r="B206" s="24" t="str">
        <x:v>Gulf of Mexico</x:v>
      </x:c>
      <x:c r="C206" s="24" t="str">
        <x:v>LME</x:v>
      </x:c>
      <x:c r="D206" s="30" t="n">
        <x:v>2019</x:v>
      </x:c>
      <x:c r="E206" s="24" t="str">
        <x:v>Ostraciidae</x:v>
      </x:c>
      <x:c r="F206" s="24" t="str">
        <x:v>Box-, cow-, trunkfishes</x:v>
      </x:c>
      <x:c r="G206" s="24" t="str">
        <x:v>Medium reef assoc. fish (30 - 89 cm)</x:v>
      </x:c>
      <x:c r="H206" s="24" t="str">
        <x:v>Other fishes &amp; inverts</x:v>
      </x:c>
      <x:c r="I206" s="31" t="n">
        <x:v>9.3323494455</x:v>
      </x:c>
      <x:c r="J206" s="31" t="n">
        <x:v>0.2259009351</x:v>
      </x:c>
      <x:c r="K206" s="31" t="n">
        <x:v>9.1064485104</x:v>
      </x:c>
      <x:c r="L206" s="31" t="n">
        <x:v>0.2239357504</x:v>
      </x:c>
      <x:c r="M206" s="31" t="n">
        <x:v>9.1084136951</x:v>
      </x:c>
      <x:c r="N206" s="24" t="str">
        <x:v>ostraciidae</x:v>
      </x:c>
      <x:c r="O206" s="32" t="n">
        <x:v>2.83</x:v>
      </x:c>
      <x:c r="P206" s="24" t="str">
        <x:v>exact_sea_around_us</x:v>
      </x:c>
      <x:c r="Q206" s="32" t="str">
        <x:v>Sea Around Us exploited organisms</x:v>
      </x:c>
      <x:c r="R206" s="24" t="str">
        <x:v>high</x:v>
      </x:c>
      <x:c r="S206" s="24" t="str">
        <x:v>Ostraciidae</x:v>
      </x:c>
      <x:c r="T206" s="32" t="n">
        <x:f>IF(O206="","",(1/'Metadata'!$B$5)^(O206-1))</x:f>
        <x:v>67.60829753919819</x:v>
      </x:c>
      <x:c r="U206" s="31" t="n">
        <x:f>IF(T206="","",I206*T206)</x:f>
        <x:v>630.9442580511353</x:v>
      </x:c>
    </x:row>
    <x:row r="207" ht="18" customHeight="1">
      <x:c r="A207" s="24" t="str">
        <x:v>LME_005</x:v>
      </x:c>
      <x:c r="B207" s="24" t="str">
        <x:v>Gulf of Mexico</x:v>
      </x:c>
      <x:c r="C207" s="24" t="str">
        <x:v>LME</x:v>
      </x:c>
      <x:c r="D207" s="30" t="n">
        <x:v>2019</x:v>
      </x:c>
      <x:c r="E207" s="24" t="str">
        <x:v>Carcharhinus brevipinna</x:v>
      </x:c>
      <x:c r="F207" s="24" t="str">
        <x:v>Spinner shark</x:v>
      </x:c>
      <x:c r="G207" s="24" t="str">
        <x:v>Large sharks (&gt;=90 cm)</x:v>
      </x:c>
      <x:c r="H207" s="24" t="str">
        <x:v>Sharks &amp; rays</x:v>
      </x:c>
      <x:c r="I207" s="31" t="n">
        <x:v>9.260321254800001</x:v>
      </x:c>
      <x:c r="J207" s="31" t="n">
        <x:v>9.260321254800001</x:v>
      </x:c>
      <x:c r="K207" s="31" t="n">
        <x:v>0</x:v>
      </x:c>
      <x:c r="L207" s="31" t="n">
        <x:v>2.7799609134</x:v>
      </x:c>
      <x:c r="M207" s="31" t="n">
        <x:v>6.4803603414</x:v>
      </x:c>
      <x:c r="N207" s="24" t="str">
        <x:v>carcharhinus brevipinna</x:v>
      </x:c>
      <x:c r="O207" s="32" t="n">
        <x:v>4.2</x:v>
      </x:c>
      <x:c r="P207" s="24" t="str">
        <x:v>exact_2020_supplement</x:v>
      </x:c>
      <x:c r="Q207" s="32" t="str">
        <x:v>2020 supplement MeanTL</x:v>
      </x:c>
      <x:c r="R207" s="24" t="str">
        <x:v>high</x:v>
      </x:c>
      <x:c r="S207" s="24" t="str">
        <x:v>Carcharhinus brevipinna</x:v>
      </x:c>
      <x:c r="T207" s="32" t="n">
        <x:f>IF(O207="","",(1/'Metadata'!$B$5)^(O207-1))</x:f>
        <x:v>1584.893192461114</x:v>
      </x:c>
      <x:c r="U207" s="31" t="n">
        <x:f>IF(T207="","",I207*T207)</x:f>
        <x:v>14676.620116735483</x:v>
      </x:c>
    </x:row>
    <x:row r="208" ht="18" customHeight="1">
      <x:c r="A208" s="24" t="str">
        <x:v>LME_005</x:v>
      </x:c>
      <x:c r="B208" s="24" t="str">
        <x:v>Gulf of Mexico</x:v>
      </x:c>
      <x:c r="C208" s="24" t="str">
        <x:v>LME</x:v>
      </x:c>
      <x:c r="D208" s="30" t="n">
        <x:v>2019</x:v>
      </x:c>
      <x:c r="E208" s="24" t="str">
        <x:v>Sphoeroides</x:v>
      </x:c>
      <x:c r="F208" s="24" t="str">
        <x:v>Puffers</x:v>
      </x:c>
      <x:c r="G208" s="24" t="str">
        <x:v>Large reef assoc. fish (&gt;=90 cm)</x:v>
      </x:c>
      <x:c r="H208" s="24" t="str">
        <x:v>Other fishes &amp; inverts</x:v>
      </x:c>
      <x:c r="I208" s="31" t="n">
        <x:v>8.72665782</x:v>
      </x:c>
      <x:c r="J208" s="31" t="n">
        <x:v>7.1946907936999995</x:v>
      </x:c>
      <x:c r="K208" s="31" t="n">
        <x:v>1.5319670263</x:v>
      </x:c>
      <x:c r="L208" s="31" t="n">
        <x:v>0.0201652301</x:v>
      </x:c>
      <x:c r="M208" s="31" t="n">
        <x:v>8.7064925899</x:v>
      </x:c>
      <x:c r="N208" s="24" t="str">
        <x:v>sphoeroides</x:v>
      </x:c>
      <x:c r="O208" s="32" t="n">
        <x:v>4.12</x:v>
      </x:c>
      <x:c r="P208" s="24" t="str">
        <x:v>exact_sea_around_us</x:v>
      </x:c>
      <x:c r="Q208" s="32" t="str">
        <x:v>Sea Around Us exploited organisms</x:v>
      </x:c>
      <x:c r="R208" s="24" t="str">
        <x:v>high</x:v>
      </x:c>
      <x:c r="S208" s="24" t="str">
        <x:v>Sphoeroides</x:v>
      </x:c>
      <x:c r="T208" s="32" t="n">
        <x:f>IF(O208="","",(1/'Metadata'!$B$5)^(O208-1))</x:f>
        <x:v>1318.2567385564075</x:v>
      </x:c>
      <x:c r="U208" s="31" t="n">
        <x:f>IF(T208="","",I208*T208)</x:f>
        <x:v>11503.975476290969</x:v>
      </x:c>
    </x:row>
    <x:row r="209" ht="18" customHeight="1">
      <x:c r="A209" s="24" t="str">
        <x:v>LME_005</x:v>
      </x:c>
      <x:c r="B209" s="24" t="str">
        <x:v>Gulf of Mexico</x:v>
      </x:c>
      <x:c r="C209" s="24" t="str">
        <x:v>LME</x:v>
      </x:c>
      <x:c r="D209" s="30" t="n">
        <x:v>2019</x:v>
      </x:c>
      <x:c r="E209" s="24" t="str">
        <x:v>Aetobatus narinari</x:v>
      </x:c>
      <x:c r="F209" s="24" t="str">
        <x:v>Spotted eagle ray</x:v>
      </x:c>
      <x:c r="G209" s="24" t="str">
        <x:v>Large rays (&gt;=90 cm)</x:v>
      </x:c>
      <x:c r="H209" s="24" t="str">
        <x:v>Sharks &amp; rays</x:v>
      </x:c>
      <x:c r="I209" s="31" t="n">
        <x:v>8.4571782655</x:v>
      </x:c>
      <x:c r="J209" s="31" t="n">
        <x:v>0</x:v>
      </x:c>
      <x:c r="K209" s="31" t="n">
        <x:v>8.4571782655</x:v>
      </x:c>
      <x:c r="L209" s="31" t="n">
        <x:v>0</x:v>
      </x:c>
      <x:c r="M209" s="31" t="n">
        <x:v>8.4571782655</x:v>
      </x:c>
      <x:c r="N209" s="24" t="str">
        <x:v>aetobatus narinari</x:v>
      </x:c>
      <x:c r="O209" s="32" t="n">
        <x:v>4.17</x:v>
      </x:c>
      <x:c r="P209" s="24" t="str">
        <x:v>exact_2020_supplement</x:v>
      </x:c>
      <x:c r="Q209" s="32" t="str">
        <x:v>2020 supplement MeanTL</x:v>
      </x:c>
      <x:c r="R209" s="24" t="str">
        <x:v>high</x:v>
      </x:c>
      <x:c r="S209" s="24" t="str">
        <x:v>Aetobatus narinari</x:v>
      </x:c>
      <x:c r="T209" s="32" t="n">
        <x:f>IF(O209="","",(1/'Metadata'!$B$5)^(O209-1))</x:f>
        <x:v>1479.1083881682073</x:v>
      </x:c>
      <x:c r="U209" s="31" t="n">
        <x:f>IF(T209="","",I209*T209)</x:f>
        <x:v>12509.0833127349</x:v>
      </x:c>
    </x:row>
    <x:row r="210" ht="18" customHeight="1">
      <x:c r="A210" s="24" t="str">
        <x:v>LME_005</x:v>
      </x:c>
      <x:c r="B210" s="24" t="str">
        <x:v>Gulf of Mexico</x:v>
      </x:c>
      <x:c r="C210" s="24" t="str">
        <x:v>LME</x:v>
      </x:c>
      <x:c r="D210" s="30" t="n">
        <x:v>2019</x:v>
      </x:c>
      <x:c r="E210" s="24" t="str">
        <x:v>Lamniformes</x:v>
      </x:c>
      <x:c r="F210" s="24" t="str">
        <x:v>Mackerel sharks</x:v>
      </x:c>
      <x:c r="G210" s="24" t="str">
        <x:v>Large sharks (&gt;=90 cm)</x:v>
      </x:c>
      <x:c r="H210" s="24" t="str">
        <x:v>Sharks &amp; rays</x:v>
      </x:c>
      <x:c r="I210" s="31" t="n">
        <x:v>8.286563363900001</x:v>
      </x:c>
      <x:c r="J210" s="31" t="n">
        <x:v>8.286563363900001</x:v>
      </x:c>
      <x:c r="K210" s="31" t="n">
        <x:v>0</x:v>
      </x:c>
      <x:c r="L210" s="31" t="n">
        <x:v>8.286563363900001</x:v>
      </x:c>
      <x:c r="M210" s="31" t="n">
        <x:v>0</x:v>
      </x:c>
      <x:c r="N210" s="24" t="str">
        <x:v>lamniformes</x:v>
      </x:c>
      <x:c r="O210" s="32" t="n">
        <x:v>4.34</x:v>
      </x:c>
      <x:c r="P210" s="24" t="str">
        <x:v>exact_sea_around_us</x:v>
      </x:c>
      <x:c r="Q210" s="32" t="str">
        <x:v>Sea Around Us exploited organisms</x:v>
      </x:c>
      <x:c r="R210" s="24" t="str">
        <x:v>high</x:v>
      </x:c>
      <x:c r="S210" s="24" t="str">
        <x:v>Lamniformes</x:v>
      </x:c>
      <x:c r="T210" s="32" t="n">
        <x:f>IF(O210="","",(1/'Metadata'!$B$5)^(O210-1))</x:f>
        <x:v>2187.761623949552</x:v>
      </x:c>
      <x:c r="U210" s="31" t="n">
        <x:f>IF(T210="","",I210*T210)</x:f>
        <x:v>18129.02532196673</x:v>
      </x:c>
    </x:row>
    <x:row r="211" ht="18" customHeight="1">
      <x:c r="A211" s="24" t="str">
        <x:v>LME_005</x:v>
      </x:c>
      <x:c r="B211" s="24" t="str">
        <x:v>Gulf of Mexico</x:v>
      </x:c>
      <x:c r="C211" s="24" t="str">
        <x:v>LME</x:v>
      </x:c>
      <x:c r="D211" s="30" t="n">
        <x:v>2019</x:v>
      </x:c>
      <x:c r="E211" s="24" t="str">
        <x:v>Isurus oxyrinchus</x:v>
      </x:c>
      <x:c r="F211" s="24" t="str">
        <x:v>Shortfin mako</x:v>
      </x:c>
      <x:c r="G211" s="24" t="str">
        <x:v>Large sharks (&gt;=90 cm)</x:v>
      </x:c>
      <x:c r="H211" s="24" t="str">
        <x:v>Sharks &amp; rays</x:v>
      </x:c>
      <x:c r="I211" s="31" t="n">
        <x:v>7.9419647197000005</x:v>
      </x:c>
      <x:c r="J211" s="31" t="n">
        <x:v>7.9419647197000005</x:v>
      </x:c>
      <x:c r="K211" s="31" t="n">
        <x:v>0</x:v>
      </x:c>
      <x:c r="L211" s="31" t="n">
        <x:v>6.0723982395</x:v>
      </x:c>
      <x:c r="M211" s="31" t="n">
        <x:v>1.8695664802</x:v>
      </x:c>
      <x:c r="N211" s="24" t="str">
        <x:v>isurus oxyrinchus</x:v>
      </x:c>
      <x:c r="O211" s="32" t="n">
        <x:v>4.5</x:v>
      </x:c>
      <x:c r="P211" s="24" t="str">
        <x:v>exact_2020_supplement</x:v>
      </x:c>
      <x:c r="Q211" s="32" t="str">
        <x:v>2020 supplement MeanTL</x:v>
      </x:c>
      <x:c r="R211" s="24" t="str">
        <x:v>high</x:v>
      </x:c>
      <x:c r="S211" s="24" t="str">
        <x:v>Isurus oxyrinchus</x:v>
      </x:c>
      <x:c r="T211" s="32" t="n">
        <x:f>IF(O211="","",(1/'Metadata'!$B$5)^(O211-1))</x:f>
        <x:v>3162.2776601683795</x:v>
      </x:c>
      <x:c r="U211" s="31" t="n">
        <x:f>IF(T211="","",I211*T211)</x:f>
        <x:v>25114.69761095274</x:v>
      </x:c>
    </x:row>
    <x:row r="212" ht="18" customHeight="1">
      <x:c r="A212" s="24" t="str">
        <x:v>LME_005</x:v>
      </x:c>
      <x:c r="B212" s="24" t="str">
        <x:v>Gulf of Mexico</x:v>
      </x:c>
      <x:c r="C212" s="24" t="str">
        <x:v>LME</x:v>
      </x:c>
      <x:c r="D212" s="30" t="n">
        <x:v>2019</x:v>
      </x:c>
      <x:c r="E212" s="24" t="str">
        <x:v>Megalops atlanticus</x:v>
      </x:c>
      <x:c r="F212" s="24" t="str">
        <x:v>Tarpon</x:v>
      </x:c>
      <x:c r="G212" s="24" t="str">
        <x:v>Large pelagics (&gt;=90 cm)</x:v>
      </x:c>
      <x:c r="H212" s="24" t="str">
        <x:v>Other fishes &amp; inverts</x:v>
      </x:c>
      <x:c r="I212" s="31" t="n">
        <x:v>7.6744654077</x:v>
      </x:c>
      <x:c r="J212" s="31" t="n">
        <x:v>7.6744654077</x:v>
      </x:c>
      <x:c r="K212" s="31" t="n">
        <x:v>0</x:v>
      </x:c>
      <x:c r="L212" s="31" t="n">
        <x:v>2.7548828778</x:v>
      </x:c>
      <x:c r="M212" s="31" t="n">
        <x:v>4.9195825299</x:v>
      </x:c>
      <x:c r="N212" s="24" t="str">
        <x:v>megalops atlanticus</x:v>
      </x:c>
      <x:c r="O212" s="32" t="n">
        <x:v>4.5</x:v>
      </x:c>
      <x:c r="P212" s="24" t="str">
        <x:v>exact_2020_supplement</x:v>
      </x:c>
      <x:c r="Q212" s="32" t="str">
        <x:v>2020 supplement MeanTL</x:v>
      </x:c>
      <x:c r="R212" s="24" t="str">
        <x:v>high</x:v>
      </x:c>
      <x:c r="S212" s="24" t="str">
        <x:v>Megalops atlanticus</x:v>
      </x:c>
      <x:c r="T212" s="32" t="n">
        <x:f>IF(O212="","",(1/'Metadata'!$B$5)^(O212-1))</x:f>
        <x:v>3162.2776601683795</x:v>
      </x:c>
      <x:c r="U212" s="31" t="n">
        <x:f>IF(T212="","",I212*T212)</x:f>
        <x:v>24268.790512504722</x:v>
      </x:c>
    </x:row>
    <x:row r="213" ht="18" customHeight="1">
      <x:c r="A213" s="24" t="str">
        <x:v>LME_005</x:v>
      </x:c>
      <x:c r="B213" s="24" t="str">
        <x:v>Gulf of Mexico</x:v>
      </x:c>
      <x:c r="C213" s="24" t="str">
        <x:v>LME</x:v>
      </x:c>
      <x:c r="D213" s="30" t="n">
        <x:v>2019</x:v>
      </x:c>
      <x:c r="E213" s="24" t="str">
        <x:v>Dasyatis</x:v>
      </x:c>
      <x:c r="F213" s="24" t="str">
        <x:v>Rough whip stingrays</x:v>
      </x:c>
      <x:c r="G213" s="24" t="str">
        <x:v>Large rays (&gt;=90 cm)</x:v>
      </x:c>
      <x:c r="H213" s="24" t="str">
        <x:v>Sharks &amp; rays</x:v>
      </x:c>
      <x:c r="I213" s="31" t="n">
        <x:v>7.5434723064</x:v>
      </x:c>
      <x:c r="J213" s="31" t="n">
        <x:v>0</x:v>
      </x:c>
      <x:c r="K213" s="31" t="n">
        <x:v>7.5434723064</x:v>
      </x:c>
      <x:c r="L213" s="31" t="n">
        <x:v>0</x:v>
      </x:c>
      <x:c r="M213" s="31" t="n">
        <x:v>7.5434723064</x:v>
      </x:c>
      <x:c r="N213" s="24" t="str">
        <x:v>dasyatis</x:v>
      </x:c>
      <x:c r="O213" s="32" t="n">
        <x:v>3.28</x:v>
      </x:c>
      <x:c r="P213" s="24" t="str">
        <x:v>exact_sea_around_us</x:v>
      </x:c>
      <x:c r="Q213" s="32" t="str">
        <x:v>Sea Around Us exploited organisms</x:v>
      </x:c>
      <x:c r="R213" s="24" t="str">
        <x:v>high</x:v>
      </x:c>
      <x:c r="S213" s="24" t="str">
        <x:v>Dasyatis</x:v>
      </x:c>
      <x:c r="T213" s="32" t="n">
        <x:f>IF(O213="","",(1/'Metadata'!$B$5)^(O213-1))</x:f>
        <x:v>190.54607179632464</x:v>
      </x:c>
      <x:c r="U213" s="31" t="n">
        <x:f>IF(T213="","",I213*T213)</x:f>
        <x:v>1437.379015688881</x:v>
      </x:c>
    </x:row>
    <x:row r="214" ht="18" customHeight="1">
      <x:c r="A214" s="24" t="str">
        <x:v>LME_005</x:v>
      </x:c>
      <x:c r="B214" s="24" t="str">
        <x:v>Gulf of Mexico</x:v>
      </x:c>
      <x:c r="C214" s="24" t="str">
        <x:v>LME</x:v>
      </x:c>
      <x:c r="D214" s="30" t="n">
        <x:v>2019</x:v>
      </x:c>
      <x:c r="E214" s="24" t="str">
        <x:v>Limulus polyphemus</x:v>
      </x:c>
      <x:c r="F214" s="24" t="str">
        <x:v>Horseshoe crab</x:v>
      </x:c>
      <x:c r="G214" s="24" t="str">
        <x:v>Lobsters, crabs</x:v>
      </x:c>
      <x:c r="H214" s="24" t="str">
        <x:v>Crustaceans</x:v>
      </x:c>
      <x:c r="I214" s="31" t="n">
        <x:v>7.5193727175000005</x:v>
      </x:c>
      <x:c r="J214" s="31" t="n">
        <x:v>7.5193727175000005</x:v>
      </x:c>
      <x:c r="K214" s="31" t="n">
        <x:v>0</x:v>
      </x:c>
      <x:c r="L214" s="31" t="n">
        <x:v>7.5193727175000005</x:v>
      </x:c>
      <x:c r="M214" s="31" t="n">
        <x:v>0</x:v>
      </x:c>
      <x:c r="N214" s="24" t="str">
        <x:v>limulus polyphemus</x:v>
      </x:c>
      <x:c r="O214" s="32" t="n">
        <x:v>2.95</x:v>
      </x:c>
      <x:c r="P214" s="24" t="str">
        <x:v>exact_2020_supplement</x:v>
      </x:c>
      <x:c r="Q214" s="32" t="str">
        <x:v>2020 supplement MeanTL</x:v>
      </x:c>
      <x:c r="R214" s="24" t="str">
        <x:v>high</x:v>
      </x:c>
      <x:c r="S214" s="24" t="str">
        <x:v>Limulus polyphemus</x:v>
      </x:c>
      <x:c r="T214" s="32" t="n">
        <x:f>IF(O214="","",(1/'Metadata'!$B$5)^(O214-1))</x:f>
        <x:v>89.12509381337459</x:v>
      </x:c>
      <x:c r="U214" s="31" t="n">
        <x:f>IF(T214="","",I214*T214)</x:f>
        <x:v>670.164798864917</x:v>
      </x:c>
    </x:row>
    <x:row r="215" ht="18" customHeight="1">
      <x:c r="A215" s="24" t="str">
        <x:v>LME_005</x:v>
      </x:c>
      <x:c r="B215" s="24" t="str">
        <x:v>Gulf of Mexico</x:v>
      </x:c>
      <x:c r="C215" s="24" t="str">
        <x:v>LME</x:v>
      </x:c>
      <x:c r="D215" s="30" t="n">
        <x:v>2019</x:v>
      </x:c>
      <x:c r="E215" s="24" t="str">
        <x:v>Priacanthidae</x:v>
      </x:c>
      <x:c r="F215" s="24" t="str">
        <x:v>Bigeyes, catalufas</x:v>
      </x:c>
      <x:c r="G215" s="24" t="str">
        <x:v>Medium reef assoc. fish (30 - 89 cm)</x:v>
      </x:c>
      <x:c r="H215" s="24" t="str">
        <x:v>Perch-likes</x:v>
      </x:c>
      <x:c r="I215" s="31" t="n">
        <x:v>7.4557976167</x:v>
      </x:c>
      <x:c r="J215" s="31" t="n">
        <x:v>7.166285637300001</x:v>
      </x:c>
      <x:c r="K215" s="31" t="n">
        <x:v>0.2895119794</x:v>
      </x:c>
      <x:c r="L215" s="31" t="n">
        <x:v>0.1195503769</x:v>
      </x:c>
      <x:c r="M215" s="31" t="n">
        <x:v>7.3362472398000005</x:v>
      </x:c>
      <x:c r="N215" s="24" t="str">
        <x:v>priacanthidae</x:v>
      </x:c>
      <x:c r="O215" s="32" t="n">
        <x:v>3.79</x:v>
      </x:c>
      <x:c r="P215" s="24" t="str">
        <x:v>exact_sea_around_us</x:v>
      </x:c>
      <x:c r="Q215" s="32" t="str">
        <x:v>Sea Around Us exploited organisms</x:v>
      </x:c>
      <x:c r="R215" s="24" t="str">
        <x:v>high</x:v>
      </x:c>
      <x:c r="S215" s="24" t="str">
        <x:v>Priacanthidae</x:v>
      </x:c>
      <x:c r="T215" s="32" t="n">
        <x:f>IF(O215="","",(1/'Metadata'!$B$5)^(O215-1))</x:f>
        <x:v>616.5950018614822</x:v>
      </x:c>
      <x:c r="U215" s="31" t="n">
        <x:f>IF(T215="","",I215*T215)</x:f>
        <x:v>4597.207545347971</x:v>
      </x:c>
    </x:row>
    <x:row r="216" ht="18" customHeight="1">
      <x:c r="A216" s="24" t="str">
        <x:v>LME_005</x:v>
      </x:c>
      <x:c r="B216" s="24" t="str">
        <x:v>Gulf of Mexico</x:v>
      </x:c>
      <x:c r="C216" s="24" t="str">
        <x:v>LME</x:v>
      </x:c>
      <x:c r="D216" s="30" t="n">
        <x:v>2019</x:v>
      </x:c>
      <x:c r="E216" s="24" t="str">
        <x:v>Mercenaria campechiensis</x:v>
      </x:c>
      <x:c r="F216" s="24" t="str">
        <x:v>Southern hardshell clam</x:v>
      </x:c>
      <x:c r="G216" s="24" t="str">
        <x:v>Other demersal invertebrates</x:v>
      </x:c>
      <x:c r="H216" s="24" t="str">
        <x:v>Molluscs</x:v>
      </x:c>
      <x:c r="I216" s="31" t="n">
        <x:v>7.2064991105</x:v>
      </x:c>
      <x:c r="J216" s="31" t="n">
        <x:v>7.2064991105</x:v>
      </x:c>
      <x:c r="K216" s="31" t="n">
        <x:v>0</x:v>
      </x:c>
      <x:c r="L216" s="31" t="n">
        <x:v>7.2064991105</x:v>
      </x:c>
      <x:c r="M216" s="31" t="n">
        <x:v>0</x:v>
      </x:c>
      <x:c r="N216" s="24" t="str">
        <x:v>mercenaria campechiensis</x:v>
      </x:c>
      <x:c r="O216" s="32" t="n">
        <x:v>2</x:v>
      </x:c>
      <x:c r="P216" s="24" t="str">
        <x:v>exact_sea_around_us</x:v>
      </x:c>
      <x:c r="Q216" s="32" t="str">
        <x:v>Sea Around Us exploited organisms</x:v>
      </x:c>
      <x:c r="R216" s="24" t="str">
        <x:v>high</x:v>
      </x:c>
      <x:c r="S216" s="24" t="str">
        <x:v>Mercenaria campechiensis</x:v>
      </x:c>
      <x:c r="T216" s="32" t="n">
        <x:f>IF(O216="","",(1/'Metadata'!$B$5)^(O216-1))</x:f>
        <x:v>10</x:v>
      </x:c>
      <x:c r="U216" s="31" t="n">
        <x:f>IF(T216="","",I216*T216)</x:f>
        <x:v>72.064991105</x:v>
      </x:c>
    </x:row>
    <x:row r="217" ht="18" customHeight="1">
      <x:c r="A217" s="24" t="str">
        <x:v>LME_005</x:v>
      </x:c>
      <x:c r="B217" s="24" t="str">
        <x:v>Gulf of Mexico</x:v>
      </x:c>
      <x:c r="C217" s="24" t="str">
        <x:v>LME</x:v>
      </x:c>
      <x:c r="D217" s="30" t="n">
        <x:v>2019</x:v>
      </x:c>
      <x:c r="E217" s="24" t="str">
        <x:v>Centrolophidae</x:v>
      </x:c>
      <x:c r="F217" s="24" t="str">
        <x:v>Medusafishes</x:v>
      </x:c>
      <x:c r="G217" s="24" t="str">
        <x:v>Medium benthopelagics (30 - 89 cm)</x:v>
      </x:c>
      <x:c r="H217" s="24" t="str">
        <x:v>Perch-likes</x:v>
      </x:c>
      <x:c r="I217" s="31" t="n">
        <x:v>6.8797947119</x:v>
      </x:c>
      <x:c r="J217" s="31" t="n">
        <x:v>6.8797947119</x:v>
      </x:c>
      <x:c r="K217" s="31" t="n">
        <x:v>0</x:v>
      </x:c>
      <x:c r="L217" s="31" t="n">
        <x:v>5.9827590835</x:v>
      </x:c>
      <x:c r="M217" s="31" t="n">
        <x:v>0.8970356284</x:v>
      </x:c>
      <x:c r="N217" s="24" t="str">
        <x:v>centrolophidae</x:v>
      </x:c>
      <x:c r="O217" s="32" t="n">
        <x:v>3.65</x:v>
      </x:c>
      <x:c r="P217" s="24" t="str">
        <x:v>exact_sea_around_us</x:v>
      </x:c>
      <x:c r="Q217" s="32" t="str">
        <x:v>Sea Around Us exploited organisms</x:v>
      </x:c>
      <x:c r="R217" s="24" t="str">
        <x:v>high</x:v>
      </x:c>
      <x:c r="S217" s="24" t="str">
        <x:v>Centrolophidae</x:v>
      </x:c>
      <x:c r="T217" s="32" t="n">
        <x:f>IF(O217="","",(1/'Metadata'!$B$5)^(O217-1))</x:f>
        <x:v>446.683592150963</x:v>
      </x:c>
      <x:c r="U217" s="31" t="n">
        <x:f>IF(T217="","",I217*T217)</x:f>
        <x:v>3073.0914151726915</x:v>
      </x:c>
    </x:row>
    <x:row r="218" ht="18" customHeight="1">
      <x:c r="A218" s="24" t="str">
        <x:v>LME_005</x:v>
      </x:c>
      <x:c r="B218" s="24" t="str">
        <x:v>Gulf of Mexico</x:v>
      </x:c>
      <x:c r="C218" s="24" t="str">
        <x:v>LME</x:v>
      </x:c>
      <x:c r="D218" s="30" t="n">
        <x:v>2019</x:v>
      </x:c>
      <x:c r="E218" s="24" t="str">
        <x:v>Kyphosus sectatrix</x:v>
      </x:c>
      <x:c r="F218" s="24" t="str">
        <x:v>Bermuda sea chub</x:v>
      </x:c>
      <x:c r="G218" s="24" t="str">
        <x:v>Medium reef assoc. fish (30 - 89 cm)</x:v>
      </x:c>
      <x:c r="H218" s="24" t="str">
        <x:v>Perch-likes</x:v>
      </x:c>
      <x:c r="I218" s="31" t="n">
        <x:v>6.8733279836</x:v>
      </x:c>
      <x:c r="J218" s="31" t="n">
        <x:v>6.8733279836</x:v>
      </x:c>
      <x:c r="K218" s="31" t="n">
        <x:v>0</x:v>
      </x:c>
      <x:c r="L218" s="31" t="n">
        <x:v>0.0553032646</x:v>
      </x:c>
      <x:c r="M218" s="31" t="n">
        <x:v>6.818024719</x:v>
      </x:c>
      <x:c r="N218" s="24" t="str">
        <x:v>kyphosus sectatrix</x:v>
      </x:c>
      <x:c r="O218" s="32" t="n">
        <x:v>2</x:v>
      </x:c>
      <x:c r="P218" s="24" t="str">
        <x:v>exact_2020_supplement</x:v>
      </x:c>
      <x:c r="Q218" s="32" t="str">
        <x:v>2020 supplement MeanTL</x:v>
      </x:c>
      <x:c r="R218" s="24" t="str">
        <x:v>high</x:v>
      </x:c>
      <x:c r="S218" s="24" t="str">
        <x:v>Kyphosus sectatrix</x:v>
      </x:c>
      <x:c r="T218" s="32" t="n">
        <x:f>IF(O218="","",(1/'Metadata'!$B$5)^(O218-1))</x:f>
        <x:v>10</x:v>
      </x:c>
      <x:c r="U218" s="31" t="n">
        <x:f>IF(T218="","",I218*T218)</x:f>
        <x:v>68.73327983600001</x:v>
      </x:c>
    </x:row>
    <x:row r="219" ht="18" customHeight="1">
      <x:c r="A219" s="24" t="str">
        <x:v>LME_005</x:v>
      </x:c>
      <x:c r="B219" s="24" t="str">
        <x:v>Gulf of Mexico</x:v>
      </x:c>
      <x:c r="C219" s="24" t="str">
        <x:v>LME</x:v>
      </x:c>
      <x:c r="D219" s="30" t="n">
        <x:v>2019</x:v>
      </x:c>
      <x:c r="E219" s="24" t="str">
        <x:v>Gymnura micrura</x:v>
      </x:c>
      <x:c r="F219" s="24" t="str">
        <x:v>Smooth butterfly ray</x:v>
      </x:c>
      <x:c r="G219" s="24" t="str">
        <x:v>Small to medium rays (&lt;90 cm)</x:v>
      </x:c>
      <x:c r="H219" s="24" t="str">
        <x:v>Sharks &amp; rays</x:v>
      </x:c>
      <x:c r="I219" s="31" t="n">
        <x:v>6.6773330765</x:v>
      </x:c>
      <x:c r="J219" s="31" t="n">
        <x:v>0.0388203069</x:v>
      </x:c>
      <x:c r="K219" s="31" t="n">
        <x:v>6.6385127696</x:v>
      </x:c>
      <x:c r="L219" s="31" t="n">
        <x:v>0</x:v>
      </x:c>
      <x:c r="M219" s="31" t="n">
        <x:v>6.6773330765</x:v>
      </x:c>
      <x:c r="N219" s="24" t="str">
        <x:v>gymnura micrura</x:v>
      </x:c>
      <x:c r="O219" s="32" t="n">
        <x:v>3.56</x:v>
      </x:c>
      <x:c r="P219" s="24" t="str">
        <x:v>exact_2020_supplement</x:v>
      </x:c>
      <x:c r="Q219" s="32" t="str">
        <x:v>2020 supplement MeanTL</x:v>
      </x:c>
      <x:c r="R219" s="24" t="str">
        <x:v>high</x:v>
      </x:c>
      <x:c r="S219" s="24" t="str">
        <x:v>Gymnura micrura</x:v>
      </x:c>
      <x:c r="T219" s="32" t="n">
        <x:f>IF(O219="","",(1/'Metadata'!$B$5)^(O219-1))</x:f>
        <x:v>363.0780547701014</x:v>
      </x:c>
      <x:c r="U219" s="31" t="n">
        <x:f>IF(T219="","",I219*T219)</x:f>
        <x:v>2424.393104467677</x:v>
      </x:c>
    </x:row>
    <x:row r="220" ht="18" customHeight="1">
      <x:c r="A220" s="24" t="str">
        <x:v>LME_005</x:v>
      </x:c>
      <x:c r="B220" s="24" t="str">
        <x:v>Gulf of Mexico</x:v>
      </x:c>
      <x:c r="C220" s="24" t="str">
        <x:v>LME</x:v>
      </x:c>
      <x:c r="D220" s="30" t="n">
        <x:v>2019</x:v>
      </x:c>
      <x:c r="E220" s="24" t="str">
        <x:v>Loliginidae</x:v>
      </x:c>
      <x:c r="F220" s="24" t="str">
        <x:v>Common pencil squids</x:v>
      </x:c>
      <x:c r="G220" s="24" t="str">
        <x:v>Cephalopods</x:v>
      </x:c>
      <x:c r="H220" s="24" t="str">
        <x:v>Other fishes &amp; inverts</x:v>
      </x:c>
      <x:c r="I220" s="31" t="n">
        <x:v>6.108572293</x:v>
      </x:c>
      <x:c r="J220" s="31" t="n">
        <x:v>6.108572293</x:v>
      </x:c>
      <x:c r="K220" s="31" t="n">
        <x:v>0</x:v>
      </x:c>
      <x:c r="L220" s="31" t="n">
        <x:v>6.108572293</x:v>
      </x:c>
      <x:c r="M220" s="31" t="n">
        <x:v>0</x:v>
      </x:c>
      <x:c r="N220" s="24" t="str">
        <x:v>loliginidae</x:v>
      </x:c>
      <x:c r="O220" s="32" t="n">
        <x:v>3.9</x:v>
      </x:c>
      <x:c r="P220" s="24" t="str">
        <x:v>exact_sea_around_us</x:v>
      </x:c>
      <x:c r="Q220" s="32" t="str">
        <x:v>Sea Around Us exploited organisms</x:v>
      </x:c>
      <x:c r="R220" s="24" t="str">
        <x:v>high</x:v>
      </x:c>
      <x:c r="S220" s="24" t="str">
        <x:v>Loliginidae</x:v>
      </x:c>
      <x:c r="T220" s="32" t="n">
        <x:f>IF(O220="","",(1/'Metadata'!$B$5)^(O220-1))</x:f>
        <x:v>794.3282347242813</x:v>
      </x:c>
      <x:c r="U220" s="31" t="n">
        <x:f>IF(T220="","",I220*T220)</x:f>
        <x:v>4852.211446184345</x:v>
      </x:c>
    </x:row>
    <x:row r="221" ht="18" customHeight="1">
      <x:c r="A221" s="24" t="str">
        <x:v>LME_005</x:v>
      </x:c>
      <x:c r="B221" s="24" t="str">
        <x:v>Gulf of Mexico</x:v>
      </x:c>
      <x:c r="C221" s="24" t="str">
        <x:v>LME</x:v>
      </x:c>
      <x:c r="D221" s="30" t="n">
        <x:v>2019</x:v>
      </x:c>
      <x:c r="E221" s="24" t="str">
        <x:v>Menippe mercenaria</x:v>
      </x:c>
      <x:c r="F221" s="24" t="str">
        <x:v>Black stone crab</x:v>
      </x:c>
      <x:c r="G221" s="24" t="str">
        <x:v>Lobsters, crabs</x:v>
      </x:c>
      <x:c r="H221" s="24" t="str">
        <x:v>Crustaceans</x:v>
      </x:c>
      <x:c r="I221" s="31" t="n">
        <x:v>6.056344197900001</x:v>
      </x:c>
      <x:c r="J221" s="31" t="n">
        <x:v>6.056344197900001</x:v>
      </x:c>
      <x:c r="K221" s="31" t="n">
        <x:v>0</x:v>
      </x:c>
      <x:c r="L221" s="31" t="n">
        <x:v>1.7122160774</x:v>
      </x:c>
      <x:c r="M221" s="31" t="n">
        <x:v>4.344128120500001</x:v>
      </x:c>
      <x:c r="N221" s="24" t="str">
        <x:v>menippe mercenaria</x:v>
      </x:c>
      <x:c r="O221" s="32" t="n">
        <x:v>2.6</x:v>
      </x:c>
      <x:c r="P221" s="24" t="str">
        <x:v>exact_sea_around_us</x:v>
      </x:c>
      <x:c r="Q221" s="32" t="str">
        <x:v>Sea Around Us exploited organisms</x:v>
      </x:c>
      <x:c r="R221" s="24" t="str">
        <x:v>high</x:v>
      </x:c>
      <x:c r="S221" s="24" t="str">
        <x:v>Menippe mercenaria</x:v>
      </x:c>
      <x:c r="T221" s="32" t="n">
        <x:f>IF(O221="","",(1/'Metadata'!$B$5)^(O221-1))</x:f>
        <x:v>39.810717055349734</x:v>
      </x:c>
      <x:c r="U221" s="31" t="n">
        <x:f>IF(T221="","",I221*T221)</x:f>
        <x:v>241.10740525240595</x:v>
      </x:c>
    </x:row>
    <x:row r="222" ht="18" customHeight="1">
      <x:c r="A222" s="24" t="str">
        <x:v>LME_005</x:v>
      </x:c>
      <x:c r="B222" s="24" t="str">
        <x:v>Gulf of Mexico</x:v>
      </x:c>
      <x:c r="C222" s="24" t="str">
        <x:v>LME</x:v>
      </x:c>
      <x:c r="D222" s="30" t="n">
        <x:v>2019</x:v>
      </x:c>
      <x:c r="E222" s="24" t="str">
        <x:v>Alectis ciliaris</x:v>
      </x:c>
      <x:c r="F222" s="24" t="str">
        <x:v>African pompano</x:v>
      </x:c>
      <x:c r="G222" s="24" t="str">
        <x:v>Large pelagics (&gt;=90 cm)</x:v>
      </x:c>
      <x:c r="H222" s="24" t="str">
        <x:v>Perch-likes</x:v>
      </x:c>
      <x:c r="I222" s="31" t="n">
        <x:v>5.9120680634</x:v>
      </x:c>
      <x:c r="J222" s="31" t="n">
        <x:v>5.9120680634</x:v>
      </x:c>
      <x:c r="K222" s="31" t="n">
        <x:v>0</x:v>
      </x:c>
      <x:c r="L222" s="31" t="n">
        <x:v>3.2657743101</x:v>
      </x:c>
      <x:c r="M222" s="31" t="n">
        <x:v>2.6462937533</x:v>
      </x:c>
      <x:c r="N222" s="24" t="str">
        <x:v>alectis ciliaris</x:v>
      </x:c>
      <x:c r="O222" s="32" t="n">
        <x:v>3.95</x:v>
      </x:c>
      <x:c r="P222" s="24" t="str">
        <x:v>exact_2020_supplement</x:v>
      </x:c>
      <x:c r="Q222" s="32" t="str">
        <x:v>2020 supplement MeanTL</x:v>
      </x:c>
      <x:c r="R222" s="24" t="str">
        <x:v>high</x:v>
      </x:c>
      <x:c r="S222" s="24" t="str">
        <x:v>Alectis ciliaris</x:v>
      </x:c>
      <x:c r="T222" s="32" t="n">
        <x:f>IF(O222="","",(1/'Metadata'!$B$5)^(O222-1))</x:f>
        <x:v>891.2509381337459</x:v>
      </x:c>
      <x:c r="U222" s="31" t="n">
        <x:f>IF(T222="","",I222*T222)</x:f>
        <x:v>5269.136207815808</x:v>
      </x:c>
    </x:row>
    <x:row r="223" ht="18" customHeight="1">
      <x:c r="A223" s="24" t="str">
        <x:v>LME_005</x:v>
      </x:c>
      <x:c r="B223" s="24" t="str">
        <x:v>Gulf of Mexico</x:v>
      </x:c>
      <x:c r="C223" s="24" t="str">
        <x:v>LME</x:v>
      </x:c>
      <x:c r="D223" s="30" t="n">
        <x:v>2019</x:v>
      </x:c>
      <x:c r="E223" s="24" t="str">
        <x:v>Epinephelus guttatus</x:v>
      </x:c>
      <x:c r="F223" s="24" t="str">
        <x:v>Red hind</x:v>
      </x:c>
      <x:c r="G223" s="24" t="str">
        <x:v>Medium reef assoc. fish (30 - 89 cm)</x:v>
      </x:c>
      <x:c r="H223" s="24" t="str">
        <x:v>Perch-likes</x:v>
      </x:c>
      <x:c r="I223" s="31" t="n">
        <x:v>5.714445695</x:v>
      </x:c>
      <x:c r="J223" s="31" t="n">
        <x:v>5.714445695</x:v>
      </x:c>
      <x:c r="K223" s="31" t="n">
        <x:v>0</x:v>
      </x:c>
      <x:c r="L223" s="31" t="n">
        <x:v>4.7235144027</x:v>
      </x:c>
      <x:c r="M223" s="31" t="n">
        <x:v>0.9909312923</x:v>
      </x:c>
      <x:c r="N223" s="24" t="str">
        <x:v>epinephelus guttatus</x:v>
      </x:c>
      <x:c r="O223" s="32" t="n">
        <x:v>3.84</x:v>
      </x:c>
      <x:c r="P223" s="24" t="str">
        <x:v>exact_2020_supplement</x:v>
      </x:c>
      <x:c r="Q223" s="32" t="str">
        <x:v>2020 supplement MeanTL</x:v>
      </x:c>
      <x:c r="R223" s="24" t="str">
        <x:v>high</x:v>
      </x:c>
      <x:c r="S223" s="24" t="str">
        <x:v>Epinephelus guttatus</x:v>
      </x:c>
      <x:c r="T223" s="32" t="n">
        <x:f>IF(O223="","",(1/'Metadata'!$B$5)^(O223-1))</x:f>
        <x:v>691.8309709189363</x:v>
      </x:c>
      <x:c r="U223" s="31" t="n">
        <x:f>IF(T223="","",I223*T223)</x:f>
        <x:v>3953.430513435386</x:v>
      </x:c>
    </x:row>
    <x:row r="224" ht="18" customHeight="1">
      <x:c r="A224" s="24" t="str">
        <x:v>LME_005</x:v>
      </x:c>
      <x:c r="B224" s="24" t="str">
        <x:v>Gulf of Mexico</x:v>
      </x:c>
      <x:c r="C224" s="24" t="str">
        <x:v>LME</x:v>
      </x:c>
      <x:c r="D224" s="30" t="n">
        <x:v>2019</x:v>
      </x:c>
      <x:c r="E224" s="24" t="str">
        <x:v>Octopodidae</x:v>
      </x:c>
      <x:c r="F224" s="24" t="str">
        <x:v>Octopuses</x:v>
      </x:c>
      <x:c r="G224" s="24" t="str">
        <x:v>Cephalopods</x:v>
      </x:c>
      <x:c r="H224" s="24" t="str">
        <x:v>Other fishes &amp; inverts</x:v>
      </x:c>
      <x:c r="I224" s="31" t="n">
        <x:v>5.5468142067</x:v>
      </x:c>
      <x:c r="J224" s="31" t="n">
        <x:v>5.5468142067</x:v>
      </x:c>
      <x:c r="K224" s="31" t="n">
        <x:v>0</x:v>
      </x:c>
      <x:c r="L224" s="31" t="n">
        <x:v>5.5468142067</x:v>
      </x:c>
      <x:c r="M224" s="31" t="n">
        <x:v>0</x:v>
      </x:c>
      <x:c r="N224" s="24" t="str">
        <x:v>octopodidae</x:v>
      </x:c>
      <x:c r="O224" s="32" t="n">
        <x:v>3.59</x:v>
      </x:c>
      <x:c r="P224" s="24" t="str">
        <x:v>exact_sea_around_us</x:v>
      </x:c>
      <x:c r="Q224" s="32" t="str">
        <x:v>Sea Around Us exploited organisms</x:v>
      </x:c>
      <x:c r="R224" s="24" t="str">
        <x:v>high</x:v>
      </x:c>
      <x:c r="S224" s="24" t="str">
        <x:v>Octopodidae</x:v>
      </x:c>
      <x:c r="T224" s="32" t="n">
        <x:f>IF(O224="","",(1/'Metadata'!$B$5)^(O224-1))</x:f>
        <x:v>389.04514499428046</x:v>
      </x:c>
      <x:c r="U224" s="31" t="n">
        <x:f>IF(T224="","",I224*T224)</x:f>
        <x:v>2157.961137301936</x:v>
      </x:c>
    </x:row>
    <x:row r="225" ht="18" customHeight="1">
      <x:c r="A225" s="24" t="str">
        <x:v>LME_005</x:v>
      </x:c>
      <x:c r="B225" s="24" t="str">
        <x:v>Gulf of Mexico</x:v>
      </x:c>
      <x:c r="C225" s="24" t="str">
        <x:v>LME</x:v>
      </x:c>
      <x:c r="D225" s="30" t="n">
        <x:v>2019</x:v>
      </x:c>
      <x:c r="E225" s="24" t="str">
        <x:v>Lutjanus jocu</x:v>
      </x:c>
      <x:c r="F225" s="24" t="str">
        <x:v>Dog snapper</x:v>
      </x:c>
      <x:c r="G225" s="24" t="str">
        <x:v>Large reef assoc. fish (&gt;=90 cm)</x:v>
      </x:c>
      <x:c r="H225" s="24" t="str">
        <x:v>Perch-likes</x:v>
      </x:c>
      <x:c r="I225" s="31" t="n">
        <x:v>5.5111933333</x:v>
      </x:c>
      <x:c r="J225" s="31" t="n">
        <x:v>5.0993231029</x:v>
      </x:c>
      <x:c r="K225" s="31" t="n">
        <x:v>0.4118702304</x:v>
      </x:c>
      <x:c r="L225" s="31" t="n">
        <x:v>0.1438006955</x:v>
      </x:c>
      <x:c r="M225" s="31" t="n">
        <x:v>5.367392637799999</x:v>
      </x:c>
      <x:c r="N225" s="24" t="str">
        <x:v>lutjanus jocu</x:v>
      </x:c>
      <x:c r="O225" s="32" t="n">
        <x:v>4.41</x:v>
      </x:c>
      <x:c r="P225" s="24" t="str">
        <x:v>exact_2020_supplement</x:v>
      </x:c>
      <x:c r="Q225" s="32" t="str">
        <x:v>2020 supplement MeanTL</x:v>
      </x:c>
      <x:c r="R225" s="24" t="str">
        <x:v>high</x:v>
      </x:c>
      <x:c r="S225" s="24" t="str">
        <x:v>Lutjanus jocu</x:v>
      </x:c>
      <x:c r="T225" s="32" t="n">
        <x:f>IF(O225="","",(1/'Metadata'!$B$5)^(O225-1))</x:f>
        <x:v>2570.3957827688646</x:v>
      </x:c>
      <x:c r="U225" s="31" t="n">
        <x:f>IF(T225="","",I225*T225)</x:f>
        <x:v>14165.9481019382</x:v>
      </x:c>
    </x:row>
    <x:row r="226" ht="18" customHeight="1">
      <x:c r="A226" s="24" t="str">
        <x:v>LME_005</x:v>
      </x:c>
      <x:c r="B226" s="24" t="str">
        <x:v>Gulf of Mexico</x:v>
      </x:c>
      <x:c r="C226" s="24" t="str">
        <x:v>LME</x:v>
      </x:c>
      <x:c r="D226" s="30" t="n">
        <x:v>2019</x:v>
      </x:c>
      <x:c r="E226" s="24" t="str">
        <x:v>Oligoplites saurus</x:v>
      </x:c>
      <x:c r="F226" s="24" t="str">
        <x:v>Leatherjacket</x:v>
      </x:c>
      <x:c r="G226" s="24" t="str">
        <x:v>Medium reef assoc. fish (30 - 89 cm)</x:v>
      </x:c>
      <x:c r="H226" s="24" t="str">
        <x:v>Perch-likes</x:v>
      </x:c>
      <x:c r="I226" s="31" t="n">
        <x:v>5.4485328145</x:v>
      </x:c>
      <x:c r="J226" s="31" t="n">
        <x:v>5.4485328145</x:v>
      </x:c>
      <x:c r="K226" s="31" t="n">
        <x:v>0</x:v>
      </x:c>
      <x:c r="L226" s="31" t="n">
        <x:v>0</x:v>
      </x:c>
      <x:c r="M226" s="31" t="n">
        <x:v>5.4485328145</x:v>
      </x:c>
      <x:c r="N226" s="24" t="str">
        <x:v>oligoplites saurus</x:v>
      </x:c>
      <x:c r="O226" s="32" t="n">
        <x:v>4.33</x:v>
      </x:c>
      <x:c r="P226" s="24" t="str">
        <x:v>exact_2020_supplement</x:v>
      </x:c>
      <x:c r="Q226" s="32" t="str">
        <x:v>2020 supplement MeanTL</x:v>
      </x:c>
      <x:c r="R226" s="24" t="str">
        <x:v>high</x:v>
      </x:c>
      <x:c r="S226" s="24" t="str">
        <x:v>Oligoplites saurus</x:v>
      </x:c>
      <x:c r="T226" s="32" t="n">
        <x:f>IF(O226="","",(1/'Metadata'!$B$5)^(O226-1))</x:f>
        <x:v>2137.9620895022326</x:v>
      </x:c>
      <x:c r="U226" s="31" t="n">
        <x:f>IF(T226="","",I226*T226)</x:f>
        <x:v>11648.7566008099</x:v>
      </x:c>
    </x:row>
    <x:row r="227" ht="18" customHeight="1">
      <x:c r="A227" s="24" t="str">
        <x:v>LME_005</x:v>
      </x:c>
      <x:c r="B227" s="24" t="str">
        <x:v>Gulf of Mexico</x:v>
      </x:c>
      <x:c r="C227" s="24" t="str">
        <x:v>LME</x:v>
      </x:c>
      <x:c r="D227" s="30" t="n">
        <x:v>2019</x:v>
      </x:c>
      <x:c r="E227" s="24" t="str">
        <x:v>Hippocampus zosterae</x:v>
      </x:c>
      <x:c r="F227" s="24" t="str">
        <x:v>Dwarf seahorse</x:v>
      </x:c>
      <x:c r="G227" s="24" t="str">
        <x:v>Small demersals (&lt;30 cm)</x:v>
      </x:c>
      <x:c r="H227" s="24" t="str">
        <x:v>Other fishes &amp; inverts</x:v>
      </x:c>
      <x:c r="I227" s="31" t="n">
        <x:v>5.1677327106</x:v>
      </x:c>
      <x:c r="J227" s="31" t="n">
        <x:v>5.1677327106</x:v>
      </x:c>
      <x:c r="K227" s="31" t="n">
        <x:v>0</x:v>
      </x:c>
      <x:c r="L227" s="31" t="n">
        <x:v>5.1677327106</x:v>
      </x:c>
      <x:c r="M227" s="31" t="n">
        <x:v>0</x:v>
      </x:c>
      <x:c r="N227" s="24" t="str">
        <x:v>hippocampus zosterae</x:v>
      </x:c>
      <x:c r="O227" s="32" t="n">
        <x:v>3.19</x:v>
      </x:c>
      <x:c r="P227" s="24" t="str">
        <x:v>exact_sea_around_us</x:v>
      </x:c>
      <x:c r="Q227" s="32" t="str">
        <x:v>Sea Around Us exploited organisms</x:v>
      </x:c>
      <x:c r="R227" s="24" t="str">
        <x:v>high</x:v>
      </x:c>
      <x:c r="S227" s="24" t="str">
        <x:v>Hippocampus zosterae</x:v>
      </x:c>
      <x:c r="T227" s="32" t="n">
        <x:f>IF(O227="","",(1/'Metadata'!$B$5)^(O227-1))</x:f>
        <x:v>154.88166189124811</x:v>
      </x:c>
      <x:c r="U227" s="31" t="n">
        <x:f>IF(T227="","",I227*T227)</x:f>
        <x:v>800.3870304274924</x:v>
      </x:c>
    </x:row>
    <x:row r="228" ht="18" customHeight="1">
      <x:c r="A228" s="24" t="str">
        <x:v>LME_005</x:v>
      </x:c>
      <x:c r="B228" s="24" t="str">
        <x:v>Gulf of Mexico</x:v>
      </x:c>
      <x:c r="C228" s="24" t="str">
        <x:v>LME</x:v>
      </x:c>
      <x:c r="D228" s="30" t="n">
        <x:v>2019</x:v>
      </x:c>
      <x:c r="E228" s="24" t="str">
        <x:v>Ephippidae</x:v>
      </x:c>
      <x:c r="F228" s="24" t="str">
        <x:v>Spade-, batfishes, scats</x:v>
      </x:c>
      <x:c r="G228" s="24" t="str">
        <x:v>Medium reef assoc. fish (30 - 89 cm)</x:v>
      </x:c>
      <x:c r="H228" s="24" t="str">
        <x:v>Perch-likes</x:v>
      </x:c>
      <x:c r="I228" s="31" t="n">
        <x:v>5.0728255604</x:v>
      </x:c>
      <x:c r="J228" s="31" t="n">
        <x:v>5.0728255604</x:v>
      </x:c>
      <x:c r="K228" s="31" t="n">
        <x:v>0</x:v>
      </x:c>
      <x:c r="L228" s="31" t="n">
        <x:v>5.0728255604</x:v>
      </x:c>
      <x:c r="M228" s="31" t="n">
        <x:v>0</x:v>
      </x:c>
      <x:c r="N228" s="24" t="str">
        <x:v>ephippidae</x:v>
      </x:c>
      <x:c r="O228" s="32" t="n">
        <x:v>3.57</x:v>
      </x:c>
      <x:c r="P228" s="24" t="str">
        <x:v>exact_sea_around_us</x:v>
      </x:c>
      <x:c r="Q228" s="32" t="str">
        <x:v>Sea Around Us exploited organisms</x:v>
      </x:c>
      <x:c r="R228" s="24" t="str">
        <x:v>high</x:v>
      </x:c>
      <x:c r="S228" s="24" t="str">
        <x:v>Ephippidae</x:v>
      </x:c>
      <x:c r="T228" s="32" t="n">
        <x:f>IF(O228="","",(1/'Metadata'!$B$5)^(O228-1))</x:f>
        <x:v>371.5352290971724</x:v>
      </x:c>
      <x:c r="U228" s="31" t="n">
        <x:f>IF(T228="","",I228*T228)</x:f>
        <x:v>1884.733406753206</x:v>
      </x:c>
    </x:row>
    <x:row r="229" ht="18" customHeight="1">
      <x:c r="A229" s="24" t="str">
        <x:v>LME_005</x:v>
      </x:c>
      <x:c r="B229" s="24" t="str">
        <x:v>Gulf of Mexico</x:v>
      </x:c>
      <x:c r="C229" s="24" t="str">
        <x:v>LME</x:v>
      </x:c>
      <x:c r="D229" s="30" t="n">
        <x:v>2019</x:v>
      </x:c>
      <x:c r="E229" s="24" t="str">
        <x:v>Epinephelus adscensionis</x:v>
      </x:c>
      <x:c r="F229" s="24" t="str">
        <x:v>Rock hind</x:v>
      </x:c>
      <x:c r="G229" s="24" t="str">
        <x:v>Medium reef assoc. fish (30 - 89 cm)</x:v>
      </x:c>
      <x:c r="H229" s="24" t="str">
        <x:v>Perch-likes</x:v>
      </x:c>
      <x:c r="I229" s="31" t="n">
        <x:v>4.7699179307</x:v>
      </x:c>
      <x:c r="J229" s="31" t="n">
        <x:v>4.7699179307</x:v>
      </x:c>
      <x:c r="K229" s="31" t="n">
        <x:v>0</x:v>
      </x:c>
      <x:c r="L229" s="31" t="n">
        <x:v>0.34113949250000003</x:v>
      </x:c>
      <x:c r="M229" s="31" t="n">
        <x:v>4.4287784382</x:v>
      </x:c>
      <x:c r="N229" s="24" t="str">
        <x:v>epinephelus adscensionis</x:v>
      </x:c>
      <x:c r="O229" s="32" t="n">
        <x:v>3.53</x:v>
      </x:c>
      <x:c r="P229" s="24" t="str">
        <x:v>exact_2020_supplement</x:v>
      </x:c>
      <x:c r="Q229" s="32" t="str">
        <x:v>2020 supplement MeanTL</x:v>
      </x:c>
      <x:c r="R229" s="24" t="str">
        <x:v>high</x:v>
      </x:c>
      <x:c r="S229" s="24" t="str">
        <x:v>Epinephelus adscensionis</x:v>
      </x:c>
      <x:c r="T229" s="32" t="n">
        <x:f>IF(O229="","",(1/'Metadata'!$B$5)^(O229-1))</x:f>
        <x:v>338.84415613920237</x:v>
      </x:c>
      <x:c r="U229" s="31" t="n">
        <x:f>IF(T229="","",I229*T229)</x:f>
        <x:v>1616.258816081292</x:v>
      </x:c>
    </x:row>
    <x:row r="230" ht="18" customHeight="1">
      <x:c r="A230" s="24" t="str">
        <x:v>LME_005</x:v>
      </x:c>
      <x:c r="B230" s="24" t="str">
        <x:v>Gulf of Mexico</x:v>
      </x:c>
      <x:c r="C230" s="24" t="str">
        <x:v>LME</x:v>
      </x:c>
      <x:c r="D230" s="30" t="n">
        <x:v>2019</x:v>
      </x:c>
      <x:c r="E230" s="24" t="str">
        <x:v>Canthidermis sufflamen</x:v>
      </x:c>
      <x:c r="F230" s="24" t="str">
        <x:v>Ocean triggerfish</x:v>
      </x:c>
      <x:c r="G230" s="24" t="str">
        <x:v>Medium reef assoc. fish (30 - 89 cm)</x:v>
      </x:c>
      <x:c r="H230" s="24" t="str">
        <x:v>Other fishes &amp; inverts</x:v>
      </x:c>
      <x:c r="I230" s="31" t="n">
        <x:v>4.6489233364</x:v>
      </x:c>
      <x:c r="J230" s="31" t="n">
        <x:v>4.6489233364</x:v>
      </x:c>
      <x:c r="K230" s="31" t="n">
        <x:v>0</x:v>
      </x:c>
      <x:c r="L230" s="31" t="n">
        <x:v>0.7680552106</x:v>
      </x:c>
      <x:c r="M230" s="31" t="n">
        <x:v>3.8808681258</x:v>
      </x:c>
      <x:c r="N230" s="24" t="str">
        <x:v>canthidermis sufflamen</x:v>
      </x:c>
      <x:c r="O230" s="32" t="n">
        <x:v>3.45</x:v>
      </x:c>
      <x:c r="P230" s="24" t="str">
        <x:v>exact_2020_supplement</x:v>
      </x:c>
      <x:c r="Q230" s="32" t="str">
        <x:v>2020 supplement MeanTL</x:v>
      </x:c>
      <x:c r="R230" s="24" t="str">
        <x:v>high</x:v>
      </x:c>
      <x:c r="S230" s="24" t="str">
        <x:v>Canthidermis sufflamen</x:v>
      </x:c>
      <x:c r="T230" s="32" t="n">
        <x:f>IF(O230="","",(1/'Metadata'!$B$5)^(O230-1))</x:f>
        <x:v>281.8382931264455</x:v>
      </x:c>
      <x:c r="U230" s="31" t="n">
        <x:f>IF(T230="","",I230*T230)</x:f>
        <x:v>1310.244618006676</x:v>
      </x:c>
    </x:row>
    <x:row r="231" ht="18" customHeight="1">
      <x:c r="A231" s="24" t="str">
        <x:v>LME_005</x:v>
      </x:c>
      <x:c r="B231" s="24" t="str">
        <x:v>Gulf of Mexico</x:v>
      </x:c>
      <x:c r="C231" s="24" t="str">
        <x:v>LME</x:v>
      </x:c>
      <x:c r="D231" s="30" t="n">
        <x:v>2019</x:v>
      </x:c>
      <x:c r="E231" s="24" t="str">
        <x:v>Stomolophus</x:v>
      </x:c>
      <x:c r="F231" s="24" t="str">
        <x:v>Cannonball jellies</x:v>
      </x:c>
      <x:c r="G231" s="24" t="str">
        <x:v>Jellyfish</x:v>
      </x:c>
      <x:c r="H231" s="24" t="str">
        <x:v>Other fishes &amp; inverts</x:v>
      </x:c>
      <x:c r="I231" s="31" t="n">
        <x:v>4.3841344287</x:v>
      </x:c>
      <x:c r="J231" s="31" t="n">
        <x:v>0</x:v>
      </x:c>
      <x:c r="K231" s="31" t="n">
        <x:v>4.3841344287</x:v>
      </x:c>
      <x:c r="L231" s="31" t="n">
        <x:v>0</x:v>
      </x:c>
      <x:c r="M231" s="31" t="n">
        <x:v>4.3841344287</x:v>
      </x:c>
      <x:c r="N231" s="24" t="str">
        <x:v>stomolophus</x:v>
      </x:c>
      <x:c r="O231" s="32" t="n">
        <x:v>3.46</x:v>
      </x:c>
      <x:c r="P231" s="24" t="str">
        <x:v>exact_sea_around_us</x:v>
      </x:c>
      <x:c r="Q231" s="32" t="str">
        <x:v>Sea Around Us exploited organisms</x:v>
      </x:c>
      <x:c r="R231" s="24" t="str">
        <x:v>high</x:v>
      </x:c>
      <x:c r="S231" s="24" t="str">
        <x:v>Stomolophus</x:v>
      </x:c>
      <x:c r="T231" s="32" t="n">
        <x:f>IF(O231="","",(1/'Metadata'!$B$5)^(O231-1))</x:f>
        <x:v>288.40315031266056</x:v>
      </x:c>
      <x:c r="U231" s="31" t="n">
        <x:f>IF(T231="","",I231*T231)</x:f>
        <x:v>1264.3981806312763</x:v>
      </x:c>
    </x:row>
    <x:row r="232" ht="18" customHeight="1">
      <x:c r="A232" s="24" t="str">
        <x:v>LME_005</x:v>
      </x:c>
      <x:c r="B232" s="24" t="str">
        <x:v>Gulf of Mexico</x:v>
      </x:c>
      <x:c r="C232" s="24" t="str">
        <x:v>LME</x:v>
      </x:c>
      <x:c r="D232" s="30" t="n">
        <x:v>2019</x:v>
      </x:c>
      <x:c r="E232" s="24" t="str">
        <x:v>Haemulon flavolineatum</x:v>
      </x:c>
      <x:c r="F232" s="24" t="str">
        <x:v>French grunt</x:v>
      </x:c>
      <x:c r="G232" s="24" t="str">
        <x:v>Small reef assoc. fish (&lt;30 cm)</x:v>
      </x:c>
      <x:c r="H232" s="24" t="str">
        <x:v>Perch-likes</x:v>
      </x:c>
      <x:c r="I232" s="31" t="n">
        <x:v>4.2154464608</x:v>
      </x:c>
      <x:c r="J232" s="31" t="n">
        <x:v>4.2154464608</x:v>
      </x:c>
      <x:c r="K232" s="31" t="n">
        <x:v>0</x:v>
      </x:c>
      <x:c r="L232" s="31" t="n">
        <x:v>0.1865592004</x:v>
      </x:c>
      <x:c r="M232" s="31" t="n">
        <x:v>4.0288872604</x:v>
      </x:c>
      <x:c r="N232" s="24" t="str">
        <x:v>haemulon flavolineatum</x:v>
      </x:c>
      <x:c r="O232" s="32" t="n">
        <x:v>3.46</x:v>
      </x:c>
      <x:c r="P232" s="24" t="str">
        <x:v>exact_2020_supplement</x:v>
      </x:c>
      <x:c r="Q232" s="32" t="str">
        <x:v>2020 supplement MeanTL</x:v>
      </x:c>
      <x:c r="R232" s="24" t="str">
        <x:v>high</x:v>
      </x:c>
      <x:c r="S232" s="24" t="str">
        <x:v>Haemulon flavolineatum</x:v>
      </x:c>
      <x:c r="T232" s="32" t="n">
        <x:f>IF(O232="","",(1/'Metadata'!$B$5)^(O232-1))</x:f>
        <x:v>288.40315031266056</x:v>
      </x:c>
      <x:c r="U232" s="31" t="n">
        <x:f>IF(T232="","",I232*T232)</x:f>
        <x:v>1215.7480392690754</x:v>
      </x:c>
    </x:row>
    <x:row r="233" ht="18" customHeight="1">
      <x:c r="A233" s="24" t="str">
        <x:v>LME_005</x:v>
      </x:c>
      <x:c r="B233" s="24" t="str">
        <x:v>Gulf of Mexico</x:v>
      </x:c>
      <x:c r="C233" s="24" t="str">
        <x:v>LME</x:v>
      </x:c>
      <x:c r="D233" s="30" t="n">
        <x:v>2019</x:v>
      </x:c>
      <x:c r="E233" s="24" t="str">
        <x:v>Morone saxatilis</x:v>
      </x:c>
      <x:c r="F233" s="24" t="str">
        <x:v>Striped bass</x:v>
      </x:c>
      <x:c r="G233" s="24" t="str">
        <x:v>Large demersals (&gt;=90 cm)</x:v>
      </x:c>
      <x:c r="H233" s="24" t="str">
        <x:v>Perch-likes</x:v>
      </x:c>
      <x:c r="I233" s="31" t="n">
        <x:v>4.2025371639</x:v>
      </x:c>
      <x:c r="J233" s="31" t="n">
        <x:v>4.2025371639</x:v>
      </x:c>
      <x:c r="K233" s="31" t="n">
        <x:v>0</x:v>
      </x:c>
      <x:c r="L233" s="31" t="n">
        <x:v>0.9392549486999999</x:v>
      </x:c>
      <x:c r="M233" s="31" t="n">
        <x:v>3.2632822152</x:v>
      </x:c>
      <x:c r="N233" s="24" t="str">
        <x:v>morone saxatilis</x:v>
      </x:c>
      <x:c r="O233" s="32" t="n">
        <x:v>4.65</x:v>
      </x:c>
      <x:c r="P233" s="24" t="str">
        <x:v>exact_2020_supplement</x:v>
      </x:c>
      <x:c r="Q233" s="32" t="str">
        <x:v>2020 supplement MeanTL</x:v>
      </x:c>
      <x:c r="R233" s="24" t="str">
        <x:v>high</x:v>
      </x:c>
      <x:c r="S233" s="24" t="str">
        <x:v>Morone saxatilis</x:v>
      </x:c>
      <x:c r="T233" s="32" t="n">
        <x:f>IF(O233="","",(1/'Metadata'!$B$5)^(O233-1))</x:f>
        <x:v>4466.835921509635</x:v>
      </x:c>
      <x:c r="U233" s="31" t="n">
        <x:f>IF(T233="","",I233*T233)</x:f>
        <x:v>18772.043965187746</x:v>
      </x:c>
    </x:row>
    <x:row r="234" ht="18" customHeight="1">
      <x:c r="A234" s="24" t="str">
        <x:v>LME_005</x:v>
      </x:c>
      <x:c r="B234" s="24" t="str">
        <x:v>Gulf of Mexico</x:v>
      </x:c>
      <x:c r="C234" s="24" t="str">
        <x:v>LME</x:v>
      </x:c>
      <x:c r="D234" s="30" t="n">
        <x:v>2019</x:v>
      </x:c>
      <x:c r="E234" s="24" t="str">
        <x:v>Carcharhinus falciformis</x:v>
      </x:c>
      <x:c r="F234" s="24" t="str">
        <x:v>Silky shark</x:v>
      </x:c>
      <x:c r="G234" s="24" t="str">
        <x:v>Large sharks (&gt;=90 cm)</x:v>
      </x:c>
      <x:c r="H234" s="24" t="str">
        <x:v>Sharks &amp; rays</x:v>
      </x:c>
      <x:c r="I234" s="31" t="n">
        <x:v>4.0505838784</x:v>
      </x:c>
      <x:c r="J234" s="31" t="n">
        <x:v>3.8501517473</x:v>
      </x:c>
      <x:c r="K234" s="31" t="n">
        <x:v>0.2004321311</x:v>
      </x:c>
      <x:c r="L234" s="31" t="n">
        <x:v>3.848473503</x:v>
      </x:c>
      <x:c r="M234" s="31" t="n">
        <x:v>0.2021103754</x:v>
      </x:c>
      <x:c r="N234" s="24" t="str">
        <x:v>carcharhinus falciformis</x:v>
      </x:c>
      <x:c r="O234" s="32" t="n">
        <x:v>4.51</x:v>
      </x:c>
      <x:c r="P234" s="24" t="str">
        <x:v>exact_2020_supplement</x:v>
      </x:c>
      <x:c r="Q234" s="32" t="str">
        <x:v>2020 supplement MeanTL</x:v>
      </x:c>
      <x:c r="R234" s="24" t="str">
        <x:v>high</x:v>
      </x:c>
      <x:c r="S234" s="24" t="str">
        <x:v>Carcharhinus falciformis</x:v>
      </x:c>
      <x:c r="T234" s="32" t="n">
        <x:f>IF(O234="","",(1/'Metadata'!$B$5)^(O234-1))</x:f>
        <x:v>3235.936569296281</x:v>
      </x:c>
      <x:c r="U234" s="31" t="n">
        <x:f>IF(T234="","",I234*T234)</x:f>
        <x:v>13107.432499116521</x:v>
      </x:c>
    </x:row>
    <x:row r="235" ht="18" customHeight="1">
      <x:c r="A235" s="24" t="str">
        <x:v>LME_005</x:v>
      </x:c>
      <x:c r="B235" s="24" t="str">
        <x:v>Gulf of Mexico</x:v>
      </x:c>
      <x:c r="C235" s="24" t="str">
        <x:v>LME</x:v>
      </x:c>
      <x:c r="D235" s="30" t="n">
        <x:v>2019</x:v>
      </x:c>
      <x:c r="E235" s="24" t="str">
        <x:v>Echeneidae</x:v>
      </x:c>
      <x:c r="F235" s="24" t="str">
        <x:v>Remoras</x:v>
      </x:c>
      <x:c r="G235" s="24" t="str">
        <x:v>Large pelagics (&gt;=90 cm)</x:v>
      </x:c>
      <x:c r="H235" s="24" t="str">
        <x:v>Perch-likes</x:v>
      </x:c>
      <x:c r="I235" s="31" t="n">
        <x:v>3.7974621201999996</x:v>
      </x:c>
      <x:c r="J235" s="31" t="n">
        <x:v>1.6070909755</x:v>
      </x:c>
      <x:c r="K235" s="31" t="n">
        <x:v>2.1903711447</x:v>
      </x:c>
      <x:c r="L235" s="31" t="n">
        <x:v>0.0126556836</x:v>
      </x:c>
      <x:c r="M235" s="31" t="n">
        <x:v>3.7848064366</x:v>
      </x:c>
      <x:c r="N235" s="24" t="str">
        <x:v>echeneidae</x:v>
      </x:c>
      <x:c r="O235" s="32" t="n">
        <x:v>3.22</x:v>
      </x:c>
      <x:c r="P235" s="24" t="str">
        <x:v>exact_sea_around_us</x:v>
      </x:c>
      <x:c r="Q235" s="32" t="str">
        <x:v>Sea Around Us exploited organisms</x:v>
      </x:c>
      <x:c r="R235" s="24" t="str">
        <x:v>high</x:v>
      </x:c>
      <x:c r="S235" s="24" t="str">
        <x:v>Echeneidae</x:v>
      </x:c>
      <x:c r="T235" s="32" t="n">
        <x:f>IF(O235="","",(1/'Metadata'!$B$5)^(O235-1))</x:f>
        <x:v>165.95869074375614</x:v>
      </x:c>
      <x:c r="U235" s="31" t="n">
        <x:f>IF(T235="","",I235*T235)</x:f>
        <x:v>630.2218416174003</x:v>
      </x:c>
    </x:row>
    <x:row r="236" ht="18" customHeight="1">
      <x:c r="A236" s="24" t="str">
        <x:v>LME_005</x:v>
      </x:c>
      <x:c r="B236" s="24" t="str">
        <x:v>Gulf of Mexico</x:v>
      </x:c>
      <x:c r="C236" s="24" t="str">
        <x:v>LME</x:v>
      </x:c>
      <x:c r="D236" s="30" t="n">
        <x:v>2019</x:v>
      </x:c>
      <x:c r="E236" s="24" t="str">
        <x:v>Sphyrna mokarran</x:v>
      </x:c>
      <x:c r="F236" s="24" t="str">
        <x:v>Great hammerhead</x:v>
      </x:c>
      <x:c r="G236" s="24" t="str">
        <x:v>Large sharks (&gt;=90 cm)</x:v>
      </x:c>
      <x:c r="H236" s="24" t="str">
        <x:v>Sharks &amp; rays</x:v>
      </x:c>
      <x:c r="I236" s="31" t="n">
        <x:v>3.7676805678000003</x:v>
      </x:c>
      <x:c r="J236" s="31" t="n">
        <x:v>3.7676805678000003</x:v>
      </x:c>
      <x:c r="K236" s="31" t="n">
        <x:v>0</x:v>
      </x:c>
      <x:c r="L236" s="31" t="n">
        <x:v>1.5672612897</x:v>
      </x:c>
      <x:c r="M236" s="31" t="n">
        <x:v>2.2004192781</x:v>
      </x:c>
      <x:c r="N236" s="24" t="str">
        <x:v>sphyrna mokarran</x:v>
      </x:c>
      <x:c r="O236" s="32" t="n">
        <x:v>4.32</x:v>
      </x:c>
      <x:c r="P236" s="24" t="str">
        <x:v>exact_2020_supplement</x:v>
      </x:c>
      <x:c r="Q236" s="32" t="str">
        <x:v>2020 supplement MeanTL</x:v>
      </x:c>
      <x:c r="R236" s="24" t="str">
        <x:v>high</x:v>
      </x:c>
      <x:c r="S236" s="24" t="str">
        <x:v>Sphyrna mokarran</x:v>
      </x:c>
      <x:c r="T236" s="32" t="n">
        <x:f>IF(O236="","",(1/'Metadata'!$B$5)^(O236-1))</x:f>
        <x:v>2089.2961308540407</x:v>
      </x:c>
      <x:c r="U236" s="31" t="n">
        <x:f>IF(T236="","",I236*T236)</x:f>
        <x:v>7871.800432598496</x:v>
      </x:c>
    </x:row>
    <x:row r="237" ht="18" customHeight="1">
      <x:c r="A237" s="24" t="str">
        <x:v>LME_005</x:v>
      </x:c>
      <x:c r="B237" s="24" t="str">
        <x:v>Gulf of Mexico</x:v>
      </x:c>
      <x:c r="C237" s="24" t="str">
        <x:v>LME</x:v>
      </x:c>
      <x:c r="D237" s="30" t="n">
        <x:v>2019</x:v>
      </x:c>
      <x:c r="E237" s="24" t="str">
        <x:v>Carcharhinus plumbeus</x:v>
      </x:c>
      <x:c r="F237" s="24" t="str">
        <x:v>Sandbar shark</x:v>
      </x:c>
      <x:c r="G237" s="24" t="str">
        <x:v>Large sharks (&gt;=90 cm)</x:v>
      </x:c>
      <x:c r="H237" s="24" t="str">
        <x:v>Sharks &amp; rays</x:v>
      </x:c>
      <x:c r="I237" s="31" t="n">
        <x:v>3.6682009869</x:v>
      </x:c>
      <x:c r="J237" s="31" t="n">
        <x:v>3.6682009869</x:v>
      </x:c>
      <x:c r="K237" s="31" t="n">
        <x:v>0</x:v>
      </x:c>
      <x:c r="L237" s="31" t="n">
        <x:v>0</x:v>
      </x:c>
      <x:c r="M237" s="31" t="n">
        <x:v>3.6682009869</x:v>
      </x:c>
      <x:c r="N237" s="24" t="str">
        <x:v>carcharhinus plumbeus</x:v>
      </x:c>
      <x:c r="O237" s="32" t="n">
        <x:v>4.49</x:v>
      </x:c>
      <x:c r="P237" s="24" t="str">
        <x:v>exact_2020_supplement</x:v>
      </x:c>
      <x:c r="Q237" s="32" t="str">
        <x:v>2020 supplement MeanTL</x:v>
      </x:c>
      <x:c r="R237" s="24" t="str">
        <x:v>high</x:v>
      </x:c>
      <x:c r="S237" s="24" t="str">
        <x:v>Carcharhinus plumbeus</x:v>
      </x:c>
      <x:c r="T237" s="32" t="n">
        <x:f>IF(O237="","",(1/'Metadata'!$B$5)^(O237-1))</x:f>
        <x:v>3090.295432513592</x:v>
      </x:c>
      <x:c r="U237" s="31" t="n">
        <x:f>IF(T237="","",I237*T237)</x:f>
        <x:v>11335.82475535892</x:v>
      </x:c>
    </x:row>
    <x:row r="238" ht="18" customHeight="1">
      <x:c r="A238" s="24" t="str">
        <x:v>LME_005</x:v>
      </x:c>
      <x:c r="B238" s="24" t="str">
        <x:v>Gulf of Mexico</x:v>
      </x:c>
      <x:c r="C238" s="24" t="str">
        <x:v>LME</x:v>
      </x:c>
      <x:c r="D238" s="30" t="n">
        <x:v>2019</x:v>
      </x:c>
      <x:c r="E238" s="24" t="str">
        <x:v>Alopias</x:v>
      </x:c>
      <x:c r="F238" s="24" t="str">
        <x:v>Thresher sharks</x:v>
      </x:c>
      <x:c r="G238" s="24" t="str">
        <x:v>Large sharks (&gt;=90 cm)</x:v>
      </x:c>
      <x:c r="H238" s="24" t="str">
        <x:v>Sharks &amp; rays</x:v>
      </x:c>
      <x:c r="I238" s="31" t="n">
        <x:v>3.2609987236</x:v>
      </x:c>
      <x:c r="J238" s="31" t="n">
        <x:v>3.2609987236</x:v>
      </x:c>
      <x:c r="K238" s="31" t="n">
        <x:v>0</x:v>
      </x:c>
      <x:c r="L238" s="31" t="n">
        <x:v>3.2609987236</x:v>
      </x:c>
      <x:c r="M238" s="31" t="n">
        <x:v>0</x:v>
      </x:c>
      <x:c r="N238" s="24" t="str">
        <x:v>alopias</x:v>
      </x:c>
      <x:c r="O238" s="32" t="n">
        <x:v>4.5</x:v>
      </x:c>
      <x:c r="P238" s="24" t="str">
        <x:v>exact_sea_around_us</x:v>
      </x:c>
      <x:c r="Q238" s="32" t="str">
        <x:v>Sea Around Us exploited organisms</x:v>
      </x:c>
      <x:c r="R238" s="24" t="str">
        <x:v>high</x:v>
      </x:c>
      <x:c r="S238" s="24" t="str">
        <x:v>Alopias</x:v>
      </x:c>
      <x:c r="T238" s="32" t="n">
        <x:f>IF(O238="","",(1/'Metadata'!$B$5)^(O238-1))</x:f>
        <x:v>3162.2776601683795</x:v>
      </x:c>
      <x:c r="U238" s="31" t="n">
        <x:f>IF(T238="","",I238*T238)</x:f>
        <x:v>10312.18341347788</x:v>
      </x:c>
    </x:row>
    <x:row r="239" ht="18" customHeight="1">
      <x:c r="A239" s="24" t="str">
        <x:v>LME_005</x:v>
      </x:c>
      <x:c r="B239" s="24" t="str">
        <x:v>Gulf of Mexico</x:v>
      </x:c>
      <x:c r="C239" s="24" t="str">
        <x:v>LME</x:v>
      </x:c>
      <x:c r="D239" s="30" t="n">
        <x:v>2019</x:v>
      </x:c>
      <x:c r="E239" s="24" t="str">
        <x:v>Xiphiidae</x:v>
      </x:c>
      <x:c r="F239" s="24" t="str">
        <x:v>Swordfishes</x:v>
      </x:c>
      <x:c r="G239" s="24" t="str">
        <x:v>Large pelagics (&gt;=90 cm)</x:v>
      </x:c>
      <x:c r="H239" s="24" t="str">
        <x:v>Tuna &amp; billfishes</x:v>
      </x:c>
      <x:c r="I239" s="31" t="n">
        <x:v>3.2232519451</x:v>
      </x:c>
      <x:c r="J239" s="31" t="n">
        <x:v>3.2232519451</x:v>
      </x:c>
      <x:c r="K239" s="31" t="n">
        <x:v>0</x:v>
      </x:c>
      <x:c r="L239" s="31" t="n">
        <x:v>0</x:v>
      </x:c>
      <x:c r="M239" s="31" t="n">
        <x:v>3.2232519451</x:v>
      </x:c>
      <x:c r="N239" s="24" t="str">
        <x:v>xiphiidae</x:v>
      </x:c>
      <x:c r="O239" s="32" t="n">
        <x:v>4.5</x:v>
      </x:c>
      <x:c r="P239" s="24" t="str">
        <x:v>exact_sea_around_us</x:v>
      </x:c>
      <x:c r="Q239" s="32" t="str">
        <x:v>Sea Around Us exploited organisms</x:v>
      </x:c>
      <x:c r="R239" s="24" t="str">
        <x:v>high</x:v>
      </x:c>
      <x:c r="S239" s="24" t="str">
        <x:v>Xiphiidae</x:v>
      </x:c>
      <x:c r="T239" s="32" t="n">
        <x:f>IF(O239="","",(1/'Metadata'!$B$5)^(O239-1))</x:f>
        <x:v>3162.2776601683795</x:v>
      </x:c>
      <x:c r="U239" s="31" t="n">
        <x:f>IF(T239="","",I239*T239)</x:f>
        <x:v>10192.817619084006</x:v>
      </x:c>
    </x:row>
    <x:row r="240" ht="18" customHeight="1">
      <x:c r="A240" s="24" t="str">
        <x:v>LME_005</x:v>
      </x:c>
      <x:c r="B240" s="24" t="str">
        <x:v>Gulf of Mexico</x:v>
      </x:c>
      <x:c r="C240" s="24" t="str">
        <x:v>LME</x:v>
      </x:c>
      <x:c r="D240" s="30" t="n">
        <x:v>2019</x:v>
      </x:c>
      <x:c r="E240" s="24" t="str">
        <x:v>Strombus pugilis</x:v>
      </x:c>
      <x:c r="F240" s="24" t="str">
        <x:v>Florida fighting conch</x:v>
      </x:c>
      <x:c r="G240" s="24" t="str">
        <x:v>Other demersal invertebrates</x:v>
      </x:c>
      <x:c r="H240" s="24" t="str">
        <x:v>Molluscs</x:v>
      </x:c>
      <x:c r="I240" s="31" t="n">
        <x:v>3.1653127576</x:v>
      </x:c>
      <x:c r="J240" s="31" t="n">
        <x:v>3.1653127576</x:v>
      </x:c>
      <x:c r="K240" s="31" t="n">
        <x:v>0</x:v>
      </x:c>
      <x:c r="L240" s="31" t="n">
        <x:v>3.1653127576</x:v>
      </x:c>
      <x:c r="M240" s="31" t="n">
        <x:v>0</x:v>
      </x:c>
      <x:c r="N240" s="24" t="str">
        <x:v>strombus pugilis</x:v>
      </x:c>
      <x:c r="O240" s="32" t="n">
        <x:v>2</x:v>
      </x:c>
      <x:c r="P240" s="24" t="str">
        <x:v>exact_sea_around_us</x:v>
      </x:c>
      <x:c r="Q240" s="32" t="str">
        <x:v>Sea Around Us exploited organisms</x:v>
      </x:c>
      <x:c r="R240" s="24" t="str">
        <x:v>high</x:v>
      </x:c>
      <x:c r="S240" s="24" t="str">
        <x:v>Strombus pugilis</x:v>
      </x:c>
      <x:c r="T240" s="32" t="n">
        <x:f>IF(O240="","",(1/'Metadata'!$B$5)^(O240-1))</x:f>
        <x:v>10</x:v>
      </x:c>
      <x:c r="U240" s="31" t="n">
        <x:f>IF(T240="","",I240*T240)</x:f>
        <x:v>31.653127576000003</x:v>
      </x:c>
    </x:row>
    <x:row r="241" ht="18" customHeight="1">
      <x:c r="A241" s="24" t="str">
        <x:v>LME_005</x:v>
      </x:c>
      <x:c r="B241" s="24" t="str">
        <x:v>Gulf of Mexico</x:v>
      </x:c>
      <x:c r="C241" s="24" t="str">
        <x:v>LME</x:v>
      </x:c>
      <x:c r="D241" s="30" t="n">
        <x:v>2019</x:v>
      </x:c>
      <x:c r="E241" s="24" t="str">
        <x:v>Haemulon album</x:v>
      </x:c>
      <x:c r="F241" s="24" t="str">
        <x:v>White margate</x:v>
      </x:c>
      <x:c r="G241" s="24" t="str">
        <x:v>Medium reef assoc. fish (30 - 89 cm)</x:v>
      </x:c>
      <x:c r="H241" s="24" t="str">
        <x:v>Perch-likes</x:v>
      </x:c>
      <x:c r="I241" s="31" t="n">
        <x:v>3.1295461682</x:v>
      </x:c>
      <x:c r="J241" s="31" t="n">
        <x:v>3.1295461682</x:v>
      </x:c>
      <x:c r="K241" s="31" t="n">
        <x:v>0</x:v>
      </x:c>
      <x:c r="L241" s="31" t="n">
        <x:v>0</x:v>
      </x:c>
      <x:c r="M241" s="31" t="n">
        <x:v>3.1295461682</x:v>
      </x:c>
      <x:c r="N241" s="24" t="str">
        <x:v>haemulon album</x:v>
      </x:c>
      <x:c r="O241" s="32" t="n">
        <x:v>3.32</x:v>
      </x:c>
      <x:c r="P241" s="24" t="str">
        <x:v>exact_2020_supplement</x:v>
      </x:c>
      <x:c r="Q241" s="32" t="str">
        <x:v>2020 supplement MeanTL</x:v>
      </x:c>
      <x:c r="R241" s="24" t="str">
        <x:v>high</x:v>
      </x:c>
      <x:c r="S241" s="24" t="str">
        <x:v>Haemulon album</x:v>
      </x:c>
      <x:c r="T241" s="32" t="n">
        <x:f>IF(O241="","",(1/'Metadata'!$B$5)^(O241-1))</x:f>
        <x:v>208.92961308540387</x:v>
      </x:c>
      <x:c r="U241" s="31" t="n">
        <x:f>IF(T241="","",I241*T241)</x:f>
        <x:v>653.8548700549343</x:v>
      </x:c>
    </x:row>
    <x:row r="242" ht="18" customHeight="1">
      <x:c r="A242" s="24" t="str">
        <x:v>LME_005</x:v>
      </x:c>
      <x:c r="B242" s="24" t="str">
        <x:v>Gulf of Mexico</x:v>
      </x:c>
      <x:c r="C242" s="24" t="str">
        <x:v>LME</x:v>
      </x:c>
      <x:c r="D242" s="30" t="n">
        <x:v>2019</x:v>
      </x:c>
      <x:c r="E242" s="24" t="str">
        <x:v>Merostomata</x:v>
      </x:c>
      <x:c r="F242" s="24" t="str">
        <x:v>Chelicerates</x:v>
      </x:c>
      <x:c r="G242" s="24" t="str">
        <x:v>Other demersal invertebrates</x:v>
      </x:c>
      <x:c r="H242" s="24" t="str">
        <x:v>Other fishes &amp; inverts</x:v>
      </x:c>
      <x:c r="I242" s="31" t="n">
        <x:v>3.0219135225</x:v>
      </x:c>
      <x:c r="J242" s="31" t="n">
        <x:v>2.0044748481</x:v>
      </x:c>
      <x:c r="K242" s="31" t="n">
        <x:v>1.0174386744</x:v>
      </x:c>
      <x:c r="L242" s="31" t="n">
        <x:v>0</x:v>
      </x:c>
      <x:c r="M242" s="31" t="n">
        <x:v>3.0219135225</x:v>
      </x:c>
      <x:c r="N242" s="24" t="str">
        <x:v>merostomata</x:v>
      </x:c>
      <x:c r="O242" s="32" t="n">
        <x:v>2.98</x:v>
      </x:c>
      <x:c r="P242" s="24" t="str">
        <x:v>exact_sea_around_us</x:v>
      </x:c>
      <x:c r="Q242" s="32" t="str">
        <x:v>Sea Around Us exploited organisms</x:v>
      </x:c>
      <x:c r="R242" s="24" t="str">
        <x:v>high</x:v>
      </x:c>
      <x:c r="S242" s="24" t="str">
        <x:v>Merostomata</x:v>
      </x:c>
      <x:c r="T242" s="32" t="n">
        <x:f>IF(O242="","",(1/'Metadata'!$B$5)^(O242-1))</x:f>
        <x:v>95.49925860214358</x:v>
      </x:c>
      <x:c r="U242" s="31" t="n">
        <x:f>IF(T242="","",I242*T242)</x:f>
        <x:v>288.5905009585421</x:v>
      </x:c>
    </x:row>
    <x:row r="243" ht="18" customHeight="1">
      <x:c r="A243" s="24" t="str">
        <x:v>LME_005</x:v>
      </x:c>
      <x:c r="B243" s="24" t="str">
        <x:v>Gulf of Mexico</x:v>
      </x:c>
      <x:c r="C243" s="24" t="str">
        <x:v>LME</x:v>
      </x:c>
      <x:c r="D243" s="30" t="n">
        <x:v>2019</x:v>
      </x:c>
      <x:c r="E243" s="24" t="str">
        <x:v>Holothuria floridana</x:v>
      </x:c>
      <x:c r="F243" s="24" t="str">
        <x:v>Florida sea cucumber</x:v>
      </x:c>
      <x:c r="G243" s="24" t="str">
        <x:v>Other demersal invertebrates</x:v>
      </x:c>
      <x:c r="H243" s="24" t="str">
        <x:v>Other fishes &amp; inverts</x:v>
      </x:c>
      <x:c r="I243" s="31" t="n">
        <x:v>3.0081813938</x:v>
      </x:c>
      <x:c r="J243" s="31" t="n">
        <x:v>3.0081813938</x:v>
      </x:c>
      <x:c r="K243" s="31" t="n">
        <x:v>0</x:v>
      </x:c>
      <x:c r="L243" s="31" t="n">
        <x:v>3.0081813938</x:v>
      </x:c>
      <x:c r="M243" s="31" t="n">
        <x:v>0</x:v>
      </x:c>
      <x:c r="N243" s="24" t="str">
        <x:v>holothuria floridana</x:v>
      </x:c>
      <x:c r="O243" s="32" t="n">
        <x:v>2</x:v>
      </x:c>
      <x:c r="P243" s="24" t="str">
        <x:v>exact_sea_around_us</x:v>
      </x:c>
      <x:c r="Q243" s="32" t="str">
        <x:v>Sea Around Us exploited organisms</x:v>
      </x:c>
      <x:c r="R243" s="24" t="str">
        <x:v>high</x:v>
      </x:c>
      <x:c r="S243" s="24" t="str">
        <x:v>Holothuria floridana</x:v>
      </x:c>
      <x:c r="T243" s="32" t="n">
        <x:f>IF(O243="","",(1/'Metadata'!$B$5)^(O243-1))</x:f>
        <x:v>10</x:v>
      </x:c>
      <x:c r="U243" s="31" t="n">
        <x:f>IF(T243="","",I243*T243)</x:f>
        <x:v>30.081813938000003</x:v>
      </x:c>
    </x:row>
    <x:row r="244" ht="18" customHeight="1">
      <x:c r="A244" s="24" t="str">
        <x:v>LME_005</x:v>
      </x:c>
      <x:c r="B244" s="24" t="str">
        <x:v>Gulf of Mexico</x:v>
      </x:c>
      <x:c r="C244" s="24" t="str">
        <x:v>LME</x:v>
      </x:c>
      <x:c r="D244" s="30" t="n">
        <x:v>2019</x:v>
      </x:c>
      <x:c r="E244" s="24" t="str">
        <x:v>Porcellana sayana</x:v>
      </x:c>
      <x:c r="F244" s="24" t="str">
        <x:v>Spotted porcelain crab</x:v>
      </x:c>
      <x:c r="G244" s="24" t="str">
        <x:v>Lobsters, crabs</x:v>
      </x:c>
      <x:c r="H244" s="24" t="str">
        <x:v>Crustaceans</x:v>
      </x:c>
      <x:c r="I244" s="31" t="n">
        <x:v>2.9195135759</x:v>
      </x:c>
      <x:c r="J244" s="31" t="n">
        <x:v>2.9195135759</x:v>
      </x:c>
      <x:c r="K244" s="31" t="n">
        <x:v>0</x:v>
      </x:c>
      <x:c r="L244" s="31" t="n">
        <x:v>2.9195135759</x:v>
      </x:c>
      <x:c r="M244" s="31" t="n">
        <x:v>0</x:v>
      </x:c>
      <x:c r="N244" s="24" t="str">
        <x:v>porcellana sayana</x:v>
      </x:c>
      <x:c r="O244" s="32" t="n">
        <x:v>2.88</x:v>
      </x:c>
      <x:c r="P244" s="24" t="str">
        <x:v>exact_sea_around_us</x:v>
      </x:c>
      <x:c r="Q244" s="32" t="str">
        <x:v>Sea Around Us exploited organisms</x:v>
      </x:c>
      <x:c r="R244" s="24" t="str">
        <x:v>high</x:v>
      </x:c>
      <x:c r="S244" s="24" t="str">
        <x:v>Porcellana sayana</x:v>
      </x:c>
      <x:c r="T244" s="32" t="n">
        <x:f>IF(O244="","",(1/'Metadata'!$B$5)^(O244-1))</x:f>
        <x:v>75.85775750291836</x:v>
      </x:c>
      <x:c r="U244" s="31" t="n">
        <x:f>IF(T244="","",I244*T244)</x:f>
        <x:v>221.46775286710024</x:v>
      </x:c>
    </x:row>
    <x:row r="245" ht="18" customHeight="1">
      <x:c r="A245" s="24" t="str">
        <x:v>LME_005</x:v>
      </x:c>
      <x:c r="B245" s="24" t="str">
        <x:v>Gulf of Mexico</x:v>
      </x:c>
      <x:c r="C245" s="24" t="str">
        <x:v>LME</x:v>
      </x:c>
      <x:c r="D245" s="30" t="n">
        <x:v>2019</x:v>
      </x:c>
      <x:c r="E245" s="24" t="str">
        <x:v>Cephalopholis cruentata</x:v>
      </x:c>
      <x:c r="F245" s="24" t="str">
        <x:v>Graysby</x:v>
      </x:c>
      <x:c r="G245" s="24" t="str">
        <x:v>Medium reef assoc. fish (30 - 89 cm)</x:v>
      </x:c>
      <x:c r="H245" s="24" t="str">
        <x:v>Perch-likes</x:v>
      </x:c>
      <x:c r="I245" s="31" t="n">
        <x:v>2.7089610357000002</x:v>
      </x:c>
      <x:c r="J245" s="31" t="n">
        <x:v>2.7089610357000002</x:v>
      </x:c>
      <x:c r="K245" s="31" t="n">
        <x:v>0</x:v>
      </x:c>
      <x:c r="L245" s="31" t="n">
        <x:v>0.0631883966</x:v>
      </x:c>
      <x:c r="M245" s="31" t="n">
        <x:v>2.6457726391</x:v>
      </x:c>
      <x:c r="N245" s="24" t="str">
        <x:v>cephalopholis cruentata</x:v>
      </x:c>
      <x:c r="O245" s="32" t="n">
        <x:v>4.25</x:v>
      </x:c>
      <x:c r="P245" s="24" t="str">
        <x:v>exact_2020_supplement</x:v>
      </x:c>
      <x:c r="Q245" s="32" t="str">
        <x:v>2020 supplement MeanTL</x:v>
      </x:c>
      <x:c r="R245" s="24" t="str">
        <x:v>high</x:v>
      </x:c>
      <x:c r="S245" s="24" t="str">
        <x:v>Cephalopholis cruentata</x:v>
      </x:c>
      <x:c r="T245" s="32" t="n">
        <x:f>IF(O245="","",(1/'Metadata'!$B$5)^(O245-1))</x:f>
        <x:v>1778.2794100389228</x:v>
      </x:c>
      <x:c r="U245" s="31" t="n">
        <x:f>IF(T245="","",I245*T245)</x:f>
        <x:v>4817.2896323830255</x:v>
      </x:c>
    </x:row>
    <x:row r="246" ht="18" customHeight="1">
      <x:c r="A246" s="24" t="str">
        <x:v>LME_005</x:v>
      </x:c>
      <x:c r="B246" s="24" t="str">
        <x:v>Gulf of Mexico</x:v>
      </x:c>
      <x:c r="C246" s="24" t="str">
        <x:v>LME</x:v>
      </x:c>
      <x:c r="D246" s="30" t="n">
        <x:v>2019</x:v>
      </x:c>
      <x:c r="E246" s="24" t="str">
        <x:v>Congridae</x:v>
      </x:c>
      <x:c r="F246" s="24" t="str">
        <x:v>Conger, garden eels</x:v>
      </x:c>
      <x:c r="G246" s="24" t="str">
        <x:v>Large demersals (&gt;=90 cm)</x:v>
      </x:c>
      <x:c r="H246" s="24" t="str">
        <x:v>Other fishes &amp; inverts</x:v>
      </x:c>
      <x:c r="I246" s="31" t="n">
        <x:v>2.5883530414</x:v>
      </x:c>
      <x:c r="J246" s="31" t="n">
        <x:v>0</x:v>
      </x:c>
      <x:c r="K246" s="31" t="n">
        <x:v>2.5883530414</x:v>
      </x:c>
      <x:c r="L246" s="31" t="n">
        <x:v>0</x:v>
      </x:c>
      <x:c r="M246" s="31" t="n">
        <x:v>2.5883530414</x:v>
      </x:c>
      <x:c r="N246" s="24" t="str">
        <x:v>congridae</x:v>
      </x:c>
      <x:c r="O246" s="32" t="n">
        <x:v>4.18</x:v>
      </x:c>
      <x:c r="P246" s="24" t="str">
        <x:v>exact_sea_around_us</x:v>
      </x:c>
      <x:c r="Q246" s="32" t="str">
        <x:v>Sea Around Us exploited organisms</x:v>
      </x:c>
      <x:c r="R246" s="24" t="str">
        <x:v>high</x:v>
      </x:c>
      <x:c r="S246" s="24" t="str">
        <x:v>Congridae</x:v>
      </x:c>
      <x:c r="T246" s="32" t="n">
        <x:f>IF(O246="","",(1/'Metadata'!$B$5)^(O246-1))</x:f>
        <x:v>1513.5612484362073</x:v>
      </x:c>
      <x:c r="U246" s="31" t="n">
        <x:f>IF(T246="","",I246*T246)</x:f>
        <x:v>3917.630860735038</x:v>
      </x:c>
    </x:row>
    <x:row r="247" ht="18" customHeight="1">
      <x:c r="A247" s="24" t="str">
        <x:v>LME_005</x:v>
      </x:c>
      <x:c r="B247" s="24" t="str">
        <x:v>Gulf of Mexico</x:v>
      </x:c>
      <x:c r="C247" s="24" t="str">
        <x:v>LME</x:v>
      </x:c>
      <x:c r="D247" s="30" t="n">
        <x:v>2019</x:v>
      </x:c>
      <x:c r="E247" s="24" t="str">
        <x:v>Elysia crispata</x:v>
      </x:c>
      <x:c r="F247" s="24" t="str">
        <x:v>Lettuce seaslug</x:v>
      </x:c>
      <x:c r="G247" s="24" t="str">
        <x:v>Other demersal invertebrates</x:v>
      </x:c>
      <x:c r="H247" s="24" t="str">
        <x:v>Molluscs</x:v>
      </x:c>
      <x:c r="I247" s="31" t="n">
        <x:v>2.5820610321</x:v>
      </x:c>
      <x:c r="J247" s="31" t="n">
        <x:v>2.5820610321</x:v>
      </x:c>
      <x:c r="K247" s="31" t="n">
        <x:v>0</x:v>
      </x:c>
      <x:c r="L247" s="31" t="n">
        <x:v>2.5820610321</x:v>
      </x:c>
      <x:c r="M247" s="31" t="n">
        <x:v>0</x:v>
      </x:c>
      <x:c r="N247" s="24" t="str">
        <x:v>elysia crispata</x:v>
      </x:c>
      <x:c r="O247" s="32" t="n">
        <x:v>2.19</x:v>
      </x:c>
      <x:c r="P247" s="24" t="str">
        <x:v>exact_sea_around_us</x:v>
      </x:c>
      <x:c r="Q247" s="32" t="str">
        <x:v>Sea Around Us exploited organisms</x:v>
      </x:c>
      <x:c r="R247" s="24" t="str">
        <x:v>high</x:v>
      </x:c>
      <x:c r="S247" s="24" t="str">
        <x:v>Elysia crispata</x:v>
      </x:c>
      <x:c r="T247" s="32" t="n">
        <x:f>IF(O247="","",(1/'Metadata'!$B$5)^(O247-1))</x:f>
        <x:v>15.488166189124811</x:v>
      </x:c>
      <x:c r="U247" s="31" t="n">
        <x:f>IF(T247="","",I247*T247)</x:f>
        <x:v>39.99139037562794</x:v>
      </x:c>
    </x:row>
    <x:row r="248" ht="18" customHeight="1">
      <x:c r="A248" s="24" t="str">
        <x:v>LME_005</x:v>
      </x:c>
      <x:c r="B248" s="24" t="str">
        <x:v>Gulf of Mexico</x:v>
      </x:c>
      <x:c r="C248" s="24" t="str">
        <x:v>LME</x:v>
      </x:c>
      <x:c r="D248" s="30" t="n">
        <x:v>2019</x:v>
      </x:c>
      <x:c r="E248" s="24" t="str">
        <x:v>Lagocephalus laevigatus</x:v>
      </x:c>
      <x:c r="F248" s="24" t="str">
        <x:v>Smooth puffer</x:v>
      </x:c>
      <x:c r="G248" s="24" t="str">
        <x:v>Medium pelagics (30 - 89 cm)</x:v>
      </x:c>
      <x:c r="H248" s="24" t="str">
        <x:v>Other fishes &amp; inverts</x:v>
      </x:c>
      <x:c r="I248" s="31" t="n">
        <x:v>2.5527121483</x:v>
      </x:c>
      <x:c r="J248" s="31" t="n">
        <x:v>2.5527121483</x:v>
      </x:c>
      <x:c r="K248" s="31" t="n">
        <x:v>0</x:v>
      </x:c>
      <x:c r="L248" s="31" t="n">
        <x:v>0</x:v>
      </x:c>
      <x:c r="M248" s="31" t="n">
        <x:v>2.5527121483</x:v>
      </x:c>
      <x:c r="N248" s="24" t="str">
        <x:v>lagocephalus laevigatus</x:v>
      </x:c>
      <x:c r="O248" s="32" t="n">
        <x:v>4.02</x:v>
      </x:c>
      <x:c r="P248" s="24" t="str">
        <x:v>exact_2020_supplement</x:v>
      </x:c>
      <x:c r="Q248" s="32" t="str">
        <x:v>2020 supplement MeanTL</x:v>
      </x:c>
      <x:c r="R248" s="24" t="str">
        <x:v>high</x:v>
      </x:c>
      <x:c r="S248" s="24" t="str">
        <x:v>Lagocephalus laevigatus</x:v>
      </x:c>
      <x:c r="T248" s="32" t="n">
        <x:f>IF(O248="","",(1/'Metadata'!$B$5)^(O248-1))</x:f>
        <x:v>1047.1285480508984</x:v>
      </x:c>
      <x:c r="U248" s="31" t="n">
        <x:f>IF(T248="","",I248*T248)</x:f>
        <x:v>2673.0177654412687</x:v>
      </x:c>
    </x:row>
    <x:row r="249" ht="18" customHeight="1">
      <x:c r="A249" s="24" t="str">
        <x:v>LME_005</x:v>
      </x:c>
      <x:c r="B249" s="24" t="str">
        <x:v>Gulf of Mexico</x:v>
      </x:c>
      <x:c r="C249" s="24" t="str">
        <x:v>LME</x:v>
      </x:c>
      <x:c r="D249" s="30" t="n">
        <x:v>2019</x:v>
      </x:c>
      <x:c r="E249" s="24" t="str">
        <x:v>Selene vomer</x:v>
      </x:c>
      <x:c r="F249" s="24" t="str">
        <x:v>Lookdown</x:v>
      </x:c>
      <x:c r="G249" s="24" t="str">
        <x:v>Medium demersals (30 - 89 cm)</x:v>
      </x:c>
      <x:c r="H249" s="24" t="str">
        <x:v>Perch-likes</x:v>
      </x:c>
      <x:c r="I249" s="31" t="n">
        <x:v>2.4655086075</x:v>
      </x:c>
      <x:c r="J249" s="31" t="n">
        <x:v>2.4655086075</x:v>
      </x:c>
      <x:c r="K249" s="31" t="n">
        <x:v>0</x:v>
      </x:c>
      <x:c r="L249" s="31" t="n">
        <x:v>1.2317266931</x:v>
      </x:c>
      <x:c r="M249" s="31" t="n">
        <x:v>1.2337819144</x:v>
      </x:c>
      <x:c r="N249" s="24" t="str">
        <x:v>selene vomer</x:v>
      </x:c>
      <x:c r="O249" s="32" t="n">
        <x:v>4.29</x:v>
      </x:c>
      <x:c r="P249" s="24" t="str">
        <x:v>exact_2020_supplement</x:v>
      </x:c>
      <x:c r="Q249" s="32" t="str">
        <x:v>2020 supplement MeanTL</x:v>
      </x:c>
      <x:c r="R249" s="24" t="str">
        <x:v>high</x:v>
      </x:c>
      <x:c r="S249" s="24" t="str">
        <x:v>Selene vomer</x:v>
      </x:c>
      <x:c r="T249" s="32" t="n">
        <x:f>IF(O249="","",(1/'Metadata'!$B$5)^(O249-1))</x:f>
        <x:v>1949.8445997580454</x:v>
      </x:c>
      <x:c r="U249" s="31" t="n">
        <x:f>IF(T249="","",I249*T249)</x:f>
        <x:v>4807.358643990853</x:v>
      </x:c>
    </x:row>
    <x:row r="250" ht="18" customHeight="1">
      <x:c r="A250" s="24" t="str">
        <x:v>LME_005</x:v>
      </x:c>
      <x:c r="B250" s="24" t="str">
        <x:v>Gulf of Mexico</x:v>
      </x:c>
      <x:c r="C250" s="24" t="str">
        <x:v>LME</x:v>
      </x:c>
      <x:c r="D250" s="30" t="n">
        <x:v>2019</x:v>
      </x:c>
      <x:c r="E250" s="24" t="str">
        <x:v>Metoporhaphis calcarata</x:v>
      </x:c>
      <x:c r="F250" s="24" t="str">
        <x:v>False arrow crab</x:v>
      </x:c>
      <x:c r="G250" s="24" t="str">
        <x:v>Lobsters, crabs</x:v>
      </x:c>
      <x:c r="H250" s="24" t="str">
        <x:v>Crustaceans</x:v>
      </x:c>
      <x:c r="I250" s="31" t="n">
        <x:v>2.3995190705000002</x:v>
      </x:c>
      <x:c r="J250" s="31" t="n">
        <x:v>2.3995190705000002</x:v>
      </x:c>
      <x:c r="K250" s="31" t="n">
        <x:v>0</x:v>
      </x:c>
      <x:c r="L250" s="31" t="n">
        <x:v>2.3995190705000002</x:v>
      </x:c>
      <x:c r="M250" s="31" t="n">
        <x:v>0</x:v>
      </x:c>
      <x:c r="N250" s="24" t="str">
        <x:v>metoporhaphis calcarata</x:v>
      </x:c>
      <x:c r="O250" s="32" t="n">
        <x:v>2.86</x:v>
      </x:c>
      <x:c r="P250" s="24" t="str">
        <x:v>exact_sea_around_us</x:v>
      </x:c>
      <x:c r="Q250" s="32" t="str">
        <x:v>Sea Around Us exploited organisms</x:v>
      </x:c>
      <x:c r="R250" s="24" t="str">
        <x:v>high</x:v>
      </x:c>
      <x:c r="S250" s="24" t="str">
        <x:v>Metoporhaphis calcarata</x:v>
      </x:c>
      <x:c r="T250" s="32" t="n">
        <x:f>IF(O250="","",(1/'Metadata'!$B$5)^(O250-1))</x:f>
        <x:v>72.44359600749898</x:v>
      </x:c>
      <x:c r="U250" s="31" t="n">
        <x:f>IF(T250="","",I250*T250)</x:f>
        <x:v>173.8297901555915</x:v>
      </x:c>
    </x:row>
    <x:row r="251" ht="18" customHeight="1">
      <x:c r="A251" s="24" t="str">
        <x:v>LME_005</x:v>
      </x:c>
      <x:c r="B251" s="24" t="str">
        <x:v>Gulf of Mexico</x:v>
      </x:c>
      <x:c r="C251" s="24" t="str">
        <x:v>LME</x:v>
      </x:c>
      <x:c r="D251" s="30" t="n">
        <x:v>2019</x:v>
      </x:c>
      <x:c r="E251" s="24" t="str">
        <x:v>Lutjanus buccanella</x:v>
      </x:c>
      <x:c r="F251" s="24" t="str">
        <x:v>Blackfin snapper</x:v>
      </x:c>
      <x:c r="G251" s="24" t="str">
        <x:v>Medium reef assoc. fish (30 - 89 cm)</x:v>
      </x:c>
      <x:c r="H251" s="24" t="str">
        <x:v>Perch-likes</x:v>
      </x:c>
      <x:c r="I251" s="31" t="n">
        <x:v>2.2787624315999997</x:v>
      </x:c>
      <x:c r="J251" s="31" t="n">
        <x:v>2.2787624315999997</x:v>
      </x:c>
      <x:c r="K251" s="31" t="n">
        <x:v>0</x:v>
      </x:c>
      <x:c r="L251" s="31" t="n">
        <x:v>2.2787624315999997</x:v>
      </x:c>
      <x:c r="M251" s="31" t="n">
        <x:v>0</x:v>
      </x:c>
      <x:c r="N251" s="24" t="str">
        <x:v>lutjanus buccanella</x:v>
      </x:c>
      <x:c r="O251" s="32" t="n">
        <x:v>3.9</x:v>
      </x:c>
      <x:c r="P251" s="24" t="str">
        <x:v>exact_2020_supplement</x:v>
      </x:c>
      <x:c r="Q251" s="32" t="str">
        <x:v>2020 supplement MeanTL</x:v>
      </x:c>
      <x:c r="R251" s="24" t="str">
        <x:v>high</x:v>
      </x:c>
      <x:c r="S251" s="24" t="str">
        <x:v>Lutjanus buccanella</x:v>
      </x:c>
      <x:c r="T251" s="32" t="n">
        <x:f>IF(O251="","",(1/'Metadata'!$B$5)^(O251-1))</x:f>
        <x:v>794.3282347242813</x:v>
      </x:c>
      <x:c r="U251" s="31" t="n">
        <x:f>IF(T251="","",I251*T251)</x:f>
        <x:v>1810.0853396488385</x:v>
      </x:c>
    </x:row>
    <x:row r="252" ht="18" customHeight="1">
      <x:c r="A252" s="24" t="str">
        <x:v>LME_005</x:v>
      </x:c>
      <x:c r="B252" s="24" t="str">
        <x:v>Gulf of Mexico</x:v>
      </x:c>
      <x:c r="C252" s="24" t="str">
        <x:v>LME</x:v>
      </x:c>
      <x:c r="D252" s="30" t="n">
        <x:v>2019</x:v>
      </x:c>
      <x:c r="E252" s="24" t="str">
        <x:v>Peprilus burti</x:v>
      </x:c>
      <x:c r="F252" s="24" t="str">
        <x:v>Gulf butterfish</x:v>
      </x:c>
      <x:c r="G252" s="24" t="str">
        <x:v>Small benthopelagics (&lt;30 cm)</x:v>
      </x:c>
      <x:c r="H252" s="24" t="str">
        <x:v>Perch-likes</x:v>
      </x:c>
      <x:c r="I252" s="31" t="n">
        <x:v>2.2022421482</x:v>
      </x:c>
      <x:c r="J252" s="31" t="n">
        <x:v>2.2022421482</x:v>
      </x:c>
      <x:c r="K252" s="31" t="n">
        <x:v>0</x:v>
      </x:c>
      <x:c r="L252" s="31" t="n">
        <x:v>2.2022421482</x:v>
      </x:c>
      <x:c r="M252" s="31" t="n">
        <x:v>0</x:v>
      </x:c>
      <x:c r="N252" s="24" t="str">
        <x:v>peprilus burti</x:v>
      </x:c>
      <x:c r="O252" s="32" t="n">
        <x:v>4</x:v>
      </x:c>
      <x:c r="P252" s="24" t="str">
        <x:v>exact_2020_supplement</x:v>
      </x:c>
      <x:c r="Q252" s="32" t="str">
        <x:v>2020 supplement MeanTL</x:v>
      </x:c>
      <x:c r="R252" s="24" t="str">
        <x:v>high</x:v>
      </x:c>
      <x:c r="S252" s="24" t="str">
        <x:v>Peprilus burti</x:v>
      </x:c>
      <x:c r="T252" s="32" t="n">
        <x:f>IF(O252="","",(1/'Metadata'!$B$5)^(O252-1))</x:f>
        <x:v>1000</x:v>
      </x:c>
      <x:c r="U252" s="31" t="n">
        <x:f>IF(T252="","",I252*T252)</x:f>
        <x:v>2202.2421482</x:v>
      </x:c>
    </x:row>
    <x:row r="253" ht="18" customHeight="1">
      <x:c r="A253" s="24" t="str">
        <x:v>LME_005</x:v>
      </x:c>
      <x:c r="B253" s="24" t="str">
        <x:v>Gulf of Mexico</x:v>
      </x:c>
      <x:c r="C253" s="24" t="str">
        <x:v>LME</x:v>
      </x:c>
      <x:c r="D253" s="30" t="n">
        <x:v>2019</x:v>
      </x:c>
      <x:c r="E253" s="24" t="str">
        <x:v>Lolliguncula brevis</x:v>
      </x:c>
      <x:c r="F253" s="24" t="str">
        <x:v>Western Atlantic brief squid</x:v>
      </x:c>
      <x:c r="G253" s="24" t="str">
        <x:v>Cephalopods</x:v>
      </x:c>
      <x:c r="H253" s="24" t="str">
        <x:v>Other fishes &amp; inverts</x:v>
      </x:c>
      <x:c r="I253" s="31" t="n">
        <x:v>2.127551674</x:v>
      </x:c>
      <x:c r="J253" s="31" t="n">
        <x:v>2.127551674</x:v>
      </x:c>
      <x:c r="K253" s="31" t="n">
        <x:v>0</x:v>
      </x:c>
      <x:c r="L253" s="31" t="n">
        <x:v>2.127551674</x:v>
      </x:c>
      <x:c r="M253" s="31" t="n">
        <x:v>0</x:v>
      </x:c>
      <x:c r="N253" s="24" t="str">
        <x:v>lolliguncula brevis</x:v>
      </x:c>
      <x:c r="O253" s="32" t="n">
        <x:v>4.5</x:v>
      </x:c>
      <x:c r="P253" s="24" t="str">
        <x:v>exact_2020_supplement</x:v>
      </x:c>
      <x:c r="Q253" s="32" t="str">
        <x:v>2020 supplement MeanTL</x:v>
      </x:c>
      <x:c r="R253" s="24" t="str">
        <x:v>high</x:v>
      </x:c>
      <x:c r="S253" s="24" t="str">
        <x:v>Lolliguncula brevis</x:v>
      </x:c>
      <x:c r="T253" s="32" t="n">
        <x:f>IF(O253="","",(1/'Metadata'!$B$5)^(O253-1))</x:f>
        <x:v>3162.2776601683795</x:v>
      </x:c>
      <x:c r="U253" s="31" t="n">
        <x:f>IF(T253="","",I253*T253)</x:f>
        <x:v>6727.9091295440385</x:v>
      </x:c>
    </x:row>
    <x:row r="254" ht="18" customHeight="1">
      <x:c r="A254" s="24" t="str">
        <x:v>LME_005</x:v>
      </x:c>
      <x:c r="B254" s="24" t="str">
        <x:v>Gulf of Mexico</x:v>
      </x:c>
      <x:c r="C254" s="24" t="str">
        <x:v>LME</x:v>
      </x:c>
      <x:c r="D254" s="30" t="n">
        <x:v>2019</x:v>
      </x:c>
      <x:c r="E254" s="24" t="str">
        <x:v>Balistes</x:v>
      </x:c>
      <x:c r="F254" s="24" t="str">
        <x:v>Triggerfish</x:v>
      </x:c>
      <x:c r="G254" s="24" t="str">
        <x:v>Medium reef assoc. fish (30 - 89 cm)</x:v>
      </x:c>
      <x:c r="H254" s="24" t="str">
        <x:v>Other fishes &amp; inverts</x:v>
      </x:c>
      <x:c r="I254" s="31" t="n">
        <x:v>2.1134480535</x:v>
      </x:c>
      <x:c r="J254" s="31" t="n">
        <x:v>2.1134480535</x:v>
      </x:c>
      <x:c r="K254" s="31" t="n">
        <x:v>0</x:v>
      </x:c>
      <x:c r="L254" s="31" t="n">
        <x:v>0</x:v>
      </x:c>
      <x:c r="M254" s="31" t="n">
        <x:v>2.1134480535</x:v>
      </x:c>
      <x:c r="N254" s="24" t="str">
        <x:v>balistes</x:v>
      </x:c>
      <x:c r="O254" s="32" t="n">
        <x:v>3.94</x:v>
      </x:c>
      <x:c r="P254" s="24" t="str">
        <x:v>exact_sea_around_us</x:v>
      </x:c>
      <x:c r="Q254" s="32" t="str">
        <x:v>Sea Around Us exploited organisms</x:v>
      </x:c>
      <x:c r="R254" s="24" t="str">
        <x:v>high</x:v>
      </x:c>
      <x:c r="S254" s="24" t="str">
        <x:v>Balistes</x:v>
      </x:c>
      <x:c r="T254" s="32" t="n">
        <x:f>IF(O254="","",(1/'Metadata'!$B$5)^(O254-1))</x:f>
        <x:v>870.9635899560806</x:v>
      </x:c>
      <x:c r="U254" s="31" t="n">
        <x:f>IF(T254="","",I254*T254)</x:f>
        <x:v>1840.7363038620506</x:v>
      </x:c>
    </x:row>
    <x:row r="255" ht="18" customHeight="1">
      <x:c r="A255" s="24" t="str">
        <x:v>LME_005</x:v>
      </x:c>
      <x:c r="B255" s="24" t="str">
        <x:v>Gulf of Mexico</x:v>
      </x:c>
      <x:c r="C255" s="24" t="str">
        <x:v>LME</x:v>
      </x:c>
      <x:c r="D255" s="30" t="n">
        <x:v>2019</x:v>
      </x:c>
      <x:c r="E255" s="24" t="str">
        <x:v>Busycon</x:v>
      </x:c>
      <x:c r="F255" s="24" t="str">
        <x:v>Whelks</x:v>
      </x:c>
      <x:c r="G255" s="24" t="str">
        <x:v>Other demersal invertebrates</x:v>
      </x:c>
      <x:c r="H255" s="24" t="str">
        <x:v>Molluscs</x:v>
      </x:c>
      <x:c r="I255" s="31" t="n">
        <x:v>2.0426745471</x:v>
      </x:c>
      <x:c r="J255" s="31" t="n">
        <x:v>2.0426745471</x:v>
      </x:c>
      <x:c r="K255" s="31" t="n">
        <x:v>0</x:v>
      </x:c>
      <x:c r="L255" s="31" t="n">
        <x:v>0.12419935709999999</x:v>
      </x:c>
      <x:c r="M255" s="31" t="n">
        <x:v>1.9184751899999999</x:v>
      </x:c>
      <x:c r="N255" s="24" t="str">
        <x:v>busycon</x:v>
      </x:c>
      <x:c r="O255" s="32" t="n">
        <x:v>3</x:v>
      </x:c>
      <x:c r="P255" s="24" t="str">
        <x:v>exact_sea_around_us</x:v>
      </x:c>
      <x:c r="Q255" s="32" t="str">
        <x:v>Sea Around Us exploited organisms</x:v>
      </x:c>
      <x:c r="R255" s="24" t="str">
        <x:v>high</x:v>
      </x:c>
      <x:c r="S255" s="24" t="str">
        <x:v>Busycon</x:v>
      </x:c>
      <x:c r="T255" s="32" t="n">
        <x:f>IF(O255="","",(1/'Metadata'!$B$5)^(O255-1))</x:f>
        <x:v>100</x:v>
      </x:c>
      <x:c r="U255" s="31" t="n">
        <x:f>IF(T255="","",I255*T255)</x:f>
        <x:v>204.26745470999998</x:v>
      </x:c>
    </x:row>
    <x:row r="256" ht="18" customHeight="1">
      <x:c r="A256" s="24" t="str">
        <x:v>LME_005</x:v>
      </x:c>
      <x:c r="B256" s="24" t="str">
        <x:v>Gulf of Mexico</x:v>
      </x:c>
      <x:c r="C256" s="24" t="str">
        <x:v>LME</x:v>
      </x:c>
      <x:c r="D256" s="30" t="n">
        <x:v>2019</x:v>
      </x:c>
      <x:c r="E256" s="24" t="str">
        <x:v>Hyperoglyphe bythites</x:v>
      </x:c>
      <x:c r="F256" s="24" t="str">
        <x:v>Black driftfish</x:v>
      </x:c>
      <x:c r="G256" s="24" t="str">
        <x:v>Medium pelagics (30 - 89 cm)</x:v>
      </x:c>
      <x:c r="H256" s="24" t="str">
        <x:v>Perch-likes</x:v>
      </x:c>
      <x:c r="I256" s="31" t="n">
        <x:v>1.9994980191</x:v>
      </x:c>
      <x:c r="J256" s="31" t="n">
        <x:v>1.9994980191</x:v>
      </x:c>
      <x:c r="K256" s="31" t="n">
        <x:v>0</x:v>
      </x:c>
      <x:c r="L256" s="31" t="n">
        <x:v>1.9994980191</x:v>
      </x:c>
      <x:c r="M256" s="31" t="n">
        <x:v>0</x:v>
      </x:c>
      <x:c r="N256" s="24" t="str">
        <x:v>hyperoglyphe bythites</x:v>
      </x:c>
      <x:c r="O256" s="32" t="n">
        <x:v>3.26</x:v>
      </x:c>
      <x:c r="P256" s="24" t="str">
        <x:v>exact_sea_around_us</x:v>
      </x:c>
      <x:c r="Q256" s="32" t="str">
        <x:v>Sea Around Us exploited organisms</x:v>
      </x:c>
      <x:c r="R256" s="24" t="str">
        <x:v>high</x:v>
      </x:c>
      <x:c r="S256" s="24" t="str">
        <x:v>Hyperoglyphe bythites</x:v>
      </x:c>
      <x:c r="T256" s="32" t="n">
        <x:f>IF(O256="","",(1/'Metadata'!$B$5)^(O256-1))</x:f>
        <x:v>181.97008586099827</x:v>
      </x:c>
      <x:c r="U256" s="31" t="n">
        <x:f>IF(T256="","",I256*T256)</x:f>
        <x:v>363.84882621452294</x:v>
      </x:c>
    </x:row>
    <x:row r="257" ht="18" customHeight="1">
      <x:c r="A257" s="24" t="str">
        <x:v>LME_005</x:v>
      </x:c>
      <x:c r="B257" s="24" t="str">
        <x:v>Gulf of Mexico</x:v>
      </x:c>
      <x:c r="C257" s="24" t="str">
        <x:v>LME</x:v>
      </x:c>
      <x:c r="D257" s="30" t="n">
        <x:v>2019</x:v>
      </x:c>
      <x:c r="E257" s="24" t="str">
        <x:v>Ophiocoma echinata</x:v>
      </x:c>
      <x:c r="F257" s="24" t="str">
        <x:v>Black brittle star</x:v>
      </x:c>
      <x:c r="G257" s="24" t="str">
        <x:v>Other demersal invertebrates</x:v>
      </x:c>
      <x:c r="H257" s="24" t="str">
        <x:v>Other fishes &amp; inverts</x:v>
      </x:c>
      <x:c r="I257" s="31" t="n">
        <x:v>1.9980429653</x:v>
      </x:c>
      <x:c r="J257" s="31" t="n">
        <x:v>1.9980429653</x:v>
      </x:c>
      <x:c r="K257" s="31" t="n">
        <x:v>0</x:v>
      </x:c>
      <x:c r="L257" s="31" t="n">
        <x:v>1.9980429653</x:v>
      </x:c>
      <x:c r="M257" s="31" t="n">
        <x:v>0</x:v>
      </x:c>
      <x:c r="N257" s="24" t="str">
        <x:v>ophiocoma echinata</x:v>
      </x:c>
      <x:c r="O257" s="32" t="n">
        <x:v>2</x:v>
      </x:c>
      <x:c r="P257" s="24" t="str">
        <x:v>exact_sea_around_us</x:v>
      </x:c>
      <x:c r="Q257" s="32" t="str">
        <x:v>Sea Around Us exploited organisms</x:v>
      </x:c>
      <x:c r="R257" s="24" t="str">
        <x:v>high</x:v>
      </x:c>
      <x:c r="S257" s="24" t="str">
        <x:v>Ophiocoma echinata</x:v>
      </x:c>
      <x:c r="T257" s="32" t="n">
        <x:f>IF(O257="","",(1/'Metadata'!$B$5)^(O257-1))</x:f>
        <x:v>10</x:v>
      </x:c>
      <x:c r="U257" s="31" t="n">
        <x:f>IF(T257="","",I257*T257)</x:f>
        <x:v>19.980429653</x:v>
      </x:c>
    </x:row>
    <x:row r="258" ht="18" customHeight="1">
      <x:c r="A258" s="24" t="str">
        <x:v>LME_005</x:v>
      </x:c>
      <x:c r="B258" s="24" t="str">
        <x:v>Gulf of Mexico</x:v>
      </x:c>
      <x:c r="C258" s="24" t="str">
        <x:v>LME</x:v>
      </x:c>
      <x:c r="D258" s="30" t="n">
        <x:v>2019</x:v>
      </x:c>
      <x:c r="E258" s="24" t="str">
        <x:v>Hippocampus erectus</x:v>
      </x:c>
      <x:c r="F258" s="24" t="str">
        <x:v>Lined seahorse</x:v>
      </x:c>
      <x:c r="G258" s="24" t="str">
        <x:v>Small reef assoc. fish (&lt;30 cm)</x:v>
      </x:c>
      <x:c r="H258" s="24" t="str">
        <x:v>Other fishes &amp; inverts</x:v>
      </x:c>
      <x:c r="I258" s="31" t="n">
        <x:v>1.8682951752</x:v>
      </x:c>
      <x:c r="J258" s="31" t="n">
        <x:v>1.8682951752</x:v>
      </x:c>
      <x:c r="K258" s="31" t="n">
        <x:v>0</x:v>
      </x:c>
      <x:c r="L258" s="31" t="n">
        <x:v>1.8682951752</x:v>
      </x:c>
      <x:c r="M258" s="31" t="n">
        <x:v>0</x:v>
      </x:c>
      <x:c r="N258" s="24" t="str">
        <x:v>hippocampus erectus</x:v>
      </x:c>
      <x:c r="O258" s="32" t="n">
        <x:v>3.46</x:v>
      </x:c>
      <x:c r="P258" s="24" t="str">
        <x:v>exact_2020_supplement</x:v>
      </x:c>
      <x:c r="Q258" s="32" t="str">
        <x:v>2020 supplement MeanTL</x:v>
      </x:c>
      <x:c r="R258" s="24" t="str">
        <x:v>high</x:v>
      </x:c>
      <x:c r="S258" s="24" t="str">
        <x:v>Hippocampus erectus</x:v>
      </x:c>
      <x:c r="T258" s="32" t="n">
        <x:f>IF(O258="","",(1/'Metadata'!$B$5)^(O258-1))</x:f>
        <x:v>288.40315031266056</x:v>
      </x:c>
      <x:c r="U258" s="31" t="n">
        <x:f>IF(T258="","",I258*T258)</x:f>
        <x:v>538.8222142416241</x:v>
      </x:c>
    </x:row>
    <x:row r="259" ht="18" customHeight="1">
      <x:c r="A259" s="24" t="str">
        <x:v>LME_005</x:v>
      </x:c>
      <x:c r="B259" s="24" t="str">
        <x:v>Gulf of Mexico</x:v>
      </x:c>
      <x:c r="C259" s="24" t="str">
        <x:v>LME</x:v>
      </x:c>
      <x:c r="D259" s="30" t="n">
        <x:v>2019</x:v>
      </x:c>
      <x:c r="E259" s="24" t="str">
        <x:v>Mycteroperca interstitialis</x:v>
      </x:c>
      <x:c r="F259" s="24" t="str">
        <x:v>Yellowmouth grouper</x:v>
      </x:c>
      <x:c r="G259" s="24" t="str">
        <x:v>Medium reef assoc. fish (30 - 89 cm)</x:v>
      </x:c>
      <x:c r="H259" s="24" t="str">
        <x:v>Perch-likes</x:v>
      </x:c>
      <x:c r="I259" s="31" t="n">
        <x:v>1.8555807413999998</x:v>
      </x:c>
      <x:c r="J259" s="31" t="n">
        <x:v>1.8555807413999998</x:v>
      </x:c>
      <x:c r="K259" s="31" t="n">
        <x:v>0</x:v>
      </x:c>
      <x:c r="L259" s="31" t="n">
        <x:v>1.2215435886000001</x:v>
      </x:c>
      <x:c r="M259" s="31" t="n">
        <x:v>0.6340371528</x:v>
      </x:c>
      <x:c r="N259" s="24" t="str">
        <x:v>mycteroperca interstitialis</x:v>
      </x:c>
      <x:c r="O259" s="32" t="n">
        <x:v>4.5</x:v>
      </x:c>
      <x:c r="P259" s="24" t="str">
        <x:v>exact_2020_supplement</x:v>
      </x:c>
      <x:c r="Q259" s="32" t="str">
        <x:v>2020 supplement MeanTL</x:v>
      </x:c>
      <x:c r="R259" s="24" t="str">
        <x:v>high</x:v>
      </x:c>
      <x:c r="S259" s="24" t="str">
        <x:v>Mycteroperca interstitialis</x:v>
      </x:c>
      <x:c r="T259" s="32" t="n">
        <x:f>IF(O259="","",(1/'Metadata'!$B$5)^(O259-1))</x:f>
        <x:v>3162.2776601683795</x:v>
      </x:c>
      <x:c r="U259" s="31" t="n">
        <x:f>IF(T259="","",I259*T259)</x:f>
        <x:v>5867.861525167898</x:v>
      </x:c>
    </x:row>
    <x:row r="260" ht="18" customHeight="1">
      <x:c r="A260" s="24" t="str">
        <x:v>LME_005</x:v>
      </x:c>
      <x:c r="B260" s="24" t="str">
        <x:v>Gulf of Mexico</x:v>
      </x:c>
      <x:c r="C260" s="24" t="str">
        <x:v>LME</x:v>
      </x:c>
      <x:c r="D260" s="30" t="n">
        <x:v>2019</x:v>
      </x:c>
      <x:c r="E260" s="24" t="str">
        <x:v>Ruvettus pretiosus</x:v>
      </x:c>
      <x:c r="F260" s="24" t="str">
        <x:v>Oilfish</x:v>
      </x:c>
      <x:c r="G260" s="24" t="str">
        <x:v>Large benthopelagics (&gt;=90 cm)</x:v>
      </x:c>
      <x:c r="H260" s="24" t="str">
        <x:v>Perch-likes</x:v>
      </x:c>
      <x:c r="I260" s="31" t="n">
        <x:v>1.8501285537999999</x:v>
      </x:c>
      <x:c r="J260" s="31" t="n">
        <x:v>1.8501285537999999</x:v>
      </x:c>
      <x:c r="K260" s="31" t="n">
        <x:v>0</x:v>
      </x:c>
      <x:c r="L260" s="31" t="n">
        <x:v>0</x:v>
      </x:c>
      <x:c r="M260" s="31" t="n">
        <x:v>1.8501285537999999</x:v>
      </x:c>
      <x:c r="N260" s="24" t="str">
        <x:v>ruvettus pretiosus</x:v>
      </x:c>
      <x:c r="O260" s="32" t="n">
        <x:v>4.18</x:v>
      </x:c>
      <x:c r="P260" s="24" t="str">
        <x:v>exact_2020_supplement</x:v>
      </x:c>
      <x:c r="Q260" s="32" t="str">
        <x:v>2020 supplement MeanTL</x:v>
      </x:c>
      <x:c r="R260" s="24" t="str">
        <x:v>high</x:v>
      </x:c>
      <x:c r="S260" s="24" t="str">
        <x:v>Ruvettus pretiosus</x:v>
      </x:c>
      <x:c r="T260" s="32" t="n">
        <x:f>IF(O260="","",(1/'Metadata'!$B$5)^(O260-1))</x:f>
        <x:v>1513.5612484362073</x:v>
      </x:c>
      <x:c r="U260" s="31" t="n">
        <x:f>IF(T260="","",I260*T260)</x:f>
        <x:v>2800.2828836570025</x:v>
      </x:c>
    </x:row>
    <x:row r="261" ht="18" customHeight="1">
      <x:c r="A261" s="24" t="str">
        <x:v>LME_005</x:v>
      </x:c>
      <x:c r="B261" s="24" t="str">
        <x:v>Gulf of Mexico</x:v>
      </x:c>
      <x:c r="C261" s="24" t="str">
        <x:v>LME</x:v>
      </x:c>
      <x:c r="D261" s="30" t="n">
        <x:v>2019</x:v>
      </x:c>
      <x:c r="E261" s="24" t="str">
        <x:v>Azurina cyanea</x:v>
      </x:c>
      <x:c r="F261" s="24" t="str">
        <x:v>Blue chromis</x:v>
      </x:c>
      <x:c r="G261" s="24" t="str">
        <x:v>Small reef assoc. fish (&lt;30 cm)</x:v>
      </x:c>
      <x:c r="H261" s="24" t="str">
        <x:v>Perch-likes</x:v>
      </x:c>
      <x:c r="I261" s="31" t="n">
        <x:v>1.8307366288000002</x:v>
      </x:c>
      <x:c r="J261" s="31" t="n">
        <x:v>1.8307366288000002</x:v>
      </x:c>
      <x:c r="K261" s="31" t="n">
        <x:v>0</x:v>
      </x:c>
      <x:c r="L261" s="31" t="n">
        <x:v>1.8307366288000002</x:v>
      </x:c>
      <x:c r="M261" s="31" t="n">
        <x:v>0</x:v>
      </x:c>
      <x:c r="N261" s="24" t="str">
        <x:v>azurina cyanea</x:v>
      </x:c>
      <x:c r="O261" s="32" t="n">
        <x:v>3.07</x:v>
      </x:c>
      <x:c r="P261" s="24" t="str">
        <x:v>exact_sea_around_us</x:v>
      </x:c>
      <x:c r="Q261" s="32" t="str">
        <x:v>Sea Around Us exploited organisms</x:v>
      </x:c>
      <x:c r="R261" s="24" t="str">
        <x:v>high</x:v>
      </x:c>
      <x:c r="S261" s="24" t="str">
        <x:v>Azurina cyanea</x:v>
      </x:c>
      <x:c r="T261" s="32" t="n">
        <x:f>IF(O261="","",(1/'Metadata'!$B$5)^(O261-1))</x:f>
        <x:v>117.48975549395291</x:v>
      </x:c>
      <x:c r="U261" s="31" t="n">
        <x:f>IF(T261="","",I261*T261)</x:f>
        <x:v>215.09279889153567</x:v>
      </x:c>
    </x:row>
    <x:row r="262" ht="18" customHeight="1">
      <x:c r="A262" s="24" t="str">
        <x:v>LME_005</x:v>
      </x:c>
      <x:c r="B262" s="24" t="str">
        <x:v>Gulf of Mexico</x:v>
      </x:c>
      <x:c r="C262" s="24" t="str">
        <x:v>LME</x:v>
      </x:c>
      <x:c r="D262" s="30" t="n">
        <x:v>2019</x:v>
      </x:c>
      <x:c r="E262" s="24" t="str">
        <x:v>Tetraodontidae</x:v>
      </x:c>
      <x:c r="F262" s="24" t="str">
        <x:v>Puffers, tobies</x:v>
      </x:c>
      <x:c r="G262" s="24" t="str">
        <x:v>Large reef assoc. fish (&gt;=90 cm)</x:v>
      </x:c>
      <x:c r="H262" s="24" t="str">
        <x:v>Other fishes &amp; inverts</x:v>
      </x:c>
      <x:c r="I262" s="31" t="n">
        <x:v>1.8181950659</x:v>
      </x:c>
      <x:c r="J262" s="31" t="n">
        <x:v>1.8181950659</x:v>
      </x:c>
      <x:c r="K262" s="31" t="n">
        <x:v>0</x:v>
      </x:c>
      <x:c r="L262" s="31" t="n">
        <x:v>1.2110816415999999</x:v>
      </x:c>
      <x:c r="M262" s="31" t="n">
        <x:v>0.6071134242999999</x:v>
      </x:c>
      <x:c r="N262" s="24" t="str">
        <x:v>tetraodontidae</x:v>
      </x:c>
      <x:c r="O262" s="32" t="n">
        <x:v>3.5</x:v>
      </x:c>
      <x:c r="P262" s="24" t="str">
        <x:v>exact_sea_around_us</x:v>
      </x:c>
      <x:c r="Q262" s="32" t="str">
        <x:v>Sea Around Us exploited organisms</x:v>
      </x:c>
      <x:c r="R262" s="24" t="str">
        <x:v>high</x:v>
      </x:c>
      <x:c r="S262" s="24" t="str">
        <x:v>Tetraodontidae</x:v>
      </x:c>
      <x:c r="T262" s="32" t="n">
        <x:f>IF(O262="","",(1/'Metadata'!$B$5)^(O262-1))</x:f>
        <x:v>316.22776601683796</x:v>
      </x:c>
      <x:c r="U262" s="31" t="n">
        <x:f>IF(T262="","",I262*T262)</x:f>
        <x:v>574.9637638723945</x:v>
      </x:c>
    </x:row>
    <x:row r="263" ht="18" customHeight="1">
      <x:c r="A263" s="24" t="str">
        <x:v>LME_005</x:v>
      </x:c>
      <x:c r="B263" s="24" t="str">
        <x:v>Gulf of Mexico</x:v>
      </x:c>
      <x:c r="C263" s="24" t="str">
        <x:v>LME</x:v>
      </x:c>
      <x:c r="D263" s="30" t="n">
        <x:v>2019</x:v>
      </x:c>
      <x:c r="E263" s="24" t="str">
        <x:v>Opistognathus aurifrons</x:v>
      </x:c>
      <x:c r="F263" s="24" t="str">
        <x:v>Yellowhead jawfish</x:v>
      </x:c>
      <x:c r="G263" s="24" t="str">
        <x:v>Small reef assoc. fish (&lt;30 cm)</x:v>
      </x:c>
      <x:c r="H263" s="24" t="str">
        <x:v>Other fishes &amp; inverts</x:v>
      </x:c>
      <x:c r="I263" s="31" t="n">
        <x:v>1.7745455035</x:v>
      </x:c>
      <x:c r="J263" s="31" t="n">
        <x:v>1.7745455035</x:v>
      </x:c>
      <x:c r="K263" s="31" t="n">
        <x:v>0</x:v>
      </x:c>
      <x:c r="L263" s="31" t="n">
        <x:v>1.7745455035</x:v>
      </x:c>
      <x:c r="M263" s="31" t="n">
        <x:v>0</x:v>
      </x:c>
      <x:c r="N263" s="24" t="str">
        <x:v>opistognathus aurifrons</x:v>
      </x:c>
      <x:c r="O263" s="32" t="n">
        <x:v>3.04</x:v>
      </x:c>
      <x:c r="P263" s="24" t="str">
        <x:v>exact_2020_supplement</x:v>
      </x:c>
      <x:c r="Q263" s="32" t="str">
        <x:v>2020 supplement MeanTL</x:v>
      </x:c>
      <x:c r="R263" s="24" t="str">
        <x:v>high</x:v>
      </x:c>
      <x:c r="S263" s="24" t="str">
        <x:v>Opistognathus aurifrons</x:v>
      </x:c>
      <x:c r="T263" s="32" t="n">
        <x:f>IF(O263="","",(1/'Metadata'!$B$5)^(O263-1))</x:f>
        <x:v>109.64781961431851</x:v>
      </x:c>
      <x:c r="U263" s="31" t="n">
        <x:f>IF(T263="","",I263*T263)</x:f>
        <x:v>194.575045265168</x:v>
      </x:c>
    </x:row>
    <x:row r="264" ht="18" customHeight="1">
      <x:c r="A264" s="24" t="str">
        <x:v>LME_005</x:v>
      </x:c>
      <x:c r="B264" s="24" t="str">
        <x:v>Gulf of Mexico</x:v>
      </x:c>
      <x:c r="C264" s="24" t="str">
        <x:v>LME</x:v>
      </x:c>
      <x:c r="D264" s="30" t="n">
        <x:v>2019</x:v>
      </x:c>
      <x:c r="E264" s="24" t="str">
        <x:v>Ophioderma brevispinum</x:v>
      </x:c>
      <x:c r="F264" s="24" t="str">
        <x:v>Short-spined brittle star</x:v>
      </x:c>
      <x:c r="G264" s="24" t="str">
        <x:v>Other demersal invertebrates</x:v>
      </x:c>
      <x:c r="H264" s="24" t="str">
        <x:v>Other fishes &amp; inverts</x:v>
      </x:c>
      <x:c r="I264" s="31" t="n">
        <x:v>1.7346626296</x:v>
      </x:c>
      <x:c r="J264" s="31" t="n">
        <x:v>1.7346626296</x:v>
      </x:c>
      <x:c r="K264" s="31" t="n">
        <x:v>0</x:v>
      </x:c>
      <x:c r="L264" s="31" t="n">
        <x:v>1.7346626296</x:v>
      </x:c>
      <x:c r="M264" s="31" t="n">
        <x:v>0</x:v>
      </x:c>
      <x:c r="N264" s="24" t="str">
        <x:v>ophioderma brevispinum</x:v>
      </x:c>
      <x:c r="O264" s="32" t="n">
        <x:v>3.22</x:v>
      </x:c>
      <x:c r="P264" s="24" t="str">
        <x:v>exact_sea_around_us</x:v>
      </x:c>
      <x:c r="Q264" s="32" t="str">
        <x:v>Sea Around Us exploited organisms</x:v>
      </x:c>
      <x:c r="R264" s="24" t="str">
        <x:v>high</x:v>
      </x:c>
      <x:c r="S264" s="24" t="str">
        <x:v>Ophioderma brevispinum</x:v>
      </x:c>
      <x:c r="T264" s="32" t="n">
        <x:f>IF(O264="","",(1/'Metadata'!$B$5)^(O264-1))</x:f>
        <x:v>165.95869074375614</x:v>
      </x:c>
      <x:c r="U264" s="31" t="n">
        <x:f>IF(T264="","",I264*T264)</x:f>
        <x:v>287.8823388905372</x:v>
      </x:c>
    </x:row>
    <x:row r="265" ht="18" customHeight="1">
      <x:c r="A265" s="24" t="str">
        <x:v>LME_005</x:v>
      </x:c>
      <x:c r="B265" s="24" t="str">
        <x:v>Gulf of Mexico</x:v>
      </x:c>
      <x:c r="C265" s="24" t="str">
        <x:v>LME</x:v>
      </x:c>
      <x:c r="D265" s="30" t="n">
        <x:v>2019</x:v>
      </x:c>
      <x:c r="E265" s="24" t="str">
        <x:v>Diodontidae</x:v>
      </x:c>
      <x:c r="F265" s="24" t="str">
        <x:v>Porcupine-, burrfishes</x:v>
      </x:c>
      <x:c r="G265" s="24" t="str">
        <x:v>Medium reef assoc. fish (30 - 89 cm)</x:v>
      </x:c>
      <x:c r="H265" s="24" t="str">
        <x:v>Other fishes &amp; inverts</x:v>
      </x:c>
      <x:c r="I265" s="31" t="n">
        <x:v>1.685789382</x:v>
      </x:c>
      <x:c r="J265" s="31" t="n">
        <x:v>1.685789382</x:v>
      </x:c>
      <x:c r="K265" s="31" t="n">
        <x:v>0</x:v>
      </x:c>
      <x:c r="L265" s="31" t="n">
        <x:v>1.5903653048</x:v>
      </x:c>
      <x:c r="M265" s="31" t="n">
        <x:v>0.0954240772</x:v>
      </x:c>
      <x:c r="N265" s="24" t="str">
        <x:v>diodontidae</x:v>
      </x:c>
      <x:c r="O265" s="32" t="n">
        <x:v>3.36</x:v>
      </x:c>
      <x:c r="P265" s="24" t="str">
        <x:v>exact_sea_around_us</x:v>
      </x:c>
      <x:c r="Q265" s="32" t="str">
        <x:v>Sea Around Us exploited organisms</x:v>
      </x:c>
      <x:c r="R265" s="24" t="str">
        <x:v>high</x:v>
      </x:c>
      <x:c r="S265" s="24" t="str">
        <x:v>Diodontidae</x:v>
      </x:c>
      <x:c r="T265" s="32" t="n">
        <x:f>IF(O265="","",(1/'Metadata'!$B$5)^(O265-1))</x:f>
        <x:v>229.08676527677724</x:v>
      </x:c>
      <x:c r="U265" s="31" t="n">
        <x:f>IF(T265="","",I265*T265)</x:f>
        <x:v>386.19203646031735</x:v>
      </x:c>
    </x:row>
    <x:row r="266" ht="18" customHeight="1">
      <x:c r="A266" s="24" t="str">
        <x:v>LME_005</x:v>
      </x:c>
      <x:c r="B266" s="24" t="str">
        <x:v>Gulf of Mexico</x:v>
      </x:c>
      <x:c r="C266" s="24" t="str">
        <x:v>LME</x:v>
      </x:c>
      <x:c r="D266" s="30" t="n">
        <x:v>2019</x:v>
      </x:c>
      <x:c r="E266" s="24" t="str">
        <x:v>Holocentridae</x:v>
      </x:c>
      <x:c r="F266" s="24" t="str">
        <x:v>Squirrel-, soldierfishes</x:v>
      </x:c>
      <x:c r="G266" s="24" t="str">
        <x:v>Small reef assoc. fish (&lt;30 cm)</x:v>
      </x:c>
      <x:c r="H266" s="24" t="str">
        <x:v>Other fishes &amp; inverts</x:v>
      </x:c>
      <x:c r="I266" s="31" t="n">
        <x:v>1.6606548816</x:v>
      </x:c>
      <x:c r="J266" s="31" t="n">
        <x:v>1.6606548816</x:v>
      </x:c>
      <x:c r="K266" s="31" t="n">
        <x:v>0</x:v>
      </x:c>
      <x:c r="L266" s="31" t="n">
        <x:v>1.6214606066000001</x:v>
      </x:c>
      <x:c r="M266" s="31" t="n">
        <x:v>0.039194275</x:v>
      </x:c>
      <x:c r="N266" s="24" t="str">
        <x:v>holocentridae</x:v>
      </x:c>
      <x:c r="O266" s="32" t="n">
        <x:v>3.49</x:v>
      </x:c>
      <x:c r="P266" s="24" t="str">
        <x:v>exact_sea_around_us</x:v>
      </x:c>
      <x:c r="Q266" s="32" t="str">
        <x:v>Sea Around Us exploited organisms</x:v>
      </x:c>
      <x:c r="R266" s="24" t="str">
        <x:v>high</x:v>
      </x:c>
      <x:c r="S266" s="24" t="str">
        <x:v>Holocentridae</x:v>
      </x:c>
      <x:c r="T266" s="32" t="n">
        <x:f>IF(O266="","",(1/'Metadata'!$B$5)^(O266-1))</x:f>
        <x:v>309.0295432513592</x:v>
      </x:c>
      <x:c r="U266" s="31" t="n">
        <x:f>IF(T266="","",I266*T266)</x:f>
        <x:v>513.191419558988</x:v>
      </x:c>
    </x:row>
    <x:row r="267" ht="18" customHeight="1">
      <x:c r="A267" s="24" t="str">
        <x:v>LME_005</x:v>
      </x:c>
      <x:c r="B267" s="24" t="str">
        <x:v>Gulf of Mexico</x:v>
      </x:c>
      <x:c r="C267" s="24" t="str">
        <x:v>LME</x:v>
      </x:c>
      <x:c r="D267" s="30" t="n">
        <x:v>2019</x:v>
      </x:c>
      <x:c r="E267" s="24" t="str">
        <x:v>Rajiformes</x:v>
      </x:c>
      <x:c r="F267" s="24" t="str">
        <x:v>Skates and rays</x:v>
      </x:c>
      <x:c r="G267" s="24" t="str">
        <x:v>Large rays (&gt;=90 cm)</x:v>
      </x:c>
      <x:c r="H267" s="24" t="str">
        <x:v>Sharks &amp; rays</x:v>
      </x:c>
      <x:c r="I267" s="31" t="n">
        <x:v>1.6502691518000001</x:v>
      </x:c>
      <x:c r="J267" s="31" t="n">
        <x:v>1.6502691518000001</x:v>
      </x:c>
      <x:c r="K267" s="31" t="n">
        <x:v>0</x:v>
      </x:c>
      <x:c r="L267" s="31" t="n">
        <x:v>1.6438241914</x:v>
      </x:c>
      <x:c r="M267" s="31" t="n">
        <x:v>0.006444960400000001</x:v>
      </x:c>
      <x:c r="N267" s="24" t="str">
        <x:v>rajiformes</x:v>
      </x:c>
      <x:c r="O267" s="32" t="n">
        <x:v>3.61</x:v>
      </x:c>
      <x:c r="P267" s="24" t="str">
        <x:v>exact_sea_around_us</x:v>
      </x:c>
      <x:c r="Q267" s="32" t="str">
        <x:v>Sea Around Us exploited organisms</x:v>
      </x:c>
      <x:c r="R267" s="24" t="str">
        <x:v>high</x:v>
      </x:c>
      <x:c r="S267" s="24" t="str">
        <x:v>Rajiformes</x:v>
      </x:c>
      <x:c r="T267" s="32" t="n">
        <x:f>IF(O267="","",(1/'Metadata'!$B$5)^(O267-1))</x:f>
        <x:v>407.3802778041126</x:v>
      </x:c>
      <x:c r="U267" s="31" t="n">
        <x:f>IF(T267="","",I267*T267)</x:f>
        <x:v>672.2871055118413</x:v>
      </x:c>
    </x:row>
    <x:row r="268" ht="18" customHeight="1">
      <x:c r="A268" s="24" t="str">
        <x:v>LME_005</x:v>
      </x:c>
      <x:c r="B268" s="24" t="str">
        <x:v>Gulf of Mexico</x:v>
      </x:c>
      <x:c r="C268" s="24" t="str">
        <x:v>LME</x:v>
      </x:c>
      <x:c r="D268" s="30" t="n">
        <x:v>2019</x:v>
      </x:c>
      <x:c r="E268" s="24" t="str">
        <x:v>Squalus</x:v>
      </x:c>
      <x:c r="F268" s="24" t="str">
        <x:v>Dogfishes</x:v>
      </x:c>
      <x:c r="G268" s="24" t="str">
        <x:v>Large sharks (&gt;=90 cm)</x:v>
      </x:c>
      <x:c r="H268" s="24" t="str">
        <x:v>Sharks &amp; rays</x:v>
      </x:c>
      <x:c r="I268" s="31" t="n">
        <x:v>1.5699518658</x:v>
      </x:c>
      <x:c r="J268" s="31" t="n">
        <x:v>1.5699518658</x:v>
      </x:c>
      <x:c r="K268" s="31" t="n">
        <x:v>0</x:v>
      </x:c>
      <x:c r="L268" s="31" t="n">
        <x:v>0</x:v>
      </x:c>
      <x:c r="M268" s="31" t="n">
        <x:v>1.5699518658</x:v>
      </x:c>
      <x:c r="N268" s="24" t="str">
        <x:v>squalus</x:v>
      </x:c>
      <x:c r="O268" s="32" t="n">
        <x:v>4.23</x:v>
      </x:c>
      <x:c r="P268" s="24" t="str">
        <x:v>exact_sea_around_us</x:v>
      </x:c>
      <x:c r="Q268" s="32" t="str">
        <x:v>Sea Around Us exploited organisms</x:v>
      </x:c>
      <x:c r="R268" s="24" t="str">
        <x:v>high</x:v>
      </x:c>
      <x:c r="S268" s="24" t="str">
        <x:v>Squalus</x:v>
      </x:c>
      <x:c r="T268" s="32" t="n">
        <x:f>IF(O268="","",(1/'Metadata'!$B$5)^(O268-1))</x:f>
        <x:v>1698.243652461746</x:v>
      </x:c>
      <x:c r="U268" s="31" t="n">
        <x:f>IF(T268="","",I268*T268)</x:f>
        <x:v>2666.160790765325</x:v>
      </x:c>
    </x:row>
    <x:row r="269" ht="18" customHeight="1">
      <x:c r="A269" s="24" t="str">
        <x:v>LME_005</x:v>
      </x:c>
      <x:c r="B269" s="24" t="str">
        <x:v>Gulf of Mexico</x:v>
      </x:c>
      <x:c r="C269" s="24" t="str">
        <x:v>LME</x:v>
      </x:c>
      <x:c r="D269" s="30" t="n">
        <x:v>2019</x:v>
      </x:c>
      <x:c r="E269" s="24" t="str">
        <x:v>Holacanthus ciliaris</x:v>
      </x:c>
      <x:c r="F269" s="24" t="str">
        <x:v>Queen angelfish</x:v>
      </x:c>
      <x:c r="G269" s="24" t="str">
        <x:v>Medium reef assoc. fish (30 - 89 cm)</x:v>
      </x:c>
      <x:c r="H269" s="24" t="str">
        <x:v>Perch-likes</x:v>
      </x:c>
      <x:c r="I269" s="31" t="n">
        <x:v>1.5105622562</x:v>
      </x:c>
      <x:c r="J269" s="31" t="n">
        <x:v>1.5105622562</x:v>
      </x:c>
      <x:c r="K269" s="31" t="n">
        <x:v>0</x:v>
      </x:c>
      <x:c r="L269" s="31" t="n">
        <x:v>1.5105622562</x:v>
      </x:c>
      <x:c r="M269" s="31" t="n">
        <x:v>0</x:v>
      </x:c>
      <x:c r="N269" s="24" t="str">
        <x:v>holacanthus ciliaris</x:v>
      </x:c>
      <x:c r="O269" s="32" t="n">
        <x:v>2.99</x:v>
      </x:c>
      <x:c r="P269" s="24" t="str">
        <x:v>exact_2020_supplement</x:v>
      </x:c>
      <x:c r="Q269" s="32" t="str">
        <x:v>2020 supplement MeanTL</x:v>
      </x:c>
      <x:c r="R269" s="24" t="str">
        <x:v>high</x:v>
      </x:c>
      <x:c r="S269" s="24" t="str">
        <x:v>Holacanthus ciliaris</x:v>
      </x:c>
      <x:c r="T269" s="32" t="n">
        <x:f>IF(O269="","",(1/'Metadata'!$B$5)^(O269-1))</x:f>
        <x:v>97.72372209558111</x:v>
      </x:c>
      <x:c r="U269" s="31" t="n">
        <x:f>IF(T269="","",I269*T269)</x:f>
        <x:v>147.6177661329628</x:v>
      </x:c>
    </x:row>
    <x:row r="270" ht="18" customHeight="1">
      <x:c r="A270" s="24" t="str">
        <x:v>LME_005</x:v>
      </x:c>
      <x:c r="B270" s="24" t="str">
        <x:v>Gulf of Mexico</x:v>
      </x:c>
      <x:c r="C270" s="24" t="str">
        <x:v>LME</x:v>
      </x:c>
      <x:c r="D270" s="30" t="n">
        <x:v>2019</x:v>
      </x:c>
      <x:c r="E270" s="24" t="str">
        <x:v>Acanthurus coeruleus</x:v>
      </x:c>
      <x:c r="F270" s="24" t="str">
        <x:v>Blue tang surgeonfish</x:v>
      </x:c>
      <x:c r="G270" s="24" t="str">
        <x:v>Medium reef assoc. fish (30 - 89 cm)</x:v>
      </x:c>
      <x:c r="H270" s="24" t="str">
        <x:v>Perch-likes</x:v>
      </x:c>
      <x:c r="I270" s="31" t="n">
        <x:v>1.4462422071</x:v>
      </x:c>
      <x:c r="J270" s="31" t="n">
        <x:v>1.4462422071</x:v>
      </x:c>
      <x:c r="K270" s="31" t="n">
        <x:v>0</x:v>
      </x:c>
      <x:c r="L270" s="31" t="n">
        <x:v>1.4462422071</x:v>
      </x:c>
      <x:c r="M270" s="31" t="n">
        <x:v>0</x:v>
      </x:c>
      <x:c r="N270" s="24" t="str">
        <x:v>acanthurus coeruleus</x:v>
      </x:c>
      <x:c r="O270" s="32" t="n">
        <x:v>2.01</x:v>
      </x:c>
      <x:c r="P270" s="24" t="str">
        <x:v>exact_2020_supplement</x:v>
      </x:c>
      <x:c r="Q270" s="32" t="str">
        <x:v>2020 supplement MeanTL</x:v>
      </x:c>
      <x:c r="R270" s="24" t="str">
        <x:v>high</x:v>
      </x:c>
      <x:c r="S270" s="24" t="str">
        <x:v>Acanthurus coeruleus</x:v>
      </x:c>
      <x:c r="T270" s="32" t="n">
        <x:f>IF(O270="","",(1/'Metadata'!$B$5)^(O270-1))</x:f>
        <x:v>10.232929922807536</x:v>
      </x:c>
      <x:c r="U270" s="31" t="n">
        <x:f>IF(T270="","",I270*T270)</x:f>
        <x:v>14.799295156660804</x:v>
      </x:c>
    </x:row>
    <x:row r="271" ht="18" customHeight="1">
      <x:c r="A271" s="24" t="str">
        <x:v>LME_005</x:v>
      </x:c>
      <x:c r="B271" s="24" t="str">
        <x:v>Gulf of Mexico</x:v>
      </x:c>
      <x:c r="C271" s="24" t="str">
        <x:v>LME</x:v>
      </x:c>
      <x:c r="D271" s="30" t="n">
        <x:v>2019</x:v>
      </x:c>
      <x:c r="E271" s="24" t="str">
        <x:v>Eucidaris tribuloides</x:v>
      </x:c>
      <x:c r="F271" s="24" t="str">
        <x:v>Slate pencil urchin</x:v>
      </x:c>
      <x:c r="G271" s="24" t="str">
        <x:v>Other demersal invertebrates</x:v>
      </x:c>
      <x:c r="H271" s="24" t="str">
        <x:v>Other fishes &amp; inverts</x:v>
      </x:c>
      <x:c r="I271" s="31" t="n">
        <x:v>1.4261603103</x:v>
      </x:c>
      <x:c r="J271" s="31" t="n">
        <x:v>1.4261603103</x:v>
      </x:c>
      <x:c r="K271" s="31" t="n">
        <x:v>0</x:v>
      </x:c>
      <x:c r="L271" s="31" t="n">
        <x:v>1.4261603103</x:v>
      </x:c>
      <x:c r="M271" s="31" t="n">
        <x:v>0</x:v>
      </x:c>
      <x:c r="N271" s="24" t="str">
        <x:v>eucidaris tribuloides</x:v>
      </x:c>
      <x:c r="O271" s="32" t="n">
        <x:v>2.5</x:v>
      </x:c>
      <x:c r="P271" s="24" t="str">
        <x:v>exact_2020_supplement</x:v>
      </x:c>
      <x:c r="Q271" s="32" t="str">
        <x:v>2020 supplement MeanTL</x:v>
      </x:c>
      <x:c r="R271" s="24" t="str">
        <x:v>high</x:v>
      </x:c>
      <x:c r="S271" s="24" t="str">
        <x:v>Eucidaris tribuloides</x:v>
      </x:c>
      <x:c r="T271" s="32" t="n">
        <x:f>IF(O271="","",(1/'Metadata'!$B$5)^(O271-1))</x:f>
        <x:v>31.622776601683793</x:v>
      </x:c>
      <x:c r="U271" s="31" t="n">
        <x:f>IF(T271="","",I271*T271)</x:f>
        <x:v>45.09914889080494</x:v>
      </x:c>
    </x:row>
    <x:row r="272" ht="18" customHeight="1">
      <x:c r="A272" s="24" t="str">
        <x:v>LME_005</x:v>
      </x:c>
      <x:c r="B272" s="24" t="str">
        <x:v>Gulf of Mexico</x:v>
      </x:c>
      <x:c r="C272" s="24" t="str">
        <x:v>LME</x:v>
      </x:c>
      <x:c r="D272" s="30" t="n">
        <x:v>2019</x:v>
      </x:c>
      <x:c r="E272" s="24" t="str">
        <x:v>Selene setapinnis</x:v>
      </x:c>
      <x:c r="F272" s="24" t="str">
        <x:v>Atlantic moonfish</x:v>
      </x:c>
      <x:c r="G272" s="24" t="str">
        <x:v>Medium demersals (30 - 89 cm)</x:v>
      </x:c>
      <x:c r="H272" s="24" t="str">
        <x:v>Perch-likes</x:v>
      </x:c>
      <x:c r="I272" s="31" t="n">
        <x:v>1.3037136566999998</x:v>
      </x:c>
      <x:c r="J272" s="31" t="n">
        <x:v>1.2871660275999999</x:v>
      </x:c>
      <x:c r="K272" s="31" t="n">
        <x:v>0.0165476291</x:v>
      </x:c>
      <x:c r="L272" s="31" t="n">
        <x:v>1.0778052370999998</x:v>
      </x:c>
      <x:c r="M272" s="31" t="n">
        <x:v>0.2259084196</x:v>
      </x:c>
      <x:c r="N272" s="24" t="str">
        <x:v>selene setapinnis</x:v>
      </x:c>
      <x:c r="O272" s="32" t="n">
        <x:v>3.72</x:v>
      </x:c>
      <x:c r="P272" s="24" t="str">
        <x:v>exact_2020_supplement</x:v>
      </x:c>
      <x:c r="Q272" s="32" t="str">
        <x:v>2020 supplement MeanTL</x:v>
      </x:c>
      <x:c r="R272" s="24" t="str">
        <x:v>high</x:v>
      </x:c>
      <x:c r="S272" s="24" t="str">
        <x:v>Selene setapinnis</x:v>
      </x:c>
      <x:c r="T272" s="32" t="n">
        <x:f>IF(O272="","",(1/'Metadata'!$B$5)^(O272-1))</x:f>
        <x:v>524.8074602497728</x:v>
      </x:c>
      <x:c r="U272" s="31" t="n">
        <x:f>IF(T272="","",I272*T272)</x:f>
        <x:v>684.1986530656711</x:v>
      </x:c>
    </x:row>
    <x:row r="273" ht="18" customHeight="1">
      <x:c r="A273" s="24" t="str">
        <x:v>LME_005</x:v>
      </x:c>
      <x:c r="B273" s="24" t="str">
        <x:v>Gulf of Mexico</x:v>
      </x:c>
      <x:c r="C273" s="24" t="str">
        <x:v>LME</x:v>
      </x:c>
      <x:c r="D273" s="30" t="n">
        <x:v>2019</x:v>
      </x:c>
      <x:c r="E273" s="24" t="str">
        <x:v>Rhizostomeae</x:v>
      </x:c>
      <x:c r="F273" s="24" t="str">
        <x:v>Oral arm jellyfishes</x:v>
      </x:c>
      <x:c r="G273" s="24" t="str">
        <x:v>Jellyfish</x:v>
      </x:c>
      <x:c r="H273" s="24" t="str">
        <x:v>Other fishes &amp; inverts</x:v>
      </x:c>
      <x:c r="I273" s="31" t="n">
        <x:v>1.2808026626</x:v>
      </x:c>
      <x:c r="J273" s="31" t="n">
        <x:v>1.2808026626</x:v>
      </x:c>
      <x:c r="K273" s="31" t="n">
        <x:v>0</x:v>
      </x:c>
      <x:c r="L273" s="31" t="n">
        <x:v>1.2808026626</x:v>
      </x:c>
      <x:c r="M273" s="31" t="n">
        <x:v>0</x:v>
      </x:c>
      <x:c r="N273" s="24" t="str">
        <x:v>rhizostomeae</x:v>
      </x:c>
      <x:c r="O273" s="32" t="n">
        <x:v>3.46</x:v>
      </x:c>
      <x:c r="P273" s="24" t="str">
        <x:v>exact_sea_around_us</x:v>
      </x:c>
      <x:c r="Q273" s="32" t="str">
        <x:v>Sea Around Us exploited organisms</x:v>
      </x:c>
      <x:c r="R273" s="24" t="str">
        <x:v>high</x:v>
      </x:c>
      <x:c r="S273" s="24" t="str">
        <x:v>Rhizostomeae</x:v>
      </x:c>
      <x:c r="T273" s="32" t="n">
        <x:f>IF(O273="","",(1/'Metadata'!$B$5)^(O273-1))</x:f>
        <x:v>288.40315031266056</x:v>
      </x:c>
      <x:c r="U273" s="31" t="n">
        <x:f>IF(T273="","",I273*T273)</x:f>
        <x:v>369.38752282268365</x:v>
      </x:c>
    </x:row>
    <x:row r="274" ht="18" customHeight="1">
      <x:c r="A274" s="24" t="str">
        <x:v>LME_005</x:v>
      </x:c>
      <x:c r="B274" s="24" t="str">
        <x:v>Gulf of Mexico</x:v>
      </x:c>
      <x:c r="C274" s="24" t="str">
        <x:v>LME</x:v>
      </x:c>
      <x:c r="D274" s="30" t="n">
        <x:v>2019</x:v>
      </x:c>
      <x:c r="E274" s="24" t="str">
        <x:v>Haemulon sciurus</x:v>
      </x:c>
      <x:c r="F274" s="24" t="str">
        <x:v>Bluestriped grunt</x:v>
      </x:c>
      <x:c r="G274" s="24" t="str">
        <x:v>Medium reef assoc. fish (30 - 89 cm)</x:v>
      </x:c>
      <x:c r="H274" s="24" t="str">
        <x:v>Perch-likes</x:v>
      </x:c>
      <x:c r="I274" s="31" t="n">
        <x:v>1.2647049486</x:v>
      </x:c>
      <x:c r="J274" s="31" t="n">
        <x:v>1.2647049486</x:v>
      </x:c>
      <x:c r="K274" s="31" t="n">
        <x:v>0</x:v>
      </x:c>
      <x:c r="L274" s="31" t="n">
        <x:v>0</x:v>
      </x:c>
      <x:c r="M274" s="31" t="n">
        <x:v>1.2647049486</x:v>
      </x:c>
      <x:c r="N274" s="24" t="str">
        <x:v>haemulon sciurus</x:v>
      </x:c>
      <x:c r="O274" s="32" t="n">
        <x:v>3.48</x:v>
      </x:c>
      <x:c r="P274" s="24" t="str">
        <x:v>exact_2020_supplement</x:v>
      </x:c>
      <x:c r="Q274" s="32" t="str">
        <x:v>2020 supplement MeanTL</x:v>
      </x:c>
      <x:c r="R274" s="24" t="str">
        <x:v>high</x:v>
      </x:c>
      <x:c r="S274" s="24" t="str">
        <x:v>Haemulon sciurus</x:v>
      </x:c>
      <x:c r="T274" s="32" t="n">
        <x:f>IF(O274="","",(1/'Metadata'!$B$5)^(O274-1))</x:f>
        <x:v>301.9951720402016</x:v>
      </x:c>
      <x:c r="U274" s="31" t="n">
        <x:f>IF(T274="","",I274*T274)</x:f>
        <x:v>381.93478853255135</x:v>
      </x:c>
    </x:row>
    <x:row r="275" ht="18" customHeight="1">
      <x:c r="A275" s="24" t="str">
        <x:v>LME_005</x:v>
      </x:c>
      <x:c r="B275" s="24" t="str">
        <x:v>Gulf of Mexico</x:v>
      </x:c>
      <x:c r="C275" s="24" t="str">
        <x:v>LME</x:v>
      </x:c>
      <x:c r="D275" s="30" t="n">
        <x:v>2019</x:v>
      </x:c>
      <x:c r="E275" s="24" t="str">
        <x:v>Porichthys</x:v>
      </x:c>
      <x:c r="F275" s="24" t="str">
        <x:v>Midshipman</x:v>
      </x:c>
      <x:c r="G275" s="24" t="str">
        <x:v>Large reef assoc. fish (&gt;=90 cm)</x:v>
      </x:c>
      <x:c r="H275" s="24" t="str">
        <x:v>Other fishes &amp; inverts</x:v>
      </x:c>
      <x:c r="I275" s="31" t="n">
        <x:v>1.1799125006</x:v>
      </x:c>
      <x:c r="J275" s="31" t="n">
        <x:v>0</x:v>
      </x:c>
      <x:c r="K275" s="31" t="n">
        <x:v>1.1799125006</x:v>
      </x:c>
      <x:c r="L275" s="31" t="n">
        <x:v>0</x:v>
      </x:c>
      <x:c r="M275" s="31" t="n">
        <x:v>1.1799125006</x:v>
      </x:c>
      <x:c r="N275" s="24" t="str">
        <x:v>porichthys</x:v>
      </x:c>
      <x:c r="O275" s="32" t="n">
        <x:v>3.8</x:v>
      </x:c>
      <x:c r="P275" s="24" t="str">
        <x:v>exact_sea_around_us</x:v>
      </x:c>
      <x:c r="Q275" s="32" t="str">
        <x:v>Sea Around Us exploited organisms</x:v>
      </x:c>
      <x:c r="R275" s="24" t="str">
        <x:v>high</x:v>
      </x:c>
      <x:c r="S275" s="24" t="str">
        <x:v>Porichthys</x:v>
      </x:c>
      <x:c r="T275" s="32" t="n">
        <x:f>IF(O275="","",(1/'Metadata'!$B$5)^(O275-1))</x:f>
        <x:v>630.957344480193</x:v>
      </x:c>
      <x:c r="U275" s="31" t="n">
        <x:f>IF(T275="","",I275*T275)</x:f>
        <x:v>744.4744580975602</x:v>
      </x:c>
    </x:row>
    <x:row r="276" ht="18" customHeight="1">
      <x:c r="A276" s="24" t="str">
        <x:v>LME_005</x:v>
      </x:c>
      <x:c r="B276" s="24" t="str">
        <x:v>Gulf of Mexico</x:v>
      </x:c>
      <x:c r="C276" s="24" t="str">
        <x:v>LME</x:v>
      </x:c>
      <x:c r="D276" s="30" t="n">
        <x:v>2019</x:v>
      </x:c>
      <x:c r="E276" s="24" t="str">
        <x:v>Mycteroperca venenosa</x:v>
      </x:c>
      <x:c r="F276" s="24" t="str">
        <x:v>Yellowfin grouper</x:v>
      </x:c>
      <x:c r="G276" s="24" t="str">
        <x:v>Medium reef assoc. fish (30 - 89 cm)</x:v>
      </x:c>
      <x:c r="H276" s="24" t="str">
        <x:v>Perch-likes</x:v>
      </x:c>
      <x:c r="I276" s="31" t="n">
        <x:v>1.1780127294</x:v>
      </x:c>
      <x:c r="J276" s="31" t="n">
        <x:v>0.5773632504</x:v>
      </x:c>
      <x:c r="K276" s="31" t="n">
        <x:v>0.600649479</x:v>
      </x:c>
      <x:c r="L276" s="31" t="n">
        <x:v>0.4984584528</x:v>
      </x:c>
      <x:c r="M276" s="31" t="n">
        <x:v>0.6795542766</x:v>
      </x:c>
      <x:c r="N276" s="24" t="str">
        <x:v>mycteroperca venenosa</x:v>
      </x:c>
      <x:c r="O276" s="32" t="n">
        <x:v>4.48</x:v>
      </x:c>
      <x:c r="P276" s="24" t="str">
        <x:v>exact_2020_supplement</x:v>
      </x:c>
      <x:c r="Q276" s="32" t="str">
        <x:v>2020 supplement MeanTL</x:v>
      </x:c>
      <x:c r="R276" s="24" t="str">
        <x:v>high</x:v>
      </x:c>
      <x:c r="S276" s="24" t="str">
        <x:v>Mycteroperca venenosa</x:v>
      </x:c>
      <x:c r="T276" s="32" t="n">
        <x:f>IF(O276="","",(1/'Metadata'!$B$5)^(O276-1))</x:f>
        <x:v>3019.951720402019</x:v>
      </x:c>
      <x:c r="U276" s="31" t="n">
        <x:f>IF(T276="","",I276*T276)</x:f>
        <x:v>3557.541568807008</x:v>
      </x:c>
    </x:row>
    <x:row r="277" ht="18" customHeight="1">
      <x:c r="A277" s="24" t="str">
        <x:v>LME_005</x:v>
      </x:c>
      <x:c r="B277" s="24" t="str">
        <x:v>Gulf of Mexico</x:v>
      </x:c>
      <x:c r="C277" s="24" t="str">
        <x:v>LME</x:v>
      </x:c>
      <x:c r="D277" s="30" t="n">
        <x:v>2019</x:v>
      </x:c>
      <x:c r="E277" s="24" t="str">
        <x:v>Fasciolaria tulipa</x:v>
      </x:c>
      <x:c r="F277" s="24" t="str">
        <x:v>True tulip</x:v>
      </x:c>
      <x:c r="G277" s="24" t="str">
        <x:v>Other demersal invertebrates</x:v>
      </x:c>
      <x:c r="H277" s="24" t="str">
        <x:v>Molluscs</x:v>
      </x:c>
      <x:c r="I277" s="31" t="n">
        <x:v>1.1531511729000001</x:v>
      </x:c>
      <x:c r="J277" s="31" t="n">
        <x:v>1.1531511729000001</x:v>
      </x:c>
      <x:c r="K277" s="31" t="n">
        <x:v>0</x:v>
      </x:c>
      <x:c r="L277" s="31" t="n">
        <x:v>1.1531511729000001</x:v>
      </x:c>
      <x:c r="M277" s="31" t="n">
        <x:v>0</x:v>
      </x:c>
      <x:c r="N277" s="24" t="str">
        <x:v>fasciolaria tulipa</x:v>
      </x:c>
      <x:c r="O277" s="32" t="n">
        <x:v>3.05</x:v>
      </x:c>
      <x:c r="P277" s="24" t="str">
        <x:v>exact_sea_around_us</x:v>
      </x:c>
      <x:c r="Q277" s="32" t="str">
        <x:v>Sea Around Us exploited organisms</x:v>
      </x:c>
      <x:c r="R277" s="24" t="str">
        <x:v>high</x:v>
      </x:c>
      <x:c r="S277" s="24" t="str">
        <x:v>Fasciolaria tulipa</x:v>
      </x:c>
      <x:c r="T277" s="32" t="n">
        <x:f>IF(O277="","",(1/'Metadata'!$B$5)^(O277-1))</x:f>
        <x:v>112.2018454301963</x:v>
      </x:c>
      <x:c r="U277" s="31" t="n">
        <x:f>IF(T277="","",I277*T277)</x:f>
        <x:v>129.38568965937537</x:v>
      </x:c>
    </x:row>
    <x:row r="278" ht="18" customHeight="1">
      <x:c r="A278" s="24" t="str">
        <x:v>LME_005</x:v>
      </x:c>
      <x:c r="B278" s="24" t="str">
        <x:v>Gulf of Mexico</x:v>
      </x:c>
      <x:c r="C278" s="24" t="str">
        <x:v>LME</x:v>
      </x:c>
      <x:c r="D278" s="30" t="n">
        <x:v>2019</x:v>
      </x:c>
      <x:c r="E278" s="24" t="str">
        <x:v>Stephanolepis hispida</x:v>
      </x:c>
      <x:c r="F278" s="24" t="str">
        <x:v>Planehead filefish</x:v>
      </x:c>
      <x:c r="G278" s="24" t="str">
        <x:v>Small reef assoc. fish (&lt;30 cm)</x:v>
      </x:c>
      <x:c r="H278" s="24" t="str">
        <x:v>Other fishes &amp; inverts</x:v>
      </x:c>
      <x:c r="I278" s="31" t="n">
        <x:v>1.0996837135000002</x:v>
      </x:c>
      <x:c r="J278" s="31" t="n">
        <x:v>1.0996837135000002</x:v>
      </x:c>
      <x:c r="K278" s="31" t="n">
        <x:v>0</x:v>
      </x:c>
      <x:c r="L278" s="31" t="n">
        <x:v>1.0996837135000002</x:v>
      </x:c>
      <x:c r="M278" s="31" t="n">
        <x:v>0</x:v>
      </x:c>
      <x:c r="N278" s="24" t="str">
        <x:v>stephanolepis hispida</x:v>
      </x:c>
      <x:c r="O278" s="32" t="n">
        <x:v>2.6</x:v>
      </x:c>
      <x:c r="P278" s="24" t="str">
        <x:v>exact_sea_around_us</x:v>
      </x:c>
      <x:c r="Q278" s="32" t="str">
        <x:v>Sea Around Us exploited organisms</x:v>
      </x:c>
      <x:c r="R278" s="24" t="str">
        <x:v>high</x:v>
      </x:c>
      <x:c r="S278" s="24" t="str">
        <x:v>Stephanolepis hispida</x:v>
      </x:c>
      <x:c r="T278" s="32" t="n">
        <x:f>IF(O278="","",(1/'Metadata'!$B$5)^(O278-1))</x:f>
        <x:v>39.810717055349734</x:v>
      </x:c>
      <x:c r="U278" s="31" t="n">
        <x:f>IF(T278="","",I278*T278)</x:f>
        <x:v>43.77919716852479</x:v>
      </x:c>
    </x:row>
    <x:row r="279" ht="18" customHeight="1">
      <x:c r="A279" s="24" t="str">
        <x:v>LME_005</x:v>
      </x:c>
      <x:c r="B279" s="24" t="str">
        <x:v>Gulf of Mexico</x:v>
      </x:c>
      <x:c r="C279" s="24" t="str">
        <x:v>LME</x:v>
      </x:c>
      <x:c r="D279" s="30" t="n">
        <x:v>2019</x:v>
      </x:c>
      <x:c r="E279" s="24" t="str">
        <x:v>Stenorhynchus seticornis</x:v>
      </x:c>
      <x:c r="F279" s="24" t="str">
        <x:v>Yellowline arrow crab</x:v>
      </x:c>
      <x:c r="G279" s="24" t="str">
        <x:v>Lobsters, crabs</x:v>
      </x:c>
      <x:c r="H279" s="24" t="str">
        <x:v>Crustaceans</x:v>
      </x:c>
      <x:c r="I279" s="31" t="n">
        <x:v>1.0662218883999999</x:v>
      </x:c>
      <x:c r="J279" s="31" t="n">
        <x:v>1.0662218883999999</x:v>
      </x:c>
      <x:c r="K279" s="31" t="n">
        <x:v>0</x:v>
      </x:c>
      <x:c r="L279" s="31" t="n">
        <x:v>1.0662218883999999</x:v>
      </x:c>
      <x:c r="M279" s="31" t="n">
        <x:v>0</x:v>
      </x:c>
      <x:c r="N279" s="24" t="str">
        <x:v>stenorhynchus seticornis</x:v>
      </x:c>
      <x:c r="O279" s="32" t="n">
        <x:v>2.86</x:v>
      </x:c>
      <x:c r="P279" s="24" t="str">
        <x:v>exact_sea_around_us</x:v>
      </x:c>
      <x:c r="Q279" s="32" t="str">
        <x:v>Sea Around Us exploited organisms</x:v>
      </x:c>
      <x:c r="R279" s="24" t="str">
        <x:v>high</x:v>
      </x:c>
      <x:c r="S279" s="24" t="str">
        <x:v>Stenorhynchus seticornis</x:v>
      </x:c>
      <x:c r="T279" s="32" t="n">
        <x:f>IF(O279="","",(1/'Metadata'!$B$5)^(O279-1))</x:f>
        <x:v>72.44359600749898</x:v>
      </x:c>
      <x:c r="U279" s="31" t="n">
        <x:f>IF(T279="","",I279*T279)</x:f>
        <x:v>77.24094773760226</x:v>
      </x:c>
    </x:row>
    <x:row r="280" ht="18" customHeight="1">
      <x:c r="A280" s="24" t="str">
        <x:v>LME_005</x:v>
      </x:c>
      <x:c r="B280" s="24" t="str">
        <x:v>Gulf of Mexico</x:v>
      </x:c>
      <x:c r="C280" s="24" t="str">
        <x:v>LME</x:v>
      </x:c>
      <x:c r="D280" s="30" t="n">
        <x:v>2019</x:v>
      </x:c>
      <x:c r="E280" s="24" t="str">
        <x:v>Stenocionops furcatus</x:v>
      </x:c>
      <x:c r="F280" s="24" t="str">
        <x:v>Furcate spider crab</x:v>
      </x:c>
      <x:c r="G280" s="24" t="str">
        <x:v>Lobsters, crabs</x:v>
      </x:c>
      <x:c r="H280" s="24" t="str">
        <x:v>Crustaceans</x:v>
      </x:c>
      <x:c r="I280" s="31" t="n">
        <x:v>1.0635315417000002</x:v>
      </x:c>
      <x:c r="J280" s="31" t="n">
        <x:v>1.0635315417000002</x:v>
      </x:c>
      <x:c r="K280" s="31" t="n">
        <x:v>0</x:v>
      </x:c>
      <x:c r="L280" s="31" t="n">
        <x:v>1.0635315417000002</x:v>
      </x:c>
      <x:c r="M280" s="31" t="n">
        <x:v>0</x:v>
      </x:c>
      <x:c r="N280" s="24" t="str">
        <x:v>stenocionops furcatus</x:v>
      </x:c>
      <x:c r="O280" s="32" t="n">
        <x:v>2.1</x:v>
      </x:c>
      <x:c r="P280" s="24" t="str">
        <x:v>exact_sea_around_us</x:v>
      </x:c>
      <x:c r="Q280" s="32" t="str">
        <x:v>Sea Around Us exploited organisms</x:v>
      </x:c>
      <x:c r="R280" s="24" t="str">
        <x:v>high</x:v>
      </x:c>
      <x:c r="S280" s="24" t="str">
        <x:v>Stenocionops furcatus</x:v>
      </x:c>
      <x:c r="T280" s="32" t="n">
        <x:f>IF(O280="","",(1/'Metadata'!$B$5)^(O280-1))</x:f>
        <x:v>12.589254117941675</x:v>
      </x:c>
      <x:c r="U280" s="31" t="n">
        <x:f>IF(T280="","",I280*T280)</x:f>
        <x:v>13.389068840907585</x:v>
      </x:c>
    </x:row>
    <x:row r="281" ht="18" customHeight="1">
      <x:c r="A281" s="24" t="str">
        <x:v>LME_005</x:v>
      </x:c>
      <x:c r="B281" s="24" t="str">
        <x:v>Gulf of Mexico</x:v>
      </x:c>
      <x:c r="C281" s="24" t="str">
        <x:v>LME</x:v>
      </x:c>
      <x:c r="D281" s="30" t="n">
        <x:v>2019</x:v>
      </x:c>
      <x:c r="E281" s="24" t="str">
        <x:v>Clibanarius vittatus</x:v>
      </x:c>
      <x:c r="F281" s="24" t="str">
        <x:v>Thinstripe hermit</x:v>
      </x:c>
      <x:c r="G281" s="24" t="str">
        <x:v>Lobsters, crabs</x:v>
      </x:c>
      <x:c r="H281" s="24" t="str">
        <x:v>Crustaceans</x:v>
      </x:c>
      <x:c r="I281" s="31" t="n">
        <x:v>1.0387065662</x:v>
      </x:c>
      <x:c r="J281" s="31" t="n">
        <x:v>1.0387065662</x:v>
      </x:c>
      <x:c r="K281" s="31" t="n">
        <x:v>0</x:v>
      </x:c>
      <x:c r="L281" s="31" t="n">
        <x:v>1.0387065662</x:v>
      </x:c>
      <x:c r="M281" s="31" t="n">
        <x:v>0</x:v>
      </x:c>
      <x:c r="N281" s="24" t="str">
        <x:v>clibanarius vittatus</x:v>
      </x:c>
      <x:c r="O281" s="32" t="n">
        <x:v>2</x:v>
      </x:c>
      <x:c r="P281" s="24" t="str">
        <x:v>exact_sea_around_us</x:v>
      </x:c>
      <x:c r="Q281" s="32" t="str">
        <x:v>Sea Around Us exploited organisms</x:v>
      </x:c>
      <x:c r="R281" s="24" t="str">
        <x:v>high</x:v>
      </x:c>
      <x:c r="S281" s="24" t="str">
        <x:v>Clibanarius vittatus</x:v>
      </x:c>
      <x:c r="T281" s="32" t="n">
        <x:f>IF(O281="","",(1/'Metadata'!$B$5)^(O281-1))</x:f>
        <x:v>10</x:v>
      </x:c>
      <x:c r="U281" s="31" t="n">
        <x:f>IF(T281="","",I281*T281)</x:f>
        <x:v>10.387065662</x:v>
      </x:c>
    </x:row>
    <x:row r="282" ht="18" customHeight="1">
      <x:c r="A282" s="24" t="str">
        <x:v>LME_005</x:v>
      </x:c>
      <x:c r="B282" s="24" t="str">
        <x:v>Gulf of Mexico</x:v>
      </x:c>
      <x:c r="C282" s="24" t="str">
        <x:v>LME</x:v>
      </x:c>
      <x:c r="D282" s="30" t="n">
        <x:v>2019</x:v>
      </x:c>
      <x:c r="E282" s="24" t="str">
        <x:v>Elacatinus oceanops</x:v>
      </x:c>
      <x:c r="F282" s="24" t="str">
        <x:v>Neon goby</x:v>
      </x:c>
      <x:c r="G282" s="24" t="str">
        <x:v>Small reef assoc. fish (&lt;30 cm)</x:v>
      </x:c>
      <x:c r="H282" s="24" t="str">
        <x:v>Perch-likes</x:v>
      </x:c>
      <x:c r="I282" s="31" t="n">
        <x:v>1.0302107342</x:v>
      </x:c>
      <x:c r="J282" s="31" t="n">
        <x:v>1.0302107342</x:v>
      </x:c>
      <x:c r="K282" s="31" t="n">
        <x:v>0</x:v>
      </x:c>
      <x:c r="L282" s="31" t="n">
        <x:v>1.0302107342</x:v>
      </x:c>
      <x:c r="M282" s="31" t="n">
        <x:v>0</x:v>
      </x:c>
      <x:c r="N282" s="24" t="str">
        <x:v>elacatinus oceanops</x:v>
      </x:c>
      <x:c r="O282" s="32" t="n">
        <x:v>3.5</x:v>
      </x:c>
      <x:c r="P282" s="24" t="str">
        <x:v>exact_2020_supplement</x:v>
      </x:c>
      <x:c r="Q282" s="32" t="str">
        <x:v>2020 supplement MeanTL</x:v>
      </x:c>
      <x:c r="R282" s="24" t="str">
        <x:v>high</x:v>
      </x:c>
      <x:c r="S282" s="24" t="str">
        <x:v>Elacatinus oceanops</x:v>
      </x:c>
      <x:c r="T282" s="32" t="n">
        <x:f>IF(O282="","",(1/'Metadata'!$B$5)^(O282-1))</x:f>
        <x:v>316.22776601683796</x:v>
      </x:c>
      <x:c r="U282" s="31" t="n">
        <x:f>IF(T282="","",I282*T282)</x:f>
        <x:v>325.78123900263245</x:v>
      </x:c>
    </x:row>
    <x:row r="283" ht="18" customHeight="1">
      <x:c r="A283" s="24" t="str">
        <x:v>LME_005</x:v>
      </x:c>
      <x:c r="B283" s="24" t="str">
        <x:v>Gulf of Mexico</x:v>
      </x:c>
      <x:c r="C283" s="24" t="str">
        <x:v>LME</x:v>
      </x:c>
      <x:c r="D283" s="30" t="n">
        <x:v>2019</x:v>
      </x:c>
      <x:c r="E283" s="24" t="str">
        <x:v>Istiophorus</x:v>
      </x:c>
      <x:c r="F283" s="24" t="str">
        <x:v>Sailfishes</x:v>
      </x:c>
      <x:c r="G283" s="24" t="str">
        <x:v>Large pelagics (&gt;=90 cm)</x:v>
      </x:c>
      <x:c r="H283" s="24" t="str">
        <x:v>Tuna &amp; billfishes</x:v>
      </x:c>
      <x:c r="I283" s="31" t="n">
        <x:v>0.9905940851</x:v>
      </x:c>
      <x:c r="J283" s="31" t="n">
        <x:v>0.9905940851</x:v>
      </x:c>
      <x:c r="K283" s="31" t="n">
        <x:v>0</x:v>
      </x:c>
      <x:c r="L283" s="31" t="n">
        <x:v>0</x:v>
      </x:c>
      <x:c r="M283" s="31" t="n">
        <x:v>0.9905940851</x:v>
      </x:c>
      <x:c r="N283" s="24" t="str">
        <x:v>istiophorus</x:v>
      </x:c>
      <x:c r="O283" s="32" t="n">
        <x:v>4.5</x:v>
      </x:c>
      <x:c r="P283" s="24" t="str">
        <x:v>exact_sea_around_us</x:v>
      </x:c>
      <x:c r="Q283" s="32" t="str">
        <x:v>Sea Around Us exploited organisms</x:v>
      </x:c>
      <x:c r="R283" s="24" t="str">
        <x:v>high</x:v>
      </x:c>
      <x:c r="S283" s="24" t="str">
        <x:v>Istiophorus</x:v>
      </x:c>
      <x:c r="T283" s="32" t="n">
        <x:f>IF(O283="","",(1/'Metadata'!$B$5)^(O283-1))</x:f>
        <x:v>3162.2776601683795</x:v>
      </x:c>
      <x:c r="U283" s="31" t="n">
        <x:f>IF(T283="","",I283*T283)</x:f>
        <x:v>3132.5335456066646</x:v>
      </x:c>
    </x:row>
    <x:row r="284" ht="18" customHeight="1">
      <x:c r="A284" s="24" t="str">
        <x:v>LME_005</x:v>
      </x:c>
      <x:c r="B284" s="24" t="str">
        <x:v>Gulf of Mexico</x:v>
      </x:c>
      <x:c r="C284" s="24" t="str">
        <x:v>LME</x:v>
      </x:c>
      <x:c r="D284" s="30" t="n">
        <x:v>2019</x:v>
      </x:c>
      <x:c r="E284" s="24" t="str">
        <x:v>Acanthostracion quadricornis</x:v>
      </x:c>
      <x:c r="F284" s="24" t="str">
        <x:v>Scrawled cowfish</x:v>
      </x:c>
      <x:c r="G284" s="24" t="str">
        <x:v>Medium reef assoc. fish (30 - 89 cm)</x:v>
      </x:c>
      <x:c r="H284" s="24" t="str">
        <x:v>Other fishes &amp; inverts</x:v>
      </x:c>
      <x:c r="I284" s="31" t="n">
        <x:v>0.9549343326999999</x:v>
      </x:c>
      <x:c r="J284" s="31" t="n">
        <x:v>0.9549343326999999</x:v>
      </x:c>
      <x:c r="K284" s="31" t="n">
        <x:v>0</x:v>
      </x:c>
      <x:c r="L284" s="31" t="n">
        <x:v>0.9549343326999999</x:v>
      </x:c>
      <x:c r="M284" s="31" t="n">
        <x:v>0</x:v>
      </x:c>
      <x:c r="N284" s="24" t="str">
        <x:v>acanthostracion quadricornis</x:v>
      </x:c>
      <x:c r="O284" s="32" t="n">
        <x:v>2.68</x:v>
      </x:c>
      <x:c r="P284" s="24" t="str">
        <x:v>exact_2020_supplement</x:v>
      </x:c>
      <x:c r="Q284" s="32" t="str">
        <x:v>2020 supplement MeanTL</x:v>
      </x:c>
      <x:c r="R284" s="24" t="str">
        <x:v>high</x:v>
      </x:c>
      <x:c r="S284" s="24" t="str">
        <x:v>Acanthostracion quadricornis</x:v>
      </x:c>
      <x:c r="T284" s="32" t="n">
        <x:f>IF(O284="","",(1/'Metadata'!$B$5)^(O284-1))</x:f>
        <x:v>47.86300923226385</x:v>
      </x:c>
      <x:c r="U284" s="31" t="n">
        <x:f>IF(T284="","",I284*T284)</x:f>
        <x:v>45.70603078222582</x:v>
      </x:c>
    </x:row>
    <x:row r="285" ht="18" customHeight="1">
      <x:c r="A285" s="24" t="str">
        <x:v>LME_005</x:v>
      </x:c>
      <x:c r="B285" s="24" t="str">
        <x:v>Gulf of Mexico</x:v>
      </x:c>
      <x:c r="C285" s="24" t="str">
        <x:v>LME</x:v>
      </x:c>
      <x:c r="D285" s="30" t="n">
        <x:v>2019</x:v>
      </x:c>
      <x:c r="E285" s="24" t="str">
        <x:v>Geryon</x:v>
      </x:c>
      <x:c r="F285" s="24" t="str">
        <x:v>Deepsea crabs</x:v>
      </x:c>
      <x:c r="G285" s="24" t="str">
        <x:v>Lobsters, crabs</x:v>
      </x:c>
      <x:c r="H285" s="24" t="str">
        <x:v>Crustaceans</x:v>
      </x:c>
      <x:c r="I285" s="31" t="n">
        <x:v>0.9309764462</x:v>
      </x:c>
      <x:c r="J285" s="31" t="n">
        <x:v>0.9309764462</x:v>
      </x:c>
      <x:c r="K285" s="31" t="n">
        <x:v>0</x:v>
      </x:c>
      <x:c r="L285" s="31" t="n">
        <x:v>0</x:v>
      </x:c>
      <x:c r="M285" s="31" t="n">
        <x:v>0.9309764462</x:v>
      </x:c>
      <x:c r="N285" s="24" t="str">
        <x:v>geryon</x:v>
      </x:c>
      <x:c r="O285" s="32" t="n">
        <x:v>2.6</x:v>
      </x:c>
      <x:c r="P285" s="24" t="str">
        <x:v>exact_sea_around_us</x:v>
      </x:c>
      <x:c r="Q285" s="32" t="str">
        <x:v>Sea Around Us exploited organisms</x:v>
      </x:c>
      <x:c r="R285" s="24" t="str">
        <x:v>high</x:v>
      </x:c>
      <x:c r="S285" s="24" t="str">
        <x:v>Geryon</x:v>
      </x:c>
      <x:c r="T285" s="32" t="n">
        <x:f>IF(O285="","",(1/'Metadata'!$B$5)^(O285-1))</x:f>
        <x:v>39.810717055349734</x:v>
      </x:c>
      <x:c r="U285" s="31" t="n">
        <x:f>IF(T285="","",I285*T285)</x:f>
        <x:v>37.06283988486322</x:v>
      </x:c>
    </x:row>
    <x:row r="286" ht="18" customHeight="1">
      <x:c r="A286" s="24" t="str">
        <x:v>LME_005</x:v>
      </x:c>
      <x:c r="B286" s="24" t="str">
        <x:v>Gulf of Mexico</x:v>
      </x:c>
      <x:c r="C286" s="24" t="str">
        <x:v>LME</x:v>
      </x:c>
      <x:c r="D286" s="30" t="n">
        <x:v>2019</x:v>
      </x:c>
      <x:c r="E286" s="24" t="str">
        <x:v>Paguristes puncticeps</x:v>
      </x:c>
      <x:c r="F286" s="24" t="str">
        <x:v>Hermit crab</x:v>
      </x:c>
      <x:c r="G286" s="24" t="str">
        <x:v>Lobsters, crabs</x:v>
      </x:c>
      <x:c r="H286" s="24" t="str">
        <x:v>Crustaceans</x:v>
      </x:c>
      <x:c r="I286" s="31" t="n">
        <x:v>0.8944906279</x:v>
      </x:c>
      <x:c r="J286" s="31" t="n">
        <x:v>0.8944906279</x:v>
      </x:c>
      <x:c r="K286" s="31" t="n">
        <x:v>0</x:v>
      </x:c>
      <x:c r="L286" s="31" t="n">
        <x:v>0.8944906279</x:v>
      </x:c>
      <x:c r="M286" s="31" t="n">
        <x:v>0</x:v>
      </x:c>
      <x:c r="N286" s="24" t="str">
        <x:v>paguristes puncticeps</x:v>
      </x:c>
      <x:c r="O286" s="32" t="n">
        <x:v>3.08</x:v>
      </x:c>
      <x:c r="P286" s="24" t="str">
        <x:v>exact_sea_around_us</x:v>
      </x:c>
      <x:c r="Q286" s="32" t="str">
        <x:v>Sea Around Us exploited organisms</x:v>
      </x:c>
      <x:c r="R286" s="24" t="str">
        <x:v>high</x:v>
      </x:c>
      <x:c r="S286" s="24" t="str">
        <x:v>Paguristes puncticeps</x:v>
      </x:c>
      <x:c r="T286" s="32" t="n">
        <x:f>IF(O286="","",(1/'Metadata'!$B$5)^(O286-1))</x:f>
        <x:v>120.22644346174131</x:v>
      </x:c>
      <x:c r="U286" s="31" t="n">
        <x:f>IF(T286="","",I286*T286)</x:f>
        <x:v>107.54142690227684</x:v>
      </x:c>
    </x:row>
    <x:row r="287" ht="18" customHeight="1">
      <x:c r="A287" s="24" t="str">
        <x:v>LME_005</x:v>
      </x:c>
      <x:c r="B287" s="24" t="str">
        <x:v>Gulf of Mexico</x:v>
      </x:c>
      <x:c r="C287" s="24" t="str">
        <x:v>LME</x:v>
      </x:c>
      <x:c r="D287" s="30" t="n">
        <x:v>2019</x:v>
      </x:c>
      <x:c r="E287" s="24" t="str">
        <x:v>Echinometra lucunter</x:v>
      </x:c>
      <x:c r="F287" s="24" t="str">
        <x:v>Rock boring urchin</x:v>
      </x:c>
      <x:c r="G287" s="24" t="str">
        <x:v>Other demersal invertebrates</x:v>
      </x:c>
      <x:c r="H287" s="24" t="str">
        <x:v>Other fishes &amp; inverts</x:v>
      </x:c>
      <x:c r="I287" s="31" t="n">
        <x:v>0.8843111176</x:v>
      </x:c>
      <x:c r="J287" s="31" t="n">
        <x:v>0.8843111176</x:v>
      </x:c>
      <x:c r="K287" s="31" t="n">
        <x:v>0</x:v>
      </x:c>
      <x:c r="L287" s="31" t="n">
        <x:v>0.8843111176</x:v>
      </x:c>
      <x:c r="M287" s="31" t="n">
        <x:v>0</x:v>
      </x:c>
      <x:c r="N287" s="24" t="str">
        <x:v>echinometra lucunter</x:v>
      </x:c>
      <x:c r="O287" s="32" t="n">
        <x:v>2.312</x:v>
      </x:c>
      <x:c r="P287" s="24" t="str">
        <x:v>exact_sea_around_us</x:v>
      </x:c>
      <x:c r="Q287" s="32" t="str">
        <x:v>Sea Around Us exploited organisms</x:v>
      </x:c>
      <x:c r="R287" s="24" t="str">
        <x:v>high</x:v>
      </x:c>
      <x:c r="S287" s="24" t="str">
        <x:v>Echinometra lucunter</x:v>
      </x:c>
      <x:c r="T287" s="32" t="n">
        <x:f>IF(O287="","",(1/'Metadata'!$B$5)^(O287-1))</x:f>
        <x:v>20.511621788255646</x:v>
      </x:c>
      <x:c r="U287" s="31" t="n">
        <x:f>IF(T287="","",I287*T287)</x:f>
        <x:v>18.13865518736086</x:v>
      </x:c>
    </x:row>
    <x:row r="288" ht="18" customHeight="1">
      <x:c r="A288" s="24" t="str">
        <x:v>LME_005</x:v>
      </x:c>
      <x:c r="B288" s="24" t="str">
        <x:v>Gulf of Mexico</x:v>
      </x:c>
      <x:c r="C288" s="24" t="str">
        <x:v>LME</x:v>
      </x:c>
      <x:c r="D288" s="30" t="n">
        <x:v>2019</x:v>
      </x:c>
      <x:c r="E288" s="24" t="str">
        <x:v>Tetrapturus pfluegeri</x:v>
      </x:c>
      <x:c r="F288" s="24" t="str">
        <x:v>Longbill spearfish</x:v>
      </x:c>
      <x:c r="G288" s="24" t="str">
        <x:v>Large pelagics (&gt;=90 cm)</x:v>
      </x:c>
      <x:c r="H288" s="24" t="str">
        <x:v>Tuna &amp; billfishes</x:v>
      </x:c>
      <x:c r="I288" s="31" t="n">
        <x:v>0.85995017</x:v>
      </x:c>
      <x:c r="J288" s="31" t="n">
        <x:v>0.85995017</x:v>
      </x:c>
      <x:c r="K288" s="31" t="n">
        <x:v>0</x:v>
      </x:c>
      <x:c r="L288" s="31" t="n">
        <x:v>0.85995017</x:v>
      </x:c>
      <x:c r="M288" s="31" t="n">
        <x:v>0</x:v>
      </x:c>
      <x:c r="N288" s="24" t="str">
        <x:v>tetrapturus pfluegeri</x:v>
      </x:c>
      <x:c r="O288" s="32" t="n">
        <x:v>4.4</x:v>
      </x:c>
      <x:c r="P288" s="24" t="str">
        <x:v>exact_2020_supplement</x:v>
      </x:c>
      <x:c r="Q288" s="32" t="str">
        <x:v>2020 supplement MeanTL</x:v>
      </x:c>
      <x:c r="R288" s="24" t="str">
        <x:v>high</x:v>
      </x:c>
      <x:c r="S288" s="24" t="str">
        <x:v>Tetrapturus pfluegeri</x:v>
      </x:c>
      <x:c r="T288" s="32" t="n">
        <x:f>IF(O288="","",(1/'Metadata'!$B$5)^(O288-1))</x:f>
        <x:v>2511.886431509582</x:v>
      </x:c>
      <x:c r="U288" s="31" t="n">
        <x:f>IF(T288="","",I288*T288)</x:f>
        <x:v>2160.0971637973585</x:v>
      </x:c>
    </x:row>
    <x:row r="289" ht="18" customHeight="1">
      <x:c r="A289" s="24" t="str">
        <x:v>LME_005</x:v>
      </x:c>
      <x:c r="B289" s="24" t="str">
        <x:v>Gulf of Mexico</x:v>
      </x:c>
      <x:c r="C289" s="24" t="str">
        <x:v>LME</x:v>
      </x:c>
      <x:c r="D289" s="30" t="n">
        <x:v>2019</x:v>
      </x:c>
      <x:c r="E289" s="24" t="str">
        <x:v>Holacanthus tricolor</x:v>
      </x:c>
      <x:c r="F289" s="24" t="str">
        <x:v>Rock beauty</x:v>
      </x:c>
      <x:c r="G289" s="24" t="str">
        <x:v>Medium reef assoc. fish (30 - 89 cm)</x:v>
      </x:c>
      <x:c r="H289" s="24" t="str">
        <x:v>Perch-likes</x:v>
      </x:c>
      <x:c r="I289" s="31" t="n">
        <x:v>0.8389077267</x:v>
      </x:c>
      <x:c r="J289" s="31" t="n">
        <x:v>0.8389077267</x:v>
      </x:c>
      <x:c r="K289" s="31" t="n">
        <x:v>0</x:v>
      </x:c>
      <x:c r="L289" s="31" t="n">
        <x:v>0.8389077267</x:v>
      </x:c>
      <x:c r="M289" s="31" t="n">
        <x:v>0</x:v>
      </x:c>
      <x:c r="N289" s="24" t="str">
        <x:v>holacanthus tricolor</x:v>
      </x:c>
      <x:c r="O289" s="32" t="n">
        <x:v>3.01</x:v>
      </x:c>
      <x:c r="P289" s="24" t="str">
        <x:v>exact_2020_supplement</x:v>
      </x:c>
      <x:c r="Q289" s="32" t="str">
        <x:v>2020 supplement MeanTL</x:v>
      </x:c>
      <x:c r="R289" s="24" t="str">
        <x:v>high</x:v>
      </x:c>
      <x:c r="S289" s="24" t="str">
        <x:v>Holacanthus tricolor</x:v>
      </x:c>
      <x:c r="T289" s="32" t="n">
        <x:f>IF(O289="","",(1/'Metadata'!$B$5)^(O289-1))</x:f>
        <x:v>102.32929922807536</x:v>
      </x:c>
      <x:c r="U289" s="31" t="n">
        <x:f>IF(T289="","",I289*T289)</x:f>
        <x:v>85.84483979022876</x:v>
      </x:c>
    </x:row>
    <x:row r="290" ht="18" customHeight="1">
      <x:c r="A290" s="24" t="str">
        <x:v>LME_005</x:v>
      </x:c>
      <x:c r="B290" s="24" t="str">
        <x:v>Gulf of Mexico</x:v>
      </x:c>
      <x:c r="C290" s="24" t="str">
        <x:v>LME</x:v>
      </x:c>
      <x:c r="D290" s="30" t="n">
        <x:v>2019</x:v>
      </x:c>
      <x:c r="E290" s="24" t="str">
        <x:v>Triglidae</x:v>
      </x:c>
      <x:c r="F290" s="24" t="str">
        <x:v>Searobins, gurnards</x:v>
      </x:c>
      <x:c r="G290" s="24" t="str">
        <x:v>Medium demersals (30 - 89 cm)</x:v>
      </x:c>
      <x:c r="H290" s="24" t="str">
        <x:v>Scorpionfishes</x:v>
      </x:c>
      <x:c r="I290" s="31" t="n">
        <x:v>0.8353086486</x:v>
      </x:c>
      <x:c r="J290" s="31" t="n">
        <x:v>0.2323664992</x:v>
      </x:c>
      <x:c r="K290" s="31" t="n">
        <x:v>0.6029421494</x:v>
      </x:c>
      <x:c r="L290" s="31" t="n">
        <x:v>0.2320964206</x:v>
      </x:c>
      <x:c r="M290" s="31" t="n">
        <x:v>0.603212228</x:v>
      </x:c>
      <x:c r="N290" s="24" t="str">
        <x:v>triglidae</x:v>
      </x:c>
      <x:c r="O290" s="32" t="n">
        <x:v>3.74</x:v>
      </x:c>
      <x:c r="P290" s="24" t="str">
        <x:v>exact_sea_around_us</x:v>
      </x:c>
      <x:c r="Q290" s="32" t="str">
        <x:v>Sea Around Us exploited organisms</x:v>
      </x:c>
      <x:c r="R290" s="24" t="str">
        <x:v>high</x:v>
      </x:c>
      <x:c r="S290" s="24" t="str">
        <x:v>Triglidae</x:v>
      </x:c>
      <x:c r="T290" s="32" t="n">
        <x:f>IF(O290="","",(1/'Metadata'!$B$5)^(O290-1))</x:f>
        <x:v>549.5408738576248</x:v>
      </x:c>
      <x:c r="U290" s="31" t="n">
        <x:f>IF(T290="","",I290*T290)</x:f>
        <x:v>459.03624469247563</x:v>
      </x:c>
    </x:row>
    <x:row r="291" ht="18" customHeight="1">
      <x:c r="A291" s="24" t="str">
        <x:v>LME_005</x:v>
      </x:c>
      <x:c r="B291" s="24" t="str">
        <x:v>Gulf of Mexico</x:v>
      </x:c>
      <x:c r="C291" s="24" t="str">
        <x:v>LME</x:v>
      </x:c>
      <x:c r="D291" s="30" t="n">
        <x:v>2019</x:v>
      </x:c>
      <x:c r="E291" s="24" t="str">
        <x:v>Neomerinthe hemingwayi</x:v>
      </x:c>
      <x:c r="F291" s="24" t="str">
        <x:v>Spinycheek scorpionfish</x:v>
      </x:c>
      <x:c r="G291" s="24" t="str">
        <x:v>Medium demersals (30 - 89 cm)</x:v>
      </x:c>
      <x:c r="H291" s="24" t="str">
        <x:v>Scorpionfishes</x:v>
      </x:c>
      <x:c r="I291" s="31" t="n">
        <x:v>0.7766139109</x:v>
      </x:c>
      <x:c r="J291" s="31" t="n">
        <x:v>0.7766139109</x:v>
      </x:c>
      <x:c r="K291" s="31" t="n">
        <x:v>0</x:v>
      </x:c>
      <x:c r="L291" s="31" t="n">
        <x:v>0.3164639311</x:v>
      </x:c>
      <x:c r="M291" s="31" t="n">
        <x:v>0.4601499798</x:v>
      </x:c>
      <x:c r="N291" s="24" t="str">
        <x:v>neomerinthe hemingwayi</x:v>
      </x:c>
      <x:c r="O291" s="32" t="n">
        <x:v>4.01</x:v>
      </x:c>
      <x:c r="P291" s="24" t="str">
        <x:v>exact_sea_around_us</x:v>
      </x:c>
      <x:c r="Q291" s="32" t="str">
        <x:v>Sea Around Us exploited organisms</x:v>
      </x:c>
      <x:c r="R291" s="24" t="str">
        <x:v>high</x:v>
      </x:c>
      <x:c r="S291" s="24" t="str">
        <x:v>Neomerinthe hemingwayi</x:v>
      </x:c>
      <x:c r="T291" s="32" t="n">
        <x:f>IF(O291="","",(1/'Metadata'!$B$5)^(O291-1))</x:f>
        <x:v>1023.2929922807537</x:v>
      </x:c>
      <x:c r="U291" s="31" t="n">
        <x:f>IF(T291="","",I291*T291)</x:f>
        <x:v>794.7035727317195</x:v>
      </x:c>
    </x:row>
    <x:row r="292" ht="18" customHeight="1">
      <x:c r="A292" s="24" t="str">
        <x:v>LME_005</x:v>
      </x:c>
      <x:c r="B292" s="24" t="str">
        <x:v>Gulf of Mexico</x:v>
      </x:c>
      <x:c r="C292" s="24" t="str">
        <x:v>LME</x:v>
      </x:c>
      <x:c r="D292" s="30" t="n">
        <x:v>2019</x:v>
      </x:c>
      <x:c r="E292" s="24" t="str">
        <x:v>Apogon maculatus</x:v>
      </x:c>
      <x:c r="F292" s="24" t="str">
        <x:v>Flamefish</x:v>
      </x:c>
      <x:c r="G292" s="24" t="str">
        <x:v>Small reef assoc. fish (&lt;30 cm)</x:v>
      </x:c>
      <x:c r="H292" s="24" t="str">
        <x:v>Perch-likes</x:v>
      </x:c>
      <x:c r="I292" s="31" t="n">
        <x:v>0.7448933953</x:v>
      </x:c>
      <x:c r="J292" s="31" t="n">
        <x:v>0.7448933953</x:v>
      </x:c>
      <x:c r="K292" s="31" t="n">
        <x:v>0</x:v>
      </x:c>
      <x:c r="L292" s="31" t="n">
        <x:v>0.7448933953</x:v>
      </x:c>
      <x:c r="M292" s="31" t="n">
        <x:v>0</x:v>
      </x:c>
      <x:c r="N292" s="24" t="str">
        <x:v>apogon maculatus</x:v>
      </x:c>
      <x:c r="O292" s="32" t="n">
        <x:v>3.48</x:v>
      </x:c>
      <x:c r="P292" s="24" t="str">
        <x:v>exact_2020_supplement</x:v>
      </x:c>
      <x:c r="Q292" s="32" t="str">
        <x:v>2020 supplement MeanTL</x:v>
      </x:c>
      <x:c r="R292" s="24" t="str">
        <x:v>high</x:v>
      </x:c>
      <x:c r="S292" s="24" t="str">
        <x:v>Apogon maculatus</x:v>
      </x:c>
      <x:c r="T292" s="32" t="n">
        <x:f>IF(O292="","",(1/'Metadata'!$B$5)^(O292-1))</x:f>
        <x:v>301.9951720402016</x:v>
      </x:c>
      <x:c r="U292" s="31" t="n">
        <x:f>IF(T292="","",I292*T292)</x:f>
        <x:v>224.9542090652334</x:v>
      </x:c>
    </x:row>
    <x:row r="293" ht="18" customHeight="1">
      <x:c r="A293" s="24" t="str">
        <x:v>LME_005</x:v>
      </x:c>
      <x:c r="B293" s="24" t="str">
        <x:v>Gulf of Mexico</x:v>
      </x:c>
      <x:c r="C293" s="24" t="str">
        <x:v>LME</x:v>
      </x:c>
      <x:c r="D293" s="30" t="n">
        <x:v>2019</x:v>
      </x:c>
      <x:c r="E293" s="24" t="str">
        <x:v>Echinaster sentus</x:v>
      </x:c>
      <x:c r="F293" s="24" t="str">
        <x:v>Red spiny starfish</x:v>
      </x:c>
      <x:c r="G293" s="24" t="str">
        <x:v>Other demersal invertebrates</x:v>
      </x:c>
      <x:c r="H293" s="24" t="str">
        <x:v>Other fishes &amp; inverts</x:v>
      </x:c>
      <x:c r="I293" s="31" t="n">
        <x:v>0.649047162</x:v>
      </x:c>
      <x:c r="J293" s="31" t="n">
        <x:v>0.649047162</x:v>
      </x:c>
      <x:c r="K293" s="31" t="n">
        <x:v>0</x:v>
      </x:c>
      <x:c r="L293" s="31" t="n">
        <x:v>0.649047162</x:v>
      </x:c>
      <x:c r="M293" s="31" t="n">
        <x:v>0</x:v>
      </x:c>
      <x:c r="N293" s="24" t="str">
        <x:v>echinaster sentus</x:v>
      </x:c>
      <x:c r="O293" s="32" t="n">
        <x:v>2.85</x:v>
      </x:c>
      <x:c r="P293" s="24" t="str">
        <x:v>exact_sea_around_us</x:v>
      </x:c>
      <x:c r="Q293" s="32" t="str">
        <x:v>Sea Around Us exploited organisms</x:v>
      </x:c>
      <x:c r="R293" s="24" t="str">
        <x:v>high</x:v>
      </x:c>
      <x:c r="S293" s="24" t="str">
        <x:v>Echinaster sentus</x:v>
      </x:c>
      <x:c r="T293" s="32" t="n">
        <x:f>IF(O293="","",(1/'Metadata'!$B$5)^(O293-1))</x:f>
        <x:v>70.79457843841381</x:v>
      </x:c>
      <x:c r="U293" s="31" t="n">
        <x:f>IF(T293="","",I293*T293)</x:f>
        <x:v>45.949020220438875</x:v>
      </x:c>
    </x:row>
    <x:row r="294" ht="18" customHeight="1">
      <x:c r="A294" s="24" t="str">
        <x:v>LME_005</x:v>
      </x:c>
      <x:c r="B294" s="24" t="str">
        <x:v>Gulf of Mexico</x:v>
      </x:c>
      <x:c r="C294" s="24" t="str">
        <x:v>LME</x:v>
      </x:c>
      <x:c r="D294" s="30" t="n">
        <x:v>2019</x:v>
      </x:c>
      <x:c r="E294" s="24" t="str">
        <x:v>Holocentrus adscensionis</x:v>
      </x:c>
      <x:c r="F294" s="24" t="str">
        <x:v>Squirrelfish</x:v>
      </x:c>
      <x:c r="G294" s="24" t="str">
        <x:v>Medium reef assoc. fish (30 - 89 cm)</x:v>
      </x:c>
      <x:c r="H294" s="24" t="str">
        <x:v>Other fishes &amp; inverts</x:v>
      </x:c>
      <x:c r="I294" s="31" t="n">
        <x:v>0.5982256891</x:v>
      </x:c>
      <x:c r="J294" s="31" t="n">
        <x:v>0.5982256891</x:v>
      </x:c>
      <x:c r="K294" s="31" t="n">
        <x:v>0</x:v>
      </x:c>
      <x:c r="L294" s="31" t="n">
        <x:v>0</x:v>
      </x:c>
      <x:c r="M294" s="31" t="n">
        <x:v>0.5982256891</x:v>
      </x:c>
      <x:c r="N294" s="24" t="str">
        <x:v>holocentrus adscensionis</x:v>
      </x:c>
      <x:c r="O294" s="32" t="n">
        <x:v>3.11</x:v>
      </x:c>
      <x:c r="P294" s="24" t="str">
        <x:v>exact_2020_supplement</x:v>
      </x:c>
      <x:c r="Q294" s="32" t="str">
        <x:v>2020 supplement MeanTL</x:v>
      </x:c>
      <x:c r="R294" s="24" t="str">
        <x:v>high</x:v>
      </x:c>
      <x:c r="S294" s="24" t="str">
        <x:v>Holocentrus adscensionis</x:v>
      </x:c>
      <x:c r="T294" s="32" t="n">
        <x:f>IF(O294="","",(1/'Metadata'!$B$5)^(O294-1))</x:f>
        <x:v>128.82495516931337</x:v>
      </x:c>
      <x:c r="U294" s="31" t="n">
        <x:f>IF(T294="","",I294*T294)</x:f>
        <x:v>77.0663975794391</x:v>
      </x:c>
    </x:row>
    <x:row r="295" ht="18" customHeight="1">
      <x:c r="A295" s="24" t="str">
        <x:v>LME_005</x:v>
      </x:c>
      <x:c r="B295" s="24" t="str">
        <x:v>Gulf of Mexico</x:v>
      </x:c>
      <x:c r="C295" s="24" t="str">
        <x:v>LME</x:v>
      </x:c>
      <x:c r="D295" s="30" t="n">
        <x:v>2019</x:v>
      </x:c>
      <x:c r="E295" s="24" t="str">
        <x:v>Pareques acuminatus</x:v>
      </x:c>
      <x:c r="F295" s="24" t="str">
        <x:v>High-hat</x:v>
      </x:c>
      <x:c r="G295" s="24" t="str">
        <x:v>Small reef assoc. fish (&lt;30 cm)</x:v>
      </x:c>
      <x:c r="H295" s="24" t="str">
        <x:v>Perch-likes</x:v>
      </x:c>
      <x:c r="I295" s="31" t="n">
        <x:v>0.5911307129000001</x:v>
      </x:c>
      <x:c r="J295" s="31" t="n">
        <x:v>0.5911307129000001</x:v>
      </x:c>
      <x:c r="K295" s="31" t="n">
        <x:v>0</x:v>
      </x:c>
      <x:c r="L295" s="31" t="n">
        <x:v>0.5911307129000001</x:v>
      </x:c>
      <x:c r="M295" s="31" t="n">
        <x:v>0</x:v>
      </x:c>
      <x:c r="N295" s="24" t="str">
        <x:v>pareques acuminatus</x:v>
      </x:c>
      <x:c r="O295" s="32" t="n">
        <x:v>3.59</x:v>
      </x:c>
      <x:c r="P295" s="24" t="str">
        <x:v>exact_2020_supplement</x:v>
      </x:c>
      <x:c r="Q295" s="32" t="str">
        <x:v>2020 supplement MeanTL</x:v>
      </x:c>
      <x:c r="R295" s="24" t="str">
        <x:v>high</x:v>
      </x:c>
      <x:c r="S295" s="24" t="str">
        <x:v>Pareques acuminatus</x:v>
      </x:c>
      <x:c r="T295" s="32" t="n">
        <x:f>IF(O295="","",(1/'Metadata'!$B$5)^(O295-1))</x:f>
        <x:v>389.04514499428046</x:v>
      </x:c>
      <x:c r="U295" s="31" t="n">
        <x:f>IF(T295="","",I295*T295)</x:f>
        <x:v>229.97653391075292</x:v>
      </x:c>
    </x:row>
    <x:row r="296" ht="18" customHeight="1">
      <x:c r="A296" s="24" t="str">
        <x:v>LME_005</x:v>
      </x:c>
      <x:c r="B296" s="24" t="str">
        <x:v>Gulf of Mexico</x:v>
      </x:c>
      <x:c r="C296" s="24" t="str">
        <x:v>LME</x:v>
      </x:c>
      <x:c r="D296" s="30" t="n">
        <x:v>2019</x:v>
      </x:c>
      <x:c r="E296" s="24" t="str">
        <x:v>Alopias vulpinus</x:v>
      </x:c>
      <x:c r="F296" s="24" t="str">
        <x:v>Thresher</x:v>
      </x:c>
      <x:c r="G296" s="24" t="str">
        <x:v>Large sharks (&gt;=90 cm)</x:v>
      </x:c>
      <x:c r="H296" s="24" t="str">
        <x:v>Sharks &amp; rays</x:v>
      </x:c>
      <x:c r="I296" s="31" t="n">
        <x:v>0.5413983844</x:v>
      </x:c>
      <x:c r="J296" s="31" t="n">
        <x:v>0.5413983844</x:v>
      </x:c>
      <x:c r="K296" s="31" t="n">
        <x:v>0</x:v>
      </x:c>
      <x:c r="L296" s="31" t="n">
        <x:v>0.5251467280000001</x:v>
      </x:c>
      <x:c r="M296" s="31" t="n">
        <x:v>0.0162516564</x:v>
      </x:c>
      <x:c r="N296" s="24" t="str">
        <x:v>alopias vulpinus</x:v>
      </x:c>
      <x:c r="O296" s="32" t="n">
        <x:v>4.5</x:v>
      </x:c>
      <x:c r="P296" s="24" t="str">
        <x:v>exact_2020_supplement</x:v>
      </x:c>
      <x:c r="Q296" s="32" t="str">
        <x:v>2020 supplement MeanTL</x:v>
      </x:c>
      <x:c r="R296" s="24" t="str">
        <x:v>high</x:v>
      </x:c>
      <x:c r="S296" s="24" t="str">
        <x:v>Alopias vulpinus</x:v>
      </x:c>
      <x:c r="T296" s="32" t="n">
        <x:f>IF(O296="","",(1/'Metadata'!$B$5)^(O296-1))</x:f>
        <x:v>3162.2776601683795</x:v>
      </x:c>
      <x:c r="U296" s="31" t="n">
        <x:f>IF(T296="","",I296*T296)</x:f>
        <x:v>1712.052016239373</x:v>
      </x:c>
    </x:row>
    <x:row r="297" ht="18" customHeight="1">
      <x:c r="A297" s="24" t="str">
        <x:v>LME_005</x:v>
      </x:c>
      <x:c r="B297" s="24" t="str">
        <x:v>Gulf of Mexico</x:v>
      </x:c>
      <x:c r="C297" s="24" t="str">
        <x:v>LME</x:v>
      </x:c>
      <x:c r="D297" s="30" t="n">
        <x:v>2019</x:v>
      </x:c>
      <x:c r="E297" s="24" t="str">
        <x:v>Mola</x:v>
      </x:c>
      <x:c r="F297" s="24" t="str">
        <x:v>Sunfishes</x:v>
      </x:c>
      <x:c r="G297" s="24" t="str">
        <x:v>Large pelagics (&gt;=90 cm)</x:v>
      </x:c>
      <x:c r="H297" s="24" t="str">
        <x:v>Other fishes &amp; inverts</x:v>
      </x:c>
      <x:c r="I297" s="31" t="n">
        <x:v>0.5389187958</x:v>
      </x:c>
      <x:c r="J297" s="31" t="n">
        <x:v>0.5389187958</x:v>
      </x:c>
      <x:c r="K297" s="31" t="n">
        <x:v>0</x:v>
      </x:c>
      <x:c r="L297" s="31" t="n">
        <x:v>0</x:v>
      </x:c>
      <x:c r="M297" s="31" t="n">
        <x:v>0.5389187958</x:v>
      </x:c>
      <x:c r="N297" s="24" t="str">
        <x:v>mola</x:v>
      </x:c>
      <x:c r="O297" s="32" t="n">
        <x:v>3.68</x:v>
      </x:c>
      <x:c r="P297" s="24" t="str">
        <x:v>exact_sea_around_us</x:v>
      </x:c>
      <x:c r="Q297" s="32" t="str">
        <x:v>Sea Around Us exploited organisms</x:v>
      </x:c>
      <x:c r="R297" s="24" t="str">
        <x:v>high</x:v>
      </x:c>
      <x:c r="S297" s="24" t="str">
        <x:v>Mola</x:v>
      </x:c>
      <x:c r="T297" s="32" t="n">
        <x:f>IF(O297="","",(1/'Metadata'!$B$5)^(O297-1))</x:f>
        <x:v>478.6300923226385</x:v>
      </x:c>
      <x:c r="U297" s="31" t="n">
        <x:f>IF(T297="","",I297*T297)</x:f>
        <x:v>257.94275298815916</x:v>
      </x:c>
    </x:row>
    <x:row r="298" ht="18" customHeight="1">
      <x:c r="A298" s="24" t="str">
        <x:v>LME_005</x:v>
      </x:c>
      <x:c r="B298" s="24" t="str">
        <x:v>Gulf of Mexico</x:v>
      </x:c>
      <x:c r="C298" s="24" t="str">
        <x:v>LME</x:v>
      </x:c>
      <x:c r="D298" s="30" t="n">
        <x:v>2019</x:v>
      </x:c>
      <x:c r="E298" s="24" t="str">
        <x:v>Pristipomoides aquilonaris</x:v>
      </x:c>
      <x:c r="F298" s="24" t="str">
        <x:v>Wenchman</x:v>
      </x:c>
      <x:c r="G298" s="24" t="str">
        <x:v>Large reef assoc. fish (&gt;=90 cm)</x:v>
      </x:c>
      <x:c r="H298" s="24" t="str">
        <x:v>Perch-likes</x:v>
      </x:c>
      <x:c r="I298" s="31" t="n">
        <x:v>0.5254149041</x:v>
      </x:c>
      <x:c r="J298" s="31" t="n">
        <x:v>0.5254149041</x:v>
      </x:c>
      <x:c r="K298" s="31" t="n">
        <x:v>0</x:v>
      </x:c>
      <x:c r="L298" s="31" t="n">
        <x:v>0.49860807220000003</x:v>
      </x:c>
      <x:c r="M298" s="31" t="n">
        <x:v>0.0268068319</x:v>
      </x:c>
      <x:c r="N298" s="24" t="str">
        <x:v>pristipomoides aquilonaris</x:v>
      </x:c>
      <x:c r="O298" s="32" t="n">
        <x:v>3.91</x:v>
      </x:c>
      <x:c r="P298" s="24" t="str">
        <x:v>exact_2020_supplement</x:v>
      </x:c>
      <x:c r="Q298" s="32" t="str">
        <x:v>2020 supplement MeanTL</x:v>
      </x:c>
      <x:c r="R298" s="24" t="str">
        <x:v>high</x:v>
      </x:c>
      <x:c r="S298" s="24" t="str">
        <x:v>Pristipomoides aquilonaris</x:v>
      </x:c>
      <x:c r="T298" s="32" t="n">
        <x:f>IF(O298="","",(1/'Metadata'!$B$5)^(O298-1))</x:f>
        <x:v>812.8305161640995</x:v>
      </x:c>
      <x:c r="U298" s="31" t="n">
        <x:f>IF(T298="","",I298*T298)</x:f>
        <x:v>427.07326769991386</x:v>
      </x:c>
    </x:row>
    <x:row r="299" ht="18" customHeight="1">
      <x:c r="A299" s="24" t="str">
        <x:v>LME_005</x:v>
      </x:c>
      <x:c r="B299" s="24" t="str">
        <x:v>Gulf of Mexico</x:v>
      </x:c>
      <x:c r="C299" s="24" t="str">
        <x:v>LME</x:v>
      </x:c>
      <x:c r="D299" s="30" t="n">
        <x:v>2019</x:v>
      </x:c>
      <x:c r="E299" s="24" t="str">
        <x:v>Brotula barbata</x:v>
      </x:c>
      <x:c r="F299" s="24" t="str">
        <x:v>Bearded brotula</x:v>
      </x:c>
      <x:c r="G299" s="24" t="str">
        <x:v>Medium benthopelagics (30 - 89 cm)</x:v>
      </x:c>
      <x:c r="H299" s="24" t="str">
        <x:v>Other fishes &amp; inverts</x:v>
      </x:c>
      <x:c r="I299" s="31" t="n">
        <x:v>0.5000993226</x:v>
      </x:c>
      <x:c r="J299" s="31" t="n">
        <x:v>0.5000993226</x:v>
      </x:c>
      <x:c r="K299" s="31" t="n">
        <x:v>0</x:v>
      </x:c>
      <x:c r="L299" s="31" t="n">
        <x:v>0</x:v>
      </x:c>
      <x:c r="M299" s="31" t="n">
        <x:v>0.5000993226</x:v>
      </x:c>
      <x:c r="N299" s="24" t="str">
        <x:v>brotula barbata</x:v>
      </x:c>
      <x:c r="O299" s="32" t="n">
        <x:v>3.8</x:v>
      </x:c>
      <x:c r="P299" s="24" t="str">
        <x:v>exact_2020_supplement</x:v>
      </x:c>
      <x:c r="Q299" s="32" t="str">
        <x:v>2020 supplement MeanTL</x:v>
      </x:c>
      <x:c r="R299" s="24" t="str">
        <x:v>high</x:v>
      </x:c>
      <x:c r="S299" s="24" t="str">
        <x:v>Brotula barbata</x:v>
      </x:c>
      <x:c r="T299" s="32" t="n">
        <x:f>IF(O299="","",(1/'Metadata'!$B$5)^(O299-1))</x:f>
        <x:v>630.957344480193</x:v>
      </x:c>
      <x:c r="U299" s="31" t="n">
        <x:f>IF(T299="","",I299*T299)</x:f>
        <x:v>315.5413405640394</x:v>
      </x:c>
    </x:row>
    <x:row r="300" ht="18" customHeight="1">
      <x:c r="A300" s="24" t="str">
        <x:v>LME_005</x:v>
      </x:c>
      <x:c r="B300" s="24" t="str">
        <x:v>Gulf of Mexico</x:v>
      </x:c>
      <x:c r="C300" s="24" t="str">
        <x:v>LME</x:v>
      </x:c>
      <x:c r="D300" s="30" t="n">
        <x:v>2019</x:v>
      </x:c>
      <x:c r="E300" s="24" t="str">
        <x:v>Thalassoma bifasciatum</x:v>
      </x:c>
      <x:c r="F300" s="24" t="str">
        <x:v>Bluehead</x:v>
      </x:c>
      <x:c r="G300" s="24" t="str">
        <x:v>Small reef assoc. fish (&lt;30 cm)</x:v>
      </x:c>
      <x:c r="H300" s="24" t="str">
        <x:v>Perch-likes</x:v>
      </x:c>
      <x:c r="I300" s="31" t="n">
        <x:v>0.4744020716</x:v>
      </x:c>
      <x:c r="J300" s="31" t="n">
        <x:v>0.4744020716</x:v>
      </x:c>
      <x:c r="K300" s="31" t="n">
        <x:v>0</x:v>
      </x:c>
      <x:c r="L300" s="31" t="n">
        <x:v>0.4744020716</x:v>
      </x:c>
      <x:c r="M300" s="31" t="n">
        <x:v>0</x:v>
      </x:c>
      <x:c r="N300" s="24" t="str">
        <x:v>thalassoma bifasciatum</x:v>
      </x:c>
      <x:c r="O300" s="32" t="n">
        <x:v>3.3</x:v>
      </x:c>
      <x:c r="P300" s="24" t="str">
        <x:v>exact_2020_supplement</x:v>
      </x:c>
      <x:c r="Q300" s="32" t="str">
        <x:v>2020 supplement MeanTL</x:v>
      </x:c>
      <x:c r="R300" s="24" t="str">
        <x:v>high</x:v>
      </x:c>
      <x:c r="S300" s="24" t="str">
        <x:v>Thalassoma bifasciatum</x:v>
      </x:c>
      <x:c r="T300" s="32" t="n">
        <x:f>IF(O300="","",(1/'Metadata'!$B$5)^(O300-1))</x:f>
        <x:v>199.52623149688787</x:v>
      </x:c>
      <x:c r="U300" s="31" t="n">
        <x:f>IF(T300="","",I300*T300)</x:f>
        <x:v>94.65565756066478</x:v>
      </x:c>
    </x:row>
    <x:row r="301" ht="18" customHeight="1">
      <x:c r="A301" s="24" t="str">
        <x:v>LME_005</x:v>
      </x:c>
      <x:c r="B301" s="24" t="str">
        <x:v>Gulf of Mexico</x:v>
      </x:c>
      <x:c r="C301" s="24" t="str">
        <x:v>LME</x:v>
      </x:c>
      <x:c r="D301" s="30" t="n">
        <x:v>2019</x:v>
      </x:c>
      <x:c r="E301" s="24" t="str">
        <x:v>Octopus</x:v>
      </x:c>
      <x:c r="F301" s="24" t="str">
        <x:v>Octopuses, pikas</x:v>
      </x:c>
      <x:c r="G301" s="24" t="str">
        <x:v>Cephalopods</x:v>
      </x:c>
      <x:c r="H301" s="24" t="str">
        <x:v>Other fishes &amp; inverts</x:v>
      </x:c>
      <x:c r="I301" s="31" t="n">
        <x:v>0.4280477209</x:v>
      </x:c>
      <x:c r="J301" s="31" t="n">
        <x:v>0.4280477209</x:v>
      </x:c>
      <x:c r="K301" s="31" t="n">
        <x:v>0</x:v>
      </x:c>
      <x:c r="L301" s="31" t="n">
        <x:v>0</x:v>
      </x:c>
      <x:c r="M301" s="31" t="n">
        <x:v>0.4280477209</x:v>
      </x:c>
      <x:c r="N301" s="24" t="str">
        <x:v>octopus</x:v>
      </x:c>
      <x:c r="O301" s="32" t="n">
        <x:v>3.8</x:v>
      </x:c>
      <x:c r="P301" s="24" t="str">
        <x:v>exact_sea_around_us</x:v>
      </x:c>
      <x:c r="Q301" s="32" t="str">
        <x:v>Sea Around Us exploited organisms</x:v>
      </x:c>
      <x:c r="R301" s="24" t="str">
        <x:v>high</x:v>
      </x:c>
      <x:c r="S301" s="24" t="str">
        <x:v>Octopus</x:v>
      </x:c>
      <x:c r="T301" s="32" t="n">
        <x:f>IF(O301="","",(1/'Metadata'!$B$5)^(O301-1))</x:f>
        <x:v>630.957344480193</x:v>
      </x:c>
      <x:c r="U301" s="31" t="n">
        <x:f>IF(T301="","",I301*T301)</x:f>
        <x:v>270.0798532898628</x:v>
      </x:c>
    </x:row>
    <x:row r="302" ht="18" customHeight="1">
      <x:c r="A302" s="24" t="str">
        <x:v>LME_005</x:v>
      </x:c>
      <x:c r="B302" s="24" t="str">
        <x:v>Gulf of Mexico</x:v>
      </x:c>
      <x:c r="C302" s="24" t="str">
        <x:v>LME</x:v>
      </x:c>
      <x:c r="D302" s="30" t="n">
        <x:v>2019</x:v>
      </x:c>
      <x:c r="E302" s="24" t="str">
        <x:v>Sphyraena guachancho</x:v>
      </x:c>
      <x:c r="F302" s="24" t="str">
        <x:v>Guachanche barracuda</x:v>
      </x:c>
      <x:c r="G302" s="24" t="str">
        <x:v>Large pelagics (&gt;=90 cm)</x:v>
      </x:c>
      <x:c r="H302" s="24" t="str">
        <x:v>Perch-likes</x:v>
      </x:c>
      <x:c r="I302" s="31" t="n">
        <x:v>0.4144124066</x:v>
      </x:c>
      <x:c r="J302" s="31" t="n">
        <x:v>0</x:v>
      </x:c>
      <x:c r="K302" s="31" t="n">
        <x:v>0.4144124066</x:v>
      </x:c>
      <x:c r="L302" s="31" t="n">
        <x:v>0</x:v>
      </x:c>
      <x:c r="M302" s="31" t="n">
        <x:v>0.4144124066</x:v>
      </x:c>
      <x:c r="N302" s="24" t="str">
        <x:v>sphyraena guachancho</x:v>
      </x:c>
      <x:c r="O302" s="32" t="n">
        <x:v>4.35</x:v>
      </x:c>
      <x:c r="P302" s="24" t="str">
        <x:v>exact_2020_supplement</x:v>
      </x:c>
      <x:c r="Q302" s="32" t="str">
        <x:v>2020 supplement MeanTL</x:v>
      </x:c>
      <x:c r="R302" s="24" t="str">
        <x:v>high</x:v>
      </x:c>
      <x:c r="S302" s="24" t="str">
        <x:v>Sphyraena guachancho</x:v>
      </x:c>
      <x:c r="T302" s="32" t="n">
        <x:f>IF(O302="","",(1/'Metadata'!$B$5)^(O302-1))</x:f>
        <x:v>2238.7211385683377</x:v>
      </x:c>
      <x:c r="U302" s="31" t="n">
        <x:f>IF(T302="","",I302*T302)</x:f>
        <x:v>927.7538147403969</x:v>
      </x:c>
    </x:row>
    <x:row r="303" ht="18" customHeight="1">
      <x:c r="A303" s="24" t="str">
        <x:v>LME_005</x:v>
      </x:c>
      <x:c r="B303" s="24" t="str">
        <x:v>Gulf of Mexico</x:v>
      </x:c>
      <x:c r="C303" s="24" t="str">
        <x:v>LME</x:v>
      </x:c>
      <x:c r="D303" s="30" t="n">
        <x:v>2019</x:v>
      </x:c>
      <x:c r="E303" s="24" t="str">
        <x:v>Bivalvia</x:v>
      </x:c>
      <x:c r="F303" s="24" t="str">
        <x:v>Clams</x:v>
      </x:c>
      <x:c r="G303" s="24" t="str">
        <x:v>Other demersal invertebrates</x:v>
      </x:c>
      <x:c r="H303" s="24" t="str">
        <x:v>Molluscs</x:v>
      </x:c>
      <x:c r="I303" s="31" t="n">
        <x:v>0.403667232</x:v>
      </x:c>
      <x:c r="J303" s="31" t="n">
        <x:v>0.1710114311</x:v>
      </x:c>
      <x:c r="K303" s="31" t="n">
        <x:v>0.2326558009</x:v>
      </x:c>
      <x:c r="L303" s="31" t="n">
        <x:v>0.0827014171</x:v>
      </x:c>
      <x:c r="M303" s="31" t="n">
        <x:v>0.3209658149</x:v>
      </x:c>
      <x:c r="N303" s="24" t="str">
        <x:v>bivalvia</x:v>
      </x:c>
      <x:c r="O303" s="32" t="n">
        <x:v>2.23</x:v>
      </x:c>
      <x:c r="P303" s="24" t="str">
        <x:v>exact_sea_around_us</x:v>
      </x:c>
      <x:c r="Q303" s="32" t="str">
        <x:v>Sea Around Us exploited organisms</x:v>
      </x:c>
      <x:c r="R303" s="24" t="str">
        <x:v>high</x:v>
      </x:c>
      <x:c r="S303" s="24" t="str">
        <x:v>Bivalvia</x:v>
      </x:c>
      <x:c r="T303" s="32" t="n">
        <x:f>IF(O303="","",(1/'Metadata'!$B$5)^(O303-1))</x:f>
        <x:v>16.982436524617444</x:v>
      </x:c>
      <x:c r="U303" s="31" t="n">
        <x:f>IF(T303="","",I303*T303)</x:f>
        <x:v>6.855253144508024</x:v>
      </x:c>
    </x:row>
    <x:row r="304" ht="18" customHeight="1">
      <x:c r="A304" s="24" t="str">
        <x:v>LME_005</x:v>
      </x:c>
      <x:c r="B304" s="24" t="str">
        <x:v>Gulf of Mexico</x:v>
      </x:c>
      <x:c r="C304" s="24" t="str">
        <x:v>LME</x:v>
      </x:c>
      <x:c r="D304" s="30" t="n">
        <x:v>2019</x:v>
      </x:c>
      <x:c r="E304" s="24" t="str">
        <x:v>Carcharias taurus</x:v>
      </x:c>
      <x:c r="F304" s="24" t="str">
        <x:v>Sand tiger shark</x:v>
      </x:c>
      <x:c r="G304" s="24" t="str">
        <x:v>Large sharks (&gt;=90 cm)</x:v>
      </x:c>
      <x:c r="H304" s="24" t="str">
        <x:v>Sharks &amp; rays</x:v>
      </x:c>
      <x:c r="I304" s="31" t="n">
        <x:v>0.4012769894</x:v>
      </x:c>
      <x:c r="J304" s="31" t="n">
        <x:v>0</x:v>
      </x:c>
      <x:c r="K304" s="31" t="n">
        <x:v>0.4012769894</x:v>
      </x:c>
      <x:c r="L304" s="31" t="n">
        <x:v>0</x:v>
      </x:c>
      <x:c r="M304" s="31" t="n">
        <x:v>0.4012769894</x:v>
      </x:c>
      <x:c r="N304" s="24" t="str">
        <x:v>carcharias taurus</x:v>
      </x:c>
      <x:c r="O304" s="32" t="n">
        <x:v>4.5</x:v>
      </x:c>
      <x:c r="P304" s="24" t="str">
        <x:v>exact_2020_supplement</x:v>
      </x:c>
      <x:c r="Q304" s="32" t="str">
        <x:v>2020 supplement MeanTL</x:v>
      </x:c>
      <x:c r="R304" s="24" t="str">
        <x:v>high</x:v>
      </x:c>
      <x:c r="S304" s="24" t="str">
        <x:v>Carcharias taurus</x:v>
      </x:c>
      <x:c r="T304" s="32" t="n">
        <x:f>IF(O304="","",(1/'Metadata'!$B$5)^(O304-1))</x:f>
        <x:v>3162.2776601683795</x:v>
      </x:c>
      <x:c r="U304" s="31" t="n">
        <x:f>IF(T304="","",I304*T304)</x:f>
        <x:v>1268.9492591192436</x:v>
      </x:c>
    </x:row>
    <x:row r="305" ht="18" customHeight="1">
      <x:c r="A305" s="24" t="str">
        <x:v>LME_005</x:v>
      </x:c>
      <x:c r="B305" s="24" t="str">
        <x:v>Gulf of Mexico</x:v>
      </x:c>
      <x:c r="C305" s="24" t="str">
        <x:v>LME</x:v>
      </x:c>
      <x:c r="D305" s="30" t="n">
        <x:v>2019</x:v>
      </x:c>
      <x:c r="E305" s="24" t="str">
        <x:v>Chaetodon capistratus</x:v>
      </x:c>
      <x:c r="F305" s="24" t="str">
        <x:v>Foureye butterflyfish</x:v>
      </x:c>
      <x:c r="G305" s="24" t="str">
        <x:v>Small reef assoc. fish (&lt;30 cm)</x:v>
      </x:c>
      <x:c r="H305" s="24" t="str">
        <x:v>Perch-likes</x:v>
      </x:c>
      <x:c r="I305" s="31" t="n">
        <x:v>0.38492048349999997</x:v>
      </x:c>
      <x:c r="J305" s="31" t="n">
        <x:v>0.38492048349999997</x:v>
      </x:c>
      <x:c r="K305" s="31" t="n">
        <x:v>0</x:v>
      </x:c>
      <x:c r="L305" s="31" t="n">
        <x:v>0.38492048349999997</x:v>
      </x:c>
      <x:c r="M305" s="31" t="n">
        <x:v>0</x:v>
      </x:c>
      <x:c r="N305" s="24" t="str">
        <x:v>chaetodon capistratus</x:v>
      </x:c>
      <x:c r="O305" s="32" t="n">
        <x:v>3.43</x:v>
      </x:c>
      <x:c r="P305" s="24" t="str">
        <x:v>exact_2020_supplement</x:v>
      </x:c>
      <x:c r="Q305" s="32" t="str">
        <x:v>2020 supplement MeanTL</x:v>
      </x:c>
      <x:c r="R305" s="24" t="str">
        <x:v>high</x:v>
      </x:c>
      <x:c r="S305" s="24" t="str">
        <x:v>Chaetodon capistratus</x:v>
      </x:c>
      <x:c r="T305" s="32" t="n">
        <x:f>IF(O305="","",(1/'Metadata'!$B$5)^(O305-1))</x:f>
        <x:v>269.1534803926917</x:v>
      </x:c>
      <x:c r="U305" s="31" t="n">
        <x:f>IF(T305="","",I305*T305)</x:f>
        <x:v>103.60268780846265</x:v>
      </x:c>
    </x:row>
    <x:row r="306" ht="18" customHeight="1">
      <x:c r="A306" s="24" t="str">
        <x:v>LME_005</x:v>
      </x:c>
      <x:c r="B306" s="24" t="str">
        <x:v>Gulf of Mexico</x:v>
      </x:c>
      <x:c r="C306" s="24" t="str">
        <x:v>LME</x:v>
      </x:c>
      <x:c r="D306" s="30" t="n">
        <x:v>2019</x:v>
      </x:c>
      <x:c r="E306" s="24" t="str">
        <x:v>Phimochirus operculatus</x:v>
      </x:c>
      <x:c r="F306" s="24" t="str">
        <x:v>Polkadotted hermit</x:v>
      </x:c>
      <x:c r="G306" s="24" t="str">
        <x:v>Lobsters, crabs</x:v>
      </x:c>
      <x:c r="H306" s="24" t="str">
        <x:v>Crustaceans</x:v>
      </x:c>
      <x:c r="I306" s="31" t="n">
        <x:v>0.3741380957</x:v>
      </x:c>
      <x:c r="J306" s="31" t="n">
        <x:v>0.3741380957</x:v>
      </x:c>
      <x:c r="K306" s="31" t="n">
        <x:v>0</x:v>
      </x:c>
      <x:c r="L306" s="31" t="n">
        <x:v>0.3741380957</x:v>
      </x:c>
      <x:c r="M306" s="31" t="n">
        <x:v>0</x:v>
      </x:c>
      <x:c r="N306" s="24" t="str">
        <x:v>phimochirus operculatus</x:v>
      </x:c>
      <x:c r="O306" s="32" t="n">
        <x:v>2.86</x:v>
      </x:c>
      <x:c r="P306" s="24" t="str">
        <x:v>exact_sea_around_us</x:v>
      </x:c>
      <x:c r="Q306" s="32" t="str">
        <x:v>Sea Around Us exploited organisms</x:v>
      </x:c>
      <x:c r="R306" s="24" t="str">
        <x:v>high</x:v>
      </x:c>
      <x:c r="S306" s="24" t="str">
        <x:v>Phimochirus operculatus</x:v>
      </x:c>
      <x:c r="T306" s="32" t="n">
        <x:f>IF(O306="","",(1/'Metadata'!$B$5)^(O306-1))</x:f>
        <x:v>72.44359600749898</x:v>
      </x:c>
      <x:c r="U306" s="31" t="n">
        <x:f>IF(T306="","",I306*T306)</x:f>
        <x:v>27.103909055905792</x:v>
      </x:c>
    </x:row>
    <x:row r="307" ht="18" customHeight="1">
      <x:c r="A307" s="24" t="str">
        <x:v>LME_005</x:v>
      </x:c>
      <x:c r="B307" s="24" t="str">
        <x:v>Gulf of Mexico</x:v>
      </x:c>
      <x:c r="C307" s="24" t="str">
        <x:v>LME</x:v>
      </x:c>
      <x:c r="D307" s="30" t="n">
        <x:v>2019</x:v>
      </x:c>
      <x:c r="E307" s="24" t="str">
        <x:v>Pomacanthus paru</x:v>
      </x:c>
      <x:c r="F307" s="24" t="str">
        <x:v>French angelfish</x:v>
      </x:c>
      <x:c r="G307" s="24" t="str">
        <x:v>Medium reef assoc. fish (30 - 89 cm)</x:v>
      </x:c>
      <x:c r="H307" s="24" t="str">
        <x:v>Perch-likes</x:v>
      </x:c>
      <x:c r="I307" s="31" t="n">
        <x:v>0.3672909149</x:v>
      </x:c>
      <x:c r="J307" s="31" t="n">
        <x:v>0.3672909149</x:v>
      </x:c>
      <x:c r="K307" s="31" t="n">
        <x:v>0</x:v>
      </x:c>
      <x:c r="L307" s="31" t="n">
        <x:v>0.3672909149</x:v>
      </x:c>
      <x:c r="M307" s="31" t="n">
        <x:v>0</x:v>
      </x:c>
      <x:c r="N307" s="24" t="str">
        <x:v>pomacanthus paru</x:v>
      </x:c>
      <x:c r="O307" s="32" t="n">
        <x:v>2.81</x:v>
      </x:c>
      <x:c r="P307" s="24" t="str">
        <x:v>exact_2020_supplement</x:v>
      </x:c>
      <x:c r="Q307" s="32" t="str">
        <x:v>2020 supplement MeanTL</x:v>
      </x:c>
      <x:c r="R307" s="24" t="str">
        <x:v>high</x:v>
      </x:c>
      <x:c r="S307" s="24" t="str">
        <x:v>Pomacanthus paru</x:v>
      </x:c>
      <x:c r="T307" s="32" t="n">
        <x:f>IF(O307="","",(1/'Metadata'!$B$5)^(O307-1))</x:f>
        <x:v>64.56542290346556</x:v>
      </x:c>
      <x:c r="U307" s="31" t="n">
        <x:f>IF(T307="","",I307*T307)</x:f>
        <x:v>23.71429324911928</x:v>
      </x:c>
    </x:row>
    <x:row r="308" ht="18" customHeight="1">
      <x:c r="A308" s="24" t="str">
        <x:v>LME_005</x:v>
      </x:c>
      <x:c r="B308" s="24" t="str">
        <x:v>Gulf of Mexico</x:v>
      </x:c>
      <x:c r="C308" s="24" t="str">
        <x:v>LME</x:v>
      </x:c>
      <x:c r="D308" s="30" t="n">
        <x:v>2019</x:v>
      </x:c>
      <x:c r="E308" s="24" t="str">
        <x:v>Chromis insolata</x:v>
      </x:c>
      <x:c r="F308" s="24" t="str">
        <x:v>Sunshinefish</x:v>
      </x:c>
      <x:c r="G308" s="24" t="str">
        <x:v>Small reef assoc. fish (&lt;30 cm)</x:v>
      </x:c>
      <x:c r="H308" s="24" t="str">
        <x:v>Perch-likes</x:v>
      </x:c>
      <x:c r="I308" s="31" t="n">
        <x:v>0.345374691</x:v>
      </x:c>
      <x:c r="J308" s="31" t="n">
        <x:v>0.345374691</x:v>
      </x:c>
      <x:c r="K308" s="31" t="n">
        <x:v>0</x:v>
      </x:c>
      <x:c r="L308" s="31" t="n">
        <x:v>0.345374691</x:v>
      </x:c>
      <x:c r="M308" s="31" t="n">
        <x:v>0</x:v>
      </x:c>
      <x:c r="N308" s="24" t="str">
        <x:v>chromis insolata</x:v>
      </x:c>
      <x:c r="O308" s="32" t="n">
        <x:v>3.4</x:v>
      </x:c>
      <x:c r="P308" s="24" t="str">
        <x:v>exact_2020_supplement</x:v>
      </x:c>
      <x:c r="Q308" s="32" t="str">
        <x:v>2020 supplement MeanTL</x:v>
      </x:c>
      <x:c r="R308" s="24" t="str">
        <x:v>high</x:v>
      </x:c>
      <x:c r="S308" s="24" t="str">
        <x:v>Chromis insolata</x:v>
      </x:c>
      <x:c r="T308" s="32" t="n">
        <x:f>IF(O308="","",(1/'Metadata'!$B$5)^(O308-1))</x:f>
        <x:v>251.18864315095797</x:v>
      </x:c>
      <x:c r="U308" s="31" t="n">
        <x:f>IF(T308="","",I308*T308)</x:f>
        <x:v>86.75420001097137</x:v>
      </x:c>
    </x:row>
    <x:row r="309" ht="18" customHeight="1">
      <x:c r="A309" s="24" t="str">
        <x:v>LME_005</x:v>
      </x:c>
      <x:c r="B309" s="24" t="str">
        <x:v>Gulf of Mexico</x:v>
      </x:c>
      <x:c r="C309" s="24" t="str">
        <x:v>LME</x:v>
      </x:c>
      <x:c r="D309" s="30" t="n">
        <x:v>2019</x:v>
      </x:c>
      <x:c r="E309" s="24" t="str">
        <x:v>Stenopus hispidus</x:v>
      </x:c>
      <x:c r="F309" s="24" t="str">
        <x:v>Banded coral shrimp</x:v>
      </x:c>
      <x:c r="G309" s="24" t="str">
        <x:v>Shrimps</x:v>
      </x:c>
      <x:c r="H309" s="24" t="str">
        <x:v>Crustaceans</x:v>
      </x:c>
      <x:c r="I309" s="31" t="n">
        <x:v>0.344102227</x:v>
      </x:c>
      <x:c r="J309" s="31" t="n">
        <x:v>0.344102227</x:v>
      </x:c>
      <x:c r="K309" s="31" t="n">
        <x:v>0</x:v>
      </x:c>
      <x:c r="L309" s="31" t="n">
        <x:v>0.344102227</x:v>
      </x:c>
      <x:c r="M309" s="31" t="n">
        <x:v>0</x:v>
      </x:c>
      <x:c r="N309" s="24" t="str">
        <x:v>stenopus hispidus</x:v>
      </x:c>
      <x:c r="O309" s="32" t="n">
        <x:v>2.86</x:v>
      </x:c>
      <x:c r="P309" s="24" t="str">
        <x:v>exact_sea_around_us</x:v>
      </x:c>
      <x:c r="Q309" s="32" t="str">
        <x:v>Sea Around Us exploited organisms</x:v>
      </x:c>
      <x:c r="R309" s="24" t="str">
        <x:v>high</x:v>
      </x:c>
      <x:c r="S309" s="24" t="str">
        <x:v>Stenopus hispidus</x:v>
      </x:c>
      <x:c r="T309" s="32" t="n">
        <x:f>IF(O309="","",(1/'Metadata'!$B$5)^(O309-1))</x:f>
        <x:v>72.44359600749898</x:v>
      </x:c>
      <x:c r="U309" s="31" t="n">
        <x:f>IF(T309="","",I309*T309)</x:f>
        <x:v>24.928002718068708</x:v>
      </x:c>
    </x:row>
    <x:row r="310" ht="18" customHeight="1">
      <x:c r="A310" s="24" t="str">
        <x:v>LME_005</x:v>
      </x:c>
      <x:c r="B310" s="24" t="str">
        <x:v>Gulf of Mexico</x:v>
      </x:c>
      <x:c r="C310" s="24" t="str">
        <x:v>LME</x:v>
      </x:c>
      <x:c r="D310" s="30" t="n">
        <x:v>2019</x:v>
      </x:c>
      <x:c r="E310" s="24" t="str">
        <x:v>Caranx latus</x:v>
      </x:c>
      <x:c r="F310" s="24" t="str">
        <x:v>Horse-eye jack</x:v>
      </x:c>
      <x:c r="G310" s="24" t="str">
        <x:v>Large reef assoc. fish (&gt;=90 cm)</x:v>
      </x:c>
      <x:c r="H310" s="24" t="str">
        <x:v>Perch-likes</x:v>
      </x:c>
      <x:c r="I310" s="31" t="n">
        <x:v>0.3372594449</x:v>
      </x:c>
      <x:c r="J310" s="31" t="n">
        <x:v>0.3372594449</x:v>
      </x:c>
      <x:c r="K310" s="31" t="n">
        <x:v>0</x:v>
      </x:c>
      <x:c r="L310" s="31" t="n">
        <x:v>0.3239006484</x:v>
      </x:c>
      <x:c r="M310" s="31" t="n">
        <x:v>0.0133587965</x:v>
      </x:c>
      <x:c r="N310" s="24" t="str">
        <x:v>caranx latus</x:v>
      </x:c>
      <x:c r="O310" s="32" t="n">
        <x:v>4.16</x:v>
      </x:c>
      <x:c r="P310" s="24" t="str">
        <x:v>exact_2020_supplement</x:v>
      </x:c>
      <x:c r="Q310" s="32" t="str">
        <x:v>2020 supplement MeanTL</x:v>
      </x:c>
      <x:c r="R310" s="24" t="str">
        <x:v>high</x:v>
      </x:c>
      <x:c r="S310" s="24" t="str">
        <x:v>Caranx latus</x:v>
      </x:c>
      <x:c r="T310" s="32" t="n">
        <x:f>IF(O310="","",(1/'Metadata'!$B$5)^(O310-1))</x:f>
        <x:v>1445.439770745928</x:v>
      </x:c>
      <x:c r="U310" s="31" t="n">
        <x:f>IF(T310="","",I310*T310)</x:f>
        <x:v>487.4882147181549</x:v>
      </x:c>
    </x:row>
    <x:row r="311" ht="18" customHeight="1">
      <x:c r="A311" s="24" t="str">
        <x:v>LME_005</x:v>
      </x:c>
      <x:c r="B311" s="24" t="str">
        <x:v>Gulf of Mexico</x:v>
      </x:c>
      <x:c r="C311" s="24" t="str">
        <x:v>LME</x:v>
      </x:c>
      <x:c r="D311" s="30" t="n">
        <x:v>2019</x:v>
      </x:c>
      <x:c r="E311" s="24" t="str">
        <x:v>Mithraculus forceps</x:v>
      </x:c>
      <x:c r="F311" s="24" t="str">
        <x:v>Red-ridged clinging crab</x:v>
      </x:c>
      <x:c r="G311" s="24" t="str">
        <x:v>Lobsters, crabs</x:v>
      </x:c>
      <x:c r="H311" s="24" t="str">
        <x:v>Crustaceans</x:v>
      </x:c>
      <x:c r="I311" s="31" t="n">
        <x:v>0.3165221521</x:v>
      </x:c>
      <x:c r="J311" s="31" t="n">
        <x:v>0.3165221521</x:v>
      </x:c>
      <x:c r="K311" s="31" t="n">
        <x:v>0</x:v>
      </x:c>
      <x:c r="L311" s="31" t="n">
        <x:v>0.3165221521</x:v>
      </x:c>
      <x:c r="M311" s="31" t="n">
        <x:v>0</x:v>
      </x:c>
      <x:c r="N311" s="24" t="str">
        <x:v>mithraculus forceps</x:v>
      </x:c>
      <x:c r="O311" s="32" t="n">
        <x:v>2.85</x:v>
      </x:c>
      <x:c r="P311" s="24" t="str">
        <x:v>exact_sea_around_us</x:v>
      </x:c>
      <x:c r="Q311" s="32" t="str">
        <x:v>Sea Around Us exploited organisms</x:v>
      </x:c>
      <x:c r="R311" s="24" t="str">
        <x:v>high</x:v>
      </x:c>
      <x:c r="S311" s="24" t="str">
        <x:v>Mithraculus forceps</x:v>
      </x:c>
      <x:c r="T311" s="32" t="n">
        <x:f>IF(O311="","",(1/'Metadata'!$B$5)^(O311-1))</x:f>
        <x:v>70.79457843841381</x:v>
      </x:c>
      <x:c r="U311" s="31" t="n">
        <x:f>IF(T311="","",I311*T311)</x:f>
        <x:v>22.408052324338996</x:v>
      </x:c>
    </x:row>
    <x:row r="312" ht="18" customHeight="1">
      <x:c r="A312" s="24" t="str">
        <x:v>LME_005</x:v>
      </x:c>
      <x:c r="B312" s="24" t="str">
        <x:v>Gulf of Mexico</x:v>
      </x:c>
      <x:c r="C312" s="24" t="str">
        <x:v>LME</x:v>
      </x:c>
      <x:c r="D312" s="30" t="n">
        <x:v>2019</x:v>
      </x:c>
      <x:c r="E312" s="24" t="str">
        <x:v>Syngnathus pelagicus</x:v>
      </x:c>
      <x:c r="F312" s="24" t="str">
        <x:v>Sargassum pipefish</x:v>
      </x:c>
      <x:c r="G312" s="24" t="str">
        <x:v>Small pelagics (&lt;30 cm)</x:v>
      </x:c>
      <x:c r="H312" s="24" t="str">
        <x:v>Other fishes &amp; inverts</x:v>
      </x:c>
      <x:c r="I312" s="31" t="n">
        <x:v>0.2978628382</x:v>
      </x:c>
      <x:c r="J312" s="31" t="n">
        <x:v>0.2978628382</x:v>
      </x:c>
      <x:c r="K312" s="31" t="n">
        <x:v>0</x:v>
      </x:c>
      <x:c r="L312" s="31" t="n">
        <x:v>0.2978628382</x:v>
      </x:c>
      <x:c r="M312" s="31" t="n">
        <x:v>0</x:v>
      </x:c>
      <x:c r="N312" s="24" t="str">
        <x:v>syngnathus pelagicus</x:v>
      </x:c>
      <x:c r="O312" s="32" t="n">
        <x:v>3.29</x:v>
      </x:c>
      <x:c r="P312" s="24" t="str">
        <x:v>exact_sea_around_us</x:v>
      </x:c>
      <x:c r="Q312" s="32" t="str">
        <x:v>Sea Around Us exploited organisms</x:v>
      </x:c>
      <x:c r="R312" s="24" t="str">
        <x:v>high</x:v>
      </x:c>
      <x:c r="S312" s="24" t="str">
        <x:v>Syngnathus pelagicus</x:v>
      </x:c>
      <x:c r="T312" s="32" t="n">
        <x:f>IF(O312="","",(1/'Metadata'!$B$5)^(O312-1))</x:f>
        <x:v>194.98445997580455</x:v>
      </x:c>
      <x:c r="U312" s="31" t="n">
        <x:f>IF(T312="","",I312*T312)</x:f>
        <x:v>58.07862465328744</x:v>
      </x:c>
    </x:row>
    <x:row r="313" ht="18" customHeight="1">
      <x:c r="A313" s="24" t="str">
        <x:v>LME_005</x:v>
      </x:c>
      <x:c r="B313" s="24" t="str">
        <x:v>Gulf of Mexico</x:v>
      </x:c>
      <x:c r="C313" s="24" t="str">
        <x:v>LME</x:v>
      </x:c>
      <x:c r="D313" s="30" t="n">
        <x:v>2019</x:v>
      </x:c>
      <x:c r="E313" s="24" t="str">
        <x:v>Gymnothorax moringa</x:v>
      </x:c>
      <x:c r="F313" s="24" t="str">
        <x:v>Spotted moray</x:v>
      </x:c>
      <x:c r="G313" s="24" t="str">
        <x:v>Large reef assoc. fish (&gt;=90 cm)</x:v>
      </x:c>
      <x:c r="H313" s="24" t="str">
        <x:v>Other fishes &amp; inverts</x:v>
      </x:c>
      <x:c r="I313" s="31" t="n">
        <x:v>0.2783405356</x:v>
      </x:c>
      <x:c r="J313" s="31" t="n">
        <x:v>0.2783405356</x:v>
      </x:c>
      <x:c r="K313" s="31" t="n">
        <x:v>0</x:v>
      </x:c>
      <x:c r="L313" s="31" t="n">
        <x:v>0.0188650896</x:v>
      </x:c>
      <x:c r="M313" s="31" t="n">
        <x:v>0.259475446</x:v>
      </x:c>
      <x:c r="N313" s="24" t="str">
        <x:v>gymnothorax moringa</x:v>
      </x:c>
      <x:c r="O313" s="32" t="n">
        <x:v>4.5</x:v>
      </x:c>
      <x:c r="P313" s="24" t="str">
        <x:v>exact_2020_supplement</x:v>
      </x:c>
      <x:c r="Q313" s="32" t="str">
        <x:v>2020 supplement MeanTL</x:v>
      </x:c>
      <x:c r="R313" s="24" t="str">
        <x:v>high</x:v>
      </x:c>
      <x:c r="S313" s="24" t="str">
        <x:v>Gymnothorax moringa</x:v>
      </x:c>
      <x:c r="T313" s="32" t="n">
        <x:f>IF(O313="","",(1/'Metadata'!$B$5)^(O313-1))</x:f>
        <x:v>3162.2776601683795</x:v>
      </x:c>
      <x:c r="U313" s="31" t="n">
        <x:f>IF(T313="","",I313*T313)</x:f>
        <x:v>880.1900576471816</x:v>
      </x:c>
    </x:row>
    <x:row r="314" ht="18" customHeight="1">
      <x:c r="A314" s="24" t="str">
        <x:v>LME_005</x:v>
      </x:c>
      <x:c r="B314" s="24" t="str">
        <x:v>Gulf of Mexico</x:v>
      </x:c>
      <x:c r="C314" s="24" t="str">
        <x:v>LME</x:v>
      </x:c>
      <x:c r="D314" s="30" t="n">
        <x:v>2019</x:v>
      </x:c>
      <x:c r="E314" s="24" t="str">
        <x:v>Chaetodontidae</x:v>
      </x:c>
      <x:c r="F314" s="24" t="str">
        <x:v>Butterflyfishes</x:v>
      </x:c>
      <x:c r="G314" s="24" t="str">
        <x:v>Small reef assoc. fish (&lt;30 cm)</x:v>
      </x:c>
      <x:c r="H314" s="24" t="str">
        <x:v>Perch-likes</x:v>
      </x:c>
      <x:c r="I314" s="31" t="n">
        <x:v>0.2693937915</x:v>
      </x:c>
      <x:c r="J314" s="31" t="n">
        <x:v>0.2693937915</x:v>
      </x:c>
      <x:c r="K314" s="31" t="n">
        <x:v>0</x:v>
      </x:c>
      <x:c r="L314" s="31" t="n">
        <x:v>0.1046328658</x:v>
      </x:c>
      <x:c r="M314" s="31" t="n">
        <x:v>0.16476092569999998</x:v>
      </x:c>
      <x:c r="N314" s="24" t="str">
        <x:v>chaetodontidae</x:v>
      </x:c>
      <x:c r="O314" s="32" t="n">
        <x:v>3.24</x:v>
      </x:c>
      <x:c r="P314" s="24" t="str">
        <x:v>exact_sea_around_us</x:v>
      </x:c>
      <x:c r="Q314" s="32" t="str">
        <x:v>Sea Around Us exploited organisms</x:v>
      </x:c>
      <x:c r="R314" s="24" t="str">
        <x:v>high</x:v>
      </x:c>
      <x:c r="S314" s="24" t="str">
        <x:v>Chaetodontidae</x:v>
      </x:c>
      <x:c r="T314" s="32" t="n">
        <x:f>IF(O314="","",(1/'Metadata'!$B$5)^(O314-1))</x:f>
        <x:v>173.78008287493762</x:v>
      </x:c>
      <x:c r="U314" s="31" t="n">
        <x:f>IF(T314="","",I314*T314)</x:f>
        <x:v>46.81527541286366</x:v>
      </x:c>
    </x:row>
    <x:row r="315" ht="18" customHeight="1">
      <x:c r="A315" s="24" t="str">
        <x:v>LME_005</x:v>
      </x:c>
      <x:c r="B315" s="24" t="str">
        <x:v>Gulf of Mexico</x:v>
      </x:c>
      <x:c r="C315" s="24" t="str">
        <x:v>LME</x:v>
      </x:c>
      <x:c r="D315" s="30" t="n">
        <x:v>2019</x:v>
      </x:c>
      <x:c r="E315" s="24" t="str">
        <x:v>Carcharhinus longimanus</x:v>
      </x:c>
      <x:c r="F315" s="24" t="str">
        <x:v>Oceanic whitetip shark</x:v>
      </x:c>
      <x:c r="G315" s="24" t="str">
        <x:v>Large sharks (&gt;=90 cm)</x:v>
      </x:c>
      <x:c r="H315" s="24" t="str">
        <x:v>Sharks &amp; rays</x:v>
      </x:c>
      <x:c r="I315" s="31" t="n">
        <x:v>0.2659999324</x:v>
      </x:c>
      <x:c r="J315" s="31" t="n">
        <x:v>0.2659999324</x:v>
      </x:c>
      <x:c r="K315" s="31" t="n">
        <x:v>0</x:v>
      </x:c>
      <x:c r="L315" s="31" t="n">
        <x:v>0.2659999324</x:v>
      </x:c>
      <x:c r="M315" s="31" t="n">
        <x:v>0</x:v>
      </x:c>
      <x:c r="N315" s="24" t="str">
        <x:v>carcharhinus longimanus</x:v>
      </x:c>
      <x:c r="O315" s="32" t="n">
        <x:v>4.16</x:v>
      </x:c>
      <x:c r="P315" s="24" t="str">
        <x:v>exact_2020_supplement</x:v>
      </x:c>
      <x:c r="Q315" s="32" t="str">
        <x:v>2020 supplement MeanTL</x:v>
      </x:c>
      <x:c r="R315" s="24" t="str">
        <x:v>high</x:v>
      </x:c>
      <x:c r="S315" s="24" t="str">
        <x:v>Carcharhinus longimanus</x:v>
      </x:c>
      <x:c r="T315" s="32" t="n">
        <x:f>IF(O315="","",(1/'Metadata'!$B$5)^(O315-1))</x:f>
        <x:v>1445.439770745928</x:v>
      </x:c>
      <x:c r="U315" s="31" t="n">
        <x:f>IF(T315="","",I315*T315)</x:f>
        <x:v>384.48688130668836</x:v>
      </x:c>
    </x:row>
    <x:row r="316" ht="18" customHeight="1">
      <x:c r="A316" s="24" t="str">
        <x:v>LME_005</x:v>
      </x:c>
      <x:c r="B316" s="24" t="str">
        <x:v>Gulf of Mexico</x:v>
      </x:c>
      <x:c r="C316" s="24" t="str">
        <x:v>LME</x:v>
      </x:c>
      <x:c r="D316" s="30" t="n">
        <x:v>2019</x:v>
      </x:c>
      <x:c r="E316" s="24" t="str">
        <x:v>Dorosoma</x:v>
      </x:c>
      <x:c r="F316" s="24" t="str">
        <x:v>Gizzard shads</x:v>
      </x:c>
      <x:c r="G316" s="24" t="str">
        <x:v>Small pelagics (&lt;30 cm)</x:v>
      </x:c>
      <x:c r="H316" s="24" t="str">
        <x:v>Herring-likes</x:v>
      </x:c>
      <x:c r="I316" s="31" t="n">
        <x:v>0.2415415082</x:v>
      </x:c>
      <x:c r="J316" s="31" t="n">
        <x:v>0.0453372826</x:v>
      </x:c>
      <x:c r="K316" s="31" t="n">
        <x:v>0.1962042256</x:v>
      </x:c>
      <x:c r="L316" s="31" t="n">
        <x:v>0.0452042629</x:v>
      </x:c>
      <x:c r="M316" s="31" t="n">
        <x:v>0.1963372453</x:v>
      </x:c>
      <x:c r="N316" s="24" t="str">
        <x:v>dorosoma</x:v>
      </x:c>
      <x:c r="O316" s="32" t="n">
        <x:v>2</x:v>
      </x:c>
      <x:c r="P316" s="24" t="str">
        <x:v>exact_sea_around_us</x:v>
      </x:c>
      <x:c r="Q316" s="32" t="str">
        <x:v>Sea Around Us exploited organisms</x:v>
      </x:c>
      <x:c r="R316" s="24" t="str">
        <x:v>high</x:v>
      </x:c>
      <x:c r="S316" s="24" t="str">
        <x:v>Dorosoma</x:v>
      </x:c>
      <x:c r="T316" s="32" t="n">
        <x:f>IF(O316="","",(1/'Metadata'!$B$5)^(O316-1))</x:f>
        <x:v>10</x:v>
      </x:c>
      <x:c r="U316" s="31" t="n">
        <x:f>IF(T316="","",I316*T316)</x:f>
        <x:v>2.415415082</x:v>
      </x:c>
    </x:row>
    <x:row r="317" ht="18" customHeight="1">
      <x:c r="A317" s="24" t="str">
        <x:v>LME_005</x:v>
      </x:c>
      <x:c r="B317" s="24" t="str">
        <x:v>Gulf of Mexico</x:v>
      </x:c>
      <x:c r="C317" s="24" t="str">
        <x:v>LME</x:v>
      </x:c>
      <x:c r="D317" s="30" t="n">
        <x:v>2019</x:v>
      </x:c>
      <x:c r="E317" s="24" t="str">
        <x:v>Ogcocephalus</x:v>
      </x:c>
      <x:c r="F317" s="24" t="str">
        <x:v>Batfishes</x:v>
      </x:c>
      <x:c r="G317" s="24" t="str">
        <x:v>Small reef assoc. fish (&lt;30 cm)</x:v>
      </x:c>
      <x:c r="H317" s="24" t="str">
        <x:v>Other fishes &amp; inverts</x:v>
      </x:c>
      <x:c r="I317" s="31" t="n">
        <x:v>0.2255812796</x:v>
      </x:c>
      <x:c r="J317" s="31" t="n">
        <x:v>0</x:v>
      </x:c>
      <x:c r="K317" s="31" t="n">
        <x:v>0.2255812796</x:v>
      </x:c>
      <x:c r="L317" s="31" t="n">
        <x:v>0</x:v>
      </x:c>
      <x:c r="M317" s="31" t="n">
        <x:v>0.2255812796</x:v>
      </x:c>
      <x:c r="N317" s="24" t="str">
        <x:v>ogcocephalus</x:v>
      </x:c>
      <x:c r="O317" s="32" t="n">
        <x:v>3.36</x:v>
      </x:c>
      <x:c r="P317" s="24" t="str">
        <x:v>exact_sea_around_us</x:v>
      </x:c>
      <x:c r="Q317" s="32" t="str">
        <x:v>Sea Around Us exploited organisms</x:v>
      </x:c>
      <x:c r="R317" s="24" t="str">
        <x:v>high</x:v>
      </x:c>
      <x:c r="S317" s="24" t="str">
        <x:v>Ogcocephalus</x:v>
      </x:c>
      <x:c r="T317" s="32" t="n">
        <x:f>IF(O317="","",(1/'Metadata'!$B$5)^(O317-1))</x:f>
        <x:v>229.08676527677724</x:v>
      </x:c>
      <x:c r="U317" s="31" t="n">
        <x:f>IF(T317="","",I317*T317)</x:f>
        <x:v>51.67768565056026</x:v>
      </x:c>
    </x:row>
    <x:row r="318" ht="18" customHeight="1">
      <x:c r="A318" s="24" t="str">
        <x:v>LME_005</x:v>
      </x:c>
      <x:c r="B318" s="24" t="str">
        <x:v>Gulf of Mexico</x:v>
      </x:c>
      <x:c r="C318" s="24" t="str">
        <x:v>LME</x:v>
      </x:c>
      <x:c r="D318" s="30" t="n">
        <x:v>2019</x:v>
      </x:c>
      <x:c r="E318" s="24" t="str">
        <x:v>Gobiidae</x:v>
      </x:c>
      <x:c r="F318" s="24" t="str">
        <x:v>Gobies</x:v>
      </x:c>
      <x:c r="G318" s="24" t="str">
        <x:v>Small reef assoc. fish (&lt;30 cm)</x:v>
      </x:c>
      <x:c r="H318" s="24" t="str">
        <x:v>Perch-likes</x:v>
      </x:c>
      <x:c r="I318" s="31" t="n">
        <x:v>0.2105908371</x:v>
      </x:c>
      <x:c r="J318" s="31" t="n">
        <x:v>0.2105908371</x:v>
      </x:c>
      <x:c r="K318" s="31" t="n">
        <x:v>0</x:v>
      </x:c>
      <x:c r="L318" s="31" t="n">
        <x:v>0.2105908371</x:v>
      </x:c>
      <x:c r="M318" s="31" t="n">
        <x:v>0</x:v>
      </x:c>
      <x:c r="N318" s="24" t="str">
        <x:v>gobiidae</x:v>
      </x:c>
      <x:c r="O318" s="32" t="n">
        <x:v>3.11</x:v>
      </x:c>
      <x:c r="P318" s="24" t="str">
        <x:v>exact_sea_around_us</x:v>
      </x:c>
      <x:c r="Q318" s="32" t="str">
        <x:v>Sea Around Us exploited organisms</x:v>
      </x:c>
      <x:c r="R318" s="24" t="str">
        <x:v>high</x:v>
      </x:c>
      <x:c r="S318" s="24" t="str">
        <x:v>Gobiidae</x:v>
      </x:c>
      <x:c r="T318" s="32" t="n">
        <x:f>IF(O318="","",(1/'Metadata'!$B$5)^(O318-1))</x:f>
        <x:v>128.82495516931337</x:v>
      </x:c>
      <x:c r="U318" s="31" t="n">
        <x:f>IF(T318="","",I318*T318)</x:f>
        <x:v>27.129355148475675</x:v>
      </x:c>
    </x:row>
    <x:row r="319" ht="18" customHeight="1">
      <x:c r="A319" s="24" t="str">
        <x:v>LME_005</x:v>
      </x:c>
      <x:c r="B319" s="24" t="str">
        <x:v>Gulf of Mexico</x:v>
      </x:c>
      <x:c r="C319" s="24" t="str">
        <x:v>LME</x:v>
      </x:c>
      <x:c r="D319" s="30" t="n">
        <x:v>2019</x:v>
      </x:c>
      <x:c r="E319" s="24" t="str">
        <x:v>Scorpaenodes caribbaeus</x:v>
      </x:c>
      <x:c r="F319" s="24" t="str">
        <x:v>Reef scorpionfish</x:v>
      </x:c>
      <x:c r="G319" s="24" t="str">
        <x:v>Small reef assoc. fish (&lt;30 cm)</x:v>
      </x:c>
      <x:c r="H319" s="24" t="str">
        <x:v>Scorpionfishes</x:v>
      </x:c>
      <x:c r="I319" s="31" t="n">
        <x:v>0.21050726990000002</x:v>
      </x:c>
      <x:c r="J319" s="31" t="n">
        <x:v>0.21050726990000002</x:v>
      </x:c>
      <x:c r="K319" s="31" t="n">
        <x:v>0</x:v>
      </x:c>
      <x:c r="L319" s="31" t="n">
        <x:v>0.21050726990000002</x:v>
      </x:c>
      <x:c r="M319" s="31" t="n">
        <x:v>0</x:v>
      </x:c>
      <x:c r="N319" s="24" t="str">
        <x:v>scorpaenodes caribbaeus</x:v>
      </x:c>
      <x:c r="O319" s="32" t="n">
        <x:v>3.6</x:v>
      </x:c>
      <x:c r="P319" s="24" t="str">
        <x:v>exact_2020_supplement</x:v>
      </x:c>
      <x:c r="Q319" s="32" t="str">
        <x:v>2020 supplement MeanTL</x:v>
      </x:c>
      <x:c r="R319" s="24" t="str">
        <x:v>high</x:v>
      </x:c>
      <x:c r="S319" s="24" t="str">
        <x:v>Scorpaenodes caribbaeus</x:v>
      </x:c>
      <x:c r="T319" s="32" t="n">
        <x:f>IF(O319="","",(1/'Metadata'!$B$5)^(O319-1))</x:f>
        <x:v>398.1071705534973</x:v>
      </x:c>
      <x:c r="U319" s="31" t="n">
        <x:f>IF(T319="","",I319*T319)</x:f>
        <x:v>83.8044536008304</x:v>
      </x:c>
    </x:row>
    <x:row r="320" ht="18" customHeight="1">
      <x:c r="A320" s="24" t="str">
        <x:v>LME_005</x:v>
      </x:c>
      <x:c r="B320" s="24" t="str">
        <x:v>Gulf of Mexico</x:v>
      </x:c>
      <x:c r="C320" s="24" t="str">
        <x:v>LME</x:v>
      </x:c>
      <x:c r="D320" s="30" t="n">
        <x:v>2019</x:v>
      </x:c>
      <x:c r="E320" s="24" t="str">
        <x:v>Scyllaridae</x:v>
      </x:c>
      <x:c r="F320" s="24" t="str">
        <x:v>Slipper lobsters</x:v>
      </x:c>
      <x:c r="G320" s="24" t="str">
        <x:v>Lobsters, crabs</x:v>
      </x:c>
      <x:c r="H320" s="24" t="str">
        <x:v>Crustaceans</x:v>
      </x:c>
      <x:c r="I320" s="31" t="n">
        <x:v>0.19585514480000002</x:v>
      </x:c>
      <x:c r="J320" s="31" t="n">
        <x:v>0.19585514480000002</x:v>
      </x:c>
      <x:c r="K320" s="31" t="n">
        <x:v>0</x:v>
      </x:c>
      <x:c r="L320" s="31" t="n">
        <x:v>0.0148406101</x:v>
      </x:c>
      <x:c r="M320" s="31" t="n">
        <x:v>0.1810145347</x:v>
      </x:c>
      <x:c r="N320" s="24" t="str">
        <x:v>scyllaridae</x:v>
      </x:c>
      <x:c r="O320" s="32" t="n">
        <x:v>2.87</x:v>
      </x:c>
      <x:c r="P320" s="24" t="str">
        <x:v>exact_sea_around_us</x:v>
      </x:c>
      <x:c r="Q320" s="32" t="str">
        <x:v>Sea Around Us exploited organisms</x:v>
      </x:c>
      <x:c r="R320" s="24" t="str">
        <x:v>high</x:v>
      </x:c>
      <x:c r="S320" s="24" t="str">
        <x:v>Scyllaridae</x:v>
      </x:c>
      <x:c r="T320" s="32" t="n">
        <x:f>IF(O320="","",(1/'Metadata'!$B$5)^(O320-1))</x:f>
        <x:v>74.13102413009177</x:v>
      </x:c>
      <x:c r="U320" s="31" t="n">
        <x:f>IF(T320="","",I320*T320)</x:f>
        <x:v>14.51894246517142</x:v>
      </x:c>
    </x:row>
    <x:row r="321" ht="18" customHeight="1">
      <x:c r="A321" s="24" t="str">
        <x:v>LME_005</x:v>
      </x:c>
      <x:c r="B321" s="24" t="str">
        <x:v>Gulf of Mexico</x:v>
      </x:c>
      <x:c r="C321" s="24" t="str">
        <x:v>LME</x:v>
      </x:c>
      <x:c r="D321" s="30" t="n">
        <x:v>2019</x:v>
      </x:c>
      <x:c r="E321" s="24" t="str">
        <x:v>Muraenidae</x:v>
      </x:c>
      <x:c r="F321" s="24" t="str">
        <x:v>Moray eels</x:v>
      </x:c>
      <x:c r="G321" s="24" t="str">
        <x:v>Large reef assoc. fish (&gt;=90 cm)</x:v>
      </x:c>
      <x:c r="H321" s="24" t="str">
        <x:v>Other fishes &amp; inverts</x:v>
      </x:c>
      <x:c r="I321" s="31" t="n">
        <x:v>0.1917518589</x:v>
      </x:c>
      <x:c r="J321" s="31" t="n">
        <x:v>0.1038022566</x:v>
      </x:c>
      <x:c r="K321" s="31" t="n">
        <x:v>0.0879496023</x:v>
      </x:c>
      <x:c r="L321" s="31" t="n">
        <x:v>0.0660625656</x:v>
      </x:c>
      <x:c r="M321" s="31" t="n">
        <x:v>0.1256892933</x:v>
      </x:c>
      <x:c r="N321" s="24" t="str">
        <x:v>muraenidae</x:v>
      </x:c>
      <x:c r="O321" s="32" t="n">
        <x:v>4.07</x:v>
      </x:c>
      <x:c r="P321" s="24" t="str">
        <x:v>exact_sea_around_us</x:v>
      </x:c>
      <x:c r="Q321" s="32" t="str">
        <x:v>Sea Around Us exploited organisms</x:v>
      </x:c>
      <x:c r="R321" s="24" t="str">
        <x:v>high</x:v>
      </x:c>
      <x:c r="S321" s="24" t="str">
        <x:v>Muraenidae</x:v>
      </x:c>
      <x:c r="T321" s="32" t="n">
        <x:f>IF(O321="","",(1/'Metadata'!$B$5)^(O321-1))</x:f>
        <x:v>1174.8975549395302</x:v>
      </x:c>
      <x:c r="U321" s="31" t="n">
        <x:f>IF(T321="","",I321*T321)</x:f>
        <x:v>225.28879017671977</x:v>
      </x:c>
    </x:row>
    <x:row r="322" ht="18" customHeight="1">
      <x:c r="A322" s="24" t="str">
        <x:v>LME_005</x:v>
      </x:c>
      <x:c r="B322" s="24" t="str">
        <x:v>Gulf of Mexico</x:v>
      </x:c>
      <x:c r="C322" s="24" t="str">
        <x:v>LME</x:v>
      </x:c>
      <x:c r="D322" s="30" t="n">
        <x:v>2019</x:v>
      </x:c>
      <x:c r="E322" s="24" t="str">
        <x:v>Chromis scotti</x:v>
      </x:c>
      <x:c r="F322" s="24" t="str">
        <x:v>Purple reeffish</x:v>
      </x:c>
      <x:c r="G322" s="24" t="str">
        <x:v>Small reef assoc. fish (&lt;30 cm)</x:v>
      </x:c>
      <x:c r="H322" s="24" t="str">
        <x:v>Perch-likes</x:v>
      </x:c>
      <x:c r="I322" s="31" t="n">
        <x:v>0.1910390472</x:v>
      </x:c>
      <x:c r="J322" s="31" t="n">
        <x:v>0.1910390472</x:v>
      </x:c>
      <x:c r="K322" s="31" t="n">
        <x:v>0</x:v>
      </x:c>
      <x:c r="L322" s="31" t="n">
        <x:v>0.1910390472</x:v>
      </x:c>
      <x:c r="M322" s="31" t="n">
        <x:v>0</x:v>
      </x:c>
      <x:c r="N322" s="24" t="str">
        <x:v>chromis scotti</x:v>
      </x:c>
      <x:c r="O322" s="32" t="n">
        <x:v>3.4</x:v>
      </x:c>
      <x:c r="P322" s="24" t="str">
        <x:v>exact_2020_supplement</x:v>
      </x:c>
      <x:c r="Q322" s="32" t="str">
        <x:v>2020 supplement MeanTL</x:v>
      </x:c>
      <x:c r="R322" s="24" t="str">
        <x:v>high</x:v>
      </x:c>
      <x:c r="S322" s="24" t="str">
        <x:v>Chromis scotti</x:v>
      </x:c>
      <x:c r="T322" s="32" t="n">
        <x:f>IF(O322="","",(1/'Metadata'!$B$5)^(O322-1))</x:f>
        <x:v>251.18864315095797</x:v>
      </x:c>
      <x:c r="U322" s="31" t="n">
        <x:f>IF(T322="","",I322*T322)</x:f>
        <x:v>47.98683905501982</x:v>
      </x:c>
    </x:row>
    <x:row r="323" ht="18" customHeight="1">
      <x:c r="A323" s="24" t="str">
        <x:v>LME_005</x:v>
      </x:c>
      <x:c r="B323" s="24" t="str">
        <x:v>Gulf of Mexico</x:v>
      </x:c>
      <x:c r="C323" s="24" t="str">
        <x:v>LME</x:v>
      </x:c>
      <x:c r="D323" s="30" t="n">
        <x:v>2019</x:v>
      </x:c>
      <x:c r="E323" s="24" t="str">
        <x:v>Trichiurus</x:v>
      </x:c>
      <x:c r="F323" s="24" t="str">
        <x:v>Hairtails</x:v>
      </x:c>
      <x:c r="G323" s="24" t="str">
        <x:v>Large benthopelagics (&gt;=90 cm)</x:v>
      </x:c>
      <x:c r="H323" s="24" t="str">
        <x:v>Perch-likes</x:v>
      </x:c>
      <x:c r="I323" s="31" t="n">
        <x:v>0.1891656028</x:v>
      </x:c>
      <x:c r="J323" s="31" t="n">
        <x:v>0.1891656028</x:v>
      </x:c>
      <x:c r="K323" s="31" t="n">
        <x:v>0</x:v>
      </x:c>
      <x:c r="L323" s="31" t="n">
        <x:v>0.1891656028</x:v>
      </x:c>
      <x:c r="M323" s="31" t="n">
        <x:v>0</x:v>
      </x:c>
      <x:c r="N323" s="24" t="str">
        <x:v>trichiurus</x:v>
      </x:c>
      <x:c r="O323" s="32" t="n">
        <x:v>4.42</x:v>
      </x:c>
      <x:c r="P323" s="24" t="str">
        <x:v>exact_sea_around_us</x:v>
      </x:c>
      <x:c r="Q323" s="32" t="str">
        <x:v>Sea Around Us exploited organisms</x:v>
      </x:c>
      <x:c r="R323" s="24" t="str">
        <x:v>high</x:v>
      </x:c>
      <x:c r="S323" s="24" t="str">
        <x:v>Trichiurus</x:v>
      </x:c>
      <x:c r="T323" s="32" t="n">
        <x:f>IF(O323="","",(1/'Metadata'!$B$5)^(O323-1))</x:f>
        <x:v>2630.2679918953813</x:v>
      </x:c>
      <x:c r="U323" s="31" t="n">
        <x:f>IF(T323="","",I323*T323)</x:f>
        <x:v>497.5562302124353</x:v>
      </x:c>
    </x:row>
    <x:row r="324" ht="18" customHeight="1">
      <x:c r="A324" s="24" t="str">
        <x:v>LME_005</x:v>
      </x:c>
      <x:c r="B324" s="24" t="str">
        <x:v>Gulf of Mexico</x:v>
      </x:c>
      <x:c r="C324" s="24" t="str">
        <x:v>LME</x:v>
      </x:c>
      <x:c r="D324" s="30" t="n">
        <x:v>2019</x:v>
      </x:c>
      <x:c r="E324" s="24" t="str">
        <x:v>Gymnothorax</x:v>
      </x:c>
      <x:c r="F324" s="24" t="str">
        <x:v>Morays</x:v>
      </x:c>
      <x:c r="G324" s="24" t="str">
        <x:v>Large reef assoc. fish (&gt;=90 cm)</x:v>
      </x:c>
      <x:c r="H324" s="24" t="str">
        <x:v>Other fishes &amp; inverts</x:v>
      </x:c>
      <x:c r="I324" s="31" t="n">
        <x:v>0.1879418317</x:v>
      </x:c>
      <x:c r="J324" s="31" t="n">
        <x:v>0</x:v>
      </x:c>
      <x:c r="K324" s="31" t="n">
        <x:v>0.1879418317</x:v>
      </x:c>
      <x:c r="L324" s="31" t="n">
        <x:v>0</x:v>
      </x:c>
      <x:c r="M324" s="31" t="n">
        <x:v>0.1879418317</x:v>
      </x:c>
      <x:c r="N324" s="24" t="str">
        <x:v>gymnothorax</x:v>
      </x:c>
      <x:c r="O324" s="32" t="n">
        <x:v>4.22</x:v>
      </x:c>
      <x:c r="P324" s="24" t="str">
        <x:v>exact_sea_around_us</x:v>
      </x:c>
      <x:c r="Q324" s="32" t="str">
        <x:v>Sea Around Us exploited organisms</x:v>
      </x:c>
      <x:c r="R324" s="24" t="str">
        <x:v>high</x:v>
      </x:c>
      <x:c r="S324" s="24" t="str">
        <x:v>Gymnothorax</x:v>
      </x:c>
      <x:c r="T324" s="32" t="n">
        <x:f>IF(O324="","",(1/'Metadata'!$B$5)^(O324-1))</x:f>
        <x:v>1659.5869074375596</x:v>
      </x:c>
      <x:c r="U324" s="31" t="n">
        <x:f>IF(T324="","",I324*T324)</x:f>
        <x:v>311.90580324915334</x:v>
      </x:c>
    </x:row>
    <x:row r="325" ht="18" customHeight="1">
      <x:c r="A325" s="24" t="str">
        <x:v>LME_005</x:v>
      </x:c>
      <x:c r="B325" s="24" t="str">
        <x:v>Gulf of Mexico</x:v>
      </x:c>
      <x:c r="C325" s="24" t="str">
        <x:v>LME</x:v>
      </x:c>
      <x:c r="D325" s="30" t="n">
        <x:v>2019</x:v>
      </x:c>
      <x:c r="E325" s="24" t="str">
        <x:v>Azurina multilineata</x:v>
      </x:c>
      <x:c r="F325" s="24" t="str">
        <x:v>Brown chromis</x:v>
      </x:c>
      <x:c r="G325" s="24" t="str">
        <x:v>Small reef assoc. fish (&lt;30 cm)</x:v>
      </x:c>
      <x:c r="H325" s="24" t="str">
        <x:v>Herring-likes</x:v>
      </x:c>
      <x:c r="I325" s="31" t="n">
        <x:v>0.18612520700000001</x:v>
      </x:c>
      <x:c r="J325" s="31" t="n">
        <x:v>0.18612520700000001</x:v>
      </x:c>
      <x:c r="K325" s="31" t="n">
        <x:v>0</x:v>
      </x:c>
      <x:c r="L325" s="31" t="n">
        <x:v>0.18612520700000001</x:v>
      </x:c>
      <x:c r="M325" s="31" t="n">
        <x:v>0</x:v>
      </x:c>
      <x:c r="N325" s="24" t="str">
        <x:v>azurina multilineata</x:v>
      </x:c>
      <x:c r="O325" s="32" t="n">
        <x:v>3.01</x:v>
      </x:c>
      <x:c r="P325" s="24" t="str">
        <x:v>exact_sea_around_us</x:v>
      </x:c>
      <x:c r="Q325" s="32" t="str">
        <x:v>Sea Around Us exploited organisms</x:v>
      </x:c>
      <x:c r="R325" s="24" t="str">
        <x:v>high</x:v>
      </x:c>
      <x:c r="S325" s="24" t="str">
        <x:v>Azurina multilineata</x:v>
      </x:c>
      <x:c r="T325" s="32" t="n">
        <x:f>IF(O325="","",(1/'Metadata'!$B$5)^(O325-1))</x:f>
        <x:v>102.32929922807536</x:v>
      </x:c>
      <x:c r="U325" s="31" t="n">
        <x:f>IF(T325="","",I325*T325)</x:f>
        <x:v>19.046062000990467</x:v>
      </x:c>
    </x:row>
    <x:row r="326" ht="18" customHeight="1">
      <x:c r="A326" s="24" t="str">
        <x:v>LME_005</x:v>
      </x:c>
      <x:c r="B326" s="24" t="str">
        <x:v>Gulf of Mexico</x:v>
      </x:c>
      <x:c r="C326" s="24" t="str">
        <x:v>LME</x:v>
      </x:c>
      <x:c r="D326" s="30" t="n">
        <x:v>2019</x:v>
      </x:c>
      <x:c r="E326" s="24" t="str">
        <x:v>Melongena corona</x:v>
      </x:c>
      <x:c r="F326" s="24" t="str">
        <x:v>Crown conch</x:v>
      </x:c>
      <x:c r="G326" s="24" t="str">
        <x:v>Other demersal invertebrates</x:v>
      </x:c>
      <x:c r="H326" s="24" t="str">
        <x:v>Molluscs</x:v>
      </x:c>
      <x:c r="I326" s="31" t="n">
        <x:v>0.1763454104</x:v>
      </x:c>
      <x:c r="J326" s="31" t="n">
        <x:v>0.1763454104</x:v>
      </x:c>
      <x:c r="K326" s="31" t="n">
        <x:v>0</x:v>
      </x:c>
      <x:c r="L326" s="31" t="n">
        <x:v>0.1763454104</x:v>
      </x:c>
      <x:c r="M326" s="31" t="n">
        <x:v>0</x:v>
      </x:c>
      <x:c r="N326" s="24" t="str">
        <x:v>melongena corona</x:v>
      </x:c>
      <x:c r="O326" s="32" t="n">
        <x:v>3.15</x:v>
      </x:c>
      <x:c r="P326" s="24" t="str">
        <x:v>exact_sea_around_us</x:v>
      </x:c>
      <x:c r="Q326" s="32" t="str">
        <x:v>Sea Around Us exploited organisms</x:v>
      </x:c>
      <x:c r="R326" s="24" t="str">
        <x:v>high</x:v>
      </x:c>
      <x:c r="S326" s="24" t="str">
        <x:v>Melongena corona</x:v>
      </x:c>
      <x:c r="T326" s="32" t="n">
        <x:f>IF(O326="","",(1/'Metadata'!$B$5)^(O326-1))</x:f>
        <x:v>141.2537544622754</x:v>
      </x:c>
      <x:c r="U326" s="31" t="n">
        <x:f>IF(T326="","",I326*T326)</x:f>
        <x:v>24.90945130119079</x:v>
      </x:c>
    </x:row>
    <x:row r="327" ht="18" customHeight="1">
      <x:c r="A327" s="24" t="str">
        <x:v>LME_005</x:v>
      </x:c>
      <x:c r="B327" s="24" t="str">
        <x:v>Gulf of Mexico</x:v>
      </x:c>
      <x:c r="C327" s="24" t="str">
        <x:v>LME</x:v>
      </x:c>
      <x:c r="D327" s="30" t="n">
        <x:v>2019</x:v>
      </x:c>
      <x:c r="E327" s="24" t="str">
        <x:v>Stephanolepis setifer</x:v>
      </x:c>
      <x:c r="F327" s="24" t="str">
        <x:v>Pygmy filefish</x:v>
      </x:c>
      <x:c r="G327" s="24" t="str">
        <x:v>Small reef assoc. fish (&lt;30 cm)</x:v>
      </x:c>
      <x:c r="H327" s="24" t="str">
        <x:v>Other fishes &amp; inverts</x:v>
      </x:c>
      <x:c r="I327" s="31" t="n">
        <x:v>0.166179379</x:v>
      </x:c>
      <x:c r="J327" s="31" t="n">
        <x:v>0.166179379</x:v>
      </x:c>
      <x:c r="K327" s="31" t="n">
        <x:v>0</x:v>
      </x:c>
      <x:c r="L327" s="31" t="n">
        <x:v>0.166179379</x:v>
      </x:c>
      <x:c r="M327" s="31" t="n">
        <x:v>0</x:v>
      </x:c>
      <x:c r="N327" s="24" t="str">
        <x:v>stephanolepis setifer</x:v>
      </x:c>
      <x:c r="O327" s="32" t="n">
        <x:v>2.85</x:v>
      </x:c>
      <x:c r="P327" s="24" t="str">
        <x:v>exact_2020_supplement</x:v>
      </x:c>
      <x:c r="Q327" s="32" t="str">
        <x:v>2020 supplement MeanTL</x:v>
      </x:c>
      <x:c r="R327" s="24" t="str">
        <x:v>high</x:v>
      </x:c>
      <x:c r="S327" s="24" t="str">
        <x:v>Stephanolepis setifer</x:v>
      </x:c>
      <x:c r="T327" s="32" t="n">
        <x:f>IF(O327="","",(1/'Metadata'!$B$5)^(O327-1))</x:f>
        <x:v>70.79457843841381</x:v>
      </x:c>
      <x:c r="U327" s="31" t="n">
        <x:f>IF(T327="","",I327*T327)</x:f>
        <x:v>11.764599081462395</x:v>
      </x:c>
    </x:row>
    <x:row r="328" ht="18" customHeight="1">
      <x:c r="A328" s="24" t="str">
        <x:v>LME_005</x:v>
      </x:c>
      <x:c r="B328" s="24" t="str">
        <x:v>Gulf of Mexico</x:v>
      </x:c>
      <x:c r="C328" s="24" t="str">
        <x:v>LME</x:v>
      </x:c>
      <x:c r="D328" s="30" t="n">
        <x:v>2019</x:v>
      </x:c>
      <x:c r="E328" s="24" t="str">
        <x:v>Perciformes</x:v>
      </x:c>
      <x:c r="F328" s="24" t="str">
        <x:v>Perch-likes</x:v>
      </x:c>
      <x:c r="G328" s="24" t="str">
        <x:v>Medium demersals (30 - 89 cm)</x:v>
      </x:c>
      <x:c r="H328" s="24" t="str">
        <x:v>Perch-likes</x:v>
      </x:c>
      <x:c r="I328" s="31" t="n">
        <x:v>0.1565336442</x:v>
      </x:c>
      <x:c r="J328" s="31" t="n">
        <x:v>0.0681873426</x:v>
      </x:c>
      <x:c r="K328" s="31" t="n">
        <x:v>0.0883463016</x:v>
      </x:c>
      <x:c r="L328" s="31" t="n">
        <x:v>0.0681873426</x:v>
      </x:c>
      <x:c r="M328" s="31" t="n">
        <x:v>0.0883463016</x:v>
      </x:c>
      <x:c r="N328" s="24" t="str">
        <x:v>perciformes</x:v>
      </x:c>
      <x:c r="O328" s="32" t="n">
        <x:v>3.53</x:v>
      </x:c>
      <x:c r="P328" s="24" t="str">
        <x:v>exact_sea_around_us</x:v>
      </x:c>
      <x:c r="Q328" s="32" t="str">
        <x:v>Sea Around Us exploited organisms</x:v>
      </x:c>
      <x:c r="R328" s="24" t="str">
        <x:v>high</x:v>
      </x:c>
      <x:c r="S328" s="24" t="str">
        <x:v>Perciformes</x:v>
      </x:c>
      <x:c r="T328" s="32" t="n">
        <x:f>IF(O328="","",(1/'Metadata'!$B$5)^(O328-1))</x:f>
        <x:v>338.84415613920237</x:v>
      </x:c>
      <x:c r="U328" s="31" t="n">
        <x:f>IF(T328="","",I328*T328)</x:f>
        <x:v>53.040510576343145</x:v>
      </x:c>
    </x:row>
    <x:row r="329" ht="18" customHeight="1">
      <x:c r="A329" s="24" t="str">
        <x:v>LME_005</x:v>
      </x:c>
      <x:c r="B329" s="24" t="str">
        <x:v>Gulf of Mexico</x:v>
      </x:c>
      <x:c r="C329" s="24" t="str">
        <x:v>LME</x:v>
      </x:c>
      <x:c r="D329" s="30" t="n">
        <x:v>2019</x:v>
      </x:c>
      <x:c r="E329" s="24" t="str">
        <x:v>Triplofusus giganteus</x:v>
      </x:c>
      <x:c r="F329" s="24" t="str">
        <x:v>Horse conch</x:v>
      </x:c>
      <x:c r="G329" s="24" t="str">
        <x:v>Other demersal invertebrates</x:v>
      </x:c>
      <x:c r="H329" s="24" t="str">
        <x:v>Molluscs</x:v>
      </x:c>
      <x:c r="I329" s="31" t="n">
        <x:v>0.15552594120000002</x:v>
      </x:c>
      <x:c r="J329" s="31" t="n">
        <x:v>0.15552594120000002</x:v>
      </x:c>
      <x:c r="K329" s="31" t="n">
        <x:v>0</x:v>
      </x:c>
      <x:c r="L329" s="31" t="n">
        <x:v>0.15552594120000002</x:v>
      </x:c>
      <x:c r="M329" s="31" t="n">
        <x:v>0</x:v>
      </x:c>
      <x:c r="N329" s="24" t="str">
        <x:v>triplofusus giganteus</x:v>
      </x:c>
      <x:c r="O329" s="32" t="n">
        <x:v>2.96</x:v>
      </x:c>
      <x:c r="P329" s="24" t="str">
        <x:v>exact_sea_around_us</x:v>
      </x:c>
      <x:c r="Q329" s="32" t="str">
        <x:v>Sea Around Us exploited organisms</x:v>
      </x:c>
      <x:c r="R329" s="24" t="str">
        <x:v>high</x:v>
      </x:c>
      <x:c r="S329" s="24" t="str">
        <x:v>Triplofusus giganteus</x:v>
      </x:c>
      <x:c r="T329" s="32" t="n">
        <x:f>IF(O329="","",(1/'Metadata'!$B$5)^(O329-1))</x:f>
        <x:v>91.20108393559097</x:v>
      </x:c>
      <x:c r="U329" s="31" t="n">
        <x:f>IF(T329="","",I329*T329)</x:f>
        <x:v>14.184134417542987</x:v>
      </x:c>
    </x:row>
    <x:row r="330" ht="18" customHeight="1">
      <x:c r="A330" s="24" t="str">
        <x:v>LME_005</x:v>
      </x:c>
      <x:c r="B330" s="24" t="str">
        <x:v>Gulf of Mexico</x:v>
      </x:c>
      <x:c r="C330" s="24" t="str">
        <x:v>LME</x:v>
      </x:c>
      <x:c r="D330" s="30" t="n">
        <x:v>2019</x:v>
      </x:c>
      <x:c r="E330" s="24" t="str">
        <x:v>Emblemaria pandionis</x:v>
      </x:c>
      <x:c r="F330" s="24" t="str">
        <x:v>Sailfin blenny</x:v>
      </x:c>
      <x:c r="G330" s="24" t="str">
        <x:v>Small reef assoc. fish (&lt;30 cm)</x:v>
      </x:c>
      <x:c r="H330" s="24" t="str">
        <x:v>Perch-likes</x:v>
      </x:c>
      <x:c r="I330" s="31" t="n">
        <x:v>0.1521571071</x:v>
      </x:c>
      <x:c r="J330" s="31" t="n">
        <x:v>0.1521571071</x:v>
      </x:c>
      <x:c r="K330" s="31" t="n">
        <x:v>0</x:v>
      </x:c>
      <x:c r="L330" s="31" t="n">
        <x:v>0.1521571071</x:v>
      </x:c>
      <x:c r="M330" s="31" t="n">
        <x:v>0</x:v>
      </x:c>
      <x:c r="N330" s="24" t="str">
        <x:v>emblemaria pandionis</x:v>
      </x:c>
      <x:c r="O330" s="32" t="n">
        <x:v>3.4</x:v>
      </x:c>
      <x:c r="P330" s="24" t="str">
        <x:v>exact_2020_supplement</x:v>
      </x:c>
      <x:c r="Q330" s="32" t="str">
        <x:v>2020 supplement MeanTL</x:v>
      </x:c>
      <x:c r="R330" s="24" t="str">
        <x:v>high</x:v>
      </x:c>
      <x:c r="S330" s="24" t="str">
        <x:v>Emblemaria pandionis</x:v>
      </x:c>
      <x:c r="T330" s="32" t="n">
        <x:f>IF(O330="","",(1/'Metadata'!$B$5)^(O330-1))</x:f>
        <x:v>251.18864315095797</x:v>
      </x:c>
      <x:c r="U330" s="31" t="n">
        <x:f>IF(T330="","",I330*T330)</x:f>
        <x:v>38.220137278223994</x:v>
      </x:c>
    </x:row>
    <x:row r="331" ht="18" customHeight="1">
      <x:c r="A331" s="24" t="str">
        <x:v>LME_005</x:v>
      </x:c>
      <x:c r="B331" s="24" t="str">
        <x:v>Gulf of Mexico</x:v>
      </x:c>
      <x:c r="C331" s="24" t="str">
        <x:v>LME</x:v>
      </x:c>
      <x:c r="D331" s="30" t="n">
        <x:v>2019</x:v>
      </x:c>
      <x:c r="E331" s="24" t="str">
        <x:v>Acanthuridae</x:v>
      </x:c>
      <x:c r="F331" s="24" t="str">
        <x:v>Surgeons, tangs, unicornfishes</x:v>
      </x:c>
      <x:c r="G331" s="24" t="str">
        <x:v>Small reef assoc. fish (&lt;30 cm)</x:v>
      </x:c>
      <x:c r="H331" s="24" t="str">
        <x:v>Perch-likes</x:v>
      </x:c>
      <x:c r="I331" s="31" t="n">
        <x:v>0.15110922100000002</x:v>
      </x:c>
      <x:c r="J331" s="31" t="n">
        <x:v>0.15110922100000002</x:v>
      </x:c>
      <x:c r="K331" s="31" t="n">
        <x:v>0</x:v>
      </x:c>
      <x:c r="L331" s="31" t="n">
        <x:v>0.15110922100000002</x:v>
      </x:c>
      <x:c r="M331" s="31" t="n">
        <x:v>0</x:v>
      </x:c>
      <x:c r="N331" s="24" t="str">
        <x:v>acanthuridae</x:v>
      </x:c>
      <x:c r="O331" s="32" t="n">
        <x:v>2.28</x:v>
      </x:c>
      <x:c r="P331" s="24" t="str">
        <x:v>exact_sea_around_us</x:v>
      </x:c>
      <x:c r="Q331" s="32" t="str">
        <x:v>Sea Around Us exploited organisms</x:v>
      </x:c>
      <x:c r="R331" s="24" t="str">
        <x:v>high</x:v>
      </x:c>
      <x:c r="S331" s="24" t="str">
        <x:v>Acanthuridae</x:v>
      </x:c>
      <x:c r="T331" s="32" t="n">
        <x:f>IF(O331="","",(1/'Metadata'!$B$5)^(O331-1))</x:f>
        <x:v>19.054607179632463</x:v>
      </x:c>
      <x:c r="U331" s="31" t="n">
        <x:f>IF(T331="","",I331*T331)</x:f>
        <x:v>2.879326847375269</x:v>
      </x:c>
    </x:row>
    <x:row r="332" ht="18" customHeight="1">
      <x:c r="A332" s="24" t="str">
        <x:v>LME_005</x:v>
      </x:c>
      <x:c r="B332" s="24" t="str">
        <x:v>Gulf of Mexico</x:v>
      </x:c>
      <x:c r="C332" s="24" t="str">
        <x:v>LME</x:v>
      </x:c>
      <x:c r="D332" s="30" t="n">
        <x:v>2019</x:v>
      </x:c>
      <x:c r="E332" s="24" t="str">
        <x:v>Sinistrofulgur sinistrum</x:v>
      </x:c>
      <x:c r="F332" s="24" t="str">
        <x:v>Lightning whelk</x:v>
      </x:c>
      <x:c r="G332" s="24" t="str">
        <x:v>Other demersal invertebrates</x:v>
      </x:c>
      <x:c r="H332" s="24" t="str">
        <x:v>Molluscs</x:v>
      </x:c>
      <x:c r="I332" s="31" t="n">
        <x:v>0.1402691594</x:v>
      </x:c>
      <x:c r="J332" s="31" t="n">
        <x:v>0.1402691594</x:v>
      </x:c>
      <x:c r="K332" s="31" t="n">
        <x:v>0</x:v>
      </x:c>
      <x:c r="L332" s="31" t="n">
        <x:v>0.1402691594</x:v>
      </x:c>
      <x:c r="M332" s="31" t="n">
        <x:v>0</x:v>
      </x:c>
      <x:c r="N332" s="24" t="str">
        <x:v>sinistrofulgur sinistrum</x:v>
      </x:c>
      <x:c r="O332" s="32" t="n">
        <x:v>3.23</x:v>
      </x:c>
      <x:c r="P332" s="24" t="str">
        <x:v>exact_sea_around_us</x:v>
      </x:c>
      <x:c r="Q332" s="32" t="str">
        <x:v>Sea Around Us exploited organisms</x:v>
      </x:c>
      <x:c r="R332" s="24" t="str">
        <x:v>high</x:v>
      </x:c>
      <x:c r="S332" s="24" t="str">
        <x:v>Sinistrofulgur sinistrum</x:v>
      </x:c>
      <x:c r="T332" s="32" t="n">
        <x:f>IF(O332="","",(1/'Metadata'!$B$5)^(O332-1))</x:f>
        <x:v>169.82436524617444</x:v>
      </x:c>
      <x:c r="U332" s="31" t="n">
        <x:f>IF(T332="","",I332*T332)</x:f>
        <x:v>23.821120958719465</x:v>
      </x:c>
    </x:row>
    <x:row r="333" ht="18" customHeight="1">
      <x:c r="A333" s="24" t="str">
        <x:v>LME_005</x:v>
      </x:c>
      <x:c r="B333" s="24" t="str">
        <x:v>Gulf of Mexico</x:v>
      </x:c>
      <x:c r="C333" s="24" t="str">
        <x:v>LME</x:v>
      </x:c>
      <x:c r="D333" s="30" t="n">
        <x:v>2019</x:v>
      </x:c>
      <x:c r="E333" s="24" t="str">
        <x:v>Hypoplectrus unicolor</x:v>
      </x:c>
      <x:c r="F333" s="24" t="str">
        <x:v>Butter hamlet</x:v>
      </x:c>
      <x:c r="G333" s="24" t="str">
        <x:v>Small reef assoc. fish (&lt;30 cm)</x:v>
      </x:c>
      <x:c r="H333" s="24" t="str">
        <x:v>Perch-likes</x:v>
      </x:c>
      <x:c r="I333" s="31" t="n">
        <x:v>0.1401221808</x:v>
      </x:c>
      <x:c r="J333" s="31" t="n">
        <x:v>0.1401221808</x:v>
      </x:c>
      <x:c r="K333" s="31" t="n">
        <x:v>0</x:v>
      </x:c>
      <x:c r="L333" s="31" t="n">
        <x:v>0.1401221808</x:v>
      </x:c>
      <x:c r="M333" s="31" t="n">
        <x:v>0</x:v>
      </x:c>
      <x:c r="N333" s="24" t="str">
        <x:v>hypoplectrus unicolor</x:v>
      </x:c>
      <x:c r="O333" s="32" t="n">
        <x:v>3.97</x:v>
      </x:c>
      <x:c r="P333" s="24" t="str">
        <x:v>exact_2020_supplement</x:v>
      </x:c>
      <x:c r="Q333" s="32" t="str">
        <x:v>2020 supplement MeanTL</x:v>
      </x:c>
      <x:c r="R333" s="24" t="str">
        <x:v>high</x:v>
      </x:c>
      <x:c r="S333" s="24" t="str">
        <x:v>Hypoplectrus unicolor</x:v>
      </x:c>
      <x:c r="T333" s="32" t="n">
        <x:f>IF(O333="","",(1/'Metadata'!$B$5)^(O333-1))</x:f>
        <x:v>933.2543007969915</x:v>
      </x:c>
      <x:c r="U333" s="31" t="n">
        <x:f>IF(T333="","",I333*T333)</x:f>
        <x:v>130.76962786865363</x:v>
      </x:c>
    </x:row>
    <x:row r="334" ht="18" customHeight="1">
      <x:c r="A334" s="24" t="str">
        <x:v>LME_005</x:v>
      </x:c>
      <x:c r="B334" s="24" t="str">
        <x:v>Gulf of Mexico</x:v>
      </x:c>
      <x:c r="C334" s="24" t="str">
        <x:v>LME</x:v>
      </x:c>
      <x:c r="D334" s="30" t="n">
        <x:v>2019</x:v>
      </x:c>
      <x:c r="E334" s="24" t="str">
        <x:v>Batrachoididae</x:v>
      </x:c>
      <x:c r="F334" s="24" t="str">
        <x:v>Toadfishes</x:v>
      </x:c>
      <x:c r="G334" s="24" t="str">
        <x:v>Large reef assoc. fish (&gt;=90 cm)</x:v>
      </x:c>
      <x:c r="H334" s="24" t="str">
        <x:v>Other fishes &amp; inverts</x:v>
      </x:c>
      <x:c r="I334" s="31" t="n">
        <x:v>0.13902254</x:v>
      </x:c>
      <x:c r="J334" s="31" t="n">
        <x:v>0.13902254</x:v>
      </x:c>
      <x:c r="K334" s="31" t="n">
        <x:v>0</x:v>
      </x:c>
      <x:c r="L334" s="31" t="n">
        <x:v>0.1366265016</x:v>
      </x:c>
      <x:c r="M334" s="31" t="n">
        <x:v>0.0023960384</x:v>
      </x:c>
      <x:c r="N334" s="24" t="str">
        <x:v>batrachoididae</x:v>
      </x:c>
      <x:c r="O334" s="32" t="n">
        <x:v>3.66</x:v>
      </x:c>
      <x:c r="P334" s="24" t="str">
        <x:v>exact_sea_around_us</x:v>
      </x:c>
      <x:c r="Q334" s="32" t="str">
        <x:v>Sea Around Us exploited organisms</x:v>
      </x:c>
      <x:c r="R334" s="24" t="str">
        <x:v>high</x:v>
      </x:c>
      <x:c r="S334" s="24" t="str">
        <x:v>Batrachoididae</x:v>
      </x:c>
      <x:c r="T334" s="32" t="n">
        <x:f>IF(O334="","",(1/'Metadata'!$B$5)^(O334-1))</x:f>
        <x:v>457.0881896148752</x:v>
      </x:c>
      <x:c r="U334" s="31" t="n">
        <x:f>IF(T334="","",I334*T334)</x:f>
        <x:v>63.545561124261575</x:v>
      </x:c>
    </x:row>
    <x:row r="335" ht="18" customHeight="1">
      <x:c r="A335" s="24" t="str">
        <x:v>LME_005</x:v>
      </x:c>
      <x:c r="B335" s="24" t="str">
        <x:v>Gulf of Mexico</x:v>
      </x:c>
      <x:c r="C335" s="24" t="str">
        <x:v>LME</x:v>
      </x:c>
      <x:c r="D335" s="30" t="n">
        <x:v>2019</x:v>
      </x:c>
      <x:c r="E335" s="24" t="str">
        <x:v>Acanthurus bahianus</x:v>
      </x:c>
      <x:c r="F335" s="24" t="str">
        <x:v>Ocean surgeon</x:v>
      </x:c>
      <x:c r="G335" s="24" t="str">
        <x:v>Medium reef assoc. fish (30 - 89 cm)</x:v>
      </x:c>
      <x:c r="H335" s="24" t="str">
        <x:v>Perch-likes</x:v>
      </x:c>
      <x:c r="I335" s="31" t="n">
        <x:v>0.1374548667</x:v>
      </x:c>
      <x:c r="J335" s="31" t="n">
        <x:v>0.1374548667</x:v>
      </x:c>
      <x:c r="K335" s="31" t="n">
        <x:v>0</x:v>
      </x:c>
      <x:c r="L335" s="31" t="n">
        <x:v>0.1374548667</x:v>
      </x:c>
      <x:c r="M335" s="31" t="n">
        <x:v>0</x:v>
      </x:c>
      <x:c r="N335" s="24" t="str">
        <x:v>acanthurus bahianus</x:v>
      </x:c>
      <x:c r="O335" s="32" t="n">
        <x:v>2</x:v>
      </x:c>
      <x:c r="P335" s="24" t="str">
        <x:v>exact_2020_supplement</x:v>
      </x:c>
      <x:c r="Q335" s="32" t="str">
        <x:v>2020 supplement MeanTL</x:v>
      </x:c>
      <x:c r="R335" s="24" t="str">
        <x:v>high</x:v>
      </x:c>
      <x:c r="S335" s="24" t="str">
        <x:v>Acanthurus bahianus</x:v>
      </x:c>
      <x:c r="T335" s="32" t="n">
        <x:f>IF(O335="","",(1/'Metadata'!$B$5)^(O335-1))</x:f>
        <x:v>10</x:v>
      </x:c>
      <x:c r="U335" s="31" t="n">
        <x:f>IF(T335="","",I335*T335)</x:f>
        <x:v>1.374548667</x:v>
      </x:c>
    </x:row>
    <x:row r="336" ht="18" customHeight="1">
      <x:c r="A336" s="24" t="str">
        <x:v>LME_005</x:v>
      </x:c>
      <x:c r="B336" s="24" t="str">
        <x:v>Gulf of Mexico</x:v>
      </x:c>
      <x:c r="C336" s="24" t="str">
        <x:v>LME</x:v>
      </x:c>
      <x:c r="D336" s="30" t="n">
        <x:v>2019</x:v>
      </x:c>
      <x:c r="E336" s="24" t="str">
        <x:v>Eriphia gonagra</x:v>
      </x:c>
      <x:c r="F336" s="24" t="str">
        <x:v>Warty crab</x:v>
      </x:c>
      <x:c r="G336" s="24" t="str">
        <x:v>Lobsters, crabs</x:v>
      </x:c>
      <x:c r="H336" s="24" t="str">
        <x:v>Crustaceans</x:v>
      </x:c>
      <x:c r="I336" s="31" t="n">
        <x:v>0.1359390757</x:v>
      </x:c>
      <x:c r="J336" s="31" t="n">
        <x:v>0.1359390757</x:v>
      </x:c>
      <x:c r="K336" s="31" t="n">
        <x:v>0</x:v>
      </x:c>
      <x:c r="L336" s="31" t="n">
        <x:v>0.1359390757</x:v>
      </x:c>
      <x:c r="M336" s="31" t="n">
        <x:v>0</x:v>
      </x:c>
      <x:c r="N336" s="24" t="str">
        <x:v>eriphia gonagra</x:v>
      </x:c>
      <x:c r="O336" s="32" t="n">
        <x:v>2.99</x:v>
      </x:c>
      <x:c r="P336" s="24" t="str">
        <x:v>exact_sea_around_us</x:v>
      </x:c>
      <x:c r="Q336" s="32" t="str">
        <x:v>Sea Around Us exploited organisms</x:v>
      </x:c>
      <x:c r="R336" s="24" t="str">
        <x:v>high</x:v>
      </x:c>
      <x:c r="S336" s="24" t="str">
        <x:v>Eriphia gonagra</x:v>
      </x:c>
      <x:c r="T336" s="32" t="n">
        <x:f>IF(O336="","",(1/'Metadata'!$B$5)^(O336-1))</x:f>
        <x:v>97.72372209558111</x:v>
      </x:c>
      <x:c r="U336" s="31" t="n">
        <x:f>IF(T336="","",I336*T336)</x:f>
        <x:v>13.284472455636962</x:v>
      </x:c>
    </x:row>
    <x:row r="337" ht="18" customHeight="1">
      <x:c r="A337" s="24" t="str">
        <x:v>LME_005</x:v>
      </x:c>
      <x:c r="B337" s="24" t="str">
        <x:v>Gulf of Mexico</x:v>
      </x:c>
      <x:c r="C337" s="24" t="str">
        <x:v>LME</x:v>
      </x:c>
      <x:c r="D337" s="30" t="n">
        <x:v>2019</x:v>
      </x:c>
      <x:c r="E337" s="24" t="str">
        <x:v>Chaetodon sedentarius</x:v>
      </x:c>
      <x:c r="F337" s="24" t="str">
        <x:v>Reef butterflyfish</x:v>
      </x:c>
      <x:c r="G337" s="24" t="str">
        <x:v>Small reef assoc. fish (&lt;30 cm)</x:v>
      </x:c>
      <x:c r="H337" s="24" t="str">
        <x:v>Perch-likes</x:v>
      </x:c>
      <x:c r="I337" s="31" t="n">
        <x:v>0.1261851932</x:v>
      </x:c>
      <x:c r="J337" s="31" t="n">
        <x:v>0.1261851932</x:v>
      </x:c>
      <x:c r="K337" s="31" t="n">
        <x:v>0</x:v>
      </x:c>
      <x:c r="L337" s="31" t="n">
        <x:v>0.1261851932</x:v>
      </x:c>
      <x:c r="M337" s="31" t="n">
        <x:v>0</x:v>
      </x:c>
      <x:c r="N337" s="24" t="str">
        <x:v>chaetodon sedentarius</x:v>
      </x:c>
      <x:c r="O337" s="32" t="n">
        <x:v>3.85</x:v>
      </x:c>
      <x:c r="P337" s="24" t="str">
        <x:v>exact_2020_supplement</x:v>
      </x:c>
      <x:c r="Q337" s="32" t="str">
        <x:v>2020 supplement MeanTL</x:v>
      </x:c>
      <x:c r="R337" s="24" t="str">
        <x:v>high</x:v>
      </x:c>
      <x:c r="S337" s="24" t="str">
        <x:v>Chaetodon sedentarius</x:v>
      </x:c>
      <x:c r="T337" s="32" t="n">
        <x:f>IF(O337="","",(1/'Metadata'!$B$5)^(O337-1))</x:f>
        <x:v>707.945784384138</x:v>
      </x:c>
      <x:c r="U337" s="31" t="n">
        <x:f>IF(T337="","",I337*T337)</x:f>
        <x:v>89.332275577638</x:v>
      </x:c>
    </x:row>
    <x:row r="338" ht="18" customHeight="1">
      <x:c r="A338" s="24" t="str">
        <x:v>LME_005</x:v>
      </x:c>
      <x:c r="B338" s="24" t="str">
        <x:v>Gulf of Mexico</x:v>
      </x:c>
      <x:c r="C338" s="24" t="str">
        <x:v>LME</x:v>
      </x:c>
      <x:c r="D338" s="30" t="n">
        <x:v>2019</x:v>
      </x:c>
      <x:c r="E338" s="24" t="str">
        <x:v>Opistognathus whitehursti</x:v>
      </x:c>
      <x:c r="F338" s="24" t="str">
        <x:v>Dusky jawfish</x:v>
      </x:c>
      <x:c r="G338" s="24" t="str">
        <x:v>Small reef assoc. fish (&lt;30 cm)</x:v>
      </x:c>
      <x:c r="H338" s="24" t="str">
        <x:v>Perch-likes</x:v>
      </x:c>
      <x:c r="I338" s="31" t="n">
        <x:v>0.1250550609</x:v>
      </x:c>
      <x:c r="J338" s="31" t="n">
        <x:v>0.1250550609</x:v>
      </x:c>
      <x:c r="K338" s="31" t="n">
        <x:v>0</x:v>
      </x:c>
      <x:c r="L338" s="31" t="n">
        <x:v>0.1250550609</x:v>
      </x:c>
      <x:c r="M338" s="31" t="n">
        <x:v>0</x:v>
      </x:c>
      <x:c r="N338" s="24" t="str">
        <x:v>opistognathus whitehursti</x:v>
      </x:c>
      <x:c r="O338" s="32" t="n">
        <x:v>3.69</x:v>
      </x:c>
      <x:c r="P338" s="24" t="str">
        <x:v>exact_2020_supplement</x:v>
      </x:c>
      <x:c r="Q338" s="32" t="str">
        <x:v>2020 supplement MeanTL</x:v>
      </x:c>
      <x:c r="R338" s="24" t="str">
        <x:v>high</x:v>
      </x:c>
      <x:c r="S338" s="24" t="str">
        <x:v>Opistognathus whitehursti</x:v>
      </x:c>
      <x:c r="T338" s="32" t="n">
        <x:f>IF(O338="","",(1/'Metadata'!$B$5)^(O338-1))</x:f>
        <x:v>489.77881936844614</x:v>
      </x:c>
      <x:c r="U338" s="31" t="n">
        <x:f>IF(T338="","",I338*T338)</x:f>
        <x:v>61.24932008365113</x:v>
      </x:c>
    </x:row>
    <x:row r="339" ht="18" customHeight="1">
      <x:c r="A339" s="24" t="str">
        <x:v>LME_005</x:v>
      </x:c>
      <x:c r="B339" s="24" t="str">
        <x:v>Gulf of Mexico</x:v>
      </x:c>
      <x:c r="C339" s="24" t="str">
        <x:v>LME</x:v>
      </x:c>
      <x:c r="D339" s="30" t="n">
        <x:v>2019</x:v>
      </x:c>
      <x:c r="E339" s="24" t="str">
        <x:v>Albula vulpes</x:v>
      </x:c>
      <x:c r="F339" s="24" t="str">
        <x:v>Bonefish</x:v>
      </x:c>
      <x:c r="G339" s="24" t="str">
        <x:v>Medium reef assoc. fish (30 - 89 cm)</x:v>
      </x:c>
      <x:c r="H339" s="24" t="str">
        <x:v>Other fishes &amp; inverts</x:v>
      </x:c>
      <x:c r="I339" s="31" t="n">
        <x:v>0.1240536978</x:v>
      </x:c>
      <x:c r="J339" s="31" t="n">
        <x:v>0.1240536978</x:v>
      </x:c>
      <x:c r="K339" s="31" t="n">
        <x:v>0</x:v>
      </x:c>
      <x:c r="L339" s="31" t="n">
        <x:v>0</x:v>
      </x:c>
      <x:c r="M339" s="31" t="n">
        <x:v>0.1240536978</x:v>
      </x:c>
      <x:c r="N339" s="24" t="str">
        <x:v>albula vulpes</x:v>
      </x:c>
      <x:c r="O339" s="32" t="n">
        <x:v>3.73</x:v>
      </x:c>
      <x:c r="P339" s="24" t="str">
        <x:v>exact_2020_supplement</x:v>
      </x:c>
      <x:c r="Q339" s="32" t="str">
        <x:v>2020 supplement MeanTL</x:v>
      </x:c>
      <x:c r="R339" s="24" t="str">
        <x:v>high</x:v>
      </x:c>
      <x:c r="S339" s="24" t="str">
        <x:v>Albula vulpes</x:v>
      </x:c>
      <x:c r="T339" s="32" t="n">
        <x:f>IF(O339="","",(1/'Metadata'!$B$5)^(O339-1))</x:f>
        <x:v>537.0317963702527</x:v>
      </x:c>
      <x:c r="U339" s="31" t="n">
        <x:f>IF(T339="","",I339*T339)</x:f>
        <x:v>66.62078017590646</x:v>
      </x:c>
    </x:row>
    <x:row r="340" ht="18" customHeight="1">
      <x:c r="A340" s="24" t="str">
        <x:v>LME_005</x:v>
      </x:c>
      <x:c r="B340" s="24" t="str">
        <x:v>Gulf of Mexico</x:v>
      </x:c>
      <x:c r="C340" s="24" t="str">
        <x:v>LME</x:v>
      </x:c>
      <x:c r="D340" s="30" t="n">
        <x:v>2019</x:v>
      </x:c>
      <x:c r="E340" s="24" t="str">
        <x:v>Pomacentridae</x:v>
      </x:c>
      <x:c r="F340" s="24" t="str">
        <x:v>Damselfishes</x:v>
      </x:c>
      <x:c r="G340" s="24" t="str">
        <x:v>Small reef assoc. fish (&lt;30 cm)</x:v>
      </x:c>
      <x:c r="H340" s="24" t="str">
        <x:v>Perch-likes</x:v>
      </x:c>
      <x:c r="I340" s="31" t="n">
        <x:v>0.1237149792</x:v>
      </x:c>
      <x:c r="J340" s="31" t="n">
        <x:v>0.1237149792</x:v>
      </x:c>
      <x:c r="K340" s="31" t="n">
        <x:v>0</x:v>
      </x:c>
      <x:c r="L340" s="31" t="n">
        <x:v>0.1237149792</x:v>
      </x:c>
      <x:c r="M340" s="31" t="n">
        <x:v>0</x:v>
      </x:c>
      <x:c r="N340" s="24" t="str">
        <x:v>pomacentridae</x:v>
      </x:c>
      <x:c r="O340" s="32" t="n">
        <x:v>2.57</x:v>
      </x:c>
      <x:c r="P340" s="24" t="str">
        <x:v>exact_sea_around_us</x:v>
      </x:c>
      <x:c r="Q340" s="32" t="str">
        <x:v>Sea Around Us exploited organisms</x:v>
      </x:c>
      <x:c r="R340" s="24" t="str">
        <x:v>high</x:v>
      </x:c>
      <x:c r="S340" s="24" t="str">
        <x:v>Pomacentridae</x:v>
      </x:c>
      <x:c r="T340" s="32" t="n">
        <x:f>IF(O340="","",(1/'Metadata'!$B$5)^(O340-1))</x:f>
        <x:v>37.15352290971724</x:v>
      </x:c>
      <x:c r="U340" s="31" t="n">
        <x:f>IF(T340="","",I340*T340)</x:f>
        <x:v>4.596447313982392</x:v>
      </x:c>
    </x:row>
    <x:row r="341" ht="18" customHeight="1">
      <x:c r="A341" s="24" t="str">
        <x:v>LME_005</x:v>
      </x:c>
      <x:c r="B341" s="24" t="str">
        <x:v>Gulf of Mexico</x:v>
      </x:c>
      <x:c r="C341" s="24" t="str">
        <x:v>LME</x:v>
      </x:c>
      <x:c r="D341" s="30" t="n">
        <x:v>2019</x:v>
      </x:c>
      <x:c r="E341" s="24" t="str">
        <x:v>Chondrichthyes</x:v>
      </x:c>
      <x:c r="F341" s="24" t="str">
        <x:v>Sharks, rays, chimaeras</x:v>
      </x:c>
      <x:c r="G341" s="24" t="str">
        <x:v>Large sharks (&gt;=90 cm)</x:v>
      </x:c>
      <x:c r="H341" s="24" t="str">
        <x:v>Sharks &amp; rays</x:v>
      </x:c>
      <x:c r="I341" s="31" t="n">
        <x:v>0.12138089780000001</x:v>
      </x:c>
      <x:c r="J341" s="31" t="n">
        <x:v>0.12138089780000001</x:v>
      </x:c>
      <x:c r="K341" s="31" t="n">
        <x:v>0</x:v>
      </x:c>
      <x:c r="L341" s="31" t="n">
        <x:v>0.12138089780000001</x:v>
      </x:c>
      <x:c r="M341" s="31" t="n">
        <x:v>0</x:v>
      </x:c>
      <x:c r="N341" s="24" t="str">
        <x:v>chondrichthyes</x:v>
      </x:c>
      <x:c r="O341" s="32" t="n">
        <x:v>4</x:v>
      </x:c>
      <x:c r="P341" s="24" t="str">
        <x:v>exact_sea_around_us</x:v>
      </x:c>
      <x:c r="Q341" s="32" t="str">
        <x:v>Sea Around Us exploited organisms</x:v>
      </x:c>
      <x:c r="R341" s="24" t="str">
        <x:v>high</x:v>
      </x:c>
      <x:c r="S341" s="24" t="str">
        <x:v>Chondrichthyes</x:v>
      </x:c>
      <x:c r="T341" s="32" t="n">
        <x:f>IF(O341="","",(1/'Metadata'!$B$5)^(O341-1))</x:f>
        <x:v>1000</x:v>
      </x:c>
      <x:c r="U341" s="31" t="n">
        <x:f>IF(T341="","",I341*T341)</x:f>
        <x:v>121.38089780000001</x:v>
      </x:c>
    </x:row>
    <x:row r="342" ht="18" customHeight="1">
      <x:c r="A342" s="24" t="str">
        <x:v>LME_005</x:v>
      </x:c>
      <x:c r="B342" s="24" t="str">
        <x:v>Gulf of Mexico</x:v>
      </x:c>
      <x:c r="C342" s="24" t="str">
        <x:v>LME</x:v>
      </x:c>
      <x:c r="D342" s="30" t="n">
        <x:v>2019</x:v>
      </x:c>
      <x:c r="E342" s="24" t="str">
        <x:v>Canthigaster rostrata</x:v>
      </x:c>
      <x:c r="F342" s="24" t="str">
        <x:v>Caribbean sharpnose-puffer</x:v>
      </x:c>
      <x:c r="G342" s="24" t="str">
        <x:v>Small reef assoc. fish (&lt;30 cm)</x:v>
      </x:c>
      <x:c r="H342" s="24" t="str">
        <x:v>Other fishes &amp; inverts</x:v>
      </x:c>
      <x:c r="I342" s="31" t="n">
        <x:v>0.1211612225</x:v>
      </x:c>
      <x:c r="J342" s="31" t="n">
        <x:v>0.1211612225</x:v>
      </x:c>
      <x:c r="K342" s="31" t="n">
        <x:v>0</x:v>
      </x:c>
      <x:c r="L342" s="31" t="n">
        <x:v>0.1211612225</x:v>
      </x:c>
      <x:c r="M342" s="31" t="n">
        <x:v>0</x:v>
      </x:c>
      <x:c r="N342" s="24" t="str">
        <x:v>canthigaster rostrata</x:v>
      </x:c>
      <x:c r="O342" s="32" t="n">
        <x:v>3.28</x:v>
      </x:c>
      <x:c r="P342" s="24" t="str">
        <x:v>exact_2020_supplement</x:v>
      </x:c>
      <x:c r="Q342" s="32" t="str">
        <x:v>2020 supplement MeanTL</x:v>
      </x:c>
      <x:c r="R342" s="24" t="str">
        <x:v>high</x:v>
      </x:c>
      <x:c r="S342" s="24" t="str">
        <x:v>Canthigaster rostrata</x:v>
      </x:c>
      <x:c r="T342" s="32" t="n">
        <x:f>IF(O342="","",(1/'Metadata'!$B$5)^(O342-1))</x:f>
        <x:v>190.54607179632464</x:v>
      </x:c>
      <x:c r="U342" s="31" t="n">
        <x:f>IF(T342="","",I342*T342)</x:f>
        <x:v>23.086795001415464</x:v>
      </x:c>
    </x:row>
    <x:row r="343" ht="18" customHeight="1">
      <x:c r="A343" s="24" t="str">
        <x:v>LME_005</x:v>
      </x:c>
      <x:c r="B343" s="24" t="str">
        <x:v>Gulf of Mexico</x:v>
      </x:c>
      <x:c r="C343" s="24" t="str">
        <x:v>LME</x:v>
      </x:c>
      <x:c r="D343" s="30" t="n">
        <x:v>2019</x:v>
      </x:c>
      <x:c r="E343" s="24" t="str">
        <x:v>Chasmodes saburrae</x:v>
      </x:c>
      <x:c r="F343" s="24" t="str">
        <x:v>Florida blenny</x:v>
      </x:c>
      <x:c r="G343" s="24" t="str">
        <x:v>Small demersals (&lt;30 cm)</x:v>
      </x:c>
      <x:c r="H343" s="24" t="str">
        <x:v>Perch-likes</x:v>
      </x:c>
      <x:c r="I343" s="31" t="n">
        <x:v>0.12097856109999999</x:v>
      </x:c>
      <x:c r="J343" s="31" t="n">
        <x:v>0.12097856109999999</x:v>
      </x:c>
      <x:c r="K343" s="31" t="n">
        <x:v>0</x:v>
      </x:c>
      <x:c r="L343" s="31" t="n">
        <x:v>0.12097856109999999</x:v>
      </x:c>
      <x:c r="M343" s="31" t="n">
        <x:v>0</x:v>
      </x:c>
      <x:c r="N343" s="24" t="str">
        <x:v>chasmodes saburrae</x:v>
      </x:c>
      <x:c r="O343" s="32" t="n">
        <x:v>3.47</x:v>
      </x:c>
      <x:c r="P343" s="24" t="str">
        <x:v>exact_2020_supplement</x:v>
      </x:c>
      <x:c r="Q343" s="32" t="str">
        <x:v>2020 supplement MeanTL</x:v>
      </x:c>
      <x:c r="R343" s="24" t="str">
        <x:v>high</x:v>
      </x:c>
      <x:c r="S343" s="24" t="str">
        <x:v>Chasmodes saburrae</x:v>
      </x:c>
      <x:c r="T343" s="32" t="n">
        <x:f>IF(O343="","",(1/'Metadata'!$B$5)^(O343-1))</x:f>
        <x:v>295.1209226666387</x:v>
      </x:c>
      <x:c r="U343" s="31" t="n">
        <x:f>IF(T343="","",I343*T343)</x:f>
        <x:v>35.70330457471432</x:v>
      </x:c>
    </x:row>
    <x:row r="344" ht="18" customHeight="1">
      <x:c r="A344" s="24" t="str">
        <x:v>LME_005</x:v>
      </x:c>
      <x:c r="B344" s="24" t="str">
        <x:v>Gulf of Mexico</x:v>
      </x:c>
      <x:c r="C344" s="24" t="str">
        <x:v>LME</x:v>
      </x:c>
      <x:c r="D344" s="30" t="n">
        <x:v>2019</x:v>
      </x:c>
      <x:c r="E344" s="24" t="str">
        <x:v>Haemulon melanurum</x:v>
      </x:c>
      <x:c r="F344" s="24" t="str">
        <x:v>Cottonwick grunt</x:v>
      </x:c>
      <x:c r="G344" s="24" t="str">
        <x:v>Small reef assoc. fish (&lt;30 cm)</x:v>
      </x:c>
      <x:c r="H344" s="24" t="str">
        <x:v>Perch-likes</x:v>
      </x:c>
      <x:c r="I344" s="31" t="n">
        <x:v>0.119250256</x:v>
      </x:c>
      <x:c r="J344" s="31" t="n">
        <x:v>0.119250256</x:v>
      </x:c>
      <x:c r="K344" s="31" t="n">
        <x:v>0</x:v>
      </x:c>
      <x:c r="L344" s="31" t="n">
        <x:v>0.119250256</x:v>
      </x:c>
      <x:c r="M344" s="31" t="n">
        <x:v>0</x:v>
      </x:c>
      <x:c r="N344" s="24" t="str">
        <x:v>haemulon melanurum</x:v>
      </x:c>
      <x:c r="O344" s="32" t="n">
        <x:v>2.17</x:v>
      </x:c>
      <x:c r="P344" s="24" t="str">
        <x:v>exact_2020_supplement</x:v>
      </x:c>
      <x:c r="Q344" s="32" t="str">
        <x:v>2020 supplement MeanTL</x:v>
      </x:c>
      <x:c r="R344" s="24" t="str">
        <x:v>high</x:v>
      </x:c>
      <x:c r="S344" s="24" t="str">
        <x:v>Haemulon melanurum</x:v>
      </x:c>
      <x:c r="T344" s="32" t="n">
        <x:f>IF(O344="","",(1/'Metadata'!$B$5)^(O344-1))</x:f>
        <x:v>14.791083881682072</x:v>
      </x:c>
      <x:c r="U344" s="31" t="n">
        <x:f>IF(T344="","",I344*T344)</x:f>
        <x:v>1.7638405394080607</x:v>
      </x:c>
    </x:row>
    <x:row r="345" ht="18" customHeight="1">
      <x:c r="A345" s="24" t="str">
        <x:v>LME_005</x:v>
      </x:c>
      <x:c r="B345" s="24" t="str">
        <x:v>Gulf of Mexico</x:v>
      </x:c>
      <x:c r="C345" s="24" t="str">
        <x:v>LME</x:v>
      </x:c>
      <x:c r="D345" s="30" t="n">
        <x:v>2019</x:v>
      </x:c>
      <x:c r="E345" s="24" t="str">
        <x:v>Ophioderma squamosissimum</x:v>
      </x:c>
      <x:c r="F345" s="24" t="str">
        <x:v>Scaly brittle star</x:v>
      </x:c>
      <x:c r="G345" s="24" t="str">
        <x:v>Other demersal invertebrates</x:v>
      </x:c>
      <x:c r="H345" s="24" t="str">
        <x:v>Other fishes &amp; inverts</x:v>
      </x:c>
      <x:c r="I345" s="31" t="n">
        <x:v>0.1151955893</x:v>
      </x:c>
      <x:c r="J345" s="31" t="n">
        <x:v>0.1151955893</x:v>
      </x:c>
      <x:c r="K345" s="31" t="n">
        <x:v>0</x:v>
      </x:c>
      <x:c r="L345" s="31" t="n">
        <x:v>0.1151955893</x:v>
      </x:c>
      <x:c r="M345" s="31" t="n">
        <x:v>0</x:v>
      </x:c>
      <x:c r="N345" s="24" t="str">
        <x:v>ophioderma squamosissimum</x:v>
      </x:c>
      <x:c r="O345" s="32" t="n">
        <x:v>2.61</x:v>
      </x:c>
      <x:c r="P345" s="24" t="str">
        <x:v>exact_sea_around_us</x:v>
      </x:c>
      <x:c r="Q345" s="32" t="str">
        <x:v>Sea Around Us exploited organisms</x:v>
      </x:c>
      <x:c r="R345" s="24" t="str">
        <x:v>high</x:v>
      </x:c>
      <x:c r="S345" s="24" t="str">
        <x:v>Ophioderma squamosissimum</x:v>
      </x:c>
      <x:c r="T345" s="32" t="n">
        <x:f>IF(O345="","",(1/'Metadata'!$B$5)^(O345-1))</x:f>
        <x:v>40.73802778041126</x:v>
      </x:c>
      <x:c r="U345" s="31" t="n">
        <x:f>IF(T345="","",I345*T345)</x:f>
        <x:v>4.692841117084246</x:v>
      </x:c>
    </x:row>
    <x:row r="346" ht="18" customHeight="1">
      <x:c r="A346" s="24" t="str">
        <x:v>LME_005</x:v>
      </x:c>
      <x:c r="B346" s="24" t="str">
        <x:v>Gulf of Mexico</x:v>
      </x:c>
      <x:c r="C346" s="24" t="str">
        <x:v>LME</x:v>
      </x:c>
      <x:c r="D346" s="30" t="n">
        <x:v>2019</x:v>
      </x:c>
      <x:c r="E346" s="24" t="str">
        <x:v>Bodianus parrae</x:v>
      </x:c>
      <x:c r="F346" s="24" t="str">
        <x:v>Creole wrasse</x:v>
      </x:c>
      <x:c r="G346" s="24" t="str">
        <x:v>Medium reef assoc. fish (30 - 89 cm)</x:v>
      </x:c>
      <x:c r="H346" s="24" t="str">
        <x:v>Perch-likes</x:v>
      </x:c>
      <x:c r="I346" s="31" t="n">
        <x:v>0.1076964688</x:v>
      </x:c>
      <x:c r="J346" s="31" t="n">
        <x:v>0.1076964688</x:v>
      </x:c>
      <x:c r="K346" s="31" t="n">
        <x:v>0</x:v>
      </x:c>
      <x:c r="L346" s="31" t="n">
        <x:v>0.1076964688</x:v>
      </x:c>
      <x:c r="M346" s="31" t="n">
        <x:v>0</x:v>
      </x:c>
      <x:c r="N346" s="24" t="str">
        <x:v>bodianus parrae</x:v>
      </x:c>
      <x:c r="O346" s="32" t="n">
        <x:v>3.42</x:v>
      </x:c>
      <x:c r="P346" s="24" t="str">
        <x:v>exact_sea_around_us</x:v>
      </x:c>
      <x:c r="Q346" s="32" t="str">
        <x:v>Sea Around Us exploited organisms</x:v>
      </x:c>
      <x:c r="R346" s="24" t="str">
        <x:v>high</x:v>
      </x:c>
      <x:c r="S346" s="24" t="str">
        <x:v>Bodianus parrae</x:v>
      </x:c>
      <x:c r="T346" s="32" t="n">
        <x:f>IF(O346="","",(1/'Metadata'!$B$5)^(O346-1))</x:f>
        <x:v>263.02679918953817</x:v>
      </x:c>
      <x:c r="U346" s="31" t="n">
        <x:f>IF(T346="","",I346*T346)</x:f>
        <x:v>28.32705747247996</x:v>
      </x:c>
    </x:row>
    <x:row r="347" ht="18" customHeight="1">
      <x:c r="A347" s="24" t="str">
        <x:v>LME_005</x:v>
      </x:c>
      <x:c r="B347" s="24" t="str">
        <x:v>Gulf of Mexico</x:v>
      </x:c>
      <x:c r="C347" s="24" t="str">
        <x:v>LME</x:v>
      </x:c>
      <x:c r="D347" s="30" t="n">
        <x:v>2019</x:v>
      </x:c>
      <x:c r="E347" s="24" t="str">
        <x:v>Halichoeres garnoti</x:v>
      </x:c>
      <x:c r="F347" s="24" t="str">
        <x:v>Yellowhead wrasse</x:v>
      </x:c>
      <x:c r="G347" s="24" t="str">
        <x:v>Small reef assoc. fish (&lt;30 cm)</x:v>
      </x:c>
      <x:c r="H347" s="24" t="str">
        <x:v>Perch-likes</x:v>
      </x:c>
      <x:c r="I347" s="31" t="n">
        <x:v>0.1050642777</x:v>
      </x:c>
      <x:c r="J347" s="31" t="n">
        <x:v>0.1050642777</x:v>
      </x:c>
      <x:c r="K347" s="31" t="n">
        <x:v>0</x:v>
      </x:c>
      <x:c r="L347" s="31" t="n">
        <x:v>0.1050642777</x:v>
      </x:c>
      <x:c r="M347" s="31" t="n">
        <x:v>0</x:v>
      </x:c>
      <x:c r="N347" s="24" t="str">
        <x:v>halichoeres garnoti</x:v>
      </x:c>
      <x:c r="O347" s="32" t="n">
        <x:v>3.7</x:v>
      </x:c>
      <x:c r="P347" s="24" t="str">
        <x:v>exact_2020_supplement</x:v>
      </x:c>
      <x:c r="Q347" s="32" t="str">
        <x:v>2020 supplement MeanTL</x:v>
      </x:c>
      <x:c r="R347" s="24" t="str">
        <x:v>high</x:v>
      </x:c>
      <x:c r="S347" s="24" t="str">
        <x:v>Halichoeres garnoti</x:v>
      </x:c>
      <x:c r="T347" s="32" t="n">
        <x:f>IF(O347="","",(1/'Metadata'!$B$5)^(O347-1))</x:f>
        <x:v>501.18723362727246</x:v>
      </x:c>
      <x:c r="U347" s="31" t="n">
        <x:f>IF(T347="","",I347*T347)</x:f>
        <x:v>52.65687469351053</x:v>
      </x:c>
    </x:row>
    <x:row r="348" ht="18" customHeight="1">
      <x:c r="A348" s="24" t="str">
        <x:v>LME_005</x:v>
      </x:c>
      <x:c r="B348" s="24" t="str">
        <x:v>Gulf of Mexico</x:v>
      </x:c>
      <x:c r="C348" s="24" t="str">
        <x:v>LME</x:v>
      </x:c>
      <x:c r="D348" s="30" t="n">
        <x:v>2019</x:v>
      </x:c>
      <x:c r="E348" s="24" t="str">
        <x:v>Halichoeres maculipinna</x:v>
      </x:c>
      <x:c r="F348" s="24" t="str">
        <x:v>Clown wrasse</x:v>
      </x:c>
      <x:c r="G348" s="24" t="str">
        <x:v>Small reef assoc. fish (&lt;30 cm)</x:v>
      </x:c>
      <x:c r="H348" s="24" t="str">
        <x:v>Perch-likes</x:v>
      </x:c>
      <x:c r="I348" s="31" t="n">
        <x:v>0.0996900825</x:v>
      </x:c>
      <x:c r="J348" s="31" t="n">
        <x:v>0.0996900825</x:v>
      </x:c>
      <x:c r="K348" s="31" t="n">
        <x:v>0</x:v>
      </x:c>
      <x:c r="L348" s="31" t="n">
        <x:v>0.0996900825</x:v>
      </x:c>
      <x:c r="M348" s="31" t="n">
        <x:v>0</x:v>
      </x:c>
      <x:c r="N348" s="24" t="str">
        <x:v>halichoeres maculipinna</x:v>
      </x:c>
      <x:c r="O348" s="32" t="n">
        <x:v>3.29</x:v>
      </x:c>
      <x:c r="P348" s="24" t="str">
        <x:v>exact_2020_supplement</x:v>
      </x:c>
      <x:c r="Q348" s="32" t="str">
        <x:v>2020 supplement MeanTL</x:v>
      </x:c>
      <x:c r="R348" s="24" t="str">
        <x:v>high</x:v>
      </x:c>
      <x:c r="S348" s="24" t="str">
        <x:v>Halichoeres maculipinna</x:v>
      </x:c>
      <x:c r="T348" s="32" t="n">
        <x:f>IF(O348="","",(1/'Metadata'!$B$5)^(O348-1))</x:f>
        <x:v>194.98445997580455</x:v>
      </x:c>
      <x:c r="U348" s="31" t="n">
        <x:f>IF(T348="","",I348*T348)</x:f>
        <x:v>19.438016901205906</x:v>
      </x:c>
    </x:row>
    <x:row r="349" ht="18" customHeight="1">
      <x:c r="A349" s="24" t="str">
        <x:v>LME_005</x:v>
      </x:c>
      <x:c r="B349" s="24" t="str">
        <x:v>Gulf of Mexico</x:v>
      </x:c>
      <x:c r="C349" s="24" t="str">
        <x:v>LME</x:v>
      </x:c>
      <x:c r="D349" s="30" t="n">
        <x:v>2019</x:v>
      </x:c>
      <x:c r="E349" s="24" t="str">
        <x:v>Balistes vetula</x:v>
      </x:c>
      <x:c r="F349" s="24" t="str">
        <x:v>Queen triggerfish</x:v>
      </x:c>
      <x:c r="G349" s="24" t="str">
        <x:v>Medium reef assoc. fish (30 - 89 cm)</x:v>
      </x:c>
      <x:c r="H349" s="24" t="str">
        <x:v>Other fishes &amp; inverts</x:v>
      </x:c>
      <x:c r="I349" s="31" t="n">
        <x:v>0.09935615009999998</x:v>
      </x:c>
      <x:c r="J349" s="31" t="n">
        <x:v>0.09935615009999998</x:v>
      </x:c>
      <x:c r="K349" s="31" t="n">
        <x:v>0</x:v>
      </x:c>
      <x:c r="L349" s="31" t="n">
        <x:v>0.09935615009999998</x:v>
      </x:c>
      <x:c r="M349" s="31" t="n">
        <x:v>0</x:v>
      </x:c>
      <x:c r="N349" s="24" t="str">
        <x:v>balistes vetula</x:v>
      </x:c>
      <x:c r="O349" s="32" t="n">
        <x:v>3.82</x:v>
      </x:c>
      <x:c r="P349" s="24" t="str">
        <x:v>exact_2020_supplement</x:v>
      </x:c>
      <x:c r="Q349" s="32" t="str">
        <x:v>2020 supplement MeanTL</x:v>
      </x:c>
      <x:c r="R349" s="24" t="str">
        <x:v>high</x:v>
      </x:c>
      <x:c r="S349" s="24" t="str">
        <x:v>Balistes vetula</x:v>
      </x:c>
      <x:c r="T349" s="32" t="n">
        <x:f>IF(O349="","",(1/'Metadata'!$B$5)^(O349-1))</x:f>
        <x:v>660.6934480075957</x:v>
      </x:c>
      <x:c r="U349" s="31" t="n">
        <x:f>IF(T349="","",I349*T349)</x:f>
        <x:v>65.64395739032922</x:v>
      </x:c>
    </x:row>
    <x:row r="350" ht="18" customHeight="1">
      <x:c r="A350" s="24" t="str">
        <x:v>LME_005</x:v>
      </x:c>
      <x:c r="B350" s="24" t="str">
        <x:v>Gulf of Mexico</x:v>
      </x:c>
      <x:c r="C350" s="24" t="str">
        <x:v>LME</x:v>
      </x:c>
      <x:c r="D350" s="30" t="n">
        <x:v>2019</x:v>
      </x:c>
      <x:c r="E350" s="24" t="str">
        <x:v>Chaetodon striatus</x:v>
      </x:c>
      <x:c r="F350" s="24" t="str">
        <x:v>Banded butterflyfish</x:v>
      </x:c>
      <x:c r="G350" s="24" t="str">
        <x:v>Small reef assoc. fish (&lt;30 cm)</x:v>
      </x:c>
      <x:c r="H350" s="24" t="str">
        <x:v>Perch-likes</x:v>
      </x:c>
      <x:c r="I350" s="31" t="n">
        <x:v>0.0972496378</x:v>
      </x:c>
      <x:c r="J350" s="31" t="n">
        <x:v>0.0972496378</x:v>
      </x:c>
      <x:c r="K350" s="31" t="n">
        <x:v>0</x:v>
      </x:c>
      <x:c r="L350" s="31" t="n">
        <x:v>0.0972496378</x:v>
      </x:c>
      <x:c r="M350" s="31" t="n">
        <x:v>0</x:v>
      </x:c>
      <x:c r="N350" s="24" t="str">
        <x:v>chaetodon striatus</x:v>
      </x:c>
      <x:c r="O350" s="32" t="n">
        <x:v>3.53</x:v>
      </x:c>
      <x:c r="P350" s="24" t="str">
        <x:v>exact_2020_supplement</x:v>
      </x:c>
      <x:c r="Q350" s="32" t="str">
        <x:v>2020 supplement MeanTL</x:v>
      </x:c>
      <x:c r="R350" s="24" t="str">
        <x:v>high</x:v>
      </x:c>
      <x:c r="S350" s="24" t="str">
        <x:v>Chaetodon striatus</x:v>
      </x:c>
      <x:c r="T350" s="32" t="n">
        <x:f>IF(O350="","",(1/'Metadata'!$B$5)^(O350-1))</x:f>
        <x:v>338.84415613920237</x:v>
      </x:c>
      <x:c r="U350" s="31" t="n">
        <x:f>IF(T350="","",I350*T350)</x:f>
        <x:v>32.952471455184075</x:v>
      </x:c>
    </x:row>
    <x:row r="351" ht="18" customHeight="1">
      <x:c r="A351" s="24" t="str">
        <x:v>LME_005</x:v>
      </x:c>
      <x:c r="B351" s="24" t="str">
        <x:v>Gulf of Mexico</x:v>
      </x:c>
      <x:c r="C351" s="24" t="str">
        <x:v>LME</x:v>
      </x:c>
      <x:c r="D351" s="30" t="n">
        <x:v>2019</x:v>
      </x:c>
      <x:c r="E351" s="24" t="str">
        <x:v>Caulolatilus chrysops</x:v>
      </x:c>
      <x:c r="F351" s="24" t="str">
        <x:v>Atlantic goldeneye tilefish</x:v>
      </x:c>
      <x:c r="G351" s="24" t="str">
        <x:v>Medium demersals (30 - 89 cm)</x:v>
      </x:c>
      <x:c r="H351" s="24" t="str">
        <x:v>Perch-likes</x:v>
      </x:c>
      <x:c r="I351" s="31" t="n">
        <x:v>0.09229956119999999</x:v>
      </x:c>
      <x:c r="J351" s="31" t="n">
        <x:v>0.09229956119999999</x:v>
      </x:c>
      <x:c r="K351" s="31" t="n">
        <x:v>0</x:v>
      </x:c>
      <x:c r="L351" s="31" t="n">
        <x:v>0.09229956119999999</x:v>
      </x:c>
      <x:c r="M351" s="31" t="n">
        <x:v>0</x:v>
      </x:c>
      <x:c r="N351" s="24" t="str">
        <x:v>caulolatilus chrysops</x:v>
      </x:c>
      <x:c r="O351" s="32" t="n">
        <x:v>3.62</x:v>
      </x:c>
      <x:c r="P351" s="24" t="str">
        <x:v>exact_2020_supplement</x:v>
      </x:c>
      <x:c r="Q351" s="32" t="str">
        <x:v>2020 supplement MeanTL</x:v>
      </x:c>
      <x:c r="R351" s="24" t="str">
        <x:v>high</x:v>
      </x:c>
      <x:c r="S351" s="24" t="str">
        <x:v>Caulolatilus chrysops</x:v>
      </x:c>
      <x:c r="T351" s="32" t="n">
        <x:f>IF(O351="","",(1/'Metadata'!$B$5)^(O351-1))</x:f>
        <x:v>416.8693834703355</x:v>
      </x:c>
      <x:c r="U351" s="31" t="n">
        <x:f>IF(T351="","",I351*T351)</x:f>
        <x:v>38.476861172026496</x:v>
      </x:c>
    </x:row>
    <x:row r="352" ht="18" customHeight="1">
      <x:c r="A352" s="24" t="str">
        <x:v>LME_005</x:v>
      </x:c>
      <x:c r="B352" s="24" t="str">
        <x:v>Gulf of Mexico</x:v>
      </x:c>
      <x:c r="C352" s="24" t="str">
        <x:v>LME</x:v>
      </x:c>
      <x:c r="D352" s="30" t="n">
        <x:v>2019</x:v>
      </x:c>
      <x:c r="E352" s="24" t="str">
        <x:v>Diodon hystrix</x:v>
      </x:c>
      <x:c r="F352" s="24" t="str">
        <x:v>Spotted porcupinefish</x:v>
      </x:c>
      <x:c r="G352" s="24" t="str">
        <x:v>Medium reef assoc. fish (30 - 89 cm)</x:v>
      </x:c>
      <x:c r="H352" s="24" t="str">
        <x:v>Other fishes &amp; inverts</x:v>
      </x:c>
      <x:c r="I352" s="31" t="n">
        <x:v>0.0863794189</x:v>
      </x:c>
      <x:c r="J352" s="31" t="n">
        <x:v>0.0863794189</x:v>
      </x:c>
      <x:c r="K352" s="31" t="n">
        <x:v>0</x:v>
      </x:c>
      <x:c r="L352" s="31" t="n">
        <x:v>0.0863794189</x:v>
      </x:c>
      <x:c r="M352" s="31" t="n">
        <x:v>0</x:v>
      </x:c>
      <x:c r="N352" s="24" t="str">
        <x:v>diodon hystrix</x:v>
      </x:c>
      <x:c r="O352" s="32" t="n">
        <x:v>3.67</x:v>
      </x:c>
      <x:c r="P352" s="24" t="str">
        <x:v>exact_2020_supplement</x:v>
      </x:c>
      <x:c r="Q352" s="32" t="str">
        <x:v>2020 supplement MeanTL</x:v>
      </x:c>
      <x:c r="R352" s="24" t="str">
        <x:v>high</x:v>
      </x:c>
      <x:c r="S352" s="24" t="str">
        <x:v>Diodon hystrix</x:v>
      </x:c>
      <x:c r="T352" s="32" t="n">
        <x:f>IF(O352="","",(1/'Metadata'!$B$5)^(O352-1))</x:f>
        <x:v>467.73514128719813</x:v>
      </x:c>
      <x:c r="U352" s="31" t="n">
        <x:f>IF(T352="","",I352*T352)</x:f>
        <x:v>40.40268970349757</x:v>
      </x:c>
    </x:row>
    <x:row r="353" ht="18" customHeight="1">
      <x:c r="A353" s="24" t="str">
        <x:v>LME_005</x:v>
      </x:c>
      <x:c r="B353" s="24" t="str">
        <x:v>Gulf of Mexico</x:v>
      </x:c>
      <x:c r="C353" s="24" t="str">
        <x:v>LME</x:v>
      </x:c>
      <x:c r="D353" s="30" t="n">
        <x:v>2019</x:v>
      </x:c>
      <x:c r="E353" s="24" t="str">
        <x:v>Halichoeres bivittatus</x:v>
      </x:c>
      <x:c r="F353" s="24" t="str">
        <x:v>Slippery dick</x:v>
      </x:c>
      <x:c r="G353" s="24" t="str">
        <x:v>Medium reef assoc. fish (30 - 89 cm)</x:v>
      </x:c>
      <x:c r="H353" s="24" t="str">
        <x:v>Herring-likes</x:v>
      </x:c>
      <x:c r="I353" s="31" t="n">
        <x:v>0.0846166713</x:v>
      </x:c>
      <x:c r="J353" s="31" t="n">
        <x:v>0.0846166713</x:v>
      </x:c>
      <x:c r="K353" s="31" t="n">
        <x:v>0</x:v>
      </x:c>
      <x:c r="L353" s="31" t="n">
        <x:v>0.0846166713</x:v>
      </x:c>
      <x:c r="M353" s="31" t="n">
        <x:v>0</x:v>
      </x:c>
      <x:c r="N353" s="24" t="str">
        <x:v>halichoeres bivittatus</x:v>
      </x:c>
      <x:c r="O353" s="32" t="n">
        <x:v>3.82</x:v>
      </x:c>
      <x:c r="P353" s="24" t="str">
        <x:v>exact_2020_supplement</x:v>
      </x:c>
      <x:c r="Q353" s="32" t="str">
        <x:v>2020 supplement MeanTL</x:v>
      </x:c>
      <x:c r="R353" s="24" t="str">
        <x:v>high</x:v>
      </x:c>
      <x:c r="S353" s="24" t="str">
        <x:v>Halichoeres bivittatus</x:v>
      </x:c>
      <x:c r="T353" s="32" t="n">
        <x:f>IF(O353="","",(1/'Metadata'!$B$5)^(O353-1))</x:f>
        <x:v>660.6934480075957</x:v>
      </x:c>
      <x:c r="U353" s="31" t="n">
        <x:f>IF(T353="","",I353*T353)</x:f>
        <x:v>55.90568032012237</x:v>
      </x:c>
    </x:row>
    <x:row r="354" ht="18" customHeight="1">
      <x:c r="A354" s="24" t="str">
        <x:v>LME_005</x:v>
      </x:c>
      <x:c r="B354" s="24" t="str">
        <x:v>Gulf of Mexico</x:v>
      </x:c>
      <x:c r="C354" s="24" t="str">
        <x:v>LME</x:v>
      </x:c>
      <x:c r="D354" s="30" t="n">
        <x:v>2019</x:v>
      </x:c>
      <x:c r="E354" s="24" t="str">
        <x:v>Eques lanceolatus</x:v>
      </x:c>
      <x:c r="F354" s="24" t="str">
        <x:v>Jack-knifefish</x:v>
      </x:c>
      <x:c r="G354" s="24" t="str">
        <x:v>Small reef assoc. fish (&lt;30 cm)</x:v>
      </x:c>
      <x:c r="H354" s="24" t="str">
        <x:v>Perch-likes</x:v>
      </x:c>
      <x:c r="I354" s="31" t="n">
        <x:v>0.08293621990000001</x:v>
      </x:c>
      <x:c r="J354" s="31" t="n">
        <x:v>0.08293621990000001</x:v>
      </x:c>
      <x:c r="K354" s="31" t="n">
        <x:v>0</x:v>
      </x:c>
      <x:c r="L354" s="31" t="n">
        <x:v>0.08293621990000001</x:v>
      </x:c>
      <x:c r="M354" s="31" t="n">
        <x:v>0</x:v>
      </x:c>
      <x:c r="N354" s="24" t="str">
        <x:v>eques lanceolatus</x:v>
      </x:c>
      <x:c r="O354" s="32" t="n">
        <x:v>3.43</x:v>
      </x:c>
      <x:c r="P354" s="24" t="str">
        <x:v>exact_sea_around_us</x:v>
      </x:c>
      <x:c r="Q354" s="32" t="str">
        <x:v>Sea Around Us exploited organisms</x:v>
      </x:c>
      <x:c r="R354" s="24" t="str">
        <x:v>high</x:v>
      </x:c>
      <x:c r="S354" s="24" t="str">
        <x:v>Eques lanceolatus</x:v>
      </x:c>
      <x:c r="T354" s="32" t="n">
        <x:f>IF(O354="","",(1/'Metadata'!$B$5)^(O354-1))</x:f>
        <x:v>269.1534803926917</x:v>
      </x:c>
      <x:c r="U354" s="31" t="n">
        <x:f>IF(T354="","",I354*T354)</x:f>
        <x:v>22.32257223669862</x:v>
      </x:c>
    </x:row>
    <x:row r="355" ht="18" customHeight="1">
      <x:c r="A355" s="24" t="str">
        <x:v>LME_005</x:v>
      </x:c>
      <x:c r="B355" s="24" t="str">
        <x:v>Gulf of Mexico</x:v>
      </x:c>
      <x:c r="C355" s="24" t="str">
        <x:v>LME</x:v>
      </x:c>
      <x:c r="D355" s="30" t="n">
        <x:v>2019</x:v>
      </x:c>
      <x:c r="E355" s="24" t="str">
        <x:v>Octopus briareus</x:v>
      </x:c>
      <x:c r="F355" s="24" t="str">
        <x:v>Caribbean reef octopus</x:v>
      </x:c>
      <x:c r="G355" s="24" t="str">
        <x:v>Cephalopods</x:v>
      </x:c>
      <x:c r="H355" s="24" t="str">
        <x:v>Molluscs</x:v>
      </x:c>
      <x:c r="I355" s="31" t="n">
        <x:v>0.0719565605</x:v>
      </x:c>
      <x:c r="J355" s="31" t="n">
        <x:v>0.0719565605</x:v>
      </x:c>
      <x:c r="K355" s="31" t="n">
        <x:v>0</x:v>
      </x:c>
      <x:c r="L355" s="31" t="n">
        <x:v>0.0719565605</x:v>
      </x:c>
      <x:c r="M355" s="31" t="n">
        <x:v>0</x:v>
      </x:c>
      <x:c r="N355" s="24" t="str">
        <x:v>octopus briareus</x:v>
      </x:c>
      <x:c r="O355" s="32" t="n">
        <x:v>3.64</x:v>
      </x:c>
      <x:c r="P355" s="24" t="str">
        <x:v>exact_2020_supplement</x:v>
      </x:c>
      <x:c r="Q355" s="32" t="str">
        <x:v>2020 supplement MeanTL</x:v>
      </x:c>
      <x:c r="R355" s="24" t="str">
        <x:v>high</x:v>
      </x:c>
      <x:c r="S355" s="24" t="str">
        <x:v>Octopus briareus</x:v>
      </x:c>
      <x:c r="T355" s="32" t="n">
        <x:f>IF(O355="","",(1/'Metadata'!$B$5)^(O355-1))</x:f>
        <x:v>436.5158322401661</x:v>
      </x:c>
      <x:c r="U355" s="31" t="n">
        <x:f>IF(T355="","",I355*T355)</x:f>
        <x:v>31.410177891797364</x:v>
      </x:c>
    </x:row>
    <x:row r="356" ht="18" customHeight="1">
      <x:c r="A356" s="24" t="str">
        <x:v>LME_005</x:v>
      </x:c>
      <x:c r="B356" s="24" t="str">
        <x:v>Gulf of Mexico</x:v>
      </x:c>
      <x:c r="C356" s="24" t="str">
        <x:v>LME</x:v>
      </x:c>
      <x:c r="D356" s="30" t="n">
        <x:v>2019</x:v>
      </x:c>
      <x:c r="E356" s="24" t="str">
        <x:v>Eques punctatus</x:v>
      </x:c>
      <x:c r="F356" s="24" t="str">
        <x:v>Spotted drum</x:v>
      </x:c>
      <x:c r="G356" s="24" t="str">
        <x:v>Small reef assoc. fish (&lt;30 cm)</x:v>
      </x:c>
      <x:c r="H356" s="24" t="str">
        <x:v>Perch-likes</x:v>
      </x:c>
      <x:c r="I356" s="31" t="n">
        <x:v>0.0664243084</x:v>
      </x:c>
      <x:c r="J356" s="31" t="n">
        <x:v>0.0664243084</x:v>
      </x:c>
      <x:c r="K356" s="31" t="n">
        <x:v>0</x:v>
      </x:c>
      <x:c r="L356" s="31" t="n">
        <x:v>0.0664243084</x:v>
      </x:c>
      <x:c r="M356" s="31" t="n">
        <x:v>0</x:v>
      </x:c>
      <x:c r="N356" s="24" t="str">
        <x:v>eques punctatus</x:v>
      </x:c>
      <x:c r="O356" s="32" t="n">
        <x:v>3.5</x:v>
      </x:c>
      <x:c r="P356" s="24" t="str">
        <x:v>exact_sea_around_us</x:v>
      </x:c>
      <x:c r="Q356" s="32" t="str">
        <x:v>Sea Around Us exploited organisms</x:v>
      </x:c>
      <x:c r="R356" s="24" t="str">
        <x:v>high</x:v>
      </x:c>
      <x:c r="S356" s="24" t="str">
        <x:v>Eques punctatus</x:v>
      </x:c>
      <x:c r="T356" s="32" t="n">
        <x:f>IF(O356="","",(1/'Metadata'!$B$5)^(O356-1))</x:f>
        <x:v>316.22776601683796</x:v>
      </x:c>
      <x:c r="U356" s="31" t="n">
        <x:f>IF(T356="","",I356*T356)</x:f>
        <x:v>21.005210654545486</x:v>
      </x:c>
    </x:row>
    <x:row r="357" ht="18" customHeight="1">
      <x:c r="A357" s="24" t="str">
        <x:v>LME_005</x:v>
      </x:c>
      <x:c r="B357" s="24" t="str">
        <x:v>Gulf of Mexico</x:v>
      </x:c>
      <x:c r="C357" s="24" t="str">
        <x:v>LME</x:v>
      </x:c>
      <x:c r="D357" s="30" t="n">
        <x:v>2019</x:v>
      </x:c>
      <x:c r="E357" s="24" t="str">
        <x:v>Decapterus</x:v>
      </x:c>
      <x:c r="F357" s="24" t="str">
        <x:v>Scads</x:v>
      </x:c>
      <x:c r="G357" s="24" t="str">
        <x:v>Medium pelagics (30 - 89 cm)</x:v>
      </x:c>
      <x:c r="H357" s="24" t="str">
        <x:v>Perch-likes</x:v>
      </x:c>
      <x:c r="I357" s="31" t="n">
        <x:v>0.0650798166</x:v>
      </x:c>
      <x:c r="J357" s="31" t="n">
        <x:v>0.0650798166</x:v>
      </x:c>
      <x:c r="K357" s="31" t="n">
        <x:v>0</x:v>
      </x:c>
      <x:c r="L357" s="31" t="n">
        <x:v>0</x:v>
      </x:c>
      <x:c r="M357" s="31" t="n">
        <x:v>0.0650798166</x:v>
      </x:c>
      <x:c r="N357" s="24" t="str">
        <x:v>decapterus</x:v>
      </x:c>
      <x:c r="O357" s="32" t="n">
        <x:v>3.63</x:v>
      </x:c>
      <x:c r="P357" s="24" t="str">
        <x:v>exact_sea_around_us</x:v>
      </x:c>
      <x:c r="Q357" s="32" t="str">
        <x:v>Sea Around Us exploited organisms</x:v>
      </x:c>
      <x:c r="R357" s="24" t="str">
        <x:v>high</x:v>
      </x:c>
      <x:c r="S357" s="24" t="str">
        <x:v>Decapterus</x:v>
      </x:c>
      <x:c r="T357" s="32" t="n">
        <x:f>IF(O357="","",(1/'Metadata'!$B$5)^(O357-1))</x:f>
        <x:v>426.57951880159254</x:v>
      </x:c>
      <x:c r="U357" s="31" t="n">
        <x:f>IF(T357="","",I357*T357)</x:f>
        <x:v>27.761716848923896</x:v>
      </x:c>
    </x:row>
    <x:row r="358" ht="18" customHeight="1">
      <x:c r="A358" s="24" t="str">
        <x:v>LME_005</x:v>
      </x:c>
      <x:c r="B358" s="24" t="str">
        <x:v>Gulf of Mexico</x:v>
      </x:c>
      <x:c r="C358" s="24" t="str">
        <x:v>LME</x:v>
      </x:c>
      <x:c r="D358" s="30" t="n">
        <x:v>2019</x:v>
      </x:c>
      <x:c r="E358" s="24" t="str">
        <x:v>Periclimenes yucatanicus</x:v>
      </x:c>
      <x:c r="F358" s="24" t="str">
        <x:v>Spotted cleaner shrimp</x:v>
      </x:c>
      <x:c r="G358" s="24" t="str">
        <x:v>Shrimps</x:v>
      </x:c>
      <x:c r="H358" s="24" t="str">
        <x:v>Crustaceans</x:v>
      </x:c>
      <x:c r="I358" s="31" t="n">
        <x:v>0.0642582474</x:v>
      </x:c>
      <x:c r="J358" s="31" t="n">
        <x:v>0.0642582474</x:v>
      </x:c>
      <x:c r="K358" s="31" t="n">
        <x:v>0</x:v>
      </x:c>
      <x:c r="L358" s="31" t="n">
        <x:v>0.0642582474</x:v>
      </x:c>
      <x:c r="M358" s="31" t="n">
        <x:v>0</x:v>
      </x:c>
      <x:c r="N358" s="24" t="str">
        <x:v>periclimenes yucatanicus</x:v>
      </x:c>
      <x:c r="O358" s="32" t="n">
        <x:v>2.86</x:v>
      </x:c>
      <x:c r="P358" s="24" t="str">
        <x:v>exact_sea_around_us</x:v>
      </x:c>
      <x:c r="Q358" s="32" t="str">
        <x:v>Sea Around Us exploited organisms</x:v>
      </x:c>
      <x:c r="R358" s="24" t="str">
        <x:v>high</x:v>
      </x:c>
      <x:c r="S358" s="24" t="str">
        <x:v>Periclimenes yucatanicus</x:v>
      </x:c>
      <x:c r="T358" s="32" t="n">
        <x:f>IF(O358="","",(1/'Metadata'!$B$5)^(O358-1))</x:f>
        <x:v>72.44359600749898</x:v>
      </x:c>
      <x:c r="U358" s="31" t="n">
        <x:f>IF(T358="","",I358*T358)</x:f>
        <x:v>4.6550985147955215</x:v>
      </x:c>
    </x:row>
    <x:row r="359" ht="18" customHeight="1">
      <x:c r="A359" s="24" t="str">
        <x:v>LME_005</x:v>
      </x:c>
      <x:c r="B359" s="24" t="str">
        <x:v>Gulf of Mexico</x:v>
      </x:c>
      <x:c r="C359" s="24" t="str">
        <x:v>LME</x:v>
      </x:c>
      <x:c r="D359" s="30" t="n">
        <x:v>2019</x:v>
      </x:c>
      <x:c r="E359" s="24" t="str">
        <x:v>Hemanthias leptus</x:v>
      </x:c>
      <x:c r="F359" s="24" t="str">
        <x:v>Longtail bass</x:v>
      </x:c>
      <x:c r="G359" s="24" t="str">
        <x:v>Medium demersals (30 - 89 cm)</x:v>
      </x:c>
      <x:c r="H359" s="24" t="str">
        <x:v>Perch-likes</x:v>
      </x:c>
      <x:c r="I359" s="31" t="n">
        <x:v>0.0634016622</x:v>
      </x:c>
      <x:c r="J359" s="31" t="n">
        <x:v>0.0634016622</x:v>
      </x:c>
      <x:c r="K359" s="31" t="n">
        <x:v>0</x:v>
      </x:c>
      <x:c r="L359" s="31" t="n">
        <x:v>0.0634016622</x:v>
      </x:c>
      <x:c r="M359" s="31" t="n">
        <x:v>0</x:v>
      </x:c>
      <x:c r="N359" s="24" t="str">
        <x:v>hemanthias leptus</x:v>
      </x:c>
      <x:c r="O359" s="32" t="n">
        <x:v>4.03</x:v>
      </x:c>
      <x:c r="P359" s="24" t="str">
        <x:v>exact_sea_around_us</x:v>
      </x:c>
      <x:c r="Q359" s="32" t="str">
        <x:v>Sea Around Us exploited organisms</x:v>
      </x:c>
      <x:c r="R359" s="24" t="str">
        <x:v>high</x:v>
      </x:c>
      <x:c r="S359" s="24" t="str">
        <x:v>Hemanthias leptus</x:v>
      </x:c>
      <x:c r="T359" s="32" t="n">
        <x:f>IF(O359="","",(1/'Metadata'!$B$5)^(O359-1))</x:f>
        <x:v>1071.519305237607</x:v>
      </x:c>
      <x:c r="U359" s="31" t="n">
        <x:f>IF(T359="","",I359*T359)</x:f>
        <x:v>67.93610503145345</x:v>
      </x:c>
    </x:row>
    <x:row r="360" ht="18" customHeight="1">
      <x:c r="A360" s="24" t="str">
        <x:v>LME_005</x:v>
      </x:c>
      <x:c r="B360" s="24" t="str">
        <x:v>Gulf of Mexico</x:v>
      </x:c>
      <x:c r="C360" s="24" t="str">
        <x:v>LME</x:v>
      </x:c>
      <x:c r="D360" s="30" t="n">
        <x:v>2019</x:v>
      </x:c>
      <x:c r="E360" s="24" t="str">
        <x:v>Urobatis jamaicensis</x:v>
      </x:c>
      <x:c r="F360" s="24" t="str">
        <x:v>Yellow stingray</x:v>
      </x:c>
      <x:c r="G360" s="24" t="str">
        <x:v>Small to medium rays (&lt;90 cm)</x:v>
      </x:c>
      <x:c r="H360" s="24" t="str">
        <x:v>Sharks &amp; rays</x:v>
      </x:c>
      <x:c r="I360" s="31" t="n">
        <x:v>0.0591225522</x:v>
      </x:c>
      <x:c r="J360" s="31" t="n">
        <x:v>0.0591225522</x:v>
      </x:c>
      <x:c r="K360" s="31" t="n">
        <x:v>0</x:v>
      </x:c>
      <x:c r="L360" s="31" t="n">
        <x:v>0.0591225522</x:v>
      </x:c>
      <x:c r="M360" s="31" t="n">
        <x:v>0</x:v>
      </x:c>
      <x:c r="N360" s="24" t="str">
        <x:v>urobatis jamaicensis</x:v>
      </x:c>
      <x:c r="O360" s="32" t="n">
        <x:v>3.55</x:v>
      </x:c>
      <x:c r="P360" s="24" t="str">
        <x:v>exact_2020_supplement</x:v>
      </x:c>
      <x:c r="Q360" s="32" t="str">
        <x:v>2020 supplement MeanTL</x:v>
      </x:c>
      <x:c r="R360" s="24" t="str">
        <x:v>high</x:v>
      </x:c>
      <x:c r="S360" s="24" t="str">
        <x:v>Urobatis jamaicensis</x:v>
      </x:c>
      <x:c r="T360" s="32" t="n">
        <x:f>IF(O360="","",(1/'Metadata'!$B$5)^(O360-1))</x:f>
        <x:v>354.8133892335753</x:v>
      </x:c>
      <x:c r="U360" s="31" t="n">
        <x:f>IF(T360="","",I360*T360)</x:f>
        <x:v>20.977473126220975</x:v>
      </x:c>
    </x:row>
    <x:row r="361" ht="18" customHeight="1">
      <x:c r="A361" s="24" t="str">
        <x:v>LME_005</x:v>
      </x:c>
      <x:c r="B361" s="24" t="str">
        <x:v>Gulf of Mexico</x:v>
      </x:c>
      <x:c r="C361" s="24" t="str">
        <x:v>LME</x:v>
      </x:c>
      <x:c r="D361" s="30" t="n">
        <x:v>2019</x:v>
      </x:c>
      <x:c r="E361" s="24" t="str">
        <x:v>Mullidae</x:v>
      </x:c>
      <x:c r="F361" s="24" t="str">
        <x:v>Goatfishes</x:v>
      </x:c>
      <x:c r="G361" s="24" t="str">
        <x:v>Medium reef assoc. fish (30 - 89 cm)</x:v>
      </x:c>
      <x:c r="H361" s="24" t="str">
        <x:v>Perch-likes</x:v>
      </x:c>
      <x:c r="I361" s="31" t="n">
        <x:v>0.059065861000000004</x:v>
      </x:c>
      <x:c r="J361" s="31" t="n">
        <x:v>0.059065861000000004</x:v>
      </x:c>
      <x:c r="K361" s="31" t="n">
        <x:v>0</x:v>
      </x:c>
      <x:c r="L361" s="31" t="n">
        <x:v>0.038747335800000005</x:v>
      </x:c>
      <x:c r="M361" s="31" t="n">
        <x:v>0.0203185252</x:v>
      </x:c>
      <x:c r="N361" s="24" t="str">
        <x:v>mullidae</x:v>
      </x:c>
      <x:c r="O361" s="32" t="n">
        <x:v>3.46</x:v>
      </x:c>
      <x:c r="P361" s="24" t="str">
        <x:v>exact_sea_around_us</x:v>
      </x:c>
      <x:c r="Q361" s="32" t="str">
        <x:v>Sea Around Us exploited organisms</x:v>
      </x:c>
      <x:c r="R361" s="24" t="str">
        <x:v>high</x:v>
      </x:c>
      <x:c r="S361" s="24" t="str">
        <x:v>Mullidae</x:v>
      </x:c>
      <x:c r="T361" s="32" t="n">
        <x:f>IF(O361="","",(1/'Metadata'!$B$5)^(O361-1))</x:f>
        <x:v>288.40315031266056</x:v>
      </x:c>
      <x:c r="U361" s="31" t="n">
        <x:f>IF(T361="","",I361*T361)</x:f>
        <x:v>17.034780388329715</x:v>
      </x:c>
    </x:row>
    <x:row r="362" ht="18" customHeight="1">
      <x:c r="A362" s="24" t="str">
        <x:v>LME_005</x:v>
      </x:c>
      <x:c r="B362" s="24" t="str">
        <x:v>Gulf of Mexico</x:v>
      </x:c>
      <x:c r="C362" s="24" t="str">
        <x:v>LME</x:v>
      </x:c>
      <x:c r="D362" s="30" t="n">
        <x:v>2019</x:v>
      </x:c>
      <x:c r="E362" s="24" t="str">
        <x:v>Paraclinus fasciatus</x:v>
      </x:c>
      <x:c r="F362" s="24" t="str">
        <x:v>Banded blenny</x:v>
      </x:c>
      <x:c r="G362" s="24" t="str">
        <x:v>Small reef assoc. fish (&lt;30 cm)</x:v>
      </x:c>
      <x:c r="H362" s="24" t="str">
        <x:v>Perch-likes</x:v>
      </x:c>
      <x:c r="I362" s="31" t="n">
        <x:v>0.056288960199999995</x:v>
      </x:c>
      <x:c r="J362" s="31" t="n">
        <x:v>0.056288960199999995</x:v>
      </x:c>
      <x:c r="K362" s="31" t="n">
        <x:v>0</x:v>
      </x:c>
      <x:c r="L362" s="31" t="n">
        <x:v>0.056288960199999995</x:v>
      </x:c>
      <x:c r="M362" s="31" t="n">
        <x:v>0</x:v>
      </x:c>
      <x:c r="N362" s="24" t="str">
        <x:v>paraclinus fasciatus</x:v>
      </x:c>
      <x:c r="O362" s="32" t="n">
        <x:v>3.6</x:v>
      </x:c>
      <x:c r="P362" s="24" t="str">
        <x:v>exact_sea_around_us</x:v>
      </x:c>
      <x:c r="Q362" s="32" t="str">
        <x:v>Sea Around Us exploited organisms</x:v>
      </x:c>
      <x:c r="R362" s="24" t="str">
        <x:v>high</x:v>
      </x:c>
      <x:c r="S362" s="24" t="str">
        <x:v>Paraclinus fasciatus</x:v>
      </x:c>
      <x:c r="T362" s="32" t="n">
        <x:f>IF(O362="","",(1/'Metadata'!$B$5)^(O362-1))</x:f>
        <x:v>398.1071705534973</x:v>
      </x:c>
      <x:c r="U362" s="31" t="n">
        <x:f>IF(T362="","",I362*T362)</x:f>
        <x:v>22.40903867862042</x:v>
      </x:c>
    </x:row>
    <x:row r="363" ht="18" customHeight="1">
      <x:c r="A363" s="24" t="str">
        <x:v>LME_005</x:v>
      </x:c>
      <x:c r="B363" s="24" t="str">
        <x:v>Gulf of Mexico</x:v>
      </x:c>
      <x:c r="C363" s="24" t="str">
        <x:v>LME</x:v>
      </x:c>
      <x:c r="D363" s="30" t="n">
        <x:v>2019</x:v>
      </x:c>
      <x:c r="E363" s="24" t="str">
        <x:v>Sparisoma aurofrenatum</x:v>
      </x:c>
      <x:c r="F363" s="24" t="str">
        <x:v>Redband parrotfish</x:v>
      </x:c>
      <x:c r="G363" s="24" t="str">
        <x:v>Small reef assoc. fish (&lt;30 cm)</x:v>
      </x:c>
      <x:c r="H363" s="24" t="str">
        <x:v>Perch-likes</x:v>
      </x:c>
      <x:c r="I363" s="31" t="n">
        <x:v>0.056249539999999994</x:v>
      </x:c>
      <x:c r="J363" s="31" t="n">
        <x:v>0.056249539999999994</x:v>
      </x:c>
      <x:c r="K363" s="31" t="n">
        <x:v>0</x:v>
      </x:c>
      <x:c r="L363" s="31" t="n">
        <x:v>0.056249539999999994</x:v>
      </x:c>
      <x:c r="M363" s="31" t="n">
        <x:v>0</x:v>
      </x:c>
      <x:c r="N363" s="24" t="str">
        <x:v>sparisoma aurofrenatum</x:v>
      </x:c>
      <x:c r="O363" s="32" t="n">
        <x:v>2.02</x:v>
      </x:c>
      <x:c r="P363" s="24" t="str">
        <x:v>exact_2020_supplement</x:v>
      </x:c>
      <x:c r="Q363" s="32" t="str">
        <x:v>2020 supplement MeanTL</x:v>
      </x:c>
      <x:c r="R363" s="24" t="str">
        <x:v>high</x:v>
      </x:c>
      <x:c r="S363" s="24" t="str">
        <x:v>Sparisoma aurofrenatum</x:v>
      </x:c>
      <x:c r="T363" s="32" t="n">
        <x:f>IF(O363="","",(1/'Metadata'!$B$5)^(O363-1))</x:f>
        <x:v>10.471285480508996</x:v>
      </x:c>
      <x:c r="U363" s="31" t="n">
        <x:f>IF(T363="","",I363*T363)</x:f>
        <x:v>0.5890049914873099</x:v>
      </x:c>
    </x:row>
    <x:row r="364" ht="18" customHeight="1">
      <x:c r="A364" s="24" t="str">
        <x:v>LME_005</x:v>
      </x:c>
      <x:c r="B364" s="24" t="str">
        <x:v>Gulf of Mexico</x:v>
      </x:c>
      <x:c r="C364" s="24" t="str">
        <x:v>LME</x:v>
      </x:c>
      <x:c r="D364" s="30" t="n">
        <x:v>2019</x:v>
      </x:c>
      <x:c r="E364" s="24" t="str">
        <x:v>Serranus tigrinus</x:v>
      </x:c>
      <x:c r="F364" s="24" t="str">
        <x:v>Harlequin bass</x:v>
      </x:c>
      <x:c r="G364" s="24" t="str">
        <x:v>Small reef assoc. fish (&lt;30 cm)</x:v>
      </x:c>
      <x:c r="H364" s="24" t="str">
        <x:v>Perch-likes</x:v>
      </x:c>
      <x:c r="I364" s="31" t="n">
        <x:v>0.055600591299999995</x:v>
      </x:c>
      <x:c r="J364" s="31" t="n">
        <x:v>0.055600591299999995</x:v>
      </x:c>
      <x:c r="K364" s="31" t="n">
        <x:v>0</x:v>
      </x:c>
      <x:c r="L364" s="31" t="n">
        <x:v>0.055600591299999995</x:v>
      </x:c>
      <x:c r="M364" s="31" t="n">
        <x:v>0</x:v>
      </x:c>
      <x:c r="N364" s="24" t="str">
        <x:v>serranus tigrinus</x:v>
      </x:c>
      <x:c r="O364" s="32" t="n">
        <x:v>3.72</x:v>
      </x:c>
      <x:c r="P364" s="24" t="str">
        <x:v>exact_2020_supplement</x:v>
      </x:c>
      <x:c r="Q364" s="32" t="str">
        <x:v>2020 supplement MeanTL</x:v>
      </x:c>
      <x:c r="R364" s="24" t="str">
        <x:v>high</x:v>
      </x:c>
      <x:c r="S364" s="24" t="str">
        <x:v>Serranus tigrinus</x:v>
      </x:c>
      <x:c r="T364" s="32" t="n">
        <x:f>IF(O364="","",(1/'Metadata'!$B$5)^(O364-1))</x:f>
        <x:v>524.8074602497728</x:v>
      </x:c>
      <x:c r="U364" s="31" t="n">
        <x:f>IF(T364="","",I364*T364)</x:f>
        <x:v>29.179605108538613</x:v>
      </x:c>
    </x:row>
    <x:row r="365" ht="18" customHeight="1">
      <x:c r="A365" s="24" t="str">
        <x:v>LME_005</x:v>
      </x:c>
      <x:c r="B365" s="24" t="str">
        <x:v>Gulf of Mexico</x:v>
      </x:c>
      <x:c r="C365" s="24" t="str">
        <x:v>LME</x:v>
      </x:c>
      <x:c r="D365" s="30" t="n">
        <x:v>2019</x:v>
      </x:c>
      <x:c r="E365" s="24" t="str">
        <x:v>Lunarca ovalis</x:v>
      </x:c>
      <x:c r="F365" s="24" t="str">
        <x:v>Oval blood ark</x:v>
      </x:c>
      <x:c r="G365" s="24" t="str">
        <x:v>Other demersal invertebrates</x:v>
      </x:c>
      <x:c r="H365" s="24" t="str">
        <x:v>Molluscs</x:v>
      </x:c>
      <x:c r="I365" s="31" t="n">
        <x:v>0.05104077110000001</x:v>
      </x:c>
      <x:c r="J365" s="31" t="n">
        <x:v>0.05104077110000001</x:v>
      </x:c>
      <x:c r="K365" s="31" t="n">
        <x:v>0</x:v>
      </x:c>
      <x:c r="L365" s="31" t="n">
        <x:v>0.040041727500000006</x:v>
      </x:c>
      <x:c r="M365" s="31" t="n">
        <x:v>0.010999043600000001</x:v>
      </x:c>
      <x:c r="N365" s="24" t="str">
        <x:v>lunarca ovalis</x:v>
      </x:c>
      <x:c r="O365" s="32" t="n">
        <x:v>2</x:v>
      </x:c>
      <x:c r="P365" s="24" t="str">
        <x:v>exact_sea_around_us</x:v>
      </x:c>
      <x:c r="Q365" s="32" t="str">
        <x:v>Sea Around Us exploited organisms</x:v>
      </x:c>
      <x:c r="R365" s="24" t="str">
        <x:v>high</x:v>
      </x:c>
      <x:c r="S365" s="24" t="str">
        <x:v>Lunarca ovalis</x:v>
      </x:c>
      <x:c r="T365" s="32" t="n">
        <x:f>IF(O365="","",(1/'Metadata'!$B$5)^(O365-1))</x:f>
        <x:v>10</x:v>
      </x:c>
      <x:c r="U365" s="31" t="n">
        <x:f>IF(T365="","",I365*T365)</x:f>
        <x:v>0.510407711</x:v>
      </x:c>
    </x:row>
    <x:row r="366" ht="18" customHeight="1">
      <x:c r="A366" s="24" t="str">
        <x:v>LME_005</x:v>
      </x:c>
      <x:c r="B366" s="24" t="str">
        <x:v>Gulf of Mexico</x:v>
      </x:c>
      <x:c r="C366" s="24" t="str">
        <x:v>LME</x:v>
      </x:c>
      <x:c r="D366" s="30" t="n">
        <x:v>2019</x:v>
      </x:c>
      <x:c r="E366" s="24" t="str">
        <x:v>Neoniphon coruscum</x:v>
      </x:c>
      <x:c r="F366" s="24" t="str">
        <x:v>Reef squirrelfish</x:v>
      </x:c>
      <x:c r="G366" s="24" t="str">
        <x:v>Small reef assoc. fish (&lt;30 cm)</x:v>
      </x:c>
      <x:c r="H366" s="24" t="str">
        <x:v>Other fishes &amp; inverts</x:v>
      </x:c>
      <x:c r="I366" s="31" t="n">
        <x:v>0.050757090299999995</x:v>
      </x:c>
      <x:c r="J366" s="31" t="n">
        <x:v>0.050757090299999995</x:v>
      </x:c>
      <x:c r="K366" s="31" t="n">
        <x:v>0</x:v>
      </x:c>
      <x:c r="L366" s="31" t="n">
        <x:v>0.050757090299999995</x:v>
      </x:c>
      <x:c r="M366" s="31" t="n">
        <x:v>0</x:v>
      </x:c>
      <x:c r="N366" s="24" t="str">
        <x:v>neoniphon coruscum</x:v>
      </x:c>
      <x:c r="O366" s="32" t="n">
        <x:v>3.57</x:v>
      </x:c>
      <x:c r="P366" s="24" t="str">
        <x:v>exact_sea_around_us</x:v>
      </x:c>
      <x:c r="Q366" s="32" t="str">
        <x:v>Sea Around Us exploited organisms</x:v>
      </x:c>
      <x:c r="R366" s="24" t="str">
        <x:v>high</x:v>
      </x:c>
      <x:c r="S366" s="24" t="str">
        <x:v>Neoniphon coruscum</x:v>
      </x:c>
      <x:c r="T366" s="32" t="n">
        <x:f>IF(O366="","",(1/'Metadata'!$B$5)^(O366-1))</x:f>
        <x:v>371.5352290971724</x:v>
      </x:c>
      <x:c r="U366" s="31" t="n">
        <x:f>IF(T366="","",I366*T366)</x:f>
        <x:v>18.858047172916365</x:v>
      </x:c>
    </x:row>
    <x:row r="367" ht="18" customHeight="1">
      <x:c r="A367" s="24" t="str">
        <x:v>LME_005</x:v>
      </x:c>
      <x:c r="B367" s="24" t="str">
        <x:v>Gulf of Mexico</x:v>
      </x:c>
      <x:c r="C367" s="24" t="str">
        <x:v>LME</x:v>
      </x:c>
      <x:c r="D367" s="30" t="n">
        <x:v>2019</x:v>
      </x:c>
      <x:c r="E367" s="24" t="str">
        <x:v>Astrophyton muricatum</x:v>
      </x:c>
      <x:c r="F367" s="24" t="str">
        <x:v>Giant basket star</x:v>
      </x:c>
      <x:c r="G367" s="24" t="str">
        <x:v>Other demersal invertebrates</x:v>
      </x:c>
      <x:c r="H367" s="24" t="str">
        <x:v>Other fishes &amp; inverts</x:v>
      </x:c>
      <x:c r="I367" s="31" t="n">
        <x:v>0.0491297704</x:v>
      </x:c>
      <x:c r="J367" s="31" t="n">
        <x:v>0.0491297704</x:v>
      </x:c>
      <x:c r="K367" s="31" t="n">
        <x:v>0</x:v>
      </x:c>
      <x:c r="L367" s="31" t="n">
        <x:v>0.0491297704</x:v>
      </x:c>
      <x:c r="M367" s="31" t="n">
        <x:v>0</x:v>
      </x:c>
      <x:c r="N367" s="24" t="str">
        <x:v>astrophyton muricatum</x:v>
      </x:c>
      <x:c r="O367" s="32" t="n">
        <x:v>3.1</x:v>
      </x:c>
      <x:c r="P367" s="24" t="str">
        <x:v>exact_sea_around_us</x:v>
      </x:c>
      <x:c r="Q367" s="32" t="str">
        <x:v>Sea Around Us exploited organisms</x:v>
      </x:c>
      <x:c r="R367" s="24" t="str">
        <x:v>high</x:v>
      </x:c>
      <x:c r="S367" s="24" t="str">
        <x:v>Astrophyton muricatum</x:v>
      </x:c>
      <x:c r="T367" s="32" t="n">
        <x:f>IF(O367="","",(1/'Metadata'!$B$5)^(O367-1))</x:f>
        <x:v>125.89254117941675</x:v>
      </x:c>
      <x:c r="U367" s="31" t="n">
        <x:f>IF(T367="","",I367*T367)</x:f>
        <x:v>6.185071643217291</x:v>
      </x:c>
    </x:row>
    <x:row r="368" ht="18" customHeight="1">
      <x:c r="A368" s="24" t="str">
        <x:v>LME_005</x:v>
      </x:c>
      <x:c r="B368" s="24" t="str">
        <x:v>Gulf of Mexico</x:v>
      </x:c>
      <x:c r="C368" s="24" t="str">
        <x:v>LME</x:v>
      </x:c>
      <x:c r="D368" s="30" t="n">
        <x:v>2019</x:v>
      </x:c>
      <x:c r="E368" s="24" t="str">
        <x:v>Paranthias furcifer</x:v>
      </x:c>
      <x:c r="F368" s="24" t="str">
        <x:v>Creole-fish</x:v>
      </x:c>
      <x:c r="G368" s="24" t="str">
        <x:v>Medium benthopelagics (30 - 89 cm)</x:v>
      </x:c>
      <x:c r="H368" s="24" t="str">
        <x:v>Perch-likes</x:v>
      </x:c>
      <x:c r="I368" s="31" t="n">
        <x:v>0.0466678104</x:v>
      </x:c>
      <x:c r="J368" s="31" t="n">
        <x:v>0.0466678104</x:v>
      </x:c>
      <x:c r="K368" s="31" t="n">
        <x:v>0</x:v>
      </x:c>
      <x:c r="L368" s="31" t="n">
        <x:v>0.0455827177</x:v>
      </x:c>
      <x:c r="M368" s="31" t="n">
        <x:v>0.0010850927</x:v>
      </x:c>
      <x:c r="N368" s="24" t="str">
        <x:v>paranthias furcifer</x:v>
      </x:c>
      <x:c r="O368" s="32" t="n">
        <x:v>3.21</x:v>
      </x:c>
      <x:c r="P368" s="24" t="str">
        <x:v>exact_2020_supplement</x:v>
      </x:c>
      <x:c r="Q368" s="32" t="str">
        <x:v>2020 supplement MeanTL</x:v>
      </x:c>
      <x:c r="R368" s="24" t="str">
        <x:v>high</x:v>
      </x:c>
      <x:c r="S368" s="24" t="str">
        <x:v>Paranthias furcifer</x:v>
      </x:c>
      <x:c r="T368" s="32" t="n">
        <x:f>IF(O368="","",(1/'Metadata'!$B$5)^(O368-1))</x:f>
        <x:v>162.18100973589299</x:v>
      </x:c>
      <x:c r="U368" s="31" t="n">
        <x:f>IF(T368="","",I368*T368)</x:f>
        <x:v>7.568632612835208</x:v>
      </x:c>
    </x:row>
    <x:row r="369" ht="18" customHeight="1">
      <x:c r="A369" s="24" t="str">
        <x:v>LME_005</x:v>
      </x:c>
      <x:c r="B369" s="24" t="str">
        <x:v>Gulf of Mexico</x:v>
      </x:c>
      <x:c r="C369" s="24" t="str">
        <x:v>LME</x:v>
      </x:c>
      <x:c r="D369" s="30" t="n">
        <x:v>2019</x:v>
      </x:c>
      <x:c r="E369" s="24" t="str">
        <x:v>Diodon holocanthus</x:v>
      </x:c>
      <x:c r="F369" s="24" t="str">
        <x:v>Longspined porcupinefish</x:v>
      </x:c>
      <x:c r="G369" s="24" t="str">
        <x:v>Medium reef assoc. fish (30 - 89 cm)</x:v>
      </x:c>
      <x:c r="H369" s="24" t="str">
        <x:v>Other fishes &amp; inverts</x:v>
      </x:c>
      <x:c r="I369" s="31" t="n">
        <x:v>0.045486063</x:v>
      </x:c>
      <x:c r="J369" s="31" t="n">
        <x:v>0.045486063</x:v>
      </x:c>
      <x:c r="K369" s="31" t="n">
        <x:v>0</x:v>
      </x:c>
      <x:c r="L369" s="31" t="n">
        <x:v>0.045486063</x:v>
      </x:c>
      <x:c r="M369" s="31" t="n">
        <x:v>0</x:v>
      </x:c>
      <x:c r="N369" s="24" t="str">
        <x:v>diodon holocanthus</x:v>
      </x:c>
      <x:c r="O369" s="32" t="n">
        <x:v>3.85</x:v>
      </x:c>
      <x:c r="P369" s="24" t="str">
        <x:v>exact_2020_supplement</x:v>
      </x:c>
      <x:c r="Q369" s="32" t="str">
        <x:v>2020 supplement MeanTL</x:v>
      </x:c>
      <x:c r="R369" s="24" t="str">
        <x:v>high</x:v>
      </x:c>
      <x:c r="S369" s="24" t="str">
        <x:v>Diodon holocanthus</x:v>
      </x:c>
      <x:c r="T369" s="32" t="n">
        <x:f>IF(O369="","",(1/'Metadata'!$B$5)^(O369-1))</x:f>
        <x:v>707.945784384138</x:v>
      </x:c>
      <x:c r="U369" s="31" t="n">
        <x:f>IF(T369="","",I369*T369)</x:f>
        <x:v>32.20166654908132</x:v>
      </x:c>
    </x:row>
    <x:row r="370" ht="18" customHeight="1">
      <x:c r="A370" s="24" t="str">
        <x:v>LME_005</x:v>
      </x:c>
      <x:c r="B370" s="24" t="str">
        <x:v>Gulf of Mexico</x:v>
      </x:c>
      <x:c r="C370" s="24" t="str">
        <x:v>LME</x:v>
      </x:c>
      <x:c r="D370" s="30" t="n">
        <x:v>2019</x:v>
      </x:c>
      <x:c r="E370" s="24" t="str">
        <x:v>Macrocypraea cervus</x:v>
      </x:c>
      <x:c r="F370" s="24" t="str">
        <x:v>Atlantic deer cowrie</x:v>
      </x:c>
      <x:c r="G370" s="24" t="str">
        <x:v>Other demersal invertebrates</x:v>
      </x:c>
      <x:c r="H370" s="24" t="str">
        <x:v>Molluscs</x:v>
      </x:c>
      <x:c r="I370" s="31" t="n">
        <x:v>0.0453592909</x:v>
      </x:c>
      <x:c r="J370" s="31" t="n">
        <x:v>0.0453592909</x:v>
      </x:c>
      <x:c r="K370" s="31" t="n">
        <x:v>0</x:v>
      </x:c>
      <x:c r="L370" s="31" t="n">
        <x:v>0.0453592909</x:v>
      </x:c>
      <x:c r="M370" s="31" t="n">
        <x:v>0</x:v>
      </x:c>
      <x:c r="N370" s="24" t="str">
        <x:v>macrocypraea cervus</x:v>
      </x:c>
      <x:c r="O370" s="32" t="n">
        <x:v>2.28</x:v>
      </x:c>
      <x:c r="P370" s="24" t="str">
        <x:v>exact_sea_around_us</x:v>
      </x:c>
      <x:c r="Q370" s="32" t="str">
        <x:v>Sea Around Us exploited organisms</x:v>
      </x:c>
      <x:c r="R370" s="24" t="str">
        <x:v>high</x:v>
      </x:c>
      <x:c r="S370" s="24" t="str">
        <x:v>Macrocypraea cervus</x:v>
      </x:c>
      <x:c r="T370" s="32" t="n">
        <x:f>IF(O370="","",(1/'Metadata'!$B$5)^(O370-1))</x:f>
        <x:v>19.054607179632463</x:v>
      </x:c>
      <x:c r="U370" s="31" t="n">
        <x:f>IF(T370="","",I370*T370)</x:f>
        <x:v>0.8643034700461775</x:v>
      </x:c>
    </x:row>
    <x:row r="371" ht="18" customHeight="1">
      <x:c r="A371" s="24" t="str">
        <x:v>LME_005</x:v>
      </x:c>
      <x:c r="B371" s="24" t="str">
        <x:v>Gulf of Mexico</x:v>
      </x:c>
      <x:c r="C371" s="24" t="str">
        <x:v>LME</x:v>
      </x:c>
      <x:c r="D371" s="30" t="n">
        <x:v>2019</x:v>
      </x:c>
      <x:c r="E371" s="24" t="str">
        <x:v>Sparisoma viride</x:v>
      </x:c>
      <x:c r="F371" s="24" t="str">
        <x:v>Stoplight parrotfish</x:v>
      </x:c>
      <x:c r="G371" s="24" t="str">
        <x:v>Medium reef assoc. fish (30 - 89 cm)</x:v>
      </x:c>
      <x:c r="H371" s="24" t="str">
        <x:v>Perch-likes</x:v>
      </x:c>
      <x:c r="I371" s="31" t="n">
        <x:v>0.0420703502</x:v>
      </x:c>
      <x:c r="J371" s="31" t="n">
        <x:v>0.0420703502</x:v>
      </x:c>
      <x:c r="K371" s="31" t="n">
        <x:v>0</x:v>
      </x:c>
      <x:c r="L371" s="31" t="n">
        <x:v>0.0420703502</x:v>
      </x:c>
      <x:c r="M371" s="31" t="n">
        <x:v>0</x:v>
      </x:c>
      <x:c r="N371" s="24" t="str">
        <x:v>sparisoma viride</x:v>
      </x:c>
      <x:c r="O371" s="32" t="n">
        <x:v>2</x:v>
      </x:c>
      <x:c r="P371" s="24" t="str">
        <x:v>exact_2020_supplement</x:v>
      </x:c>
      <x:c r="Q371" s="32" t="str">
        <x:v>2020 supplement MeanTL</x:v>
      </x:c>
      <x:c r="R371" s="24" t="str">
        <x:v>high</x:v>
      </x:c>
      <x:c r="S371" s="24" t="str">
        <x:v>Sparisoma viride</x:v>
      </x:c>
      <x:c r="T371" s="32" t="n">
        <x:f>IF(O371="","",(1/'Metadata'!$B$5)^(O371-1))</x:f>
        <x:v>10</x:v>
      </x:c>
      <x:c r="U371" s="31" t="n">
        <x:f>IF(T371="","",I371*T371)</x:f>
        <x:v>0.420703502</x:v>
      </x:c>
    </x:row>
    <x:row r="372" ht="18" customHeight="1">
      <x:c r="A372" s="24" t="str">
        <x:v>LME_005</x:v>
      </x:c>
      <x:c r="B372" s="24" t="str">
        <x:v>Gulf of Mexico</x:v>
      </x:c>
      <x:c r="C372" s="24" t="str">
        <x:v>LME</x:v>
      </x:c>
      <x:c r="D372" s="30" t="n">
        <x:v>2019</x:v>
      </x:c>
      <x:c r="E372" s="24" t="str">
        <x:v>Abudefduf saxatilis</x:v>
      </x:c>
      <x:c r="F372" s="24" t="str">
        <x:v>Sergeant-major</x:v>
      </x:c>
      <x:c r="G372" s="24" t="str">
        <x:v>Small reef assoc. fish (&lt;30 cm)</x:v>
      </x:c>
      <x:c r="H372" s="24" t="str">
        <x:v>Perch-likes</x:v>
      </x:c>
      <x:c r="I372" s="31" t="n">
        <x:v>0.0406409577</x:v>
      </x:c>
      <x:c r="J372" s="31" t="n">
        <x:v>0.0406409577</x:v>
      </x:c>
      <x:c r="K372" s="31" t="n">
        <x:v>0</x:v>
      </x:c>
      <x:c r="L372" s="31" t="n">
        <x:v>0.0406409577</x:v>
      </x:c>
      <x:c r="M372" s="31" t="n">
        <x:v>0</x:v>
      </x:c>
      <x:c r="N372" s="24" t="str">
        <x:v>abudefduf saxatilis</x:v>
      </x:c>
      <x:c r="O372" s="32" t="n">
        <x:v>3.82</x:v>
      </x:c>
      <x:c r="P372" s="24" t="str">
        <x:v>exact_2020_supplement</x:v>
      </x:c>
      <x:c r="Q372" s="32" t="str">
        <x:v>2020 supplement MeanTL</x:v>
      </x:c>
      <x:c r="R372" s="24" t="str">
        <x:v>high</x:v>
      </x:c>
      <x:c r="S372" s="24" t="str">
        <x:v>Abudefduf saxatilis</x:v>
      </x:c>
      <x:c r="T372" s="32" t="n">
        <x:f>IF(O372="","",(1/'Metadata'!$B$5)^(O372-1))</x:f>
        <x:v>660.6934480075957</x:v>
      </x:c>
      <x:c r="U372" s="31" t="n">
        <x:f>IF(T372="","",I372*T372)</x:f>
        <x:v>26.85121447314385</x:v>
      </x:c>
    </x:row>
    <x:row r="373" ht="18" customHeight="1">
      <x:c r="A373" s="24" t="str">
        <x:v>LME_005</x:v>
      </x:c>
      <x:c r="B373" s="24" t="str">
        <x:v>Gulf of Mexico</x:v>
      </x:c>
      <x:c r="C373" s="24" t="str">
        <x:v>LME</x:v>
      </x:c>
      <x:c r="D373" s="30" t="n">
        <x:v>2019</x:v>
      </x:c>
      <x:c r="E373" s="24" t="str">
        <x:v>Spondylus americanus</x:v>
      </x:c>
      <x:c r="F373" s="24" t="str">
        <x:v>Atlantic thorny oyster</x:v>
      </x:c>
      <x:c r="G373" s="24" t="str">
        <x:v>Other demersal invertebrates</x:v>
      </x:c>
      <x:c r="H373" s="24" t="str">
        <x:v>Molluscs</x:v>
      </x:c>
      <x:c r="I373" s="31" t="n">
        <x:v>0.0385832588</x:v>
      </x:c>
      <x:c r="J373" s="31" t="n">
        <x:v>0.0385832588</x:v>
      </x:c>
      <x:c r="K373" s="31" t="n">
        <x:v>0</x:v>
      </x:c>
      <x:c r="L373" s="31" t="n">
        <x:v>0.0385832588</x:v>
      </x:c>
      <x:c r="M373" s="31" t="n">
        <x:v>0</x:v>
      </x:c>
      <x:c r="N373" s="24" t="str">
        <x:v>spondylus americanus</x:v>
      </x:c>
      <x:c r="O373" s="32" t="n">
        <x:v>2.02</x:v>
      </x:c>
      <x:c r="P373" s="24" t="str">
        <x:v>exact_sea_around_us</x:v>
      </x:c>
      <x:c r="Q373" s="32" t="str">
        <x:v>Sea Around Us exploited organisms</x:v>
      </x:c>
      <x:c r="R373" s="24" t="str">
        <x:v>high</x:v>
      </x:c>
      <x:c r="S373" s="24" t="str">
        <x:v>Spondylus americanus</x:v>
      </x:c>
      <x:c r="T373" s="32" t="n">
        <x:f>IF(O373="","",(1/'Metadata'!$B$5)^(O373-1))</x:f>
        <x:v>10.471285480508996</x:v>
      </x:c>
      <x:c r="U373" s="31" t="n">
        <x:f>IF(T373="","",I373*T373)</x:f>
        <x:v>0.40401631766316093</x:v>
      </x:c>
    </x:row>
    <x:row r="374" ht="18" customHeight="1">
      <x:c r="A374" s="24" t="str">
        <x:v>LME_005</x:v>
      </x:c>
      <x:c r="B374" s="24" t="str">
        <x:v>Gulf of Mexico</x:v>
      </x:c>
      <x:c r="C374" s="24" t="str">
        <x:v>LME</x:v>
      </x:c>
      <x:c r="D374" s="30" t="n">
        <x:v>2019</x:v>
      </x:c>
      <x:c r="E374" s="24" t="str">
        <x:v>Cantherhines macrocerus</x:v>
      </x:c>
      <x:c r="F374" s="24" t="str">
        <x:v>American whitespotted filefish</x:v>
      </x:c>
      <x:c r="G374" s="24" t="str">
        <x:v>Medium reef assoc. fish (30 - 89 cm)</x:v>
      </x:c>
      <x:c r="H374" s="24" t="str">
        <x:v>Other fishes &amp; inverts</x:v>
      </x:c>
      <x:c r="I374" s="31" t="n">
        <x:v>0.0382004187</x:v>
      </x:c>
      <x:c r="J374" s="31" t="n">
        <x:v>0.0382004187</x:v>
      </x:c>
      <x:c r="K374" s="31" t="n">
        <x:v>0</x:v>
      </x:c>
      <x:c r="L374" s="31" t="n">
        <x:v>0.0382004187</x:v>
      </x:c>
      <x:c r="M374" s="31" t="n">
        <x:v>0</x:v>
      </x:c>
      <x:c r="N374" s="24" t="str">
        <x:v>cantherhines macrocerus</x:v>
      </x:c>
      <x:c r="O374" s="32" t="n">
        <x:v>3.06</x:v>
      </x:c>
      <x:c r="P374" s="24" t="str">
        <x:v>exact_2020_supplement</x:v>
      </x:c>
      <x:c r="Q374" s="32" t="str">
        <x:v>2020 supplement MeanTL</x:v>
      </x:c>
      <x:c r="R374" s="24" t="str">
        <x:v>high</x:v>
      </x:c>
      <x:c r="S374" s="24" t="str">
        <x:v>Cantherhines macrocerus</x:v>
      </x:c>
      <x:c r="T374" s="32" t="n">
        <x:f>IF(O374="","",(1/'Metadata'!$B$5)^(O374-1))</x:f>
        <x:v>114.81536214968828</x:v>
      </x:c>
      <x:c r="U374" s="31" t="n">
        <x:f>IF(T374="","",I374*T374)</x:f>
        <x:v>4.3859949073102245</x:v>
      </x:c>
    </x:row>
    <x:row r="375" ht="18" customHeight="1">
      <x:c r="A375" s="24" t="str">
        <x:v>LME_005</x:v>
      </x:c>
      <x:c r="B375" s="24" t="str">
        <x:v>Gulf of Mexico</x:v>
      </x:c>
      <x:c r="C375" s="24" t="str">
        <x:v>LME</x:v>
      </x:c>
      <x:c r="D375" s="30" t="n">
        <x:v>2019</x:v>
      </x:c>
      <x:c r="E375" s="24" t="str">
        <x:v>Gymnothorax nigromarginatus</x:v>
      </x:c>
      <x:c r="F375" s="24" t="str">
        <x:v>Blackedge moray</x:v>
      </x:c>
      <x:c r="G375" s="24" t="str">
        <x:v>Large reef assoc. fish (&gt;=90 cm)</x:v>
      </x:c>
      <x:c r="H375" s="24" t="str">
        <x:v>Other fishes &amp; inverts</x:v>
      </x:c>
      <x:c r="I375" s="31" t="n">
        <x:v>0.0355798843</x:v>
      </x:c>
      <x:c r="J375" s="31" t="n">
        <x:v>0.0355798843</x:v>
      </x:c>
      <x:c r="K375" s="31" t="n">
        <x:v>0</x:v>
      </x:c>
      <x:c r="L375" s="31" t="n">
        <x:v>0.0355798843</x:v>
      </x:c>
      <x:c r="M375" s="31" t="n">
        <x:v>0</x:v>
      </x:c>
      <x:c r="N375" s="24" t="str">
        <x:v>gymnothorax nigromarginatus</x:v>
      </x:c>
      <x:c r="O375" s="32" t="n">
        <x:v>4.04</x:v>
      </x:c>
      <x:c r="P375" s="24" t="str">
        <x:v>exact_sea_around_us</x:v>
      </x:c>
      <x:c r="Q375" s="32" t="str">
        <x:v>Sea Around Us exploited organisms</x:v>
      </x:c>
      <x:c r="R375" s="24" t="str">
        <x:v>high</x:v>
      </x:c>
      <x:c r="S375" s="24" t="str">
        <x:v>Gymnothorax nigromarginatus</x:v>
      </x:c>
      <x:c r="T375" s="32" t="n">
        <x:f>IF(O375="","",(1/'Metadata'!$B$5)^(O375-1))</x:f>
        <x:v>1096.4781961431852</x:v>
      </x:c>
      <x:c r="U375" s="31" t="n">
        <x:f>IF(T375="","",I375*T375)</x:f>
        <x:v>39.01256735624724</x:v>
      </x:c>
    </x:row>
    <x:row r="376" ht="18" customHeight="1">
      <x:c r="A376" s="24" t="str">
        <x:v>LME_005</x:v>
      </x:c>
      <x:c r="B376" s="24" t="str">
        <x:v>Gulf of Mexico</x:v>
      </x:c>
      <x:c r="C376" s="24" t="str">
        <x:v>LME</x:v>
      </x:c>
      <x:c r="D376" s="30" t="n">
        <x:v>2019</x:v>
      </x:c>
      <x:c r="E376" s="24" t="str">
        <x:v>Conger oceanicus</x:v>
      </x:c>
      <x:c r="F376" s="24" t="str">
        <x:v>American conger</x:v>
      </x:c>
      <x:c r="G376" s="24" t="str">
        <x:v>Large demersals (&gt;=90 cm)</x:v>
      </x:c>
      <x:c r="H376" s="24" t="str">
        <x:v>Other fishes &amp; inverts</x:v>
      </x:c>
      <x:c r="I376" s="31" t="n">
        <x:v>0.0312741933</x:v>
      </x:c>
      <x:c r="J376" s="31" t="n">
        <x:v>0.0312741933</x:v>
      </x:c>
      <x:c r="K376" s="31" t="n">
        <x:v>0</x:v>
      </x:c>
      <x:c r="L376" s="31" t="n">
        <x:v>0.0312741933</x:v>
      </x:c>
      <x:c r="M376" s="31" t="n">
        <x:v>0</x:v>
      </x:c>
      <x:c r="N376" s="24" t="str">
        <x:v>conger oceanicus</x:v>
      </x:c>
      <x:c r="O376" s="32" t="n">
        <x:v>4.5</x:v>
      </x:c>
      <x:c r="P376" s="24" t="str">
        <x:v>exact_2020_supplement</x:v>
      </x:c>
      <x:c r="Q376" s="32" t="str">
        <x:v>2020 supplement MeanTL</x:v>
      </x:c>
      <x:c r="R376" s="24" t="str">
        <x:v>high</x:v>
      </x:c>
      <x:c r="S376" s="24" t="str">
        <x:v>Conger oceanicus</x:v>
      </x:c>
      <x:c r="T376" s="32" t="n">
        <x:f>IF(O376="","",(1/'Metadata'!$B$5)^(O376-1))</x:f>
        <x:v>3162.2776601683795</x:v>
      </x:c>
      <x:c r="U376" s="31" t="n">
        <x:f>IF(T376="","",I376*T376)</x:f>
        <x:v>98.89768281237762</x:v>
      </x:c>
    </x:row>
    <x:row r="377" ht="18" customHeight="1">
      <x:c r="A377" s="24" t="str">
        <x:v>LME_005</x:v>
      </x:c>
      <x:c r="B377" s="24" t="str">
        <x:v>Gulf of Mexico</x:v>
      </x:c>
      <x:c r="C377" s="24" t="str">
        <x:v>LME</x:v>
      </x:c>
      <x:c r="D377" s="30" t="n">
        <x:v>2019</x:v>
      </x:c>
      <x:c r="E377" s="24" t="str">
        <x:v>Scarus coeruleus</x:v>
      </x:c>
      <x:c r="F377" s="24" t="str">
        <x:v>Blue parrotfish</x:v>
      </x:c>
      <x:c r="G377" s="24" t="str">
        <x:v>Large reef assoc. fish (&gt;=90 cm)</x:v>
      </x:c>
      <x:c r="H377" s="24" t="str">
        <x:v>Perch-likes</x:v>
      </x:c>
      <x:c r="I377" s="31" t="n">
        <x:v>0.0310461987</x:v>
      </x:c>
      <x:c r="J377" s="31" t="n">
        <x:v>0.0310461987</x:v>
      </x:c>
      <x:c r="K377" s="31" t="n">
        <x:v>0</x:v>
      </x:c>
      <x:c r="L377" s="31" t="n">
        <x:v>0.0310461987</x:v>
      </x:c>
      <x:c r="M377" s="31" t="n">
        <x:v>0</x:v>
      </x:c>
      <x:c r="N377" s="24" t="str">
        <x:v>scarus coeruleus</x:v>
      </x:c>
      <x:c r="O377" s="32" t="n">
        <x:v>2</x:v>
      </x:c>
      <x:c r="P377" s="24" t="str">
        <x:v>exact_2020_supplement</x:v>
      </x:c>
      <x:c r="Q377" s="32" t="str">
        <x:v>2020 supplement MeanTL</x:v>
      </x:c>
      <x:c r="R377" s="24" t="str">
        <x:v>high</x:v>
      </x:c>
      <x:c r="S377" s="24" t="str">
        <x:v>Scarus coeruleus</x:v>
      </x:c>
      <x:c r="T377" s="32" t="n">
        <x:f>IF(O377="","",(1/'Metadata'!$B$5)^(O377-1))</x:f>
        <x:v>10</x:v>
      </x:c>
      <x:c r="U377" s="31" t="n">
        <x:f>IF(T377="","",I377*T377)</x:f>
        <x:v>0.310461987</x:v>
      </x:c>
    </x:row>
    <x:row r="378" ht="18" customHeight="1">
      <x:c r="A378" s="24" t="str">
        <x:v>LME_005</x:v>
      </x:c>
      <x:c r="B378" s="24" t="str">
        <x:v>Gulf of Mexico</x:v>
      </x:c>
      <x:c r="C378" s="24" t="str">
        <x:v>LME</x:v>
      </x:c>
      <x:c r="D378" s="30" t="n">
        <x:v>2019</x:v>
      </x:c>
      <x:c r="E378" s="24" t="str">
        <x:v>Stegastes partitus</x:v>
      </x:c>
      <x:c r="F378" s="24" t="str">
        <x:v>Bicolor damselfish</x:v>
      </x:c>
      <x:c r="G378" s="24" t="str">
        <x:v>Small reef assoc. fish (&lt;30 cm)</x:v>
      </x:c>
      <x:c r="H378" s="24" t="str">
        <x:v>Perch-likes</x:v>
      </x:c>
      <x:c r="I378" s="31" t="n">
        <x:v>0.029685078700000003</x:v>
      </x:c>
      <x:c r="J378" s="31" t="n">
        <x:v>0.029685078700000003</x:v>
      </x:c>
      <x:c r="K378" s="31" t="n">
        <x:v>0</x:v>
      </x:c>
      <x:c r="L378" s="31" t="n">
        <x:v>0.029685078700000003</x:v>
      </x:c>
      <x:c r="M378" s="31" t="n">
        <x:v>0</x:v>
      </x:c>
      <x:c r="N378" s="24" t="str">
        <x:v>stegastes partitus</x:v>
      </x:c>
      <x:c r="O378" s="32" t="n">
        <x:v>2</x:v>
      </x:c>
      <x:c r="P378" s="24" t="str">
        <x:v>exact_2020_supplement</x:v>
      </x:c>
      <x:c r="Q378" s="32" t="str">
        <x:v>2020 supplement MeanTL</x:v>
      </x:c>
      <x:c r="R378" s="24" t="str">
        <x:v>high</x:v>
      </x:c>
      <x:c r="S378" s="24" t="str">
        <x:v>Stegastes partitus</x:v>
      </x:c>
      <x:c r="T378" s="32" t="n">
        <x:f>IF(O378="","",(1/'Metadata'!$B$5)^(O378-1))</x:f>
        <x:v>10</x:v>
      </x:c>
      <x:c r="U378" s="31" t="n">
        <x:f>IF(T378="","",I378*T378)</x:f>
        <x:v>0.296850787</x:v>
      </x:c>
    </x:row>
    <x:row r="379" ht="18" customHeight="1">
      <x:c r="A379" s="24" t="str">
        <x:v>LME_005</x:v>
      </x:c>
      <x:c r="B379" s="24" t="str">
        <x:v>Gulf of Mexico</x:v>
      </x:c>
      <x:c r="C379" s="24" t="str">
        <x:v>LME</x:v>
      </x:c>
      <x:c r="D379" s="30" t="n">
        <x:v>2019</x:v>
      </x:c>
      <x:c r="E379" s="24" t="str">
        <x:v>Macrostrombus costatus</x:v>
      </x:c>
      <x:c r="F379" s="24" t="str">
        <x:v>Milk conch</x:v>
      </x:c>
      <x:c r="G379" s="24" t="str">
        <x:v>Other demersal invertebrates</x:v>
      </x:c>
      <x:c r="H379" s="24" t="str">
        <x:v>Molluscs</x:v>
      </x:c>
      <x:c r="I379" s="31" t="n">
        <x:v>0.027318421</x:v>
      </x:c>
      <x:c r="J379" s="31" t="n">
        <x:v>0.027318421</x:v>
      </x:c>
      <x:c r="K379" s="31" t="n">
        <x:v>0</x:v>
      </x:c>
      <x:c r="L379" s="31" t="n">
        <x:v>0.027318421</x:v>
      </x:c>
      <x:c r="M379" s="31" t="n">
        <x:v>0</x:v>
      </x:c>
      <x:c r="N379" s="24" t="str">
        <x:v>macrostrombus costatus</x:v>
      </x:c>
      <x:c r="O379" s="32" t="n">
        <x:v>2</x:v>
      </x:c>
      <x:c r="P379" s="24" t="str">
        <x:v>exact_sea_around_us</x:v>
      </x:c>
      <x:c r="Q379" s="32" t="str">
        <x:v>Sea Around Us exploited organisms</x:v>
      </x:c>
      <x:c r="R379" s="24" t="str">
        <x:v>high</x:v>
      </x:c>
      <x:c r="S379" s="24" t="str">
        <x:v>Macrostrombus costatus</x:v>
      </x:c>
      <x:c r="T379" s="32" t="n">
        <x:f>IF(O379="","",(1/'Metadata'!$B$5)^(O379-1))</x:f>
        <x:v>10</x:v>
      </x:c>
      <x:c r="U379" s="31" t="n">
        <x:f>IF(T379="","",I379*T379)</x:f>
        <x:v>0.27318421</x:v>
      </x:c>
    </x:row>
    <x:row r="380" ht="18" customHeight="1">
      <x:c r="A380" s="24" t="str">
        <x:v>LME_005</x:v>
      </x:c>
      <x:c r="B380" s="24" t="str">
        <x:v>Gulf of Mexico</x:v>
      </x:c>
      <x:c r="C380" s="24" t="str">
        <x:v>LME</x:v>
      </x:c>
      <x:c r="D380" s="30" t="n">
        <x:v>2019</x:v>
      </x:c>
      <x:c r="E380" s="24" t="str">
        <x:v>Lophiidae</x:v>
      </x:c>
      <x:c r="F380" s="24" t="str">
        <x:v>Goosefishes</x:v>
      </x:c>
      <x:c r="G380" s="24" t="str">
        <x:v>Medium bathydemersals (30 - 89 cm)</x:v>
      </x:c>
      <x:c r="H380" s="24" t="str">
        <x:v>Other fishes &amp; inverts</x:v>
      </x:c>
      <x:c r="I380" s="31" t="n">
        <x:v>0.0235618399</x:v>
      </x:c>
      <x:c r="J380" s="31" t="n">
        <x:v>0.002297405</x:v>
      </x:c>
      <x:c r="K380" s="31" t="n">
        <x:v>0.0212644349</x:v>
      </x:c>
      <x:c r="L380" s="31" t="n">
        <x:v>0</x:v>
      </x:c>
      <x:c r="M380" s="31" t="n">
        <x:v>0.0235618399</x:v>
      </x:c>
      <x:c r="N380" s="24" t="str">
        <x:v>lophiidae</x:v>
      </x:c>
      <x:c r="O380" s="32" t="n">
        <x:v>4.46</x:v>
      </x:c>
      <x:c r="P380" s="24" t="str">
        <x:v>exact_sea_around_us</x:v>
      </x:c>
      <x:c r="Q380" s="32" t="str">
        <x:v>Sea Around Us exploited organisms</x:v>
      </x:c>
      <x:c r="R380" s="24" t="str">
        <x:v>high</x:v>
      </x:c>
      <x:c r="S380" s="24" t="str">
        <x:v>Lophiidae</x:v>
      </x:c>
      <x:c r="T380" s="32" t="n">
        <x:f>IF(O380="","",(1/'Metadata'!$B$5)^(O380-1))</x:f>
        <x:v>2884.031503126606</x:v>
      </x:c>
      <x:c r="U380" s="31" t="n">
        <x:f>IF(T380="","",I380*T380)</x:f>
        <x:v>67.95308854322543</x:v>
      </x:c>
    </x:row>
    <x:row r="381" ht="18" customHeight="1">
      <x:c r="A381" s="24" t="str">
        <x:v>LME_005</x:v>
      </x:c>
      <x:c r="B381" s="24" t="str">
        <x:v>Gulf of Mexico</x:v>
      </x:c>
      <x:c r="C381" s="24" t="str">
        <x:v>LME</x:v>
      </x:c>
      <x:c r="D381" s="30" t="n">
        <x:v>2019</x:v>
      </x:c>
      <x:c r="E381" s="24" t="str">
        <x:v>Scarus guacamaia</x:v>
      </x:c>
      <x:c r="F381" s="24" t="str">
        <x:v>Rainbow parrotfish</x:v>
      </x:c>
      <x:c r="G381" s="24" t="str">
        <x:v>Large reef assoc. fish (&gt;=90 cm)</x:v>
      </x:c>
      <x:c r="H381" s="24" t="str">
        <x:v>Perch-likes</x:v>
      </x:c>
      <x:c r="I381" s="31" t="n">
        <x:v>0.021921641</x:v>
      </x:c>
      <x:c r="J381" s="31" t="n">
        <x:v>0.021921641</x:v>
      </x:c>
      <x:c r="K381" s="31" t="n">
        <x:v>0</x:v>
      </x:c>
      <x:c r="L381" s="31" t="n">
        <x:v>0.021921641</x:v>
      </x:c>
      <x:c r="M381" s="31" t="n">
        <x:v>0</x:v>
      </x:c>
      <x:c r="N381" s="24" t="str">
        <x:v>scarus guacamaia</x:v>
      </x:c>
      <x:c r="O381" s="32" t="n">
        <x:v>2</x:v>
      </x:c>
      <x:c r="P381" s="24" t="str">
        <x:v>exact_2020_supplement</x:v>
      </x:c>
      <x:c r="Q381" s="32" t="str">
        <x:v>2020 supplement MeanTL</x:v>
      </x:c>
      <x:c r="R381" s="24" t="str">
        <x:v>high</x:v>
      </x:c>
      <x:c r="S381" s="24" t="str">
        <x:v>Scarus guacamaia</x:v>
      </x:c>
      <x:c r="T381" s="32" t="n">
        <x:f>IF(O381="","",(1/'Metadata'!$B$5)^(O381-1))</x:f>
        <x:v>10</x:v>
      </x:c>
      <x:c r="U381" s="31" t="n">
        <x:f>IF(T381="","",I381*T381)</x:f>
        <x:v>0.21921640999999997</x:v>
      </x:c>
    </x:row>
    <x:row r="382" ht="18" customHeight="1">
      <x:c r="A382" s="24" t="str">
        <x:v>LME_005</x:v>
      </x:c>
      <x:c r="B382" s="24" t="str">
        <x:v>Gulf of Mexico</x:v>
      </x:c>
      <x:c r="C382" s="24" t="str">
        <x:v>LME</x:v>
      </x:c>
      <x:c r="D382" s="30" t="n">
        <x:v>2019</x:v>
      </x:c>
      <x:c r="E382" s="24" t="str">
        <x:v>Malacoctenus triangulatus</x:v>
      </x:c>
      <x:c r="F382" s="24" t="str">
        <x:v>Saddled blenny</x:v>
      </x:c>
      <x:c r="G382" s="24" t="str">
        <x:v>Small reef assoc. fish (&lt;30 cm)</x:v>
      </x:c>
      <x:c r="H382" s="24" t="str">
        <x:v>Perch-likes</x:v>
      </x:c>
      <x:c r="I382" s="31" t="n">
        <x:v>0.021589249900000003</x:v>
      </x:c>
      <x:c r="J382" s="31" t="n">
        <x:v>0.021589249900000003</x:v>
      </x:c>
      <x:c r="K382" s="31" t="n">
        <x:v>0</x:v>
      </x:c>
      <x:c r="L382" s="31" t="n">
        <x:v>0.021589249900000003</x:v>
      </x:c>
      <x:c r="M382" s="31" t="n">
        <x:v>0</x:v>
      </x:c>
      <x:c r="N382" s="24" t="str">
        <x:v>malacoctenus triangulatus</x:v>
      </x:c>
      <x:c r="O382" s="32" t="n">
        <x:v>3.5</x:v>
      </x:c>
      <x:c r="P382" s="24" t="str">
        <x:v>exact_2020_supplement</x:v>
      </x:c>
      <x:c r="Q382" s="32" t="str">
        <x:v>2020 supplement MeanTL</x:v>
      </x:c>
      <x:c r="R382" s="24" t="str">
        <x:v>high</x:v>
      </x:c>
      <x:c r="S382" s="24" t="str">
        <x:v>Malacoctenus triangulatus</x:v>
      </x:c>
      <x:c r="T382" s="32" t="n">
        <x:f>IF(O382="","",(1/'Metadata'!$B$5)^(O382-1))</x:f>
        <x:v>316.22776601683796</x:v>
      </x:c>
      <x:c r="U382" s="31" t="n">
        <x:f>IF(T382="","",I382*T382)</x:f>
        <x:v>6.8271202658562435</x:v>
      </x:c>
    </x:row>
    <x:row r="383" ht="18" customHeight="1">
      <x:c r="A383" s="24" t="str">
        <x:v>LME_005</x:v>
      </x:c>
      <x:c r="B383" s="24" t="str">
        <x:v>Gulf of Mexico</x:v>
      </x:c>
      <x:c r="C383" s="24" t="str">
        <x:v>LME</x:v>
      </x:c>
      <x:c r="D383" s="30" t="n">
        <x:v>2019</x:v>
      </x:c>
      <x:c r="E383" s="24" t="str">
        <x:v>Acanthurus</x:v>
      </x:c>
      <x:c r="F383" s="24" t="str">
        <x:v>Surgeonfishes</x:v>
      </x:c>
      <x:c r="G383" s="24" t="str">
        <x:v>Small reef assoc. fish (&lt;30 cm)</x:v>
      </x:c>
      <x:c r="H383" s="24" t="str">
        <x:v>Perch-likes</x:v>
      </x:c>
      <x:c r="I383" s="31" t="n">
        <x:v>0.021016930399999998</x:v>
      </x:c>
      <x:c r="J383" s="31" t="n">
        <x:v>0.021016930399999998</x:v>
      </x:c>
      <x:c r="K383" s="31" t="n">
        <x:v>0</x:v>
      </x:c>
      <x:c r="L383" s="31" t="n">
        <x:v>0.021016930399999998</x:v>
      </x:c>
      <x:c r="M383" s="31" t="n">
        <x:v>0</x:v>
      </x:c>
      <x:c r="N383" s="24" t="str">
        <x:v>acanthurus</x:v>
      </x:c>
      <x:c r="O383" s="32" t="n">
        <x:v>2.03</x:v>
      </x:c>
      <x:c r="P383" s="24" t="str">
        <x:v>exact_sea_around_us</x:v>
      </x:c>
      <x:c r="Q383" s="32" t="str">
        <x:v>Sea Around Us exploited organisms</x:v>
      </x:c>
      <x:c r="R383" s="24" t="str">
        <x:v>high</x:v>
      </x:c>
      <x:c r="S383" s="24" t="str">
        <x:v>Acanthurus</x:v>
      </x:c>
      <x:c r="T383" s="32" t="n">
        <x:f>IF(O383="","",(1/'Metadata'!$B$5)^(O383-1))</x:f>
        <x:v>10.71519305237606</x:v>
      </x:c>
      <x:c r="U383" s="31" t="n">
        <x:f>IF(T383="","",I383*T383)</x:f>
        <x:v>0.2252004666043512</x:v>
      </x:c>
    </x:row>
    <x:row r="384" ht="18" customHeight="1">
      <x:c r="A384" s="24" t="str">
        <x:v>LME_005</x:v>
      </x:c>
      <x:c r="B384" s="24" t="str">
        <x:v>Gulf of Mexico</x:v>
      </x:c>
      <x:c r="C384" s="24" t="str">
        <x:v>LME</x:v>
      </x:c>
      <x:c r="D384" s="30" t="n">
        <x:v>2019</x:v>
      </x:c>
      <x:c r="E384" s="24" t="str">
        <x:v>Macrocypraea zebra</x:v>
      </x:c>
      <x:c r="F384" s="24" t="str">
        <x:v>Measled cowrie</x:v>
      </x:c>
      <x:c r="G384" s="24" t="str">
        <x:v>Other demersal invertebrates</x:v>
      </x:c>
      <x:c r="H384" s="24" t="str">
        <x:v>Molluscs</x:v>
      </x:c>
      <x:c r="I384" s="31" t="n">
        <x:v>0.0207472857</x:v>
      </x:c>
      <x:c r="J384" s="31" t="n">
        <x:v>0.0207472857</x:v>
      </x:c>
      <x:c r="K384" s="31" t="n">
        <x:v>0</x:v>
      </x:c>
      <x:c r="L384" s="31" t="n">
        <x:v>0.0207472857</x:v>
      </x:c>
      <x:c r="M384" s="31" t="n">
        <x:v>0</x:v>
      </x:c>
      <x:c r="N384" s="24" t="str">
        <x:v>macrocypraea zebra</x:v>
      </x:c>
      <x:c r="O384" s="32" t="n">
        <x:v>2.28</x:v>
      </x:c>
      <x:c r="P384" s="24" t="str">
        <x:v>exact_sea_around_us</x:v>
      </x:c>
      <x:c r="Q384" s="32" t="str">
        <x:v>Sea Around Us exploited organisms</x:v>
      </x:c>
      <x:c r="R384" s="24" t="str">
        <x:v>high</x:v>
      </x:c>
      <x:c r="S384" s="24" t="str">
        <x:v>Macrocypraea zebra</x:v>
      </x:c>
      <x:c r="T384" s="32" t="n">
        <x:f>IF(O384="","",(1/'Metadata'!$B$5)^(O384-1))</x:f>
        <x:v>19.054607179632463</x:v>
      </x:c>
      <x:c r="U384" s="31" t="n">
        <x:f>IF(T384="","",I384*T384)</x:f>
        <x:v>0.3953313790571059</x:v>
      </x:c>
    </x:row>
    <x:row r="385" ht="18" customHeight="1">
      <x:c r="A385" s="24" t="str">
        <x:v>LME_005</x:v>
      </x:c>
      <x:c r="B385" s="24" t="str">
        <x:v>Gulf of Mexico</x:v>
      </x:c>
      <x:c r="C385" s="24" t="str">
        <x:v>LME</x:v>
      </x:c>
      <x:c r="D385" s="30" t="n">
        <x:v>2019</x:v>
      </x:c>
      <x:c r="E385" s="24" t="str">
        <x:v>Ophioblennius atlanticus</x:v>
      </x:c>
      <x:c r="F385" s="24" t="str">
        <x:v>Redlip blenny</x:v>
      </x:c>
      <x:c r="G385" s="24" t="str">
        <x:v>Small reef assoc. fish (&lt;30 cm)</x:v>
      </x:c>
      <x:c r="H385" s="24" t="str">
        <x:v>Perch-likes</x:v>
      </x:c>
      <x:c r="I385" s="31" t="n">
        <x:v>0.0202389295</x:v>
      </x:c>
      <x:c r="J385" s="31" t="n">
        <x:v>0.0202389295</x:v>
      </x:c>
      <x:c r="K385" s="31" t="n">
        <x:v>0</x:v>
      </x:c>
      <x:c r="L385" s="31" t="n">
        <x:v>0.0202389295</x:v>
      </x:c>
      <x:c r="M385" s="31" t="n">
        <x:v>0</x:v>
      </x:c>
      <x:c r="N385" s="24" t="str">
        <x:v>ophioblennius atlanticus</x:v>
      </x:c>
      <x:c r="O385" s="32" t="n">
        <x:v>2.01</x:v>
      </x:c>
      <x:c r="P385" s="24" t="str">
        <x:v>exact_2020_supplement</x:v>
      </x:c>
      <x:c r="Q385" s="32" t="str">
        <x:v>2020 supplement MeanTL</x:v>
      </x:c>
      <x:c r="R385" s="24" t="str">
        <x:v>high</x:v>
      </x:c>
      <x:c r="S385" s="24" t="str">
        <x:v>Ophioblennius atlanticus</x:v>
      </x:c>
      <x:c r="T385" s="32" t="n">
        <x:f>IF(O385="","",(1/'Metadata'!$B$5)^(O385-1))</x:f>
        <x:v>10.232929922807536</x:v>
      </x:c>
      <x:c r="U385" s="31" t="n">
        <x:f>IF(T385="","",I385*T385)</x:f>
        <x:v>0.20710354728614214</x:v>
      </x:c>
    </x:row>
    <x:row r="386" ht="18" customHeight="1">
      <x:c r="A386" s="24" t="str">
        <x:v>LME_005</x:v>
      </x:c>
      <x:c r="B386" s="24" t="str">
        <x:v>Gulf of Mexico</x:v>
      </x:c>
      <x:c r="C386" s="24" t="str">
        <x:v>LME</x:v>
      </x:c>
      <x:c r="D386" s="30" t="n">
        <x:v>2019</x:v>
      </x:c>
      <x:c r="E386" s="24" t="str">
        <x:v>Octopus joubini</x:v>
      </x:c>
      <x:c r="F386" s="24" t="str">
        <x:v>Atlantic pygmy octopus</x:v>
      </x:c>
      <x:c r="G386" s="24" t="str">
        <x:v>Cephalopods</x:v>
      </x:c>
      <x:c r="H386" s="24" t="str">
        <x:v>Molluscs</x:v>
      </x:c>
      <x:c r="I386" s="31" t="n">
        <x:v>0.019700924199999997</x:v>
      </x:c>
      <x:c r="J386" s="31" t="n">
        <x:v>0.019700924199999997</x:v>
      </x:c>
      <x:c r="K386" s="31" t="n">
        <x:v>0</x:v>
      </x:c>
      <x:c r="L386" s="31" t="n">
        <x:v>0.019700924199999997</x:v>
      </x:c>
      <x:c r="M386" s="31" t="n">
        <x:v>0</x:v>
      </x:c>
      <x:c r="N386" s="24" t="str">
        <x:v>octopus joubini</x:v>
      </x:c>
      <x:c r="O386" s="32" t="n">
        <x:v>3.34</x:v>
      </x:c>
      <x:c r="P386" s="24" t="str">
        <x:v>exact_2020_supplement</x:v>
      </x:c>
      <x:c r="Q386" s="32" t="str">
        <x:v>2020 supplement MeanTL</x:v>
      </x:c>
      <x:c r="R386" s="24" t="str">
        <x:v>high</x:v>
      </x:c>
      <x:c r="S386" s="24" t="str">
        <x:v>Octopus joubini</x:v>
      </x:c>
      <x:c r="T386" s="32" t="n">
        <x:f>IF(O386="","",(1/'Metadata'!$B$5)^(O386-1))</x:f>
        <x:v>218.77616239495518</x:v>
      </x:c>
      <x:c r="U386" s="31" t="n">
        <x:f>IF(T386="","",I386*T386)</x:f>
        <x:v>4.310092592109902</x:v>
      </x:c>
    </x:row>
    <x:row r="387" ht="18" customHeight="1">
      <x:c r="A387" s="24" t="str">
        <x:v>LME_005</x:v>
      </x:c>
      <x:c r="B387" s="24" t="str">
        <x:v>Gulf of Mexico</x:v>
      </x:c>
      <x:c r="C387" s="24" t="str">
        <x:v>LME</x:v>
      </x:c>
      <x:c r="D387" s="30" t="n">
        <x:v>2019</x:v>
      </x:c>
      <x:c r="E387" s="24" t="str">
        <x:v>Serranus baldwini</x:v>
      </x:c>
      <x:c r="F387" s="24" t="str">
        <x:v>Lantern bass</x:v>
      </x:c>
      <x:c r="G387" s="24" t="str">
        <x:v>Small reef assoc. fish (&lt;30 cm)</x:v>
      </x:c>
      <x:c r="H387" s="24" t="str">
        <x:v>Perch-likes</x:v>
      </x:c>
      <x:c r="I387" s="31" t="n">
        <x:v>0.0196492589</x:v>
      </x:c>
      <x:c r="J387" s="31" t="n">
        <x:v>0.0196492589</x:v>
      </x:c>
      <x:c r="K387" s="31" t="n">
        <x:v>0</x:v>
      </x:c>
      <x:c r="L387" s="31" t="n">
        <x:v>0.0196492589</x:v>
      </x:c>
      <x:c r="M387" s="31" t="n">
        <x:v>0</x:v>
      </x:c>
      <x:c r="N387" s="24" t="str">
        <x:v>serranus baldwini</x:v>
      </x:c>
      <x:c r="O387" s="32" t="n">
        <x:v>4.05</x:v>
      </x:c>
      <x:c r="P387" s="24" t="str">
        <x:v>exact_2020_supplement</x:v>
      </x:c>
      <x:c r="Q387" s="32" t="str">
        <x:v>2020 supplement MeanTL</x:v>
      </x:c>
      <x:c r="R387" s="24" t="str">
        <x:v>high</x:v>
      </x:c>
      <x:c r="S387" s="24" t="str">
        <x:v>Serranus baldwini</x:v>
      </x:c>
      <x:c r="T387" s="32" t="n">
        <x:f>IF(O387="","",(1/'Metadata'!$B$5)^(O387-1))</x:f>
        <x:v>1122.018454301963</x:v>
      </x:c>
      <x:c r="U387" s="31" t="n">
        <x:f>IF(T387="","",I387*T387)</x:f>
        <x:v>22.04683109915709</x:v>
      </x:c>
    </x:row>
    <x:row r="388" ht="18" customHeight="1">
      <x:c r="A388" s="24" t="str">
        <x:v>LME_005</x:v>
      </x:c>
      <x:c r="B388" s="24" t="str">
        <x:v>Gulf of Mexico</x:v>
      </x:c>
      <x:c r="C388" s="24" t="str">
        <x:v>LME</x:v>
      </x:c>
      <x:c r="D388" s="30" t="n">
        <x:v>2019</x:v>
      </x:c>
      <x:c r="E388" s="24" t="str">
        <x:v>Thunnus</x:v>
      </x:c>
      <x:c r="F388" s="24" t="str">
        <x:v>Tunas</x:v>
      </x:c>
      <x:c r="G388" s="24" t="str">
        <x:v>Large pelagics (&gt;=90 cm)</x:v>
      </x:c>
      <x:c r="H388" s="24" t="str">
        <x:v>Tuna &amp; billfishes</x:v>
      </x:c>
      <x:c r="I388" s="31" t="n">
        <x:v>0.0194868866</x:v>
      </x:c>
      <x:c r="J388" s="31" t="n">
        <x:v>0.0194868866</x:v>
      </x:c>
      <x:c r="K388" s="31" t="n">
        <x:v>0</x:v>
      </x:c>
      <x:c r="L388" s="31" t="n">
        <x:v>0</x:v>
      </x:c>
      <x:c r="M388" s="31" t="n">
        <x:v>0.0194868866</x:v>
      </x:c>
      <x:c r="N388" s="24" t="str">
        <x:v>thunnus</x:v>
      </x:c>
      <x:c r="O388" s="32" t="n">
        <x:v>4.34</x:v>
      </x:c>
      <x:c r="P388" s="24" t="str">
        <x:v>exact_sea_around_us</x:v>
      </x:c>
      <x:c r="Q388" s="32" t="str">
        <x:v>Sea Around Us exploited organisms</x:v>
      </x:c>
      <x:c r="R388" s="24" t="str">
        <x:v>high</x:v>
      </x:c>
      <x:c r="S388" s="24" t="str">
        <x:v>Thunnus</x:v>
      </x:c>
      <x:c r="T388" s="32" t="n">
        <x:f>IF(O388="","",(1/'Metadata'!$B$5)^(O388-1))</x:f>
        <x:v>2187.761623949552</x:v>
      </x:c>
      <x:c r="U388" s="31" t="n">
        <x:f>IF(T388="","",I388*T388)</x:f>
        <x:v>42.63266267373676</x:v>
      </x:c>
    </x:row>
    <x:row r="389" ht="18" customHeight="1">
      <x:c r="A389" s="24" t="str">
        <x:v>LME_005</x:v>
      </x:c>
      <x:c r="B389" s="24" t="str">
        <x:v>Gulf of Mexico</x:v>
      </x:c>
      <x:c r="C389" s="24" t="str">
        <x:v>LME</x:v>
      </x:c>
      <x:c r="D389" s="30" t="n">
        <x:v>2019</x:v>
      </x:c>
      <x:c r="E389" s="24" t="str">
        <x:v>Priacanthus arenatus</x:v>
      </x:c>
      <x:c r="F389" s="24" t="str">
        <x:v>Atlantic bigeye</x:v>
      </x:c>
      <x:c r="G389" s="24" t="str">
        <x:v>Medium reef assoc. fish (30 - 89 cm)</x:v>
      </x:c>
      <x:c r="H389" s="24" t="str">
        <x:v>Perch-likes</x:v>
      </x:c>
      <x:c r="I389" s="31" t="n">
        <x:v>0.0192591949</x:v>
      </x:c>
      <x:c r="J389" s="31" t="n">
        <x:v>0.0192591949</x:v>
      </x:c>
      <x:c r="K389" s="31" t="n">
        <x:v>0</x:v>
      </x:c>
      <x:c r="L389" s="31" t="n">
        <x:v>0.0192591949</x:v>
      </x:c>
      <x:c r="M389" s="31" t="n">
        <x:v>0</x:v>
      </x:c>
      <x:c r="N389" s="24" t="str">
        <x:v>priacanthus arenatus</x:v>
      </x:c>
      <x:c r="O389" s="32" t="n">
        <x:v>4.04</x:v>
      </x:c>
      <x:c r="P389" s="24" t="str">
        <x:v>exact_2020_supplement</x:v>
      </x:c>
      <x:c r="Q389" s="32" t="str">
        <x:v>2020 supplement MeanTL</x:v>
      </x:c>
      <x:c r="R389" s="24" t="str">
        <x:v>high</x:v>
      </x:c>
      <x:c r="S389" s="24" t="str">
        <x:v>Priacanthus arenatus</x:v>
      </x:c>
      <x:c r="T389" s="32" t="n">
        <x:f>IF(O389="","",(1/'Metadata'!$B$5)^(O389-1))</x:f>
        <x:v>1096.4781961431852</x:v>
      </x:c>
      <x:c r="U389" s="31" t="n">
        <x:f>IF(T389="","",I389*T389)</x:f>
        <x:v>21.11728728312203</x:v>
      </x:c>
    </x:row>
    <x:row r="390" ht="18" customHeight="1">
      <x:c r="A390" s="24" t="str">
        <x:v>LME_005</x:v>
      </x:c>
      <x:c r="B390" s="24" t="str">
        <x:v>Gulf of Mexico</x:v>
      </x:c>
      <x:c r="C390" s="24" t="str">
        <x:v>LME</x:v>
      </x:c>
      <x:c r="D390" s="30" t="n">
        <x:v>2019</x:v>
      </x:c>
      <x:c r="E390" s="24" t="str">
        <x:v>Opsanus tau</x:v>
      </x:c>
      <x:c r="F390" s="24" t="str">
        <x:v>Oyster toadfish</x:v>
      </x:c>
      <x:c r="G390" s="24" t="str">
        <x:v>Medium reef assoc. fish (30 - 89 cm)</x:v>
      </x:c>
      <x:c r="H390" s="24" t="str">
        <x:v>Other fishes &amp; inverts</x:v>
      </x:c>
      <x:c r="I390" s="31" t="n">
        <x:v>0.0178225813</x:v>
      </x:c>
      <x:c r="J390" s="31" t="n">
        <x:v>0.0178225813</x:v>
      </x:c>
      <x:c r="K390" s="31" t="n">
        <x:v>0</x:v>
      </x:c>
      <x:c r="L390" s="31" t="n">
        <x:v>0</x:v>
      </x:c>
      <x:c r="M390" s="31" t="n">
        <x:v>0.0178225813</x:v>
      </x:c>
      <x:c r="N390" s="24" t="str">
        <x:v>opsanus tau</x:v>
      </x:c>
      <x:c r="O390" s="32" t="n">
        <x:v>3.84</x:v>
      </x:c>
      <x:c r="P390" s="24" t="str">
        <x:v>exact_2020_supplement</x:v>
      </x:c>
      <x:c r="Q390" s="32" t="str">
        <x:v>2020 supplement MeanTL</x:v>
      </x:c>
      <x:c r="R390" s="24" t="str">
        <x:v>high</x:v>
      </x:c>
      <x:c r="S390" s="24" t="str">
        <x:v>Opsanus tau</x:v>
      </x:c>
      <x:c r="T390" s="32" t="n">
        <x:f>IF(O390="","",(1/'Metadata'!$B$5)^(O390-1))</x:f>
        <x:v>691.8309709189363</x:v>
      </x:c>
      <x:c r="U390" s="31" t="n">
        <x:f>IF(T390="","",I390*T390)</x:f>
        <x:v>12.330213725060679</x:v>
      </x:c>
    </x:row>
    <x:row r="391" ht="18" customHeight="1">
      <x:c r="A391" s="24" t="str">
        <x:v>LME_005</x:v>
      </x:c>
      <x:c r="B391" s="24" t="str">
        <x:v>Gulf of Mexico</x:v>
      </x:c>
      <x:c r="C391" s="24" t="str">
        <x:v>LME</x:v>
      </x:c>
      <x:c r="D391" s="30" t="n">
        <x:v>2019</x:v>
      </x:c>
      <x:c r="E391" s="24" t="str">
        <x:v>Felimare picta</x:v>
      </x:c>
      <x:c r="F391" s="24" t="str">
        <x:v>Florida regal doris</x:v>
      </x:c>
      <x:c r="G391" s="24" t="str">
        <x:v>Other demersal invertebrates</x:v>
      </x:c>
      <x:c r="H391" s="24" t="str">
        <x:v>Molluscs</x:v>
      </x:c>
      <x:c r="I391" s="31" t="n">
        <x:v>0.0170636704</x:v>
      </x:c>
      <x:c r="J391" s="31" t="n">
        <x:v>0.0170636704</x:v>
      </x:c>
      <x:c r="K391" s="31" t="n">
        <x:v>0</x:v>
      </x:c>
      <x:c r="L391" s="31" t="n">
        <x:v>0.0170636704</x:v>
      </x:c>
      <x:c r="M391" s="31" t="n">
        <x:v>0</x:v>
      </x:c>
      <x:c r="N391" s="24" t="str">
        <x:v>felimare picta</x:v>
      </x:c>
      <x:c r="O391" s="32" t="n">
        <x:v>3</x:v>
      </x:c>
      <x:c r="P391" s="24" t="str">
        <x:v>exact_sea_around_us</x:v>
      </x:c>
      <x:c r="Q391" s="32" t="str">
        <x:v>Sea Around Us exploited organisms</x:v>
      </x:c>
      <x:c r="R391" s="24" t="str">
        <x:v>high</x:v>
      </x:c>
      <x:c r="S391" s="24" t="str">
        <x:v>Felimare picta</x:v>
      </x:c>
      <x:c r="T391" s="32" t="n">
        <x:f>IF(O391="","",(1/'Metadata'!$B$5)^(O391-1))</x:f>
        <x:v>100</x:v>
      </x:c>
      <x:c r="U391" s="31" t="n">
        <x:f>IF(T391="","",I391*T391)</x:f>
        <x:v>1.7063670400000002</x:v>
      </x:c>
    </x:row>
    <x:row r="392" ht="18" customHeight="1">
      <x:c r="A392" s="24" t="str">
        <x:v>LME_005</x:v>
      </x:c>
      <x:c r="B392" s="24" t="str">
        <x:v>Gulf of Mexico</x:v>
      </x:c>
      <x:c r="C392" s="24" t="str">
        <x:v>LME</x:v>
      </x:c>
      <x:c r="D392" s="30" t="n">
        <x:v>2019</x:v>
      </x:c>
      <x:c r="E392" s="24" t="str">
        <x:v>Caranx lugubris</x:v>
      </x:c>
      <x:c r="F392" s="24" t="str">
        <x:v>Black jack</x:v>
      </x:c>
      <x:c r="G392" s="24" t="str">
        <x:v>Large benthopelagics (&gt;=90 cm)</x:v>
      </x:c>
      <x:c r="H392" s="24" t="str">
        <x:v>Perch-likes</x:v>
      </x:c>
      <x:c r="I392" s="31" t="n">
        <x:v>0.0165664944</x:v>
      </x:c>
      <x:c r="J392" s="31" t="n">
        <x:v>0.0165664944</x:v>
      </x:c>
      <x:c r="K392" s="31" t="n">
        <x:v>0</x:v>
      </x:c>
      <x:c r="L392" s="31" t="n">
        <x:v>0.0165664944</x:v>
      </x:c>
      <x:c r="M392" s="31" t="n">
        <x:v>0</x:v>
      </x:c>
      <x:c r="N392" s="24" t="str">
        <x:v>caranx lugubris</x:v>
      </x:c>
      <x:c r="O392" s="32" t="n">
        <x:v>4.5</x:v>
      </x:c>
      <x:c r="P392" s="24" t="str">
        <x:v>exact_2020_supplement</x:v>
      </x:c>
      <x:c r="Q392" s="32" t="str">
        <x:v>2020 supplement MeanTL</x:v>
      </x:c>
      <x:c r="R392" s="24" t="str">
        <x:v>high</x:v>
      </x:c>
      <x:c r="S392" s="24" t="str">
        <x:v>Caranx lugubris</x:v>
      </x:c>
      <x:c r="T392" s="32" t="n">
        <x:f>IF(O392="","",(1/'Metadata'!$B$5)^(O392-1))</x:f>
        <x:v>3162.2776601683795</x:v>
      </x:c>
      <x:c r="U392" s="31" t="n">
        <x:f>IF(T392="","",I392*T392)</x:f>
        <x:v>52.38785514842456</x:v>
      </x:c>
    </x:row>
    <x:row r="393" ht="18" customHeight="1">
      <x:c r="A393" s="24" t="str">
        <x:v>LME_005</x:v>
      </x:c>
      <x:c r="B393" s="24" t="str">
        <x:v>Gulf of Mexico</x:v>
      </x:c>
      <x:c r="C393" s="24" t="str">
        <x:v>LME</x:v>
      </x:c>
      <x:c r="D393" s="30" t="n">
        <x:v>2019</x:v>
      </x:c>
      <x:c r="E393" s="24" t="str">
        <x:v>Amblycirrhitus pinos</x:v>
      </x:c>
      <x:c r="F393" s="24" t="str">
        <x:v>Redspotted hawkfish</x:v>
      </x:c>
      <x:c r="G393" s="24" t="str">
        <x:v>Small reef assoc. fish (&lt;30 cm)</x:v>
      </x:c>
      <x:c r="H393" s="24" t="str">
        <x:v>Perch-likes</x:v>
      </x:c>
      <x:c r="I393" s="31" t="n">
        <x:v>0.015677608</x:v>
      </x:c>
      <x:c r="J393" s="31" t="n">
        <x:v>0.015677608</x:v>
      </x:c>
      <x:c r="K393" s="31" t="n">
        <x:v>0</x:v>
      </x:c>
      <x:c r="L393" s="31" t="n">
        <x:v>0.015677608</x:v>
      </x:c>
      <x:c r="M393" s="31" t="n">
        <x:v>0</x:v>
      </x:c>
      <x:c r="N393" s="24" t="str">
        <x:v>amblycirrhitus pinos</x:v>
      </x:c>
      <x:c r="O393" s="32" t="n">
        <x:v>3.23</x:v>
      </x:c>
      <x:c r="P393" s="24" t="str">
        <x:v>exact_2020_supplement</x:v>
      </x:c>
      <x:c r="Q393" s="32" t="str">
        <x:v>2020 supplement MeanTL</x:v>
      </x:c>
      <x:c r="R393" s="24" t="str">
        <x:v>high</x:v>
      </x:c>
      <x:c r="S393" s="24" t="str">
        <x:v>Amblycirrhitus pinos</x:v>
      </x:c>
      <x:c r="T393" s="32" t="n">
        <x:f>IF(O393="","",(1/'Metadata'!$B$5)^(O393-1))</x:f>
        <x:v>169.82436524617444</x:v>
      </x:c>
      <x:c r="U393" s="31" t="n">
        <x:f>IF(T393="","",I393*T393)</x:f>
        <x:v>2.6624398271783463</x:v>
      </x:c>
    </x:row>
    <x:row r="394" ht="18" customHeight="1">
      <x:c r="A394" s="24" t="str">
        <x:v>LME_005</x:v>
      </x:c>
      <x:c r="B394" s="24" t="str">
        <x:v>Gulf of Mexico</x:v>
      </x:c>
      <x:c r="C394" s="24" t="str">
        <x:v>LME</x:v>
      </x:c>
      <x:c r="D394" s="30" t="n">
        <x:v>2019</x:v>
      </x:c>
      <x:c r="E394" s="24" t="str">
        <x:v>Gymnothorax funebris</x:v>
      </x:c>
      <x:c r="F394" s="24" t="str">
        <x:v>Green moray</x:v>
      </x:c>
      <x:c r="G394" s="24" t="str">
        <x:v>Large reef assoc. fish (&gt;=90 cm)</x:v>
      </x:c>
      <x:c r="H394" s="24" t="str">
        <x:v>Other fishes &amp; inverts</x:v>
      </x:c>
      <x:c r="I394" s="31" t="n">
        <x:v>0.014322087800000001</x:v>
      </x:c>
      <x:c r="J394" s="31" t="n">
        <x:v>0.014322087800000001</x:v>
      </x:c>
      <x:c r="K394" s="31" t="n">
        <x:v>0</x:v>
      </x:c>
      <x:c r="L394" s="31" t="n">
        <x:v>0.014322087800000001</x:v>
      </x:c>
      <x:c r="M394" s="31" t="n">
        <x:v>0</x:v>
      </x:c>
      <x:c r="N394" s="24" t="str">
        <x:v>gymnothorax funebris</x:v>
      </x:c>
      <x:c r="O394" s="32" t="n">
        <x:v>4.01</x:v>
      </x:c>
      <x:c r="P394" s="24" t="str">
        <x:v>exact_2020_supplement</x:v>
      </x:c>
      <x:c r="Q394" s="32" t="str">
        <x:v>2020 supplement MeanTL</x:v>
      </x:c>
      <x:c r="R394" s="24" t="str">
        <x:v>high</x:v>
      </x:c>
      <x:c r="S394" s="24" t="str">
        <x:v>Gymnothorax funebris</x:v>
      </x:c>
      <x:c r="T394" s="32" t="n">
        <x:f>IF(O394="","",(1/'Metadata'!$B$5)^(O394-1))</x:f>
        <x:v>1023.2929922807537</x:v>
      </x:c>
      <x:c r="U394" s="31" t="n">
        <x:f>IF(T394="","",I394*T394)</x:f>
        <x:v>14.655692080569677</x:v>
      </x:c>
    </x:row>
    <x:row r="395" ht="18" customHeight="1">
      <x:c r="A395" s="24" t="str">
        <x:v>LME_005</x:v>
      </x:c>
      <x:c r="B395" s="24" t="str">
        <x:v>Gulf of Mexico</x:v>
      </x:c>
      <x:c r="C395" s="24" t="str">
        <x:v>LME</x:v>
      </x:c>
      <x:c r="D395" s="30" t="n">
        <x:v>2019</x:v>
      </x:c>
      <x:c r="E395" s="24" t="str">
        <x:v>Serranus tortugarum</x:v>
      </x:c>
      <x:c r="F395" s="24" t="str">
        <x:v>Chalk bass</x:v>
      </x:c>
      <x:c r="G395" s="24" t="str">
        <x:v>Small reef assoc. fish (&lt;30 cm)</x:v>
      </x:c>
      <x:c r="H395" s="24" t="str">
        <x:v>Perch-likes</x:v>
      </x:c>
      <x:c r="I395" s="31" t="n">
        <x:v>0.0143193076</x:v>
      </x:c>
      <x:c r="J395" s="31" t="n">
        <x:v>0.0143193076</x:v>
      </x:c>
      <x:c r="K395" s="31" t="n">
        <x:v>0</x:v>
      </x:c>
      <x:c r="L395" s="31" t="n">
        <x:v>0.0143193076</x:v>
      </x:c>
      <x:c r="M395" s="31" t="n">
        <x:v>0</x:v>
      </x:c>
      <x:c r="N395" s="24" t="str">
        <x:v>serranus tortugarum</x:v>
      </x:c>
      <x:c r="O395" s="32" t="n">
        <x:v>3.08</x:v>
      </x:c>
      <x:c r="P395" s="24" t="str">
        <x:v>exact_2020_supplement</x:v>
      </x:c>
      <x:c r="Q395" s="32" t="str">
        <x:v>2020 supplement MeanTL</x:v>
      </x:c>
      <x:c r="R395" s="24" t="str">
        <x:v>high</x:v>
      </x:c>
      <x:c r="S395" s="24" t="str">
        <x:v>Serranus tortugarum</x:v>
      </x:c>
      <x:c r="T395" s="32" t="n">
        <x:f>IF(O395="","",(1/'Metadata'!$B$5)^(O395-1))</x:f>
        <x:v>120.22644346174131</x:v>
      </x:c>
      <x:c r="U395" s="31" t="n">
        <x:f>IF(T395="","",I395*T395)</x:f>
        <x:v>1.7215594255826825</x:v>
      </x:c>
    </x:row>
    <x:row r="396" ht="18" customHeight="1">
      <x:c r="A396" s="24" t="str">
        <x:v>LME_005</x:v>
      </x:c>
      <x:c r="B396" s="24" t="str">
        <x:v>Gulf of Mexico</x:v>
      </x:c>
      <x:c r="C396" s="24" t="str">
        <x:v>LME</x:v>
      </x:c>
      <x:c r="D396" s="30" t="n">
        <x:v>2019</x:v>
      </x:c>
      <x:c r="E396" s="24" t="str">
        <x:v>Panulirus guttatus</x:v>
      </x:c>
      <x:c r="F396" s="24" t="str">
        <x:v>Spotted spiny lobster</x:v>
      </x:c>
      <x:c r="G396" s="24" t="str">
        <x:v>Lobsters, crabs</x:v>
      </x:c>
      <x:c r="H396" s="24" t="str">
        <x:v>Crustaceans</x:v>
      </x:c>
      <x:c r="I396" s="31" t="n">
        <x:v>0.014296662900000002</x:v>
      </x:c>
      <x:c r="J396" s="31" t="n">
        <x:v>0.014296662900000002</x:v>
      </x:c>
      <x:c r="K396" s="31" t="n">
        <x:v>0</x:v>
      </x:c>
      <x:c r="L396" s="31" t="n">
        <x:v>0.014296662900000002</x:v>
      </x:c>
      <x:c r="M396" s="31" t="n">
        <x:v>0</x:v>
      </x:c>
      <x:c r="N396" s="24" t="str">
        <x:v>panulirus guttatus</x:v>
      </x:c>
      <x:c r="O396" s="32" t="n">
        <x:v>3.14</x:v>
      </x:c>
      <x:c r="P396" s="24" t="str">
        <x:v>exact_sea_around_us</x:v>
      </x:c>
      <x:c r="Q396" s="32" t="str">
        <x:v>Sea Around Us exploited organisms</x:v>
      </x:c>
      <x:c r="R396" s="24" t="str">
        <x:v>high</x:v>
      </x:c>
      <x:c r="S396" s="24" t="str">
        <x:v>Panulirus guttatus</x:v>
      </x:c>
      <x:c r="T396" s="32" t="n">
        <x:f>IF(O396="","",(1/'Metadata'!$B$5)^(O396-1))</x:f>
        <x:v>138.03842646028852</x:v>
      </x:c>
      <x:c r="U396" s="31" t="n">
        <x:f>IF(T396="","",I396*T396)</x:f>
        <x:v>1.9734888503491854</x:v>
      </x:c>
    </x:row>
    <x:row r="397" ht="18" customHeight="1">
      <x:c r="A397" s="24" t="str">
        <x:v>LME_005</x:v>
      </x:c>
      <x:c r="B397" s="24" t="str">
        <x:v>Gulf of Mexico</x:v>
      </x:c>
      <x:c r="C397" s="24" t="str">
        <x:v>LME</x:v>
      </x:c>
      <x:c r="D397" s="30" t="n">
        <x:v>2019</x:v>
      </x:c>
      <x:c r="E397" s="24" t="str">
        <x:v>Lactophrys</x:v>
      </x:c>
      <x:c r="F397" s="24" t="str">
        <x:v>Cowfishes</x:v>
      </x:c>
      <x:c r="G397" s="24" t="str">
        <x:v>Medium reef assoc. fish (30 - 89 cm)</x:v>
      </x:c>
      <x:c r="H397" s="24" t="str">
        <x:v>Other fishes &amp; inverts</x:v>
      </x:c>
      <x:c r="I397" s="31" t="n">
        <x:v>0.0134224057</x:v>
      </x:c>
      <x:c r="J397" s="31" t="n">
        <x:v>0.0134224057</x:v>
      </x:c>
      <x:c r="K397" s="31" t="n">
        <x:v>0</x:v>
      </x:c>
      <x:c r="L397" s="31" t="n">
        <x:v>0.0134224057</x:v>
      </x:c>
      <x:c r="M397" s="31" t="n">
        <x:v>0</x:v>
      </x:c>
      <x:c r="N397" s="24" t="str">
        <x:v>lactophrys</x:v>
      </x:c>
      <x:c r="O397" s="32" t="n">
        <x:v>3.16</x:v>
      </x:c>
      <x:c r="P397" s="24" t="str">
        <x:v>exact_sea_around_us</x:v>
      </x:c>
      <x:c r="Q397" s="32" t="str">
        <x:v>Sea Around Us exploited organisms</x:v>
      </x:c>
      <x:c r="R397" s="24" t="str">
        <x:v>high</x:v>
      </x:c>
      <x:c r="S397" s="24" t="str">
        <x:v>Lactophrys</x:v>
      </x:c>
      <x:c r="T397" s="32" t="n">
        <x:f>IF(O397="","",(1/'Metadata'!$B$5)^(O397-1))</x:f>
        <x:v>144.5439770745928</x:v>
      </x:c>
      <x:c r="U397" s="31" t="n">
        <x:f>IF(T397="","",I397*T397)</x:f>
        <x:v>1.9401279017866837</x:v>
      </x:c>
    </x:row>
    <x:row r="398" ht="18" customHeight="1">
      <x:c r="A398" s="24" t="str">
        <x:v>LME_005</x:v>
      </x:c>
      <x:c r="B398" s="24" t="str">
        <x:v>Gulf of Mexico</x:v>
      </x:c>
      <x:c r="C398" s="24" t="str">
        <x:v>LME</x:v>
      </x:c>
      <x:c r="D398" s="30" t="n">
        <x:v>2019</x:v>
      </x:c>
      <x:c r="E398" s="24" t="str">
        <x:v>Diodon</x:v>
      </x:c>
      <x:c r="F398" s="24" t="str">
        <x:v>Porcupinefishes</x:v>
      </x:c>
      <x:c r="G398" s="24" t="str">
        <x:v>Medium reef assoc. fish (30 - 89 cm)</x:v>
      </x:c>
      <x:c r="H398" s="24" t="str">
        <x:v>Other fishes &amp; inverts</x:v>
      </x:c>
      <x:c r="I398" s="31" t="n">
        <x:v>0.0125139281</x:v>
      </x:c>
      <x:c r="J398" s="31" t="n">
        <x:v>0</x:v>
      </x:c>
      <x:c r="K398" s="31" t="n">
        <x:v>0.0125139281</x:v>
      </x:c>
      <x:c r="L398" s="31" t="n">
        <x:v>0</x:v>
      </x:c>
      <x:c r="M398" s="31" t="n">
        <x:v>0.0125139281</x:v>
      </x:c>
      <x:c r="N398" s="24" t="str">
        <x:v>diodon</x:v>
      </x:c>
      <x:c r="O398" s="32" t="n">
        <x:v>3.36</x:v>
      </x:c>
      <x:c r="P398" s="24" t="str">
        <x:v>exact_sea_around_us</x:v>
      </x:c>
      <x:c r="Q398" s="32" t="str">
        <x:v>Sea Around Us exploited organisms</x:v>
      </x:c>
      <x:c r="R398" s="24" t="str">
        <x:v>high</x:v>
      </x:c>
      <x:c r="S398" s="24" t="str">
        <x:v>Diodon</x:v>
      </x:c>
      <x:c r="T398" s="32" t="n">
        <x:f>IF(O398="","",(1/'Metadata'!$B$5)^(O398-1))</x:f>
        <x:v>229.08676527677724</x:v>
      </x:c>
      <x:c r="U398" s="31" t="n">
        <x:f>IF(T398="","",I398*T398)</x:f>
        <x:v>2.866775309335167</x:v>
      </x:c>
    </x:row>
    <x:row r="399" ht="18" customHeight="1">
      <x:c r="A399" s="24" t="str">
        <x:v>LME_005</x:v>
      </x:c>
      <x:c r="B399" s="24" t="str">
        <x:v>Gulf of Mexico</x:v>
      </x:c>
      <x:c r="C399" s="24" t="str">
        <x:v>LME</x:v>
      </x:c>
      <x:c r="D399" s="30" t="n">
        <x:v>2019</x:v>
      </x:c>
      <x:c r="E399" s="24" t="str">
        <x:v>Stenotomus chrysops</x:v>
      </x:c>
      <x:c r="F399" s="24" t="str">
        <x:v>Scup</x:v>
      </x:c>
      <x:c r="G399" s="24" t="str">
        <x:v>Medium demersals (30 - 89 cm)</x:v>
      </x:c>
      <x:c r="H399" s="24" t="str">
        <x:v>Perch-likes</x:v>
      </x:c>
      <x:c r="I399" s="31" t="n">
        <x:v>0.0123678764</x:v>
      </x:c>
      <x:c r="J399" s="31" t="n">
        <x:v>0.0123108697</x:v>
      </x:c>
      <x:c r="K399" s="31" t="n">
        <x:v>0.0000570067</x:v>
      </x:c>
      <x:c r="L399" s="31" t="n">
        <x:v>0.0115061268</x:v>
      </x:c>
      <x:c r="M399" s="31" t="n">
        <x:v>0.0008617496</x:v>
      </x:c>
      <x:c r="N399" s="24" t="str">
        <x:v>stenotomus chrysops</x:v>
      </x:c>
      <x:c r="O399" s="32" t="n">
        <x:v>3.82</x:v>
      </x:c>
      <x:c r="P399" s="24" t="str">
        <x:v>exact_2020_supplement</x:v>
      </x:c>
      <x:c r="Q399" s="32" t="str">
        <x:v>2020 supplement MeanTL</x:v>
      </x:c>
      <x:c r="R399" s="24" t="str">
        <x:v>high</x:v>
      </x:c>
      <x:c r="S399" s="24" t="str">
        <x:v>Stenotomus chrysops</x:v>
      </x:c>
      <x:c r="T399" s="32" t="n">
        <x:f>IF(O399="","",(1/'Metadata'!$B$5)^(O399-1))</x:f>
        <x:v>660.6934480075957</x:v>
      </x:c>
      <x:c r="U399" s="31" t="n">
        <x:f>IF(T399="","",I399*T399)</x:f>
        <x:v>8.17137490324777</x:v>
      </x:c>
    </x:row>
    <x:row r="400" ht="18" customHeight="1">
      <x:c r="A400" s="24" t="str">
        <x:v>LME_005</x:v>
      </x:c>
      <x:c r="B400" s="24" t="str">
        <x:v>Gulf of Mexico</x:v>
      </x:c>
      <x:c r="C400" s="24" t="str">
        <x:v>LME</x:v>
      </x:c>
      <x:c r="D400" s="30" t="n">
        <x:v>2019</x:v>
      </x:c>
      <x:c r="E400" s="24" t="str">
        <x:v>Cyphoma gibbosum</x:v>
      </x:c>
      <x:c r="F400" s="24" t="str">
        <x:v>Flamingo tounge snail</x:v>
      </x:c>
      <x:c r="G400" s="24" t="str">
        <x:v>Other demersal invertebrates</x:v>
      </x:c>
      <x:c r="H400" s="24" t="str">
        <x:v>Molluscs</x:v>
      </x:c>
      <x:c r="I400" s="31" t="n">
        <x:v>0.0110991518</x:v>
      </x:c>
      <x:c r="J400" s="31" t="n">
        <x:v>0.0110991518</x:v>
      </x:c>
      <x:c r="K400" s="31" t="n">
        <x:v>0</x:v>
      </x:c>
      <x:c r="L400" s="31" t="n">
        <x:v>0.0110991518</x:v>
      </x:c>
      <x:c r="M400" s="31" t="n">
        <x:v>0</x:v>
      </x:c>
      <x:c r="N400" s="24" t="str">
        <x:v>cyphoma gibbosum</x:v>
      </x:c>
      <x:c r="O400" s="32" t="n">
        <x:v>2.28</x:v>
      </x:c>
      <x:c r="P400" s="24" t="str">
        <x:v>exact_sea_around_us</x:v>
      </x:c>
      <x:c r="Q400" s="32" t="str">
        <x:v>Sea Around Us exploited organisms</x:v>
      </x:c>
      <x:c r="R400" s="24" t="str">
        <x:v>high</x:v>
      </x:c>
      <x:c r="S400" s="24" t="str">
        <x:v>Cyphoma gibbosum</x:v>
      </x:c>
      <x:c r="T400" s="32" t="n">
        <x:f>IF(O400="","",(1/'Metadata'!$B$5)^(O400-1))</x:f>
        <x:v>19.054607179632463</x:v>
      </x:c>
      <x:c r="U400" s="31" t="n">
        <x:f>IF(T400="","",I400*T400)</x:f>
        <x:v>0.21148997757611057</x:v>
      </x:c>
    </x:row>
    <x:row r="401" ht="18" customHeight="1">
      <x:c r="A401" s="24" t="str">
        <x:v>LME_005</x:v>
      </x:c>
      <x:c r="B401" s="24" t="str">
        <x:v>Gulf of Mexico</x:v>
      </x:c>
      <x:c r="C401" s="24" t="str">
        <x:v>LME</x:v>
      </x:c>
      <x:c r="D401" s="30" t="n">
        <x:v>2019</x:v>
      </x:c>
      <x:c r="E401" s="24" t="str">
        <x:v>Histrio histrio</x:v>
      </x:c>
      <x:c r="F401" s="24" t="str">
        <x:v>Sargassumfish</x:v>
      </x:c>
      <x:c r="G401" s="24" t="str">
        <x:v>Small reef assoc. fish (&lt;30 cm)</x:v>
      </x:c>
      <x:c r="H401" s="24" t="str">
        <x:v>Other fishes &amp; inverts</x:v>
      </x:c>
      <x:c r="I401" s="31" t="n">
        <x:v>0.0098321284</x:v>
      </x:c>
      <x:c r="J401" s="31" t="n">
        <x:v>0.0098321284</x:v>
      </x:c>
      <x:c r="K401" s="31" t="n">
        <x:v>0</x:v>
      </x:c>
      <x:c r="L401" s="31" t="n">
        <x:v>0.0098321284</x:v>
      </x:c>
      <x:c r="M401" s="31" t="n">
        <x:v>0</x:v>
      </x:c>
      <x:c r="N401" s="24" t="str">
        <x:v>histrio histrio</x:v>
      </x:c>
      <x:c r="O401" s="32" t="n">
        <x:v>3.93</x:v>
      </x:c>
      <x:c r="P401" s="24" t="str">
        <x:v>exact_2020_supplement</x:v>
      </x:c>
      <x:c r="Q401" s="32" t="str">
        <x:v>2020 supplement MeanTL</x:v>
      </x:c>
      <x:c r="R401" s="24" t="str">
        <x:v>high</x:v>
      </x:c>
      <x:c r="S401" s="24" t="str">
        <x:v>Histrio histrio</x:v>
      </x:c>
      <x:c r="T401" s="32" t="n">
        <x:f>IF(O401="","",(1/'Metadata'!$B$5)^(O401-1))</x:f>
        <x:v>851.1380382023768</x:v>
      </x:c>
      <x:c r="U401" s="31" t="n">
        <x:f>IF(T401="","",I401*T401)</x:f>
        <x:v>8.368498477729874</x:v>
      </x:c>
    </x:row>
    <x:row r="402" ht="18" customHeight="1">
      <x:c r="A402" s="24" t="str">
        <x:v>LME_005</x:v>
      </x:c>
      <x:c r="B402" s="24" t="str">
        <x:v>Gulf of Mexico</x:v>
      </x:c>
      <x:c r="C402" s="24" t="str">
        <x:v>LME</x:v>
      </x:c>
      <x:c r="D402" s="30" t="n">
        <x:v>2019</x:v>
      </x:c>
      <x:c r="E402" s="24" t="str">
        <x:v>Cantherhines pullus</x:v>
      </x:c>
      <x:c r="F402" s="24" t="str">
        <x:v>Orangespotted filefish</x:v>
      </x:c>
      <x:c r="G402" s="24" t="str">
        <x:v>Small reef assoc. fish (&lt;30 cm)</x:v>
      </x:c>
      <x:c r="H402" s="24" t="str">
        <x:v>Other fishes &amp; inverts</x:v>
      </x:c>
      <x:c r="I402" s="31" t="n">
        <x:v>0.009808640200000001</x:v>
      </x:c>
      <x:c r="J402" s="31" t="n">
        <x:v>0.009808640200000001</x:v>
      </x:c>
      <x:c r="K402" s="31" t="n">
        <x:v>0</x:v>
      </x:c>
      <x:c r="L402" s="31" t="n">
        <x:v>0.009808640200000001</x:v>
      </x:c>
      <x:c r="M402" s="31" t="n">
        <x:v>0</x:v>
      </x:c>
      <x:c r="N402" s="24" t="str">
        <x:v>cantherhines pullus</x:v>
      </x:c>
      <x:c r="O402" s="32" t="n">
        <x:v>2.62</x:v>
      </x:c>
      <x:c r="P402" s="24" t="str">
        <x:v>exact_2020_supplement</x:v>
      </x:c>
      <x:c r="Q402" s="32" t="str">
        <x:v>2020 supplement MeanTL</x:v>
      </x:c>
      <x:c r="R402" s="24" t="str">
        <x:v>high</x:v>
      </x:c>
      <x:c r="S402" s="24" t="str">
        <x:v>Cantherhines pullus</x:v>
      </x:c>
      <x:c r="T402" s="32" t="n">
        <x:f>IF(O402="","",(1/'Metadata'!$B$5)^(O402-1))</x:f>
        <x:v>41.68693834703355</x:v>
      </x:c>
      <x:c r="U402" s="31" t="n">
        <x:f>IF(T402="","",I402*T402)</x:f>
        <x:v>0.4088921792856349</x:v>
      </x:c>
    </x:row>
    <x:row r="403" ht="18" customHeight="1">
      <x:c r="A403" s="24" t="str">
        <x:v>LME_005</x:v>
      </x:c>
      <x:c r="B403" s="24" t="str">
        <x:v>Gulf of Mexico</x:v>
      </x:c>
      <x:c r="C403" s="24" t="str">
        <x:v>LME</x:v>
      </x:c>
      <x:c r="D403" s="30" t="n">
        <x:v>2019</x:v>
      </x:c>
      <x:c r="E403" s="24" t="str">
        <x:v>Gymnothorax miliaris</x:v>
      </x:c>
      <x:c r="F403" s="24" t="str">
        <x:v>Goldentail moray</x:v>
      </x:c>
      <x:c r="G403" s="24" t="str">
        <x:v>Large reef assoc. fish (&gt;=90 cm)</x:v>
      </x:c>
      <x:c r="H403" s="24" t="str">
        <x:v>Other fishes &amp; inverts</x:v>
      </x:c>
      <x:c r="I403" s="31" t="n">
        <x:v>0.0090130458</x:v>
      </x:c>
      <x:c r="J403" s="31" t="n">
        <x:v>0.0090130458</x:v>
      </x:c>
      <x:c r="K403" s="31" t="n">
        <x:v>0</x:v>
      </x:c>
      <x:c r="L403" s="31" t="n">
        <x:v>0.0090130458</x:v>
      </x:c>
      <x:c r="M403" s="31" t="n">
        <x:v>0</x:v>
      </x:c>
      <x:c r="N403" s="24" t="str">
        <x:v>gymnothorax miliaris</x:v>
      </x:c>
      <x:c r="O403" s="32" t="n">
        <x:v>3.87</x:v>
      </x:c>
      <x:c r="P403" s="24" t="str">
        <x:v>exact_2020_supplement</x:v>
      </x:c>
      <x:c r="Q403" s="32" t="str">
        <x:v>2020 supplement MeanTL</x:v>
      </x:c>
      <x:c r="R403" s="24" t="str">
        <x:v>high</x:v>
      </x:c>
      <x:c r="S403" s="24" t="str">
        <x:v>Gymnothorax miliaris</x:v>
      </x:c>
      <x:c r="T403" s="32" t="n">
        <x:f>IF(O403="","",(1/'Metadata'!$B$5)^(O403-1))</x:f>
        <x:v>741.3102413009177</x:v>
      </x:c>
      <x:c r="U403" s="31" t="n">
        <x:f>IF(T403="","",I403*T403)</x:f>
        <x:v>6.681463156854222</x:v>
      </x:c>
    </x:row>
    <x:row r="404" ht="18" customHeight="1">
      <x:c r="A404" s="24" t="str">
        <x:v>LME_005</x:v>
      </x:c>
      <x:c r="B404" s="24" t="str">
        <x:v>Gulf of Mexico</x:v>
      </x:c>
      <x:c r="C404" s="24" t="str">
        <x:v>LME</x:v>
      </x:c>
      <x:c r="D404" s="30" t="n">
        <x:v>2019</x:v>
      </x:c>
      <x:c r="E404" s="24" t="str">
        <x:v>Hyporthodus mystacinus</x:v>
      </x:c>
      <x:c r="F404" s="24" t="str">
        <x:v>Misty grouper</x:v>
      </x:c>
      <x:c r="G404" s="24" t="str">
        <x:v>Large bathydemersals (&gt;=90 cm)</x:v>
      </x:c>
      <x:c r="H404" s="24" t="str">
        <x:v>Perch-likes</x:v>
      </x:c>
      <x:c r="I404" s="31" t="n">
        <x:v>0.0080515663</x:v>
      </x:c>
      <x:c r="J404" s="31" t="n">
        <x:v>0.0080515663</x:v>
      </x:c>
      <x:c r="K404" s="31" t="n">
        <x:v>0</x:v>
      </x:c>
      <x:c r="L404" s="31" t="n">
        <x:v>0.0080515663</x:v>
      </x:c>
      <x:c r="M404" s="31" t="n">
        <x:v>0</x:v>
      </x:c>
      <x:c r="N404" s="24" t="str">
        <x:v>hyporthodus mystacinus</x:v>
      </x:c>
      <x:c r="O404" s="32" t="n">
        <x:v>4.58</x:v>
      </x:c>
      <x:c r="P404" s="24" t="str">
        <x:v>exact_2020_supplement</x:v>
      </x:c>
      <x:c r="Q404" s="32" t="str">
        <x:v>2020 supplement MeanTL</x:v>
      </x:c>
      <x:c r="R404" s="24" t="str">
        <x:v>high</x:v>
      </x:c>
      <x:c r="S404" s="24" t="str">
        <x:v>Hyporthodus mystacinus</x:v>
      </x:c>
      <x:c r="T404" s="32" t="n">
        <x:f>IF(O404="","",(1/'Metadata'!$B$5)^(O404-1))</x:f>
        <x:v>3801.8939632056126</x:v>
      </x:c>
      <x:c r="U404" s="31" t="n">
        <x:f>IF(T404="","",I404*T404)</x:f>
        <x:v>30.61120131031975</x:v>
      </x:c>
    </x:row>
    <x:row r="405" ht="18" customHeight="1">
      <x:c r="A405" s="24" t="str">
        <x:v>LME_005</x:v>
      </x:c>
      <x:c r="B405" s="24" t="str">
        <x:v>Gulf of Mexico</x:v>
      </x:c>
      <x:c r="C405" s="24" t="str">
        <x:v>LME</x:v>
      </x:c>
      <x:c r="D405" s="30" t="n">
        <x:v>2019</x:v>
      </x:c>
      <x:c r="E405" s="24" t="str">
        <x:v>Auxis thazard</x:v>
      </x:c>
      <x:c r="F405" s="24" t="str">
        <x:v>Frigate tuna</x:v>
      </x:c>
      <x:c r="G405" s="24" t="str">
        <x:v>Medium pelagics (30 - 89 cm)</x:v>
      </x:c>
      <x:c r="H405" s="24" t="str">
        <x:v>Tuna &amp; billfishes</x:v>
      </x:c>
      <x:c r="I405" s="31" t="n">
        <x:v>0.0073868690999999995</x:v>
      </x:c>
      <x:c r="J405" s="31" t="n">
        <x:v>0.0073868690999999995</x:v>
      </x:c>
      <x:c r="K405" s="31" t="n">
        <x:v>0</x:v>
      </x:c>
      <x:c r="L405" s="31" t="n">
        <x:v>0.0073868690999999995</x:v>
      </x:c>
      <x:c r="M405" s="31" t="n">
        <x:v>0</x:v>
      </x:c>
      <x:c r="N405" s="24" t="str">
        <x:v>auxis thazard</x:v>
      </x:c>
      <x:c r="O405" s="32" t="n">
        <x:v>4.37</x:v>
      </x:c>
      <x:c r="P405" s="24" t="str">
        <x:v>exact_2020_supplement</x:v>
      </x:c>
      <x:c r="Q405" s="32" t="str">
        <x:v>2020 supplement MeanTL</x:v>
      </x:c>
      <x:c r="R405" s="24" t="str">
        <x:v>high</x:v>
      </x:c>
      <x:c r="S405" s="24" t="str">
        <x:v>Auxis thazard</x:v>
      </x:c>
      <x:c r="T405" s="32" t="n">
        <x:f>IF(O405="","",(1/'Metadata'!$B$5)^(O405-1))</x:f>
        <x:v>2344.228815319923</x:v>
      </x:c>
      <x:c r="U405" s="31" t="n">
        <x:f>IF(T405="","",I405*T405)</x:f>
        <x:v>17.316511399216346</x:v>
      </x:c>
    </x:row>
    <x:row r="406" ht="18" customHeight="1">
      <x:c r="A406" s="24" t="str">
        <x:v>LME_005</x:v>
      </x:c>
      <x:c r="B406" s="24" t="str">
        <x:v>Gulf of Mexico</x:v>
      </x:c>
      <x:c r="C406" s="24" t="str">
        <x:v>LME</x:v>
      </x:c>
      <x:c r="D406" s="30" t="n">
        <x:v>2019</x:v>
      </x:c>
      <x:c r="E406" s="24" t="str">
        <x:v>Emblemariopsis diaphana</x:v>
      </x:c>
      <x:c r="F406" s="24" t="str">
        <x:v>Glass blenny</x:v>
      </x:c>
      <x:c r="G406" s="24" t="str">
        <x:v>Small reef assoc. fish (&lt;30 cm)</x:v>
      </x:c>
      <x:c r="H406" s="24" t="str">
        <x:v>Perch-likes</x:v>
      </x:c>
      <x:c r="I406" s="31" t="n">
        <x:v>0.0066291588999999995</x:v>
      </x:c>
      <x:c r="J406" s="31" t="n">
        <x:v>0.0066291588999999995</x:v>
      </x:c>
      <x:c r="K406" s="31" t="n">
        <x:v>0</x:v>
      </x:c>
      <x:c r="L406" s="31" t="n">
        <x:v>0.0066291588999999995</x:v>
      </x:c>
      <x:c r="M406" s="31" t="n">
        <x:v>0</x:v>
      </x:c>
      <x:c r="N406" s="24" t="str">
        <x:v>emblemariopsis diaphana</x:v>
      </x:c>
      <x:c r="O406" s="32" t="n">
        <x:v>3.3</x:v>
      </x:c>
      <x:c r="P406" s="24" t="str">
        <x:v>exact_sea_around_us</x:v>
      </x:c>
      <x:c r="Q406" s="32" t="str">
        <x:v>Sea Around Us exploited organisms</x:v>
      </x:c>
      <x:c r="R406" s="24" t="str">
        <x:v>high</x:v>
      </x:c>
      <x:c r="S406" s="24" t="str">
        <x:v>Emblemariopsis diaphana</x:v>
      </x:c>
      <x:c r="T406" s="32" t="n">
        <x:f>IF(O406="","",(1/'Metadata'!$B$5)^(O406-1))</x:f>
        <x:v>199.52623149688787</x:v>
      </x:c>
      <x:c r="U406" s="31" t="n">
        <x:f>IF(T406="","",I406*T406)</x:f>
        <x:v>1.3226910933110545</x:v>
      </x:c>
    </x:row>
    <x:row r="407" ht="18" customHeight="1">
      <x:c r="A407" s="24" t="str">
        <x:v>LME_005</x:v>
      </x:c>
      <x:c r="B407" s="24" t="str">
        <x:v>Gulf of Mexico</x:v>
      </x:c>
      <x:c r="C407" s="24" t="str">
        <x:v>LME</x:v>
      </x:c>
      <x:c r="D407" s="30" t="n">
        <x:v>2019</x:v>
      </x:c>
      <x:c r="E407" s="24" t="str">
        <x:v>Scarus coelestinus</x:v>
      </x:c>
      <x:c r="F407" s="24" t="str">
        <x:v>Midnight parrotfish</x:v>
      </x:c>
      <x:c r="G407" s="24" t="str">
        <x:v>Medium reef assoc. fish (30 - 89 cm)</x:v>
      </x:c>
      <x:c r="H407" s="24" t="str">
        <x:v>Perch-likes</x:v>
      </x:c>
      <x:c r="I407" s="31" t="n">
        <x:v>0.0062523705</x:v>
      </x:c>
      <x:c r="J407" s="31" t="n">
        <x:v>0.0062523705</x:v>
      </x:c>
      <x:c r="K407" s="31" t="n">
        <x:v>0</x:v>
      </x:c>
      <x:c r="L407" s="31" t="n">
        <x:v>0.0062523705</x:v>
      </x:c>
      <x:c r="M407" s="31" t="n">
        <x:v>0</x:v>
      </x:c>
      <x:c r="N407" s="24" t="str">
        <x:v>scarus coelestinus</x:v>
      </x:c>
      <x:c r="O407" s="32" t="n">
        <x:v>2.03</x:v>
      </x:c>
      <x:c r="P407" s="24" t="str">
        <x:v>exact_2020_supplement</x:v>
      </x:c>
      <x:c r="Q407" s="32" t="str">
        <x:v>2020 supplement MeanTL</x:v>
      </x:c>
      <x:c r="R407" s="24" t="str">
        <x:v>high</x:v>
      </x:c>
      <x:c r="S407" s="24" t="str">
        <x:v>Scarus coelestinus</x:v>
      </x:c>
      <x:c r="T407" s="32" t="n">
        <x:f>IF(O407="","",(1/'Metadata'!$B$5)^(O407-1))</x:f>
        <x:v>10.71519305237606</x:v>
      </x:c>
      <x:c r="U407" s="31" t="n">
        <x:f>IF(T407="","",I407*T407)</x:f>
        <x:v>0.06699535694248103</x:v>
      </x:c>
    </x:row>
    <x:row r="408" ht="18" customHeight="1">
      <x:c r="A408" s="24" t="str">
        <x:v>LME_005</x:v>
      </x:c>
      <x:c r="B408" s="24" t="str">
        <x:v>Gulf of Mexico</x:v>
      </x:c>
      <x:c r="C408" s="24" t="str">
        <x:v>LME</x:v>
      </x:c>
      <x:c r="D408" s="30" t="n">
        <x:v>2019</x:v>
      </x:c>
      <x:c r="E408" s="24" t="str">
        <x:v>Isurus</x:v>
      </x:c>
      <x:c r="F408" s="24" t="str">
        <x:v>Mako sharks</x:v>
      </x:c>
      <x:c r="G408" s="24" t="str">
        <x:v>Large sharks (&gt;=90 cm)</x:v>
      </x:c>
      <x:c r="H408" s="24" t="str">
        <x:v>Sharks &amp; rays</x:v>
      </x:c>
      <x:c r="I408" s="31" t="n">
        <x:v>0.0061309021</x:v>
      </x:c>
      <x:c r="J408" s="31" t="n">
        <x:v>0.0061309021</x:v>
      </x:c>
      <x:c r="K408" s="31" t="n">
        <x:v>0</x:v>
      </x:c>
      <x:c r="L408" s="31" t="n">
        <x:v>0</x:v>
      </x:c>
      <x:c r="M408" s="31" t="n">
        <x:v>0.0061309021</x:v>
      </x:c>
      <x:c r="N408" s="24" t="str">
        <x:v>isurus</x:v>
      </x:c>
      <x:c r="O408" s="32" t="n">
        <x:v>4.5</x:v>
      </x:c>
      <x:c r="P408" s="24" t="str">
        <x:v>exact_sea_around_us</x:v>
      </x:c>
      <x:c r="Q408" s="32" t="str">
        <x:v>Sea Around Us exploited organisms</x:v>
      </x:c>
      <x:c r="R408" s="24" t="str">
        <x:v>high</x:v>
      </x:c>
      <x:c r="S408" s="24" t="str">
        <x:v>Isurus</x:v>
      </x:c>
      <x:c r="T408" s="32" t="n">
        <x:f>IF(O408="","",(1/'Metadata'!$B$5)^(O408-1))</x:f>
        <x:v>3162.2776601683795</x:v>
      </x:c>
      <x:c r="U408" s="31" t="n">
        <x:f>IF(T408="","",I408*T408)</x:f>
        <x:v>19.387614747509406</x:v>
      </x:c>
    </x:row>
    <x:row r="409" ht="18" customHeight="1">
      <x:c r="A409" s="24" t="str">
        <x:v>LME_005</x:v>
      </x:c>
      <x:c r="B409" s="24" t="str">
        <x:v>Gulf of Mexico</x:v>
      </x:c>
      <x:c r="C409" s="24" t="str">
        <x:v>LME</x:v>
      </x:c>
      <x:c r="D409" s="30" t="n">
        <x:v>2019</x:v>
      </x:c>
      <x:c r="E409" s="24" t="str">
        <x:v>Aulostomus maculatus</x:v>
      </x:c>
      <x:c r="F409" s="24" t="str">
        <x:v>Trumpetfish</x:v>
      </x:c>
      <x:c r="G409" s="24" t="str">
        <x:v>Large reef assoc. fish (&gt;=90 cm)</x:v>
      </x:c>
      <x:c r="H409" s="24" t="str">
        <x:v>Other fishes &amp; inverts</x:v>
      </x:c>
      <x:c r="I409" s="31" t="n">
        <x:v>0.005774685999999999</x:v>
      </x:c>
      <x:c r="J409" s="31" t="n">
        <x:v>0.005774685999999999</x:v>
      </x:c>
      <x:c r="K409" s="31" t="n">
        <x:v>0</x:v>
      </x:c>
      <x:c r="L409" s="31" t="n">
        <x:v>0.005774685999999999</x:v>
      </x:c>
      <x:c r="M409" s="31" t="n">
        <x:v>0</x:v>
      </x:c>
      <x:c r="N409" s="24" t="str">
        <x:v>aulostomus maculatus</x:v>
      </x:c>
      <x:c r="O409" s="32" t="n">
        <x:v>4.26</x:v>
      </x:c>
      <x:c r="P409" s="24" t="str">
        <x:v>exact_2020_supplement</x:v>
      </x:c>
      <x:c r="Q409" s="32" t="str">
        <x:v>2020 supplement MeanTL</x:v>
      </x:c>
      <x:c r="R409" s="24" t="str">
        <x:v>high</x:v>
      </x:c>
      <x:c r="S409" s="24" t="str">
        <x:v>Aulostomus maculatus</x:v>
      </x:c>
      <x:c r="T409" s="32" t="n">
        <x:f>IF(O409="","",(1/'Metadata'!$B$5)^(O409-1))</x:f>
        <x:v>1819.7008586099826</x:v>
      </x:c>
      <x:c r="U409" s="31" t="n">
        <x:f>IF(T409="","",I409*T409)</x:f>
        <x:v>10.508201072403045</x:v>
      </x:c>
    </x:row>
    <x:row r="410" ht="18" customHeight="1">
      <x:c r="A410" s="24" t="str">
        <x:v>LME_005</x:v>
      </x:c>
      <x:c r="B410" s="24" t="str">
        <x:v>Gulf of Mexico</x:v>
      </x:c>
      <x:c r="C410" s="24" t="str">
        <x:v>LME</x:v>
      </x:c>
      <x:c r="D410" s="30" t="n">
        <x:v>2019</x:v>
      </x:c>
      <x:c r="E410" s="24" t="str">
        <x:v>Geukensia demissa</x:v>
      </x:c>
      <x:c r="F410" s="24" t="str">
        <x:v>Ribbed mussel</x:v>
      </x:c>
      <x:c r="G410" s="24" t="str">
        <x:v>Other demersal invertebrates</x:v>
      </x:c>
      <x:c r="H410" s="24" t="str">
        <x:v>Molluscs</x:v>
      </x:c>
      <x:c r="I410" s="31" t="n">
        <x:v>0.0053035534</x:v>
      </x:c>
      <x:c r="J410" s="31" t="n">
        <x:v>0.0053035534</x:v>
      </x:c>
      <x:c r="K410" s="31" t="n">
        <x:v>0</x:v>
      </x:c>
      <x:c r="L410" s="31" t="n">
        <x:v>0.0053035534</x:v>
      </x:c>
      <x:c r="M410" s="31" t="n">
        <x:v>0</x:v>
      </x:c>
      <x:c r="N410" s="24" t="str">
        <x:v>geukensia demissa</x:v>
      </x:c>
      <x:c r="O410" s="32" t="n">
        <x:v>2</x:v>
      </x:c>
      <x:c r="P410" s="24" t="str">
        <x:v>exact_sea_around_us</x:v>
      </x:c>
      <x:c r="Q410" s="32" t="str">
        <x:v>Sea Around Us exploited organisms</x:v>
      </x:c>
      <x:c r="R410" s="24" t="str">
        <x:v>high</x:v>
      </x:c>
      <x:c r="S410" s="24" t="str">
        <x:v>Geukensia demissa</x:v>
      </x:c>
      <x:c r="T410" s="32" t="n">
        <x:f>IF(O410="","",(1/'Metadata'!$B$5)^(O410-1))</x:f>
        <x:v>10</x:v>
      </x:c>
      <x:c r="U410" s="31" t="n">
        <x:f>IF(T410="","",I410*T410)</x:f>
        <x:v>0.053035534</x:v>
      </x:c>
    </x:row>
    <x:row r="411" ht="18" customHeight="1">
      <x:c r="A411" s="24" t="str">
        <x:v>LME_005</x:v>
      </x:c>
      <x:c r="B411" s="24" t="str">
        <x:v>Gulf of Mexico</x:v>
      </x:c>
      <x:c r="C411" s="24" t="str">
        <x:v>LME</x:v>
      </x:c>
      <x:c r="D411" s="30" t="n">
        <x:v>2019</x:v>
      </x:c>
      <x:c r="E411" s="24" t="str">
        <x:v>Argopecten irradians</x:v>
      </x:c>
      <x:c r="F411" s="24" t="str">
        <x:v>Atlantic bay scallop</x:v>
      </x:c>
      <x:c r="G411" s="24" t="str">
        <x:v>Other demersal invertebrates</x:v>
      </x:c>
      <x:c r="H411" s="24" t="str">
        <x:v>Molluscs</x:v>
      </x:c>
      <x:c r="I411" s="31" t="n">
        <x:v>0.0048122658</x:v>
      </x:c>
      <x:c r="J411" s="31" t="n">
        <x:v>0.0048122658</x:v>
      </x:c>
      <x:c r="K411" s="31" t="n">
        <x:v>0</x:v>
      </x:c>
      <x:c r="L411" s="31" t="n">
        <x:v>0</x:v>
      </x:c>
      <x:c r="M411" s="31" t="n">
        <x:v>0.0048122658</x:v>
      </x:c>
      <x:c r="N411" s="24" t="str">
        <x:v>argopecten irradians</x:v>
      </x:c>
      <x:c r="O411" s="32" t="n">
        <x:v>2</x:v>
      </x:c>
      <x:c r="P411" s="24" t="str">
        <x:v>exact_sea_around_us</x:v>
      </x:c>
      <x:c r="Q411" s="32" t="str">
        <x:v>Sea Around Us exploited organisms</x:v>
      </x:c>
      <x:c r="R411" s="24" t="str">
        <x:v>high</x:v>
      </x:c>
      <x:c r="S411" s="24" t="str">
        <x:v>Argopecten irradians</x:v>
      </x:c>
      <x:c r="T411" s="32" t="n">
        <x:f>IF(O411="","",(1/'Metadata'!$B$5)^(O411-1))</x:f>
        <x:v>10</x:v>
      </x:c>
      <x:c r="U411" s="31" t="n">
        <x:f>IF(T411="","",I411*T411)</x:f>
        <x:v>0.048122658</x:v>
      </x:c>
    </x:row>
    <x:row r="412" ht="18" customHeight="1">
      <x:c r="A412" s="24" t="str">
        <x:v>LME_005</x:v>
      </x:c>
      <x:c r="B412" s="24" t="str">
        <x:v>Gulf of Mexico</x:v>
      </x:c>
      <x:c r="C412" s="24" t="str">
        <x:v>LME</x:v>
      </x:c>
      <x:c r="D412" s="30" t="n">
        <x:v>2019</x:v>
      </x:c>
      <x:c r="E412" s="24" t="str">
        <x:v>Auxis rochei</x:v>
      </x:c>
      <x:c r="F412" s="24" t="str">
        <x:v>Bullet tuna</x:v>
      </x:c>
      <x:c r="G412" s="24" t="str">
        <x:v>Medium pelagics (30 - 89 cm)</x:v>
      </x:c>
      <x:c r="H412" s="24" t="str">
        <x:v>Tuna &amp; billfishes</x:v>
      </x:c>
      <x:c r="I412" s="31" t="n">
        <x:v>0.0046961195</x:v>
      </x:c>
      <x:c r="J412" s="31" t="n">
        <x:v>0.0046961195</x:v>
      </x:c>
      <x:c r="K412" s="31" t="n">
        <x:v>0</x:v>
      </x:c>
      <x:c r="L412" s="31" t="n">
        <x:v>0.0046961195</x:v>
      </x:c>
      <x:c r="M412" s="31" t="n">
        <x:v>0</x:v>
      </x:c>
      <x:c r="N412" s="24" t="str">
        <x:v>auxis rochei</x:v>
      </x:c>
      <x:c r="O412" s="32" t="n">
        <x:v>4.13</x:v>
      </x:c>
      <x:c r="P412" s="24" t="str">
        <x:v>exact_2020_supplement</x:v>
      </x:c>
      <x:c r="Q412" s="32" t="str">
        <x:v>2020 supplement MeanTL</x:v>
      </x:c>
      <x:c r="R412" s="24" t="str">
        <x:v>high</x:v>
      </x:c>
      <x:c r="S412" s="24" t="str">
        <x:v>Auxis rochei</x:v>
      </x:c>
      <x:c r="T412" s="32" t="n">
        <x:f>IF(O412="","",(1/'Metadata'!$B$5)^(O412-1))</x:f>
        <x:v>1348.9628825916532</x:v>
      </x:c>
      <x:c r="U412" s="31" t="n">
        <x:f>IF(T412="","",I412*T412)</x:f>
        <x:v>6.334890897714873</x:v>
      </x:c>
    </x:row>
    <x:row r="413" ht="18" customHeight="1">
      <x:c r="A413" s="24" t="str">
        <x:v>LME_005</x:v>
      </x:c>
      <x:c r="B413" s="24" t="str">
        <x:v>Gulf of Mexico</x:v>
      </x:c>
      <x:c r="C413" s="24" t="str">
        <x:v>LME</x:v>
      </x:c>
      <x:c r="D413" s="30" t="n">
        <x:v>2019</x:v>
      </x:c>
      <x:c r="E413" s="24" t="str">
        <x:v>Squalidae</x:v>
      </x:c>
      <x:c r="F413" s="24" t="str">
        <x:v>Dogfish sharks</x:v>
      </x:c>
      <x:c r="G413" s="24" t="str">
        <x:v>Large sharks (&gt;=90 cm)</x:v>
      </x:c>
      <x:c r="H413" s="24" t="str">
        <x:v>Sharks &amp; rays</x:v>
      </x:c>
      <x:c r="I413" s="31" t="n">
        <x:v>0.0041049465</x:v>
      </x:c>
      <x:c r="J413" s="31" t="n">
        <x:v>0.0041049465</x:v>
      </x:c>
      <x:c r="K413" s="31" t="n">
        <x:v>0</x:v>
      </x:c>
      <x:c r="L413" s="31" t="n">
        <x:v>0</x:v>
      </x:c>
      <x:c r="M413" s="31" t="n">
        <x:v>0.0041049465</x:v>
      </x:c>
      <x:c r="N413" s="24" t="str">
        <x:v>squalidae</x:v>
      </x:c>
      <x:c r="O413" s="32" t="n">
        <x:v>4.23</x:v>
      </x:c>
      <x:c r="P413" s="24" t="str">
        <x:v>exact_sea_around_us</x:v>
      </x:c>
      <x:c r="Q413" s="32" t="str">
        <x:v>Sea Around Us exploited organisms</x:v>
      </x:c>
      <x:c r="R413" s="24" t="str">
        <x:v>high</x:v>
      </x:c>
      <x:c r="S413" s="24" t="str">
        <x:v>Squalidae</x:v>
      </x:c>
      <x:c r="T413" s="32" t="n">
        <x:f>IF(O413="","",(1/'Metadata'!$B$5)^(O413-1))</x:f>
        <x:v>1698.243652461746</x:v>
      </x:c>
      <x:c r="U413" s="31" t="n">
        <x:f>IF(T413="","",I413*T413)</x:f>
        <x:v>6.97119933732006</x:v>
      </x:c>
    </x:row>
    <x:row r="414" ht="18" customHeight="1">
      <x:c r="A414" s="24" t="str">
        <x:v>LME_005</x:v>
      </x:c>
      <x:c r="B414" s="24" t="str">
        <x:v>Gulf of Mexico</x:v>
      </x:c>
      <x:c r="C414" s="24" t="str">
        <x:v>LME</x:v>
      </x:c>
      <x:c r="D414" s="30" t="n">
        <x:v>2019</x:v>
      </x:c>
      <x:c r="E414" s="24" t="str">
        <x:v>Fowlerichthys ocellatus</x:v>
      </x:c>
      <x:c r="F414" s="24" t="str">
        <x:v>Ocellated frogfish</x:v>
      </x:c>
      <x:c r="G414" s="24" t="str">
        <x:v>Small reef assoc. fish (&lt;30 cm)</x:v>
      </x:c>
      <x:c r="H414" s="24" t="str">
        <x:v>Other fishes &amp; inverts</x:v>
      </x:c>
      <x:c r="I414" s="31" t="n">
        <x:v>0.0027122993999999997</x:v>
      </x:c>
      <x:c r="J414" s="31" t="n">
        <x:v>0.0027122993999999997</x:v>
      </x:c>
      <x:c r="K414" s="31" t="n">
        <x:v>0</x:v>
      </x:c>
      <x:c r="L414" s="31" t="n">
        <x:v>0.0027122993999999997</x:v>
      </x:c>
      <x:c r="M414" s="31" t="n">
        <x:v>0</x:v>
      </x:c>
      <x:c r="N414" s="24" t="str">
        <x:v>fowlerichthys ocellatus</x:v>
      </x:c>
      <x:c r="O414" s="32" t="n">
        <x:v>4.05</x:v>
      </x:c>
      <x:c r="P414" s="24" t="str">
        <x:v>exact_2020_supplement</x:v>
      </x:c>
      <x:c r="Q414" s="32" t="str">
        <x:v>2020 supplement MeanTL</x:v>
      </x:c>
      <x:c r="R414" s="24" t="str">
        <x:v>high</x:v>
      </x:c>
      <x:c r="S414" s="24" t="str">
        <x:v>Fowlerichthys ocellatus</x:v>
      </x:c>
      <x:c r="T414" s="32" t="n">
        <x:f>IF(O414="","",(1/'Metadata'!$B$5)^(O414-1))</x:f>
        <x:v>1122.018454301963</x:v>
      </x:c>
      <x:c r="U414" s="31" t="n">
        <x:f>IF(T414="","",I414*T414)</x:f>
        <x:v>3.043249980392141</x:v>
      </x:c>
    </x:row>
    <x:row r="415" ht="18" customHeight="1">
      <x:c r="A415" s="24" t="str">
        <x:v>LME_005</x:v>
      </x:c>
      <x:c r="B415" s="24" t="str">
        <x:v>Gulf of Mexico</x:v>
      </x:c>
      <x:c r="C415" s="24" t="str">
        <x:v>LME</x:v>
      </x:c>
      <x:c r="D415" s="30" t="n">
        <x:v>2019</x:v>
      </x:c>
      <x:c r="E415" s="24" t="str">
        <x:v>Labrisomus nuchipinnis</x:v>
      </x:c>
      <x:c r="F415" s="24" t="str">
        <x:v>Hairy blenny</x:v>
      </x:c>
      <x:c r="G415" s="24" t="str">
        <x:v>Small reef assoc. fish (&lt;30 cm)</x:v>
      </x:c>
      <x:c r="H415" s="24" t="str">
        <x:v>Perch-likes</x:v>
      </x:c>
      <x:c r="I415" s="31" t="n">
        <x:v>0.0022301687</x:v>
      </x:c>
      <x:c r="J415" s="31" t="n">
        <x:v>0.0022301687</x:v>
      </x:c>
      <x:c r="K415" s="31" t="n">
        <x:v>0</x:v>
      </x:c>
      <x:c r="L415" s="31" t="n">
        <x:v>0.0022301687</x:v>
      </x:c>
      <x:c r="M415" s="31" t="n">
        <x:v>0</x:v>
      </x:c>
      <x:c r="N415" s="24" t="str">
        <x:v>labrisomus nuchipinnis</x:v>
      </x:c>
      <x:c r="O415" s="32" t="n">
        <x:v>3.59</x:v>
      </x:c>
      <x:c r="P415" s="24" t="str">
        <x:v>exact_2020_supplement</x:v>
      </x:c>
      <x:c r="Q415" s="32" t="str">
        <x:v>2020 supplement MeanTL</x:v>
      </x:c>
      <x:c r="R415" s="24" t="str">
        <x:v>high</x:v>
      </x:c>
      <x:c r="S415" s="24" t="str">
        <x:v>Labrisomus nuchipinnis</x:v>
      </x:c>
      <x:c r="T415" s="32" t="n">
        <x:f>IF(O415="","",(1/'Metadata'!$B$5)^(O415-1))</x:f>
        <x:v>389.04514499428046</x:v>
      </x:c>
      <x:c r="U415" s="31" t="n">
        <x:f>IF(T415="","",I415*T415)</x:f>
        <x:v>0.867636305253206</x:v>
      </x:c>
    </x:row>
    <x:row r="416" ht="18" customHeight="1">
      <x:c r="A416" s="24" t="str">
        <x:v>LME_005</x:v>
      </x:c>
      <x:c r="B416" s="24" t="str">
        <x:v>Gulf of Mexico</x:v>
      </x:c>
      <x:c r="C416" s="24" t="str">
        <x:v>LME</x:v>
      </x:c>
      <x:c r="D416" s="30" t="n">
        <x:v>2019</x:v>
      </x:c>
      <x:c r="E416" s="24" t="str">
        <x:v>Hypleurochilus bermudensis</x:v>
      </x:c>
      <x:c r="F416" s="24" t="str">
        <x:v>Barred blenny</x:v>
      </x:c>
      <x:c r="G416" s="24" t="str">
        <x:v>Small reef assoc. fish (&lt;30 cm)</x:v>
      </x:c>
      <x:c r="H416" s="24" t="str">
        <x:v>Perch-likes</x:v>
      </x:c>
      <x:c r="I416" s="31" t="n">
        <x:v>0.0022239347999999997</x:v>
      </x:c>
      <x:c r="J416" s="31" t="n">
        <x:v>0.0022239347999999997</x:v>
      </x:c>
      <x:c r="K416" s="31" t="n">
        <x:v>0</x:v>
      </x:c>
      <x:c r="L416" s="31" t="n">
        <x:v>0.0022239347999999997</x:v>
      </x:c>
      <x:c r="M416" s="31" t="n">
        <x:v>0</x:v>
      </x:c>
      <x:c r="N416" s="24" t="str">
        <x:v>hypleurochilus bermudensis</x:v>
      </x:c>
      <x:c r="O416" s="32" t="n">
        <x:v>3.2</x:v>
      </x:c>
      <x:c r="P416" s="24" t="str">
        <x:v>exact_sea_around_us</x:v>
      </x:c>
      <x:c r="Q416" s="32" t="str">
        <x:v>Sea Around Us exploited organisms</x:v>
      </x:c>
      <x:c r="R416" s="24" t="str">
        <x:v>high</x:v>
      </x:c>
      <x:c r="S416" s="24" t="str">
        <x:v>Hypleurochilus bermudensis</x:v>
      </x:c>
      <x:c r="T416" s="32" t="n">
        <x:f>IF(O416="","",(1/'Metadata'!$B$5)^(O416-1))</x:f>
        <x:v>158.48931924611142</x:v>
      </x:c>
      <x:c r="U416" s="31" t="n">
        <x:f>IF(T416="","",I416*T416)</x:f>
        <x:v>0.3524699124997369</x:v>
      </x:c>
    </x:row>
    <x:row r="417" ht="18" customHeight="1">
      <x:c r="A417" s="24" t="str">
        <x:v>LME_005</x:v>
      </x:c>
      <x:c r="B417" s="24" t="str">
        <x:v>Gulf of Mexico</x:v>
      </x:c>
      <x:c r="C417" s="24" t="str">
        <x:v>LME</x:v>
      </x:c>
      <x:c r="D417" s="30" t="n">
        <x:v>2019</x:v>
      </x:c>
      <x:c r="E417" s="24" t="str">
        <x:v>Anchoviella</x:v>
      </x:c>
      <x:c r="F417" s="24" t="str">
        <x:v>Anchovies</x:v>
      </x:c>
      <x:c r="G417" s="24" t="str">
        <x:v>Small pelagics (&lt;30 cm)</x:v>
      </x:c>
      <x:c r="H417" s="24" t="str">
        <x:v>Anchovies</x:v>
      </x:c>
      <x:c r="I417" s="31" t="n">
        <x:v>0.0010915183</x:v>
      </x:c>
      <x:c r="J417" s="31" t="n">
        <x:v>0.0010915183</x:v>
      </x:c>
      <x:c r="K417" s="31" t="n">
        <x:v>0</x:v>
      </x:c>
      <x:c r="L417" s="31" t="n">
        <x:v>0</x:v>
      </x:c>
      <x:c r="M417" s="31" t="n">
        <x:v>0.0010915183</x:v>
      </x:c>
      <x:c r="N417" s="24" t="str">
        <x:v>anchoviella</x:v>
      </x:c>
      <x:c r="O417" s="32" t="n">
        <x:v>3.18</x:v>
      </x:c>
      <x:c r="P417" s="24" t="str">
        <x:v>exact_sea_around_us</x:v>
      </x:c>
      <x:c r="Q417" s="32" t="str">
        <x:v>Sea Around Us exploited organisms</x:v>
      </x:c>
      <x:c r="R417" s="24" t="str">
        <x:v>high</x:v>
      </x:c>
      <x:c r="S417" s="24" t="str">
        <x:v>Anchoviella</x:v>
      </x:c>
      <x:c r="T417" s="32" t="n">
        <x:f>IF(O417="","",(1/'Metadata'!$B$5)^(O417-1))</x:f>
        <x:v>151.35612484362088</x:v>
      </x:c>
      <x:c r="U417" s="31" t="n">
        <x:f>IF(T417="","",I417*T417)</x:f>
        <x:v>0.1652079800838968</x:v>
      </x:c>
    </x:row>
    <x:row r="418" ht="18" customHeight="1">
      <x:c r="A418" s="24" t="str">
        <x:v>LME_005</x:v>
      </x:c>
      <x:c r="B418" s="24" t="str">
        <x:v>Gulf of Mexico</x:v>
      </x:c>
      <x:c r="C418" s="24" t="str">
        <x:v>LME</x:v>
      </x:c>
      <x:c r="D418" s="30" t="n">
        <x:v>2019</x:v>
      </x:c>
      <x:c r="E418" s="24" t="str">
        <x:v>Cephalopholis fulva</x:v>
      </x:c>
      <x:c r="F418" s="24" t="str">
        <x:v>Coney</x:v>
      </x:c>
      <x:c r="G418" s="24" t="str">
        <x:v>Medium reef assoc. fish (30 - 89 cm)</x:v>
      </x:c>
      <x:c r="H418" s="24" t="str">
        <x:v>Perch-likes</x:v>
      </x:c>
      <x:c r="I418" s="31" t="n">
        <x:v>0.0004818677</x:v>
      </x:c>
      <x:c r="J418" s="31" t="n">
        <x:v>0.0004818677</x:v>
      </x:c>
      <x:c r="K418" s="31" t="n">
        <x:v>0</x:v>
      </x:c>
      <x:c r="L418" s="31" t="n">
        <x:v>0</x:v>
      </x:c>
      <x:c r="M418" s="31" t="n">
        <x:v>0.0004818677</x:v>
      </x:c>
      <x:c r="N418" s="24" t="str">
        <x:v>cephalopholis fulva</x:v>
      </x:c>
      <x:c r="O418" s="32" t="n">
        <x:v>4.05</x:v>
      </x:c>
      <x:c r="P418" s="24" t="str">
        <x:v>exact_2020_supplement</x:v>
      </x:c>
      <x:c r="Q418" s="32" t="str">
        <x:v>2020 supplement MeanTL</x:v>
      </x:c>
      <x:c r="R418" s="24" t="str">
        <x:v>high</x:v>
      </x:c>
      <x:c r="S418" s="24" t="str">
        <x:v>Cephalopholis fulva</x:v>
      </x:c>
      <x:c r="T418" s="32" t="n">
        <x:f>IF(O418="","",(1/'Metadata'!$B$5)^(O418-1))</x:f>
        <x:v>1122.018454301963</x:v>
      </x:c>
      <x:c r="U418" s="31" t="n">
        <x:f>IF(T418="","",I418*T418)</x:f>
        <x:v>0.5406644519320419</x:v>
      </x:c>
    </x:row>
    <x:row r="419" ht="18" customHeight="1">
      <x:c r="A419" s="24" t="str">
        <x:v>LME_005</x:v>
      </x:c>
      <x:c r="B419" s="24" t="str">
        <x:v>Gulf of Mexico</x:v>
      </x:c>
      <x:c r="C419" s="24" t="str">
        <x:v>LME</x:v>
      </x:c>
      <x:c r="D419" s="30" t="n">
        <x:v>2019</x:v>
      </x:c>
      <x:c r="E419" s="24" t="str">
        <x:v>Zenopsis conchifer</x:v>
      </x:c>
      <x:c r="F419" s="24" t="str">
        <x:v>Silvery John dory</x:v>
      </x:c>
      <x:c r="G419" s="24" t="str">
        <x:v>Medium benthopelagics (30 - 89 cm)</x:v>
      </x:c>
      <x:c r="H419" s="24" t="str">
        <x:v>Other fishes &amp; inverts</x:v>
      </x:c>
      <x:c r="I419" s="31" t="n">
        <x:v>0.0004456666</x:v>
      </x:c>
      <x:c r="J419" s="31" t="n">
        <x:v>0.0004456666</x:v>
      </x:c>
      <x:c r="K419" s="31" t="n">
        <x:v>0</x:v>
      </x:c>
      <x:c r="L419" s="31" t="n">
        <x:v>0</x:v>
      </x:c>
      <x:c r="M419" s="31" t="n">
        <x:v>0.0004456666</x:v>
      </x:c>
      <x:c r="N419" s="24" t="str">
        <x:v>zenopsis conchifer</x:v>
      </x:c>
      <x:c r="O419" s="32" t="n">
        <x:v>4.5</x:v>
      </x:c>
      <x:c r="P419" s="24" t="str">
        <x:v>exact_2020_supplement</x:v>
      </x:c>
      <x:c r="Q419" s="32" t="str">
        <x:v>2020 supplement MeanTL</x:v>
      </x:c>
      <x:c r="R419" s="24" t="str">
        <x:v>high</x:v>
      </x:c>
      <x:c r="S419" s="24" t="str">
        <x:v>Zenopsis conchifer</x:v>
      </x:c>
      <x:c r="T419" s="32" t="n">
        <x:f>IF(O419="","",(1/'Metadata'!$B$5)^(O419-1))</x:f>
        <x:v>3162.2776601683795</x:v>
      </x:c>
      <x:c r="U419" s="31" t="n">
        <x:f>IF(T419="","",I419*T419)</x:f>
        <x:v>1.4093215330631972</x:v>
      </x:c>
    </x:row>
  </x:sheetData>
  <x:conditionalFormatting sqref="R2:R419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f942f4890009414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297.24301791069996</x:v>
      </x:c>
      <x:c r="C2" s="32" t="n">
        <x:v>3.2320909212859084</x:v>
      </x:c>
      <x:c r="D2" s="32" t="n">
        <x:f>IF(C2="","",(1/'Metadata'!$B$5)^(C2-1))</x:f>
        <x:v>170.64396015620764</x:v>
      </x:c>
      <x:c r="E2" s="31" t="n">
        <x:f>IF(B2=0,"",B2*D2)</x:f>
        <x:v>50722.7257050644</x:v>
      </x:c>
    </x:row>
    <x:row r="3" ht="18" customHeight="1">
      <x:c r="A3" s="24" t="str">
        <x:v>Cod-likes</x:v>
      </x:c>
      <x:c r="B3" s="31" t="n">
        <x:v>262.2222669504</x:v>
      </x:c>
      <x:c r="C3" s="32" t="n">
        <x:v>3.91</x:v>
      </x:c>
      <x:c r="D3" s="32" t="n">
        <x:f>IF(C3="","",(1/'Metadata'!$B$5)^(C3-1))</x:f>
        <x:v>812.8305161640995</x:v>
      </x:c>
      <x:c r="E3" s="31" t="n">
        <x:f>IF(B3=0,"",B3*D3)</x:f>
        <x:v>213142.26059501394</x:v>
      </x:c>
    </x:row>
    <x:row r="4" ht="18" customHeight="1">
      <x:c r="A4" s="24" t="str">
        <x:v>Crustaceans</x:v>
      </x:c>
      <x:c r="B4" s="31" t="n">
        <x:v>191750.41955023183</x:v>
      </x:c>
      <x:c r="C4" s="32" t="n">
        <x:v>3.1127733978884753</x:v>
      </x:c>
      <x:c r="D4" s="32" t="n">
        <x:f>IF(C4="","",(1/'Metadata'!$B$5)^(C4-1))</x:f>
        <x:v>129.65026174646246</x:v>
      </x:c>
      <x:c r="E4" s="31" t="n">
        <x:f>IF(B4=0,"",B4*D4)</x:f>
        <x:v>24860492.08468155</x:v>
      </x:c>
    </x:row>
    <x:row r="5" ht="18" customHeight="1">
      <x:c r="A5" s="24" t="str">
        <x:v>Flatfishes</x:v>
      </x:c>
      <x:c r="B5" s="31" t="n">
        <x:v>462.7281089285</x:v>
      </x:c>
      <x:c r="C5" s="32" t="n">
        <x:v>3.7279074645430508</x:v>
      </x:c>
      <x:c r="D5" s="32" t="n">
        <x:f>IF(C5="","",(1/'Metadata'!$B$5)^(C5-1))</x:f>
        <x:v>534.4504714941663</x:v>
      </x:c>
      <x:c r="E5" s="31" t="n">
        <x:f>IF(B5=0,"",B5*D5)</x:f>
        <x:v>247305.25599044075</x:v>
      </x:c>
    </x:row>
    <x:row r="6" ht="18" customHeight="1">
      <x:c r="A6" s="24" t="str">
        <x:v>Herring-likes</x:v>
      </x:c>
      <x:c r="B6" s="31" t="n">
        <x:v>637387.5236525004</x:v>
      </x:c>
      <x:c r="C6" s="32" t="n">
        <x:v>2.945184828148674</x:v>
      </x:c>
      <x:c r="D6" s="32" t="n">
        <x:f>IF(C6="","",(1/'Metadata'!$B$5)^(C6-1))</x:f>
        <x:v>88.14239118244922</x:v>
      </x:c>
      <x:c r="E6" s="31" t="n">
        <x:f>IF(B6=0,"",B6*D6)</x:f>
        <x:v>56180860.44459129</x:v>
      </x:c>
    </x:row>
    <x:row r="7" ht="18" customHeight="1">
      <x:c r="A7" s="24" t="str">
        <x:v>Molluscs</x:v>
      </x:c>
      <x:c r="B7" s="31" t="n">
        <x:v>80197.4929162213</x:v>
      </x:c>
      <x:c r="C7" s="32" t="n">
        <x:v>2.0862589523360016</x:v>
      </x:c>
      <x:c r="D7" s="32" t="n">
        <x:f>IF(C7="","",(1/'Metadata'!$B$5)^(C7-1))</x:f>
        <x:v>12.197166501396776</x:v>
      </x:c>
      <x:c r="E7" s="31" t="n">
        <x:f>IF(B7=0,"",B7*D7)</x:f>
        <x:v>978182.1740937396</x:v>
      </x:c>
    </x:row>
    <x:row r="8" ht="18" customHeight="1">
      <x:c r="A8" s="24" t="str">
        <x:v>Other fishes &amp; inverts</x:v>
      </x:c>
      <x:c r="B8" s="31" t="n">
        <x:v>346261.55158372887</x:v>
      </x:c>
      <x:c r="C8" s="32" t="n">
        <x:v>3.3442422611417713</x:v>
      </x:c>
      <x:c r="D8" s="32" t="n">
        <x:f>IF(C8="","",(1/'Metadata'!$B$5)^(C8-1))</x:f>
        <x:v>220.9236761037527</x:v>
      </x:c>
      <x:c r="E8" s="31" t="n">
        <x:f>IF(B8=0,"",B8*D8)</x:f>
        <x:v>76497374.86926658</x:v>
      </x:c>
    </x:row>
    <x:row r="9" ht="18" customHeight="1">
      <x:c r="A9" s="24" t="str">
        <x:v>Perch-likes</x:v>
      </x:c>
      <x:c r="B9" s="31" t="n">
        <x:v>272280.4169000981</x:v>
      </x:c>
      <x:c r="C9" s="32" t="n">
        <x:v>3.764904804010099</x:v>
      </x:c>
      <x:c r="D9" s="32" t="n">
        <x:f>IF(C9="","",(1/'Metadata'!$B$5)^(C9-1))</x:f>
        <x:v>581.9756365523273</x:v>
      </x:c>
      <x:c r="E9" s="31" t="n">
        <x:f>IF(B9=0,"",B9*D9)</x:f>
        <x:v>158460568.94616765</x:v>
      </x:c>
    </x:row>
    <x:row r="10" ht="18" customHeight="1">
      <x:c r="A10" s="24" t="str">
        <x:v>Scorpionfishes</x:v>
      </x:c>
      <x:c r="B10" s="31" t="n">
        <x:v>69.3604237019</x:v>
      </x:c>
      <x:c r="C10" s="32" t="n">
        <x:v>3.853403061283239</x:v>
      </x:c>
      <x:c r="D10" s="32" t="n">
        <x:f>IF(C10="","",(1/'Metadata'!$B$5)^(C10-1))</x:f>
        <x:v>713.5149239343214</x:v>
      </x:c>
      <x:c r="E10" s="31" t="n">
        <x:f>IF(B10=0,"",B10*D10)</x:f>
        <x:v>49489.697441713484</x:v>
      </x:c>
    </x:row>
    <x:row r="11" ht="18" customHeight="1">
      <x:c r="A11" s="24" t="str">
        <x:v>Sharks &amp; rays</x:v>
      </x:c>
      <x:c r="B11" s="31" t="n">
        <x:v>12119.114291927703</x:v>
      </x:c>
      <x:c r="C11" s="32" t="n">
        <x:v>3.957108471888898</x:v>
      </x:c>
      <x:c r="D11" s="32" t="n">
        <x:f>IF(C11="","",(1/'Metadata'!$B$5)^(C11-1))</x:f>
        <x:v>905.9588501380149</x:v>
      </x:c>
      <x:c r="E11" s="31" t="n">
        <x:f>IF(B11=0,"",B11*D11)</x:f>
        <x:v>10979418.848606003</x:v>
      </x:c>
    </x:row>
    <x:row r="12" ht="18" customHeight="1">
      <x:c r="A12" s="24" t="str">
        <x:v>Tuna &amp; billfishes</x:v>
      </x:c>
      <x:c r="B12" s="31" t="n">
        <x:v>8187.752713518</x:v>
      </x:c>
      <x:c r="C12" s="32" t="n">
        <x:v>4.473025045020316</x:v>
      </x:c>
      <x:c r="D12" s="32" t="n">
        <x:f>IF(C12="","",(1/'Metadata'!$B$5)^(C12-1))</x:f>
        <x:v>2971.837407579245</x:v>
      </x:c>
      <x:c r="E12" s="31" t="n">
        <x:f>IF(B12=0,"",B12*D12)</x:f>
        <x:v>24332669.79804126</x:v>
      </x:c>
    </x:row>
  </x:sheetData>
  <x:pageMargins left="0.7" right="0.7" top="0.75" bottom="0.75" header="0.3" footer="0.3"/>
  <x:tableParts count="1">
    <x:tablePart xmlns:r="http://schemas.openxmlformats.org/officeDocument/2006/relationships" r:id="R3fe4f96e4c33484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32439.960181065304</x:v>
      </x:c>
      <x:c r="C2" s="32" t="n">
        <x:v>3.5405091820996764</x:v>
      </x:c>
      <x:c r="D2" s="32" t="n">
        <x:f>IF(C2="","",(1/'Metadata'!$B$5)^(C2-1))</x:f>
        <x:v>347.143615316852</x:v>
      </x:c>
      <x:c r="E2" s="31" t="n">
        <x:f>IF(B2=0,"",B2*D2)</x:f>
        <x:v>11261325.05798973</x:v>
      </x:c>
    </x:row>
    <x:row r="3" ht="18" customHeight="1">
      <x:c r="A3" s="24" t="str">
        <x:v>Jellyfish</x:v>
      </x:c>
      <x:c r="B3" s="31" t="n">
        <x:v>1391.1674149021</x:v>
      </x:c>
      <x:c r="C3" s="32" t="n">
        <x:v>3.347215881364094</x:v>
      </x:c>
      <x:c r="D3" s="32" t="n">
        <x:f>IF(C3="","",(1/'Metadata'!$B$5)^(C3-1))</x:f>
        <x:v>222.44153398455717</x:v>
      </x:c>
      <x:c r="E3" s="31" t="n">
        <x:f>IF(B3=0,"",B3*D3)</x:f>
        <x:v>309453.41380015406</x:v>
      </x:c>
    </x:row>
    <x:row r="4" ht="18" customHeight="1">
      <x:c r="A4" s="24" t="str">
        <x:v>Large bathydemersals (&gt;=90 cm)</x:v>
      </x:c>
      <x:c r="B4" s="31" t="n">
        <x:v>11.260100452</x:v>
      </x:c>
      <x:c r="C4" s="32" t="n">
        <x:v>3.6706506980434352</x:v>
      </x:c>
      <x:c r="D4" s="32" t="n">
        <x:f>IF(C4="","",(1/'Metadata'!$B$5)^(C4-1))</x:f>
        <x:v>468.4364683200258</x:v>
      </x:c>
      <x:c r="E4" s="31" t="n">
        <x:f>IF(B4=0,"",B4*D4)</x:f>
        <x:v>5274.641688663606</x:v>
      </x:c>
    </x:row>
    <x:row r="5" ht="18" customHeight="1">
      <x:c r="A5" s="24" t="str">
        <x:v>Large bathypelagics (&gt;=90 cm)</x:v>
      </x:c>
      <x:c r="B5" s="31" t="n">
        <x:v>10.901996807</x:v>
      </x:c>
      <x:c r="C5" s="32" t="n">
        <x:v>4.34</x:v>
      </x:c>
      <x:c r="D5" s="32" t="n">
        <x:f>IF(C5="","",(1/'Metadata'!$B$5)^(C5-1))</x:f>
        <x:v>2187.761623949552</x:v>
      </x:c>
      <x:c r="E5" s="31" t="n">
        <x:f>IF(B5=0,"",B5*D5)</x:f>
        <x:v>23850.97023877515</x:v>
      </x:c>
    </x:row>
    <x:row r="6" ht="18" customHeight="1">
      <x:c r="A6" s="24" t="str">
        <x:v>Large benthopelagics (&gt;=90 cm)</x:v>
      </x:c>
      <x:c r="B6" s="31" t="n">
        <x:v>12792.292512708698</x:v>
      </x:c>
      <x:c r="C6" s="32" t="n">
        <x:v>2.6281367607736374</x:v>
      </x:c>
      <x:c r="D6" s="32" t="n">
        <x:f>IF(C6="","",(1/'Metadata'!$B$5)^(C6-1))</x:f>
        <x:v>42.475329911189625</x:v>
      </x:c>
      <x:c r="E6" s="31" t="n">
        <x:f>IF(B6=0,"",B6*D6)</x:f>
        <x:v>543356.8447977429</x:v>
      </x:c>
    </x:row>
    <x:row r="7" ht="18" customHeight="1">
      <x:c r="A7" s="24" t="str">
        <x:v>Large demersals (&gt;=90 cm)</x:v>
      </x:c>
      <x:c r="B7" s="31" t="n">
        <x:v>29039.2386792929</x:v>
      </x:c>
      <x:c r="C7" s="32" t="n">
        <x:v>3.986509227552068</x:v>
      </x:c>
      <x:c r="D7" s="32" t="n">
        <x:f>IF(C7="","",(1/'Metadata'!$B$5)^(C7-1))</x:f>
        <x:v>969.4138664348496</x:v>
      </x:c>
      <x:c r="E7" s="31" t="n">
        <x:f>IF(B7=0,"",B7*D7)</x:f>
        <x:v>28151040.646417767</x:v>
      </x:c>
    </x:row>
    <x:row r="8" ht="18" customHeight="1">
      <x:c r="A8" s="24" t="str">
        <x:v>Large pelagics (&gt;=90 cm)</x:v>
      </x:c>
      <x:c r="B8" s="31" t="n">
        <x:v>24928.092757163</x:v>
      </x:c>
      <x:c r="C8" s="32" t="n">
        <x:v>4.3806574245623775</x:v>
      </x:c>
      <x:c r="D8" s="32" t="n">
        <x:f>IF(C8="","",(1/'Metadata'!$B$5)^(C8-1))</x:f>
        <x:v>2402.46696458487</x:v>
      </x:c>
      <x:c r="E8" s="31" t="n">
        <x:f>IF(B8=0,"",B8*D8)</x:f>
        <x:v>59888919.339191474</x:v>
      </x:c>
    </x:row>
    <x:row r="9" ht="18" customHeight="1">
      <x:c r="A9" s="24" t="str">
        <x:v>Large rays (&gt;=90 cm)</x:v>
      </x:c>
      <x:c r="B9" s="31" t="n">
        <x:v>3484.9321812237995</x:v>
      </x:c>
      <x:c r="C9" s="32" t="n">
        <x:v>3.4184697903790666</x:v>
      </x:c>
      <x:c r="D9" s="32" t="n">
        <x:f>IF(C9="","",(1/'Metadata'!$B$5)^(C9-1))</x:f>
        <x:v>262.1016713787396</x:v>
      </x:c>
      <x:c r="E9" s="31" t="n">
        <x:f>IF(B9=0,"",B9*D9)</x:f>
        <x:v>913406.5493403145</x:v>
      </x:c>
    </x:row>
    <x:row r="10" ht="18" customHeight="1">
      <x:c r="A10" s="24" t="str">
        <x:v>Large reef assoc. fish (&gt;=90 cm)</x:v>
      </x:c>
      <x:c r="B10" s="31" t="n">
        <x:v>16556.7907055644</x:v>
      </x:c>
      <x:c r="C10" s="32" t="n">
        <x:v>3.7851445408324302</x:v>
      </x:c>
      <x:c r="D10" s="32" t="n">
        <x:f>IF(C10="","",(1/'Metadata'!$B$5)^(C10-1))</x:f>
        <x:v>609.7397955889408</x:v>
      </x:c>
      <x:c r="E10" s="31" t="n">
        <x:f>IF(B10=0,"",B10*D10)</x:f>
        <x:v>10095334.180419711</x:v>
      </x:c>
    </x:row>
    <x:row r="11" ht="18" customHeight="1">
      <x:c r="A11" s="24" t="str">
        <x:v>Large sharks (&gt;=90 cm)</x:v>
      </x:c>
      <x:c r="B11" s="31" t="n">
        <x:v>8627.445655075198</x:v>
      </x:c>
      <x:c r="C11" s="32" t="n">
        <x:v>4.174993932455778</x:v>
      </x:c>
      <x:c r="D11" s="32" t="n">
        <x:f>IF(C11="","",(1/'Metadata'!$B$5)^(C11-1))</x:f>
        <x:v>1496.2147522769305</x:v>
      </x:c>
      <x:c r="E11" s="31" t="n">
        <x:f>IF(B11=0,"",B11*D11)</x:f>
        <x:v>12908511.463591019</x:v>
      </x:c>
    </x:row>
    <x:row r="12" ht="18" customHeight="1">
      <x:c r="A12" s="24" t="str">
        <x:v>Lobsters, crabs</x:v>
      </x:c>
      <x:c r="B12" s="31" t="n">
        <x:v>49996.9489793575</x:v>
      </x:c>
      <x:c r="C12" s="32" t="n">
        <x:v>3.9044725864610355</x:v>
      </x:c>
      <x:c r="D12" s="32" t="n">
        <x:f>IF(C12="","",(1/'Metadata'!$B$5)^(C12-1))</x:f>
        <x:v>802.5509006508571</x:v>
      </x:c>
      <x:c r="E12" s="31" t="n">
        <x:f>IF(B12=0,"",B12*D12)</x:f>
        <x:v>40125096.43317831</x:v>
      </x:c>
    </x:row>
    <x:row r="13" ht="18" customHeight="1">
      <x:c r="A13" s="24" t="str">
        <x:v>Medium bathydemersals (30 - 89 cm)</x:v>
      </x:c>
      <x:c r="B13" s="31" t="n">
        <x:v>49.2032225372</x:v>
      </x:c>
      <x:c r="C13" s="32" t="n">
        <x:v>3.942727996963339</x:v>
      </x:c>
      <x:c r="D13" s="32" t="n">
        <x:f>IF(C13="","",(1/'Metadata'!$B$5)^(C13-1))</x:f>
        <x:v>876.4517186109786</x:v>
      </x:c>
      <x:c r="E13" s="31" t="n">
        <x:f>IF(B13=0,"",B13*D13)</x:f>
        <x:v>43124.248953927374</x:v>
      </x:c>
    </x:row>
    <x:row r="14" ht="18" customHeight="1">
      <x:c r="A14" s="24" t="str">
        <x:v>Medium benthopelagics (30 - 89 cm)</x:v>
      </x:c>
      <x:c r="B14" s="31" t="n">
        <x:v>20945.236180438496</x:v>
      </x:c>
      <x:c r="C14" s="32" t="n">
        <x:v>3.027603966506247</x:v>
      </x:c>
      <x:c r="D14" s="32" t="n">
        <x:f>IF(C14="","",(1/'Metadata'!$B$5)^(C14-1))</x:f>
        <x:v>106.56239346899419</x:v>
      </x:c>
      <x:c r="E14" s="31" t="n">
        <x:f>IF(B14=0,"",B14*D14)</x:f>
        <x:v>2231974.4991609</x:v>
      </x:c>
    </x:row>
    <x:row r="15" ht="18" customHeight="1">
      <x:c r="A15" s="24" t="str">
        <x:v>Medium demersals (30 - 89 cm)</x:v>
      </x:c>
      <x:c r="B15" s="31" t="n">
        <x:v>364107.47405114747</x:v>
      </x:c>
      <x:c r="C15" s="32" t="n">
        <x:v>3.427953755440533</x:v>
      </x:c>
      <x:c r="D15" s="32" t="n">
        <x:f>IF(C15="","",(1/'Metadata'!$B$5)^(C15-1))</x:f>
        <x:v>267.88830567165894</x:v>
      </x:c>
      <x:c r="E15" s="31" t="n">
        <x:f>IF(B15=0,"",B15*D15)</x:f>
        <x:v>97540134.30594942</x:v>
      </x:c>
    </x:row>
    <x:row r="16" ht="18" customHeight="1">
      <x:c r="A16" s="24" t="str">
        <x:v>Medium pelagics (30 - 89 cm)</x:v>
      </x:c>
      <x:c r="B16" s="31" t="n">
        <x:v>174280.20743844478</x:v>
      </x:c>
      <x:c r="C16" s="32" t="n">
        <x:v>2.510154524963431</x:v>
      </x:c>
      <x:c r="D16" s="32" t="n">
        <x:f>IF(C16="","",(1/'Metadata'!$B$5)^(C16-1))</x:f>
        <x:v>32.37088142638826</x:v>
      </x:c>
      <x:c r="E16" s="31" t="n">
        <x:f>IF(B16=0,"",B16*D16)</x:f>
        <x:v>5641603.929956245</x:v>
      </x:c>
    </x:row>
    <x:row r="17" ht="18" customHeight="1">
      <x:c r="A17" s="24" t="str">
        <x:v>Medium reef assoc. fish (30 - 89 cm)</x:v>
      </x:c>
      <x:c r="B17" s="31" t="n">
        <x:v>73891.01690089628</x:v>
      </x:c>
      <x:c r="C17" s="32" t="n">
        <x:v>3.95915492333414</x:v>
      </x:c>
      <x:c r="D17" s="32" t="n">
        <x:f>IF(C17="","",(1/'Metadata'!$B$5)^(C17-1))</x:f>
        <x:v>910.2379185809588</x:v>
      </x:c>
      <x:c r="E17" s="31" t="n">
        <x:f>IF(B17=0,"",B17*D17)</x:f>
        <x:v>67258405.42570227</x:v>
      </x:c>
    </x:row>
    <x:row r="18" ht="18" customHeight="1">
      <x:c r="A18" s="24" t="str">
        <x:v>Other demersal invertebrates</x:v>
      </x:c>
      <x:c r="B18" s="31" t="n">
        <x:v>96781.75823547189</x:v>
      </x:c>
      <x:c r="C18" s="32" t="n">
        <x:v>2.1345278277135655</x:v>
      </x:c>
      <x:c r="D18" s="32" t="n">
        <x:f>IF(C18="","",(1/'Metadata'!$B$5)^(C18-1))</x:f>
        <x:v>13.631003449890223</x:v>
      </x:c>
      <x:c r="E18" s="31" t="n">
        <x:f>IF(B18=0,"",B18*D18)</x:f>
        <x:v>1319232.4803941587</x:v>
      </x:c>
    </x:row>
    <x:row r="19" ht="18" customHeight="1">
      <x:c r="A19" s="24" t="str">
        <x:v>Shrimps</x:v>
      </x:c>
      <x:c r="B19" s="31" t="n">
        <x:v>141753.4705708743</x:v>
      </x:c>
      <x:c r="C19" s="32" t="n">
        <x:v>2.833538302065758</x:v>
      </x:c>
      <x:c r="D19" s="32" t="n">
        <x:f>IF(C19="","",(1/'Metadata'!$B$5)^(C19-1))</x:f>
        <x:v>68.16136861536363</x:v>
      </x:c>
      <x:c r="E19" s="31" t="n">
        <x:f>IF(B19=0,"",B19*D19)</x:f>
        <x:v>9662110.560088465</x:v>
      </x:c>
    </x:row>
    <x:row r="20" ht="18" customHeight="1">
      <x:c r="A20" s="24" t="str">
        <x:v>Small benthopelagics (&lt;30 cm)</x:v>
      </x:c>
      <x:c r="B20" s="31" t="n">
        <x:v>2209.0179212141</x:v>
      </x:c>
      <x:c r="C20" s="32" t="n">
        <x:v>3.148026664296793</x:v>
      </x:c>
      <x:c r="D20" s="32" t="n">
        <x:f>IF(C20="","",(1/'Metadata'!$B$5)^(C20-1))</x:f>
        <x:v>140.6133853616003</x:v>
      </x:c>
      <x:c r="E20" s="31" t="n">
        <x:f>IF(B20=0,"",B20*D20)</x:f>
        <x:v>310617.4882263595</x:v>
      </x:c>
    </x:row>
    <x:row r="21" ht="18" customHeight="1">
      <x:c r="A21" s="24" t="str">
        <x:v>Small demersals (&lt;30 cm)</x:v>
      </x:c>
      <x:c r="B21" s="31" t="n">
        <x:v>671.1049766717</x:v>
      </x:c>
      <x:c r="C21" s="32" t="n">
        <x:v>3.8751328870935824</x:v>
      </x:c>
      <x:c r="D21" s="32" t="n">
        <x:f>IF(C21="","",(1/'Metadata'!$B$5)^(C21-1))</x:f>
        <x:v>750.1236999511916</x:v>
      </x:c>
      <x:c r="E21" s="31" t="n">
        <x:f>IF(B21=0,"",B21*D21)</x:f>
        <x:v>503411.74815663375</x:v>
      </x:c>
    </x:row>
    <x:row r="22" ht="18" customHeight="1">
      <x:c r="A22" s="24" t="str">
        <x:v>Small pelagics (&lt;30 cm)</x:v>
      </x:c>
      <x:c r="B22" s="31" t="n">
        <x:v>492587.18340061203</x:v>
      </x:c>
      <x:c r="C22" s="32" t="n">
        <x:v>3.1675854190951394</x:v>
      </x:c>
      <x:c r="D22" s="32" t="n">
        <x:f>IF(C22="","",(1/'Metadata'!$B$5)^(C22-1))</x:f>
        <x:v>147.09076920452813</x:v>
      </x:c>
      <x:c r="E22" s="31" t="n">
        <x:f>IF(B22=0,"",B22*D22)</x:f>
        <x:v>72455027.70668799</x:v>
      </x:c>
    </x:row>
    <x:row r="23" ht="18" customHeight="1">
      <x:c r="A23" s="24" t="str">
        <x:v>Small reef assoc. fish (&lt;30 cm)</x:v>
      </x:c>
      <x:c r="B23" s="31" t="n">
        <x:v>2251.6567992402</x:v>
      </x:c>
      <x:c r="C23" s="32" t="n">
        <x:v>3.3012322257398483</x:v>
      </x:c>
      <x:c r="D23" s="32" t="n">
        <x:f>IF(C23="","",(1/'Metadata'!$B$5)^(C23-1))</x:f>
        <x:v>200.09315207814993</x:v>
      </x:c>
      <x:c r="E23" s="31" t="n">
        <x:f>IF(B23=0,"",B23*D23)</x:f>
        <x:v>450541.1063581697</x:v>
      </x:c>
    </x:row>
    <x:row r="24" ht="18" customHeight="1">
      <x:c r="A24" s="24" t="str">
        <x:v>Small to medium flatfishes (&lt;90 cm)</x:v>
      </x:c>
      <x:c r="B24" s="31" t="n">
        <x:v>462.7281089285</x:v>
      </x:c>
      <x:c r="C24" s="32" t="n">
        <x:v>3.7279074645430508</x:v>
      </x:c>
      <x:c r="D24" s="32" t="n">
        <x:f>IF(C24="","",(1/'Metadata'!$B$5)^(C24-1))</x:f>
        <x:v>534.4504714941663</x:v>
      </x:c>
      <x:c r="E24" s="31" t="n">
        <x:f>IF(B24=0,"",B24*D24)</x:f>
        <x:v>247305.25599044075</x:v>
      </x:c>
    </x:row>
    <x:row r="25" ht="18" customHeight="1">
      <x:c r="A25" s="24" t="str">
        <x:v>Small to medium rays (&lt;90 cm)</x:v>
      </x:c>
      <x:c r="B25" s="31" t="n">
        <x:v>6.7364556287</x:v>
      </x:c>
      <x:c r="C25" s="32" t="n">
        <x:v>3.5599122349267054</x:v>
      </x:c>
      <x:c r="D25" s="32" t="n">
        <x:f>IF(C25="","",(1/'Metadata'!$B$5)^(C25-1))</x:f>
        <x:v>363.0046889921986</x:v>
      </x:c>
      <x:c r="E25" s="31" t="n">
        <x:f>IF(B25=0,"",B25*D25)</x:f>
        <x:v>2445.364980405989</x:v>
      </x:c>
    </x:row>
  </x:sheetData>
  <x:pageMargins left="0.7" right="0.7" top="0.75" bottom="0.75" header="0.3" footer="0.3"/>
  <x:tableParts count="1">
    <x:tablePart xmlns:r="http://schemas.openxmlformats.org/officeDocument/2006/relationships" r:id="Rc38fa0c7a78f4b6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LME_005</x:v>
      </x:c>
      <x:c r="B2" s="24" t="str">
        <x:v>raw_filtered_tonnes</x:v>
      </x:c>
      <x:c r="C2" s="24" t="n">
        <x:v>1549275.8254257175</x:v>
      </x:c>
      <x:c r="D2" s="24" t="str">
        <x:v>tonnes</x:v>
      </x:c>
    </x:row>
    <x:row r="3" ht="18" customHeight="1">
      <x:c r="A3" s="24" t="str">
        <x:v>LME_005</x:v>
      </x:c>
      <x:c r="B3" s="24" t="str">
        <x:v>species_catch_tonnes</x:v>
      </x:c>
      <x:c r="C3" s="24" t="n">
        <x:v>1549275.8254257175</x:v>
      </x:c>
      <x:c r="D3" s="24" t="str">
        <x:v>tonnes</x:v>
      </x:c>
    </x:row>
    <x:row r="4" ht="18" customHeight="1">
      <x:c r="A4" s="24" t="str">
        <x:v>LME_005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LME_005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LME_005</x:v>
      </x:c>
      <x:c r="B6" s="24" t="str">
        <x:v>matched_catch_tonnes</x:v>
      </x:c>
      <x:c r="C6" s="24" t="n">
        <x:v>1549275.8254257175</x:v>
      </x:c>
      <x:c r="D6" s="24" t="str">
        <x:v>tonnes</x:v>
      </x:c>
    </x:row>
    <x:row r="7" ht="18" customHeight="1">
      <x:c r="A7" s="24" t="str">
        <x:v>LME_005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LME_005</x:v>
      </x:c>
      <x:c r="B8" s="24" t="str">
        <x:v>taxa_count</x:v>
      </x:c>
      <x:c r="C8" s="24" t="n">
        <x:v>418</x:v>
      </x:c>
      <x:c r="D8" s="24" t="str">
        <x:v>count</x:v>
      </x:c>
    </x:row>
    <x:row r="9" ht="18" customHeight="1">
      <x:c r="A9" s="24" t="str">
        <x:v>LME_005</x:v>
      </x:c>
      <x:c r="B9" s="24" t="str">
        <x:v>matched_taxa_count</x:v>
      </x:c>
      <x:c r="C9" s="24" t="n">
        <x:v>418</x:v>
      </x:c>
      <x:c r="D9" s="24" t="str">
        <x:v>count</x:v>
      </x:c>
    </x:row>
    <x:row r="10" ht="18" customHeight="1">
      <x:c r="A10" s="24" t="str">
        <x:v>LME_005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LME_005</x:v>
      </x:c>
      <x:c r="B11" s="24" t="str">
        <x:v>species_ppr</x:v>
      </x:c>
      <x:c r="C11" s="24" t="n">
        <x:v>558361747.8475869</x:v>
      </x:c>
      <x:c r="D11" s="24" t="str">
        <x:v>tonnes_primary_production_equivalent</x:v>
      </x:c>
    </x:row>
    <x:row r="12" ht="18" customHeight="1">
      <x:c r="A12" s="24" t="str">
        <x:v>LME_005</x:v>
      </x:c>
      <x:c r="B12" s="24" t="str">
        <x:v>commercial_ppr</x:v>
      </x:c>
      <x:c r="C12" s="24" t="n">
        <x:v>352850227.10518026</x:v>
      </x:c>
      <x:c r="D12" s="24" t="str">
        <x:v>tonnes_primary_production_equivalent</x:v>
      </x:c>
    </x:row>
    <x:row r="13" ht="18" customHeight="1">
      <x:c r="A13" s="24" t="str">
        <x:v>LME_005</x:v>
      </x:c>
      <x:c r="B13" s="24" t="str">
        <x:v>functional_ppr</x:v>
      </x:c>
      <x:c r="C13" s="24" t="n">
        <x:v>421891503.66125906</x:v>
      </x:c>
      <x:c r="D13" s="24" t="str">
        <x:v>tonnes_primary_production_equivalent</x:v>
      </x:c>
    </x:row>
    <x:row r="14" ht="18" customHeight="1">
      <x:c r="A14" s="24" t="str">
        <x:v>LME_005</x:v>
      </x:c>
      <x:c r="B14" s="24" t="str">
        <x:v>commercial_ppr_difference</x:v>
      </x:c>
      <x:c r="C14" s="24" t="n">
        <x:v>-205511520.7424066</x:v>
      </x:c>
      <x:c r="D14" s="24" t="str">
        <x:v>tonnes_primary_production_equivalent</x:v>
      </x:c>
    </x:row>
    <x:row r="15" ht="18" customHeight="1">
      <x:c r="A15" s="24" t="str">
        <x:v>LME_005</x:v>
      </x:c>
      <x:c r="B15" s="24" t="str">
        <x:v>functional_ppr_difference</x:v>
      </x:c>
      <x:c r="C15" s="24" t="n">
        <x:v>-136470244.18632782</x:v>
      </x:c>
      <x:c r="D15" s="24" t="str">
        <x:v>tonnes_primary_production_equivalent</x:v>
      </x:c>
    </x:row>
    <x:row r="16" ht="18" customHeight="1">
      <x:c r="A16" s="24" t="str">
        <x:v>LME_005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LME_005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c0412b5f3e53430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LME_005 - Gulf of Mexico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LME_005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LME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raw_data/SAU_downloads/LME_005-catch.zip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