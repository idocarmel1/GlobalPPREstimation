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cff18d5c1c4d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5cfb995cb7c74d15"/>
    <x:sheet xmlns:r="http://schemas.openxmlformats.org/officeDocument/2006/relationships" name="Commercial" sheetId="2" r:id="Rfbe5fcc52d3f4433"/>
    <x:sheet xmlns:r="http://schemas.openxmlformats.org/officeDocument/2006/relationships" name="Functional" sheetId="3" r:id="R3f33012ff60f426e"/>
    <x:sheet xmlns:r="http://schemas.openxmlformats.org/officeDocument/2006/relationships" name="Missing TL" sheetId="4" r:id="R6b3a1ef3ec514e94"/>
    <x:sheet xmlns:r="http://schemas.openxmlformats.org/officeDocument/2006/relationships" name="Validation" sheetId="5" r:id="R74c28c8a06c04ac8"/>
    <x:sheet xmlns:r="http://schemas.openxmlformats.org/officeDocument/2006/relationships" name="Metadata" sheetId="6" r:id="R9c48204d35f542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22">
    <x:border/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  <x:border>
      <x:bottom style="medium">
        <x:color rgb="FF147D92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3" fillId="3" borderId="11" xfId="0" applyNumberFormat="1" applyFont="1" applyFill="1" applyBorder="1"/>
    <x:xf numFmtId="0" fontId="3" fillId="3" borderId="12" xfId="0" applyNumberFormat="1" applyFont="1" applyFill="1" applyBorder="1"/>
    <x:xf numFmtId="0" fontId="3" fillId="3" borderId="13" xfId="0" applyNumberFormat="1" applyFont="1" applyFill="1" applyBorder="1"/>
    <x:xf numFmtId="0" fontId="2" fillId="0" borderId="14" xfId="0" applyNumberFormat="1" applyFont="1" applyFill="1" applyBorder="1"/>
    <x:xf numFmtId="0" fontId="2" fillId="0" borderId="15" xfId="0" applyNumberFormat="1" applyFont="1" applyFill="1" applyBorder="1"/>
    <x:xf numFmtId="0" fontId="2" fillId="0" borderId="16" xfId="0" applyNumberFormat="1" applyFont="1" applyFill="1" applyBorder="1"/>
    <x:xf numFmtId="0" fontId="2" fillId="0" borderId="17" xfId="0" applyNumberFormat="1" applyFont="1" applyFill="1" applyBorder="1"/>
    <x:xf numFmtId="0" fontId="2" fillId="0" borderId="18" xfId="0" applyNumberFormat="1" applyFont="1" applyFill="1" applyBorder="1"/>
    <x:xf numFmtId="0" fontId="2" fillId="0" borderId="19" xfId="0" applyNumberFormat="1" applyFont="1" applyFill="1" applyBorder="1"/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14" xfId="0" applyNumberFormat="1" applyFont="1" applyFill="1" applyBorder="1" applyAlignment="1">
      <x:alignment wrapText="1"/>
    </x:xf>
    <x:xf numFmtId="0" fontId="2" fillId="0" borderId="15" xfId="0" applyNumberFormat="1" applyFont="1" applyFill="1" applyBorder="1" applyAlignment="1">
      <x:alignment wrapText="1"/>
    </x:xf>
    <x:xf numFmtId="0" fontId="2" fillId="0" borderId="16" xfId="0" applyNumberFormat="1" applyFont="1" applyFill="1" applyBorder="1" applyAlignment="1">
      <x:alignment wrapText="1"/>
    </x:xf>
    <x:xf numFmtId="0" fontId="2" fillId="0" borderId="17" xfId="0" applyNumberFormat="1" applyFont="1" applyFill="1" applyBorder="1" applyAlignment="1">
      <x:alignment wrapText="1"/>
    </x:xf>
    <x:xf numFmtId="0" fontId="2" fillId="0" borderId="18" xfId="0" applyNumberFormat="1" applyFont="1" applyFill="1" applyBorder="1" applyAlignment="1">
      <x:alignment wrapText="1"/>
    </x:xf>
    <x:xf numFmtId="0" fontId="2" fillId="0" borderId="19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6" fillId="2" borderId="20" xfId="0" applyNumberFormat="1" applyFont="1" applyFill="1" applyBorder="1"/>
    <x:xf numFmtId="0" fontId="6" fillId="2" borderId="21" xfId="0" applyNumberFormat="1" applyFont="1" applyFill="1" applyBorder="1"/>
    <x:xf numFmtId="0" fontId="6" fillId="2" borderId="20" xfId="0" applyNumberFormat="1" applyFont="1" applyFill="1" applyBorder="1" applyAlignment="1">
      <x:alignment wrapText="1"/>
    </x:xf>
    <x:xf numFmtId="0" fontId="6" fillId="2" borderId="21" xfId="0" applyNumberFormat="1" applyFont="1" applyFill="1" applyBorder="1" applyAlignment="1">
      <x:alignment wrapText="1"/>
    </x:xf>
    <x:xf numFmtId="0" fontId="6" fillId="2" borderId="20" xfId="0" applyNumberFormat="1" applyFont="1" applyFill="1" applyBorder="1" applyAlignment="1">
      <x:alignment vertical="center" wrapText="1"/>
    </x:xf>
    <x:xf numFmtId="0" fontId="6" fillId="2" borderId="21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201" fontId="5" fillId="0" borderId="0" xfId="0" applyNumberFormat="1" applyFont="1" applyFill="1" applyBorder="1"/>
    <x:xf numFmtId="201" fontId="5" fillId="0" borderId="1" xfId="0" applyNumberFormat="1" applyFont="1" applyFill="1" applyBorder="1"/>
    <x:xf numFmtId="202" fontId="5" fillId="0" borderId="0" xfId="0" applyNumberFormat="1" applyFont="1" applyFill="1" applyBorder="1"/>
    <x:xf numFmtId="202" fontId="5" fillId="0" borderId="1" xfId="0" applyNumberFormat="1" applyFont="1" applyFill="1" applyBorder="1"/>
    <x:xf numFmtId="203" fontId="5" fillId="0" borderId="0" xfId="0" applyNumberFormat="1" applyFont="1" applyFill="1" applyBorder="1"/>
    <x:xf numFmtId="203" fontId="5" fillId="0" borderId="1" xfId="0" applyNumberFormat="1" applyFont="1" applyFill="1" applyBorder="1"/>
    <x:xf numFmtId="204" fontId="5" fillId="0" borderId="0" xfId="0" applyNumberFormat="1" applyFont="1" applyFill="1" applyBorder="1"/>
    <x:xf numFmtId="204" fontId="5" fillId="0" borderId="1" xfId="0" applyNumberFormat="1" applyFont="1" applyFill="1" applyBorder="1"/>
    <x:xf numFmtId="205" fontId="2" fillId="0" borderId="6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0754c19f39426c" /><Relationship Type="http://schemas.openxmlformats.org/officeDocument/2006/relationships/theme" Target="/xl/theme/theme1.xml" Id="Rf32048dfee4843ab" /><Relationship Type="http://schemas.openxmlformats.org/officeDocument/2006/relationships/sharedStrings" Target="/xl/sharedStrings.xml" Id="Rfc44564bebc24fec" /><Relationship Type="http://schemas.openxmlformats.org/officeDocument/2006/relationships/worksheet" Target="/xl/worksheets/sheet1.xml" Id="R5cfb995cb7c74d15" /><Relationship Type="http://schemas.openxmlformats.org/officeDocument/2006/relationships/worksheet" Target="/xl/worksheets/sheet2.xml" Id="Rfbe5fcc52d3f4433" /><Relationship Type="http://schemas.openxmlformats.org/officeDocument/2006/relationships/worksheet" Target="/xl/worksheets/sheet3.xml" Id="R3f33012ff60f426e" /><Relationship Type="http://schemas.openxmlformats.org/officeDocument/2006/relationships/worksheet" Target="/xl/worksheets/sheet4.xml" Id="R6b3a1ef3ec514e94" /><Relationship Type="http://schemas.openxmlformats.org/officeDocument/2006/relationships/worksheet" Target="/xl/worksheets/sheet5.xml" Id="R74c28c8a06c04ac8" /><Relationship Type="http://schemas.openxmlformats.org/officeDocument/2006/relationships/worksheet" Target="/xl/worksheets/sheet6.xml" Id="R9c48204d35f54208" /></Relationships>
</file>

<file path=xl/tables/table1.xml><?xml version="1.0" encoding="utf-8"?>
<x:table xmlns:x="http://schemas.openxmlformats.org/spreadsheetml/2006/main" id="1" name="HS048SpeciesTable" displayName="HS048SpeciesTable" ref="A1:U7" headerRowCount="1" totalsRowCount="0" totalsRowShown="0">
  <x:autoFilter ref="A1:U7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HS048CommercialTable" displayName="HS048CommercialTable" ref="A1:O4" headerRowCount="1" totalsRowCount="0" totalsRowShown="0">
  <x:autoFilter ref="A1:O4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HS048FunctionalTable" displayName="HS048FunctionalTable" ref="A1:O7" headerRowCount="1" totalsRowCount="0" totalsRowShown="0">
  <x:autoFilter ref="A1:O7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HS048ValidationTable" displayName="HS048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209c3754afe4ad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a511008f78f413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37ad8537e9c414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4d68645d48541e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  <x:row r="2" ht="18" customHeight="1">
      <x:c r="A2" s="46" t="str">
        <x:v>HS_048</x:v>
      </x:c>
      <x:c r="B2" s="46" t="str">
        <x:v>Atlantic, Antarctic</x:v>
      </x:c>
      <x:c r="C2" s="46" t="str">
        <x:v>High Seas</x:v>
      </x:c>
      <x:c r="D2" s="58" t="n">
        <x:v>2019</x:v>
      </x:c>
      <x:c r="E2" s="46" t="str">
        <x:v>Marine fishes not identified</x:v>
      </x:c>
      <x:c r="F2" s="46" t="str">
        <x:v>Marine fishes nei</x:v>
      </x:c>
      <x:c r="G2" s="46" t="str">
        <x:v>Medium demersals (30 - 89 cm)</x:v>
      </x:c>
      <x:c r="H2" s="46" t="str">
        <x:v>Other fishes &amp; inverts</x:v>
      </x:c>
      <x:c r="I2" s="60" t="n">
        <x:v>154127.5378022161</x:v>
      </x:c>
      <x:c r="J2" s="60" t="n">
        <x:v>154122.6604983919</x:v>
      </x:c>
      <x:c r="K2" s="60" t="n">
        <x:v>4.8773038242</x:v>
      </x:c>
      <x:c r="L2" s="60" t="n">
        <x:v>154097.6508252417</x:v>
      </x:c>
      <x:c r="M2" s="60" t="n">
        <x:v>29.8869769744</x:v>
      </x:c>
      <x:c r="N2" s="46" t="str">
        <x:v>marine fishes not identified</x:v>
      </x:c>
      <x:c r="O2" s="62" t="n">
        <x:v>3.28</x:v>
      </x:c>
      <x:c r="P2" s="46" t="str">
        <x:v>exact_sea_around_us</x:v>
      </x:c>
      <x:c r="Q2" s="62" t="str">
        <x:v>Sea Around Us exploited organisms</x:v>
      </x:c>
      <x:c r="R2" s="46" t="str">
        <x:v>high</x:v>
      </x:c>
      <x:c r="S2" s="46" t="str">
        <x:v>Marine fishes not identified</x:v>
      </x:c>
      <x:c r="T2" s="62" t="n">
        <x:f>IF(O2="","",(1/'Metadata'!$B$5)^(O2-1))</x:f>
        <x:v>190.54607179632464</x:v>
      </x:c>
      <x:c r="U2" s="60" t="n">
        <x:f>IF(T2="","",I2*T2)</x:f>
        <x:v>29368396.883851808</x:v>
      </x:c>
    </x:row>
    <x:row r="3" ht="18" customHeight="1">
      <x:c r="A3" s="46" t="str">
        <x:v>HS_048</x:v>
      </x:c>
      <x:c r="B3" s="46" t="str">
        <x:v>Atlantic, Antarctic</x:v>
      </x:c>
      <x:c r="C3" s="46" t="str">
        <x:v>High Seas</x:v>
      </x:c>
      <x:c r="D3" s="58" t="n">
        <x:v>2019</x:v>
      </x:c>
      <x:c r="E3" s="46" t="str">
        <x:v>Trematomus eulepidotus</x:v>
      </x:c>
      <x:c r="F3" s="46" t="str">
        <x:v>Blunt scalyhead</x:v>
      </x:c>
      <x:c r="G3" s="46" t="str">
        <x:v>Small demersals (&lt;30 cm)</x:v>
      </x:c>
      <x:c r="H3" s="46" t="str">
        <x:v>Perch-likes</x:v>
      </x:c>
      <x:c r="I3" s="60" t="n">
        <x:v>0.0472999999</x:v>
      </x:c>
      <x:c r="J3" s="60" t="n">
        <x:v>0.0472999999</x:v>
      </x:c>
      <x:c r="K3" s="60" t="n">
        <x:v>0</x:v>
      </x:c>
      <x:c r="L3" s="60" t="n">
        <x:v>0.0472999999</x:v>
      </x:c>
      <x:c r="M3" s="60" t="n">
        <x:v>0</x:v>
      </x:c>
      <x:c r="N3" s="46" t="str">
        <x:v>trematomus eulepidotus</x:v>
      </x:c>
      <x:c r="O3" s="62" t="n">
        <x:v>3.35</x:v>
      </x:c>
      <x:c r="P3" s="46" t="str">
        <x:v>exact_2020_supplement</x:v>
      </x:c>
      <x:c r="Q3" s="62" t="str">
        <x:v>2020 supplement MeanTL</x:v>
      </x:c>
      <x:c r="R3" s="46" t="str">
        <x:v>high</x:v>
      </x:c>
      <x:c r="S3" s="46" t="str">
        <x:v>Trematomus eulepidotus</x:v>
      </x:c>
      <x:c r="T3" s="62" t="n">
        <x:f>IF(O3="","",(1/'Metadata'!$B$5)^(O3-1))</x:f>
        <x:v>223.872113856834</x:v>
      </x:c>
      <x:c r="U3" s="60" t="n">
        <x:f>IF(T3="","",I3*T3)</x:f>
        <x:v>10.589150963041037</x:v>
      </x:c>
    </x:row>
    <x:row r="4" ht="18" customHeight="1">
      <x:c r="A4" s="46" t="str">
        <x:v>HS_048</x:v>
      </x:c>
      <x:c r="B4" s="46" t="str">
        <x:v>Atlantic, Antarctic</x:v>
      </x:c>
      <x:c r="C4" s="46" t="str">
        <x:v>High Seas</x:v>
      </x:c>
      <x:c r="D4" s="58" t="n">
        <x:v>2019</x:v>
      </x:c>
      <x:c r="E4" s="46" t="str">
        <x:v>Rajiformes</x:v>
      </x:c>
      <x:c r="F4" s="46" t="str">
        <x:v>Skates and rays</x:v>
      </x:c>
      <x:c r="G4" s="46" t="str">
        <x:v>Large rays (&gt;=90 cm)</x:v>
      </x:c>
      <x:c r="H4" s="46" t="str">
        <x:v>Sharks &amp; rays</x:v>
      </x:c>
      <x:c r="I4" s="60" t="n">
        <x:v>0.0286972066</x:v>
      </x:c>
      <x:c r="J4" s="60" t="n">
        <x:v>0.0031566928</x:v>
      </x:c>
      <x:c r="K4" s="60" t="n">
        <x:v>0.025540513799999998</x:v>
      </x:c>
      <x:c r="L4" s="60" t="n">
        <x:v>0.0286972066</x:v>
      </x:c>
      <x:c r="M4" s="60" t="n">
        <x:v>0</x:v>
      </x:c>
      <x:c r="N4" s="46" t="str">
        <x:v>rajiformes</x:v>
      </x:c>
      <x:c r="O4" s="62" t="n">
        <x:v>3.61</x:v>
      </x:c>
      <x:c r="P4" s="46" t="str">
        <x:v>exact_sea_around_us</x:v>
      </x:c>
      <x:c r="Q4" s="62" t="str">
        <x:v>Sea Around Us exploited organisms</x:v>
      </x:c>
      <x:c r="R4" s="46" t="str">
        <x:v>high</x:v>
      </x:c>
      <x:c r="S4" s="46" t="str">
        <x:v>Rajiformes</x:v>
      </x:c>
      <x:c r="T4" s="62" t="n">
        <x:f>IF(O4="","",(1/'Metadata'!$B$5)^(O4-1))</x:f>
        <x:v>407.3802778041126</x:v>
      </x:c>
      <x:c r="U4" s="60" t="n">
        <x:f>IF(T4="","",I4*T4)</x:f>
        <x:v>11.690675996910015</x:v>
      </x:c>
    </x:row>
    <x:row r="5" ht="18" customHeight="1">
      <x:c r="A5" s="46" t="str">
        <x:v>HS_048</x:v>
      </x:c>
      <x:c r="B5" s="46" t="str">
        <x:v>Atlantic, Antarctic</x:v>
      </x:c>
      <x:c r="C5" s="46" t="str">
        <x:v>High Seas</x:v>
      </x:c>
      <x:c r="D5" s="58" t="n">
        <x:v>2019</x:v>
      </x:c>
      <x:c r="E5" s="46" t="str">
        <x:v>Cephalopoda</x:v>
      </x:c>
      <x:c r="F5" s="46" t="str">
        <x:v>Squids, cuttlefishes, octopuses</x:v>
      </x:c>
      <x:c r="G5" s="46" t="str">
        <x:v>Cephalopods</x:v>
      </x:c>
      <x:c r="H5" s="46" t="str">
        <x:v>Other fishes &amp; inverts</x:v>
      </x:c>
      <x:c r="I5" s="60" t="n">
        <x:v>0.00152</x:v>
      </x:c>
      <x:c r="J5" s="60" t="n">
        <x:v>0.00152</x:v>
      </x:c>
      <x:c r="K5" s="60" t="n">
        <x:v>0</x:v>
      </x:c>
      <x:c r="L5" s="60" t="n">
        <x:v>0.00152</x:v>
      </x:c>
      <x:c r="M5" s="60" t="n">
        <x:v>0</x:v>
      </x:c>
      <x:c r="N5" s="46" t="str">
        <x:v>cephalopoda</x:v>
      </x:c>
      <x:c r="O5" s="62" t="n">
        <x:v>3.81</x:v>
      </x:c>
      <x:c r="P5" s="46" t="str">
        <x:v>exact_sea_around_us</x:v>
      </x:c>
      <x:c r="Q5" s="62" t="str">
        <x:v>Sea Around Us exploited organisms</x:v>
      </x:c>
      <x:c r="R5" s="46" t="str">
        <x:v>high</x:v>
      </x:c>
      <x:c r="S5" s="46" t="str">
        <x:v>Cephalopoda</x:v>
      </x:c>
      <x:c r="T5" s="62" t="n">
        <x:f>IF(O5="","",(1/'Metadata'!$B$5)^(O5-1))</x:f>
        <x:v>645.6542290346556</x:v>
      </x:c>
      <x:c r="U5" s="60" t="n">
        <x:f>IF(T5="","",I5*T5)</x:f>
        <x:v>0.9813944281326765</x:v>
      </x:c>
    </x:row>
    <x:row r="6" ht="18" customHeight="1">
      <x:c r="A6" s="46" t="str">
        <x:v>HS_048</x:v>
      </x:c>
      <x:c r="B6" s="46" t="str">
        <x:v>Atlantic, Antarctic</x:v>
      </x:c>
      <x:c r="C6" s="46" t="str">
        <x:v>High Seas</x:v>
      </x:c>
      <x:c r="D6" s="58" t="n">
        <x:v>2019</x:v>
      </x:c>
      <x:c r="E6" s="46" t="str">
        <x:v>Chionobathyscus dewitti</x:v>
      </x:c>
      <x:c r="F6" s="46" t="str">
        <x:v>Chionobathyscus dewitti</x:v>
      </x:c>
      <x:c r="G6" s="46" t="str">
        <x:v>Medium bathydemersals (30 - 89 cm)</x:v>
      </x:c>
      <x:c r="H6" s="46" t="str">
        <x:v>Perch-likes</x:v>
      </x:c>
      <x:c r="I6" s="60" t="n">
        <x:v>0.0000800001</x:v>
      </x:c>
      <x:c r="J6" s="60" t="n">
        <x:v>0.0000800001</x:v>
      </x:c>
      <x:c r="K6" s="60" t="n">
        <x:v>0</x:v>
      </x:c>
      <x:c r="L6" s="60" t="n">
        <x:v>0.0000800001</x:v>
      </x:c>
      <x:c r="M6" s="60" t="n">
        <x:v>0</x:v>
      </x:c>
      <x:c r="N6" s="46" t="str">
        <x:v>chionobathyscus dewitti</x:v>
      </x:c>
      <x:c r="O6" s="62" t="n">
        <x:v>3.76</x:v>
      </x:c>
      <x:c r="P6" s="46" t="str">
        <x:v>exact_2020_supplement</x:v>
      </x:c>
      <x:c r="Q6" s="62" t="str">
        <x:v>2020 supplement MeanTL</x:v>
      </x:c>
      <x:c r="R6" s="46" t="str">
        <x:v>high</x:v>
      </x:c>
      <x:c r="S6" s="46" t="str">
        <x:v>Chionobathyscus dewitti</x:v>
      </x:c>
      <x:c r="T6" s="62" t="n">
        <x:f>IF(O6="","",(1/'Metadata'!$B$5)^(O6-1))</x:f>
        <x:v>575.4399373371566</x:v>
      </x:c>
      <x:c r="U6" s="60" t="n">
        <x:f>IF(T6="","",I6*T6)</x:f>
        <x:v>0.04603525253096626</x:v>
      </x:c>
    </x:row>
    <x:row r="7" ht="18" customHeight="1">
      <x:c r="A7" s="46" t="str">
        <x:v>HS_048</x:v>
      </x:c>
      <x:c r="B7" s="46" t="str">
        <x:v>Atlantic, Antarctic</x:v>
      </x:c>
      <x:c r="C7" s="46" t="str">
        <x:v>High Seas</x:v>
      </x:c>
      <x:c r="D7" s="58" t="n">
        <x:v>2019</x:v>
      </x:c>
      <x:c r="E7" s="46" t="str">
        <x:v>Cnidaria</x:v>
      </x:c>
      <x:c r="F7" s="46" t="str">
        <x:v>Cnidarians, coelenterates</x:v>
      </x:c>
      <x:c r="G7" s="46" t="str">
        <x:v>Jellyfish</x:v>
      </x:c>
      <x:c r="H7" s="46" t="str">
        <x:v>Other fishes &amp; inverts</x:v>
      </x:c>
      <x:c r="I7" s="60" t="n">
        <x:v>0.0000035281</x:v>
      </x:c>
      <x:c r="J7" s="60" t="n">
        <x:v>0</x:v>
      </x:c>
      <x:c r="K7" s="60" t="n">
        <x:v>0.0000035281</x:v>
      </x:c>
      <x:c r="L7" s="60" t="n">
        <x:v>0</x:v>
      </x:c>
      <x:c r="M7" s="60" t="n">
        <x:v>0.0000035281</x:v>
      </x:c>
      <x:c r="N7" s="46" t="str">
        <x:v>cnidaria</x:v>
      </x:c>
      <x:c r="O7" s="62" t="n">
        <x:v>2.5</x:v>
      </x:c>
      <x:c r="P7" s="46" t="str">
        <x:v>exact_sea_around_us</x:v>
      </x:c>
      <x:c r="Q7" s="62" t="str">
        <x:v>Sea Around Us exploited organisms</x:v>
      </x:c>
      <x:c r="R7" s="46" t="str">
        <x:v>high</x:v>
      </x:c>
      <x:c r="S7" s="46" t="str">
        <x:v>Cnidaria</x:v>
      </x:c>
      <x:c r="T7" s="62" t="n">
        <x:f>IF(O7="","",(1/'Metadata'!$B$5)^(O7-1))</x:f>
        <x:v>31.622776601683793</x:v>
      </x:c>
      <x:c r="U7" s="60" t="n">
        <x:f>IF(T7="","",I7*T7)</x:f>
        <x:v>0.00011156831812840059</x:v>
      </x:c>
    </x:row>
  </x:sheetData>
  <x:conditionalFormatting sqref="R2:R7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a209c3754afe4ade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commercial_group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Other fishes &amp; inverts</x:v>
      </x:c>
      <x:c r="B2" s="64" t="n">
        <x:v>3</x:v>
      </x:c>
      <x:c r="C2" s="64" t="n">
        <x:v>3</x:v>
      </x:c>
      <x:c r="D2" s="60" t="n">
        <x:v>154127.5393257442</x:v>
      </x:c>
      <x:c r="E2" s="60" t="n">
        <x:v>154127.5393257442</x:v>
      </x:c>
      <x:c r="F2" s="62" t="n">
        <x:v>0</x:v>
      </x:c>
      <x:c r="G2" s="66" t="n">
        <x:v>1</x:v>
      </x:c>
      <x:c r="H2" s="62" t="n">
        <x:f>IF(E2=0,"",I2/E2)</x:f>
        <x:v>190.5460762809463</x:v>
      </x:c>
      <x:c r="I2" s="60" t="n">
        <x:f>SUMIF('Species'!$H$2:$H$7,A2,'Species'!$U$2:$U$7)</x:f>
        <x:v>29368397.865357805</x:v>
      </x:c>
      <x:c r="J2" s="62" t="n">
        <x:v>3.2800000052089846</x:v>
      </x:c>
      <x:c r="K2" s="62" t="n">
        <x:f>IF(J2="","",(1/'Metadata'!$B$5)^(J2-1))</x:f>
        <x:v>190.54607408175914</x:v>
      </x:c>
      <x:c r="L2" s="60" t="n">
        <x:f>IF(E2=0,"",E2*K2)</x:f>
        <x:v>29368397.5264025</x:v>
      </x:c>
      <x:c r="M2" s="60" t="n">
        <x:f>I2-L2</x:f>
        <x:v>0.3389553055167198</x:v>
      </x:c>
      <x:c r="N2" s="62" t="n">
        <x:f>IF(L2=0,"",I2/L2)</x:f>
        <x:v>1.0000000115414982</x:v>
      </x:c>
      <x:c r="O2" s="66" t="n">
        <x:f>IF(L2=0,"",M2/L2)</x:f>
        <x:v>1.154149814309737e-8</x:v>
      </x:c>
    </x:row>
    <x:row r="3" ht="18" customHeight="1">
      <x:c r="A3" s="46" t="str">
        <x:v>Perch-likes</x:v>
      </x:c>
      <x:c r="B3" s="64" t="n">
        <x:v>2</x:v>
      </x:c>
      <x:c r="C3" s="64" t="n">
        <x:v>2</x:v>
      </x:c>
      <x:c r="D3" s="60" t="n">
        <x:v>0.04738</x:v>
      </x:c>
      <x:c r="E3" s="60" t="n">
        <x:v>0.04738</x:v>
      </x:c>
      <x:c r="F3" s="62" t="n">
        <x:v>0</x:v>
      </x:c>
      <x:c r="G3" s="66" t="n">
        <x:v>1</x:v>
      </x:c>
      <x:c r="H3" s="62" t="n">
        <x:f>IF(E3=0,"",I3/E3)</x:f>
        <x:v>224.46572848400177</x:v>
      </x:c>
      <x:c r="I3" s="60" t="n">
        <x:f>SUMIF('Species'!$H$2:$H$7,A3,'Species'!$U$2:$U$7)</x:f>
        <x:v>10.635186215572004</x:v>
      </x:c>
      <x:c r="J3" s="62" t="n">
        <x:v>3.350692276086957</x:v>
      </x:c>
      <x:c r="K3" s="62" t="n">
        <x:f>IF(J3="","",(1/'Metadata'!$B$5)^(J3-1))</x:f>
        <x:v>224.2292560842676</x:v>
      </x:c>
      <x:c r="L3" s="60" t="n">
        <x:f>IF(E3=0,"",E3*K3)</x:f>
        <x:v>10.623982153272598</x:v>
      </x:c>
      <x:c r="M3" s="60" t="n">
        <x:f>I3-L3</x:f>
        <x:v>0.011204062299405848</x:v>
      </x:c>
      <x:c r="N3" s="62" t="n">
        <x:f>IF(L3=0,"",I3/L3)</x:f>
        <x:v>1.001054601009091</x:v>
      </x:c>
      <x:c r="O3" s="66" t="n">
        <x:f>IF(L3=0,"",M3/L3)</x:f>
        <x:v>0.0010546010090909804</x:v>
      </x:c>
    </x:row>
    <x:row r="4" ht="18" customHeight="1">
      <x:c r="A4" s="46" t="str">
        <x:v>Sharks &amp; rays</x:v>
      </x:c>
      <x:c r="B4" s="64" t="n">
        <x:v>1</x:v>
      </x:c>
      <x:c r="C4" s="64" t="n">
        <x:v>1</x:v>
      </x:c>
      <x:c r="D4" s="60" t="n">
        <x:v>0.0286972066</x:v>
      </x:c>
      <x:c r="E4" s="60" t="n">
        <x:v>0.0286972066</x:v>
      </x:c>
      <x:c r="F4" s="62" t="n">
        <x:v>0</x:v>
      </x:c>
      <x:c r="G4" s="66" t="n">
        <x:v>1</x:v>
      </x:c>
      <x:c r="H4" s="62" t="n">
        <x:f>IF(E4=0,"",I4/E4)</x:f>
        <x:v>407.3802778041126</x:v>
      </x:c>
      <x:c r="I4" s="60" t="n">
        <x:f>SUMIF('Species'!$H$2:$H$7,A4,'Species'!$U$2:$U$7)</x:f>
        <x:v>11.690675996910015</x:v>
      </x:c>
      <x:c r="J4" s="62" t="n">
        <x:v>3.61</x:v>
      </x:c>
      <x:c r="K4" s="62" t="n">
        <x:f>IF(J4="","",(1/'Metadata'!$B$5)^(J4-1))</x:f>
        <x:v>407.3802778041126</x:v>
      </x:c>
      <x:c r="L4" s="60" t="n">
        <x:f>IF(E4=0,"",E4*K4)</x:f>
        <x:v>11.690675996910015</x:v>
      </x:c>
      <x:c r="M4" s="60" t="n">
        <x:f>I4-L4</x:f>
        <x:v>0</x:v>
      </x:c>
      <x:c r="N4" s="62" t="n">
        <x:f>IF(L4=0,"",I4/L4)</x:f>
        <x:v>1</x:v>
      </x:c>
      <x:c r="O4" s="66" t="n">
        <x:f>IF(L4=0,"",M4/L4)</x:f>
        <x:v>0</x:v>
      </x:c>
    </x:row>
  </x:sheetData>
  <x:conditionalFormatting sqref="G2:G4">
    <x:cfRule type="cellIs" dxfId="1" priority="1" operator="lessThan">
      <x:formula>0.9</x:formula>
    </x:cfRule>
  </x:conditionalFormatting>
  <x:conditionalFormatting sqref="O2:O4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ea511008f78f413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functional_group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Cephalopods</x:v>
      </x:c>
      <x:c r="B2" s="64" t="n">
        <x:v>1</x:v>
      </x:c>
      <x:c r="C2" s="64" t="n">
        <x:v>1</x:v>
      </x:c>
      <x:c r="D2" s="60" t="n">
        <x:v>0.00152</x:v>
      </x:c>
      <x:c r="E2" s="60" t="n">
        <x:v>0.00152</x:v>
      </x:c>
      <x:c r="F2" s="62" t="n">
        <x:v>0</x:v>
      </x:c>
      <x:c r="G2" s="66" t="n">
        <x:v>1</x:v>
      </x:c>
      <x:c r="H2" s="62" t="n">
        <x:f>IF(E2=0,"",I2/E2)</x:f>
        <x:v>645.6542290346556</x:v>
      </x:c>
      <x:c r="I2" s="60" t="n">
        <x:f>SUMIF('Species'!$G$2:$G$7,A2,'Species'!$U$2:$U$7)</x:f>
        <x:v>0.9813944281326765</x:v>
      </x:c>
      <x:c r="J2" s="62" t="n">
        <x:v>3.81</x:v>
      </x:c>
      <x:c r="K2" s="62" t="n">
        <x:f>IF(J2="","",(1/'Metadata'!$B$5)^(J2-1))</x:f>
        <x:v>645.6542290346556</x:v>
      </x:c>
      <x:c r="L2" s="60" t="n">
        <x:f>IF(E2=0,"",E2*K2)</x:f>
        <x:v>0.9813944281326765</x:v>
      </x:c>
      <x:c r="M2" s="60" t="n">
        <x:f>I2-L2</x:f>
        <x:v>0</x:v>
      </x:c>
      <x:c r="N2" s="62" t="n">
        <x:f>IF(L2=0,"",I2/L2)</x:f>
        <x:v>1</x:v>
      </x:c>
      <x:c r="O2" s="66" t="n">
        <x:f>IF(L2=0,"",M2/L2)</x:f>
        <x:v>0</x:v>
      </x:c>
    </x:row>
    <x:row r="3" ht="18" customHeight="1">
      <x:c r="A3" s="46" t="str">
        <x:v>Jellyfish</x:v>
      </x:c>
      <x:c r="B3" s="64" t="n">
        <x:v>1</x:v>
      </x:c>
      <x:c r="C3" s="64" t="n">
        <x:v>1</x:v>
      </x:c>
      <x:c r="D3" s="60" t="n">
        <x:v>0.0000035281</x:v>
      </x:c>
      <x:c r="E3" s="60" t="n">
        <x:v>0.0000035281</x:v>
      </x:c>
      <x:c r="F3" s="62" t="n">
        <x:v>0</x:v>
      </x:c>
      <x:c r="G3" s="66" t="n">
        <x:v>1</x:v>
      </x:c>
      <x:c r="H3" s="62" t="n">
        <x:f>IF(E3=0,"",I3/E3)</x:f>
        <x:v>31.622776601683793</x:v>
      </x:c>
      <x:c r="I3" s="60" t="n">
        <x:f>SUMIF('Species'!$G$2:$G$7,A3,'Species'!$U$2:$U$7)</x:f>
        <x:v>0.00011156831812840059</x:v>
      </x:c>
      <x:c r="J3" s="62" t="n">
        <x:v>2.5</x:v>
      </x:c>
      <x:c r="K3" s="62" t="n">
        <x:f>IF(J3="","",(1/'Metadata'!$B$5)^(J3-1))</x:f>
        <x:v>31.622776601683793</x:v>
      </x:c>
      <x:c r="L3" s="60" t="n">
        <x:f>IF(E3=0,"",E3*K3)</x:f>
        <x:v>0.00011156831812840059</x:v>
      </x:c>
      <x:c r="M3" s="60" t="n">
        <x:f>I3-L3</x:f>
        <x:v>0</x:v>
      </x:c>
      <x:c r="N3" s="62" t="n">
        <x:f>IF(L3=0,"",I3/L3)</x:f>
        <x:v>1</x:v>
      </x:c>
      <x:c r="O3" s="66" t="n">
        <x:f>IF(L3=0,"",M3/L3)</x:f>
        <x:v>0</x:v>
      </x:c>
    </x:row>
    <x:row r="4" ht="18" customHeight="1">
      <x:c r="A4" s="46" t="str">
        <x:v>Large rays (&gt;=90 cm)</x:v>
      </x:c>
      <x:c r="B4" s="64" t="n">
        <x:v>1</x:v>
      </x:c>
      <x:c r="C4" s="64" t="n">
        <x:v>1</x:v>
      </x:c>
      <x:c r="D4" s="60" t="n">
        <x:v>0.0286972066</x:v>
      </x:c>
      <x:c r="E4" s="60" t="n">
        <x:v>0.0286972066</x:v>
      </x:c>
      <x:c r="F4" s="62" t="n">
        <x:v>0</x:v>
      </x:c>
      <x:c r="G4" s="66" t="n">
        <x:v>1</x:v>
      </x:c>
      <x:c r="H4" s="62" t="n">
        <x:f>IF(E4=0,"",I4/E4)</x:f>
        <x:v>407.3802778041126</x:v>
      </x:c>
      <x:c r="I4" s="60" t="n">
        <x:f>SUMIF('Species'!$G$2:$G$7,A4,'Species'!$U$2:$U$7)</x:f>
        <x:v>11.690675996910015</x:v>
      </x:c>
      <x:c r="J4" s="62" t="n">
        <x:v>3.61</x:v>
      </x:c>
      <x:c r="K4" s="62" t="n">
        <x:f>IF(J4="","",(1/'Metadata'!$B$5)^(J4-1))</x:f>
        <x:v>407.3802778041126</x:v>
      </x:c>
      <x:c r="L4" s="60" t="n">
        <x:f>IF(E4=0,"",E4*K4)</x:f>
        <x:v>11.690675996910015</x:v>
      </x:c>
      <x:c r="M4" s="60" t="n">
        <x:f>I4-L4</x:f>
        <x:v>0</x:v>
      </x:c>
      <x:c r="N4" s="62" t="n">
        <x:f>IF(L4=0,"",I4/L4)</x:f>
        <x:v>1</x:v>
      </x:c>
      <x:c r="O4" s="66" t="n">
        <x:f>IF(L4=0,"",M4/L4)</x:f>
        <x:v>0</x:v>
      </x:c>
    </x:row>
    <x:row r="5" ht="18" customHeight="1">
      <x:c r="A5" s="46" t="str">
        <x:v>Medium bathydemersals (30 - 89 cm)</x:v>
      </x:c>
      <x:c r="B5" s="64" t="n">
        <x:v>1</x:v>
      </x:c>
      <x:c r="C5" s="64" t="n">
        <x:v>1</x:v>
      </x:c>
      <x:c r="D5" s="60" t="n">
        <x:v>0.0000800001</x:v>
      </x:c>
      <x:c r="E5" s="60" t="n">
        <x:v>0.0000800001</x:v>
      </x:c>
      <x:c r="F5" s="62" t="n">
        <x:v>0</x:v>
      </x:c>
      <x:c r="G5" s="66" t="n">
        <x:v>1</x:v>
      </x:c>
      <x:c r="H5" s="62" t="n">
        <x:f>IF(E5=0,"",I5/E5)</x:f>
        <x:v>575.4399373371566</x:v>
      </x:c>
      <x:c r="I5" s="60" t="n">
        <x:f>SUMIF('Species'!$G$2:$G$7,A5,'Species'!$U$2:$U$7)</x:f>
        <x:v>0.04603525253096626</x:v>
      </x:c>
      <x:c r="J5" s="62" t="n">
        <x:v>3.7600000000000002</x:v>
      </x:c>
      <x:c r="K5" s="62" t="n">
        <x:f>IF(J5="","",(1/'Metadata'!$B$5)^(J5-1))</x:f>
        <x:v>575.4399373371573</x:v>
      </x:c>
      <x:c r="L5" s="60" t="n">
        <x:f>IF(E5=0,"",E5*K5)</x:f>
        <x:v>0.04603525253096632</x:v>
      </x:c>
      <x:c r="M5" s="60" t="n">
        <x:f>I5-L5</x:f>
        <x:v>-5.551115123125783e-17</x:v>
      </x:c>
      <x:c r="N5" s="62" t="n">
        <x:f>IF(L5=0,"",I5/L5)</x:f>
        <x:v>0.9999999999999988</x:v>
      </x:c>
      <x:c r="O5" s="66" t="n">
        <x:f>IF(L5=0,"",M5/L5)</x:f>
        <x:v>-1.2058400503813333e-15</x:v>
      </x:c>
    </x:row>
    <x:row r="6" ht="18" customHeight="1">
      <x:c r="A6" s="46" t="str">
        <x:v>Medium demersals (30 - 89 cm)</x:v>
      </x:c>
      <x:c r="B6" s="64" t="n">
        <x:v>1</x:v>
      </x:c>
      <x:c r="C6" s="64" t="n">
        <x:v>1</x:v>
      </x:c>
      <x:c r="D6" s="60" t="n">
        <x:v>154127.5378022161</x:v>
      </x:c>
      <x:c r="E6" s="60" t="n">
        <x:v>154127.5378022161</x:v>
      </x:c>
      <x:c r="F6" s="62" t="n">
        <x:v>0</x:v>
      </x:c>
      <x:c r="G6" s="66" t="n">
        <x:v>1</x:v>
      </x:c>
      <x:c r="H6" s="62" t="n">
        <x:f>IF(E6=0,"",I6/E6)</x:f>
        <x:v>190.54607179632464</x:v>
      </x:c>
      <x:c r="I6" s="60" t="n">
        <x:f>SUMIF('Species'!$G$2:$G$7,A6,'Species'!$U$2:$U$7)</x:f>
        <x:v>29368396.883851808</x:v>
      </x:c>
      <x:c r="J6" s="62" t="n">
        <x:v>3.28</x:v>
      </x:c>
      <x:c r="K6" s="62" t="n">
        <x:f>IF(J6="","",(1/'Metadata'!$B$5)^(J6-1))</x:f>
        <x:v>190.54607179632464</x:v>
      </x:c>
      <x:c r="L6" s="60" t="n">
        <x:f>IF(E6=0,"",E6*K6)</x:f>
        <x:v>29368396.883851808</x:v>
      </x:c>
      <x:c r="M6" s="60" t="n">
        <x:f>I6-L6</x:f>
        <x:v>0</x:v>
      </x:c>
      <x:c r="N6" s="62" t="n">
        <x:f>IF(L6=0,"",I6/L6)</x:f>
        <x:v>1</x:v>
      </x:c>
      <x:c r="O6" s="66" t="n">
        <x:f>IF(L6=0,"",M6/L6)</x:f>
        <x:v>0</x:v>
      </x:c>
    </x:row>
    <x:row r="7" ht="18" customHeight="1">
      <x:c r="A7" s="46" t="str">
        <x:v>Small demersals (&lt;30 cm)</x:v>
      </x:c>
      <x:c r="B7" s="64" t="n">
        <x:v>1</x:v>
      </x:c>
      <x:c r="C7" s="64" t="n">
        <x:v>1</x:v>
      </x:c>
      <x:c r="D7" s="60" t="n">
        <x:v>0.0472999999</x:v>
      </x:c>
      <x:c r="E7" s="60" t="n">
        <x:v>0.0472999999</x:v>
      </x:c>
      <x:c r="F7" s="62" t="n">
        <x:v>0</x:v>
      </x:c>
      <x:c r="G7" s="66" t="n">
        <x:v>1</x:v>
      </x:c>
      <x:c r="H7" s="62" t="n">
        <x:f>IF(E7=0,"",I7/E7)</x:f>
        <x:v>223.872113856834</x:v>
      </x:c>
      <x:c r="I7" s="60" t="n">
        <x:f>SUMIF('Species'!$G$2:$G$7,A7,'Species'!$U$2:$U$7)</x:f>
        <x:v>10.589150963041037</x:v>
      </x:c>
      <x:c r="J7" s="62" t="n">
        <x:v>3.35</x:v>
      </x:c>
      <x:c r="K7" s="62" t="n">
        <x:f>IF(J7="","",(1/'Metadata'!$B$5)^(J7-1))</x:f>
        <x:v>223.872113856834</x:v>
      </x:c>
      <x:c r="L7" s="60" t="n">
        <x:f>IF(E7=0,"",E7*K7)</x:f>
        <x:v>10.589150963041037</x:v>
      </x:c>
      <x:c r="M7" s="60" t="n">
        <x:f>I7-L7</x:f>
        <x:v>0</x:v>
      </x:c>
      <x:c r="N7" s="62" t="n">
        <x:f>IF(L7=0,"",I7/L7)</x:f>
        <x:v>1</x:v>
      </x:c>
      <x:c r="O7" s="66" t="n">
        <x:f>IF(L7=0,"",M7/L7)</x:f>
        <x:v>0</x:v>
      </x:c>
    </x:row>
  </x:sheetData>
  <x:conditionalFormatting sqref="G2:G7">
    <x:cfRule type="cellIs" dxfId="2" priority="1" operator="lessThan">
      <x:formula>0.9</x:formula>
    </x:cfRule>
  </x:conditionalFormatting>
  <x:conditionalFormatting sqref="O2:O7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837ad8537e9c414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56" t="str">
        <x:v>unit_id</x:v>
      </x:c>
      <x:c r="B1" s="56" t="str">
        <x:v>check</x:v>
      </x:c>
      <x:c r="C1" s="56" t="str">
        <x:v>value</x:v>
      </x:c>
      <x:c r="D1" s="56" t="str">
        <x:v>unit</x:v>
      </x:c>
    </x:row>
    <x:row r="2" ht="18" customHeight="1">
      <x:c r="A2" s="46" t="str">
        <x:v>HS_048</x:v>
      </x:c>
      <x:c r="B2" s="46" t="str">
        <x:v>raw_filtered_tonnes</x:v>
      </x:c>
      <x:c r="C2" s="46" t="n">
        <x:v>154127.6154029508</x:v>
      </x:c>
      <x:c r="D2" s="46" t="str">
        <x:v>tonnes</x:v>
      </x:c>
    </x:row>
    <x:row r="3" ht="18" customHeight="1">
      <x:c r="A3" s="46" t="str">
        <x:v>HS_048</x:v>
      </x:c>
      <x:c r="B3" s="46" t="str">
        <x:v>species_catch_tonnes</x:v>
      </x:c>
      <x:c r="C3" s="46" t="n">
        <x:v>154127.61540295082</x:v>
      </x:c>
      <x:c r="D3" s="46" t="str">
        <x:v>tonnes</x:v>
      </x:c>
    </x:row>
    <x:row r="4" ht="18" customHeight="1">
      <x:c r="A4" s="46" t="str">
        <x:v>HS_048</x:v>
      </x:c>
      <x:c r="B4" s="46" t="str">
        <x:v>catch_difference_tonnes</x:v>
      </x:c>
      <x:c r="C4" s="46" t="n">
        <x:v>2.9103830456733704e-11</x:v>
      </x:c>
      <x:c r="D4" s="46" t="str">
        <x:v>tonnes</x:v>
      </x:c>
    </x:row>
    <x:row r="5" ht="18" customHeight="1">
      <x:c r="A5" s="46" t="str">
        <x:v>HS_048</x:v>
      </x:c>
      <x:c r="B5" s="46" t="str">
        <x:v>catch_reconciled</x:v>
      </x:c>
      <x:c r="C5" s="46" t="str">
        <x:v>True</x:v>
      </x:c>
      <x:c r="D5" s="46" t="str">
        <x:v>boolean</x:v>
      </x:c>
    </x:row>
    <x:row r="6" ht="18" customHeight="1">
      <x:c r="A6" s="46" t="str">
        <x:v>HS_048</x:v>
      </x:c>
      <x:c r="B6" s="46" t="str">
        <x:v>matched_catch_tonnes</x:v>
      </x:c>
      <x:c r="C6" s="46" t="n">
        <x:v>154127.61540295082</x:v>
      </x:c>
      <x:c r="D6" s="46" t="str">
        <x:v>tonnes</x:v>
      </x:c>
    </x:row>
    <x:row r="7" ht="18" customHeight="1">
      <x:c r="A7" s="46" t="str">
        <x:v>HS_048</x:v>
      </x:c>
      <x:c r="B7" s="46" t="str">
        <x:v>catch_coverage_fraction</x:v>
      </x:c>
      <x:c r="C7" s="46" t="n">
        <x:v>1</x:v>
      </x:c>
      <x:c r="D7" s="46" t="str">
        <x:v>fraction</x:v>
      </x:c>
    </x:row>
    <x:row r="8" ht="18" customHeight="1">
      <x:c r="A8" s="46" t="str">
        <x:v>HS_048</x:v>
      </x:c>
      <x:c r="B8" s="46" t="str">
        <x:v>taxa_count</x:v>
      </x:c>
      <x:c r="C8" s="46" t="n">
        <x:v>6</x:v>
      </x:c>
      <x:c r="D8" s="46" t="str">
        <x:v>count</x:v>
      </x:c>
    </x:row>
    <x:row r="9" ht="18" customHeight="1">
      <x:c r="A9" s="46" t="str">
        <x:v>HS_048</x:v>
      </x:c>
      <x:c r="B9" s="46" t="str">
        <x:v>matched_taxa_count</x:v>
      </x:c>
      <x:c r="C9" s="46" t="n">
        <x:v>6</x:v>
      </x:c>
      <x:c r="D9" s="46" t="str">
        <x:v>count</x:v>
      </x:c>
    </x:row>
    <x:row r="10" ht="18" customHeight="1">
      <x:c r="A10" s="46" t="str">
        <x:v>HS_048</x:v>
      </x:c>
      <x:c r="B10" s="46" t="str">
        <x:v>unmatched_taxa_count</x:v>
      </x:c>
      <x:c r="C10" s="46" t="n">
        <x:v>0</x:v>
      </x:c>
      <x:c r="D10" s="46" t="str">
        <x:v>count</x:v>
      </x:c>
    </x:row>
    <x:row r="11" ht="18" customHeight="1">
      <x:c r="A11" s="46" t="str">
        <x:v>HS_048</x:v>
      </x:c>
      <x:c r="B11" s="46" t="str">
        <x:v>species_ppr</x:v>
      </x:c>
      <x:c r="C11" s="46" t="n">
        <x:v>29368420.191220015</x:v>
      </x:c>
      <x:c r="D11" s="46" t="str">
        <x:v>tonnes_primary_production_equivalent</x:v>
      </x:c>
    </x:row>
    <x:row r="12" ht="18" customHeight="1">
      <x:c r="A12" s="46" t="str">
        <x:v>HS_048</x:v>
      </x:c>
      <x:c r="B12" s="46" t="str">
        <x:v>commercial_ppr</x:v>
      </x:c>
      <x:c r="C12" s="46" t="n">
        <x:v>29368420.191220015</x:v>
      </x:c>
      <x:c r="D12" s="46" t="str">
        <x:v>tonnes_primary_production_equivalent</x:v>
      </x:c>
    </x:row>
    <x:row r="13" ht="18" customHeight="1">
      <x:c r="A13" s="46" t="str">
        <x:v>HS_048</x:v>
      </x:c>
      <x:c r="B13" s="46" t="str">
        <x:v>functional_ppr</x:v>
      </x:c>
      <x:c r="C13" s="46" t="n">
        <x:v>29368420.191220015</x:v>
      </x:c>
      <x:c r="D13" s="46" t="str">
        <x:v>tonnes_primary_production_equivalent</x:v>
      </x:c>
    </x:row>
    <x:row r="14" ht="18" customHeight="1">
      <x:c r="A14" s="46" t="str">
        <x:v>HS_048</x:v>
      </x:c>
      <x:c r="B14" s="46" t="str">
        <x:v>commercial_ppr_difference</x:v>
      </x:c>
      <x:c r="C14" s="46" t="n">
        <x:v>0</x:v>
      </x:c>
      <x:c r="D14" s="46" t="str">
        <x:v>tonnes_primary_production_equivalent</x:v>
      </x:c>
    </x:row>
    <x:row r="15" ht="18" customHeight="1">
      <x:c r="A15" s="46" t="str">
        <x:v>HS_048</x:v>
      </x:c>
      <x:c r="B15" s="46" t="str">
        <x:v>functional_ppr_difference</x:v>
      </x:c>
      <x:c r="C15" s="46" t="n">
        <x:v>0</x:v>
      </x:c>
      <x:c r="D15" s="46" t="str">
        <x:v>tonnes_primary_production_equivalent</x:v>
      </x:c>
    </x:row>
    <x:row r="16" ht="18" customHeight="1">
      <x:c r="A16" s="46" t="str">
        <x:v>HS_048</x:v>
      </x:c>
      <x:c r="B16" s="46" t="str">
        <x:v>commercial_ppr_reconciled</x:v>
      </x:c>
      <x:c r="C16" s="46" t="str">
        <x:v>True</x:v>
      </x:c>
      <x:c r="D16" s="46" t="str">
        <x:v>boolean</x:v>
      </x:c>
    </x:row>
    <x:row r="17" ht="18" customHeight="1">
      <x:c r="A17" s="46" t="str">
        <x:v>HS_048</x:v>
      </x:c>
      <x:c r="B17" s="46" t="str">
        <x:v>functional_ppr_reconciled</x:v>
      </x:c>
      <x:c r="C17" s="46" t="str">
        <x:v>True</x:v>
      </x:c>
      <x:c r="D17" s="46" t="str">
        <x:v>boolean</x:v>
      </x:c>
    </x:row>
    <x:row r="18" ht="18" customHeight="1">
      <x:c r="A18" s="46" t="str">
        <x:v>HS_048</x:v>
      </x:c>
      <x:c r="B18" s="46" t="str">
        <x:v>commercial_jensen_violations</x:v>
      </x:c>
      <x:c r="C18" s="46" t="n">
        <x:v>0</x:v>
      </x:c>
      <x:c r="D18" s="46" t="str">
        <x:v>count</x:v>
      </x:c>
    </x:row>
    <x:row r="19" ht="18" customHeight="1">
      <x:c r="A19" s="46" t="str">
        <x:v>HS_048</x:v>
      </x:c>
      <x:c r="B19" s="46" t="str">
        <x:v>functional_jensen_violations</x:v>
      </x:c>
      <x:c r="C19" s="46" t="n">
        <x:v>0</x:v>
      </x:c>
      <x:c r="D19" s="46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54d68645d48541e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4" t="str">
        <x:v>HS_048 - Atlantic, Antarctic</x:v>
      </x:c>
      <x:c r="B1" s="4"/>
      <x:c r="C1" s="4"/>
    </x:row>
    <x:row r="3">
      <x:c r="A3" s="12" t="str">
        <x:v>Field</x:v>
      </x:c>
      <x:c r="B3" s="13" t="str">
        <x:v>Value</x:v>
      </x:c>
      <x:c r="C3" s="14" t="str">
        <x:v>Notes / source</x:v>
      </x:c>
    </x:row>
    <x:row r="4">
      <x:c r="A4" s="42" t="str">
        <x:v>Unit ID</x:v>
      </x:c>
      <x:c r="B4" s="31" t="str">
        <x:v>HS_048</x:v>
      </x:c>
      <x:c r="C4" s="32" t="str">
        <x:v>Sea Around Us region identifier</x:v>
      </x:c>
    </x:row>
    <x:row r="5">
      <x:c r="A5" s="42" t="str">
        <x:v>Transfer efficiency</x:v>
      </x:c>
      <x:c r="B5" s="68" t="n">
        <x:v>0.1</x:v>
      </x:c>
      <x:c r="C5" s="32" t="str">
        <x:v>Used by every SPPR formula</x:v>
      </x:c>
    </x:row>
    <x:row r="6">
      <x:c r="A6" s="42" t="str">
        <x:v>Year</x:v>
      </x:c>
      <x:c r="B6" s="31" t="n">
        <x:v>2019</x:v>
      </x:c>
      <x:c r="C6" s="32" t="str">
        <x:v>Latest year common to all 84 datasets</x:v>
      </x:c>
    </x:row>
    <x:row r="7">
      <x:c r="A7" s="42" t="str">
        <x:v>Region type</x:v>
      </x:c>
      <x:c r="B7" s="31" t="str">
        <x:v>High Seas</x:v>
      </x:c>
      <x:c r="C7" s="32" t="str">
        <x:v>Sea Around Us spatial classification</x:v>
      </x:c>
    </x:row>
    <x:row r="8">
      <x:c r="A8" s="42" t="str">
        <x:v>Catch scope</x:v>
      </x:c>
      <x:c r="B8" s="31" t="str">
        <x:v>Landings + Discards</x:v>
      </x:c>
      <x:c r="C8" s="32" t="str">
        <x:v>Reported + unreported; all sectors, gears, entities, and end uses</x:v>
      </x:c>
    </x:row>
    <x:row r="9">
      <x:c r="A9" s="42" t="str">
        <x:v>SPPR formula</x:v>
      </x:c>
      <x:c r="B9" s="31" t="str">
        <x:v>(1 / TE)^(TL - 1)</x:v>
      </x:c>
      <x:c r="C9" s="32" t="str">
        <x:v>TE is the Metadata!B5 value</x:v>
      </x:c>
    </x:row>
    <x:row r="10">
      <x:c r="A10" s="42" t="str">
        <x:v>PPR formula</x:v>
      </x:c>
      <x:c r="B10" s="31" t="str">
        <x:v>Catch tonnes × SPPR</x:v>
      </x:c>
      <x:c r="C10" s="32" t="str">
        <x:v>Unit: tonnes primary-production equivalent</x:v>
      </x:c>
    </x:row>
    <x:row r="11">
      <x:c r="A11" s="42" t="str">
        <x:v>Wet-weight/carbon divisor</x:v>
      </x:c>
      <x:c r="B11" s="31" t="str">
        <x:v>Not applied</x:v>
      </x:c>
      <x:c r="C11" s="32" t="str">
        <x:v>The paper's /9 conversion is intentionally omitted</x:v>
      </x:c>
    </x:row>
    <x:row r="12">
      <x:c r="A12" s="42" t="str">
        <x:v>Primary TL source</x:v>
      </x:c>
      <x:c r="B12" s="31" t="str">
        <x:v>2020 supplement MeanTL</x:v>
      </x:c>
      <x:c r="C12" s="32" t="str">
        <x:v>No SPPR regression from the supplement is used</x:v>
      </x:c>
    </x:row>
    <x:row r="13">
      <x:c r="A13" s="42" t="str">
        <x:v>Secondary TL source</x:v>
      </x:c>
      <x:c r="B13" s="31" t="str">
        <x:v>Sea Around Us exploited organisms</x:v>
      </x:c>
      <x:c r="C13" s="32" t="str">
        <x:v>Exact taxon matches, followed by documented fallbacks</x:v>
      </x:c>
    </x:row>
    <x:row r="14">
      <x:c r="A14" s="42" t="str">
        <x:v>Catch data URL</x:v>
      </x:c>
      <x:c r="B14" s="31" t="str">
        <x:v>https://www.seaaroundus.org/data/</x:v>
      </x:c>
      <x:c r="C14" s="32" t="str">
        <x:v>Frozen archive: raw_data/SAU_downloads/HS_048-catch.zip</x:v>
      </x:c>
    </x:row>
    <x:row r="15">
      <x:c r="A15" s="43" t="str">
        <x:v>Method source</x:v>
      </x:c>
      <x:c r="B15" s="34" t="str">
        <x:v>Pauly &amp; Christensen (1995)</x:v>
      </x:c>
      <x:c r="C15" s="35" t="str">
        <x:v>Nature 374:255-257</x:v>
      </x:c>
    </x:row>
  </x:sheetData>
  <x:mergeCells>
    <x:mergeCell ref="A1:C1"/>
  </x:mergeCells>
  <x:pageMargins left="0.7" right="0.7" top="0.75" bottom="0.75" header="0.3" footer="0.3"/>
</x:worksheet>
</file>