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38e88a92f34a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1f1e48176c964616"/>
    <x:sheet xmlns:r="http://schemas.openxmlformats.org/officeDocument/2006/relationships" name="Commercial" sheetId="2" r:id="Rbaeacbf6425c48f7"/>
    <x:sheet xmlns:r="http://schemas.openxmlformats.org/officeDocument/2006/relationships" name="Functional" sheetId="3" r:id="Rfb8599efd26c4938"/>
    <x:sheet xmlns:r="http://schemas.openxmlformats.org/officeDocument/2006/relationships" name="Missing TL" sheetId="4" r:id="Ra3c490dd3b3b4767"/>
    <x:sheet xmlns:r="http://schemas.openxmlformats.org/officeDocument/2006/relationships" name="Validation" sheetId="5" r:id="Rec2b6bdc2d374453"/>
    <x:sheet xmlns:r="http://schemas.openxmlformats.org/officeDocument/2006/relationships" name="Metadata" sheetId="6" r:id="R8384673adc6c44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437d1c9eca4010" /><Relationship Type="http://schemas.openxmlformats.org/officeDocument/2006/relationships/theme" Target="/xl/theme/theme1.xml" Id="Rac18a08ccc834840" /><Relationship Type="http://schemas.microsoft.com/office/2022/11/relationships/FeaturePropertyBag" Target="/xl/featurePropertyBag/featurePropertyBag.xml" Id="R13e887ebe21c49ab" /><Relationship Type="http://schemas.openxmlformats.org/officeDocument/2006/relationships/sharedStrings" Target="/xl/sharedStrings.xml" Id="R34a9a50002534e71" /><Relationship Type="http://schemas.openxmlformats.org/officeDocument/2006/relationships/worksheet" Target="/xl/worksheets/sheet1.xml" Id="R1f1e48176c964616" /><Relationship Type="http://schemas.openxmlformats.org/officeDocument/2006/relationships/worksheet" Target="/xl/worksheets/sheet2.xml" Id="Rbaeacbf6425c48f7" /><Relationship Type="http://schemas.openxmlformats.org/officeDocument/2006/relationships/worksheet" Target="/xl/worksheets/sheet3.xml" Id="Rfb8599efd26c4938" /><Relationship Type="http://schemas.openxmlformats.org/officeDocument/2006/relationships/worksheet" Target="/xl/worksheets/sheet4.xml" Id="Ra3c490dd3b3b4767" /><Relationship Type="http://schemas.openxmlformats.org/officeDocument/2006/relationships/worksheet" Target="/xl/worksheets/sheet5.xml" Id="Rec2b6bdc2d374453" /><Relationship Type="http://schemas.openxmlformats.org/officeDocument/2006/relationships/worksheet" Target="/xl/worksheets/sheet6.xml" Id="R8384673adc6c447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HS048SpeciesTable" displayName="HS048SpeciesTable" ref="A1:U7" headerRowCount="1" totalsRowCount="0" totalsRowShown="0">
  <x:autoFilter ref="A1:U7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S048CommercialTable" displayName="HS048CommercialTable" ref="A1:E4" headerRowCount="1" totalsRowCount="0" totalsRowShown="0">
  <x:autoFilter ref="A1:E4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S048FunctionalTable" displayName="HS048FunctionalTable" ref="A1:E7" headerRowCount="1" totalsRowCount="0" totalsRowShown="0">
  <x:autoFilter ref="A1:E7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S048ValidationTable" displayName="HS048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3ba826840c2412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0dd2792b9694ab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f6e61bb291a4cd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2fe42a7ffc64d9d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HS_048</x:v>
      </x:c>
      <x:c r="B2" s="24" t="str">
        <x:v>Atlantic, Antarctic</x:v>
      </x:c>
      <x:c r="C2" s="24" t="str">
        <x:v>High Seas</x:v>
      </x:c>
      <x:c r="D2" s="30" t="n">
        <x:v>2019</x:v>
      </x:c>
      <x:c r="E2" s="24" t="str">
        <x:v>Marine fishes not identified</x:v>
      </x:c>
      <x:c r="F2" s="24" t="str">
        <x:v>Marine fishes nei</x:v>
      </x:c>
      <x:c r="G2" s="24" t="str">
        <x:v>Medium demersals (30 - 89 cm)</x:v>
      </x:c>
      <x:c r="H2" s="24" t="str">
        <x:v>Other fishes &amp; inverts</x:v>
      </x:c>
      <x:c r="I2" s="31" t="n">
        <x:v>154127.5378022161</x:v>
      </x:c>
      <x:c r="J2" s="31" t="n">
        <x:v>154122.6604983919</x:v>
      </x:c>
      <x:c r="K2" s="31" t="n">
        <x:v>4.8773038242</x:v>
      </x:c>
      <x:c r="L2" s="31" t="n">
        <x:v>154097.6508252417</x:v>
      </x:c>
      <x:c r="M2" s="31" t="n">
        <x:v>29.8869769744</x:v>
      </x:c>
      <x:c r="N2" s="24" t="str">
        <x:v>marine fishes not identified</x:v>
      </x:c>
      <x:c r="O2" s="32" t="n">
        <x:v>3.28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fishes not identified</x:v>
      </x:c>
      <x:c r="T2" s="32" t="n">
        <x:f>IF(O2="","",(1/'Metadata'!$B$5)^(O2-1))</x:f>
        <x:v>190.54607179632464</x:v>
      </x:c>
      <x:c r="U2" s="31" t="n">
        <x:f>IF(T2="","",I2*T2)</x:f>
        <x:v>29368396.883851808</x:v>
      </x:c>
    </x:row>
    <x:row r="3" ht="18" customHeight="1">
      <x:c r="A3" s="24" t="str">
        <x:v>HS_048</x:v>
      </x:c>
      <x:c r="B3" s="24" t="str">
        <x:v>Atlantic, Antarctic</x:v>
      </x:c>
      <x:c r="C3" s="24" t="str">
        <x:v>High Seas</x:v>
      </x:c>
      <x:c r="D3" s="30" t="n">
        <x:v>2019</x:v>
      </x:c>
      <x:c r="E3" s="24" t="str">
        <x:v>Trematomus eulepidotus</x:v>
      </x:c>
      <x:c r="F3" s="24" t="str">
        <x:v>Blunt scalyhead</x:v>
      </x:c>
      <x:c r="G3" s="24" t="str">
        <x:v>Small demersals (&lt;30 cm)</x:v>
      </x:c>
      <x:c r="H3" s="24" t="str">
        <x:v>Perch-likes</x:v>
      </x:c>
      <x:c r="I3" s="31" t="n">
        <x:v>0.0472999999</x:v>
      </x:c>
      <x:c r="J3" s="31" t="n">
        <x:v>0.0472999999</x:v>
      </x:c>
      <x:c r="K3" s="31" t="n">
        <x:v>0</x:v>
      </x:c>
      <x:c r="L3" s="31" t="n">
        <x:v>0.0472999999</x:v>
      </x:c>
      <x:c r="M3" s="31" t="n">
        <x:v>0</x:v>
      </x:c>
      <x:c r="N3" s="24" t="str">
        <x:v>trematomus eulepidotus</x:v>
      </x:c>
      <x:c r="O3" s="32" t="n">
        <x:v>3.35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Trematomus eulepidotus</x:v>
      </x:c>
      <x:c r="T3" s="32" t="n">
        <x:f>IF(O3="","",(1/'Metadata'!$B$5)^(O3-1))</x:f>
        <x:v>223.872113856834</x:v>
      </x:c>
      <x:c r="U3" s="31" t="n">
        <x:f>IF(T3="","",I3*T3)</x:f>
        <x:v>10.589150963041037</x:v>
      </x:c>
    </x:row>
    <x:row r="4" ht="18" customHeight="1">
      <x:c r="A4" s="24" t="str">
        <x:v>HS_048</x:v>
      </x:c>
      <x:c r="B4" s="24" t="str">
        <x:v>Atlantic, Antarctic</x:v>
      </x:c>
      <x:c r="C4" s="24" t="str">
        <x:v>High Seas</x:v>
      </x:c>
      <x:c r="D4" s="30" t="n">
        <x:v>2019</x:v>
      </x:c>
      <x:c r="E4" s="24" t="str">
        <x:v>Rajiformes</x:v>
      </x:c>
      <x:c r="F4" s="24" t="str">
        <x:v>Skates and rays</x:v>
      </x:c>
      <x:c r="G4" s="24" t="str">
        <x:v>Large rays (&gt;=90 cm)</x:v>
      </x:c>
      <x:c r="H4" s="24" t="str">
        <x:v>Sharks &amp; rays</x:v>
      </x:c>
      <x:c r="I4" s="31" t="n">
        <x:v>0.0286972066</x:v>
      </x:c>
      <x:c r="J4" s="31" t="n">
        <x:v>0.0031566928</x:v>
      </x:c>
      <x:c r="K4" s="31" t="n">
        <x:v>0.025540513799999998</x:v>
      </x:c>
      <x:c r="L4" s="31" t="n">
        <x:v>0.0286972066</x:v>
      </x:c>
      <x:c r="M4" s="31" t="n">
        <x:v>0</x:v>
      </x:c>
      <x:c r="N4" s="24" t="str">
        <x:v>rajiformes</x:v>
      </x:c>
      <x:c r="O4" s="32" t="n">
        <x:v>3.61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Rajiformes</x:v>
      </x:c>
      <x:c r="T4" s="32" t="n">
        <x:f>IF(O4="","",(1/'Metadata'!$B$5)^(O4-1))</x:f>
        <x:v>407.3802778041126</x:v>
      </x:c>
      <x:c r="U4" s="31" t="n">
        <x:f>IF(T4="","",I4*T4)</x:f>
        <x:v>11.690675996910015</x:v>
      </x:c>
    </x:row>
    <x:row r="5" ht="18" customHeight="1">
      <x:c r="A5" s="24" t="str">
        <x:v>HS_048</x:v>
      </x:c>
      <x:c r="B5" s="24" t="str">
        <x:v>Atlantic, Antarctic</x:v>
      </x:c>
      <x:c r="C5" s="24" t="str">
        <x:v>High Seas</x:v>
      </x:c>
      <x:c r="D5" s="30" t="n">
        <x:v>2019</x:v>
      </x:c>
      <x:c r="E5" s="24" t="str">
        <x:v>Cephalopoda</x:v>
      </x:c>
      <x:c r="F5" s="24" t="str">
        <x:v>Squids, cuttlefishes, octopuses</x:v>
      </x:c>
      <x:c r="G5" s="24" t="str">
        <x:v>Cephalopods</x:v>
      </x:c>
      <x:c r="H5" s="24" t="str">
        <x:v>Other fishes &amp; inverts</x:v>
      </x:c>
      <x:c r="I5" s="31" t="n">
        <x:v>0.00152</x:v>
      </x:c>
      <x:c r="J5" s="31" t="n">
        <x:v>0.00152</x:v>
      </x:c>
      <x:c r="K5" s="31" t="n">
        <x:v>0</x:v>
      </x:c>
      <x:c r="L5" s="31" t="n">
        <x:v>0.00152</x:v>
      </x:c>
      <x:c r="M5" s="31" t="n">
        <x:v>0</x:v>
      </x:c>
      <x:c r="N5" s="24" t="str">
        <x:v>cephalopoda</x:v>
      </x:c>
      <x:c r="O5" s="32" t="n">
        <x:v>3.81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Cephalopoda</x:v>
      </x:c>
      <x:c r="T5" s="32" t="n">
        <x:f>IF(O5="","",(1/'Metadata'!$B$5)^(O5-1))</x:f>
        <x:v>645.6542290346556</x:v>
      </x:c>
      <x:c r="U5" s="31" t="n">
        <x:f>IF(T5="","",I5*T5)</x:f>
        <x:v>0.9813944281326765</x:v>
      </x:c>
    </x:row>
    <x:row r="6" ht="18" customHeight="1">
      <x:c r="A6" s="24" t="str">
        <x:v>HS_048</x:v>
      </x:c>
      <x:c r="B6" s="24" t="str">
        <x:v>Atlantic, Antarctic</x:v>
      </x:c>
      <x:c r="C6" s="24" t="str">
        <x:v>High Seas</x:v>
      </x:c>
      <x:c r="D6" s="30" t="n">
        <x:v>2019</x:v>
      </x:c>
      <x:c r="E6" s="24" t="str">
        <x:v>Chionobathyscus dewitti</x:v>
      </x:c>
      <x:c r="F6" s="24" t="str">
        <x:v>Chionobathyscus dewitti</x:v>
      </x:c>
      <x:c r="G6" s="24" t="str">
        <x:v>Medium bathydemersals (30 - 89 cm)</x:v>
      </x:c>
      <x:c r="H6" s="24" t="str">
        <x:v>Perch-likes</x:v>
      </x:c>
      <x:c r="I6" s="31" t="n">
        <x:v>0.0000800001</x:v>
      </x:c>
      <x:c r="J6" s="31" t="n">
        <x:v>0.0000800001</x:v>
      </x:c>
      <x:c r="K6" s="31" t="n">
        <x:v>0</x:v>
      </x:c>
      <x:c r="L6" s="31" t="n">
        <x:v>0.0000800001</x:v>
      </x:c>
      <x:c r="M6" s="31" t="n">
        <x:v>0</x:v>
      </x:c>
      <x:c r="N6" s="24" t="str">
        <x:v>chionobathyscus dewitti</x:v>
      </x:c>
      <x:c r="O6" s="32" t="n">
        <x:v>3.76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Chionobathyscus dewitti</x:v>
      </x:c>
      <x:c r="T6" s="32" t="n">
        <x:f>IF(O6="","",(1/'Metadata'!$B$5)^(O6-1))</x:f>
        <x:v>575.4399373371566</x:v>
      </x:c>
      <x:c r="U6" s="31" t="n">
        <x:f>IF(T6="","",I6*T6)</x:f>
        <x:v>0.04603525253096626</x:v>
      </x:c>
    </x:row>
    <x:row r="7" ht="18" customHeight="1">
      <x:c r="A7" s="24" t="str">
        <x:v>HS_048</x:v>
      </x:c>
      <x:c r="B7" s="24" t="str">
        <x:v>Atlantic, Antarctic</x:v>
      </x:c>
      <x:c r="C7" s="24" t="str">
        <x:v>High Seas</x:v>
      </x:c>
      <x:c r="D7" s="30" t="n">
        <x:v>2019</x:v>
      </x:c>
      <x:c r="E7" s="24" t="str">
        <x:v>Cnidaria</x:v>
      </x:c>
      <x:c r="F7" s="24" t="str">
        <x:v>Cnidarians, coelenterates</x:v>
      </x:c>
      <x:c r="G7" s="24" t="str">
        <x:v>Jellyfish</x:v>
      </x:c>
      <x:c r="H7" s="24" t="str">
        <x:v>Other fishes &amp; inverts</x:v>
      </x:c>
      <x:c r="I7" s="31" t="n">
        <x:v>0.0000035281</x:v>
      </x:c>
      <x:c r="J7" s="31" t="n">
        <x:v>0</x:v>
      </x:c>
      <x:c r="K7" s="31" t="n">
        <x:v>0.0000035281</x:v>
      </x:c>
      <x:c r="L7" s="31" t="n">
        <x:v>0</x:v>
      </x:c>
      <x:c r="M7" s="31" t="n">
        <x:v>0.0000035281</x:v>
      </x:c>
      <x:c r="N7" s="24" t="str">
        <x:v>cnidaria</x:v>
      </x:c>
      <x:c r="O7" s="32" t="n">
        <x:v>2.5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Cnidaria</x:v>
      </x:c>
      <x:c r="T7" s="32" t="n">
        <x:f>IF(O7="","",(1/'Metadata'!$B$5)^(O7-1))</x:f>
        <x:v>31.622776601683793</x:v>
      </x:c>
      <x:c r="U7" s="31" t="n">
        <x:f>IF(T7="","",I7*T7)</x:f>
        <x:v>0.00011156831812840059</x:v>
      </x:c>
    </x:row>
  </x:sheetData>
  <x:conditionalFormatting sqref="R2:R7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33ba826840c2412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Other fishes &amp; inverts</x:v>
      </x:c>
      <x:c r="B2" s="31" t="n">
        <x:v>154127.5393257442</x:v>
      </x:c>
      <x:c r="C2" s="32" t="n">
        <x:v>3.2800000052089846</x:v>
      </x:c>
      <x:c r="D2" s="32" t="n">
        <x:f>IF(C2="","",(1/'Metadata'!$B$5)^(C2-1))</x:f>
        <x:v>190.54607408175914</x:v>
      </x:c>
      <x:c r="E2" s="31" t="n">
        <x:f>IF(B2=0,"",B2*D2)</x:f>
        <x:v>29368397.5264025</x:v>
      </x:c>
    </x:row>
    <x:row r="3" ht="18" customHeight="1">
      <x:c r="A3" s="24" t="str">
        <x:v>Perch-likes</x:v>
      </x:c>
      <x:c r="B3" s="31" t="n">
        <x:v>0.04738</x:v>
      </x:c>
      <x:c r="C3" s="32" t="n">
        <x:v>3.350692276086957</x:v>
      </x:c>
      <x:c r="D3" s="32" t="n">
        <x:f>IF(C3="","",(1/'Metadata'!$B$5)^(C3-1))</x:f>
        <x:v>224.2292560842676</x:v>
      </x:c>
      <x:c r="E3" s="31" t="n">
        <x:f>IF(B3=0,"",B3*D3)</x:f>
        <x:v>10.623982153272598</x:v>
      </x:c>
    </x:row>
    <x:row r="4" ht="18" customHeight="1">
      <x:c r="A4" s="24" t="str">
        <x:v>Sharks &amp; rays</x:v>
      </x:c>
      <x:c r="B4" s="31" t="n">
        <x:v>0.0286972066</x:v>
      </x:c>
      <x:c r="C4" s="32" t="n">
        <x:v>3.61</x:v>
      </x:c>
      <x:c r="D4" s="32" t="n">
        <x:f>IF(C4="","",(1/'Metadata'!$B$5)^(C4-1))</x:f>
        <x:v>407.3802778041126</x:v>
      </x:c>
      <x:c r="E4" s="31" t="n">
        <x:f>IF(B4=0,"",B4*D4)</x:f>
        <x:v>11.690675996910015</x:v>
      </x:c>
    </x:row>
  </x:sheetData>
  <x:pageMargins left="0.7" right="0.7" top="0.75" bottom="0.75" header="0.3" footer="0.3"/>
  <x:tableParts count="1">
    <x:tablePart xmlns:r="http://schemas.openxmlformats.org/officeDocument/2006/relationships" r:id="R00dd2792b9694ab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0.00152</x:v>
      </x:c>
      <x:c r="C2" s="32" t="n">
        <x:v>3.81</x:v>
      </x:c>
      <x:c r="D2" s="32" t="n">
        <x:f>IF(C2="","",(1/'Metadata'!$B$5)^(C2-1))</x:f>
        <x:v>645.6542290346556</x:v>
      </x:c>
      <x:c r="E2" s="31" t="n">
        <x:f>IF(B2=0,"",B2*D2)</x:f>
        <x:v>0.9813944281326765</x:v>
      </x:c>
    </x:row>
    <x:row r="3" ht="18" customHeight="1">
      <x:c r="A3" s="24" t="str">
        <x:v>Jellyfish</x:v>
      </x:c>
      <x:c r="B3" s="31" t="n">
        <x:v>0.0000035281</x:v>
      </x:c>
      <x:c r="C3" s="32" t="n">
        <x:v>2.5</x:v>
      </x:c>
      <x:c r="D3" s="32" t="n">
        <x:f>IF(C3="","",(1/'Metadata'!$B$5)^(C3-1))</x:f>
        <x:v>31.622776601683793</x:v>
      </x:c>
      <x:c r="E3" s="31" t="n">
        <x:f>IF(B3=0,"",B3*D3)</x:f>
        <x:v>0.00011156831812840059</x:v>
      </x:c>
    </x:row>
    <x:row r="4" ht="18" customHeight="1">
      <x:c r="A4" s="24" t="str">
        <x:v>Large rays (&gt;=90 cm)</x:v>
      </x:c>
      <x:c r="B4" s="31" t="n">
        <x:v>0.0286972066</x:v>
      </x:c>
      <x:c r="C4" s="32" t="n">
        <x:v>3.61</x:v>
      </x:c>
      <x:c r="D4" s="32" t="n">
        <x:f>IF(C4="","",(1/'Metadata'!$B$5)^(C4-1))</x:f>
        <x:v>407.3802778041126</x:v>
      </x:c>
      <x:c r="E4" s="31" t="n">
        <x:f>IF(B4=0,"",B4*D4)</x:f>
        <x:v>11.690675996910015</x:v>
      </x:c>
    </x:row>
    <x:row r="5" ht="18" customHeight="1">
      <x:c r="A5" s="24" t="str">
        <x:v>Medium bathydemersals (30 - 89 cm)</x:v>
      </x:c>
      <x:c r="B5" s="31" t="n">
        <x:v>0.0000800001</x:v>
      </x:c>
      <x:c r="C5" s="32" t="n">
        <x:v>3.7600000000000002</x:v>
      </x:c>
      <x:c r="D5" s="32" t="n">
        <x:f>IF(C5="","",(1/'Metadata'!$B$5)^(C5-1))</x:f>
        <x:v>575.4399373371573</x:v>
      </x:c>
      <x:c r="E5" s="31" t="n">
        <x:f>IF(B5=0,"",B5*D5)</x:f>
        <x:v>0.04603525253096632</x:v>
      </x:c>
    </x:row>
    <x:row r="6" ht="18" customHeight="1">
      <x:c r="A6" s="24" t="str">
        <x:v>Medium demersals (30 - 89 cm)</x:v>
      </x:c>
      <x:c r="B6" s="31" t="n">
        <x:v>154127.5378022161</x:v>
      </x:c>
      <x:c r="C6" s="32" t="n">
        <x:v>3.28</x:v>
      </x:c>
      <x:c r="D6" s="32" t="n">
        <x:f>IF(C6="","",(1/'Metadata'!$B$5)^(C6-1))</x:f>
        <x:v>190.54607179632464</x:v>
      </x:c>
      <x:c r="E6" s="31" t="n">
        <x:f>IF(B6=0,"",B6*D6)</x:f>
        <x:v>29368396.883851808</x:v>
      </x:c>
    </x:row>
    <x:row r="7" ht="18" customHeight="1">
      <x:c r="A7" s="24" t="str">
        <x:v>Small demersals (&lt;30 cm)</x:v>
      </x:c>
      <x:c r="B7" s="31" t="n">
        <x:v>0.0472999999</x:v>
      </x:c>
      <x:c r="C7" s="32" t="n">
        <x:v>3.35</x:v>
      </x:c>
      <x:c r="D7" s="32" t="n">
        <x:f>IF(C7="","",(1/'Metadata'!$B$5)^(C7-1))</x:f>
        <x:v>223.872113856834</x:v>
      </x:c>
      <x:c r="E7" s="31" t="n">
        <x:f>IF(B7=0,"",B7*D7)</x:f>
        <x:v>10.589150963041037</x:v>
      </x:c>
    </x:row>
  </x:sheetData>
  <x:pageMargins left="0.7" right="0.7" top="0.75" bottom="0.75" header="0.3" footer="0.3"/>
  <x:tableParts count="1">
    <x:tablePart xmlns:r="http://schemas.openxmlformats.org/officeDocument/2006/relationships" r:id="Rff6e61bb291a4cd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HS_048</x:v>
      </x:c>
      <x:c r="B2" s="24" t="str">
        <x:v>raw_filtered_tonnes</x:v>
      </x:c>
      <x:c r="C2" s="24" t="n">
        <x:v>154127.6154029508</x:v>
      </x:c>
      <x:c r="D2" s="24" t="str">
        <x:v>tonnes</x:v>
      </x:c>
    </x:row>
    <x:row r="3" ht="18" customHeight="1">
      <x:c r="A3" s="24" t="str">
        <x:v>HS_048</x:v>
      </x:c>
      <x:c r="B3" s="24" t="str">
        <x:v>species_catch_tonnes</x:v>
      </x:c>
      <x:c r="C3" s="24" t="n">
        <x:v>154127.61540295082</x:v>
      </x:c>
      <x:c r="D3" s="24" t="str">
        <x:v>tonnes</x:v>
      </x:c>
    </x:row>
    <x:row r="4" ht="18" customHeight="1">
      <x:c r="A4" s="24" t="str">
        <x:v>HS_048</x:v>
      </x:c>
      <x:c r="B4" s="24" t="str">
        <x:v>catch_difference_tonnes</x:v>
      </x:c>
      <x:c r="C4" s="24" t="n">
        <x:v>2.9103830456733704e-11</x:v>
      </x:c>
      <x:c r="D4" s="24" t="str">
        <x:v>tonnes</x:v>
      </x:c>
    </x:row>
    <x:row r="5" ht="18" customHeight="1">
      <x:c r="A5" s="24" t="str">
        <x:v>HS_048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HS_048</x:v>
      </x:c>
      <x:c r="B6" s="24" t="str">
        <x:v>matched_catch_tonnes</x:v>
      </x:c>
      <x:c r="C6" s="24" t="n">
        <x:v>154127.61540295082</x:v>
      </x:c>
      <x:c r="D6" s="24" t="str">
        <x:v>tonnes</x:v>
      </x:c>
    </x:row>
    <x:row r="7" ht="18" customHeight="1">
      <x:c r="A7" s="24" t="str">
        <x:v>HS_048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HS_048</x:v>
      </x:c>
      <x:c r="B8" s="24" t="str">
        <x:v>taxa_count</x:v>
      </x:c>
      <x:c r="C8" s="24" t="n">
        <x:v>6</x:v>
      </x:c>
      <x:c r="D8" s="24" t="str">
        <x:v>count</x:v>
      </x:c>
    </x:row>
    <x:row r="9" ht="18" customHeight="1">
      <x:c r="A9" s="24" t="str">
        <x:v>HS_048</x:v>
      </x:c>
      <x:c r="B9" s="24" t="str">
        <x:v>matched_taxa_count</x:v>
      </x:c>
      <x:c r="C9" s="24" t="n">
        <x:v>6</x:v>
      </x:c>
      <x:c r="D9" s="24" t="str">
        <x:v>count</x:v>
      </x:c>
    </x:row>
    <x:row r="10" ht="18" customHeight="1">
      <x:c r="A10" s="24" t="str">
        <x:v>HS_048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HS_048</x:v>
      </x:c>
      <x:c r="B11" s="24" t="str">
        <x:v>species_ppr</x:v>
      </x:c>
      <x:c r="C11" s="24" t="n">
        <x:v>29368420.191220015</x:v>
      </x:c>
      <x:c r="D11" s="24" t="str">
        <x:v>tonnes_primary_production_equivalent</x:v>
      </x:c>
    </x:row>
    <x:row r="12" ht="18" customHeight="1">
      <x:c r="A12" s="24" t="str">
        <x:v>HS_048</x:v>
      </x:c>
      <x:c r="B12" s="24" t="str">
        <x:v>commercial_ppr</x:v>
      </x:c>
      <x:c r="C12" s="24" t="n">
        <x:v>29368419.84106065</x:v>
      </x:c>
      <x:c r="D12" s="24" t="str">
        <x:v>tonnes_primary_production_equivalent</x:v>
      </x:c>
    </x:row>
    <x:row r="13" ht="18" customHeight="1">
      <x:c r="A13" s="24" t="str">
        <x:v>HS_048</x:v>
      </x:c>
      <x:c r="B13" s="24" t="str">
        <x:v>functional_ppr</x:v>
      </x:c>
      <x:c r="C13" s="24" t="n">
        <x:v>29368420.191220015</x:v>
      </x:c>
      <x:c r="D13" s="24" t="str">
        <x:v>tonnes_primary_production_equivalent</x:v>
      </x:c>
    </x:row>
    <x:row r="14" ht="18" customHeight="1">
      <x:c r="A14" s="24" t="str">
        <x:v>HS_048</x:v>
      </x:c>
      <x:c r="B14" s="24" t="str">
        <x:v>commercial_ppr_difference</x:v>
      </x:c>
      <x:c r="C14" s="24" t="n">
        <x:v>-0.350159365683794</x:v>
      </x:c>
      <x:c r="D14" s="24" t="str">
        <x:v>tonnes_primary_production_equivalent</x:v>
      </x:c>
    </x:row>
    <x:row r="15" ht="18" customHeight="1">
      <x:c r="A15" s="24" t="str">
        <x:v>HS_048</x:v>
      </x:c>
      <x:c r="B15" s="24" t="str">
        <x:v>functional_ppr_difference</x:v>
      </x:c>
      <x:c r="C15" s="24" t="n">
        <x:v>0</x:v>
      </x:c>
      <x:c r="D15" s="24" t="str">
        <x:v>tonnes_primary_production_equivalent</x:v>
      </x:c>
    </x:row>
    <x:row r="16" ht="18" customHeight="1">
      <x:c r="A16" s="24" t="str">
        <x:v>HS_048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HS_048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62fe42a7ffc64d9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HS_048 - Atlantic, Antarctic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HS_048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84 datasets</x:v>
      </x:c>
    </x:row>
    <x:row r="7">
      <x:c r="A7" s="22" t="str">
        <x:v>Region type</x:v>
      </x:c>
      <x:c r="B7" s="17" t="str">
        <x:v>High Seas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raw_data/SAU_downloads/HS_048-catch.zip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