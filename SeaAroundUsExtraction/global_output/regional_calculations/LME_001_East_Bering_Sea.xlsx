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c27b5ec51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2f4f6d02baf485d"/>
    <x:sheet xmlns:r="http://schemas.openxmlformats.org/officeDocument/2006/relationships" name="Commercial" sheetId="2" r:id="Rd24267f60b3b40d8"/>
    <x:sheet xmlns:r="http://schemas.openxmlformats.org/officeDocument/2006/relationships" name="Functional" sheetId="3" r:id="Raaf4e2270b38443a"/>
    <x:sheet xmlns:r="http://schemas.openxmlformats.org/officeDocument/2006/relationships" name="Missing TL" sheetId="4" r:id="Rbb5432f4f32a4ae8"/>
    <x:sheet xmlns:r="http://schemas.openxmlformats.org/officeDocument/2006/relationships" name="Validation" sheetId="5" r:id="R3e2f08dfe98a48c5"/>
    <x:sheet xmlns:r="http://schemas.openxmlformats.org/officeDocument/2006/relationships" name="Metadata" sheetId="6" r:id="R3cb6cb71ac8c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e69940f87456d" /><Relationship Type="http://schemas.openxmlformats.org/officeDocument/2006/relationships/theme" Target="/xl/theme/theme1.xml" Id="R4b7a3358548347b8" /><Relationship Type="http://schemas.microsoft.com/office/2022/11/relationships/FeaturePropertyBag" Target="/xl/featurePropertyBag/featurePropertyBag.xml" Id="R8ece77e7a3904702" /><Relationship Type="http://schemas.openxmlformats.org/officeDocument/2006/relationships/sharedStrings" Target="/xl/sharedStrings.xml" Id="R66fc36ca61b24f0d" /><Relationship Type="http://schemas.openxmlformats.org/officeDocument/2006/relationships/worksheet" Target="/xl/worksheets/sheet1.xml" Id="R12f4f6d02baf485d" /><Relationship Type="http://schemas.openxmlformats.org/officeDocument/2006/relationships/worksheet" Target="/xl/worksheets/sheet2.xml" Id="Rd24267f60b3b40d8" /><Relationship Type="http://schemas.openxmlformats.org/officeDocument/2006/relationships/worksheet" Target="/xl/worksheets/sheet3.xml" Id="Raaf4e2270b38443a" /><Relationship Type="http://schemas.openxmlformats.org/officeDocument/2006/relationships/worksheet" Target="/xl/worksheets/sheet4.xml" Id="Rbb5432f4f32a4ae8" /><Relationship Type="http://schemas.openxmlformats.org/officeDocument/2006/relationships/worksheet" Target="/xl/worksheets/sheet5.xml" Id="R3e2f08dfe98a48c5" /><Relationship Type="http://schemas.openxmlformats.org/officeDocument/2006/relationships/worksheet" Target="/xl/worksheets/sheet6.xml" Id="R3cb6cb71ac8c43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1SpeciesTable" displayName="LME001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1CommercialTable" displayName="LME00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1FunctionalTable" displayName="LME001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1ValidationTable" displayName="LME00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16798fba6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2b58678d1c44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dd1f32e9044b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58f364a90e48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LME_001</x:v>
      </x:c>
      <x:c r="B2" s="24" t="str">
        <x:v>East Bering Sea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796581.615275561</x:v>
      </x:c>
      <x:c r="J2" s="31" t="n">
        <x:v>793468.0534303762</x:v>
      </x:c>
      <x:c r="K2" s="31" t="n">
        <x:v>3113.5618451847995</x:v>
      </x:c>
      <x:c r="L2" s="31" t="n">
        <x:v>793467.9697943453</x:v>
      </x:c>
      <x:c r="M2" s="31" t="n">
        <x:v>3113.6454812157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295958132.9260012</x:v>
      </x:c>
    </x:row>
    <x:row r="3" ht="18" customHeight="1">
      <x:c r="A3" s="24" t="str">
        <x:v>LME_001</x:v>
      </x:c>
      <x:c r="B3" s="24" t="str">
        <x:v>East Bering Sea</x:v>
      </x:c>
      <x:c r="C3" s="24" t="str">
        <x:v>LME</x:v>
      </x:c>
      <x:c r="D3" s="30" t="n">
        <x:v>2019</x:v>
      </x:c>
      <x:c r="E3" s="24" t="str">
        <x:v>Gadus macrocephalus</x:v>
      </x:c>
      <x:c r="F3" s="24" t="str">
        <x:v>Pacific cod</x:v>
      </x:c>
      <x:c r="G3" s="24" t="str">
        <x:v>Large demersals (&gt;=90 cm)</x:v>
      </x:c>
      <x:c r="H3" s="24" t="str">
        <x:v>Cod-likes</x:v>
      </x:c>
      <x:c r="I3" s="31" t="n">
        <x:v>103881.83091226309</x:v>
      </x:c>
      <x:c r="J3" s="31" t="n">
        <x:v>102657.1533640345</x:v>
      </x:c>
      <x:c r="K3" s="31" t="n">
        <x:v>1224.6775482286</x:v>
      </x:c>
      <x:c r="L3" s="31" t="n">
        <x:v>102626.7800447885</x:v>
      </x:c>
      <x:c r="M3" s="31" t="n">
        <x:v>1255.0508674746002</x:v>
      </x:c>
      <x:c r="N3" s="24" t="str">
        <x:v>gadus macrocephalus</x:v>
      </x:c>
      <x:c r="O3" s="32" t="n">
        <x:v>4.16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macrocephalus</x:v>
      </x:c>
      <x:c r="T3" s="32" t="n">
        <x:f>IF(O3="","",(1/'Metadata'!$B$5)^(O3-1))</x:f>
        <x:v>1445.439770745928</x:v>
      </x:c>
      <x:c r="U3" s="31" t="n">
        <x:f>IF(T3="","",I3*T3)</x:f>
        <x:v>150154929.8584888</x:v>
      </x:c>
    </x:row>
    <x:row r="4" ht="18" customHeight="1">
      <x:c r="A4" s="24" t="str">
        <x:v>LME_001</x:v>
      </x:c>
      <x:c r="B4" s="24" t="str">
        <x:v>East Bering Sea</x:v>
      </x:c>
      <x:c r="C4" s="24" t="str">
        <x:v>LME</x:v>
      </x:c>
      <x:c r="D4" s="30" t="n">
        <x:v>2019</x:v>
      </x:c>
      <x:c r="E4" s="24" t="str">
        <x:v>Limanda aspera</x:v>
      </x:c>
      <x:c r="F4" s="24" t="str">
        <x:v>Yellowfin sole</x:v>
      </x:c>
      <x:c r="G4" s="24" t="str">
        <x:v>Small to medium flatfishes (&lt;90 cm)</x:v>
      </x:c>
      <x:c r="H4" s="24" t="str">
        <x:v>Flatfishes</x:v>
      </x:c>
      <x:c r="I4" s="31" t="n">
        <x:v>72263.16306675039</x:v>
      </x:c>
      <x:c r="J4" s="31" t="n">
        <x:v>71215.85317686069</x:v>
      </x:c>
      <x:c r="K4" s="31" t="n">
        <x:v>1047.3098898897001</x:v>
      </x:c>
      <x:c r="L4" s="31" t="n">
        <x:v>71215.85317686069</x:v>
      </x:c>
      <x:c r="M4" s="31" t="n">
        <x:v>1047.3098898897001</x:v>
      </x:c>
      <x:c r="N4" s="24" t="str">
        <x:v>limanda aspera</x:v>
      </x:c>
      <x:c r="O4" s="32" t="n">
        <x:v>3.49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Limanda aspera</x:v>
      </x:c>
      <x:c r="T4" s="32" t="n">
        <x:f>IF(O4="","",(1/'Metadata'!$B$5)^(O4-1))</x:f>
        <x:v>309.0295432513592</x:v>
      </x:c>
      <x:c r="U4" s="31" t="n">
        <x:f>IF(T4="","",I4*T4)</x:f>
        <x:v>22331452.27641636</x:v>
      </x:c>
    </x:row>
    <x:row r="5" ht="18" customHeight="1">
      <x:c r="A5" s="24" t="str">
        <x:v>LME_001</x:v>
      </x:c>
      <x:c r="B5" s="24" t="str">
        <x:v>East Bering Sea</x:v>
      </x:c>
      <x:c r="C5" s="24" t="str">
        <x:v>LME</x:v>
      </x:c>
      <x:c r="D5" s="30" t="n">
        <x:v>2019</x:v>
      </x:c>
      <x:c r="E5" s="24" t="str">
        <x:v>Oncorhynchus gorbuscha</x:v>
      </x:c>
      <x:c r="F5" s="24" t="str">
        <x:v>Pink salmon</x:v>
      </x:c>
      <x:c r="G5" s="24" t="str">
        <x:v>Medium demersals (30 - 89 cm)</x:v>
      </x:c>
      <x:c r="H5" s="24" t="str">
        <x:v>Salmon, smelts, etc</x:v>
      </x:c>
      <x:c r="I5" s="31" t="n">
        <x:v>69096.6497653141</x:v>
      </x:c>
      <x:c r="J5" s="31" t="n">
        <x:v>68992.9382411867</x:v>
      </x:c>
      <x:c r="K5" s="31" t="n">
        <x:v>103.7115241274</x:v>
      </x:c>
      <x:c r="L5" s="31" t="n">
        <x:v>68844.1472192403</x:v>
      </x:c>
      <x:c r="M5" s="31" t="n">
        <x:v>252.50254607379998</x:v>
      </x:c>
      <x:c r="N5" s="24" t="str">
        <x:v>oncorhynchus gorbuscha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gorbuscha</x:v>
      </x:c>
      <x:c r="T5" s="32" t="n">
        <x:f>IF(O5="","",(1/'Metadata'!$B$5)^(O5-1))</x:f>
        <x:v>3090.295432513592</x:v>
      </x:c>
      <x:c r="U5" s="31" t="n">
        <x:f>IF(T5="","",I5*T5)</x:f>
        <x:v>213529061.17174152</x:v>
      </x:c>
    </x:row>
    <x:row r="6" ht="18" customHeight="1">
      <x:c r="A6" s="24" t="str">
        <x:v>LME_001</x:v>
      </x:c>
      <x:c r="B6" s="24" t="str">
        <x:v>East Bering Sea</x:v>
      </x:c>
      <x:c r="C6" s="24" t="str">
        <x:v>LME</x:v>
      </x:c>
      <x:c r="D6" s="30" t="n">
        <x:v>2019</x:v>
      </x:c>
      <x:c r="E6" s="24" t="str">
        <x:v>Oncorhynchus nerka</x:v>
      </x:c>
      <x:c r="F6" s="24" t="str">
        <x:v>Sockeye salmon</x:v>
      </x:c>
      <x:c r="G6" s="24" t="str">
        <x:v>Medium pelagics (30 - 89 cm)</x:v>
      </x:c>
      <x:c r="H6" s="24" t="str">
        <x:v>Salmon, smelts, etc</x:v>
      </x:c>
      <x:c r="I6" s="31" t="n">
        <x:v>54130.5006079655</x:v>
      </x:c>
      <x:c r="J6" s="31" t="n">
        <x:v>54125.7897554865</x:v>
      </x:c>
      <x:c r="K6" s="31" t="n">
        <x:v>4.710852479</x:v>
      </x:c>
      <x:c r="L6" s="31" t="n">
        <x:v>53758.7056833939</x:v>
      </x:c>
      <x:c r="M6" s="31" t="n">
        <x:v>371.7949245716</x:v>
      </x:c>
      <x:c r="N6" s="24" t="str">
        <x:v>oncorhynchus nerka</x:v>
      </x:c>
      <x:c r="O6" s="32" t="n">
        <x:v>3.54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nerka</x:v>
      </x:c>
      <x:c r="T6" s="32" t="n">
        <x:f>IF(O6="","",(1/'Metadata'!$B$5)^(O6-1))</x:f>
        <x:v>346.73685045253166</x:v>
      </x:c>
      <x:c r="U6" s="31" t="n">
        <x:f>IF(T6="","",I6*T6)</x:f>
        <x:v>18769039.294224806</x:v>
      </x:c>
    </x:row>
    <x:row r="7" ht="18" customHeight="1">
      <x:c r="A7" s="24" t="str">
        <x:v>LME_001</x:v>
      </x:c>
      <x:c r="B7" s="24" t="str">
        <x:v>East Bering Sea</x:v>
      </x:c>
      <x:c r="C7" s="24" t="str">
        <x:v>LME</x:v>
      </x:c>
      <x:c r="D7" s="30" t="n">
        <x:v>2019</x:v>
      </x:c>
      <x:c r="E7" s="24" t="str">
        <x:v>Sebastes alutus</x:v>
      </x:c>
      <x:c r="F7" s="24" t="str">
        <x:v>Pacific ocean perch</x:v>
      </x:c>
      <x:c r="G7" s="24" t="str">
        <x:v>Medium demersals (30 - 89 cm)</x:v>
      </x:c>
      <x:c r="H7" s="24" t="str">
        <x:v>Scorpionfishes</x:v>
      </x:c>
      <x:c r="I7" s="31" t="n">
        <x:v>41194.8202313561</x:v>
      </x:c>
      <x:c r="J7" s="31" t="n">
        <x:v>38431.508558098496</x:v>
      </x:c>
      <x:c r="K7" s="31" t="n">
        <x:v>2763.3116732576</x:v>
      </x:c>
      <x:c r="L7" s="31" t="n">
        <x:v>38431.508558098496</x:v>
      </x:c>
      <x:c r="M7" s="31" t="n">
        <x:v>2763.3116732576</x:v>
      </x:c>
      <x:c r="N7" s="24" t="str">
        <x:v>sebastes alutus</x:v>
      </x:c>
      <x:c r="O7" s="32" t="n">
        <x:v>3.48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alutus</x:v>
      </x:c>
      <x:c r="T7" s="32" t="n">
        <x:f>IF(O7="","",(1/'Metadata'!$B$5)^(O7-1))</x:f>
        <x:v>301.9951720402016</x:v>
      </x:c>
      <x:c r="U7" s="31" t="n">
        <x:f>IF(T7="","",I7*T7)</x:f>
        <x:v>12440636.822933564</x:v>
      </x:c>
    </x:row>
    <x:row r="8" ht="18" customHeight="1">
      <x:c r="A8" s="24" t="str">
        <x:v>LME_001</x:v>
      </x:c>
      <x:c r="B8" s="24" t="str">
        <x:v>East Bering Sea</x:v>
      </x:c>
      <x:c r="C8" s="24" t="str">
        <x:v>LME</x:v>
      </x:c>
      <x:c r="D8" s="30" t="n">
        <x:v>2019</x:v>
      </x:c>
      <x:c r="E8" s="24" t="str">
        <x:v>Pleurogrammus monopterygius</x:v>
      </x:c>
      <x:c r="F8" s="24" t="str">
        <x:v>Atka mackerel</x:v>
      </x:c>
      <x:c r="G8" s="24" t="str">
        <x:v>Medium demersals (30 - 89 cm)</x:v>
      </x:c>
      <x:c r="H8" s="24" t="str">
        <x:v>Scorpionfishes</x:v>
      </x:c>
      <x:c r="I8" s="31" t="n">
        <x:v>25997.1486536711</x:v>
      </x:c>
      <x:c r="J8" s="31" t="n">
        <x:v>25750.977839430503</x:v>
      </x:c>
      <x:c r="K8" s="31" t="n">
        <x:v>246.17081424059998</x:v>
      </x:c>
      <x:c r="L8" s="31" t="n">
        <x:v>25750.977839430503</x:v>
      </x:c>
      <x:c r="M8" s="31" t="n">
        <x:v>246.17081424059998</x:v>
      </x:c>
      <x:c r="N8" s="24" t="str">
        <x:v>pleurogrammus monopterygius</x:v>
      </x:c>
      <x:c r="O8" s="32" t="n">
        <x:v>3.38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Pleurogrammus monopterygius</x:v>
      </x:c>
      <x:c r="T8" s="32" t="n">
        <x:f>IF(O8="","",(1/'Metadata'!$B$5)^(O8-1))</x:f>
        <x:v>239.88329190194898</x:v>
      </x:c>
      <x:c r="U8" s="31" t="n">
        <x:f>IF(T8="","",I8*T8)</x:f>
        <x:v>6236281.599106945</x:v>
      </x:c>
    </x:row>
    <x:row r="9" ht="18" customHeight="1">
      <x:c r="A9" s="24" t="str">
        <x:v>LME_001</x:v>
      </x:c>
      <x:c r="B9" s="24" t="str">
        <x:v>East Bering Sea</x:v>
      </x:c>
      <x:c r="C9" s="24" t="str">
        <x:v>LME</x:v>
      </x:c>
      <x:c r="D9" s="30" t="n">
        <x:v>2019</x:v>
      </x:c>
      <x:c r="E9" s="24" t="str">
        <x:v>Oncorhynchus keta</x:v>
      </x:c>
      <x:c r="F9" s="24" t="str">
        <x:v>Chum salmon</x:v>
      </x:c>
      <x:c r="G9" s="24" t="str">
        <x:v>Large benthopelagics (&gt;=90 cm)</x:v>
      </x:c>
      <x:c r="H9" s="24" t="str">
        <x:v>Salmon, smelts, etc</x:v>
      </x:c>
      <x:c r="I9" s="31" t="n">
        <x:v>20541.9283177121</x:v>
      </x:c>
      <x:c r="J9" s="31" t="n">
        <x:v>20536.321179615497</x:v>
      </x:c>
      <x:c r="K9" s="31" t="n">
        <x:v>5.6071380966</x:v>
      </x:c>
      <x:c r="L9" s="31" t="n">
        <x:v>19880.3199521605</x:v>
      </x:c>
      <x:c r="M9" s="31" t="n">
        <x:v>661.6083655516001</x:v>
      </x:c>
      <x:c r="N9" s="24" t="str">
        <x:v>oncorhynchus keta</x:v>
      </x:c>
      <x:c r="O9" s="32" t="n">
        <x:v>3.74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Oncorhynchus keta</x:v>
      </x:c>
      <x:c r="T9" s="32" t="n">
        <x:f>IF(O9="","",(1/'Metadata'!$B$5)^(O9-1))</x:f>
        <x:v>549.5408738576248</x:v>
      </x:c>
      <x:c r="U9" s="31" t="n">
        <x:f>IF(T9="","",I9*T9)</x:f>
        <x:v>11288629.238436196</x:v>
      </x:c>
    </x:row>
    <x:row r="10" ht="18" customHeight="1">
      <x:c r="A10" s="24" t="str">
        <x:v>LME_001</x:v>
      </x:c>
      <x:c r="B10" s="24" t="str">
        <x:v>East Bering Sea</x:v>
      </x:c>
      <x:c r="C10" s="24" t="str">
        <x:v>LME</x:v>
      </x:c>
      <x:c r="D10" s="30" t="n">
        <x:v>2019</x:v>
      </x:c>
      <x:c r="E10" s="24" t="str">
        <x:v>Atheresthes stomias</x:v>
      </x:c>
      <x:c r="F10" s="24" t="str">
        <x:v>Arrowtooth flounder</x:v>
      </x:c>
      <x:c r="G10" s="24" t="str">
        <x:v>Small to medium flatfishes (&lt;90 cm)</x:v>
      </x:c>
      <x:c r="H10" s="24" t="str">
        <x:v>Flatfishes</x:v>
      </x:c>
      <x:c r="I10" s="31" t="n">
        <x:v>16758.1089870451</x:v>
      </x:c>
      <x:c r="J10" s="31" t="n">
        <x:v>15372.354194100699</x:v>
      </x:c>
      <x:c r="K10" s="31" t="n">
        <x:v>1385.7547929444002</x:v>
      </x:c>
      <x:c r="L10" s="31" t="n">
        <x:v>15372.354194100699</x:v>
      </x:c>
      <x:c r="M10" s="31" t="n">
        <x:v>1385.7547929444002</x:v>
      </x:c>
      <x:c r="N10" s="24" t="str">
        <x:v>atheresthes stomias</x:v>
      </x:c>
      <x:c r="O10" s="32" t="n">
        <x:v>4.17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Atheresthes stomias</x:v>
      </x:c>
      <x:c r="T10" s="32" t="n">
        <x:f>IF(O10="","",(1/'Metadata'!$B$5)^(O10-1))</x:f>
        <x:v>1479.1083881682073</x:v>
      </x:c>
      <x:c r="U10" s="31" t="n">
        <x:f>IF(T10="","",I10*T10)</x:f>
        <x:v>24787059.572575428</x:v>
      </x:c>
    </x:row>
    <x:row r="11" ht="18" customHeight="1">
      <x:c r="A11" s="24" t="str">
        <x:v>LME_001</x:v>
      </x:c>
      <x:c r="B11" s="24" t="str">
        <x:v>East Bering Sea</x:v>
      </x:c>
      <x:c r="C11" s="24" t="str">
        <x:v>LME</x:v>
      </x:c>
      <x:c r="D11" s="30" t="n">
        <x:v>2019</x:v>
      </x:c>
      <x:c r="E11" s="24" t="str">
        <x:v>Rajidae</x:v>
      </x:c>
      <x:c r="F11" s="24" t="str">
        <x:v>Stingrays</x:v>
      </x:c>
      <x:c r="G11" s="24" t="str">
        <x:v>Large rays (&gt;=90 cm)</x:v>
      </x:c>
      <x:c r="H11" s="24" t="str">
        <x:v>Sharks &amp; rays</x:v>
      </x:c>
      <x:c r="I11" s="31" t="n">
        <x:v>13066.0632057037</x:v>
      </x:c>
      <x:c r="J11" s="31" t="n">
        <x:v>5034.6689888262</x:v>
      </x:c>
      <x:c r="K11" s="31" t="n">
        <x:v>8031.3942168775</x:v>
      </x:c>
      <x:c r="L11" s="31" t="n">
        <x:v>5033.7670702694</x:v>
      </x:c>
      <x:c r="M11" s="31" t="n">
        <x:v>8032.296135434301</x:v>
      </x:c>
      <x:c r="N11" s="24" t="str">
        <x:v>rajidae</x:v>
      </x:c>
      <x:c r="O11" s="32" t="n">
        <x:v>3.82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Rajidae</x:v>
      </x:c>
      <x:c r="T11" s="32" t="n">
        <x:f>IF(O11="","",(1/'Metadata'!$B$5)^(O11-1))</x:f>
        <x:v>660.6934480075957</x:v>
      </x:c>
      <x:c r="U11" s="31" t="n">
        <x:f>IF(T11="","",I11*T11)</x:f>
        <x:v>8632662.351261558</x:v>
      </x:c>
    </x:row>
    <x:row r="12" ht="18" customHeight="1">
      <x:c r="A12" s="24" t="str">
        <x:v>LME_001</x:v>
      </x:c>
      <x:c r="B12" s="24" t="str">
        <x:v>East Bering Sea</x:v>
      </x:c>
      <x:c r="C12" s="24" t="str">
        <x:v>LME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12651.4570207855</x:v>
      </x:c>
      <x:c r="J12" s="31" t="n">
        <x:v>12651.4570207855</x:v>
      </x:c>
      <x:c r="K12" s="31" t="n">
        <x:v>0</x:v>
      </x:c>
      <x:c r="L12" s="31" t="n">
        <x:v>12515.799203990298</x:v>
      </x:c>
      <x:c r="M12" s="31" t="n">
        <x:v>135.6578167952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2410685.4378107092</x:v>
      </x:c>
    </x:row>
    <x:row r="13" ht="18" customHeight="1">
      <x:c r="A13" s="24" t="str">
        <x:v>LME_001</x:v>
      </x:c>
      <x:c r="B13" s="24" t="str">
        <x:v>East Bering Sea</x:v>
      </x:c>
      <x:c r="C13" s="24" t="str">
        <x:v>LME</x:v>
      </x:c>
      <x:c r="D13" s="30" t="n">
        <x:v>2019</x:v>
      </x:c>
      <x:c r="E13" s="24" t="str">
        <x:v>Hippoglossoides elassodon</x:v>
      </x:c>
      <x:c r="F13" s="24" t="str">
        <x:v>Flathead sole</x:v>
      </x:c>
      <x:c r="G13" s="24" t="str">
        <x:v>Small to medium flatfishes (&lt;90 cm)</x:v>
      </x:c>
      <x:c r="H13" s="24" t="str">
        <x:v>Flatfishes</x:v>
      </x:c>
      <x:c r="I13" s="31" t="n">
        <x:v>11335.067216597601</x:v>
      </x:c>
      <x:c r="J13" s="31" t="n">
        <x:v>10912.0977439177</x:v>
      </x:c>
      <x:c r="K13" s="31" t="n">
        <x:v>422.96947267990004</x:v>
      </x:c>
      <x:c r="L13" s="31" t="n">
        <x:v>10912.0977439177</x:v>
      </x:c>
      <x:c r="M13" s="31" t="n">
        <x:v>422.96947267990004</x:v>
      </x:c>
      <x:c r="N13" s="24" t="str">
        <x:v>hippoglossoides elassodon</x:v>
      </x:c>
      <x:c r="O13" s="32" t="n">
        <x:v>3.67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Hippoglossoides elassodon</x:v>
      </x:c>
      <x:c r="T13" s="32" t="n">
        <x:f>IF(O13="","",(1/'Metadata'!$B$5)^(O13-1))</x:f>
        <x:v>467.73514128719813</x:v>
      </x:c>
      <x:c r="U13" s="31" t="n">
        <x:f>IF(T13="","",I13*T13)</x:f>
        <x:v>5301809.266055167</x:v>
      </x:c>
    </x:row>
    <x:row r="14" ht="18" customHeight="1">
      <x:c r="A14" s="24" t="str">
        <x:v>LME_001</x:v>
      </x:c>
      <x:c r="B14" s="24" t="str">
        <x:v>East Bering Sea</x:v>
      </x:c>
      <x:c r="C14" s="24" t="str">
        <x:v>LME</x:v>
      </x:c>
      <x:c r="D14" s="30" t="n">
        <x:v>2019</x:v>
      </x:c>
      <x:c r="E14" s="24" t="str">
        <x:v>Sebastes</x:v>
      </x:c>
      <x:c r="F14" s="24" t="str">
        <x:v>Redfishes</x:v>
      </x:c>
      <x:c r="G14" s="24" t="str">
        <x:v>Large reef assoc. fish (&gt;=90 cm)</x:v>
      </x:c>
      <x:c r="H14" s="24" t="str">
        <x:v>Scorpionfishes</x:v>
      </x:c>
      <x:c r="I14" s="31" t="n">
        <x:v>10950.6889778384</x:v>
      </x:c>
      <x:c r="J14" s="31" t="n">
        <x:v>10723.6298083286</x:v>
      </x:c>
      <x:c r="K14" s="31" t="n">
        <x:v>227.0591695098</x:v>
      </x:c>
      <x:c r="L14" s="31" t="n">
        <x:v>10712.0913963034</x:v>
      </x:c>
      <x:c r="M14" s="31" t="n">
        <x:v>238.597581535</x:v>
      </x:c>
      <x:c r="N14" s="24" t="str">
        <x:v>sebastes</x:v>
      </x:c>
      <x:c r="O14" s="32" t="n">
        <x:v>3.79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Sebastes</x:v>
      </x:c>
      <x:c r="T14" s="32" t="n">
        <x:f>IF(O14="","",(1/'Metadata'!$B$5)^(O14-1))</x:f>
        <x:v>616.5950018614822</x:v>
      </x:c>
      <x:c r="U14" s="31" t="n">
        <x:f>IF(T14="","",I14*T14)</x:f>
        <x:v>6752140.09067478</x:v>
      </x:c>
    </x:row>
    <x:row r="15" ht="18" customHeight="1">
      <x:c r="A15" s="24" t="str">
        <x:v>LME_001</x:v>
      </x:c>
      <x:c r="B15" s="24" t="str">
        <x:v>East Bering Sea</x:v>
      </x:c>
      <x:c r="C15" s="24" t="str">
        <x:v>LME</x:v>
      </x:c>
      <x:c r="D15" s="30" t="n">
        <x:v>2019</x:v>
      </x:c>
      <x:c r="E15" s="24" t="str">
        <x:v>Clupea pallasii</x:v>
      </x:c>
      <x:c r="F15" s="24" t="str">
        <x:v>Pacific herring</x:v>
      </x:c>
      <x:c r="G15" s="24" t="str">
        <x:v>Medium pelagics (30 - 89 cm)</x:v>
      </x:c>
      <x:c r="H15" s="24" t="str">
        <x:v>Herring-likes</x:v>
      </x:c>
      <x:c r="I15" s="31" t="n">
        <x:v>9651.0177963192</x:v>
      </x:c>
      <x:c r="J15" s="31" t="n">
        <x:v>9651.0177963192</x:v>
      </x:c>
      <x:c r="K15" s="31" t="n">
        <x:v>0</x:v>
      </x:c>
      <x:c r="L15" s="31" t="n">
        <x:v>9459.977731769999</x:v>
      </x:c>
      <x:c r="M15" s="31" t="n">
        <x:v>191.0400645492</x:v>
      </x:c>
      <x:c r="N15" s="24" t="str">
        <x:v>clupea pallasii</x:v>
      </x:c>
      <x:c r="O15" s="32" t="n">
        <x:v>3.16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Clupea pallasii</x:v>
      </x:c>
      <x:c r="T15" s="32" t="n">
        <x:f>IF(O15="","",(1/'Metadata'!$B$5)^(O15-1))</x:f>
        <x:v>144.5439770745928</x:v>
      </x:c>
      <x:c r="U15" s="31" t="n">
        <x:f>IF(T15="","",I15*T15)</x:f>
        <x:v>1394996.4950976495</x:v>
      </x:c>
    </x:row>
    <x:row r="16" ht="18" customHeight="1">
      <x:c r="A16" s="24" t="str">
        <x:v>LME_001</x:v>
      </x:c>
      <x:c r="B16" s="24" t="str">
        <x:v>East Bering Sea</x:v>
      </x:c>
      <x:c r="C16" s="24" t="str">
        <x:v>LME</x:v>
      </x:c>
      <x:c r="D16" s="30" t="n">
        <x:v>2019</x:v>
      </x:c>
      <x:c r="E16" s="24" t="str">
        <x:v>Pleuronectiformes</x:v>
      </x:c>
      <x:c r="F16" s="24" t="str">
        <x:v>Flatfishes</x:v>
      </x:c>
      <x:c r="G16" s="24" t="str">
        <x:v>Small to medium flatfishes (&lt;90 cm)</x:v>
      </x:c>
      <x:c r="H16" s="24" t="str">
        <x:v>Flatfishes</x:v>
      </x:c>
      <x:c r="I16" s="31" t="n">
        <x:v>8264.6186067853</x:v>
      </x:c>
      <x:c r="J16" s="31" t="n">
        <x:v>7411.4076201015005</x:v>
      </x:c>
      <x:c r="K16" s="31" t="n">
        <x:v>853.2109866838</x:v>
      </x:c>
      <x:c r="L16" s="31" t="n">
        <x:v>7408.538542033</x:v>
      </x:c>
      <x:c r="M16" s="31" t="n">
        <x:v>856.0800647523</x:v>
      </x:c>
      <x:c r="N16" s="24" t="str">
        <x:v>pleuronectiformes</x:v>
      </x:c>
      <x:c r="O16" s="32" t="n">
        <x:v>3.57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Pleuronectiformes</x:v>
      </x:c>
      <x:c r="T16" s="32" t="n">
        <x:f>IF(O16="","",(1/'Metadata'!$B$5)^(O16-1))</x:f>
        <x:v>371.5352290971724</x:v>
      </x:c>
      <x:c r="U16" s="31" t="n">
        <x:f>IF(T16="","",I16*T16)</x:f>
        <x:v>3070596.96747273</x:v>
      </x:c>
    </x:row>
    <x:row r="17" ht="18" customHeight="1">
      <x:c r="A17" s="24" t="str">
        <x:v>LME_001</x:v>
      </x:c>
      <x:c r="B17" s="24" t="str">
        <x:v>East Bering Sea</x:v>
      </x:c>
      <x:c r="C17" s="24" t="str">
        <x:v>LME</x:v>
      </x:c>
      <x:c r="D17" s="30" t="n">
        <x:v>2019</x:v>
      </x:c>
      <x:c r="E17" s="24" t="str">
        <x:v>Hippoglossus stenolepis</x:v>
      </x:c>
      <x:c r="F17" s="24" t="str">
        <x:v>Pacific halibut</x:v>
      </x:c>
      <x:c r="G17" s="24" t="str">
        <x:v>Large flatfishes (&gt;=90 cm)</x:v>
      </x:c>
      <x:c r="H17" s="24" t="str">
        <x:v>Flatfishes</x:v>
      </x:c>
      <x:c r="I17" s="31" t="n">
        <x:v>6716.1555912832</x:v>
      </x:c>
      <x:c r="J17" s="31" t="n">
        <x:v>6716.1555912832</x:v>
      </x:c>
      <x:c r="K17" s="31" t="n">
        <x:v>0</x:v>
      </x:c>
      <x:c r="L17" s="31" t="n">
        <x:v>4803.6689724463</x:v>
      </x:c>
      <x:c r="M17" s="31" t="n">
        <x:v>1912.4866188369</x:v>
      </x:c>
      <x:c r="N17" s="24" t="str">
        <x:v>hippoglossus stenolepis</x:v>
      </x:c>
      <x:c r="O17" s="32" t="n">
        <x:v>4.14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Hippoglossus stenolepis</x:v>
      </x:c>
      <x:c r="T17" s="32" t="n">
        <x:f>IF(O17="","",(1/'Metadata'!$B$5)^(O17-1))</x:f>
        <x:v>1380.3842646028838</x:v>
      </x:c>
      <x:c r="U17" s="31" t="n">
        <x:f>IF(T17="","",I17*T17)</x:f>
        <x:v>9270875.496832006</x:v>
      </x:c>
    </x:row>
    <x:row r="18" ht="18" customHeight="1">
      <x:c r="A18" s="24" t="str">
        <x:v>LME_001</x:v>
      </x:c>
      <x:c r="B18" s="24" t="str">
        <x:v>East Bering Sea</x:v>
      </x:c>
      <x:c r="C18" s="24" t="str">
        <x:v>LME</x:v>
      </x:c>
      <x:c r="D18" s="30" t="n">
        <x:v>2019</x:v>
      </x:c>
      <x:c r="E18" s="24" t="str">
        <x:v>Anoplopoma fimbria</x:v>
      </x:c>
      <x:c r="F18" s="24" t="str">
        <x:v>Sablefish</x:v>
      </x:c>
      <x:c r="G18" s="24" t="str">
        <x:v>Large bathydemersals (&gt;=90 cm)</x:v>
      </x:c>
      <x:c r="H18" s="24" t="str">
        <x:v>Scorpionfishes</x:v>
      </x:c>
      <x:c r="I18" s="31" t="n">
        <x:v>6248.8065830297</x:v>
      </x:c>
      <x:c r="J18" s="31" t="n">
        <x:v>5634.2447972359</x:v>
      </x:c>
      <x:c r="K18" s="31" t="n">
        <x:v>614.5617857938</x:v>
      </x:c>
      <x:c r="L18" s="31" t="n">
        <x:v>5626.753036499</x:v>
      </x:c>
      <x:c r="M18" s="31" t="n">
        <x:v>622.0535465307</x:v>
      </x:c>
      <x:c r="N18" s="24" t="str">
        <x:v>anoplopoma fimbria</x:v>
      </x:c>
      <x:c r="O18" s="32" t="n">
        <x:v>3.84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Anoplopoma fimbria</x:v>
      </x:c>
      <x:c r="T18" s="32" t="n">
        <x:f>IF(O18="","",(1/'Metadata'!$B$5)^(O18-1))</x:f>
        <x:v>691.8309709189363</x:v>
      </x:c>
      <x:c r="U18" s="31" t="n">
        <x:f>IF(T18="","",I18*T18)</x:f>
        <x:v>4323117.925422078</x:v>
      </x:c>
    </x:row>
    <x:row r="19" ht="18" customHeight="1">
      <x:c r="A19" s="24" t="str">
        <x:v>LME_001</x:v>
      </x:c>
      <x:c r="B19" s="24" t="str">
        <x:v>East Bering Sea</x:v>
      </x:c>
      <x:c r="C19" s="24" t="str">
        <x:v>LME</x:v>
      </x:c>
      <x:c r="D19" s="30" t="n">
        <x:v>2019</x:v>
      </x:c>
      <x:c r="E19" s="24" t="str">
        <x:v>Oncorhynchus kisutch</x:v>
      </x:c>
      <x:c r="F19" s="24" t="str">
        <x:v>Coho salmon</x:v>
      </x:c>
      <x:c r="G19" s="24" t="str">
        <x:v>Large demersals (&gt;=90 cm)</x:v>
      </x:c>
      <x:c r="H19" s="24" t="str">
        <x:v>Salmon, smelts, etc</x:v>
      </x:c>
      <x:c r="I19" s="31" t="n">
        <x:v>5632.0034102143</x:v>
      </x:c>
      <x:c r="J19" s="31" t="n">
        <x:v>5631.7209359715</x:v>
      </x:c>
      <x:c r="K19" s="31" t="n">
        <x:v>0.2824742428</x:v>
      </x:c>
      <x:c r="L19" s="31" t="n">
        <x:v>4633.5169263715</x:v>
      </x:c>
      <x:c r="M19" s="31" t="n">
        <x:v>998.4864838428</x:v>
      </x:c>
      <x:c r="N19" s="24" t="str">
        <x:v>oncorhynchus kisutch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Oncorhynchus kisutch</x:v>
      </x:c>
      <x:c r="T19" s="32" t="n">
        <x:f>IF(O19="","",(1/'Metadata'!$B$5)^(O19-1))</x:f>
        <x:v>1659.5869074375596</x:v>
      </x:c>
      <x:c r="U19" s="31" t="n">
        <x:f>IF(T19="","",I19*T19)</x:f>
        <x:v>9346799.12223534</x:v>
      </x:c>
    </x:row>
    <x:row r="20" ht="18" customHeight="1">
      <x:c r="A20" s="24" t="str">
        <x:v>LME_001</x:v>
      </x:c>
      <x:c r="B20" s="24" t="str">
        <x:v>East Bering Sea</x:v>
      </x:c>
      <x:c r="C20" s="24" t="str">
        <x:v>LME</x:v>
      </x:c>
      <x:c r="D20" s="30" t="n">
        <x:v>2019</x:v>
      </x:c>
      <x:c r="E20" s="24" t="str">
        <x:v>Chionoecetes opilio</x:v>
      </x:c>
      <x:c r="F20" s="24" t="str">
        <x:v>Snow crab</x:v>
      </x:c>
      <x:c r="G20" s="24" t="str">
        <x:v>Lobsters, crabs</x:v>
      </x:c>
      <x:c r="H20" s="24" t="str">
        <x:v>Crustaceans</x:v>
      </x:c>
      <x:c r="I20" s="31" t="n">
        <x:v>4058.2476439598</x:v>
      </x:c>
      <x:c r="J20" s="31" t="n">
        <x:v>4058.2476439598</x:v>
      </x:c>
      <x:c r="K20" s="31" t="n">
        <x:v>0</x:v>
      </x:c>
      <x:c r="L20" s="31" t="n">
        <x:v>4058.2476439598</x:v>
      </x:c>
      <x:c r="M20" s="31" t="n">
        <x:v>0</x:v>
      </x:c>
      <x:c r="N20" s="24" t="str">
        <x:v>chionoecetes opilio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Chionoecetes opilio</x:v>
      </x:c>
      <x:c r="T20" s="32" t="n">
        <x:f>IF(O20="","",(1/'Metadata'!$B$5)^(O20-1))</x:f>
        <x:v>346.73685045253166</x:v>
      </x:c>
      <x:c r="U20" s="31" t="n">
        <x:f>IF(T20="","",I20*T20)</x:f>
        <x:v>1407144.0064230282</x:v>
      </x:c>
    </x:row>
    <x:row r="21" ht="18" customHeight="1">
      <x:c r="A21" s="24" t="str">
        <x:v>LME_001</x:v>
      </x:c>
      <x:c r="B21" s="24" t="str">
        <x:v>East Bering Sea</x:v>
      </x:c>
      <x:c r="C21" s="24" t="str">
        <x:v>LME</x:v>
      </x:c>
      <x:c r="D21" s="30" t="n">
        <x:v>2019</x:v>
      </x:c>
      <x:c r="E21" s="24" t="str">
        <x:v>Paralithodes</x:v>
      </x:c>
      <x:c r="F21" s="24" t="str">
        <x:v>North Pacific king crabs</x:v>
      </x:c>
      <x:c r="G21" s="24" t="str">
        <x:v>Lobsters, crabs</x:v>
      </x:c>
      <x:c r="H21" s="24" t="str">
        <x:v>Crustaceans</x:v>
      </x:c>
      <x:c r="I21" s="31" t="n">
        <x:v>2778.8333555167997</x:v>
      </x:c>
      <x:c r="J21" s="31" t="n">
        <x:v>2778.8333555167997</x:v>
      </x:c>
      <x:c r="K21" s="31" t="n">
        <x:v>0</x:v>
      </x:c>
      <x:c r="L21" s="31" t="n">
        <x:v>2778.8333555167997</x:v>
      </x:c>
      <x:c r="M21" s="31" t="n">
        <x:v>0</x:v>
      </x:c>
      <x:c r="N21" s="24" t="str">
        <x:v>paralithodes</x:v>
      </x:c>
      <x:c r="O21" s="32" t="n">
        <x:v>2.82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Paralithodes</x:v>
      </x:c>
      <x:c r="T21" s="32" t="n">
        <x:f>IF(O21="","",(1/'Metadata'!$B$5)^(O21-1))</x:f>
        <x:v>66.06934480075958</x:v>
      </x:c>
      <x:c r="U21" s="31" t="n">
        <x:f>IF(T21="","",I21*T21)</x:f>
        <x:v>183595.69910949116</x:v>
      </x:c>
    </x:row>
    <x:row r="22" ht="18" customHeight="1">
      <x:c r="A22" s="24" t="str">
        <x:v>LME_001</x:v>
      </x:c>
      <x:c r="B22" s="24" t="str">
        <x:v>East Bering Sea</x:v>
      </x:c>
      <x:c r="C22" s="24" t="str">
        <x:v>LME</x:v>
      </x:c>
      <x:c r="D22" s="30" t="n">
        <x:v>2019</x:v>
      </x:c>
      <x:c r="E22" s="24" t="str">
        <x:v>Oncorhynchus tshawytscha</x:v>
      </x:c>
      <x:c r="F22" s="24" t="str">
        <x:v>Chinook salmon</x:v>
      </x:c>
      <x:c r="G22" s="24" t="str">
        <x:v>Large benthopelagics (&gt;=90 cm)</x:v>
      </x:c>
      <x:c r="H22" s="24" t="str">
        <x:v>Salmon, smelts, etc</x:v>
      </x:c>
      <x:c r="I22" s="31" t="n">
        <x:v>1622.7729755039</x:v>
      </x:c>
      <x:c r="J22" s="31" t="n">
        <x:v>1621.5275445195</x:v>
      </x:c>
      <x:c r="K22" s="31" t="n">
        <x:v>1.2454309844</x:v>
      </x:c>
      <x:c r="L22" s="31" t="n">
        <x:v>586.7164014899</x:v>
      </x:c>
      <x:c r="M22" s="31" t="n">
        <x:v>1036.056574014</x:v>
      </x:c>
      <x:c r="N22" s="24" t="str">
        <x:v>oncorhynchus tshawytscha</x:v>
      </x:c>
      <x:c r="O22" s="32" t="n">
        <x:v>4.4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Oncorhynchus tshawytscha</x:v>
      </x:c>
      <x:c r="T22" s="32" t="n">
        <x:f>IF(O22="","",(1/'Metadata'!$B$5)^(O22-1))</x:f>
        <x:v>2511.886431509582</x:v>
      </x:c>
      <x:c r="U22" s="31" t="n">
        <x:f>IF(T22="","",I22*T22)</x:f>
        <x:v>4076221.4185886774</x:v>
      </x:c>
    </x:row>
    <x:row r="23" ht="18" customHeight="1">
      <x:c r="A23" s="24" t="str">
        <x:v>LME_001</x:v>
      </x:c>
      <x:c r="B23" s="24" t="str">
        <x:v>East Bering Sea</x:v>
      </x:c>
      <x:c r="C23" s="24" t="str">
        <x:v>LME</x:v>
      </x:c>
      <x:c r="D23" s="30" t="n">
        <x:v>2019</x:v>
      </x:c>
      <x:c r="E23" s="24" t="str">
        <x:v>Glyptocephalus zachirus</x:v>
      </x:c>
      <x:c r="F23" s="24" t="str">
        <x:v>Rex sole</x:v>
      </x:c>
      <x:c r="G23" s="24" t="str">
        <x:v>Small to medium flatfishes (&lt;90 cm)</x:v>
      </x:c>
      <x:c r="H23" s="24" t="str">
        <x:v>Flatfishes</x:v>
      </x:c>
      <x:c r="I23" s="31" t="n">
        <x:v>1519.6311295469</x:v>
      </x:c>
      <x:c r="J23" s="31" t="n">
        <x:v>1489.1328229066999</x:v>
      </x:c>
      <x:c r="K23" s="31" t="n">
        <x:v>30.498306640200003</x:v>
      </x:c>
      <x:c r="L23" s="31" t="n">
        <x:v>1489.1328229066999</x:v>
      </x:c>
      <x:c r="M23" s="31" t="n">
        <x:v>30.498306640200003</x:v>
      </x:c>
      <x:c r="N23" s="24" t="str">
        <x:v>glyptocephalus zachirus</x:v>
      </x:c>
      <x:c r="O23" s="32" t="n">
        <x:v>3.25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Glyptocephalus zachirus</x:v>
      </x:c>
      <x:c r="T23" s="32" t="n">
        <x:f>IF(O23="","",(1/'Metadata'!$B$5)^(O23-1))</x:f>
        <x:v>177.82794100389228</x:v>
      </x:c>
      <x:c r="U23" s="31" t="n">
        <x:f>IF(T23="","",I23*T23)</x:f>
        <x:v>270232.8748527443</x:v>
      </x:c>
    </x:row>
    <x:row r="24" ht="18" customHeight="1">
      <x:c r="A24" s="24" t="str">
        <x:v>LME_001</x:v>
      </x:c>
      <x:c r="B24" s="24" t="str">
        <x:v>East Bering Sea</x:v>
      </x:c>
      <x:c r="C24" s="24" t="str">
        <x:v>LME</x:v>
      </x:c>
      <x:c r="D24" s="30" t="n">
        <x:v>2019</x:v>
      </x:c>
      <x:c r="E24" s="24" t="str">
        <x:v>Cottidae</x:v>
      </x:c>
      <x:c r="F24" s="24" t="str">
        <x:v>Sculpins</x:v>
      </x:c>
      <x:c r="G24" s="24" t="str">
        <x:v>Large reef assoc. fish (&gt;=90 cm)</x:v>
      </x:c>
      <x:c r="H24" s="24" t="str">
        <x:v>Scorpionfishes</x:v>
      </x:c>
      <x:c r="I24" s="31" t="n">
        <x:v>1124.0045473706998</x:v>
      </x:c>
      <x:c r="J24" s="31" t="n">
        <x:v>18.1823926778</x:v>
      </x:c>
      <x:c r="K24" s="31" t="n">
        <x:v>1105.8221546928999</x:v>
      </x:c>
      <x:c r="L24" s="31" t="n">
        <x:v>17.764783529</x:v>
      </x:c>
      <x:c r="M24" s="31" t="n">
        <x:v>1106.2397638416999</x:v>
      </x:c>
      <x:c r="N24" s="24" t="str">
        <x:v>cottidae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Cottidae</x:v>
      </x:c>
      <x:c r="T24" s="32" t="n">
        <x:f>IF(O24="","",(1/'Metadata'!$B$5)^(O24-1))</x:f>
        <x:v>645.6542290346556</x:v>
      </x:c>
      <x:c r="U24" s="31" t="n">
        <x:f>IF(T24="","",I24*T24)</x:f>
        <x:v>725718.2894640762</x:v>
      </x:c>
    </x:row>
    <x:row r="25" ht="18" customHeight="1">
      <x:c r="A25" s="24" t="str">
        <x:v>LME_001</x:v>
      </x:c>
      <x:c r="B25" s="24" t="str">
        <x:v>East Bering Sea</x:v>
      </x:c>
      <x:c r="C25" s="24" t="str">
        <x:v>LME</x:v>
      </x:c>
      <x:c r="D25" s="30" t="n">
        <x:v>2019</x:v>
      </x:c>
      <x:c r="E25" s="24" t="str">
        <x:v>Raja</x:v>
      </x:c>
      <x:c r="F25" s="24" t="str">
        <x:v>Stingrays, skates</x:v>
      </x:c>
      <x:c r="G25" s="24" t="str">
        <x:v>Small to medium rays (&lt;90 cm)</x:v>
      </x:c>
      <x:c r="H25" s="24" t="str">
        <x:v>Sharks &amp; rays</x:v>
      </x:c>
      <x:c r="I25" s="31" t="n">
        <x:v>689.6711486076999</x:v>
      </x:c>
      <x:c r="J25" s="31" t="n">
        <x:v>0</x:v>
      </x:c>
      <x:c r="K25" s="31" t="n">
        <x:v>689.6711486076999</x:v>
      </x:c>
      <x:c r="L25" s="31" t="n">
        <x:v>0</x:v>
      </x:c>
      <x:c r="M25" s="31" t="n">
        <x:v>689.6711486076999</x:v>
      </x:c>
      <x:c r="N25" s="24" t="str">
        <x:v>raja</x:v>
      </x:c>
      <x:c r="O25" s="32" t="n">
        <x:v>3.8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Raja</x:v>
      </x:c>
      <x:c r="T25" s="32" t="n">
        <x:f>IF(O25="","",(1/'Metadata'!$B$5)^(O25-1))</x:f>
        <x:v>630.957344480193</x:v>
      </x:c>
      <x:c r="U25" s="31" t="n">
        <x:f>IF(T25="","",I25*T25)</x:f>
        <x:v>435153.0764901189</x:v>
      </x:c>
    </x:row>
    <x:row r="26" ht="18" customHeight="1">
      <x:c r="A26" s="24" t="str">
        <x:v>LME_001</x:v>
      </x:c>
      <x:c r="B26" s="24" t="str">
        <x:v>East Bering Sea</x:v>
      </x:c>
      <x:c r="C26" s="24" t="str">
        <x:v>LME</x:v>
      </x:c>
      <x:c r="D26" s="30" t="n">
        <x:v>2019</x:v>
      </x:c>
      <x:c r="E26" s="24" t="str">
        <x:v>Chionoecetes bairdi</x:v>
      </x:c>
      <x:c r="F26" s="24" t="str">
        <x:v>Tanner crab</x:v>
      </x:c>
      <x:c r="G26" s="24" t="str">
        <x:v>Lobsters, crabs</x:v>
      </x:c>
      <x:c r="H26" s="24" t="str">
        <x:v>Crustaceans</x:v>
      </x:c>
      <x:c r="I26" s="31" t="n">
        <x:v>684.2341339715</x:v>
      </x:c>
      <x:c r="J26" s="31" t="n">
        <x:v>684.2341339715</x:v>
      </x:c>
      <x:c r="K26" s="31" t="n">
        <x:v>0</x:v>
      </x:c>
      <x:c r="L26" s="31" t="n">
        <x:v>684.2341339715</x:v>
      </x:c>
      <x:c r="M26" s="31" t="n">
        <x:v>0</x:v>
      </x:c>
      <x:c r="N26" s="24" t="str">
        <x:v>chionoecetes bairdi</x:v>
      </x:c>
      <x:c r="O26" s="32" t="n">
        <x:v>3.08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Chionoecetes bairdi</x:v>
      </x:c>
      <x:c r="T26" s="32" t="n">
        <x:f>IF(O26="","",(1/'Metadata'!$B$5)^(O26-1))</x:f>
        <x:v>120.22644346174131</x:v>
      </x:c>
      <x:c r="U26" s="31" t="n">
        <x:f>IF(T26="","",I26*T26)</x:f>
        <x:v>82263.03642251808</x:v>
      </x:c>
    </x:row>
    <x:row r="27" ht="18" customHeight="1">
      <x:c r="A27" s="24" t="str">
        <x:v>LME_001</x:v>
      </x:c>
      <x:c r="B27" s="24" t="str">
        <x:v>East Bering Sea</x:v>
      </x:c>
      <x:c r="C27" s="24" t="str">
        <x:v>LME</x:v>
      </x:c>
      <x:c r="D27" s="30" t="n">
        <x:v>2019</x:v>
      </x:c>
      <x:c r="E27" s="24" t="str">
        <x:v>Pleuronectes quadrituberculatus</x:v>
      </x:c>
      <x:c r="F27" s="24" t="str">
        <x:v>Alaska plaice</x:v>
      </x:c>
      <x:c r="G27" s="24" t="str">
        <x:v>Small to medium flatfishes (&lt;90 cm)</x:v>
      </x:c>
      <x:c r="H27" s="24" t="str">
        <x:v>Flatfishes</x:v>
      </x:c>
      <x:c r="I27" s="31" t="n">
        <x:v>674.3837477105001</x:v>
      </x:c>
      <x:c r="J27" s="31" t="n">
        <x:v>0</x:v>
      </x:c>
      <x:c r="K27" s="31" t="n">
        <x:v>674.3837477105001</x:v>
      </x:c>
      <x:c r="L27" s="31" t="n">
        <x:v>0</x:v>
      </x:c>
      <x:c r="M27" s="31" t="n">
        <x:v>674.3837477105001</x:v>
      </x:c>
      <x:c r="N27" s="24" t="str">
        <x:v>pleuronectes quadrituberculatus</x:v>
      </x:c>
      <x:c r="O27" s="32" t="n">
        <x:v>3.59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Pleuronectes quadrituberculatus</x:v>
      </x:c>
      <x:c r="T27" s="32" t="n">
        <x:f>IF(O27="","",(1/'Metadata'!$B$5)^(O27-1))</x:f>
        <x:v>389.04514499428046</x:v>
      </x:c>
      <x:c r="U27" s="31" t="n">
        <x:f>IF(T27="","",I27*T27)</x:f>
        <x:v>262365.72290981776</x:v>
      </x:c>
    </x:row>
    <x:row r="28" ht="18" customHeight="1">
      <x:c r="A28" s="24" t="str">
        <x:v>LME_001</x:v>
      </x:c>
      <x:c r="B28" s="24" t="str">
        <x:v>East Bering Sea</x:v>
      </x:c>
      <x:c r="C28" s="24" t="str">
        <x:v>LME</x:v>
      </x:c>
      <x:c r="D28" s="30" t="n">
        <x:v>2019</x:v>
      </x:c>
      <x:c r="E28" s="24" t="str">
        <x:v>Sebastidae</x:v>
      </x:c>
      <x:c r="F28" s="24" t="str">
        <x:v>Rockfishes, rockcods, thornyheads</x:v>
      </x:c>
      <x:c r="G28" s="24" t="str">
        <x:v>Medium demersals (30 - 89 cm)</x:v>
      </x:c>
      <x:c r="H28" s="24" t="str">
        <x:v>Scorpionfishes</x:v>
      </x:c>
      <x:c r="I28" s="31" t="n">
        <x:v>674.0783313741999</x:v>
      </x:c>
      <x:c r="J28" s="31" t="n">
        <x:v>0</x:v>
      </x:c>
      <x:c r="K28" s="31" t="n">
        <x:v>674.0783313741999</x:v>
      </x:c>
      <x:c r="L28" s="31" t="n">
        <x:v>0</x:v>
      </x:c>
      <x:c r="M28" s="31" t="n">
        <x:v>674.0783313741999</x:v>
      </x:c>
      <x:c r="N28" s="24" t="str">
        <x:v>sebastidae</x:v>
      </x:c>
      <x:c r="O28" s="32" t="n">
        <x:v>3.74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Sebastidae</x:v>
      </x:c>
      <x:c r="T28" s="32" t="n">
        <x:f>IF(O28="","",(1/'Metadata'!$B$5)^(O28-1))</x:f>
        <x:v>549.5408738576248</x:v>
      </x:c>
      <x:c r="U28" s="31" t="n">
        <x:f>IF(T28="","",I28*T28)</x:f>
        <x:v>370433.5952718674</x:v>
      </x:c>
    </x:row>
    <x:row r="29" ht="18" customHeight="1">
      <x:c r="A29" s="24" t="str">
        <x:v>LME_001</x:v>
      </x:c>
      <x:c r="B29" s="24" t="str">
        <x:v>East Bering Sea</x:v>
      </x:c>
      <x:c r="C29" s="24" t="str">
        <x:v>LME</x:v>
      </x:c>
      <x:c r="D29" s="30" t="n">
        <x:v>2019</x:v>
      </x:c>
      <x:c r="E29" s="24" t="str">
        <x:v>Reinhardtius hippoglossoides</x:v>
      </x:c>
      <x:c r="F29" s="24" t="str">
        <x:v>Greenland halibut</x:v>
      </x:c>
      <x:c r="G29" s="24" t="str">
        <x:v>Small to medium flatfishes (&lt;90 cm)</x:v>
      </x:c>
      <x:c r="H29" s="24" t="str">
        <x:v>Flatfishes</x:v>
      </x:c>
      <x:c r="I29" s="31" t="n">
        <x:v>652.1230141550001</x:v>
      </x:c>
      <x:c r="J29" s="31" t="n">
        <x:v>637.5609351248</x:v>
      </x:c>
      <x:c r="K29" s="31" t="n">
        <x:v>14.5620790302</x:v>
      </x:c>
      <x:c r="L29" s="31" t="n">
        <x:v>637.5609351248</x:v>
      </x:c>
      <x:c r="M29" s="31" t="n">
        <x:v>14.5620790302</x:v>
      </x:c>
      <x:c r="N29" s="24" t="str">
        <x:v>reinhardtius hippoglossoides</x:v>
      </x:c>
      <x:c r="O29" s="32" t="n">
        <x:v>4.38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Reinhardtius hippoglossoides</x:v>
      </x:c>
      <x:c r="T29" s="32" t="n">
        <x:f>IF(O29="","",(1/'Metadata'!$B$5)^(O29-1))</x:f>
        <x:v>2398.83291901949</x:v>
      </x:c>
      <x:c r="U29" s="31" t="n">
        <x:f>IF(T29="","",I29*T29)</x:f>
        <x:v>1564334.1536052271</x:v>
      </x:c>
    </x:row>
    <x:row r="30" ht="18" customHeight="1">
      <x:c r="A30" s="24" t="str">
        <x:v>LME_001</x:v>
      </x:c>
      <x:c r="B30" s="24" t="str">
        <x:v>East Bering Sea</x:v>
      </x:c>
      <x:c r="C30" s="24" t="str">
        <x:v>LME</x:v>
      </x:c>
      <x:c r="D30" s="30" t="n">
        <x:v>2019</x:v>
      </x:c>
      <x:c r="E30" s="24" t="str">
        <x:v>Lepidopsetta bilineata</x:v>
      </x:c>
      <x:c r="F30" s="24" t="str">
        <x:v>Rock sole</x:v>
      </x:c>
      <x:c r="G30" s="24" t="str">
        <x:v>Small to medium flatfishes (&lt;90 cm)</x:v>
      </x:c>
      <x:c r="H30" s="24" t="str">
        <x:v>Flatfishes</x:v>
      </x:c>
      <x:c r="I30" s="31" t="n">
        <x:v>303.21844945510003</x:v>
      </x:c>
      <x:c r="J30" s="31" t="n">
        <x:v>0</x:v>
      </x:c>
      <x:c r="K30" s="31" t="n">
        <x:v>303.21844945510003</x:v>
      </x:c>
      <x:c r="L30" s="31" t="n">
        <x:v>0</x:v>
      </x:c>
      <x:c r="M30" s="31" t="n">
        <x:v>303.21844945510003</x:v>
      </x:c>
      <x:c r="N30" s="24" t="str">
        <x:v>lepidopsetta bilineata</x:v>
      </x:c>
      <x:c r="O30" s="32" t="n">
        <x:v>3.18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Lepidopsetta bilineata</x:v>
      </x:c>
      <x:c r="T30" s="32" t="n">
        <x:f>IF(O30="","",(1/'Metadata'!$B$5)^(O30-1))</x:f>
        <x:v>151.35612484362088</x:v>
      </x:c>
      <x:c r="U30" s="31" t="n">
        <x:f>IF(T30="","",I30*T30)</x:f>
        <x:v>45893.969490615265</x:v>
      </x:c>
    </x:row>
    <x:row r="31" ht="18" customHeight="1">
      <x:c r="A31" s="24" t="str">
        <x:v>LME_001</x:v>
      </x:c>
      <x:c r="B31" s="24" t="str">
        <x:v>East Bering Sea</x:v>
      </x:c>
      <x:c r="C31" s="24" t="str">
        <x:v>LME</x:v>
      </x:c>
      <x:c r="D31" s="30" t="n">
        <x:v>2019</x:v>
      </x:c>
      <x:c r="E31" s="24" t="str">
        <x:v>Octopodidae</x:v>
      </x:c>
      <x:c r="F31" s="24" t="str">
        <x:v>Octopuses</x:v>
      </x:c>
      <x:c r="G31" s="24" t="str">
        <x:v>Cephalopods</x:v>
      </x:c>
      <x:c r="H31" s="24" t="str">
        <x:v>Other fishes &amp; inverts</x:v>
      </x:c>
      <x:c r="I31" s="31" t="n">
        <x:v>205.2553093525</x:v>
      </x:c>
      <x:c r="J31" s="31" t="n">
        <x:v>137.2336771375</x:v>
      </x:c>
      <x:c r="K31" s="31" t="n">
        <x:v>68.021632215</x:v>
      </x:c>
      <x:c r="L31" s="31" t="n">
        <x:v>137.2336771375</x:v>
      </x:c>
      <x:c r="M31" s="31" t="n">
        <x:v>68.021632215</x:v>
      </x:c>
      <x:c r="N31" s="24" t="str">
        <x:v>octopodidae</x:v>
      </x:c>
      <x:c r="O31" s="32" t="n">
        <x:v>3.59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Octopodidae</x:v>
      </x:c>
      <x:c r="T31" s="32" t="n">
        <x:f>IF(O31="","",(1/'Metadata'!$B$5)^(O31-1))</x:f>
        <x:v>389.04514499428046</x:v>
      </x:c>
      <x:c r="U31" s="31" t="n">
        <x:f>IF(T31="","",I31*T31)</x:f>
        <x:v>79853.58158788926</x:v>
      </x:c>
    </x:row>
    <x:row r="32" ht="18" customHeight="1">
      <x:c r="A32" s="24" t="str">
        <x:v>LME_001</x:v>
      </x:c>
      <x:c r="B32" s="24" t="str">
        <x:v>East Bering Sea</x:v>
      </x:c>
      <x:c r="C32" s="24" t="str">
        <x:v>LME</x:v>
      </x:c>
      <x:c r="D32" s="30" t="n">
        <x:v>2019</x:v>
      </x:c>
      <x:c r="E32" s="24" t="str">
        <x:v>Pleuronectidae</x:v>
      </x:c>
      <x:c r="F32" s="24" t="str">
        <x:v>Righteye flounders</x:v>
      </x:c>
      <x:c r="G32" s="24" t="str">
        <x:v>Small to medium flatfishes (&lt;90 cm)</x:v>
      </x:c>
      <x:c r="H32" s="24" t="str">
        <x:v>Flatfishes</x:v>
      </x:c>
      <x:c r="I32" s="31" t="n">
        <x:v>177.9250241746</x:v>
      </x:c>
      <x:c r="J32" s="31" t="n">
        <x:v>177.9250241746</x:v>
      </x:c>
      <x:c r="K32" s="31" t="n">
        <x:v>0</x:v>
      </x:c>
      <x:c r="L32" s="31" t="n">
        <x:v>177.9250241746</x:v>
      </x:c>
      <x:c r="M32" s="31" t="n">
        <x:v>0</x:v>
      </x:c>
      <x:c r="N32" s="24" t="str">
        <x:v>pleuronectidae</x:v>
      </x:c>
      <x:c r="O32" s="32" t="n">
        <x:v>3.49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Pleuronectidae</x:v>
      </x:c>
      <x:c r="T32" s="32" t="n">
        <x:f>IF(O32="","",(1/'Metadata'!$B$5)^(O32-1))</x:f>
        <x:v>309.0295432513592</x:v>
      </x:c>
      <x:c r="U32" s="31" t="n">
        <x:f>IF(T32="","",I32*T32)</x:f>
        <x:v>54984.08895366368</x:v>
      </x:c>
    </x:row>
    <x:row r="33" ht="18" customHeight="1">
      <x:c r="A33" s="24" t="str">
        <x:v>LME_001</x:v>
      </x:c>
      <x:c r="B33" s="24" t="str">
        <x:v>East Bering Sea</x:v>
      </x:c>
      <x:c r="C33" s="24" t="str">
        <x:v>LME</x:v>
      </x:c>
      <x:c r="D33" s="30" t="n">
        <x:v>2019</x:v>
      </x:c>
      <x:c r="E33" s="24" t="str">
        <x:v>Teuthida</x:v>
      </x:c>
      <x:c r="F33" s="24" t="str">
        <x:v>Squids</x:v>
      </x:c>
      <x:c r="G33" s="24" t="str">
        <x:v>Cephalopods</x:v>
      </x:c>
      <x:c r="H33" s="24" t="str">
        <x:v>Other fishes &amp; inverts</x:v>
      </x:c>
      <x:c r="I33" s="31" t="n">
        <x:v>169.48744683</x:v>
      </x:c>
      <x:c r="J33" s="31" t="n">
        <x:v>0</x:v>
      </x:c>
      <x:c r="K33" s="31" t="n">
        <x:v>169.48744683</x:v>
      </x:c>
      <x:c r="L33" s="31" t="n">
        <x:v>0</x:v>
      </x:c>
      <x:c r="M33" s="31" t="n">
        <x:v>169.48744683</x:v>
      </x:c>
      <x:c r="N33" s="24" t="str">
        <x:v>teuthida</x:v>
      </x:c>
      <x:c r="O33" s="32" t="n">
        <x:v>4.13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Teuthida</x:v>
      </x:c>
      <x:c r="T33" s="32" t="n">
        <x:f>IF(O33="","",(1/'Metadata'!$B$5)^(O33-1))</x:f>
        <x:v>1348.9628825916532</x:v>
      </x:c>
      <x:c r="U33" s="31" t="n">
        <x:f>IF(T33="","",I33*T33)</x:f>
        <x:v>228632.27483889635</x:v>
      </x:c>
    </x:row>
    <x:row r="34" ht="18" customHeight="1">
      <x:c r="A34" s="24" t="str">
        <x:v>LME_001</x:v>
      </x:c>
      <x:c r="B34" s="24" t="str">
        <x:v>East Bering Sea</x:v>
      </x:c>
      <x:c r="C34" s="24" t="str">
        <x:v>LME</x:v>
      </x:c>
      <x:c r="D34" s="30" t="n">
        <x:v>2019</x:v>
      </x:c>
      <x:c r="E34" s="24" t="str">
        <x:v>Ophiodon elongatus</x:v>
      </x:c>
      <x:c r="F34" s="24" t="str">
        <x:v>Lingcod</x:v>
      </x:c>
      <x:c r="G34" s="24" t="str">
        <x:v>Large demersals (&gt;=90 cm)</x:v>
      </x:c>
      <x:c r="H34" s="24" t="str">
        <x:v>Scorpionfishes</x:v>
      </x:c>
      <x:c r="I34" s="31" t="n">
        <x:v>125.2939160649</x:v>
      </x:c>
      <x:c r="J34" s="31" t="n">
        <x:v>125.2939160649</x:v>
      </x:c>
      <x:c r="K34" s="31" t="n">
        <x:v>0</x:v>
      </x:c>
      <x:c r="L34" s="31" t="n">
        <x:v>89.4160995305</x:v>
      </x:c>
      <x:c r="M34" s="31" t="n">
        <x:v>35.877816534400004</x:v>
      </x:c>
      <x:c r="N34" s="24" t="str">
        <x:v>ophiodon elongatus</x:v>
      </x:c>
      <x:c r="O34" s="32" t="n">
        <x:v>4.32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Ophiodon elongatus</x:v>
      </x:c>
      <x:c r="T34" s="32" t="n">
        <x:f>IF(O34="","",(1/'Metadata'!$B$5)^(O34-1))</x:f>
        <x:v>2089.2961308540407</x:v>
      </x:c>
      <x:c r="U34" s="31" t="n">
        <x:f>IF(T34="","",I34*T34)</x:f>
        <x:v>261776.09405394652</x:v>
      </x:c>
    </x:row>
    <x:row r="35" ht="18" customHeight="1">
      <x:c r="A35" s="24" t="str">
        <x:v>LME_001</x:v>
      </x:c>
      <x:c r="B35" s="24" t="str">
        <x:v>East Bering Sea</x:v>
      </x:c>
      <x:c r="C35" s="24" t="str">
        <x:v>LME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105.57112039770001</x:v>
      </x:c>
      <x:c r="J35" s="31" t="n">
        <x:v>0.1186423497</x:v>
      </x:c>
      <x:c r="K35" s="31" t="n">
        <x:v>105.452478048</x:v>
      </x:c>
      <x:c r="L35" s="31" t="n">
        <x:v>0</x:v>
      </x:c>
      <x:c r="M35" s="31" t="n">
        <x:v>105.57112039770001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118452.7453275538</x:v>
      </x:c>
    </x:row>
    <x:row r="36" ht="18" customHeight="1">
      <x:c r="A36" s="24" t="str">
        <x:v>LME_001</x:v>
      </x:c>
      <x:c r="B36" s="24" t="str">
        <x:v>East Bering Sea</x:v>
      </x:c>
      <x:c r="C36" s="24" t="str">
        <x:v>LME</x:v>
      </x:c>
      <x:c r="D36" s="30" t="n">
        <x:v>2019</x:v>
      </x:c>
      <x:c r="E36" s="24" t="str">
        <x:v>Atheresthes evermanni</x:v>
      </x:c>
      <x:c r="F36" s="24" t="str">
        <x:v>Kamchatka flounder</x:v>
      </x:c>
      <x:c r="G36" s="24" t="str">
        <x:v>Large flatfishes (&gt;=90 cm)</x:v>
      </x:c>
      <x:c r="H36" s="24" t="str">
        <x:v>Flatfishes</x:v>
      </x:c>
      <x:c r="I36" s="31" t="n">
        <x:v>80.9928836449</x:v>
      </x:c>
      <x:c r="J36" s="31" t="n">
        <x:v>0</x:v>
      </x:c>
      <x:c r="K36" s="31" t="n">
        <x:v>80.9928836449</x:v>
      </x:c>
      <x:c r="L36" s="31" t="n">
        <x:v>0</x:v>
      </x:c>
      <x:c r="M36" s="31" t="n">
        <x:v>80.9928836449</x:v>
      </x:c>
      <x:c r="N36" s="24" t="str">
        <x:v>atheresthes evermanni</x:v>
      </x:c>
      <x:c r="O36" s="32" t="n">
        <x:v>4.3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Atheresthes evermanni</x:v>
      </x:c>
      <x:c r="T36" s="32" t="n">
        <x:f>IF(O36="","",(1/'Metadata'!$B$5)^(O36-1))</x:f>
        <x:v>1995.2623149688789</x:v>
      </x:c>
      <x:c r="U36" s="31" t="n">
        <x:f>IF(T36="","",I36*T36)</x:f>
        <x:v>161602.04851732822</x:v>
      </x:c>
    </x:row>
    <x:row r="37" ht="18" customHeight="1">
      <x:c r="A37" s="24" t="str">
        <x:v>LME_001</x:v>
      </x:c>
      <x:c r="B37" s="24" t="str">
        <x:v>East Bering Sea</x:v>
      </x:c>
      <x:c r="C37" s="24" t="str">
        <x:v>LME</x:v>
      </x:c>
      <x:c r="D37" s="30" t="n">
        <x:v>2019</x:v>
      </x:c>
      <x:c r="E37" s="24" t="str">
        <x:v>Miscellaneous marine crustaceans</x:v>
      </x:c>
      <x:c r="F37" s="24" t="str">
        <x:v>Marine crabs, shrimps, lobsters nei</x:v>
      </x:c>
      <x:c r="G37" s="24" t="str">
        <x:v>Shrimps</x:v>
      </x:c>
      <x:c r="H37" s="24" t="str">
        <x:v>Crustaceans</x:v>
      </x:c>
      <x:c r="I37" s="31" t="n">
        <x:v>61.5447244463</x:v>
      </x:c>
      <x:c r="J37" s="31" t="n">
        <x:v>61.5447244463</x:v>
      </x:c>
      <x:c r="K37" s="31" t="n">
        <x:v>0</x:v>
      </x:c>
      <x:c r="L37" s="31" t="n">
        <x:v>61.5447244463</x:v>
      </x:c>
      <x:c r="M37" s="31" t="n">
        <x:v>0</x:v>
      </x:c>
      <x:c r="N37" s="24" t="str">
        <x:v>miscellaneous marine crustaceans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Miscellaneous marine crustaceans</x:v>
      </x:c>
      <x:c r="T37" s="32" t="n">
        <x:f>IF(O37="","",(1/'Metadata'!$B$5)^(O37-1))</x:f>
        <x:v>50.11872336272725</x:v>
      </x:c>
      <x:c r="U37" s="31" t="n">
        <x:f>IF(T37="","",I37*T37)</x:f>
        <x:v>3084.543018959387</x:v>
      </x:c>
    </x:row>
    <x:row r="38" ht="18" customHeight="1">
      <x:c r="A38" s="24" t="str">
        <x:v>LME_001</x:v>
      </x:c>
      <x:c r="B38" s="24" t="str">
        <x:v>East Bering Sea</x:v>
      </x:c>
      <x:c r="C38" s="24" t="str">
        <x:v>LME</x:v>
      </x:c>
      <x:c r="D38" s="30" t="n">
        <x:v>2019</x:v>
      </x:c>
      <x:c r="E38" s="24" t="str">
        <x:v>Parophrys vetulus</x:v>
      </x:c>
      <x:c r="F38" s="24" t="str">
        <x:v>English sole</x:v>
      </x:c>
      <x:c r="G38" s="24" t="str">
        <x:v>Small to medium flatfishes (&lt;90 cm)</x:v>
      </x:c>
      <x:c r="H38" s="24" t="str">
        <x:v>Flatfishes</x:v>
      </x:c>
      <x:c r="I38" s="31" t="n">
        <x:v>54.060167693</x:v>
      </x:c>
      <x:c r="J38" s="31" t="n">
        <x:v>54.060167693</x:v>
      </x:c>
      <x:c r="K38" s="31" t="n">
        <x:v>0</x:v>
      </x:c>
      <x:c r="L38" s="31" t="n">
        <x:v>54.060167693</x:v>
      </x:c>
      <x:c r="M38" s="31" t="n">
        <x:v>0</x:v>
      </x:c>
      <x:c r="N38" s="24" t="str">
        <x:v>parophrys vetulus</x:v>
      </x:c>
      <x:c r="O38" s="32" t="n">
        <x:v>3.39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Parophrys vetulus</x:v>
      </x:c>
      <x:c r="T38" s="32" t="n">
        <x:f>IF(O38="","",(1/'Metadata'!$B$5)^(O38-1))</x:f>
        <x:v>245.4708915685031</x:v>
      </x:c>
      <x:c r="U38" s="31" t="n">
        <x:f>IF(T38="","",I38*T38)</x:f>
        <x:v>13270.197561943496</x:v>
      </x:c>
    </x:row>
    <x:row r="39" ht="18" customHeight="1">
      <x:c r="A39" s="24" t="str">
        <x:v>LME_001</x:v>
      </x:c>
      <x:c r="B39" s="24" t="str">
        <x:v>East Bering Sea</x:v>
      </x:c>
      <x:c r="C39" s="24" t="str">
        <x:v>LME</x:v>
      </x:c>
      <x:c r="D39" s="30" t="n">
        <x:v>2019</x:v>
      </x:c>
      <x:c r="E39" s="24" t="str">
        <x:v>Veneridae</x:v>
      </x:c>
      <x:c r="F39" s="24" t="str">
        <x:v>Venus clams</x:v>
      </x:c>
      <x:c r="G39" s="24" t="str">
        <x:v>Other demersal invertebrates</x:v>
      </x:c>
      <x:c r="H39" s="24" t="str">
        <x:v>Molluscs</x:v>
      </x:c>
      <x:c r="I39" s="31" t="n">
        <x:v>44.4143450799</x:v>
      </x:c>
      <x:c r="J39" s="31" t="n">
        <x:v>44.4143450799</x:v>
      </x:c>
      <x:c r="K39" s="31" t="n">
        <x:v>0</x:v>
      </x:c>
      <x:c r="L39" s="31" t="n">
        <x:v>0</x:v>
      </x:c>
      <x:c r="M39" s="31" t="n">
        <x:v>44.4143450799</x:v>
      </x:c>
      <x:c r="N39" s="24" t="str">
        <x:v>veneridae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Veneridae</x:v>
      </x:c>
      <x:c r="T39" s="32" t="n">
        <x:f>IF(O39="","",(1/'Metadata'!$B$5)^(O39-1))</x:f>
        <x:v>10</x:v>
      </x:c>
      <x:c r="U39" s="31" t="n">
        <x:f>IF(T39="","",I39*T39)</x:f>
        <x:v>444.143450799</x:v>
      </x:c>
    </x:row>
    <x:row r="40" ht="18" customHeight="1">
      <x:c r="A40" s="24" t="str">
        <x:v>LME_001</x:v>
      </x:c>
      <x:c r="B40" s="24" t="str">
        <x:v>East Bering Sea</x:v>
      </x:c>
      <x:c r="C40" s="24" t="str">
        <x:v>LME</x:v>
      </x:c>
      <x:c r="D40" s="30" t="n">
        <x:v>2019</x:v>
      </x:c>
      <x:c r="E40" s="24" t="str">
        <x:v>Strongylocentrotus</x:v>
      </x:c>
      <x:c r="F40" s="24" t="str">
        <x:v>Sickle-arched sea urchins</x:v>
      </x:c>
      <x:c r="G40" s="24" t="str">
        <x:v>Other demersal invertebrates</x:v>
      </x:c>
      <x:c r="H40" s="24" t="str">
        <x:v>Other fishes &amp; inverts</x:v>
      </x:c>
      <x:c r="I40" s="31" t="n">
        <x:v>43.5362692221</x:v>
      </x:c>
      <x:c r="J40" s="31" t="n">
        <x:v>43.5362692221</x:v>
      </x:c>
      <x:c r="K40" s="31" t="n">
        <x:v>0</x:v>
      </x:c>
      <x:c r="L40" s="31" t="n">
        <x:v>41.541067607</x:v>
      </x:c>
      <x:c r="M40" s="31" t="n">
        <x:v>1.9952016151</x:v>
      </x:c>
      <x:c r="N40" s="24" t="str">
        <x:v>strongylocentrotus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Strongylocentrotus</x:v>
      </x:c>
      <x:c r="T40" s="32" t="n">
        <x:f>IF(O40="","",(1/'Metadata'!$B$5)^(O40-1))</x:f>
        <x:v>12.589254117941675</x:v>
      </x:c>
      <x:c r="U40" s="31" t="n">
        <x:f>IF(T40="","",I40*T40)</x:f>
        <x:v>548.0891565841398</x:v>
      </x:c>
    </x:row>
    <x:row r="41" ht="18" customHeight="1">
      <x:c r="A41" s="24" t="str">
        <x:v>LME_001</x:v>
      </x:c>
      <x:c r="B41" s="24" t="str">
        <x:v>East Bering Sea</x:v>
      </x:c>
      <x:c r="C41" s="24" t="str">
        <x:v>LME</x:v>
      </x:c>
      <x:c r="D41" s="30" t="n">
        <x:v>2019</x:v>
      </x:c>
      <x:c r="E41" s="24" t="str">
        <x:v>Pandalidae</x:v>
      </x:c>
      <x:c r="F41" s="24" t="str">
        <x:v>Northern shrimps</x:v>
      </x:c>
      <x:c r="G41" s="24" t="str">
        <x:v>Shrimps</x:v>
      </x:c>
      <x:c r="H41" s="24" t="str">
        <x:v>Crustaceans</x:v>
      </x:c>
      <x:c r="I41" s="31" t="n">
        <x:v>22.5525310004</x:v>
      </x:c>
      <x:c r="J41" s="31" t="n">
        <x:v>22.5525310004</x:v>
      </x:c>
      <x:c r="K41" s="31" t="n">
        <x:v>0</x:v>
      </x:c>
      <x:c r="L41" s="31" t="n">
        <x:v>0</x:v>
      </x:c>
      <x:c r="M41" s="31" t="n">
        <x:v>22.5525310004</x:v>
      </x:c>
      <x:c r="N41" s="24" t="str">
        <x:v>pandalidae</x:v>
      </x:c>
      <x:c r="O41" s="32" t="n">
        <x:v>2.7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Pandalidae</x:v>
      </x:c>
      <x:c r="T41" s="32" t="n">
        <x:f>IF(O41="","",(1/'Metadata'!$B$5)^(O41-1))</x:f>
        <x:v>50.11872336272725</x:v>
      </x:c>
      <x:c r="U41" s="31" t="n">
        <x:f>IF(T41="","",I41*T41)</x:f>
        <x:v>1130.304062338378</x:v>
      </x:c>
    </x:row>
    <x:row r="42" ht="18" customHeight="1">
      <x:c r="A42" s="24" t="str">
        <x:v>LME_001</x:v>
      </x:c>
      <x:c r="B42" s="24" t="str">
        <x:v>East Bering Sea</x:v>
      </x:c>
      <x:c r="C42" s="24" t="str">
        <x:v>LME</x:v>
      </x:c>
      <x:c r="D42" s="30" t="n">
        <x:v>2019</x:v>
      </x:c>
      <x:c r="E42" s="24" t="str">
        <x:v>Salvelinus malma</x:v>
      </x:c>
      <x:c r="F42" s="24" t="str">
        <x:v>Dolly varden</x:v>
      </x:c>
      <x:c r="G42" s="24" t="str">
        <x:v>Large benthopelagics (&gt;=90 cm)</x:v>
      </x:c>
      <x:c r="H42" s="24" t="str">
        <x:v>Salmon, smelts, etc</x:v>
      </x:c>
      <x:c r="I42" s="31" t="n">
        <x:v>16.0844469186</x:v>
      </x:c>
      <x:c r="J42" s="31" t="n">
        <x:v>16.0844469186</x:v>
      </x:c>
      <x:c r="K42" s="31" t="n">
        <x:v>0</x:v>
      </x:c>
      <x:c r="L42" s="31" t="n">
        <x:v>0</x:v>
      </x:c>
      <x:c r="M42" s="31" t="n">
        <x:v>16.0844469186</x:v>
      </x:c>
      <x:c r="N42" s="24" t="str">
        <x:v>salvelinus malma</x:v>
      </x:c>
      <x:c r="O42" s="32" t="n">
        <x:v>4.4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Salvelinus malma</x:v>
      </x:c>
      <x:c r="T42" s="32" t="n">
        <x:f>IF(O42="","",(1/'Metadata'!$B$5)^(O42-1))</x:f>
        <x:v>2511.886431509582</x:v>
      </x:c>
      <x:c r="U42" s="31" t="n">
        <x:f>IF(T42="","",I42*T42)</x:f>
        <x:v>40402.30397316745</x:v>
      </x:c>
    </x:row>
    <x:row r="43" ht="18" customHeight="1">
      <x:c r="A43" s="24" t="str">
        <x:v>LME_001</x:v>
      </x:c>
      <x:c r="B43" s="24" t="str">
        <x:v>East Bering Sea</x:v>
      </x:c>
      <x:c r="C43" s="24" t="str">
        <x:v>LME</x:v>
      </x:c>
      <x:c r="D43" s="30" t="n">
        <x:v>2019</x:v>
      </x:c>
      <x:c r="E43" s="24" t="str">
        <x:v>Decapoda</x:v>
      </x:c>
      <x:c r="F43" s="24" t="str">
        <x:v>Crabs, lobsters, shrimps</x:v>
      </x:c>
      <x:c r="G43" s="24" t="str">
        <x:v>Lobsters, crabs</x:v>
      </x:c>
      <x:c r="H43" s="24" t="str">
        <x:v>Crustaceans</x:v>
      </x:c>
      <x:c r="I43" s="31" t="n">
        <x:v>16.0180166027</x:v>
      </x:c>
      <x:c r="J43" s="31" t="n">
        <x:v>16.0180166027</x:v>
      </x:c>
      <x:c r="K43" s="31" t="n">
        <x:v>0</x:v>
      </x:c>
      <x:c r="L43" s="31" t="n">
        <x:v>0</x:v>
      </x:c>
      <x:c r="M43" s="31" t="n">
        <x:v>16.0180166027</x:v>
      </x:c>
      <x:c r="N43" s="24" t="str">
        <x:v>decapoda</x:v>
      </x:c>
      <x:c r="O43" s="32" t="n">
        <x:v>3.43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Decapoda</x:v>
      </x:c>
      <x:c r="T43" s="32" t="n">
        <x:f>IF(O43="","",(1/'Metadata'!$B$5)^(O43-1))</x:f>
        <x:v>269.1534803926917</x:v>
      </x:c>
      <x:c r="U43" s="31" t="n">
        <x:f>IF(T43="","",I43*T43)</x:f>
        <x:v>4311.304917604624</x:v>
      </x:c>
    </x:row>
    <x:row r="44" ht="18" customHeight="1">
      <x:c r="A44" s="24" t="str">
        <x:v>LME_001</x:v>
      </x:c>
      <x:c r="B44" s="24" t="str">
        <x:v>East Bering Sea</x:v>
      </x:c>
      <x:c r="C44" s="24" t="str">
        <x:v>LME</x:v>
      </x:c>
      <x:c r="D44" s="30" t="n">
        <x:v>2019</x:v>
      </x:c>
      <x:c r="E44" s="24" t="str">
        <x:v>Osmeridae</x:v>
      </x:c>
      <x:c r="F44" s="24" t="str">
        <x:v>Smelts</x:v>
      </x:c>
      <x:c r="G44" s="24" t="str">
        <x:v>Small pelagics (&lt;30 cm)</x:v>
      </x:c>
      <x:c r="H44" s="24" t="str">
        <x:v>Salmon, smelts, etc</x:v>
      </x:c>
      <x:c r="I44" s="31" t="n">
        <x:v>15.328042837599998</x:v>
      </x:c>
      <x:c r="J44" s="31" t="n">
        <x:v>15.328042837599998</x:v>
      </x:c>
      <x:c r="K44" s="31" t="n">
        <x:v>0</x:v>
      </x:c>
      <x:c r="L44" s="31" t="n">
        <x:v>0</x:v>
      </x:c>
      <x:c r="M44" s="31" t="n">
        <x:v>15.328042837599998</x:v>
      </x:c>
      <x:c r="N44" s="24" t="str">
        <x:v>osmeridae</x:v>
      </x:c>
      <x:c r="O44" s="32" t="n">
        <x:v>3.46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Osmeridae</x:v>
      </x:c>
      <x:c r="T44" s="32" t="n">
        <x:f>IF(O44="","",(1/'Metadata'!$B$5)^(O44-1))</x:f>
        <x:v>288.40315031266056</x:v>
      </x:c>
      <x:c r="U44" s="31" t="n">
        <x:f>IF(T44="","",I44*T44)</x:f>
        <x:v>4420.655842491253</x:v>
      </x:c>
    </x:row>
    <x:row r="45" ht="18" customHeight="1">
      <x:c r="A45" s="24" t="str">
        <x:v>LME_001</x:v>
      </x:c>
      <x:c r="B45" s="24" t="str">
        <x:v>East Bering Sea</x:v>
      </x:c>
      <x:c r="C45" s="24" t="str">
        <x:v>LME</x:v>
      </x:c>
      <x:c r="D45" s="30" t="n">
        <x:v>2019</x:v>
      </x:c>
      <x:c r="E45" s="24" t="str">
        <x:v>Microstomus pacificus</x:v>
      </x:c>
      <x:c r="F45" s="24" t="str">
        <x:v>Dover sole</x:v>
      </x:c>
      <x:c r="G45" s="24" t="str">
        <x:v>Small to medium flatfishes (&lt;90 cm)</x:v>
      </x:c>
      <x:c r="H45" s="24" t="str">
        <x:v>Flatfishes</x:v>
      </x:c>
      <x:c r="I45" s="31" t="n">
        <x:v>13.8300015728</x:v>
      </x:c>
      <x:c r="J45" s="31" t="n">
        <x:v>13.8300015728</x:v>
      </x:c>
      <x:c r="K45" s="31" t="n">
        <x:v>0</x:v>
      </x:c>
      <x:c r="L45" s="31" t="n">
        <x:v>13.8300015728</x:v>
      </x:c>
      <x:c r="M45" s="31" t="n">
        <x:v>0</x:v>
      </x:c>
      <x:c r="N45" s="24" t="str">
        <x:v>microstomus pacificus</x:v>
      </x:c>
      <x:c r="O45" s="32" t="n">
        <x:v>3.22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Microstomus pacificus</x:v>
      </x:c>
      <x:c r="T45" s="32" t="n">
        <x:f>IF(O45="","",(1/'Metadata'!$B$5)^(O45-1))</x:f>
        <x:v>165.95869074375614</x:v>
      </x:c>
      <x:c r="U45" s="31" t="n">
        <x:f>IF(T45="","",I45*T45)</x:f>
        <x:v>2295.2089540059765</x:v>
      </x:c>
    </x:row>
    <x:row r="46" ht="18" customHeight="1">
      <x:c r="A46" s="24" t="str">
        <x:v>LME_001</x:v>
      </x:c>
      <x:c r="B46" s="24" t="str">
        <x:v>East Bering Sea</x:v>
      </x:c>
      <x:c r="C46" s="24" t="str">
        <x:v>LME</x:v>
      </x:c>
      <x:c r="D46" s="30" t="n">
        <x:v>2019</x:v>
      </x:c>
      <x:c r="E46" s="24" t="str">
        <x:v>Lithodidae</x:v>
      </x:c>
      <x:c r="F46" s="24" t="str">
        <x:v>Stone/king crabs</x:v>
      </x:c>
      <x:c r="G46" s="24" t="str">
        <x:v>Lobsters, crabs</x:v>
      </x:c>
      <x:c r="H46" s="24" t="str">
        <x:v>Crustaceans</x:v>
      </x:c>
      <x:c r="I46" s="31" t="n">
        <x:v>13.7475974832</x:v>
      </x:c>
      <x:c r="J46" s="31" t="n">
        <x:v>13.7475974832</x:v>
      </x:c>
      <x:c r="K46" s="31" t="n">
        <x:v>0</x:v>
      </x:c>
      <x:c r="L46" s="31" t="n">
        <x:v>0</x:v>
      </x:c>
      <x:c r="M46" s="31" t="n">
        <x:v>13.7475974832</x:v>
      </x:c>
      <x:c r="N46" s="24" t="str">
        <x:v>lithodidae</x:v>
      </x:c>
      <x:c r="O46" s="32" t="n">
        <x:v>2.82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Lithodidae</x:v>
      </x:c>
      <x:c r="T46" s="32" t="n">
        <x:f>IF(O46="","",(1/'Metadata'!$B$5)^(O46-1))</x:f>
        <x:v>66.06934480075958</x:v>
      </x:c>
      <x:c r="U46" s="31" t="n">
        <x:f>IF(T46="","",I46*T46)</x:f>
        <x:v>908.2947582995954</x:v>
      </x:c>
    </x:row>
    <x:row r="47" ht="18" customHeight="1">
      <x:c r="A47" s="24" t="str">
        <x:v>LME_001</x:v>
      </x:c>
      <x:c r="B47" s="24" t="str">
        <x:v>East Bering Sea</x:v>
      </x:c>
      <x:c r="C47" s="24" t="str">
        <x:v>LME</x:v>
      </x:c>
      <x:c r="D47" s="30" t="n">
        <x:v>2019</x:v>
      </x:c>
      <x:c r="E47" s="24" t="str">
        <x:v>Coregonus pidschian</x:v>
      </x:c>
      <x:c r="F47" s="24" t="str">
        <x:v>Humpback whitefish</x:v>
      </x:c>
      <x:c r="G47" s="24" t="str">
        <x:v>Medium demersals (30 - 89 cm)</x:v>
      </x:c>
      <x:c r="H47" s="24" t="str">
        <x:v>Salmon, smelts, etc</x:v>
      </x:c>
      <x:c r="I47" s="31" t="n">
        <x:v>11.7087042108</x:v>
      </x:c>
      <x:c r="J47" s="31" t="n">
        <x:v>11.7087042108</x:v>
      </x:c>
      <x:c r="K47" s="31" t="n">
        <x:v>0</x:v>
      </x:c>
      <x:c r="L47" s="31" t="n">
        <x:v>0</x:v>
      </x:c>
      <x:c r="M47" s="31" t="n">
        <x:v>11.7087042108</x:v>
      </x:c>
      <x:c r="N47" s="24" t="str">
        <x:v>coregonus pidschian</x:v>
      </x:c>
      <x:c r="O47" s="32" t="n">
        <x:v>3.31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Coregonus pidschian</x:v>
      </x:c>
      <x:c r="T47" s="32" t="n">
        <x:f>IF(O47="","",(1/'Metadata'!$B$5)^(O47-1))</x:f>
        <x:v>204.17379446695296</x:v>
      </x:c>
      <x:c r="U47" s="31" t="n">
        <x:f>IF(T47="","",I47*T47)</x:f>
        <x:v>2390.610567010226</x:v>
      </x:c>
    </x:row>
    <x:row r="48" ht="18" customHeight="1">
      <x:c r="A48" s="24" t="str">
        <x:v>LME_001</x:v>
      </x:c>
      <x:c r="B48" s="24" t="str">
        <x:v>East Bering Sea</x:v>
      </x:c>
      <x:c r="C48" s="24" t="str">
        <x:v>LME</x:v>
      </x:c>
      <x:c r="D48" s="30" t="n">
        <x:v>2019</x:v>
      </x:c>
      <x:c r="E48" s="24" t="str">
        <x:v>Chionoecetes</x:v>
      </x:c>
      <x:c r="F48" s="24" t="str">
        <x:v>Tanner, snow crabs</x:v>
      </x:c>
      <x:c r="G48" s="24" t="str">
        <x:v>Lobsters, crabs</x:v>
      </x:c>
      <x:c r="H48" s="24" t="str">
        <x:v>Crustaceans</x:v>
      </x:c>
      <x:c r="I48" s="31" t="n">
        <x:v>11.3515271216</x:v>
      </x:c>
      <x:c r="J48" s="31" t="n">
        <x:v>11.3515271216</x:v>
      </x:c>
      <x:c r="K48" s="31" t="n">
        <x:v>0</x:v>
      </x:c>
      <x:c r="L48" s="31" t="n">
        <x:v>0</x:v>
      </x:c>
      <x:c r="M48" s="31" t="n">
        <x:v>11.3515271216</x:v>
      </x:c>
      <x:c r="N48" s="24" t="str">
        <x:v>chionoecetes</x:v>
      </x:c>
      <x:c r="O48" s="32" t="n">
        <x:v>2.3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Chionoecetes</x:v>
      </x:c>
      <x:c r="T48" s="32" t="n">
        <x:f>IF(O48="","",(1/'Metadata'!$B$5)^(O48-1))</x:f>
        <x:v>19.952623149688787</x:v>
      </x:c>
      <x:c r="U48" s="31" t="n">
        <x:f>IF(T48="","",I48*T48)</x:f>
        <x:v>226.49274283075627</x:v>
      </x:c>
    </x:row>
    <x:row r="49" ht="18" customHeight="1">
      <x:c r="A49" s="24" t="str">
        <x:v>LME_001</x:v>
      </x:c>
      <x:c r="B49" s="24" t="str">
        <x:v>East Bering Sea</x:v>
      </x:c>
      <x:c r="C49" s="24" t="str">
        <x:v>LME</x:v>
      </x:c>
      <x:c r="D49" s="30" t="n">
        <x:v>2019</x:v>
      </x:c>
      <x:c r="E49" s="24" t="str">
        <x:v>Leukoma staminea</x:v>
      </x:c>
      <x:c r="F49" s="24" t="str">
        <x:v>Pacific littleneck clam</x:v>
      </x:c>
      <x:c r="G49" s="24" t="str">
        <x:v>Other demersal invertebrates</x:v>
      </x:c>
      <x:c r="H49" s="24" t="str">
        <x:v>Molluscs</x:v>
      </x:c>
      <x:c r="I49" s="31" t="n">
        <x:v>8.9316046334</x:v>
      </x:c>
      <x:c r="J49" s="31" t="n">
        <x:v>8.9316046334</x:v>
      </x:c>
      <x:c r="K49" s="31" t="n">
        <x:v>0</x:v>
      </x:c>
      <x:c r="L49" s="31" t="n">
        <x:v>0</x:v>
      </x:c>
      <x:c r="M49" s="31" t="n">
        <x:v>8.9316046334</x:v>
      </x:c>
      <x:c r="N49" s="24" t="str">
        <x:v>leukoma staminea</x:v>
      </x:c>
      <x:c r="O49" s="32" t="n">
        <x:v>2.1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Leukoma staminea</x:v>
      </x:c>
      <x:c r="T49" s="32" t="n">
        <x:f>IF(O49="","",(1/'Metadata'!$B$5)^(O49-1))</x:f>
        <x:v>12.589254117941675</x:v>
      </x:c>
      <x:c r="U49" s="31" t="n">
        <x:f>IF(T49="","",I49*T49)</x:f>
        <x:v>112.44224041085788</x:v>
      </x:c>
    </x:row>
    <x:row r="50" ht="18" customHeight="1">
      <x:c r="A50" s="24" t="str">
        <x:v>LME_001</x:v>
      </x:c>
      <x:c r="B50" s="24" t="str">
        <x:v>East Bering Sea</x:v>
      </x:c>
      <x:c r="C50" s="24" t="str">
        <x:v>LME</x:v>
      </x:c>
      <x:c r="D50" s="30" t="n">
        <x:v>2019</x:v>
      </x:c>
      <x:c r="E50" s="24" t="str">
        <x:v>Siliqua patula</x:v>
      </x:c>
      <x:c r="F50" s="24" t="str">
        <x:v>Pacific razor clam</x:v>
      </x:c>
      <x:c r="G50" s="24" t="str">
        <x:v>Other demersal invertebrates</x:v>
      </x:c>
      <x:c r="H50" s="24" t="str">
        <x:v>Molluscs</x:v>
      </x:c>
      <x:c r="I50" s="31" t="n">
        <x:v>8.9306495776</x:v>
      </x:c>
      <x:c r="J50" s="31" t="n">
        <x:v>8.9306495776</x:v>
      </x:c>
      <x:c r="K50" s="31" t="n">
        <x:v>0</x:v>
      </x:c>
      <x:c r="L50" s="31" t="n">
        <x:v>0</x:v>
      </x:c>
      <x:c r="M50" s="31" t="n">
        <x:v>8.9306495776</x:v>
      </x:c>
      <x:c r="N50" s="24" t="str">
        <x:v>siliqua patula</x:v>
      </x:c>
      <x:c r="O50" s="32" t="n">
        <x:v>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Siliqua patula</x:v>
      </x:c>
      <x:c r="T50" s="32" t="n">
        <x:f>IF(O50="","",(1/'Metadata'!$B$5)^(O50-1))</x:f>
        <x:v>10</x:v>
      </x:c>
      <x:c r="U50" s="31" t="n">
        <x:f>IF(T50="","",I50*T50)</x:f>
        <x:v>89.306495776</x:v>
      </x:c>
    </x:row>
    <x:row r="51" ht="18" customHeight="1">
      <x:c r="A51" s="24" t="str">
        <x:v>LME_001</x:v>
      </x:c>
      <x:c r="B51" s="24" t="str">
        <x:v>East Bering Sea</x:v>
      </x:c>
      <x:c r="C51" s="24" t="str">
        <x:v>LME</x:v>
      </x:c>
      <x:c r="D51" s="30" t="n">
        <x:v>2019</x:v>
      </x:c>
      <x:c r="E51" s="24" t="str">
        <x:v>Cardiidae</x:v>
      </x:c>
      <x:c r="F51" s="24" t="str">
        <x:v>Cockles</x:v>
      </x:c>
      <x:c r="G51" s="24" t="str">
        <x:v>Other demersal invertebrates</x:v>
      </x:c>
      <x:c r="H51" s="24" t="str">
        <x:v>Molluscs</x:v>
      </x:c>
      <x:c r="I51" s="31" t="n">
        <x:v>8.5988140166</x:v>
      </x:c>
      <x:c r="J51" s="31" t="n">
        <x:v>8.5988140166</x:v>
      </x:c>
      <x:c r="K51" s="31" t="n">
        <x:v>0</x:v>
      </x:c>
      <x:c r="L51" s="31" t="n">
        <x:v>0</x:v>
      </x:c>
      <x:c r="M51" s="31" t="n">
        <x:v>8.5988140166</x:v>
      </x:c>
      <x:c r="N51" s="24" t="str">
        <x:v>cardiidae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Cardiidae</x:v>
      </x:c>
      <x:c r="T51" s="32" t="n">
        <x:f>IF(O51="","",(1/'Metadata'!$B$5)^(O51-1))</x:f>
        <x:v>10</x:v>
      </x:c>
      <x:c r="U51" s="31" t="n">
        <x:f>IF(T51="","",I51*T51)</x:f>
        <x:v>85.98814016600001</x:v>
      </x:c>
    </x:row>
    <x:row r="52" ht="18" customHeight="1">
      <x:c r="A52" s="24" t="str">
        <x:v>LME_001</x:v>
      </x:c>
      <x:c r="B52" s="24" t="str">
        <x:v>East Bering Sea</x:v>
      </x:c>
      <x:c r="C52" s="24" t="str">
        <x:v>LME</x:v>
      </x:c>
      <x:c r="D52" s="30" t="n">
        <x:v>2019</x:v>
      </x:c>
      <x:c r="E52" s="24" t="str">
        <x:v>Sebastes entomelas</x:v>
      </x:c>
      <x:c r="F52" s="24" t="str">
        <x:v>Widow rockfish</x:v>
      </x:c>
      <x:c r="G52" s="24" t="str">
        <x:v>Medium pelagics (30 - 89 cm)</x:v>
      </x:c>
      <x:c r="H52" s="24" t="str">
        <x:v>Scorpionfishes</x:v>
      </x:c>
      <x:c r="I52" s="31" t="n">
        <x:v>8.3056137103</x:v>
      </x:c>
      <x:c r="J52" s="31" t="n">
        <x:v>8.3056137103</x:v>
      </x:c>
      <x:c r="K52" s="31" t="n">
        <x:v>0</x:v>
      </x:c>
      <x:c r="L52" s="31" t="n">
        <x:v>8.3056137103</x:v>
      </x:c>
      <x:c r="M52" s="31" t="n">
        <x:v>0</x:v>
      </x:c>
      <x:c r="N52" s="24" t="str">
        <x:v>sebastes entomelas</x:v>
      </x:c>
      <x:c r="O52" s="32" t="n">
        <x:v>3.7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Sebastes entomelas</x:v>
      </x:c>
      <x:c r="T52" s="32" t="n">
        <x:f>IF(O52="","",(1/'Metadata'!$B$5)^(O52-1))</x:f>
        <x:v>501.18723362727246</x:v>
      </x:c>
      <x:c r="U52" s="31" t="n">
        <x:f>IF(T52="","",I52*T52)</x:f>
        <x:v>4162.667559042003</x:v>
      </x:c>
    </x:row>
    <x:row r="53" ht="18" customHeight="1">
      <x:c r="A53" s="24" t="str">
        <x:v>LME_001</x:v>
      </x:c>
      <x:c r="B53" s="24" t="str">
        <x:v>East Bering Sea</x:v>
      </x:c>
      <x:c r="C53" s="24" t="str">
        <x:v>LME</x:v>
      </x:c>
      <x:c r="D53" s="30" t="n">
        <x:v>2019</x:v>
      </x:c>
      <x:c r="E53" s="24" t="str">
        <x:v>Enteroctopus dofleini</x:v>
      </x:c>
      <x:c r="F53" s="24" t="str">
        <x:v>North Pacific giant octopus</x:v>
      </x:c>
      <x:c r="G53" s="24" t="str">
        <x:v>Cephalopods</x:v>
      </x:c>
      <x:c r="H53" s="24" t="str">
        <x:v>Other fishes &amp; inverts</x:v>
      </x:c>
      <x:c r="I53" s="31" t="n">
        <x:v>7.6499240497</x:v>
      </x:c>
      <x:c r="J53" s="31" t="n">
        <x:v>7.6499240497</x:v>
      </x:c>
      <x:c r="K53" s="31" t="n">
        <x:v>0</x:v>
      </x:c>
      <x:c r="L53" s="31" t="n">
        <x:v>0</x:v>
      </x:c>
      <x:c r="M53" s="31" t="n">
        <x:v>7.6499240497</x:v>
      </x:c>
      <x:c r="N53" s="24" t="str">
        <x:v>enteroctopus dofleini</x:v>
      </x:c>
      <x:c r="O53" s="32" t="n">
        <x:v>3.33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Enteroctopus dofleini</x:v>
      </x:c>
      <x:c r="T53" s="32" t="n">
        <x:f>IF(O53="","",(1/'Metadata'!$B$5)^(O53-1))</x:f>
        <x:v>213.79620895022325</x:v>
      </x:c>
      <x:c r="U53" s="31" t="n">
        <x:f>IF(T53="","",I53*T53)</x:f>
        <x:v>1635.5247605829993</x:v>
      </x:c>
    </x:row>
    <x:row r="54" ht="18" customHeight="1">
      <x:c r="A54" s="24" t="str">
        <x:v>LME_001</x:v>
      </x:c>
      <x:c r="B54" s="24" t="str">
        <x:v>East Bering Sea</x:v>
      </x:c>
      <x:c r="C54" s="24" t="str">
        <x:v>LME</x:v>
      </x:c>
      <x:c r="D54" s="30" t="n">
        <x:v>2019</x:v>
      </x:c>
      <x:c r="E54" s="24" t="str">
        <x:v>Sebastes melanops</x:v>
      </x:c>
      <x:c r="F54" s="24" t="str">
        <x:v>Black rockfish</x:v>
      </x:c>
      <x:c r="G54" s="24" t="str">
        <x:v>Medium reef assoc. fish (30 - 89 cm)</x:v>
      </x:c>
      <x:c r="H54" s="24" t="str">
        <x:v>Scorpionfishes</x:v>
      </x:c>
      <x:c r="I54" s="31" t="n">
        <x:v>7.1073953668</x:v>
      </x:c>
      <x:c r="J54" s="31" t="n">
        <x:v>7.1073953668</x:v>
      </x:c>
      <x:c r="K54" s="31" t="n">
        <x:v>0</x:v>
      </x:c>
      <x:c r="L54" s="31" t="n">
        <x:v>0</x:v>
      </x:c>
      <x:c r="M54" s="31" t="n">
        <x:v>7.1073953668</x:v>
      </x:c>
      <x:c r="N54" s="24" t="str">
        <x:v>sebastes melanops</x:v>
      </x:c>
      <x:c r="O54" s="32" t="n">
        <x:v>4.38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Sebastes melanops</x:v>
      </x:c>
      <x:c r="T54" s="32" t="n">
        <x:f>IF(O54="","",(1/'Metadata'!$B$5)^(O54-1))</x:f>
        <x:v>2398.83291901949</x:v>
      </x:c>
      <x:c r="U54" s="31" t="n">
        <x:f>IF(T54="","",I54*T54)</x:f>
        <x:v>17049.453974366443</x:v>
      </x:c>
    </x:row>
    <x:row r="55" ht="18" customHeight="1">
      <x:c r="A55" s="24" t="str">
        <x:v>LME_001</x:v>
      </x:c>
      <x:c r="B55" s="24" t="str">
        <x:v>East Bering Sea</x:v>
      </x:c>
      <x:c r="C55" s="24" t="str">
        <x:v>LME</x:v>
      </x:c>
      <x:c r="D55" s="30" t="n">
        <x:v>2019</x:v>
      </x:c>
      <x:c r="E55" s="24" t="str">
        <x:v>Oncorhynchus mykiss</x:v>
      </x:c>
      <x:c r="F55" s="24" t="str">
        <x:v>Rainbow trout</x:v>
      </x:c>
      <x:c r="G55" s="24" t="str">
        <x:v>Large benthopelagics (&gt;=90 cm)</x:v>
      </x:c>
      <x:c r="H55" s="24" t="str">
        <x:v>Salmon, smelts, etc</x:v>
      </x:c>
      <x:c r="I55" s="31" t="n">
        <x:v>2.7976712196</x:v>
      </x:c>
      <x:c r="J55" s="31" t="n">
        <x:v>2.7976712196</x:v>
      </x:c>
      <x:c r="K55" s="31" t="n">
        <x:v>0</x:v>
      </x:c>
      <x:c r="L55" s="31" t="n">
        <x:v>0</x:v>
      </x:c>
      <x:c r="M55" s="31" t="n">
        <x:v>2.7976712196</x:v>
      </x:c>
      <x:c r="N55" s="24" t="str">
        <x:v>oncorhynchus mykiss</x:v>
      </x:c>
      <x:c r="O55" s="32" t="n">
        <x:v>4.08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Oncorhynchus mykiss</x:v>
      </x:c>
      <x:c r="T55" s="32" t="n">
        <x:f>IF(O55="","",(1/'Metadata'!$B$5)^(O55-1))</x:f>
        <x:v>1202.2644346174131</x:v>
      </x:c>
      <x:c r="U55" s="31" t="n">
        <x:f>IF(T55="","",I55*T55)</x:f>
        <x:v>3363.540607077803</x:v>
      </x:c>
    </x:row>
    <x:row r="56" ht="18" customHeight="1">
      <x:c r="A56" s="24" t="str">
        <x:v>LME_001</x:v>
      </x:c>
      <x:c r="B56" s="24" t="str">
        <x:v>East Bering Sea</x:v>
      </x:c>
      <x:c r="C56" s="24" t="str">
        <x:v>LME</x:v>
      </x:c>
      <x:c r="D56" s="30" t="n">
        <x:v>2019</x:v>
      </x:c>
      <x:c r="E56" s="24" t="str">
        <x:v>Bivalvia</x:v>
      </x:c>
      <x:c r="F56" s="24" t="str">
        <x:v>Clams</x:v>
      </x:c>
      <x:c r="G56" s="24" t="str">
        <x:v>Other demersal invertebrates</x:v>
      </x:c>
      <x:c r="H56" s="24" t="str">
        <x:v>Molluscs</x:v>
      </x:c>
      <x:c r="I56" s="31" t="n">
        <x:v>2.4961476037</x:v>
      </x:c>
      <x:c r="J56" s="31" t="n">
        <x:v>2.4961476037</x:v>
      </x:c>
      <x:c r="K56" s="31" t="n">
        <x:v>0</x:v>
      </x:c>
      <x:c r="L56" s="31" t="n">
        <x:v>0</x:v>
      </x:c>
      <x:c r="M56" s="31" t="n">
        <x:v>2.4961476037</x:v>
      </x:c>
      <x:c r="N56" s="24" t="str">
        <x:v>bivalvia</x:v>
      </x:c>
      <x:c r="O56" s="32" t="n">
        <x:v>2.23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Bivalvia</x:v>
      </x:c>
      <x:c r="T56" s="32" t="n">
        <x:f>IF(O56="","",(1/'Metadata'!$B$5)^(O56-1))</x:f>
        <x:v>16.982436524617444</x:v>
      </x:c>
      <x:c r="U56" s="31" t="n">
        <x:f>IF(T56="","",I56*T56)</x:f>
        <x:v>42.390668235911185</x:v>
      </x:c>
    </x:row>
    <x:row r="57" ht="18" customHeight="1">
      <x:c r="A57" s="24" t="str">
        <x:v>LME_001</x:v>
      </x:c>
      <x:c r="B57" s="24" t="str">
        <x:v>East Bering Sea</x:v>
      </x:c>
      <x:c r="C57" s="24" t="str">
        <x:v>LME</x:v>
      </x:c>
      <x:c r="D57" s="30" t="n">
        <x:v>2019</x:v>
      </x:c>
      <x:c r="E57" s="24" t="str">
        <x:v>Salmonidae</x:v>
      </x:c>
      <x:c r="F57" s="24" t="str">
        <x:v>Salmonids</x:v>
      </x:c>
      <x:c r="G57" s="24" t="str">
        <x:v>Large benthopelagics (&gt;=90 cm)</x:v>
      </x:c>
      <x:c r="H57" s="24" t="str">
        <x:v>Salmon, smelts, etc</x:v>
      </x:c>
      <x:c r="I57" s="31" t="n">
        <x:v>2.0363525936</x:v>
      </x:c>
      <x:c r="J57" s="31" t="n">
        <x:v>2.0363525936</x:v>
      </x:c>
      <x:c r="K57" s="31" t="n">
        <x:v>0</x:v>
      </x:c>
      <x:c r="L57" s="31" t="n">
        <x:v>0</x:v>
      </x:c>
      <x:c r="M57" s="31" t="n">
        <x:v>2.0363525936</x:v>
      </x:c>
      <x:c r="N57" s="24" t="str">
        <x:v>salmonidae</x:v>
      </x:c>
      <x:c r="O57" s="32" t="n">
        <x:v>3.3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Salmonidae</x:v>
      </x:c>
      <x:c r="T57" s="32" t="n">
        <x:f>IF(O57="","",(1/'Metadata'!$B$5)^(O57-1))</x:f>
        <x:v>199.52623149688787</x:v>
      </x:c>
      <x:c r="U57" s="31" t="n">
        <x:f>IF(T57="","",I57*T57)</x:f>
        <x:v>406.3057589999217</x:v>
      </x:c>
    </x:row>
    <x:row r="58" ht="18" customHeight="1">
      <x:c r="A58" s="24" t="str">
        <x:v>LME_001</x:v>
      </x:c>
      <x:c r="B58" s="24" t="str">
        <x:v>East Bering Sea</x:v>
      </x:c>
      <x:c r="C58" s="24" t="str">
        <x:v>LME</x:v>
      </x:c>
      <x:c r="D58" s="30" t="n">
        <x:v>2019</x:v>
      </x:c>
      <x:c r="E58" s="24" t="str">
        <x:v>Psettichthys melanostictus</x:v>
      </x:c>
      <x:c r="F58" s="24" t="str">
        <x:v>Pacific sand sole</x:v>
      </x:c>
      <x:c r="G58" s="24" t="str">
        <x:v>Small to medium flatfishes (&lt;90 cm)</x:v>
      </x:c>
      <x:c r="H58" s="24" t="str">
        <x:v>Flatfishes</x:v>
      </x:c>
      <x:c r="I58" s="31" t="n">
        <x:v>1.9498698380000001</x:v>
      </x:c>
      <x:c r="J58" s="31" t="n">
        <x:v>1.9498698380000001</x:v>
      </x:c>
      <x:c r="K58" s="31" t="n">
        <x:v>0</x:v>
      </x:c>
      <x:c r="L58" s="31" t="n">
        <x:v>1.9498698380000001</x:v>
      </x:c>
      <x:c r="M58" s="31" t="n">
        <x:v>0</x:v>
      </x:c>
      <x:c r="N58" s="24" t="str">
        <x:v>psettichthys melanostictus</x:v>
      </x:c>
      <x:c r="O58" s="32" t="n">
        <x:v>4.06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Psettichthys melanostictus</x:v>
      </x:c>
      <x:c r="T58" s="32" t="n">
        <x:f>IF(O58="","",(1/'Metadata'!$B$5)^(O58-1))</x:f>
        <x:v>1148.1536214968817</x:v>
      </x:c>
      <x:c r="U58" s="31" t="n">
        <x:f>IF(T58="","",I58*T58)</x:f>
        <x:v>2238.750115947238</x:v>
      </x:c>
    </x:row>
    <x:row r="59" ht="18" customHeight="1">
      <x:c r="A59" s="24" t="str">
        <x:v>LME_001</x:v>
      </x:c>
      <x:c r="B59" s="24" t="str">
        <x:v>East Bering Sea</x:v>
      </x:c>
      <x:c r="C59" s="24" t="str">
        <x:v>LME</x:v>
      </x:c>
      <x:c r="D59" s="30" t="n">
        <x:v>2019</x:v>
      </x:c>
      <x:c r="E59" s="24" t="str">
        <x:v>Microgadus proximus</x:v>
      </x:c>
      <x:c r="F59" s="24" t="str">
        <x:v>Pacific tomcod</x:v>
      </x:c>
      <x:c r="G59" s="24" t="str">
        <x:v>Medium demersals (30 - 89 cm)</x:v>
      </x:c>
      <x:c r="H59" s="24" t="str">
        <x:v>Cod-likes</x:v>
      </x:c>
      <x:c r="I59" s="31" t="n">
        <x:v>1.5088974294</x:v>
      </x:c>
      <x:c r="J59" s="31" t="n">
        <x:v>1.5088974294</x:v>
      </x:c>
      <x:c r="K59" s="31" t="n">
        <x:v>0</x:v>
      </x:c>
      <x:c r="L59" s="31" t="n">
        <x:v>0</x:v>
      </x:c>
      <x:c r="M59" s="31" t="n">
        <x:v>1.5088974294</x:v>
      </x:c>
      <x:c r="N59" s="24" t="str">
        <x:v>microgadus proximus</x:v>
      </x:c>
      <x:c r="O59" s="32" t="n">
        <x:v>3.58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Microgadus proximus</x:v>
      </x:c>
      <x:c r="T59" s="32" t="n">
        <x:f>IF(O59="","",(1/'Metadata'!$B$5)^(O59-1))</x:f>
        <x:v>380.1893963205613</x:v>
      </x:c>
      <x:c r="U59" s="31" t="n">
        <x:f>IF(T59="","",I59*T59)</x:f>
        <x:v>573.6668027932327</x:v>
      </x:c>
    </x:row>
    <x:row r="60" ht="18" customHeight="1">
      <x:c r="A60" s="24" t="str">
        <x:v>LME_001</x:v>
      </x:c>
      <x:c r="B60" s="24" t="str">
        <x:v>East Bering Sea</x:v>
      </x:c>
      <x:c r="C60" s="24" t="str">
        <x:v>LME</x:v>
      </x:c>
      <x:c r="D60" s="30" t="n">
        <x:v>2019</x:v>
      </x:c>
      <x:c r="E60" s="24" t="str">
        <x:v>Gadidae</x:v>
      </x:c>
      <x:c r="F60" s="24" t="str">
        <x:v>Cods, haddocks</x:v>
      </x:c>
      <x:c r="G60" s="24" t="str">
        <x:v>Medium demersals (30 - 89 cm)</x:v>
      </x:c>
      <x:c r="H60" s="24" t="str">
        <x:v>Cod-likes</x:v>
      </x:c>
      <x:c r="I60" s="31" t="n">
        <x:v>1.4131662812</x:v>
      </x:c>
      <x:c r="J60" s="31" t="n">
        <x:v>1.4131662812</x:v>
      </x:c>
      <x:c r="K60" s="31" t="n">
        <x:v>0</x:v>
      </x:c>
      <x:c r="L60" s="31" t="n">
        <x:v>0</x:v>
      </x:c>
      <x:c r="M60" s="31" t="n">
        <x:v>1.4131662812</x:v>
      </x:c>
      <x:c r="N60" s="24" t="str">
        <x:v>gadidae</x:v>
      </x:c>
      <x:c r="O60" s="32" t="n">
        <x:v>3.84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Gadidae</x:v>
      </x:c>
      <x:c r="T60" s="32" t="n">
        <x:f>IF(O60="","",(1/'Metadata'!$B$5)^(O60-1))</x:f>
        <x:v>691.8309709189363</x:v>
      </x:c>
      <x:c r="U60" s="31" t="n">
        <x:f>IF(T60="","",I60*T60)</x:f>
        <x:v>977.6722003924986</x:v>
      </x:c>
    </x:row>
    <x:row r="61" ht="18" customHeight="1">
      <x:c r="A61" s="24" t="str">
        <x:v>LME_001</x:v>
      </x:c>
      <x:c r="B61" s="24" t="str">
        <x:v>East Bering Sea</x:v>
      </x:c>
      <x:c r="C61" s="24" t="str">
        <x:v>LME</x:v>
      </x:c>
      <x:c r="D61" s="30" t="n">
        <x:v>2019</x:v>
      </x:c>
      <x:c r="E61" s="24" t="str">
        <x:v>Oncorhynchus</x:v>
      </x:c>
      <x:c r="F61" s="24" t="str">
        <x:v>Salmons, trouts</x:v>
      </x:c>
      <x:c r="G61" s="24" t="str">
        <x:v>Large benthopelagics (&gt;=90 cm)</x:v>
      </x:c>
      <x:c r="H61" s="24" t="str">
        <x:v>Salmon, smelts, etc</x:v>
      </x:c>
      <x:c r="I61" s="31" t="n">
        <x:v>1.2158270461999998</x:v>
      </x:c>
      <x:c r="J61" s="31" t="n">
        <x:v>1.2158270461999998</x:v>
      </x:c>
      <x:c r="K61" s="31" t="n">
        <x:v>0</x:v>
      </x:c>
      <x:c r="L61" s="31" t="n">
        <x:v>0</x:v>
      </x:c>
      <x:c r="M61" s="31" t="n">
        <x:v>1.2158270461999998</x:v>
      </x:c>
      <x:c r="N61" s="24" t="str">
        <x:v>oncorhynchus</x:v>
      </x:c>
      <x:c r="O61" s="32" t="n">
        <x:v>3.95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Oncorhynchus</x:v>
      </x:c>
      <x:c r="T61" s="32" t="n">
        <x:f>IF(O61="","",(1/'Metadata'!$B$5)^(O61-1))</x:f>
        <x:v>891.2509381337459</x:v>
      </x:c>
      <x:c r="U61" s="31" t="n">
        <x:f>IF(T61="","",I61*T61)</x:f>
        <x:v>1083.606995534131</x:v>
      </x:c>
    </x:row>
    <x:row r="62" ht="18" customHeight="1">
      <x:c r="A62" s="24" t="str">
        <x:v>LME_001</x:v>
      </x:c>
      <x:c r="B62" s="24" t="str">
        <x:v>East Bering Sea</x:v>
      </x:c>
      <x:c r="C62" s="24" t="str">
        <x:v>LME</x:v>
      </x:c>
      <x:c r="D62" s="30" t="n">
        <x:v>2019</x:v>
      </x:c>
      <x:c r="E62" s="24" t="str">
        <x:v>Eleginus gracilis</x:v>
      </x:c>
      <x:c r="F62" s="24" t="str">
        <x:v>Saffron cod</x:v>
      </x:c>
      <x:c r="G62" s="24" t="str">
        <x:v>Medium demersals (30 - 89 cm)</x:v>
      </x:c>
      <x:c r="H62" s="24" t="str">
        <x:v>Cod-likes</x:v>
      </x:c>
      <x:c r="I62" s="31" t="n">
        <x:v>0.8456543025</x:v>
      </x:c>
      <x:c r="J62" s="31" t="n">
        <x:v>0.8456543025</x:v>
      </x:c>
      <x:c r="K62" s="31" t="n">
        <x:v>0</x:v>
      </x:c>
      <x:c r="L62" s="31" t="n">
        <x:v>0</x:v>
      </x:c>
      <x:c r="M62" s="31" t="n">
        <x:v>0.8456543025</x:v>
      </x:c>
      <x:c r="N62" s="24" t="str">
        <x:v>eleginus gracilis</x:v>
      </x:c>
      <x:c r="O62" s="32" t="n">
        <x:v>4.1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Eleginus gracilis</x:v>
      </x:c>
      <x:c r="T62" s="32" t="n">
        <x:f>IF(O62="","",(1/'Metadata'!$B$5)^(O62-1))</x:f>
        <x:v>1258.9254117941662</x:v>
      </x:c>
      <x:c r="U62" s="31" t="n">
        <x:f>IF(T62="","",I62*T62)</x:f>
        <x:v>1064.615691010321</x:v>
      </x:c>
    </x:row>
    <x:row r="63" ht="18" customHeight="1">
      <x:c r="A63" s="24" t="str">
        <x:v>LME_001</x:v>
      </x:c>
      <x:c r="B63" s="24" t="str">
        <x:v>East Bering Sea</x:v>
      </x:c>
      <x:c r="C63" s="24" t="str">
        <x:v>LME</x:v>
      </x:c>
      <x:c r="D63" s="30" t="n">
        <x:v>2019</x:v>
      </x:c>
      <x:c r="E63" s="24" t="str">
        <x:v>Petromyzontidae</x:v>
      </x:c>
      <x:c r="F63" s="24" t="str">
        <x:v>Lampreys</x:v>
      </x:c>
      <x:c r="G63" s="24" t="str">
        <x:v>Large demersals (&gt;=90 cm)</x:v>
      </x:c>
      <x:c r="H63" s="24" t="str">
        <x:v>Other fishes &amp; inverts</x:v>
      </x:c>
      <x:c r="I63" s="31" t="n">
        <x:v>0.8411973799</x:v>
      </x:c>
      <x:c r="J63" s="31" t="n">
        <x:v>0.8411973799</x:v>
      </x:c>
      <x:c r="K63" s="31" t="n">
        <x:v>0</x:v>
      </x:c>
      <x:c r="L63" s="31" t="n">
        <x:v>0</x:v>
      </x:c>
      <x:c r="M63" s="31" t="n">
        <x:v>0.8411973799</x:v>
      </x:c>
      <x:c r="N63" s="24" t="str">
        <x:v>petromyzontidae</x:v>
      </x:c>
      <x:c r="O63" s="32" t="n">
        <x:v>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Petromyzontidae</x:v>
      </x:c>
      <x:c r="T63" s="32" t="n">
        <x:f>IF(O63="","",(1/'Metadata'!$B$5)^(O63-1))</x:f>
        <x:v>1000</x:v>
      </x:c>
      <x:c r="U63" s="31" t="n">
        <x:f>IF(T63="","",I63*T63)</x:f>
        <x:v>841.1973799</x:v>
      </x:c>
    </x:row>
    <x:row r="64" ht="18" customHeight="1">
      <x:c r="A64" s="24" t="str">
        <x:v>LME_001</x:v>
      </x:c>
      <x:c r="B64" s="24" t="str">
        <x:v>East Bering Sea</x:v>
      </x:c>
      <x:c r="C64" s="24" t="str">
        <x:v>LME</x:v>
      </x:c>
      <x:c r="D64" s="30" t="n">
        <x:v>2019</x:v>
      </x:c>
      <x:c r="E64" s="24" t="str">
        <x:v>Mallotus villosus</x:v>
      </x:c>
      <x:c r="F64" s="24" t="str">
        <x:v>Capelin</x:v>
      </x:c>
      <x:c r="G64" s="24" t="str">
        <x:v>Small pelagics (&lt;30 cm)</x:v>
      </x:c>
      <x:c r="H64" s="24" t="str">
        <x:v>Salmon, smelts, etc</x:v>
      </x:c>
      <x:c r="I64" s="31" t="n">
        <x:v>0.797308616</x:v>
      </x:c>
      <x:c r="J64" s="31" t="n">
        <x:v>0.797308616</x:v>
      </x:c>
      <x:c r="K64" s="31" t="n">
        <x:v>0</x:v>
      </x:c>
      <x:c r="L64" s="31" t="n">
        <x:v>0</x:v>
      </x:c>
      <x:c r="M64" s="31" t="n">
        <x:v>0.797308616</x:v>
      </x:c>
      <x:c r="N64" s="24" t="str">
        <x:v>mallotus villosus</x:v>
      </x:c>
      <x:c r="O64" s="32" t="n">
        <x:v>3.15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Mallotus villosus</x:v>
      </x:c>
      <x:c r="T64" s="32" t="n">
        <x:f>IF(O64="","",(1/'Metadata'!$B$5)^(O64-1))</x:f>
        <x:v>141.2537544622754</x:v>
      </x:c>
      <x:c r="U64" s="31" t="n">
        <x:f>IF(T64="","",I64*T64)</x:f>
        <x:v>112.62283547512062</x:v>
      </x:c>
    </x:row>
    <x:row r="65" ht="18" customHeight="1">
      <x:c r="A65" s="24" t="str">
        <x:v>LME_001</x:v>
      </x:c>
      <x:c r="B65" s="24" t="str">
        <x:v>East Bering Sea</x:v>
      </x:c>
      <x:c r="C65" s="24" t="str">
        <x:v>LME</x:v>
      </x:c>
      <x:c r="D65" s="30" t="n">
        <x:v>2019</x:v>
      </x:c>
      <x:c r="E65" s="24" t="str">
        <x:v>Platichthys stellatus</x:v>
      </x:c>
      <x:c r="F65" s="24" t="str">
        <x:v>Starry flounder</x:v>
      </x:c>
      <x:c r="G65" s="24" t="str">
        <x:v>Small to medium flatfishes (&lt;90 cm)</x:v>
      </x:c>
      <x:c r="H65" s="24" t="str">
        <x:v>Flatfishes</x:v>
      </x:c>
      <x:c r="I65" s="31" t="n">
        <x:v>0.6697240278</x:v>
      </x:c>
      <x:c r="J65" s="31" t="n">
        <x:v>0.6697240278</x:v>
      </x:c>
      <x:c r="K65" s="31" t="n">
        <x:v>0</x:v>
      </x:c>
      <x:c r="L65" s="31" t="n">
        <x:v>0</x:v>
      </x:c>
      <x:c r="M65" s="31" t="n">
        <x:v>0.6697240278</x:v>
      </x:c>
      <x:c r="N65" s="24" t="str">
        <x:v>platichthys stellatus</x:v>
      </x:c>
      <x:c r="O65" s="32" t="n">
        <x:v>3.58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Platichthys stellatus</x:v>
      </x:c>
      <x:c r="T65" s="32" t="n">
        <x:f>IF(O65="","",(1/'Metadata'!$B$5)^(O65-1))</x:f>
        <x:v>380.1893963205613</x:v>
      </x:c>
      <x:c r="U65" s="31" t="n">
        <x:f>IF(T65="","",I65*T65)</x:f>
        <x:v>254.6219738306568</x:v>
      </x:c>
    </x:row>
    <x:row r="66" ht="18" customHeight="1">
      <x:c r="A66" s="24" t="str">
        <x:v>LME_001</x:v>
      </x:c>
      <x:c r="B66" s="24" t="str">
        <x:v>East Bering Sea</x:v>
      </x:c>
      <x:c r="C66" s="24" t="str">
        <x:v>LME</x:v>
      </x:c>
      <x:c r="D66" s="30" t="n">
        <x:v>2019</x:v>
      </x:c>
      <x:c r="E66" s="24" t="str">
        <x:v>Coregonus laurettae</x:v>
      </x:c>
      <x:c r="F66" s="24" t="str">
        <x:v>Bering cisco</x:v>
      </x:c>
      <x:c r="G66" s="24" t="str">
        <x:v>Medium pelagics (30 - 89 cm)</x:v>
      </x:c>
      <x:c r="H66" s="24" t="str">
        <x:v>Salmon, smelts, etc</x:v>
      </x:c>
      <x:c r="I66" s="31" t="n">
        <x:v>0.623916433</x:v>
      </x:c>
      <x:c r="J66" s="31" t="n">
        <x:v>0.623916433</x:v>
      </x:c>
      <x:c r="K66" s="31" t="n">
        <x:v>0</x:v>
      </x:c>
      <x:c r="L66" s="31" t="n">
        <x:v>0</x:v>
      </x:c>
      <x:c r="M66" s="31" t="n">
        <x:v>0.623916433</x:v>
      </x:c>
      <x:c r="N66" s="24" t="str">
        <x:v>coregonus laurettae</x:v>
      </x:c>
      <x:c r="O66" s="32" t="n">
        <x:v>3.79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Coregonus laurettae</x:v>
      </x:c>
      <x:c r="T66" s="32" t="n">
        <x:f>IF(O66="","",(1/'Metadata'!$B$5)^(O66-1))</x:f>
        <x:v>616.5950018614822</x:v>
      </x:c>
      <x:c r="U66" s="31" t="n">
        <x:f>IF(T66="","",I66*T66)</x:f>
        <x:v>384.7037541670443</x:v>
      </x:c>
    </x:row>
    <x:row r="67" ht="18" customHeight="1">
      <x:c r="A67" s="24" t="str">
        <x:v>LME_001</x:v>
      </x:c>
      <x:c r="B67" s="24" t="str">
        <x:v>East Bering Sea</x:v>
      </x:c>
      <x:c r="C67" s="24" t="str">
        <x:v>LME</x:v>
      </x:c>
      <x:c r="D67" s="30" t="n">
        <x:v>2019</x:v>
      </x:c>
      <x:c r="E67" s="24" t="str">
        <x:v>Miscellaneous aquatic invertebrates</x:v>
      </x:c>
      <x:c r="F67" s="24" t="str">
        <x:v>Aquatic invertebrates</x:v>
      </x:c>
      <x:c r="G67" s="24" t="str">
        <x:v>Other demersal invertebrates</x:v>
      </x:c>
      <x:c r="H67" s="24" t="str">
        <x:v>Other fishes &amp; inverts</x:v>
      </x:c>
      <x:c r="I67" s="31" t="n">
        <x:v>0.4803591489</x:v>
      </x:c>
      <x:c r="J67" s="31" t="n">
        <x:v>0.4803591489</x:v>
      </x:c>
      <x:c r="K67" s="31" t="n">
        <x:v>0</x:v>
      </x:c>
      <x:c r="L67" s="31" t="n">
        <x:v>0</x:v>
      </x:c>
      <x:c r="M67" s="31" t="n">
        <x:v>0.4803591489</x:v>
      </x:c>
      <x:c r="N67" s="24" t="str">
        <x:v>miscellaneous aquatic invertebrates</x:v>
      </x:c>
      <x:c r="O67" s="32" t="n">
        <x:v>2.43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Miscellaneous aquatic invertebrates</x:v>
      </x:c>
      <x:c r="T67" s="32" t="n">
        <x:f>IF(O67="","",(1/'Metadata'!$B$5)^(O67-1))</x:f>
        <x:v>26.915348039269166</x:v>
      </x:c>
      <x:c r="U67" s="31" t="n">
        <x:f>IF(T67="","",I67*T67)</x:f>
        <x:v>12.929033676490619</x:v>
      </x:c>
    </x:row>
    <x:row r="68" ht="18" customHeight="1">
      <x:c r="A68" s="24" t="str">
        <x:v>LME_001</x:v>
      </x:c>
      <x:c r="B68" s="24" t="str">
        <x:v>East Bering Sea</x:v>
      </x:c>
      <x:c r="C68" s="24" t="str">
        <x:v>LME</x:v>
      </x:c>
      <x:c r="D68" s="30" t="n">
        <x:v>2019</x:v>
      </x:c>
      <x:c r="E68" s="24" t="str">
        <x:v>Hexagrammidae</x:v>
      </x:c>
      <x:c r="F68" s="24" t="str">
        <x:v>Greenlings</x:v>
      </x:c>
      <x:c r="G68" s="24" t="str">
        <x:v>Medium demersals (30 - 89 cm)</x:v>
      </x:c>
      <x:c r="H68" s="24" t="str">
        <x:v>Scorpionfishes</x:v>
      </x:c>
      <x:c r="I68" s="31" t="n">
        <x:v>0.4330135391</x:v>
      </x:c>
      <x:c r="J68" s="31" t="n">
        <x:v>0.4330135391</x:v>
      </x:c>
      <x:c r="K68" s="31" t="n">
        <x:v>0</x:v>
      </x:c>
      <x:c r="L68" s="31" t="n">
        <x:v>0</x:v>
      </x:c>
      <x:c r="M68" s="31" t="n">
        <x:v>0.4330135391</x:v>
      </x:c>
      <x:c r="N68" s="24" t="str">
        <x:v>hexagrammidae</x:v>
      </x:c>
      <x:c r="O68" s="32" t="n">
        <x:v>3.72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Hexagrammidae</x:v>
      </x:c>
      <x:c r="T68" s="32" t="n">
        <x:f>IF(O68="","",(1/'Metadata'!$B$5)^(O68-1))</x:f>
        <x:v>524.8074602497728</x:v>
      </x:c>
      <x:c r="U68" s="31" t="n">
        <x:f>IF(T68="","",I68*T68)</x:f>
        <x:v>227.2487357088367</x:v>
      </x:c>
    </x:row>
    <x:row r="69" ht="18" customHeight="1">
      <x:c r="A69" s="24" t="str">
        <x:v>LME_001</x:v>
      </x:c>
      <x:c r="B69" s="24" t="str">
        <x:v>East Bering Sea</x:v>
      </x:c>
      <x:c r="C69" s="24" t="str">
        <x:v>LME</x:v>
      </x:c>
      <x:c r="D69" s="30" t="n">
        <x:v>2019</x:v>
      </x:c>
      <x:c r="E69" s="24" t="str">
        <x:v>Squalus suckleyi</x:v>
      </x:c>
      <x:c r="F69" s="24" t="str">
        <x:v>Pacific spiny dogfish</x:v>
      </x:c>
      <x:c r="G69" s="24" t="str">
        <x:v>Large sharks (&gt;=90 cm)</x:v>
      </x:c>
      <x:c r="H69" s="24" t="str">
        <x:v>Sharks &amp; rays</x:v>
      </x:c>
      <x:c r="I69" s="31" t="n">
        <x:v>0.2666555218</x:v>
      </x:c>
      <x:c r="J69" s="31" t="n">
        <x:v>0.2666555218</x:v>
      </x:c>
      <x:c r="K69" s="31" t="n">
        <x:v>0</x:v>
      </x:c>
      <x:c r="L69" s="31" t="n">
        <x:v>0</x:v>
      </x:c>
      <x:c r="M69" s="31" t="n">
        <x:v>0.2666555218</x:v>
      </x:c>
      <x:c r="N69" s="24" t="str">
        <x:v>squalus suckleyi</x:v>
      </x:c>
      <x:c r="O69" s="32" t="n">
        <x:v>3.82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Squalus suckleyi</x:v>
      </x:c>
      <x:c r="T69" s="32" t="n">
        <x:f>IF(O69="","",(1/'Metadata'!$B$5)^(O69-1))</x:f>
        <x:v>660.6934480075957</x:v>
      </x:c>
      <x:c r="U69" s="31" t="n">
        <x:f>IF(T69="","",I69*T69)</x:f>
        <x:v>176.17755612830663</x:v>
      </x:c>
    </x:row>
    <x:row r="70" ht="18" customHeight="1">
      <x:c r="A70" s="24" t="str">
        <x:v>LME_001</x:v>
      </x:c>
      <x:c r="B70" s="24" t="str">
        <x:v>East Bering Sea</x:v>
      </x:c>
      <x:c r="C70" s="24" t="str">
        <x:v>LME</x:v>
      </x:c>
      <x:c r="D70" s="30" t="n">
        <x:v>2019</x:v>
      </x:c>
      <x:c r="E70" s="24" t="str">
        <x:v>Crassostrea</x:v>
      </x:c>
      <x:c r="F70" s="24" t="str">
        <x:v>Cupped oysters</x:v>
      </x:c>
      <x:c r="G70" s="24" t="str">
        <x:v>Other demersal invertebrates</x:v>
      </x:c>
      <x:c r="H70" s="24" t="str">
        <x:v>Molluscs</x:v>
      </x:c>
      <x:c r="I70" s="31" t="n">
        <x:v>0.1676177688</x:v>
      </x:c>
      <x:c r="J70" s="31" t="n">
        <x:v>0.1676177688</x:v>
      </x:c>
      <x:c r="K70" s="31" t="n">
        <x:v>0</x:v>
      </x:c>
      <x:c r="L70" s="31" t="n">
        <x:v>0</x:v>
      </x:c>
      <x:c r="M70" s="31" t="n">
        <x:v>0.1676177688</x:v>
      </x:c>
      <x:c r="N70" s="24" t="str">
        <x:v>crassostrea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Crassostrea</x:v>
      </x:c>
      <x:c r="T70" s="32" t="n">
        <x:f>IF(O70="","",(1/'Metadata'!$B$5)^(O70-1))</x:f>
        <x:v>10</x:v>
      </x:c>
      <x:c r="U70" s="31" t="n">
        <x:f>IF(T70="","",I70*T70)</x:f>
        <x:v>1.676177688</x:v>
      </x:c>
    </x:row>
    <x:row r="71" ht="18" customHeight="1">
      <x:c r="A71" s="24" t="str">
        <x:v>LME_001</x:v>
      </x:c>
      <x:c r="B71" s="24" t="str">
        <x:v>East Bering Sea</x:v>
      </x:c>
      <x:c r="C71" s="24" t="str">
        <x:v>LME</x:v>
      </x:c>
      <x:c r="D71" s="30" t="n">
        <x:v>2019</x:v>
      </x:c>
      <x:c r="E71" s="24" t="str">
        <x:v>Coregonus</x:v>
      </x:c>
      <x:c r="F71" s="24" t="str">
        <x:v>Whitefishes</x:v>
      </x:c>
      <x:c r="G71" s="24" t="str">
        <x:v>Medium pelagics (30 - 89 cm)</x:v>
      </x:c>
      <x:c r="H71" s="24" t="str">
        <x:v>Salmon, smelts, etc</x:v>
      </x:c>
      <x:c r="I71" s="31" t="n">
        <x:v>0.0758831041</x:v>
      </x:c>
      <x:c r="J71" s="31" t="n">
        <x:v>0.0758831041</x:v>
      </x:c>
      <x:c r="K71" s="31" t="n">
        <x:v>0</x:v>
      </x:c>
      <x:c r="L71" s="31" t="n">
        <x:v>0</x:v>
      </x:c>
      <x:c r="M71" s="31" t="n">
        <x:v>0.0758831041</x:v>
      </x:c>
      <x:c r="N71" s="24" t="str">
        <x:v>coregonus</x:v>
      </x:c>
      <x:c r="O71" s="32" t="n">
        <x:v>3.3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Coregonus</x:v>
      </x:c>
      <x:c r="T71" s="32" t="n">
        <x:f>IF(O71="","",(1/'Metadata'!$B$5)^(O71-1))</x:f>
        <x:v>199.52623149688787</x:v>
      </x:c>
      <x:c r="U71" s="31" t="n">
        <x:f>IF(T71="","",I71*T71)</x:f>
        <x:v>15.140669795359042</x:v>
      </x:c>
    </x:row>
    <x:row r="72" ht="18" customHeight="1">
      <x:c r="A72" s="24" t="str">
        <x:v>LME_001</x:v>
      </x:c>
      <x:c r="B72" s="24" t="str">
        <x:v>East Bering Sea</x:v>
      </x:c>
      <x:c r="C72" s="24" t="str">
        <x:v>LME</x:v>
      </x:c>
      <x:c r="D72" s="30" t="n">
        <x:v>2019</x:v>
      </x:c>
      <x:c r="E72" s="24" t="str">
        <x:v>Erimacrus isenbeckii</x:v>
      </x:c>
      <x:c r="F72" s="24" t="str">
        <x:v>Hair Crab</x:v>
      </x:c>
      <x:c r="G72" s="24" t="str">
        <x:v>Lobsters, crabs</x:v>
      </x:c>
      <x:c r="H72" s="24" t="str">
        <x:v>Crustaceans</x:v>
      </x:c>
      <x:c r="I72" s="31" t="n">
        <x:v>0.0590879063</x:v>
      </x:c>
      <x:c r="J72" s="31" t="n">
        <x:v>0.0590879063</x:v>
      </x:c>
      <x:c r="K72" s="31" t="n">
        <x:v>0</x:v>
      </x:c>
      <x:c r="L72" s="31" t="n">
        <x:v>0</x:v>
      </x:c>
      <x:c r="M72" s="31" t="n">
        <x:v>0.0590879063</x:v>
      </x:c>
      <x:c r="N72" s="24" t="str">
        <x:v>erimacrus isenbeckii</x:v>
      </x:c>
      <x:c r="O72" s="32" t="n">
        <x:v>2.6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Erimacrus isenbeckii</x:v>
      </x:c>
      <x:c r="T72" s="32" t="n">
        <x:f>IF(O72="","",(1/'Metadata'!$B$5)^(O72-1))</x:f>
        <x:v>39.810717055349734</x:v>
      </x:c>
      <x:c r="U72" s="31" t="n">
        <x:f>IF(T72="","",I72*T72)</x:f>
        <x:v>2.352331919102317</x:v>
      </x:c>
    </x:row>
    <x:row r="73" ht="18" customHeight="1">
      <x:c r="A73" s="24" t="str">
        <x:v>LME_001</x:v>
      </x:c>
      <x:c r="B73" s="24" t="str">
        <x:v>East Bering Sea</x:v>
      </x:c>
      <x:c r="C73" s="24" t="str">
        <x:v>LME</x:v>
      </x:c>
      <x:c r="D73" s="30" t="n">
        <x:v>2019</x:v>
      </x:c>
      <x:c r="E73" s="24" t="str">
        <x:v>Chondrichthyes</x:v>
      </x:c>
      <x:c r="F73" s="24" t="str">
        <x:v>Sharks, rays, chimaeras</x:v>
      </x:c>
      <x:c r="G73" s="24" t="str">
        <x:v>Large sharks (&gt;=90 cm)</x:v>
      </x:c>
      <x:c r="H73" s="24" t="str">
        <x:v>Sharks &amp; rays</x:v>
      </x:c>
      <x:c r="I73" s="31" t="n">
        <x:v>0.0240165041</x:v>
      </x:c>
      <x:c r="J73" s="31" t="n">
        <x:v>0.0240165041</x:v>
      </x:c>
      <x:c r="K73" s="31" t="n">
        <x:v>0</x:v>
      </x:c>
      <x:c r="L73" s="31" t="n">
        <x:v>0</x:v>
      </x:c>
      <x:c r="M73" s="31" t="n">
        <x:v>0.0240165041</x:v>
      </x:c>
      <x:c r="N73" s="24" t="str">
        <x:v>chondrichthyes</x:v>
      </x:c>
      <x:c r="O73" s="32" t="n">
        <x:v>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Chondrichthyes</x:v>
      </x:c>
      <x:c r="T73" s="32" t="n">
        <x:f>IF(O73="","",(1/'Metadata'!$B$5)^(O73-1))</x:f>
        <x:v>1000</x:v>
      </x:c>
      <x:c r="U73" s="31" t="n">
        <x:f>IF(T73="","",I73*T73)</x:f>
        <x:v>24.0165041</x:v>
      </x:c>
    </x:row>
    <x:row r="74" ht="18" customHeight="1">
      <x:c r="A74" s="24" t="str">
        <x:v>LME_001</x:v>
      </x:c>
      <x:c r="B74" s="24" t="str">
        <x:v>East Bering Sea</x:v>
      </x:c>
      <x:c r="C74" s="24" t="str">
        <x:v>LME</x:v>
      </x:c>
      <x:c r="D74" s="30" t="n">
        <x:v>2019</x:v>
      </x:c>
      <x:c r="E74" s="24" t="str">
        <x:v>Scombridae</x:v>
      </x:c>
      <x:c r="F74" s="24" t="str">
        <x:v>Mackerels, tunas, bonitos</x:v>
      </x:c>
      <x:c r="G74" s="24" t="str">
        <x:v>Medium pelagics (30 - 89 cm)</x:v>
      </x:c>
      <x:c r="H74" s="24" t="str">
        <x:v>Perch-likes</x:v>
      </x:c>
      <x:c r="I74" s="31" t="n">
        <x:v>0.0003054059</x:v>
      </x:c>
      <x:c r="J74" s="31" t="n">
        <x:v>0.0003054059</x:v>
      </x:c>
      <x:c r="K74" s="31" t="n">
        <x:v>0</x:v>
      </x:c>
      <x:c r="L74" s="31" t="n">
        <x:v>0</x:v>
      </x:c>
      <x:c r="M74" s="31" t="n">
        <x:v>0.0003054059</x:v>
      </x:c>
      <x:c r="N74" s="24" t="str">
        <x:v>scombridae</x:v>
      </x:c>
      <x:c r="O74" s="32" t="n">
        <x:v>4.26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Scombridae</x:v>
      </x:c>
      <x:c r="T74" s="32" t="n">
        <x:f>IF(O74="","",(1/'Metadata'!$B$5)^(O74-1))</x:f>
        <x:v>1819.7008586099826</x:v>
      </x:c>
      <x:c r="U74" s="31" t="n">
        <x:f>IF(T74="","",I74*T74)</x:f>
        <x:v>0.5557473784545545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6b16798fba644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900467.2139058373</x:v>
      </x:c>
      <x:c r="C2" s="32" t="n">
        <x:v>3.6380659152630677</x:v>
      </x:c>
      <x:c r="D2" s="32" t="n">
        <x:f>IF(C2="","",(1/'Metadata'!$B$5)^(C2-1))</x:f>
        <x:v>434.5761771839295</x:v>
      </x:c>
      <x:c r="E2" s="31" t="n">
        <x:f>IF(B2=0,"",B2*D2)</x:f>
        <x:v>391321599.4986625</x:v>
      </x:c>
    </x:row>
    <x:row r="3" ht="18" customHeight="1">
      <x:c r="A3" s="24" t="str">
        <x:v>Crustaceans</x:v>
      </x:c>
      <x:c r="B3" s="31" t="n">
        <x:v>7646.588618008599</x:v>
      </x:c>
      <x:c r="C3" s="32" t="n">
        <x:v>3.2245729225225066</x:v>
      </x:c>
      <x:c r="D3" s="32" t="n">
        <x:f>IF(C3="","",(1/'Metadata'!$B$5)^(C3-1))</x:f>
        <x:v>167.71539235478835</x:v>
      </x:c>
      <x:c r="E3" s="31" t="n">
        <x:f>IF(B3=0,"",B3*D3)</x:f>
        <x:v>1282450.610244971</x:v>
      </x:c>
    </x:row>
    <x:row r="4" ht="18" customHeight="1">
      <x:c r="A4" s="24" t="str">
        <x:v>Flatfishes</x:v>
      </x:c>
      <x:c r="B4" s="31" t="n">
        <x:v>118815.8974802802</x:v>
      </x:c>
      <x:c r="C4" s="32" t="n">
        <x:v>3.647464209051954</x:v>
      </x:c>
      <x:c r="D4" s="32" t="n">
        <x:f>IF(C4="","",(1/'Metadata'!$B$5)^(C4-1))</x:f>
        <x:v>444.0830622158865</x:v>
      </x:c>
      <x:c r="E4" s="31" t="n">
        <x:f>IF(B4=0,"",B4*D4)</x:f>
        <x:v>52764127.59297167</x:v>
      </x:c>
    </x:row>
    <x:row r="5" ht="18" customHeight="1">
      <x:c r="A5" s="24" t="str">
        <x:v>Herring-likes</x:v>
      </x:c>
      <x:c r="B5" s="31" t="n">
        <x:v>9651.0177963192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1394996.4950976495</x:v>
      </x:c>
    </x:row>
    <x:row r="6" ht="18" customHeight="1">
      <x:c r="A6" s="24" t="str">
        <x:v>Molluscs</x:v>
      </x:c>
      <x:c r="B6" s="31" t="n">
        <x:v>73.53917867999999</x:v>
      </x:c>
      <x:c r="C6" s="32" t="n">
        <x:v>2.0199522817432563</x:v>
      </x:c>
      <x:c r="D6" s="32" t="n">
        <x:f>IF(C6="","",(1/'Metadata'!$B$5)^(C6-1))</x:f>
        <x:v>10.470135007592502</x:v>
      </x:c>
      <x:c r="E6" s="31" t="n">
        <x:f>IF(B6=0,"",B6*D6)</x:f>
        <x:v>769.965129127068</x:v>
      </x:c>
    </x:row>
    <x:row r="7" ht="18" customHeight="1">
      <x:c r="A7" s="24" t="str">
        <x:v>Other fishes &amp; inverts</x:v>
      </x:c>
      <x:c r="B7" s="31" t="n">
        <x:v>13078.7075267686</x:v>
      </x:c>
      <x:c r="C7" s="32" t="n">
        <x:v>3.2919966388682522</x:v>
      </x:c>
      <x:c r="D7" s="32" t="n">
        <x:f>IF(C7="","",(1/'Metadata'!$B$5)^(C7-1))</x:f>
        <x:v>195.8829513494021</x:v>
      </x:c>
      <x:c r="E7" s="31" t="n">
        <x:f>IF(B7=0,"",B7*D7)</x:f>
        <x:v>2561895.830179073</x:v>
      </x:c>
    </x:row>
    <x:row r="8" ht="18" customHeight="1">
      <x:c r="A8" s="24" t="str">
        <x:v>Perch-likes</x:v>
      </x:c>
      <x:c r="B8" s="31" t="n">
        <x:v>0.0003054059</x:v>
      </x:c>
      <x:c r="C8" s="32" t="n">
        <x:v>4.26</x:v>
      </x:c>
      <x:c r="D8" s="32" t="n">
        <x:f>IF(C8="","",(1/'Metadata'!$B$5)^(C8-1))</x:f>
        <x:v>1819.7008586099826</x:v>
      </x:c>
      <x:c r="E8" s="31" t="n">
        <x:f>IF(B8=0,"",B8*D8)</x:f>
        <x:v>0.5557473784545545</x:v>
      </x:c>
    </x:row>
    <x:row r="9" ht="18" customHeight="1">
      <x:c r="A9" s="24" t="str">
        <x:v>Salmon, smelts, etc</x:v>
      </x:c>
      <x:c r="B9" s="31" t="n">
        <x:v>151074.52322968937</x:v>
      </x:c>
      <x:c r="C9" s="32" t="n">
        <x:v>4.036356428059977</x:v>
      </x:c>
      <x:c r="D9" s="32" t="n">
        <x:f>IF(C9="","",(1/'Metadata'!$B$5)^(C9-1))</x:f>
        <x:v>1087.3176255627384</x:v>
      </x:c>
      <x:c r="E9" s="31" t="n">
        <x:f>IF(B9=0,"",B9*D9)</x:f>
        <x:v>164265991.8811286</x:v>
      </x:c>
    </x:row>
    <x:row r="10" ht="18" customHeight="1">
      <x:c r="A10" s="24" t="str">
        <x:v>Scorpionfishes</x:v>
      </x:c>
      <x:c r="B10" s="31" t="n">
        <x:v>86330.68726332128</x:v>
      </x:c>
      <x:c r="C10" s="32" t="n">
        <x:v>3.52290856212849</x:v>
      </x:c>
      <x:c r="D10" s="32" t="n">
        <x:f>IF(C10="","",(1/'Metadata'!$B$5)^(C10-1))</x:f>
        <x:v>333.3562193956472</x:v>
      </x:c>
      <x:c r="E10" s="31" t="n">
        <x:f>IF(B10=0,"",B10*D10)</x:f>
        <x:v>28778871.52392873</x:v>
      </x:c>
    </x:row>
    <x:row r="11" ht="18" customHeight="1">
      <x:c r="A11" s="24" t="str">
        <x:v>Sharks &amp; rays</x:v>
      </x:c>
      <x:c r="B11" s="31" t="n">
        <x:v>13861.596146735</x:v>
      </x:c>
      <x:c r="C11" s="32" t="n">
        <x:v>3.8207569299797064</x:v>
      </x:c>
      <x:c r="D11" s="32" t="n">
        <x:f>IF(C11="","",(1/'Metadata'!$B$5)^(C11-1))</x:f>
        <x:v>661.845971841688</x:v>
      </x:c>
      <x:c r="E11" s="31" t="n">
        <x:f>IF(B11=0,"",B11*D11)</x:f>
        <x:v>9174241.573012823</x:v>
      </x:c>
    </x:row>
  </x:sheetData>
  <x:pageMargins left="0.7" right="0.7" top="0.75" bottom="0.75" header="0.3" footer="0.3"/>
  <x:tableParts count="1">
    <x:tablePart xmlns:r="http://schemas.openxmlformats.org/officeDocument/2006/relationships" r:id="Rb02b58678d1c44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382.3926802322</x:v>
      </x:c>
      <x:c r="C2" s="32" t="n">
        <x:v>3.8241421414785197</x:v>
      </x:c>
      <x:c r="D2" s="32" t="n">
        <x:f>IF(C2="","",(1/'Metadata'!$B$5)^(C2-1))</x:f>
        <x:v>667.025046019478</x:v>
      </x:c>
      <x:c r="E2" s="31" t="n">
        <x:f>IF(B2=0,"",B2*D2)</x:f>
        <x:v>255065.49512939475</x:v>
      </x:c>
    </x:row>
    <x:row r="3" ht="18" customHeight="1">
      <x:c r="A3" s="24" t="str">
        <x:v>Large bathydemersals (&gt;=90 cm)</x:v>
      </x:c>
      <x:c r="B3" s="31" t="n">
        <x:v>6248.8065830297</x:v>
      </x:c>
      <x:c r="C3" s="32" t="n">
        <x:v>3.84</x:v>
      </x:c>
      <x:c r="D3" s="32" t="n">
        <x:f>IF(C3="","",(1/'Metadata'!$B$5)^(C3-1))</x:f>
        <x:v>691.8309709189363</x:v>
      </x:c>
      <x:c r="E3" s="31" t="n">
        <x:f>IF(B3=0,"",B3*D3)</x:f>
        <x:v>4323117.925422078</x:v>
      </x:c>
    </x:row>
    <x:row r="4" ht="18" customHeight="1">
      <x:c r="A4" s="24" t="str">
        <x:v>Large benthopelagics (&gt;=90 cm)</x:v>
      </x:c>
      <x:c r="B4" s="31" t="n">
        <x:v>22186.835590994</x:v>
      </x:c>
      <x:c r="C4" s="32" t="n">
        <x:v>3.7887656940132195</x:v>
      </x:c>
      <x:c r="D4" s="32" t="n">
        <x:f>IF(C4="","",(1/'Metadata'!$B$5)^(C4-1))</x:f>
        <x:v>614.8450684736767</x:v>
      </x:c>
      <x:c r="E4" s="31" t="n">
        <x:f>IF(B4=0,"",B4*D4)</x:f>
        <x:v>13641466.448158914</x:v>
      </x:c>
    </x:row>
    <x:row r="5" ht="18" customHeight="1">
      <x:c r="A5" s="24" t="str">
        <x:v>Large demersals (&gt;=90 cm)</x:v>
      </x:c>
      <x:c r="B5" s="31" t="n">
        <x:v>109639.96943592218</x:v>
      </x:c>
      <x:c r="C5" s="32" t="n">
        <x:v>4.163263706123264</x:v>
      </x:c>
      <x:c r="D5" s="32" t="n">
        <x:f>IF(C5="","",(1/'Metadata'!$B$5)^(C5-1))</x:f>
        <x:v>1456.3431121277877</x:v>
      </x:c>
      <x:c r="E5" s="31" t="n">
        <x:f>IF(B5=0,"",B5*D5)</x:f>
        <x:v>159673414.3019064</x:v>
      </x:c>
    </x:row>
    <x:row r="6" ht="18" customHeight="1">
      <x:c r="A6" s="24" t="str">
        <x:v>Large flatfishes (&gt;=90 cm)</x:v>
      </x:c>
      <x:c r="B6" s="31" t="n">
        <x:v>6797.1484749281</x:v>
      </x:c>
      <x:c r="C6" s="32" t="n">
        <x:v>4.141906514390701</x:v>
      </x:c>
      <x:c r="D6" s="32" t="n">
        <x:f>IF(C6="","",(1/'Metadata'!$B$5)^(C6-1))</x:f>
        <x:v>1386.4573499209268</x:v>
      </x:c>
      <x:c r="E6" s="31" t="n">
        <x:f>IF(B6=0,"",B6*D6)</x:f>
        <x:v>9423956.461567882</x:v>
      </x:c>
    </x:row>
    <x:row r="7" ht="18" customHeight="1">
      <x:c r="A7" s="24" t="str">
        <x:v>Large rays (&gt;=90 cm)</x:v>
      </x:c>
      <x:c r="B7" s="31" t="n">
        <x:v>13066.0632057037</x:v>
      </x:c>
      <x:c r="C7" s="32" t="n">
        <x:v>3.82</x:v>
      </x:c>
      <x:c r="D7" s="32" t="n">
        <x:f>IF(C7="","",(1/'Metadata'!$B$5)^(C7-1))</x:f>
        <x:v>660.6934480075957</x:v>
      </x:c>
      <x:c r="E7" s="31" t="n">
        <x:f>IF(B7=0,"",B7*D7)</x:f>
        <x:v>8632662.351261558</x:v>
      </x:c>
    </x:row>
    <x:row r="8" ht="18" customHeight="1">
      <x:c r="A8" s="24" t="str">
        <x:v>Large reef assoc. fish (&gt;=90 cm)</x:v>
      </x:c>
      <x:c r="B8" s="31" t="n">
        <x:v>12074.693525209099</x:v>
      </x:c>
      <x:c r="C8" s="32" t="n">
        <x:v>3.7918617525074634</x:v>
      </x:c>
      <x:c r="D8" s="32" t="n">
        <x:f>IF(C8="","",(1/'Metadata'!$B$5)^(C8-1))</x:f>
        <x:v>619.2439218770965</x:v>
      </x:c>
      <x:c r="E8" s="31" t="n">
        <x:f>IF(B8=0,"",B8*D8)</x:f>
        <x:v>7477180.574014465</x:v>
      </x:c>
    </x:row>
    <x:row r="9" ht="18" customHeight="1">
      <x:c r="A9" s="24" t="str">
        <x:v>Large sharks (&gt;=90 cm)</x:v>
      </x:c>
      <x:c r="B9" s="31" t="n">
        <x:v>105.86179242360002</x:v>
      </x:c>
      <x:c r="C9" s="32" t="n">
        <x:v>4.0494093091210015</x:v>
      </x:c>
      <x:c r="D9" s="32" t="n">
        <x:f>IF(C9="","",(1/'Metadata'!$B$5)^(C9-1))</x:f>
        <x:v>1120.4934163852356</x:v>
      </x:c>
      <x:c r="E9" s="31" t="n">
        <x:f>IF(B9=0,"",B9*D9)</x:f>
        <x:v>118617.44145738424</x:v>
      </x:c>
    </x:row>
    <x:row r="10" ht="18" customHeight="1">
      <x:c r="A10" s="24" t="str">
        <x:v>Lobsters, crabs</x:v>
      </x:c>
      <x:c r="B10" s="31" t="n">
        <x:v>7562.4913625619</x:v>
      </x:c>
      <x:c r="C10" s="32" t="n">
        <x:v>3.2304063365326283</x:v>
      </x:c>
      <x:c r="D10" s="32" t="n">
        <x:f>IF(C10="","",(1/'Metadata'!$B$5)^(C10-1))</x:f>
        <x:v>169.98333142800263</x:v>
      </x:c>
      <x:c r="E10" s="31" t="n">
        <x:f>IF(B10=0,"",B10*D10)</x:f>
        <x:v>1285497.4757037666</x:v>
      </x:c>
    </x:row>
    <x:row r="11" ht="18" customHeight="1">
      <x:c r="A11" s="24" t="str">
        <x:v>Medium benthopelagics (30 - 89 cm)</x:v>
      </x:c>
      <x:c r="B11" s="31" t="n">
        <x:v>796581.615275561</x:v>
      </x:c>
      <x:c r="C11" s="32" t="n">
        <x:v>3.57</x:v>
      </x:c>
      <x:c r="D11" s="32" t="n">
        <x:f>IF(C11="","",(1/'Metadata'!$B$5)^(C11-1))</x:f>
        <x:v>371.5352290971724</x:v>
      </x:c>
      <x:c r="E11" s="31" t="n">
        <x:f>IF(B11=0,"",B11*D11)</x:f>
        <x:v>295958132.9260012</x:v>
      </x:c>
    </x:row>
    <x:row r="12" ht="18" customHeight="1">
      <x:c r="A12" s="24" t="str">
        <x:v>Medium demersals (30 - 89 cm)</x:v>
      </x:c>
      <x:c r="B12" s="31" t="n">
        <x:v>149630.063438264</x:v>
      </x:c>
      <x:c r="C12" s="32" t="n">
        <x:v>3.9132830331596735</x:v>
      </x:c>
      <x:c r="D12" s="32" t="n">
        <x:f>IF(C12="","",(1/'Metadata'!$B$5)^(C12-1))</x:f>
        <x:v>818.9983619794209</x:v>
      </x:c>
      <x:c r="E12" s="31" t="n">
        <x:f>IF(B12=0,"",B12*D12)</x:f>
        <x:v>122546776.85881506</x:v>
      </x:c>
    </x:row>
    <x:row r="13" ht="18" customHeight="1">
      <x:c r="A13" s="24" t="str">
        <x:v>Medium pelagics (30 - 89 cm)</x:v>
      </x:c>
      <x:c r="B13" s="31" t="n">
        <x:v>63790.524122938</x:v>
      </x:c>
      <x:c r="C13" s="32" t="n">
        <x:v>3.4825319053612556</x:v>
      </x:c>
      <x:c r="D13" s="32" t="n">
        <x:f>IF(C13="","",(1/'Metadata'!$B$5)^(C13-1))</x:f>
        <x:v>303.76092411325635</x:v>
      </x:c>
      <x:c r="E13" s="31" t="n">
        <x:f>IF(B13=0,"",B13*D13)</x:f>
        <x:v>19377068.55725262</x:v>
      </x:c>
    </x:row>
    <x:row r="14" ht="18" customHeight="1">
      <x:c r="A14" s="24" t="str">
        <x:v>Medium reef assoc. fish (30 - 89 cm)</x:v>
      </x:c>
      <x:c r="B14" s="31" t="n">
        <x:v>7.1073953668</x:v>
      </x:c>
      <x:c r="C14" s="32" t="n">
        <x:v>4.38</x:v>
      </x:c>
      <x:c r="D14" s="32" t="n">
        <x:f>IF(C14="","",(1/'Metadata'!$B$5)^(C14-1))</x:f>
        <x:v>2398.83291901949</x:v>
      </x:c>
      <x:c r="E14" s="31" t="n">
        <x:f>IF(B14=0,"",B14*D14)</x:f>
        <x:v>17049.453974366443</x:v>
      </x:c>
    </x:row>
    <x:row r="15" ht="18" customHeight="1">
      <x:c r="A15" s="24" t="str">
        <x:v>Other demersal invertebrates</x:v>
      </x:c>
      <x:c r="B15" s="31" t="n">
        <x:v>117.55580705100002</x:v>
      </x:c>
      <x:c r="C15" s="32" t="n">
        <x:v>2.0512731435360996</x:v>
      </x:c>
      <x:c r="D15" s="32" t="n">
        <x:f>IF(C15="","",(1/'Metadata'!$B$5)^(C15-1))</x:f>
        <x:v>11.253125012559721</x:v>
      </x:c>
      <x:c r="E15" s="31" t="n">
        <x:f>IF(B15=0,"",B15*D15)</x:f>
        <x:v>1322.8701926972526</x:v>
      </x:c>
    </x:row>
    <x:row r="16" ht="18" customHeight="1">
      <x:c r="A16" s="24" t="str">
        <x:v>Shrimps</x:v>
      </x:c>
      <x:c r="B16" s="31" t="n">
        <x:v>84.0972554467</x:v>
      </x:c>
      <x:c r="C16" s="32" t="n">
        <x:v>2.7</x:v>
      </x:c>
      <x:c r="D16" s="32" t="n">
        <x:f>IF(C16="","",(1/'Metadata'!$B$5)^(C16-1))</x:f>
        <x:v>50.11872336272725</x:v>
      </x:c>
      <x:c r="E16" s="31" t="n">
        <x:f>IF(B16=0,"",B16*D16)</x:f>
        <x:v>4214.847081297765</x:v>
      </x:c>
    </x:row>
    <x:row r="17" ht="18" customHeight="1">
      <x:c r="A17" s="24" t="str">
        <x:v>Small pelagics (&lt;30 cm)</x:v>
      </x:c>
      <x:c r="B17" s="31" t="n">
        <x:v>16.125351453599997</x:v>
      </x:c>
      <x:c r="C17" s="32" t="n">
        <x:v>3.44467223045208</x:v>
      </x:c>
      <x:c r="D17" s="32" t="n">
        <x:f>IF(C17="","",(1/'Metadata'!$B$5)^(C17-1))</x:f>
        <x:v>278.4019228138794</x:v>
      </x:c>
      <x:c r="E17" s="31" t="n">
        <x:f>IF(B17=0,"",B17*D17)</x:f>
        <x:v>4489.328850731825</x:v>
      </x:c>
    </x:row>
    <x:row r="18" ht="18" customHeight="1">
      <x:c r="A18" s="24" t="str">
        <x:v>Small to medium flatfishes (&lt;90 cm)</x:v>
      </x:c>
      <x:c r="B18" s="31" t="n">
        <x:v>112018.74900535209</x:v>
      </x:c>
      <x:c r="C18" s="32" t="n">
        <x:v>3.6174621085864986</x:v>
      </x:c>
      <x:c r="D18" s="32" t="n">
        <x:f>IF(C18="","",(1/'Metadata'!$B$5)^(C18-1))</x:f>
        <x:v>414.4404232779348</x:v>
      </x:c>
      <x:c r="E18" s="31" t="n">
        <x:f>IF(B18=0,"",B18*D18)</x:f>
        <x:v>46425097.75284286</x:v>
      </x:c>
    </x:row>
    <x:row r="19" ht="18" customHeight="1">
      <x:c r="A19" s="24" t="str">
        <x:v>Small to medium rays (&lt;90 cm)</x:v>
      </x:c>
      <x:c r="B19" s="31" t="n">
        <x:v>689.6711486076999</x:v>
      </x:c>
      <x:c r="C19" s="32" t="n">
        <x:v>3.7999999999999994</x:v>
      </x:c>
      <x:c r="D19" s="32" t="n">
        <x:f>IF(C19="","",(1/'Metadata'!$B$5)^(C19-1))</x:f>
        <x:v>630.9573444801923</x:v>
      </x:c>
      <x:c r="E19" s="31" t="n">
        <x:f>IF(B19=0,"",B19*D19)</x:f>
        <x:v>435153.07649011846</x:v>
      </x:c>
    </x:row>
  </x:sheetData>
  <x:pageMargins left="0.7" right="0.7" top="0.75" bottom="0.75" header="0.3" footer="0.3"/>
  <x:tableParts count="1">
    <x:tablePart xmlns:r="http://schemas.openxmlformats.org/officeDocument/2006/relationships" r:id="R08dd1f32e9044b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LME_001</x:v>
      </x:c>
      <x:c r="B2" s="24" t="str">
        <x:v>raw_filtered_tonnes</x:v>
      </x:c>
      <x:c r="C2" s="24" t="n">
        <x:v>1300999.7714510455</x:v>
      </x:c>
      <x:c r="D2" s="24" t="str">
        <x:v>tonnes</x:v>
      </x:c>
    </x:row>
    <x:row r="3" ht="18" customHeight="1">
      <x:c r="A3" s="24" t="str">
        <x:v>LME_001</x:v>
      </x:c>
      <x:c r="B3" s="24" t="str">
        <x:v>species_catch_tonnes</x:v>
      </x:c>
      <x:c r="C3" s="24" t="n">
        <x:v>1300999.7714510453</x:v>
      </x:c>
      <x:c r="D3" s="24" t="str">
        <x:v>tonnes</x:v>
      </x:c>
    </x:row>
    <x:row r="4" ht="18" customHeight="1">
      <x:c r="A4" s="24" t="str">
        <x:v>LME_001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LME_001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LME_001</x:v>
      </x:c>
      <x:c r="B6" s="24" t="str">
        <x:v>matched_catch_tonnes</x:v>
      </x:c>
      <x:c r="C6" s="24" t="n">
        <x:v>1300999.7714510453</x:v>
      </x:c>
      <x:c r="D6" s="24" t="str">
        <x:v>tonnes</x:v>
      </x:c>
    </x:row>
    <x:row r="7" ht="18" customHeight="1">
      <x:c r="A7" s="24" t="str">
        <x:v>LME_001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LME_001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LME_001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LME_001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LME_001</x:v>
      </x:c>
      <x:c r="B11" s="24" t="str">
        <x:v>species_ppr</x:v>
      </x:c>
      <x:c r="C11" s="24" t="n">
        <x:v>816435933.9124104</x:v>
      </x:c>
      <x:c r="D11" s="24" t="str">
        <x:v>tonnes_primary_production_equivalent</x:v>
      </x:c>
    </x:row>
    <x:row r="12" ht="18" customHeight="1">
      <x:c r="A12" s="24" t="str">
        <x:v>LME_001</x:v>
      </x:c>
      <x:c r="B12" s="24" t="str">
        <x:v>commercial_ppr</x:v>
      </x:c>
      <x:c r="C12" s="24" t="n">
        <x:v>651544945.5261025</x:v>
      </x:c>
      <x:c r="D12" s="24" t="str">
        <x:v>tonnes_primary_production_equivalent</x:v>
      </x:c>
    </x:row>
    <x:row r="13" ht="18" customHeight="1">
      <x:c r="A13" s="24" t="str">
        <x:v>LME_001</x:v>
      </x:c>
      <x:c r="B13" s="24" t="str">
        <x:v>functional_ppr</x:v>
      </x:c>
      <x:c r="C13" s="24" t="n">
        <x:v>689600284.1461229</x:v>
      </x:c>
      <x:c r="D13" s="24" t="str">
        <x:v>tonnes_primary_production_equivalent</x:v>
      </x:c>
    </x:row>
    <x:row r="14" ht="18" customHeight="1">
      <x:c r="A14" s="24" t="str">
        <x:v>LME_001</x:v>
      </x:c>
      <x:c r="B14" s="24" t="str">
        <x:v>commercial_ppr_difference</x:v>
      </x:c>
      <x:c r="C14" s="24" t="n">
        <x:v>-164890988.38630784</x:v>
      </x:c>
      <x:c r="D14" s="24" t="str">
        <x:v>tonnes_primary_production_equivalent</x:v>
      </x:c>
    </x:row>
    <x:row r="15" ht="18" customHeight="1">
      <x:c r="A15" s="24" t="str">
        <x:v>LME_001</x:v>
      </x:c>
      <x:c r="B15" s="24" t="str">
        <x:v>functional_ppr_difference</x:v>
      </x:c>
      <x:c r="C15" s="24" t="n">
        <x:v>-126835649.76628745</x:v>
      </x:c>
      <x:c r="D15" s="24" t="str">
        <x:v>tonnes_primary_production_equivalent</x:v>
      </x:c>
    </x:row>
    <x:row r="16" ht="18" customHeight="1">
      <x:c r="A16" s="24" t="str">
        <x:v>LME_001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158f364a90e48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LME_001 - East Bering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