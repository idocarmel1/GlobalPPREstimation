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46f1c245c81435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6eab80010a034f10"/>
    <x:sheet xmlns:r="http://schemas.openxmlformats.org/officeDocument/2006/relationships" name="Commercial" sheetId="2" r:id="R7b948faacf7c4261"/>
    <x:sheet xmlns:r="http://schemas.openxmlformats.org/officeDocument/2006/relationships" name="Functional" sheetId="3" r:id="R0c81cc507e24430c"/>
    <x:sheet xmlns:r="http://schemas.openxmlformats.org/officeDocument/2006/relationships" name="Missing TL" sheetId="4" r:id="R586fa16983dc4cb7"/>
    <x:sheet xmlns:r="http://schemas.openxmlformats.org/officeDocument/2006/relationships" name="Validation" sheetId="5" r:id="Rc53bd163a2914e9f"/>
    <x:sheet xmlns:r="http://schemas.openxmlformats.org/officeDocument/2006/relationships" name="Metadata" sheetId="6" r:id="R5adec1b487574fd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"/>
    <x:numFmt numFmtId="201" formatCode="#,##0.00"/>
    <x:numFmt numFmtId="202" formatCode="0.0000"/>
    <x:numFmt numFmtId="203" formatCode="#,##0"/>
    <x:numFmt numFmtId="204" formatCode="0.00%"/>
    <x:numFmt numFmtId="205" formatCode="0.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22">
    <x:border/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  <x:border>
      <x:bottom style="medium">
        <x:color rgb="FF147D92"/>
      </x:bottom>
    </x:border>
  </x:borders>
  <x:cellStyleXfs count="1">
    <x:xf numFmtId="0" fontId="0" fillId="0" borderId="0"/>
  </x:cellStyleXfs>
  <x:cellXfs count="6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3" fillId="3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10" xfId="0" applyNumberFormat="1" applyFont="1" applyFill="1" applyBorder="1"/>
    <x:xf numFmtId="0" fontId="3" fillId="3" borderId="11" xfId="0" applyNumberFormat="1" applyFont="1" applyFill="1" applyBorder="1"/>
    <x:xf numFmtId="0" fontId="3" fillId="3" borderId="12" xfId="0" applyNumberFormat="1" applyFont="1" applyFill="1" applyBorder="1"/>
    <x:xf numFmtId="0" fontId="3" fillId="3" borderId="13" xfId="0" applyNumberFormat="1" applyFont="1" applyFill="1" applyBorder="1"/>
    <x:xf numFmtId="0" fontId="2" fillId="0" borderId="14" xfId="0" applyNumberFormat="1" applyFont="1" applyFill="1" applyBorder="1"/>
    <x:xf numFmtId="0" fontId="2" fillId="0" borderId="15" xfId="0" applyNumberFormat="1" applyFont="1" applyFill="1" applyBorder="1"/>
    <x:xf numFmtId="0" fontId="2" fillId="0" borderId="16" xfId="0" applyNumberFormat="1" applyFont="1" applyFill="1" applyBorder="1"/>
    <x:xf numFmtId="0" fontId="2" fillId="0" borderId="17" xfId="0" applyNumberFormat="1" applyFont="1" applyFill="1" applyBorder="1"/>
    <x:xf numFmtId="0" fontId="2" fillId="0" borderId="18" xfId="0" applyNumberFormat="1" applyFont="1" applyFill="1" applyBorder="1"/>
    <x:xf numFmtId="0" fontId="2" fillId="0" borderId="19" xfId="0" applyNumberFormat="1" applyFont="1" applyFill="1" applyBorder="1"/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2" fillId="0" borderId="10" xfId="0" applyNumberFormat="1" applyFont="1" applyFill="1" applyBorder="1" applyAlignment="1">
      <x:alignment wrapText="1"/>
    </x:xf>
    <x:xf numFmtId="0" fontId="2" fillId="0" borderId="14" xfId="0" applyNumberFormat="1" applyFont="1" applyFill="1" applyBorder="1" applyAlignment="1">
      <x:alignment wrapText="1"/>
    </x:xf>
    <x:xf numFmtId="0" fontId="2" fillId="0" borderId="15" xfId="0" applyNumberFormat="1" applyFont="1" applyFill="1" applyBorder="1" applyAlignment="1">
      <x:alignment wrapText="1"/>
    </x:xf>
    <x:xf numFmtId="0" fontId="2" fillId="0" borderId="16" xfId="0" applyNumberFormat="1" applyFont="1" applyFill="1" applyBorder="1" applyAlignment="1">
      <x:alignment wrapText="1"/>
    </x:xf>
    <x:xf numFmtId="0" fontId="2" fillId="0" borderId="17" xfId="0" applyNumberFormat="1" applyFont="1" applyFill="1" applyBorder="1" applyAlignment="1">
      <x:alignment wrapText="1"/>
    </x:xf>
    <x:xf numFmtId="0" fontId="2" fillId="0" borderId="18" xfId="0" applyNumberFormat="1" applyFont="1" applyFill="1" applyBorder="1" applyAlignment="1">
      <x:alignment wrapText="1"/>
    </x:xf>
    <x:xf numFmtId="0" fontId="2" fillId="0" borderId="19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  <x:xf numFmtId="0" fontId="4" fillId="0" borderId="14" xfId="0" applyNumberFormat="1" applyFont="1" applyFill="1" applyBorder="1" applyAlignment="1">
      <x:alignment wrapText="1"/>
    </x:xf>
    <x:xf numFmtId="0" fontId="4" fillId="0" borderId="1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0" fontId="5" fillId="2" borderId="0" xfId="0" applyNumberFormat="1" applyFont="1" applyFill="1" applyBorder="1"/>
    <x:xf numFmtId="0" fontId="5" fillId="2" borderId="1" xfId="0" applyNumberFormat="1" applyFont="1" applyFill="1" applyBorder="1"/>
    <x:xf numFmtId="0" fontId="6" fillId="2" borderId="0" xfId="0" applyNumberFormat="1" applyFont="1" applyFill="1" applyBorder="1"/>
    <x:xf numFmtId="0" fontId="6" fillId="2" borderId="1" xfId="0" applyNumberFormat="1" applyFont="1" applyFill="1" applyBorder="1"/>
    <x:xf numFmtId="0" fontId="6" fillId="2" borderId="20" xfId="0" applyNumberFormat="1" applyFont="1" applyFill="1" applyBorder="1"/>
    <x:xf numFmtId="0" fontId="6" fillId="2" borderId="21" xfId="0" applyNumberFormat="1" applyFont="1" applyFill="1" applyBorder="1"/>
    <x:xf numFmtId="0" fontId="6" fillId="2" borderId="20" xfId="0" applyNumberFormat="1" applyFont="1" applyFill="1" applyBorder="1" applyAlignment="1">
      <x:alignment wrapText="1"/>
    </x:xf>
    <x:xf numFmtId="0" fontId="6" fillId="2" borderId="21" xfId="0" applyNumberFormat="1" applyFont="1" applyFill="1" applyBorder="1" applyAlignment="1">
      <x:alignment wrapText="1"/>
    </x:xf>
    <x:xf numFmtId="0" fontId="6" fillId="2" borderId="20" xfId="0" applyNumberFormat="1" applyFont="1" applyFill="1" applyBorder="1" applyAlignment="1">
      <x:alignment vertical="center" wrapText="1"/>
    </x:xf>
    <x:xf numFmtId="0" fontId="6" fillId="2" borderId="21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0" fontId="5" fillId="0" borderId="1" xfId="0" applyNumberFormat="1" applyFont="1" applyFill="1" applyBorder="1"/>
    <x:xf numFmtId="201" fontId="5" fillId="0" borderId="0" xfId="0" applyNumberFormat="1" applyFont="1" applyFill="1" applyBorder="1"/>
    <x:xf numFmtId="201" fontId="5" fillId="0" borderId="1" xfId="0" applyNumberFormat="1" applyFont="1" applyFill="1" applyBorder="1"/>
    <x:xf numFmtId="202" fontId="5" fillId="0" borderId="0" xfId="0" applyNumberFormat="1" applyFont="1" applyFill="1" applyBorder="1"/>
    <x:xf numFmtId="202" fontId="5" fillId="0" borderId="1" xfId="0" applyNumberFormat="1" applyFont="1" applyFill="1" applyBorder="1"/>
    <x:xf numFmtId="203" fontId="5" fillId="0" borderId="0" xfId="0" applyNumberFormat="1" applyFont="1" applyFill="1" applyBorder="1"/>
    <x:xf numFmtId="203" fontId="5" fillId="0" borderId="1" xfId="0" applyNumberFormat="1" applyFont="1" applyFill="1" applyBorder="1"/>
    <x:xf numFmtId="204" fontId="5" fillId="0" borderId="0" xfId="0" applyNumberFormat="1" applyFont="1" applyFill="1" applyBorder="1"/>
    <x:xf numFmtId="204" fontId="5" fillId="0" borderId="1" xfId="0" applyNumberFormat="1" applyFont="1" applyFill="1" applyBorder="1"/>
    <x:xf numFmtId="205" fontId="2" fillId="0" borderId="6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color rgb="FF9A3412"/>
      </x:font>
      <x:fill>
        <x:patternFill patternType="solid">
          <x:bgColor rgb="FFFCEAD8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cb3d351438b42e5" /><Relationship Type="http://schemas.openxmlformats.org/officeDocument/2006/relationships/theme" Target="/xl/theme/theme1.xml" Id="R2d145b3af82842d5" /><Relationship Type="http://schemas.openxmlformats.org/officeDocument/2006/relationships/sharedStrings" Target="/xl/sharedStrings.xml" Id="R517853e59da44716" /><Relationship Type="http://schemas.openxmlformats.org/officeDocument/2006/relationships/worksheet" Target="/xl/worksheets/sheet1.xml" Id="R6eab80010a034f10" /><Relationship Type="http://schemas.openxmlformats.org/officeDocument/2006/relationships/worksheet" Target="/xl/worksheets/sheet2.xml" Id="R7b948faacf7c4261" /><Relationship Type="http://schemas.openxmlformats.org/officeDocument/2006/relationships/worksheet" Target="/xl/worksheets/sheet3.xml" Id="R0c81cc507e24430c" /><Relationship Type="http://schemas.openxmlformats.org/officeDocument/2006/relationships/worksheet" Target="/xl/worksheets/sheet4.xml" Id="R586fa16983dc4cb7" /><Relationship Type="http://schemas.openxmlformats.org/officeDocument/2006/relationships/worksheet" Target="/xl/worksheets/sheet5.xml" Id="Rc53bd163a2914e9f" /><Relationship Type="http://schemas.openxmlformats.org/officeDocument/2006/relationships/worksheet" Target="/xl/worksheets/sheet6.xml" Id="R5adec1b487574fd7" /></Relationships>
</file>

<file path=xl/tables/table1.xml><?xml version="1.0" encoding="utf-8"?>
<x:table xmlns:x="http://schemas.openxmlformats.org/spreadsheetml/2006/main" id="1" name="HS031SpeciesTable" displayName="HS031SpeciesTable" ref="A1:U33" headerRowCount="1" totalsRowCount="0" totalsRowShown="0">
  <x:autoFilter ref="A1:U33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HS031CommercialTable" displayName="HS031CommercialTable" ref="A1:O5" headerRowCount="1" totalsRowCount="0" totalsRowShown="0">
  <x:autoFilter ref="A1:O5"/>
  <x:tableColumns count="15">
    <x:tableColumn id="1" name="commerci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HS031FunctionalTable" displayName="HS031FunctionalTable" ref="A1:O7" headerRowCount="1" totalsRowCount="0" totalsRowShown="0">
  <x:autoFilter ref="A1:O7"/>
  <x:tableColumns count="15">
    <x:tableColumn id="1" name="function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HS031ValidationTable" displayName="HS031ValidationTable" ref="A1:D19" headerRowCount="1" totalsRowCount="0" totalsRowShown="0">
  <x:autoFilter ref="A1:D19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fd7d817e90b439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e86334f2254c4ee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55d3c2dbdb0a4f0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e2cf228f3a04bd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56" t="str">
        <x:v>unit_id</x:v>
      </x:c>
      <x:c r="B1" s="56" t="str">
        <x:v>region_name</x:v>
      </x:c>
      <x:c r="C1" s="56" t="str">
        <x:v>region_type</x:v>
      </x:c>
      <x:c r="D1" s="56" t="str">
        <x:v>year</x:v>
      </x:c>
      <x:c r="E1" s="56" t="str">
        <x:v>taxon</x:v>
      </x:c>
      <x:c r="F1" s="56" t="str">
        <x:v>common_name</x:v>
      </x:c>
      <x:c r="G1" s="56" t="str">
        <x:v>functional_group</x:v>
      </x:c>
      <x:c r="H1" s="56" t="str">
        <x:v>commercial_group</x:v>
      </x:c>
      <x:c r="I1" s="56" t="str">
        <x:v>catch_tonnes</x:v>
      </x:c>
      <x:c r="J1" s="56" t="str">
        <x:v>landings_tonnes</x:v>
      </x:c>
      <x:c r="K1" s="56" t="str">
        <x:v>discards_tonnes</x:v>
      </x:c>
      <x:c r="L1" s="56" t="str">
        <x:v>reported_tonnes</x:v>
      </x:c>
      <x:c r="M1" s="56" t="str">
        <x:v>unreported_tonnes</x:v>
      </x:c>
      <x:c r="N1" s="56" t="str">
        <x:v>taxon_key</x:v>
      </x:c>
      <x:c r="O1" s="56" t="str">
        <x:v>tl</x:v>
      </x:c>
      <x:c r="P1" s="56" t="str">
        <x:v>match_method</x:v>
      </x:c>
      <x:c r="Q1" s="56" t="str">
        <x:v>tl_source</x:v>
      </x:c>
      <x:c r="R1" s="56" t="str">
        <x:v>match_confidence</x:v>
      </x:c>
      <x:c r="S1" s="56" t="str">
        <x:v>reference_taxon</x:v>
      </x:c>
      <x:c r="T1" s="56" t="str">
        <x:v>sppr</x:v>
      </x:c>
      <x:c r="U1" s="56" t="str">
        <x:v>ppr</x:v>
      </x:c>
    </x:row>
    <x:row r="2" ht="18" customHeight="1">
      <x:c r="A2" s="46" t="str">
        <x:v>HS_031</x:v>
      </x:c>
      <x:c r="B2" s="46" t="str">
        <x:v>Atlantic, Western Central</x:v>
      </x:c>
      <x:c r="C2" s="46" t="str">
        <x:v>High Seas</x:v>
      </x:c>
      <x:c r="D2" s="58" t="n">
        <x:v>2019</x:v>
      </x:c>
      <x:c r="E2" s="46" t="str">
        <x:v>Thunnus albacares</x:v>
      </x:c>
      <x:c r="F2" s="46" t="str">
        <x:v>Yellowfin tuna</x:v>
      </x:c>
      <x:c r="G2" s="46" t="str">
        <x:v>Large pelagics (&gt;=90 cm)</x:v>
      </x:c>
      <x:c r="H2" s="46" t="str">
        <x:v>Tuna &amp; billfishes</x:v>
      </x:c>
      <x:c r="I2" s="60" t="n">
        <x:v>4540.0060874592</x:v>
      </x:c>
      <x:c r="J2" s="60" t="n">
        <x:v>4540.0060874592</x:v>
      </x:c>
      <x:c r="K2" s="60" t="n">
        <x:v>0</x:v>
      </x:c>
      <x:c r="L2" s="60" t="n">
        <x:v>4540.0060874592</x:v>
      </x:c>
      <x:c r="M2" s="60" t="n">
        <x:v>0</x:v>
      </x:c>
      <x:c r="N2" s="46" t="str">
        <x:v>thunnus albacares</x:v>
      </x:c>
      <x:c r="O2" s="62" t="n">
        <x:v>4.41</x:v>
      </x:c>
      <x:c r="P2" s="46" t="str">
        <x:v>exact_2020_supplement</x:v>
      </x:c>
      <x:c r="Q2" s="62" t="str">
        <x:v>2020 supplement MeanTL</x:v>
      </x:c>
      <x:c r="R2" s="46" t="str">
        <x:v>high</x:v>
      </x:c>
      <x:c r="S2" s="46" t="str">
        <x:v>Thunnus albacares</x:v>
      </x:c>
      <x:c r="T2" s="62" t="n">
        <x:f>IF(O2="","",(1/'Metadata'!$B$5)^(O2-1))</x:f>
        <x:v>2570.3957827688646</x:v>
      </x:c>
      <x:c r="U2" s="60" t="n">
        <x:f>IF(T2="","",I2*T2)</x:f>
        <x:v>11669612.5009501</x:v>
      </x:c>
    </x:row>
    <x:row r="3" ht="18" customHeight="1">
      <x:c r="A3" s="46" t="str">
        <x:v>HS_031</x:v>
      </x:c>
      <x:c r="B3" s="46" t="str">
        <x:v>Atlantic, Western Central</x:v>
      </x:c>
      <x:c r="C3" s="46" t="str">
        <x:v>High Seas</x:v>
      </x:c>
      <x:c r="D3" s="58" t="n">
        <x:v>2019</x:v>
      </x:c>
      <x:c r="E3" s="46" t="str">
        <x:v>Thunnus alalunga</x:v>
      </x:c>
      <x:c r="F3" s="46" t="str">
        <x:v>Albacore</x:v>
      </x:c>
      <x:c r="G3" s="46" t="str">
        <x:v>Large pelagics (&gt;=90 cm)</x:v>
      </x:c>
      <x:c r="H3" s="46" t="str">
        <x:v>Tuna &amp; billfishes</x:v>
      </x:c>
      <x:c r="I3" s="60" t="n">
        <x:v>3606.5384947832</x:v>
      </x:c>
      <x:c r="J3" s="60" t="n">
        <x:v>3606.5384947832</x:v>
      </x:c>
      <x:c r="K3" s="60" t="n">
        <x:v>0</x:v>
      </x:c>
      <x:c r="L3" s="60" t="n">
        <x:v>3606.5384947832</x:v>
      </x:c>
      <x:c r="M3" s="60" t="n">
        <x:v>0</x:v>
      </x:c>
      <x:c r="N3" s="46" t="str">
        <x:v>thunnus alalunga</x:v>
      </x:c>
      <x:c r="O3" s="62" t="n">
        <x:v>4.3</x:v>
      </x:c>
      <x:c r="P3" s="46" t="str">
        <x:v>exact_2020_supplement</x:v>
      </x:c>
      <x:c r="Q3" s="62" t="str">
        <x:v>2020 supplement MeanTL</x:v>
      </x:c>
      <x:c r="R3" s="46" t="str">
        <x:v>high</x:v>
      </x:c>
      <x:c r="S3" s="46" t="str">
        <x:v>Thunnus alalunga</x:v>
      </x:c>
      <x:c r="T3" s="62" t="n">
        <x:f>IF(O3="","",(1/'Metadata'!$B$5)^(O3-1))</x:f>
        <x:v>1995.2623149688789</x:v>
      </x:c>
      <x:c r="U3" s="60" t="n">
        <x:f>IF(T3="","",I3*T3)</x:f>
        <x:v>7195990.346125503</x:v>
      </x:c>
    </x:row>
    <x:row r="4" ht="18" customHeight="1">
      <x:c r="A4" s="46" t="str">
        <x:v>HS_031</x:v>
      </x:c>
      <x:c r="B4" s="46" t="str">
        <x:v>Atlantic, Western Central</x:v>
      </x:c>
      <x:c r="C4" s="46" t="str">
        <x:v>High Seas</x:v>
      </x:c>
      <x:c r="D4" s="58" t="n">
        <x:v>2019</x:v>
      </x:c>
      <x:c r="E4" s="46" t="str">
        <x:v>Marine fishes not identified</x:v>
      </x:c>
      <x:c r="F4" s="46" t="str">
        <x:v>Marine fishes nei</x:v>
      </x:c>
      <x:c r="G4" s="46" t="str">
        <x:v>Medium demersals (30 - 89 cm)</x:v>
      </x:c>
      <x:c r="H4" s="46" t="str">
        <x:v>Other fishes &amp; inverts</x:v>
      </x:c>
      <x:c r="I4" s="60" t="n">
        <x:v>3177.2183309122</x:v>
      </x:c>
      <x:c r="J4" s="60" t="n">
        <x:v>0</x:v>
      </x:c>
      <x:c r="K4" s="60" t="n">
        <x:v>3177.2183309122</x:v>
      </x:c>
      <x:c r="L4" s="60" t="n">
        <x:v>0</x:v>
      </x:c>
      <x:c r="M4" s="60" t="n">
        <x:v>3177.2183309122</x:v>
      </x:c>
      <x:c r="N4" s="46" t="str">
        <x:v>marine fishes not identified</x:v>
      </x:c>
      <x:c r="O4" s="62" t="n">
        <x:v>3.28</x:v>
      </x:c>
      <x:c r="P4" s="46" t="str">
        <x:v>exact_sea_around_us</x:v>
      </x:c>
      <x:c r="Q4" s="62" t="str">
        <x:v>Sea Around Us exploited organisms</x:v>
      </x:c>
      <x:c r="R4" s="46" t="str">
        <x:v>high</x:v>
      </x:c>
      <x:c r="S4" s="46" t="str">
        <x:v>Marine fishes not identified</x:v>
      </x:c>
      <x:c r="T4" s="62" t="n">
        <x:f>IF(O4="","",(1/'Metadata'!$B$5)^(O4-1))</x:f>
        <x:v>190.54607179632464</x:v>
      </x:c>
      <x:c r="U4" s="60" t="n">
        <x:f>IF(T4="","",I4*T4)</x:f>
        <x:v>605406.4721945948</x:v>
      </x:c>
    </x:row>
    <x:row r="5" ht="18" customHeight="1">
      <x:c r="A5" s="46" t="str">
        <x:v>HS_031</x:v>
      </x:c>
      <x:c r="B5" s="46" t="str">
        <x:v>Atlantic, Western Central</x:v>
      </x:c>
      <x:c r="C5" s="46" t="str">
        <x:v>High Seas</x:v>
      </x:c>
      <x:c r="D5" s="58" t="n">
        <x:v>2019</x:v>
      </x:c>
      <x:c r="E5" s="46" t="str">
        <x:v>Thunnus obesus</x:v>
      </x:c>
      <x:c r="F5" s="46" t="str">
        <x:v>Bigeye tuna</x:v>
      </x:c>
      <x:c r="G5" s="46" t="str">
        <x:v>Large pelagics (&gt;=90 cm)</x:v>
      </x:c>
      <x:c r="H5" s="46" t="str">
        <x:v>Tuna &amp; billfishes</x:v>
      </x:c>
      <x:c r="I5" s="60" t="n">
        <x:v>1979.9802356198</x:v>
      </x:c>
      <x:c r="J5" s="60" t="n">
        <x:v>1979.9802356198</x:v>
      </x:c>
      <x:c r="K5" s="60" t="n">
        <x:v>0</x:v>
      </x:c>
      <x:c r="L5" s="60" t="n">
        <x:v>1979.9802356198</x:v>
      </x:c>
      <x:c r="M5" s="60" t="n">
        <x:v>0</x:v>
      </x:c>
      <x:c r="N5" s="46" t="str">
        <x:v>thunnus obesus</x:v>
      </x:c>
      <x:c r="O5" s="62" t="n">
        <x:v>4.49</x:v>
      </x:c>
      <x:c r="P5" s="46" t="str">
        <x:v>exact_2020_supplement</x:v>
      </x:c>
      <x:c r="Q5" s="62" t="str">
        <x:v>2020 supplement MeanTL</x:v>
      </x:c>
      <x:c r="R5" s="46" t="str">
        <x:v>high</x:v>
      </x:c>
      <x:c r="S5" s="46" t="str">
        <x:v>Thunnus obesus</x:v>
      </x:c>
      <x:c r="T5" s="62" t="n">
        <x:f>IF(O5="","",(1/'Metadata'!$B$5)^(O5-1))</x:f>
        <x:v>3090.295432513592</x:v>
      </x:c>
      <x:c r="U5" s="60" t="n">
        <x:f>IF(T5="","",I5*T5)</x:f>
        <x:v>6118723.878603053</x:v>
      </x:c>
    </x:row>
    <x:row r="6" ht="18" customHeight="1">
      <x:c r="A6" s="46" t="str">
        <x:v>HS_031</x:v>
      </x:c>
      <x:c r="B6" s="46" t="str">
        <x:v>Atlantic, Western Central</x:v>
      </x:c>
      <x:c r="C6" s="46" t="str">
        <x:v>High Seas</x:v>
      </x:c>
      <x:c r="D6" s="58" t="n">
        <x:v>2019</x:v>
      </x:c>
      <x:c r="E6" s="46" t="str">
        <x:v>Marine pelagic fishes not identified</x:v>
      </x:c>
      <x:c r="F6" s="46" t="str">
        <x:v>Pelagic fishes</x:v>
      </x:c>
      <x:c r="G6" s="46" t="str">
        <x:v>Medium pelagics (30 - 89 cm)</x:v>
      </x:c>
      <x:c r="H6" s="46" t="str">
        <x:v>Other fishes &amp; inverts</x:v>
      </x:c>
      <x:c r="I6" s="60" t="n">
        <x:v>673.1369545800001</x:v>
      </x:c>
      <x:c r="J6" s="60" t="n">
        <x:v>673.1369545800001</x:v>
      </x:c>
      <x:c r="K6" s="60" t="n">
        <x:v>0</x:v>
      </x:c>
      <x:c r="L6" s="60" t="n">
        <x:v>673.1369545800001</x:v>
      </x:c>
      <x:c r="M6" s="60" t="n">
        <x:v>0</x:v>
      </x:c>
      <x:c r="N6" s="46" t="str">
        <x:v>marine pelagic fishes not identified</x:v>
      </x:c>
      <x:c r="O6" s="62" t="n">
        <x:v>3.35</x:v>
      </x:c>
      <x:c r="P6" s="46" t="str">
        <x:v>exact_sea_around_us</x:v>
      </x:c>
      <x:c r="Q6" s="62" t="str">
        <x:v>Sea Around Us exploited organisms</x:v>
      </x:c>
      <x:c r="R6" s="46" t="str">
        <x:v>high</x:v>
      </x:c>
      <x:c r="S6" s="46" t="str">
        <x:v>Marine pelagic fishes not identified</x:v>
      </x:c>
      <x:c r="T6" s="62" t="n">
        <x:f>IF(O6="","",(1/'Metadata'!$B$5)^(O6-1))</x:f>
        <x:v>223.872113856834</x:v>
      </x:c>
      <x:c r="U6" s="60" t="n">
        <x:f>IF(T6="","",I6*T6)</x:f>
        <x:v>150696.5929369763</x:v>
      </x:c>
    </x:row>
    <x:row r="7" ht="18" customHeight="1">
      <x:c r="A7" s="46" t="str">
        <x:v>HS_031</x:v>
      </x:c>
      <x:c r="B7" s="46" t="str">
        <x:v>Atlantic, Western Central</x:v>
      </x:c>
      <x:c r="C7" s="46" t="str">
        <x:v>High Seas</x:v>
      </x:c>
      <x:c r="D7" s="58" t="n">
        <x:v>2019</x:v>
      </x:c>
      <x:c r="E7" s="46" t="str">
        <x:v>Istiophorus albicans</x:v>
      </x:c>
      <x:c r="F7" s="46" t="str">
        <x:v>Atlantic sailfish</x:v>
      </x:c>
      <x:c r="G7" s="46" t="str">
        <x:v>Large pelagics (&gt;=90 cm)</x:v>
      </x:c>
      <x:c r="H7" s="46" t="str">
        <x:v>Tuna &amp; billfishes</x:v>
      </x:c>
      <x:c r="I7" s="60" t="n">
        <x:v>564.6752406693</x:v>
      </x:c>
      <x:c r="J7" s="60" t="n">
        <x:v>564.6752406693</x:v>
      </x:c>
      <x:c r="K7" s="60" t="n">
        <x:v>0</x:v>
      </x:c>
      <x:c r="L7" s="60" t="n">
        <x:v>564.6752406693</x:v>
      </x:c>
      <x:c r="M7" s="60" t="n">
        <x:v>0</x:v>
      </x:c>
      <x:c r="N7" s="46" t="str">
        <x:v>istiophorus albicans</x:v>
      </x:c>
      <x:c r="O7" s="62" t="n">
        <x:v>4.5</x:v>
      </x:c>
      <x:c r="P7" s="46" t="str">
        <x:v>exact_2020_supplement</x:v>
      </x:c>
      <x:c r="Q7" s="62" t="str">
        <x:v>2020 supplement MeanTL</x:v>
      </x:c>
      <x:c r="R7" s="46" t="str">
        <x:v>high</x:v>
      </x:c>
      <x:c r="S7" s="46" t="str">
        <x:v>Istiophorus albicans</x:v>
      </x:c>
      <x:c r="T7" s="62" t="n">
        <x:f>IF(O7="","",(1/'Metadata'!$B$5)^(O7-1))</x:f>
        <x:v>3162.2776601683795</x:v>
      </x:c>
      <x:c r="U7" s="60" t="n">
        <x:f>IF(T7="","",I7*T7)</x:f>
        <x:v>1785659.8988187306</x:v>
      </x:c>
    </x:row>
    <x:row r="8" ht="18" customHeight="1">
      <x:c r="A8" s="46" t="str">
        <x:v>HS_031</x:v>
      </x:c>
      <x:c r="B8" s="46" t="str">
        <x:v>Atlantic, Western Central</x:v>
      </x:c>
      <x:c r="C8" s="46" t="str">
        <x:v>High Seas</x:v>
      </x:c>
      <x:c r="D8" s="58" t="n">
        <x:v>2019</x:v>
      </x:c>
      <x:c r="E8" s="46" t="str">
        <x:v>Prionace glauca</x:v>
      </x:c>
      <x:c r="F8" s="46" t="str">
        <x:v>Blue shark</x:v>
      </x:c>
      <x:c r="G8" s="46" t="str">
        <x:v>Large sharks (&gt;=90 cm)</x:v>
      </x:c>
      <x:c r="H8" s="46" t="str">
        <x:v>Sharks &amp; rays</x:v>
      </x:c>
      <x:c r="I8" s="60" t="n">
        <x:v>449.3746868444</x:v>
      </x:c>
      <x:c r="J8" s="60" t="n">
        <x:v>449.3746868444</x:v>
      </x:c>
      <x:c r="K8" s="60" t="n">
        <x:v>0</x:v>
      </x:c>
      <x:c r="L8" s="60" t="n">
        <x:v>449.3746868444</x:v>
      </x:c>
      <x:c r="M8" s="60" t="n">
        <x:v>0</x:v>
      </x:c>
      <x:c r="N8" s="46" t="str">
        <x:v>prionace glauca</x:v>
      </x:c>
      <x:c r="O8" s="62" t="n">
        <x:v>4.35</x:v>
      </x:c>
      <x:c r="P8" s="46" t="str">
        <x:v>exact_2020_supplement</x:v>
      </x:c>
      <x:c r="Q8" s="62" t="str">
        <x:v>2020 supplement MeanTL</x:v>
      </x:c>
      <x:c r="R8" s="46" t="str">
        <x:v>high</x:v>
      </x:c>
      <x:c r="S8" s="46" t="str">
        <x:v>Prionace glauca</x:v>
      </x:c>
      <x:c r="T8" s="62" t="n">
        <x:f>IF(O8="","",(1/'Metadata'!$B$5)^(O8-1))</x:f>
        <x:v>2238.7211385683377</x:v>
      </x:c>
      <x:c r="U8" s="60" t="n">
        <x:f>IF(T8="","",I8*T8)</x:f>
        <x:v>1006024.6105760854</x:v>
      </x:c>
    </x:row>
    <x:row r="9" ht="18" customHeight="1">
      <x:c r="A9" s="46" t="str">
        <x:v>HS_031</x:v>
      </x:c>
      <x:c r="B9" s="46" t="str">
        <x:v>Atlantic, Western Central</x:v>
      </x:c>
      <x:c r="C9" s="46" t="str">
        <x:v>High Seas</x:v>
      </x:c>
      <x:c r="D9" s="58" t="n">
        <x:v>2019</x:v>
      </x:c>
      <x:c r="E9" s="46" t="str">
        <x:v>Coryphaena hippurus</x:v>
      </x:c>
      <x:c r="F9" s="46" t="str">
        <x:v>Common dolphinfish</x:v>
      </x:c>
      <x:c r="G9" s="46" t="str">
        <x:v>Large pelagics (&gt;=90 cm)</x:v>
      </x:c>
      <x:c r="H9" s="46" t="str">
        <x:v>Perch-likes</x:v>
      </x:c>
      <x:c r="I9" s="60" t="n">
        <x:v>301.82887530470003</x:v>
      </x:c>
      <x:c r="J9" s="60" t="n">
        <x:v>301.82887530470003</x:v>
      </x:c>
      <x:c r="K9" s="60" t="n">
        <x:v>0</x:v>
      </x:c>
      <x:c r="L9" s="60" t="n">
        <x:v>301.82887530470003</x:v>
      </x:c>
      <x:c r="M9" s="60" t="n">
        <x:v>0</x:v>
      </x:c>
      <x:c r="N9" s="46" t="str">
        <x:v>coryphaena hippurus</x:v>
      </x:c>
      <x:c r="O9" s="62" t="n">
        <x:v>4.37</x:v>
      </x:c>
      <x:c r="P9" s="46" t="str">
        <x:v>exact_2020_supplement</x:v>
      </x:c>
      <x:c r="Q9" s="62" t="str">
        <x:v>2020 supplement MeanTL</x:v>
      </x:c>
      <x:c r="R9" s="46" t="str">
        <x:v>high</x:v>
      </x:c>
      <x:c r="S9" s="46" t="str">
        <x:v>Coryphaena hippurus</x:v>
      </x:c>
      <x:c r="T9" s="62" t="n">
        <x:f>IF(O9="","",(1/'Metadata'!$B$5)^(O9-1))</x:f>
        <x:v>2344.228815319923</x:v>
      </x:c>
      <x:c r="U9" s="60" t="n">
        <x:f>IF(T9="","",I9*T9)</x:f>
        <x:v>707555.9467848816</x:v>
      </x:c>
    </x:row>
    <x:row r="10" ht="18" customHeight="1">
      <x:c r="A10" s="46" t="str">
        <x:v>HS_031</x:v>
      </x:c>
      <x:c r="B10" s="46" t="str">
        <x:v>Atlantic, Western Central</x:v>
      </x:c>
      <x:c r="C10" s="46" t="str">
        <x:v>High Seas</x:v>
      </x:c>
      <x:c r="D10" s="58" t="n">
        <x:v>2019</x:v>
      </x:c>
      <x:c r="E10" s="46" t="str">
        <x:v>Elasmobranchii</x:v>
      </x:c>
      <x:c r="F10" s="46" t="str">
        <x:v>Sharks, rays, skates</x:v>
      </x:c>
      <x:c r="G10" s="46" t="str">
        <x:v>Large sharks (&gt;=90 cm)</x:v>
      </x:c>
      <x:c r="H10" s="46" t="str">
        <x:v>Sharks &amp; rays</x:v>
      </x:c>
      <x:c r="I10" s="60" t="n">
        <x:v>252.2464305825</x:v>
      </x:c>
      <x:c r="J10" s="60" t="n">
        <x:v>252.2464305825</x:v>
      </x:c>
      <x:c r="K10" s="60" t="n">
        <x:v>0</x:v>
      </x:c>
      <x:c r="L10" s="60" t="n">
        <x:v>252.2464305825</x:v>
      </x:c>
      <x:c r="M10" s="60" t="n">
        <x:v>0</x:v>
      </x:c>
      <x:c r="N10" s="46" t="str">
        <x:v>elasmobranchii</x:v>
      </x:c>
      <x:c r="O10" s="62" t="n">
        <x:v>4.05</x:v>
      </x:c>
      <x:c r="P10" s="46" t="str">
        <x:v>exact_sea_around_us</x:v>
      </x:c>
      <x:c r="Q10" s="62" t="str">
        <x:v>Sea Around Us exploited organisms</x:v>
      </x:c>
      <x:c r="R10" s="46" t="str">
        <x:v>high</x:v>
      </x:c>
      <x:c r="S10" s="46" t="str">
        <x:v>Elasmobranchii</x:v>
      </x:c>
      <x:c r="T10" s="62" t="n">
        <x:f>IF(O10="","",(1/'Metadata'!$B$5)^(O10-1))</x:f>
        <x:v>1122.018454301963</x:v>
      </x:c>
      <x:c r="U10" s="60" t="n">
        <x:f>IF(T10="","",I10*T10)</x:f>
        <x:v>283025.15014536405</x:v>
      </x:c>
    </x:row>
    <x:row r="11" ht="18" customHeight="1">
      <x:c r="A11" s="46" t="str">
        <x:v>HS_031</x:v>
      </x:c>
      <x:c r="B11" s="46" t="str">
        <x:v>Atlantic, Western Central</x:v>
      </x:c>
      <x:c r="C11" s="46" t="str">
        <x:v>High Seas</x:v>
      </x:c>
      <x:c r="D11" s="58" t="n">
        <x:v>2019</x:v>
      </x:c>
      <x:c r="E11" s="46" t="str">
        <x:v>Xiphias gladius</x:v>
      </x:c>
      <x:c r="F11" s="46" t="str">
        <x:v>Swordfish</x:v>
      </x:c>
      <x:c r="G11" s="46" t="str">
        <x:v>Large pelagics (&gt;=90 cm)</x:v>
      </x:c>
      <x:c r="H11" s="46" t="str">
        <x:v>Tuna &amp; billfishes</x:v>
      </x:c>
      <x:c r="I11" s="60" t="n">
        <x:v>249.675197347</x:v>
      </x:c>
      <x:c r="J11" s="60" t="n">
        <x:v>249.675197347</x:v>
      </x:c>
      <x:c r="K11" s="60" t="n">
        <x:v>0</x:v>
      </x:c>
      <x:c r="L11" s="60" t="n">
        <x:v>249.675197347</x:v>
      </x:c>
      <x:c r="M11" s="60" t="n">
        <x:v>0</x:v>
      </x:c>
      <x:c r="N11" s="46" t="str">
        <x:v>xiphias gladius</x:v>
      </x:c>
      <x:c r="O11" s="62" t="n">
        <x:v>4.53</x:v>
      </x:c>
      <x:c r="P11" s="46" t="str">
        <x:v>exact_2020_supplement</x:v>
      </x:c>
      <x:c r="Q11" s="62" t="str">
        <x:v>2020 supplement MeanTL</x:v>
      </x:c>
      <x:c r="R11" s="46" t="str">
        <x:v>high</x:v>
      </x:c>
      <x:c r="S11" s="46" t="str">
        <x:v>Xiphias gladius</x:v>
      </x:c>
      <x:c r="T11" s="62" t="n">
        <x:f>IF(O11="","",(1/'Metadata'!$B$5)^(O11-1))</x:f>
        <x:v>3388.4415613920273</x:v>
      </x:c>
      <x:c r="U11" s="60" t="n">
        <x:f>IF(T11="","",I11*T11)</x:f>
        <x:v>846009.8155393312</x:v>
      </x:c>
    </x:row>
    <x:row r="12" ht="18" customHeight="1">
      <x:c r="A12" s="46" t="str">
        <x:v>HS_031</x:v>
      </x:c>
      <x:c r="B12" s="46" t="str">
        <x:v>Atlantic, Western Central</x:v>
      </x:c>
      <x:c r="C12" s="46" t="str">
        <x:v>High Seas</x:v>
      </x:c>
      <x:c r="D12" s="58" t="n">
        <x:v>2019</x:v>
      </x:c>
      <x:c r="E12" s="46" t="str">
        <x:v>Acanthocybium solandri</x:v>
      </x:c>
      <x:c r="F12" s="46" t="str">
        <x:v>Wahoo</x:v>
      </x:c>
      <x:c r="G12" s="46" t="str">
        <x:v>Large pelagics (&gt;=90 cm)</x:v>
      </x:c>
      <x:c r="H12" s="46" t="str">
        <x:v>Perch-likes</x:v>
      </x:c>
      <x:c r="I12" s="60" t="n">
        <x:v>244.6271104739</x:v>
      </x:c>
      <x:c r="J12" s="60" t="n">
        <x:v>244.6271104739</x:v>
      </x:c>
      <x:c r="K12" s="60" t="n">
        <x:v>0</x:v>
      </x:c>
      <x:c r="L12" s="60" t="n">
        <x:v>244.6271104739</x:v>
      </x:c>
      <x:c r="M12" s="60" t="n">
        <x:v>0</x:v>
      </x:c>
      <x:c r="N12" s="46" t="str">
        <x:v>acanthocybium solandri</x:v>
      </x:c>
      <x:c r="O12" s="62" t="n">
        <x:v>4.26</x:v>
      </x:c>
      <x:c r="P12" s="46" t="str">
        <x:v>exact_2020_supplement</x:v>
      </x:c>
      <x:c r="Q12" s="62" t="str">
        <x:v>2020 supplement MeanTL</x:v>
      </x:c>
      <x:c r="R12" s="46" t="str">
        <x:v>high</x:v>
      </x:c>
      <x:c r="S12" s="46" t="str">
        <x:v>Acanthocybium solandri</x:v>
      </x:c>
      <x:c r="T12" s="62" t="n">
        <x:f>IF(O12="","",(1/'Metadata'!$B$5)^(O12-1))</x:f>
        <x:v>1819.7008586099826</x:v>
      </x:c>
      <x:c r="U12" s="60" t="n">
        <x:f>IF(T12="","",I12*T12)</x:f>
        <x:v>445148.16296863486</x:v>
      </x:c>
    </x:row>
    <x:row r="13" ht="18" customHeight="1">
      <x:c r="A13" s="46" t="str">
        <x:v>HS_031</x:v>
      </x:c>
      <x:c r="B13" s="46" t="str">
        <x:v>Atlantic, Western Central</x:v>
      </x:c>
      <x:c r="C13" s="46" t="str">
        <x:v>High Seas</x:v>
      </x:c>
      <x:c r="D13" s="58" t="n">
        <x:v>2019</x:v>
      </x:c>
      <x:c r="E13" s="46" t="str">
        <x:v>Katsuwonus pelamis</x:v>
      </x:c>
      <x:c r="F13" s="46" t="str">
        <x:v>Skipjack tuna</x:v>
      </x:c>
      <x:c r="G13" s="46" t="str">
        <x:v>Large pelagics (&gt;=90 cm)</x:v>
      </x:c>
      <x:c r="H13" s="46" t="str">
        <x:v>Tuna &amp; billfishes</x:v>
      </x:c>
      <x:c r="I13" s="60" t="n">
        <x:v>232.6605840548</x:v>
      </x:c>
      <x:c r="J13" s="60" t="n">
        <x:v>232.6605840548</x:v>
      </x:c>
      <x:c r="K13" s="60" t="n">
        <x:v>0</x:v>
      </x:c>
      <x:c r="L13" s="60" t="n">
        <x:v>232.6605840548</x:v>
      </x:c>
      <x:c r="M13" s="60" t="n">
        <x:v>0</x:v>
      </x:c>
      <x:c r="N13" s="46" t="str">
        <x:v>katsuwonus pelamis</x:v>
      </x:c>
      <x:c r="O13" s="62" t="n">
        <x:v>4.43</x:v>
      </x:c>
      <x:c r="P13" s="46" t="str">
        <x:v>exact_2020_supplement</x:v>
      </x:c>
      <x:c r="Q13" s="62" t="str">
        <x:v>2020 supplement MeanTL</x:v>
      </x:c>
      <x:c r="R13" s="46" t="str">
        <x:v>high</x:v>
      </x:c>
      <x:c r="S13" s="46" t="str">
        <x:v>Katsuwonus pelamis</x:v>
      </x:c>
      <x:c r="T13" s="62" t="n">
        <x:f>IF(O13="","",(1/'Metadata'!$B$5)^(O13-1))</x:f>
        <x:v>2691.534803926914</x:v>
      </x:c>
      <x:c r="U13" s="60" t="n">
        <x:f>IF(T13="","",I13*T13)</x:f>
        <x:v>626214.0594854574</x:v>
      </x:c>
    </x:row>
    <x:row r="14" ht="18" customHeight="1">
      <x:c r="A14" s="46" t="str">
        <x:v>HS_031</x:v>
      </x:c>
      <x:c r="B14" s="46" t="str">
        <x:v>Atlantic, Western Central</x:v>
      </x:c>
      <x:c r="C14" s="46" t="str">
        <x:v>High Seas</x:v>
      </x:c>
      <x:c r="D14" s="58" t="n">
        <x:v>2019</x:v>
      </x:c>
      <x:c r="E14" s="46" t="str">
        <x:v>Scombridae</x:v>
      </x:c>
      <x:c r="F14" s="46" t="str">
        <x:v>Mackerels, tunas, bonitos</x:v>
      </x:c>
      <x:c r="G14" s="46" t="str">
        <x:v>Medium pelagics (30 - 89 cm)</x:v>
      </x:c>
      <x:c r="H14" s="46" t="str">
        <x:v>Perch-likes</x:v>
      </x:c>
      <x:c r="I14" s="60" t="n">
        <x:v>218.8804817058</x:v>
      </x:c>
      <x:c r="J14" s="60" t="n">
        <x:v>218.8804817058</x:v>
      </x:c>
      <x:c r="K14" s="60" t="n">
        <x:v>0</x:v>
      </x:c>
      <x:c r="L14" s="60" t="n">
        <x:v>218.8804817058</x:v>
      </x:c>
      <x:c r="M14" s="60" t="n">
        <x:v>0</x:v>
      </x:c>
      <x:c r="N14" s="46" t="str">
        <x:v>scombridae</x:v>
      </x:c>
      <x:c r="O14" s="62" t="n">
        <x:v>4.26</x:v>
      </x:c>
      <x:c r="P14" s="46" t="str">
        <x:v>exact_sea_around_us</x:v>
      </x:c>
      <x:c r="Q14" s="62" t="str">
        <x:v>Sea Around Us exploited organisms</x:v>
      </x:c>
      <x:c r="R14" s="46" t="str">
        <x:v>high</x:v>
      </x:c>
      <x:c r="S14" s="46" t="str">
        <x:v>Scombridae</x:v>
      </x:c>
      <x:c r="T14" s="62" t="n">
        <x:f>IF(O14="","",(1/'Metadata'!$B$5)^(O14-1))</x:f>
        <x:v>1819.7008586099826</x:v>
      </x:c>
      <x:c r="U14" s="60" t="n">
        <x:f>IF(T14="","",I14*T14)</x:f>
        <x:v>398297.00049301086</x:v>
      </x:c>
    </x:row>
    <x:row r="15" ht="18" customHeight="1">
      <x:c r="A15" s="46" t="str">
        <x:v>HS_031</x:v>
      </x:c>
      <x:c r="B15" s="46" t="str">
        <x:v>Atlantic, Western Central</x:v>
      </x:c>
      <x:c r="C15" s="46" t="str">
        <x:v>High Seas</x:v>
      </x:c>
      <x:c r="D15" s="58" t="n">
        <x:v>2019</x:v>
      </x:c>
      <x:c r="E15" s="46" t="str">
        <x:v>Makaira nigricans</x:v>
      </x:c>
      <x:c r="F15" s="46" t="str">
        <x:v>Blue marlin</x:v>
      </x:c>
      <x:c r="G15" s="46" t="str">
        <x:v>Large pelagics (&gt;=90 cm)</x:v>
      </x:c>
      <x:c r="H15" s="46" t="str">
        <x:v>Tuna &amp; billfishes</x:v>
      </x:c>
      <x:c r="I15" s="60" t="n">
        <x:v>165.7203748803</x:v>
      </x:c>
      <x:c r="J15" s="60" t="n">
        <x:v>165.7203748803</x:v>
      </x:c>
      <x:c r="K15" s="60" t="n">
        <x:v>0</x:v>
      </x:c>
      <x:c r="L15" s="60" t="n">
        <x:v>165.7203748803</x:v>
      </x:c>
      <x:c r="M15" s="60" t="n">
        <x:v>0</x:v>
      </x:c>
      <x:c r="N15" s="46" t="str">
        <x:v>makaira nigricans</x:v>
      </x:c>
      <x:c r="O15" s="62" t="n">
        <x:v>4.49</x:v>
      </x:c>
      <x:c r="P15" s="46" t="str">
        <x:v>exact_2020_supplement</x:v>
      </x:c>
      <x:c r="Q15" s="62" t="str">
        <x:v>2020 supplement MeanTL</x:v>
      </x:c>
      <x:c r="R15" s="46" t="str">
        <x:v>high</x:v>
      </x:c>
      <x:c r="S15" s="46" t="str">
        <x:v>Makaira nigricans</x:v>
      </x:c>
      <x:c r="T15" s="62" t="n">
        <x:f>IF(O15="","",(1/'Metadata'!$B$5)^(O15-1))</x:f>
        <x:v>3090.295432513592</x:v>
      </x:c>
      <x:c r="U15" s="60" t="n">
        <x:f>IF(T15="","",I15*T15)</x:f>
        <x:v>512124.9175670313</x:v>
      </x:c>
    </x:row>
    <x:row r="16" ht="18" customHeight="1">
      <x:c r="A16" s="46" t="str">
        <x:v>HS_031</x:v>
      </x:c>
      <x:c r="B16" s="46" t="str">
        <x:v>Atlantic, Western Central</x:v>
      </x:c>
      <x:c r="C16" s="46" t="str">
        <x:v>High Seas</x:v>
      </x:c>
      <x:c r="D16" s="58" t="n">
        <x:v>2019</x:v>
      </x:c>
      <x:c r="E16" s="46" t="str">
        <x:v>Thunnus atlanticus</x:v>
      </x:c>
      <x:c r="F16" s="46" t="str">
        <x:v>Blackfin tuna</x:v>
      </x:c>
      <x:c r="G16" s="46" t="str">
        <x:v>Large pelagics (&gt;=90 cm)</x:v>
      </x:c>
      <x:c r="H16" s="46" t="str">
        <x:v>Tuna &amp; billfishes</x:v>
      </x:c>
      <x:c r="I16" s="60" t="n">
        <x:v>91.3692270135</x:v>
      </x:c>
      <x:c r="J16" s="60" t="n">
        <x:v>91.3692270135</x:v>
      </x:c>
      <x:c r="K16" s="60" t="n">
        <x:v>0</x:v>
      </x:c>
      <x:c r="L16" s="60" t="n">
        <x:v>91.3692270135</x:v>
      </x:c>
      <x:c r="M16" s="60" t="n">
        <x:v>0</x:v>
      </x:c>
      <x:c r="N16" s="46" t="str">
        <x:v>thunnus atlanticus</x:v>
      </x:c>
      <x:c r="O16" s="62" t="n">
        <x:v>4.35</x:v>
      </x:c>
      <x:c r="P16" s="46" t="str">
        <x:v>exact_2020_supplement</x:v>
      </x:c>
      <x:c r="Q16" s="62" t="str">
        <x:v>2020 supplement MeanTL</x:v>
      </x:c>
      <x:c r="R16" s="46" t="str">
        <x:v>high</x:v>
      </x:c>
      <x:c r="S16" s="46" t="str">
        <x:v>Thunnus atlanticus</x:v>
      </x:c>
      <x:c r="T16" s="62" t="n">
        <x:f>IF(O16="","",(1/'Metadata'!$B$5)^(O16-1))</x:f>
        <x:v>2238.7211385683377</x:v>
      </x:c>
      <x:c r="U16" s="60" t="n">
        <x:f>IF(T16="","",I16*T16)</x:f>
        <x:v>204550.2199297716</x:v>
      </x:c>
    </x:row>
    <x:row r="17" ht="18" customHeight="1">
      <x:c r="A17" s="46" t="str">
        <x:v>HS_031</x:v>
      </x:c>
      <x:c r="B17" s="46" t="str">
        <x:v>Atlantic, Western Central</x:v>
      </x:c>
      <x:c r="C17" s="46" t="str">
        <x:v>High Seas</x:v>
      </x:c>
      <x:c r="D17" s="58" t="n">
        <x:v>2019</x:v>
      </x:c>
      <x:c r="E17" s="46" t="str">
        <x:v>Kajikia albida</x:v>
      </x:c>
      <x:c r="F17" s="46" t="str">
        <x:v>Atlantic white marlin</x:v>
      </x:c>
      <x:c r="G17" s="46" t="str">
        <x:v>Large pelagics (&gt;=90 cm)</x:v>
      </x:c>
      <x:c r="H17" s="46" t="str">
        <x:v>Tuna &amp; billfishes</x:v>
      </x:c>
      <x:c r="I17" s="60" t="n">
        <x:v>33.4802435837</x:v>
      </x:c>
      <x:c r="J17" s="60" t="n">
        <x:v>33.4802435837</x:v>
      </x:c>
      <x:c r="K17" s="60" t="n">
        <x:v>0</x:v>
      </x:c>
      <x:c r="L17" s="60" t="n">
        <x:v>33.4802435837</x:v>
      </x:c>
      <x:c r="M17" s="60" t="n">
        <x:v>0</x:v>
      </x:c>
      <x:c r="N17" s="46" t="str">
        <x:v>kajikia albida</x:v>
      </x:c>
      <x:c r="O17" s="62" t="n">
        <x:v>4.49</x:v>
      </x:c>
      <x:c r="P17" s="46" t="str">
        <x:v>exact_2020_supplement</x:v>
      </x:c>
      <x:c r="Q17" s="62" t="str">
        <x:v>2020 supplement MeanTL</x:v>
      </x:c>
      <x:c r="R17" s="46" t="str">
        <x:v>high</x:v>
      </x:c>
      <x:c r="S17" s="46" t="str">
        <x:v>Kajikia albida</x:v>
      </x:c>
      <x:c r="T17" s="62" t="n">
        <x:f>IF(O17="","",(1/'Metadata'!$B$5)^(O17-1))</x:f>
        <x:v>3090.295432513592</x:v>
      </x:c>
      <x:c r="U17" s="60" t="n">
        <x:f>IF(T17="","",I17*T17)</x:f>
        <x:v>103463.84382615061</x:v>
      </x:c>
    </x:row>
    <x:row r="18" ht="18" customHeight="1">
      <x:c r="A18" s="46" t="str">
        <x:v>HS_031</x:v>
      </x:c>
      <x:c r="B18" s="46" t="str">
        <x:v>Atlantic, Western Central</x:v>
      </x:c>
      <x:c r="C18" s="46" t="str">
        <x:v>High Seas</x:v>
      </x:c>
      <x:c r="D18" s="58" t="n">
        <x:v>2019</x:v>
      </x:c>
      <x:c r="E18" s="46" t="str">
        <x:v>Sphyrna</x:v>
      </x:c>
      <x:c r="F18" s="46" t="str">
        <x:v>Hammerhead sharks</x:v>
      </x:c>
      <x:c r="G18" s="46" t="str">
        <x:v>Large sharks (&gt;=90 cm)</x:v>
      </x:c>
      <x:c r="H18" s="46" t="str">
        <x:v>Sharks &amp; rays</x:v>
      </x:c>
      <x:c r="I18" s="60" t="n">
        <x:v>29.529122983</x:v>
      </x:c>
      <x:c r="J18" s="60" t="n">
        <x:v>29.529122983</x:v>
      </x:c>
      <x:c r="K18" s="60" t="n">
        <x:v>0</x:v>
      </x:c>
      <x:c r="L18" s="60" t="n">
        <x:v>29.529122983</x:v>
      </x:c>
      <x:c r="M18" s="60" t="n">
        <x:v>0</x:v>
      </x:c>
      <x:c r="N18" s="46" t="str">
        <x:v>sphyrna</x:v>
      </x:c>
      <x:c r="O18" s="62" t="n">
        <x:v>4.2</x:v>
      </x:c>
      <x:c r="P18" s="46" t="str">
        <x:v>exact_sea_around_us</x:v>
      </x:c>
      <x:c r="Q18" s="62" t="str">
        <x:v>Sea Around Us exploited organisms</x:v>
      </x:c>
      <x:c r="R18" s="46" t="str">
        <x:v>high</x:v>
      </x:c>
      <x:c r="S18" s="46" t="str">
        <x:v>Sphyrna</x:v>
      </x:c>
      <x:c r="T18" s="62" t="n">
        <x:f>IF(O18="","",(1/'Metadata'!$B$5)^(O18-1))</x:f>
        <x:v>1584.893192461114</x:v>
      </x:c>
      <x:c r="U18" s="60" t="n">
        <x:f>IF(T18="","",I18*T18)</x:f>
        <x:v>46800.505995103726</x:v>
      </x:c>
    </x:row>
    <x:row r="19" ht="18" customHeight="1">
      <x:c r="A19" s="46" t="str">
        <x:v>HS_031</x:v>
      </x:c>
      <x:c r="B19" s="46" t="str">
        <x:v>Atlantic, Western Central</x:v>
      </x:c>
      <x:c r="C19" s="46" t="str">
        <x:v>High Seas</x:v>
      </x:c>
      <x:c r="D19" s="58" t="n">
        <x:v>2019</x:v>
      </x:c>
      <x:c r="E19" s="46" t="str">
        <x:v>Isurus oxyrinchus</x:v>
      </x:c>
      <x:c r="F19" s="46" t="str">
        <x:v>Shortfin mako</x:v>
      </x:c>
      <x:c r="G19" s="46" t="str">
        <x:v>Large sharks (&gt;=90 cm)</x:v>
      </x:c>
      <x:c r="H19" s="46" t="str">
        <x:v>Sharks &amp; rays</x:v>
      </x:c>
      <x:c r="I19" s="60" t="n">
        <x:v>20.0380507022</x:v>
      </x:c>
      <x:c r="J19" s="60" t="n">
        <x:v>20.0380507022</x:v>
      </x:c>
      <x:c r="K19" s="60" t="n">
        <x:v>0</x:v>
      </x:c>
      <x:c r="L19" s="60" t="n">
        <x:v>20.0380507022</x:v>
      </x:c>
      <x:c r="M19" s="60" t="n">
        <x:v>0</x:v>
      </x:c>
      <x:c r="N19" s="46" t="str">
        <x:v>isurus oxyrinchus</x:v>
      </x:c>
      <x:c r="O19" s="62" t="n">
        <x:v>4.5</x:v>
      </x:c>
      <x:c r="P19" s="46" t="str">
        <x:v>exact_2020_supplement</x:v>
      </x:c>
      <x:c r="Q19" s="62" t="str">
        <x:v>2020 supplement MeanTL</x:v>
      </x:c>
      <x:c r="R19" s="46" t="str">
        <x:v>high</x:v>
      </x:c>
      <x:c r="S19" s="46" t="str">
        <x:v>Isurus oxyrinchus</x:v>
      </x:c>
      <x:c r="T19" s="62" t="n">
        <x:f>IF(O19="","",(1/'Metadata'!$B$5)^(O19-1))</x:f>
        <x:v>3162.2776601683795</x:v>
      </x:c>
      <x:c r="U19" s="60" t="n">
        <x:f>IF(T19="","",I19*T19)</x:f>
        <x:v>63365.88008888837</x:v>
      </x:c>
    </x:row>
    <x:row r="20" ht="18" customHeight="1">
      <x:c r="A20" s="46" t="str">
        <x:v>HS_031</x:v>
      </x:c>
      <x:c r="B20" s="46" t="str">
        <x:v>Atlantic, Western Central</x:v>
      </x:c>
      <x:c r="C20" s="46" t="str">
        <x:v>High Seas</x:v>
      </x:c>
      <x:c r="D20" s="58" t="n">
        <x:v>2019</x:v>
      </x:c>
      <x:c r="E20" s="46" t="str">
        <x:v>Sarda sarda</x:v>
      </x:c>
      <x:c r="F20" s="46" t="str">
        <x:v>Atlantic bonito</x:v>
      </x:c>
      <x:c r="G20" s="46" t="str">
        <x:v>Medium pelagics (30 - 89 cm)</x:v>
      </x:c>
      <x:c r="H20" s="46" t="str">
        <x:v>Tuna &amp; billfishes</x:v>
      </x:c>
      <x:c r="I20" s="60" t="n">
        <x:v>8.746109132700001</x:v>
      </x:c>
      <x:c r="J20" s="60" t="n">
        <x:v>8.746109132700001</x:v>
      </x:c>
      <x:c r="K20" s="60" t="n">
        <x:v>0</x:v>
      </x:c>
      <x:c r="L20" s="60" t="n">
        <x:v>8.746109132700001</x:v>
      </x:c>
      <x:c r="M20" s="60" t="n">
        <x:v>0</x:v>
      </x:c>
      <x:c r="N20" s="46" t="str">
        <x:v>sarda sarda</x:v>
      </x:c>
      <x:c r="O20" s="62" t="n">
        <x:v>4.5</x:v>
      </x:c>
      <x:c r="P20" s="46" t="str">
        <x:v>exact_2020_supplement</x:v>
      </x:c>
      <x:c r="Q20" s="62" t="str">
        <x:v>2020 supplement MeanTL</x:v>
      </x:c>
      <x:c r="R20" s="46" t="str">
        <x:v>high</x:v>
      </x:c>
      <x:c r="S20" s="46" t="str">
        <x:v>Sarda sarda</x:v>
      </x:c>
      <x:c r="T20" s="62" t="n">
        <x:f>IF(O20="","",(1/'Metadata'!$B$5)^(O20-1))</x:f>
        <x:v>3162.2776601683795</x:v>
      </x:c>
      <x:c r="U20" s="60" t="n">
        <x:f>IF(T20="","",I20*T20)</x:f>
        <x:v>27657.625523731855</x:v>
      </x:c>
    </x:row>
    <x:row r="21" ht="18" customHeight="1">
      <x:c r="A21" s="46" t="str">
        <x:v>HS_031</x:v>
      </x:c>
      <x:c r="B21" s="46" t="str">
        <x:v>Atlantic, Western Central</x:v>
      </x:c>
      <x:c r="C21" s="46" t="str">
        <x:v>High Seas</x:v>
      </x:c>
      <x:c r="D21" s="58" t="n">
        <x:v>2019</x:v>
      </x:c>
      <x:c r="E21" s="46" t="str">
        <x:v>Tetrapturus pfluegeri</x:v>
      </x:c>
      <x:c r="F21" s="46" t="str">
        <x:v>Longbill spearfish</x:v>
      </x:c>
      <x:c r="G21" s="46" t="str">
        <x:v>Large pelagics (&gt;=90 cm)</x:v>
      </x:c>
      <x:c r="H21" s="46" t="str">
        <x:v>Tuna &amp; billfishes</x:v>
      </x:c>
      <x:c r="I21" s="60" t="n">
        <x:v>6.9244939744</x:v>
      </x:c>
      <x:c r="J21" s="60" t="n">
        <x:v>6.9244939744</x:v>
      </x:c>
      <x:c r="K21" s="60" t="n">
        <x:v>0</x:v>
      </x:c>
      <x:c r="L21" s="60" t="n">
        <x:v>6.9244939744</x:v>
      </x:c>
      <x:c r="M21" s="60" t="n">
        <x:v>0</x:v>
      </x:c>
      <x:c r="N21" s="46" t="str">
        <x:v>tetrapturus pfluegeri</x:v>
      </x:c>
      <x:c r="O21" s="62" t="n">
        <x:v>4.4</x:v>
      </x:c>
      <x:c r="P21" s="46" t="str">
        <x:v>exact_2020_supplement</x:v>
      </x:c>
      <x:c r="Q21" s="62" t="str">
        <x:v>2020 supplement MeanTL</x:v>
      </x:c>
      <x:c r="R21" s="46" t="str">
        <x:v>high</x:v>
      </x:c>
      <x:c r="S21" s="46" t="str">
        <x:v>Tetrapturus pfluegeri</x:v>
      </x:c>
      <x:c r="T21" s="62" t="n">
        <x:f>IF(O21="","",(1/'Metadata'!$B$5)^(O21-1))</x:f>
        <x:v>2511.886431509582</x:v>
      </x:c>
      <x:c r="U21" s="60" t="n">
        <x:f>IF(T21="","",I21*T21)</x:f>
        <x:v>17393.542459365217</x:v>
      </x:c>
    </x:row>
    <x:row r="22" ht="18" customHeight="1">
      <x:c r="A22" s="46" t="str">
        <x:v>HS_031</x:v>
      </x:c>
      <x:c r="B22" s="46" t="str">
        <x:v>Atlantic, Western Central</x:v>
      </x:c>
      <x:c r="C22" s="46" t="str">
        <x:v>High Seas</x:v>
      </x:c>
      <x:c r="D22" s="58" t="n">
        <x:v>2019</x:v>
      </x:c>
      <x:c r="E22" s="46" t="str">
        <x:v>Carcharhinidae</x:v>
      </x:c>
      <x:c r="F22" s="46" t="str">
        <x:v>Requiem sharks</x:v>
      </x:c>
      <x:c r="G22" s="46" t="str">
        <x:v>Large sharks (&gt;=90 cm)</x:v>
      </x:c>
      <x:c r="H22" s="46" t="str">
        <x:v>Sharks &amp; rays</x:v>
      </x:c>
      <x:c r="I22" s="60" t="n">
        <x:v>3.7255505224</x:v>
      </x:c>
      <x:c r="J22" s="60" t="n">
        <x:v>3.7255505224</x:v>
      </x:c>
      <x:c r="K22" s="60" t="n">
        <x:v>0</x:v>
      </x:c>
      <x:c r="L22" s="60" t="n">
        <x:v>3.7255505224</x:v>
      </x:c>
      <x:c r="M22" s="60" t="n">
        <x:v>0</x:v>
      </x:c>
      <x:c r="N22" s="46" t="str">
        <x:v>carcharhinidae</x:v>
      </x:c>
      <x:c r="O22" s="62" t="n">
        <x:v>4.24</x:v>
      </x:c>
      <x:c r="P22" s="46" t="str">
        <x:v>exact_sea_around_us</x:v>
      </x:c>
      <x:c r="Q22" s="62" t="str">
        <x:v>Sea Around Us exploited organisms</x:v>
      </x:c>
      <x:c r="R22" s="46" t="str">
        <x:v>high</x:v>
      </x:c>
      <x:c r="S22" s="46" t="str">
        <x:v>Carcharhinidae</x:v>
      </x:c>
      <x:c r="T22" s="62" t="n">
        <x:f>IF(O22="","",(1/'Metadata'!$B$5)^(O22-1))</x:f>
        <x:v>1737.8008287493763</x:v>
      </x:c>
      <x:c r="U22" s="60" t="n">
        <x:f>IF(T22="","",I22*T22)</x:f>
        <x:v>6474.264785374391</x:v>
      </x:c>
    </x:row>
    <x:row r="23" ht="18" customHeight="1">
      <x:c r="A23" s="46" t="str">
        <x:v>HS_031</x:v>
      </x:c>
      <x:c r="B23" s="46" t="str">
        <x:v>Atlantic, Western Central</x:v>
      </x:c>
      <x:c r="C23" s="46" t="str">
        <x:v>High Seas</x:v>
      </x:c>
      <x:c r="D23" s="58" t="n">
        <x:v>2019</x:v>
      </x:c>
      <x:c r="E23" s="46" t="str">
        <x:v>Thunnus thynnus</x:v>
      </x:c>
      <x:c r="F23" s="46" t="str">
        <x:v>Atlantic bluefin tuna</x:v>
      </x:c>
      <x:c r="G23" s="46" t="str">
        <x:v>Large pelagics (&gt;=90 cm)</x:v>
      </x:c>
      <x:c r="H23" s="46" t="str">
        <x:v>Tuna &amp; billfishes</x:v>
      </x:c>
      <x:c r="I23" s="60" t="n">
        <x:v>2.7902390646999997</x:v>
      </x:c>
      <x:c r="J23" s="60" t="n">
        <x:v>2.7902390646999997</x:v>
      </x:c>
      <x:c r="K23" s="60" t="n">
        <x:v>0</x:v>
      </x:c>
      <x:c r="L23" s="60" t="n">
        <x:v>2.7902390646999997</x:v>
      </x:c>
      <x:c r="M23" s="60" t="n">
        <x:v>0</x:v>
      </x:c>
      <x:c r="N23" s="46" t="str">
        <x:v>thunnus thynnus</x:v>
      </x:c>
      <x:c r="O23" s="62" t="n">
        <x:v>4.45</x:v>
      </x:c>
      <x:c r="P23" s="46" t="str">
        <x:v>exact_2020_supplement</x:v>
      </x:c>
      <x:c r="Q23" s="62" t="str">
        <x:v>2020 supplement MeanTL</x:v>
      </x:c>
      <x:c r="R23" s="46" t="str">
        <x:v>high</x:v>
      </x:c>
      <x:c r="S23" s="46" t="str">
        <x:v>Thunnus thynnus</x:v>
      </x:c>
      <x:c r="T23" s="62" t="n">
        <x:f>IF(O23="","",(1/'Metadata'!$B$5)^(O23-1))</x:f>
        <x:v>2818.382931264455</x:v>
      </x:c>
      <x:c r="U23" s="60" t="n">
        <x:f>IF(T23="","",I23*T23)</x:f>
        <x:v>7863.962154097776</x:v>
      </x:c>
    </x:row>
    <x:row r="24" ht="18" customHeight="1">
      <x:c r="A24" s="46" t="str">
        <x:v>HS_031</x:v>
      </x:c>
      <x:c r="B24" s="46" t="str">
        <x:v>Atlantic, Western Central</x:v>
      </x:c>
      <x:c r="C24" s="46" t="str">
        <x:v>High Seas</x:v>
      </x:c>
      <x:c r="D24" s="58" t="n">
        <x:v>2019</x:v>
      </x:c>
      <x:c r="E24" s="46" t="str">
        <x:v>Istiophoridae</x:v>
      </x:c>
      <x:c r="F24" s="46" t="str">
        <x:v>Billfishes</x:v>
      </x:c>
      <x:c r="G24" s="46" t="str">
        <x:v>Large pelagics (&gt;=90 cm)</x:v>
      </x:c>
      <x:c r="H24" s="46" t="str">
        <x:v>Tuna &amp; billfishes</x:v>
      </x:c>
      <x:c r="I24" s="60" t="n">
        <x:v>1.6235547191</x:v>
      </x:c>
      <x:c r="J24" s="60" t="n">
        <x:v>1.6235547191</x:v>
      </x:c>
      <x:c r="K24" s="60" t="n">
        <x:v>0</x:v>
      </x:c>
      <x:c r="L24" s="60" t="n">
        <x:v>1.6235547191</x:v>
      </x:c>
      <x:c r="M24" s="60" t="n">
        <x:v>0</x:v>
      </x:c>
      <x:c r="N24" s="46" t="str">
        <x:v>istiophoridae</x:v>
      </x:c>
      <x:c r="O24" s="62" t="n">
        <x:v>4.48</x:v>
      </x:c>
      <x:c r="P24" s="46" t="str">
        <x:v>exact_sea_around_us</x:v>
      </x:c>
      <x:c r="Q24" s="62" t="str">
        <x:v>Sea Around Us exploited organisms</x:v>
      </x:c>
      <x:c r="R24" s="46" t="str">
        <x:v>high</x:v>
      </x:c>
      <x:c r="S24" s="46" t="str">
        <x:v>Istiophoridae</x:v>
      </x:c>
      <x:c r="T24" s="62" t="n">
        <x:f>IF(O24="","",(1/'Metadata'!$B$5)^(O24-1))</x:f>
        <x:v>3019.951720402019</x:v>
      </x:c>
      <x:c r="U24" s="60" t="n">
        <x:f>IF(T24="","",I24*T24)</x:f>
        <x:v>4903.056867112861</x:v>
      </x:c>
    </x:row>
    <x:row r="25" ht="18" customHeight="1">
      <x:c r="A25" s="46" t="str">
        <x:v>HS_031</x:v>
      </x:c>
      <x:c r="B25" s="46" t="str">
        <x:v>Atlantic, Western Central</x:v>
      </x:c>
      <x:c r="C25" s="46" t="str">
        <x:v>High Seas</x:v>
      </x:c>
      <x:c r="D25" s="58" t="n">
        <x:v>2019</x:v>
      </x:c>
      <x:c r="E25" s="46" t="str">
        <x:v>Isurus paucus</x:v>
      </x:c>
      <x:c r="F25" s="46" t="str">
        <x:v>Longfin mako</x:v>
      </x:c>
      <x:c r="G25" s="46" t="str">
        <x:v>Large sharks (&gt;=90 cm)</x:v>
      </x:c>
      <x:c r="H25" s="46" t="str">
        <x:v>Sharks &amp; rays</x:v>
      </x:c>
      <x:c r="I25" s="60" t="n">
        <x:v>1.5955107812</x:v>
      </x:c>
      <x:c r="J25" s="60" t="n">
        <x:v>1.5955107812</x:v>
      </x:c>
      <x:c r="K25" s="60" t="n">
        <x:v>0</x:v>
      </x:c>
      <x:c r="L25" s="60" t="n">
        <x:v>1.5955107812</x:v>
      </x:c>
      <x:c r="M25" s="60" t="n">
        <x:v>0</x:v>
      </x:c>
      <x:c r="N25" s="46" t="str">
        <x:v>isurus paucus</x:v>
      </x:c>
      <x:c r="O25" s="62" t="n">
        <x:v>4.51</x:v>
      </x:c>
      <x:c r="P25" s="46" t="str">
        <x:v>exact_2020_supplement</x:v>
      </x:c>
      <x:c r="Q25" s="62" t="str">
        <x:v>2020 supplement MeanTL</x:v>
      </x:c>
      <x:c r="R25" s="46" t="str">
        <x:v>high</x:v>
      </x:c>
      <x:c r="S25" s="46" t="str">
        <x:v>Isurus paucus</x:v>
      </x:c>
      <x:c r="T25" s="62" t="n">
        <x:f>IF(O25="","",(1/'Metadata'!$B$5)^(O25-1))</x:f>
        <x:v>3235.936569296281</x:v>
      </x:c>
      <x:c r="U25" s="60" t="n">
        <x:f>IF(T25="","",I25*T25)</x:f>
        <x:v>5162.971683591557</x:v>
      </x:c>
    </x:row>
    <x:row r="26" ht="18" customHeight="1">
      <x:c r="A26" s="46" t="str">
        <x:v>HS_031</x:v>
      </x:c>
      <x:c r="B26" s="46" t="str">
        <x:v>Atlantic, Western Central</x:v>
      </x:c>
      <x:c r="C26" s="46" t="str">
        <x:v>High Seas</x:v>
      </x:c>
      <x:c r="D26" s="58" t="n">
        <x:v>2019</x:v>
      </x:c>
      <x:c r="E26" s="46" t="str">
        <x:v>Sphyraena barracuda</x:v>
      </x:c>
      <x:c r="F26" s="46" t="str">
        <x:v>Great barracuda</x:v>
      </x:c>
      <x:c r="G26" s="46" t="str">
        <x:v>Large pelagics (&gt;=90 cm)</x:v>
      </x:c>
      <x:c r="H26" s="46" t="str">
        <x:v>Perch-likes</x:v>
      </x:c>
      <x:c r="I26" s="60" t="n">
        <x:v>1.4640809297</x:v>
      </x:c>
      <x:c r="J26" s="60" t="n">
        <x:v>1.4640809297</x:v>
      </x:c>
      <x:c r="K26" s="60" t="n">
        <x:v>0</x:v>
      </x:c>
      <x:c r="L26" s="60" t="n">
        <x:v>1.4640809297</x:v>
      </x:c>
      <x:c r="M26" s="60" t="n">
        <x:v>0</x:v>
      </x:c>
      <x:c r="N26" s="46" t="str">
        <x:v>sphyraena barracuda</x:v>
      </x:c>
      <x:c r="O26" s="62" t="n">
        <x:v>4.49</x:v>
      </x:c>
      <x:c r="P26" s="46" t="str">
        <x:v>exact_2020_supplement</x:v>
      </x:c>
      <x:c r="Q26" s="62" t="str">
        <x:v>2020 supplement MeanTL</x:v>
      </x:c>
      <x:c r="R26" s="46" t="str">
        <x:v>high</x:v>
      </x:c>
      <x:c r="S26" s="46" t="str">
        <x:v>Sphyraena barracuda</x:v>
      </x:c>
      <x:c r="T26" s="62" t="n">
        <x:f>IF(O26="","",(1/'Metadata'!$B$5)^(O26-1))</x:f>
        <x:v>3090.295432513592</x:v>
      </x:c>
      <x:c r="U26" s="60" t="n">
        <x:f>IF(T26="","",I26*T26)</x:f>
        <x:v>4524.442609882163</x:v>
      </x:c>
    </x:row>
    <x:row r="27" ht="18" customHeight="1">
      <x:c r="A27" s="46" t="str">
        <x:v>HS_031</x:v>
      </x:c>
      <x:c r="B27" s="46" t="str">
        <x:v>Atlantic, Western Central</x:v>
      </x:c>
      <x:c r="C27" s="46" t="str">
        <x:v>High Seas</x:v>
      </x:c>
      <x:c r="D27" s="58" t="n">
        <x:v>2019</x:v>
      </x:c>
      <x:c r="E27" s="46" t="str">
        <x:v>Auxis thazard</x:v>
      </x:c>
      <x:c r="F27" s="46" t="str">
        <x:v>Frigate tuna</x:v>
      </x:c>
      <x:c r="G27" s="46" t="str">
        <x:v>Medium pelagics (30 - 89 cm)</x:v>
      </x:c>
      <x:c r="H27" s="46" t="str">
        <x:v>Tuna &amp; billfishes</x:v>
      </x:c>
      <x:c r="I27" s="60" t="n">
        <x:v>0.6041767577</x:v>
      </x:c>
      <x:c r="J27" s="60" t="n">
        <x:v>0.6041767577</x:v>
      </x:c>
      <x:c r="K27" s="60" t="n">
        <x:v>0</x:v>
      </x:c>
      <x:c r="L27" s="60" t="n">
        <x:v>0.6041767577</x:v>
      </x:c>
      <x:c r="M27" s="60" t="n">
        <x:v>0</x:v>
      </x:c>
      <x:c r="N27" s="46" t="str">
        <x:v>auxis thazard</x:v>
      </x:c>
      <x:c r="O27" s="62" t="n">
        <x:v>4.37</x:v>
      </x:c>
      <x:c r="P27" s="46" t="str">
        <x:v>exact_2020_supplement</x:v>
      </x:c>
      <x:c r="Q27" s="62" t="str">
        <x:v>2020 supplement MeanTL</x:v>
      </x:c>
      <x:c r="R27" s="46" t="str">
        <x:v>high</x:v>
      </x:c>
      <x:c r="S27" s="46" t="str">
        <x:v>Auxis thazard</x:v>
      </x:c>
      <x:c r="T27" s="62" t="n">
        <x:f>IF(O27="","",(1/'Metadata'!$B$5)^(O27-1))</x:f>
        <x:v>2344.228815319923</x:v>
      </x:c>
      <x:c r="U27" s="60" t="n">
        <x:f>IF(T27="","",I27*T27)</x:f>
        <x:v>1416.328564946903</x:v>
      </x:c>
    </x:row>
    <x:row r="28" ht="18" customHeight="1">
      <x:c r="A28" s="46" t="str">
        <x:v>HS_031</x:v>
      </x:c>
      <x:c r="B28" s="46" t="str">
        <x:v>Atlantic, Western Central</x:v>
      </x:c>
      <x:c r="C28" s="46" t="str">
        <x:v>High Seas</x:v>
      </x:c>
      <x:c r="D28" s="58" t="n">
        <x:v>2019</x:v>
      </x:c>
      <x:c r="E28" s="46" t="str">
        <x:v>Alopias</x:v>
      </x:c>
      <x:c r="F28" s="46" t="str">
        <x:v>Thresher sharks</x:v>
      </x:c>
      <x:c r="G28" s="46" t="str">
        <x:v>Large sharks (&gt;=90 cm)</x:v>
      </x:c>
      <x:c r="H28" s="46" t="str">
        <x:v>Sharks &amp; rays</x:v>
      </x:c>
      <x:c r="I28" s="60" t="n">
        <x:v>0.4756676784</x:v>
      </x:c>
      <x:c r="J28" s="60" t="n">
        <x:v>0.4756676784</x:v>
      </x:c>
      <x:c r="K28" s="60" t="n">
        <x:v>0</x:v>
      </x:c>
      <x:c r="L28" s="60" t="n">
        <x:v>0.4756676784</x:v>
      </x:c>
      <x:c r="M28" s="60" t="n">
        <x:v>0</x:v>
      </x:c>
      <x:c r="N28" s="46" t="str">
        <x:v>alopias</x:v>
      </x:c>
      <x:c r="O28" s="62" t="n">
        <x:v>4.5</x:v>
      </x:c>
      <x:c r="P28" s="46" t="str">
        <x:v>exact_sea_around_us</x:v>
      </x:c>
      <x:c r="Q28" s="62" t="str">
        <x:v>Sea Around Us exploited organisms</x:v>
      </x:c>
      <x:c r="R28" s="46" t="str">
        <x:v>high</x:v>
      </x:c>
      <x:c r="S28" s="46" t="str">
        <x:v>Alopias</x:v>
      </x:c>
      <x:c r="T28" s="62" t="n">
        <x:f>IF(O28="","",(1/'Metadata'!$B$5)^(O28-1))</x:f>
        <x:v>3162.2776601683795</x:v>
      </x:c>
      <x:c r="U28" s="60" t="n">
        <x:f>IF(T28="","",I28*T28)</x:f>
        <x:v>1504.1932730684773</x:v>
      </x:c>
    </x:row>
    <x:row r="29" ht="18" customHeight="1">
      <x:c r="A29" s="46" t="str">
        <x:v>HS_031</x:v>
      </x:c>
      <x:c r="B29" s="46" t="str">
        <x:v>Atlantic, Western Central</x:v>
      </x:c>
      <x:c r="C29" s="46" t="str">
        <x:v>High Seas</x:v>
      </x:c>
      <x:c r="D29" s="58" t="n">
        <x:v>2019</x:v>
      </x:c>
      <x:c r="E29" s="46" t="str">
        <x:v>Carcharhinus falciformis</x:v>
      </x:c>
      <x:c r="F29" s="46" t="str">
        <x:v>Silky shark</x:v>
      </x:c>
      <x:c r="G29" s="46" t="str">
        <x:v>Large sharks (&gt;=90 cm)</x:v>
      </x:c>
      <x:c r="H29" s="46" t="str">
        <x:v>Sharks &amp; rays</x:v>
      </x:c>
      <x:c r="I29" s="60" t="n">
        <x:v>0.0302107849</x:v>
      </x:c>
      <x:c r="J29" s="60" t="n">
        <x:v>0.0302107849</x:v>
      </x:c>
      <x:c r="K29" s="60" t="n">
        <x:v>0</x:v>
      </x:c>
      <x:c r="L29" s="60" t="n">
        <x:v>0.0302107849</x:v>
      </x:c>
      <x:c r="M29" s="60" t="n">
        <x:v>0</x:v>
      </x:c>
      <x:c r="N29" s="46" t="str">
        <x:v>carcharhinus falciformis</x:v>
      </x:c>
      <x:c r="O29" s="62" t="n">
        <x:v>4.51</x:v>
      </x:c>
      <x:c r="P29" s="46" t="str">
        <x:v>exact_2020_supplement</x:v>
      </x:c>
      <x:c r="Q29" s="62" t="str">
        <x:v>2020 supplement MeanTL</x:v>
      </x:c>
      <x:c r="R29" s="46" t="str">
        <x:v>high</x:v>
      </x:c>
      <x:c r="S29" s="46" t="str">
        <x:v>Carcharhinus falciformis</x:v>
      </x:c>
      <x:c r="T29" s="62" t="n">
        <x:f>IF(O29="","",(1/'Metadata'!$B$5)^(O29-1))</x:f>
        <x:v>3235.936569296281</x:v>
      </x:c>
      <x:c r="U29" s="60" t="n">
        <x:f>IF(T29="","",I29*T29)</x:f>
        <x:v>97.76018364505389</x:v>
      </x:c>
    </x:row>
    <x:row r="30" ht="18" customHeight="1">
      <x:c r="A30" s="46" t="str">
        <x:v>HS_031</x:v>
      </x:c>
      <x:c r="B30" s="46" t="str">
        <x:v>Atlantic, Western Central</x:v>
      </x:c>
      <x:c r="C30" s="46" t="str">
        <x:v>High Seas</x:v>
      </x:c>
      <x:c r="D30" s="58" t="n">
        <x:v>2019</x:v>
      </x:c>
      <x:c r="E30" s="46" t="str">
        <x:v>Caranx hippos</x:v>
      </x:c>
      <x:c r="F30" s="46" t="str">
        <x:v>Crevalle jack</x:v>
      </x:c>
      <x:c r="G30" s="46" t="str">
        <x:v>Large reef assoc. fish (&gt;=90 cm)</x:v>
      </x:c>
      <x:c r="H30" s="46" t="str">
        <x:v>Perch-likes</x:v>
      </x:c>
      <x:c r="I30" s="60" t="n">
        <x:v>0.0206110207</x:v>
      </x:c>
      <x:c r="J30" s="60" t="n">
        <x:v>0.0206110207</x:v>
      </x:c>
      <x:c r="K30" s="60" t="n">
        <x:v>0</x:v>
      </x:c>
      <x:c r="L30" s="60" t="n">
        <x:v>0.0206110207</x:v>
      </x:c>
      <x:c r="M30" s="60" t="n">
        <x:v>0</x:v>
      </x:c>
      <x:c r="N30" s="46" t="str">
        <x:v>caranx hippos</x:v>
      </x:c>
      <x:c r="O30" s="62" t="n">
        <x:v>3.56</x:v>
      </x:c>
      <x:c r="P30" s="46" t="str">
        <x:v>exact_2020_supplement</x:v>
      </x:c>
      <x:c r="Q30" s="62" t="str">
        <x:v>2020 supplement MeanTL</x:v>
      </x:c>
      <x:c r="R30" s="46" t="str">
        <x:v>high</x:v>
      </x:c>
      <x:c r="S30" s="46" t="str">
        <x:v>Caranx hippos</x:v>
      </x:c>
      <x:c r="T30" s="62" t="n">
        <x:f>IF(O30="","",(1/'Metadata'!$B$5)^(O30-1))</x:f>
        <x:v>363.0780547701014</x:v>
      </x:c>
      <x:c r="U30" s="60" t="n">
        <x:f>IF(T30="","",I30*T30)</x:f>
        <x:v>7.483409302582293</x:v>
      </x:c>
    </x:row>
    <x:row r="31" ht="18" customHeight="1">
      <x:c r="A31" s="46" t="str">
        <x:v>HS_031</x:v>
      </x:c>
      <x:c r="B31" s="46" t="str">
        <x:v>Atlantic, Western Central</x:v>
      </x:c>
      <x:c r="C31" s="46" t="str">
        <x:v>High Seas</x:v>
      </x:c>
      <x:c r="D31" s="58" t="n">
        <x:v>2019</x:v>
      </x:c>
      <x:c r="E31" s="46" t="str">
        <x:v>Thunnus</x:v>
      </x:c>
      <x:c r="F31" s="46" t="str">
        <x:v>Tunas</x:v>
      </x:c>
      <x:c r="G31" s="46" t="str">
        <x:v>Large pelagics (&gt;=90 cm)</x:v>
      </x:c>
      <x:c r="H31" s="46" t="str">
        <x:v>Tuna &amp; billfishes</x:v>
      </x:c>
      <x:c r="I31" s="60" t="n">
        <x:v>0.0111505102</x:v>
      </x:c>
      <x:c r="J31" s="60" t="n">
        <x:v>0.0111505102</x:v>
      </x:c>
      <x:c r="K31" s="60" t="n">
        <x:v>0</x:v>
      </x:c>
      <x:c r="L31" s="60" t="n">
        <x:v>0.0111505102</x:v>
      </x:c>
      <x:c r="M31" s="60" t="n">
        <x:v>0</x:v>
      </x:c>
      <x:c r="N31" s="46" t="str">
        <x:v>thunnus</x:v>
      </x:c>
      <x:c r="O31" s="62" t="n">
        <x:v>4.34</x:v>
      </x:c>
      <x:c r="P31" s="46" t="str">
        <x:v>exact_sea_around_us</x:v>
      </x:c>
      <x:c r="Q31" s="62" t="str">
        <x:v>Sea Around Us exploited organisms</x:v>
      </x:c>
      <x:c r="R31" s="46" t="str">
        <x:v>high</x:v>
      </x:c>
      <x:c r="S31" s="46" t="str">
        <x:v>Thunnus</x:v>
      </x:c>
      <x:c r="T31" s="62" t="n">
        <x:f>IF(O31="","",(1/'Metadata'!$B$5)^(O31-1))</x:f>
        <x:v>2187.761623949552</x:v>
      </x:c>
      <x:c r="U31" s="60" t="n">
        <x:f>IF(T31="","",I31*T31)</x:f>
        <x:v>24.394658303018044</x:v>
      </x:c>
    </x:row>
    <x:row r="32" ht="18" customHeight="1">
      <x:c r="A32" s="46" t="str">
        <x:v>HS_031</x:v>
      </x:c>
      <x:c r="B32" s="46" t="str">
        <x:v>Atlantic, Western Central</x:v>
      </x:c>
      <x:c r="C32" s="46" t="str">
        <x:v>High Seas</x:v>
      </x:c>
      <x:c r="D32" s="58" t="n">
        <x:v>2019</x:v>
      </x:c>
      <x:c r="E32" s="46" t="str">
        <x:v>Brama brama</x:v>
      </x:c>
      <x:c r="F32" s="46" t="str">
        <x:v>Atlantic pomfret</x:v>
      </x:c>
      <x:c r="G32" s="46" t="str">
        <x:v>Medium bathypelagics (30 - 89 cm)</x:v>
      </x:c>
      <x:c r="H32" s="46" t="str">
        <x:v>Perch-likes</x:v>
      </x:c>
      <x:c r="I32" s="60" t="n">
        <x:v>0.0074160617</x:v>
      </x:c>
      <x:c r="J32" s="60" t="n">
        <x:v>0.0074160617</x:v>
      </x:c>
      <x:c r="K32" s="60" t="n">
        <x:v>0</x:v>
      </x:c>
      <x:c r="L32" s="60" t="n">
        <x:v>0.0074160617</x:v>
      </x:c>
      <x:c r="M32" s="60" t="n">
        <x:v>0</x:v>
      </x:c>
      <x:c r="N32" s="46" t="str">
        <x:v>brama brama</x:v>
      </x:c>
      <x:c r="O32" s="62" t="n">
        <x:v>4.08</x:v>
      </x:c>
      <x:c r="P32" s="46" t="str">
        <x:v>exact_2020_supplement</x:v>
      </x:c>
      <x:c r="Q32" s="62" t="str">
        <x:v>2020 supplement MeanTL</x:v>
      </x:c>
      <x:c r="R32" s="46" t="str">
        <x:v>high</x:v>
      </x:c>
      <x:c r="S32" s="46" t="str">
        <x:v>Brama brama</x:v>
      </x:c>
      <x:c r="T32" s="62" t="n">
        <x:f>IF(O32="","",(1/'Metadata'!$B$5)^(O32-1))</x:f>
        <x:v>1202.2644346174131</x:v>
      </x:c>
      <x:c r="U32" s="60" t="n">
        <x:f>IF(T32="","",I32*T32)</x:f>
        <x:v>8.91606722683835</x:v>
      </x:c>
    </x:row>
    <x:row r="33" ht="18" customHeight="1">
      <x:c r="A33" s="46" t="str">
        <x:v>HS_031</x:v>
      </x:c>
      <x:c r="B33" s="46" t="str">
        <x:v>Atlantic, Western Central</x:v>
      </x:c>
      <x:c r="C33" s="46" t="str">
        <x:v>High Seas</x:v>
      </x:c>
      <x:c r="D33" s="58" t="n">
        <x:v>2019</x:v>
      </x:c>
      <x:c r="E33" s="46" t="str">
        <x:v>Carcharhinus longimanus</x:v>
      </x:c>
      <x:c r="F33" s="46" t="str">
        <x:v>Oceanic whitetip shark</x:v>
      </x:c>
      <x:c r="G33" s="46" t="str">
        <x:v>Large sharks (&gt;=90 cm)</x:v>
      </x:c>
      <x:c r="H33" s="46" t="str">
        <x:v>Sharks &amp; rays</x:v>
      </x:c>
      <x:c r="I33" s="60" t="n">
        <x:v>0.0067017914</x:v>
      </x:c>
      <x:c r="J33" s="60" t="n">
        <x:v>0.0067017914</x:v>
      </x:c>
      <x:c r="K33" s="60" t="n">
        <x:v>0</x:v>
      </x:c>
      <x:c r="L33" s="60" t="n">
        <x:v>0.0067017914</x:v>
      </x:c>
      <x:c r="M33" s="60" t="n">
        <x:v>0</x:v>
      </x:c>
      <x:c r="N33" s="46" t="str">
        <x:v>carcharhinus longimanus</x:v>
      </x:c>
      <x:c r="O33" s="62" t="n">
        <x:v>4.16</x:v>
      </x:c>
      <x:c r="P33" s="46" t="str">
        <x:v>exact_2020_supplement</x:v>
      </x:c>
      <x:c r="Q33" s="62" t="str">
        <x:v>2020 supplement MeanTL</x:v>
      </x:c>
      <x:c r="R33" s="46" t="str">
        <x:v>high</x:v>
      </x:c>
      <x:c r="S33" s="46" t="str">
        <x:v>Carcharhinus longimanus</x:v>
      </x:c>
      <x:c r="T33" s="62" t="n">
        <x:f>IF(O33="","",(1/'Metadata'!$B$5)^(O33-1))</x:f>
        <x:v>1445.439770745928</x:v>
      </x:c>
      <x:c r="U33" s="60" t="n">
        <x:f>IF(T33="","",I33*T33)</x:f>
        <x:v>9.687035824803031</x:v>
      </x:c>
    </x:row>
  </x:sheetData>
  <x:conditionalFormatting sqref="R2:R33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cfd7d817e90b4398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56" t="str">
        <x:v>commercial_group</x:v>
      </x:c>
      <x:c r="B1" s="56" t="str">
        <x:v>taxon_count_total</x:v>
      </x:c>
      <x:c r="C1" s="56" t="str">
        <x:v>taxon_count_matched</x:v>
      </x:c>
      <x:c r="D1" s="56" t="str">
        <x:v>catch_tonnes_total</x:v>
      </x:c>
      <x:c r="E1" s="56" t="str">
        <x:v>catch_tonnes_matched</x:v>
      </x:c>
      <x:c r="F1" s="56" t="str">
        <x:v>catch_tonnes_missing_tl</x:v>
      </x:c>
      <x:c r="G1" s="56" t="str">
        <x:v>catch_coverage_fraction</x:v>
      </x:c>
      <x:c r="H1" s="56" t="str">
        <x:v>sppr_correct</x:v>
      </x:c>
      <x:c r="I1" s="56" t="str">
        <x:v>ppr_correct</x:v>
      </x:c>
      <x:c r="J1" s="56" t="str">
        <x:v>tl_weighted_jensen</x:v>
      </x:c>
      <x:c r="K1" s="56" t="str">
        <x:v>sppr_jensen</x:v>
      </x:c>
      <x:c r="L1" s="56" t="str">
        <x:v>ppr_jensen</x:v>
      </x:c>
      <x:c r="M1" s="56" t="str">
        <x:v>jensen_difference</x:v>
      </x:c>
      <x:c r="N1" s="56" t="str">
        <x:v>jensen_ratio_correct_to_error</x:v>
      </x:c>
      <x:c r="O1" s="56" t="str">
        <x:v>jensen_percent_difference</x:v>
      </x:c>
    </x:row>
    <x:row r="2" ht="18" customHeight="1">
      <x:c r="A2" s="46" t="str">
        <x:v>Other fishes &amp; inverts</x:v>
      </x:c>
      <x:c r="B2" s="64" t="n">
        <x:v>2</x:v>
      </x:c>
      <x:c r="C2" s="64" t="n">
        <x:v>2</x:v>
      </x:c>
      <x:c r="D2" s="60" t="n">
        <x:v>3850.3552854922</x:v>
      </x:c>
      <x:c r="E2" s="60" t="n">
        <x:v>3850.3552854922</x:v>
      </x:c>
      <x:c r="F2" s="62" t="n">
        <x:v>0</x:v>
      </x:c>
      <x:c r="G2" s="66" t="n">
        <x:v>1</x:v>
      </x:c>
      <x:c r="H2" s="62" t="n">
        <x:f>IF(E2=0,"",I2/E2)</x:f>
        <x:v>196.37228491108365</x:v>
      </x:c>
      <x:c r="I2" s="60" t="n">
        <x:f>SUMIF('Species'!$H$2:$H$33,A2,'Species'!$U$2:$U$33)</x:f>
        <x:v>756103.0651315711</x:v>
      </x:c>
      <x:c r="J2" s="62" t="n">
        <x:v>3.292237724398614</x:v>
      </x:c>
      <x:c r="K2" s="62" t="n">
        <x:f>IF(J2="","",(1/'Metadata'!$B$5)^(J2-1))</x:f>
        <x:v>195.99172007028758</x:v>
      </x:c>
      <x:c r="L2" s="60" t="n">
        <x:f>IF(E2=0,"",E2*K2)</x:f>
        <x:v>754637.7552853395</x:v>
      </x:c>
      <x:c r="M2" s="60" t="n">
        <x:f>I2-L2</x:f>
        <x:v>1465.3098462315975</x:v>
      </x:c>
      <x:c r="N2" s="62" t="n">
        <x:f>IF(L2=0,"",I2/L2)</x:f>
        <x:v>1.0019417393788859</x:v>
      </x:c>
      <x:c r="O2" s="66" t="n">
        <x:f>IF(L2=0,"",M2/L2)</x:f>
        <x:v>0.00194173937888589</x:v>
      </x:c>
    </x:row>
    <x:row r="3" ht="18" customHeight="1">
      <x:c r="A3" s="46" t="str">
        <x:v>Perch-likes</x:v>
      </x:c>
      <x:c r="B3" s="64" t="n">
        <x:v>6</x:v>
      </x:c>
      <x:c r="C3" s="64" t="n">
        <x:v>6</x:v>
      </x:c>
      <x:c r="D3" s="60" t="n">
        <x:v>766.8285754965001</x:v>
      </x:c>
      <x:c r="E3" s="60" t="n">
        <x:v>766.8285754965001</x:v>
      </x:c>
      <x:c r="F3" s="62" t="n">
        <x:v>0</x:v>
      </x:c>
      <x:c r="G3" s="66" t="n">
        <x:v>1</x:v>
      </x:c>
      <x:c r="H3" s="62" t="n">
        <x:f>IF(E3=0,"",I3/E3)</x:f>
        <x:v>2028.539365953817</x:v>
      </x:c>
      <x:c r="I3" s="60" t="n">
        <x:f>SUMIF('Species'!$H$2:$H$33,A3,'Species'!$U$2:$U$33)</x:f>
        <x:v>1555541.952332939</x:v>
      </x:c>
      <x:c r="J3" s="62" t="n">
        <x:v>4.3037153144300175</x:v>
      </x:c>
      <x:c r="K3" s="62" t="n">
        <x:f>IF(J3="","",(1/'Metadata'!$B$5)^(J3-1))</x:f>
        <x:v>2012.40466049344</x:v>
      </x:c>
      <x:c r="L3" s="60" t="n">
        <x:f>IF(E3=0,"",E3*K3)</x:f>
        <x:v>1543169.3991287025</x:v>
      </x:c>
      <x:c r="M3" s="60" t="n">
        <x:f>I3-L3</x:f>
        <x:v>12372.553204236552</x:v>
      </x:c>
      <x:c r="N3" s="62" t="n">
        <x:f>IF(L3=0,"",I3/L3)</x:f>
        <x:v>1.0080176247735486</x:v>
      </x:c>
      <x:c r="O3" s="66" t="n">
        <x:f>IF(L3=0,"",M3/L3)</x:f>
        <x:v>0.008017624773548703</x:v>
      </x:c>
    </x:row>
    <x:row r="4" ht="18" customHeight="1">
      <x:c r="A4" s="46" t="str">
        <x:v>Sharks &amp; rays</x:v>
      </x:c>
      <x:c r="B4" s="64" t="n">
        <x:v>9</x:v>
      </x:c>
      <x:c r="C4" s="64" t="n">
        <x:v>9</x:v>
      </x:c>
      <x:c r="D4" s="60" t="n">
        <x:v>757.0219326704</x:v>
      </x:c>
      <x:c r="E4" s="60" t="n">
        <x:v>757.0219326704</x:v>
      </x:c>
      <x:c r="F4" s="62" t="n">
        <x:v>0</x:v>
      </x:c>
      <x:c r="G4" s="66" t="n">
        <x:v>1</x:v>
      </x:c>
      <x:c r="H4" s="62" t="n">
        <x:f>IF(E4=0,"",I4/E4)</x:f>
        <x:v>1865.817835402028</x:v>
      </x:c>
      <x:c r="I4" s="60" t="n">
        <x:f>SUMIF('Species'!$H$2:$H$33,A4,'Species'!$U$2:$U$33)</x:f>
        <x:v>1412465.0237669456</x:v>
      </x:c>
      <x:c r="J4" s="62" t="n">
        <x:v>4.248051555732182</x:v>
      </x:c>
      <x:c r="K4" s="62" t="n">
        <x:f>IF(J4="","",(1/'Metadata'!$B$5)^(J4-1))</x:f>
        <x:v>1770.319103009942</x:v>
      </x:c>
      <x:c r="L4" s="60" t="n">
        <x:f>IF(E4=0,"",E4*K4)</x:f>
        <x:v>1340170.3888039151</x:v>
      </x:c>
      <x:c r="M4" s="60" t="n">
        <x:f>I4-L4</x:f>
        <x:v>72294.63496303046</x:v>
      </x:c>
      <x:c r="N4" s="62" t="n">
        <x:f>IF(L4=0,"",I4/L4)</x:f>
        <x:v>1.053944360782029</x:v>
      </x:c>
      <x:c r="O4" s="66" t="n">
        <x:f>IF(L4=0,"",M4/L4)</x:f>
        <x:v>0.05394436078202899</x:v>
      </x:c>
    </x:row>
    <x:row r="5" ht="18" customHeight="1">
      <x:c r="A5" s="46" t="str">
        <x:v>Tuna &amp; billfishes</x:v>
      </x:c>
      <x:c r="B5" s="64" t="n">
        <x:v>15</x:v>
      </x:c>
      <x:c r="C5" s="64" t="n">
        <x:v>15</x:v>
      </x:c>
      <x:c r="D5" s="60" t="n">
        <x:v>11484.8054095696</x:v>
      </x:c>
      <x:c r="E5" s="60" t="n">
        <x:v>11484.8054095696</x:v>
      </x:c>
      <x:c r="F5" s="62" t="n">
        <x:v>0</x:v>
      </x:c>
      <x:c r="G5" s="66" t="n">
        <x:v>1</x:v>
      </x:c>
      <x:c r="H5" s="62" t="n">
        <x:f>IF(E5=0,"",I5/E5)</x:f>
        <x:v>2535.664066785789</x:v>
      </x:c>
      <x:c r="I5" s="60" t="n">
        <x:f>SUMIF('Species'!$H$2:$H$33,A5,'Species'!$U$2:$U$33)</x:f>
        <x:v>29121608.391072687</x:v>
      </x:c>
      <x:c r="J5" s="62" t="n">
        <x:v>4.3976781806934</x:v>
      </x:c>
      <x:c r="K5" s="62" t="n">
        <x:f>IF(J5="","",(1/'Metadata'!$B$5)^(J5-1))</x:f>
        <x:v>2498.493251239538</x:v>
      </x:c>
      <x:c r="L5" s="60" t="n">
        <x:f>IF(E5=0,"",E5*K5)</x:f>
        <x:v>28694708.807608984</x:v>
      </x:c>
      <x:c r="M5" s="60" t="n">
        <x:f>I5-L5</x:f>
        <x:v>426899.58346370235</x:v>
      </x:c>
      <x:c r="N5" s="62" t="n">
        <x:f>IF(L5=0,"",I5/L5)</x:f>
        <x:v>1.014877292755468</x:v>
      </x:c>
      <x:c r="O5" s="66" t="n">
        <x:f>IF(L5=0,"",M5/L5)</x:f>
        <x:v>0.014877292755467909</x:v>
      </x:c>
    </x:row>
  </x:sheetData>
  <x:conditionalFormatting sqref="G2:G5">
    <x:cfRule type="cellIs" dxfId="1" priority="1" operator="lessThan">
      <x:formula>0.9</x:formula>
    </x:cfRule>
  </x:conditionalFormatting>
  <x:conditionalFormatting sqref="O2:O5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e86334f2254c4ee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56" t="str">
        <x:v>functional_group</x:v>
      </x:c>
      <x:c r="B1" s="56" t="str">
        <x:v>taxon_count_total</x:v>
      </x:c>
      <x:c r="C1" s="56" t="str">
        <x:v>taxon_count_matched</x:v>
      </x:c>
      <x:c r="D1" s="56" t="str">
        <x:v>catch_tonnes_total</x:v>
      </x:c>
      <x:c r="E1" s="56" t="str">
        <x:v>catch_tonnes_matched</x:v>
      </x:c>
      <x:c r="F1" s="56" t="str">
        <x:v>catch_tonnes_missing_tl</x:v>
      </x:c>
      <x:c r="G1" s="56" t="str">
        <x:v>catch_coverage_fraction</x:v>
      </x:c>
      <x:c r="H1" s="56" t="str">
        <x:v>sppr_correct</x:v>
      </x:c>
      <x:c r="I1" s="56" t="str">
        <x:v>ppr_correct</x:v>
      </x:c>
      <x:c r="J1" s="56" t="str">
        <x:v>tl_weighted_jensen</x:v>
      </x:c>
      <x:c r="K1" s="56" t="str">
        <x:v>sppr_jensen</x:v>
      </x:c>
      <x:c r="L1" s="56" t="str">
        <x:v>ppr_jensen</x:v>
      </x:c>
      <x:c r="M1" s="56" t="str">
        <x:v>jensen_difference</x:v>
      </x:c>
      <x:c r="N1" s="56" t="str">
        <x:v>jensen_ratio_correct_to_error</x:v>
      </x:c>
      <x:c r="O1" s="56" t="str">
        <x:v>jensen_percent_difference</x:v>
      </x:c>
    </x:row>
    <x:row r="2" ht="18" customHeight="1">
      <x:c r="A2" s="46" t="str">
        <x:v>Large pelagics (&gt;=90 cm)</x:v>
      </x:c>
      <x:c r="B2" s="64" t="n">
        <x:v>16</x:v>
      </x:c>
      <x:c r="C2" s="64" t="n">
        <x:v>16</x:v>
      </x:c>
      <x:c r="D2" s="60" t="n">
        <x:v>12023.375190387502</x:v>
      </x:c>
      <x:c r="E2" s="60" t="n">
        <x:v>12023.375190387502</x:v>
      </x:c>
      <x:c r="F2" s="62" t="n">
        <x:v>0</x:v>
      </x:c>
      <x:c r="G2" s="66" t="n">
        <x:v>1</x:v>
      </x:c>
      <x:c r="H2" s="62" t="n">
        <x:f>IF(E2=0,"",I2/E2)</x:f>
        <x:v>2515.9127541434136</x:v>
      </x:c>
      <x:c r="I2" s="60" t="n">
        <x:f>SUMIF('Species'!$G$2:$G$33,A2,'Species'!$U$2:$U$33)</x:f>
        <x:v>30249762.98934741</x:v>
      </x:c>
      <x:c r="J2" s="62" t="n">
        <x:v>4.394120367877951</x:v>
      </x:c>
      <x:c r="K2" s="62" t="n">
        <x:f>IF(J2="","",(1/'Metadata'!$B$5)^(J2-1))</x:f>
        <x:v>2478.1087883575874</x:v>
      </x:c>
      <x:c r="L2" s="60" t="n">
        <x:f>IF(E2=0,"",E2*K2)</x:f>
        <x:v>29795231.72501985</x:v>
      </x:c>
      <x:c r="M2" s="60" t="n">
        <x:f>I2-L2</x:f>
        <x:v>454531.2643275596</x:v>
      </x:c>
      <x:c r="N2" s="62" t="n">
        <x:f>IF(L2=0,"",I2/L2)</x:f>
        <x:v>1.0152551679584985</x:v>
      </x:c>
      <x:c r="O2" s="66" t="n">
        <x:f>IF(L2=0,"",M2/L2)</x:f>
        <x:v>0.01525516795849846</x:v>
      </x:c>
    </x:row>
    <x:row r="3" ht="18" customHeight="1">
      <x:c r="A3" s="46" t="str">
        <x:v>Large reef assoc. fish (&gt;=90 cm)</x:v>
      </x:c>
      <x:c r="B3" s="64" t="n">
        <x:v>1</x:v>
      </x:c>
      <x:c r="C3" s="64" t="n">
        <x:v>1</x:v>
      </x:c>
      <x:c r="D3" s="60" t="n">
        <x:v>0.0206110207</x:v>
      </x:c>
      <x:c r="E3" s="60" t="n">
        <x:v>0.0206110207</x:v>
      </x:c>
      <x:c r="F3" s="62" t="n">
        <x:v>0</x:v>
      </x:c>
      <x:c r="G3" s="66" t="n">
        <x:v>1</x:v>
      </x:c>
      <x:c r="H3" s="62" t="n">
        <x:f>IF(E3=0,"",I3/E3)</x:f>
        <x:v>363.0780547701014</x:v>
      </x:c>
      <x:c r="I3" s="60" t="n">
        <x:f>SUMIF('Species'!$G$2:$G$33,A3,'Species'!$U$2:$U$33)</x:f>
        <x:v>7.483409302582293</x:v>
      </x:c>
      <x:c r="J3" s="62" t="n">
        <x:v>3.56</x:v>
      </x:c>
      <x:c r="K3" s="62" t="n">
        <x:f>IF(J3="","",(1/'Metadata'!$B$5)^(J3-1))</x:f>
        <x:v>363.0780547701014</x:v>
      </x:c>
      <x:c r="L3" s="60" t="n">
        <x:f>IF(E3=0,"",E3*K3)</x:f>
        <x:v>7.483409302582293</x:v>
      </x:c>
      <x:c r="M3" s="60" t="n">
        <x:f>I3-L3</x:f>
        <x:v>0</x:v>
      </x:c>
      <x:c r="N3" s="62" t="n">
        <x:f>IF(L3=0,"",I3/L3)</x:f>
        <x:v>1</x:v>
      </x:c>
      <x:c r="O3" s="66" t="n">
        <x:f>IF(L3=0,"",M3/L3)</x:f>
        <x:v>0</x:v>
      </x:c>
    </x:row>
    <x:row r="4" ht="18" customHeight="1">
      <x:c r="A4" s="46" t="str">
        <x:v>Large sharks (&gt;=90 cm)</x:v>
      </x:c>
      <x:c r="B4" s="64" t="n">
        <x:v>9</x:v>
      </x:c>
      <x:c r="C4" s="64" t="n">
        <x:v>9</x:v>
      </x:c>
      <x:c r="D4" s="60" t="n">
        <x:v>757.0219326704</x:v>
      </x:c>
      <x:c r="E4" s="60" t="n">
        <x:v>757.0219326704</x:v>
      </x:c>
      <x:c r="F4" s="62" t="n">
        <x:v>0</x:v>
      </x:c>
      <x:c r="G4" s="66" t="n">
        <x:v>1</x:v>
      </x:c>
      <x:c r="H4" s="62" t="n">
        <x:f>IF(E4=0,"",I4/E4)</x:f>
        <x:v>1865.817835402028</x:v>
      </x:c>
      <x:c r="I4" s="60" t="n">
        <x:f>SUMIF('Species'!$G$2:$G$33,A4,'Species'!$U$2:$U$33)</x:f>
        <x:v>1412465.0237669456</x:v>
      </x:c>
      <x:c r="J4" s="62" t="n">
        <x:v>4.248051555732182</x:v>
      </x:c>
      <x:c r="K4" s="62" t="n">
        <x:f>IF(J4="","",(1/'Metadata'!$B$5)^(J4-1))</x:f>
        <x:v>1770.319103009942</x:v>
      </x:c>
      <x:c r="L4" s="60" t="n">
        <x:f>IF(E4=0,"",E4*K4)</x:f>
        <x:v>1340170.3888039151</x:v>
      </x:c>
      <x:c r="M4" s="60" t="n">
        <x:f>I4-L4</x:f>
        <x:v>72294.63496303046</x:v>
      </x:c>
      <x:c r="N4" s="62" t="n">
        <x:f>IF(L4=0,"",I4/L4)</x:f>
        <x:v>1.053944360782029</x:v>
      </x:c>
      <x:c r="O4" s="66" t="n">
        <x:f>IF(L4=0,"",M4/L4)</x:f>
        <x:v>0.05394436078202899</x:v>
      </x:c>
    </x:row>
    <x:row r="5" ht="18" customHeight="1">
      <x:c r="A5" s="46" t="str">
        <x:v>Medium bathypelagics (30 - 89 cm)</x:v>
      </x:c>
      <x:c r="B5" s="64" t="n">
        <x:v>1</x:v>
      </x:c>
      <x:c r="C5" s="64" t="n">
        <x:v>1</x:v>
      </x:c>
      <x:c r="D5" s="60" t="n">
        <x:v>0.0074160617</x:v>
      </x:c>
      <x:c r="E5" s="60" t="n">
        <x:v>0.0074160617</x:v>
      </x:c>
      <x:c r="F5" s="62" t="n">
        <x:v>0</x:v>
      </x:c>
      <x:c r="G5" s="66" t="n">
        <x:v>1</x:v>
      </x:c>
      <x:c r="H5" s="62" t="n">
        <x:f>IF(E5=0,"",I5/E5)</x:f>
        <x:v>1202.2644346174131</x:v>
      </x:c>
      <x:c r="I5" s="60" t="n">
        <x:f>SUMIF('Species'!$G$2:$G$33,A5,'Species'!$U$2:$U$33)</x:f>
        <x:v>8.91606722683835</x:v>
      </x:c>
      <x:c r="J5" s="62" t="n">
        <x:v>4.08</x:v>
      </x:c>
      <x:c r="K5" s="62" t="n">
        <x:f>IF(J5="","",(1/'Metadata'!$B$5)^(J5-1))</x:f>
        <x:v>1202.2644346174131</x:v>
      </x:c>
      <x:c r="L5" s="60" t="n">
        <x:f>IF(E5=0,"",E5*K5)</x:f>
        <x:v>8.91606722683835</x:v>
      </x:c>
      <x:c r="M5" s="60" t="n">
        <x:f>I5-L5</x:f>
        <x:v>0</x:v>
      </x:c>
      <x:c r="N5" s="62" t="n">
        <x:f>IF(L5=0,"",I5/L5)</x:f>
        <x:v>1</x:v>
      </x:c>
      <x:c r="O5" s="66" t="n">
        <x:f>IF(L5=0,"",M5/L5)</x:f>
        <x:v>0</x:v>
      </x:c>
    </x:row>
    <x:row r="6" ht="18" customHeight="1">
      <x:c r="A6" s="46" t="str">
        <x:v>Medium demersals (30 - 89 cm)</x:v>
      </x:c>
      <x:c r="B6" s="64" t="n">
        <x:v>1</x:v>
      </x:c>
      <x:c r="C6" s="64" t="n">
        <x:v>1</x:v>
      </x:c>
      <x:c r="D6" s="60" t="n">
        <x:v>3177.2183309122</x:v>
      </x:c>
      <x:c r="E6" s="60" t="n">
        <x:v>3177.2183309122</x:v>
      </x:c>
      <x:c r="F6" s="62" t="n">
        <x:v>0</x:v>
      </x:c>
      <x:c r="G6" s="66" t="n">
        <x:v>1</x:v>
      </x:c>
      <x:c r="H6" s="62" t="n">
        <x:f>IF(E6=0,"",I6/E6)</x:f>
        <x:v>190.54607179632464</x:v>
      </x:c>
      <x:c r="I6" s="60" t="n">
        <x:f>SUMIF('Species'!$G$2:$G$33,A6,'Species'!$U$2:$U$33)</x:f>
        <x:v>605406.4721945948</x:v>
      </x:c>
      <x:c r="J6" s="62" t="n">
        <x:v>3.28</x:v>
      </x:c>
      <x:c r="K6" s="62" t="n">
        <x:f>IF(J6="","",(1/'Metadata'!$B$5)^(J6-1))</x:f>
        <x:v>190.54607179632464</x:v>
      </x:c>
      <x:c r="L6" s="60" t="n">
        <x:f>IF(E6=0,"",E6*K6)</x:f>
        <x:v>605406.4721945948</x:v>
      </x:c>
      <x:c r="M6" s="60" t="n">
        <x:f>I6-L6</x:f>
        <x:v>0</x:v>
      </x:c>
      <x:c r="N6" s="62" t="n">
        <x:f>IF(L6=0,"",I6/L6)</x:f>
        <x:v>1</x:v>
      </x:c>
      <x:c r="O6" s="66" t="n">
        <x:f>IF(L6=0,"",M6/L6)</x:f>
        <x:v>0</x:v>
      </x:c>
    </x:row>
    <x:row r="7" ht="18" customHeight="1">
      <x:c r="A7" s="46" t="str">
        <x:v>Medium pelagics (30 - 89 cm)</x:v>
      </x:c>
      <x:c r="B7" s="64" t="n">
        <x:v>4</x:v>
      </x:c>
      <x:c r="C7" s="64" t="n">
        <x:v>4</x:v>
      </x:c>
      <x:c r="D7" s="60" t="n">
        <x:v>901.3677221762</x:v>
      </x:c>
      <x:c r="E7" s="60" t="n">
        <x:v>901.3677221762</x:v>
      </x:c>
      <x:c r="F7" s="62" t="n">
        <x:v>0</x:v>
      </x:c>
      <x:c r="G7" s="66" t="n">
        <x:v>1</x:v>
      </x:c>
      <x:c r="H7" s="62" t="n">
        <x:f>IF(E7=0,"",I7/E7)</x:f>
        <x:v>641.3226625455584</x:v>
      </x:c>
      <x:c r="I7" s="60" t="n">
        <x:f>SUMIF('Species'!$G$2:$G$33,A7,'Species'!$U$2:$U$33)</x:f>
        <x:v>578067.5475186658</x:v>
      </x:c>
      <x:c r="J7" s="62" t="n">
        <x:v>3.582818991610967</x:v>
      </x:c>
      <x:c r="K7" s="62" t="n">
        <x:f>IF(J7="","",(1/'Metadata'!$B$5)^(J7-1))</x:f>
        <x:v>382.6652201028891</x:v>
      </x:c>
      <x:c r="L7" s="60" t="n">
        <x:f>IF(E7=0,"",E7*K7)</x:f>
        <x:v>344922.0778001954</x:v>
      </x:c>
      <x:c r="M7" s="60" t="n">
        <x:f>I7-L7</x:f>
        <x:v>233145.4697184704</x:v>
      </x:c>
      <x:c r="N7" s="62" t="n">
        <x:f>IF(L7=0,"",I7/L7)</x:f>
        <x:v>1.6759366382268104</x:v>
      </x:c>
      <x:c r="O7" s="66" t="n">
        <x:f>IF(L7=0,"",M7/L7)</x:f>
        <x:v>0.6759366382268104</x:v>
      </x:c>
    </x:row>
  </x:sheetData>
  <x:conditionalFormatting sqref="G2:G7">
    <x:cfRule type="cellIs" dxfId="2" priority="1" operator="lessThan">
      <x:formula>0.9</x:formula>
    </x:cfRule>
  </x:conditionalFormatting>
  <x:conditionalFormatting sqref="O2:O7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55d3c2dbdb0a4f0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56" t="str">
        <x:v>unit_id</x:v>
      </x:c>
      <x:c r="B1" s="56" t="str">
        <x:v>region_name</x:v>
      </x:c>
      <x:c r="C1" s="56" t="str">
        <x:v>region_type</x:v>
      </x:c>
      <x:c r="D1" s="56" t="str">
        <x:v>year</x:v>
      </x:c>
      <x:c r="E1" s="56" t="str">
        <x:v>taxon</x:v>
      </x:c>
      <x:c r="F1" s="56" t="str">
        <x:v>common_name</x:v>
      </x:c>
      <x:c r="G1" s="56" t="str">
        <x:v>functional_group</x:v>
      </x:c>
      <x:c r="H1" s="56" t="str">
        <x:v>commercial_group</x:v>
      </x:c>
      <x:c r="I1" s="56" t="str">
        <x:v>catch_tonnes</x:v>
      </x:c>
      <x:c r="J1" s="56" t="str">
        <x:v>landings_tonnes</x:v>
      </x:c>
      <x:c r="K1" s="56" t="str">
        <x:v>discards_tonnes</x:v>
      </x:c>
      <x:c r="L1" s="56" t="str">
        <x:v>reported_tonnes</x:v>
      </x:c>
      <x:c r="M1" s="56" t="str">
        <x:v>unreported_tonnes</x:v>
      </x:c>
      <x:c r="N1" s="56" t="str">
        <x:v>taxon_key</x:v>
      </x:c>
      <x:c r="O1" s="56" t="str">
        <x:v>tl</x:v>
      </x:c>
      <x:c r="P1" s="56" t="str">
        <x:v>match_method</x:v>
      </x:c>
      <x:c r="Q1" s="56" t="str">
        <x:v>tl_source</x:v>
      </x:c>
      <x:c r="R1" s="56" t="str">
        <x:v>match_confidence</x:v>
      </x:c>
      <x:c r="S1" s="56" t="str">
        <x:v>reference_taxon</x:v>
      </x:c>
      <x:c r="T1" s="56" t="str">
        <x:v>sppr</x:v>
      </x:c>
      <x:c r="U1" s="56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56" t="str">
        <x:v>unit_id</x:v>
      </x:c>
      <x:c r="B1" s="56" t="str">
        <x:v>check</x:v>
      </x:c>
      <x:c r="C1" s="56" t="str">
        <x:v>value</x:v>
      </x:c>
      <x:c r="D1" s="56" t="str">
        <x:v>unit</x:v>
      </x:c>
    </x:row>
    <x:row r="2" ht="18" customHeight="1">
      <x:c r="A2" s="46" t="str">
        <x:v>HS_031</x:v>
      </x:c>
      <x:c r="B2" s="46" t="str">
        <x:v>raw_filtered_tonnes</x:v>
      </x:c>
      <x:c r="C2" s="46" t="n">
        <x:v>16859.0112032287</x:v>
      </x:c>
      <x:c r="D2" s="46" t="str">
        <x:v>tonnes</x:v>
      </x:c>
    </x:row>
    <x:row r="3" ht="18" customHeight="1">
      <x:c r="A3" s="46" t="str">
        <x:v>HS_031</x:v>
      </x:c>
      <x:c r="B3" s="46" t="str">
        <x:v>species_catch_tonnes</x:v>
      </x:c>
      <x:c r="C3" s="46" t="n">
        <x:v>16859.0112032287</x:v>
      </x:c>
      <x:c r="D3" s="46" t="str">
        <x:v>tonnes</x:v>
      </x:c>
    </x:row>
    <x:row r="4" ht="18" customHeight="1">
      <x:c r="A4" s="46" t="str">
        <x:v>HS_031</x:v>
      </x:c>
      <x:c r="B4" s="46" t="str">
        <x:v>catch_difference_tonnes</x:v>
      </x:c>
      <x:c r="C4" s="46" t="n">
        <x:v>0</x:v>
      </x:c>
      <x:c r="D4" s="46" t="str">
        <x:v>tonnes</x:v>
      </x:c>
    </x:row>
    <x:row r="5" ht="18" customHeight="1">
      <x:c r="A5" s="46" t="str">
        <x:v>HS_031</x:v>
      </x:c>
      <x:c r="B5" s="46" t="str">
        <x:v>catch_reconciled</x:v>
      </x:c>
      <x:c r="C5" s="46" t="str">
        <x:v>True</x:v>
      </x:c>
      <x:c r="D5" s="46" t="str">
        <x:v>boolean</x:v>
      </x:c>
    </x:row>
    <x:row r="6" ht="18" customHeight="1">
      <x:c r="A6" s="46" t="str">
        <x:v>HS_031</x:v>
      </x:c>
      <x:c r="B6" s="46" t="str">
        <x:v>matched_catch_tonnes</x:v>
      </x:c>
      <x:c r="C6" s="46" t="n">
        <x:v>16859.0112032287</x:v>
      </x:c>
      <x:c r="D6" s="46" t="str">
        <x:v>tonnes</x:v>
      </x:c>
    </x:row>
    <x:row r="7" ht="18" customHeight="1">
      <x:c r="A7" s="46" t="str">
        <x:v>HS_031</x:v>
      </x:c>
      <x:c r="B7" s="46" t="str">
        <x:v>catch_coverage_fraction</x:v>
      </x:c>
      <x:c r="C7" s="46" t="n">
        <x:v>1</x:v>
      </x:c>
      <x:c r="D7" s="46" t="str">
        <x:v>fraction</x:v>
      </x:c>
    </x:row>
    <x:row r="8" ht="18" customHeight="1">
      <x:c r="A8" s="46" t="str">
        <x:v>HS_031</x:v>
      </x:c>
      <x:c r="B8" s="46" t="str">
        <x:v>taxa_count</x:v>
      </x:c>
      <x:c r="C8" s="46" t="n">
        <x:v>32</x:v>
      </x:c>
      <x:c r="D8" s="46" t="str">
        <x:v>count</x:v>
      </x:c>
    </x:row>
    <x:row r="9" ht="18" customHeight="1">
      <x:c r="A9" s="46" t="str">
        <x:v>HS_031</x:v>
      </x:c>
      <x:c r="B9" s="46" t="str">
        <x:v>matched_taxa_count</x:v>
      </x:c>
      <x:c r="C9" s="46" t="n">
        <x:v>32</x:v>
      </x:c>
      <x:c r="D9" s="46" t="str">
        <x:v>count</x:v>
      </x:c>
    </x:row>
    <x:row r="10" ht="18" customHeight="1">
      <x:c r="A10" s="46" t="str">
        <x:v>HS_031</x:v>
      </x:c>
      <x:c r="B10" s="46" t="str">
        <x:v>unmatched_taxa_count</x:v>
      </x:c>
      <x:c r="C10" s="46" t="n">
        <x:v>0</x:v>
      </x:c>
      <x:c r="D10" s="46" t="str">
        <x:v>count</x:v>
      </x:c>
    </x:row>
    <x:row r="11" ht="18" customHeight="1">
      <x:c r="A11" s="46" t="str">
        <x:v>HS_031</x:v>
      </x:c>
      <x:c r="B11" s="46" t="str">
        <x:v>species_ppr</x:v>
      </x:c>
      <x:c r="C11" s="46" t="n">
        <x:v>32845718.432304144</x:v>
      </x:c>
      <x:c r="D11" s="46" t="str">
        <x:v>tonnes_primary_production_equivalent</x:v>
      </x:c>
    </x:row>
    <x:row r="12" ht="18" customHeight="1">
      <x:c r="A12" s="46" t="str">
        <x:v>HS_031</x:v>
      </x:c>
      <x:c r="B12" s="46" t="str">
        <x:v>commercial_ppr</x:v>
      </x:c>
      <x:c r="C12" s="46" t="n">
        <x:v>32845718.432304144</x:v>
      </x:c>
      <x:c r="D12" s="46" t="str">
        <x:v>tonnes_primary_production_equivalent</x:v>
      </x:c>
    </x:row>
    <x:row r="13" ht="18" customHeight="1">
      <x:c r="A13" s="46" t="str">
        <x:v>HS_031</x:v>
      </x:c>
      <x:c r="B13" s="46" t="str">
        <x:v>functional_ppr</x:v>
      </x:c>
      <x:c r="C13" s="46" t="n">
        <x:v>32845718.432304144</x:v>
      </x:c>
      <x:c r="D13" s="46" t="str">
        <x:v>tonnes_primary_production_equivalent</x:v>
      </x:c>
    </x:row>
    <x:row r="14" ht="18" customHeight="1">
      <x:c r="A14" s="46" t="str">
        <x:v>HS_031</x:v>
      </x:c>
      <x:c r="B14" s="46" t="str">
        <x:v>commercial_ppr_difference</x:v>
      </x:c>
      <x:c r="C14" s="46" t="n">
        <x:v>0</x:v>
      </x:c>
      <x:c r="D14" s="46" t="str">
        <x:v>tonnes_primary_production_equivalent</x:v>
      </x:c>
    </x:row>
    <x:row r="15" ht="18" customHeight="1">
      <x:c r="A15" s="46" t="str">
        <x:v>HS_031</x:v>
      </x:c>
      <x:c r="B15" s="46" t="str">
        <x:v>functional_ppr_difference</x:v>
      </x:c>
      <x:c r="C15" s="46" t="n">
        <x:v>0</x:v>
      </x:c>
      <x:c r="D15" s="46" t="str">
        <x:v>tonnes_primary_production_equivalent</x:v>
      </x:c>
    </x:row>
    <x:row r="16" ht="18" customHeight="1">
      <x:c r="A16" s="46" t="str">
        <x:v>HS_031</x:v>
      </x:c>
      <x:c r="B16" s="46" t="str">
        <x:v>commercial_ppr_reconciled</x:v>
      </x:c>
      <x:c r="C16" s="46" t="str">
        <x:v>True</x:v>
      </x:c>
      <x:c r="D16" s="46" t="str">
        <x:v>boolean</x:v>
      </x:c>
    </x:row>
    <x:row r="17" ht="18" customHeight="1">
      <x:c r="A17" s="46" t="str">
        <x:v>HS_031</x:v>
      </x:c>
      <x:c r="B17" s="46" t="str">
        <x:v>functional_ppr_reconciled</x:v>
      </x:c>
      <x:c r="C17" s="46" t="str">
        <x:v>True</x:v>
      </x:c>
      <x:c r="D17" s="46" t="str">
        <x:v>boolean</x:v>
      </x:c>
    </x:row>
    <x:row r="18" ht="18" customHeight="1">
      <x:c r="A18" s="46" t="str">
        <x:v>HS_031</x:v>
      </x:c>
      <x:c r="B18" s="46" t="str">
        <x:v>commercial_jensen_violations</x:v>
      </x:c>
      <x:c r="C18" s="46" t="n">
        <x:v>0</x:v>
      </x:c>
      <x:c r="D18" s="46" t="str">
        <x:v>count</x:v>
      </x:c>
    </x:row>
    <x:row r="19" ht="18" customHeight="1">
      <x:c r="A19" s="46" t="str">
        <x:v>HS_031</x:v>
      </x:c>
      <x:c r="B19" s="46" t="str">
        <x:v>functional_jensen_violations</x:v>
      </x:c>
      <x:c r="C19" s="46" t="n">
        <x:v>0</x:v>
      </x:c>
      <x:c r="D19" s="46" t="str">
        <x:v>count</x:v>
      </x:c>
    </x:row>
  </x:sheetData>
  <x:pageMargins left="0.7" right="0.7" top="0.75" bottom="0.75" header="0.3" footer="0.3"/>
  <x:tableParts count="1">
    <x:tablePart xmlns:r="http://schemas.openxmlformats.org/officeDocument/2006/relationships" r:id="R7e2cf228f3a04bdd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4" t="str">
        <x:v>HS_031 - Atlantic, Western Central</x:v>
      </x:c>
      <x:c r="B1" s="4"/>
      <x:c r="C1" s="4"/>
    </x:row>
    <x:row r="3">
      <x:c r="A3" s="12" t="str">
        <x:v>Field</x:v>
      </x:c>
      <x:c r="B3" s="13" t="str">
        <x:v>Value</x:v>
      </x:c>
      <x:c r="C3" s="14" t="str">
        <x:v>Notes / source</x:v>
      </x:c>
    </x:row>
    <x:row r="4">
      <x:c r="A4" s="42" t="str">
        <x:v>Unit ID</x:v>
      </x:c>
      <x:c r="B4" s="31" t="str">
        <x:v>HS_031</x:v>
      </x:c>
      <x:c r="C4" s="32" t="str">
        <x:v>Sea Around Us region identifier</x:v>
      </x:c>
    </x:row>
    <x:row r="5">
      <x:c r="A5" s="42" t="str">
        <x:v>Transfer efficiency</x:v>
      </x:c>
      <x:c r="B5" s="68" t="n">
        <x:v>0.1</x:v>
      </x:c>
      <x:c r="C5" s="32" t="str">
        <x:v>Used by every SPPR formula</x:v>
      </x:c>
    </x:row>
    <x:row r="6">
      <x:c r="A6" s="42" t="str">
        <x:v>Year</x:v>
      </x:c>
      <x:c r="B6" s="31" t="n">
        <x:v>2019</x:v>
      </x:c>
      <x:c r="C6" s="32" t="str">
        <x:v>Latest year common to all 84 datasets</x:v>
      </x:c>
    </x:row>
    <x:row r="7">
      <x:c r="A7" s="42" t="str">
        <x:v>Region type</x:v>
      </x:c>
      <x:c r="B7" s="31" t="str">
        <x:v>High Seas</x:v>
      </x:c>
      <x:c r="C7" s="32" t="str">
        <x:v>Sea Around Us spatial classification</x:v>
      </x:c>
    </x:row>
    <x:row r="8">
      <x:c r="A8" s="42" t="str">
        <x:v>Catch scope</x:v>
      </x:c>
      <x:c r="B8" s="31" t="str">
        <x:v>Landings + Discards</x:v>
      </x:c>
      <x:c r="C8" s="32" t="str">
        <x:v>Reported + unreported; all sectors, gears, entities, and end uses</x:v>
      </x:c>
    </x:row>
    <x:row r="9">
      <x:c r="A9" s="42" t="str">
        <x:v>SPPR formula</x:v>
      </x:c>
      <x:c r="B9" s="31" t="str">
        <x:v>(1 / TE)^(TL - 1)</x:v>
      </x:c>
      <x:c r="C9" s="32" t="str">
        <x:v>TE is the Metadata!B5 value</x:v>
      </x:c>
    </x:row>
    <x:row r="10">
      <x:c r="A10" s="42" t="str">
        <x:v>PPR formula</x:v>
      </x:c>
      <x:c r="B10" s="31" t="str">
        <x:v>Catch tonnes × SPPR</x:v>
      </x:c>
      <x:c r="C10" s="32" t="str">
        <x:v>Unit: tonnes primary-production equivalent</x:v>
      </x:c>
    </x:row>
    <x:row r="11">
      <x:c r="A11" s="42" t="str">
        <x:v>Wet-weight/carbon divisor</x:v>
      </x:c>
      <x:c r="B11" s="31" t="str">
        <x:v>Not applied</x:v>
      </x:c>
      <x:c r="C11" s="32" t="str">
        <x:v>The paper's /9 conversion is intentionally omitted</x:v>
      </x:c>
    </x:row>
    <x:row r="12">
      <x:c r="A12" s="42" t="str">
        <x:v>Primary TL source</x:v>
      </x:c>
      <x:c r="B12" s="31" t="str">
        <x:v>2020 supplement MeanTL</x:v>
      </x:c>
      <x:c r="C12" s="32" t="str">
        <x:v>No SPPR regression from the supplement is used</x:v>
      </x:c>
    </x:row>
    <x:row r="13">
      <x:c r="A13" s="42" t="str">
        <x:v>Secondary TL source</x:v>
      </x:c>
      <x:c r="B13" s="31" t="str">
        <x:v>Sea Around Us exploited organisms</x:v>
      </x:c>
      <x:c r="C13" s="32" t="str">
        <x:v>Exact taxon matches, followed by documented fallbacks</x:v>
      </x:c>
    </x:row>
    <x:row r="14">
      <x:c r="A14" s="42" t="str">
        <x:v>Catch data URL</x:v>
      </x:c>
      <x:c r="B14" s="31" t="str">
        <x:v>https://www.seaaroundus.org/data/</x:v>
      </x:c>
      <x:c r="C14" s="32" t="str">
        <x:v>Frozen archive: raw_data/SAU_downloads/HS_031-catch.zip</x:v>
      </x:c>
    </x:row>
    <x:row r="15">
      <x:c r="A15" s="43" t="str">
        <x:v>Method source</x:v>
      </x:c>
      <x:c r="B15" s="34" t="str">
        <x:v>Pauly &amp; Christensen (1995)</x:v>
      </x:c>
      <x:c r="C15" s="35" t="str">
        <x:v>Nature 374:255-257</x:v>
      </x:c>
    </x:row>
  </x:sheetData>
  <x:mergeCells>
    <x:mergeCell ref="A1:C1"/>
  </x:mergeCells>
  <x:pageMargins left="0.7" right="0.7" top="0.75" bottom="0.75" header="0.3" footer="0.3"/>
</x:worksheet>
</file>