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60caad203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8988529d7dc414d"/>
    <x:sheet xmlns:r="http://schemas.openxmlformats.org/officeDocument/2006/relationships" name="Commercial" sheetId="2" r:id="R9f280d1426a148a3"/>
    <x:sheet xmlns:r="http://schemas.openxmlformats.org/officeDocument/2006/relationships" name="Functional" sheetId="3" r:id="Rab521c6f85fb47a4"/>
    <x:sheet xmlns:r="http://schemas.openxmlformats.org/officeDocument/2006/relationships" name="Missing TL" sheetId="4" r:id="R40ea8686364743a0"/>
    <x:sheet xmlns:r="http://schemas.openxmlformats.org/officeDocument/2006/relationships" name="Validation" sheetId="5" r:id="Rfff405d20ad8454a"/>
    <x:sheet xmlns:r="http://schemas.openxmlformats.org/officeDocument/2006/relationships" name="Metadata" sheetId="6" r:id="Rad2d10e7a5b04e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8ee7f80c8462f" /><Relationship Type="http://schemas.openxmlformats.org/officeDocument/2006/relationships/theme" Target="/xl/theme/theme1.xml" Id="Rd78590d4a9a84376" /><Relationship Type="http://schemas.openxmlformats.org/officeDocument/2006/relationships/sharedStrings" Target="/xl/sharedStrings.xml" Id="R904fb64eedf74a1f" /><Relationship Type="http://schemas.openxmlformats.org/officeDocument/2006/relationships/worksheet" Target="/xl/worksheets/sheet1.xml" Id="R88988529d7dc414d" /><Relationship Type="http://schemas.openxmlformats.org/officeDocument/2006/relationships/worksheet" Target="/xl/worksheets/sheet2.xml" Id="R9f280d1426a148a3" /><Relationship Type="http://schemas.openxmlformats.org/officeDocument/2006/relationships/worksheet" Target="/xl/worksheets/sheet3.xml" Id="Rab521c6f85fb47a4" /><Relationship Type="http://schemas.openxmlformats.org/officeDocument/2006/relationships/worksheet" Target="/xl/worksheets/sheet4.xml" Id="R40ea8686364743a0" /><Relationship Type="http://schemas.openxmlformats.org/officeDocument/2006/relationships/worksheet" Target="/xl/worksheets/sheet5.xml" Id="Rfff405d20ad8454a" /><Relationship Type="http://schemas.openxmlformats.org/officeDocument/2006/relationships/worksheet" Target="/xl/worksheets/sheet6.xml" Id="Rad2d10e7a5b04ea2" /></Relationships>
</file>

<file path=xl/tables/table1.xml><?xml version="1.0" encoding="utf-8"?>
<x:table xmlns:x="http://schemas.openxmlformats.org/spreadsheetml/2006/main" id="1" name="LME062SpeciesTable" displayName="LME062SpeciesTable" ref="A1:U121" headerRowCount="1" totalsRowCount="0" totalsRowShown="0">
  <x:autoFilter ref="A1:U12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2CommercialTable" displayName="LME06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2FunctionalTable" displayName="LME062FunctionalTable" ref="A1:O24" headerRowCount="1" totalsRowCount="0" totalsRowShown="0">
  <x:autoFilter ref="A1:O2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2ValidationTable" displayName="LME06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10a3d6845b4d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fd96607a934c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4c5962253d4f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6a250bdb1743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LME_062</x:v>
      </x:c>
      <x:c r="B2" s="46" t="str">
        <x:v>Black Sea</x:v>
      </x:c>
      <x:c r="C2" s="46" t="str">
        <x:v>LME</x:v>
      </x:c>
      <x:c r="D2" s="58" t="n">
        <x:v>2019</x:v>
      </x:c>
      <x:c r="E2" s="46" t="str">
        <x:v>Engraulis encrasicolus</x:v>
      </x:c>
      <x:c r="F2" s="46" t="str">
        <x:v>European anchovy</x:v>
      </x:c>
      <x:c r="G2" s="46" t="str">
        <x:v>Small pelagics (&lt;30 cm)</x:v>
      </x:c>
      <x:c r="H2" s="46" t="str">
        <x:v>Anchovies</x:v>
      </x:c>
      <x:c r="I2" s="60" t="n">
        <x:v>629767.6866500932</x:v>
      </x:c>
      <x:c r="J2" s="60" t="n">
        <x:v>619324.8097889655</x:v>
      </x:c>
      <x:c r="K2" s="60" t="n">
        <x:v>10442.8768611277</x:v>
      </x:c>
      <x:c r="L2" s="60" t="n">
        <x:v>355226.54737741384</x:v>
      </x:c>
      <x:c r="M2" s="60" t="n">
        <x:v>274541.1392726794</x:v>
      </x:c>
      <x:c r="N2" s="46" t="str">
        <x:v>engraulis encrasicolus</x:v>
      </x:c>
      <x:c r="O2" s="62" t="n">
        <x:v>3.11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Engraulis encrasicolus</x:v>
      </x:c>
      <x:c r="T2" s="62" t="n">
        <x:f>IF(O2="","",(1/'Metadata'!$B$5)^(O2-1))</x:f>
        <x:v>128.82495516931337</x:v>
      </x:c>
      <x:c r="U2" s="60" t="n">
        <x:f>IF(T2="","",I2*T2)</x:f>
        <x:v>81129793.99978045</x:v>
      </x:c>
    </x:row>
    <x:row r="3" ht="18" customHeight="1">
      <x:c r="A3" s="46" t="str">
        <x:v>LME_062</x:v>
      </x:c>
      <x:c r="B3" s="46" t="str">
        <x:v>Black Sea</x:v>
      </x:c>
      <x:c r="C3" s="46" t="str">
        <x:v>LME</x:v>
      </x:c>
      <x:c r="D3" s="58" t="n">
        <x:v>2019</x:v>
      </x:c>
      <x:c r="E3" s="46" t="str">
        <x:v>Sprattus sprattus</x:v>
      </x:c>
      <x:c r="F3" s="46" t="str">
        <x:v>European sprat</x:v>
      </x:c>
      <x:c r="G3" s="46" t="str">
        <x:v>Small pelagics (&lt;30 cm)</x:v>
      </x:c>
      <x:c r="H3" s="46" t="str">
        <x:v>Herring-likes</x:v>
      </x:c>
      <x:c r="I3" s="60" t="n">
        <x:v>219694.9144481522</x:v>
      </x:c>
      <x:c r="J3" s="60" t="n">
        <x:v>170680.5861791453</x:v>
      </x:c>
      <x:c r="K3" s="60" t="n">
        <x:v>49014.3282690069</x:v>
      </x:c>
      <x:c r="L3" s="60" t="n">
        <x:v>97498.99264372219</x:v>
      </x:c>
      <x:c r="M3" s="60" t="n">
        <x:v>122195.92180443</x:v>
      </x:c>
      <x:c r="N3" s="46" t="str">
        <x:v>sprattus sprattus</x:v>
      </x:c>
      <x:c r="O3" s="62" t="n">
        <x:v>3.01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Sprattus sprattus</x:v>
      </x:c>
      <x:c r="T3" s="62" t="n">
        <x:f>IF(O3="","",(1/'Metadata'!$B$5)^(O3-1))</x:f>
        <x:v>102.32929922807536</x:v>
      </x:c>
      <x:c r="U3" s="60" t="n">
        <x:f>IF(T3="","",I3*T3)</x:f>
        <x:v>22481226.639451385</x:v>
      </x:c>
    </x:row>
    <x:row r="4" ht="18" customHeight="1">
      <x:c r="A4" s="46" t="str">
        <x:v>LME_062</x:v>
      </x:c>
      <x:c r="B4" s="46" t="str">
        <x:v>Black Sea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67463.4839411857</x:v>
      </x:c>
      <x:c r="J4" s="60" t="n">
        <x:v>62591.727964807505</x:v>
      </x:c>
      <x:c r="K4" s="60" t="n">
        <x:v>4871.7559763782</x:v>
      </x:c>
      <x:c r="L4" s="60" t="n">
        <x:v>40746.9502113808</x:v>
      </x:c>
      <x:c r="M4" s="60" t="n">
        <x:v>26716.533729804898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12854901.854687365</x:v>
      </x:c>
    </x:row>
    <x:row r="5" ht="18" customHeight="1">
      <x:c r="A5" s="46" t="str">
        <x:v>LME_062</x:v>
      </x:c>
      <x:c r="B5" s="46" t="str">
        <x:v>Black Sea</x:v>
      </x:c>
      <x:c r="C5" s="46" t="str">
        <x:v>LME</x:v>
      </x:c>
      <x:c r="D5" s="58" t="n">
        <x:v>2019</x:v>
      </x:c>
      <x:c r="E5" s="46" t="str">
        <x:v>Chamelea gallina</x:v>
      </x:c>
      <x:c r="F5" s="46" t="str">
        <x:v>Striped venus</x:v>
      </x:c>
      <x:c r="G5" s="46" t="str">
        <x:v>Other demersal invertebrates</x:v>
      </x:c>
      <x:c r="H5" s="46" t="str">
        <x:v>Molluscs</x:v>
      </x:c>
      <x:c r="I5" s="60" t="n">
        <x:v>43710.8514407423</x:v>
      </x:c>
      <x:c r="J5" s="60" t="n">
        <x:v>42929.0272070374</x:v>
      </x:c>
      <x:c r="K5" s="60" t="n">
        <x:v>781.8242337049</x:v>
      </x:c>
      <x:c r="L5" s="60" t="n">
        <x:v>36511.485731680994</x:v>
      </x:c>
      <x:c r="M5" s="60" t="n">
        <x:v>7199.365709061301</x:v>
      </x:c>
      <x:c r="N5" s="46" t="str">
        <x:v>chamelea gallina</x:v>
      </x:c>
      <x:c r="O5" s="62" t="n">
        <x:v>2.1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Chamelea gallina</x:v>
      </x:c>
      <x:c r="T5" s="62" t="n">
        <x:f>IF(O5="","",(1/'Metadata'!$B$5)^(O5-1))</x:f>
        <x:v>12.589254117941675</x:v>
      </x:c>
      <x:c r="U5" s="60" t="n">
        <x:f>IF(T5="","",I5*T5)</x:f>
        <x:v>550287.0164991018</x:v>
      </x:c>
    </x:row>
    <x:row r="6" ht="18" customHeight="1">
      <x:c r="A6" s="46" t="str">
        <x:v>LME_062</x:v>
      </x:c>
      <x:c r="B6" s="46" t="str">
        <x:v>Black Sea</x:v>
      </x:c>
      <x:c r="C6" s="46" t="str">
        <x:v>LME</x:v>
      </x:c>
      <x:c r="D6" s="58" t="n">
        <x:v>2019</x:v>
      </x:c>
      <x:c r="E6" s="46" t="str">
        <x:v>Gobiidae</x:v>
      </x:c>
      <x:c r="F6" s="46" t="str">
        <x:v>Gobies</x:v>
      </x:c>
      <x:c r="G6" s="46" t="str">
        <x:v>Small reef assoc. fish (&lt;30 cm)</x:v>
      </x:c>
      <x:c r="H6" s="46" t="str">
        <x:v>Perch-likes</x:v>
      </x:c>
      <x:c r="I6" s="60" t="n">
        <x:v>36615.3739054836</x:v>
      </x:c>
      <x:c r="J6" s="60" t="n">
        <x:v>35581.7778142779</x:v>
      </x:c>
      <x:c r="K6" s="60" t="n">
        <x:v>1033.5960912057</x:v>
      </x:c>
      <x:c r="L6" s="60" t="n">
        <x:v>16081.3987568022</x:v>
      </x:c>
      <x:c r="M6" s="60" t="n">
        <x:v>20533.9751486814</x:v>
      </x:c>
      <x:c r="N6" s="46" t="str">
        <x:v>gobiidae</x:v>
      </x:c>
      <x:c r="O6" s="62" t="n">
        <x:v>3.11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Gobiidae</x:v>
      </x:c>
      <x:c r="T6" s="62" t="n">
        <x:f>IF(O6="","",(1/'Metadata'!$B$5)^(O6-1))</x:f>
        <x:v>128.82495516931337</x:v>
      </x:c>
      <x:c r="U6" s="60" t="n">
        <x:f>IF(T6="","",I6*T6)</x:f>
        <x:v>4716973.901881571</x:v>
      </x:c>
    </x:row>
    <x:row r="7" ht="18" customHeight="1">
      <x:c r="A7" s="46" t="str">
        <x:v>LME_062</x:v>
      </x:c>
      <x:c r="B7" s="46" t="str">
        <x:v>Black Sea</x:v>
      </x:c>
      <x:c r="C7" s="46" t="str">
        <x:v>LME</x:v>
      </x:c>
      <x:c r="D7" s="58" t="n">
        <x:v>2019</x:v>
      </x:c>
      <x:c r="E7" s="46" t="str">
        <x:v>Mytilus galloprovincialis</x:v>
      </x:c>
      <x:c r="F7" s="46" t="str">
        <x:v>Mediterranean mussel</x:v>
      </x:c>
      <x:c r="G7" s="46" t="str">
        <x:v>Other demersal invertebrates</x:v>
      </x:c>
      <x:c r="H7" s="46" t="str">
        <x:v>Molluscs</x:v>
      </x:c>
      <x:c r="I7" s="60" t="n">
        <x:v>20495.7787493943</x:v>
      </x:c>
      <x:c r="J7" s="60" t="n">
        <x:v>20467.0602600178</x:v>
      </x:c>
      <x:c r="K7" s="60" t="n">
        <x:v>28.7184893765</x:v>
      </x:c>
      <x:c r="L7" s="60" t="n">
        <x:v>1419.4928075318</x:v>
      </x:c>
      <x:c r="M7" s="60" t="n">
        <x:v>19076.2859418625</x:v>
      </x:c>
      <x:c r="N7" s="46" t="str">
        <x:v>mytilus galloprovincialis</x:v>
      </x:c>
      <x:c r="O7" s="62" t="n">
        <x:v>2.69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Mytilus galloprovincialis</x:v>
      </x:c>
      <x:c r="T7" s="62" t="n">
        <x:f>IF(O7="","",(1/'Metadata'!$B$5)^(O7-1))</x:f>
        <x:v>48.97788193684461</x:v>
      </x:c>
      <x:c r="U7" s="60" t="n">
        <x:f>IF(T7="","",I7*T7)</x:f>
        <x:v>1003839.8317915227</x:v>
      </x:c>
    </x:row>
    <x:row r="8" ht="18" customHeight="1">
      <x:c r="A8" s="46" t="str">
        <x:v>LME_062</x:v>
      </x:c>
      <x:c r="B8" s="46" t="str">
        <x:v>Black Sea</x:v>
      </x:c>
      <x:c r="C8" s="46" t="str">
        <x:v>LME</x:v>
      </x:c>
      <x:c r="D8" s="58" t="n">
        <x:v>2019</x:v>
      </x:c>
      <x:c r="E8" s="46" t="str">
        <x:v>Merlangius merlangus</x:v>
      </x:c>
      <x:c r="F8" s="46" t="str">
        <x:v>Whiting</x:v>
      </x:c>
      <x:c r="G8" s="46" t="str">
        <x:v>Medium benthopelagics (30 - 89 cm)</x:v>
      </x:c>
      <x:c r="H8" s="46" t="str">
        <x:v>Cod-likes</x:v>
      </x:c>
      <x:c r="I8" s="60" t="n">
        <x:v>20125.9449725156</x:v>
      </x:c>
      <x:c r="J8" s="60" t="n">
        <x:v>16465.3473321049</x:v>
      </x:c>
      <x:c r="K8" s="60" t="n">
        <x:v>3660.5976404107</x:v>
      </x:c>
      <x:c r="L8" s="60" t="n">
        <x:v>8341.045932410501</x:v>
      </x:c>
      <x:c r="M8" s="60" t="n">
        <x:v>11784.8990401051</x:v>
      </x:c>
      <x:c r="N8" s="46" t="str">
        <x:v>merlangius merlangus</x:v>
      </x:c>
      <x:c r="O8" s="62" t="n">
        <x:v>4.36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Merlangius merlangus</x:v>
      </x:c>
      <x:c r="T8" s="62" t="n">
        <x:f>IF(O8="","",(1/'Metadata'!$B$5)^(O8-1))</x:f>
        <x:v>2290.867652767775</x:v>
      </x:c>
      <x:c r="U8" s="60" t="n">
        <x:f>IF(T8="","",I8*T8)</x:f>
        <x:v>46105876.31892022</x:v>
      </x:c>
    </x:row>
    <x:row r="9" ht="18" customHeight="1">
      <x:c r="A9" s="46" t="str">
        <x:v>LME_062</x:v>
      </x:c>
      <x:c r="B9" s="46" t="str">
        <x:v>Black Sea</x:v>
      </x:c>
      <x:c r="C9" s="46" t="str">
        <x:v>LME</x:v>
      </x:c>
      <x:c r="D9" s="58" t="n">
        <x:v>2019</x:v>
      </x:c>
      <x:c r="E9" s="46" t="str">
        <x:v>Sarda sarda</x:v>
      </x:c>
      <x:c r="F9" s="46" t="str">
        <x:v>Atlantic bonito</x:v>
      </x:c>
      <x:c r="G9" s="46" t="str">
        <x:v>Medium pelagics (30 - 89 cm)</x:v>
      </x:c>
      <x:c r="H9" s="46" t="str">
        <x:v>Tuna &amp; billfishes</x:v>
      </x:c>
      <x:c r="I9" s="60" t="n">
        <x:v>16458.8201848436</x:v>
      </x:c>
      <x:c r="J9" s="60" t="n">
        <x:v>14400.7329796831</x:v>
      </x:c>
      <x:c r="K9" s="60" t="n">
        <x:v>2058.0872051605</x:v>
      </x:c>
      <x:c r="L9" s="60" t="n">
        <x:v>630.4322714822999</x:v>
      </x:c>
      <x:c r="M9" s="60" t="n">
        <x:v>15828.3879133613</x:v>
      </x:c>
      <x:c r="N9" s="46" t="str">
        <x:v>sarda sarda</x:v>
      </x:c>
      <x:c r="O9" s="62" t="n">
        <x:v>4.5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Sarda sarda</x:v>
      </x:c>
      <x:c r="T9" s="62" t="n">
        <x:f>IF(O9="","",(1/'Metadata'!$B$5)^(O9-1))</x:f>
        <x:v>3162.2776601683795</x:v>
      </x:c>
      <x:c r="U9" s="60" t="n">
        <x:f>IF(T9="","",I9*T9)</x:f>
        <x:v>52047359.38325932</x:v>
      </x:c>
    </x:row>
    <x:row r="10" ht="18" customHeight="1">
      <x:c r="A10" s="46" t="str">
        <x:v>LME_062</x:v>
      </x:c>
      <x:c r="B10" s="46" t="str">
        <x:v>Black Sea</x:v>
      </x:c>
      <x:c r="C10" s="46" t="str">
        <x:v>LME</x:v>
      </x:c>
      <x:c r="D10" s="58" t="n">
        <x:v>2019</x:v>
      </x:c>
      <x:c r="E10" s="46" t="str">
        <x:v>Trachurus mediterraneus</x:v>
      </x:c>
      <x:c r="F10" s="46" t="str">
        <x:v>Mediterranean horse mackerel</x:v>
      </x:c>
      <x:c r="G10" s="46" t="str">
        <x:v>Medium pelagics (30 - 89 cm)</x:v>
      </x:c>
      <x:c r="H10" s="46" t="str">
        <x:v>Perch-likes</x:v>
      </x:c>
      <x:c r="I10" s="60" t="n">
        <x:v>15405.403183022701</x:v>
      </x:c>
      <x:c r="J10" s="60" t="n">
        <x:v>15367.390063997102</x:v>
      </x:c>
      <x:c r="K10" s="60" t="n">
        <x:v>38.0131190256</x:v>
      </x:c>
      <x:c r="L10" s="60" t="n">
        <x:v>11476.6997809419</x:v>
      </x:c>
      <x:c r="M10" s="60" t="n">
        <x:v>3928.7034020808</x:v>
      </x:c>
      <x:c r="N10" s="46" t="str">
        <x:v>trachurus mediterraneus</x:v>
      </x:c>
      <x:c r="O10" s="62" t="n">
        <x:v>3.77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Trachurus mediterraneus</x:v>
      </x:c>
      <x:c r="T10" s="62" t="n">
        <x:f>IF(O10="","",(1/'Metadata'!$B$5)^(O10-1))</x:f>
        <x:v>588.843655355589</x:v>
      </x:c>
      <x:c r="U10" s="60" t="n">
        <x:f>IF(T10="","",I10*T10)</x:f>
        <x:v>9071373.922517713</x:v>
      </x:c>
    </x:row>
    <x:row r="11" ht="18" customHeight="1">
      <x:c r="A11" s="46" t="str">
        <x:v>LME_062</x:v>
      </x:c>
      <x:c r="B11" s="46" t="str">
        <x:v>Black Sea</x:v>
      </x:c>
      <x:c r="C11" s="46" t="str">
        <x:v>LME</x:v>
      </x:c>
      <x:c r="D11" s="58" t="n">
        <x:v>2019</x:v>
      </x:c>
      <x:c r="E11" s="46" t="str">
        <x:v>Clupeonella cultriventris</x:v>
      </x:c>
      <x:c r="F11" s="46" t="str">
        <x:v>Black and Caspian Sea sprat</x:v>
      </x:c>
      <x:c r="G11" s="46" t="str">
        <x:v>Small pelagics (&lt;30 cm)</x:v>
      </x:c>
      <x:c r="H11" s="46" t="str">
        <x:v>Herring-likes</x:v>
      </x:c>
      <x:c r="I11" s="60" t="n">
        <x:v>11937.3985057799</x:v>
      </x:c>
      <x:c r="J11" s="60" t="n">
        <x:v>11270.6832788727</x:v>
      </x:c>
      <x:c r="K11" s="60" t="n">
        <x:v>666.7152269072001</x:v>
      </x:c>
      <x:c r="L11" s="60" t="n">
        <x:v>8399.476858729</x:v>
      </x:c>
      <x:c r="M11" s="60" t="n">
        <x:v>3537.9216470509</x:v>
      </x:c>
      <x:c r="N11" s="46" t="str">
        <x:v>clupeonella cultriventris</x:v>
      </x:c>
      <x:c r="O11" s="62" t="n">
        <x:v>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Clupeonella cultriventris</x:v>
      </x:c>
      <x:c r="T11" s="62" t="n">
        <x:f>IF(O11="","",(1/'Metadata'!$B$5)^(O11-1))</x:f>
        <x:v>100</x:v>
      </x:c>
      <x:c r="U11" s="60" t="n">
        <x:f>IF(T11="","",I11*T11)</x:f>
        <x:v>1193739.85057799</x:v>
      </x:c>
    </x:row>
    <x:row r="12" ht="18" customHeight="1">
      <x:c r="A12" s="46" t="str">
        <x:v>LME_062</x:v>
      </x:c>
      <x:c r="B12" s="46" t="str">
        <x:v>Black Sea</x:v>
      </x:c>
      <x:c r="C12" s="46" t="str">
        <x:v>LME</x:v>
      </x:c>
      <x:c r="D12" s="58" t="n">
        <x:v>2019</x:v>
      </x:c>
      <x:c r="E12" s="46" t="str">
        <x:v>Squalus acanthias</x:v>
      </x:c>
      <x:c r="F12" s="46" t="str">
        <x:v>Picked dogfish</x:v>
      </x:c>
      <x:c r="G12" s="46" t="str">
        <x:v>Large sharks (&gt;=90 cm)</x:v>
      </x:c>
      <x:c r="H12" s="46" t="str">
        <x:v>Sharks &amp; rays</x:v>
      </x:c>
      <x:c r="I12" s="60" t="n">
        <x:v>6442.651931009699</x:v>
      </x:c>
      <x:c r="J12" s="60" t="n">
        <x:v>1669.0840462617998</x:v>
      </x:c>
      <x:c r="K12" s="60" t="n">
        <x:v>4773.567884747899</x:v>
      </x:c>
      <x:c r="L12" s="60" t="n">
        <x:v>33.2168931745</x:v>
      </x:c>
      <x:c r="M12" s="60" t="n">
        <x:v>6409.4350378352</x:v>
      </x:c>
      <x:c r="N12" s="46" t="str">
        <x:v>squalus acanthias</x:v>
      </x:c>
      <x:c r="O12" s="62" t="n">
        <x:v>4.37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Squalus acanthias</x:v>
      </x:c>
      <x:c r="T12" s="62" t="n">
        <x:f>IF(O12="","",(1/'Metadata'!$B$5)^(O12-1))</x:f>
        <x:v>2344.228815319923</x:v>
      </x:c>
      <x:c r="U12" s="60" t="n">
        <x:f>IF(T12="","",I12*T12)</x:f>
        <x:v>15103050.303749481</x:v>
      </x:c>
    </x:row>
    <x:row r="13" ht="18" customHeight="1">
      <x:c r="A13" s="46" t="str">
        <x:v>LME_062</x:v>
      </x:c>
      <x:c r="B13" s="46" t="str">
        <x:v>Black Sea</x:v>
      </x:c>
      <x:c r="C13" s="46" t="str">
        <x:v>LME</x:v>
      </x:c>
      <x:c r="D13" s="58" t="n">
        <x:v>2019</x:v>
      </x:c>
      <x:c r="E13" s="46" t="str">
        <x:v>Pomatomus saltatrix</x:v>
      </x:c>
      <x:c r="F13" s="46" t="str">
        <x:v>Bluefish</x:v>
      </x:c>
      <x:c r="G13" s="46" t="str">
        <x:v>Large pelagics (&gt;=90 cm)</x:v>
      </x:c>
      <x:c r="H13" s="46" t="str">
        <x:v>Perch-likes</x:v>
      </x:c>
      <x:c r="I13" s="60" t="n">
        <x:v>6006.6244801361</x:v>
      </x:c>
      <x:c r="J13" s="60" t="n">
        <x:v>5531.2175663003</x:v>
      </x:c>
      <x:c r="K13" s="60" t="n">
        <x:v>475.40691383579997</x:v>
      </x:c>
      <x:c r="L13" s="60" t="n">
        <x:v>1092.3006554894</x:v>
      </x:c>
      <x:c r="M13" s="60" t="n">
        <x:v>4914.3238246467</x:v>
      </x:c>
      <x:c r="N13" s="46" t="str">
        <x:v>pomatomus saltatrix</x:v>
      </x:c>
      <x:c r="O13" s="62" t="n">
        <x:v>4.53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Pomatomus saltatrix</x:v>
      </x:c>
      <x:c r="T13" s="62" t="n">
        <x:f>IF(O13="","",(1/'Metadata'!$B$5)^(O13-1))</x:f>
        <x:v>3388.4415613920273</x:v>
      </x:c>
      <x:c r="U13" s="60" t="n">
        <x:f>IF(T13="","",I13*T13)</x:f>
        <x:v>20353096.03216794</x:v>
      </x:c>
    </x:row>
    <x:row r="14" ht="18" customHeight="1">
      <x:c r="A14" s="46" t="str">
        <x:v>LME_062</x:v>
      </x:c>
      <x:c r="B14" s="46" t="str">
        <x:v>Black Sea</x:v>
      </x:c>
      <x:c r="C14" s="46" t="str">
        <x:v>LME</x:v>
      </x:c>
      <x:c r="D14" s="58" t="n">
        <x:v>2019</x:v>
      </x:c>
      <x:c r="E14" s="46" t="str">
        <x:v>Marine finfishes not identified</x:v>
      </x:c>
      <x:c r="F14" s="46" t="str">
        <x:v>Finfishes</x:v>
      </x:c>
      <x:c r="G14" s="46" t="str">
        <x:v>Medium demersals (30 - 89 cm)</x:v>
      </x:c>
      <x:c r="H14" s="46" t="str">
        <x:v>Other fishes &amp; inverts</x:v>
      </x:c>
      <x:c r="I14" s="60" t="n">
        <x:v>4910.1944773298</x:v>
      </x:c>
      <x:c r="J14" s="60" t="n">
        <x:v>57.3211895604</x:v>
      </x:c>
      <x:c r="K14" s="60" t="n">
        <x:v>4852.8732877694</x:v>
      </x:c>
      <x:c r="L14" s="60" t="n">
        <x:v>0</x:v>
      </x:c>
      <x:c r="M14" s="60" t="n">
        <x:v>4910.1944773298</x:v>
      </x:c>
      <x:c r="N14" s="46" t="str">
        <x:v>marine finfishes not identified</x:v>
      </x:c>
      <x:c r="O14" s="62" t="n">
        <x:v>3.23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Marine finfishes not identified</x:v>
      </x:c>
      <x:c r="T14" s="62" t="n">
        <x:f>IF(O14="","",(1/'Metadata'!$B$5)^(O14-1))</x:f>
        <x:v>169.82436524617444</x:v>
      </x:c>
      <x:c r="U14" s="60" t="n">
        <x:f>IF(T14="","",I14*T14)</x:f>
        <x:v>833870.6603478045</x:v>
      </x:c>
    </x:row>
    <x:row r="15" ht="18" customHeight="1">
      <x:c r="A15" s="46" t="str">
        <x:v>LME_062</x:v>
      </x:c>
      <x:c r="B15" s="46" t="str">
        <x:v>Black Sea</x:v>
      </x:c>
      <x:c r="C15" s="46" t="str">
        <x:v>LME</x:v>
      </x:c>
      <x:c r="D15" s="58" t="n">
        <x:v>2019</x:v>
      </x:c>
      <x:c r="E15" s="46" t="str">
        <x:v>Trachurus</x:v>
      </x:c>
      <x:c r="F15" s="46" t="str">
        <x:v>Jacks, horse mackerels</x:v>
      </x:c>
      <x:c r="G15" s="46" t="str">
        <x:v>Medium pelagics (30 - 89 cm)</x:v>
      </x:c>
      <x:c r="H15" s="46" t="str">
        <x:v>Perch-likes</x:v>
      </x:c>
      <x:c r="I15" s="60" t="n">
        <x:v>4738.0205890632</x:v>
      </x:c>
      <x:c r="J15" s="60" t="n">
        <x:v>4078.9813645964</x:v>
      </x:c>
      <x:c r="K15" s="60" t="n">
        <x:v>659.0392244668</x:v>
      </x:c>
      <x:c r="L15" s="60" t="n">
        <x:v>3015.0930391548</x:v>
      </x:c>
      <x:c r="M15" s="60" t="n">
        <x:v>1722.9275499084</x:v>
      </x:c>
      <x:c r="N15" s="46" t="str">
        <x:v>trachurus</x:v>
      </x:c>
      <x:c r="O15" s="62" t="n">
        <x:v>3.69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Trachurus</x:v>
      </x:c>
      <x:c r="T15" s="62" t="n">
        <x:f>IF(O15="","",(1/'Metadata'!$B$5)^(O15-1))</x:f>
        <x:v>489.77881936844614</x:v>
      </x:c>
      <x:c r="U15" s="60" t="n">
        <x:f>IF(T15="","",I15*T15)</x:f>
        <x:v>2320582.1302547636</x:v>
      </x:c>
    </x:row>
    <x:row r="16" ht="18" customHeight="1">
      <x:c r="A16" s="46" t="str">
        <x:v>LME_062</x:v>
      </x:c>
      <x:c r="B16" s="46" t="str">
        <x:v>Black Sea</x:v>
      </x:c>
      <x:c r="C16" s="46" t="str">
        <x:v>LME</x:v>
      </x:c>
      <x:c r="D16" s="58" t="n">
        <x:v>2019</x:v>
      </x:c>
      <x:c r="E16" s="46" t="str">
        <x:v>Dasyatidae</x:v>
      </x:c>
      <x:c r="F16" s="46" t="str">
        <x:v>Whiptail stingrays</x:v>
      </x:c>
      <x:c r="G16" s="46" t="str">
        <x:v>Large rays (&gt;=90 cm)</x:v>
      </x:c>
      <x:c r="H16" s="46" t="str">
        <x:v>Sharks &amp; rays</x:v>
      </x:c>
      <x:c r="I16" s="60" t="n">
        <x:v>4390.547985253</x:v>
      </x:c>
      <x:c r="J16" s="60" t="n">
        <x:v>207.1976860677</x:v>
      </x:c>
      <x:c r="K16" s="60" t="n">
        <x:v>4183.3502991853</x:v>
      </x:c>
      <x:c r="L16" s="60" t="n">
        <x:v>0</x:v>
      </x:c>
      <x:c r="M16" s="60" t="n">
        <x:v>4390.547985253</x:v>
      </x:c>
      <x:c r="N16" s="46" t="str">
        <x:v>dasyatidae</x:v>
      </x:c>
      <x:c r="O16" s="62" t="n">
        <x:v>3.38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Dasyatidae</x:v>
      </x:c>
      <x:c r="T16" s="62" t="n">
        <x:f>IF(O16="","",(1/'Metadata'!$B$5)^(O16-1))</x:f>
        <x:v>239.88329190194898</x:v>
      </x:c>
      <x:c r="U16" s="60" t="n">
        <x:f>IF(T16="","",I16*T16)</x:f>
        <x:v>1053219.1039559594</x:v>
      </x:c>
    </x:row>
    <x:row r="17" ht="18" customHeight="1">
      <x:c r="A17" s="46" t="str">
        <x:v>LME_062</x:v>
      </x:c>
      <x:c r="B17" s="46" t="str">
        <x:v>Black Sea</x:v>
      </x:c>
      <x:c r="C17" s="46" t="str">
        <x:v>LME</x:v>
      </x:c>
      <x:c r="D17" s="58" t="n">
        <x:v>2019</x:v>
      </x:c>
      <x:c r="E17" s="46" t="str">
        <x:v>Rajidae</x:v>
      </x:c>
      <x:c r="F17" s="46" t="str">
        <x:v>Stingrays</x:v>
      </x:c>
      <x:c r="G17" s="46" t="str">
        <x:v>Large rays (&gt;=90 cm)</x:v>
      </x:c>
      <x:c r="H17" s="46" t="str">
        <x:v>Sharks &amp; rays</x:v>
      </x:c>
      <x:c r="I17" s="60" t="n">
        <x:v>3846.2647939082003</x:v>
      </x:c>
      <x:c r="J17" s="60" t="n">
        <x:v>207.9581512021</x:v>
      </x:c>
      <x:c r="K17" s="60" t="n">
        <x:v>3638.3066427061003</x:v>
      </x:c>
      <x:c r="L17" s="60" t="n">
        <x:v>0</x:v>
      </x:c>
      <x:c r="M17" s="60" t="n">
        <x:v>3846.2647939082003</x:v>
      </x:c>
      <x:c r="N17" s="46" t="str">
        <x:v>rajidae</x:v>
      </x:c>
      <x:c r="O17" s="62" t="n">
        <x:v>3.82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Rajidae</x:v>
      </x:c>
      <x:c r="T17" s="62" t="n">
        <x:f>IF(O17="","",(1/'Metadata'!$B$5)^(O17-1))</x:f>
        <x:v>660.6934480075957</x:v>
      </x:c>
      <x:c r="U17" s="60" t="n">
        <x:f>IF(T17="","",I17*T17)</x:f>
        <x:v>2541201.9486374334</x:v>
      </x:c>
    </x:row>
    <x:row r="18" ht="18" customHeight="1">
      <x:c r="A18" s="46" t="str">
        <x:v>LME_062</x:v>
      </x:c>
      <x:c r="B18" s="46" t="str">
        <x:v>Black Sea</x:v>
      </x:c>
      <x:c r="C18" s="46" t="str">
        <x:v>LME</x:v>
      </x:c>
      <x:c r="D18" s="58" t="n">
        <x:v>2019</x:v>
      </x:c>
      <x:c r="E18" s="46" t="str">
        <x:v>Miscellaneous marine crustaceans</x:v>
      </x:c>
      <x:c r="F18" s="46" t="str">
        <x:v>Marine crabs, shrimps, lobsters nei</x:v>
      </x:c>
      <x:c r="G18" s="46" t="str">
        <x:v>Shrimps</x:v>
      </x:c>
      <x:c r="H18" s="46" t="str">
        <x:v>Crustaceans</x:v>
      </x:c>
      <x:c r="I18" s="60" t="n">
        <x:v>3103.8312587554</x:v>
      </x:c>
      <x:c r="J18" s="60" t="n">
        <x:v>165.6578827273</x:v>
      </x:c>
      <x:c r="K18" s="60" t="n">
        <x:v>2938.1733760281</x:v>
      </x:c>
      <x:c r="L18" s="60" t="n">
        <x:v>165.6578827273</x:v>
      </x:c>
      <x:c r="M18" s="60" t="n">
        <x:v>2938.1733760281</x:v>
      </x:c>
      <x:c r="N18" s="46" t="str">
        <x:v>miscellaneous marine crustaceans</x:v>
      </x:c>
      <x:c r="O18" s="62" t="n">
        <x:v>2.7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Miscellaneous marine crustaceans</x:v>
      </x:c>
      <x:c r="T18" s="62" t="n">
        <x:f>IF(O18="","",(1/'Metadata'!$B$5)^(O18-1))</x:f>
        <x:v>50.11872336272725</x:v>
      </x:c>
      <x:c r="U18" s="60" t="n">
        <x:f>IF(T18="","",I18*T18)</x:f>
        <x:v>155560.0602221474</x:v>
      </x:c>
    </x:row>
    <x:row r="19" ht="18" customHeight="1">
      <x:c r="A19" s="46" t="str">
        <x:v>LME_062</x:v>
      </x:c>
      <x:c r="B19" s="46" t="str">
        <x:v>Black Sea</x:v>
      </x:c>
      <x:c r="C19" s="46" t="str">
        <x:v>LME</x:v>
      </x:c>
      <x:c r="D19" s="58" t="n">
        <x:v>2019</x:v>
      </x:c>
      <x:c r="E19" s="46" t="str">
        <x:v>Trachurus trachurus</x:v>
      </x:c>
      <x:c r="F19" s="46" t="str">
        <x:v>Atlantic horse mackerel</x:v>
      </x:c>
      <x:c r="G19" s="46" t="str">
        <x:v>Medium pelagics (30 - 89 cm)</x:v>
      </x:c>
      <x:c r="H19" s="46" t="str">
        <x:v>Perch-likes</x:v>
      </x:c>
      <x:c r="I19" s="60" t="n">
        <x:v>2985.8016388153997</x:v>
      </x:c>
      <x:c r="J19" s="60" t="n">
        <x:v>2933.9415317240996</x:v>
      </x:c>
      <x:c r="K19" s="60" t="n">
        <x:v>51.8601070913</x:v>
      </x:c>
      <x:c r="L19" s="60" t="n">
        <x:v>2795.6890680664997</x:v>
      </x:c>
      <x:c r="M19" s="60" t="n">
        <x:v>190.1125707489</x:v>
      </x:c>
      <x:c r="N19" s="46" t="str">
        <x:v>trachurus trachurus</x:v>
      </x:c>
      <x:c r="O19" s="62" t="n">
        <x:v>3.71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Trachurus trachurus</x:v>
      </x:c>
      <x:c r="T19" s="62" t="n">
        <x:f>IF(O19="","",(1/'Metadata'!$B$5)^(O19-1))</x:f>
        <x:v>512.8613839913648</x:v>
      </x:c>
      <x:c r="U19" s="60" t="n">
        <x:f>IF(T19="","",I19*T19)</x:f>
        <x:v>1531302.360806551</x:v>
      </x:c>
    </x:row>
    <x:row r="20" ht="18" customHeight="1">
      <x:c r="A20" s="46" t="str">
        <x:v>LME_062</x:v>
      </x:c>
      <x:c r="B20" s="46" t="str">
        <x:v>Black Sea</x:v>
      </x:c>
      <x:c r="C20" s="46" t="str">
        <x:v>LME</x:v>
      </x:c>
      <x:c r="D20" s="58" t="n">
        <x:v>2019</x:v>
      </x:c>
      <x:c r="E20" s="46" t="str">
        <x:v>Mullus surmuletus</x:v>
      </x:c>
      <x:c r="F20" s="46" t="str">
        <x:v>Surmullet</x:v>
      </x:c>
      <x:c r="G20" s="46" t="str">
        <x:v>Medium demersals (30 - 89 cm)</x:v>
      </x:c>
      <x:c r="H20" s="46" t="str">
        <x:v>Perch-likes</x:v>
      </x:c>
      <x:c r="I20" s="60" t="n">
        <x:v>2757.2033519354</x:v>
      </x:c>
      <x:c r="J20" s="60" t="n">
        <x:v>2609.1370441458</x:v>
      </x:c>
      <x:c r="K20" s="60" t="n">
        <x:v>148.0663077896</x:v>
      </x:c>
      <x:c r="L20" s="60" t="n">
        <x:v>1651.6782291792</x:v>
      </x:c>
      <x:c r="M20" s="60" t="n">
        <x:v>1105.5251227561998</x:v>
      </x:c>
      <x:c r="N20" s="46" t="str">
        <x:v>mullus surmuletus</x:v>
      </x:c>
      <x:c r="O20" s="62" t="n">
        <x:v>3.45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Mullus surmuletus</x:v>
      </x:c>
      <x:c r="T20" s="62" t="n">
        <x:f>IF(O20="","",(1/'Metadata'!$B$5)^(O20-1))</x:f>
        <x:v>281.8382931264455</x:v>
      </x:c>
      <x:c r="U20" s="60" t="n">
        <x:f>IF(T20="","",I20*T20)</x:f>
        <x:v>777085.4865119873</x:v>
      </x:c>
    </x:row>
    <x:row r="21" ht="18" customHeight="1">
      <x:c r="A21" s="46" t="str">
        <x:v>LME_062</x:v>
      </x:c>
      <x:c r="B21" s="46" t="str">
        <x:v>Black Sea</x:v>
      </x:c>
      <x:c r="C21" s="46" t="str">
        <x:v>LME</x:v>
      </x:c>
      <x:c r="D21" s="58" t="n">
        <x:v>2019</x:v>
      </x:c>
      <x:c r="E21" s="46" t="str">
        <x:v>Scophthalmus maximus</x:v>
      </x:c>
      <x:c r="F21" s="46" t="str">
        <x:v>Turbot</x:v>
      </x:c>
      <x:c r="G21" s="46" t="str">
        <x:v>Large flatfishes (&gt;=90 cm)</x:v>
      </x:c>
      <x:c r="H21" s="46" t="str">
        <x:v>Flatfishes</x:v>
      </x:c>
      <x:c r="I21" s="60" t="n">
        <x:v>2736.0777659604</x:v>
      </x:c>
      <x:c r="J21" s="60" t="n">
        <x:v>2724.4708912573</x:v>
      </x:c>
      <x:c r="K21" s="60" t="n">
        <x:v>11.606874703099999</x:v>
      </x:c>
      <x:c r="L21" s="60" t="n">
        <x:v>465.8594645345</x:v>
      </x:c>
      <x:c r="M21" s="60" t="n">
        <x:v>2270.2183014259</x:v>
      </x:c>
      <x:c r="N21" s="46" t="str">
        <x:v>scophthalmus maximus</x:v>
      </x:c>
      <x:c r="O21" s="62" t="n">
        <x:v>4.36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Scophthalmus maximus</x:v>
      </x:c>
      <x:c r="T21" s="62" t="n">
        <x:f>IF(O21="","",(1/'Metadata'!$B$5)^(O21-1))</x:f>
        <x:v>2290.867652767775</x:v>
      </x:c>
      <x:c r="U21" s="60" t="n">
        <x:f>IF(T21="","",I21*T21)</x:f>
        <x:v>6267992.049495799</x:v>
      </x:c>
    </x:row>
    <x:row r="22" ht="18" customHeight="1">
      <x:c r="A22" s="46" t="str">
        <x:v>LME_062</x:v>
      </x:c>
      <x:c r="B22" s="46" t="str">
        <x:v>Black Sea</x:v>
      </x:c>
      <x:c r="C22" s="46" t="str">
        <x:v>LME</x:v>
      </x:c>
      <x:c r="D22" s="58" t="n">
        <x:v>2019</x:v>
      </x:c>
      <x:c r="E22" s="46" t="str">
        <x:v>Atherina boyeri</x:v>
      </x:c>
      <x:c r="F22" s="46" t="str">
        <x:v>Big-scale sand smelt</x:v>
      </x:c>
      <x:c r="G22" s="46" t="str">
        <x:v>Small demersals (&lt;30 cm)</x:v>
      </x:c>
      <x:c r="H22" s="46" t="str">
        <x:v>Other fishes &amp; inverts</x:v>
      </x:c>
      <x:c r="I22" s="60" t="n">
        <x:v>2081.1899042952</x:v>
      </x:c>
      <x:c r="J22" s="60" t="n">
        <x:v>2078.3650708911</x:v>
      </x:c>
      <x:c r="K22" s="60" t="n">
        <x:v>2.8248334041</x:v>
      </x:c>
      <x:c r="L22" s="60" t="n">
        <x:v>393.0690323385</x:v>
      </x:c>
      <x:c r="M22" s="60" t="n">
        <x:v>1688.1208719566998</x:v>
      </x:c>
      <x:c r="N22" s="46" t="str">
        <x:v>atherina boyeri</x:v>
      </x:c>
      <x:c r="O22" s="62" t="n">
        <x:v>3.22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Atherina boyeri</x:v>
      </x:c>
      <x:c r="T22" s="62" t="n">
        <x:f>IF(O22="","",(1/'Metadata'!$B$5)^(O22-1))</x:f>
        <x:v>165.95869074375614</x:v>
      </x:c>
      <x:c r="U22" s="60" t="n">
        <x:f>IF(T22="","",I22*T22)</x:f>
        <x:v>345391.55170595454</x:v>
      </x:c>
    </x:row>
    <x:row r="23" ht="18" customHeight="1">
      <x:c r="A23" s="46" t="str">
        <x:v>LME_062</x:v>
      </x:c>
      <x:c r="B23" s="46" t="str">
        <x:v>Black Sea</x:v>
      </x:c>
      <x:c r="C23" s="46" t="str">
        <x:v>LME</x:v>
      </x:c>
      <x:c r="D23" s="58" t="n">
        <x:v>2019</x:v>
      </x:c>
      <x:c r="E23" s="46" t="str">
        <x:v>Mugil</x:v>
      </x:c>
      <x:c r="F23" s="46" t="str">
        <x:v>Grey mullets</x:v>
      </x:c>
      <x:c r="G23" s="46" t="str">
        <x:v>Medium demersals (30 - 89 cm)</x:v>
      </x:c>
      <x:c r="H23" s="46" t="str">
        <x:v>Perch-likes</x:v>
      </x:c>
      <x:c r="I23" s="60" t="n">
        <x:v>2039.1319880112</x:v>
      </x:c>
      <x:c r="J23" s="60" t="n">
        <x:v>2009.7938947198</x:v>
      </x:c>
      <x:c r="K23" s="60" t="n">
        <x:v>29.3380932914</x:v>
      </x:c>
      <x:c r="L23" s="60" t="n">
        <x:v>399.3298472568</x:v>
      </x:c>
      <x:c r="M23" s="60" t="n">
        <x:v>1639.8021407544002</x:v>
      </x:c>
      <x:c r="N23" s="46" t="str">
        <x:v>mugil</x:v>
      </x:c>
      <x:c r="O23" s="62" t="n">
        <x:v>2.26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Mugil</x:v>
      </x:c>
      <x:c r="T23" s="62" t="n">
        <x:f>IF(O23="","",(1/'Metadata'!$B$5)^(O23-1))</x:f>
        <x:v>18.197008586099827</x:v>
      </x:c>
      <x:c r="U23" s="60" t="n">
        <x:f>IF(T23="","",I23*T23)</x:f>
        <x:v>37106.102294030614</x:v>
      </x:c>
    </x:row>
    <x:row r="24" ht="18" customHeight="1">
      <x:c r="A24" s="46" t="str">
        <x:v>LME_062</x:v>
      </x:c>
      <x:c r="B24" s="46" t="str">
        <x:v>Black Sea</x:v>
      </x:c>
      <x:c r="C24" s="46" t="str">
        <x:v>LME</x:v>
      </x:c>
      <x:c r="D24" s="58" t="n">
        <x:v>2019</x:v>
      </x:c>
      <x:c r="E24" s="46" t="str">
        <x:v>Diplodus</x:v>
      </x:c>
      <x:c r="F24" s="46" t="str">
        <x:v>Two-toothed seabreams</x:v>
      </x:c>
      <x:c r="G24" s="46" t="str">
        <x:v>Medium benthopelagics (30 - 89 cm)</x:v>
      </x:c>
      <x:c r="H24" s="46" t="str">
        <x:v>Perch-likes</x:v>
      </x:c>
      <x:c r="I24" s="60" t="n">
        <x:v>1920.8942805273998</x:v>
      </x:c>
      <x:c r="J24" s="60" t="n">
        <x:v>1920.343995928</x:v>
      </x:c>
      <x:c r="K24" s="60" t="n">
        <x:v>0.5502845994</x:v>
      </x:c>
      <x:c r="L24" s="60" t="n">
        <x:v>616.7764687929</x:v>
      </x:c>
      <x:c r="M24" s="60" t="n">
        <x:v>1304.1178117345</x:v>
      </x:c>
      <x:c r="N24" s="46" t="str">
        <x:v>diplodus</x:v>
      </x:c>
      <x:c r="O24" s="62" t="n">
        <x:v>2.97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Diplodus</x:v>
      </x:c>
      <x:c r="T24" s="62" t="n">
        <x:f>IF(O24="","",(1/'Metadata'!$B$5)^(O24-1))</x:f>
        <x:v>93.32543007969915</x:v>
      </x:c>
      <x:c r="U24" s="60" t="n">
        <x:f>IF(T24="","",I24*T24)</x:f>
        <x:v>179268.28486785386</x:v>
      </x:c>
    </x:row>
    <x:row r="25" ht="18" customHeight="1">
      <x:c r="A25" s="46" t="str">
        <x:v>LME_062</x:v>
      </x:c>
      <x:c r="B25" s="46" t="str">
        <x:v>Black Sea</x:v>
      </x:c>
      <x:c r="C25" s="46" t="str">
        <x:v>LME</x:v>
      </x:c>
      <x:c r="D25" s="58" t="n">
        <x:v>2019</x:v>
      </x:c>
      <x:c r="E25" s="46" t="str">
        <x:v>Mullus</x:v>
      </x:c>
      <x:c r="F25" s="46" t="str">
        <x:v>Atlantic goatfishes</x:v>
      </x:c>
      <x:c r="G25" s="46" t="str">
        <x:v>Medium demersals (30 - 89 cm)</x:v>
      </x:c>
      <x:c r="H25" s="46" t="str">
        <x:v>Perch-likes</x:v>
      </x:c>
      <x:c r="I25" s="60" t="n">
        <x:v>1585.4308410093001</x:v>
      </x:c>
      <x:c r="J25" s="60" t="n">
        <x:v>1585.4308410093001</x:v>
      </x:c>
      <x:c r="K25" s="60" t="n">
        <x:v>0</x:v>
      </x:c>
      <x:c r="L25" s="60" t="n">
        <x:v>1093.2609711626</x:v>
      </x:c>
      <x:c r="M25" s="60" t="n">
        <x:v>492.16986984669995</x:v>
      </x:c>
      <x:c r="N25" s="46" t="str">
        <x:v>mullus</x:v>
      </x:c>
      <x:c r="O25" s="62" t="n">
        <x:v>3.29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Mullus</x:v>
      </x:c>
      <x:c r="T25" s="62" t="n">
        <x:f>IF(O25="","",(1/'Metadata'!$B$5)^(O25-1))</x:f>
        <x:v>194.98445997580455</x:v>
      </x:c>
      <x:c r="U25" s="60" t="n">
        <x:f>IF(T25="","",I25*T25)</x:f>
        <x:v>309134.376363184</x:v>
      </x:c>
    </x:row>
    <x:row r="26" ht="18" customHeight="1">
      <x:c r="A26" s="46" t="str">
        <x:v>LME_062</x:v>
      </x:c>
      <x:c r="B26" s="46" t="str">
        <x:v>Black Sea</x:v>
      </x:c>
      <x:c r="C26" s="46" t="str">
        <x:v>LME</x:v>
      </x:c>
      <x:c r="D26" s="58" t="n">
        <x:v>2019</x:v>
      </x:c>
      <x:c r="E26" s="46" t="str">
        <x:v>Mollusca</x:v>
      </x:c>
      <x:c r="F26" s="46" t="str">
        <x:v>Clams, seasnails, squids, octopuses</x:v>
      </x:c>
      <x:c r="G26" s="46" t="str">
        <x:v>Other demersal invertebrates</x:v>
      </x:c>
      <x:c r="H26" s="46" t="str">
        <x:v>Molluscs</x:v>
      </x:c>
      <x:c r="I26" s="60" t="n">
        <x:v>1312.9699360639</x:v>
      </x:c>
      <x:c r="J26" s="60" t="n">
        <x:v>403.2043311546</x:v>
      </x:c>
      <x:c r="K26" s="60" t="n">
        <x:v>909.7656049093</x:v>
      </x:c>
      <x:c r="L26" s="60" t="n">
        <x:v>0</x:v>
      </x:c>
      <x:c r="M26" s="60" t="n">
        <x:v>1312.9699360639</x:v>
      </x:c>
      <x:c r="N26" s="46" t="str">
        <x:v>mollusca</x:v>
      </x:c>
      <x:c r="O26" s="62" t="n">
        <x:v>2.1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Mollusca</x:v>
      </x:c>
      <x:c r="T26" s="62" t="n">
        <x:f>IF(O26="","",(1/'Metadata'!$B$5)^(O26-1))</x:f>
        <x:v>12.589254117941675</x:v>
      </x:c>
      <x:c r="U26" s="60" t="n">
        <x:f>IF(T26="","",I26*T26)</x:f>
        <x:v>16529.31217432607</x:v>
      </x:c>
    </x:row>
    <x:row r="27" ht="18" customHeight="1">
      <x:c r="A27" s="46" t="str">
        <x:v>LME_062</x:v>
      </x:c>
      <x:c r="B27" s="46" t="str">
        <x:v>Black Sea</x:v>
      </x:c>
      <x:c r="C27" s="46" t="str">
        <x:v>LME</x:v>
      </x:c>
      <x:c r="D27" s="58" t="n">
        <x:v>2019</x:v>
      </x:c>
      <x:c r="E27" s="46" t="str">
        <x:v>Dendrobranchiata</x:v>
      </x:c>
      <x:c r="F27" s="46" t="str">
        <x:v>Shrimps and prawns</x:v>
      </x:c>
      <x:c r="G27" s="46" t="str">
        <x:v>Shrimps</x:v>
      </x:c>
      <x:c r="H27" s="46" t="str">
        <x:v>Crustaceans</x:v>
      </x:c>
      <x:c r="I27" s="60" t="n">
        <x:v>1269.7909489477</x:v>
      </x:c>
      <x:c r="J27" s="60" t="n">
        <x:v>1269.78689467</x:v>
      </x:c>
      <x:c r="K27" s="60" t="n">
        <x:v>0.0040542777</x:v>
      </x:c>
      <x:c r="L27" s="60" t="n">
        <x:v>0.2345454044</x:v>
      </x:c>
      <x:c r="M27" s="60" t="n">
        <x:v>1269.5564035433</x:v>
      </x:c>
      <x:c r="N27" s="46" t="str">
        <x:v>dendrobranchiata</x:v>
      </x:c>
      <x:c r="O27" s="62" t="n">
        <x:v>3.24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Dendrobranchiata</x:v>
      </x:c>
      <x:c r="T27" s="62" t="n">
        <x:f>IF(O27="","",(1/'Metadata'!$B$5)^(O27-1))</x:f>
        <x:v>173.78008287493762</x:v>
      </x:c>
      <x:c r="U27" s="60" t="n">
        <x:f>IF(T27="","",I27*T27)</x:f>
        <x:v>220664.37634197698</x:v>
      </x:c>
    </x:row>
    <x:row r="28" ht="18" customHeight="1">
      <x:c r="A28" s="46" t="str">
        <x:v>LME_062</x:v>
      </x:c>
      <x:c r="B28" s="46" t="str">
        <x:v>Black Sea</x:v>
      </x:c>
      <x:c r="C28" s="46" t="str">
        <x:v>LME</x:v>
      </x:c>
      <x:c r="D28" s="58" t="n">
        <x:v>2019</x:v>
      </x:c>
      <x:c r="E28" s="46" t="str">
        <x:v>Miscellaneous aquatic invertebrates</x:v>
      </x:c>
      <x:c r="F28" s="46" t="str">
        <x:v>Aquatic invertebrates</x:v>
      </x:c>
      <x:c r="G28" s="46" t="str">
        <x:v>Other demersal invertebrates</x:v>
      </x:c>
      <x:c r="H28" s="46" t="str">
        <x:v>Other fishes &amp; inverts</x:v>
      </x:c>
      <x:c r="I28" s="60" t="n">
        <x:v>1090.5022699089</x:v>
      </x:c>
      <x:c r="J28" s="60" t="n">
        <x:v>1085.6213723532</x:v>
      </x:c>
      <x:c r="K28" s="60" t="n">
        <x:v>4.8808975557</x:v>
      </x:c>
      <x:c r="L28" s="60" t="n">
        <x:v>1032.9460767827</x:v>
      </x:c>
      <x:c r="M28" s="60" t="n">
        <x:v>57.55619312619999</x:v>
      </x:c>
      <x:c r="N28" s="46" t="str">
        <x:v>miscellaneous aquatic invertebrates</x:v>
      </x:c>
      <x:c r="O28" s="62" t="n">
        <x:v>2.43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Miscellaneous aquatic invertebrates</x:v>
      </x:c>
      <x:c r="T28" s="62" t="n">
        <x:f>IF(O28="","",(1/'Metadata'!$B$5)^(O28-1))</x:f>
        <x:v>26.915348039269166</x:v>
      </x:c>
      <x:c r="U28" s="60" t="n">
        <x:f>IF(T28="","",I28*T28)</x:f>
        <x:v>29351.248132211083</x:v>
      </x:c>
    </x:row>
    <x:row r="29" ht="18" customHeight="1">
      <x:c r="A29" s="46" t="str">
        <x:v>LME_062</x:v>
      </x:c>
      <x:c r="B29" s="46" t="str">
        <x:v>Black Sea</x:v>
      </x:c>
      <x:c r="C29" s="46" t="str">
        <x:v>LME</x:v>
      </x:c>
      <x:c r="D29" s="58" t="n">
        <x:v>2019</x:v>
      </x:c>
      <x:c r="E29" s="46" t="str">
        <x:v>Cyprinidae</x:v>
      </x:c>
      <x:c r="F29" s="46" t="str">
        <x:v>Carps, barbels, other cyprinids</x:v>
      </x:c>
      <x:c r="G29" s="46" t="str">
        <x:v>Medium demersals (30 - 89 cm)</x:v>
      </x:c>
      <x:c r="H29" s="46" t="str">
        <x:v>Other fishes &amp; inverts</x:v>
      </x:c>
      <x:c r="I29" s="60" t="n">
        <x:v>1062.0457965152</x:v>
      </x:c>
      <x:c r="J29" s="60" t="n">
        <x:v>1062.0457965152</x:v>
      </x:c>
      <x:c r="K29" s="60" t="n">
        <x:v>0</x:v>
      </x:c>
      <x:c r="L29" s="60" t="n">
        <x:v>49.782591035799996</x:v>
      </x:c>
      <x:c r="M29" s="60" t="n">
        <x:v>1012.2632054794</x:v>
      </x:c>
      <x:c r="N29" s="46" t="str">
        <x:v>cyprinidae</x:v>
      </x:c>
      <x:c r="O29" s="62" t="n">
        <x:v>2.8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Cyprinidae</x:v>
      </x:c>
      <x:c r="T29" s="62" t="n">
        <x:f>IF(O29="","",(1/'Metadata'!$B$5)^(O29-1))</x:f>
        <x:v>63.0957344480193</x:v>
      </x:c>
      <x:c r="U29" s="60" t="n">
        <x:f>IF(T29="","",I29*T29)</x:f>
        <x:v>67010.5595485582</x:v>
      </x:c>
    </x:row>
    <x:row r="30" ht="18" customHeight="1">
      <x:c r="A30" s="46" t="str">
        <x:v>LME_062</x:v>
      </x:c>
      <x:c r="B30" s="46" t="str">
        <x:v>Black Sea</x:v>
      </x:c>
      <x:c r="C30" s="46" t="str">
        <x:v>LME</x:v>
      </x:c>
      <x:c r="D30" s="58" t="n">
        <x:v>2019</x:v>
      </x:c>
      <x:c r="E30" s="46" t="str">
        <x:v>Rajiformes</x:v>
      </x:c>
      <x:c r="F30" s="46" t="str">
        <x:v>Skates and rays</x:v>
      </x:c>
      <x:c r="G30" s="46" t="str">
        <x:v>Large rays (&gt;=90 cm)</x:v>
      </x:c>
      <x:c r="H30" s="46" t="str">
        <x:v>Sharks &amp; rays</x:v>
      </x:c>
      <x:c r="I30" s="60" t="n">
        <x:v>1005.6355369841</x:v>
      </x:c>
      <x:c r="J30" s="60" t="n">
        <x:v>1004.1797062062001</x:v>
      </x:c>
      <x:c r="K30" s="60" t="n">
        <x:v>1.4558307779</x:v>
      </x:c>
      <x:c r="L30" s="60" t="n">
        <x:v>156.72533086529998</x:v>
      </x:c>
      <x:c r="M30" s="60" t="n">
        <x:v>848.9102061188</x:v>
      </x:c>
      <x:c r="N30" s="46" t="str">
        <x:v>rajiformes</x:v>
      </x:c>
      <x:c r="O30" s="62" t="n">
        <x:v>3.61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Rajiformes</x:v>
      </x:c>
      <x:c r="T30" s="62" t="n">
        <x:f>IF(O30="","",(1/'Metadata'!$B$5)^(O30-1))</x:f>
        <x:v>407.3802778041126</x:v>
      </x:c>
      <x:c r="U30" s="60" t="n">
        <x:f>IF(T30="","",I30*T30)</x:f>
        <x:v>409676.0844262706</x:v>
      </x:c>
    </x:row>
    <x:row r="31" ht="18" customHeight="1">
      <x:c r="A31" s="46" t="str">
        <x:v>LME_062</x:v>
      </x:c>
      <x:c r="B31" s="46" t="str">
        <x:v>Black Sea</x:v>
      </x:c>
      <x:c r="C31" s="46" t="str">
        <x:v>LME</x:v>
      </x:c>
      <x:c r="D31" s="58" t="n">
        <x:v>2019</x:v>
      </x:c>
      <x:c r="E31" s="46" t="str">
        <x:v>Palaemon</x:v>
      </x:c>
      <x:c r="F31" s="46" t="str">
        <x:v>Carnivorous shrimps</x:v>
      </x:c>
      <x:c r="G31" s="46" t="str">
        <x:v>Shrimps</x:v>
      </x:c>
      <x:c r="H31" s="46" t="str">
        <x:v>Crustaceans</x:v>
      </x:c>
      <x:c r="I31" s="60" t="n">
        <x:v>931.2439122827999</x:v>
      </x:c>
      <x:c r="J31" s="60" t="n">
        <x:v>927.5302635173999</x:v>
      </x:c>
      <x:c r="K31" s="60" t="n">
        <x:v>3.7136487654</x:v>
      </x:c>
      <x:c r="L31" s="60" t="n">
        <x:v>709.3219939925</x:v>
      </x:c>
      <x:c r="M31" s="60" t="n">
        <x:v>221.9219182903</x:v>
      </x:c>
      <x:c r="N31" s="46" t="str">
        <x:v>palaemon</x:v>
      </x:c>
      <x:c r="O31" s="62" t="n">
        <x:v>2.65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Palaemon</x:v>
      </x:c>
      <x:c r="T31" s="62" t="n">
        <x:f>IF(O31="","",(1/'Metadata'!$B$5)^(O31-1))</x:f>
        <x:v>44.6683592150963</x:v>
      </x:c>
      <x:c r="U31" s="60" t="n">
        <x:f>IF(T31="","",I31*T31)</x:f>
        <x:v>41597.137590719736</x:v>
      </x:c>
    </x:row>
    <x:row r="32" ht="18" customHeight="1">
      <x:c r="A32" s="46" t="str">
        <x:v>LME_062</x:v>
      </x:c>
      <x:c r="B32" s="46" t="str">
        <x:v>Black Sea</x:v>
      </x:c>
      <x:c r="C32" s="46" t="str">
        <x:v>LME</x:v>
      </x:c>
      <x:c r="D32" s="58" t="n">
        <x:v>2019</x:v>
      </x:c>
      <x:c r="E32" s="46" t="str">
        <x:v>Scorpaenidae</x:v>
      </x:c>
      <x:c r="F32" s="46" t="str">
        <x:v>Scorpionfishes, rockfishes</x:v>
      </x:c>
      <x:c r="G32" s="46" t="str">
        <x:v>Large reef assoc. fish (&gt;=90 cm)</x:v>
      </x:c>
      <x:c r="H32" s="46" t="str">
        <x:v>Scorpionfishes</x:v>
      </x:c>
      <x:c r="I32" s="60" t="n">
        <x:v>885.4588567303</x:v>
      </x:c>
      <x:c r="J32" s="60" t="n">
        <x:v>3.9188991391</x:v>
      </x:c>
      <x:c r="K32" s="60" t="n">
        <x:v>881.5399575912</x:v>
      </x:c>
      <x:c r="L32" s="60" t="n">
        <x:v>3.9188991391</x:v>
      </x:c>
      <x:c r="M32" s="60" t="n">
        <x:v>881.5399575912</x:v>
      </x:c>
      <x:c r="N32" s="46" t="str">
        <x:v>scorpaenidae</x:v>
      </x:c>
      <x:c r="O32" s="62" t="n">
        <x:v>3.92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Scorpaenidae</x:v>
      </x:c>
      <x:c r="T32" s="62" t="n">
        <x:f>IF(O32="","",(1/'Metadata'!$B$5)^(O32-1))</x:f>
        <x:v>831.7637711026708</x:v>
      </x:c>
      <x:c r="U32" s="60" t="n">
        <x:f>IF(T32="","",I32*T32)</x:f>
        <x:v>736492.5978302539</x:v>
      </x:c>
    </x:row>
    <x:row r="33" ht="18" customHeight="1">
      <x:c r="A33" s="46" t="str">
        <x:v>LME_062</x:v>
      </x:c>
      <x:c r="B33" s="46" t="str">
        <x:v>Black Sea</x:v>
      </x:c>
      <x:c r="C33" s="46" t="str">
        <x:v>LME</x:v>
      </x:c>
      <x:c r="D33" s="58" t="n">
        <x:v>2019</x:v>
      </x:c>
      <x:c r="E33" s="46" t="str">
        <x:v>Alosa fallax</x:v>
      </x:c>
      <x:c r="F33" s="46" t="str">
        <x:v>Twaite shad</x:v>
      </x:c>
      <x:c r="G33" s="46" t="str">
        <x:v>Medium pelagics (30 - 89 cm)</x:v>
      </x:c>
      <x:c r="H33" s="46" t="str">
        <x:v>Herring-likes</x:v>
      </x:c>
      <x:c r="I33" s="60" t="n">
        <x:v>728.7871668093</x:v>
      </x:c>
      <x:c r="J33" s="60" t="n">
        <x:v>710.9192307807</x:v>
      </x:c>
      <x:c r="K33" s="60" t="n">
        <x:v>17.8679360286</x:v>
      </x:c>
      <x:c r="L33" s="60" t="n">
        <x:v>552.5547552093</x:v>
      </x:c>
      <x:c r="M33" s="60" t="n">
        <x:v>176.2324116</x:v>
      </x:c>
      <x:c r="N33" s="46" t="str">
        <x:v>alosa fallax</x:v>
      </x:c>
      <x:c r="O33" s="62" t="n">
        <x:v>4.03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Alosa fallax</x:v>
      </x:c>
      <x:c r="T33" s="62" t="n">
        <x:f>IF(O33="","",(1/'Metadata'!$B$5)^(O33-1))</x:f>
        <x:v>1071.519305237607</x:v>
      </x:c>
      <x:c r="U33" s="60" t="n">
        <x:f>IF(T33="","",I33*T33)</x:f>
        <x:v>780909.5186455852</x:v>
      </x:c>
    </x:row>
    <x:row r="34" ht="18" customHeight="1">
      <x:c r="A34" s="46" t="str">
        <x:v>LME_062</x:v>
      </x:c>
      <x:c r="B34" s="46" t="str">
        <x:v>Black Sea</x:v>
      </x:c>
      <x:c r="C34" s="46" t="str">
        <x:v>LME</x:v>
      </x:c>
      <x:c r="D34" s="58" t="n">
        <x:v>2019</x:v>
      </x:c>
      <x:c r="E34" s="46" t="str">
        <x:v>Mugil cephalus</x:v>
      </x:c>
      <x:c r="F34" s="46" t="str">
        <x:v>Flathead grey mullet</x:v>
      </x:c>
      <x:c r="G34" s="46" t="str">
        <x:v>Large benthopelagics (&gt;=90 cm)</x:v>
      </x:c>
      <x:c r="H34" s="46" t="str">
        <x:v>Perch-likes</x:v>
      </x:c>
      <x:c r="I34" s="60" t="n">
        <x:v>609.3224776804</x:v>
      </x:c>
      <x:c r="J34" s="60" t="n">
        <x:v>608.8819745975001</x:v>
      </x:c>
      <x:c r="K34" s="60" t="n">
        <x:v>0.4405030829</x:v>
      </x:c>
      <x:c r="L34" s="60" t="n">
        <x:v>608.8819745975001</x:v>
      </x:c>
      <x:c r="M34" s="60" t="n">
        <x:v>0.4405030829</x:v>
      </x:c>
      <x:c r="N34" s="46" t="str">
        <x:v>mugil cephalus</x:v>
      </x:c>
      <x:c r="O34" s="62" t="n">
        <x:v>2.14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Mugil cephalus</x:v>
      </x:c>
      <x:c r="T34" s="62" t="n">
        <x:f>IF(O34="","",(1/'Metadata'!$B$5)^(O34-1))</x:f>
        <x:v>13.803842646028853</x:v>
      </x:c>
      <x:c r="U34" s="60" t="n">
        <x:f>IF(T34="","",I34*T34)</x:f>
        <x:v>8410.991602588669</x:v>
      </x:c>
    </x:row>
    <x:row r="35" ht="18" customHeight="1">
      <x:c r="A35" s="46" t="str">
        <x:v>LME_062</x:v>
      </x:c>
      <x:c r="B35" s="46" t="str">
        <x:v>Black Sea</x:v>
      </x:c>
      <x:c r="C35" s="46" t="str">
        <x:v>LME</x:v>
      </x:c>
      <x:c r="D35" s="58" t="n">
        <x:v>2019</x:v>
      </x:c>
      <x:c r="E35" s="46" t="str">
        <x:v>Pleuronectiformes</x:v>
      </x:c>
      <x:c r="F35" s="46" t="str">
        <x:v>Flatfishes</x:v>
      </x:c>
      <x:c r="G35" s="46" t="str">
        <x:v>Small to medium flatfishes (&lt;90 cm)</x:v>
      </x:c>
      <x:c r="H35" s="46" t="str">
        <x:v>Flatfishes</x:v>
      </x:c>
      <x:c r="I35" s="60" t="n">
        <x:v>522.9314897155</x:v>
      </x:c>
      <x:c r="J35" s="60" t="n">
        <x:v>522.9314897155</x:v>
      </x:c>
      <x:c r="K35" s="60" t="n">
        <x:v>0</x:v>
      </x:c>
      <x:c r="L35" s="60" t="n">
        <x:v>418.8981553044</x:v>
      </x:c>
      <x:c r="M35" s="60" t="n">
        <x:v>104.0333344111</x:v>
      </x:c>
      <x:c r="N35" s="46" t="str">
        <x:v>pleuronectiformes</x:v>
      </x:c>
      <x:c r="O35" s="62" t="n">
        <x:v>3.57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Pleuronectiformes</x:v>
      </x:c>
      <x:c r="T35" s="62" t="n">
        <x:f>IF(O35="","",(1/'Metadata'!$B$5)^(O35-1))</x:f>
        <x:v>371.5352290971724</x:v>
      </x:c>
      <x:c r="U35" s="60" t="n">
        <x:f>IF(T35="","",I35*T35)</x:f>
        <x:v>194287.47083357396</x:v>
      </x:c>
    </x:row>
    <x:row r="36" ht="18" customHeight="1">
      <x:c r="A36" s="46" t="str">
        <x:v>LME_062</x:v>
      </x:c>
      <x:c r="B36" s="46" t="str">
        <x:v>Black Sea</x:v>
      </x:c>
      <x:c r="C36" s="46" t="str">
        <x:v>LME</x:v>
      </x:c>
      <x:c r="D36" s="58" t="n">
        <x:v>2019</x:v>
      </x:c>
      <x:c r="E36" s="46" t="str">
        <x:v>Scorpaena</x:v>
      </x:c>
      <x:c r="F36" s="46" t="str">
        <x:v>Scorpionfishes</x:v>
      </x:c>
      <x:c r="G36" s="46" t="str">
        <x:v>Large reef assoc. fish (&gt;=90 cm)</x:v>
      </x:c>
      <x:c r="H36" s="46" t="str">
        <x:v>Scorpionfishes</x:v>
      </x:c>
      <x:c r="I36" s="60" t="n">
        <x:v>515.1814870044</x:v>
      </x:c>
      <x:c r="J36" s="60" t="n">
        <x:v>495.93132213620004</x:v>
      </x:c>
      <x:c r="K36" s="60" t="n">
        <x:v>19.2501648682</x:v>
      </x:c>
      <x:c r="L36" s="60" t="n">
        <x:v>0</x:v>
      </x:c>
      <x:c r="M36" s="60" t="n">
        <x:v>515.1814870044</x:v>
      </x:c>
      <x:c r="N36" s="46" t="str">
        <x:v>scorpaena</x:v>
      </x:c>
      <x:c r="O36" s="62" t="n">
        <x:v>3.87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Scorpaena</x:v>
      </x:c>
      <x:c r="T36" s="62" t="n">
        <x:f>IF(O36="","",(1/'Metadata'!$B$5)^(O36-1))</x:f>
        <x:v>741.3102413009177</x:v>
      </x:c>
      <x:c r="U36" s="60" t="n">
        <x:f>IF(T36="","",I36*T36)</x:f>
        <x:v>381909.31244499737</x:v>
      </x:c>
    </x:row>
    <x:row r="37" ht="18" customHeight="1">
      <x:c r="A37" s="46" t="str">
        <x:v>LME_062</x:v>
      </x:c>
      <x:c r="B37" s="46" t="str">
        <x:v>Black Sea</x:v>
      </x:c>
      <x:c r="C37" s="46" t="str">
        <x:v>LME</x:v>
      </x:c>
      <x:c r="D37" s="58" t="n">
        <x:v>2019</x:v>
      </x:c>
      <x:c r="E37" s="46" t="str">
        <x:v>Mullidae</x:v>
      </x:c>
      <x:c r="F37" s="46" t="str">
        <x:v>Goatfishes</x:v>
      </x:c>
      <x:c r="G37" s="46" t="str">
        <x:v>Medium reef assoc. fish (30 - 89 cm)</x:v>
      </x:c>
      <x:c r="H37" s="46" t="str">
        <x:v>Perch-likes</x:v>
      </x:c>
      <x:c r="I37" s="60" t="n">
        <x:v>508.7659005961</x:v>
      </x:c>
      <x:c r="J37" s="60" t="n">
        <x:v>508.7659005961</x:v>
      </x:c>
      <x:c r="K37" s="60" t="n">
        <x:v>0</x:v>
      </x:c>
      <x:c r="L37" s="60" t="n">
        <x:v>3.9692556336</x:v>
      </x:c>
      <x:c r="M37" s="60" t="n">
        <x:v>504.79664496249995</x:v>
      </x:c>
      <x:c r="N37" s="46" t="str">
        <x:v>mullidae</x:v>
      </x:c>
      <x:c r="O37" s="62" t="n">
        <x:v>3.46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Mullidae</x:v>
      </x:c>
      <x:c r="T37" s="62" t="n">
        <x:f>IF(O37="","",(1/'Metadata'!$B$5)^(O37-1))</x:f>
        <x:v>288.40315031266056</x:v>
      </x:c>
      <x:c r="U37" s="60" t="n">
        <x:f>IF(T37="","",I37*T37)</x:f>
        <x:v>146729.68850357315</x:v>
      </x:c>
    </x:row>
    <x:row r="38" ht="18" customHeight="1">
      <x:c r="A38" s="46" t="str">
        <x:v>LME_062</x:v>
      </x:c>
      <x:c r="B38" s="46" t="str">
        <x:v>Black Sea</x:v>
      </x:c>
      <x:c r="C38" s="46" t="str">
        <x:v>LME</x:v>
      </x:c>
      <x:c r="D38" s="58" t="n">
        <x:v>2019</x:v>
      </x:c>
      <x:c r="E38" s="46" t="str">
        <x:v>Mugilidae</x:v>
      </x:c>
      <x:c r="F38" s="46" t="str">
        <x:v>Mullets, grey mullets</x:v>
      </x:c>
      <x:c r="G38" s="46" t="str">
        <x:v>Medium reef assoc. fish (30 - 89 cm)</x:v>
      </x:c>
      <x:c r="H38" s="46" t="str">
        <x:v>Perch-likes</x:v>
      </x:c>
      <x:c r="I38" s="60" t="n">
        <x:v>448.4385336759</x:v>
      </x:c>
      <x:c r="J38" s="60" t="n">
        <x:v>447.8876827954</x:v>
      </x:c>
      <x:c r="K38" s="60" t="n">
        <x:v>0.5508508805</x:v>
      </x:c>
      <x:c r="L38" s="60" t="n">
        <x:v>74.45321584540001</x:v>
      </x:c>
      <x:c r="M38" s="60" t="n">
        <x:v>373.9853178305</x:v>
      </x:c>
      <x:c r="N38" s="46" t="str">
        <x:v>mugilidae</x:v>
      </x:c>
      <x:c r="O38" s="62" t="n">
        <x:v>2.53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Mugilidae</x:v>
      </x:c>
      <x:c r="T38" s="62" t="n">
        <x:f>IF(O38="","",(1/'Metadata'!$B$5)^(O38-1))</x:f>
        <x:v>33.88441561392024</x:v>
      </x:c>
      <x:c r="U38" s="60" t="n">
        <x:f>IF(T38="","",I38*T38)</x:f>
        <x:v>15195.077652371163</x:v>
      </x:c>
    </x:row>
    <x:row r="39" ht="18" customHeight="1">
      <x:c r="A39" s="46" t="str">
        <x:v>LME_062</x:v>
      </x:c>
      <x:c r="B39" s="46" t="str">
        <x:v>Black Sea</x:v>
      </x:c>
      <x:c r="C39" s="46" t="str">
        <x:v>LME</x:v>
      </x:c>
      <x:c r="D39" s="58" t="n">
        <x:v>2019</x:v>
      </x:c>
      <x:c r="E39" s="46" t="str">
        <x:v>Sardina pilchardus</x:v>
      </x:c>
      <x:c r="F39" s="46" t="str">
        <x:v>European pilchard</x:v>
      </x:c>
      <x:c r="G39" s="46" t="str">
        <x:v>Small pelagics (&lt;30 cm)</x:v>
      </x:c>
      <x:c r="H39" s="46" t="str">
        <x:v>Herring-likes</x:v>
      </x:c>
      <x:c r="I39" s="60" t="n">
        <x:v>432.49051010019997</x:v>
      </x:c>
      <x:c r="J39" s="60" t="n">
        <x:v>407.9952228737</x:v>
      </x:c>
      <x:c r="K39" s="60" t="n">
        <x:v>24.495287226499997</x:v>
      </x:c>
      <x:c r="L39" s="60" t="n">
        <x:v>273.1892729285</x:v>
      </x:c>
      <x:c r="M39" s="60" t="n">
        <x:v>159.3012371717</x:v>
      </x:c>
      <x:c r="N39" s="46" t="str">
        <x:v>sardina pilchardus</x:v>
      </x:c>
      <x:c r="O39" s="62" t="n">
        <x:v>3.06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Sardina pilchardus</x:v>
      </x:c>
      <x:c r="T39" s="62" t="n">
        <x:f>IF(O39="","",(1/'Metadata'!$B$5)^(O39-1))</x:f>
        <x:v>114.81536214968828</x:v>
      </x:c>
      <x:c r="U39" s="60" t="n">
        <x:f>IF(T39="","",I39*T39)</x:f>
        <x:v>49656.554543457874</x:v>
      </x:c>
    </x:row>
    <x:row r="40" ht="18" customHeight="1">
      <x:c r="A40" s="46" t="str">
        <x:v>LME_062</x:v>
      </x:c>
      <x:c r="B40" s="46" t="str">
        <x:v>Black Sea</x:v>
      </x:c>
      <x:c r="C40" s="46" t="str">
        <x:v>LME</x:v>
      </x:c>
      <x:c r="D40" s="58" t="n">
        <x:v>2019</x:v>
      </x:c>
      <x:c r="E40" s="46" t="str">
        <x:v>Donax</x:v>
      </x:c>
      <x:c r="F40" s="46" t="str">
        <x:v>Bean clams</x:v>
      </x:c>
      <x:c r="G40" s="46" t="str">
        <x:v>Other demersal invertebrates</x:v>
      </x:c>
      <x:c r="H40" s="46" t="str">
        <x:v>Molluscs</x:v>
      </x:c>
      <x:c r="I40" s="60" t="n">
        <x:v>373.8221801994</x:v>
      </x:c>
      <x:c r="J40" s="60" t="n">
        <x:v>373.8221801994</x:v>
      </x:c>
      <x:c r="K40" s="60" t="n">
        <x:v>0</x:v>
      </x:c>
      <x:c r="L40" s="60" t="n">
        <x:v>0</x:v>
      </x:c>
      <x:c r="M40" s="60" t="n">
        <x:v>373.8221801994</x:v>
      </x:c>
      <x:c r="N40" s="46" t="str">
        <x:v>donax</x:v>
      </x:c>
      <x:c r="O40" s="62" t="n">
        <x:v>2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Donax</x:v>
      </x:c>
      <x:c r="T40" s="62" t="n">
        <x:f>IF(O40="","",(1/'Metadata'!$B$5)^(O40-1))</x:f>
        <x:v>10</x:v>
      </x:c>
      <x:c r="U40" s="60" t="n">
        <x:f>IF(T40="","",I40*T40)</x:f>
        <x:v>3738.221801994</x:v>
      </x:c>
    </x:row>
    <x:row r="41" ht="18" customHeight="1">
      <x:c r="A41" s="46" t="str">
        <x:v>LME_062</x:v>
      </x:c>
      <x:c r="B41" s="46" t="str">
        <x:v>Black Sea</x:v>
      </x:c>
      <x:c r="C41" s="46" t="str">
        <x:v>LME</x:v>
      </x:c>
      <x:c r="D41" s="58" t="n">
        <x:v>2019</x:v>
      </x:c>
      <x:c r="E41" s="46" t="str">
        <x:v>Alosa immaculata</x:v>
      </x:c>
      <x:c r="F41" s="46" t="str">
        <x:v>Pontic shad</x:v>
      </x:c>
      <x:c r="G41" s="46" t="str">
        <x:v>Medium pelagics (30 - 89 cm)</x:v>
      </x:c>
      <x:c r="H41" s="46" t="str">
        <x:v>Herring-likes</x:v>
      </x:c>
      <x:c r="I41" s="60" t="n">
        <x:v>344.2584004295</x:v>
      </x:c>
      <x:c r="J41" s="60" t="n">
        <x:v>343.9925521713</x:v>
      </x:c>
      <x:c r="K41" s="60" t="n">
        <x:v>0.2658482582</x:v>
      </x:c>
      <x:c r="L41" s="60" t="n">
        <x:v>260.1606593139</x:v>
      </x:c>
      <x:c r="M41" s="60" t="n">
        <x:v>84.0977411156</x:v>
      </x:c>
      <x:c r="N41" s="46" t="str">
        <x:v>alosa immaculata</x:v>
      </x:c>
      <x:c r="O41" s="62" t="n">
        <x:v>3.98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Alosa immaculata</x:v>
      </x:c>
      <x:c r="T41" s="62" t="n">
        <x:f>IF(O41="","",(1/'Metadata'!$B$5)^(O41-1))</x:f>
        <x:v>954.992586021436</x:v>
      </x:c>
      <x:c r="U41" s="60" t="n">
        <x:f>IF(T41="","",I41*T41)</x:f>
        <x:v>328764.22008577123</x:v>
      </x:c>
    </x:row>
    <x:row r="42" ht="18" customHeight="1">
      <x:c r="A42" s="46" t="str">
        <x:v>LME_062</x:v>
      </x:c>
      <x:c r="B42" s="46" t="str">
        <x:v>Black Sea</x:v>
      </x:c>
      <x:c r="C42" s="46" t="str">
        <x:v>LME</x:v>
      </x:c>
      <x:c r="D42" s="58" t="n">
        <x:v>2019</x:v>
      </x:c>
      <x:c r="E42" s="46" t="str">
        <x:v>Decapoda</x:v>
      </x:c>
      <x:c r="F42" s="46" t="str">
        <x:v>Crabs, lobsters, shrimps</x:v>
      </x:c>
      <x:c r="G42" s="46" t="str">
        <x:v>Lobsters, crabs</x:v>
      </x:c>
      <x:c r="H42" s="46" t="str">
        <x:v>Crustaceans</x:v>
      </x:c>
      <x:c r="I42" s="60" t="n">
        <x:v>327.731648043</x:v>
      </x:c>
      <x:c r="J42" s="60" t="n">
        <x:v>327.440381216</x:v>
      </x:c>
      <x:c r="K42" s="60" t="n">
        <x:v>0.291266827</x:v>
      </x:c>
      <x:c r="L42" s="60" t="n">
        <x:v>268.7772648505</x:v>
      </x:c>
      <x:c r="M42" s="60" t="n">
        <x:v>58.954383192499996</x:v>
      </x:c>
      <x:c r="N42" s="46" t="str">
        <x:v>decapoda</x:v>
      </x:c>
      <x:c r="O42" s="62" t="n">
        <x:v>3.43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Decapoda</x:v>
      </x:c>
      <x:c r="T42" s="62" t="n">
        <x:f>IF(O42="","",(1/'Metadata'!$B$5)^(O42-1))</x:f>
        <x:v>269.1534803926917</x:v>
      </x:c>
      <x:c r="U42" s="60" t="n">
        <x:f>IF(T42="","",I42*T42)</x:f>
        <x:v>88210.11370560613</x:v>
      </x:c>
    </x:row>
    <x:row r="43" ht="18" customHeight="1">
      <x:c r="A43" s="46" t="str">
        <x:v>LME_062</x:v>
      </x:c>
      <x:c r="B43" s="46" t="str">
        <x:v>Black Sea</x:v>
      </x:c>
      <x:c r="C43" s="46" t="str">
        <x:v>LME</x:v>
      </x:c>
      <x:c r="D43" s="58" t="n">
        <x:v>2019</x:v>
      </x:c>
      <x:c r="E43" s="46" t="str">
        <x:v>Atherinidae</x:v>
      </x:c>
      <x:c r="F43" s="46" t="str">
        <x:v>Silversides</x:v>
      </x:c>
      <x:c r="G43" s="46" t="str">
        <x:v>Small pelagics (&lt;30 cm)</x:v>
      </x:c>
      <x:c r="H43" s="46" t="str">
        <x:v>Other fishes &amp; inverts</x:v>
      </x:c>
      <x:c r="I43" s="60" t="n">
        <x:v>258.30064233850004</x:v>
      </x:c>
      <x:c r="J43" s="60" t="n">
        <x:v>256.5658184324</x:v>
      </x:c>
      <x:c r="K43" s="60" t="n">
        <x:v>1.7348239061</x:v>
      </x:c>
      <x:c r="L43" s="60" t="n">
        <x:v>0.34082881130000003</x:v>
      </x:c>
      <x:c r="M43" s="60" t="n">
        <x:v>257.9598135272</x:v>
      </x:c>
      <x:c r="N43" s="46" t="str">
        <x:v>atherinidae</x:v>
      </x:c>
      <x:c r="O43" s="62" t="n">
        <x:v>3.2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Atherinidae</x:v>
      </x:c>
      <x:c r="T43" s="62" t="n">
        <x:f>IF(O43="","",(1/'Metadata'!$B$5)^(O43-1))</x:f>
        <x:v>158.48931924611142</x:v>
      </x:c>
      <x:c r="U43" s="60" t="n">
        <x:f>IF(T43="","",I43*T43)</x:f>
        <x:v>40937.89296506218</x:v>
      </x:c>
    </x:row>
    <x:row r="44" ht="18" customHeight="1">
      <x:c r="A44" s="46" t="str">
        <x:v>LME_062</x:v>
      </x:c>
      <x:c r="B44" s="46" t="str">
        <x:v>Black Sea</x:v>
      </x:c>
      <x:c r="C44" s="46" t="str">
        <x:v>LME</x:v>
      </x:c>
      <x:c r="D44" s="58" t="n">
        <x:v>2019</x:v>
      </x:c>
      <x:c r="E44" s="46" t="str">
        <x:v>Belone belone</x:v>
      </x:c>
      <x:c r="F44" s="46" t="str">
        <x:v>Garfish</x:v>
      </x:c>
      <x:c r="G44" s="46" t="str">
        <x:v>Medium pelagics (30 - 89 cm)</x:v>
      </x:c>
      <x:c r="H44" s="46" t="str">
        <x:v>Other fishes &amp; inverts</x:v>
      </x:c>
      <x:c r="I44" s="60" t="n">
        <x:v>186.4244302821</x:v>
      </x:c>
      <x:c r="J44" s="60" t="n">
        <x:v>177.1417118201</x:v>
      </x:c>
      <x:c r="K44" s="60" t="n">
        <x:v>9.282718462</x:v>
      </x:c>
      <x:c r="L44" s="60" t="n">
        <x:v>100.47367441269999</x:v>
      </x:c>
      <x:c r="M44" s="60" t="n">
        <x:v>85.9507558694</x:v>
      </x:c>
      <x:c r="N44" s="46" t="str">
        <x:v>belone belone</x:v>
      </x:c>
      <x:c r="O44" s="62" t="n">
        <x:v>4.16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Belone belone</x:v>
      </x:c>
      <x:c r="T44" s="62" t="n">
        <x:f>IF(O44="","",(1/'Metadata'!$B$5)^(O44-1))</x:f>
        <x:v>1445.439770745928</x:v>
      </x:c>
      <x:c r="U44" s="60" t="n">
        <x:f>IF(T44="","",I44*T44)</x:f>
        <x:v>269465.28576839884</x:v>
      </x:c>
    </x:row>
    <x:row r="45" ht="18" customHeight="1">
      <x:c r="A45" s="46" t="str">
        <x:v>LME_062</x:v>
      </x:c>
      <x:c r="B45" s="46" t="str">
        <x:v>Black Sea</x:v>
      </x:c>
      <x:c r="C45" s="46" t="str">
        <x:v>LME</x:v>
      </x:c>
      <x:c r="D45" s="58" t="n">
        <x:v>2019</x:v>
      </x:c>
      <x:c r="E45" s="46" t="str">
        <x:v>Spicara maena</x:v>
      </x:c>
      <x:c r="F45" s="46" t="str">
        <x:v>Blotched picarel</x:v>
      </x:c>
      <x:c r="G45" s="46" t="str">
        <x:v>Small demersals (&lt;30 cm)</x:v>
      </x:c>
      <x:c r="H45" s="46" t="str">
        <x:v>Perch-likes</x:v>
      </x:c>
      <x:c r="I45" s="60" t="n">
        <x:v>121.9450125431</x:v>
      </x:c>
      <x:c r="J45" s="60" t="n">
        <x:v>121.9450125431</x:v>
      </x:c>
      <x:c r="K45" s="60" t="n">
        <x:v>0</x:v>
      </x:c>
      <x:c r="L45" s="60" t="n">
        <x:v>93.21725854820001</x:v>
      </x:c>
      <x:c r="M45" s="60" t="n">
        <x:v>28.7277539949</x:v>
      </x:c>
      <x:c r="N45" s="46" t="str">
        <x:v>spicara maena</x:v>
      </x:c>
      <x:c r="O45" s="62" t="n">
        <x:v>4.15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Spicara maena</x:v>
      </x:c>
      <x:c r="T45" s="62" t="n">
        <x:f>IF(O45="","",(1/'Metadata'!$B$5)^(O45-1))</x:f>
        <x:v>1412.5375446227554</x:v>
      </x:c>
      <x:c r="U45" s="60" t="n">
        <x:f>IF(T45="","",I45*T45)</x:f>
        <x:v>172251.9085966216</x:v>
      </x:c>
    </x:row>
    <x:row r="46" ht="18" customHeight="1">
      <x:c r="A46" s="46" t="str">
        <x:v>LME_062</x:v>
      </x:c>
      <x:c r="B46" s="46" t="str">
        <x:v>Black Sea</x:v>
      </x:c>
      <x:c r="C46" s="46" t="str">
        <x:v>LME</x:v>
      </x:c>
      <x:c r="D46" s="58" t="n">
        <x:v>2019</x:v>
      </x:c>
      <x:c r="E46" s="46" t="str">
        <x:v>Elasmobranchii</x:v>
      </x:c>
      <x:c r="F46" s="46" t="str">
        <x:v>Sharks, rays, skates</x:v>
      </x:c>
      <x:c r="G46" s="46" t="str">
        <x:v>Large sharks (&gt;=90 cm)</x:v>
      </x:c>
      <x:c r="H46" s="46" t="str">
        <x:v>Sharks &amp; rays</x:v>
      </x:c>
      <x:c r="I46" s="60" t="n">
        <x:v>120.1774558008</x:v>
      </x:c>
      <x:c r="J46" s="60" t="n">
        <x:v>120.1774558008</x:v>
      </x:c>
      <x:c r="K46" s="60" t="n">
        <x:v>0</x:v>
      </x:c>
      <x:c r="L46" s="60" t="n">
        <x:v>95.3278333757</x:v>
      </x:c>
      <x:c r="M46" s="60" t="n">
        <x:v>24.8496224251</x:v>
      </x:c>
      <x:c r="N46" s="46" t="str">
        <x:v>elasmobranchii</x:v>
      </x:c>
      <x:c r="O46" s="62" t="n">
        <x:v>4.05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Elasmobranchii</x:v>
      </x:c>
      <x:c r="T46" s="62" t="n">
        <x:f>IF(O46="","",(1/'Metadata'!$B$5)^(O46-1))</x:f>
        <x:v>1122.018454301963</x:v>
      </x:c>
      <x:c r="U46" s="60" t="n">
        <x:f>IF(T46="","",I46*T46)</x:f>
        <x:v>134841.3231995561</x:v>
      </x:c>
    </x:row>
    <x:row r="47" ht="18" customHeight="1">
      <x:c r="A47" s="46" t="str">
        <x:v>LME_062</x:v>
      </x:c>
      <x:c r="B47" s="46" t="str">
        <x:v>Black Sea</x:v>
      </x:c>
      <x:c r="C47" s="46" t="str">
        <x:v>LME</x:v>
      </x:c>
      <x:c r="D47" s="58" t="n">
        <x:v>2019</x:v>
      </x:c>
      <x:c r="E47" s="46" t="str">
        <x:v>Miscellaneous diadromous fishes</x:v>
      </x:c>
      <x:c r="F47" s="46" t="str">
        <x:v>Diadromous fishes nei</x:v>
      </x:c>
      <x:c r="G47" s="46" t="str">
        <x:v>Large demersals (&gt;=90 cm)</x:v>
      </x:c>
      <x:c r="H47" s="46" t="str">
        <x:v>Other fishes &amp; inverts</x:v>
      </x:c>
      <x:c r="I47" s="60" t="n">
        <x:v>118.12737568</x:v>
      </x:c>
      <x:c r="J47" s="60" t="n">
        <x:v>118.12737568</x:v>
      </x:c>
      <x:c r="K47" s="60" t="n">
        <x:v>0</x:v>
      </x:c>
      <x:c r="L47" s="60" t="n">
        <x:v>0</x:v>
      </x:c>
      <x:c r="M47" s="60" t="n">
        <x:v>118.12737568</x:v>
      </x:c>
      <x:c r="N47" s="46" t="str">
        <x:v>miscellaneous diadromous fishes</x:v>
      </x:c>
      <x:c r="O47" s="62" t="n">
        <x:v>3.19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Miscellaneous diadromous fishes</x:v>
      </x:c>
      <x:c r="T47" s="62" t="n">
        <x:f>IF(O47="","",(1/'Metadata'!$B$5)^(O47-1))</x:f>
        <x:v>154.88166189124811</x:v>
      </x:c>
      <x:c r="U47" s="60" t="n">
        <x:f>IF(T47="","",I47*T47)</x:f>
        <x:v>18295.764260170206</x:v>
      </x:c>
    </x:row>
    <x:row r="48" ht="18" customHeight="1">
      <x:c r="A48" s="46" t="str">
        <x:v>LME_062</x:v>
      </x:c>
      <x:c r="B48" s="46" t="str">
        <x:v>Black Sea</x:v>
      </x:c>
      <x:c r="C48" s="46" t="str">
        <x:v>LME</x:v>
      </x:c>
      <x:c r="D48" s="58" t="n">
        <x:v>2019</x:v>
      </x:c>
      <x:c r="E48" s="46" t="str">
        <x:v>Scorpaena porcus</x:v>
      </x:c>
      <x:c r="F48" s="46" t="str">
        <x:v>Black scorpionfish</x:v>
      </x:c>
      <x:c r="G48" s="46" t="str">
        <x:v>Small demersals (&lt;30 cm)</x:v>
      </x:c>
      <x:c r="H48" s="46" t="str">
        <x:v>Scorpionfishes</x:v>
      </x:c>
      <x:c r="I48" s="60" t="n">
        <x:v>107.35827812149999</x:v>
      </x:c>
      <x:c r="J48" s="60" t="n">
        <x:v>47.1790567228</x:v>
      </x:c>
      <x:c r="K48" s="60" t="n">
        <x:v>60.1792213987</x:v>
      </x:c>
      <x:c r="L48" s="60" t="n">
        <x:v>38.401995305999996</x:v>
      </x:c>
      <x:c r="M48" s="60" t="n">
        <x:v>68.9562828155</x:v>
      </x:c>
      <x:c r="N48" s="46" t="str">
        <x:v>scorpaena porcus</x:v>
      </x:c>
      <x:c r="O48" s="62" t="n">
        <x:v>3.92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Scorpaena porcus</x:v>
      </x:c>
      <x:c r="T48" s="62" t="n">
        <x:f>IF(O48="","",(1/'Metadata'!$B$5)^(O48-1))</x:f>
        <x:v>831.7637711026708</x:v>
      </x:c>
      <x:c r="U48" s="60" t="n">
        <x:f>IF(T48="","",I48*T48)</x:f>
        <x:v>89296.7262694282</x:v>
      </x:c>
    </x:row>
    <x:row r="49" ht="18" customHeight="1">
      <x:c r="A49" s="46" t="str">
        <x:v>LME_062</x:v>
      </x:c>
      <x:c r="B49" s="46" t="str">
        <x:v>Black Sea</x:v>
      </x:c>
      <x:c r="C49" s="46" t="str">
        <x:v>LME</x:v>
      </x:c>
      <x:c r="D49" s="58" t="n">
        <x:v>2019</x:v>
      </x:c>
      <x:c r="E49" s="46" t="str">
        <x:v>Crangon crangon</x:v>
      </x:c>
      <x:c r="F49" s="46" t="str">
        <x:v>Common shrimp</x:v>
      </x:c>
      <x:c r="G49" s="46" t="str">
        <x:v>Shrimps</x:v>
      </x:c>
      <x:c r="H49" s="46" t="str">
        <x:v>Crustaceans</x:v>
      </x:c>
      <x:c r="I49" s="60" t="n">
        <x:v>83.1674396873</x:v>
      </x:c>
      <x:c r="J49" s="60" t="n">
        <x:v>83.1674396873</x:v>
      </x:c>
      <x:c r="K49" s="60" t="n">
        <x:v>0</x:v>
      </x:c>
      <x:c r="L49" s="60" t="n">
        <x:v>0</x:v>
      </x:c>
      <x:c r="M49" s="60" t="n">
        <x:v>83.1674396873</x:v>
      </x:c>
      <x:c r="N49" s="46" t="str">
        <x:v>crangon crangon</x:v>
      </x:c>
      <x:c r="O49" s="62" t="n">
        <x:v>3.19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Crangon crangon</x:v>
      </x:c>
      <x:c r="T49" s="62" t="n">
        <x:f>IF(O49="","",(1/'Metadata'!$B$5)^(O49-1))</x:f>
        <x:v>154.88166189124811</x:v>
      </x:c>
      <x:c r="U49" s="60" t="n">
        <x:f>IF(T49="","",I49*T49)</x:f>
        <x:v>12881.111274009168</x:v>
      </x:c>
    </x:row>
    <x:row r="50" ht="18" customHeight="1">
      <x:c r="A50" s="46" t="str">
        <x:v>LME_062</x:v>
      </x:c>
      <x:c r="B50" s="46" t="str">
        <x:v>Black Sea</x:v>
      </x:c>
      <x:c r="C50" s="46" t="str">
        <x:v>LME</x:v>
      </x:c>
      <x:c r="D50" s="58" t="n">
        <x:v>2019</x:v>
      </x:c>
      <x:c r="E50" s="46" t="str">
        <x:v>Raja clavata</x:v>
      </x:c>
      <x:c r="F50" s="46" t="str">
        <x:v>Thornback ray</x:v>
      </x:c>
      <x:c r="G50" s="46" t="str">
        <x:v>Large rays (&gt;=90 cm)</x:v>
      </x:c>
      <x:c r="H50" s="46" t="str">
        <x:v>Sharks &amp; rays</x:v>
      </x:c>
      <x:c r="I50" s="60" t="n">
        <x:v>73.5887831944</x:v>
      </x:c>
      <x:c r="J50" s="60" t="n">
        <x:v>67.0864099613</x:v>
      </x:c>
      <x:c r="K50" s="60" t="n">
        <x:v>6.5023732331</x:v>
      </x:c>
      <x:c r="L50" s="60" t="n">
        <x:v>66.0524603011</x:v>
      </x:c>
      <x:c r="M50" s="60" t="n">
        <x:v>7.5363228933</x:v>
      </x:c>
      <x:c r="N50" s="46" t="str">
        <x:v>raja clavata</x:v>
      </x:c>
      <x:c r="O50" s="62" t="n">
        <x:v>3.84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Raja clavata</x:v>
      </x:c>
      <x:c r="T50" s="62" t="n">
        <x:f>IF(O50="","",(1/'Metadata'!$B$5)^(O50-1))</x:f>
        <x:v>691.8309709189363</x:v>
      </x:c>
      <x:c r="U50" s="60" t="n">
        <x:f>IF(T50="","",I50*T50)</x:f>
        <x:v>50910.999326124846</x:v>
      </x:c>
    </x:row>
    <x:row r="51" ht="18" customHeight="1">
      <x:c r="A51" s="46" t="str">
        <x:v>LME_062</x:v>
      </x:c>
      <x:c r="B51" s="46" t="str">
        <x:v>Black Sea</x:v>
      </x:c>
      <x:c r="C51" s="46" t="str">
        <x:v>LME</x:v>
      </x:c>
      <x:c r="D51" s="58" t="n">
        <x:v>2019</x:v>
      </x:c>
      <x:c r="E51" s="46" t="str">
        <x:v>Mya arenaria</x:v>
      </x:c>
      <x:c r="F51" s="46" t="str">
        <x:v>Sand gaper</x:v>
      </x:c>
      <x:c r="G51" s="46" t="str">
        <x:v>Other demersal invertebrates</x:v>
      </x:c>
      <x:c r="H51" s="46" t="str">
        <x:v>Molluscs</x:v>
      </x:c>
      <x:c r="I51" s="60" t="n">
        <x:v>53.473134300199995</x:v>
      </x:c>
      <x:c r="J51" s="60" t="n">
        <x:v>43.2200978939</x:v>
      </x:c>
      <x:c r="K51" s="60" t="n">
        <x:v>10.2530364063</x:v>
      </x:c>
      <x:c r="L51" s="60" t="n">
        <x:v>43.2200978939</x:v>
      </x:c>
      <x:c r="M51" s="60" t="n">
        <x:v>10.2530364063</x:v>
      </x:c>
      <x:c r="N51" s="46" t="str">
        <x:v>mya arenaria</x:v>
      </x:c>
      <x:c r="O51" s="62" t="n">
        <x:v>2.31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Mya arenaria</x:v>
      </x:c>
      <x:c r="T51" s="62" t="n">
        <x:f>IF(O51="","",(1/'Metadata'!$B$5)^(O51-1))</x:f>
        <x:v>20.417379446695296</x:v>
      </x:c>
      <x:c r="U51" s="60" t="n">
        <x:f>IF(T51="","",I51*T51)</x:f>
        <x:v>1091.7812732112807</x:v>
      </x:c>
    </x:row>
    <x:row r="52" ht="18" customHeight="1">
      <x:c r="A52" s="46" t="str">
        <x:v>LME_062</x:v>
      </x:c>
      <x:c r="B52" s="46" t="str">
        <x:v>Black Sea</x:v>
      </x:c>
      <x:c r="C52" s="46" t="str">
        <x:v>LME</x:v>
      </x:c>
      <x:c r="D52" s="58" t="n">
        <x:v>2019</x:v>
      </x:c>
      <x:c r="E52" s="46" t="str">
        <x:v>Esox lucius</x:v>
      </x:c>
      <x:c r="F52" s="46" t="str">
        <x:v>Northern pike</x:v>
      </x:c>
      <x:c r="G52" s="46" t="str">
        <x:v>Large demersals (&gt;=90 cm)</x:v>
      </x:c>
      <x:c r="H52" s="46" t="str">
        <x:v>Salmon, smelts, etc</x:v>
      </x:c>
      <x:c r="I52" s="60" t="n">
        <x:v>47.4484653934</x:v>
      </x:c>
      <x:c r="J52" s="60" t="n">
        <x:v>47.4484653934</x:v>
      </x:c>
      <x:c r="K52" s="60" t="n">
        <x:v>0</x:v>
      </x:c>
      <x:c r="L52" s="60" t="n">
        <x:v>0</x:v>
      </x:c>
      <x:c r="M52" s="60" t="n">
        <x:v>47.4484653934</x:v>
      </x:c>
      <x:c r="N52" s="46" t="str">
        <x:v>esox lucius</x:v>
      </x:c>
      <x:c r="O52" s="62" t="n">
        <x:v>4.07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Esox lucius</x:v>
      </x:c>
      <x:c r="T52" s="62" t="n">
        <x:f>IF(O52="","",(1/'Metadata'!$B$5)^(O52-1))</x:f>
        <x:v>1174.8975549395302</x:v>
      </x:c>
      <x:c r="U52" s="60" t="n">
        <x:f>IF(T52="","",I52*T52)</x:f>
        <x:v>55747.085976338574</x:v>
      </x:c>
    </x:row>
    <x:row r="53" ht="18" customHeight="1">
      <x:c r="A53" s="46" t="str">
        <x:v>LME_062</x:v>
      </x:c>
      <x:c r="B53" s="46" t="str">
        <x:v>Black Sea</x:v>
      </x:c>
      <x:c r="C53" s="46" t="str">
        <x:v>LME</x:v>
      </x:c>
      <x:c r="D53" s="58" t="n">
        <x:v>2019</x:v>
      </x:c>
      <x:c r="E53" s="46" t="str">
        <x:v>Acipenser huso</x:v>
      </x:c>
      <x:c r="F53" s="46" t="str">
        <x:v>Beluga</x:v>
      </x:c>
      <x:c r="G53" s="46" t="str">
        <x:v>Large demersals (&gt;=90 cm)</x:v>
      </x:c>
      <x:c r="H53" s="46" t="str">
        <x:v>Other fishes &amp; inverts</x:v>
      </x:c>
      <x:c r="I53" s="60" t="n">
        <x:v>33.7458847093</x:v>
      </x:c>
      <x:c r="J53" s="60" t="n">
        <x:v>33.7458847093</x:v>
      </x:c>
      <x:c r="K53" s="60" t="n">
        <x:v>0</x:v>
      </x:c>
      <x:c r="L53" s="60" t="n">
        <x:v>0</x:v>
      </x:c>
      <x:c r="M53" s="60" t="n">
        <x:v>33.7458847093</x:v>
      </x:c>
      <x:c r="N53" s="46" t="str">
        <x:v>acipenser huso</x:v>
      </x:c>
      <x:c r="O53" s="62" t="n">
        <x:v>4.42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Acipenser huso</x:v>
      </x:c>
      <x:c r="T53" s="62" t="n">
        <x:f>IF(O53="","",(1/'Metadata'!$B$5)^(O53-1))</x:f>
        <x:v>2630.2679918953813</x:v>
      </x:c>
      <x:c r="U53" s="60" t="n">
        <x:f>IF(T53="","",I53*T53)</x:f>
        <x:v>88760.72040906356</x:v>
      </x:c>
    </x:row>
    <x:row r="54" ht="18" customHeight="1">
      <x:c r="A54" s="46" t="str">
        <x:v>LME_062</x:v>
      </x:c>
      <x:c r="B54" s="46" t="str">
        <x:v>Black Sea</x:v>
      </x:c>
      <x:c r="C54" s="46" t="str">
        <x:v>LME</x:v>
      </x:c>
      <x:c r="D54" s="58" t="n">
        <x:v>2019</x:v>
      </x:c>
      <x:c r="E54" s="46" t="str">
        <x:v>Squaliformes</x:v>
      </x:c>
      <x:c r="F54" s="46" t="str">
        <x:v>Bramble, sleeper, dogfish sharks</x:v>
      </x:c>
      <x:c r="G54" s="46" t="str">
        <x:v>Large sharks (&gt;=90 cm)</x:v>
      </x:c>
      <x:c r="H54" s="46" t="str">
        <x:v>Sharks &amp; rays</x:v>
      </x:c>
      <x:c r="I54" s="60" t="n">
        <x:v>33.5299999983</x:v>
      </x:c>
      <x:c r="J54" s="60" t="n">
        <x:v>33.5299999983</x:v>
      </x:c>
      <x:c r="K54" s="60" t="n">
        <x:v>0</x:v>
      </x:c>
      <x:c r="L54" s="60" t="n">
        <x:v>33.5299999983</x:v>
      </x:c>
      <x:c r="M54" s="60" t="n">
        <x:v>0</x:v>
      </x:c>
      <x:c r="N54" s="46" t="str">
        <x:v>squaliformes</x:v>
      </x:c>
      <x:c r="O54" s="62" t="n">
        <x:v>4.19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Squaliformes</x:v>
      </x:c>
      <x:c r="T54" s="62" t="n">
        <x:f>IF(O54="","",(1/'Metadata'!$B$5)^(O54-1))</x:f>
        <x:v>1548.8166189124827</x:v>
      </x:c>
      <x:c r="U54" s="60" t="n">
        <x:f>IF(T54="","",I54*T54)</x:f>
        <x:v>51931.82122950255</x:v>
      </x:c>
    </x:row>
    <x:row r="55" ht="18" customHeight="1">
      <x:c r="A55" s="46" t="str">
        <x:v>LME_062</x:v>
      </x:c>
      <x:c r="B55" s="46" t="str">
        <x:v>Black Sea</x:v>
      </x:c>
      <x:c r="C55" s="46" t="str">
        <x:v>LME</x:v>
      </x:c>
      <x:c r="D55" s="58" t="n">
        <x:v>2019</x:v>
      </x:c>
      <x:c r="E55" s="46" t="str">
        <x:v>Acipenseridae</x:v>
      </x:c>
      <x:c r="F55" s="46" t="str">
        <x:v>Sturgeons</x:v>
      </x:c>
      <x:c r="G55" s="46" t="str">
        <x:v>Large demersals (&gt;=90 cm)</x:v>
      </x:c>
      <x:c r="H55" s="46" t="str">
        <x:v>Other fishes &amp; inverts</x:v>
      </x:c>
      <x:c r="I55" s="60" t="n">
        <x:v>29.4728564896</x:v>
      </x:c>
      <x:c r="J55" s="60" t="n">
        <x:v>29.4728564896</x:v>
      </x:c>
      <x:c r="K55" s="60" t="n">
        <x:v>0</x:v>
      </x:c>
      <x:c r="L55" s="60" t="n">
        <x:v>0</x:v>
      </x:c>
      <x:c r="M55" s="60" t="n">
        <x:v>29.4728564896</x:v>
      </x:c>
      <x:c r="N55" s="46" t="str">
        <x:v>acipenseridae</x:v>
      </x:c>
      <x:c r="O55" s="62" t="n">
        <x:v>3.6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Acipenseridae</x:v>
      </x:c>
      <x:c r="T55" s="62" t="n">
        <x:f>IF(O55="","",(1/'Metadata'!$B$5)^(O55-1))</x:f>
        <x:v>398.1071705534973</x:v>
      </x:c>
      <x:c r="U55" s="60" t="n">
        <x:f>IF(T55="","",I55*T55)</x:f>
        <x:v>11733.35550520394</x:v>
      </x:c>
    </x:row>
    <x:row r="56" ht="18" customHeight="1">
      <x:c r="A56" s="46" t="str">
        <x:v>LME_062</x:v>
      </x:c>
      <x:c r="B56" s="46" t="str">
        <x:v>Black Sea</x:v>
      </x:c>
      <x:c r="C56" s="46" t="str">
        <x:v>LME</x:v>
      </x:c>
      <x:c r="D56" s="58" t="n">
        <x:v>2019</x:v>
      </x:c>
      <x:c r="E56" s="46" t="str">
        <x:v>Boops boops</x:v>
      </x:c>
      <x:c r="F56" s="46" t="str">
        <x:v>Bogue</x:v>
      </x:c>
      <x:c r="G56" s="46" t="str">
        <x:v>Medium demersals (30 - 89 cm)</x:v>
      </x:c>
      <x:c r="H56" s="46" t="str">
        <x:v>Perch-likes</x:v>
      </x:c>
      <x:c r="I56" s="60" t="n">
        <x:v>28.393956869900002</x:v>
      </x:c>
      <x:c r="J56" s="60" t="n">
        <x:v>24.5805781112</x:v>
      </x:c>
      <x:c r="K56" s="60" t="n">
        <x:v>3.8133787587</x:v>
      </x:c>
      <x:c r="L56" s="60" t="n">
        <x:v>0.42866818279999996</x:v>
      </x:c>
      <x:c r="M56" s="60" t="n">
        <x:v>27.965288687100003</x:v>
      </x:c>
      <x:c r="N56" s="46" t="str">
        <x:v>boops boops</x:v>
      </x:c>
      <x:c r="O56" s="62" t="n">
        <x:v>2.79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Boops boops</x:v>
      </x:c>
      <x:c r="T56" s="62" t="n">
        <x:f>IF(O56="","",(1/'Metadata'!$B$5)^(O56-1))</x:f>
        <x:v>61.65950018614822</x:v>
      </x:c>
      <x:c r="U56" s="60" t="n">
        <x:f>IF(T56="","",I56*T56)</x:f>
        <x:v>1750.7571889050837</x:v>
      </x:c>
    </x:row>
    <x:row r="57" ht="18" customHeight="1">
      <x:c r="A57" s="46" t="str">
        <x:v>LME_062</x:v>
      </x:c>
      <x:c r="B57" s="46" t="str">
        <x:v>Black Sea</x:v>
      </x:c>
      <x:c r="C57" s="46" t="str">
        <x:v>LME</x:v>
      </x:c>
      <x:c r="D57" s="58" t="n">
        <x:v>2019</x:v>
      </x:c>
      <x:c r="E57" s="46" t="str">
        <x:v>Parapenaeus longirostris</x:v>
      </x:c>
      <x:c r="F57" s="46" t="str">
        <x:v>Deepwater rose shrimp</x:v>
      </x:c>
      <x:c r="G57" s="46" t="str">
        <x:v>Shrimps</x:v>
      </x:c>
      <x:c r="H57" s="46" t="str">
        <x:v>Crustaceans</x:v>
      </x:c>
      <x:c r="I57" s="60" t="n">
        <x:v>27.5633753054</x:v>
      </x:c>
      <x:c r="J57" s="60" t="n">
        <x:v>27.5376998512</x:v>
      </x:c>
      <x:c r="K57" s="60" t="n">
        <x:v>0.025675454200000003</x:v>
      </x:c>
      <x:c r="L57" s="60" t="n">
        <x:v>23.301181715600002</x:v>
      </x:c>
      <x:c r="M57" s="60" t="n">
        <x:v>4.2621935898</x:v>
      </x:c>
      <x:c r="N57" s="46" t="str">
        <x:v>parapenaeus longirostris</x:v>
      </x:c>
      <x:c r="O57" s="62" t="n">
        <x:v>3.3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Parapenaeus longirostris</x:v>
      </x:c>
      <x:c r="T57" s="62" t="n">
        <x:f>IF(O57="","",(1/'Metadata'!$B$5)^(O57-1))</x:f>
        <x:v>199.52623149688787</x:v>
      </x:c>
      <x:c r="U57" s="60" t="n">
        <x:f>IF(T57="","",I57*T57)</x:f>
        <x:v>5499.616402020843</x:v>
      </x:c>
    </x:row>
    <x:row r="58" ht="18" customHeight="1">
      <x:c r="A58" s="46" t="str">
        <x:v>LME_062</x:v>
      </x:c>
      <x:c r="B58" s="46" t="str">
        <x:v>Black Sea</x:v>
      </x:c>
      <x:c r="C58" s="46" t="str">
        <x:v>LME</x:v>
      </x:c>
      <x:c r="D58" s="58" t="n">
        <x:v>2019</x:v>
      </x:c>
      <x:c r="E58" s="46" t="str">
        <x:v>Sciaenidae</x:v>
      </x:c>
      <x:c r="F58" s="46" t="str">
        <x:v>Drums, croakers</x:v>
      </x:c>
      <x:c r="G58" s="46" t="str">
        <x:v>Medium demersals (30 - 89 cm)</x:v>
      </x:c>
      <x:c r="H58" s="46" t="str">
        <x:v>Perch-likes</x:v>
      </x:c>
      <x:c r="I58" s="60" t="n">
        <x:v>24.862248976300002</x:v>
      </x:c>
      <x:c r="J58" s="60" t="n">
        <x:v>24.862248976300002</x:v>
      </x:c>
      <x:c r="K58" s="60" t="n">
        <x:v>0</x:v>
      </x:c>
      <x:c r="L58" s="60" t="n">
        <x:v>0</x:v>
      </x:c>
      <x:c r="M58" s="60" t="n">
        <x:v>24.862248976300002</x:v>
      </x:c>
      <x:c r="N58" s="46" t="str">
        <x:v>sciaenidae</x:v>
      </x:c>
      <x:c r="O58" s="62" t="n">
        <x:v>3.76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Sciaenidae</x:v>
      </x:c>
      <x:c r="T58" s="62" t="n">
        <x:f>IF(O58="","",(1/'Metadata'!$B$5)^(O58-1))</x:f>
        <x:v>575.4399373371566</x:v>
      </x:c>
      <x:c r="U58" s="60" t="n">
        <x:f>IF(T58="","",I58*T58)</x:f>
        <x:v>14306.730992982859</x:v>
      </x:c>
    </x:row>
    <x:row r="59" ht="18" customHeight="1">
      <x:c r="A59" s="46" t="str">
        <x:v>LME_062</x:v>
      </x:c>
      <x:c r="B59" s="46" t="str">
        <x:v>Black Sea</x:v>
      </x:c>
      <x:c r="C59" s="46" t="str">
        <x:v>LME</x:v>
      </x:c>
      <x:c r="D59" s="58" t="n">
        <x:v>2019</x:v>
      </x:c>
      <x:c r="E59" s="46" t="str">
        <x:v>Chelon saliens</x:v>
      </x:c>
      <x:c r="F59" s="46" t="str">
        <x:v>Leaping mullet</x:v>
      </x:c>
      <x:c r="G59" s="46" t="str">
        <x:v>Medium demersals (30 - 89 cm)</x:v>
      </x:c>
      <x:c r="H59" s="46" t="str">
        <x:v>Perch-likes</x:v>
      </x:c>
      <x:c r="I59" s="60" t="n">
        <x:v>21.9077562915</x:v>
      </x:c>
      <x:c r="J59" s="60" t="n">
        <x:v>21.5997387186</x:v>
      </x:c>
      <x:c r="K59" s="60" t="n">
        <x:v>0.3080175729</x:v>
      </x:c>
      <x:c r="L59" s="60" t="n">
        <x:v>21.5997387186</x:v>
      </x:c>
      <x:c r="M59" s="60" t="n">
        <x:v>0.3080175729</x:v>
      </x:c>
      <x:c r="N59" s="46" t="str">
        <x:v>chelon saliens</x:v>
      </x:c>
      <x:c r="O59" s="62" t="n">
        <x:v>2.9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Chelon saliens</x:v>
      </x:c>
      <x:c r="T59" s="62" t="n">
        <x:f>IF(O59="","",(1/'Metadata'!$B$5)^(O59-1))</x:f>
        <x:v>79.43282347242814</x:v>
      </x:c>
      <x:c r="U59" s="60" t="n">
        <x:f>IF(T59="","",I59*T59)</x:f>
        <x:v>1740.1949381796965</x:v>
      </x:c>
    </x:row>
    <x:row r="60" ht="18" customHeight="1">
      <x:c r="A60" s="46" t="str">
        <x:v>LME_062</x:v>
      </x:c>
      <x:c r="B60" s="46" t="str">
        <x:v>Black Sea</x:v>
      </x:c>
      <x:c r="C60" s="46" t="str">
        <x:v>LME</x:v>
      </x:c>
      <x:c r="D60" s="58" t="n">
        <x:v>2019</x:v>
      </x:c>
      <x:c r="E60" s="46" t="str">
        <x:v>Acipenser stellatus</x:v>
      </x:c>
      <x:c r="F60" s="46" t="str">
        <x:v>Starry sturgeon</x:v>
      </x:c>
      <x:c r="G60" s="46" t="str">
        <x:v>Large demersals (&gt;=90 cm)</x:v>
      </x:c>
      <x:c r="H60" s="46" t="str">
        <x:v>Other fishes &amp; inverts</x:v>
      </x:c>
      <x:c r="I60" s="60" t="n">
        <x:v>20.716569849099997</x:v>
      </x:c>
      <x:c r="J60" s="60" t="n">
        <x:v>20.716569849099997</x:v>
      </x:c>
      <x:c r="K60" s="60" t="n">
        <x:v>0</x:v>
      </x:c>
      <x:c r="L60" s="60" t="n">
        <x:v>0</x:v>
      </x:c>
      <x:c r="M60" s="60" t="n">
        <x:v>20.716569849099997</x:v>
      </x:c>
      <x:c r="N60" s="46" t="str">
        <x:v>acipenser stellatus</x:v>
      </x:c>
      <x:c r="O60" s="62" t="n">
        <x:v>3.49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Acipenser stellatus</x:v>
      </x:c>
      <x:c r="T60" s="62" t="n">
        <x:f>IF(O60="","",(1/'Metadata'!$B$5)^(O60-1))</x:f>
        <x:v>309.0295432513592</x:v>
      </x:c>
      <x:c r="U60" s="60" t="n">
        <x:f>IF(T60="","",I60*T60)</x:f>
        <x:v>6402.032118202252</x:v>
      </x:c>
    </x:row>
    <x:row r="61" ht="18" customHeight="1">
      <x:c r="A61" s="46" t="str">
        <x:v>LME_062</x:v>
      </x:c>
      <x:c r="B61" s="46" t="str">
        <x:v>Black Sea</x:v>
      </x:c>
      <x:c r="C61" s="46" t="str">
        <x:v>LME</x:v>
      </x:c>
      <x:c r="D61" s="58" t="n">
        <x:v>2019</x:v>
      </x:c>
      <x:c r="E61" s="46" t="str">
        <x:v>Holothuroidea</x:v>
      </x:c>
      <x:c r="F61" s="46" t="str">
        <x:v>Sea cucumbers</x:v>
      </x:c>
      <x:c r="G61" s="46" t="str">
        <x:v>Other demersal invertebrates</x:v>
      </x:c>
      <x:c r="H61" s="46" t="str">
        <x:v>Other fishes &amp; inverts</x:v>
      </x:c>
      <x:c r="I61" s="60" t="n">
        <x:v>13.933628797499999</x:v>
      </x:c>
      <x:c r="J61" s="60" t="n">
        <x:v>13.933628797499999</x:v>
      </x:c>
      <x:c r="K61" s="60" t="n">
        <x:v>0</x:v>
      </x:c>
      <x:c r="L61" s="60" t="n">
        <x:v>0</x:v>
      </x:c>
      <x:c r="M61" s="60" t="n">
        <x:v>13.933628797499999</x:v>
      </x:c>
      <x:c r="N61" s="46" t="str">
        <x:v>holothuroidea</x:v>
      </x:c>
      <x:c r="O61" s="62" t="n">
        <x:v>2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Holothuroidea</x:v>
      </x:c>
      <x:c r="T61" s="62" t="n">
        <x:f>IF(O61="","",(1/'Metadata'!$B$5)^(O61-1))</x:f>
        <x:v>10</x:v>
      </x:c>
      <x:c r="U61" s="60" t="n">
        <x:f>IF(T61="","",I61*T61)</x:f>
        <x:v>139.336287975</x:v>
      </x:c>
    </x:row>
    <x:row r="62" ht="18" customHeight="1">
      <x:c r="A62" s="46" t="str">
        <x:v>LME_062</x:v>
      </x:c>
      <x:c r="B62" s="46" t="str">
        <x:v>Black Sea</x:v>
      </x:c>
      <x:c r="C62" s="46" t="str">
        <x:v>LME</x:v>
      </x:c>
      <x:c r="D62" s="58" t="n">
        <x:v>2019</x:v>
      </x:c>
      <x:c r="E62" s="46" t="str">
        <x:v>Mytilus</x:v>
      </x:c>
      <x:c r="F62" s="46" t="str">
        <x:v>Edible sea mussels</x:v>
      </x:c>
      <x:c r="G62" s="46" t="str">
        <x:v>Other demersal invertebrates</x:v>
      </x:c>
      <x:c r="H62" s="46" t="str">
        <x:v>Molluscs</x:v>
      </x:c>
      <x:c r="I62" s="60" t="n">
        <x:v>13.708872940100001</x:v>
      </x:c>
      <x:c r="J62" s="60" t="n">
        <x:v>13.708872940100001</x:v>
      </x:c>
      <x:c r="K62" s="60" t="n">
        <x:v>0</x:v>
      </x:c>
      <x:c r="L62" s="60" t="n">
        <x:v>0</x:v>
      </x:c>
      <x:c r="M62" s="60" t="n">
        <x:v>13.708872940100001</x:v>
      </x:c>
      <x:c r="N62" s="46" t="str">
        <x:v>mytilus</x:v>
      </x:c>
      <x:c r="O62" s="62" t="n">
        <x:v>2.03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Mytilus</x:v>
      </x:c>
      <x:c r="T62" s="62" t="n">
        <x:f>IF(O62="","",(1/'Metadata'!$B$5)^(O62-1))</x:f>
        <x:v>10.71519305237606</x:v>
      </x:c>
      <x:c r="U62" s="60" t="n">
        <x:f>IF(T62="","",I62*T62)</x:f>
        <x:v>146.8932200836657</x:v>
      </x:c>
    </x:row>
    <x:row r="63" ht="18" customHeight="1">
      <x:c r="A63" s="46" t="str">
        <x:v>LME_062</x:v>
      </x:c>
      <x:c r="B63" s="46" t="str">
        <x:v>Black Sea</x:v>
      </x:c>
      <x:c r="C63" s="46" t="str">
        <x:v>LME</x:v>
      </x:c>
      <x:c r="D63" s="58" t="n">
        <x:v>2019</x:v>
      </x:c>
      <x:c r="E63" s="46" t="str">
        <x:v>Acipenser gueldenstaedtii</x:v>
      </x:c>
      <x:c r="F63" s="46" t="str">
        <x:v>Danube sturgeon</x:v>
      </x:c>
      <x:c r="G63" s="46" t="str">
        <x:v>Large demersals (&gt;=90 cm)</x:v>
      </x:c>
      <x:c r="H63" s="46" t="str">
        <x:v>Other fishes &amp; inverts</x:v>
      </x:c>
      <x:c r="I63" s="60" t="n">
        <x:v>12.4298828888</x:v>
      </x:c>
      <x:c r="J63" s="60" t="n">
        <x:v>12.4298828888</x:v>
      </x:c>
      <x:c r="K63" s="60" t="n">
        <x:v>0</x:v>
      </x:c>
      <x:c r="L63" s="60" t="n">
        <x:v>0</x:v>
      </x:c>
      <x:c r="M63" s="60" t="n">
        <x:v>12.4298828888</x:v>
      </x:c>
      <x:c r="N63" s="46" t="str">
        <x:v>acipenser gueldenstaedtii</x:v>
      </x:c>
      <x:c r="O63" s="62" t="n">
        <x:v>3.32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Acipenser gueldenstaedtii</x:v>
      </x:c>
      <x:c r="T63" s="62" t="n">
        <x:f>IF(O63="","",(1/'Metadata'!$B$5)^(O63-1))</x:f>
        <x:v>208.92961308540387</x:v>
      </x:c>
      <x:c r="U63" s="60" t="n">
        <x:f>IF(T63="","",I63*T63)</x:f>
        <x:v>2596.970622653866</x:v>
      </x:c>
    </x:row>
    <x:row r="64" ht="18" customHeight="1">
      <x:c r="A64" s="46" t="str">
        <x:v>LME_062</x:v>
      </x:c>
      <x:c r="B64" s="46" t="str">
        <x:v>Black Sea</x:v>
      </x:c>
      <x:c r="C64" s="46" t="str">
        <x:v>LME</x:v>
      </x:c>
      <x:c r="D64" s="58" t="n">
        <x:v>2019</x:v>
      </x:c>
      <x:c r="E64" s="46" t="str">
        <x:v>Dicentrarchus</x:v>
      </x:c>
      <x:c r="F64" s="46" t="str">
        <x:v>Seabasses</x:v>
      </x:c>
      <x:c r="G64" s="46" t="str">
        <x:v>Large demersals (&gt;=90 cm)</x:v>
      </x:c>
      <x:c r="H64" s="46" t="str">
        <x:v>Perch-likes</x:v>
      </x:c>
      <x:c r="I64" s="60" t="n">
        <x:v>12.1405444295</x:v>
      </x:c>
      <x:c r="J64" s="60" t="n">
        <x:v>11.4084610683</x:v>
      </x:c>
      <x:c r="K64" s="60" t="n">
        <x:v>0.7320833612</x:v>
      </x:c>
      <x:c r="L64" s="60" t="n">
        <x:v>3.4915500427</x:v>
      </x:c>
      <x:c r="M64" s="60" t="n">
        <x:v>8.6489943868</x:v>
      </x:c>
      <x:c r="N64" s="46" t="str">
        <x:v>dicentrarchus</x:v>
      </x:c>
      <x:c r="O64" s="62" t="n">
        <x:v>3.94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Dicentrarchus</x:v>
      </x:c>
      <x:c r="T64" s="62" t="n">
        <x:f>IF(O64="","",(1/'Metadata'!$B$5)^(O64-1))</x:f>
        <x:v>870.9635899560806</x:v>
      </x:c>
      <x:c r="U64" s="60" t="n">
        <x:f>IF(T64="","",I64*T64)</x:f>
        <x:v>10573.972160338617</x:v>
      </x:c>
    </x:row>
    <x:row r="65" ht="18" customHeight="1">
      <x:c r="A65" s="46" t="str">
        <x:v>LME_062</x:v>
      </x:c>
      <x:c r="B65" s="46" t="str">
        <x:v>Black Sea</x:v>
      </x:c>
      <x:c r="C65" s="46" t="str">
        <x:v>LME</x:v>
      </x:c>
      <x:c r="D65" s="58" t="n">
        <x:v>2019</x:v>
      </x:c>
      <x:c r="E65" s="46" t="str">
        <x:v>Serranus scriba</x:v>
      </x:c>
      <x:c r="F65" s="46" t="str">
        <x:v>Painted comber</x:v>
      </x:c>
      <x:c r="G65" s="46" t="str">
        <x:v>Medium demersals (30 - 89 cm)</x:v>
      </x:c>
      <x:c r="H65" s="46" t="str">
        <x:v>Perch-likes</x:v>
      </x:c>
      <x:c r="I65" s="60" t="n">
        <x:v>10.5961280825</x:v>
      </x:c>
      <x:c r="J65" s="60" t="n">
        <x:v>9.1457852168</x:v>
      </x:c>
      <x:c r="K65" s="60" t="n">
        <x:v>1.4503428657</x:v>
      </x:c>
      <x:c r="L65" s="60" t="n">
        <x:v>0.0008496523</x:v>
      </x:c>
      <x:c r="M65" s="60" t="n">
        <x:v>10.5952784302</x:v>
      </x:c>
      <x:c r="N65" s="46" t="str">
        <x:v>serranus scriba</x:v>
      </x:c>
      <x:c r="O65" s="62" t="n">
        <x:v>3.82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Serranus scriba</x:v>
      </x:c>
      <x:c r="T65" s="62" t="n">
        <x:f>IF(O65="","",(1/'Metadata'!$B$5)^(O65-1))</x:f>
        <x:v>660.6934480075957</x:v>
      </x:c>
      <x:c r="U65" s="60" t="n">
        <x:f>IF(T65="","",I65*T65)</x:f>
        <x:v>7000.792398357039</x:v>
      </x:c>
    </x:row>
    <x:row r="66" ht="18" customHeight="1">
      <x:c r="A66" s="46" t="str">
        <x:v>LME_062</x:v>
      </x:c>
      <x:c r="B66" s="46" t="str">
        <x:v>Black Sea</x:v>
      </x:c>
      <x:c r="C66" s="46" t="str">
        <x:v>LME</x:v>
      </x:c>
      <x:c r="D66" s="58" t="n">
        <x:v>2019</x:v>
      </x:c>
      <x:c r="E66" s="46" t="str">
        <x:v>Diplodus vulgaris</x:v>
      </x:c>
      <x:c r="F66" s="46" t="str">
        <x:v>Common two-banded seabream</x:v>
      </x:c>
      <x:c r="G66" s="46" t="str">
        <x:v>Medium benthopelagics (30 - 89 cm)</x:v>
      </x:c>
      <x:c r="H66" s="46" t="str">
        <x:v>Perch-likes</x:v>
      </x:c>
      <x:c r="I66" s="60" t="n">
        <x:v>9.7957740576</x:v>
      </x:c>
      <x:c r="J66" s="60" t="n">
        <x:v>9.765768444999999</x:v>
      </x:c>
      <x:c r="K66" s="60" t="n">
        <x:v>0.0300056126</x:v>
      </x:c>
      <x:c r="L66" s="60" t="n">
        <x:v>1.5513614651</x:v>
      </x:c>
      <x:c r="M66" s="60" t="n">
        <x:v>8.2444125925</x:v>
      </x:c>
      <x:c r="N66" s="46" t="str">
        <x:v>diplodus vulgaris</x:v>
      </x:c>
      <x:c r="O66" s="62" t="n">
        <x:v>3.52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Diplodus vulgaris</x:v>
      </x:c>
      <x:c r="T66" s="62" t="n">
        <x:f>IF(O66="","",(1/'Metadata'!$B$5)^(O66-1))</x:f>
        <x:v>331.1311214825911</x:v>
      </x:c>
      <x:c r="U66" s="60" t="n">
        <x:f>IF(T66="","",I66*T66)</x:f>
        <x:v>3243.6856494831595</x:v>
      </x:c>
    </x:row>
    <x:row r="67" ht="18" customHeight="1">
      <x:c r="A67" s="46" t="str">
        <x:v>LME_062</x:v>
      </x:c>
      <x:c r="B67" s="46" t="str">
        <x:v>Black Sea</x:v>
      </x:c>
      <x:c r="C67" s="46" t="str">
        <x:v>LME</x:v>
      </x:c>
      <x:c r="D67" s="58" t="n">
        <x:v>2019</x:v>
      </x:c>
      <x:c r="E67" s="46" t="str">
        <x:v>Solea solea</x:v>
      </x:c>
      <x:c r="F67" s="46" t="str">
        <x:v>Common sole</x:v>
      </x:c>
      <x:c r="G67" s="46" t="str">
        <x:v>Small to medium flatfishes (&lt;90 cm)</x:v>
      </x:c>
      <x:c r="H67" s="46" t="str">
        <x:v>Flatfishes</x:v>
      </x:c>
      <x:c r="I67" s="60" t="n">
        <x:v>8.5556421872</x:v>
      </x:c>
      <x:c r="J67" s="60" t="n">
        <x:v>7.432113420199999</x:v>
      </x:c>
      <x:c r="K67" s="60" t="n">
        <x:v>1.123528767</x:v>
      </x:c>
      <x:c r="L67" s="60" t="n">
        <x:v>0.3419851701</x:v>
      </x:c>
      <x:c r="M67" s="60" t="n">
        <x:v>8.213657017100001</x:v>
      </x:c>
      <x:c r="N67" s="46" t="str">
        <x:v>solea solea</x:v>
      </x:c>
      <x:c r="O67" s="62" t="n">
        <x:v>3.21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Solea solea</x:v>
      </x:c>
      <x:c r="T67" s="62" t="n">
        <x:f>IF(O67="","",(1/'Metadata'!$B$5)^(O67-1))</x:f>
        <x:v>162.18100973589299</x:v>
      </x:c>
      <x:c r="U67" s="60" t="n">
        <x:f>IF(T67="","",I67*T67)</x:f>
        <x:v>1387.5626888591</x:v>
      </x:c>
    </x:row>
    <x:row r="68" ht="18" customHeight="1">
      <x:c r="A68" s="46" t="str">
        <x:v>LME_062</x:v>
      </x:c>
      <x:c r="B68" s="46" t="str">
        <x:v>Black Sea</x:v>
      </x:c>
      <x:c r="C68" s="46" t="str">
        <x:v>LME</x:v>
      </x:c>
      <x:c r="D68" s="58" t="n">
        <x:v>2019</x:v>
      </x:c>
      <x:c r="E68" s="46" t="str">
        <x:v>Pleuronectoidei</x:v>
      </x:c>
      <x:c r="F68" s="46" t="str">
        <x:v>Flounders, halibuts, soles, turbots</x:v>
      </x:c>
      <x:c r="G68" s="46" t="str">
        <x:v>Large flatfishes (&gt;=90 cm)</x:v>
      </x:c>
      <x:c r="H68" s="46" t="str">
        <x:v>Flatfishes</x:v>
      </x:c>
      <x:c r="I68" s="60" t="n">
        <x:v>7.9315670157</x:v>
      </x:c>
      <x:c r="J68" s="60" t="n">
        <x:v>7.9315670157</x:v>
      </x:c>
      <x:c r="K68" s="60" t="n">
        <x:v>0</x:v>
      </x:c>
      <x:c r="L68" s="60" t="n">
        <x:v>0</x:v>
      </x:c>
      <x:c r="M68" s="60" t="n">
        <x:v>7.9315670157</x:v>
      </x:c>
      <x:c r="N68" s="46" t="str">
        <x:v>pleuronectoidei</x:v>
      </x:c>
      <x:c r="O68" s="62" t="n">
        <x:v>3.4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Pleuronectoidei</x:v>
      </x:c>
      <x:c r="T68" s="62" t="n">
        <x:f>IF(O68="","",(1/'Metadata'!$B$5)^(O68-1))</x:f>
        <x:v>251.18864315095797</x:v>
      </x:c>
      <x:c r="U68" s="60" t="n">
        <x:f>IF(T68="","",I68*T68)</x:f>
        <x:v>1992.3195567345758</x:v>
      </x:c>
    </x:row>
    <x:row r="69" ht="18" customHeight="1">
      <x:c r="A69" s="46" t="str">
        <x:v>LME_062</x:v>
      </x:c>
      <x:c r="B69" s="46" t="str">
        <x:v>Black Sea</x:v>
      </x:c>
      <x:c r="C69" s="46" t="str">
        <x:v>LME</x:v>
      </x:c>
      <x:c r="D69" s="58" t="n">
        <x:v>2019</x:v>
      </x:c>
      <x:c r="E69" s="46" t="str">
        <x:v>Scomber scombrus</x:v>
      </x:c>
      <x:c r="F69" s="46" t="str">
        <x:v>Atlantic mackerel</x:v>
      </x:c>
      <x:c r="G69" s="46" t="str">
        <x:v>Medium pelagics (30 - 89 cm)</x:v>
      </x:c>
      <x:c r="H69" s="46" t="str">
        <x:v>Perch-likes</x:v>
      </x:c>
      <x:c r="I69" s="60" t="n">
        <x:v>7.7663456986</x:v>
      </x:c>
      <x:c r="J69" s="60" t="n">
        <x:v>7.4742517019</x:v>
      </x:c>
      <x:c r="K69" s="60" t="n">
        <x:v>0.29209399669999997</x:v>
      </x:c>
      <x:c r="L69" s="60" t="n">
        <x:v>0.2247278892</x:v>
      </x:c>
      <x:c r="M69" s="60" t="n">
        <x:v>7.5416178094</x:v>
      </x:c>
      <x:c r="N69" s="46" t="str">
        <x:v>scomber scombrus</x:v>
      </x:c>
      <x:c r="O69" s="62" t="n">
        <x:v>3.63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Scomber scombrus</x:v>
      </x:c>
      <x:c r="T69" s="62" t="n">
        <x:f>IF(O69="","",(1/'Metadata'!$B$5)^(O69-1))</x:f>
        <x:v>426.57951880159254</x:v>
      </x:c>
      <x:c r="U69" s="60" t="n">
        <x:f>IF(T69="","",I69*T69)</x:f>
        <x:v>3312.964010955606</x:v>
      </x:c>
    </x:row>
    <x:row r="70" ht="18" customHeight="1">
      <x:c r="A70" s="46" t="str">
        <x:v>LME_062</x:v>
      </x:c>
      <x:c r="B70" s="46" t="str">
        <x:v>Black Sea</x:v>
      </x:c>
      <x:c r="C70" s="46" t="str">
        <x:v>LME</x:v>
      </x:c>
      <x:c r="D70" s="58" t="n">
        <x:v>2019</x:v>
      </x:c>
      <x:c r="E70" s="46" t="str">
        <x:v>Spicara</x:v>
      </x:c>
      <x:c r="F70" s="46" t="str">
        <x:v>Picarels</x:v>
      </x:c>
      <x:c r="G70" s="46" t="str">
        <x:v>Small demersals (&lt;30 cm)</x:v>
      </x:c>
      <x:c r="H70" s="46" t="str">
        <x:v>Perch-likes</x:v>
      </x:c>
      <x:c r="I70" s="60" t="n">
        <x:v>6.994909853699999</x:v>
      </x:c>
      <x:c r="J70" s="60" t="n">
        <x:v>6.3584950558</x:v>
      </x:c>
      <x:c r="K70" s="60" t="n">
        <x:v>0.6364147979</x:v>
      </x:c>
      <x:c r="L70" s="60" t="n">
        <x:v>1.9153048186000001</x:v>
      </x:c>
      <x:c r="M70" s="60" t="n">
        <x:v>5.079605035099999</x:v>
      </x:c>
      <x:c r="N70" s="46" t="str">
        <x:v>spicara</x:v>
      </x:c>
      <x:c r="O70" s="62" t="n">
        <x:v>3.58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Spicara</x:v>
      </x:c>
      <x:c r="T70" s="62" t="n">
        <x:f>IF(O70="","",(1/'Metadata'!$B$5)^(O70-1))</x:f>
        <x:v>380.1893963205613</x:v>
      </x:c>
      <x:c r="U70" s="60" t="n">
        <x:f>IF(T70="","",I70*T70)</x:f>
        <x:v>2659.3905545949483</x:v>
      </x:c>
    </x:row>
    <x:row r="71" ht="18" customHeight="1">
      <x:c r="A71" s="46" t="str">
        <x:v>LME_062</x:v>
      </x:c>
      <x:c r="B71" s="46" t="str">
        <x:v>Black Sea</x:v>
      </x:c>
      <x:c r="C71" s="46" t="str">
        <x:v>LME</x:v>
      </x:c>
      <x:c r="D71" s="58" t="n">
        <x:v>2019</x:v>
      </x:c>
      <x:c r="E71" s="46" t="str">
        <x:v>Sparus aurata</x:v>
      </x:c>
      <x:c r="F71" s="46" t="str">
        <x:v>Gilthead seabream</x:v>
      </x:c>
      <x:c r="G71" s="46" t="str">
        <x:v>Medium demersals (30 - 89 cm)</x:v>
      </x:c>
      <x:c r="H71" s="46" t="str">
        <x:v>Perch-likes</x:v>
      </x:c>
      <x:c r="I71" s="60" t="n">
        <x:v>6.6018211102999995</x:v>
      </x:c>
      <x:c r="J71" s="60" t="n">
        <x:v>6.4469083757</x:v>
      </x:c>
      <x:c r="K71" s="60" t="n">
        <x:v>0.1549127346</x:v>
      </x:c>
      <x:c r="L71" s="60" t="n">
        <x:v>0</x:v>
      </x:c>
      <x:c r="M71" s="60" t="n">
        <x:v>6.6018211102999995</x:v>
      </x:c>
      <x:c r="N71" s="46" t="str">
        <x:v>sparus aurata</x:v>
      </x:c>
      <x:c r="O71" s="62" t="n">
        <x:v>3.7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Sparus aurata</x:v>
      </x:c>
      <x:c r="T71" s="62" t="n">
        <x:f>IF(O71="","",(1/'Metadata'!$B$5)^(O71-1))</x:f>
        <x:v>501.18723362727246</x:v>
      </x:c>
      <x:c r="U71" s="60" t="n">
        <x:f>IF(T71="","",I71*T71)</x:f>
        <x:v>3308.748459173385</x:v>
      </x:c>
    </x:row>
    <x:row r="72" ht="18" customHeight="1">
      <x:c r="A72" s="46" t="str">
        <x:v>LME_062</x:v>
      </x:c>
      <x:c r="B72" s="46" t="str">
        <x:v>Black Sea</x:v>
      </x:c>
      <x:c r="C72" s="46" t="str">
        <x:v>LME</x:v>
      </x:c>
      <x:c r="D72" s="58" t="n">
        <x:v>2019</x:v>
      </x:c>
      <x:c r="E72" s="46" t="str">
        <x:v>Mustelus</x:v>
      </x:c>
      <x:c r="F72" s="46" t="str">
        <x:v>Smoothhounds</x:v>
      </x:c>
      <x:c r="G72" s="46" t="str">
        <x:v>Large sharks (&gt;=90 cm)</x:v>
      </x:c>
      <x:c r="H72" s="46" t="str">
        <x:v>Sharks &amp; rays</x:v>
      </x:c>
      <x:c r="I72" s="60" t="n">
        <x:v>6.4344117866</x:v>
      </x:c>
      <x:c r="J72" s="60" t="n">
        <x:v>6.4344117866</x:v>
      </x:c>
      <x:c r="K72" s="60" t="n">
        <x:v>0</x:v>
      </x:c>
      <x:c r="L72" s="60" t="n">
        <x:v>0</x:v>
      </x:c>
      <x:c r="M72" s="60" t="n">
        <x:v>6.4344117866</x:v>
      </x:c>
      <x:c r="N72" s="46" t="str">
        <x:v>mustelus</x:v>
      </x:c>
      <x:c r="O72" s="62" t="n">
        <x:v>3.73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Mustelus</x:v>
      </x:c>
      <x:c r="T72" s="62" t="n">
        <x:f>IF(O72="","",(1/'Metadata'!$B$5)^(O72-1))</x:f>
        <x:v>537.0317963702527</x:v>
      </x:c>
      <x:c r="U72" s="60" t="n">
        <x:f>IF(T72="","",I72*T72)</x:f>
        <x:v>3455.483720343725</x:v>
      </x:c>
    </x:row>
    <x:row r="73" ht="18" customHeight="1">
      <x:c r="A73" s="46" t="str">
        <x:v>LME_062</x:v>
      </x:c>
      <x:c r="B73" s="46" t="str">
        <x:v>Black Sea</x:v>
      </x:c>
      <x:c r="C73" s="46" t="str">
        <x:v>LME</x:v>
      </x:c>
      <x:c r="D73" s="58" t="n">
        <x:v>2019</x:v>
      </x:c>
      <x:c r="E73" s="46" t="str">
        <x:v>Raja</x:v>
      </x:c>
      <x:c r="F73" s="46" t="str">
        <x:v>Stingrays, skates</x:v>
      </x:c>
      <x:c r="G73" s="46" t="str">
        <x:v>Small to medium rays (&lt;90 cm)</x:v>
      </x:c>
      <x:c r="H73" s="46" t="str">
        <x:v>Sharks &amp; rays</x:v>
      </x:c>
      <x:c r="I73" s="60" t="n">
        <x:v>5.7118598995</x:v>
      </x:c>
      <x:c r="J73" s="60" t="n">
        <x:v>5.7118598995</x:v>
      </x:c>
      <x:c r="K73" s="60" t="n">
        <x:v>0</x:v>
      </x:c>
      <x:c r="L73" s="60" t="n">
        <x:v>0</x:v>
      </x:c>
      <x:c r="M73" s="60" t="n">
        <x:v>5.7118598995</x:v>
      </x:c>
      <x:c r="N73" s="46" t="str">
        <x:v>raja</x:v>
      </x:c>
      <x:c r="O73" s="62" t="n">
        <x:v>3.8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Raja</x:v>
      </x:c>
      <x:c r="T73" s="62" t="n">
        <x:f>IF(O73="","",(1/'Metadata'!$B$5)^(O73-1))</x:f>
        <x:v>630.957344480193</x:v>
      </x:c>
      <x:c r="U73" s="60" t="n">
        <x:f>IF(T73="","",I73*T73)</x:f>
        <x:v>3603.9399542314222</x:v>
      </x:c>
    </x:row>
    <x:row r="74" ht="18" customHeight="1">
      <x:c r="A74" s="46" t="str">
        <x:v>LME_062</x:v>
      </x:c>
      <x:c r="B74" s="46" t="str">
        <x:v>Black Sea</x:v>
      </x:c>
      <x:c r="C74" s="46" t="str">
        <x:v>LME</x:v>
      </x:c>
      <x:c r="D74" s="58" t="n">
        <x:v>2019</x:v>
      </x:c>
      <x:c r="E74" s="46" t="str">
        <x:v>Chelon auratus</x:v>
      </x:c>
      <x:c r="F74" s="46" t="str">
        <x:v>Golden grey mullet</x:v>
      </x:c>
      <x:c r="G74" s="46" t="str">
        <x:v>Medium pelagics (30 - 89 cm)</x:v>
      </x:c>
      <x:c r="H74" s="46" t="str">
        <x:v>Other fishes &amp; inverts</x:v>
      </x:c>
      <x:c r="I74" s="60" t="n">
        <x:v>4.929012253900001</x:v>
      </x:c>
      <x:c r="J74" s="60" t="n">
        <x:v>4.8566028694000005</x:v>
      </x:c>
      <x:c r="K74" s="60" t="n">
        <x:v>0.0724093845</x:v>
      </x:c>
      <x:c r="L74" s="60" t="n">
        <x:v>4.8566028694000005</x:v>
      </x:c>
      <x:c r="M74" s="60" t="n">
        <x:v>0.0724093845</x:v>
      </x:c>
      <x:c r="N74" s="46" t="str">
        <x:v>chelon auratus</x:v>
      </x:c>
      <x:c r="O74" s="62" t="n">
        <x:v>2.8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Chelon auratus</x:v>
      </x:c>
      <x:c r="T74" s="62" t="n">
        <x:f>IF(O74="","",(1/'Metadata'!$B$5)^(O74-1))</x:f>
        <x:v>63.0957344480193</x:v>
      </x:c>
      <x:c r="U74" s="60" t="n">
        <x:f>IF(T74="","",I74*T74)</x:f>
        <x:v>310.99964826310753</x:v>
      </x:c>
    </x:row>
    <x:row r="75" ht="18" customHeight="1">
      <x:c r="A75" s="46" t="str">
        <x:v>LME_062</x:v>
      </x:c>
      <x:c r="B75" s="46" t="str">
        <x:v>Black Sea</x:v>
      </x:c>
      <x:c r="C75" s="46" t="str">
        <x:v>LME</x:v>
      </x:c>
      <x:c r="D75" s="58" t="n">
        <x:v>2019</x:v>
      </x:c>
      <x:c r="E75" s="46" t="str">
        <x:v>Platichthys flesus</x:v>
      </x:c>
      <x:c r="F75" s="46" t="str">
        <x:v>European flounder</x:v>
      </x:c>
      <x:c r="G75" s="46" t="str">
        <x:v>Small to medium flatfishes (&lt;90 cm)</x:v>
      </x:c>
      <x:c r="H75" s="46" t="str">
        <x:v>Flatfishes</x:v>
      </x:c>
      <x:c r="I75" s="60" t="n">
        <x:v>4.8865591465</x:v>
      </x:c>
      <x:c r="J75" s="60" t="n">
        <x:v>4.8402933854</x:v>
      </x:c>
      <x:c r="K75" s="60" t="n">
        <x:v>0.0462657611</x:v>
      </x:c>
      <x:c r="L75" s="60" t="n">
        <x:v>2.9762955194000003</x:v>
      </x:c>
      <x:c r="M75" s="60" t="n">
        <x:v>1.9102636270999998</x:v>
      </x:c>
      <x:c r="N75" s="46" t="str">
        <x:v>platichthys flesus</x:v>
      </x:c>
      <x:c r="O75" s="62" t="n">
        <x:v>3.32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Platichthys flesus</x:v>
      </x:c>
      <x:c r="T75" s="62" t="n">
        <x:f>IF(O75="","",(1/'Metadata'!$B$5)^(O75-1))</x:f>
        <x:v>208.92961308540387</x:v>
      </x:c>
      <x:c r="U75" s="60" t="n">
        <x:f>IF(T75="","",I75*T75)</x:f>
        <x:v>1020.9469117971863</x:v>
      </x:c>
    </x:row>
    <x:row r="76" ht="18" customHeight="1">
      <x:c r="A76" s="46" t="str">
        <x:v>LME_062</x:v>
      </x:c>
      <x:c r="B76" s="46" t="str">
        <x:v>Black Sea</x:v>
      </x:c>
      <x:c r="C76" s="46" t="str">
        <x:v>LME</x:v>
      </x:c>
      <x:c r="D76" s="58" t="n">
        <x:v>2019</x:v>
      </x:c>
      <x:c r="E76" s="46" t="str">
        <x:v>Umbrina cirrosa</x:v>
      </x:c>
      <x:c r="F76" s="46" t="str">
        <x:v>Shi drum</x:v>
      </x:c>
      <x:c r="G76" s="46" t="str">
        <x:v>Medium demersals (30 - 89 cm)</x:v>
      </x:c>
      <x:c r="H76" s="46" t="str">
        <x:v>Perch-likes</x:v>
      </x:c>
      <x:c r="I76" s="60" t="n">
        <x:v>4.7041092509</x:v>
      </x:c>
      <x:c r="J76" s="60" t="n">
        <x:v>4.3185492811</x:v>
      </x:c>
      <x:c r="K76" s="60" t="n">
        <x:v>0.38555996979999996</x:v>
      </x:c>
      <x:c r="L76" s="60" t="n">
        <x:v>0.007073208</x:v>
      </x:c>
      <x:c r="M76" s="60" t="n">
        <x:v>4.6970360429</x:v>
      </x:c>
      <x:c r="N76" s="46" t="str">
        <x:v>umbrina cirrosa</x:v>
      </x:c>
      <x:c r="O76" s="62" t="n">
        <x:v>3.46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Umbrina cirrosa</x:v>
      </x:c>
      <x:c r="T76" s="62" t="n">
        <x:f>IF(O76="","",(1/'Metadata'!$B$5)^(O76-1))</x:f>
        <x:v>288.40315031266056</x:v>
      </x:c>
      <x:c r="U76" s="60" t="n">
        <x:f>IF(T76="","",I76*T76)</x:f>
        <x:v>1356.6799273744898</x:v>
      </x:c>
    </x:row>
    <x:row r="77" ht="18" customHeight="1">
      <x:c r="A77" s="46" t="str">
        <x:v>LME_062</x:v>
      </x:c>
      <x:c r="B77" s="46" t="str">
        <x:v>Black Sea</x:v>
      </x:c>
      <x:c r="C77" s="46" t="str">
        <x:v>LME</x:v>
      </x:c>
      <x:c r="D77" s="58" t="n">
        <x:v>2019</x:v>
      </x:c>
      <x:c r="E77" s="46" t="str">
        <x:v>Dasyatis pastinaca</x:v>
      </x:c>
      <x:c r="F77" s="46" t="str">
        <x:v>Common stingray</x:v>
      </x:c>
      <x:c r="G77" s="46" t="str">
        <x:v>Large rays (&gt;=90 cm)</x:v>
      </x:c>
      <x:c r="H77" s="46" t="str">
        <x:v>Sharks &amp; rays</x:v>
      </x:c>
      <x:c r="I77" s="60" t="n">
        <x:v>4.3224685187</x:v>
      </x:c>
      <x:c r="J77" s="60" t="n">
        <x:v>4.2227436087</x:v>
      </x:c>
      <x:c r="K77" s="60" t="n">
        <x:v>0.09972491</x:v>
      </x:c>
      <x:c r="L77" s="60" t="n">
        <x:v>4.2227436087</x:v>
      </x:c>
      <x:c r="M77" s="60" t="n">
        <x:v>0.09972491</x:v>
      </x:c>
      <x:c r="N77" s="46" t="str">
        <x:v>dasyatis pastinaca</x:v>
      </x:c>
      <x:c r="O77" s="62" t="n">
        <x:v>4.05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Dasyatis pastinaca</x:v>
      </x:c>
      <x:c r="T77" s="62" t="n">
        <x:f>IF(O77="","",(1/'Metadata'!$B$5)^(O77-1))</x:f>
        <x:v>1122.018454301963</x:v>
      </x:c>
      <x:c r="U77" s="60" t="n">
        <x:f>IF(T77="","",I77*T77)</x:f>
        <x:v>4849.889446120669</x:v>
      </x:c>
    </x:row>
    <x:row r="78" ht="18" customHeight="1">
      <x:c r="A78" s="46" t="str">
        <x:v>LME_062</x:v>
      </x:c>
      <x:c r="B78" s="46" t="str">
        <x:v>Black Sea</x:v>
      </x:c>
      <x:c r="C78" s="46" t="str">
        <x:v>LME</x:v>
      </x:c>
      <x:c r="D78" s="58" t="n">
        <x:v>2019</x:v>
      </x:c>
      <x:c r="E78" s="46" t="str">
        <x:v>Sarpa salpa</x:v>
      </x:c>
      <x:c r="F78" s="46" t="str">
        <x:v>Salema</x:v>
      </x:c>
      <x:c r="G78" s="46" t="str">
        <x:v>Medium benthopelagics (30 - 89 cm)</x:v>
      </x:c>
      <x:c r="H78" s="46" t="str">
        <x:v>Perch-likes</x:v>
      </x:c>
      <x:c r="I78" s="60" t="n">
        <x:v>4.1173329548</x:v>
      </x:c>
      <x:c r="J78" s="60" t="n">
        <x:v>4.0816329012</x:v>
      </x:c>
      <x:c r="K78" s="60" t="n">
        <x:v>0.0357000536</x:v>
      </x:c>
      <x:c r="L78" s="60" t="n">
        <x:v>0.1097247149</x:v>
      </x:c>
      <x:c r="M78" s="60" t="n">
        <x:v>4.0076082399</x:v>
      </x:c>
      <x:c r="N78" s="46" t="str">
        <x:v>sarpa salpa</x:v>
      </x:c>
      <x:c r="O78" s="62" t="n">
        <x:v>2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Sarpa salpa</x:v>
      </x:c>
      <x:c r="T78" s="62" t="n">
        <x:f>IF(O78="","",(1/'Metadata'!$B$5)^(O78-1))</x:f>
        <x:v>10</x:v>
      </x:c>
      <x:c r="U78" s="60" t="n">
        <x:f>IF(T78="","",I78*T78)</x:f>
        <x:v>41.173329548</x:v>
      </x:c>
    </x:row>
    <x:row r="79" ht="18" customHeight="1">
      <x:c r="A79" s="46" t="str">
        <x:v>LME_062</x:v>
      </x:c>
      <x:c r="B79" s="46" t="str">
        <x:v>Black Sea</x:v>
      </x:c>
      <x:c r="C79" s="46" t="str">
        <x:v>LME</x:v>
      </x:c>
      <x:c r="D79" s="58" t="n">
        <x:v>2019</x:v>
      </x:c>
      <x:c r="E79" s="46" t="str">
        <x:v>Alosa</x:v>
      </x:c>
      <x:c r="F79" s="46" t="str">
        <x:v>Shads</x:v>
      </x:c>
      <x:c r="G79" s="46" t="str">
        <x:v>Medium pelagics (30 - 89 cm)</x:v>
      </x:c>
      <x:c r="H79" s="46" t="str">
        <x:v>Herring-likes</x:v>
      </x:c>
      <x:c r="I79" s="60" t="n">
        <x:v>3.6885409207</x:v>
      </x:c>
      <x:c r="J79" s="60" t="n">
        <x:v>3.6802829043</x:v>
      </x:c>
      <x:c r="K79" s="60" t="n">
        <x:v>0.0082580164</x:v>
      </x:c>
      <x:c r="L79" s="60" t="n">
        <x:v>3.3514886497</x:v>
      </x:c>
      <x:c r="M79" s="60" t="n">
        <x:v>0.337052271</x:v>
      </x:c>
      <x:c r="N79" s="46" t="str">
        <x:v>alosa</x:v>
      </x:c>
      <x:c r="O79" s="62" t="n">
        <x:v>3.89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Alosa</x:v>
      </x:c>
      <x:c r="T79" s="62" t="n">
        <x:f>IF(O79="","",(1/'Metadata'!$B$5)^(O79-1))</x:f>
        <x:v>776.247116628692</x:v>
      </x:c>
      <x:c r="U79" s="60" t="n">
        <x:f>IF(T79="","",I79*T79)</x:f>
        <x:v>2863.2192542603157</x:v>
      </x:c>
    </x:row>
    <x:row r="80" ht="18" customHeight="1">
      <x:c r="A80" s="46" t="str">
        <x:v>LME_062</x:v>
      </x:c>
      <x:c r="B80" s="46" t="str">
        <x:v>Black Sea</x:v>
      </x:c>
      <x:c r="C80" s="46" t="str">
        <x:v>LME</x:v>
      </x:c>
      <x:c r="D80" s="58" t="n">
        <x:v>2019</x:v>
      </x:c>
      <x:c r="E80" s="46" t="str">
        <x:v>Dicentrarchus labrax</x:v>
      </x:c>
      <x:c r="F80" s="46" t="str">
        <x:v>European seabass</x:v>
      </x:c>
      <x:c r="G80" s="46" t="str">
        <x:v>Large demersals (&gt;=90 cm)</x:v>
      </x:c>
      <x:c r="H80" s="46" t="str">
        <x:v>Perch-likes</x:v>
      </x:c>
      <x:c r="I80" s="60" t="n">
        <x:v>3.4089539922</x:v>
      </x:c>
      <x:c r="J80" s="60" t="n">
        <x:v>3.4067133136</x:v>
      </x:c>
      <x:c r="K80" s="60" t="n">
        <x:v>0.0022406786</x:v>
      </x:c>
      <x:c r="L80" s="60" t="n">
        <x:v>0.33269815719999996</x:v>
      </x:c>
      <x:c r="M80" s="60" t="n">
        <x:v>3.076255835</x:v>
      </x:c>
      <x:c r="N80" s="46" t="str">
        <x:v>dicentrarchus labrax</x:v>
      </x:c>
      <x:c r="O80" s="62" t="n">
        <x:v>3.79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Dicentrarchus labrax</x:v>
      </x:c>
      <x:c r="T80" s="62" t="n">
        <x:f>IF(O80="","",(1/'Metadata'!$B$5)^(O80-1))</x:f>
        <x:v>616.5950018614822</x:v>
      </x:c>
      <x:c r="U80" s="60" t="n">
        <x:f>IF(T80="","",I80*T80)</x:f>
        <x:v>2101.943993166266</x:v>
      </x:c>
    </x:row>
    <x:row r="81" ht="18" customHeight="1">
      <x:c r="A81" s="46" t="str">
        <x:v>LME_062</x:v>
      </x:c>
      <x:c r="B81" s="46" t="str">
        <x:v>Black Sea</x:v>
      </x:c>
      <x:c r="C81" s="46" t="str">
        <x:v>LME</x:v>
      </x:c>
      <x:c r="D81" s="58" t="n">
        <x:v>2019</x:v>
      </x:c>
      <x:c r="E81" s="46" t="str">
        <x:v>Diplodus sargus</x:v>
      </x:c>
      <x:c r="F81" s="46" t="str">
        <x:v>White seabream</x:v>
      </x:c>
      <x:c r="G81" s="46" t="str">
        <x:v>Medium demersals (30 - 89 cm)</x:v>
      </x:c>
      <x:c r="H81" s="46" t="str">
        <x:v>Perch-likes</x:v>
      </x:c>
      <x:c r="I81" s="60" t="n">
        <x:v>2.9672069583</x:v>
      </x:c>
      <x:c r="J81" s="60" t="n">
        <x:v>2.9672069583</x:v>
      </x:c>
      <x:c r="K81" s="60" t="n">
        <x:v>0</x:v>
      </x:c>
      <x:c r="L81" s="60" t="n">
        <x:v>0</x:v>
      </x:c>
      <x:c r="M81" s="60" t="n">
        <x:v>2.9672069583</x:v>
      </x:c>
      <x:c r="N81" s="46" t="str">
        <x:v>diplodus sargus</x:v>
      </x:c>
      <x:c r="O81" s="62" t="n">
        <x:v>3.38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Diplodus sargus</x:v>
      </x:c>
      <x:c r="T81" s="62" t="n">
        <x:f>IF(O81="","",(1/'Metadata'!$B$5)^(O81-1))</x:f>
        <x:v>239.88329190194898</x:v>
      </x:c>
      <x:c r="U81" s="60" t="n">
        <x:f>IF(T81="","",I81*T81)</x:f>
        <x:v>711.783372911373</x:v>
      </x:c>
    </x:row>
    <x:row r="82" ht="18" customHeight="1">
      <x:c r="A82" s="46" t="str">
        <x:v>LME_062</x:v>
      </x:c>
      <x:c r="B82" s="46" t="str">
        <x:v>Black Sea</x:v>
      </x:c>
      <x:c r="C82" s="46" t="str">
        <x:v>LME</x:v>
      </x:c>
      <x:c r="D82" s="58" t="n">
        <x:v>2019</x:v>
      </x:c>
      <x:c r="E82" s="46" t="str">
        <x:v>Cyprinus carpio</x:v>
      </x:c>
      <x:c r="F82" s="46" t="str">
        <x:v>Common carp</x:v>
      </x:c>
      <x:c r="G82" s="46" t="str">
        <x:v>Large benthopelagics (&gt;=90 cm)</x:v>
      </x:c>
      <x:c r="H82" s="46" t="str">
        <x:v>Other fishes &amp; inverts</x:v>
      </x:c>
      <x:c r="I82" s="60" t="n">
        <x:v>2.9350279578</x:v>
      </x:c>
      <x:c r="J82" s="60" t="n">
        <x:v>2.9350279578</x:v>
      </x:c>
      <x:c r="K82" s="60" t="n">
        <x:v>0</x:v>
      </x:c>
      <x:c r="L82" s="60" t="n">
        <x:v>2.9350279578</x:v>
      </x:c>
      <x:c r="M82" s="60" t="n">
        <x:v>0</x:v>
      </x:c>
      <x:c r="N82" s="46" t="str">
        <x:v>cyprinus carpio</x:v>
      </x:c>
      <x:c r="O82" s="62" t="n">
        <x:v>3.06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Cyprinus carpio</x:v>
      </x:c>
      <x:c r="T82" s="62" t="n">
        <x:f>IF(O82="","",(1/'Metadata'!$B$5)^(O82-1))</x:f>
        <x:v>114.81536214968828</x:v>
      </x:c>
      <x:c r="U82" s="60" t="n">
        <x:f>IF(T82="","",I82*T82)</x:f>
        <x:v>336.986297894267</x:v>
      </x:c>
    </x:row>
    <x:row r="83" ht="18" customHeight="1">
      <x:c r="A83" s="46" t="str">
        <x:v>LME_062</x:v>
      </x:c>
      <x:c r="B83" s="46" t="str">
        <x:v>Black Sea</x:v>
      </x:c>
      <x:c r="C83" s="46" t="str">
        <x:v>LME</x:v>
      </x:c>
      <x:c r="D83" s="58" t="n">
        <x:v>2019</x:v>
      </x:c>
      <x:c r="E83" s="46" t="str">
        <x:v>Lophius piscatorius</x:v>
      </x:c>
      <x:c r="F83" s="46" t="str">
        <x:v>Angler</x:v>
      </x:c>
      <x:c r="G83" s="46" t="str">
        <x:v>Large bathydemersals (&gt;=90 cm)</x:v>
      </x:c>
      <x:c r="H83" s="46" t="str">
        <x:v>Other fishes &amp; inverts</x:v>
      </x:c>
      <x:c r="I83" s="60" t="n">
        <x:v>2.8849657076999997</x:v>
      </x:c>
      <x:c r="J83" s="60" t="n">
        <x:v>2.487100161</x:v>
      </x:c>
      <x:c r="K83" s="60" t="n">
        <x:v>0.39786554669999996</x:v>
      </x:c>
      <x:c r="L83" s="60" t="n">
        <x:v>0.4220640285</x:v>
      </x:c>
      <x:c r="M83" s="60" t="n">
        <x:v>2.4629016792</x:v>
      </x:c>
      <x:c r="N83" s="46" t="str">
        <x:v>lophius piscatorius</x:v>
      </x:c>
      <x:c r="O83" s="62" t="n">
        <x:v>4.45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Lophius piscatorius</x:v>
      </x:c>
      <x:c r="T83" s="62" t="n">
        <x:f>IF(O83="","",(1/'Metadata'!$B$5)^(O83-1))</x:f>
        <x:v>2818.382931264455</x:v>
      </x:c>
      <x:c r="U83" s="60" t="n">
        <x:f>IF(T83="","",I83*T83)</x:f>
        <x:v>8130.938107864958</x:v>
      </x:c>
    </x:row>
    <x:row r="84" ht="18" customHeight="1">
      <x:c r="A84" s="46" t="str">
        <x:v>LME_062</x:v>
      </x:c>
      <x:c r="B84" s="46" t="str">
        <x:v>Black Sea</x:v>
      </x:c>
      <x:c r="C84" s="46" t="str">
        <x:v>LME</x:v>
      </x:c>
      <x:c r="D84" s="58" t="n">
        <x:v>2019</x:v>
      </x:c>
      <x:c r="E84" s="46" t="str">
        <x:v>Portunidae</x:v>
      </x:c>
      <x:c r="F84" s="46" t="str">
        <x:v>Swimming crabs</x:v>
      </x:c>
      <x:c r="G84" s="46" t="str">
        <x:v>Lobsters, crabs</x:v>
      </x:c>
      <x:c r="H84" s="46" t="str">
        <x:v>Crustaceans</x:v>
      </x:c>
      <x:c r="I84" s="60" t="n">
        <x:v>2.7597592204</x:v>
      </x:c>
      <x:c r="J84" s="60" t="n">
        <x:v>0</x:v>
      </x:c>
      <x:c r="K84" s="60" t="n">
        <x:v>2.7597592204</x:v>
      </x:c>
      <x:c r="L84" s="60" t="n">
        <x:v>0</x:v>
      </x:c>
      <x:c r="M84" s="60" t="n">
        <x:v>2.7597592204</x:v>
      </x:c>
      <x:c r="N84" s="46" t="str">
        <x:v>portunidae</x:v>
      </x:c>
      <x:c r="O84" s="62" t="n">
        <x:v>3.56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Portunidae</x:v>
      </x:c>
      <x:c r="T84" s="62" t="n">
        <x:f>IF(O84="","",(1/'Metadata'!$B$5)^(O84-1))</x:f>
        <x:v>363.0780547701014</x:v>
      </x:c>
      <x:c r="U84" s="60" t="n">
        <x:f>IF(T84="","",I84*T84)</x:f>
        <x:v>1002.0080093766835</x:v>
      </x:c>
    </x:row>
    <x:row r="85" ht="18" customHeight="1">
      <x:c r="A85" s="46" t="str">
        <x:v>LME_062</x:v>
      </x:c>
      <x:c r="B85" s="46" t="str">
        <x:v>Black Sea</x:v>
      </x:c>
      <x:c r="C85" s="46" t="str">
        <x:v>LME</x:v>
      </x:c>
      <x:c r="D85" s="58" t="n">
        <x:v>2019</x:v>
      </x:c>
      <x:c r="E85" s="46" t="str">
        <x:v>Diplodus annularis</x:v>
      </x:c>
      <x:c r="F85" s="46" t="str">
        <x:v>Annular seabream</x:v>
      </x:c>
      <x:c r="G85" s="46" t="str">
        <x:v>Small benthopelagics (&lt;30 cm)</x:v>
      </x:c>
      <x:c r="H85" s="46" t="str">
        <x:v>Perch-likes</x:v>
      </x:c>
      <x:c r="I85" s="60" t="n">
        <x:v>2.2319337458</x:v>
      </x:c>
      <x:c r="J85" s="60" t="n">
        <x:v>0.5844226484</x:v>
      </x:c>
      <x:c r="K85" s="60" t="n">
        <x:v>1.6475110974</x:v>
      </x:c>
      <x:c r="L85" s="60" t="n">
        <x:v>0.0089052592</x:v>
      </x:c>
      <x:c r="M85" s="60" t="n">
        <x:v>2.2230284866</x:v>
      </x:c>
      <x:c r="N85" s="46" t="str">
        <x:v>diplodus annularis</x:v>
      </x:c>
      <x:c r="O85" s="62" t="n">
        <x:v>3.64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Diplodus annularis</x:v>
      </x:c>
      <x:c r="T85" s="62" t="n">
        <x:f>IF(O85="","",(1/'Metadata'!$B$5)^(O85-1))</x:f>
        <x:v>436.5158322401661</x:v>
      </x:c>
      <x:c r="U85" s="60" t="n">
        <x:f>IF(T85="","",I85*T85)</x:f>
        <x:v>974.2744165527984</x:v>
      </x:c>
    </x:row>
    <x:row r="86" ht="18" customHeight="1">
      <x:c r="A86" s="46" t="str">
        <x:v>LME_062</x:v>
      </x:c>
      <x:c r="B86" s="46" t="str">
        <x:v>Black Sea</x:v>
      </x:c>
      <x:c r="C86" s="46" t="str">
        <x:v>LME</x:v>
      </x:c>
      <x:c r="D86" s="58" t="n">
        <x:v>2019</x:v>
      </x:c>
      <x:c r="E86" s="46" t="str">
        <x:v>Dentex dentex</x:v>
      </x:c>
      <x:c r="F86" s="46" t="str">
        <x:v>Common dentex</x:v>
      </x:c>
      <x:c r="G86" s="46" t="str">
        <x:v>Large benthopelagics (&gt;=90 cm)</x:v>
      </x:c>
      <x:c r="H86" s="46" t="str">
        <x:v>Perch-likes</x:v>
      </x:c>
      <x:c r="I86" s="60" t="n">
        <x:v>1.9938184711</x:v>
      </x:c>
      <x:c r="J86" s="60" t="n">
        <x:v>1.9923505045</x:v>
      </x:c>
      <x:c r="K86" s="60" t="n">
        <x:v>0.0014679666</x:v>
      </x:c>
      <x:c r="L86" s="60" t="n">
        <x:v>0.018518327600000002</x:v>
      </x:c>
      <x:c r="M86" s="60" t="n">
        <x:v>1.9753001435</x:v>
      </x:c>
      <x:c r="N86" s="46" t="str">
        <x:v>dentex dentex</x:v>
      </x:c>
      <x:c r="O86" s="62" t="n">
        <x:v>4.53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Dentex dentex</x:v>
      </x:c>
      <x:c r="T86" s="62" t="n">
        <x:f>IF(O86="","",(1/'Metadata'!$B$5)^(O86-1))</x:f>
        <x:v>3388.4415613920273</x:v>
      </x:c>
      <x:c r="U86" s="60" t="n">
        <x:f>IF(T86="","",I86*T86)</x:f>
        <x:v>6755.937373346349</x:v>
      </x:c>
    </x:row>
    <x:row r="87" ht="18" customHeight="1">
      <x:c r="A87" s="46" t="str">
        <x:v>LME_062</x:v>
      </x:c>
      <x:c r="B87" s="46" t="str">
        <x:v>Black Sea</x:v>
      </x:c>
      <x:c r="C87" s="46" t="str">
        <x:v>LME</x:v>
      </x:c>
      <x:c r="D87" s="58" t="n">
        <x:v>2019</x:v>
      </x:c>
      <x:c r="E87" s="46" t="str">
        <x:v>Pagrus pagrus</x:v>
      </x:c>
      <x:c r="F87" s="46" t="str">
        <x:v>Red porgy</x:v>
      </x:c>
      <x:c r="G87" s="46" t="str">
        <x:v>Medium benthopelagics (30 - 89 cm)</x:v>
      </x:c>
      <x:c r="H87" s="46" t="str">
        <x:v>Perch-likes</x:v>
      </x:c>
      <x:c r="I87" s="60" t="n">
        <x:v>1.9641676258</x:v>
      </x:c>
      <x:c r="J87" s="60" t="n">
        <x:v>1.9641114618000002</x:v>
      </x:c>
      <x:c r="K87" s="60" t="n">
        <x:v>0.000056164</x:v>
      </x:c>
      <x:c r="L87" s="60" t="n">
        <x:v>0</x:v>
      </x:c>
      <x:c r="M87" s="60" t="n">
        <x:v>1.9641676258</x:v>
      </x:c>
      <x:c r="N87" s="46" t="str">
        <x:v>pagrus pagrus</x:v>
      </x:c>
      <x:c r="O87" s="62" t="n">
        <x:v>3.86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Pagrus pagrus</x:v>
      </x:c>
      <x:c r="T87" s="62" t="n">
        <x:f>IF(O87="","",(1/'Metadata'!$B$5)^(O87-1))</x:f>
        <x:v>724.4359600749899</x:v>
      </x:c>
      <x:c r="U87" s="60" t="n">
        <x:f>IF(T87="","",I87*T87)</x:f>
        <x:v>1422.9136597446366</x:v>
      </x:c>
    </x:row>
    <x:row r="88" ht="18" customHeight="1">
      <x:c r="A88" s="46" t="str">
        <x:v>LME_062</x:v>
      </x:c>
      <x:c r="B88" s="46" t="str">
        <x:v>Black Sea</x:v>
      </x:c>
      <x:c r="C88" s="46" t="str">
        <x:v>LME</x:v>
      </x:c>
      <x:c r="D88" s="58" t="n">
        <x:v>2019</x:v>
      </x:c>
      <x:c r="E88" s="46" t="str">
        <x:v>Cancer pagurus</x:v>
      </x:c>
      <x:c r="F88" s="46" t="str">
        <x:v>Edible crab</x:v>
      </x:c>
      <x:c r="G88" s="46" t="str">
        <x:v>Lobsters, crabs</x:v>
      </x:c>
      <x:c r="H88" s="46" t="str">
        <x:v>Crustaceans</x:v>
      </x:c>
      <x:c r="I88" s="60" t="n">
        <x:v>1.9135927337</x:v>
      </x:c>
      <x:c r="J88" s="60" t="n">
        <x:v>1.9105751778</x:v>
      </x:c>
      <x:c r="K88" s="60" t="n">
        <x:v>0.0030175559</x:v>
      </x:c>
      <x:c r="L88" s="60" t="n">
        <x:v>1.9036310141</x:v>
      </x:c>
      <x:c r="M88" s="60" t="n">
        <x:v>0.0099617196</x:v>
      </x:c>
      <x:c r="N88" s="46" t="str">
        <x:v>cancer pagurus</x:v>
      </x:c>
      <x:c r="O88" s="62" t="n">
        <x:v>3.1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Cancer pagurus</x:v>
      </x:c>
      <x:c r="T88" s="62" t="n">
        <x:f>IF(O88="","",(1/'Metadata'!$B$5)^(O88-1))</x:f>
        <x:v>125.89254117941675</x:v>
      </x:c>
      <x:c r="U88" s="60" t="n">
        <x:f>IF(T88="","",I88*T88)</x:f>
        <x:v>240.90705202795994</x:v>
      </x:c>
    </x:row>
    <x:row r="89" ht="18" customHeight="1">
      <x:c r="A89" s="46" t="str">
        <x:v>LME_062</x:v>
      </x:c>
      <x:c r="B89" s="46" t="str">
        <x:v>Black Sea</x:v>
      </x:c>
      <x:c r="C89" s="46" t="str">
        <x:v>LME</x:v>
      </x:c>
      <x:c r="D89" s="58" t="n">
        <x:v>2019</x:v>
      </x:c>
      <x:c r="E89" s="46" t="str">
        <x:v>Auxis rochei</x:v>
      </x:c>
      <x:c r="F89" s="46" t="str">
        <x:v>Bullet tuna</x:v>
      </x:c>
      <x:c r="G89" s="46" t="str">
        <x:v>Medium pelagics (30 - 89 cm)</x:v>
      </x:c>
      <x:c r="H89" s="46" t="str">
        <x:v>Tuna &amp; billfishes</x:v>
      </x:c>
      <x:c r="I89" s="60" t="n">
        <x:v>1.8385134284</x:v>
      </x:c>
      <x:c r="J89" s="60" t="n">
        <x:v>1.8385134284</x:v>
      </x:c>
      <x:c r="K89" s="60" t="n">
        <x:v>0</x:v>
      </x:c>
      <x:c r="L89" s="60" t="n">
        <x:v>0</x:v>
      </x:c>
      <x:c r="M89" s="60" t="n">
        <x:v>1.8385134284</x:v>
      </x:c>
      <x:c r="N89" s="46" t="str">
        <x:v>auxis rochei</x:v>
      </x:c>
      <x:c r="O89" s="62" t="n">
        <x:v>4.13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Auxis rochei</x:v>
      </x:c>
      <x:c r="T89" s="62" t="n">
        <x:f>IF(O89="","",(1/'Metadata'!$B$5)^(O89-1))</x:f>
        <x:v>1348.9628825916532</x:v>
      </x:c>
      <x:c r="U89" s="60" t="n">
        <x:f>IF(T89="","",I89*T89)</x:f>
        <x:v>2480.086374057927</x:v>
      </x:c>
    </x:row>
    <x:row r="90" ht="18" customHeight="1">
      <x:c r="A90" s="46" t="str">
        <x:v>LME_062</x:v>
      </x:c>
      <x:c r="B90" s="46" t="str">
        <x:v>Black Sea</x:v>
      </x:c>
      <x:c r="C90" s="46" t="str">
        <x:v>LME</x:v>
      </x:c>
      <x:c r="D90" s="58" t="n">
        <x:v>2019</x:v>
      </x:c>
      <x:c r="E90" s="46" t="str">
        <x:v>Merluccius</x:v>
      </x:c>
      <x:c r="F90" s="46" t="str">
        <x:v>Hakes</x:v>
      </x:c>
      <x:c r="G90" s="46" t="str">
        <x:v>Medium bathydemersals (30 - 89 cm)</x:v>
      </x:c>
      <x:c r="H90" s="46" t="str">
        <x:v>Cod-likes</x:v>
      </x:c>
      <x:c r="I90" s="60" t="n">
        <x:v>1.5988412125000002</x:v>
      </x:c>
      <x:c r="J90" s="60" t="n">
        <x:v>1.347561079</x:v>
      </x:c>
      <x:c r="K90" s="60" t="n">
        <x:v>0.2512801335</x:v>
      </x:c>
      <x:c r="L90" s="60" t="n">
        <x:v>0</x:v>
      </x:c>
      <x:c r="M90" s="60" t="n">
        <x:v>1.5988412125000002</x:v>
      </x:c>
      <x:c r="N90" s="46" t="str">
        <x:v>merluccius</x:v>
      </x:c>
      <x:c r="O90" s="62" t="n">
        <x:v>4.27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Merluccius</x:v>
      </x:c>
      <x:c r="T90" s="62" t="n">
        <x:f>IF(O90="","",(1/'Metadata'!$B$5)^(O90-1))</x:f>
        <x:v>1862.0871366628655</x:v>
      </x:c>
      <x:c r="U90" s="60" t="n">
        <x:f>IF(T90="","",I90*T90)</x:f>
        <x:v>2977.1816553627095</x:v>
      </x:c>
    </x:row>
    <x:row r="91" ht="18" customHeight="1">
      <x:c r="A91" s="46" t="str">
        <x:v>LME_062</x:v>
      </x:c>
      <x:c r="B91" s="46" t="str">
        <x:v>Black Sea</x:v>
      </x:c>
      <x:c r="C91" s="46" t="str">
        <x:v>LME</x:v>
      </x:c>
      <x:c r="D91" s="58" t="n">
        <x:v>2019</x:v>
      </x:c>
      <x:c r="E91" s="46" t="str">
        <x:v>Diplodus puntazzo</x:v>
      </x:c>
      <x:c r="F91" s="46" t="str">
        <x:v>Sharpsnout seabream</x:v>
      </x:c>
      <x:c r="G91" s="46" t="str">
        <x:v>Medium benthopelagics (30 - 89 cm)</x:v>
      </x:c>
      <x:c r="H91" s="46" t="str">
        <x:v>Perch-likes</x:v>
      </x:c>
      <x:c r="I91" s="60" t="n">
        <x:v>1.4902906953000001</x:v>
      </x:c>
      <x:c r="J91" s="60" t="n">
        <x:v>1.4820423964</x:v>
      </x:c>
      <x:c r="K91" s="60" t="n">
        <x:v>0.0082482989</x:v>
      </x:c>
      <x:c r="L91" s="60" t="n">
        <x:v>0.0017439593</x:v>
      </x:c>
      <x:c r="M91" s="60" t="n">
        <x:v>1.488546736</x:v>
      </x:c>
      <x:c r="N91" s="46" t="str">
        <x:v>diplodus puntazzo</x:v>
      </x:c>
      <x:c r="O91" s="62" t="n">
        <x:v>3.22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Diplodus puntazzo</x:v>
      </x:c>
      <x:c r="T91" s="62" t="n">
        <x:f>IF(O91="","",(1/'Metadata'!$B$5)^(O91-1))</x:f>
        <x:v>165.95869074375614</x:v>
      </x:c>
      <x:c r="U91" s="60" t="n">
        <x:f>IF(T91="","",I91*T91)</x:f>
        <x:v>247.32669261959003</x:v>
      </x:c>
    </x:row>
    <x:row r="92" ht="18" customHeight="1">
      <x:c r="A92" s="46" t="str">
        <x:v>LME_062</x:v>
      </x:c>
      <x:c r="B92" s="46" t="str">
        <x:v>Black Sea</x:v>
      </x:c>
      <x:c r="C92" s="46" t="str">
        <x:v>LME</x:v>
      </x:c>
      <x:c r="D92" s="58" t="n">
        <x:v>2019</x:v>
      </x:c>
      <x:c r="E92" s="46" t="str">
        <x:v>Lichia amia</x:v>
      </x:c>
      <x:c r="F92" s="46" t="str">
        <x:v>Leerfish</x:v>
      </x:c>
      <x:c r="G92" s="46" t="str">
        <x:v>Large pelagics (&gt;=90 cm)</x:v>
      </x:c>
      <x:c r="H92" s="46" t="str">
        <x:v>Perch-likes</x:v>
      </x:c>
      <x:c r="I92" s="60" t="n">
        <x:v>1.477409448</x:v>
      </x:c>
      <x:c r="J92" s="60" t="n">
        <x:v>1.4768545232</x:v>
      </x:c>
      <x:c r="K92" s="60" t="n">
        <x:v>0.0005549248</x:v>
      </x:c>
      <x:c r="L92" s="60" t="n">
        <x:v>0</x:v>
      </x:c>
      <x:c r="M92" s="60" t="n">
        <x:v>1.477409448</x:v>
      </x:c>
      <x:c r="N92" s="46" t="str">
        <x:v>lichia amia</x:v>
      </x:c>
      <x:c r="O92" s="62" t="n">
        <x:v>4.5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Lichia amia</x:v>
      </x:c>
      <x:c r="T92" s="62" t="n">
        <x:f>IF(O92="","",(1/'Metadata'!$B$5)^(O92-1))</x:f>
        <x:v>3162.2776601683795</x:v>
      </x:c>
      <x:c r="U92" s="60" t="n">
        <x:f>IF(T92="","",I92*T92)</x:f>
        <x:v>4671.978892332097</x:v>
      </x:c>
    </x:row>
    <x:row r="93" ht="18" customHeight="1">
      <x:c r="A93" s="46" t="str">
        <x:v>LME_062</x:v>
      </x:c>
      <x:c r="B93" s="46" t="str">
        <x:v>Black Sea</x:v>
      </x:c>
      <x:c r="C93" s="46" t="str">
        <x:v>LME</x:v>
      </x:c>
      <x:c r="D93" s="58" t="n">
        <x:v>2019</x:v>
      </x:c>
      <x:c r="E93" s="46" t="str">
        <x:v>Goneplax rhomboides</x:v>
      </x:c>
      <x:c r="F93" s="46" t="str">
        <x:v>Goneplax rhomboides</x:v>
      </x:c>
      <x:c r="G93" s="46" t="str">
        <x:v>Lobsters, crabs</x:v>
      </x:c>
      <x:c r="H93" s="46" t="str">
        <x:v>Crustaceans</x:v>
      </x:c>
      <x:c r="I93" s="60" t="n">
        <x:v>1.2547315399</x:v>
      </x:c>
      <x:c r="J93" s="60" t="n">
        <x:v>0</x:v>
      </x:c>
      <x:c r="K93" s="60" t="n">
        <x:v>1.2547315399</x:v>
      </x:c>
      <x:c r="L93" s="60" t="n">
        <x:v>0</x:v>
      </x:c>
      <x:c r="M93" s="60" t="n">
        <x:v>1.2547315399</x:v>
      </x:c>
      <x:c r="N93" s="46" t="str">
        <x:v>goneplax rhomboides</x:v>
      </x:c>
      <x:c r="O93" s="62" t="n">
        <x:v>2.82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Goneplax rhomboides</x:v>
      </x:c>
      <x:c r="T93" s="62" t="n">
        <x:f>IF(O93="","",(1/'Metadata'!$B$5)^(O93-1))</x:f>
        <x:v>66.06934480075958</x:v>
      </x:c>
      <x:c r="U93" s="60" t="n">
        <x:f>IF(T93="","",I93*T93)</x:f>
        <x:v>82.89929074204113</x:v>
      </x:c>
    </x:row>
    <x:row r="94" ht="18" customHeight="1">
      <x:c r="A94" s="46" t="str">
        <x:v>LME_062</x:v>
      </x:c>
      <x:c r="B94" s="46" t="str">
        <x:v>Black Sea</x:v>
      </x:c>
      <x:c r="C94" s="46" t="str">
        <x:v>LME</x:v>
      </x:c>
      <x:c r="D94" s="58" t="n">
        <x:v>2019</x:v>
      </x:c>
      <x:c r="E94" s="46" t="str">
        <x:v>Lophiidae</x:v>
      </x:c>
      <x:c r="F94" s="46" t="str">
        <x:v>Goosefishes</x:v>
      </x:c>
      <x:c r="G94" s="46" t="str">
        <x:v>Medium bathydemersals (30 - 89 cm)</x:v>
      </x:c>
      <x:c r="H94" s="46" t="str">
        <x:v>Other fishes &amp; inverts</x:v>
      </x:c>
      <x:c r="I94" s="60" t="n">
        <x:v>0.9595047835</x:v>
      </x:c>
      <x:c r="J94" s="60" t="n">
        <x:v>0.9382561048</x:v>
      </x:c>
      <x:c r="K94" s="60" t="n">
        <x:v>0.0212486787</x:v>
      </x:c>
      <x:c r="L94" s="60" t="n">
        <x:v>0.9382561048</x:v>
      </x:c>
      <x:c r="M94" s="60" t="n">
        <x:v>0.0212486787</x:v>
      </x:c>
      <x:c r="N94" s="46" t="str">
        <x:v>lophiidae</x:v>
      </x:c>
      <x:c r="O94" s="62" t="n">
        <x:v>4.46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Lophiidae</x:v>
      </x:c>
      <x:c r="T94" s="62" t="n">
        <x:f>IF(O94="","",(1/'Metadata'!$B$5)^(O94-1))</x:f>
        <x:v>2884.031503126606</x:v>
      </x:c>
      <x:c r="U94" s="60" t="n">
        <x:f>IF(T94="","",I94*T94)</x:f>
        <x:v>2767.2420230146736</x:v>
      </x:c>
    </x:row>
    <x:row r="95" ht="18" customHeight="1">
      <x:c r="A95" s="46" t="str">
        <x:v>LME_062</x:v>
      </x:c>
      <x:c r="B95" s="46" t="str">
        <x:v>Black Sea</x:v>
      </x:c>
      <x:c r="C95" s="46" t="str">
        <x:v>LME</x:v>
      </x:c>
      <x:c r="D95" s="58" t="n">
        <x:v>2019</x:v>
      </x:c>
      <x:c r="E95" s="46" t="str">
        <x:v>Merlucciidae</x:v>
      </x:c>
      <x:c r="F95" s="46" t="str">
        <x:v>Merluccid hakes</x:v>
      </x:c>
      <x:c r="G95" s="46" t="str">
        <x:v>Large bathydemersals (&gt;=90 cm)</x:v>
      </x:c>
      <x:c r="H95" s="46" t="str">
        <x:v>Cod-likes</x:v>
      </x:c>
      <x:c r="I95" s="60" t="n">
        <x:v>0.9213409463000001</x:v>
      </x:c>
      <x:c r="J95" s="60" t="n">
        <x:v>0.9213409463000001</x:v>
      </x:c>
      <x:c r="K95" s="60" t="n">
        <x:v>0</x:v>
      </x:c>
      <x:c r="L95" s="60" t="n">
        <x:v>0.9213409463000001</x:v>
      </x:c>
      <x:c r="M95" s="60" t="n">
        <x:v>0</x:v>
      </x:c>
      <x:c r="N95" s="46" t="str">
        <x:v>merlucciidae</x:v>
      </x:c>
      <x:c r="O95" s="62" t="n">
        <x:v>4.35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Merlucciidae</x:v>
      </x:c>
      <x:c r="T95" s="62" t="n">
        <x:f>IF(O95="","",(1/'Metadata'!$B$5)^(O95-1))</x:f>
        <x:v>2238.7211385683377</x:v>
      </x:c>
      <x:c r="U95" s="60" t="n">
        <x:f>IF(T95="","",I95*T95)</x:f>
        <x:v>2062.6254523103657</x:v>
      </x:c>
    </x:row>
    <x:row r="96" ht="18" customHeight="1">
      <x:c r="A96" s="46" t="str">
        <x:v>LME_062</x:v>
      </x:c>
      <x:c r="B96" s="46" t="str">
        <x:v>Black Sea</x:v>
      </x:c>
      <x:c r="C96" s="46" t="str">
        <x:v>LME</x:v>
      </x:c>
      <x:c r="D96" s="58" t="n">
        <x:v>2019</x:v>
      </x:c>
      <x:c r="E96" s="46" t="str">
        <x:v>Squatinidae</x:v>
      </x:c>
      <x:c r="F96" s="46" t="str">
        <x:v>Angel sharks</x:v>
      </x:c>
      <x:c r="G96" s="46" t="str">
        <x:v>Large sharks (&gt;=90 cm)</x:v>
      </x:c>
      <x:c r="H96" s="46" t="str">
        <x:v>Sharks &amp; rays</x:v>
      </x:c>
      <x:c r="I96" s="60" t="n">
        <x:v>0.8356277142</x:v>
      </x:c>
      <x:c r="J96" s="60" t="n">
        <x:v>0.8356277142</x:v>
      </x:c>
      <x:c r="K96" s="60" t="n">
        <x:v>0</x:v>
      </x:c>
      <x:c r="L96" s="60" t="n">
        <x:v>0</x:v>
      </x:c>
      <x:c r="M96" s="60" t="n">
        <x:v>0.8356277142</x:v>
      </x:c>
      <x:c r="N96" s="46" t="str">
        <x:v>squatinidae</x:v>
      </x:c>
      <x:c r="O96" s="62" t="n">
        <x:v>4.13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Squatinidae</x:v>
      </x:c>
      <x:c r="T96" s="62" t="n">
        <x:f>IF(O96="","",(1/'Metadata'!$B$5)^(O96-1))</x:f>
        <x:v>1348.9628825916532</x:v>
      </x:c>
      <x:c r="U96" s="60" t="n">
        <x:f>IF(T96="","",I96*T96)</x:f>
        <x:v>1127.2307701207062</x:v>
      </x:c>
    </x:row>
    <x:row r="97" ht="18" customHeight="1">
      <x:c r="A97" s="46" t="str">
        <x:v>LME_062</x:v>
      </x:c>
      <x:c r="B97" s="46" t="str">
        <x:v>Black Sea</x:v>
      </x:c>
      <x:c r="C97" s="46" t="str">
        <x:v>LME</x:v>
      </x:c>
      <x:c r="D97" s="58" t="n">
        <x:v>2019</x:v>
      </x:c>
      <x:c r="E97" s="46" t="str">
        <x:v>Belone</x:v>
      </x:c>
      <x:c r="F97" s="46" t="str">
        <x:v>Garfishes</x:v>
      </x:c>
      <x:c r="G97" s="46" t="str">
        <x:v>Medium pelagics (30 - 89 cm)</x:v>
      </x:c>
      <x:c r="H97" s="46" t="str">
        <x:v>Other fishes &amp; inverts</x:v>
      </x:c>
      <x:c r="I97" s="60" t="n">
        <x:v>0.7892635267</x:v>
      </x:c>
      <x:c r="J97" s="60" t="n">
        <x:v>0.7880450071</x:v>
      </x:c>
      <x:c r="K97" s="60" t="n">
        <x:v>0.0012185196</x:v>
      </x:c>
      <x:c r="L97" s="60" t="n">
        <x:v>0.5993156397</x:v>
      </x:c>
      <x:c r="M97" s="60" t="n">
        <x:v>0.189947887</x:v>
      </x:c>
      <x:c r="N97" s="46" t="str">
        <x:v>belone</x:v>
      </x:c>
      <x:c r="O97" s="62" t="n">
        <x:v>4.5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Belone</x:v>
      </x:c>
      <x:c r="T97" s="62" t="n">
        <x:f>IF(O97="","",(1/'Metadata'!$B$5)^(O97-1))</x:f>
        <x:v>3162.2776601683795</x:v>
      </x:c>
      <x:c r="U97" s="60" t="n">
        <x:f>IF(T97="","",I97*T97)</x:f>
        <x:v>2495.870418469119</x:v>
      </x:c>
    </x:row>
    <x:row r="98" ht="18" customHeight="1">
      <x:c r="A98" s="46" t="str">
        <x:v>LME_062</x:v>
      </x:c>
      <x:c r="B98" s="46" t="str">
        <x:v>Black Sea</x:v>
      </x:c>
      <x:c r="C98" s="46" t="str">
        <x:v>LME</x:v>
      </x:c>
      <x:c r="D98" s="58" t="n">
        <x:v>2019</x:v>
      </x:c>
      <x:c r="E98" s="46" t="str">
        <x:v>Sardinella</x:v>
      </x:c>
      <x:c r="F98" s="46" t="str">
        <x:v>Sardinellas</x:v>
      </x:c>
      <x:c r="G98" s="46" t="str">
        <x:v>Small pelagics (&lt;30 cm)</x:v>
      </x:c>
      <x:c r="H98" s="46" t="str">
        <x:v>Herring-likes</x:v>
      </x:c>
      <x:c r="I98" s="60" t="n">
        <x:v>0.7513590711</x:v>
      </x:c>
      <x:c r="J98" s="60" t="n">
        <x:v>0.7513590711</x:v>
      </x:c>
      <x:c r="K98" s="60" t="n">
        <x:v>0</x:v>
      </x:c>
      <x:c r="L98" s="60" t="n">
        <x:v>0</x:v>
      </x:c>
      <x:c r="M98" s="60" t="n">
        <x:v>0.7513590711</x:v>
      </x:c>
      <x:c r="N98" s="46" t="str">
        <x:v>sardinella</x:v>
      </x:c>
      <x:c r="O98" s="62" t="n">
        <x:v>2.77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Sardinella</x:v>
      </x:c>
      <x:c r="T98" s="62" t="n">
        <x:f>IF(O98="","",(1/'Metadata'!$B$5)^(O98-1))</x:f>
        <x:v>58.8843655355589</x:v>
      </x:c>
      <x:c r="U98" s="60" t="n">
        <x:f>IF(T98="","",I98*T98)</x:f>
        <x:v>44.24330219111039</x:v>
      </x:c>
    </x:row>
    <x:row r="99" ht="18" customHeight="1">
      <x:c r="A99" s="46" t="str">
        <x:v>LME_062</x:v>
      </x:c>
      <x:c r="B99" s="46" t="str">
        <x:v>Black Sea</x:v>
      </x:c>
      <x:c r="C99" s="46" t="str">
        <x:v>LME</x:v>
      </x:c>
      <x:c r="D99" s="58" t="n">
        <x:v>2019</x:v>
      </x:c>
      <x:c r="E99" s="46" t="str">
        <x:v>Oblada melanurus</x:v>
      </x:c>
      <x:c r="F99" s="46" t="str">
        <x:v>Saddled seabream</x:v>
      </x:c>
      <x:c r="G99" s="46" t="str">
        <x:v>Small benthopelagics (&lt;30 cm)</x:v>
      </x:c>
      <x:c r="H99" s="46" t="str">
        <x:v>Perch-likes</x:v>
      </x:c>
      <x:c r="I99" s="60" t="n">
        <x:v>0.6916168227</x:v>
      </x:c>
      <x:c r="J99" s="60" t="n">
        <x:v>0.6582997611</x:v>
      </x:c>
      <x:c r="K99" s="60" t="n">
        <x:v>0.0333170616</x:v>
      </x:c>
      <x:c r="L99" s="60" t="n">
        <x:v>0.0829272479</x:v>
      </x:c>
      <x:c r="M99" s="60" t="n">
        <x:v>0.6086895748</x:v>
      </x:c>
      <x:c r="N99" s="46" t="str">
        <x:v>oblada melanurus</x:v>
      </x:c>
      <x:c r="O99" s="62" t="n">
        <x:v>3.38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Oblada melanurus</x:v>
      </x:c>
      <x:c r="T99" s="62" t="n">
        <x:f>IF(O99="","",(1/'Metadata'!$B$5)^(O99-1))</x:f>
        <x:v>239.88329190194898</x:v>
      </x:c>
      <x:c r="U99" s="60" t="n">
        <x:f>IF(T99="","",I99*T99)</x:f>
        <x:v>165.9073201640426</x:v>
      </x:c>
    </x:row>
    <x:row r="100" ht="18" customHeight="1">
      <x:c r="A100" s="46" t="str">
        <x:v>LME_062</x:v>
      </x:c>
      <x:c r="B100" s="46" t="str">
        <x:v>Black Sea</x:v>
      </x:c>
      <x:c r="C100" s="46" t="str">
        <x:v>LME</x:v>
      </x:c>
      <x:c r="D100" s="58" t="n">
        <x:v>2019</x:v>
      </x:c>
      <x:c r="E100" s="46" t="str">
        <x:v>Thunnus thynnus</x:v>
      </x:c>
      <x:c r="F100" s="46" t="str">
        <x:v>Atlantic bluefin tuna</x:v>
      </x:c>
      <x:c r="G100" s="46" t="str">
        <x:v>Large pelagics (&gt;=90 cm)</x:v>
      </x:c>
      <x:c r="H100" s="46" t="str">
        <x:v>Tuna &amp; billfishes</x:v>
      </x:c>
      <x:c r="I100" s="60" t="n">
        <x:v>0.6174871749999999</x:v>
      </x:c>
      <x:c r="J100" s="60" t="n">
        <x:v>0.6174871749999999</x:v>
      </x:c>
      <x:c r="K100" s="60" t="n">
        <x:v>0</x:v>
      </x:c>
      <x:c r="L100" s="60" t="n">
        <x:v>0</x:v>
      </x:c>
      <x:c r="M100" s="60" t="n">
        <x:v>0.6174871749999999</x:v>
      </x:c>
      <x:c r="N100" s="46" t="str">
        <x:v>thunnus thynnus</x:v>
      </x:c>
      <x:c r="O100" s="62" t="n">
        <x:v>4.45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Thunnus thynnus</x:v>
      </x:c>
      <x:c r="T100" s="62" t="n">
        <x:f>IF(O100="","",(1/'Metadata'!$B$5)^(O100-1))</x:f>
        <x:v>2818.382931264455</x:v>
      </x:c>
      <x:c r="U100" s="60" t="n">
        <x:f>IF(T100="","",I100*T100)</x:f>
        <x:v>1740.3153142947072</x:v>
      </x:c>
    </x:row>
    <x:row r="101" ht="18" customHeight="1">
      <x:c r="A101" s="46" t="str">
        <x:v>LME_062</x:v>
      </x:c>
      <x:c r="B101" s="46" t="str">
        <x:v>Black Sea</x:v>
      </x:c>
      <x:c r="C101" s="46" t="str">
        <x:v>LME</x:v>
      </x:c>
      <x:c r="D101" s="58" t="n">
        <x:v>2019</x:v>
      </x:c>
      <x:c r="E101" s="46" t="str">
        <x:v>Lithognathus mormyrus</x:v>
      </x:c>
      <x:c r="F101" s="46" t="str">
        <x:v>Sand steenbras</x:v>
      </x:c>
      <x:c r="G101" s="46" t="str">
        <x:v>Medium benthopelagics (30 - 89 cm)</x:v>
      </x:c>
      <x:c r="H101" s="46" t="str">
        <x:v>Perch-likes</x:v>
      </x:c>
      <x:c r="I101" s="60" t="n">
        <x:v>0.573947409</x:v>
      </x:c>
      <x:c r="J101" s="60" t="n">
        <x:v>0.573947409</x:v>
      </x:c>
      <x:c r="K101" s="60" t="n">
        <x:v>0</x:v>
      </x:c>
      <x:c r="L101" s="60" t="n">
        <x:v>0</x:v>
      </x:c>
      <x:c r="M101" s="60" t="n">
        <x:v>0.573947409</x:v>
      </x:c>
      <x:c r="N101" s="46" t="str">
        <x:v>lithognathus mormyrus</x:v>
      </x:c>
      <x:c r="O101" s="62" t="n">
        <x:v>3.42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Lithognathus mormyrus</x:v>
      </x:c>
      <x:c r="T101" s="62" t="n">
        <x:f>IF(O101="","",(1/'Metadata'!$B$5)^(O101-1))</x:f>
        <x:v>263.02679918953817</x:v>
      </x:c>
      <x:c r="U101" s="60" t="n">
        <x:f>IF(T101="","",I101*T101)</x:f>
        <x:v>150.96354989239873</x:v>
      </x:c>
    </x:row>
    <x:row r="102" ht="18" customHeight="1">
      <x:c r="A102" s="46" t="str">
        <x:v>LME_062</x:v>
      </x:c>
      <x:c r="B102" s="46" t="str">
        <x:v>Black Sea</x:v>
      </x:c>
      <x:c r="C102" s="46" t="str">
        <x:v>LME</x:v>
      </x:c>
      <x:c r="D102" s="58" t="n">
        <x:v>2019</x:v>
      </x:c>
      <x:c r="E102" s="46" t="str">
        <x:v>Epinephelus marginatus</x:v>
      </x:c>
      <x:c r="F102" s="46" t="str">
        <x:v>Dusky grouper</x:v>
      </x:c>
      <x:c r="G102" s="46" t="str">
        <x:v>Large reef assoc. fish (&gt;=90 cm)</x:v>
      </x:c>
      <x:c r="H102" s="46" t="str">
        <x:v>Perch-likes</x:v>
      </x:c>
      <x:c r="I102" s="60" t="n">
        <x:v>0.4978063616</x:v>
      </x:c>
      <x:c r="J102" s="60" t="n">
        <x:v>0.4978063616</x:v>
      </x:c>
      <x:c r="K102" s="60" t="n">
        <x:v>0</x:v>
      </x:c>
      <x:c r="L102" s="60" t="n">
        <x:v>0</x:v>
      </x:c>
      <x:c r="M102" s="60" t="n">
        <x:v>0.4978063616</x:v>
      </x:c>
      <x:c r="N102" s="46" t="str">
        <x:v>epinephelus marginatus</x:v>
      </x:c>
      <x:c r="O102" s="62" t="n">
        <x:v>4.43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Epinephelus marginatus</x:v>
      </x:c>
      <x:c r="T102" s="62" t="n">
        <x:f>IF(O102="","",(1/'Metadata'!$B$5)^(O102-1))</x:f>
        <x:v>2691.534803926914</x:v>
      </x:c>
      <x:c r="U102" s="60" t="n">
        <x:f>IF(T102="","",I102*T102)</x:f>
        <x:v>1339.8631478626264</x:v>
      </x:c>
    </x:row>
    <x:row r="103" ht="18" customHeight="1">
      <x:c r="A103" s="46" t="str">
        <x:v>LME_062</x:v>
      </x:c>
      <x:c r="B103" s="46" t="str">
        <x:v>Black Sea</x:v>
      </x:c>
      <x:c r="C103" s="46" t="str">
        <x:v>LME</x:v>
      </x:c>
      <x:c r="D103" s="58" t="n">
        <x:v>2019</x:v>
      </x:c>
      <x:c r="E103" s="46" t="str">
        <x:v>Spicara smaris</x:v>
      </x:c>
      <x:c r="F103" s="46" t="str">
        <x:v>Picarel</x:v>
      </x:c>
      <x:c r="G103" s="46" t="str">
        <x:v>Small demersals (&lt;30 cm)</x:v>
      </x:c>
      <x:c r="H103" s="46" t="str">
        <x:v>Perch-likes</x:v>
      </x:c>
      <x:c r="I103" s="60" t="n">
        <x:v>0.4890795846</x:v>
      </x:c>
      <x:c r="J103" s="60" t="n">
        <x:v>0.4890795846</x:v>
      </x:c>
      <x:c r="K103" s="60" t="n">
        <x:v>0</x:v>
      </x:c>
      <x:c r="L103" s="60" t="n">
        <x:v>0</x:v>
      </x:c>
      <x:c r="M103" s="60" t="n">
        <x:v>0.4890795846</x:v>
      </x:c>
      <x:c r="N103" s="46" t="str">
        <x:v>spicara smaris</x:v>
      </x:c>
      <x:c r="O103" s="62" t="n">
        <x:v>3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Spicara smaris</x:v>
      </x:c>
      <x:c r="T103" s="62" t="n">
        <x:f>IF(O103="","",(1/'Metadata'!$B$5)^(O103-1))</x:f>
        <x:v>100</x:v>
      </x:c>
      <x:c r="U103" s="60" t="n">
        <x:f>IF(T103="","",I103*T103)</x:f>
        <x:v>48.90795846</x:v>
      </x:c>
    </x:row>
    <x:row r="104" ht="18" customHeight="1">
      <x:c r="A104" s="46" t="str">
        <x:v>LME_062</x:v>
      </x:c>
      <x:c r="B104" s="46" t="str">
        <x:v>Black Sea</x:v>
      </x:c>
      <x:c r="C104" s="46" t="str">
        <x:v>LME</x:v>
      </x:c>
      <x:c r="D104" s="58" t="n">
        <x:v>2019</x:v>
      </x:c>
      <x:c r="E104" s="46" t="str">
        <x:v>Spondyliosoma cantharus</x:v>
      </x:c>
      <x:c r="F104" s="46" t="str">
        <x:v>Black seabream</x:v>
      </x:c>
      <x:c r="G104" s="46" t="str">
        <x:v>Medium benthopelagics (30 - 89 cm)</x:v>
      </x:c>
      <x:c r="H104" s="46" t="str">
        <x:v>Perch-likes</x:v>
      </x:c>
      <x:c r="I104" s="60" t="n">
        <x:v>0.41341786</x:v>
      </x:c>
      <x:c r="J104" s="60" t="n">
        <x:v>0.4083962125</x:v>
      </x:c>
      <x:c r="K104" s="60" t="n">
        <x:v>0.0050216474999999995</x:v>
      </x:c>
      <x:c r="L104" s="60" t="n">
        <x:v>0</x:v>
      </x:c>
      <x:c r="M104" s="60" t="n">
        <x:v>0.41341786</x:v>
      </x:c>
      <x:c r="N104" s="46" t="str">
        <x:v>spondyliosoma cantharus</x:v>
      </x:c>
      <x:c r="O104" s="62" t="n">
        <x:v>3.34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Spondyliosoma cantharus</x:v>
      </x:c>
      <x:c r="T104" s="62" t="n">
        <x:f>IF(O104="","",(1/'Metadata'!$B$5)^(O104-1))</x:f>
        <x:v>218.77616239495518</x:v>
      </x:c>
      <x:c r="U104" s="60" t="n">
        <x:f>IF(T104="","",I104*T104)</x:f>
        <x:v>90.44597287633485</x:v>
      </x:c>
    </x:row>
    <x:row r="105" ht="18" customHeight="1">
      <x:c r="A105" s="46" t="str">
        <x:v>LME_062</x:v>
      </x:c>
      <x:c r="B105" s="46" t="str">
        <x:v>Black Sea</x:v>
      </x:c>
      <x:c r="C105" s="46" t="str">
        <x:v>LME</x:v>
      </x:c>
      <x:c r="D105" s="58" t="n">
        <x:v>2019</x:v>
      </x:c>
      <x:c r="E105" s="46" t="str">
        <x:v>Sciaena umbra</x:v>
      </x:c>
      <x:c r="F105" s="46" t="str">
        <x:v>Brown meagre</x:v>
      </x:c>
      <x:c r="G105" s="46" t="str">
        <x:v>Medium demersals (30 - 89 cm)</x:v>
      </x:c>
      <x:c r="H105" s="46" t="str">
        <x:v>Perch-likes</x:v>
      </x:c>
      <x:c r="I105" s="60" t="n">
        <x:v>0.3962909971</x:v>
      </x:c>
      <x:c r="J105" s="60" t="n">
        <x:v>0.3618822936</x:v>
      </x:c>
      <x:c r="K105" s="60" t="n">
        <x:v>0.0344087035</x:v>
      </x:c>
      <x:c r="L105" s="60" t="n">
        <x:v>0.0202116749</x:v>
      </x:c>
      <x:c r="M105" s="60" t="n">
        <x:v>0.3760793222</x:v>
      </x:c>
      <x:c r="N105" s="46" t="str">
        <x:v>sciaena umbra</x:v>
      </x:c>
      <x:c r="O105" s="62" t="n">
        <x:v>3.75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Sciaena umbra</x:v>
      </x:c>
      <x:c r="T105" s="62" t="n">
        <x:f>IF(O105="","",(1/'Metadata'!$B$5)^(O105-1))</x:f>
        <x:v>562.341325190349</x:v>
      </x:c>
      <x:c r="U105" s="60" t="n">
        <x:f>IF(T105="","",I105*T105)</x:f>
        <x:v>222.85080447021875</x:v>
      </x:c>
    </x:row>
    <x:row r="106" ht="18" customHeight="1">
      <x:c r="A106" s="46" t="str">
        <x:v>LME_062</x:v>
      </x:c>
      <x:c r="B106" s="46" t="str">
        <x:v>Black Sea</x:v>
      </x:c>
      <x:c r="C106" s="46" t="str">
        <x:v>LME</x:v>
      </x:c>
      <x:c r="D106" s="58" t="n">
        <x:v>2019</x:v>
      </x:c>
      <x:c r="E106" s="46" t="str">
        <x:v>Squilla mantis</x:v>
      </x:c>
      <x:c r="F106" s="46" t="str">
        <x:v>Spottail mantis squillid</x:v>
      </x:c>
      <x:c r="G106" s="46" t="str">
        <x:v>Shrimps</x:v>
      </x:c>
      <x:c r="H106" s="46" t="str">
        <x:v>Crustaceans</x:v>
      </x:c>
      <x:c r="I106" s="60" t="n">
        <x:v>0.3582149598</x:v>
      </x:c>
      <x:c r="J106" s="60" t="n">
        <x:v>0</x:v>
      </x:c>
      <x:c r="K106" s="60" t="n">
        <x:v>0.3582149598</x:v>
      </x:c>
      <x:c r="L106" s="60" t="n">
        <x:v>0</x:v>
      </x:c>
      <x:c r="M106" s="60" t="n">
        <x:v>0.3582149598</x:v>
      </x:c>
      <x:c r="N106" s="46" t="str">
        <x:v>squilla mantis</x:v>
      </x:c>
      <x:c r="O106" s="62" t="n">
        <x:v>3.62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Squilla mantis</x:v>
      </x:c>
      <x:c r="T106" s="62" t="n">
        <x:f>IF(O106="","",(1/'Metadata'!$B$5)^(O106-1))</x:f>
        <x:v>416.8693834703355</x:v>
      </x:c>
      <x:c r="U106" s="60" t="n">
        <x:f>IF(T106="","",I106*T106)</x:f>
        <x:v>149.32884944167702</x:v>
      </x:c>
    </x:row>
    <x:row r="107" ht="18" customHeight="1">
      <x:c r="A107" s="46" t="str">
        <x:v>LME_062</x:v>
      </x:c>
      <x:c r="B107" s="46" t="str">
        <x:v>Black Sea</x:v>
      </x:c>
      <x:c r="C107" s="46" t="str">
        <x:v>LME</x:v>
      </x:c>
      <x:c r="D107" s="58" t="n">
        <x:v>2019</x:v>
      </x:c>
      <x:c r="E107" s="46" t="str">
        <x:v>Bolinus brandaris</x:v>
      </x:c>
      <x:c r="F107" s="46" t="str">
        <x:v>Purple dye murex</x:v>
      </x:c>
      <x:c r="G107" s="46" t="str">
        <x:v>Other demersal invertebrates</x:v>
      </x:c>
      <x:c r="H107" s="46" t="str">
        <x:v>Molluscs</x:v>
      </x:c>
      <x:c r="I107" s="60" t="n">
        <x:v>0.2918142257</x:v>
      </x:c>
      <x:c r="J107" s="60" t="n">
        <x:v>0</x:v>
      </x:c>
      <x:c r="K107" s="60" t="n">
        <x:v>0.2918142257</x:v>
      </x:c>
      <x:c r="L107" s="60" t="n">
        <x:v>0</x:v>
      </x:c>
      <x:c r="M107" s="60" t="n">
        <x:v>0.2918142257</x:v>
      </x:c>
      <x:c r="N107" s="46" t="str">
        <x:v>bolinus brandaris</x:v>
      </x:c>
      <x:c r="O107" s="62" t="n">
        <x:v>3.23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Bolinus brandaris</x:v>
      </x:c>
      <x:c r="T107" s="62" t="n">
        <x:f>IF(O107="","",(1/'Metadata'!$B$5)^(O107-1))</x:f>
        <x:v>169.82436524617444</x:v>
      </x:c>
      <x:c r="U107" s="60" t="n">
        <x:f>IF(T107="","",I107*T107)</x:f>
        <x:v>49.557165649306384</x:v>
      </x:c>
    </x:row>
    <x:row r="108" ht="18" customHeight="1">
      <x:c r="A108" s="46" t="str">
        <x:v>LME_062</x:v>
      </x:c>
      <x:c r="B108" s="46" t="str">
        <x:v>Black Sea</x:v>
      </x:c>
      <x:c r="C108" s="46" t="str">
        <x:v>LME</x:v>
      </x:c>
      <x:c r="D108" s="58" t="n">
        <x:v>2019</x:v>
      </x:c>
      <x:c r="E108" s="46" t="str">
        <x:v>Malacostraca</x:v>
      </x:c>
      <x:c r="F108" s="46" t="str">
        <x:v>Lobsters, crabs, shrimps, krill</x:v>
      </x:c>
      <x:c r="G108" s="46" t="str">
        <x:v>Shrimps</x:v>
      </x:c>
      <x:c r="H108" s="46" t="str">
        <x:v>Crustaceans</x:v>
      </x:c>
      <x:c r="I108" s="60" t="n">
        <x:v>0.2385977829</x:v>
      </x:c>
      <x:c r="J108" s="60" t="n">
        <x:v>0.2345435127</x:v>
      </x:c>
      <x:c r="K108" s="60" t="n">
        <x:v>0.0040542702</x:v>
      </x:c>
      <x:c r="L108" s="60" t="n">
        <x:v>0.2345435127</x:v>
      </x:c>
      <x:c r="M108" s="60" t="n">
        <x:v>0.0040542702</x:v>
      </x:c>
      <x:c r="N108" s="46" t="str">
        <x:v>malacostraca</x:v>
      </x:c>
      <x:c r="O108" s="62" t="n">
        <x:v>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Malacostraca</x:v>
      </x:c>
      <x:c r="T108" s="62" t="n">
        <x:f>IF(O108="","",(1/'Metadata'!$B$5)^(O108-1))</x:f>
        <x:v>100</x:v>
      </x:c>
      <x:c r="U108" s="60" t="n">
        <x:f>IF(T108="","",I108*T108)</x:f>
        <x:v>23.85977829</x:v>
      </x:c>
    </x:row>
    <x:row r="109" ht="18" customHeight="1">
      <x:c r="A109" s="46" t="str">
        <x:v>LME_062</x:v>
      </x:c>
      <x:c r="B109" s="46" t="str">
        <x:v>Black Sea</x:v>
      </x:c>
      <x:c r="C109" s="46" t="str">
        <x:v>LME</x:v>
      </x:c>
      <x:c r="D109" s="58" t="n">
        <x:v>2019</x:v>
      </x:c>
      <x:c r="E109" s="46" t="str">
        <x:v>Zeus faber</x:v>
      </x:c>
      <x:c r="F109" s="46" t="str">
        <x:v>John dory</x:v>
      </x:c>
      <x:c r="G109" s="46" t="str">
        <x:v>Medium benthopelagics (30 - 89 cm)</x:v>
      </x:c>
      <x:c r="H109" s="46" t="str">
        <x:v>Other fishes &amp; inverts</x:v>
      </x:c>
      <x:c r="I109" s="60" t="n">
        <x:v>0.1063397795</x:v>
      </x:c>
      <x:c r="J109" s="60" t="n">
        <x:v>0.0949889816</x:v>
      </x:c>
      <x:c r="K109" s="60" t="n">
        <x:v>0.0113507979</x:v>
      </x:c>
      <x:c r="L109" s="60" t="n">
        <x:v>0.0187663526</x:v>
      </x:c>
      <x:c r="M109" s="60" t="n">
        <x:v>0.0875734269</x:v>
      </x:c>
      <x:c r="N109" s="46" t="str">
        <x:v>zeus faber</x:v>
      </x:c>
      <x:c r="O109" s="62" t="n">
        <x:v>4.5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Zeus faber</x:v>
      </x:c>
      <x:c r="T109" s="62" t="n">
        <x:f>IF(O109="","",(1/'Metadata'!$B$5)^(O109-1))</x:f>
        <x:v>3162.2776601683795</x:v>
      </x:c>
      <x:c r="U109" s="60" t="n">
        <x:f>IF(T109="","",I109*T109)</x:f>
        <x:v>336.2759091000814</x:v>
      </x:c>
    </x:row>
    <x:row r="110" ht="18" customHeight="1">
      <x:c r="A110" s="46" t="str">
        <x:v>LME_062</x:v>
      </x:c>
      <x:c r="B110" s="46" t="str">
        <x:v>Black Sea</x:v>
      </x:c>
      <x:c r="C110" s="46" t="str">
        <x:v>LME</x:v>
      </x:c>
      <x:c r="D110" s="58" t="n">
        <x:v>2019</x:v>
      </x:c>
      <x:c r="E110" s="46" t="str">
        <x:v>Sepia officinalis</x:v>
      </x:c>
      <x:c r="F110" s="46" t="str">
        <x:v>Common cuttlefish</x:v>
      </x:c>
      <x:c r="G110" s="46" t="str">
        <x:v>Cephalopods</x:v>
      </x:c>
      <x:c r="H110" s="46" t="str">
        <x:v>Other fishes &amp; inverts</x:v>
      </x:c>
      <x:c r="I110" s="60" t="n">
        <x:v>0.077905854</x:v>
      </x:c>
      <x:c r="J110" s="60" t="n">
        <x:v>0.0702860083</x:v>
      </x:c>
      <x:c r="K110" s="60" t="n">
        <x:v>0.0076198457</x:v>
      </x:c>
      <x:c r="L110" s="60" t="n">
        <x:v>0.0235350841</x:v>
      </x:c>
      <x:c r="M110" s="60" t="n">
        <x:v>0.0543707699</x:v>
      </x:c>
      <x:c r="N110" s="46" t="str">
        <x:v>sepia officinalis</x:v>
      </x:c>
      <x:c r="O110" s="62" t="n">
        <x:v>4.27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Sepia officinalis</x:v>
      </x:c>
      <x:c r="T110" s="62" t="n">
        <x:f>IF(O110="","",(1/'Metadata'!$B$5)^(O110-1))</x:f>
        <x:v>1862.0871366628655</x:v>
      </x:c>
      <x:c r="U110" s="60" t="n">
        <x:f>IF(T110="","",I110*T110)</x:f>
        <x:v>145.06748860413524</x:v>
      </x:c>
    </x:row>
    <x:row r="111" ht="18" customHeight="1">
      <x:c r="A111" s="46" t="str">
        <x:v>LME_062</x:v>
      </x:c>
      <x:c r="B111" s="46" t="str">
        <x:v>Black Sea</x:v>
      </x:c>
      <x:c r="C111" s="46" t="str">
        <x:v>LME</x:v>
      </x:c>
      <x:c r="D111" s="58" t="n">
        <x:v>2019</x:v>
      </x:c>
      <x:c r="E111" s="46" t="str">
        <x:v>Xiphias gladius</x:v>
      </x:c>
      <x:c r="F111" s="46" t="str">
        <x:v>Swordfish</x:v>
      </x:c>
      <x:c r="G111" s="46" t="str">
        <x:v>Large pelagics (&gt;=90 cm)</x:v>
      </x:c>
      <x:c r="H111" s="46" t="str">
        <x:v>Tuna &amp; billfishes</x:v>
      </x:c>
      <x:c r="I111" s="60" t="n">
        <x:v>0.0512058678</x:v>
      </x:c>
      <x:c r="J111" s="60" t="n">
        <x:v>0.0480110791</x:v>
      </x:c>
      <x:c r="K111" s="60" t="n">
        <x:v>0.0031947887</x:v>
      </x:c>
      <x:c r="L111" s="60" t="n">
        <x:v>0.0230297879</x:v>
      </x:c>
      <x:c r="M111" s="60" t="n">
        <x:v>0.028176079899999998</x:v>
      </x:c>
      <x:c r="N111" s="46" t="str">
        <x:v>xiphias gladius</x:v>
      </x:c>
      <x:c r="O111" s="62" t="n">
        <x:v>4.53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Xiphias gladius</x:v>
      </x:c>
      <x:c r="T111" s="62" t="n">
        <x:f>IF(O111="","",(1/'Metadata'!$B$5)^(O111-1))</x:f>
        <x:v>3388.4415613920273</x:v>
      </x:c>
      <x:c r="U111" s="60" t="n">
        <x:f>IF(T111="","",I111*T111)</x:f>
        <x:v>173.50809064066573</x:v>
      </x:c>
    </x:row>
    <x:row r="112" ht="18" customHeight="1">
      <x:c r="A112" s="46" t="str">
        <x:v>LME_062</x:v>
      </x:c>
      <x:c r="B112" s="46" t="str">
        <x:v>Black Sea</x:v>
      </x:c>
      <x:c r="C112" s="46" t="str">
        <x:v>LME</x:v>
      </x:c>
      <x:c r="D112" s="58" t="n">
        <x:v>2019</x:v>
      </x:c>
      <x:c r="E112" s="46" t="str">
        <x:v>Anguilla anguilla</x:v>
      </x:c>
      <x:c r="F112" s="46" t="str">
        <x:v>European eel</x:v>
      </x:c>
      <x:c r="G112" s="46" t="str">
        <x:v>Large demersals (&gt;=90 cm)</x:v>
      </x:c>
      <x:c r="H112" s="46" t="str">
        <x:v>Other fishes &amp; inverts</x:v>
      </x:c>
      <x:c r="I112" s="60" t="n">
        <x:v>0.0153767802</x:v>
      </x:c>
      <x:c r="J112" s="60" t="n">
        <x:v>0.0153767802</x:v>
      </x:c>
      <x:c r="K112" s="60" t="n">
        <x:v>0</x:v>
      </x:c>
      <x:c r="L112" s="60" t="n">
        <x:v>0</x:v>
      </x:c>
      <x:c r="M112" s="60" t="n">
        <x:v>0.0153767802</x:v>
      </x:c>
      <x:c r="N112" s="46" t="str">
        <x:v>anguilla anguilla</x:v>
      </x:c>
      <x:c r="O112" s="62" t="n">
        <x:v>3.55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Anguilla anguilla</x:v>
      </x:c>
      <x:c r="T112" s="62" t="n">
        <x:f>IF(O112="","",(1/'Metadata'!$B$5)^(O112-1))</x:f>
        <x:v>354.8133892335753</x:v>
      </x:c>
      <x:c r="U112" s="60" t="n">
        <x:f>IF(T112="","",I112*T112)</x:f>
        <x:v>5.455887498261735</x:v>
      </x:c>
    </x:row>
    <x:row r="113" ht="18" customHeight="1">
      <x:c r="A113" s="46" t="str">
        <x:v>LME_062</x:v>
      </x:c>
      <x:c r="B113" s="46" t="str">
        <x:v>Black Sea</x:v>
      </x:c>
      <x:c r="C113" s="46" t="str">
        <x:v>LME</x:v>
      </x:c>
      <x:c r="D113" s="58" t="n">
        <x:v>2019</x:v>
      </x:c>
      <x:c r="E113" s="46" t="str">
        <x:v>Homarus gammarus</x:v>
      </x:c>
      <x:c r="F113" s="46" t="str">
        <x:v>European lobster</x:v>
      </x:c>
      <x:c r="G113" s="46" t="str">
        <x:v>Lobsters, crabs</x:v>
      </x:c>
      <x:c r="H113" s="46" t="str">
        <x:v>Crustaceans</x:v>
      </x:c>
      <x:c r="I113" s="60" t="n">
        <x:v>0.0144171869</x:v>
      </x:c>
      <x:c r="J113" s="60" t="n">
        <x:v>0.013503106</x:v>
      </x:c>
      <x:c r="K113" s="60" t="n">
        <x:v>0.0009140808999999999</x:v>
      </x:c>
      <x:c r="L113" s="60" t="n">
        <x:v>0.0089473779</x:v>
      </x:c>
      <x:c r="M113" s="60" t="n">
        <x:v>0.005469809</x:v>
      </x:c>
      <x:c r="N113" s="46" t="str">
        <x:v>homarus gammarus</x:v>
      </x:c>
      <x:c r="O113" s="62" t="n">
        <x:v>3.7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Homarus gammarus</x:v>
      </x:c>
      <x:c r="T113" s="62" t="n">
        <x:f>IF(O113="","",(1/'Metadata'!$B$5)^(O113-1))</x:f>
        <x:v>501.18723362727246</x:v>
      </x:c>
      <x:c r="U113" s="60" t="n">
        <x:f>IF(T113="","",I113*T113)</x:f>
        <x:v>7.225710019098352</x:v>
      </x:c>
    </x:row>
    <x:row r="114" ht="18" customHeight="1">
      <x:c r="A114" s="46" t="str">
        <x:v>LME_062</x:v>
      </x:c>
      <x:c r="B114" s="46" t="str">
        <x:v>Black Sea</x:v>
      </x:c>
      <x:c r="C114" s="46" t="str">
        <x:v>LME</x:v>
      </x:c>
      <x:c r="D114" s="58" t="n">
        <x:v>2019</x:v>
      </x:c>
      <x:c r="E114" s="46" t="str">
        <x:v>Chondrichthyes</x:v>
      </x:c>
      <x:c r="F114" s="46" t="str">
        <x:v>Sharks, rays, chimaeras</x:v>
      </x:c>
      <x:c r="G114" s="46" t="str">
        <x:v>Large sharks (&gt;=90 cm)</x:v>
      </x:c>
      <x:c r="H114" s="46" t="str">
        <x:v>Sharks &amp; rays</x:v>
      </x:c>
      <x:c r="I114" s="60" t="n">
        <x:v>0.009516542000000001</x:v>
      </x:c>
      <x:c r="J114" s="60" t="n">
        <x:v>0.009516542000000001</x:v>
      </x:c>
      <x:c r="K114" s="60" t="n">
        <x:v>0</x:v>
      </x:c>
      <x:c r="L114" s="60" t="n">
        <x:v>0</x:v>
      </x:c>
      <x:c r="M114" s="60" t="n">
        <x:v>0.009516542000000001</x:v>
      </x:c>
      <x:c r="N114" s="46" t="str">
        <x:v>chondrichthyes</x:v>
      </x:c>
      <x:c r="O114" s="62" t="n">
        <x:v>4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Chondrichthyes</x:v>
      </x:c>
      <x:c r="T114" s="62" t="n">
        <x:f>IF(O114="","",(1/'Metadata'!$B$5)^(O114-1))</x:f>
        <x:v>1000</x:v>
      </x:c>
      <x:c r="U114" s="60" t="n">
        <x:f>IF(T114="","",I114*T114)</x:f>
        <x:v>9.516542000000001</x:v>
      </x:c>
    </x:row>
    <x:row r="115" ht="18" customHeight="1">
      <x:c r="A115" s="46" t="str">
        <x:v>LME_062</x:v>
      </x:c>
      <x:c r="B115" s="46" t="str">
        <x:v>Black Sea</x:v>
      </x:c>
      <x:c r="C115" s="46" t="str">
        <x:v>LME</x:v>
      </x:c>
      <x:c r="D115" s="58" t="n">
        <x:v>2019</x:v>
      </x:c>
      <x:c r="E115" s="46" t="str">
        <x:v>Scomberesocidae</x:v>
      </x:c>
      <x:c r="F115" s="46" t="str">
        <x:v>Sauries</x:v>
      </x:c>
      <x:c r="G115" s="46" t="str">
        <x:v>Medium pelagics (30 - 89 cm)</x:v>
      </x:c>
      <x:c r="H115" s="46" t="str">
        <x:v>Other fishes &amp; inverts</x:v>
      </x:c>
      <x:c r="I115" s="60" t="n">
        <x:v>0.0056256551</x:v>
      </x:c>
      <x:c r="J115" s="60" t="n">
        <x:v>0.0044905599</x:v>
      </x:c>
      <x:c r="K115" s="60" t="n">
        <x:v>0.0011350952</x:v>
      </x:c>
      <x:c r="L115" s="60" t="n">
        <x:v>0</x:v>
      </x:c>
      <x:c r="M115" s="60" t="n">
        <x:v>0.0056256551</x:v>
      </x:c>
      <x:c r="N115" s="46" t="str">
        <x:v>scomberesocidae</x:v>
      </x:c>
      <x:c r="O115" s="62" t="n">
        <x:v>4.01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Scomberesocidae</x:v>
      </x:c>
      <x:c r="T115" s="62" t="n">
        <x:f>IF(O115="","",(1/'Metadata'!$B$5)^(O115-1))</x:f>
        <x:v>1023.2929922807537</x:v>
      </x:c>
      <x:c r="U115" s="60" t="n">
        <x:f>IF(T115="","",I115*T115)</x:f>
        <x:v>5.756693440818482</x:v>
      </x:c>
    </x:row>
    <x:row r="116" ht="18" customHeight="1">
      <x:c r="A116" s="46" t="str">
        <x:v>LME_062</x:v>
      </x:c>
      <x:c r="B116" s="46" t="str">
        <x:v>Black Sea</x:v>
      </x:c>
      <x:c r="C116" s="46" t="str">
        <x:v>LME</x:v>
      </x:c>
      <x:c r="D116" s="58" t="n">
        <x:v>2019</x:v>
      </x:c>
      <x:c r="E116" s="46" t="str">
        <x:v>Squatina squatina</x:v>
      </x:c>
      <x:c r="F116" s="46" t="str">
        <x:v>Angelshark</x:v>
      </x:c>
      <x:c r="G116" s="46" t="str">
        <x:v>Large sharks (&gt;=90 cm)</x:v>
      </x:c>
      <x:c r="H116" s="46" t="str">
        <x:v>Sharks &amp; rays</x:v>
      </x:c>
      <x:c r="I116" s="60" t="n">
        <x:v>0.004752183</x:v>
      </x:c>
      <x:c r="J116" s="60" t="n">
        <x:v>0.0044028864</x:v>
      </x:c>
      <x:c r="K116" s="60" t="n">
        <x:v>0.0003492966</x:v>
      </x:c>
      <x:c r="L116" s="60" t="n">
        <x:v>0.0028810703</x:v>
      </x:c>
      <x:c r="M116" s="60" t="n">
        <x:v>0.0018711127</x:v>
      </x:c>
      <x:c r="N116" s="46" t="str">
        <x:v>squatina squatina</x:v>
      </x:c>
      <x:c r="O116" s="62" t="n">
        <x:v>4.05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Squatina squatina</x:v>
      </x:c>
      <x:c r="T116" s="62" t="n">
        <x:f>IF(O116="","",(1/'Metadata'!$B$5)^(O116-1))</x:f>
        <x:v>1122.018454301963</x:v>
      </x:c>
      <x:c r="U116" s="60" t="n">
        <x:f>IF(T116="","",I116*T116)</x:f>
        <x:v>5.332037024220066</x:v>
      </x:c>
    </x:row>
    <x:row r="117" ht="18" customHeight="1">
      <x:c r="A117" s="46" t="str">
        <x:v>LME_062</x:v>
      </x:c>
      <x:c r="B117" s="46" t="str">
        <x:v>Black Sea</x:v>
      </x:c>
      <x:c r="C117" s="46" t="str">
        <x:v>LME</x:v>
      </x:c>
      <x:c r="D117" s="58" t="n">
        <x:v>2019</x:v>
      </x:c>
      <x:c r="E117" s="46" t="str">
        <x:v>Chelidonichthys lastoviza</x:v>
      </x:c>
      <x:c r="F117" s="46" t="str">
        <x:v>Streaked gurnard</x:v>
      </x:c>
      <x:c r="G117" s="46" t="str">
        <x:v>Medium demersals (30 - 89 cm)</x:v>
      </x:c>
      <x:c r="H117" s="46" t="str">
        <x:v>Scorpionfishes</x:v>
      </x:c>
      <x:c r="I117" s="60" t="n">
        <x:v>0.0028622409</x:v>
      </x:c>
      <x:c r="J117" s="60" t="n">
        <x:v>0.0028622409</x:v>
      </x:c>
      <x:c r="K117" s="60" t="n">
        <x:v>0</x:v>
      </x:c>
      <x:c r="L117" s="60" t="n">
        <x:v>0.0028622409</x:v>
      </x:c>
      <x:c r="M117" s="60" t="n">
        <x:v>0</x:v>
      </x:c>
      <x:c r="N117" s="46" t="str">
        <x:v>chelidonichthys lastoviza</x:v>
      </x:c>
      <x:c r="O117" s="62" t="n">
        <x:v>3.49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Chelidonichthys lastoviza</x:v>
      </x:c>
      <x:c r="T117" s="62" t="n">
        <x:f>IF(O117="","",(1/'Metadata'!$B$5)^(O117-1))</x:f>
        <x:v>309.0295432513592</x:v>
      </x:c>
      <x:c r="U117" s="60" t="n">
        <x:f>IF(T117="","",I117*T117)</x:f>
        <x:v>0.8845169980023593</x:v>
      </x:c>
    </x:row>
    <x:row r="118" ht="18" customHeight="1">
      <x:c r="A118" s="46" t="str">
        <x:v>LME_062</x:v>
      </x:c>
      <x:c r="B118" s="46" t="str">
        <x:v>Black Sea</x:v>
      </x:c>
      <x:c r="C118" s="46" t="str">
        <x:v>LME</x:v>
      </x:c>
      <x:c r="D118" s="58" t="n">
        <x:v>2019</x:v>
      </x:c>
      <x:c r="E118" s="46" t="str">
        <x:v>Euthynnus alletteratus</x:v>
      </x:c>
      <x:c r="F118" s="46" t="str">
        <x:v>Little tunny </x:v>
      </x:c>
      <x:c r="G118" s="46" t="str">
        <x:v>Large pelagics (&gt;=90 cm)</x:v>
      </x:c>
      <x:c r="H118" s="46" t="str">
        <x:v>Tuna &amp; billfishes</x:v>
      </x:c>
      <x:c r="I118" s="60" t="n">
        <x:v>0.0016337185</x:v>
      </x:c>
      <x:c r="J118" s="60" t="n">
        <x:v>0.0016337185</x:v>
      </x:c>
      <x:c r="K118" s="60" t="n">
        <x:v>0</x:v>
      </x:c>
      <x:c r="L118" s="60" t="n">
        <x:v>0</x:v>
      </x:c>
      <x:c r="M118" s="60" t="n">
        <x:v>0.0016337185</x:v>
      </x:c>
      <x:c r="N118" s="46" t="str">
        <x:v>euthynnus alletteratus</x:v>
      </x:c>
      <x:c r="O118" s="62" t="n">
        <x:v>4.49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Euthynnus alletteratus</x:v>
      </x:c>
      <x:c r="T118" s="62" t="n">
        <x:f>IF(O118="","",(1/'Metadata'!$B$5)^(O118-1))</x:f>
        <x:v>3090.295432513592</x:v>
      </x:c>
      <x:c r="U118" s="60" t="n">
        <x:f>IF(T118="","",I118*T118)</x:f>
        <x:v>5.048672818562957</x:v>
      </x:c>
    </x:row>
    <x:row r="119" ht="18" customHeight="1">
      <x:c r="A119" s="46" t="str">
        <x:v>LME_062</x:v>
      </x:c>
      <x:c r="B119" s="46" t="str">
        <x:v>Black Sea</x:v>
      </x:c>
      <x:c r="C119" s="46" t="str">
        <x:v>LME</x:v>
      </x:c>
      <x:c r="D119" s="58" t="n">
        <x:v>2019</x:v>
      </x:c>
      <x:c r="E119" s="46" t="str">
        <x:v>Conger conger</x:v>
      </x:c>
      <x:c r="F119" s="46" t="str">
        <x:v>European conger</x:v>
      </x:c>
      <x:c r="G119" s="46" t="str">
        <x:v>Large demersals (&gt;=90 cm)</x:v>
      </x:c>
      <x:c r="H119" s="46" t="str">
        <x:v>Other fishes &amp; inverts</x:v>
      </x:c>
      <x:c r="I119" s="60" t="n">
        <x:v>0.0001788701</x:v>
      </x:c>
      <x:c r="J119" s="60" t="n">
        <x:v>0.00014270639999999999</x:v>
      </x:c>
      <x:c r="K119" s="60" t="n">
        <x:v>0.0000361637</x:v>
      </x:c>
      <x:c r="L119" s="60" t="n">
        <x:v>0</x:v>
      </x:c>
      <x:c r="M119" s="60" t="n">
        <x:v>0.0001788701</x:v>
      </x:c>
      <x:c r="N119" s="46" t="str">
        <x:v>conger conger</x:v>
      </x:c>
      <x:c r="O119" s="62" t="n">
        <x:v>4.31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Conger conger</x:v>
      </x:c>
      <x:c r="T119" s="62" t="n">
        <x:f>IF(O119="","",(1/'Metadata'!$B$5)^(O119-1))</x:f>
        <x:v>2041.7379446695275</x:v>
      </x:c>
      <x:c r="U119" s="60" t="n">
        <x:f>IF(T119="","",I119*T119)</x:f>
        <x:v>0.3652058703368329</x:v>
      </x:c>
    </x:row>
    <x:row r="120" ht="18" customHeight="1">
      <x:c r="A120" s="46" t="str">
        <x:v>LME_062</x:v>
      </x:c>
      <x:c r="B120" s="46" t="str">
        <x:v>Black Sea</x:v>
      </x:c>
      <x:c r="C120" s="46" t="str">
        <x:v>LME</x:v>
      </x:c>
      <x:c r="D120" s="58" t="n">
        <x:v>2019</x:v>
      </x:c>
      <x:c r="E120" s="46" t="str">
        <x:v>Epinephelus aeneus</x:v>
      </x:c>
      <x:c r="F120" s="46" t="str">
        <x:v>White grouper</x:v>
      </x:c>
      <x:c r="G120" s="46" t="str">
        <x:v>Large demersals (&gt;=90 cm)</x:v>
      </x:c>
      <x:c r="H120" s="46" t="str">
        <x:v>Perch-likes</x:v>
      </x:c>
      <x:c r="I120" s="60" t="n">
        <x:v>0.0001022787</x:v>
      </x:c>
      <x:c r="J120" s="60" t="n">
        <x:v>0.0000866425</x:v>
      </x:c>
      <x:c r="K120" s="60" t="n">
        <x:v>0.0000156362</x:v>
      </x:c>
      <x:c r="L120" s="60" t="n">
        <x:v>0</x:v>
      </x:c>
      <x:c r="M120" s="60" t="n">
        <x:v>0.0001022787</x:v>
      </x:c>
      <x:c r="N120" s="46" t="str">
        <x:v>epinephelus aeneus</x:v>
      </x:c>
      <x:c r="O120" s="62" t="n">
        <x:v>4.02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Epinephelus aeneus</x:v>
      </x:c>
      <x:c r="T120" s="62" t="n">
        <x:f>IF(O120="","",(1/'Metadata'!$B$5)^(O120-1))</x:f>
        <x:v>1047.1285480508984</x:v>
      </x:c>
      <x:c r="U120" s="60" t="n">
        <x:f>IF(T120="","",I120*T120)</x:f>
        <x:v>0.10709894662753341</x:v>
      </x:c>
    </x:row>
    <x:row r="121" ht="18" customHeight="1">
      <x:c r="A121" s="46" t="str">
        <x:v>LME_062</x:v>
      </x:c>
      <x:c r="B121" s="46" t="str">
        <x:v>Black Sea</x:v>
      </x:c>
      <x:c r="C121" s="46" t="str">
        <x:v>LME</x:v>
      </x:c>
      <x:c r="D121" s="58" t="n">
        <x:v>2019</x:v>
      </x:c>
      <x:c r="E121" s="46" t="str">
        <x:v>Palinurus elephas</x:v>
      </x:c>
      <x:c r="F121" s="46" t="str">
        <x:v>Common spiny lobster</x:v>
      </x:c>
      <x:c r="G121" s="46" t="str">
        <x:v>Lobsters, crabs</x:v>
      </x:c>
      <x:c r="H121" s="46" t="str">
        <x:v>Crustaceans</x:v>
      </x:c>
      <x:c r="I121" s="60" t="n">
        <x:v>0.000059277</x:v>
      </x:c>
      <x:c r="J121" s="60" t="n">
        <x:v>0.0000488162</x:v>
      </x:c>
      <x:c r="K121" s="60" t="n">
        <x:v>0.0000104608</x:v>
      </x:c>
      <x:c r="L121" s="60" t="n">
        <x:v>0</x:v>
      </x:c>
      <x:c r="M121" s="60" t="n">
        <x:v>0.000059277</x:v>
      </x:c>
      <x:c r="N121" s="46" t="str">
        <x:v>palinurus elephas</x:v>
      </x:c>
      <x:c r="O121" s="62" t="n">
        <x:v>3.34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Palinurus elephas</x:v>
      </x:c>
      <x:c r="T121" s="62" t="n">
        <x:f>IF(O121="","",(1/'Metadata'!$B$5)^(O121-1))</x:f>
        <x:v>218.77616239495518</x:v>
      </x:c>
      <x:c r="U121" s="60" t="n">
        <x:f>IF(T121="","",I121*T121)</x:f>
        <x:v>0.012968394578285759</x:v>
      </x:c>
    </x:row>
  </x:sheetData>
  <x:conditionalFormatting sqref="R2:R12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510a3d6845b4d0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629767.6866500932</x:v>
      </x:c>
      <x:c r="E2" s="60" t="n">
        <x:v>629767.6866500932</x:v>
      </x:c>
      <x:c r="F2" s="62" t="n">
        <x:v>0</x:v>
      </x:c>
      <x:c r="G2" s="66" t="n">
        <x:v>1</x:v>
      </x:c>
      <x:c r="H2" s="62" t="n">
        <x:f>IF(E2=0,"",I2/E2)</x:f>
        <x:v>128.82495516931337</x:v>
      </x:c>
      <x:c r="I2" s="60" t="n">
        <x:f>SUMIF('Species'!$H$2:$H$121,A2,'Species'!$U$2:$U$121)</x:f>
        <x:v>81129793.99978045</x:v>
      </x:c>
      <x:c r="J2" s="62" t="n">
        <x:v>3.11</x:v>
      </x:c>
      <x:c r="K2" s="62" t="n">
        <x:f>IF(J2="","",(1/'Metadata'!$B$5)^(J2-1))</x:f>
        <x:v>128.82495516931337</x:v>
      </x:c>
      <x:c r="L2" s="60" t="n">
        <x:f>IF(E2=0,"",E2*K2)</x:f>
        <x:v>81129793.99978045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20128.465154674403</x:v>
      </x:c>
      <x:c r="E3" s="60" t="n">
        <x:v>20128.465154674403</x:v>
      </x:c>
      <x:c r="F3" s="62" t="n">
        <x:v>0</x:v>
      </x:c>
      <x:c r="G3" s="66" t="n">
        <x:v>1</x:v>
      </x:c>
      <x:c r="H3" s="62" t="n">
        <x:f>IF(E3=0,"",I3/E3)</x:f>
        <x:v>2290.831207034165</x:v>
      </x:c>
      <x:c r="I3" s="60" t="n">
        <x:f>SUMIF('Species'!$H$2:$H$121,A3,'Species'!$U$2:$U$121)</x:f>
        <x:v>46110916.12602789</x:v>
      </x:c>
      <x:c r="J3" s="62" t="n">
        <x:v>4.3599923934032025</x:v>
      </x:c>
      <x:c r="K3" s="62" t="n">
        <x:f>IF(J3="","",(1/'Metadata'!$B$5)^(J3-1))</x:f>
        <x:v>2290.827528947016</x:v>
      </x:c>
      <x:c r="L3" s="60" t="n">
        <x:f>IF(E3=0,"",E3*K3)</x:f>
        <x:v>46110842.09177888</x:v>
      </x:c>
      <x:c r="M3" s="60" t="n">
        <x:f>I3-L3</x:f>
        <x:v>74.03424900770187</x:v>
      </x:c>
      <x:c r="N3" s="62" t="n">
        <x:f>IF(L3=0,"",I3/L3)</x:f>
        <x:v>1.0000016055713938</x:v>
      </x:c>
      <x:c r="O3" s="66" t="n">
        <x:f>IF(L3=0,"",M3/L3)</x:f>
        <x:v>0.000001605571393824132</x:v>
      </x:c>
    </x:row>
    <x:row r="4" ht="18" customHeight="1">
      <x:c r="A4" s="46" t="str">
        <x:v>Crustaceans</x:v>
      </x:c>
      <x:c r="B4" s="64" t="n">
        <x:v>13</x:v>
      </x:c>
      <x:c r="C4" s="64" t="n">
        <x:v>13</x:v>
      </x:c>
      <x:c r="D4" s="60" t="n">
        <x:v>5749.8679557221985</x:v>
      </x:c>
      <x:c r="E4" s="60" t="n">
        <x:v>5749.8679557221985</x:v>
      </x:c>
      <x:c r="F4" s="62" t="n">
        <x:v>0</x:v>
      </x:c>
      <x:c r="G4" s="66" t="n">
        <x:v>1</x:v>
      </x:c>
      <x:c r="H4" s="62" t="n">
        <x:f>IF(E4=0,"",I4/E4)</x:f>
        <x:v>91.46621474522463</x:v>
      </x:c>
      <x:c r="I4" s="60" t="n">
        <x:f>SUMIF('Species'!$H$2:$H$121,A4,'Species'!$U$2:$U$121)</x:f>
        <x:v>525918.6571947724</x:v>
      </x:c>
      <x:c r="J4" s="62" t="n">
        <x:v>2.8633714178799647</x:v>
      </x:c>
      <x:c r="K4" s="62" t="n">
        <x:f>IF(J4="","",(1/'Metadata'!$B$5)^(J4-1))</x:f>
        <x:v>73.00816246755079</x:v>
      </x:c>
      <x:c r="L4" s="60" t="n">
        <x:f>IF(E4=0,"",E4*K4)</x:f>
        <x:v>419787.2938783304</x:v>
      </x:c>
      <x:c r="M4" s="60" t="n">
        <x:f>I4-L4</x:f>
        <x:v>106131.363316442</x:v>
      </x:c>
      <x:c r="N4" s="62" t="n">
        <x:f>IF(L4=0,"",I4/L4)</x:f>
        <x:v>1.2528217620307553</x:v>
      </x:c>
      <x:c r="O4" s="66" t="n">
        <x:f>IF(L4=0,"",M4/L4)</x:f>
        <x:v>0.25282176203075535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3280.3830240253</x:v>
      </x:c>
      <x:c r="E5" s="60" t="n">
        <x:v>3280.3830240253</x:v>
      </x:c>
      <x:c r="F5" s="62" t="n">
        <x:v>0</x:v>
      </x:c>
      <x:c r="G5" s="66" t="n">
        <x:v>1</x:v>
      </x:c>
      <x:c r="H5" s="62" t="n">
        <x:f>IF(E5=0,"",I5/E5)</x:f>
        <x:v>1971.3186850819677</x:v>
      </x:c>
      <x:c r="I5" s="60" t="n">
        <x:f>SUMIF('Species'!$H$2:$H$121,A5,'Species'!$U$2:$U$121)</x:f>
        <x:v>6466680.349486764</x:v>
      </x:c>
      <x:c r="J5" s="62" t="n">
        <x:v>4.22719502324964</x:v>
      </x:c>
      <x:c r="K5" s="62" t="n">
        <x:f>IF(J5="","",(1/'Metadata'!$B$5)^(J5-1))</x:f>
        <x:v>1687.3105549633058</x:v>
      </x:c>
      <x:c r="L5" s="60" t="n">
        <x:f>IF(E5=0,"",E5*K5)</x:f>
        <x:v>5535024.900760336</x:v>
      </x:c>
      <x:c r="M5" s="60" t="n">
        <x:f>I5-L5</x:f>
        <x:v>931655.4487264277</x:v>
      </x:c>
      <x:c r="N5" s="62" t="n">
        <x:f>IF(L5=0,"",I5/L5)</x:f>
        <x:v>1.1683200103758247</x:v>
      </x:c>
      <x:c r="O5" s="66" t="n">
        <x:f>IF(L5=0,"",M5/L5)</x:f>
        <x:v>0.1683200103758247</x:v>
      </x:c>
    </x:row>
    <x:row r="6" ht="18" customHeight="1">
      <x:c r="A6" s="46" t="str">
        <x:v>Herring-likes</x:v>
      </x:c>
      <x:c r="B6" s="64" t="n">
        <x:v>7</x:v>
      </x:c>
      <x:c r="C6" s="64" t="n">
        <x:v>7</x:v>
      </x:c>
      <x:c r="D6" s="60" t="n">
        <x:v>233142.2889312629</x:v>
      </x:c>
      <x:c r="E6" s="60" t="n">
        <x:v>233142.2889312629</x:v>
      </x:c>
      <x:c r="F6" s="62" t="n">
        <x:v>0</x:v>
      </x:c>
      <x:c r="G6" s="66" t="n">
        <x:v>1</x:v>
      </x:c>
      <x:c r="H6" s="62" t="n">
        <x:f>IF(E6=0,"",I6/E6)</x:f>
        <x:v>106.532385693371</x:v>
      </x:c>
      <x:c r="I6" s="60" t="n">
        <x:f>SUMIF('Species'!$H$2:$H$121,A6,'Species'!$U$2:$U$121)</x:f>
        <x:v>24837204.24586064</x:v>
      </x:c>
      <x:c r="J6" s="62" t="n">
        <x:v>3.014214635162702</x:v>
      </x:c>
      <x:c r="K6" s="62" t="n">
        <x:f>IF(J6="","",(1/'Metadata'!$B$5)^(J6-1))</x:f>
        <x:v>103.32719388357484</x:v>
      </x:c>
      <x:c r="L6" s="60" t="n">
        <x:f>IF(E6=0,"",E6*K6)</x:f>
        <x:v>24089938.490861025</x:v>
      </x:c>
      <x:c r="M6" s="60" t="n">
        <x:f>I6-L6</x:f>
        <x:v>747265.7549996153</x:v>
      </x:c>
      <x:c r="N6" s="62" t="n">
        <x:f>IF(L6=0,"",I6/L6)</x:f>
        <x:v>1.0310198282690968</x:v>
      </x:c>
      <x:c r="O6" s="66" t="n">
        <x:f>IF(L6=0,"",M6/L6)</x:f>
        <x:v>0.031019828269096855</x:v>
      </x:c>
    </x:row>
    <x:row r="7" ht="18" customHeight="1">
      <x:c r="A7" s="46" t="str">
        <x:v>Molluscs</x:v>
      </x:c>
      <x:c r="B7" s="64" t="n">
        <x:v>7</x:v>
      </x:c>
      <x:c r="C7" s="64" t="n">
        <x:v>7</x:v>
      </x:c>
      <x:c r="D7" s="60" t="n">
        <x:v>65960.8961278659</x:v>
      </x:c>
      <x:c r="E7" s="60" t="n">
        <x:v>65960.8961278659</x:v>
      </x:c>
      <x:c r="F7" s="62" t="n">
        <x:v>0</x:v>
      </x:c>
      <x:c r="G7" s="66" t="n">
        <x:v>1</x:v>
      </x:c>
      <x:c r="H7" s="62" t="n">
        <x:f>IF(E7=0,"",I7/E7)</x:f>
        <x:v>23.888132309048853</x:v>
      </x:c>
      <x:c r="I7" s="60" t="n">
        <x:f>SUMIF('Species'!$H$2:$H$121,A7,'Species'!$U$2:$U$121)</x:f>
        <x:v>1575682.6139258887</x:v>
      </x:c>
      <x:c r="J7" s="62" t="n">
        <x:v>2.2829224197910443</x:v>
      </x:c>
      <x:c r="K7" s="62" t="n">
        <x:f>IF(J7="","",(1/'Metadata'!$B$5)^(J7-1))</x:f>
        <x:v>19.183260298281425</x:v>
      </x:c>
      <x:c r="L7" s="60" t="n">
        <x:f>IF(E7=0,"",E7*K7)</x:f>
        <x:v>1265345.0399287548</x:v>
      </x:c>
      <x:c r="M7" s="60" t="n">
        <x:f>I7-L7</x:f>
        <x:v>310337.5739971339</x:v>
      </x:c>
      <x:c r="N7" s="62" t="n">
        <x:f>IF(L7=0,"",I7/L7)</x:f>
        <x:v>1.2452592488248164</x:v>
      </x:c>
      <x:c r="O7" s="66" t="n">
        <x:f>IF(L7=0,"",M7/L7)</x:f>
        <x:v>0.24525924882481653</x:v>
      </x:c>
    </x:row>
    <x:row r="8" ht="18" customHeight="1">
      <x:c r="A8" s="46" t="str">
        <x:v>Other fishes &amp; inverts</x:v>
      </x:c>
      <x:c r="B8" s="64" t="n">
        <x:v>23</x:v>
      </x:c>
      <x:c r="C8" s="64" t="n">
        <x:v>23</x:v>
      </x:c>
      <x:c r="D8" s="60" t="n">
        <x:v>77293.2708614382</x:v>
      </x:c>
      <x:c r="E8" s="60" t="n">
        <x:v>77293.2708614382</x:v>
      </x:c>
      <x:c r="F8" s="62" t="n">
        <x:v>0</x:v>
      </x:c>
      <x:c r="G8" s="66" t="n">
        <x:v>1</x:v>
      </x:c>
      <x:c r="H8" s="62" t="n">
        <x:f>IF(E8=0,"",I8/E8)</x:f>
        <x:v>188.67609078391757</x:v>
      </x:c>
      <x:c r="I8" s="60" t="n">
        <x:f>SUMIF('Species'!$H$2:$H$121,A8,'Species'!$U$2:$U$121)</x:f>
        <x:v>14583392.190038644</x:v>
      </x:c>
      <x:c r="J8" s="62" t="n">
        <x:v>3.2588242420536733</x:v>
      </x:c>
      <x:c r="K8" s="62" t="n">
        <x:f>IF(J8="","",(1/'Metadata'!$B$5)^(J8-1))</x:f>
        <x:v>181.47810765449677</x:v>
      </x:c>
      <x:c r="L8" s="60" t="n">
        <x:f>IF(E8=0,"",E8*K8)</x:f>
        <x:v>14027036.53036026</x:v>
      </x:c>
      <x:c r="M8" s="60" t="n">
        <x:f>I8-L8</x:f>
        <x:v>556355.6596783847</x:v>
      </x:c>
      <x:c r="N8" s="62" t="n">
        <x:f>IF(L8=0,"",I8/L8)</x:f>
        <x:v>1.0396630933750122</x:v>
      </x:c>
      <x:c r="O8" s="66" t="n">
        <x:f>IF(L8=0,"",M8/L8)</x:f>
        <x:v>0.039663093375012094</x:v>
      </x:c>
    </x:row>
    <x:row r="9" ht="18" customHeight="1">
      <x:c r="A9" s="46" t="str">
        <x:v>Perch-likes</x:v>
      </x:c>
      <x:c r="B9" s="64" t="n">
        <x:v>38</x:v>
      </x:c>
      <x:c r="C9" s="64" t="n">
        <x:v>38</x:v>
      </x:c>
      <x:c r="D9" s="60" t="n">
        <x:v>75898.83315232559</x:v>
      </x:c>
      <x:c r="E9" s="60" t="n">
        <x:v>75898.83315232559</x:v>
      </x:c>
      <x:c r="F9" s="62" t="n">
        <x:v>0</x:v>
      </x:c>
      <x:c r="G9" s="66" t="n">
        <x:v>1</x:v>
      </x:c>
      <x:c r="H9" s="62" t="n">
        <x:f>IF(E9=0,"",I9/E9)</x:f>
        <x:v>523.1531093263894</x:v>
      </x:c>
      <x:c r="I9" s="60" t="n">
        <x:f>SUMIF('Species'!$H$2:$H$121,A9,'Species'!$U$2:$U$121)</x:f>
        <x:v>39706710.55788398</x:v>
      </x:c>
      <x:c r="J9" s="62" t="n">
        <x:v>3.39927225927357</x:v>
      </x:c>
      <x:c r="K9" s="62" t="n">
        <x:f>IF(J9="","",(1/'Metadata'!$B$5)^(J9-1))</x:f>
        <x:v>250.76808258437453</x:v>
      </x:c>
      <x:c r="L9" s="60" t="n">
        <x:f>IF(E9=0,"",E9*K9)</x:f>
        <x:v>19033004.860000048</x:v>
      </x:c>
      <x:c r="M9" s="60" t="n">
        <x:f>I9-L9</x:f>
        <x:v>20673705.69788393</x:v>
      </x:c>
      <x:c r="N9" s="62" t="n">
        <x:f>IF(L9=0,"",I9/L9)</x:f>
        <x:v>2.086202932745107</x:v>
      </x:c>
      <x:c r="O9" s="66" t="n">
        <x:f>IF(L9=0,"",M9/L9)</x:f>
        <x:v>1.0862029327451073</x:v>
      </x:c>
    </x:row>
    <x:row r="10" ht="18" customHeight="1">
      <x:c r="A10" s="46" t="str">
        <x:v>Salmon, smelts, etc</x:v>
      </x:c>
      <x:c r="B10" s="64" t="n">
        <x:v>1</x:v>
      </x:c>
      <x:c r="C10" s="64" t="n">
        <x:v>1</x:v>
      </x:c>
      <x:c r="D10" s="60" t="n">
        <x:v>47.4484653934</x:v>
      </x:c>
      <x:c r="E10" s="60" t="n">
        <x:v>47.4484653934</x:v>
      </x:c>
      <x:c r="F10" s="62" t="n">
        <x:v>0</x:v>
      </x:c>
      <x:c r="G10" s="66" t="n">
        <x:v>1</x:v>
      </x:c>
      <x:c r="H10" s="62" t="n">
        <x:f>IF(E10=0,"",I10/E10)</x:f>
        <x:v>1174.8975549395302</x:v>
      </x:c>
      <x:c r="I10" s="60" t="n">
        <x:f>SUMIF('Species'!$H$2:$H$121,A10,'Species'!$U$2:$U$121)</x:f>
        <x:v>55747.085976338574</x:v>
      </x:c>
      <x:c r="J10" s="62" t="n">
        <x:v>4.07</x:v>
      </x:c>
      <x:c r="K10" s="62" t="n">
        <x:f>IF(J10="","",(1/'Metadata'!$B$5)^(J10-1))</x:f>
        <x:v>1174.8975549395302</x:v>
      </x:c>
      <x:c r="L10" s="60" t="n">
        <x:f>IF(E10=0,"",E10*K10)</x:f>
        <x:v>55747.085976338574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Scorpionfishes</x:v>
      </x:c>
      <x:c r="B11" s="64" t="n">
        <x:v>4</x:v>
      </x:c>
      <x:c r="C11" s="64" t="n">
        <x:v>4</x:v>
      </x:c>
      <x:c r="D11" s="60" t="n">
        <x:v>1508.0014840970998</x:v>
      </x:c>
      <x:c r="E11" s="60" t="n">
        <x:v>1508.0014840970998</x:v>
      </x:c>
      <x:c r="F11" s="62" t="n">
        <x:v>0</x:v>
      </x:c>
      <x:c r="G11" s="66" t="n">
        <x:v>1</x:v>
      </x:c>
      <x:c r="H11" s="62" t="n">
        <x:f>IF(E11=0,"",I11/E11)</x:f>
        <x:v>800.8609632004274</x:v>
      </x:c>
      <x:c r="I11" s="60" t="n">
        <x:f>SUMIF('Species'!$H$2:$H$121,A11,'Species'!$U$2:$U$121)</x:f>
        <x:v>1207699.5210616773</x:v>
      </x:c>
      <x:c r="J11" s="62" t="n">
        <x:v>3.9029175863648238</x:v>
      </x:c>
      <x:c r="K11" s="62" t="n">
        <x:f>IF(J11="","",(1/'Metadata'!$B$5)^(J11-1))</x:f>
        <x:v>799.6824893335929</x:v>
      </x:c>
      <x:c r="L11" s="60" t="n">
        <x:f>IF(E11=0,"",E11*K11)</x:f>
        <x:v>1205922.3807215213</x:v>
      </x:c>
      <x:c r="M11" s="60" t="n">
        <x:f>I11-L11</x:f>
        <x:v>1777.1403401559219</x:v>
      </x:c>
      <x:c r="N11" s="62" t="n">
        <x:f>IF(L11=0,"",I11/L11)</x:f>
        <x:v>1.0014736772188377</x:v>
      </x:c>
      <x:c r="O11" s="66" t="n">
        <x:f>IF(L11=0,"",M11/L11)</x:f>
        <x:v>0.0014736772188377765</x:v>
      </x:c>
    </x:row>
    <x:row r="12" ht="18" customHeight="1">
      <x:c r="A12" s="46" t="str">
        <x:v>Sharks &amp; rays</x:v>
      </x:c>
      <x:c r="B12" s="64" t="n">
        <x:v>13</x:v>
      </x:c>
      <x:c r="C12" s="64" t="n">
        <x:v>13</x:v>
      </x:c>
      <x:c r="D12" s="60" t="n">
        <x:v>15929.7151227925</x:v>
      </x:c>
      <x:c r="E12" s="60" t="n">
        <x:v>15929.7151227925</x:v>
      </x:c>
      <x:c r="F12" s="62" t="n">
        <x:v>0</x:v>
      </x:c>
      <x:c r="G12" s="66" t="n">
        <x:v>1</x:v>
      </x:c>
      <x:c r="H12" s="62" t="n">
        <x:f>IF(E12=0,"",I12/E12)</x:f>
        <x:v>1215.2058481759407</x:v>
      </x:c>
      <x:c r="I12" s="60" t="n">
        <x:f>SUMIF('Species'!$H$2:$H$121,A12,'Species'!$U$2:$U$121)</x:f>
        <x:v>19357882.976994168</x:v>
      </x:c>
      <x:c r="J12" s="62" t="n">
        <x:v>3.9105550004646594</x:v>
      </x:c>
      <x:c r="K12" s="62" t="n">
        <x:f>IF(J12="","",(1/'Metadata'!$B$5)^(J12-1))</x:f>
        <x:v>813.8699253848855</x:v>
      </x:c>
      <x:c r="L12" s="60" t="n">
        <x:f>IF(E12=0,"",E12*K12)</x:f>
        <x:v>12964716.058389615</x:v>
      </x:c>
      <x:c r="M12" s="60" t="n">
        <x:f>I12-L12</x:f>
        <x:v>6393166.918604553</x:v>
      </x:c>
      <x:c r="N12" s="62" t="n">
        <x:f>IF(L12=0,"",I12/L12)</x:f>
        <x:v>1.4931204732761936</x:v>
      </x:c>
      <x:c r="O12" s="66" t="n">
        <x:f>IF(L12=0,"",M12/L12)</x:f>
        <x:v>0.49312047327619346</x:v>
      </x:c>
    </x:row>
    <x:row r="13" ht="18" customHeight="1">
      <x:c r="A13" s="46" t="str">
        <x:v>Tuna &amp; billfishes</x:v>
      </x:c>
      <x:c r="B13" s="64" t="n">
        <x:v>5</x:v>
      </x:c>
      <x:c r="C13" s="64" t="n">
        <x:v>5</x:v>
      </x:c>
      <x:c r="D13" s="60" t="n">
        <x:v>16461.3290250333</x:v>
      </x:c>
      <x:c r="E13" s="60" t="n">
        <x:v>16461.3290250333</x:v>
      </x:c>
      <x:c r="F13" s="62" t="n">
        <x:v>0</x:v>
      </x:c>
      <x:c r="G13" s="66" t="n">
        <x:v>1</x:v>
      </x:c>
      <x:c r="H13" s="62" t="n">
        <x:f>IF(E13=0,"",I13/E13)</x:f>
        <x:v>3162.062933226974</x:v>
      </x:c>
      <x:c r="I13" s="60" t="n">
        <x:f>SUMIF('Species'!$H$2:$H$121,A13,'Species'!$U$2:$U$121)</x:f>
        <x:v>52051758.341711126</x:v>
      </x:c>
      <x:c r="J13" s="62" t="n">
        <x:v>4.499956892636837</x:v>
      </x:c>
      <x:c r="K13" s="62" t="n">
        <x:f>IF(J13="","",(1/'Metadata'!$B$5)^(J13-1))</x:f>
        <x:v>3161.9637932138185</x:v>
      </x:c>
      <x:c r="L13" s="60" t="n">
        <x:f>IF(E13=0,"",E13*K13)</x:f>
        <x:v>52050126.365335025</x:v>
      </x:c>
      <x:c r="M13" s="60" t="n">
        <x:f>I13-L13</x:f>
        <x:v>1631.9763761013746</x:v>
      </x:c>
      <x:c r="N13" s="62" t="n">
        <x:f>IF(L13=0,"",I13/L13)</x:f>
        <x:v>1.0000313539368693</x:v>
      </x:c>
      <x:c r="O13" s="66" t="n">
        <x:f>IF(L13=0,"",M13/L13)</x:f>
        <x:v>0.00003135393686936864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0fd96607a934c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</x:v>
      </x:c>
      <x:c r="C2" s="64" t="n">
        <x:v>1</x:v>
      </x:c>
      <x:c r="D2" s="60" t="n">
        <x:v>0.077905854</x:v>
      </x:c>
      <x:c r="E2" s="60" t="n">
        <x:v>0.077905854</x:v>
      </x:c>
      <x:c r="F2" s="62" t="n">
        <x:v>0</x:v>
      </x:c>
      <x:c r="G2" s="66" t="n">
        <x:v>1</x:v>
      </x:c>
      <x:c r="H2" s="62" t="n">
        <x:f>IF(E2=0,"",I2/E2)</x:f>
        <x:v>1862.0871366628655</x:v>
      </x:c>
      <x:c r="I2" s="60" t="n">
        <x:f>SUMIF('Species'!$G$2:$G$121,A2,'Species'!$U$2:$U$121)</x:f>
        <x:v>145.06748860413524</x:v>
      </x:c>
      <x:c r="J2" s="62" t="n">
        <x:v>4.27</x:v>
      </x:c>
      <x:c r="K2" s="62" t="n">
        <x:f>IF(J2="","",(1/'Metadata'!$B$5)^(J2-1))</x:f>
        <x:v>1862.0871366628655</x:v>
      </x:c>
      <x:c r="L2" s="60" t="n">
        <x:f>IF(E2=0,"",E2*K2)</x:f>
        <x:v>145.06748860413524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3.8063066539999997</x:v>
      </x:c>
      <x:c r="E3" s="60" t="n">
        <x:v>3.8063066539999997</x:v>
      </x:c>
      <x:c r="F3" s="62" t="n">
        <x:v>0</x:v>
      </x:c>
      <x:c r="G3" s="66" t="n">
        <x:v>1</x:v>
      </x:c>
      <x:c r="H3" s="62" t="n">
        <x:f>IF(E3=0,"",I3/E3)</x:f>
        <x:v>2678.0720753182186</x:v>
      </x:c>
      <x:c r="I3" s="60" t="n">
        <x:f>SUMIF('Species'!$G$2:$G$121,A3,'Species'!$U$2:$U$121)</x:f>
        <x:v>10193.563560175324</x:v>
      </x:c>
      <x:c r="J3" s="62" t="n">
        <x:v>4.425794358414823</x:v>
      </x:c>
      <x:c r="K3" s="62" t="n">
        <x:f>IF(J3="","",(1/'Metadata'!$B$5)^(J3-1))</x:f>
        <x:v>2665.596186532856</x:v>
      </x:c>
      <x:c r="L3" s="60" t="n">
        <x:f>IF(E3=0,"",E3*K3)</x:f>
        <x:v>10146.076501677033</x:v>
      </x:c>
      <x:c r="M3" s="60" t="n">
        <x:f>I3-L3</x:f>
        <x:v>47.487058498290935</x:v>
      </x:c>
      <x:c r="N3" s="62" t="n">
        <x:f>IF(L3=0,"",I3/L3)</x:f>
        <x:v>1.004680337122477</x:v>
      </x:c>
      <x:c r="O3" s="66" t="n">
        <x:f>IF(L3=0,"",M3/L3)</x:f>
        <x:v>0.004680337122477034</x:v>
      </x:c>
    </x:row>
    <x:row r="4" ht="18" customHeight="1">
      <x:c r="A4" s="46" t="str">
        <x:v>Large benthopelagics (&gt;=90 cm)</x:v>
      </x:c>
      <x:c r="B4" s="64" t="n">
        <x:v>3</x:v>
      </x:c>
      <x:c r="C4" s="64" t="n">
        <x:v>3</x:v>
      </x:c>
      <x:c r="D4" s="60" t="n">
        <x:v>614.2513241093</x:v>
      </x:c>
      <x:c r="E4" s="60" t="n">
        <x:v>614.2513241093</x:v>
      </x:c>
      <x:c r="F4" s="62" t="n">
        <x:v>0</x:v>
      </x:c>
      <x:c r="G4" s="66" t="n">
        <x:v>1</x:v>
      </x:c>
      <x:c r="H4" s="62" t="n">
        <x:f>IF(E4=0,"",I4/E4)</x:f>
        <x:v>25.240344896791</x:v>
      </x:c>
      <x:c r="I4" s="60" t="n">
        <x:f>SUMIF('Species'!$G$2:$G$121,A4,'Species'!$U$2:$U$121)</x:f>
        <x:v>15503.915273829285</x:v>
      </x:c>
      <x:c r="J4" s="62" t="n">
        <x:v>2.1521537415941765</x:v>
      </x:c>
      <x:c r="K4" s="62" t="n">
        <x:f>IF(J4="","",(1/'Metadata'!$B$5)^(J4-1))</x:f>
        <x:v>14.195599613823559</x:v>
      </x:c>
      <x:c r="L4" s="60" t="n">
        <x:f>IF(E4=0,"",E4*K4)</x:f>
        <x:v>8719.665859316588</x:v>
      </x:c>
      <x:c r="M4" s="60" t="n">
        <x:f>I4-L4</x:f>
        <x:v>6784.249414512697</x:v>
      </x:c>
      <x:c r="N4" s="62" t="n">
        <x:f>IF(L4=0,"",I4/L4)</x:f>
        <x:v>1.7780400675863075</x:v>
      </x:c>
      <x:c r="O4" s="66" t="n">
        <x:f>IF(L4=0,"",M4/L4)</x:f>
        <x:v>0.7780400675863075</x:v>
      </x:c>
    </x:row>
    <x:row r="5" ht="18" customHeight="1">
      <x:c r="A5" s="46" t="str">
        <x:v>Large demersals (&gt;=90 cm)</x:v>
      </x:c>
      <x:c r="B5" s="64" t="n">
        <x:v>11</x:v>
      </x:c>
      <x:c r="C5" s="64" t="n">
        <x:v>11</x:v>
      </x:c>
      <x:c r="D5" s="60" t="n">
        <x:v>277.5061913609</x:v>
      </x:c>
      <x:c r="E5" s="60" t="n">
        <x:v>277.5061913609</x:v>
      </x:c>
      <x:c r="F5" s="62" t="n">
        <x:v>0</x:v>
      </x:c>
      <x:c r="G5" s="66" t="n">
        <x:v>1</x:v>
      </x:c>
      <x:c r="H5" s="62" t="n">
        <x:f>IF(E5=0,"",I5/E5)</x:f>
        <x:v>707.0752990237578</x:v>
      </x:c>
      <x:c r="I5" s="60" t="n">
        <x:f>SUMIF('Species'!$G$2:$G$121,A5,'Species'!$U$2:$U$121)</x:f>
        <x:v>196217.77323745252</x:v>
      </x:c>
      <x:c r="J5" s="62" t="n">
        <x:v>3.602003118392047</x:v>
      </x:c>
      <x:c r="K5" s="62" t="n">
        <x:f>IF(J5="","",(1/'Metadata'!$B$5)^(J5-1))</x:f>
        <x:v>399.94762151990756</x:v>
      </x:c>
      <x:c r="L5" s="60" t="n">
        <x:f>IF(E5=0,"",E5*K5)</x:f>
        <x:v>110987.94119184028</x:v>
      </x:c>
      <x:c r="M5" s="60" t="n">
        <x:f>I5-L5</x:f>
        <x:v>85229.83204561225</x:v>
      </x:c>
      <x:c r="N5" s="62" t="n">
        <x:f>IF(L5=0,"",I5/L5)</x:f>
        <x:v>1.7679197499329617</x:v>
      </x:c>
      <x:c r="O5" s="66" t="n">
        <x:f>IF(L5=0,"",M5/L5)</x:f>
        <x:v>0.7679197499329617</x:v>
      </x:c>
    </x:row>
    <x:row r="6" ht="18" customHeight="1">
      <x:c r="A6" s="46" t="str">
        <x:v>Large flatfishes (&gt;=90 cm)</x:v>
      </x:c>
      <x:c r="B6" s="64" t="n">
        <x:v>2</x:v>
      </x:c>
      <x:c r="C6" s="64" t="n">
        <x:v>2</x:v>
      </x:c>
      <x:c r="D6" s="60" t="n">
        <x:v>2744.0093329761</x:v>
      </x:c>
      <x:c r="E6" s="60" t="n">
        <x:v>2744.0093329761</x:v>
      </x:c>
      <x:c r="F6" s="62" t="n">
        <x:v>0</x:v>
      </x:c>
      <x:c r="G6" s="66" t="n">
        <x:v>1</x:v>
      </x:c>
      <x:c r="H6" s="62" t="n">
        <x:f>IF(E6=0,"",I6/E6)</x:f>
        <x:v>2284.971954615121</x:v>
      </x:c>
      <x:c r="I6" s="60" t="n">
        <x:f>SUMIF('Species'!$G$2:$G$121,A6,'Species'!$U$2:$U$121)</x:f>
        <x:v>6269984.369052533</x:v>
      </x:c>
      <x:c r="J6" s="62" t="n">
        <x:v>4.3572251171876255</x:v>
      </x:c>
      <x:c r="K6" s="62" t="n">
        <x:f>IF(J6="","",(1/'Metadata'!$B$5)^(J6-1))</x:f>
        <x:v>2276.2770365921724</x:v>
      </x:c>
      <x:c r="L6" s="60" t="n">
        <x:f>IF(E6=0,"",E6*K6)</x:f>
        <x:v>6246125.432848101</x:v>
      </x:c>
      <x:c r="M6" s="60" t="n">
        <x:f>I6-L6</x:f>
        <x:v>23858.93620443251</x:v>
      </x:c>
      <x:c r="N6" s="62" t="n">
        <x:f>IF(L6=0,"",I6/L6)</x:f>
        <x:v>1.0038197978028043</x:v>
      </x:c>
      <x:c r="O6" s="66" t="n">
        <x:f>IF(L6=0,"",M6/L6)</x:f>
        <x:v>0.0038197978028041845</x:v>
      </x:c>
    </x:row>
    <x:row r="7" ht="18" customHeight="1">
      <x:c r="A7" s="46" t="str">
        <x:v>Large pelagics (&gt;=90 cm)</x:v>
      </x:c>
      <x:c r="B7" s="64" t="n">
        <x:v>5</x:v>
      </x:c>
      <x:c r="C7" s="64" t="n">
        <x:v>5</x:v>
      </x:c>
      <x:c r="D7" s="60" t="n">
        <x:v>6008.772216345399</x:v>
      </x:c>
      <x:c r="E7" s="60" t="n">
        <x:v>6008.772216345399</x:v>
      </x:c>
      <x:c r="F7" s="62" t="n">
        <x:v>0</x:v>
      </x:c>
      <x:c r="G7" s="66" t="n">
        <x:v>1</x:v>
      </x:c>
      <x:c r="H7" s="62" t="n">
        <x:f>IF(E7=0,"",I7/E7)</x:f>
        <x:v>3388.3272905160998</x:v>
      </x:c>
      <x:c r="I7" s="60" t="n">
        <x:f>SUMIF('Species'!$G$2:$G$121,A7,'Species'!$U$2:$U$121)</x:f>
        <x:v>20359686.883138027</x:v>
      </x:c>
      <x:c r="J7" s="62" t="n">
        <x:v>4.52998439171884</x:v>
      </x:c>
      <x:c r="K7" s="62" t="n">
        <x:f>IF(J7="","",(1/'Metadata'!$B$5)^(J7-1))</x:f>
        <x:v>3388.3197850388324</x:v>
      </x:c>
      <x:c r="L7" s="60" t="n">
        <x:f>IF(E7=0,"",E7*K7)</x:f>
        <x:v>20359641.78443475</x:v>
      </x:c>
      <x:c r="M7" s="60" t="n">
        <x:f>I7-L7</x:f>
        <x:v>45.098703276365995</x:v>
      </x:c>
      <x:c r="N7" s="62" t="n">
        <x:f>IF(L7=0,"",I7/L7)</x:f>
        <x:v>1.0000022151029844</x:v>
      </x:c>
      <x:c r="O7" s="66" t="n">
        <x:f>IF(L7=0,"",M7/L7)</x:f>
        <x:v>0.0000022151029843189397</x:v>
      </x:c>
    </x:row>
    <x:row r="8" ht="18" customHeight="1">
      <x:c r="A8" s="46" t="str">
        <x:v>Large rays (&gt;=90 cm)</x:v>
      </x:c>
      <x:c r="B8" s="64" t="n">
        <x:v>5</x:v>
      </x:c>
      <x:c r="C8" s="64" t="n">
        <x:v>5</x:v>
      </x:c>
      <x:c r="D8" s="60" t="n">
        <x:v>9320.3595678584</x:v>
      </x:c>
      <x:c r="E8" s="60" t="n">
        <x:v>9320.3595678584</x:v>
      </x:c>
      <x:c r="F8" s="62" t="n">
        <x:v>0</x:v>
      </x:c>
      <x:c r="G8" s="66" t="n">
        <x:v>1</x:v>
      </x:c>
      <x:c r="H8" s="62" t="n">
        <x:f>IF(E8=0,"",I8/E8)</x:f>
        <x:v>435.5902791339164</x:v>
      </x:c>
      <x:c r="I8" s="60" t="n">
        <x:f>SUMIF('Species'!$G$2:$G$121,A8,'Species'!$U$2:$U$121)</x:f>
        <x:v>4059858.025791909</x:v>
      </x:c>
      <x:c r="J8" s="62" t="n">
        <x:v>3.590335187471029</x:v>
      </x:c>
      <x:c r="K8" s="62" t="n">
        <x:f>IF(J8="","",(1/'Metadata'!$B$5)^(J8-1))</x:f>
        <x:v>389.3455250337237</x:v>
      </x:c>
      <x:c r="L8" s="60" t="n">
        <x:f>IF(E8=0,"",E8*K8)</x:f>
        <x:v>3628840.289450919</x:v>
      </x:c>
      <x:c r="M8" s="60" t="n">
        <x:f>I8-L8</x:f>
        <x:v>431017.7363409903</x:v>
      </x:c>
      <x:c r="N8" s="62" t="n">
        <x:f>IF(L8=0,"",I8/L8)</x:f>
        <x:v>1.1187756147863448</x:v>
      </x:c>
      <x:c r="O8" s="66" t="n">
        <x:f>IF(L8=0,"",M8/L8)</x:f>
        <x:v>0.1187756147863448</x:v>
      </x:c>
    </x:row>
    <x:row r="9" ht="18" customHeight="1">
      <x:c r="A9" s="46" t="str">
        <x:v>Large reef assoc. fish (&gt;=90 cm)</x:v>
      </x:c>
      <x:c r="B9" s="64" t="n">
        <x:v>3</x:v>
      </x:c>
      <x:c r="C9" s="64" t="n">
        <x:v>3</x:v>
      </x:c>
      <x:c r="D9" s="60" t="n">
        <x:v>1401.1381500962998</x:v>
      </x:c>
      <x:c r="E9" s="60" t="n">
        <x:v>1401.1381500962998</x:v>
      </x:c>
      <x:c r="F9" s="62" t="n">
        <x:v>0</x:v>
      </x:c>
      <x:c r="G9" s="66" t="n">
        <x:v>1</x:v>
      </x:c>
      <x:c r="H9" s="62" t="n">
        <x:f>IF(E9=0,"",I9/E9)</x:f>
        <x:v>799.1658590883093</x:v>
      </x:c>
      <x:c r="I9" s="60" t="n">
        <x:f>SUMIF('Species'!$G$2:$G$121,A9,'Species'!$U$2:$U$121)</x:f>
        <x:v>1119741.7734231139</x:v>
      </x:c>
      <x:c r="J9" s="62" t="n">
        <x:v>3.9017968034743395</x:v>
      </x:c>
      <x:c r="K9" s="62" t="n">
        <x:f>IF(J9="","",(1/'Metadata'!$B$5)^(J9-1))</x:f>
        <x:v>797.6214110060706</x:v>
      </x:c>
      <x:c r="L9" s="60" t="n">
        <x:f>IF(E9=0,"",E9*K9)</x:f>
        <x:v>1117577.7882942462</x:v>
      </x:c>
      <x:c r="M9" s="60" t="n">
        <x:f>I9-L9</x:f>
        <x:v>2163.9851288676728</x:v>
      </x:c>
      <x:c r="N9" s="62" t="n">
        <x:f>IF(L9=0,"",I9/L9)</x:f>
        <x:v>1.0019363172313676</x:v>
      </x:c>
      <x:c r="O9" s="66" t="n">
        <x:f>IF(L9=0,"",M9/L9)</x:f>
        <x:v>0.0019363172313674498</x:v>
      </x:c>
    </x:row>
    <x:row r="10" ht="18" customHeight="1">
      <x:c r="A10" s="46" t="str">
        <x:v>Large sharks (&gt;=90 cm)</x:v>
      </x:c>
      <x:c r="B10" s="64" t="n">
        <x:v>7</x:v>
      </x:c>
      <x:c r="C10" s="64" t="n">
        <x:v>7</x:v>
      </x:c>
      <x:c r="D10" s="60" t="n">
        <x:v>6603.6436950346</x:v>
      </x:c>
      <x:c r="E10" s="60" t="n">
        <x:v>6603.6436950346</x:v>
      </x:c>
      <x:c r="F10" s="62" t="n">
        <x:v>0</x:v>
      </x:c>
      <x:c r="G10" s="66" t="n">
        <x:v>1</x:v>
      </x:c>
      <x:c r="H10" s="62" t="n">
        <x:f>IF(E10=0,"",I10/E10)</x:f>
        <x:v>2316.0578791899666</x:v>
      </x:c>
      <x:c r="I10" s="60" t="n">
        <x:f>SUMIF('Species'!$G$2:$G$121,A10,'Species'!$U$2:$U$121)</x:f>
        <x:v>15294421.011248028</x:v>
      </x:c>
      <x:c r="J10" s="62" t="n">
        <x:v>4.36260774746121</x:v>
      </x:c>
      <x:c r="K10" s="62" t="n">
        <x:f>IF(J10="","",(1/'Metadata'!$B$5)^(J10-1))</x:f>
        <x:v>2304.6646871363287</x:v>
      </x:c>
      <x:c r="L10" s="60" t="n">
        <x:f>IF(E10=0,"",E10*K10)</x:f>
        <x:v>15219184.430376705</x:v>
      </x:c>
      <x:c r="M10" s="60" t="n">
        <x:f>I10-L10</x:f>
        <x:v>75236.58087132312</x:v>
      </x:c>
      <x:c r="N10" s="62" t="n">
        <x:f>IF(L10=0,"",I10/L10)</x:f>
        <x:v>1.0049435356549825</x:v>
      </x:c>
      <x:c r="O10" s="66" t="n">
        <x:f>IF(L10=0,"",M10/L10)</x:f>
        <x:v>0.004943535654982589</x:v>
      </x:c>
    </x:row>
    <x:row r="11" ht="18" customHeight="1">
      <x:c r="A11" s="46" t="str">
        <x:v>Lobsters, crabs</x:v>
      </x:c>
      <x:c r="B11" s="64" t="n">
        <x:v>6</x:v>
      </x:c>
      <x:c r="C11" s="64" t="n">
        <x:v>6</x:v>
      </x:c>
      <x:c r="D11" s="60" t="n">
        <x:v>333.67420800089997</x:v>
      </x:c>
      <x:c r="E11" s="60" t="n">
        <x:v>333.67420800089997</x:v>
      </x:c>
      <x:c r="F11" s="62" t="n">
        <x:v>0</x:v>
      </x:c>
      <x:c r="G11" s="66" t="n">
        <x:v>1</x:v>
      </x:c>
      <x:c r="H11" s="62" t="n">
        <x:f>IF(E11=0,"",I11/E11)</x:f>
        <x:v>268.3550738687151</x:v>
      </x:c>
      <x:c r="I11" s="60" t="n">
        <x:f>SUMIF('Species'!$G$2:$G$121,A11,'Species'!$U$2:$U$121)</x:f>
        <x:v>89543.16673616652</x:v>
      </x:c>
      <x:c r="J11" s="62" t="n">
        <x:v>3.4269005220886832</x:v>
      </x:c>
      <x:c r="K11" s="62" t="n">
        <x:f>IF(J11="","",(1/'Metadata'!$B$5)^(J11-1))</x:f>
        <x:v>267.23942096733447</x:v>
      </x:c>
      <x:c r="L11" s="60" t="n">
        <x:f>IF(E11=0,"",E11*K11)</x:f>
        <x:v>89170.90213789443</x:v>
      </x:c>
      <x:c r="M11" s="60" t="n">
        <x:f>I11-L11</x:f>
        <x:v>372.264598272086</x:v>
      </x:c>
      <x:c r="N11" s="62" t="n">
        <x:f>IF(L11=0,"",I11/L11)</x:f>
        <x:v>1.0041747317717657</x:v>
      </x:c>
      <x:c r="O11" s="66" t="n">
        <x:f>IF(L11=0,"",M11/L11)</x:f>
        <x:v>0.004174731771765791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2.5583459960000003</x:v>
      </x:c>
      <x:c r="E12" s="60" t="n">
        <x:v>2.5583459960000003</x:v>
      </x:c>
      <x:c r="F12" s="62" t="n">
        <x:v>0</x:v>
      </x:c>
      <x:c r="G12" s="66" t="n">
        <x:v>1</x:v>
      </x:c>
      <x:c r="H12" s="62" t="n">
        <x:f>IF(E12=0,"",I12/E12)</x:f>
        <x:v>2245.3662199557243</x:v>
      </x:c>
      <x:c r="I12" s="60" t="n">
        <x:f>SUMIF('Species'!$G$2:$G$121,A12,'Species'!$U$2:$U$121)</x:f>
        <x:v>5744.423678377383</x:v>
      </x:c>
      <x:c r="J12" s="62" t="n">
        <x:v>4.341259285941009</x:v>
      </x:c>
      <x:c r="K12" s="62" t="n">
        <x:f>IF(J12="","",(1/'Metadata'!$B$5)^(J12-1))</x:f>
        <x:v>2194.114492051574</x:v>
      </x:c>
      <x:c r="L12" s="60" t="n">
        <x:f>IF(E12=0,"",E12*K12)</x:f>
        <x:v>5613.3040255057185</x:v>
      </x:c>
      <x:c r="M12" s="60" t="n">
        <x:f>I12-L12</x:f>
        <x:v>131.11965287166458</x:v>
      </x:c>
      <x:c r="N12" s="62" t="n">
        <x:f>IF(L12=0,"",I12/L12)</x:f>
        <x:v>1.0233587299522497</x:v>
      </x:c>
      <x:c r="O12" s="66" t="n">
        <x:f>IF(L12=0,"",M12/L12)</x:f>
        <x:v>0.02335872995224976</x:v>
      </x:c>
    </x:row>
    <x:row r="13" ht="18" customHeight="1">
      <x:c r="A13" s="46" t="str">
        <x:v>Medium benthopelagics (30 - 89 cm)</x:v>
      </x:c>
      <x:c r="B13" s="64" t="n">
        <x:v>9</x:v>
      </x:c>
      <x:c r="C13" s="64" t="n">
        <x:v>9</x:v>
      </x:c>
      <x:c r="D13" s="60" t="n">
        <x:v>22065.300523424998</x:v>
      </x:c>
      <x:c r="E13" s="60" t="n">
        <x:v>22065.300523424998</x:v>
      </x:c>
      <x:c r="F13" s="62" t="n">
        <x:v>0</x:v>
      </x:c>
      <x:c r="G13" s="66" t="n">
        <x:v>1</x:v>
      </x:c>
      <x:c r="H13" s="62" t="n">
        <x:f>IF(E13=0,"",I13/E13)</x:f>
        <x:v>2097.894716612092</x:v>
      </x:c>
      <x:c r="I13" s="60" t="n">
        <x:f>SUMIF('Species'!$G$2:$G$121,A13,'Species'!$U$2:$U$121)</x:f>
        <x:v>46290677.38855133</x:v>
      </x:c>
      <x:c r="J13" s="62" t="n">
        <x:v>4.238015904316582</x:v>
      </x:c>
      <x:c r="K13" s="62" t="n">
        <x:f>IF(J13="","",(1/'Metadata'!$B$5)^(J13-1))</x:f>
        <x:v>1729.8797080530667</x:v>
      </x:c>
      <x:c r="L13" s="60" t="n">
        <x:f>IF(E13=0,"",E13*K13)</x:f>
        <x:v>38170315.627565615</x:v>
      </x:c>
      <x:c r="M13" s="60" t="n">
        <x:f>I13-L13</x:f>
        <x:v>8120361.760985717</x:v>
      </x:c>
      <x:c r="N13" s="62" t="n">
        <x:f>IF(L13=0,"",I13/L13)</x:f>
        <x:v>1.2127402309223088</x:v>
      </x:c>
      <x:c r="O13" s="66" t="n">
        <x:f>IF(L13=0,"",M13/L13)</x:f>
        <x:v>0.2127402309223087</x:v>
      </x:c>
    </x:row>
    <x:row r="14" ht="18" customHeight="1">
      <x:c r="A14" s="46" t="str">
        <x:v>Medium demersals (30 - 89 cm)</x:v>
      </x:c>
      <x:c r="B14" s="64" t="n">
        <x:v>15</x:v>
      </x:c>
      <x:c r="C14" s="64" t="n">
        <x:v>15</x:v>
      </x:c>
      <x:c r="D14" s="60" t="n">
        <x:v>79917.9227767643</x:v>
      </x:c>
      <x:c r="E14" s="60" t="n">
        <x:v>79917.9227767643</x:v>
      </x:c>
      <x:c r="F14" s="62" t="n">
        <x:v>0</x:v>
      </x:c>
      <x:c r="G14" s="66" t="n">
        <x:v>1</x:v>
      </x:c>
      <x:c r="H14" s="62" t="n">
        <x:f>IF(E14=0,"",I14/E14)</x:f>
        <x:v>186.5602601308744</x:v>
      </x:c>
      <x:c r="I14" s="60" t="n">
        <x:f>SUMIF('Species'!$G$2:$G$121,A14,'Species'!$U$2:$U$121)</x:f>
        <x:v>14909508.462352281</x:v>
      </x:c>
      <x:c r="J14" s="62" t="n">
        <x:v>3.250580984983671</x:v>
      </x:c>
      <x:c r="K14" s="62" t="n">
        <x:f>IF(J14="","",(1/'Metadata'!$B$5)^(J14-1))</x:f>
        <x:v>178.06599261286993</x:v>
      </x:c>
      <x:c r="L14" s="60" t="n">
        <x:f>IF(E14=0,"",E14*K14)</x:f>
        <x:v>14230664.246803222</x:v>
      </x:c>
      <x:c r="M14" s="60" t="n">
        <x:f>I14-L14</x:f>
        <x:v>678844.2155490592</x:v>
      </x:c>
      <x:c r="N14" s="62" t="n">
        <x:f>IF(L14=0,"",I14/L14)</x:f>
        <x:v>1.0477029184144764</x:v>
      </x:c>
      <x:c r="O14" s="66" t="n">
        <x:f>IF(L14=0,"",M14/L14)</x:f>
        <x:v>0.04770291841447632</x:v>
      </x:c>
    </x:row>
    <x:row r="15" ht="18" customHeight="1">
      <x:c r="A15" s="46" t="str">
        <x:v>Medium pelagics (30 - 89 cm)</x:v>
      </x:c>
      <x:c r="B15" s="64" t="n">
        <x:v>13</x:v>
      </x:c>
      <x:c r="C15" s="64" t="n">
        <x:v>13</x:v>
      </x:c>
      <x:c r="D15" s="60" t="n">
        <x:v>40866.53289474921</x:v>
      </x:c>
      <x:c r="E15" s="60" t="n">
        <x:v>40866.53289474921</x:v>
      </x:c>
      <x:c r="F15" s="62" t="n">
        <x:v>0</x:v>
      </x:c>
      <x:c r="G15" s="66" t="n">
        <x:v>1</x:v>
      </x:c>
      <x:c r="H15" s="62" t="n">
        <x:f>IF(E15=0,"",I15/E15)</x:f>
        <x:v>1623.8526005778203</x:v>
      </x:c>
      <x:c r="I15" s="60" t="n">
        <x:f>SUMIF('Species'!$G$2:$G$121,A15,'Species'!$U$2:$U$121)</x:f>
        <x:v>66361225.71773754</x:v>
      </x:c>
      <x:c r="J15" s="62" t="n">
        <x:v>4.058427869501483</x:v>
      </x:c>
      <x:c r="K15" s="62" t="n">
        <x:f>IF(J15="","",(1/'Metadata'!$B$5)^(J15-1))</x:f>
        <x:v>1144.0048601477897</x:v>
      </x:c>
      <x:c r="L15" s="60" t="n">
        <x:f>IF(E15=0,"",E15*K15)</x:f>
        <x:v>46751512.248982616</x:v>
      </x:c>
      <x:c r="M15" s="60" t="n">
        <x:f>I15-L15</x:f>
        <x:v>19609713.468754925</x:v>
      </x:c>
      <x:c r="N15" s="62" t="n">
        <x:f>IF(L15=0,"",I15/L15)</x:f>
        <x:v>1.4194455435862754</x:v>
      </x:c>
      <x:c r="O15" s="66" t="n">
        <x:f>IF(L15=0,"",M15/L15)</x:f>
        <x:v>0.4194455435862754</x:v>
      </x:c>
    </x:row>
    <x:row r="16" ht="18" customHeight="1">
      <x:c r="A16" s="46" t="str">
        <x:v>Medium reef assoc. fish (30 - 89 cm)</x:v>
      </x:c>
      <x:c r="B16" s="64" t="n">
        <x:v>2</x:v>
      </x:c>
      <x:c r="C16" s="64" t="n">
        <x:v>2</x:v>
      </x:c>
      <x:c r="D16" s="60" t="n">
        <x:v>957.204434272</x:v>
      </x:c>
      <x:c r="E16" s="60" t="n">
        <x:v>957.204434272</x:v>
      </x:c>
      <x:c r="F16" s="62" t="n">
        <x:v>0</x:v>
      </x:c>
      <x:c r="G16" s="66" t="n">
        <x:v>1</x:v>
      </x:c>
      <x:c r="H16" s="62" t="n">
        <x:f>IF(E16=0,"",I16/E16)</x:f>
        <x:v>169.16424575393438</x:v>
      </x:c>
      <x:c r="I16" s="60" t="n">
        <x:f>SUMIF('Species'!$G$2:$G$121,A16,'Species'!$U$2:$U$121)</x:f>
        <x:v>161924.76615594432</x:v>
      </x:c>
      <x:c r="J16" s="62" t="n">
        <x:v>3.024306410013894</x:v>
      </x:c>
      <x:c r="K16" s="62" t="n">
        <x:f>IF(J16="","",(1/'Metadata'!$B$5)^(J16-1))</x:f>
        <x:v>105.75633941858486</x:v>
      </x:c>
      <x:c r="L16" s="60" t="n">
        <x:f>IF(E16=0,"",E16*K16)</x:f>
        <x:v>101230.43704384413</x:v>
      </x:c>
      <x:c r="M16" s="60" t="n">
        <x:f>I16-L16</x:f>
        <x:v>60694.3291121002</x:v>
      </x:c>
      <x:c r="N16" s="62" t="n">
        <x:f>IF(L16=0,"",I16/L16)</x:f>
        <x:v>1.5995660088458648</x:v>
      </x:c>
      <x:c r="O16" s="66" t="n">
        <x:f>IF(L16=0,"",M16/L16)</x:f>
        <x:v>0.5995660088458648</x:v>
      </x:c>
    </x:row>
    <x:row r="17" ht="18" customHeight="1">
      <x:c r="A17" s="46" t="str">
        <x:v>Other demersal invertebrates</x:v>
      </x:c>
      <x:c r="B17" s="64" t="n">
        <x:v>9</x:v>
      </x:c>
      <x:c r="C17" s="64" t="n">
        <x:v>9</x:v>
      </x:c>
      <x:c r="D17" s="60" t="n">
        <x:v>67065.33202657229</x:v>
      </x:c>
      <x:c r="E17" s="60" t="n">
        <x:v>67065.33202657229</x:v>
      </x:c>
      <x:c r="F17" s="62" t="n">
        <x:v>0</x:v>
      </x:c>
      <x:c r="G17" s="66" t="n">
        <x:v>1</x:v>
      </x:c>
      <x:c r="H17" s="62" t="n">
        <x:f>IF(E17=0,"",I17/E17)</x:f>
        <x:v>23.93447031187561</x:v>
      </x:c>
      <x:c r="I17" s="60" t="n">
        <x:f>SUMIF('Species'!$G$2:$G$121,A17,'Species'!$U$2:$U$121)</x:f>
        <x:v>1605173.198346075</x:v>
      </x:c>
      <x:c r="J17" s="62" t="n">
        <x:v>2.2852551645097723</x:v>
      </x:c>
      <x:c r="K17" s="62" t="n">
        <x:f>IF(J17="","",(1/'Metadata'!$B$5)^(J17-1))</x:f>
        <x:v>19.28657740073395</x:v>
      </x:c>
      <x:c r="L17" s="60" t="n">
        <x:f>IF(E17=0,"",E17*K17)</x:f>
        <x:v>1293460.717036408</x:v>
      </x:c>
      <x:c r="M17" s="60" t="n">
        <x:f>I17-L17</x:f>
        <x:v>311712.481309667</x:v>
      </x:c>
      <x:c r="N17" s="62" t="n">
        <x:f>IF(L17=0,"",I17/L17)</x:f>
        <x:v>1.2409910693104513</x:v>
      </x:c>
      <x:c r="O17" s="66" t="n">
        <x:f>IF(L17=0,"",M17/L17)</x:f>
        <x:v>0.24099106931045128</x:v>
      </x:c>
    </x:row>
    <x:row r="18" ht="18" customHeight="1">
      <x:c r="A18" s="46" t="str">
        <x:v>Shrimps</x:v>
      </x:c>
      <x:c r="B18" s="64" t="n">
        <x:v>7</x:v>
      </x:c>
      <x:c r="C18" s="64" t="n">
        <x:v>7</x:v>
      </x:c>
      <x:c r="D18" s="60" t="n">
        <x:v>5416.1937477213</x:v>
      </x:c>
      <x:c r="E18" s="60" t="n">
        <x:v>5416.1937477213</x:v>
      </x:c>
      <x:c r="F18" s="62" t="n">
        <x:v>0</x:v>
      </x:c>
      <x:c r="G18" s="66" t="n">
        <x:v>1</x:v>
      </x:c>
      <x:c r="H18" s="62" t="n">
        <x:f>IF(E18=0,"",I18/E18)</x:f>
        <x:v>80.56866330570203</x:v>
      </x:c>
      <x:c r="I18" s="60" t="n">
        <x:f>SUMIF('Species'!$G$2:$G$121,A18,'Species'!$U$2:$U$121)</x:f>
        <x:v>436375.4904586058</x:v>
      </x:c>
      <x:c r="J18" s="62" t="n">
        <x:v>2.8286542093954243</x:v>
      </x:c>
      <x:c r="K18" s="62" t="n">
        <x:f>IF(J18="","",(1/'Metadata'!$B$5)^(J18-1))</x:f>
        <x:v>67.39911739445199</x:v>
      </x:c>
      <x:c r="L18" s="60" t="n">
        <x:f>IF(E18=0,"",E18*K18)</x:f>
        <x:v>365046.6782337648</x:v>
      </x:c>
      <x:c r="M18" s="60" t="n">
        <x:f>I18-L18</x:f>
        <x:v>71328.81222484104</x:v>
      </x:c>
      <x:c r="N18" s="62" t="n">
        <x:f>IF(L18=0,"",I18/L18)</x:f>
        <x:v>1.1953964149734413</x:v>
      </x:c>
      <x:c r="O18" s="66" t="n">
        <x:f>IF(L18=0,"",M18/L18)</x:f>
        <x:v>0.1953964149734414</x:v>
      </x:c>
    </x:row>
    <x:row r="19" ht="18" customHeight="1">
      <x:c r="A19" s="46" t="str">
        <x:v>Small benthopelagics (&lt;30 cm)</x:v>
      </x:c>
      <x:c r="B19" s="64" t="n">
        <x:v>2</x:v>
      </x:c>
      <x:c r="C19" s="64" t="n">
        <x:v>2</x:v>
      </x:c>
      <x:c r="D19" s="60" t="n">
        <x:v>2.9235505685</x:v>
      </x:c>
      <x:c r="E19" s="60" t="n">
        <x:v>2.9235505685</x:v>
      </x:c>
      <x:c r="F19" s="62" t="n">
        <x:v>0</x:v>
      </x:c>
      <x:c r="G19" s="66" t="n">
        <x:v>1</x:v>
      </x:c>
      <x:c r="H19" s="62" t="n">
        <x:f>IF(E19=0,"",I19/E19)</x:f>
        <x:v>389.99897898186157</x:v>
      </x:c>
      <x:c r="I19" s="60" t="n">
        <x:f>SUMIF('Species'!$G$2:$G$121,A19,'Species'!$U$2:$U$121)</x:f>
        <x:v>1140.181736716841</x:v>
      </x:c>
      <x:c r="J19" s="62" t="n">
        <x:v>3.5784924701356333</x:v>
      </x:c>
      <x:c r="K19" s="62" t="n">
        <x:f>IF(J19="","",(1/'Metadata'!$B$5)^(J19-1))</x:f>
        <x:v>378.87196475123005</x:v>
      </x:c>
      <x:c r="L19" s="60" t="n">
        <x:f>IF(E19=0,"",E19*K19)</x:f>
        <x:v>1107.6513479371706</x:v>
      </x:c>
      <x:c r="M19" s="60" t="n">
        <x:f>I19-L19</x:f>
        <x:v>32.530388779670375</x:v>
      </x:c>
      <x:c r="N19" s="62" t="n">
        <x:f>IF(L19=0,"",I19/L19)</x:f>
        <x:v>1.0293687980791548</x:v>
      </x:c>
      <x:c r="O19" s="66" t="n">
        <x:f>IF(L19=0,"",M19/L19)</x:f>
        <x:v>0.029368798079154775</x:v>
      </x:c>
    </x:row>
    <x:row r="20" ht="18" customHeight="1">
      <x:c r="A20" s="46" t="str">
        <x:v>Small demersals (&lt;30 cm)</x:v>
      </x:c>
      <x:c r="B20" s="64" t="n">
        <x:v>5</x:v>
      </x:c>
      <x:c r="C20" s="64" t="n">
        <x:v>5</x:v>
      </x:c>
      <x:c r="D20" s="60" t="n">
        <x:v>2317.9771843981</x:v>
      </x:c>
      <x:c r="E20" s="60" t="n">
        <x:v>2317.9771843981</x:v>
      </x:c>
      <x:c r="F20" s="62" t="n">
        <x:v>0</x:v>
      </x:c>
      <x:c r="G20" s="66" t="n">
        <x:v>1</x:v>
      </x:c>
      <x:c r="H20" s="62" t="n">
        <x:f>IF(E20=0,"",I20/E20)</x:f>
        <x:v>263.00883770060244</x:v>
      </x:c>
      <x:c r="I20" s="60" t="n">
        <x:f>SUMIF('Species'!$G$2:$G$121,A20,'Species'!$U$2:$U$121)</x:f>
        <x:v>609648.4850850593</x:v>
      </x:c>
      <x:c r="J20" s="62" t="n">
        <x:v>3.302386585888007</x:v>
      </x:c>
      <x:c r="K20" s="62" t="n">
        <x:f>IF(J20="","",(1/'Metadata'!$B$5)^(J20-1))</x:f>
        <x:v>200.62570963011666</x:v>
      </x:c>
      <x:c r="L20" s="60" t="n">
        <x:f>IF(E20=0,"",E20*K20)</x:f>
        <x:v>465045.81752628856</x:v>
      </x:c>
      <x:c r="M20" s="60" t="n">
        <x:f>I20-L20</x:f>
        <x:v>144602.66755877074</x:v>
      </x:c>
      <x:c r="N20" s="62" t="n">
        <x:f>IF(L20=0,"",I20/L20)</x:f>
        <x:v>1.3109428407032098</x:v>
      </x:c>
      <x:c r="O20" s="66" t="n">
        <x:f>IF(L20=0,"",M20/L20)</x:f>
        <x:v>0.3109428407032099</x:v>
      </x:c>
    </x:row>
    <x:row r="21" ht="18" customHeight="1">
      <x:c r="A21" s="46" t="str">
        <x:v>Small pelagics (&lt;30 cm)</x:v>
      </x:c>
      <x:c r="B21" s="64" t="n">
        <x:v>6</x:v>
      </x:c>
      <x:c r="C21" s="64" t="n">
        <x:v>6</x:v>
      </x:c>
      <x:c r="D21" s="60" t="n">
        <x:v>862091.542115535</x:v>
      </x:c>
      <x:c r="E21" s="60" t="n">
        <x:v>862091.542115535</x:v>
      </x:c>
      <x:c r="F21" s="62" t="n">
        <x:v>0</x:v>
      </x:c>
      <x:c r="G21" s="66" t="n">
        <x:v>1</x:v>
      </x:c>
      <x:c r="H21" s="62" t="n">
        <x:f>IF(E21=0,"",I21/E21)</x:f>
        <x:v>121.67547650822766</x:v>
      </x:c>
      <x:c r="I21" s="60" t="n">
        <x:f>SUMIF('Species'!$G$2:$G$121,A21,'Species'!$U$2:$U$121)</x:f>
        <x:v>104895399.18062054</x:v>
      </x:c>
      <x:c r="J21" s="62" t="n">
        <x:v>3.0829944709199926</x:v>
      </x:c>
      <x:c r="K21" s="62" t="n">
        <x:f>IF(J21="","",(1/'Metadata'!$B$5)^(J21-1))</x:f>
        <x:v>121.05827213092306</x:v>
      </x:c>
      <x:c r="L21" s="60" t="n">
        <x:f>IF(E21=0,"",E21*K21)</x:f>
        <x:v>104363312.50718956</x:v>
      </x:c>
      <x:c r="M21" s="60" t="n">
        <x:f>I21-L21</x:f>
        <x:v>532086.6734309793</x:v>
      </x:c>
      <x:c r="N21" s="62" t="n">
        <x:f>IF(L21=0,"",I21/L21)</x:f>
        <x:v>1.005098407291301</x:v>
      </x:c>
      <x:c r="O21" s="66" t="n">
        <x:f>IF(L21=0,"",M21/L21)</x:f>
        <x:v>0.005098407291300992</x:v>
      </x:c>
    </x:row>
    <x:row r="22" ht="18" customHeight="1">
      <x:c r="A22" s="46" t="str">
        <x:v>Small reef assoc. fish (&lt;30 cm)</x:v>
      </x:c>
      <x:c r="B22" s="64" t="n">
        <x:v>1</x:v>
      </x:c>
      <x:c r="C22" s="64" t="n">
        <x:v>1</x:v>
      </x:c>
      <x:c r="D22" s="60" t="n">
        <x:v>36615.3739054836</x:v>
      </x:c>
      <x:c r="E22" s="60" t="n">
        <x:v>36615.3739054836</x:v>
      </x:c>
      <x:c r="F22" s="62" t="n">
        <x:v>0</x:v>
      </x:c>
      <x:c r="G22" s="66" t="n">
        <x:v>1</x:v>
      </x:c>
      <x:c r="H22" s="62" t="n">
        <x:f>IF(E22=0,"",I22/E22)</x:f>
        <x:v>128.82495516931337</x:v>
      </x:c>
      <x:c r="I22" s="60" t="n">
        <x:f>SUMIF('Species'!$G$2:$G$121,A22,'Species'!$U$2:$U$121)</x:f>
        <x:v>4716973.901881571</x:v>
      </x:c>
      <x:c r="J22" s="62" t="n">
        <x:v>3.11</x:v>
      </x:c>
      <x:c r="K22" s="62" t="n">
        <x:f>IF(J22="","",(1/'Metadata'!$B$5)^(J22-1))</x:f>
        <x:v>128.82495516931337</x:v>
      </x:c>
      <x:c r="L22" s="60" t="n">
        <x:f>IF(E22=0,"",E22*K22)</x:f>
        <x:v>4716973.901881571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to medium flatfishes (&lt;90 cm)</x:v>
      </x:c>
      <x:c r="B23" s="64" t="n">
        <x:v>3</x:v>
      </x:c>
      <x:c r="C23" s="64" t="n">
        <x:v>3</x:v>
      </x:c>
      <x:c r="D23" s="60" t="n">
        <x:v>536.3736910491999</x:v>
      </x:c>
      <x:c r="E23" s="60" t="n">
        <x:v>536.3736910491999</x:v>
      </x:c>
      <x:c r="F23" s="62" t="n">
        <x:v>0</x:v>
      </x:c>
      <x:c r="G23" s="66" t="n">
        <x:v>1</x:v>
      </x:c>
      <x:c r="H23" s="62" t="n">
        <x:f>IF(E23=0,"",I23/E23)</x:f>
        <x:v>366.7144450158871</x:v>
      </x:c>
      <x:c r="I23" s="60" t="n">
        <x:f>SUMIF('Species'!$G$2:$G$121,A23,'Species'!$U$2:$U$121)</x:f>
        <x:v>196695.98043423024</x:v>
      </x:c>
      <x:c r="J23" s="62" t="n">
        <x:v>3.5619800858136754</x:v>
      </x:c>
      <x:c r="K23" s="62" t="n">
        <x:f>IF(J23="","",(1/'Metadata'!$B$5)^(J23-1))</x:f>
        <x:v>364.7372218419839</x:v>
      </x:c>
      <x:c r="L23" s="60" t="n">
        <x:f>IF(E23=0,"",E23*K23)</x:f>
        <x:v>195635.44994241578</x:v>
      </x:c>
      <x:c r="M23" s="60" t="n">
        <x:f>I23-L23</x:f>
        <x:v>1060.5304918144539</x:v>
      </x:c>
      <x:c r="N23" s="62" t="n">
        <x:f>IF(L23=0,"",I23/L23)</x:f>
        <x:v>1.005420952552958</x:v>
      </x:c>
      <x:c r="O23" s="66" t="n">
        <x:f>IF(L23=0,"",M23/L23)</x:f>
        <x:v>0.005420952552958143</x:v>
      </x:c>
    </x:row>
    <x:row r="24" ht="18" customHeight="1">
      <x:c r="A24" s="46" t="str">
        <x:v>Small to medium rays (&lt;90 cm)</x:v>
      </x:c>
      <x:c r="B24" s="64" t="n">
        <x:v>1</x:v>
      </x:c>
      <x:c r="C24" s="64" t="n">
        <x:v>1</x:v>
      </x:c>
      <x:c r="D24" s="60" t="n">
        <x:v>5.7118598995</x:v>
      </x:c>
      <x:c r="E24" s="60" t="n">
        <x:v>5.7118598995</x:v>
      </x:c>
      <x:c r="F24" s="62" t="n">
        <x:v>0</x:v>
      </x:c>
      <x:c r="G24" s="66" t="n">
        <x:v>1</x:v>
      </x:c>
      <x:c r="H24" s="62" t="n">
        <x:f>IF(E24=0,"",I24/E24)</x:f>
        <x:v>630.957344480193</x:v>
      </x:c>
      <x:c r="I24" s="60" t="n">
        <x:f>SUMIF('Species'!$G$2:$G$121,A24,'Species'!$U$2:$U$121)</x:f>
        <x:v>3603.9399542314222</x:v>
      </x:c>
      <x:c r="J24" s="62" t="n">
        <x:v>3.8</x:v>
      </x:c>
      <x:c r="K24" s="62" t="n">
        <x:f>IF(J24="","",(1/'Metadata'!$B$5)^(J24-1))</x:f>
        <x:v>630.957344480193</x:v>
      </x:c>
      <x:c r="L24" s="60" t="n">
        <x:f>IF(E24=0,"",E24*K24)</x:f>
        <x:v>3603.9399542314222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</x:sheetData>
  <x:conditionalFormatting sqref="G2:G24">
    <x:cfRule type="cellIs" dxfId="2" priority="1" operator="lessThan">
      <x:formula>0.9</x:formula>
    </x:cfRule>
  </x:conditionalFormatting>
  <x:conditionalFormatting sqref="O2:O2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04c5962253d4f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LME_062</x:v>
      </x:c>
      <x:c r="B2" s="46" t="str">
        <x:v>raw_filtered_tonnes</x:v>
      </x:c>
      <x:c r="C2" s="46" t="n">
        <x:v>1145168.185954724</x:v>
      </x:c>
      <x:c r="D2" s="46" t="str">
        <x:v>tonnes</x:v>
      </x:c>
    </x:row>
    <x:row r="3" ht="18" customHeight="1">
      <x:c r="A3" s="46" t="str">
        <x:v>LME_062</x:v>
      </x:c>
      <x:c r="B3" s="46" t="str">
        <x:v>species_catch_tonnes</x:v>
      </x:c>
      <x:c r="C3" s="46" t="n">
        <x:v>1145168.1859547237</x:v>
      </x:c>
      <x:c r="D3" s="46" t="str">
        <x:v>tonnes</x:v>
      </x:c>
    </x:row>
    <x:row r="4" ht="18" customHeight="1">
      <x:c r="A4" s="46" t="str">
        <x:v>LME_062</x:v>
      </x:c>
      <x:c r="B4" s="46" t="str">
        <x:v>catch_difference_tonnes</x:v>
      </x:c>
      <x:c r="C4" s="46" t="n">
        <x:v>-2.3283064365386963e-10</x:v>
      </x:c>
      <x:c r="D4" s="46" t="str">
        <x:v>tonnes</x:v>
      </x:c>
    </x:row>
    <x:row r="5" ht="18" customHeight="1">
      <x:c r="A5" s="46" t="str">
        <x:v>LME_062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LME_062</x:v>
      </x:c>
      <x:c r="B6" s="46" t="str">
        <x:v>matched_catch_tonnes</x:v>
      </x:c>
      <x:c r="C6" s="46" t="n">
        <x:v>1145168.1859547237</x:v>
      </x:c>
      <x:c r="D6" s="46" t="str">
        <x:v>tonnes</x:v>
      </x:c>
    </x:row>
    <x:row r="7" ht="18" customHeight="1">
      <x:c r="A7" s="46" t="str">
        <x:v>LME_062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LME_062</x:v>
      </x:c>
      <x:c r="B8" s="46" t="str">
        <x:v>taxa_count</x:v>
      </x:c>
      <x:c r="C8" s="46" t="n">
        <x:v>120</x:v>
      </x:c>
      <x:c r="D8" s="46" t="str">
        <x:v>count</x:v>
      </x:c>
    </x:row>
    <x:row r="9" ht="18" customHeight="1">
      <x:c r="A9" s="46" t="str">
        <x:v>LME_062</x:v>
      </x:c>
      <x:c r="B9" s="46" t="str">
        <x:v>matched_taxa_count</x:v>
      </x:c>
      <x:c r="C9" s="46" t="n">
        <x:v>120</x:v>
      </x:c>
      <x:c r="D9" s="46" t="str">
        <x:v>count</x:v>
      </x:c>
    </x:row>
    <x:row r="10" ht="18" customHeight="1">
      <x:c r="A10" s="46" t="str">
        <x:v>LME_062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LME_062</x:v>
      </x:c>
      <x:c r="B11" s="46" t="str">
        <x:v>species_ppr</x:v>
      </x:c>
      <x:c r="C11" s="46" t="n">
        <x:v>287609386.6659423</x:v>
      </x:c>
      <x:c r="D11" s="46" t="str">
        <x:v>tonnes_primary_production_equivalent</x:v>
      </x:c>
    </x:row>
    <x:row r="12" ht="18" customHeight="1">
      <x:c r="A12" s="46" t="str">
        <x:v>LME_062</x:v>
      </x:c>
      <x:c r="B12" s="46" t="str">
        <x:v>commercial_ppr</x:v>
      </x:c>
      <x:c r="C12" s="46" t="n">
        <x:v>287609386.6659423</x:v>
      </x:c>
      <x:c r="D12" s="46" t="str">
        <x:v>tonnes_primary_production_equivalent</x:v>
      </x:c>
    </x:row>
    <x:row r="13" ht="18" customHeight="1">
      <x:c r="A13" s="46" t="str">
        <x:v>LME_062</x:v>
      </x:c>
      <x:c r="B13" s="46" t="str">
        <x:v>functional_ppr</x:v>
      </x:c>
      <x:c r="C13" s="46" t="n">
        <x:v>287609386.6659424</x:v>
      </x:c>
      <x:c r="D13" s="46" t="str">
        <x:v>tonnes_primary_production_equivalent</x:v>
      </x:c>
    </x:row>
    <x:row r="14" ht="18" customHeight="1">
      <x:c r="A14" s="46" t="str">
        <x:v>LME_062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LME_062</x:v>
      </x:c>
      <x:c r="B15" s="46" t="str">
        <x:v>functional_ppr_difference</x:v>
      </x:c>
      <x:c r="C15" s="46" t="n">
        <x:v>5.960464477539063e-8</x:v>
      </x:c>
      <x:c r="D15" s="46" t="str">
        <x:v>tonnes_primary_production_equivalent</x:v>
      </x:c>
    </x:row>
    <x:row r="16" ht="18" customHeight="1">
      <x:c r="A16" s="46" t="str">
        <x:v>LME_062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06a250bdb1743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LME_062 - Black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