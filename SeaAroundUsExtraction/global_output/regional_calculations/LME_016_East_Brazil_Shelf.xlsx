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6fee444af42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99ad655855d4540"/>
    <x:sheet xmlns:r="http://schemas.openxmlformats.org/officeDocument/2006/relationships" name="Commercial" sheetId="2" r:id="Rfba8a10120a74ae9"/>
    <x:sheet xmlns:r="http://schemas.openxmlformats.org/officeDocument/2006/relationships" name="Functional" sheetId="3" r:id="R65d1938cf1b94061"/>
    <x:sheet xmlns:r="http://schemas.openxmlformats.org/officeDocument/2006/relationships" name="Missing TL" sheetId="4" r:id="Rb34d21f20876478e"/>
    <x:sheet xmlns:r="http://schemas.openxmlformats.org/officeDocument/2006/relationships" name="Validation" sheetId="5" r:id="R0b1f080d293d41f4"/>
    <x:sheet xmlns:r="http://schemas.openxmlformats.org/officeDocument/2006/relationships" name="Metadata" sheetId="6" r:id="Ra4179d0681aa49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989bd4b3d74440" /><Relationship Type="http://schemas.openxmlformats.org/officeDocument/2006/relationships/theme" Target="/xl/theme/theme1.xml" Id="R816c824b9a404c8c" /><Relationship Type="http://schemas.openxmlformats.org/officeDocument/2006/relationships/sharedStrings" Target="/xl/sharedStrings.xml" Id="R000e7223efec4827" /><Relationship Type="http://schemas.openxmlformats.org/officeDocument/2006/relationships/worksheet" Target="/xl/worksheets/sheet1.xml" Id="R999ad655855d4540" /><Relationship Type="http://schemas.openxmlformats.org/officeDocument/2006/relationships/worksheet" Target="/xl/worksheets/sheet2.xml" Id="Rfba8a10120a74ae9" /><Relationship Type="http://schemas.openxmlformats.org/officeDocument/2006/relationships/worksheet" Target="/xl/worksheets/sheet3.xml" Id="R65d1938cf1b94061" /><Relationship Type="http://schemas.openxmlformats.org/officeDocument/2006/relationships/worksheet" Target="/xl/worksheets/sheet4.xml" Id="Rb34d21f20876478e" /><Relationship Type="http://schemas.openxmlformats.org/officeDocument/2006/relationships/worksheet" Target="/xl/worksheets/sheet5.xml" Id="R0b1f080d293d41f4" /><Relationship Type="http://schemas.openxmlformats.org/officeDocument/2006/relationships/worksheet" Target="/xl/worksheets/sheet6.xml" Id="Ra4179d0681aa49de" /></Relationships>
</file>

<file path=xl/tables/table1.xml><?xml version="1.0" encoding="utf-8"?>
<x:table xmlns:x="http://schemas.openxmlformats.org/spreadsheetml/2006/main" id="1" name="LME016SpeciesTable" displayName="LME016SpeciesTable" ref="A1:U255" headerRowCount="1" totalsRowCount="0" totalsRowShown="0">
  <x:autoFilter ref="A1:U25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16CommercialTable" displayName="LME016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16FunctionalTable" displayName="LME016FunctionalTable" ref="A1:O23" headerRowCount="1" totalsRowCount="0" totalsRowShown="0">
  <x:autoFilter ref="A1:O2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16ValidationTable" displayName="LME01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195b75112141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7dee7f875947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777f2e085fe48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35c686992e41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LME_016</x:v>
      </x:c>
      <x:c r="B2" s="46" t="str">
        <x:v>East Brazil Shelf</x:v>
      </x:c>
      <x:c r="C2" s="46" t="str">
        <x:v>LME</x:v>
      </x:c>
      <x:c r="D2" s="58" t="n">
        <x:v>2019</x:v>
      </x:c>
      <x:c r="E2" s="46" t="str">
        <x:v>Sardinella brasiliensis</x:v>
      </x:c>
      <x:c r="F2" s="46" t="str">
        <x:v>Brazilian sardinella</x:v>
      </x:c>
      <x:c r="G2" s="46" t="str">
        <x:v>Small pelagics (&lt;30 cm)</x:v>
      </x:c>
      <x:c r="H2" s="46" t="str">
        <x:v>Herring-likes</x:v>
      </x:c>
      <x:c r="I2" s="60" t="n">
        <x:v>39779.3010385265</x:v>
      </x:c>
      <x:c r="J2" s="60" t="n">
        <x:v>39779.3010385265</x:v>
      </x:c>
      <x:c r="K2" s="60" t="n">
        <x:v>0</x:v>
      </x:c>
      <x:c r="L2" s="60" t="n">
        <x:v>38345.2791112855</x:v>
      </x:c>
      <x:c r="M2" s="60" t="n">
        <x:v>1434.021927241</x:v>
      </x:c>
      <x:c r="N2" s="46" t="str">
        <x:v>sardinella brasiliensis</x:v>
      </x:c>
      <x:c r="O2" s="62" t="n">
        <x:v>3.1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Sardinella brasiliensis</x:v>
      </x:c>
      <x:c r="T2" s="62" t="n">
        <x:f>IF(O2="","",(1/'Metadata'!$B$5)^(O2-1))</x:f>
        <x:v>125.89254117941675</x:v>
      </x:c>
      <x:c r="U2" s="60" t="n">
        <x:f>IF(T2="","",I2*T2)</x:f>
        <x:v>5007917.294081113</x:v>
      </x:c>
    </x:row>
    <x:row r="3" ht="18" customHeight="1">
      <x:c r="A3" s="46" t="str">
        <x:v>LME_016</x:v>
      </x:c>
      <x:c r="B3" s="46" t="str">
        <x:v>East Brazil Shelf</x:v>
      </x:c>
      <x:c r="C3" s="46" t="str">
        <x:v>LME</x:v>
      </x:c>
      <x:c r="D3" s="58" t="n">
        <x:v>2019</x:v>
      </x:c>
      <x:c r="E3" s="46" t="str">
        <x:v>Micropogonias furnieri</x:v>
      </x:c>
      <x:c r="F3" s="46" t="str">
        <x:v>Whitemouth croaker</x:v>
      </x:c>
      <x:c r="G3" s="46" t="str">
        <x:v>Medium demersals (30 - 89 cm)</x:v>
      </x:c>
      <x:c r="H3" s="46" t="str">
        <x:v>Perch-likes</x:v>
      </x:c>
      <x:c r="I3" s="60" t="n">
        <x:v>29759.0730756261</x:v>
      </x:c>
      <x:c r="J3" s="60" t="n">
        <x:v>16000.8909286489</x:v>
      </x:c>
      <x:c r="K3" s="60" t="n">
        <x:v>13758.1821469772</x:v>
      </x:c>
      <x:c r="L3" s="60" t="n">
        <x:v>15653.929934993599</x:v>
      </x:c>
      <x:c r="M3" s="60" t="n">
        <x:v>14105.1431406325</x:v>
      </x:c>
      <x:c r="N3" s="46" t="str">
        <x:v>micropogonias furnieri</x:v>
      </x:c>
      <x:c r="O3" s="62" t="n">
        <x:v>3.09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Micropogonias furnieri</x:v>
      </x:c>
      <x:c r="T3" s="62" t="n">
        <x:f>IF(O3="","",(1/'Metadata'!$B$5)^(O3-1))</x:f>
        <x:v>123.02687708123811</x:v>
      </x:c>
      <x:c r="U3" s="60" t="n">
        <x:f>IF(T3="","",I3*T3)</x:f>
        <x:v>3661165.825326635</x:v>
      </x:c>
    </x:row>
    <x:row r="4" ht="18" customHeight="1">
      <x:c r="A4" s="46" t="str">
        <x:v>LME_016</x:v>
      </x:c>
      <x:c r="B4" s="46" t="str">
        <x:v>East Brazil Shelf</x:v>
      </x:c>
      <x:c r="C4" s="46" t="str">
        <x:v>LME</x:v>
      </x:c>
      <x:c r="D4" s="58" t="n">
        <x:v>2019</x:v>
      </x:c>
      <x:c r="E4" s="46" t="str">
        <x:v>Marine fishes not identified</x:v>
      </x:c>
      <x:c r="F4" s="46" t="str">
        <x:v>Marine fishes nei</x:v>
      </x:c>
      <x:c r="G4" s="46" t="str">
        <x:v>Medium demersals (30 - 89 cm)</x:v>
      </x:c>
      <x:c r="H4" s="46" t="str">
        <x:v>Other fishes &amp; inverts</x:v>
      </x:c>
      <x:c r="I4" s="60" t="n">
        <x:v>21858.2041470745</x:v>
      </x:c>
      <x:c r="J4" s="60" t="n">
        <x:v>18040.630717608</x:v>
      </x:c>
      <x:c r="K4" s="60" t="n">
        <x:v>3817.5734294665</x:v>
      </x:c>
      <x:c r="L4" s="60" t="n">
        <x:v>14096.0551935952</x:v>
      </x:c>
      <x:c r="M4" s="60" t="n">
        <x:v>7762.1489534793</x:v>
      </x:c>
      <x:c r="N4" s="46" t="str">
        <x:v>marine fishes not identified</x:v>
      </x:c>
      <x:c r="O4" s="62" t="n">
        <x:v>3.28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fishes not identified</x:v>
      </x:c>
      <x:c r="T4" s="62" t="n">
        <x:f>IF(O4="","",(1/'Metadata'!$B$5)^(O4-1))</x:f>
        <x:v>190.54607179632464</x:v>
      </x:c>
      <x:c r="U4" s="60" t="n">
        <x:f>IF(T4="","",I4*T4)</x:f>
        <x:v>4164994.9367471784</x:v>
      </x:c>
    </x:row>
    <x:row r="5" ht="18" customHeight="1">
      <x:c r="A5" s="46" t="str">
        <x:v>LME_016</x:v>
      </x:c>
      <x:c r="B5" s="46" t="str">
        <x:v>East Brazil Shelf</x:v>
      </x:c>
      <x:c r="C5" s="46" t="str">
        <x:v>LME</x:v>
      </x:c>
      <x:c r="D5" s="58" t="n">
        <x:v>2019</x:v>
      </x:c>
      <x:c r="E5" s="46" t="str">
        <x:v>Clupeidae</x:v>
      </x:c>
      <x:c r="F5" s="46" t="str">
        <x:v>Herrings, sardines, menhadens</x:v>
      </x:c>
      <x:c r="G5" s="46" t="str">
        <x:v>Small pelagics (&lt;30 cm)</x:v>
      </x:c>
      <x:c r="H5" s="46" t="str">
        <x:v>Herring-likes</x:v>
      </x:c>
      <x:c r="I5" s="60" t="n">
        <x:v>19720.3488959817</x:v>
      </x:c>
      <x:c r="J5" s="60" t="n">
        <x:v>6079.2424648257</x:v>
      </x:c>
      <x:c r="K5" s="60" t="n">
        <x:v>13641.106431156</x:v>
      </x:c>
      <x:c r="L5" s="60" t="n">
        <x:v>5876.2737270892</x:v>
      </x:c>
      <x:c r="M5" s="60" t="n">
        <x:v>13844.075168892501</x:v>
      </x:c>
      <x:c r="N5" s="46" t="str">
        <x:v>clupeidae</x:v>
      </x:c>
      <x:c r="O5" s="62" t="n">
        <x:v>3.16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Clupeidae</x:v>
      </x:c>
      <x:c r="T5" s="62" t="n">
        <x:f>IF(O5="","",(1/'Metadata'!$B$5)^(O5-1))</x:f>
        <x:v>144.5439770745928</x:v>
      </x:c>
      <x:c r="U5" s="60" t="n">
        <x:f>IF(T5="","",I5*T5)</x:f>
        <x:v>2850457.65872375</x:v>
      </x:c>
    </x:row>
    <x:row r="6" ht="18" customHeight="1">
      <x:c r="A6" s="46" t="str">
        <x:v>LME_016</x:v>
      </x:c>
      <x:c r="B6" s="46" t="str">
        <x:v>East Brazil Shelf</x:v>
      </x:c>
      <x:c r="C6" s="46" t="str">
        <x:v>LME</x:v>
      </x:c>
      <x:c r="D6" s="58" t="n">
        <x:v>2019</x:v>
      </x:c>
      <x:c r="E6" s="46" t="str">
        <x:v>Macrodon ancylodon</x:v>
      </x:c>
      <x:c r="F6" s="46" t="str">
        <x:v>King weakfish</x:v>
      </x:c>
      <x:c r="G6" s="46" t="str">
        <x:v>Medium demersals (30 - 89 cm)</x:v>
      </x:c>
      <x:c r="H6" s="46" t="str">
        <x:v>Perch-likes</x:v>
      </x:c>
      <x:c r="I6" s="60" t="n">
        <x:v>17803.525366210302</x:v>
      </x:c>
      <x:c r="J6" s="60" t="n">
        <x:v>4821.6442718787</x:v>
      </x:c>
      <x:c r="K6" s="60" t="n">
        <x:v>12981.8810943316</x:v>
      </x:c>
      <x:c r="L6" s="60" t="n">
        <x:v>4724.2829725229</x:v>
      </x:c>
      <x:c r="M6" s="60" t="n">
        <x:v>13079.2423936874</x:v>
      </x:c>
      <x:c r="N6" s="46" t="str">
        <x:v>macrodon ancylodon</x:v>
      </x:c>
      <x:c r="O6" s="62" t="n">
        <x:v>3.9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Macrodon ancylodon</x:v>
      </x:c>
      <x:c r="T6" s="62" t="n">
        <x:f>IF(O6="","",(1/'Metadata'!$B$5)^(O6-1))</x:f>
        <x:v>794.3282347242813</x:v>
      </x:c>
      <x:c r="U6" s="60" t="n">
        <x:f>IF(T6="","",I6*T6)</x:f>
        <x:v>14141842.876010792</x:v>
      </x:c>
    </x:row>
    <x:row r="7" ht="18" customHeight="1">
      <x:c r="A7" s="46" t="str">
        <x:v>LME_016</x:v>
      </x:c>
      <x:c r="B7" s="46" t="str">
        <x:v>East Brazil Shelf</x:v>
      </x:c>
      <x:c r="C7" s="46" t="str">
        <x:v>LME</x:v>
      </x:c>
      <x:c r="D7" s="58" t="n">
        <x:v>2019</x:v>
      </x:c>
      <x:c r="E7" s="46" t="str">
        <x:v>Batoidea</x:v>
      </x:c>
      <x:c r="F7" s="46" t="str">
        <x:v>Batoids, skates, rays, sawfishes</x:v>
      </x:c>
      <x:c r="G7" s="46" t="str">
        <x:v>Large rays (&gt;=90 cm)</x:v>
      </x:c>
      <x:c r="H7" s="46" t="str">
        <x:v>Sharks &amp; rays</x:v>
      </x:c>
      <x:c r="I7" s="60" t="n">
        <x:v>14057.5451077314</x:v>
      </x:c>
      <x:c r="J7" s="60" t="n">
        <x:v>42.4159518651</x:v>
      </x:c>
      <x:c r="K7" s="60" t="n">
        <x:v>14015.1291558663</x:v>
      </x:c>
      <x:c r="L7" s="60" t="n">
        <x:v>42.4159518651</x:v>
      </x:c>
      <x:c r="M7" s="60" t="n">
        <x:v>14015.1291558663</x:v>
      </x:c>
      <x:c r="N7" s="46" t="str">
        <x:v>batoidea</x:v>
      </x:c>
      <x:c r="O7" s="62" t="n">
        <x:v>3.72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Batoidea</x:v>
      </x:c>
      <x:c r="T7" s="62" t="n">
        <x:f>IF(O7="","",(1/'Metadata'!$B$5)^(O7-1))</x:f>
        <x:v>524.8074602497728</x:v>
      </x:c>
      <x:c r="U7" s="60" t="n">
        <x:f>IF(T7="","",I7*T7)</x:f>
        <x:v>7377504.5453351345</x:v>
      </x:c>
    </x:row>
    <x:row r="8" ht="18" customHeight="1">
      <x:c r="A8" s="46" t="str">
        <x:v>LME_016</x:v>
      </x:c>
      <x:c r="B8" s="46" t="str">
        <x:v>East Brazil Shelf</x:v>
      </x:c>
      <x:c r="C8" s="46" t="str">
        <x:v>LME</x:v>
      </x:c>
      <x:c r="D8" s="58" t="n">
        <x:v>2019</x:v>
      </x:c>
      <x:c r="E8" s="46" t="str">
        <x:v>Cynoscion acoupa</x:v>
      </x:c>
      <x:c r="F8" s="46" t="str">
        <x:v>Acoupa weakfish</x:v>
      </x:c>
      <x:c r="G8" s="46" t="str">
        <x:v>Large demersals (&gt;=90 cm)</x:v>
      </x:c>
      <x:c r="H8" s="46" t="str">
        <x:v>Perch-likes</x:v>
      </x:c>
      <x:c r="I8" s="60" t="n">
        <x:v>8994.6355644942</x:v>
      </x:c>
      <x:c r="J8" s="60" t="n">
        <x:v>8994.6355644942</x:v>
      </x:c>
      <x:c r="K8" s="60" t="n">
        <x:v>0</x:v>
      </x:c>
      <x:c r="L8" s="60" t="n">
        <x:v>8776.8896027713</x:v>
      </x:c>
      <x:c r="M8" s="60" t="n">
        <x:v>217.74596172289998</x:v>
      </x:c>
      <x:c r="N8" s="46" t="str">
        <x:v>cynoscion acoupa</x:v>
      </x:c>
      <x:c r="O8" s="62" t="n">
        <x:v>4.05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Cynoscion acoupa</x:v>
      </x:c>
      <x:c r="T8" s="62" t="n">
        <x:f>IF(O8="","",(1/'Metadata'!$B$5)^(O8-1))</x:f>
        <x:v>1122.018454301963</x:v>
      </x:c>
      <x:c r="U8" s="60" t="n">
        <x:f>IF(T8="","",I8*T8)</x:f>
        <x:v>10092147.093083246</x:v>
      </x:c>
    </x:row>
    <x:row r="9" ht="18" customHeight="1">
      <x:c r="A9" s="46" t="str">
        <x:v>LME_016</x:v>
      </x:c>
      <x:c r="B9" s="46" t="str">
        <x:v>East Brazil Shelf</x:v>
      </x:c>
      <x:c r="C9" s="46" t="str">
        <x:v>LME</x:v>
      </x:c>
      <x:c r="D9" s="58" t="n">
        <x:v>2019</x:v>
      </x:c>
      <x:c r="E9" s="46" t="str">
        <x:v>Ariidae</x:v>
      </x:c>
      <x:c r="F9" s="46" t="str">
        <x:v>Sea catfishes, coblers</x:v>
      </x:c>
      <x:c r="G9" s="46" t="str">
        <x:v>Medium demersals (30 - 89 cm)</x:v>
      </x:c>
      <x:c r="H9" s="46" t="str">
        <x:v>Other fishes &amp; inverts</x:v>
      </x:c>
      <x:c r="I9" s="60" t="n">
        <x:v>6554.2818754503005</x:v>
      </x:c>
      <x:c r="J9" s="60" t="n">
        <x:v>3187.769545071</x:v>
      </x:c>
      <x:c r="K9" s="60" t="n">
        <x:v>3366.5123303793002</x:v>
      </x:c>
      <x:c r="L9" s="60" t="n">
        <x:v>3050.7264157894</x:v>
      </x:c>
      <x:c r="M9" s="60" t="n">
        <x:v>3503.5554596609</x:v>
      </x:c>
      <x:c r="N9" s="46" t="str">
        <x:v>ariidae</x:v>
      </x:c>
      <x:c r="O9" s="62" t="n">
        <x:v>3.48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Ariidae</x:v>
      </x:c>
      <x:c r="T9" s="62" t="n">
        <x:f>IF(O9="","",(1/'Metadata'!$B$5)^(O9-1))</x:f>
        <x:v>301.9951720402016</x:v>
      </x:c>
      <x:c r="U9" s="60" t="n">
        <x:f>IF(T9="","",I9*T9)</x:f>
        <x:v>1979361.4825765889</x:v>
      </x:c>
    </x:row>
    <x:row r="10" ht="18" customHeight="1">
      <x:c r="A10" s="46" t="str">
        <x:v>LME_016</x:v>
      </x:c>
      <x:c r="B10" s="46" t="str">
        <x:v>East Brazil Shelf</x:v>
      </x:c>
      <x:c r="C10" s="46" t="str">
        <x:v>LME</x:v>
      </x:c>
      <x:c r="D10" s="58" t="n">
        <x:v>2019</x:v>
      </x:c>
      <x:c r="E10" s="46" t="str">
        <x:v>Elasmobranchii</x:v>
      </x:c>
      <x:c r="F10" s="46" t="str">
        <x:v>Sharks, rays, skates</x:v>
      </x:c>
      <x:c r="G10" s="46" t="str">
        <x:v>Large sharks (&gt;=90 cm)</x:v>
      </x:c>
      <x:c r="H10" s="46" t="str">
        <x:v>Sharks &amp; rays</x:v>
      </x:c>
      <x:c r="I10" s="60" t="n">
        <x:v>6283.4683755931</x:v>
      </x:c>
      <x:c r="J10" s="60" t="n">
        <x:v>5945.175524849</x:v>
      </x:c>
      <x:c r="K10" s="60" t="n">
        <x:v>338.2928507441</x:v>
      </x:c>
      <x:c r="L10" s="60" t="n">
        <x:v>5784.7598544346</x:v>
      </x:c>
      <x:c r="M10" s="60" t="n">
        <x:v>498.7085211585</x:v>
      </x:c>
      <x:c r="N10" s="46" t="str">
        <x:v>elasmobranchii</x:v>
      </x:c>
      <x:c r="O10" s="62" t="n">
        <x:v>4.05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Elasmobranchii</x:v>
      </x:c>
      <x:c r="T10" s="62" t="n">
        <x:f>IF(O10="","",(1/'Metadata'!$B$5)^(O10-1))</x:f>
        <x:v>1122.018454301963</x:v>
      </x:c>
      <x:c r="U10" s="60" t="n">
        <x:f>IF(T10="","",I10*T10)</x:f>
        <x:v>7050167.474438236</x:v>
      </x:c>
    </x:row>
    <x:row r="11" ht="18" customHeight="1">
      <x:c r="A11" s="46" t="str">
        <x:v>LME_016</x:v>
      </x:c>
      <x:c r="B11" s="46" t="str">
        <x:v>East Brazil Shelf</x:v>
      </x:c>
      <x:c r="C11" s="46" t="str">
        <x:v>LME</x:v>
      </x:c>
      <x:c r="D11" s="58" t="n">
        <x:v>2019</x:v>
      </x:c>
      <x:c r="E11" s="46" t="str">
        <x:v>Katsuwonus pelamis</x:v>
      </x:c>
      <x:c r="F11" s="46" t="str">
        <x:v>Skipjack tuna</x:v>
      </x:c>
      <x:c r="G11" s="46" t="str">
        <x:v>Large pelagics (&gt;=90 cm)</x:v>
      </x:c>
      <x:c r="H11" s="46" t="str">
        <x:v>Tuna &amp; billfishes</x:v>
      </x:c>
      <x:c r="I11" s="60" t="n">
        <x:v>5527.1898169843</x:v>
      </x:c>
      <x:c r="J11" s="60" t="n">
        <x:v>5527.1898169843</x:v>
      </x:c>
      <x:c r="K11" s="60" t="n">
        <x:v>0</x:v>
      </x:c>
      <x:c r="L11" s="60" t="n">
        <x:v>4777.806377240399</x:v>
      </x:c>
      <x:c r="M11" s="60" t="n">
        <x:v>749.3834397438999</x:v>
      </x:c>
      <x:c r="N11" s="46" t="str">
        <x:v>katsuwonus pelamis</x:v>
      </x:c>
      <x:c r="O11" s="62" t="n">
        <x:v>4.43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Katsuwonus pelamis</x:v>
      </x:c>
      <x:c r="T11" s="62" t="n">
        <x:f>IF(O11="","",(1/'Metadata'!$B$5)^(O11-1))</x:f>
        <x:v>2691.534803926914</x:v>
      </x:c>
      <x:c r="U11" s="60" t="n">
        <x:f>IF(T11="","",I11*T11)</x:f>
        <x:v>14876623.760323672</x:v>
      </x:c>
    </x:row>
    <x:row r="12" ht="18" customHeight="1">
      <x:c r="A12" s="46" t="str">
        <x:v>LME_016</x:v>
      </x:c>
      <x:c r="B12" s="46" t="str">
        <x:v>East Brazil Shelf</x:v>
      </x:c>
      <x:c r="C12" s="46" t="str">
        <x:v>LME</x:v>
      </x:c>
      <x:c r="D12" s="58" t="n">
        <x:v>2019</x:v>
      </x:c>
      <x:c r="E12" s="46" t="str">
        <x:v>Mugil</x:v>
      </x:c>
      <x:c r="F12" s="46" t="str">
        <x:v>Grey mullets</x:v>
      </x:c>
      <x:c r="G12" s="46" t="str">
        <x:v>Medium demersals (30 - 89 cm)</x:v>
      </x:c>
      <x:c r="H12" s="46" t="str">
        <x:v>Perch-likes</x:v>
      </x:c>
      <x:c r="I12" s="60" t="n">
        <x:v>5375.1943389218</x:v>
      </x:c>
      <x:c r="J12" s="60" t="n">
        <x:v>3751.5650221217</x:v>
      </x:c>
      <x:c r="K12" s="60" t="n">
        <x:v>1623.6293168001002</x:v>
      </x:c>
      <x:c r="L12" s="60" t="n">
        <x:v>3159.5188248594</x:v>
      </x:c>
      <x:c r="M12" s="60" t="n">
        <x:v>2215.6755140624</x:v>
      </x:c>
      <x:c r="N12" s="46" t="str">
        <x:v>mugil</x:v>
      </x:c>
      <x:c r="O12" s="62" t="n">
        <x:v>2.26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Mugil</x:v>
      </x:c>
      <x:c r="T12" s="62" t="n">
        <x:f>IF(O12="","",(1/'Metadata'!$B$5)^(O12-1))</x:f>
        <x:v>18.197008586099827</x:v>
      </x:c>
      <x:c r="U12" s="60" t="n">
        <x:f>IF(T12="","",I12*T12)</x:f>
        <x:v>97812.45753731519</x:v>
      </x:c>
    </x:row>
    <x:row r="13" ht="18" customHeight="1">
      <x:c r="A13" s="46" t="str">
        <x:v>LME_016</x:v>
      </x:c>
      <x:c r="B13" s="46" t="str">
        <x:v>East Brazil Shelf</x:v>
      </x:c>
      <x:c r="C13" s="46" t="str">
        <x:v>LME</x:v>
      </x:c>
      <x:c r="D13" s="58" t="n">
        <x:v>2019</x:v>
      </x:c>
      <x:c r="E13" s="46" t="str">
        <x:v>Xiphopenaeus kroyeri</x:v>
      </x:c>
      <x:c r="F13" s="46" t="str">
        <x:v>Atlantic seabob</x:v>
      </x:c>
      <x:c r="G13" s="46" t="str">
        <x:v>Shrimps</x:v>
      </x:c>
      <x:c r="H13" s="46" t="str">
        <x:v>Crustaceans</x:v>
      </x:c>
      <x:c r="I13" s="60" t="n">
        <x:v>4684.5990228026</x:v>
      </x:c>
      <x:c r="J13" s="60" t="n">
        <x:v>4684.5990228026</x:v>
      </x:c>
      <x:c r="K13" s="60" t="n">
        <x:v>0</x:v>
      </x:c>
      <x:c r="L13" s="60" t="n">
        <x:v>4604.1531645089</x:v>
      </x:c>
      <x:c r="M13" s="60" t="n">
        <x:v>80.4458582937</x:v>
      </x:c>
      <x:c r="N13" s="46" t="str">
        <x:v>xiphopenaeus kroyeri</x:v>
      </x:c>
      <x:c r="O13" s="62" t="n">
        <x:v>2.7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Xiphopenaeus kroyeri</x:v>
      </x:c>
      <x:c r="T13" s="62" t="n">
        <x:f>IF(O13="","",(1/'Metadata'!$B$5)^(O13-1))</x:f>
        <x:v>50.11872336272725</x:v>
      </x:c>
      <x:c r="U13" s="60" t="n">
        <x:f>IF(T13="","",I13*T13)</x:f>
        <x:v>234786.12248914593</x:v>
      </x:c>
    </x:row>
    <x:row r="14" ht="18" customHeight="1">
      <x:c r="A14" s="46" t="str">
        <x:v>LME_016</x:v>
      </x:c>
      <x:c r="B14" s="46" t="str">
        <x:v>East Brazil Shelf</x:v>
      </x:c>
      <x:c r="C14" s="46" t="str">
        <x:v>LME</x:v>
      </x:c>
      <x:c r="D14" s="58" t="n">
        <x:v>2019</x:v>
      </x:c>
      <x:c r="E14" s="46" t="str">
        <x:v>Paralonchurus brasiliensis</x:v>
      </x:c>
      <x:c r="F14" s="46" t="str">
        <x:v>Banded croaker</x:v>
      </x:c>
      <x:c r="G14" s="46" t="str">
        <x:v>Small demersals (&lt;30 cm)</x:v>
      </x:c>
      <x:c r="H14" s="46" t="str">
        <x:v>Perch-likes</x:v>
      </x:c>
      <x:c r="I14" s="60" t="n">
        <x:v>4244.228902594599</x:v>
      </x:c>
      <x:c r="J14" s="60" t="n">
        <x:v>14.6837370309</x:v>
      </x:c>
      <x:c r="K14" s="60" t="n">
        <x:v>4229.5451655637</x:v>
      </x:c>
      <x:c r="L14" s="60" t="n">
        <x:v>6.3485355164</x:v>
      </x:c>
      <x:c r="M14" s="60" t="n">
        <x:v>4237.8803670782</x:v>
      </x:c>
      <x:c r="N14" s="46" t="str">
        <x:v>paralonchurus brasiliensis</x:v>
      </x:c>
      <x:c r="O14" s="62" t="n">
        <x:v>3.42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Paralonchurus brasiliensis</x:v>
      </x:c>
      <x:c r="T14" s="62" t="n">
        <x:f>IF(O14="","",(1/'Metadata'!$B$5)^(O14-1))</x:f>
        <x:v>263.02679918953817</x:v>
      </x:c>
      <x:c r="U14" s="60" t="n">
        <x:f>IF(T14="","",I14*T14)</x:f>
        <x:v>1116345.9432771837</x:v>
      </x:c>
    </x:row>
    <x:row r="15" ht="18" customHeight="1">
      <x:c r="A15" s="46" t="str">
        <x:v>LME_016</x:v>
      </x:c>
      <x:c r="B15" s="46" t="str">
        <x:v>East Brazil Shelf</x:v>
      </x:c>
      <x:c r="C15" s="46" t="str">
        <x:v>LME</x:v>
      </x:c>
      <x:c r="D15" s="58" t="n">
        <x:v>2019</x:v>
      </x:c>
      <x:c r="E15" s="46" t="str">
        <x:v>Siluriformes</x:v>
      </x:c>
      <x:c r="F15" s="46" t="str">
        <x:v>Catfishes</x:v>
      </x:c>
      <x:c r="G15" s="46" t="str">
        <x:v>Medium demersals (30 - 89 cm)</x:v>
      </x:c>
      <x:c r="H15" s="46" t="str">
        <x:v>Other fishes &amp; inverts</x:v>
      </x:c>
      <x:c r="I15" s="60" t="n">
        <x:v>4178.5269089618005</x:v>
      </x:c>
      <x:c r="J15" s="60" t="n">
        <x:v>0</x:v>
      </x:c>
      <x:c r="K15" s="60" t="n">
        <x:v>4178.5269089618005</x:v>
      </x:c>
      <x:c r="L15" s="60" t="n">
        <x:v>0</x:v>
      </x:c>
      <x:c r="M15" s="60" t="n">
        <x:v>4178.5269089618005</x:v>
      </x:c>
      <x:c r="N15" s="46" t="str">
        <x:v>siluriformes</x:v>
      </x:c>
      <x:c r="O15" s="62" t="n">
        <x:v>3.48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Siluriformes</x:v>
      </x:c>
      <x:c r="T15" s="62" t="n">
        <x:f>IF(O15="","",(1/'Metadata'!$B$5)^(O15-1))</x:f>
        <x:v>301.9951720402016</x:v>
      </x:c>
      <x:c r="U15" s="60" t="n">
        <x:f>IF(T15="","",I15*T15)</x:f>
        <x:v>1261894.9527465308</x:v>
      </x:c>
    </x:row>
    <x:row r="16" ht="18" customHeight="1">
      <x:c r="A16" s="46" t="str">
        <x:v>LME_016</x:v>
      </x:c>
      <x:c r="B16" s="46" t="str">
        <x:v>East Brazil Shelf</x:v>
      </x:c>
      <x:c r="C16" s="46" t="str">
        <x:v>LME</x:v>
      </x:c>
      <x:c r="D16" s="58" t="n">
        <x:v>2019</x:v>
      </x:c>
      <x:c r="E16" s="46" t="str">
        <x:v>Scombridae</x:v>
      </x:c>
      <x:c r="F16" s="46" t="str">
        <x:v>Mackerels, tunas, bonitos</x:v>
      </x:c>
      <x:c r="G16" s="46" t="str">
        <x:v>Medium pelagics (30 - 89 cm)</x:v>
      </x:c>
      <x:c r="H16" s="46" t="str">
        <x:v>Perch-likes</x:v>
      </x:c>
      <x:c r="I16" s="60" t="n">
        <x:v>4110.8233944398</x:v>
      </x:c>
      <x:c r="J16" s="60" t="n">
        <x:v>4110.8233944398</x:v>
      </x:c>
      <x:c r="K16" s="60" t="n">
        <x:v>0</x:v>
      </x:c>
      <x:c r="L16" s="60" t="n">
        <x:v>3907.5286318438</x:v>
      </x:c>
      <x:c r="M16" s="60" t="n">
        <x:v>203.294762596</x:v>
      </x:c>
      <x:c r="N16" s="46" t="str">
        <x:v>scombridae</x:v>
      </x:c>
      <x:c r="O16" s="62" t="n">
        <x:v>4.26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Scombridae</x:v>
      </x:c>
      <x:c r="T16" s="62" t="n">
        <x:f>IF(O16="","",(1/'Metadata'!$B$5)^(O16-1))</x:f>
        <x:v>1819.7008586099826</x:v>
      </x:c>
      <x:c r="U16" s="60" t="n">
        <x:f>IF(T16="","",I16*T16)</x:f>
        <x:v>7480468.860456107</x:v>
      </x:c>
    </x:row>
    <x:row r="17" ht="18" customHeight="1">
      <x:c r="A17" s="46" t="str">
        <x:v>LME_016</x:v>
      </x:c>
      <x:c r="B17" s="46" t="str">
        <x:v>East Brazil Shelf</x:v>
      </x:c>
      <x:c r="C17" s="46" t="str">
        <x:v>LME</x:v>
      </x:c>
      <x:c r="D17" s="58" t="n">
        <x:v>2019</x:v>
      </x:c>
      <x:c r="E17" s="46" t="str">
        <x:v>Sciades proops</x:v>
      </x:c>
      <x:c r="F17" s="46" t="str">
        <x:v>Crucifix sea catfish</x:v>
      </x:c>
      <x:c r="G17" s="46" t="str">
        <x:v>Medium demersals (30 - 89 cm)</x:v>
      </x:c>
      <x:c r="H17" s="46" t="str">
        <x:v>Other fishes &amp; inverts</x:v>
      </x:c>
      <x:c r="I17" s="60" t="n">
        <x:v>4077.5894971551998</x:v>
      </x:c>
      <x:c r="J17" s="60" t="n">
        <x:v>4077.5894971551998</x:v>
      </x:c>
      <x:c r="K17" s="60" t="n">
        <x:v>0</x:v>
      </x:c>
      <x:c r="L17" s="60" t="n">
        <x:v>4004.2678614691</x:v>
      </x:c>
      <x:c r="M17" s="60" t="n">
        <x:v>73.3216356861</x:v>
      </x:c>
      <x:c r="N17" s="46" t="str">
        <x:v>sciades proops</x:v>
      </x:c>
      <x:c r="O17" s="62" t="n">
        <x:v>4.36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Sciades proops</x:v>
      </x:c>
      <x:c r="T17" s="62" t="n">
        <x:f>IF(O17="","",(1/'Metadata'!$B$5)^(O17-1))</x:f>
        <x:v>2290.867652767775</x:v>
      </x:c>
      <x:c r="U17" s="60" t="n">
        <x:f>IF(T17="","",I17*T17)</x:f>
        <x:v>9341217.880298464</x:v>
      </x:c>
    </x:row>
    <x:row r="18" ht="18" customHeight="1">
      <x:c r="A18" s="46" t="str">
        <x:v>LME_016</x:v>
      </x:c>
      <x:c r="B18" s="46" t="str">
        <x:v>East Brazil Shelf</x:v>
      </x:c>
      <x:c r="C18" s="46" t="str">
        <x:v>LME</x:v>
      </x:c>
      <x:c r="D18" s="58" t="n">
        <x:v>2019</x:v>
      </x:c>
      <x:c r="E18" s="46" t="str">
        <x:v>Opisthonema oglinum</x:v>
      </x:c>
      <x:c r="F18" s="46" t="str">
        <x:v>Atlantic thread herring</x:v>
      </x:c>
      <x:c r="G18" s="46" t="str">
        <x:v>Small pelagics (&lt;30 cm)</x:v>
      </x:c>
      <x:c r="H18" s="46" t="str">
        <x:v>Herring-likes</x:v>
      </x:c>
      <x:c r="I18" s="60" t="n">
        <x:v>4044.4303229739</x:v>
      </x:c>
      <x:c r="J18" s="60" t="n">
        <x:v>4044.4303229739</x:v>
      </x:c>
      <x:c r="K18" s="60" t="n">
        <x:v>0</x:v>
      </x:c>
      <x:c r="L18" s="60" t="n">
        <x:v>3957.3407262734</x:v>
      </x:c>
      <x:c r="M18" s="60" t="n">
        <x:v>87.0895967005</x:v>
      </x:c>
      <x:c r="N18" s="46" t="str">
        <x:v>opisthonema oglinum</x:v>
      </x:c>
      <x:c r="O18" s="62" t="n">
        <x:v>4.5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Opisthonema oglinum</x:v>
      </x:c>
      <x:c r="T18" s="62" t="n">
        <x:f>IF(O18="","",(1/'Metadata'!$B$5)^(O18-1))</x:f>
        <x:v>3162.2776601683795</x:v>
      </x:c>
      <x:c r="U18" s="60" t="n">
        <x:f>IF(T18="","",I18*T18)</x:f>
        <x:v>12789611.658447947</x:v>
      </x:c>
    </x:row>
    <x:row r="19" ht="18" customHeight="1">
      <x:c r="A19" s="46" t="str">
        <x:v>LME_016</x:v>
      </x:c>
      <x:c r="B19" s="46" t="str">
        <x:v>East Brazil Shelf</x:v>
      </x:c>
      <x:c r="C19" s="46" t="str">
        <x:v>LME</x:v>
      </x:c>
      <x:c r="D19" s="58" t="n">
        <x:v>2019</x:v>
      </x:c>
      <x:c r="E19" s="46" t="str">
        <x:v>Tetraodontidae</x:v>
      </x:c>
      <x:c r="F19" s="46" t="str">
        <x:v>Puffers, tobies</x:v>
      </x:c>
      <x:c r="G19" s="46" t="str">
        <x:v>Large reef assoc. fish (&gt;=90 cm)</x:v>
      </x:c>
      <x:c r="H19" s="46" t="str">
        <x:v>Other fishes &amp; inverts</x:v>
      </x:c>
      <x:c r="I19" s="60" t="n">
        <x:v>3922.2443663215</x:v>
      </x:c>
      <x:c r="J19" s="60" t="n">
        <x:v>19.5529978459</x:v>
      </x:c>
      <x:c r="K19" s="60" t="n">
        <x:v>3902.6913684756</x:v>
      </x:c>
      <x:c r="L19" s="60" t="n">
        <x:v>18.7540155897</x:v>
      </x:c>
      <x:c r="M19" s="60" t="n">
        <x:v>3903.4903507318</x:v>
      </x:c>
      <x:c r="N19" s="46" t="str">
        <x:v>tetraodontidae</x:v>
      </x:c>
      <x:c r="O19" s="62" t="n">
        <x:v>3.5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Tetraodontidae</x:v>
      </x:c>
      <x:c r="T19" s="62" t="n">
        <x:f>IF(O19="","",(1/'Metadata'!$B$5)^(O19-1))</x:f>
        <x:v>316.22776601683796</x:v>
      </x:c>
      <x:c r="U19" s="60" t="n">
        <x:f>IF(T19="","",I19*T19)</x:f>
        <x:v>1240322.573733976</x:v>
      </x:c>
    </x:row>
    <x:row r="20" ht="18" customHeight="1">
      <x:c r="A20" s="46" t="str">
        <x:v>LME_016</x:v>
      </x:c>
      <x:c r="B20" s="46" t="str">
        <x:v>East Brazil Shelf</x:v>
      </x:c>
      <x:c r="C20" s="46" t="str">
        <x:v>LME</x:v>
      </x:c>
      <x:c r="D20" s="58" t="n">
        <x:v>2019</x:v>
      </x:c>
      <x:c r="E20" s="46" t="str">
        <x:v>Lutjanus purpureus</x:v>
      </x:c>
      <x:c r="F20" s="46" t="str">
        <x:v>Southern red snapper</x:v>
      </x:c>
      <x:c r="G20" s="46" t="str">
        <x:v>Medium demersals (30 - 89 cm)</x:v>
      </x:c>
      <x:c r="H20" s="46" t="str">
        <x:v>Perch-likes</x:v>
      </x:c>
      <x:c r="I20" s="60" t="n">
        <x:v>3842.1740121473</x:v>
      </x:c>
      <x:c r="J20" s="60" t="n">
        <x:v>3842.1740121473</x:v>
      </x:c>
      <x:c r="K20" s="60" t="n">
        <x:v>0</x:v>
      </x:c>
      <x:c r="L20" s="60" t="n">
        <x:v>3740.3194874359</x:v>
      </x:c>
      <x:c r="M20" s="60" t="n">
        <x:v>101.8545247114</x:v>
      </x:c>
      <x:c r="N20" s="46" t="str">
        <x:v>lutjanus purpureus</x:v>
      </x:c>
      <x:c r="O20" s="62" t="n">
        <x:v>3.58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Lutjanus purpureus</x:v>
      </x:c>
      <x:c r="T20" s="62" t="n">
        <x:f>IF(O20="","",(1/'Metadata'!$B$5)^(O20-1))</x:f>
        <x:v>380.1893963205613</x:v>
      </x:c>
      <x:c r="U20" s="60" t="n">
        <x:f>IF(T20="","",I20*T20)</x:f>
        <x:v>1460753.8182368309</x:v>
      </x:c>
    </x:row>
    <x:row r="21" ht="18" customHeight="1">
      <x:c r="A21" s="46" t="str">
        <x:v>LME_016</x:v>
      </x:c>
      <x:c r="B21" s="46" t="str">
        <x:v>East Brazil Shelf</x:v>
      </x:c>
      <x:c r="C21" s="46" t="str">
        <x:v>LME</x:v>
      </x:c>
      <x:c r="D21" s="58" t="n">
        <x:v>2019</x:v>
      </x:c>
      <x:c r="E21" s="46" t="str">
        <x:v>Trichiurus lepturus</x:v>
      </x:c>
      <x:c r="F21" s="46" t="str">
        <x:v>Largehead hairtail</x:v>
      </x:c>
      <x:c r="G21" s="46" t="str">
        <x:v>Large benthopelagics (&gt;=90 cm)</x:v>
      </x:c>
      <x:c r="H21" s="46" t="str">
        <x:v>Perch-likes</x:v>
      </x:c>
      <x:c r="I21" s="60" t="n">
        <x:v>3552.6277037043</x:v>
      </x:c>
      <x:c r="J21" s="60" t="n">
        <x:v>582.4306762785</x:v>
      </x:c>
      <x:c r="K21" s="60" t="n">
        <x:v>2970.1970274258</x:v>
      </x:c>
      <x:c r="L21" s="60" t="n">
        <x:v>573.3658068897</x:v>
      </x:c>
      <x:c r="M21" s="60" t="n">
        <x:v>2979.2618968146</x:v>
      </x:c>
      <x:c r="N21" s="46" t="str">
        <x:v>trichiurus lepturus</x:v>
      </x:c>
      <x:c r="O21" s="62" t="n">
        <x:v>4.42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Trichiurus lepturus</x:v>
      </x:c>
      <x:c r="T21" s="62" t="n">
        <x:f>IF(O21="","",(1/'Metadata'!$B$5)^(O21-1))</x:f>
        <x:v>2630.2679918953813</x:v>
      </x:c>
      <x:c r="U21" s="60" t="n">
        <x:f>IF(T21="","",I21*T21)</x:f>
        <x:v>9344362.936174208</x:v>
      </x:c>
    </x:row>
    <x:row r="22" ht="18" customHeight="1">
      <x:c r="A22" s="46" t="str">
        <x:v>LME_016</x:v>
      </x:c>
      <x:c r="B22" s="46" t="str">
        <x:v>East Brazil Shelf</x:v>
      </x:c>
      <x:c r="C22" s="46" t="str">
        <x:v>LME</x:v>
      </x:c>
      <x:c r="D22" s="58" t="n">
        <x:v>2019</x:v>
      </x:c>
      <x:c r="E22" s="46" t="str">
        <x:v>Stellifer rastrifer</x:v>
      </x:c>
      <x:c r="F22" s="46" t="str">
        <x:v>Rake stardrum</x:v>
      </x:c>
      <x:c r="G22" s="46" t="str">
        <x:v>Small demersals (&lt;30 cm)</x:v>
      </x:c>
      <x:c r="H22" s="46" t="str">
        <x:v>Perch-likes</x:v>
      </x:c>
      <x:c r="I22" s="60" t="n">
        <x:v>3335.6301776365003</x:v>
      </x:c>
      <x:c r="J22" s="60" t="n">
        <x:v>0.0354581889</x:v>
      </x:c>
      <x:c r="K22" s="60" t="n">
        <x:v>3335.5947194476003</x:v>
      </x:c>
      <x:c r="L22" s="60" t="n">
        <x:v>0.0341757305</x:v>
      </x:c>
      <x:c r="M22" s="60" t="n">
        <x:v>3335.5960019060003</x:v>
      </x:c>
      <x:c r="N22" s="46" t="str">
        <x:v>stellifer rastrifer</x:v>
      </x:c>
      <x:c r="O22" s="62" t="n">
        <x:v>3.39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Stellifer rastrifer</x:v>
      </x:c>
      <x:c r="T22" s="62" t="n">
        <x:f>IF(O22="","",(1/'Metadata'!$B$5)^(O22-1))</x:f>
        <x:v>245.4708915685031</x:v>
      </x:c>
      <x:c r="U22" s="60" t="n">
        <x:f>IF(T22="","",I22*T22)</x:f>
        <x:v>818800.1136472361</x:v>
      </x:c>
    </x:row>
    <x:row r="23" ht="18" customHeight="1">
      <x:c r="A23" s="46" t="str">
        <x:v>LME_016</x:v>
      </x:c>
      <x:c r="B23" s="46" t="str">
        <x:v>East Brazil Shelf</x:v>
      </x:c>
      <x:c r="C23" s="46" t="str">
        <x:v>LME</x:v>
      </x:c>
      <x:c r="D23" s="58" t="n">
        <x:v>2019</x:v>
      </x:c>
      <x:c r="E23" s="46" t="str">
        <x:v>Cynoscion guatucupa</x:v>
      </x:c>
      <x:c r="F23" s="46" t="str">
        <x:v>Stripped weakfish</x:v>
      </x:c>
      <x:c r="G23" s="46" t="str">
        <x:v>Medium demersals (30 - 89 cm)</x:v>
      </x:c>
      <x:c r="H23" s="46" t="str">
        <x:v>Perch-likes</x:v>
      </x:c>
      <x:c r="I23" s="60" t="n">
        <x:v>3306.8741351189</x:v>
      </x:c>
      <x:c r="J23" s="60" t="n">
        <x:v>1061.8130156065001</x:v>
      </x:c>
      <x:c r="K23" s="60" t="n">
        <x:v>2245.0611195124</x:v>
      </x:c>
      <x:c r="L23" s="60" t="n">
        <x:v>1047.7852524088</x:v>
      </x:c>
      <x:c r="M23" s="60" t="n">
        <x:v>2259.0888827101</x:v>
      </x:c>
      <x:c r="N23" s="46" t="str">
        <x:v>cynoscion guatucupa</x:v>
      </x:c>
      <x:c r="O23" s="62" t="n">
        <x:v>3.72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Cynoscion guatucupa</x:v>
      </x:c>
      <x:c r="T23" s="62" t="n">
        <x:f>IF(O23="","",(1/'Metadata'!$B$5)^(O23-1))</x:f>
        <x:v>524.8074602497728</x:v>
      </x:c>
      <x:c r="U23" s="60" t="n">
        <x:f>IF(T23="","",I23*T23)</x:f>
        <x:v>1735472.216217414</x:v>
      </x:c>
    </x:row>
    <x:row r="24" ht="18" customHeight="1">
      <x:c r="A24" s="46" t="str">
        <x:v>LME_016</x:v>
      </x:c>
      <x:c r="B24" s="46" t="str">
        <x:v>East Brazil Shelf</x:v>
      </x:c>
      <x:c r="C24" s="46" t="str">
        <x:v>LME</x:v>
      </x:c>
      <x:c r="D24" s="58" t="n">
        <x:v>2019</x:v>
      </x:c>
      <x:c r="E24" s="46" t="str">
        <x:v>Caranx latus</x:v>
      </x:c>
      <x:c r="F24" s="46" t="str">
        <x:v>Horse-eye jack</x:v>
      </x:c>
      <x:c r="G24" s="46" t="str">
        <x:v>Large reef assoc. fish (&gt;=90 cm)</x:v>
      </x:c>
      <x:c r="H24" s="46" t="str">
        <x:v>Perch-likes</x:v>
      </x:c>
      <x:c r="I24" s="60" t="n">
        <x:v>3035.3963402659997</x:v>
      </x:c>
      <x:c r="J24" s="60" t="n">
        <x:v>3035.3963402659997</x:v>
      </x:c>
      <x:c r="K24" s="60" t="n">
        <x:v>0</x:v>
      </x:c>
      <x:c r="L24" s="60" t="n">
        <x:v>3026.2324153862</x:v>
      </x:c>
      <x:c r="M24" s="60" t="n">
        <x:v>9.1639248798</x:v>
      </x:c>
      <x:c r="N24" s="46" t="str">
        <x:v>caranx latus</x:v>
      </x:c>
      <x:c r="O24" s="62" t="n">
        <x:v>4.16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Caranx latus</x:v>
      </x:c>
      <x:c r="T24" s="62" t="n">
        <x:f>IF(O24="","",(1/'Metadata'!$B$5)^(O24-1))</x:f>
        <x:v>1445.439770745928</x:v>
      </x:c>
      <x:c r="U24" s="60" t="n">
        <x:f>IF(T24="","",I24*T24)</x:f>
        <x:v>4387482.590197115</x:v>
      </x:c>
    </x:row>
    <x:row r="25" ht="18" customHeight="1">
      <x:c r="A25" s="46" t="str">
        <x:v>LME_016</x:v>
      </x:c>
      <x:c r="B25" s="46" t="str">
        <x:v>East Brazil Shelf</x:v>
      </x:c>
      <x:c r="C25" s="46" t="str">
        <x:v>LME</x:v>
      </x:c>
      <x:c r="D25" s="58" t="n">
        <x:v>2019</x:v>
      </x:c>
      <x:c r="E25" s="46" t="str">
        <x:v>Prionace glauca</x:v>
      </x:c>
      <x:c r="F25" s="46" t="str">
        <x:v>Blue shark</x:v>
      </x:c>
      <x:c r="G25" s="46" t="str">
        <x:v>Large sharks (&gt;=90 cm)</x:v>
      </x:c>
      <x:c r="H25" s="46" t="str">
        <x:v>Sharks &amp; rays</x:v>
      </x:c>
      <x:c r="I25" s="60" t="n">
        <x:v>2756.791340653</x:v>
      </x:c>
      <x:c r="J25" s="60" t="n">
        <x:v>2756.791340653</x:v>
      </x:c>
      <x:c r="K25" s="60" t="n">
        <x:v>0</x:v>
      </x:c>
      <x:c r="L25" s="60" t="n">
        <x:v>2728.9913127321997</x:v>
      </x:c>
      <x:c r="M25" s="60" t="n">
        <x:v>27.8000279208</x:v>
      </x:c>
      <x:c r="N25" s="46" t="str">
        <x:v>prionace glauca</x:v>
      </x:c>
      <x:c r="O25" s="62" t="n">
        <x:v>4.35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Prionace glauca</x:v>
      </x:c>
      <x:c r="T25" s="62" t="n">
        <x:f>IF(O25="","",(1/'Metadata'!$B$5)^(O25-1))</x:f>
        <x:v>2238.7211385683377</x:v>
      </x:c>
      <x:c r="U25" s="60" t="n">
        <x:f>IF(T25="","",I25*T25)</x:f>
        <x:v>6171687.048942018</x:v>
      </x:c>
    </x:row>
    <x:row r="26" ht="18" customHeight="1">
      <x:c r="A26" s="46" t="str">
        <x:v>LME_016</x:v>
      </x:c>
      <x:c r="B26" s="46" t="str">
        <x:v>East Brazil Shelf</x:v>
      </x:c>
      <x:c r="C26" s="46" t="str">
        <x:v>LME</x:v>
      </x:c>
      <x:c r="D26" s="58" t="n">
        <x:v>2019</x:v>
      </x:c>
      <x:c r="E26" s="46" t="str">
        <x:v>Sphyrna</x:v>
      </x:c>
      <x:c r="F26" s="46" t="str">
        <x:v>Hammerhead sharks</x:v>
      </x:c>
      <x:c r="G26" s="46" t="str">
        <x:v>Large sharks (&gt;=90 cm)</x:v>
      </x:c>
      <x:c r="H26" s="46" t="str">
        <x:v>Sharks &amp; rays</x:v>
      </x:c>
      <x:c r="I26" s="60" t="n">
        <x:v>2637.3079096565</x:v>
      </x:c>
      <x:c r="J26" s="60" t="n">
        <x:v>2637.3079096565</x:v>
      </x:c>
      <x:c r="K26" s="60" t="n">
        <x:v>0</x:v>
      </x:c>
      <x:c r="L26" s="60" t="n">
        <x:v>2608.122017694</x:v>
      </x:c>
      <x:c r="M26" s="60" t="n">
        <x:v>29.1858919625</x:v>
      </x:c>
      <x:c r="N26" s="46" t="str">
        <x:v>sphyrna</x:v>
      </x:c>
      <x:c r="O26" s="62" t="n">
        <x:v>4.2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Sphyrna</x:v>
      </x:c>
      <x:c r="T26" s="62" t="n">
        <x:f>IF(O26="","",(1/'Metadata'!$B$5)^(O26-1))</x:f>
        <x:v>1584.893192461114</x:v>
      </x:c>
      <x:c r="U26" s="60" t="n">
        <x:f>IF(T26="","",I26*T26)</x:f>
        <x:v>4179851.3524384378</x:v>
      </x:c>
    </x:row>
    <x:row r="27" ht="18" customHeight="1">
      <x:c r="A27" s="46" t="str">
        <x:v>LME_016</x:v>
      </x:c>
      <x:c r="B27" s="46" t="str">
        <x:v>East Brazil Shelf</x:v>
      </x:c>
      <x:c r="C27" s="46" t="str">
        <x:v>LME</x:v>
      </x:c>
      <x:c r="D27" s="58" t="n">
        <x:v>2019</x:v>
      </x:c>
      <x:c r="E27" s="46" t="str">
        <x:v>Penaeus brasiliensis</x:v>
      </x:c>
      <x:c r="F27" s="46" t="str">
        <x:v>Redspotted shrimp</x:v>
      </x:c>
      <x:c r="G27" s="46" t="str">
        <x:v>Shrimps</x:v>
      </x:c>
      <x:c r="H27" s="46" t="str">
        <x:v>Crustaceans</x:v>
      </x:c>
      <x:c r="I27" s="60" t="n">
        <x:v>2557.8071693622</x:v>
      </x:c>
      <x:c r="J27" s="60" t="n">
        <x:v>2557.8071693622</x:v>
      </x:c>
      <x:c r="K27" s="60" t="n">
        <x:v>0</x:v>
      </x:c>
      <x:c r="L27" s="60" t="n">
        <x:v>2557.8071693622</x:v>
      </x:c>
      <x:c r="M27" s="60" t="n">
        <x:v>0</x:v>
      </x:c>
      <x:c r="N27" s="46" t="str">
        <x:v>penaeus brasiliensis</x:v>
      </x:c>
      <x:c r="O27" s="62" t="n">
        <x:v>2.7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Penaeus brasiliensis</x:v>
      </x:c>
      <x:c r="T27" s="62" t="n">
        <x:f>IF(O27="","",(1/'Metadata'!$B$5)^(O27-1))</x:f>
        <x:v>50.11872336272725</x:v>
      </x:c>
      <x:c r="U27" s="60" t="n">
        <x:f>IF(T27="","",I27*T27)</x:f>
        <x:v>128194.02993646456</x:v>
      </x:c>
    </x:row>
    <x:row r="28" ht="18" customHeight="1">
      <x:c r="A28" s="46" t="str">
        <x:v>LME_016</x:v>
      </x:c>
      <x:c r="B28" s="46" t="str">
        <x:v>East Brazil Shelf</x:v>
      </x:c>
      <x:c r="C28" s="46" t="str">
        <x:v>LME</x:v>
      </x:c>
      <x:c r="D28" s="58" t="n">
        <x:v>2019</x:v>
      </x:c>
      <x:c r="E28" s="46" t="str">
        <x:v>Mugil liza</x:v>
      </x:c>
      <x:c r="F28" s="46" t="str">
        <x:v>Lebranche mullet</x:v>
      </x:c>
      <x:c r="G28" s="46" t="str">
        <x:v>Medium demersals (30 - 89 cm)</x:v>
      </x:c>
      <x:c r="H28" s="46" t="str">
        <x:v>Perch-likes</x:v>
      </x:c>
      <x:c r="I28" s="60" t="n">
        <x:v>2493.8717202629</x:v>
      </x:c>
      <x:c r="J28" s="60" t="n">
        <x:v>2493.8717202629</x:v>
      </x:c>
      <x:c r="K28" s="60" t="n">
        <x:v>0</x:v>
      </x:c>
      <x:c r="L28" s="60" t="n">
        <x:v>2445.2018294135</x:v>
      </x:c>
      <x:c r="M28" s="60" t="n">
        <x:v>48.6698908494</x:v>
      </x:c>
      <x:c r="N28" s="46" t="str">
        <x:v>mugil liza</x:v>
      </x:c>
      <x:c r="O28" s="62" t="n">
        <x:v>2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Mugil liza</x:v>
      </x:c>
      <x:c r="T28" s="62" t="n">
        <x:f>IF(O28="","",(1/'Metadata'!$B$5)^(O28-1))</x:f>
        <x:v>10</x:v>
      </x:c>
      <x:c r="U28" s="60" t="n">
        <x:f>IF(T28="","",I28*T28)</x:f>
        <x:v>24938.717202629</x:v>
      </x:c>
    </x:row>
    <x:row r="29" ht="18" customHeight="1">
      <x:c r="A29" s="46" t="str">
        <x:v>LME_016</x:v>
      </x:c>
      <x:c r="B29" s="46" t="str">
        <x:v>East Brazil Shelf</x:v>
      </x:c>
      <x:c r="C29" s="46" t="str">
        <x:v>LME</x:v>
      </x:c>
      <x:c r="D29" s="58" t="n">
        <x:v>2019</x:v>
      </x:c>
      <x:c r="E29" s="46" t="str">
        <x:v>Cynoscion</x:v>
      </x:c>
      <x:c r="F29" s="46" t="str">
        <x:v>Weakfishes</x:v>
      </x:c>
      <x:c r="G29" s="46" t="str">
        <x:v>Medium demersals (30 - 89 cm)</x:v>
      </x:c>
      <x:c r="H29" s="46" t="str">
        <x:v>Perch-likes</x:v>
      </x:c>
      <x:c r="I29" s="60" t="n">
        <x:v>2409.8607068874</x:v>
      </x:c>
      <x:c r="J29" s="60" t="n">
        <x:v>2409.8607068874</x:v>
      </x:c>
      <x:c r="K29" s="60" t="n">
        <x:v>0</x:v>
      </x:c>
      <x:c r="L29" s="60" t="n">
        <x:v>1938.1938830819001</x:v>
      </x:c>
      <x:c r="M29" s="60" t="n">
        <x:v>471.66682380550003</x:v>
      </x:c>
      <x:c r="N29" s="46" t="str">
        <x:v>cynoscion</x:v>
      </x:c>
      <x:c r="O29" s="62" t="n">
        <x:v>4.21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Cynoscion</x:v>
      </x:c>
      <x:c r="T29" s="62" t="n">
        <x:f>IF(O29="","",(1/'Metadata'!$B$5)^(O29-1))</x:f>
        <x:v>1621.8100973589299</x:v>
      </x:c>
      <x:c r="U29" s="60" t="n">
        <x:f>IF(T29="","",I29*T29)</x:f>
        <x:v>3908336.4276585137</x:v>
      </x:c>
    </x:row>
    <x:row r="30" ht="18" customHeight="1">
      <x:c r="A30" s="46" t="str">
        <x:v>LME_016</x:v>
      </x:c>
      <x:c r="B30" s="46" t="str">
        <x:v>East Brazil Shelf</x:v>
      </x:c>
      <x:c r="C30" s="46" t="str">
        <x:v>LME</x:v>
      </x:c>
      <x:c r="D30" s="58" t="n">
        <x:v>2019</x:v>
      </x:c>
      <x:c r="E30" s="46" t="str">
        <x:v>Thunnus albacares</x:v>
      </x:c>
      <x:c r="F30" s="46" t="str">
        <x:v>Yellowfin tuna</x:v>
      </x:c>
      <x:c r="G30" s="46" t="str">
        <x:v>Large pelagics (&gt;=90 cm)</x:v>
      </x:c>
      <x:c r="H30" s="46" t="str">
        <x:v>Tuna &amp; billfishes</x:v>
      </x:c>
      <x:c r="I30" s="60" t="n">
        <x:v>2235.2317791404002</x:v>
      </x:c>
      <x:c r="J30" s="60" t="n">
        <x:v>2235.2317791404002</x:v>
      </x:c>
      <x:c r="K30" s="60" t="n">
        <x:v>0</x:v>
      </x:c>
      <x:c r="L30" s="60" t="n">
        <x:v>2178.709474659</x:v>
      </x:c>
      <x:c r="M30" s="60" t="n">
        <x:v>56.522304481400006</x:v>
      </x:c>
      <x:c r="N30" s="46" t="str">
        <x:v>thunnus albacares</x:v>
      </x:c>
      <x:c r="O30" s="62" t="n">
        <x:v>4.41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Thunnus albacares</x:v>
      </x:c>
      <x:c r="T30" s="62" t="n">
        <x:f>IF(O30="","",(1/'Metadata'!$B$5)^(O30-1))</x:f>
        <x:v>2570.3957827688646</x:v>
      </x:c>
      <x:c r="U30" s="60" t="n">
        <x:f>IF(T30="","",I30*T30)</x:f>
        <x:v>5745430.338613431</x:v>
      </x:c>
    </x:row>
    <x:row r="31" ht="18" customHeight="1">
      <x:c r="A31" s="46" t="str">
        <x:v>LME_016</x:v>
      </x:c>
      <x:c r="B31" s="46" t="str">
        <x:v>East Brazil Shelf</x:v>
      </x:c>
      <x:c r="C31" s="46" t="str">
        <x:v>LME</x:v>
      </x:c>
      <x:c r="D31" s="58" t="n">
        <x:v>2019</x:v>
      </x:c>
      <x:c r="E31" s="46" t="str">
        <x:v>Cynoscion virescens</x:v>
      </x:c>
      <x:c r="F31" s="46" t="str">
        <x:v>Green weakfish</x:v>
      </x:c>
      <x:c r="G31" s="46" t="str">
        <x:v>Large demersals (&gt;=90 cm)</x:v>
      </x:c>
      <x:c r="H31" s="46" t="str">
        <x:v>Perch-likes</x:v>
      </x:c>
      <x:c r="I31" s="60" t="n">
        <x:v>2231.0742694958</x:v>
      </x:c>
      <x:c r="J31" s="60" t="n">
        <x:v>816.7061548116</x:v>
      </x:c>
      <x:c r="K31" s="60" t="n">
        <x:v>1414.3681146842</x:v>
      </x:c>
      <x:c r="L31" s="60" t="n">
        <x:v>339.4247176907</x:v>
      </x:c>
      <x:c r="M31" s="60" t="n">
        <x:v>1891.6495518051001</x:v>
      </x:c>
      <x:c r="N31" s="46" t="str">
        <x:v>cynoscion virescens</x:v>
      </x:c>
      <x:c r="O31" s="62" t="n">
        <x:v>4.03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Cynoscion virescens</x:v>
      </x:c>
      <x:c r="T31" s="62" t="n">
        <x:f>IF(O31="","",(1/'Metadata'!$B$5)^(O31-1))</x:f>
        <x:v>1071.519305237607</x:v>
      </x:c>
      <x:c r="U31" s="60" t="n">
        <x:f>IF(T31="","",I31*T31)</x:f>
        <x:v>2390639.151183641</x:v>
      </x:c>
    </x:row>
    <x:row r="32" ht="18" customHeight="1">
      <x:c r="A32" s="46" t="str">
        <x:v>LME_016</x:v>
      </x:c>
      <x:c r="B32" s="46" t="str">
        <x:v>East Brazil Shelf</x:v>
      </x:c>
      <x:c r="C32" s="46" t="str">
        <x:v>LME</x:v>
      </x:c>
      <x:c r="D32" s="58" t="n">
        <x:v>2019</x:v>
      </x:c>
      <x:c r="E32" s="46" t="str">
        <x:v>Sciaenidae</x:v>
      </x:c>
      <x:c r="F32" s="46" t="str">
        <x:v>Drums, croakers</x:v>
      </x:c>
      <x:c r="G32" s="46" t="str">
        <x:v>Medium demersals (30 - 89 cm)</x:v>
      </x:c>
      <x:c r="H32" s="46" t="str">
        <x:v>Perch-likes</x:v>
      </x:c>
      <x:c r="I32" s="60" t="n">
        <x:v>2224.0991401985</x:v>
      </x:c>
      <x:c r="J32" s="60" t="n">
        <x:v>651.7865045382</x:v>
      </x:c>
      <x:c r="K32" s="60" t="n">
        <x:v>1572.3126356603</x:v>
      </x:c>
      <x:c r="L32" s="60" t="n">
        <x:v>58.3236674285</x:v>
      </x:c>
      <x:c r="M32" s="60" t="n">
        <x:v>2165.77547277</x:v>
      </x:c>
      <x:c r="N32" s="46" t="str">
        <x:v>sciaenidae</x:v>
      </x:c>
      <x:c r="O32" s="62" t="n">
        <x:v>3.76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Sciaenidae</x:v>
      </x:c>
      <x:c r="T32" s="62" t="n">
        <x:f>IF(O32="","",(1/'Metadata'!$B$5)^(O32-1))</x:f>
        <x:v>575.4399373371566</x:v>
      </x:c>
      <x:c r="U32" s="60" t="n">
        <x:f>IF(T32="","",I32*T32)</x:f>
        <x:v>1279835.4698674488</x:v>
      </x:c>
    </x:row>
    <x:row r="33" ht="18" customHeight="1">
      <x:c r="A33" s="46" t="str">
        <x:v>LME_016</x:v>
      </x:c>
      <x:c r="B33" s="46" t="str">
        <x:v>East Brazil Shelf</x:v>
      </x:c>
      <x:c r="C33" s="46" t="str">
        <x:v>LME</x:v>
      </x:c>
      <x:c r="D33" s="58" t="n">
        <x:v>2019</x:v>
      </x:c>
      <x:c r="E33" s="46" t="str">
        <x:v>Lutjanus analis</x:v>
      </x:c>
      <x:c r="F33" s="46" t="str">
        <x:v>Mutton snapper</x:v>
      </x:c>
      <x:c r="G33" s="46" t="str">
        <x:v>Medium reef assoc. fish (30 - 89 cm)</x:v>
      </x:c>
      <x:c r="H33" s="46" t="str">
        <x:v>Perch-likes</x:v>
      </x:c>
      <x:c r="I33" s="60" t="n">
        <x:v>2170.2399283318</x:v>
      </x:c>
      <x:c r="J33" s="60" t="n">
        <x:v>2170.2399283318</x:v>
      </x:c>
      <x:c r="K33" s="60" t="n">
        <x:v>0</x:v>
      </x:c>
      <x:c r="L33" s="60" t="n">
        <x:v>2120.8841090783</x:v>
      </x:c>
      <x:c r="M33" s="60" t="n">
        <x:v>49.355819253499995</x:v>
      </x:c>
      <x:c r="N33" s="46" t="str">
        <x:v>lutjanus analis</x:v>
      </x:c>
      <x:c r="O33" s="62" t="n">
        <x:v>3.91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Lutjanus analis</x:v>
      </x:c>
      <x:c r="T33" s="62" t="n">
        <x:f>IF(O33="","",(1/'Metadata'!$B$5)^(O33-1))</x:f>
        <x:v>812.8305161640995</x:v>
      </x:c>
      <x:c r="U33" s="60" t="n">
        <x:f>IF(T33="","",I33*T33)</x:f>
        <x:v>1764037.2411458753</x:v>
      </x:c>
    </x:row>
    <x:row r="34" ht="18" customHeight="1">
      <x:c r="A34" s="46" t="str">
        <x:v>LME_016</x:v>
      </x:c>
      <x:c r="B34" s="46" t="str">
        <x:v>East Brazil Shelf</x:v>
      </x:c>
      <x:c r="C34" s="46" t="str">
        <x:v>LME</x:v>
      </x:c>
      <x:c r="D34" s="58" t="n">
        <x:v>2019</x:v>
      </x:c>
      <x:c r="E34" s="46" t="str">
        <x:v>Bagre bagre</x:v>
      </x:c>
      <x:c r="F34" s="46" t="str">
        <x:v>Coco sea catfish</x:v>
      </x:c>
      <x:c r="G34" s="46" t="str">
        <x:v>Medium demersals (30 - 89 cm)</x:v>
      </x:c>
      <x:c r="H34" s="46" t="str">
        <x:v>Other fishes &amp; inverts</x:v>
      </x:c>
      <x:c r="I34" s="60" t="n">
        <x:v>1750.9474186286</x:v>
      </x:c>
      <x:c r="J34" s="60" t="n">
        <x:v>1750.9474186286</x:v>
      </x:c>
      <x:c r="K34" s="60" t="n">
        <x:v>0</x:v>
      </x:c>
      <x:c r="L34" s="60" t="n">
        <x:v>1719.547685117</x:v>
      </x:c>
      <x:c r="M34" s="60" t="n">
        <x:v>31.3997335116</x:v>
      </x:c>
      <x:c r="N34" s="46" t="str">
        <x:v>bagre bagre</x:v>
      </x:c>
      <x:c r="O34" s="62" t="n">
        <x:v>4.01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Bagre bagre</x:v>
      </x:c>
      <x:c r="T34" s="62" t="n">
        <x:f>IF(O34="","",(1/'Metadata'!$B$5)^(O34-1))</x:f>
        <x:v>1023.2929922807537</x:v>
      </x:c>
      <x:c r="U34" s="60" t="n">
        <x:f>IF(T34="","",I34*T34)</x:f>
        <x:v>1791732.2233347215</x:v>
      </x:c>
    </x:row>
    <x:row r="35" ht="18" customHeight="1">
      <x:c r="A35" s="46" t="str">
        <x:v>LME_016</x:v>
      </x:c>
      <x:c r="B35" s="46" t="str">
        <x:v>East Brazil Shelf</x:v>
      </x:c>
      <x:c r="C35" s="46" t="str">
        <x:v>LME</x:v>
      </x:c>
      <x:c r="D35" s="58" t="n">
        <x:v>2019</x:v>
      </x:c>
      <x:c r="E35" s="46" t="str">
        <x:v>Panulirus argus</x:v>
      </x:c>
      <x:c r="F35" s="46" t="str">
        <x:v>Caribbean spiny lobster</x:v>
      </x:c>
      <x:c r="G35" s="46" t="str">
        <x:v>Lobsters, crabs</x:v>
      </x:c>
      <x:c r="H35" s="46" t="str">
        <x:v>Crustaceans</x:v>
      </x:c>
      <x:c r="I35" s="60" t="n">
        <x:v>1733.8424287816</x:v>
      </x:c>
      <x:c r="J35" s="60" t="n">
        <x:v>1733.8424287816</x:v>
      </x:c>
      <x:c r="K35" s="60" t="n">
        <x:v>0</x:v>
      </x:c>
      <x:c r="L35" s="60" t="n">
        <x:v>1714.2053452092</x:v>
      </x:c>
      <x:c r="M35" s="60" t="n">
        <x:v>19.637083572399998</x:v>
      </x:c>
      <x:c r="N35" s="46" t="str">
        <x:v>panulirus argus</x:v>
      </x:c>
      <x:c r="O35" s="62" t="n">
        <x:v>3.2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Panulirus argus</x:v>
      </x:c>
      <x:c r="T35" s="62" t="n">
        <x:f>IF(O35="","",(1/'Metadata'!$B$5)^(O35-1))</x:f>
        <x:v>158.48931924611142</x:v>
      </x:c>
      <x:c r="U35" s="60" t="n">
        <x:f>IF(T35="","",I35*T35)</x:f>
        <x:v>274795.5062176202</x:v>
      </x:c>
    </x:row>
    <x:row r="36" ht="18" customHeight="1">
      <x:c r="A36" s="46" t="str">
        <x:v>LME_016</x:v>
      </x:c>
      <x:c r="B36" s="46" t="str">
        <x:v>East Brazil Shelf</x:v>
      </x:c>
      <x:c r="C36" s="46" t="str">
        <x:v>LME</x:v>
      </x:c>
      <x:c r="D36" s="58" t="n">
        <x:v>2019</x:v>
      </x:c>
      <x:c r="E36" s="46" t="str">
        <x:v>Gadiformes</x:v>
      </x:c>
      <x:c r="F36" s="46" t="str">
        <x:v>Cods</x:v>
      </x:c>
      <x:c r="G36" s="46" t="str">
        <x:v>Medium benthopelagics (30 - 89 cm)</x:v>
      </x:c>
      <x:c r="H36" s="46" t="str">
        <x:v>Cod-likes</x:v>
      </x:c>
      <x:c r="I36" s="60" t="n">
        <x:v>1720.7684214150001</x:v>
      </x:c>
      <x:c r="J36" s="60" t="n">
        <x:v>1720.7684214150001</x:v>
      </x:c>
      <x:c r="K36" s="60" t="n">
        <x:v>0</x:v>
      </x:c>
      <x:c r="L36" s="60" t="n">
        <x:v>1673.1635677063</x:v>
      </x:c>
      <x:c r="M36" s="60" t="n">
        <x:v>47.604853708700006</x:v>
      </x:c>
      <x:c r="N36" s="46" t="str">
        <x:v>gadiformes</x:v>
      </x:c>
      <x:c r="O36" s="62" t="n">
        <x:v>3.91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Gadiformes</x:v>
      </x:c>
      <x:c r="T36" s="62" t="n">
        <x:f>IF(O36="","",(1/'Metadata'!$B$5)^(O36-1))</x:f>
        <x:v>812.8305161640995</x:v>
      </x:c>
      <x:c r="U36" s="60" t="n">
        <x:f>IF(T36="","",I36*T36)</x:f>
        <x:v>1398693.0841776372</x:v>
      </x:c>
    </x:row>
    <x:row r="37" ht="18" customHeight="1">
      <x:c r="A37" s="46" t="str">
        <x:v>LME_016</x:v>
      </x:c>
      <x:c r="B37" s="46" t="str">
        <x:v>East Brazil Shelf</x:v>
      </x:c>
      <x:c r="C37" s="46" t="str">
        <x:v>LME</x:v>
      </x:c>
      <x:c r="D37" s="58" t="n">
        <x:v>2019</x:v>
      </x:c>
      <x:c r="E37" s="46" t="str">
        <x:v>Caranx hippos</x:v>
      </x:c>
      <x:c r="F37" s="46" t="str">
        <x:v>Crevalle jack</x:v>
      </x:c>
      <x:c r="G37" s="46" t="str">
        <x:v>Large reef assoc. fish (&gt;=90 cm)</x:v>
      </x:c>
      <x:c r="H37" s="46" t="str">
        <x:v>Perch-likes</x:v>
      </x:c>
      <x:c r="I37" s="60" t="n">
        <x:v>1529.1133546102</x:v>
      </x:c>
      <x:c r="J37" s="60" t="n">
        <x:v>1529.1133546102</x:v>
      </x:c>
      <x:c r="K37" s="60" t="n">
        <x:v>0</x:v>
      </x:c>
      <x:c r="L37" s="60" t="n">
        <x:v>1493.4183137971</x:v>
      </x:c>
      <x:c r="M37" s="60" t="n">
        <x:v>35.6950408131</x:v>
      </x:c>
      <x:c r="N37" s="46" t="str">
        <x:v>caranx hippos</x:v>
      </x:c>
      <x:c r="O37" s="62" t="n">
        <x:v>3.56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Caranx hippos</x:v>
      </x:c>
      <x:c r="T37" s="62" t="n">
        <x:f>IF(O37="","",(1/'Metadata'!$B$5)^(O37-1))</x:f>
        <x:v>363.0780547701014</x:v>
      </x:c>
      <x:c r="U37" s="60" t="n">
        <x:f>IF(T37="","",I37*T37)</x:f>
        <x:v>555187.5023148557</x:v>
      </x:c>
    </x:row>
    <x:row r="38" ht="18" customHeight="1">
      <x:c r="A38" s="46" t="str">
        <x:v>LME_016</x:v>
      </x:c>
      <x:c r="B38" s="46" t="str">
        <x:v>East Brazil Shelf</x:v>
      </x:c>
      <x:c r="C38" s="46" t="str">
        <x:v>LME</x:v>
      </x:c>
      <x:c r="D38" s="58" t="n">
        <x:v>2019</x:v>
      </x:c>
      <x:c r="E38" s="46" t="str">
        <x:v>Pomatomus saltatrix</x:v>
      </x:c>
      <x:c r="F38" s="46" t="str">
        <x:v>Bluefish</x:v>
      </x:c>
      <x:c r="G38" s="46" t="str">
        <x:v>Large pelagics (&gt;=90 cm)</x:v>
      </x:c>
      <x:c r="H38" s="46" t="str">
        <x:v>Perch-likes</x:v>
      </x:c>
      <x:c r="I38" s="60" t="n">
        <x:v>1509.8146071378999</x:v>
      </x:c>
      <x:c r="J38" s="60" t="n">
        <x:v>1509.8146071378999</x:v>
      </x:c>
      <x:c r="K38" s="60" t="n">
        <x:v>0</x:v>
      </x:c>
      <x:c r="L38" s="60" t="n">
        <x:v>1483.7269940636</x:v>
      </x:c>
      <x:c r="M38" s="60" t="n">
        <x:v>26.0876130743</x:v>
      </x:c>
      <x:c r="N38" s="46" t="str">
        <x:v>pomatomus saltatrix</x:v>
      </x:c>
      <x:c r="O38" s="62" t="n">
        <x:v>4.53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Pomatomus saltatrix</x:v>
      </x:c>
      <x:c r="T38" s="62" t="n">
        <x:f>IF(O38="","",(1/'Metadata'!$B$5)^(O38-1))</x:f>
        <x:v>3388.4415613920273</x:v>
      </x:c>
      <x:c r="U38" s="60" t="n">
        <x:f>IF(T38="","",I38*T38)</x:f>
        <x:v>5115918.564822836</x:v>
      </x:c>
    </x:row>
    <x:row r="39" ht="18" customHeight="1">
      <x:c r="A39" s="46" t="str">
        <x:v>LME_016</x:v>
      </x:c>
      <x:c r="B39" s="46" t="str">
        <x:v>East Brazil Shelf</x:v>
      </x:c>
      <x:c r="C39" s="46" t="str">
        <x:v>LME</x:v>
      </x:c>
      <x:c r="D39" s="58" t="n">
        <x:v>2019</x:v>
      </x:c>
      <x:c r="E39" s="46" t="str">
        <x:v>Scomberomorus brasiliensis</x:v>
      </x:c>
      <x:c r="F39" s="46" t="str">
        <x:v>Serra Spanish mackerel</x:v>
      </x:c>
      <x:c r="G39" s="46" t="str">
        <x:v>Large pelagics (&gt;=90 cm)</x:v>
      </x:c>
      <x:c r="H39" s="46" t="str">
        <x:v>Perch-likes</x:v>
      </x:c>
      <x:c r="I39" s="60" t="n">
        <x:v>1459.6207599319</x:v>
      </x:c>
      <x:c r="J39" s="60" t="n">
        <x:v>1459.6207599319</x:v>
      </x:c>
      <x:c r="K39" s="60" t="n">
        <x:v>0</x:v>
      </x:c>
      <x:c r="L39" s="60" t="n">
        <x:v>57.6209989881</x:v>
      </x:c>
      <x:c r="M39" s="60" t="n">
        <x:v>1401.9997609438</x:v>
      </x:c>
      <x:c r="N39" s="46" t="str">
        <x:v>scomberomorus brasiliensis</x:v>
      </x:c>
      <x:c r="O39" s="62" t="n">
        <x:v>3.31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Scomberomorus brasiliensis</x:v>
      </x:c>
      <x:c r="T39" s="62" t="n">
        <x:f>IF(O39="","",(1/'Metadata'!$B$5)^(O39-1))</x:f>
        <x:v>204.17379446695296</x:v>
      </x:c>
      <x:c r="U39" s="60" t="n">
        <x:f>IF(T39="","",I39*T39)</x:f>
        <x:v>298016.3090380334</x:v>
      </x:c>
    </x:row>
    <x:row r="40" ht="18" customHeight="1">
      <x:c r="A40" s="46" t="str">
        <x:v>LME_016</x:v>
      </x:c>
      <x:c r="B40" s="46" t="str">
        <x:v>East Brazil Shelf</x:v>
      </x:c>
      <x:c r="C40" s="46" t="str">
        <x:v>LME</x:v>
      </x:c>
      <x:c r="D40" s="58" t="n">
        <x:v>2019</x:v>
      </x:c>
      <x:c r="E40" s="46" t="str">
        <x:v>Cynoglossidae</x:v>
      </x:c>
      <x:c r="F40" s="46" t="str">
        <x:v>Tonguefishes</x:v>
      </x:c>
      <x:c r="G40" s="46" t="str">
        <x:v>Small to medium flatfishes (&lt;90 cm)</x:v>
      </x:c>
      <x:c r="H40" s="46" t="str">
        <x:v>Flatfishes</x:v>
      </x:c>
      <x:c r="I40" s="60" t="n">
        <x:v>1433.0468369454998</x:v>
      </x:c>
      <x:c r="J40" s="60" t="n">
        <x:v>0.0325866642</x:v>
      </x:c>
      <x:c r="K40" s="60" t="n">
        <x:v>1433.0142502812998</x:v>
      </x:c>
      <x:c r="L40" s="60" t="n">
        <x:v>0.0325866642</x:v>
      </x:c>
      <x:c r="M40" s="60" t="n">
        <x:v>1433.0142502812998</x:v>
      </x:c>
      <x:c r="N40" s="46" t="str">
        <x:v>cynoglossidae</x:v>
      </x:c>
      <x:c r="O40" s="62" t="n">
        <x:v>3.29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Cynoglossidae</x:v>
      </x:c>
      <x:c r="T40" s="62" t="n">
        <x:f>IF(O40="","",(1/'Metadata'!$B$5)^(O40-1))</x:f>
        <x:v>194.98445997580455</x:v>
      </x:c>
      <x:c r="U40" s="60" t="n">
        <x:f>IF(T40="","",I40*T40)</x:f>
        <x:v>279421.8636218531</x:v>
      </x:c>
    </x:row>
    <x:row r="41" ht="18" customHeight="1">
      <x:c r="A41" s="46" t="str">
        <x:v>LME_016</x:v>
      </x:c>
      <x:c r="B41" s="46" t="str">
        <x:v>East Brazil Shelf</x:v>
      </x:c>
      <x:c r="C41" s="46" t="str">
        <x:v>LME</x:v>
      </x:c>
      <x:c r="D41" s="58" t="n">
        <x:v>2019</x:v>
      </x:c>
      <x:c r="E41" s="46" t="str">
        <x:v>Mytilidae</x:v>
      </x:c>
      <x:c r="F41" s="46" t="str">
        <x:v>Sea mussels</x:v>
      </x:c>
      <x:c r="G41" s="46" t="str">
        <x:v>Other demersal invertebrates</x:v>
      </x:c>
      <x:c r="H41" s="46" t="str">
        <x:v>Molluscs</x:v>
      </x:c>
      <x:c r="I41" s="60" t="n">
        <x:v>1383.608137494</x:v>
      </x:c>
      <x:c r="J41" s="60" t="n">
        <x:v>1383.608137494</x:v>
      </x:c>
      <x:c r="K41" s="60" t="n">
        <x:v>0</x:v>
      </x:c>
      <x:c r="L41" s="60" t="n">
        <x:v>1369.904752613</x:v>
      </x:c>
      <x:c r="M41" s="60" t="n">
        <x:v>13.703384881</x:v>
      </x:c>
      <x:c r="N41" s="46" t="str">
        <x:v>mytilidae</x:v>
      </x:c>
      <x:c r="O41" s="62" t="n">
        <x:v>2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Mytilidae</x:v>
      </x:c>
      <x:c r="T41" s="62" t="n">
        <x:f>IF(O41="","",(1/'Metadata'!$B$5)^(O41-1))</x:f>
        <x:v>10</x:v>
      </x:c>
      <x:c r="U41" s="60" t="n">
        <x:f>IF(T41="","",I41*T41)</x:f>
        <x:v>13836.08137494</x:v>
      </x:c>
    </x:row>
    <x:row r="42" ht="18" customHeight="1">
      <x:c r="A42" s="46" t="str">
        <x:v>LME_016</x:v>
      </x:c>
      <x:c r="B42" s="46" t="str">
        <x:v>East Brazil Shelf</x:v>
      </x:c>
      <x:c r="C42" s="46" t="str">
        <x:v>LME</x:v>
      </x:c>
      <x:c r="D42" s="58" t="n">
        <x:v>2019</x:v>
      </x:c>
      <x:c r="E42" s="46" t="str">
        <x:v>Bivalvia</x:v>
      </x:c>
      <x:c r="F42" s="46" t="str">
        <x:v>Clams</x:v>
      </x:c>
      <x:c r="G42" s="46" t="str">
        <x:v>Other demersal invertebrates</x:v>
      </x:c>
      <x:c r="H42" s="46" t="str">
        <x:v>Molluscs</x:v>
      </x:c>
      <x:c r="I42" s="60" t="n">
        <x:v>1366.8617233706</x:v>
      </x:c>
      <x:c r="J42" s="60" t="n">
        <x:v>1366.8617233706</x:v>
      </x:c>
      <x:c r="K42" s="60" t="n">
        <x:v>0</x:v>
      </x:c>
      <x:c r="L42" s="60" t="n">
        <x:v>416.2345313106</x:v>
      </x:c>
      <x:c r="M42" s="60" t="n">
        <x:v>950.62719206</x:v>
      </x:c>
      <x:c r="N42" s="46" t="str">
        <x:v>bivalvia</x:v>
      </x:c>
      <x:c r="O42" s="62" t="n">
        <x:v>2.23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Bivalvia</x:v>
      </x:c>
      <x:c r="T42" s="62" t="n">
        <x:f>IF(O42="","",(1/'Metadata'!$B$5)^(O42-1))</x:f>
        <x:v>16.982436524617444</x:v>
      </x:c>
      <x:c r="U42" s="60" t="n">
        <x:f>IF(T42="","",I42*T42)</x:f>
        <x:v>23212.64245507042</x:v>
      </x:c>
    </x:row>
    <x:row r="43" ht="18" customHeight="1">
      <x:c r="A43" s="46" t="str">
        <x:v>LME_016</x:v>
      </x:c>
      <x:c r="B43" s="46" t="str">
        <x:v>East Brazil Shelf</x:v>
      </x:c>
      <x:c r="C43" s="46" t="str">
        <x:v>LME</x:v>
      </x:c>
      <x:c r="D43" s="58" t="n">
        <x:v>2019</x:v>
      </x:c>
      <x:c r="E43" s="46" t="str">
        <x:v>Menticirrhus</x:v>
      </x:c>
      <x:c r="F43" s="46" t="str">
        <x:v>Kingcroakers</x:v>
      </x:c>
      <x:c r="G43" s="46" t="str">
        <x:v>Medium demersals (30 - 89 cm)</x:v>
      </x:c>
      <x:c r="H43" s="46" t="str">
        <x:v>Perch-likes</x:v>
      </x:c>
      <x:c r="I43" s="60" t="n">
        <x:v>1330.7138892306</x:v>
      </x:c>
      <x:c r="J43" s="60" t="n">
        <x:v>714.1922666613</x:v>
      </x:c>
      <x:c r="K43" s="60" t="n">
        <x:v>616.5216225693</x:v>
      </x:c>
      <x:c r="L43" s="60" t="n">
        <x:v>700.854544214</x:v>
      </x:c>
      <x:c r="M43" s="60" t="n">
        <x:v>629.8593450166</x:v>
      </x:c>
      <x:c r="N43" s="46" t="str">
        <x:v>menticirrhus</x:v>
      </x:c>
      <x:c r="O43" s="62" t="n">
        <x:v>3.67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Menticirrhus</x:v>
      </x:c>
      <x:c r="T43" s="62" t="n">
        <x:f>IF(O43="","",(1/'Metadata'!$B$5)^(O43-1))</x:f>
        <x:v>467.73514128719813</x:v>
      </x:c>
      <x:c r="U43" s="60" t="n">
        <x:f>IF(T43="","",I43*T43)</x:f>
        <x:v>622421.6489921116</x:v>
      </x:c>
    </x:row>
    <x:row r="44" ht="18" customHeight="1">
      <x:c r="A44" s="46" t="str">
        <x:v>LME_016</x:v>
      </x:c>
      <x:c r="B44" s="46" t="str">
        <x:v>East Brazil Shelf</x:v>
      </x:c>
      <x:c r="C44" s="46" t="str">
        <x:v>LME</x:v>
      </x:c>
      <x:c r="D44" s="58" t="n">
        <x:v>2019</x:v>
      </x:c>
      <x:c r="E44" s="46" t="str">
        <x:v>Rajiformes</x:v>
      </x:c>
      <x:c r="F44" s="46" t="str">
        <x:v>Skates and rays</x:v>
      </x:c>
      <x:c r="G44" s="46" t="str">
        <x:v>Large rays (&gt;=90 cm)</x:v>
      </x:c>
      <x:c r="H44" s="46" t="str">
        <x:v>Sharks &amp; rays</x:v>
      </x:c>
      <x:c r="I44" s="60" t="n">
        <x:v>1316.7127286388</x:v>
      </x:c>
      <x:c r="J44" s="60" t="n">
        <x:v>1316.7127286388</x:v>
      </x:c>
      <x:c r="K44" s="60" t="n">
        <x:v>0</x:v>
      </x:c>
      <x:c r="L44" s="60" t="n">
        <x:v>1290.0261656019</x:v>
      </x:c>
      <x:c r="M44" s="60" t="n">
        <x:v>26.6865630369</x:v>
      </x:c>
      <x:c r="N44" s="46" t="str">
        <x:v>rajiformes</x:v>
      </x:c>
      <x:c r="O44" s="62" t="n">
        <x:v>3.61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Rajiformes</x:v>
      </x:c>
      <x:c r="T44" s="62" t="n">
        <x:f>IF(O44="","",(1/'Metadata'!$B$5)^(O44-1))</x:f>
        <x:v>407.3802778041126</x:v>
      </x:c>
      <x:c r="U44" s="60" t="n">
        <x:f>IF(T44="","",I44*T44)</x:f>
        <x:v>536402.7971810855</x:v>
      </x:c>
    </x:row>
    <x:row r="45" ht="18" customHeight="1">
      <x:c r="A45" s="46" t="str">
        <x:v>LME_016</x:v>
      </x:c>
      <x:c r="B45" s="46" t="str">
        <x:v>East Brazil Shelf</x:v>
      </x:c>
      <x:c r="C45" s="46" t="str">
        <x:v>LME</x:v>
      </x:c>
      <x:c r="D45" s="58" t="n">
        <x:v>2019</x:v>
      </x:c>
      <x:c r="E45" s="46" t="str">
        <x:v>Isopisthus parvipinnis</x:v>
      </x:c>
      <x:c r="F45" s="46" t="str">
        <x:v>Bigtooth corvina</x:v>
      </x:c>
      <x:c r="G45" s="46" t="str">
        <x:v>Small demersals (&lt;30 cm)</x:v>
      </x:c>
      <x:c r="H45" s="46" t="str">
        <x:v>Perch-likes</x:v>
      </x:c>
      <x:c r="I45" s="60" t="n">
        <x:v>1310.0227883459</x:v>
      </x:c>
      <x:c r="J45" s="60" t="n">
        <x:v>131.26892365700002</x:v>
      </x:c>
      <x:c r="K45" s="60" t="n">
        <x:v>1178.7538646889</x:v>
      </x:c>
      <x:c r="L45" s="60" t="n">
        <x:v>33.731671562</x:v>
      </x:c>
      <x:c r="M45" s="60" t="n">
        <x:v>1276.2911167839</x:v>
      </x:c>
      <x:c r="N45" s="46" t="str">
        <x:v>isopisthus parvipinnis</x:v>
      </x:c>
      <x:c r="O45" s="62" t="n">
        <x:v>3.6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Isopisthus parvipinnis</x:v>
      </x:c>
      <x:c r="T45" s="62" t="n">
        <x:f>IF(O45="","",(1/'Metadata'!$B$5)^(O45-1))</x:f>
        <x:v>398.1071705534973</x:v>
      </x:c>
      <x:c r="U45" s="60" t="n">
        <x:f>IF(T45="","",I45*T45)</x:f>
        <x:v>521529.46562898933</x:v>
      </x:c>
    </x:row>
    <x:row r="46" ht="18" customHeight="1">
      <x:c r="A46" s="46" t="str">
        <x:v>LME_016</x:v>
      </x:c>
      <x:c r="B46" s="46" t="str">
        <x:v>East Brazil Shelf</x:v>
      </x:c>
      <x:c r="C46" s="46" t="str">
        <x:v>LME</x:v>
      </x:c>
      <x:c r="D46" s="58" t="n">
        <x:v>2019</x:v>
      </x:c>
      <x:c r="E46" s="46" t="str">
        <x:v>Selene setapinnis</x:v>
      </x:c>
      <x:c r="F46" s="46" t="str">
        <x:v>Atlantic moonfish</x:v>
      </x:c>
      <x:c r="G46" s="46" t="str">
        <x:v>Medium demersals (30 - 89 cm)</x:v>
      </x:c>
      <x:c r="H46" s="46" t="str">
        <x:v>Perch-likes</x:v>
      </x:c>
      <x:c r="I46" s="60" t="n">
        <x:v>1309.5230983616</x:v>
      </x:c>
      <x:c r="J46" s="60" t="n">
        <x:v>748.6581613075</x:v>
      </x:c>
      <x:c r="K46" s="60" t="n">
        <x:v>560.8649370541</x:v>
      </x:c>
      <x:c r="L46" s="60" t="n">
        <x:v>725.1651308801</x:v>
      </x:c>
      <x:c r="M46" s="60" t="n">
        <x:v>584.3579674814999</x:v>
      </x:c>
      <x:c r="N46" s="46" t="str">
        <x:v>selene setapinnis</x:v>
      </x:c>
      <x:c r="O46" s="62" t="n">
        <x:v>3.72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Selene setapinnis</x:v>
      </x:c>
      <x:c r="T46" s="62" t="n">
        <x:f>IF(O46="","",(1/'Metadata'!$B$5)^(O46-1))</x:f>
        <x:v>524.8074602497728</x:v>
      </x:c>
      <x:c r="U46" s="60" t="n">
        <x:f>IF(T46="","",I46*T46)</x:f>
        <x:v>687247.4913895647</x:v>
      </x:c>
    </x:row>
    <x:row r="47" ht="18" customHeight="1">
      <x:c r="A47" s="46" t="str">
        <x:v>LME_016</x:v>
      </x:c>
      <x:c r="B47" s="46" t="str">
        <x:v>East Brazil Shelf</x:v>
      </x:c>
      <x:c r="C47" s="46" t="str">
        <x:v>LME</x:v>
      </x:c>
      <x:c r="D47" s="58" t="n">
        <x:v>2019</x:v>
      </x:c>
      <x:c r="E47" s="46" t="str">
        <x:v>Centropomus</x:v>
      </x:c>
      <x:c r="F47" s="46" t="str">
        <x:v>Fat snooks</x:v>
      </x:c>
      <x:c r="G47" s="46" t="str">
        <x:v>Medium benthopelagics (30 - 89 cm)</x:v>
      </x:c>
      <x:c r="H47" s="46" t="str">
        <x:v>Perch-likes</x:v>
      </x:c>
      <x:c r="I47" s="60" t="n">
        <x:v>1253.3682470802</x:v>
      </x:c>
      <x:c r="J47" s="60" t="n">
        <x:v>1253.3682470802</x:v>
      </x:c>
      <x:c r="K47" s="60" t="n">
        <x:v>0</x:v>
      </x:c>
      <x:c r="L47" s="60" t="n">
        <x:v>1229.6013728209</x:v>
      </x:c>
      <x:c r="M47" s="60" t="n">
        <x:v>23.7668742593</x:v>
      </x:c>
      <x:c r="N47" s="46" t="str">
        <x:v>centropomus</x:v>
      </x:c>
      <x:c r="O47" s="62" t="n">
        <x:v>3.92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Centropomus</x:v>
      </x:c>
      <x:c r="T47" s="62" t="n">
        <x:f>IF(O47="","",(1/'Metadata'!$B$5)^(O47-1))</x:f>
        <x:v>831.7637711026708</x:v>
      </x:c>
      <x:c r="U47" s="60" t="n">
        <x:f>IF(T47="","",I47*T47)</x:f>
        <x:v>1042506.2997717713</x:v>
      </x:c>
    </x:row>
    <x:row r="48" ht="18" customHeight="1">
      <x:c r="A48" s="46" t="str">
        <x:v>LME_016</x:v>
      </x:c>
      <x:c r="B48" s="46" t="str">
        <x:v>East Brazil Shelf</x:v>
      </x:c>
      <x:c r="C48" s="46" t="str">
        <x:v>LME</x:v>
      </x:c>
      <x:c r="D48" s="58" t="n">
        <x:v>2019</x:v>
      </x:c>
      <x:c r="E48" s="46" t="str">
        <x:v>Balistes capriscus</x:v>
      </x:c>
      <x:c r="F48" s="46" t="str">
        <x:v>Grey triggerfish</x:v>
      </x:c>
      <x:c r="G48" s="46" t="str">
        <x:v>Medium benthopelagics (30 - 89 cm)</x:v>
      </x:c>
      <x:c r="H48" s="46" t="str">
        <x:v>Other fishes &amp; inverts</x:v>
      </x:c>
      <x:c r="I48" s="60" t="n">
        <x:v>1249.7506730854</x:v>
      </x:c>
      <x:c r="J48" s="60" t="n">
        <x:v>1249.7506730854</x:v>
      </x:c>
      <x:c r="K48" s="60" t="n">
        <x:v>0</x:v>
      </x:c>
      <x:c r="L48" s="60" t="n">
        <x:v>1213.8004930432</x:v>
      </x:c>
      <x:c r="M48" s="60" t="n">
        <x:v>35.9501800422</x:v>
      </x:c>
      <x:c r="N48" s="46" t="str">
        <x:v>balistes capriscus</x:v>
      </x:c>
      <x:c r="O48" s="62" t="n">
        <x:v>4.06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Balistes capriscus</x:v>
      </x:c>
      <x:c r="T48" s="62" t="n">
        <x:f>IF(O48="","",(1/'Metadata'!$B$5)^(O48-1))</x:f>
        <x:v>1148.1536214968817</x:v>
      </x:c>
      <x:c r="U48" s="60" t="n">
        <x:f>IF(T48="","",I48*T48)</x:f>
        <x:v>1434905.7612711673</x:v>
      </x:c>
    </x:row>
    <x:row r="49" ht="18" customHeight="1">
      <x:c r="A49" s="46" t="str">
        <x:v>LME_016</x:v>
      </x:c>
      <x:c r="B49" s="46" t="str">
        <x:v>East Brazil Shelf</x:v>
      </x:c>
      <x:c r="C49" s="46" t="str">
        <x:v>LME</x:v>
      </x:c>
      <x:c r="D49" s="58" t="n">
        <x:v>2019</x:v>
      </x:c>
      <x:c r="E49" s="46" t="str">
        <x:v>Panulirus</x:v>
      </x:c>
      <x:c r="F49" s="46" t="str">
        <x:v>Spiny lobsters</x:v>
      </x:c>
      <x:c r="G49" s="46" t="str">
        <x:v>Lobsters, crabs</x:v>
      </x:c>
      <x:c r="H49" s="46" t="str">
        <x:v>Crustaceans</x:v>
      </x:c>
      <x:c r="I49" s="60" t="n">
        <x:v>1196.1162841114</x:v>
      </x:c>
      <x:c r="J49" s="60" t="n">
        <x:v>1196.1162841114</x:v>
      </x:c>
      <x:c r="K49" s="60" t="n">
        <x:v>0</x:v>
      </x:c>
      <x:c r="L49" s="60" t="n">
        <x:v>1171.9271688408</x:v>
      </x:c>
      <x:c r="M49" s="60" t="n">
        <x:v>24.189115270600002</x:v>
      </x:c>
      <x:c r="N49" s="46" t="str">
        <x:v>panulirus</x:v>
      </x:c>
      <x:c r="O49" s="62" t="n">
        <x:v>2.6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Panulirus</x:v>
      </x:c>
      <x:c r="T49" s="62" t="n">
        <x:f>IF(O49="","",(1/'Metadata'!$B$5)^(O49-1))</x:f>
        <x:v>39.810717055349734</x:v>
      </x:c>
      <x:c r="U49" s="60" t="n">
        <x:f>IF(T49="","",I49*T49)</x:f>
        <x:v>47618.24695205526</x:v>
      </x:c>
    </x:row>
    <x:row r="50" ht="18" customHeight="1">
      <x:c r="A50" s="46" t="str">
        <x:v>LME_016</x:v>
      </x:c>
      <x:c r="B50" s="46" t="str">
        <x:v>East Brazil Shelf</x:v>
      </x:c>
      <x:c r="C50" s="46" t="str">
        <x:v>LME</x:v>
      </x:c>
      <x:c r="D50" s="58" t="n">
        <x:v>2019</x:v>
      </x:c>
      <x:c r="E50" s="46" t="str">
        <x:v>Penaeus schmitti</x:v>
      </x:c>
      <x:c r="F50" s="46" t="str">
        <x:v>Southern white shrimp</x:v>
      </x:c>
      <x:c r="G50" s="46" t="str">
        <x:v>Shrimps</x:v>
      </x:c>
      <x:c r="H50" s="46" t="str">
        <x:v>Crustaceans</x:v>
      </x:c>
      <x:c r="I50" s="60" t="n">
        <x:v>1160.8207822507</x:v>
      </x:c>
      <x:c r="J50" s="60" t="n">
        <x:v>1160.8207822507</x:v>
      </x:c>
      <x:c r="K50" s="60" t="n">
        <x:v>0</x:v>
      </x:c>
      <x:c r="L50" s="60" t="n">
        <x:v>1147.3044905396998</x:v>
      </x:c>
      <x:c r="M50" s="60" t="n">
        <x:v>13.516291711000001</x:v>
      </x:c>
      <x:c r="N50" s="46" t="str">
        <x:v>penaeus schmitti</x:v>
      </x:c>
      <x:c r="O50" s="62" t="n">
        <x:v>2.7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Penaeus schmitti</x:v>
      </x:c>
      <x:c r="T50" s="62" t="n">
        <x:f>IF(O50="","",(1/'Metadata'!$B$5)^(O50-1))</x:f>
        <x:v>50.11872336272725</x:v>
      </x:c>
      <x:c r="U50" s="60" t="n">
        <x:f>IF(T50="","",I50*T50)</x:f>
        <x:v>58178.85565932748</x:v>
      </x:c>
    </x:row>
    <x:row r="51" ht="18" customHeight="1">
      <x:c r="A51" s="46" t="str">
        <x:v>LME_016</x:v>
      </x:c>
      <x:c r="B51" s="46" t="str">
        <x:v>East Brazil Shelf</x:v>
      </x:c>
      <x:c r="C51" s="46" t="str">
        <x:v>LME</x:v>
      </x:c>
      <x:c r="D51" s="58" t="n">
        <x:v>2019</x:v>
      </x:c>
      <x:c r="E51" s="46" t="str">
        <x:v>Cetengraulis edentulus</x:v>
      </x:c>
      <x:c r="F51" s="46" t="str">
        <x:v>Atlantic anchoveta</x:v>
      </x:c>
      <x:c r="G51" s="46" t="str">
        <x:v>Small pelagics (&lt;30 cm)</x:v>
      </x:c>
      <x:c r="H51" s="46" t="str">
        <x:v>Anchovies</x:v>
      </x:c>
      <x:c r="I51" s="60" t="n">
        <x:v>1113.3636468961</x:v>
      </x:c>
      <x:c r="J51" s="60" t="n">
        <x:v>1113.3636468961</x:v>
      </x:c>
      <x:c r="K51" s="60" t="n">
        <x:v>0</x:v>
      </x:c>
      <x:c r="L51" s="60" t="n">
        <x:v>1107.2423718496</x:v>
      </x:c>
      <x:c r="M51" s="60" t="n">
        <x:v>6.1212750465</x:v>
      </x:c>
      <x:c r="N51" s="46" t="str">
        <x:v>cetengraulis edentulus</x:v>
      </x:c>
      <x:c r="O51" s="62" t="n">
        <x:v>2.11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Cetengraulis edentulus</x:v>
      </x:c>
      <x:c r="T51" s="62" t="n">
        <x:f>IF(O51="","",(1/'Metadata'!$B$5)^(O51-1))</x:f>
        <x:v>12.882495516931336</x:v>
      </x:c>
      <x:c r="U51" s="60" t="n">
        <x:f>IF(T51="","",I51*T51)</x:f>
        <x:v>14342.90218985333</x:v>
      </x:c>
    </x:row>
    <x:row r="52" ht="18" customHeight="1">
      <x:c r="A52" s="46" t="str">
        <x:v>LME_016</x:v>
      </x:c>
      <x:c r="B52" s="46" t="str">
        <x:v>East Brazil Shelf</x:v>
      </x:c>
      <x:c r="C52" s="46" t="str">
        <x:v>LME</x:v>
      </x:c>
      <x:c r="D52" s="58" t="n">
        <x:v>2019</x:v>
      </x:c>
      <x:c r="E52" s="46" t="str">
        <x:v>Notarius quadriscutis</x:v>
      </x:c>
      <x:c r="F52" s="46" t="str">
        <x:v>Bressou sea catfish</x:v>
      </x:c>
      <x:c r="G52" s="46" t="str">
        <x:v>Medium demersals (30 - 89 cm)</x:v>
      </x:c>
      <x:c r="H52" s="46" t="str">
        <x:v>Other fishes &amp; inverts</x:v>
      </x:c>
      <x:c r="I52" s="60" t="n">
        <x:v>1065.5007225896002</x:v>
      </x:c>
      <x:c r="J52" s="60" t="n">
        <x:v>1065.5007225896002</x:v>
      </x:c>
      <x:c r="K52" s="60" t="n">
        <x:v>0</x:v>
      </x:c>
      <x:c r="L52" s="60" t="n">
        <x:v>1056.7439348872</x:v>
      </x:c>
      <x:c r="M52" s="60" t="n">
        <x:v>8.7567877024</x:v>
      </x:c>
      <x:c r="N52" s="46" t="str">
        <x:v>notarius quadriscutis</x:v>
      </x:c>
      <x:c r="O52" s="62" t="n">
        <x:v>3.5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Notarius quadriscutis</x:v>
      </x:c>
      <x:c r="T52" s="62" t="n">
        <x:f>IF(O52="","",(1/'Metadata'!$B$5)^(O52-1))</x:f>
        <x:v>316.22776601683796</x:v>
      </x:c>
      <x:c r="U52" s="60" t="n">
        <x:f>IF(T52="","",I52*T52)</x:f>
        <x:v>336940.9131938359</x:v>
      </x:c>
    </x:row>
    <x:row r="53" ht="18" customHeight="1">
      <x:c r="A53" s="46" t="str">
        <x:v>LME_016</x:v>
      </x:c>
      <x:c r="B53" s="46" t="str">
        <x:v>East Brazil Shelf</x:v>
      </x:c>
      <x:c r="C53" s="46" t="str">
        <x:v>LME</x:v>
      </x:c>
      <x:c r="D53" s="58" t="n">
        <x:v>2019</x:v>
      </x:c>
      <x:c r="E53" s="46" t="str">
        <x:v>Coryphaena hippurus</x:v>
      </x:c>
      <x:c r="F53" s="46" t="str">
        <x:v>Common dolphinfish</x:v>
      </x:c>
      <x:c r="G53" s="46" t="str">
        <x:v>Large pelagics (&gt;=90 cm)</x:v>
      </x:c>
      <x:c r="H53" s="46" t="str">
        <x:v>Perch-likes</x:v>
      </x:c>
      <x:c r="I53" s="60" t="n">
        <x:v>1058.4078923028</x:v>
      </x:c>
      <x:c r="J53" s="60" t="n">
        <x:v>1058.4078923028</x:v>
      </x:c>
      <x:c r="K53" s="60" t="n">
        <x:v>0</x:v>
      </x:c>
      <x:c r="L53" s="60" t="n">
        <x:v>454.7821742866</x:v>
      </x:c>
      <x:c r="M53" s="60" t="n">
        <x:v>603.6257180161999</x:v>
      </x:c>
      <x:c r="N53" s="46" t="str">
        <x:v>coryphaena hippurus</x:v>
      </x:c>
      <x:c r="O53" s="62" t="n">
        <x:v>4.37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Coryphaena hippurus</x:v>
      </x:c>
      <x:c r="T53" s="62" t="n">
        <x:f>IF(O53="","",(1/'Metadata'!$B$5)^(O53-1))</x:f>
        <x:v>2344.228815319923</x:v>
      </x:c>
      <x:c r="U53" s="60" t="n">
        <x:f>IF(T53="","",I53*T53)</x:f>
        <x:v>2481150.2794982498</x:v>
      </x:c>
    </x:row>
    <x:row r="54" ht="18" customHeight="1">
      <x:c r="A54" s="46" t="str">
        <x:v>LME_016</x:v>
      </x:c>
      <x:c r="B54" s="46" t="str">
        <x:v>East Brazil Shelf</x:v>
      </x:c>
      <x:c r="C54" s="46" t="str">
        <x:v>LME</x:v>
      </x:c>
      <x:c r="D54" s="58" t="n">
        <x:v>2019</x:v>
      </x:c>
      <x:c r="E54" s="46" t="str">
        <x:v>Cynoscion jamaicensis</x:v>
      </x:c>
      <x:c r="F54" s="46" t="str">
        <x:v>Jamaica weakfish</x:v>
      </x:c>
      <x:c r="G54" s="46" t="str">
        <x:v>Medium demersals (30 - 89 cm)</x:v>
      </x:c>
      <x:c r="H54" s="46" t="str">
        <x:v>Perch-likes</x:v>
      </x:c>
      <x:c r="I54" s="60" t="n">
        <x:v>1049.9653588147</x:v>
      </x:c>
      <x:c r="J54" s="60" t="n">
        <x:v>1049.9653588147</x:v>
      </x:c>
      <x:c r="K54" s="60" t="n">
        <x:v>0</x:v>
      </x:c>
      <x:c r="L54" s="60" t="n">
        <x:v>1041.9916581881</x:v>
      </x:c>
      <x:c r="M54" s="60" t="n">
        <x:v>7.9737006266</x:v>
      </x:c>
      <x:c r="N54" s="46" t="str">
        <x:v>cynoscion jamaicensis</x:v>
      </x:c>
      <x:c r="O54" s="62" t="n">
        <x:v>3.84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Cynoscion jamaicensis</x:v>
      </x:c>
      <x:c r="T54" s="62" t="n">
        <x:f>IF(O54="","",(1/'Metadata'!$B$5)^(O54-1))</x:f>
        <x:v>691.8309709189363</x:v>
      </x:c>
      <x:c r="U54" s="60" t="n">
        <x:f>IF(T54="","",I54*T54)</x:f>
        <x:v>726398.5536200232</x:v>
      </x:c>
    </x:row>
    <x:row r="55" ht="18" customHeight="1">
      <x:c r="A55" s="46" t="str">
        <x:v>LME_016</x:v>
      </x:c>
      <x:c r="B55" s="46" t="str">
        <x:v>East Brazil Shelf</x:v>
      </x:c>
      <x:c r="C55" s="46" t="str">
        <x:v>LME</x:v>
      </x:c>
      <x:c r="D55" s="58" t="n">
        <x:v>2019</x:v>
      </x:c>
      <x:c r="E55" s="46" t="str">
        <x:v>Xiphias gladius</x:v>
      </x:c>
      <x:c r="F55" s="46" t="str">
        <x:v>Swordfish</x:v>
      </x:c>
      <x:c r="G55" s="46" t="str">
        <x:v>Large pelagics (&gt;=90 cm)</x:v>
      </x:c>
      <x:c r="H55" s="46" t="str">
        <x:v>Tuna &amp; billfishes</x:v>
      </x:c>
      <x:c r="I55" s="60" t="n">
        <x:v>1034.6812729583</x:v>
      </x:c>
      <x:c r="J55" s="60" t="n">
        <x:v>1034.6812729583</x:v>
      </x:c>
      <x:c r="K55" s="60" t="n">
        <x:v>0</x:v>
      </x:c>
      <x:c r="L55" s="60" t="n">
        <x:v>1012.2741416750001</x:v>
      </x:c>
      <x:c r="M55" s="60" t="n">
        <x:v>22.4071312833</x:v>
      </x:c>
      <x:c r="N55" s="46" t="str">
        <x:v>xiphias gladius</x:v>
      </x:c>
      <x:c r="O55" s="62" t="n">
        <x:v>4.53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Xiphias gladius</x:v>
      </x:c>
      <x:c r="T55" s="62" t="n">
        <x:f>IF(O55="","",(1/'Metadata'!$B$5)^(O55-1))</x:f>
        <x:v>3388.4415613920273</x:v>
      </x:c>
      <x:c r="U55" s="60" t="n">
        <x:f>IF(T55="","",I55*T55)</x:f>
        <x:v>3505957.0280859126</x:v>
      </x:c>
    </x:row>
    <x:row r="56" ht="18" customHeight="1">
      <x:c r="A56" s="46" t="str">
        <x:v>LME_016</x:v>
      </x:c>
      <x:c r="B56" s="46" t="str">
        <x:v>East Brazil Shelf</x:v>
      </x:c>
      <x:c r="C56" s="46" t="str">
        <x:v>LME</x:v>
      </x:c>
      <x:c r="D56" s="58" t="n">
        <x:v>2019</x:v>
      </x:c>
      <x:c r="E56" s="46" t="str">
        <x:v>Engraulidae</x:v>
      </x:c>
      <x:c r="F56" s="46" t="str">
        <x:v>Anchovies, round herrings</x:v>
      </x:c>
      <x:c r="G56" s="46" t="str">
        <x:v>Small pelagics (&lt;30 cm)</x:v>
      </x:c>
      <x:c r="H56" s="46" t="str">
        <x:v>Anchovies</x:v>
      </x:c>
      <x:c r="I56" s="60" t="n">
        <x:v>951.7477637961</x:v>
      </x:c>
      <x:c r="J56" s="60" t="n">
        <x:v>951.7477637961</x:v>
      </x:c>
      <x:c r="K56" s="60" t="n">
        <x:v>0</x:v>
      </x:c>
      <x:c r="L56" s="60" t="n">
        <x:v>640.4536031707</x:v>
      </x:c>
      <x:c r="M56" s="60" t="n">
        <x:v>311.2941606254</x:v>
      </x:c>
      <x:c r="N56" s="46" t="str">
        <x:v>engraulidae</x:v>
      </x:c>
      <x:c r="O56" s="62" t="n">
        <x:v>3.2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Engraulidae</x:v>
      </x:c>
      <x:c r="T56" s="62" t="n">
        <x:f>IF(O56="","",(1/'Metadata'!$B$5)^(O56-1))</x:f>
        <x:v>158.48931924611142</x:v>
      </x:c>
      <x:c r="U56" s="60" t="n">
        <x:f>IF(T56="","",I56*T56)</x:f>
        <x:v>150841.85517805273</x:v>
      </x:c>
    </x:row>
    <x:row r="57" ht="18" customHeight="1">
      <x:c r="A57" s="46" t="str">
        <x:v>LME_016</x:v>
      </x:c>
      <x:c r="B57" s="46" t="str">
        <x:v>East Brazil Shelf</x:v>
      </x:c>
      <x:c r="C57" s="46" t="str">
        <x:v>LME</x:v>
      </x:c>
      <x:c r="D57" s="58" t="n">
        <x:v>2019</x:v>
      </x:c>
      <x:c r="E57" s="46" t="str">
        <x:v>Porichthys porosissimus</x:v>
      </x:c>
      <x:c r="F57" s="46" t="str">
        <x:v>South American toadfish</x:v>
      </x:c>
      <x:c r="G57" s="46" t="str">
        <x:v>Small demersals (&lt;30 cm)</x:v>
      </x:c>
      <x:c r="H57" s="46" t="str">
        <x:v>Other fishes &amp; inverts</x:v>
      </x:c>
      <x:c r="I57" s="60" t="n">
        <x:v>942.6250808382</x:v>
      </x:c>
      <x:c r="J57" s="60" t="n">
        <x:v>29.0134270142</x:v>
      </x:c>
      <x:c r="K57" s="60" t="n">
        <x:v>913.6116538240001</x:v>
      </x:c>
      <x:c r="L57" s="60" t="n">
        <x:v>28.4488593363</x:v>
      </x:c>
      <x:c r="M57" s="60" t="n">
        <x:v>914.1762215019</x:v>
      </x:c>
      <x:c r="N57" s="46" t="str">
        <x:v>porichthys porosissimus</x:v>
      </x:c>
      <x:c r="O57" s="62" t="n">
        <x:v>3.73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Porichthys porosissimus</x:v>
      </x:c>
      <x:c r="T57" s="62" t="n">
        <x:f>IF(O57="","",(1/'Metadata'!$B$5)^(O57-1))</x:f>
        <x:v>537.0317963702527</x:v>
      </x:c>
      <x:c r="U57" s="60" t="n">
        <x:f>IF(T57="","",I57*T57)</x:f>
        <x:v>506219.6404661932</x:v>
      </x:c>
    </x:row>
    <x:row r="58" ht="18" customHeight="1">
      <x:c r="A58" s="46" t="str">
        <x:v>LME_016</x:v>
      </x:c>
      <x:c r="B58" s="46" t="str">
        <x:v>East Brazil Shelf</x:v>
      </x:c>
      <x:c r="C58" s="46" t="str">
        <x:v>LME</x:v>
      </x:c>
      <x:c r="D58" s="58" t="n">
        <x:v>2019</x:v>
      </x:c>
      <x:c r="E58" s="46" t="str">
        <x:v>Penaeus subtilis</x:v>
      </x:c>
      <x:c r="F58" s="46" t="str">
        <x:v>Southern brown shrimp</x:v>
      </x:c>
      <x:c r="G58" s="46" t="str">
        <x:v>Shrimps</x:v>
      </x:c>
      <x:c r="H58" s="46" t="str">
        <x:v>Crustaceans</x:v>
      </x:c>
      <x:c r="I58" s="60" t="n">
        <x:v>934.2390300865</x:v>
      </x:c>
      <x:c r="J58" s="60" t="n">
        <x:v>934.2390300865</x:v>
      </x:c>
      <x:c r="K58" s="60" t="n">
        <x:v>0</x:v>
      </x:c>
      <x:c r="L58" s="60" t="n">
        <x:v>911.4278720868</x:v>
      </x:c>
      <x:c r="M58" s="60" t="n">
        <x:v>22.8111579997</x:v>
      </x:c>
      <x:c r="N58" s="46" t="str">
        <x:v>penaeus subtilis</x:v>
      </x:c>
      <x:c r="O58" s="62" t="n">
        <x:v>2.76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Penaeus subtilis</x:v>
      </x:c>
      <x:c r="T58" s="62" t="n">
        <x:f>IF(O58="","",(1/'Metadata'!$B$5)^(O58-1))</x:f>
        <x:v>57.543993733715666</x:v>
      </x:c>
      <x:c r="U58" s="60" t="n">
        <x:f>IF(T58="","",I58*T58)</x:f>
        <x:v>53759.84489309016</x:v>
      </x:c>
    </x:row>
    <x:row r="59" ht="18" customHeight="1">
      <x:c r="A59" s="46" t="str">
        <x:v>LME_016</x:v>
      </x:c>
      <x:c r="B59" s="46" t="str">
        <x:v>East Brazil Shelf</x:v>
      </x:c>
      <x:c r="C59" s="46" t="str">
        <x:v>LME</x:v>
      </x:c>
      <x:c r="D59" s="58" t="n">
        <x:v>2019</x:v>
      </x:c>
      <x:c r="E59" s="46" t="str">
        <x:v>Lutjanus synagris</x:v>
      </x:c>
      <x:c r="F59" s="46" t="str">
        <x:v>Lane snapper</x:v>
      </x:c>
      <x:c r="G59" s="46" t="str">
        <x:v>Medium reef assoc. fish (30 - 89 cm)</x:v>
      </x:c>
      <x:c r="H59" s="46" t="str">
        <x:v>Perch-likes</x:v>
      </x:c>
      <x:c r="I59" s="60" t="n">
        <x:v>888.2609942998</x:v>
      </x:c>
      <x:c r="J59" s="60" t="n">
        <x:v>888.2609942998</x:v>
      </x:c>
      <x:c r="K59" s="60" t="n">
        <x:v>0</x:v>
      </x:c>
      <x:c r="L59" s="60" t="n">
        <x:v>835.6568870611001</x:v>
      </x:c>
      <x:c r="M59" s="60" t="n">
        <x:v>52.6041072387</x:v>
      </x:c>
      <x:c r="N59" s="46" t="str">
        <x:v>lutjanus synagris</x:v>
      </x:c>
      <x:c r="O59" s="62" t="n">
        <x:v>3.82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Lutjanus synagris</x:v>
      </x:c>
      <x:c r="T59" s="62" t="n">
        <x:f>IF(O59="","",(1/'Metadata'!$B$5)^(O59-1))</x:f>
        <x:v>660.6934480075957</x:v>
      </x:c>
      <x:c r="U59" s="60" t="n">
        <x:f>IF(T59="","",I59*T59)</x:f>
        <x:v>586868.2190545902</x:v>
      </x:c>
    </x:row>
    <x:row r="60" ht="18" customHeight="1">
      <x:c r="A60" s="46" t="str">
        <x:v>LME_016</x:v>
      </x:c>
      <x:c r="B60" s="46" t="str">
        <x:v>East Brazil Shelf</x:v>
      </x:c>
      <x:c r="C60" s="46" t="str">
        <x:v>LME</x:v>
      </x:c>
      <x:c r="D60" s="58" t="n">
        <x:v>2019</x:v>
      </x:c>
      <x:c r="E60" s="46" t="str">
        <x:v>Sciades parkeri</x:v>
      </x:c>
      <x:c r="F60" s="46" t="str">
        <x:v>Gillbacker sea catfish</x:v>
      </x:c>
      <x:c r="G60" s="46" t="str">
        <x:v>Large demersals (&gt;=90 cm)</x:v>
      </x:c>
      <x:c r="H60" s="46" t="str">
        <x:v>Other fishes &amp; inverts</x:v>
      </x:c>
      <x:c r="I60" s="60" t="n">
        <x:v>864.3120748581</x:v>
      </x:c>
      <x:c r="J60" s="60" t="n">
        <x:v>864.3120748581</x:v>
      </x:c>
      <x:c r="K60" s="60" t="n">
        <x:v>0</x:v>
      </x:c>
      <x:c r="L60" s="60" t="n">
        <x:v>844.3794641346</x:v>
      </x:c>
      <x:c r="M60" s="60" t="n">
        <x:v>19.9326107235</x:v>
      </x:c>
      <x:c r="N60" s="46" t="str">
        <x:v>sciades parkeri</x:v>
      </x:c>
      <x:c r="O60" s="62" t="n">
        <x:v>4.14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Sciades parkeri</x:v>
      </x:c>
      <x:c r="T60" s="62" t="n">
        <x:f>IF(O60="","",(1/'Metadata'!$B$5)^(O60-1))</x:f>
        <x:v>1380.3842646028838</x:v>
      </x:c>
      <x:c r="U60" s="60" t="n">
        <x:f>IF(T60="","",I60*T60)</x:f>
        <x:v>1193082.787840391</x:v>
      </x:c>
    </x:row>
    <x:row r="61" ht="18" customHeight="1">
      <x:c r="A61" s="46" t="str">
        <x:v>LME_016</x:v>
      </x:c>
      <x:c r="B61" s="46" t="str">
        <x:v>East Brazil Shelf</x:v>
      </x:c>
      <x:c r="C61" s="46" t="str">
        <x:v>LME</x:v>
      </x:c>
      <x:c r="D61" s="58" t="n">
        <x:v>2019</x:v>
      </x:c>
      <x:c r="E61" s="46" t="str">
        <x:v>Lophius gastrophysus</x:v>
      </x:c>
      <x:c r="F61" s="46" t="str">
        <x:v>Blackfin goosefish</x:v>
      </x:c>
      <x:c r="G61" s="46" t="str">
        <x:v>Medium bathydemersals (30 - 89 cm)</x:v>
      </x:c>
      <x:c r="H61" s="46" t="str">
        <x:v>Other fishes &amp; inverts</x:v>
      </x:c>
      <x:c r="I61" s="60" t="n">
        <x:v>805.1523824191</x:v>
      </x:c>
      <x:c r="J61" s="60" t="n">
        <x:v>805.1523824191</x:v>
      </x:c>
      <x:c r="K61" s="60" t="n">
        <x:v>0</x:v>
      </x:c>
      <x:c r="L61" s="60" t="n">
        <x:v>789.3724109620999</x:v>
      </x:c>
      <x:c r="M61" s="60" t="n">
        <x:v>15.779971457</x:v>
      </x:c>
      <x:c r="N61" s="46" t="str">
        <x:v>lophius gastrophysus</x:v>
      </x:c>
      <x:c r="O61" s="62" t="n">
        <x:v>4.49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Lophius gastrophysus</x:v>
      </x:c>
      <x:c r="T61" s="62" t="n">
        <x:f>IF(O61="","",(1/'Metadata'!$B$5)^(O61-1))</x:f>
        <x:v>3090.295432513592</x:v>
      </x:c>
      <x:c r="U61" s="60" t="n">
        <x:f>IF(T61="","",I61*T61)</x:f>
        <x:v>2488158.7298671817</x:v>
      </x:c>
    </x:row>
    <x:row r="62" ht="18" customHeight="1">
      <x:c r="A62" s="46" t="str">
        <x:v>LME_016</x:v>
      </x:c>
      <x:c r="B62" s="46" t="str">
        <x:v>East Brazil Shelf</x:v>
      </x:c>
      <x:c r="C62" s="46" t="str">
        <x:v>LME</x:v>
      </x:c>
      <x:c r="D62" s="58" t="n">
        <x:v>2019</x:v>
      </x:c>
      <x:c r="E62" s="46" t="str">
        <x:v>Pellona harroweri</x:v>
      </x:c>
      <x:c r="F62" s="46" t="str">
        <x:v>American coastal pellona</x:v>
      </x:c>
      <x:c r="G62" s="46" t="str">
        <x:v>Small pelagics (&lt;30 cm)</x:v>
      </x:c>
      <x:c r="H62" s="46" t="str">
        <x:v>Herring-likes</x:v>
      </x:c>
      <x:c r="I62" s="60" t="n">
        <x:v>791.7773615464</x:v>
      </x:c>
      <x:c r="J62" s="60" t="n">
        <x:v>0.5067087527999999</x:v>
      </x:c>
      <x:c r="K62" s="60" t="n">
        <x:v>791.2706527936</x:v>
      </x:c>
      <x:c r="L62" s="60" t="n">
        <x:v>0.4927993637</x:v>
      </x:c>
      <x:c r="M62" s="60" t="n">
        <x:v>791.2845621827</x:v>
      </x:c>
      <x:c r="N62" s="46" t="str">
        <x:v>pellona harroweri</x:v>
      </x:c>
      <x:c r="O62" s="62" t="n">
        <x:v>4.2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Pellona harroweri</x:v>
      </x:c>
      <x:c r="T62" s="62" t="n">
        <x:f>IF(O62="","",(1/'Metadata'!$B$5)^(O62-1))</x:f>
        <x:v>1584.893192461114</x:v>
      </x:c>
      <x:c r="U62" s="60" t="n">
        <x:f>IF(T62="","",I62*T62)</x:f>
        <x:v>1254882.5502597117</x:v>
      </x:c>
    </x:row>
    <x:row r="63" ht="18" customHeight="1">
      <x:c r="A63" s="46" t="str">
        <x:v>LME_016</x:v>
      </x:c>
      <x:c r="B63" s="46" t="str">
        <x:v>East Brazil Shelf</x:v>
      </x:c>
      <x:c r="C63" s="46" t="str">
        <x:v>LME</x:v>
      </x:c>
      <x:c r="D63" s="58" t="n">
        <x:v>2019</x:v>
      </x:c>
      <x:c r="E63" s="46" t="str">
        <x:v>Seriola lalandi</x:v>
      </x:c>
      <x:c r="F63" s="46" t="str">
        <x:v>Yellowtail amberjack</x:v>
      </x:c>
      <x:c r="G63" s="46" t="str">
        <x:v>Large benthopelagics (&gt;=90 cm)</x:v>
      </x:c>
      <x:c r="H63" s="46" t="str">
        <x:v>Perch-likes</x:v>
      </x:c>
      <x:c r="I63" s="60" t="n">
        <x:v>779.6643643423</x:v>
      </x:c>
      <x:c r="J63" s="60" t="n">
        <x:v>779.6643643423</x:v>
      </x:c>
      <x:c r="K63" s="60" t="n">
        <x:v>0</x:v>
      </x:c>
      <x:c r="L63" s="60" t="n">
        <x:v>751.6076319435</x:v>
      </x:c>
      <x:c r="M63" s="60" t="n">
        <x:v>28.0567323988</x:v>
      </x:c>
      <x:c r="N63" s="46" t="str">
        <x:v>seriola lalandi</x:v>
      </x:c>
      <x:c r="O63" s="62" t="n">
        <x:v>4.16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Seriola lalandi</x:v>
      </x:c>
      <x:c r="T63" s="62" t="n">
        <x:f>IF(O63="","",(1/'Metadata'!$B$5)^(O63-1))</x:f>
        <x:v>1445.439770745928</x:v>
      </x:c>
      <x:c r="U63" s="60" t="n">
        <x:f>IF(T63="","",I63*T63)</x:f>
        <x:v>1126957.8800537037</x:v>
      </x:c>
    </x:row>
    <x:row r="64" ht="18" customHeight="1">
      <x:c r="A64" s="46" t="str">
        <x:v>LME_016</x:v>
      </x:c>
      <x:c r="B64" s="46" t="str">
        <x:v>East Brazil Shelf</x:v>
      </x:c>
      <x:c r="C64" s="46" t="str">
        <x:v>LME</x:v>
      </x:c>
      <x:c r="D64" s="58" t="n">
        <x:v>2019</x:v>
      </x:c>
      <x:c r="E64" s="46" t="str">
        <x:v>Clupeiformes</x:v>
      </x:c>
      <x:c r="F64" s="46" t="str">
        <x:v>Herrings, shads, anchovies</x:v>
      </x:c>
      <x:c r="G64" s="46" t="str">
        <x:v>Small pelagics (&lt;30 cm)</x:v>
      </x:c>
      <x:c r="H64" s="46" t="str">
        <x:v>Other fishes &amp; inverts</x:v>
      </x:c>
      <x:c r="I64" s="60" t="n">
        <x:v>771.0917664042</x:v>
      </x:c>
      <x:c r="J64" s="60" t="n">
        <x:v>771.0917664042</x:v>
      </x:c>
      <x:c r="K64" s="60" t="n">
        <x:v>0</x:v>
      </x:c>
      <x:c r="L64" s="60" t="n">
        <x:v>771.0917664042</x:v>
      </x:c>
      <x:c r="M64" s="60" t="n">
        <x:v>0</x:v>
      </x:c>
      <x:c r="N64" s="46" t="str">
        <x:v>clupeiformes</x:v>
      </x:c>
      <x:c r="O64" s="62" t="n">
        <x:v>3.24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Clupeiformes</x:v>
      </x:c>
      <x:c r="T64" s="62" t="n">
        <x:f>IF(O64="","",(1/'Metadata'!$B$5)^(O64-1))</x:f>
        <x:v>173.78008287493762</x:v>
      </x:c>
      <x:c r="U64" s="60" t="n">
        <x:f>IF(T64="","",I64*T64)</x:f>
        <x:v>134000.3910699039</x:v>
      </x:c>
    </x:row>
    <x:row r="65" ht="18" customHeight="1">
      <x:c r="A65" s="46" t="str">
        <x:v>LME_016</x:v>
      </x:c>
      <x:c r="B65" s="46" t="str">
        <x:v>East Brazil Shelf</x:v>
      </x:c>
      <x:c r="C65" s="46" t="str">
        <x:v>LME</x:v>
      </x:c>
      <x:c r="D65" s="58" t="n">
        <x:v>2019</x:v>
      </x:c>
      <x:c r="E65" s="46" t="str">
        <x:v>Carangidae</x:v>
      </x:c>
      <x:c r="F65" s="46" t="str">
        <x:v>Jacks, pompanos</x:v>
      </x:c>
      <x:c r="G65" s="46" t="str">
        <x:v>Medium pelagics (30 - 89 cm)</x:v>
      </x:c>
      <x:c r="H65" s="46" t="str">
        <x:v>Perch-likes</x:v>
      </x:c>
      <x:c r="I65" s="60" t="n">
        <x:v>734.2409334713999</x:v>
      </x:c>
      <x:c r="J65" s="60" t="n">
        <x:v>672.8273061932999</x:v>
      </x:c>
      <x:c r="K65" s="60" t="n">
        <x:v>61.4136272781</x:v>
      </x:c>
      <x:c r="L65" s="60" t="n">
        <x:v>538.5320453132999</x:v>
      </x:c>
      <x:c r="M65" s="60" t="n">
        <x:v>195.7088881581</x:v>
      </x:c>
      <x:c r="N65" s="46" t="str">
        <x:v>carangidae</x:v>
      </x:c>
      <x:c r="O65" s="62" t="n">
        <x:v>4.05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Carangidae</x:v>
      </x:c>
      <x:c r="T65" s="62" t="n">
        <x:f>IF(O65="","",(1/'Metadata'!$B$5)^(O65-1))</x:f>
        <x:v>1122.018454301963</x:v>
      </x:c>
      <x:c r="U65" s="60" t="n">
        <x:f>IF(T65="","",I65*T65)</x:f>
        <x:v>823831.8772588106</x:v>
      </x:c>
    </x:row>
    <x:row r="66" ht="18" customHeight="1">
      <x:c r="A66" s="46" t="str">
        <x:v>LME_016</x:v>
      </x:c>
      <x:c r="B66" s="46" t="str">
        <x:v>East Brazil Shelf</x:v>
      </x:c>
      <x:c r="C66" s="46" t="str">
        <x:v>LME</x:v>
      </x:c>
      <x:c r="D66" s="58" t="n">
        <x:v>2019</x:v>
      </x:c>
      <x:c r="E66" s="46" t="str">
        <x:v>Veneridae</x:v>
      </x:c>
      <x:c r="F66" s="46" t="str">
        <x:v>Venus clams</x:v>
      </x:c>
      <x:c r="G66" s="46" t="str">
        <x:v>Other demersal invertebrates</x:v>
      </x:c>
      <x:c r="H66" s="46" t="str">
        <x:v>Molluscs</x:v>
      </x:c>
      <x:c r="I66" s="60" t="n">
        <x:v>708.4193910749</x:v>
      </x:c>
      <x:c r="J66" s="60" t="n">
        <x:v>708.4193910749</x:v>
      </x:c>
      <x:c r="K66" s="60" t="n">
        <x:v>0</x:v>
      </x:c>
      <x:c r="L66" s="60" t="n">
        <x:v>438.3534027484</x:v>
      </x:c>
      <x:c r="M66" s="60" t="n">
        <x:v>270.0659883265</x:v>
      </x:c>
      <x:c r="N66" s="46" t="str">
        <x:v>veneridae</x:v>
      </x:c>
      <x:c r="O66" s="62" t="n">
        <x:v>2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Veneridae</x:v>
      </x:c>
      <x:c r="T66" s="62" t="n">
        <x:f>IF(O66="","",(1/'Metadata'!$B$5)^(O66-1))</x:f>
        <x:v>10</x:v>
      </x:c>
      <x:c r="U66" s="60" t="n">
        <x:f>IF(T66="","",I66*T66)</x:f>
        <x:v>7084.193910749</x:v>
      </x:c>
    </x:row>
    <x:row r="67" ht="18" customHeight="1">
      <x:c r="A67" s="46" t="str">
        <x:v>LME_016</x:v>
      </x:c>
      <x:c r="B67" s="46" t="str">
        <x:v>East Brazil Shelf</x:v>
      </x:c>
      <x:c r="C67" s="46" t="str">
        <x:v>LME</x:v>
      </x:c>
      <x:c r="D67" s="58" t="n">
        <x:v>2019</x:v>
      </x:c>
      <x:c r="E67" s="46" t="str">
        <x:v>Genyatremus luteus</x:v>
      </x:c>
      <x:c r="F67" s="46" t="str">
        <x:v>Torroto grunt</x:v>
      </x:c>
      <x:c r="G67" s="46" t="str">
        <x:v>Medium demersals (30 - 89 cm)</x:v>
      </x:c>
      <x:c r="H67" s="46" t="str">
        <x:v>Perch-likes</x:v>
      </x:c>
      <x:c r="I67" s="60" t="n">
        <x:v>694.7938237985001</x:v>
      </x:c>
      <x:c r="J67" s="60" t="n">
        <x:v>507.8504816723001</x:v>
      </x:c>
      <x:c r="K67" s="60" t="n">
        <x:v>186.94334212619998</x:v>
      </x:c>
      <x:c r="L67" s="60" t="n">
        <x:v>491.5909339081</x:v>
      </x:c>
      <x:c r="M67" s="60" t="n">
        <x:v>203.2028898904</x:v>
      </x:c>
      <x:c r="N67" s="46" t="str">
        <x:v>genyatremus luteus</x:v>
      </x:c>
      <x:c r="O67" s="62" t="n">
        <x:v>3.5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Genyatremus luteus</x:v>
      </x:c>
      <x:c r="T67" s="62" t="n">
        <x:f>IF(O67="","",(1/'Metadata'!$B$5)^(O67-1))</x:f>
        <x:v>316.22776601683796</x:v>
      </x:c>
      <x:c r="U67" s="60" t="n">
        <x:f>IF(T67="","",I67*T67)</x:f>
        <x:v>219713.09874209622</x:v>
      </x:c>
    </x:row>
    <x:row r="68" ht="18" customHeight="1">
      <x:c r="A68" s="46" t="str">
        <x:v>LME_016</x:v>
      </x:c>
      <x:c r="B68" s="46" t="str">
        <x:v>East Brazil Shelf</x:v>
      </x:c>
      <x:c r="C68" s="46" t="str">
        <x:v>LME</x:v>
      </x:c>
      <x:c r="D68" s="58" t="n">
        <x:v>2019</x:v>
      </x:c>
      <x:c r="E68" s="46" t="str">
        <x:v>Lagocephalus laevigatus</x:v>
      </x:c>
      <x:c r="F68" s="46" t="str">
        <x:v>Smooth puffer</x:v>
      </x:c>
      <x:c r="G68" s="46" t="str">
        <x:v>Medium pelagics (30 - 89 cm)</x:v>
      </x:c>
      <x:c r="H68" s="46" t="str">
        <x:v>Other fishes &amp; inverts</x:v>
      </x:c>
      <x:c r="I68" s="60" t="n">
        <x:v>672.0511045714</x:v>
      </x:c>
      <x:c r="J68" s="60" t="n">
        <x:v>672.0511045714</x:v>
      </x:c>
      <x:c r="K68" s="60" t="n">
        <x:v>0</x:v>
      </x:c>
      <x:c r="L68" s="60" t="n">
        <x:v>645.0756742926</x:v>
      </x:c>
      <x:c r="M68" s="60" t="n">
        <x:v>26.9754302788</x:v>
      </x:c>
      <x:c r="N68" s="46" t="str">
        <x:v>lagocephalus laevigatus</x:v>
      </x:c>
      <x:c r="O68" s="62" t="n">
        <x:v>4.02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Lagocephalus laevigatus</x:v>
      </x:c>
      <x:c r="T68" s="62" t="n">
        <x:f>IF(O68="","",(1/'Metadata'!$B$5)^(O68-1))</x:f>
        <x:v>1047.1285480508984</x:v>
      </x:c>
      <x:c r="U68" s="60" t="n">
        <x:f>IF(T68="","",I68*T68)</x:f>
        <x:v>703723.8973458526</x:v>
      </x:c>
    </x:row>
    <x:row r="69" ht="18" customHeight="1">
      <x:c r="A69" s="46" t="str">
        <x:v>LME_016</x:v>
      </x:c>
      <x:c r="B69" s="46" t="str">
        <x:v>East Brazil Shelf</x:v>
      </x:c>
      <x:c r="C69" s="46" t="str">
        <x:v>LME</x:v>
      </x:c>
      <x:c r="D69" s="58" t="n">
        <x:v>2019</x:v>
      </x:c>
      <x:c r="E69" s="46" t="str">
        <x:v>Gerreidae</x:v>
      </x:c>
      <x:c r="F69" s="46" t="str">
        <x:v>Mojarras, silverbellies</x:v>
      </x:c>
      <x:c r="G69" s="46" t="str">
        <x:v>Small benthopelagics (&lt;30 cm)</x:v>
      </x:c>
      <x:c r="H69" s="46" t="str">
        <x:v>Perch-likes</x:v>
      </x:c>
      <x:c r="I69" s="60" t="n">
        <x:v>666.9879003876999</x:v>
      </x:c>
      <x:c r="J69" s="60" t="n">
        <x:v>666.9879003876999</x:v>
      </x:c>
      <x:c r="K69" s="60" t="n">
        <x:v>0</x:v>
      </x:c>
      <x:c r="L69" s="60" t="n">
        <x:v>648.0871998719</x:v>
      </x:c>
      <x:c r="M69" s="60" t="n">
        <x:v>18.9007005158</x:v>
      </x:c>
      <x:c r="N69" s="46" t="str">
        <x:v>gerreidae</x:v>
      </x:c>
      <x:c r="O69" s="62" t="n">
        <x:v>3.03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Gerreidae</x:v>
      </x:c>
      <x:c r="T69" s="62" t="n">
        <x:f>IF(O69="","",(1/'Metadata'!$B$5)^(O69-1))</x:f>
        <x:v>107.1519305237606</x:v>
      </x:c>
      <x:c r="U69" s="60" t="n">
        <x:f>IF(T69="","",I69*T69)</x:f>
        <x:v>71469.04116253178</x:v>
      </x:c>
    </x:row>
    <x:row r="70" ht="18" customHeight="1">
      <x:c r="A70" s="46" t="str">
        <x:v>LME_016</x:v>
      </x:c>
      <x:c r="B70" s="46" t="str">
        <x:v>East Brazil Shelf</x:v>
      </x:c>
      <x:c r="C70" s="46" t="str">
        <x:v>LME</x:v>
      </x:c>
      <x:c r="D70" s="58" t="n">
        <x:v>2019</x:v>
      </x:c>
      <x:c r="E70" s="46" t="str">
        <x:v>Thunnus obesus</x:v>
      </x:c>
      <x:c r="F70" s="46" t="str">
        <x:v>Bigeye tuna</x:v>
      </x:c>
      <x:c r="G70" s="46" t="str">
        <x:v>Large pelagics (&gt;=90 cm)</x:v>
      </x:c>
      <x:c r="H70" s="46" t="str">
        <x:v>Tuna &amp; billfishes</x:v>
      </x:c>
      <x:c r="I70" s="60" t="n">
        <x:v>665.2449553856001</x:v>
      </x:c>
      <x:c r="J70" s="60" t="n">
        <x:v>665.2449553856001</x:v>
      </x:c>
      <x:c r="K70" s="60" t="n">
        <x:v>0</x:v>
      </x:c>
      <x:c r="L70" s="60" t="n">
        <x:v>665.1291381651</x:v>
      </x:c>
      <x:c r="M70" s="60" t="n">
        <x:v>0.1158172205</x:v>
      </x:c>
      <x:c r="N70" s="46" t="str">
        <x:v>thunnus obesus</x:v>
      </x:c>
      <x:c r="O70" s="62" t="n">
        <x:v>4.49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Thunnus obesus</x:v>
      </x:c>
      <x:c r="T70" s="62" t="n">
        <x:f>IF(O70="","",(1/'Metadata'!$B$5)^(O70-1))</x:f>
        <x:v>3090.295432513592</x:v>
      </x:c>
      <x:c r="U70" s="60" t="n">
        <x:f>IF(T70="","",I70*T70)</x:f>
        <x:v>2055803.4471308282</x:v>
      </x:c>
    </x:row>
    <x:row r="71" ht="18" customHeight="1">
      <x:c r="A71" s="46" t="str">
        <x:v>LME_016</x:v>
      </x:c>
      <x:c r="B71" s="46" t="str">
        <x:v>East Brazil Shelf</x:v>
      </x:c>
      <x:c r="C71" s="46" t="str">
        <x:v>LME</x:v>
      </x:c>
      <x:c r="D71" s="58" t="n">
        <x:v>2019</x:v>
      </x:c>
      <x:c r="E71" s="46" t="str">
        <x:v>Callinectes danae</x:v>
      </x:c>
      <x:c r="F71" s="46" t="str">
        <x:v>Dana's swimming crab</x:v>
      </x:c>
      <x:c r="G71" s="46" t="str">
        <x:v>Lobsters, crabs</x:v>
      </x:c>
      <x:c r="H71" s="46" t="str">
        <x:v>Crustaceans</x:v>
      </x:c>
      <x:c r="I71" s="60" t="n">
        <x:v>660.7655330663999</x:v>
      </x:c>
      <x:c r="J71" s="60" t="n">
        <x:v>660.7655330663999</x:v>
      </x:c>
      <x:c r="K71" s="60" t="n">
        <x:v>0</x:v>
      </x:c>
      <x:c r="L71" s="60" t="n">
        <x:v>656.6029746006</x:v>
      </x:c>
      <x:c r="M71" s="60" t="n">
        <x:v>4.1625584658</x:v>
      </x:c>
      <x:c r="N71" s="46" t="str">
        <x:v>callinectes danae</x:v>
      </x:c>
      <x:c r="O71" s="62" t="n">
        <x:v>3.63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Callinectes danae</x:v>
      </x:c>
      <x:c r="T71" s="62" t="n">
        <x:f>IF(O71="","",(1/'Metadata'!$B$5)^(O71-1))</x:f>
        <x:v>426.57951880159254</x:v>
      </x:c>
      <x:c r="U71" s="60" t="n">
        <x:f>IF(T71="","",I71*T71)</x:f>
        <x:v>281869.04313614266</x:v>
      </x:c>
    </x:row>
    <x:row r="72" ht="18" customHeight="1">
      <x:c r="A72" s="46" t="str">
        <x:v>LME_016</x:v>
      </x:c>
      <x:c r="B72" s="46" t="str">
        <x:v>East Brazil Shelf</x:v>
      </x:c>
      <x:c r="C72" s="46" t="str">
        <x:v>LME</x:v>
      </x:c>
      <x:c r="D72" s="58" t="n">
        <x:v>2019</x:v>
      </x:c>
      <x:c r="E72" s="46" t="str">
        <x:v>Chloroscombrus chrysurus</x:v>
      </x:c>
      <x:c r="F72" s="46" t="str">
        <x:v>Atlantic bumper</x:v>
      </x:c>
      <x:c r="G72" s="46" t="str">
        <x:v>Medium pelagics (30 - 89 cm)</x:v>
      </x:c>
      <x:c r="H72" s="46" t="str">
        <x:v>Perch-likes</x:v>
      </x:c>
      <x:c r="I72" s="60" t="n">
        <x:v>651.8647434899</x:v>
      </x:c>
      <x:c r="J72" s="60" t="n">
        <x:v>651.8647434899</x:v>
      </x:c>
      <x:c r="K72" s="60" t="n">
        <x:v>0</x:v>
      </x:c>
      <x:c r="L72" s="60" t="n">
        <x:v>634.5446195703</x:v>
      </x:c>
      <x:c r="M72" s="60" t="n">
        <x:v>17.3201239196</x:v>
      </x:c>
      <x:c r="N72" s="46" t="str">
        <x:v>chloroscombrus chrysurus</x:v>
      </x:c>
      <x:c r="O72" s="62" t="n">
        <x:v>3.54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Chloroscombrus chrysurus</x:v>
      </x:c>
      <x:c r="T72" s="62" t="n">
        <x:f>IF(O72="","",(1/'Metadata'!$B$5)^(O72-1))</x:f>
        <x:v>346.73685045253166</x:v>
      </x:c>
      <x:c r="U72" s="60" t="n">
        <x:f>IF(T72="","",I72*T72)</x:f>
        <x:v>226025.52807873537</x:v>
      </x:c>
    </x:row>
    <x:row r="73" ht="18" customHeight="1">
      <x:c r="A73" s="46" t="str">
        <x:v>LME_016</x:v>
      </x:c>
      <x:c r="B73" s="46" t="str">
        <x:v>East Brazil Shelf</x:v>
      </x:c>
      <x:c r="C73" s="46" t="str">
        <x:v>LME</x:v>
      </x:c>
      <x:c r="D73" s="58" t="n">
        <x:v>2019</x:v>
      </x:c>
      <x:c r="E73" s="46" t="str">
        <x:v>Caranx crysos</x:v>
      </x:c>
      <x:c r="F73" s="46" t="str">
        <x:v>Blue runner</x:v>
      </x:c>
      <x:c r="G73" s="46" t="str">
        <x:v>Medium reef assoc. fish (30 - 89 cm)</x:v>
      </x:c>
      <x:c r="H73" s="46" t="str">
        <x:v>Perch-likes</x:v>
      </x:c>
      <x:c r="I73" s="60" t="n">
        <x:v>637.3128672305</x:v>
      </x:c>
      <x:c r="J73" s="60" t="n">
        <x:v>637.3128672305</x:v>
      </x:c>
      <x:c r="K73" s="60" t="n">
        <x:v>0</x:v>
      </x:c>
      <x:c r="L73" s="60" t="n">
        <x:v>622.909619881</x:v>
      </x:c>
      <x:c r="M73" s="60" t="n">
        <x:v>14.403247349499999</x:v>
      </x:c>
      <x:c r="N73" s="46" t="str">
        <x:v>caranx crysos</x:v>
      </x:c>
      <x:c r="O73" s="62" t="n">
        <x:v>4.13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Caranx crysos</x:v>
      </x:c>
      <x:c r="T73" s="62" t="n">
        <x:f>IF(O73="","",(1/'Metadata'!$B$5)^(O73-1))</x:f>
        <x:v>1348.9628825916532</x:v>
      </x:c>
      <x:c r="U73" s="60" t="n">
        <x:f>IF(T73="","",I73*T73)</x:f>
        <x:v>859711.4024920069</x:v>
      </x:c>
    </x:row>
    <x:row r="74" ht="18" customHeight="1">
      <x:c r="A74" s="46" t="str">
        <x:v>LME_016</x:v>
      </x:c>
      <x:c r="B74" s="46" t="str">
        <x:v>East Brazil Shelf</x:v>
      </x:c>
      <x:c r="C74" s="46" t="str">
        <x:v>LME</x:v>
      </x:c>
      <x:c r="D74" s="58" t="n">
        <x:v>2019</x:v>
      </x:c>
      <x:c r="E74" s="46" t="str">
        <x:v>Callinectes</x:v>
      </x:c>
      <x:c r="F74" s="46" t="str">
        <x:v>Beautiful swimming crabs</x:v>
      </x:c>
      <x:c r="G74" s="46" t="str">
        <x:v>Lobsters, crabs</x:v>
      </x:c>
      <x:c r="H74" s="46" t="str">
        <x:v>Crustaceans</x:v>
      </x:c>
      <x:c r="I74" s="60" t="n">
        <x:v>609.5470405323</x:v>
      </x:c>
      <x:c r="J74" s="60" t="n">
        <x:v>609.5470405323</x:v>
      </x:c>
      <x:c r="K74" s="60" t="n">
        <x:v>0</x:v>
      </x:c>
      <x:c r="L74" s="60" t="n">
        <x:v>597.5894967067</x:v>
      </x:c>
      <x:c r="M74" s="60" t="n">
        <x:v>11.9575438256</x:v>
      </x:c>
      <x:c r="N74" s="46" t="str">
        <x:v>callinectes</x:v>
      </x:c>
      <x:c r="O74" s="62" t="n">
        <x:v>3.63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Callinectes</x:v>
      </x:c>
      <x:c r="T74" s="62" t="n">
        <x:f>IF(O74="","",(1/'Metadata'!$B$5)^(O74-1))</x:f>
        <x:v>426.57951880159254</x:v>
      </x:c>
      <x:c r="U74" s="60" t="n">
        <x:f>IF(T74="","",I74*T74)</x:f>
        <x:v>260020.28323720337</x:v>
      </x:c>
    </x:row>
    <x:row r="75" ht="18" customHeight="1">
      <x:c r="A75" s="46" t="str">
        <x:v>LME_016</x:v>
      </x:c>
      <x:c r="B75" s="46" t="str">
        <x:v>East Brazil Shelf</x:v>
      </x:c>
      <x:c r="C75" s="46" t="str">
        <x:v>LME</x:v>
      </x:c>
      <x:c r="D75" s="58" t="n">
        <x:v>2019</x:v>
      </x:c>
      <x:c r="E75" s="46" t="str">
        <x:v>Trachurus lathami</x:v>
      </x:c>
      <x:c r="F75" s="46" t="str">
        <x:v>Rough scad</x:v>
      </x:c>
      <x:c r="G75" s="46" t="str">
        <x:v>Medium benthopelagics (30 - 89 cm)</x:v>
      </x:c>
      <x:c r="H75" s="46" t="str">
        <x:v>Perch-likes</x:v>
      </x:c>
      <x:c r="I75" s="60" t="n">
        <x:v>592.9798478726</x:v>
      </x:c>
      <x:c r="J75" s="60" t="n">
        <x:v>592.9798478726</x:v>
      </x:c>
      <x:c r="K75" s="60" t="n">
        <x:v>0</x:v>
      </x:c>
      <x:c r="L75" s="60" t="n">
        <x:v>575.0394462306</x:v>
      </x:c>
      <x:c r="M75" s="60" t="n">
        <x:v>17.940401641999998</x:v>
      </x:c>
      <x:c r="N75" s="46" t="str">
        <x:v>trachurus lathami</x:v>
      </x:c>
      <x:c r="O75" s="62" t="n">
        <x:v>3.99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Trachurus lathami</x:v>
      </x:c>
      <x:c r="T75" s="62" t="n">
        <x:f>IF(O75="","",(1/'Metadata'!$B$5)^(O75-1))</x:f>
        <x:v>977.2372209558112</x:v>
      </x:c>
      <x:c r="U75" s="60" t="n">
        <x:f>IF(T75="","",I75*T75)</x:f>
        <x:v>579481.9786178193</x:v>
      </x:c>
    </x:row>
    <x:row r="76" ht="18" customHeight="1">
      <x:c r="A76" s="46" t="str">
        <x:v>LME_016</x:v>
      </x:c>
      <x:c r="B76" s="46" t="str">
        <x:v>East Brazil Shelf</x:v>
      </x:c>
      <x:c r="C76" s="46" t="str">
        <x:v>LME</x:v>
      </x:c>
      <x:c r="D76" s="58" t="n">
        <x:v>2019</x:v>
      </x:c>
      <x:c r="E76" s="46" t="str">
        <x:v>Pseudupeneus maculatus</x:v>
      </x:c>
      <x:c r="F76" s="46" t="str">
        <x:v>Spotted goatfish</x:v>
      </x:c>
      <x:c r="G76" s="46" t="str">
        <x:v>Medium reef assoc. fish (30 - 89 cm)</x:v>
      </x:c>
      <x:c r="H76" s="46" t="str">
        <x:v>Perch-likes</x:v>
      </x:c>
      <x:c r="I76" s="60" t="n">
        <x:v>578.8036515368</x:v>
      </x:c>
      <x:c r="J76" s="60" t="n">
        <x:v>578.7413962588</x:v>
      </x:c>
      <x:c r="K76" s="60" t="n">
        <x:v>0.062255278</x:v>
      </x:c>
      <x:c r="L76" s="60" t="n">
        <x:v>574.7430969782</x:v>
      </x:c>
      <x:c r="M76" s="60" t="n">
        <x:v>4.0605545586</x:v>
      </x:c>
      <x:c r="N76" s="46" t="str">
        <x:v>pseudupeneus maculatus</x:v>
      </x:c>
      <x:c r="O76" s="62" t="n">
        <x:v>3.65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Pseudupeneus maculatus</x:v>
      </x:c>
      <x:c r="T76" s="62" t="n">
        <x:f>IF(O76="","",(1/'Metadata'!$B$5)^(O76-1))</x:f>
        <x:v>446.683592150963</x:v>
      </x:c>
      <x:c r="U76" s="60" t="n">
        <x:f>IF(T76="","",I76*T76)</x:f>
        <x:v>258542.09421855208</x:v>
      </x:c>
    </x:row>
    <x:row r="77" ht="18" customHeight="1">
      <x:c r="A77" s="46" t="str">
        <x:v>LME_016</x:v>
      </x:c>
      <x:c r="B77" s="46" t="str">
        <x:v>East Brazil Shelf</x:v>
      </x:c>
      <x:c r="C77" s="46" t="str">
        <x:v>LME</x:v>
      </x:c>
      <x:c r="D77" s="58" t="n">
        <x:v>2019</x:v>
      </x:c>
      <x:c r="E77" s="46" t="str">
        <x:v>Nebris microps</x:v>
      </x:c>
      <x:c r="F77" s="46" t="str">
        <x:v>Smalleye croaker</x:v>
      </x:c>
      <x:c r="G77" s="46" t="str">
        <x:v>Medium demersals (30 - 89 cm)</x:v>
      </x:c>
      <x:c r="H77" s="46" t="str">
        <x:v>Perch-likes</x:v>
      </x:c>
      <x:c r="I77" s="60" t="n">
        <x:v>577.0379670497</x:v>
      </x:c>
      <x:c r="J77" s="60" t="n">
        <x:v>46.3691927027</x:v>
      </x:c>
      <x:c r="K77" s="60" t="n">
        <x:v>530.6687743470001</x:v>
      </x:c>
      <x:c r="L77" s="60" t="n">
        <x:v>7.9164616462</x:v>
      </x:c>
      <x:c r="M77" s="60" t="n">
        <x:v>569.1215054035</x:v>
      </x:c>
      <x:c r="N77" s="46" t="str">
        <x:v>nebris microps</x:v>
      </x:c>
      <x:c r="O77" s="62" t="n">
        <x:v>3.6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Nebris microps</x:v>
      </x:c>
      <x:c r="T77" s="62" t="n">
        <x:f>IF(O77="","",(1/'Metadata'!$B$5)^(O77-1))</x:f>
        <x:v>398.1071705534973</x:v>
      </x:c>
      <x:c r="U77" s="60" t="n">
        <x:f>IF(T77="","",I77*T77)</x:f>
        <x:v>229722.95236409828</x:v>
      </x:c>
    </x:row>
    <x:row r="78" ht="18" customHeight="1">
      <x:c r="A78" s="46" t="str">
        <x:v>LME_016</x:v>
      </x:c>
      <x:c r="B78" s="46" t="str">
        <x:v>East Brazil Shelf</x:v>
      </x:c>
      <x:c r="C78" s="46" t="str">
        <x:v>LME</x:v>
      </x:c>
      <x:c r="D78" s="58" t="n">
        <x:v>2019</x:v>
      </x:c>
      <x:c r="E78" s="46" t="str">
        <x:v>Caranx</x:v>
      </x:c>
      <x:c r="F78" s="46" t="str">
        <x:v>Jacks</x:v>
      </x:c>
      <x:c r="G78" s="46" t="str">
        <x:v>Medium reef assoc. fish (30 - 89 cm)</x:v>
      </x:c>
      <x:c r="H78" s="46" t="str">
        <x:v>Perch-likes</x:v>
      </x:c>
      <x:c r="I78" s="60" t="n">
        <x:v>556.8495435689</x:v>
      </x:c>
      <x:c r="J78" s="60" t="n">
        <x:v>556.8495435689</x:v>
      </x:c>
      <x:c r="K78" s="60" t="n">
        <x:v>0</x:v>
      </x:c>
      <x:c r="L78" s="60" t="n">
        <x:v>414.7497106031</x:v>
      </x:c>
      <x:c r="M78" s="60" t="n">
        <x:v>142.09983296579998</x:v>
      </x:c>
      <x:c r="N78" s="46" t="str">
        <x:v>caranx</x:v>
      </x:c>
      <x:c r="O78" s="62" t="n">
        <x:v>4.12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Caranx</x:v>
      </x:c>
      <x:c r="T78" s="62" t="n">
        <x:f>IF(O78="","",(1/'Metadata'!$B$5)^(O78-1))</x:f>
        <x:v>1318.2567385564075</x:v>
      </x:c>
      <x:c r="U78" s="60" t="n">
        <x:f>IF(T78="","",I78*T78)</x:f>
        <x:v>734070.6631717623</x:v>
      </x:c>
    </x:row>
    <x:row r="79" ht="18" customHeight="1">
      <x:c r="A79" s="46" t="str">
        <x:v>LME_016</x:v>
      </x:c>
      <x:c r="B79" s="46" t="str">
        <x:v>East Brazil Shelf</x:v>
      </x:c>
      <x:c r="C79" s="46" t="str">
        <x:v>LME</x:v>
      </x:c>
      <x:c r="D79" s="58" t="n">
        <x:v>2019</x:v>
      </x:c>
      <x:c r="E79" s="46" t="str">
        <x:v>Serranidae</x:v>
      </x:c>
      <x:c r="F79" s="46" t="str">
        <x:v>Basses, groupers, hinds</x:v>
      </x:c>
      <x:c r="G79" s="46" t="str">
        <x:v>Medium reef assoc. fish (30 - 89 cm)</x:v>
      </x:c>
      <x:c r="H79" s="46" t="str">
        <x:v>Perch-likes</x:v>
      </x:c>
      <x:c r="I79" s="60" t="n">
        <x:v>553.3895005040999</x:v>
      </x:c>
      <x:c r="J79" s="60" t="n">
        <x:v>553.3272452261</x:v>
      </x:c>
      <x:c r="K79" s="60" t="n">
        <x:v>0.062255278</x:v>
      </x:c>
      <x:c r="L79" s="60" t="n">
        <x:v>540.9494257547</x:v>
      </x:c>
      <x:c r="M79" s="60" t="n">
        <x:v>12.440074749399999</x:v>
      </x:c>
      <x:c r="N79" s="46" t="str">
        <x:v>serranidae</x:v>
      </x:c>
      <x:c r="O79" s="62" t="n">
        <x:v>3.98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Serranidae</x:v>
      </x:c>
      <x:c r="T79" s="62" t="n">
        <x:f>IF(O79="","",(1/'Metadata'!$B$5)^(O79-1))</x:f>
        <x:v>954.992586021436</x:v>
      </x:c>
      <x:c r="U79" s="60" t="n">
        <x:f>IF(T79="","",I79*T79)</x:f>
        <x:v>528482.8701635211</x:v>
      </x:c>
    </x:row>
    <x:row r="80" ht="18" customHeight="1">
      <x:c r="A80" s="46" t="str">
        <x:v>LME_016</x:v>
      </x:c>
      <x:c r="B80" s="46" t="str">
        <x:v>East Brazil Shelf</x:v>
      </x:c>
      <x:c r="C80" s="46" t="str">
        <x:v>LME</x:v>
      </x:c>
      <x:c r="D80" s="58" t="n">
        <x:v>2019</x:v>
      </x:c>
      <x:c r="E80" s="46" t="str">
        <x:v>Isurus oxyrinchus</x:v>
      </x:c>
      <x:c r="F80" s="46" t="str">
        <x:v>Shortfin mako</x:v>
      </x:c>
      <x:c r="G80" s="46" t="str">
        <x:v>Large sharks (&gt;=90 cm)</x:v>
      </x:c>
      <x:c r="H80" s="46" t="str">
        <x:v>Sharks &amp; rays</x:v>
      </x:c>
      <x:c r="I80" s="60" t="n">
        <x:v>549.902682986</x:v>
      </x:c>
      <x:c r="J80" s="60" t="n">
        <x:v>549.902682986</x:v>
      </x:c>
      <x:c r="K80" s="60" t="n">
        <x:v>0</x:v>
      </x:c>
      <x:c r="L80" s="60" t="n">
        <x:v>548.821309158</x:v>
      </x:c>
      <x:c r="M80" s="60" t="n">
        <x:v>1.081373828</x:v>
      </x:c>
      <x:c r="N80" s="46" t="str">
        <x:v>isurus oxyrinchus</x:v>
      </x:c>
      <x:c r="O80" s="62" t="n">
        <x:v>4.5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Isurus oxyrinchus</x:v>
      </x:c>
      <x:c r="T80" s="62" t="n">
        <x:f>IF(O80="","",(1/'Metadata'!$B$5)^(O80-1))</x:f>
        <x:v>3162.2776601683795</x:v>
      </x:c>
      <x:c r="U80" s="60" t="n">
        <x:f>IF(T80="","",I80*T80)</x:f>
        <x:v>1738944.969673282</x:v>
      </x:c>
    </x:row>
    <x:row r="81" ht="18" customHeight="1">
      <x:c r="A81" s="46" t="str">
        <x:v>LME_016</x:v>
      </x:c>
      <x:c r="B81" s="46" t="str">
        <x:v>East Brazil Shelf</x:v>
      </x:c>
      <x:c r="C81" s="46" t="str">
        <x:v>LME</x:v>
      </x:c>
      <x:c r="D81" s="58" t="n">
        <x:v>2019</x:v>
      </x:c>
      <x:c r="E81" s="46" t="str">
        <x:v>Cynoscion leiarchus</x:v>
      </x:c>
      <x:c r="F81" s="46" t="str">
        <x:v>Smooth weakfish</x:v>
      </x:c>
      <x:c r="G81" s="46" t="str">
        <x:v>Medium demersals (30 - 89 cm)</x:v>
      </x:c>
      <x:c r="H81" s="46" t="str">
        <x:v>Perch-likes</x:v>
      </x:c>
      <x:c r="I81" s="60" t="n">
        <x:v>526.8449696514</x:v>
      </x:c>
      <x:c r="J81" s="60" t="n">
        <x:v>526.8449696514</x:v>
      </x:c>
      <x:c r="K81" s="60" t="n">
        <x:v>0</x:v>
      </x:c>
      <x:c r="L81" s="60" t="n">
        <x:v>337.8561950555</x:v>
      </x:c>
      <x:c r="M81" s="60" t="n">
        <x:v>188.98877459590003</x:v>
      </x:c>
      <x:c r="N81" s="46" t="str">
        <x:v>cynoscion leiarchus</x:v>
      </x:c>
      <x:c r="O81" s="62" t="n">
        <x:v>3.06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Cynoscion leiarchus</x:v>
      </x:c>
      <x:c r="T81" s="62" t="n">
        <x:f>IF(O81="","",(1/'Metadata'!$B$5)^(O81-1))</x:f>
        <x:v>114.81536214968828</x:v>
      </x:c>
      <x:c r="U81" s="60" t="n">
        <x:f>IF(T81="","",I81*T81)</x:f>
        <x:v>60489.895987267024</x:v>
      </x:c>
    </x:row>
    <x:row r="82" ht="18" customHeight="1">
      <x:c r="A82" s="46" t="str">
        <x:v>LME_016</x:v>
      </x:c>
      <x:c r="B82" s="46" t="str">
        <x:v>East Brazil Shelf</x:v>
      </x:c>
      <x:c r="C82" s="46" t="str">
        <x:v>LME</x:v>
      </x:c>
      <x:c r="D82" s="58" t="n">
        <x:v>2019</x:v>
      </x:c>
      <x:c r="E82" s="46" t="str">
        <x:v>Haemulon plumierii</x:v>
      </x:c>
      <x:c r="F82" s="46" t="str">
        <x:v>White grunt</x:v>
      </x:c>
      <x:c r="G82" s="46" t="str">
        <x:v>Medium reef assoc. fish (30 - 89 cm)</x:v>
      </x:c>
      <x:c r="H82" s="46" t="str">
        <x:v>Perch-likes</x:v>
      </x:c>
      <x:c r="I82" s="60" t="n">
        <x:v>521.5384689438</x:v>
      </x:c>
      <x:c r="J82" s="60" t="n">
        <x:v>521.5384689438</x:v>
      </x:c>
      <x:c r="K82" s="60" t="n">
        <x:v>0</x:v>
      </x:c>
      <x:c r="L82" s="60" t="n">
        <x:v>521.0004603826</x:v>
      </x:c>
      <x:c r="M82" s="60" t="n">
        <x:v>0.5380085612000001</x:v>
      </x:c>
      <x:c r="N82" s="46" t="str">
        <x:v>haemulon plumierii</x:v>
      </x:c>
      <x:c r="O82" s="62" t="n">
        <x:v>3.82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Haemulon plumierii</x:v>
      </x:c>
      <x:c r="T82" s="62" t="n">
        <x:f>IF(O82="","",(1/'Metadata'!$B$5)^(O82-1))</x:f>
        <x:v>660.6934480075957</x:v>
      </x:c>
      <x:c r="U82" s="60" t="n">
        <x:f>IF(T82="","",I82*T82)</x:f>
        <x:v>344577.0493150816</x:v>
      </x:c>
    </x:row>
    <x:row r="83" ht="18" customHeight="1">
      <x:c r="A83" s="46" t="str">
        <x:v>LME_016</x:v>
      </x:c>
      <x:c r="B83" s="46" t="str">
        <x:v>East Brazil Shelf</x:v>
      </x:c>
      <x:c r="C83" s="46" t="str">
        <x:v>LME</x:v>
      </x:c>
      <x:c r="D83" s="58" t="n">
        <x:v>2019</x:v>
      </x:c>
      <x:c r="E83" s="46" t="str">
        <x:v>Conodon nobilis</x:v>
      </x:c>
      <x:c r="F83" s="46" t="str">
        <x:v>Barred grunt</x:v>
      </x:c>
      <x:c r="G83" s="46" t="str">
        <x:v>Small demersals (&lt;30 cm)</x:v>
      </x:c>
      <x:c r="H83" s="46" t="str">
        <x:v>Perch-likes</x:v>
      </x:c>
      <x:c r="I83" s="60" t="n">
        <x:v>519.9150077928</x:v>
      </x:c>
      <x:c r="J83" s="60" t="n">
        <x:v>519.9150077928</x:v>
      </x:c>
      <x:c r="K83" s="60" t="n">
        <x:v>0</x:v>
      </x:c>
      <x:c r="L83" s="60" t="n">
        <x:v>68.45699981819999</x:v>
      </x:c>
      <x:c r="M83" s="60" t="n">
        <x:v>451.45800797460004</x:v>
      </x:c>
      <x:c r="N83" s="46" t="str">
        <x:v>conodon nobilis</x:v>
      </x:c>
      <x:c r="O83" s="62" t="n">
        <x:v>3.61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Conodon nobilis</x:v>
      </x:c>
      <x:c r="T83" s="62" t="n">
        <x:f>IF(O83="","",(1/'Metadata'!$B$5)^(O83-1))</x:f>
        <x:v>407.3802778041126</x:v>
      </x:c>
      <x:c r="U83" s="60" t="n">
        <x:f>IF(T83="","",I83*T83)</x:f>
        <x:v>211803.12030915823</x:v>
      </x:c>
    </x:row>
    <x:row r="84" ht="18" customHeight="1">
      <x:c r="A84" s="46" t="str">
        <x:v>LME_016</x:v>
      </x:c>
      <x:c r="B84" s="46" t="str">
        <x:v>East Brazil Shelf</x:v>
      </x:c>
      <x:c r="C84" s="46" t="str">
        <x:v>LME</x:v>
      </x:c>
      <x:c r="D84" s="58" t="n">
        <x:v>2019</x:v>
      </x:c>
      <x:c r="E84" s="46" t="str">
        <x:v>Notarius grandicassis</x:v>
      </x:c>
      <x:c r="F84" s="46" t="str">
        <x:v>Thomas sea catfish</x:v>
      </x:c>
      <x:c r="G84" s="46" t="str">
        <x:v>Medium demersals (30 - 89 cm)</x:v>
      </x:c>
      <x:c r="H84" s="46" t="str">
        <x:v>Other fishes &amp; inverts</x:v>
      </x:c>
      <x:c r="I84" s="60" t="n">
        <x:v>509.4922151384</x:v>
      </x:c>
      <x:c r="J84" s="60" t="n">
        <x:v>509.4922151384</x:v>
      </x:c>
      <x:c r="K84" s="60" t="n">
        <x:v>0</x:v>
      </x:c>
      <x:c r="L84" s="60" t="n">
        <x:v>495.95531911100005</x:v>
      </x:c>
      <x:c r="M84" s="60" t="n">
        <x:v>13.5368960274</x:v>
      </x:c>
      <x:c r="N84" s="46" t="str">
        <x:v>notarius grandicassis</x:v>
      </x:c>
      <x:c r="O84" s="62" t="n">
        <x:v>3.6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Notarius grandicassis</x:v>
      </x:c>
      <x:c r="T84" s="62" t="n">
        <x:f>IF(O84="","",(1/'Metadata'!$B$5)^(O84-1))</x:f>
        <x:v>398.1071705534973</x:v>
      </x:c>
      <x:c r="U84" s="60" t="n">
        <x:f>IF(T84="","",I84*T84)</x:f>
        <x:v>202832.50418778218</x:v>
      </x:c>
    </x:row>
    <x:row r="85" ht="18" customHeight="1">
      <x:c r="A85" s="46" t="str">
        <x:v>LME_016</x:v>
      </x:c>
      <x:c r="B85" s="46" t="str">
        <x:v>East Brazil Shelf</x:v>
      </x:c>
      <x:c r="C85" s="46" t="str">
        <x:v>LME</x:v>
      </x:c>
      <x:c r="D85" s="58" t="n">
        <x:v>2019</x:v>
      </x:c>
      <x:c r="E85" s="46" t="str">
        <x:v>Marine finfishes not identified</x:v>
      </x:c>
      <x:c r="F85" s="46" t="str">
        <x:v>Finfishes</x:v>
      </x:c>
      <x:c r="G85" s="46" t="str">
        <x:v>Medium demersals (30 - 89 cm)</x:v>
      </x:c>
      <x:c r="H85" s="46" t="str">
        <x:v>Other fishes &amp; inverts</x:v>
      </x:c>
      <x:c r="I85" s="60" t="n">
        <x:v>479.67182825969996</x:v>
      </x:c>
      <x:c r="J85" s="60" t="n">
        <x:v>0</x:v>
      </x:c>
      <x:c r="K85" s="60" t="n">
        <x:v>479.67182825969996</x:v>
      </x:c>
      <x:c r="L85" s="60" t="n">
        <x:v>0</x:v>
      </x:c>
      <x:c r="M85" s="60" t="n">
        <x:v>479.67182825969996</x:v>
      </x:c>
      <x:c r="N85" s="46" t="str">
        <x:v>marine finfishes not identified</x:v>
      </x:c>
      <x:c r="O85" s="62" t="n">
        <x:v>3.23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Marine finfishes not identified</x:v>
      </x:c>
      <x:c r="T85" s="62" t="n">
        <x:f>IF(O85="","",(1/'Metadata'!$B$5)^(O85-1))</x:f>
        <x:v>169.82436524617444</x:v>
      </x:c>
      <x:c r="U85" s="60" t="n">
        <x:f>IF(T85="","",I85*T85)</x:f>
        <x:v>81459.96376067554</x:v>
      </x:c>
    </x:row>
    <x:row r="86" ht="18" customHeight="1">
      <x:c r="A86" s="46" t="str">
        <x:v>LME_016</x:v>
      </x:c>
      <x:c r="B86" s="46" t="str">
        <x:v>East Brazil Shelf</x:v>
      </x:c>
      <x:c r="C86" s="46" t="str">
        <x:v>LME</x:v>
      </x:c>
      <x:c r="D86" s="58" t="n">
        <x:v>2019</x:v>
      </x:c>
      <x:c r="E86" s="46" t="str">
        <x:v>Pagrus pagrus</x:v>
      </x:c>
      <x:c r="F86" s="46" t="str">
        <x:v>Red porgy</x:v>
      </x:c>
      <x:c r="G86" s="46" t="str">
        <x:v>Medium benthopelagics (30 - 89 cm)</x:v>
      </x:c>
      <x:c r="H86" s="46" t="str">
        <x:v>Perch-likes</x:v>
      </x:c>
      <x:c r="I86" s="60" t="n">
        <x:v>479.14990210469995</x:v>
      </x:c>
      <x:c r="J86" s="60" t="n">
        <x:v>479.14990210469995</x:v>
      </x:c>
      <x:c r="K86" s="60" t="n">
        <x:v>0</x:v>
      </x:c>
      <x:c r="L86" s="60" t="n">
        <x:v>465.15078651129994</x:v>
      </x:c>
      <x:c r="M86" s="60" t="n">
        <x:v>13.9991155934</x:v>
      </x:c>
      <x:c r="N86" s="46" t="str">
        <x:v>pagrus pagrus</x:v>
      </x:c>
      <x:c r="O86" s="62" t="n">
        <x:v>3.86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Pagrus pagrus</x:v>
      </x:c>
      <x:c r="T86" s="62" t="n">
        <x:f>IF(O86="","",(1/'Metadata'!$B$5)^(O86-1))</x:f>
        <x:v>724.4359600749899</x:v>
      </x:c>
      <x:c r="U86" s="60" t="n">
        <x:f>IF(T86="","",I86*T86)</x:f>
        <x:v>347113.41935105575</x:v>
      </x:c>
    </x:row>
    <x:row r="87" ht="18" customHeight="1">
      <x:c r="A87" s="46" t="str">
        <x:v>LME_016</x:v>
      </x:c>
      <x:c r="B87" s="46" t="str">
        <x:v>East Brazil Shelf</x:v>
      </x:c>
      <x:c r="C87" s="46" t="str">
        <x:v>LME</x:v>
      </x:c>
      <x:c r="D87" s="58" t="n">
        <x:v>2019</x:v>
      </x:c>
      <x:c r="E87" s="46" t="str">
        <x:v>Balistidae</x:v>
      </x:c>
      <x:c r="F87" s="46" t="str">
        <x:v>Triggerfishes</x:v>
      </x:c>
      <x:c r="G87" s="46" t="str">
        <x:v>Medium reef assoc. fish (30 - 89 cm)</x:v>
      </x:c>
      <x:c r="H87" s="46" t="str">
        <x:v>Other fishes &amp; inverts</x:v>
      </x:c>
      <x:c r="I87" s="60" t="n">
        <x:v>458.5884910894</x:v>
      </x:c>
      <x:c r="J87" s="60" t="n">
        <x:v>458.5884910894</x:v>
      </x:c>
      <x:c r="K87" s="60" t="n">
        <x:v>0</x:v>
      </x:c>
      <x:c r="L87" s="60" t="n">
        <x:v>448.0681411087</x:v>
      </x:c>
      <x:c r="M87" s="60" t="n">
        <x:v>10.5203499807</x:v>
      </x:c>
      <x:c r="N87" s="46" t="str">
        <x:v>balistidae</x:v>
      </x:c>
      <x:c r="O87" s="62" t="n">
        <x:v>3.25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Balistidae</x:v>
      </x:c>
      <x:c r="T87" s="62" t="n">
        <x:f>IF(O87="","",(1/'Metadata'!$B$5)^(O87-1))</x:f>
        <x:v>177.82794100389228</x:v>
      </x:c>
      <x:c r="U87" s="60" t="n">
        <x:f>IF(T87="","",I87*T87)</x:f>
        <x:v>81549.84713850981</x:v>
      </x:c>
    </x:row>
    <x:row r="88" ht="18" customHeight="1">
      <x:c r="A88" s="46" t="str">
        <x:v>LME_016</x:v>
      </x:c>
      <x:c r="B88" s="46" t="str">
        <x:v>East Brazil Shelf</x:v>
      </x:c>
      <x:c r="C88" s="46" t="str">
        <x:v>LME</x:v>
      </x:c>
      <x:c r="D88" s="58" t="n">
        <x:v>2019</x:v>
      </x:c>
      <x:c r="E88" s="46" t="str">
        <x:v>Rhomboplites aurorubens</x:v>
      </x:c>
      <x:c r="F88" s="46" t="str">
        <x:v>Vermilion snapper</x:v>
      </x:c>
      <x:c r="G88" s="46" t="str">
        <x:v>Medium demersals (30 - 89 cm)</x:v>
      </x:c>
      <x:c r="H88" s="46" t="str">
        <x:v>Perch-likes</x:v>
      </x:c>
      <x:c r="I88" s="60" t="n">
        <x:v>452.98637180500003</x:v>
      </x:c>
      <x:c r="J88" s="60" t="n">
        <x:v>452.98637180500003</x:v>
      </x:c>
      <x:c r="K88" s="60" t="n">
        <x:v>0</x:v>
      </x:c>
      <x:c r="L88" s="60" t="n">
        <x:v>438.58885262</x:v>
      </x:c>
      <x:c r="M88" s="60" t="n">
        <x:v>14.397519185000002</x:v>
      </x:c>
      <x:c r="N88" s="46" t="str">
        <x:v>rhomboplites aurorubens</x:v>
      </x:c>
      <x:c r="O88" s="62" t="n">
        <x:v>4.36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Rhomboplites aurorubens</x:v>
      </x:c>
      <x:c r="T88" s="62" t="n">
        <x:f>IF(O88="","",(1/'Metadata'!$B$5)^(O88-1))</x:f>
        <x:v>2290.867652767775</x:v>
      </x:c>
      <x:c r="U88" s="60" t="n">
        <x:f>IF(T88="","",I88*T88)</x:f>
        <x:v>1037731.826312711</x:v>
      </x:c>
    </x:row>
    <x:row r="89" ht="18" customHeight="1">
      <x:c r="A89" s="46" t="str">
        <x:v>LME_016</x:v>
      </x:c>
      <x:c r="B89" s="46" t="str">
        <x:v>East Brazil Shelf</x:v>
      </x:c>
      <x:c r="C89" s="46" t="str">
        <x:v>LME</x:v>
      </x:c>
      <x:c r="D89" s="58" t="n">
        <x:v>2019</x:v>
      </x:c>
      <x:c r="E89" s="46" t="str">
        <x:v>Penaeidae</x:v>
      </x:c>
      <x:c r="F89" s="46" t="str">
        <x:v>Commercial shrimps and prawns</x:v>
      </x:c>
      <x:c r="G89" s="46" t="str">
        <x:v>Shrimps</x:v>
      </x:c>
      <x:c r="H89" s="46" t="str">
        <x:v>Crustaceans</x:v>
      </x:c>
      <x:c r="I89" s="60" t="n">
        <x:v>452.5382732051</x:v>
      </x:c>
      <x:c r="J89" s="60" t="n">
        <x:v>452.5382732051</x:v>
      </x:c>
      <x:c r="K89" s="60" t="n">
        <x:v>0</x:v>
      </x:c>
      <x:c r="L89" s="60" t="n">
        <x:v>236.715724504</x:v>
      </x:c>
      <x:c r="M89" s="60" t="n">
        <x:v>215.8225487011</x:v>
      </x:c>
      <x:c r="N89" s="46" t="str">
        <x:v>penaeidae</x:v>
      </x:c>
      <x:c r="O89" s="62" t="n">
        <x:v>3.31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Penaeidae</x:v>
      </x:c>
      <x:c r="T89" s="62" t="n">
        <x:f>IF(O89="","",(1/'Metadata'!$B$5)^(O89-1))</x:f>
        <x:v>204.17379446695296</x:v>
      </x:c>
      <x:c r="U89" s="60" t="n">
        <x:f>IF(T89="","",I89*T89)</x:f>
        <x:v>92396.45638180789</x:v>
      </x:c>
    </x:row>
    <x:row r="90" ht="18" customHeight="1">
      <x:c r="A90" s="46" t="str">
        <x:v>LME_016</x:v>
      </x:c>
      <x:c r="B90" s="46" t="str">
        <x:v>East Brazil Shelf</x:v>
      </x:c>
      <x:c r="C90" s="46" t="str">
        <x:v>LME</x:v>
      </x:c>
      <x:c r="D90" s="58" t="n">
        <x:v>2019</x:v>
      </x:c>
      <x:c r="E90" s="46" t="str">
        <x:v>Harengula clupeola</x:v>
      </x:c>
      <x:c r="F90" s="46" t="str">
        <x:v>False herring</x:v>
      </x:c>
      <x:c r="G90" s="46" t="str">
        <x:v>Small pelagics (&lt;30 cm)</x:v>
      </x:c>
      <x:c r="H90" s="46" t="str">
        <x:v>Herring-likes</x:v>
      </x:c>
      <x:c r="I90" s="60" t="n">
        <x:v>433.5576281756</x:v>
      </x:c>
      <x:c r="J90" s="60" t="n">
        <x:v>433.5576281756</x:v>
      </x:c>
      <x:c r="K90" s="60" t="n">
        <x:v>0</x:v>
      </x:c>
      <x:c r="L90" s="60" t="n">
        <x:v>419.20966948489996</x:v>
      </x:c>
      <x:c r="M90" s="60" t="n">
        <x:v>14.3479586907</x:v>
      </x:c>
      <x:c r="N90" s="46" t="str">
        <x:v>harengula clupeola</x:v>
      </x:c>
      <x:c r="O90" s="62" t="n">
        <x:v>3.31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Harengula clupeola</x:v>
      </x:c>
      <x:c r="T90" s="62" t="n">
        <x:f>IF(O90="","",(1/'Metadata'!$B$5)^(O90-1))</x:f>
        <x:v>204.17379446695296</x:v>
      </x:c>
      <x:c r="U90" s="60" t="n">
        <x:f>IF(T90="","",I90*T90)</x:f>
        <x:v>88521.10606470457</x:v>
      </x:c>
    </x:row>
    <x:row r="91" ht="18" customHeight="1">
      <x:c r="A91" s="46" t="str">
        <x:v>LME_016</x:v>
      </x:c>
      <x:c r="B91" s="46" t="str">
        <x:v>East Brazil Shelf</x:v>
      </x:c>
      <x:c r="C91" s="46" t="str">
        <x:v>LME</x:v>
      </x:c>
      <x:c r="D91" s="58" t="n">
        <x:v>2019</x:v>
      </x:c>
      <x:c r="E91" s="46" t="str">
        <x:v>Pleuronectiformes</x:v>
      </x:c>
      <x:c r="F91" s="46" t="str">
        <x:v>Flatfishes</x:v>
      </x:c>
      <x:c r="G91" s="46" t="str">
        <x:v>Small to medium flatfishes (&lt;90 cm)</x:v>
      </x:c>
      <x:c r="H91" s="46" t="str">
        <x:v>Flatfishes</x:v>
      </x:c>
      <x:c r="I91" s="60" t="n">
        <x:v>396.2752693451</x:v>
      </x:c>
      <x:c r="J91" s="60" t="n">
        <x:v>396.2752693451</x:v>
      </x:c>
      <x:c r="K91" s="60" t="n">
        <x:v>0</x:v>
      </x:c>
      <x:c r="L91" s="60" t="n">
        <x:v>387.56032990380004</x:v>
      </x:c>
      <x:c r="M91" s="60" t="n">
        <x:v>8.7149394413</x:v>
      </x:c>
      <x:c r="N91" s="46" t="str">
        <x:v>pleuronectiformes</x:v>
      </x:c>
      <x:c r="O91" s="62" t="n">
        <x:v>3.57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Pleuronectiformes</x:v>
      </x:c>
      <x:c r="T91" s="62" t="n">
        <x:f>IF(O91="","",(1/'Metadata'!$B$5)^(O91-1))</x:f>
        <x:v>371.5352290971724</x:v>
      </x:c>
      <x:c r="U91" s="60" t="n">
        <x:f>IF(T91="","",I91*T91)</x:f>
        <x:v>147230.22298167544</x:v>
      </x:c>
    </x:row>
    <x:row r="92" ht="18" customHeight="1">
      <x:c r="A92" s="46" t="str">
        <x:v>LME_016</x:v>
      </x:c>
      <x:c r="B92" s="46" t="str">
        <x:v>East Brazil Shelf</x:v>
      </x:c>
      <x:c r="C92" s="46" t="str">
        <x:v>LME</x:v>
      </x:c>
      <x:c r="D92" s="58" t="n">
        <x:v>2019</x:v>
      </x:c>
      <x:c r="E92" s="46" t="str">
        <x:v>Octopus</x:v>
      </x:c>
      <x:c r="F92" s="46" t="str">
        <x:v>Octopuses, pikas</x:v>
      </x:c>
      <x:c r="G92" s="46" t="str">
        <x:v>Cephalopods</x:v>
      </x:c>
      <x:c r="H92" s="46" t="str">
        <x:v>Other fishes &amp; inverts</x:v>
      </x:c>
      <x:c r="I92" s="60" t="n">
        <x:v>379.3238795251</x:v>
      </x:c>
      <x:c r="J92" s="60" t="n">
        <x:v>379.3238795251</x:v>
      </x:c>
      <x:c r="K92" s="60" t="n">
        <x:v>0</x:v>
      </x:c>
      <x:c r="L92" s="60" t="n">
        <x:v>379.1979025303</x:v>
      </x:c>
      <x:c r="M92" s="60" t="n">
        <x:v>0.1259769948</x:v>
      </x:c>
      <x:c r="N92" s="46" t="str">
        <x:v>octopus</x:v>
      </x:c>
      <x:c r="O92" s="62" t="n">
        <x:v>3.8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Octopus</x:v>
      </x:c>
      <x:c r="T92" s="62" t="n">
        <x:f>IF(O92="","",(1/'Metadata'!$B$5)^(O92-1))</x:f>
        <x:v>630.957344480193</x:v>
      </x:c>
      <x:c r="U92" s="60" t="n">
        <x:f>IF(T92="","",I92*T92)</x:f>
        <x:v>239337.18772308173</x:v>
      </x:c>
    </x:row>
    <x:row r="93" ht="18" customHeight="1">
      <x:c r="A93" s="46" t="str">
        <x:v>LME_016</x:v>
      </x:c>
      <x:c r="B93" s="46" t="str">
        <x:v>East Brazil Shelf</x:v>
      </x:c>
      <x:c r="C93" s="46" t="str">
        <x:v>LME</x:v>
      </x:c>
      <x:c r="D93" s="58" t="n">
        <x:v>2019</x:v>
      </x:c>
      <x:c r="E93" s="46" t="str">
        <x:v>Lutjanus</x:v>
      </x:c>
      <x:c r="F93" s="46" t="str">
        <x:v>Snappers</x:v>
      </x:c>
      <x:c r="G93" s="46" t="str">
        <x:v>Medium reef assoc. fish (30 - 89 cm)</x:v>
      </x:c>
      <x:c r="H93" s="46" t="str">
        <x:v>Perch-likes</x:v>
      </x:c>
      <x:c r="I93" s="60" t="n">
        <x:v>378.7890641371</x:v>
      </x:c>
      <x:c r="J93" s="60" t="n">
        <x:v>378.7890641371</x:v>
      </x:c>
      <x:c r="K93" s="60" t="n">
        <x:v>0</x:v>
      </x:c>
      <x:c r="L93" s="60" t="n">
        <x:v>371.7664954007</x:v>
      </x:c>
      <x:c r="M93" s="60" t="n">
        <x:v>7.0225687364</x:v>
      </x:c>
      <x:c r="N93" s="46" t="str">
        <x:v>lutjanus</x:v>
      </x:c>
      <x:c r="O93" s="62" t="n">
        <x:v>4.02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Lutjanus</x:v>
      </x:c>
      <x:c r="T93" s="62" t="n">
        <x:f>IF(O93="","",(1/'Metadata'!$B$5)^(O93-1))</x:f>
        <x:v>1047.1285480508984</x:v>
      </x:c>
      <x:c r="U93" s="60" t="n">
        <x:f>IF(T93="","",I93*T93)</x:f>
        <x:v>396640.84274744015</x:v>
      </x:c>
    </x:row>
    <x:row r="94" ht="18" customHeight="1">
      <x:c r="A94" s="46" t="str">
        <x:v>LME_016</x:v>
      </x:c>
      <x:c r="B94" s="46" t="str">
        <x:v>East Brazil Shelf</x:v>
      </x:c>
      <x:c r="C94" s="46" t="str">
        <x:v>LME</x:v>
      </x:c>
      <x:c r="D94" s="58" t="n">
        <x:v>2019</x:v>
      </x:c>
      <x:c r="E94" s="46" t="str">
        <x:v>Mycteroperca bonaci</x:v>
      </x:c>
      <x:c r="F94" s="46" t="str">
        <x:v>Black grouper</x:v>
      </x:c>
      <x:c r="G94" s="46" t="str">
        <x:v>Large reef assoc. fish (&gt;=90 cm)</x:v>
      </x:c>
      <x:c r="H94" s="46" t="str">
        <x:v>Perch-likes</x:v>
      </x:c>
      <x:c r="I94" s="60" t="n">
        <x:v>342.8387781352</x:v>
      </x:c>
      <x:c r="J94" s="60" t="n">
        <x:v>342.8387781352</x:v>
      </x:c>
      <x:c r="K94" s="60" t="n">
        <x:v>0</x:v>
      </x:c>
      <x:c r="L94" s="60" t="n">
        <x:v>301.0944284881</x:v>
      </x:c>
      <x:c r="M94" s="60" t="n">
        <x:v>41.7443496471</x:v>
      </x:c>
      <x:c r="N94" s="46" t="str">
        <x:v>mycteroperca bonaci</x:v>
      </x:c>
      <x:c r="O94" s="62" t="n">
        <x:v>4.3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Mycteroperca bonaci</x:v>
      </x:c>
      <x:c r="T94" s="62" t="n">
        <x:f>IF(O94="","",(1/'Metadata'!$B$5)^(O94-1))</x:f>
        <x:v>1995.2623149688789</x:v>
      </x:c>
      <x:c r="U94" s="60" t="n">
        <x:f>IF(T94="","",I94*T94)</x:f>
        <x:v>684053.294123141</x:v>
      </x:c>
    </x:row>
    <x:row r="95" ht="18" customHeight="1">
      <x:c r="A95" s="46" t="str">
        <x:v>LME_016</x:v>
      </x:c>
      <x:c r="B95" s="46" t="str">
        <x:v>East Brazil Shelf</x:v>
      </x:c>
      <x:c r="C95" s="46" t="str">
        <x:v>LME</x:v>
      </x:c>
      <x:c r="D95" s="58" t="n">
        <x:v>2019</x:v>
      </x:c>
      <x:c r="E95" s="46" t="str">
        <x:v>Lutjanus jocu</x:v>
      </x:c>
      <x:c r="F95" s="46" t="str">
        <x:v>Dog snapper</x:v>
      </x:c>
      <x:c r="G95" s="46" t="str">
        <x:v>Large reef assoc. fish (&gt;=90 cm)</x:v>
      </x:c>
      <x:c r="H95" s="46" t="str">
        <x:v>Perch-likes</x:v>
      </x:c>
      <x:c r="I95" s="60" t="n">
        <x:v>334.78842774829997</x:v>
      </x:c>
      <x:c r="J95" s="60" t="n">
        <x:v>334.78842774829997</x:v>
      </x:c>
      <x:c r="K95" s="60" t="n">
        <x:v>0</x:v>
      </x:c>
      <x:c r="L95" s="60" t="n">
        <x:v>326.7806921282</x:v>
      </x:c>
      <x:c r="M95" s="60" t="n">
        <x:v>8.0077356201</x:v>
      </x:c>
      <x:c r="N95" s="46" t="str">
        <x:v>lutjanus jocu</x:v>
      </x:c>
      <x:c r="O95" s="62" t="n">
        <x:v>4.41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Lutjanus jocu</x:v>
      </x:c>
      <x:c r="T95" s="62" t="n">
        <x:f>IF(O95="","",(1/'Metadata'!$B$5)^(O95-1))</x:f>
        <x:v>2570.3957827688646</x:v>
      </x:c>
      <x:c r="U95" s="60" t="n">
        <x:f>IF(T95="","",I95*T95)</x:f>
        <x:v>860538.762804049</x:v>
      </x:c>
    </x:row>
    <x:row r="96" ht="18" customHeight="1">
      <x:c r="A96" s="46" t="str">
        <x:v>LME_016</x:v>
      </x:c>
      <x:c r="B96" s="46" t="str">
        <x:v>East Brazil Shelf</x:v>
      </x:c>
      <x:c r="C96" s="46" t="str">
        <x:v>LME</x:v>
      </x:c>
      <x:c r="D96" s="58" t="n">
        <x:v>2019</x:v>
      </x:c>
      <x:c r="E96" s="46" t="str">
        <x:v>Euthynnus alletteratus</x:v>
      </x:c>
      <x:c r="F96" s="46" t="str">
        <x:v>Little tunny </x:v>
      </x:c>
      <x:c r="G96" s="46" t="str">
        <x:v>Large pelagics (&gt;=90 cm)</x:v>
      </x:c>
      <x:c r="H96" s="46" t="str">
        <x:v>Tuna &amp; billfishes</x:v>
      </x:c>
      <x:c r="I96" s="60" t="n">
        <x:v>306.0255155954</x:v>
      </x:c>
      <x:c r="J96" s="60" t="n">
        <x:v>306.0255155954</x:v>
      </x:c>
      <x:c r="K96" s="60" t="n">
        <x:v>0</x:v>
      </x:c>
      <x:c r="L96" s="60" t="n">
        <x:v>0</x:v>
      </x:c>
      <x:c r="M96" s="60" t="n">
        <x:v>306.0255155954</x:v>
      </x:c>
      <x:c r="N96" s="46" t="str">
        <x:v>euthynnus alletteratus</x:v>
      </x:c>
      <x:c r="O96" s="62" t="n">
        <x:v>4.49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Euthynnus alletteratus</x:v>
      </x:c>
      <x:c r="T96" s="62" t="n">
        <x:f>IF(O96="","",(1/'Metadata'!$B$5)^(O96-1))</x:f>
        <x:v>3090.295432513592</x:v>
      </x:c>
      <x:c r="U96" s="60" t="n">
        <x:f>IF(T96="","",I96*T96)</x:f>
        <x:v>945709.2530770816</x:v>
      </x:c>
    </x:row>
    <x:row r="97" ht="18" customHeight="1">
      <x:c r="A97" s="46" t="str">
        <x:v>LME_016</x:v>
      </x:c>
      <x:c r="B97" s="46" t="str">
        <x:v>East Brazil Shelf</x:v>
      </x:c>
      <x:c r="C97" s="46" t="str">
        <x:v>LME</x:v>
      </x:c>
      <x:c r="D97" s="58" t="n">
        <x:v>2019</x:v>
      </x:c>
      <x:c r="E97" s="46" t="str">
        <x:v>Megalops atlanticus</x:v>
      </x:c>
      <x:c r="F97" s="46" t="str">
        <x:v>Tarpon</x:v>
      </x:c>
      <x:c r="G97" s="46" t="str">
        <x:v>Large pelagics (&gt;=90 cm)</x:v>
      </x:c>
      <x:c r="H97" s="46" t="str">
        <x:v>Other fishes &amp; inverts</x:v>
      </x:c>
      <x:c r="I97" s="60" t="n">
        <x:v>305.0821859436</x:v>
      </x:c>
      <x:c r="J97" s="60" t="n">
        <x:v>305.0821859436</x:v>
      </x:c>
      <x:c r="K97" s="60" t="n">
        <x:v>0</x:v>
      </x:c>
      <x:c r="L97" s="60" t="n">
        <x:v>301.0436592313</x:v>
      </x:c>
      <x:c r="M97" s="60" t="n">
        <x:v>4.0385267123</x:v>
      </x:c>
      <x:c r="N97" s="46" t="str">
        <x:v>megalops atlanticus</x:v>
      </x:c>
      <x:c r="O97" s="62" t="n">
        <x:v>4.5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Megalops atlanticus</x:v>
      </x:c>
      <x:c r="T97" s="62" t="n">
        <x:f>IF(O97="","",(1/'Metadata'!$B$5)^(O97-1))</x:f>
        <x:v>3162.2776601683795</x:v>
      </x:c>
      <x:c r="U97" s="60" t="n">
        <x:f>IF(T97="","",I97*T97)</x:f>
        <x:v>964754.5811247819</x:v>
      </x:c>
    </x:row>
    <x:row r="98" ht="18" customHeight="1">
      <x:c r="A98" s="46" t="str">
        <x:v>LME_016</x:v>
      </x:c>
      <x:c r="B98" s="46" t="str">
        <x:v>East Brazil Shelf</x:v>
      </x:c>
      <x:c r="C98" s="46" t="str">
        <x:v>LME</x:v>
      </x:c>
      <x:c r="D98" s="58" t="n">
        <x:v>2019</x:v>
      </x:c>
      <x:c r="E98" s="46" t="str">
        <x:v>Scomberomorus cavalla</x:v>
      </x:c>
      <x:c r="F98" s="46" t="str">
        <x:v>King mackerel</x:v>
      </x:c>
      <x:c r="G98" s="46" t="str">
        <x:v>Large pelagics (&gt;=90 cm)</x:v>
      </x:c>
      <x:c r="H98" s="46" t="str">
        <x:v>Perch-likes</x:v>
      </x:c>
      <x:c r="I98" s="60" t="n">
        <x:v>290.45239148639996</x:v>
      </x:c>
      <x:c r="J98" s="60" t="n">
        <x:v>290.45239148639996</x:v>
      </x:c>
      <x:c r="K98" s="60" t="n">
        <x:v>0</x:v>
      </x:c>
      <x:c r="L98" s="60" t="n">
        <x:v>266.4374334738</x:v>
      </x:c>
      <x:c r="M98" s="60" t="n">
        <x:v>24.0149580126</x:v>
      </x:c>
      <x:c r="N98" s="46" t="str">
        <x:v>scomberomorus cavalla</x:v>
      </x:c>
      <x:c r="O98" s="62" t="n">
        <x:v>4.42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Scomberomorus cavalla</x:v>
      </x:c>
      <x:c r="T98" s="62" t="n">
        <x:f>IF(O98="","",(1/'Metadata'!$B$5)^(O98-1))</x:f>
        <x:v>2630.2679918953813</x:v>
      </x:c>
      <x:c r="U98" s="60" t="n">
        <x:f>IF(T98="","",I98*T98)</x:f>
        <x:v>763967.6284961444</x:v>
      </x:c>
    </x:row>
    <x:row r="99" ht="18" customHeight="1">
      <x:c r="A99" s="46" t="str">
        <x:v>LME_016</x:v>
      </x:c>
      <x:c r="B99" s="46" t="str">
        <x:v>East Brazil Shelf</x:v>
      </x:c>
      <x:c r="C99" s="46" t="str">
        <x:v>LME</x:v>
      </x:c>
      <x:c r="D99" s="58" t="n">
        <x:v>2019</x:v>
      </x:c>
      <x:c r="E99" s="46" t="str">
        <x:v>Rachycentron canadum</x:v>
      </x:c>
      <x:c r="F99" s="46" t="str">
        <x:v>Cobia</x:v>
      </x:c>
      <x:c r="G99" s="46" t="str">
        <x:v>Large pelagics (&gt;=90 cm)</x:v>
      </x:c>
      <x:c r="H99" s="46" t="str">
        <x:v>Perch-likes</x:v>
      </x:c>
      <x:c r="I99" s="60" t="n">
        <x:v>272.6265450072</x:v>
      </x:c>
      <x:c r="J99" s="60" t="n">
        <x:v>272.6265450072</x:v>
      </x:c>
      <x:c r="K99" s="60" t="n">
        <x:v>0</x:v>
      </x:c>
      <x:c r="L99" s="60" t="n">
        <x:v>267.677264374</x:v>
      </x:c>
      <x:c r="M99" s="60" t="n">
        <x:v>4.949280633200001</x:v>
      </x:c>
      <x:c r="N99" s="46" t="str">
        <x:v>rachycentron canadum</x:v>
      </x:c>
      <x:c r="O99" s="62" t="n">
        <x:v>3.96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Rachycentron canadum</x:v>
      </x:c>
      <x:c r="T99" s="62" t="n">
        <x:f>IF(O99="","",(1/'Metadata'!$B$5)^(O99-1))</x:f>
        <x:v>912.0108393559096</x:v>
      </x:c>
      <x:c r="U99" s="60" t="n">
        <x:f>IF(T99="","",I99*T99)</x:f>
        <x:v>248638.36414271814</x:v>
      </x:c>
    </x:row>
    <x:row r="100" ht="18" customHeight="1">
      <x:c r="A100" s="46" t="str">
        <x:v>LME_016</x:v>
      </x:c>
      <x:c r="B100" s="46" t="str">
        <x:v>East Brazil Shelf</x:v>
      </x:c>
      <x:c r="C100" s="46" t="str">
        <x:v>LME</x:v>
      </x:c>
      <x:c r="D100" s="58" t="n">
        <x:v>2019</x:v>
      </x:c>
      <x:c r="E100" s="46" t="str">
        <x:v>Lobotes surinamensis</x:v>
      </x:c>
      <x:c r="F100" s="46" t="str">
        <x:v>Tripletail</x:v>
      </x:c>
      <x:c r="G100" s="46" t="str">
        <x:v>Large benthopelagics (&gt;=90 cm)</x:v>
      </x:c>
      <x:c r="H100" s="46" t="str">
        <x:v>Perch-likes</x:v>
      </x:c>
      <x:c r="I100" s="60" t="n">
        <x:v>269.7959187995</x:v>
      </x:c>
      <x:c r="J100" s="60" t="n">
        <x:v>269.7959187995</x:v>
      </x:c>
      <x:c r="K100" s="60" t="n">
        <x:v>0</x:v>
      </x:c>
      <x:c r="L100" s="60" t="n">
        <x:v>18.8014759055</x:v>
      </x:c>
      <x:c r="M100" s="60" t="n">
        <x:v>250.994442894</x:v>
      </x:c>
      <x:c r="N100" s="46" t="str">
        <x:v>lobotes surinamensis</x:v>
      </x:c>
      <x:c r="O100" s="62" t="n">
        <x:v>4.04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Lobotes surinamensis</x:v>
      </x:c>
      <x:c r="T100" s="62" t="n">
        <x:f>IF(O100="","",(1/'Metadata'!$B$5)^(O100-1))</x:f>
        <x:v>1096.4781961431852</x:v>
      </x:c>
      <x:c r="U100" s="60" t="n">
        <x:f>IF(T100="","",I100*T100)</x:f>
        <x:v>295825.342372069</x:v>
      </x:c>
    </x:row>
    <x:row r="101" ht="18" customHeight="1">
      <x:c r="A101" s="46" t="str">
        <x:v>LME_016</x:v>
      </x:c>
      <x:c r="B101" s="46" t="str">
        <x:v>East Brazil Shelf</x:v>
      </x:c>
      <x:c r="C101" s="46" t="str">
        <x:v>LME</x:v>
      </x:c>
      <x:c r="D101" s="58" t="n">
        <x:v>2019</x:v>
      </x:c>
      <x:c r="E101" s="46" t="str">
        <x:v>Hemiramphus</x:v>
      </x:c>
      <x:c r="F101" s="46" t="str">
        <x:v>Halfbeaks</x:v>
      </x:c>
      <x:c r="G101" s="46" t="str">
        <x:v>Medium pelagics (30 - 89 cm)</x:v>
      </x:c>
      <x:c r="H101" s="46" t="str">
        <x:v>Other fishes &amp; inverts</x:v>
      </x:c>
      <x:c r="I101" s="60" t="n">
        <x:v>264.59127993830003</x:v>
      </x:c>
      <x:c r="J101" s="60" t="n">
        <x:v>264.59127993830003</x:v>
      </x:c>
      <x:c r="K101" s="60" t="n">
        <x:v>0</x:v>
      </x:c>
      <x:c r="L101" s="60" t="n">
        <x:v>257.33614169000003</x:v>
      </x:c>
      <x:c r="M101" s="60" t="n">
        <x:v>7.2551382483</x:v>
      </x:c>
      <x:c r="N101" s="46" t="str">
        <x:v>hemiramphus</x:v>
      </x:c>
      <x:c r="O101" s="62" t="n">
        <x:v>3.05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Hemiramphus</x:v>
      </x:c>
      <x:c r="T101" s="62" t="n">
        <x:f>IF(O101="","",(1/'Metadata'!$B$5)^(O101-1))</x:f>
        <x:v>112.2018454301963</x:v>
      </x:c>
      <x:c r="U101" s="60" t="n">
        <x:f>IF(T101="","",I101*T101)</x:f>
        <x:v>29687.62989381494</x:v>
      </x:c>
    </x:row>
    <x:row r="102" ht="18" customHeight="1">
      <x:c r="A102" s="46" t="str">
        <x:v>LME_016</x:v>
      </x:c>
      <x:c r="B102" s="46" t="str">
        <x:v>East Brazil Shelf</x:v>
      </x:c>
      <x:c r="C102" s="46" t="str">
        <x:v>LME</x:v>
      </x:c>
      <x:c r="D102" s="58" t="n">
        <x:v>2019</x:v>
      </x:c>
      <x:c r="E102" s="46" t="str">
        <x:v>Malacanthidae</x:v>
      </x:c>
      <x:c r="F102" s="46" t="str">
        <x:v>Tilefishes</x:v>
      </x:c>
      <x:c r="G102" s="46" t="str">
        <x:v>Medium demersals (30 - 89 cm)</x:v>
      </x:c>
      <x:c r="H102" s="46" t="str">
        <x:v>Perch-likes</x:v>
      </x:c>
      <x:c r="I102" s="60" t="n">
        <x:v>254.40297245949998</x:v>
      </x:c>
      <x:c r="J102" s="60" t="n">
        <x:v>254.40297245949998</x:v>
      </x:c>
      <x:c r="K102" s="60" t="n">
        <x:v>0</x:v>
      </x:c>
      <x:c r="L102" s="60" t="n">
        <x:v>249.3931848796</x:v>
      </x:c>
      <x:c r="M102" s="60" t="n">
        <x:v>5.0097875799</x:v>
      </x:c>
      <x:c r="N102" s="46" t="str">
        <x:v>malacanthidae</x:v>
      </x:c>
      <x:c r="O102" s="62" t="n">
        <x:v>3.62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Malacanthidae</x:v>
      </x:c>
      <x:c r="T102" s="62" t="n">
        <x:f>IF(O102="","",(1/'Metadata'!$B$5)^(O102-1))</x:f>
        <x:v>416.8693834703355</x:v>
      </x:c>
      <x:c r="U102" s="60" t="n">
        <x:f>IF(T102="","",I102*T102)</x:f>
        <x:v>106052.8102822125</x:v>
      </x:c>
    </x:row>
    <x:row r="103" ht="18" customHeight="1">
      <x:c r="A103" s="46" t="str">
        <x:v>LME_016</x:v>
      </x:c>
      <x:c r="B103" s="46" t="str">
        <x:v>East Brazil Shelf</x:v>
      </x:c>
      <x:c r="C103" s="46" t="str">
        <x:v>LME</x:v>
      </x:c>
      <x:c r="D103" s="58" t="n">
        <x:v>2019</x:v>
      </x:c>
      <x:c r="E103" s="46" t="str">
        <x:v>Calamus</x:v>
      </x:c>
      <x:c r="F103" s="46" t="str">
        <x:v>Porgies</x:v>
      </x:c>
      <x:c r="G103" s="46" t="str">
        <x:v>Medium reef assoc. fish (30 - 89 cm)</x:v>
      </x:c>
      <x:c r="H103" s="46" t="str">
        <x:v>Perch-likes</x:v>
      </x:c>
      <x:c r="I103" s="60" t="n">
        <x:v>249.14550997249998</x:v>
      </x:c>
      <x:c r="J103" s="60" t="n">
        <x:v>249.14550997249998</x:v>
      </x:c>
      <x:c r="K103" s="60" t="n">
        <x:v>0</x:v>
      </x:c>
      <x:c r="L103" s="60" t="n">
        <x:v>242.98008056959998</x:v>
      </x:c>
      <x:c r="M103" s="60" t="n">
        <x:v>6.1654294029</x:v>
      </x:c>
      <x:c r="N103" s="46" t="str">
        <x:v>calamus</x:v>
      </x:c>
      <x:c r="O103" s="62" t="n">
        <x:v>3.51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Calamus</x:v>
      </x:c>
      <x:c r="T103" s="62" t="n">
        <x:f>IF(O103="","",(1/'Metadata'!$B$5)^(O103-1))</x:f>
        <x:v>323.5936569296281</x:v>
      </x:c>
      <x:c r="U103" s="60" t="n">
        <x:f>IF(T103="","",I103*T103)</x:f>
        <x:v>80621.9066795984</x:v>
      </x:c>
    </x:row>
    <x:row r="104" ht="18" customHeight="1">
      <x:c r="A104" s="46" t="str">
        <x:v>LME_016</x:v>
      </x:c>
      <x:c r="B104" s="46" t="str">
        <x:v>East Brazil Shelf</x:v>
      </x:c>
      <x:c r="C104" s="46" t="str">
        <x:v>LME</x:v>
      </x:c>
      <x:c r="D104" s="58" t="n">
        <x:v>2019</x:v>
      </x:c>
      <x:c r="E104" s="46" t="str">
        <x:v>Trachinotus</x:v>
      </x:c>
      <x:c r="F104" s="46" t="str">
        <x:v>Pompanos</x:v>
      </x:c>
      <x:c r="G104" s="46" t="str">
        <x:v>Medium pelagics (30 - 89 cm)</x:v>
      </x:c>
      <x:c r="H104" s="46" t="str">
        <x:v>Perch-likes</x:v>
      </x:c>
      <x:c r="I104" s="60" t="n">
        <x:v>238.4333921726</x:v>
      </x:c>
      <x:c r="J104" s="60" t="n">
        <x:v>238.4333921726</x:v>
      </x:c>
      <x:c r="K104" s="60" t="n">
        <x:v>0</x:v>
      </x:c>
      <x:c r="L104" s="60" t="n">
        <x:v>231.4044858434</x:v>
      </x:c>
      <x:c r="M104" s="60" t="n">
        <x:v>7.028906329199999</x:v>
      </x:c>
      <x:c r="N104" s="46" t="str">
        <x:v>trachinotus</x:v>
      </x:c>
      <x:c r="O104" s="62" t="n">
        <x:v>3.69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Trachinotus</x:v>
      </x:c>
      <x:c r="T104" s="62" t="n">
        <x:f>IF(O104="","",(1/'Metadata'!$B$5)^(O104-1))</x:f>
        <x:v>489.77881936844614</x:v>
      </x:c>
      <x:c r="U104" s="60" t="n">
        <x:f>IF(T104="","",I104*T104)</x:f>
        <x:v>116779.62531630974</x:v>
      </x:c>
    </x:row>
    <x:row r="105" ht="18" customHeight="1">
      <x:c r="A105" s="46" t="str">
        <x:v>LME_016</x:v>
      </x:c>
      <x:c r="B105" s="46" t="str">
        <x:v>East Brazil Shelf</x:v>
      </x:c>
      <x:c r="C105" s="46" t="str">
        <x:v>LME</x:v>
      </x:c>
      <x:c r="D105" s="58" t="n">
        <x:v>2019</x:v>
      </x:c>
      <x:c r="E105" s="46" t="str">
        <x:v>Perna perna</x:v>
      </x:c>
      <x:c r="F105" s="46" t="str">
        <x:v>South American rock mussel</x:v>
      </x:c>
      <x:c r="G105" s="46" t="str">
        <x:v>Other demersal invertebrates</x:v>
      </x:c>
      <x:c r="H105" s="46" t="str">
        <x:v>Molluscs</x:v>
      </x:c>
      <x:c r="I105" s="60" t="n">
        <x:v>238.38332236</x:v>
      </x:c>
      <x:c r="J105" s="60" t="n">
        <x:v>238.38332236</x:v>
      </x:c>
      <x:c r="K105" s="60" t="n">
        <x:v>0</x:v>
      </x:c>
      <x:c r="L105" s="60" t="n">
        <x:v>238.0144194751</x:v>
      </x:c>
      <x:c r="M105" s="60" t="n">
        <x:v>0.3689028849</x:v>
      </x:c>
      <x:c r="N105" s="46" t="str">
        <x:v>perna perna</x:v>
      </x:c>
      <x:c r="O105" s="62" t="n">
        <x:v>2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Perna perna</x:v>
      </x:c>
      <x:c r="T105" s="62" t="n">
        <x:f>IF(O105="","",(1/'Metadata'!$B$5)^(O105-1))</x:f>
        <x:v>10</x:v>
      </x:c>
      <x:c r="U105" s="60" t="n">
        <x:f>IF(T105="","",I105*T105)</x:f>
        <x:v>2383.8332236</x:v>
      </x:c>
    </x:row>
    <x:row r="106" ht="18" customHeight="1">
      <x:c r="A106" s="46" t="str">
        <x:v>LME_016</x:v>
      </x:c>
      <x:c r="B106" s="46" t="str">
        <x:v>East Brazil Shelf</x:v>
      </x:c>
      <x:c r="C106" s="46" t="str">
        <x:v>LME</x:v>
      </x:c>
      <x:c r="D106" s="58" t="n">
        <x:v>2019</x:v>
      </x:c>
      <x:c r="E106" s="46" t="str">
        <x:v>Crassostrea rhizophorae</x:v>
      </x:c>
      <x:c r="F106" s="46" t="str">
        <x:v>Mangrove cupped oyster</x:v>
      </x:c>
      <x:c r="G106" s="46" t="str">
        <x:v>Other demersal invertebrates</x:v>
      </x:c>
      <x:c r="H106" s="46" t="str">
        <x:v>Molluscs</x:v>
      </x:c>
      <x:c r="I106" s="60" t="n">
        <x:v>229.71518937919998</x:v>
      </x:c>
      <x:c r="J106" s="60" t="n">
        <x:v>229.71518937919998</x:v>
      </x:c>
      <x:c r="K106" s="60" t="n">
        <x:v>0</x:v>
      </x:c>
      <x:c r="L106" s="60" t="n">
        <x:v>228.4764756649</x:v>
      </x:c>
      <x:c r="M106" s="60" t="n">
        <x:v>1.2387137143</x:v>
      </x:c>
      <x:c r="N106" s="46" t="str">
        <x:v>crassostrea rhizophorae</x:v>
      </x:c>
      <x:c r="O106" s="62" t="n">
        <x:v>2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Crassostrea rhizophorae</x:v>
      </x:c>
      <x:c r="T106" s="62" t="n">
        <x:f>IF(O106="","",(1/'Metadata'!$B$5)^(O106-1))</x:f>
        <x:v>10</x:v>
      </x:c>
      <x:c r="U106" s="60" t="n">
        <x:f>IF(T106="","",I106*T106)</x:f>
        <x:v>2297.151893792</x:v>
      </x:c>
    </x:row>
    <x:row r="107" ht="18" customHeight="1">
      <x:c r="A107" s="46" t="str">
        <x:v>LME_016</x:v>
      </x:c>
      <x:c r="B107" s="46" t="str">
        <x:v>East Brazil Shelf</x:v>
      </x:c>
      <x:c r="C107" s="46" t="str">
        <x:v>LME</x:v>
      </x:c>
      <x:c r="D107" s="58" t="n">
        <x:v>2019</x:v>
      </x:c>
      <x:c r="E107" s="46" t="str">
        <x:v>Mycteroperca</x:v>
      </x:c>
      <x:c r="F107" s="46" t="str">
        <x:v>Scamps, gags</x:v>
      </x:c>
      <x:c r="G107" s="46" t="str">
        <x:v>Medium reef assoc. fish (30 - 89 cm)</x:v>
      </x:c>
      <x:c r="H107" s="46" t="str">
        <x:v>Perch-likes</x:v>
      </x:c>
      <x:c r="I107" s="60" t="n">
        <x:v>215.62911257579998</x:v>
      </x:c>
      <x:c r="J107" s="60" t="n">
        <x:v>215.62911257579998</x:v>
      </x:c>
      <x:c r="K107" s="60" t="n">
        <x:v>0</x:v>
      </x:c>
      <x:c r="L107" s="60" t="n">
        <x:v>151.0489315966</x:v>
      </x:c>
      <x:c r="M107" s="60" t="n">
        <x:v>64.5801809792</x:v>
      </x:c>
      <x:c r="N107" s="46" t="str">
        <x:v>mycteroperca</x:v>
      </x:c>
      <x:c r="O107" s="62" t="n">
        <x:v>4.35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Mycteroperca</x:v>
      </x:c>
      <x:c r="T107" s="62" t="n">
        <x:f>IF(O107="","",(1/'Metadata'!$B$5)^(O107-1))</x:f>
        <x:v>2238.7211385683377</x:v>
      </x:c>
      <x:c r="U107" s="60" t="n">
        <x:f>IF(T107="","",I107*T107)</x:f>
        <x:v>482733.4524141752</x:v>
      </x:c>
    </x:row>
    <x:row r="108" ht="18" customHeight="1">
      <x:c r="A108" s="46" t="str">
        <x:v>LME_016</x:v>
      </x:c>
      <x:c r="B108" s="46" t="str">
        <x:v>East Brazil Shelf</x:v>
      </x:c>
      <x:c r="C108" s="46" t="str">
        <x:v>LME</x:v>
      </x:c>
      <x:c r="D108" s="58" t="n">
        <x:v>2019</x:v>
      </x:c>
      <x:c r="E108" s="46" t="str">
        <x:v>Rajidae</x:v>
      </x:c>
      <x:c r="F108" s="46" t="str">
        <x:v>Stingrays</x:v>
      </x:c>
      <x:c r="G108" s="46" t="str">
        <x:v>Large rays (&gt;=90 cm)</x:v>
      </x:c>
      <x:c r="H108" s="46" t="str">
        <x:v>Sharks &amp; rays</x:v>
      </x:c>
      <x:c r="I108" s="60" t="n">
        <x:v>213.4441281339</x:v>
      </x:c>
      <x:c r="J108" s="60" t="n">
        <x:v>213.4441281339</x:v>
      </x:c>
      <x:c r="K108" s="60" t="n">
        <x:v>0</x:v>
      </x:c>
      <x:c r="L108" s="60" t="n">
        <x:v>207.6104831085</x:v>
      </x:c>
      <x:c r="M108" s="60" t="n">
        <x:v>5.8336450254</x:v>
      </x:c>
      <x:c r="N108" s="46" t="str">
        <x:v>rajidae</x:v>
      </x:c>
      <x:c r="O108" s="62" t="n">
        <x:v>3.82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Rajidae</x:v>
      </x:c>
      <x:c r="T108" s="62" t="n">
        <x:f>IF(O108="","",(1/'Metadata'!$B$5)^(O108-1))</x:f>
        <x:v>660.6934480075957</x:v>
      </x:c>
      <x:c r="U108" s="60" t="n">
        <x:f>IF(T108="","",I108*T108)</x:f>
        <x:v>141021.13697376146</x:v>
      </x:c>
    </x:row>
    <x:row r="109" ht="18" customHeight="1">
      <x:c r="A109" s="46" t="str">
        <x:v>LME_016</x:v>
      </x:c>
      <x:c r="B109" s="46" t="str">
        <x:v>East Brazil Shelf</x:v>
      </x:c>
      <x:c r="C109" s="46" t="str">
        <x:v>LME</x:v>
      </x:c>
      <x:c r="D109" s="58" t="n">
        <x:v>2019</x:v>
      </x:c>
      <x:c r="E109" s="46" t="str">
        <x:v>Dasyatidae</x:v>
      </x:c>
      <x:c r="F109" s="46" t="str">
        <x:v>Whiptail stingrays</x:v>
      </x:c>
      <x:c r="G109" s="46" t="str">
        <x:v>Large rays (&gt;=90 cm)</x:v>
      </x:c>
      <x:c r="H109" s="46" t="str">
        <x:v>Sharks &amp; rays</x:v>
      </x:c>
      <x:c r="I109" s="60" t="n">
        <x:v>205.89436648870003</x:v>
      </x:c>
      <x:c r="J109" s="60" t="n">
        <x:v>205.89436648870003</x:v>
      </x:c>
      <x:c r="K109" s="60" t="n">
        <x:v>0</x:v>
      </x:c>
      <x:c r="L109" s="60" t="n">
        <x:v>205.84591759850002</x:v>
      </x:c>
      <x:c r="M109" s="60" t="n">
        <x:v>0.0484488902</x:v>
      </x:c>
      <x:c r="N109" s="46" t="str">
        <x:v>dasyatidae</x:v>
      </x:c>
      <x:c r="O109" s="62" t="n">
        <x:v>3.38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Dasyatidae</x:v>
      </x:c>
      <x:c r="T109" s="62" t="n">
        <x:f>IF(O109="","",(1/'Metadata'!$B$5)^(O109-1))</x:f>
        <x:v>239.88329190194898</x:v>
      </x:c>
      <x:c r="U109" s="60" t="n">
        <x:f>IF(T109="","",I109*T109)</x:f>
        <x:v>49390.61841737569</x:v>
      </x:c>
    </x:row>
    <x:row r="110" ht="18" customHeight="1">
      <x:c r="A110" s="46" t="str">
        <x:v>LME_016</x:v>
      </x:c>
      <x:c r="B110" s="46" t="str">
        <x:v>East Brazil Shelf</x:v>
      </x:c>
      <x:c r="C110" s="46" t="str">
        <x:v>LME</x:v>
      </x:c>
      <x:c r="D110" s="58" t="n">
        <x:v>2019</x:v>
      </x:c>
      <x:c r="E110" s="46" t="str">
        <x:v>Selar crumenophthalmus</x:v>
      </x:c>
      <x:c r="F110" s="46" t="str">
        <x:v>Bigeye scad</x:v>
      </x:c>
      <x:c r="G110" s="46" t="str">
        <x:v>Medium pelagics (30 - 89 cm)</x:v>
      </x:c>
      <x:c r="H110" s="46" t="str">
        <x:v>Perch-likes</x:v>
      </x:c>
      <x:c r="I110" s="60" t="n">
        <x:v>200.9273085531</x:v>
      </x:c>
      <x:c r="J110" s="60" t="n">
        <x:v>200.9273085531</x:v>
      </x:c>
      <x:c r="K110" s="60" t="n">
        <x:v>0</x:v>
      </x:c>
      <x:c r="L110" s="60" t="n">
        <x:v>195.288686593</x:v>
      </x:c>
      <x:c r="M110" s="60" t="n">
        <x:v>5.6386219601</x:v>
      </x:c>
      <x:c r="N110" s="46" t="str">
        <x:v>selar crumenophthalmus</x:v>
      </x:c>
      <x:c r="O110" s="62" t="n">
        <x:v>3.81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Selar crumenophthalmus</x:v>
      </x:c>
      <x:c r="T110" s="62" t="n">
        <x:f>IF(O110="","",(1/'Metadata'!$B$5)^(O110-1))</x:f>
        <x:v>645.6542290346556</x:v>
      </x:c>
      <x:c r="U110" s="60" t="n">
        <x:f>IF(T110="","",I110*T110)</x:f>
        <x:v>129729.56649586014</x:v>
      </x:c>
    </x:row>
    <x:row r="111" ht="18" customHeight="1">
      <x:c r="A111" s="46" t="str">
        <x:v>LME_016</x:v>
      </x:c>
      <x:c r="B111" s="46" t="str">
        <x:v>East Brazil Shelf</x:v>
      </x:c>
      <x:c r="C111" s="46" t="str">
        <x:v>LME</x:v>
      </x:c>
      <x:c r="D111" s="58" t="n">
        <x:v>2019</x:v>
      </x:c>
      <x:c r="E111" s="46" t="str">
        <x:v>Thunnus atlanticus</x:v>
      </x:c>
      <x:c r="F111" s="46" t="str">
        <x:v>Blackfin tuna</x:v>
      </x:c>
      <x:c r="G111" s="46" t="str">
        <x:v>Large pelagics (&gt;=90 cm)</x:v>
      </x:c>
      <x:c r="H111" s="46" t="str">
        <x:v>Tuna &amp; billfishes</x:v>
      </x:c>
      <x:c r="I111" s="60" t="n">
        <x:v>187.3950331754</x:v>
      </x:c>
      <x:c r="J111" s="60" t="n">
        <x:v>187.3950331754</x:v>
      </x:c>
      <x:c r="K111" s="60" t="n">
        <x:v>0</x:v>
      </x:c>
      <x:c r="L111" s="60" t="n">
        <x:v>186.77224911719998</x:v>
      </x:c>
      <x:c r="M111" s="60" t="n">
        <x:v>0.6227840582</x:v>
      </x:c>
      <x:c r="N111" s="46" t="str">
        <x:v>thunnus atlanticus</x:v>
      </x:c>
      <x:c r="O111" s="62" t="n">
        <x:v>4.35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Thunnus atlanticus</x:v>
      </x:c>
      <x:c r="T111" s="62" t="n">
        <x:f>IF(O111="","",(1/'Metadata'!$B$5)^(O111-1))</x:f>
        <x:v>2238.7211385683377</x:v>
      </x:c>
      <x:c r="U111" s="60" t="n">
        <x:f>IF(T111="","",I111*T111)</x:f>
        <x:v>419525.22203248285</x:v>
      </x:c>
    </x:row>
    <x:row r="112" ht="18" customHeight="1">
      <x:c r="A112" s="46" t="str">
        <x:v>LME_016</x:v>
      </x:c>
      <x:c r="B112" s="46" t="str">
        <x:v>East Brazil Shelf</x:v>
      </x:c>
      <x:c r="C112" s="46" t="str">
        <x:v>LME</x:v>
      </x:c>
      <x:c r="D112" s="58" t="n">
        <x:v>2019</x:v>
      </x:c>
      <x:c r="E112" s="46" t="str">
        <x:v>Chaetodipterus faber</x:v>
      </x:c>
      <x:c r="F112" s="46" t="str">
        <x:v>Atlantic spadefish</x:v>
      </x:c>
      <x:c r="G112" s="46" t="str">
        <x:v>Medium demersals (30 - 89 cm)</x:v>
      </x:c>
      <x:c r="H112" s="46" t="str">
        <x:v>Perch-likes</x:v>
      </x:c>
      <x:c r="I112" s="60" t="n">
        <x:v>185.7562955365</x:v>
      </x:c>
      <x:c r="J112" s="60" t="n">
        <x:v>102.96950470579999</x:v>
      </x:c>
      <x:c r="K112" s="60" t="n">
        <x:v>82.7867908307</x:v>
      </x:c>
      <x:c r="L112" s="60" t="n">
        <x:v>92.9202519302</x:v>
      </x:c>
      <x:c r="M112" s="60" t="n">
        <x:v>92.8360436063</x:v>
      </x:c>
      <x:c r="N112" s="46" t="str">
        <x:v>chaetodipterus faber</x:v>
      </x:c>
      <x:c r="O112" s="62" t="n">
        <x:v>4.5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Chaetodipterus faber</x:v>
      </x:c>
      <x:c r="T112" s="62" t="n">
        <x:f>IF(O112="","",(1/'Metadata'!$B$5)^(O112-1))</x:f>
        <x:v>3162.2776601683795</x:v>
      </x:c>
      <x:c r="U112" s="60" t="n">
        <x:f>IF(T112="","",I112*T112)</x:f>
        <x:v>587412.9836107092</x:v>
      </x:c>
    </x:row>
    <x:row r="113" ht="18" customHeight="1">
      <x:c r="A113" s="46" t="str">
        <x:v>LME_016</x:v>
      </x:c>
      <x:c r="B113" s="46" t="str">
        <x:v>East Brazil Shelf</x:v>
      </x:c>
      <x:c r="C113" s="46" t="str">
        <x:v>LME</x:v>
      </x:c>
      <x:c r="D113" s="58" t="n">
        <x:v>2019</x:v>
      </x:c>
      <x:c r="E113" s="46" t="str">
        <x:v>Loliginidae</x:v>
      </x:c>
      <x:c r="F113" s="46" t="str">
        <x:v>Common pencil squids</x:v>
      </x:c>
      <x:c r="G113" s="46" t="str">
        <x:v>Cephalopods</x:v>
      </x:c>
      <x:c r="H113" s="46" t="str">
        <x:v>Other fishes &amp; inverts</x:v>
      </x:c>
      <x:c r="I113" s="60" t="n">
        <x:v>167.3851729504</x:v>
      </x:c>
      <x:c r="J113" s="60" t="n">
        <x:v>167.3851729504</x:v>
      </x:c>
      <x:c r="K113" s="60" t="n">
        <x:v>0</x:v>
      </x:c>
      <x:c r="L113" s="60" t="n">
        <x:v>163.33674255900002</x:v>
      </x:c>
      <x:c r="M113" s="60" t="n">
        <x:v>4.0484303914</x:v>
      </x:c>
      <x:c r="N113" s="46" t="str">
        <x:v>loliginidae</x:v>
      </x:c>
      <x:c r="O113" s="62" t="n">
        <x:v>3.9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Loliginidae</x:v>
      </x:c>
      <x:c r="T113" s="62" t="n">
        <x:f>IF(O113="","",(1/'Metadata'!$B$5)^(O113-1))</x:f>
        <x:v>794.3282347242813</x:v>
      </x:c>
      <x:c r="U113" s="60" t="n">
        <x:f>IF(T113="","",I113*T113)</x:f>
        <x:v>132958.76894870977</x:v>
      </x:c>
    </x:row>
    <x:row r="114" ht="18" customHeight="1">
      <x:c r="A114" s="46" t="str">
        <x:v>LME_016</x:v>
      </x:c>
      <x:c r="B114" s="46" t="str">
        <x:v>East Brazil Shelf</x:v>
      </x:c>
      <x:c r="C114" s="46" t="str">
        <x:v>LME</x:v>
      </x:c>
      <x:c r="D114" s="58" t="n">
        <x:v>2019</x:v>
      </x:c>
      <x:c r="E114" s="46" t="str">
        <x:v>Sphyraena</x:v>
      </x:c>
      <x:c r="F114" s="46" t="str">
        <x:v>Barracudas, sennets</x:v>
      </x:c>
      <x:c r="G114" s="46" t="str">
        <x:v>Large pelagics (&gt;=90 cm)</x:v>
      </x:c>
      <x:c r="H114" s="46" t="str">
        <x:v>Perch-likes</x:v>
      </x:c>
      <x:c r="I114" s="60" t="n">
        <x:v>134.6602814413</x:v>
      </x:c>
      <x:c r="J114" s="60" t="n">
        <x:v>134.6602814413</x:v>
      </x:c>
      <x:c r="K114" s="60" t="n">
        <x:v>0</x:v>
      </x:c>
      <x:c r="L114" s="60" t="n">
        <x:v>131.03591878429998</x:v>
      </x:c>
      <x:c r="M114" s="60" t="n">
        <x:v>3.6243626570000003</x:v>
      </x:c>
      <x:c r="N114" s="46" t="str">
        <x:v>sphyraena</x:v>
      </x:c>
      <x:c r="O114" s="62" t="n">
        <x:v>4.4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Sphyraena</x:v>
      </x:c>
      <x:c r="T114" s="62" t="n">
        <x:f>IF(O114="","",(1/'Metadata'!$B$5)^(O114-1))</x:f>
        <x:v>2511.886431509582</x:v>
      </x:c>
      <x:c r="U114" s="60" t="n">
        <x:f>IF(T114="","",I114*T114)</x:f>
        <x:v>338251.333815663</x:v>
      </x:c>
    </x:row>
    <x:row r="115" ht="18" customHeight="1">
      <x:c r="A115" s="46" t="str">
        <x:v>LME_016</x:v>
      </x:c>
      <x:c r="B115" s="46" t="str">
        <x:v>East Brazil Shelf</x:v>
      </x:c>
      <x:c r="C115" s="46" t="str">
        <x:v>LME</x:v>
      </x:c>
      <x:c r="D115" s="58" t="n">
        <x:v>2019</x:v>
      </x:c>
      <x:c r="E115" s="46" t="str">
        <x:v>Selene vomer</x:v>
      </x:c>
      <x:c r="F115" s="46" t="str">
        <x:v>Lookdown</x:v>
      </x:c>
      <x:c r="G115" s="46" t="str">
        <x:v>Medium demersals (30 - 89 cm)</x:v>
      </x:c>
      <x:c r="H115" s="46" t="str">
        <x:v>Perch-likes</x:v>
      </x:c>
      <x:c r="I115" s="60" t="n">
        <x:v>130.6370664206</x:v>
      </x:c>
      <x:c r="J115" s="60" t="n">
        <x:v>130.6370664206</x:v>
      </x:c>
      <x:c r="K115" s="60" t="n">
        <x:v>0</x:v>
      </x:c>
      <x:c r="L115" s="60" t="n">
        <x:v>27.2621091055</x:v>
      </x:c>
      <x:c r="M115" s="60" t="n">
        <x:v>103.3749573151</x:v>
      </x:c>
      <x:c r="N115" s="46" t="str">
        <x:v>selene vomer</x:v>
      </x:c>
      <x:c r="O115" s="62" t="n">
        <x:v>4.29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Selene vomer</x:v>
      </x:c>
      <x:c r="T115" s="62" t="n">
        <x:f>IF(O115="","",(1/'Metadata'!$B$5)^(O115-1))</x:f>
        <x:v>1949.8445997580454</x:v>
      </x:c>
      <x:c r="U115" s="60" t="n">
        <x:f>IF(T115="","",I115*T115)</x:f>
        <x:v>254721.97848844</x:v>
      </x:c>
    </x:row>
    <x:row r="116" ht="18" customHeight="1">
      <x:c r="A116" s="46" t="str">
        <x:v>LME_016</x:v>
      </x:c>
      <x:c r="B116" s="46" t="str">
        <x:v>East Brazil Shelf</x:v>
      </x:c>
      <x:c r="C116" s="46" t="str">
        <x:v>LME</x:v>
      </x:c>
      <x:c r="D116" s="58" t="n">
        <x:v>2019</x:v>
      </x:c>
      <x:c r="E116" s="46" t="str">
        <x:v>Centropomus undecimalis</x:v>
      </x:c>
      <x:c r="F116" s="46" t="str">
        <x:v>Common snook</x:v>
      </x:c>
      <x:c r="G116" s="46" t="str">
        <x:v>Large benthopelagics (&gt;=90 cm)</x:v>
      </x:c>
      <x:c r="H116" s="46" t="str">
        <x:v>Perch-likes</x:v>
      </x:c>
      <x:c r="I116" s="60" t="n">
        <x:v>129.20771720369999</x:v>
      </x:c>
      <x:c r="J116" s="60" t="n">
        <x:v>129.20771720369999</x:v>
      </x:c>
      <x:c r="K116" s="60" t="n">
        <x:v>0</x:v>
      </x:c>
      <x:c r="L116" s="60" t="n">
        <x:v>128.6554588782</x:v>
      </x:c>
      <x:c r="M116" s="60" t="n">
        <x:v>0.5522583255</x:v>
      </x:c>
      <x:c r="N116" s="46" t="str">
        <x:v>centropomus undecimalis</x:v>
      </x:c>
      <x:c r="O116" s="62" t="n">
        <x:v>4.17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Centropomus undecimalis</x:v>
      </x:c>
      <x:c r="T116" s="62" t="n">
        <x:f>IF(O116="","",(1/'Metadata'!$B$5)^(O116-1))</x:f>
        <x:v>1479.1083881682073</x:v>
      </x:c>
      <x:c r="U116" s="60" t="n">
        <x:f>IF(T116="","",I116*T116)</x:f>
        <x:v>191112.21833205823</x:v>
      </x:c>
    </x:row>
    <x:row r="117" ht="18" customHeight="1">
      <x:c r="A117" s="46" t="str">
        <x:v>LME_016</x:v>
      </x:c>
      <x:c r="B117" s="46" t="str">
        <x:v>East Brazil Shelf</x:v>
      </x:c>
      <x:c r="C117" s="46" t="str">
        <x:v>LME</x:v>
      </x:c>
      <x:c r="D117" s="58" t="n">
        <x:v>2019</x:v>
      </x:c>
      <x:c r="E117" s="46" t="str">
        <x:v>Scorpaeniformes</x:v>
      </x:c>
      <x:c r="F117" s="46" t="str">
        <x:v>Scorpionfishes, flatheads</x:v>
      </x:c>
      <x:c r="G117" s="46" t="str">
        <x:v>Medium demersals (30 - 89 cm)</x:v>
      </x:c>
      <x:c r="H117" s="46" t="str">
        <x:v>Scorpionfishes</x:v>
      </x:c>
      <x:c r="I117" s="60" t="n">
        <x:v>123.35519425220001</x:v>
      </x:c>
      <x:c r="J117" s="60" t="n">
        <x:v>123.35519425220001</x:v>
      </x:c>
      <x:c r="K117" s="60" t="n">
        <x:v>0</x:v>
      </x:c>
      <x:c r="L117" s="60" t="n">
        <x:v>120.15227113040001</x:v>
      </x:c>
      <x:c r="M117" s="60" t="n">
        <x:v>3.2029231218</x:v>
      </x:c>
      <x:c r="N117" s="46" t="str">
        <x:v>scorpaeniformes</x:v>
      </x:c>
      <x:c r="O117" s="62" t="n">
        <x:v>3.78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Scorpaeniformes</x:v>
      </x:c>
      <x:c r="T117" s="62" t="n">
        <x:f>IF(O117="","",(1/'Metadata'!$B$5)^(O117-1))</x:f>
        <x:v>602.5595860743575</x:v>
      </x:c>
      <x:c r="U117" s="60" t="n">
        <x:f>IF(T117="","",I117*T117)</x:f>
        <x:v>74328.8547887276</x:v>
      </x:c>
    </x:row>
    <x:row r="118" ht="18" customHeight="1">
      <x:c r="A118" s="46" t="str">
        <x:v>LME_016</x:v>
      </x:c>
      <x:c r="B118" s="46" t="str">
        <x:v>East Brazil Shelf</x:v>
      </x:c>
      <x:c r="C118" s="46" t="str">
        <x:v>LME</x:v>
      </x:c>
      <x:c r="D118" s="58" t="n">
        <x:v>2019</x:v>
      </x:c>
      <x:c r="E118" s="46" t="str">
        <x:v>Holocentrus adscensionis</x:v>
      </x:c>
      <x:c r="F118" s="46" t="str">
        <x:v>Squirrelfish</x:v>
      </x:c>
      <x:c r="G118" s="46" t="str">
        <x:v>Medium reef assoc. fish (30 - 89 cm)</x:v>
      </x:c>
      <x:c r="H118" s="46" t="str">
        <x:v>Other fishes &amp; inverts</x:v>
      </x:c>
      <x:c r="I118" s="60" t="n">
        <x:v>122.58055761600001</x:v>
      </x:c>
      <x:c r="J118" s="60" t="n">
        <x:v>122.58055761600001</x:v>
      </x:c>
      <x:c r="K118" s="60" t="n">
        <x:v>0</x:v>
      </x:c>
      <x:c r="L118" s="60" t="n">
        <x:v>82.667234463</x:v>
      </x:c>
      <x:c r="M118" s="60" t="n">
        <x:v>39.913323153</x:v>
      </x:c>
      <x:c r="N118" s="46" t="str">
        <x:v>holocentrus adscensionis</x:v>
      </x:c>
      <x:c r="O118" s="62" t="n">
        <x:v>3.11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Holocentrus adscensionis</x:v>
      </x:c>
      <x:c r="T118" s="62" t="n">
        <x:f>IF(O118="","",(1/'Metadata'!$B$5)^(O118-1))</x:f>
        <x:v>128.82495516931337</x:v>
      </x:c>
      <x:c r="U118" s="60" t="n">
        <x:f>IF(T118="","",I118*T118)</x:f>
        <x:v>15791.434839510635</x:v>
      </x:c>
    </x:row>
    <x:row r="119" ht="18" customHeight="1">
      <x:c r="A119" s="46" t="str">
        <x:v>LME_016</x:v>
      </x:c>
      <x:c r="B119" s="46" t="str">
        <x:v>East Brazil Shelf</x:v>
      </x:c>
      <x:c r="C119" s="46" t="str">
        <x:v>LME</x:v>
      </x:c>
      <x:c r="D119" s="58" t="n">
        <x:v>2019</x:v>
      </x:c>
      <x:c r="E119" s="46" t="str">
        <x:v>Cephalopholis fulva</x:v>
      </x:c>
      <x:c r="F119" s="46" t="str">
        <x:v>Coney</x:v>
      </x:c>
      <x:c r="G119" s="46" t="str">
        <x:v>Medium reef assoc. fish (30 - 89 cm)</x:v>
      </x:c>
      <x:c r="H119" s="46" t="str">
        <x:v>Perch-likes</x:v>
      </x:c>
      <x:c r="I119" s="60" t="n">
        <x:v>120.561605214</x:v>
      </x:c>
      <x:c r="J119" s="60" t="n">
        <x:v>120.499349936</x:v>
      </x:c>
      <x:c r="K119" s="60" t="n">
        <x:v>0.062255278</x:v>
      </x:c>
      <x:c r="L119" s="60" t="n">
        <x:v>117.3716883044</x:v>
      </x:c>
      <x:c r="M119" s="60" t="n">
        <x:v>3.1899169096</x:v>
      </x:c>
      <x:c r="N119" s="46" t="str">
        <x:v>cephalopholis fulva</x:v>
      </x:c>
      <x:c r="O119" s="62" t="n">
        <x:v>4.05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Cephalopholis fulva</x:v>
      </x:c>
      <x:c r="T119" s="62" t="n">
        <x:f>IF(O119="","",(1/'Metadata'!$B$5)^(O119-1))</x:f>
        <x:v>1122.018454301963</x:v>
      </x:c>
      <x:c r="U119" s="60" t="n">
        <x:f>IF(T119="","",I119*T119)</x:f>
        <x:v>135272.34593037574</x:v>
      </x:c>
    </x:row>
    <x:row r="120" ht="18" customHeight="1">
      <x:c r="A120" s="46" t="str">
        <x:v>LME_016</x:v>
      </x:c>
      <x:c r="B120" s="46" t="str">
        <x:v>East Brazil Shelf</x:v>
      </x:c>
      <x:c r="C120" s="46" t="str">
        <x:v>LME</x:v>
      </x:c>
      <x:c r="D120" s="58" t="n">
        <x:v>2019</x:v>
      </x:c>
      <x:c r="E120" s="46" t="str">
        <x:v>Peprilus paru</x:v>
      </x:c>
      <x:c r="F120" s="46" t="str">
        <x:v>American harvestfish</x:v>
      </x:c>
      <x:c r="G120" s="46" t="str">
        <x:v>Small benthopelagics (&lt;30 cm)</x:v>
      </x:c>
      <x:c r="H120" s="46" t="str">
        <x:v>Perch-likes</x:v>
      </x:c>
      <x:c r="I120" s="60" t="n">
        <x:v>119.4217252156</x:v>
      </x:c>
      <x:c r="J120" s="60" t="n">
        <x:v>119.4217252156</x:v>
      </x:c>
      <x:c r="K120" s="60" t="n">
        <x:v>0</x:v>
      </x:c>
      <x:c r="L120" s="60" t="n">
        <x:v>117.0063180403</x:v>
      </x:c>
      <x:c r="M120" s="60" t="n">
        <x:v>2.4154071753</x:v>
      </x:c>
      <x:c r="N120" s="46" t="str">
        <x:v>peprilus paru</x:v>
      </x:c>
      <x:c r="O120" s="62" t="n">
        <x:v>4.5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Peprilus paru</x:v>
      </x:c>
      <x:c r="T120" s="62" t="n">
        <x:f>IF(O120="","",(1/'Metadata'!$B$5)^(O120-1))</x:f>
        <x:v>3162.2776601683795</x:v>
      </x:c>
      <x:c r="U120" s="60" t="n">
        <x:f>IF(T120="","",I120*T120)</x:f>
        <x:v>377644.6537880587</x:v>
      </x:c>
    </x:row>
    <x:row r="121" ht="18" customHeight="1">
      <x:c r="A121" s="46" t="str">
        <x:v>LME_016</x:v>
      </x:c>
      <x:c r="B121" s="46" t="str">
        <x:v>East Brazil Shelf</x:v>
      </x:c>
      <x:c r="C121" s="46" t="str">
        <x:v>LME</x:v>
      </x:c>
      <x:c r="D121" s="58" t="n">
        <x:v>2019</x:v>
      </x:c>
      <x:c r="E121" s="46" t="str">
        <x:v>Hemiramphus brasiliensis</x:v>
      </x:c>
      <x:c r="F121" s="46" t="str">
        <x:v>Ballyhoo halfbeak</x:v>
      </x:c>
      <x:c r="G121" s="46" t="str">
        <x:v>Medium pelagics (30 - 89 cm)</x:v>
      </x:c>
      <x:c r="H121" s="46" t="str">
        <x:v>Other fishes &amp; inverts</x:v>
      </x:c>
      <x:c r="I121" s="60" t="n">
        <x:v>112.0466130882</x:v>
      </x:c>
      <x:c r="J121" s="60" t="n">
        <x:v>112.0466130882</x:v>
      </x:c>
      <x:c r="K121" s="60" t="n">
        <x:v>0</x:v>
      </x:c>
      <x:c r="L121" s="60" t="n">
        <x:v>95.4244194354</x:v>
      </x:c>
      <x:c r="M121" s="60" t="n">
        <x:v>16.6221936528</x:v>
      </x:c>
      <x:c r="N121" s="46" t="str">
        <x:v>hemiramphus brasiliensis</x:v>
      </x:c>
      <x:c r="O121" s="62" t="n">
        <x:v>2.28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Hemiramphus brasiliensis</x:v>
      </x:c>
      <x:c r="T121" s="62" t="n">
        <x:f>IF(O121="","",(1/'Metadata'!$B$5)^(O121-1))</x:f>
        <x:v>19.054607179632463</x:v>
      </x:c>
      <x:c r="U121" s="60" t="n">
        <x:f>IF(T121="","",I121*T121)</x:f>
        <x:v>2135.0041982039165</x:v>
      </x:c>
    </x:row>
    <x:row r="122" ht="18" customHeight="1">
      <x:c r="A122" s="46" t="str">
        <x:v>LME_016</x:v>
      </x:c>
      <x:c r="B122" s="46" t="str">
        <x:v>East Brazil Shelf</x:v>
      </x:c>
      <x:c r="C122" s="46" t="str">
        <x:v>LME</x:v>
      </x:c>
      <x:c r="D122" s="58" t="n">
        <x:v>2019</x:v>
      </x:c>
      <x:c r="E122" s="46" t="str">
        <x:v>Sardinella aurita</x:v>
      </x:c>
      <x:c r="F122" s="46" t="str">
        <x:v>Round sardinella</x:v>
      </x:c>
      <x:c r="G122" s="46" t="str">
        <x:v>Small pelagics (&lt;30 cm)</x:v>
      </x:c>
      <x:c r="H122" s="46" t="str">
        <x:v>Herring-likes</x:v>
      </x:c>
      <x:c r="I122" s="60" t="n">
        <x:v>104.9455406379</x:v>
      </x:c>
      <x:c r="J122" s="60" t="n">
        <x:v>104.9455406379</x:v>
      </x:c>
      <x:c r="K122" s="60" t="n">
        <x:v>0</x:v>
      </x:c>
      <x:c r="L122" s="60" t="n">
        <x:v>104.9455406379</x:v>
      </x:c>
      <x:c r="M122" s="60" t="n">
        <x:v>0</x:v>
      </x:c>
      <x:c r="N122" s="46" t="str">
        <x:v>sardinella aurita</x:v>
      </x:c>
      <x:c r="O122" s="62" t="n">
        <x:v>3.4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Sardinella aurita</x:v>
      </x:c>
      <x:c r="T122" s="62" t="n">
        <x:f>IF(O122="","",(1/'Metadata'!$B$5)^(O122-1))</x:f>
        <x:v>251.18864315095797</x:v>
      </x:c>
      <x:c r="U122" s="60" t="n">
        <x:f>IF(T122="","",I122*T122)</x:f>
        <x:v>26361.12795757782</x:v>
      </x:c>
    </x:row>
    <x:row r="123" ht="18" customHeight="1">
      <x:c r="A123" s="46" t="str">
        <x:v>LME_016</x:v>
      </x:c>
      <x:c r="B123" s="46" t="str">
        <x:v>East Brazil Shelf</x:v>
      </x:c>
      <x:c r="C123" s="46" t="str">
        <x:v>LME</x:v>
      </x:c>
      <x:c r="D123" s="58" t="n">
        <x:v>2019</x:v>
      </x:c>
      <x:c r="E123" s="46" t="str">
        <x:v>Aluterus</x:v>
      </x:c>
      <x:c r="F123" s="46" t="str">
        <x:v>Aluterid filefishes</x:v>
      </x:c>
      <x:c r="G123" s="46" t="str">
        <x:v>Large reef assoc. fish (&gt;=90 cm)</x:v>
      </x:c>
      <x:c r="H123" s="46" t="str">
        <x:v>Other fishes &amp; inverts</x:v>
      </x:c>
      <x:c r="I123" s="60" t="n">
        <x:v>101.6460256092</x:v>
      </x:c>
      <x:c r="J123" s="60" t="n">
        <x:v>101.6460256092</x:v>
      </x:c>
      <x:c r="K123" s="60" t="n">
        <x:v>0</x:v>
      </x:c>
      <x:c r="L123" s="60" t="n">
        <x:v>84.1221971338</x:v>
      </x:c>
      <x:c r="M123" s="60" t="n">
        <x:v>17.5238284754</x:v>
      </x:c>
      <x:c r="N123" s="46" t="str">
        <x:v>aluterus</x:v>
      </x:c>
      <x:c r="O123" s="62" t="n">
        <x:v>2.81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Aluterus</x:v>
      </x:c>
      <x:c r="T123" s="62" t="n">
        <x:f>IF(O123="","",(1/'Metadata'!$B$5)^(O123-1))</x:f>
        <x:v>64.56542290346556</x:v>
      </x:c>
      <x:c r="U123" s="60" t="n">
        <x:f>IF(T123="","",I123*T123)</x:f>
        <x:v>6562.818629914488</x:v>
      </x:c>
    </x:row>
    <x:row r="124" ht="18" customHeight="1">
      <x:c r="A124" s="46" t="str">
        <x:v>LME_016</x:v>
      </x:c>
      <x:c r="B124" s="46" t="str">
        <x:v>East Brazil Shelf</x:v>
      </x:c>
      <x:c r="C124" s="46" t="str">
        <x:v>LME</x:v>
      </x:c>
      <x:c r="D124" s="58" t="n">
        <x:v>2019</x:v>
      </x:c>
      <x:c r="E124" s="46" t="str">
        <x:v>Harengula jaguana</x:v>
      </x:c>
      <x:c r="F124" s="46" t="str">
        <x:v>Scaled herring</x:v>
      </x:c>
      <x:c r="G124" s="46" t="str">
        <x:v>Small pelagics (&lt;30 cm)</x:v>
      </x:c>
      <x:c r="H124" s="46" t="str">
        <x:v>Herring-likes</x:v>
      </x:c>
      <x:c r="I124" s="60" t="n">
        <x:v>100.1564507796</x:v>
      </x:c>
      <x:c r="J124" s="60" t="n">
        <x:v>100.1564507796</x:v>
      </x:c>
      <x:c r="K124" s="60" t="n">
        <x:v>0</x:v>
      </x:c>
      <x:c r="L124" s="60" t="n">
        <x:v>100.1564507796</x:v>
      </x:c>
      <x:c r="M124" s="60" t="n">
        <x:v>0</x:v>
      </x:c>
      <x:c r="N124" s="46" t="str">
        <x:v>harengula jaguana</x:v>
      </x:c>
      <x:c r="O124" s="62" t="n">
        <x:v>3.42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Harengula jaguana</x:v>
      </x:c>
      <x:c r="T124" s="62" t="n">
        <x:f>IF(O124="","",(1/'Metadata'!$B$5)^(O124-1))</x:f>
        <x:v>263.02679918953817</x:v>
      </x:c>
      <x:c r="U124" s="60" t="n">
        <x:f>IF(T124="","",I124*T124)</x:f>
        <x:v>26343.83066674271</x:v>
      </x:c>
    </x:row>
    <x:row r="125" ht="18" customHeight="1">
      <x:c r="A125" s="46" t="str">
        <x:v>LME_016</x:v>
      </x:c>
      <x:c r="B125" s="46" t="str">
        <x:v>East Brazil Shelf</x:v>
      </x:c>
      <x:c r="C125" s="46" t="str">
        <x:v>LME</x:v>
      </x:c>
      <x:c r="D125" s="58" t="n">
        <x:v>2019</x:v>
      </x:c>
      <x:c r="E125" s="46" t="str">
        <x:v>Percophis brasiliensis</x:v>
      </x:c>
      <x:c r="F125" s="46" t="str">
        <x:v>Brazilian flathead</x:v>
      </x:c>
      <x:c r="G125" s="46" t="str">
        <x:v>Medium demersals (30 - 89 cm)</x:v>
      </x:c>
      <x:c r="H125" s="46" t="str">
        <x:v>Perch-likes</x:v>
      </x:c>
      <x:c r="I125" s="60" t="n">
        <x:v>93.7526935473</x:v>
      </x:c>
      <x:c r="J125" s="60" t="n">
        <x:v>93.7526935473</x:v>
      </x:c>
      <x:c r="K125" s="60" t="n">
        <x:v>0</x:v>
      </x:c>
      <x:c r="L125" s="60" t="n">
        <x:v>92.08033892339999</x:v>
      </x:c>
      <x:c r="M125" s="60" t="n">
        <x:v>1.6723546239</x:v>
      </x:c>
      <x:c r="N125" s="46" t="str">
        <x:v>percophis brasiliensis</x:v>
      </x:c>
      <x:c r="O125" s="62" t="n">
        <x:v>3.48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Percophis brasiliensis</x:v>
      </x:c>
      <x:c r="T125" s="62" t="n">
        <x:f>IF(O125="","",(1/'Metadata'!$B$5)^(O125-1))</x:f>
        <x:v>301.9951720402016</x:v>
      </x:c>
      <x:c r="U125" s="60" t="n">
        <x:f>IF(T125="","",I125*T125)</x:f>
        <x:v>28312.860817049164</x:v>
      </x:c>
    </x:row>
    <x:row r="126" ht="18" customHeight="1">
      <x:c r="A126" s="46" t="str">
        <x:v>LME_016</x:v>
      </x:c>
      <x:c r="B126" s="46" t="str">
        <x:v>East Brazil Shelf</x:v>
      </x:c>
      <x:c r="C126" s="46" t="str">
        <x:v>LME</x:v>
      </x:c>
      <x:c r="D126" s="58" t="n">
        <x:v>2019</x:v>
      </x:c>
      <x:c r="E126" s="46" t="str">
        <x:v>Mullus argentinae</x:v>
      </x:c>
      <x:c r="F126" s="46" t="str">
        <x:v>Argentine goatfish</x:v>
      </x:c>
      <x:c r="G126" s="46" t="str">
        <x:v>Small demersals (&lt;30 cm)</x:v>
      </x:c>
      <x:c r="H126" s="46" t="str">
        <x:v>Perch-likes</x:v>
      </x:c>
      <x:c r="I126" s="60" t="n">
        <x:v>92.6574457075</x:v>
      </x:c>
      <x:c r="J126" s="60" t="n">
        <x:v>92.6574457075</x:v>
      </x:c>
      <x:c r="K126" s="60" t="n">
        <x:v>0</x:v>
      </x:c>
      <x:c r="L126" s="60" t="n">
        <x:v>36.5652572656</x:v>
      </x:c>
      <x:c r="M126" s="60" t="n">
        <x:v>56.0921884419</x:v>
      </x:c>
      <x:c r="N126" s="46" t="str">
        <x:v>mullus argentinae</x:v>
      </x:c>
      <x:c r="O126" s="62" t="n">
        <x:v>3.45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Mullus argentinae</x:v>
      </x:c>
      <x:c r="T126" s="62" t="n">
        <x:f>IF(O126="","",(1/'Metadata'!$B$5)^(O126-1))</x:f>
        <x:v>281.8382931264455</x:v>
      </x:c>
      <x:c r="U126" s="60" t="n">
        <x:f>IF(T126="","",I126*T126)</x:f>
        <x:v>26114.416343658093</x:v>
      </x:c>
    </x:row>
    <x:row r="127" ht="18" customHeight="1">
      <x:c r="A127" s="46" t="str">
        <x:v>LME_016</x:v>
      </x:c>
      <x:c r="B127" s="46" t="str">
        <x:v>East Brazil Shelf</x:v>
      </x:c>
      <x:c r="C127" s="46" t="str">
        <x:v>LME</x:v>
      </x:c>
      <x:c r="D127" s="58" t="n">
        <x:v>2019</x:v>
      </x:c>
      <x:c r="E127" s="46" t="str">
        <x:v>Haemulon aurolineatum</x:v>
      </x:c>
      <x:c r="F127" s="46" t="str">
        <x:v>Tomtate grunt</x:v>
      </x:c>
      <x:c r="G127" s="46" t="str">
        <x:v>Small reef assoc. fish (&lt;30 cm)</x:v>
      </x:c>
      <x:c r="H127" s="46" t="str">
        <x:v>Perch-likes</x:v>
      </x:c>
      <x:c r="I127" s="60" t="n">
        <x:v>91.7568056745</x:v>
      </x:c>
      <x:c r="J127" s="60" t="n">
        <x:v>91.7568056745</x:v>
      </x:c>
      <x:c r="K127" s="60" t="n">
        <x:v>0</x:v>
      </x:c>
      <x:c r="L127" s="60" t="n">
        <x:v>91.0407715854</x:v>
      </x:c>
      <x:c r="M127" s="60" t="n">
        <x:v>0.7160340891</x:v>
      </x:c>
      <x:c r="N127" s="46" t="str">
        <x:v>haemulon aurolineatum</x:v>
      </x:c>
      <x:c r="O127" s="62" t="n">
        <x:v>4.35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Haemulon aurolineatum</x:v>
      </x:c>
      <x:c r="T127" s="62" t="n">
        <x:f>IF(O127="","",(1/'Metadata'!$B$5)^(O127-1))</x:f>
        <x:v>2238.7211385683377</x:v>
      </x:c>
      <x:c r="U127" s="60" t="n">
        <x:f>IF(T127="","",I127*T127)</x:f>
        <x:v>205417.90047101036</x:v>
      </x:c>
    </x:row>
    <x:row r="128" ht="18" customHeight="1">
      <x:c r="A128" s="46" t="str">
        <x:v>LME_016</x:v>
      </x:c>
      <x:c r="B128" s="46" t="str">
        <x:v>East Brazil Shelf</x:v>
      </x:c>
      <x:c r="C128" s="46" t="str">
        <x:v>LME</x:v>
      </x:c>
      <x:c r="D128" s="58" t="n">
        <x:v>2019</x:v>
      </x:c>
      <x:c r="E128" s="46" t="str">
        <x:v>Rhinobatos</x:v>
      </x:c>
      <x:c r="F128" s="46" t="str">
        <x:v>Guitarfishes</x:v>
      </x:c>
      <x:c r="G128" s="46" t="str">
        <x:v>Large rays (&gt;=90 cm)</x:v>
      </x:c>
      <x:c r="H128" s="46" t="str">
        <x:v>Sharks &amp; rays</x:v>
      </x:c>
      <x:c r="I128" s="60" t="n">
        <x:v>90.7545697198</x:v>
      </x:c>
      <x:c r="J128" s="60" t="n">
        <x:v>90.7545697198</x:v>
      </x:c>
      <x:c r="K128" s="60" t="n">
        <x:v>0</x:v>
      </x:c>
      <x:c r="L128" s="60" t="n">
        <x:v>89.5839081954</x:v>
      </x:c>
      <x:c r="M128" s="60" t="n">
        <x:v>1.1706615244</x:v>
      </x:c>
      <x:c r="N128" s="46" t="str">
        <x:v>rhinobatos</x:v>
      </x:c>
      <x:c r="O128" s="62" t="n">
        <x:v>3.73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Rhinobatos</x:v>
      </x:c>
      <x:c r="T128" s="62" t="n">
        <x:f>IF(O128="","",(1/'Metadata'!$B$5)^(O128-1))</x:f>
        <x:v>537.0317963702527</x:v>
      </x:c>
      <x:c r="U128" s="60" t="n">
        <x:f>IF(T128="","",I128*T128)</x:f>
        <x:v>48738.08960543353</x:v>
      </x:c>
    </x:row>
    <x:row r="129" ht="18" customHeight="1">
      <x:c r="A129" s="46" t="str">
        <x:v>LME_016</x:v>
      </x:c>
      <x:c r="B129" s="46" t="str">
        <x:v>East Brazil Shelf</x:v>
      </x:c>
      <x:c r="C129" s="46" t="str">
        <x:v>LME</x:v>
      </x:c>
      <x:c r="D129" s="58" t="n">
        <x:v>2019</x:v>
      </x:c>
      <x:c r="E129" s="46" t="str">
        <x:v>Seriola</x:v>
      </x:c>
      <x:c r="F129" s="46" t="str">
        <x:v>Amberjacks</x:v>
      </x:c>
      <x:c r="G129" s="46" t="str">
        <x:v>Large benthopelagics (&gt;=90 cm)</x:v>
      </x:c>
      <x:c r="H129" s="46" t="str">
        <x:v>Perch-likes</x:v>
      </x:c>
      <x:c r="I129" s="60" t="n">
        <x:v>86.42411279150001</x:v>
      </x:c>
      <x:c r="J129" s="60" t="n">
        <x:v>86.42411279150001</x:v>
      </x:c>
      <x:c r="K129" s="60" t="n">
        <x:v>0</x:v>
      </x:c>
      <x:c r="L129" s="60" t="n">
        <x:v>23.433642563200003</x:v>
      </x:c>
      <x:c r="M129" s="60" t="n">
        <x:v>62.9904702283</x:v>
      </x:c>
      <x:c r="N129" s="46" t="str">
        <x:v>seriola</x:v>
      </x:c>
      <x:c r="O129" s="62" t="n">
        <x:v>4.39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Seriola</x:v>
      </x:c>
      <x:c r="T129" s="62" t="n">
        <x:f>IF(O129="","",(1/'Metadata'!$B$5)^(O129-1))</x:f>
        <x:v>2454.7089156850284</x:v>
      </x:c>
      <x:c r="U129" s="60" t="n">
        <x:f>IF(T129="","",I129*T129)</x:f>
        <x:v>212146.04019946358</x:v>
      </x:c>
    </x:row>
    <x:row r="130" ht="18" customHeight="1">
      <x:c r="A130" s="46" t="str">
        <x:v>LME_016</x:v>
      </x:c>
      <x:c r="B130" s="46" t="str">
        <x:v>East Brazil Shelf</x:v>
      </x:c>
      <x:c r="C130" s="46" t="str">
        <x:v>LME</x:v>
      </x:c>
      <x:c r="D130" s="58" t="n">
        <x:v>2019</x:v>
      </x:c>
      <x:c r="E130" s="46" t="str">
        <x:v>Haemulon</x:v>
      </x:c>
      <x:c r="F130" s="46" t="str">
        <x:v>Grunts</x:v>
      </x:c>
      <x:c r="G130" s="46" t="str">
        <x:v>Small reef assoc. fish (&lt;30 cm)</x:v>
      </x:c>
      <x:c r="H130" s="46" t="str">
        <x:v>Perch-likes</x:v>
      </x:c>
      <x:c r="I130" s="60" t="n">
        <x:v>81.94860748059999</x:v>
      </x:c>
      <x:c r="J130" s="60" t="n">
        <x:v>81.8863522026</x:v>
      </x:c>
      <x:c r="K130" s="60" t="n">
        <x:v>0.062255278</x:v>
      </x:c>
      <x:c r="L130" s="60" t="n">
        <x:v>80.2695436146</x:v>
      </x:c>
      <x:c r="M130" s="60" t="n">
        <x:v>1.679063866</x:v>
      </x:c>
      <x:c r="N130" s="46" t="str">
        <x:v>haemulon</x:v>
      </x:c>
      <x:c r="O130" s="62" t="n">
        <x:v>3.25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Haemulon</x:v>
      </x:c>
      <x:c r="T130" s="62" t="n">
        <x:f>IF(O130="","",(1/'Metadata'!$B$5)^(O130-1))</x:f>
        <x:v>177.82794100389228</x:v>
      </x:c>
      <x:c r="U130" s="60" t="n">
        <x:f>IF(T130="","",I130*T130)</x:f>
        <x:v>14572.75213641126</x:v>
      </x:c>
    </x:row>
    <x:row r="131" ht="18" customHeight="1">
      <x:c r="A131" s="46" t="str">
        <x:v>LME_016</x:v>
      </x:c>
      <x:c r="B131" s="46" t="str">
        <x:v>East Brazil Shelf</x:v>
      </x:c>
      <x:c r="C131" s="46" t="str">
        <x:v>LME</x:v>
      </x:c>
      <x:c r="D131" s="58" t="n">
        <x:v>2019</x:v>
      </x:c>
      <x:c r="E131" s="46" t="str">
        <x:v>Larimus breviceps</x:v>
      </x:c>
      <x:c r="F131" s="46" t="str">
        <x:v>Shorthead drum</x:v>
      </x:c>
      <x:c r="G131" s="46" t="str">
        <x:v>Small demersals (&lt;30 cm)</x:v>
      </x:c>
      <x:c r="H131" s="46" t="str">
        <x:v>Perch-likes</x:v>
      </x:c>
      <x:c r="I131" s="60" t="n">
        <x:v>75.8328111588</x:v>
      </x:c>
      <x:c r="J131" s="60" t="n">
        <x:v>75.8328111588</x:v>
      </x:c>
      <x:c r="K131" s="60" t="n">
        <x:v>0</x:v>
      </x:c>
      <x:c r="L131" s="60" t="n">
        <x:v>74.1907672145</x:v>
      </x:c>
      <x:c r="M131" s="60" t="n">
        <x:v>1.6420439443000001</x:v>
      </x:c>
      <x:c r="N131" s="46" t="str">
        <x:v>larimus breviceps</x:v>
      </x:c>
      <x:c r="O131" s="62" t="n">
        <x:v>3.52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Larimus breviceps</x:v>
      </x:c>
      <x:c r="T131" s="62" t="n">
        <x:f>IF(O131="","",(1/'Metadata'!$B$5)^(O131-1))</x:f>
        <x:v>331.1311214825911</x:v>
      </x:c>
      <x:c r="U131" s="60" t="n">
        <x:f>IF(T131="","",I131*T131)</x:f>
        <x:v>25110.603804190992</x:v>
      </x:c>
    </x:row>
    <x:row r="132" ht="18" customHeight="1">
      <x:c r="A132" s="46" t="str">
        <x:v>LME_016</x:v>
      </x:c>
      <x:c r="B132" s="46" t="str">
        <x:v>East Brazil Shelf</x:v>
      </x:c>
      <x:c r="C132" s="46" t="str">
        <x:v>LME</x:v>
      </x:c>
      <x:c r="D132" s="58" t="n">
        <x:v>2019</x:v>
      </x:c>
      <x:c r="E132" s="46" t="str">
        <x:v>Crassostrea</x:v>
      </x:c>
      <x:c r="F132" s="46" t="str">
        <x:v>Cupped oysters</x:v>
      </x:c>
      <x:c r="G132" s="46" t="str">
        <x:v>Other demersal invertebrates</x:v>
      </x:c>
      <x:c r="H132" s="46" t="str">
        <x:v>Molluscs</x:v>
      </x:c>
      <x:c r="I132" s="60" t="n">
        <x:v>74.9421379783</x:v>
      </x:c>
      <x:c r="J132" s="60" t="n">
        <x:v>74.9421379783</x:v>
      </x:c>
      <x:c r="K132" s="60" t="n">
        <x:v>0</x:v>
      </x:c>
      <x:c r="L132" s="60" t="n">
        <x:v>68.4247025686</x:v>
      </x:c>
      <x:c r="M132" s="60" t="n">
        <x:v>6.5174354097</x:v>
      </x:c>
      <x:c r="N132" s="46" t="str">
        <x:v>crassostrea</x:v>
      </x:c>
      <x:c r="O132" s="62" t="n">
        <x:v>2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Crassostrea</x:v>
      </x:c>
      <x:c r="T132" s="62" t="n">
        <x:f>IF(O132="","",(1/'Metadata'!$B$5)^(O132-1))</x:f>
        <x:v>10</x:v>
      </x:c>
      <x:c r="U132" s="60" t="n">
        <x:f>IF(T132="","",I132*T132)</x:f>
        <x:v>749.421379783</x:v>
      </x:c>
    </x:row>
    <x:row r="133" ht="18" customHeight="1">
      <x:c r="A133" s="46" t="str">
        <x:v>LME_016</x:v>
      </x:c>
      <x:c r="B133" s="46" t="str">
        <x:v>East Brazil Shelf</x:v>
      </x:c>
      <x:c r="C133" s="46" t="str">
        <x:v>LME</x:v>
      </x:c>
      <x:c r="D133" s="58" t="n">
        <x:v>2019</x:v>
      </x:c>
      <x:c r="E133" s="46" t="str">
        <x:v>Octopus vulgaris</x:v>
      </x:c>
      <x:c r="F133" s="46" t="str">
        <x:v>Common octopus</x:v>
      </x:c>
      <x:c r="G133" s="46" t="str">
        <x:v>Cephalopods</x:v>
      </x:c>
      <x:c r="H133" s="46" t="str">
        <x:v>Other fishes &amp; inverts</x:v>
      </x:c>
      <x:c r="I133" s="60" t="n">
        <x:v>69.6075913309</x:v>
      </x:c>
      <x:c r="J133" s="60" t="n">
        <x:v>69.6075913309</x:v>
      </x:c>
      <x:c r="K133" s="60" t="n">
        <x:v>0</x:v>
      </x:c>
      <x:c r="L133" s="60" t="n">
        <x:v>53.1799196056</x:v>
      </x:c>
      <x:c r="M133" s="60" t="n">
        <x:v>16.4276717253</x:v>
      </x:c>
      <x:c r="N133" s="46" t="str">
        <x:v>octopus vulgaris</x:v>
      </x:c>
      <x:c r="O133" s="62" t="n">
        <x:v>3.6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Octopus vulgaris</x:v>
      </x:c>
      <x:c r="T133" s="62" t="n">
        <x:f>IF(O133="","",(1/'Metadata'!$B$5)^(O133-1))</x:f>
        <x:v>398.1071705534973</x:v>
      </x:c>
      <x:c r="U133" s="60" t="n">
        <x:f>IF(T133="","",I133*T133)</x:f>
        <x:v>27711.281233788744</x:v>
      </x:c>
    </x:row>
    <x:row r="134" ht="18" customHeight="1">
      <x:c r="A134" s="46" t="str">
        <x:v>LME_016</x:v>
      </x:c>
      <x:c r="B134" s="46" t="str">
        <x:v>East Brazil Shelf</x:v>
      </x:c>
      <x:c r="C134" s="46" t="str">
        <x:v>LME</x:v>
      </x:c>
      <x:c r="D134" s="58" t="n">
        <x:v>2019</x:v>
      </x:c>
      <x:c r="E134" s="46" t="str">
        <x:v>Epinephelus adscensionis</x:v>
      </x:c>
      <x:c r="F134" s="46" t="str">
        <x:v>Rock hind</x:v>
      </x:c>
      <x:c r="G134" s="46" t="str">
        <x:v>Medium reef assoc. fish (30 - 89 cm)</x:v>
      </x:c>
      <x:c r="H134" s="46" t="str">
        <x:v>Perch-likes</x:v>
      </x:c>
      <x:c r="I134" s="60" t="n">
        <x:v>68.5644573632</x:v>
      </x:c>
      <x:c r="J134" s="60" t="n">
        <x:v>68.5644573632</x:v>
      </x:c>
      <x:c r="K134" s="60" t="n">
        <x:v>0</x:v>
      </x:c>
      <x:c r="L134" s="60" t="n">
        <x:v>68.3500847141</x:v>
      </x:c>
      <x:c r="M134" s="60" t="n">
        <x:v>0.2143726491</x:v>
      </x:c>
      <x:c r="N134" s="46" t="str">
        <x:v>epinephelus adscensionis</x:v>
      </x:c>
      <x:c r="O134" s="62" t="n">
        <x:v>3.53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Epinephelus adscensionis</x:v>
      </x:c>
      <x:c r="T134" s="62" t="n">
        <x:f>IF(O134="","",(1/'Metadata'!$B$5)^(O134-1))</x:f>
        <x:v>338.84415613920237</x:v>
      </x:c>
      <x:c r="U134" s="60" t="n">
        <x:f>IF(T134="","",I134*T134)</x:f>
        <x:v>23232.665696375825</x:v>
      </x:c>
    </x:row>
    <x:row r="135" ht="18" customHeight="1">
      <x:c r="A135" s="46" t="str">
        <x:v>LME_016</x:v>
      </x:c>
      <x:c r="B135" s="46" t="str">
        <x:v>East Brazil Shelf</x:v>
      </x:c>
      <x:c r="C135" s="46" t="str">
        <x:v>LME</x:v>
      </x:c>
      <x:c r="D135" s="58" t="n">
        <x:v>2019</x:v>
      </x:c>
      <x:c r="E135" s="46" t="str">
        <x:v>Anchoviella</x:v>
      </x:c>
      <x:c r="F135" s="46" t="str">
        <x:v>Anchovies</x:v>
      </x:c>
      <x:c r="G135" s="46" t="str">
        <x:v>Small pelagics (&lt;30 cm)</x:v>
      </x:c>
      <x:c r="H135" s="46" t="str">
        <x:v>Anchovies</x:v>
      </x:c>
      <x:c r="I135" s="60" t="n">
        <x:v>68.0660338993</x:v>
      </x:c>
      <x:c r="J135" s="60" t="n">
        <x:v>68.0660338993</x:v>
      </x:c>
      <x:c r="K135" s="60" t="n">
        <x:v>0</x:v>
      </x:c>
      <x:c r="L135" s="60" t="n">
        <x:v>61.8352858823</x:v>
      </x:c>
      <x:c r="M135" s="60" t="n">
        <x:v>6.230748017</x:v>
      </x:c>
      <x:c r="N135" s="46" t="str">
        <x:v>anchoviella</x:v>
      </x:c>
      <x:c r="O135" s="62" t="n">
        <x:v>3.18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Anchoviella</x:v>
      </x:c>
      <x:c r="T135" s="62" t="n">
        <x:f>IF(O135="","",(1/'Metadata'!$B$5)^(O135-1))</x:f>
        <x:v>151.35612484362088</x:v>
      </x:c>
      <x:c r="U135" s="60" t="n">
        <x:f>IF(T135="","",I135*T135)</x:f>
        <x:v>10302.21112447258</x:v>
      </x:c>
    </x:row>
    <x:row r="136" ht="18" customHeight="1">
      <x:c r="A136" s="46" t="str">
        <x:v>LME_016</x:v>
      </x:c>
      <x:c r="B136" s="46" t="str">
        <x:v>East Brazil Shelf</x:v>
      </x:c>
      <x:c r="C136" s="46" t="str">
        <x:v>LME</x:v>
      </x:c>
      <x:c r="D136" s="58" t="n">
        <x:v>2019</x:v>
      </x:c>
      <x:c r="E136" s="46" t="str">
        <x:v>Priacanthus arenatus</x:v>
      </x:c>
      <x:c r="F136" s="46" t="str">
        <x:v>Atlantic bigeye</x:v>
      </x:c>
      <x:c r="G136" s="46" t="str">
        <x:v>Medium reef assoc. fish (30 - 89 cm)</x:v>
      </x:c>
      <x:c r="H136" s="46" t="str">
        <x:v>Perch-likes</x:v>
      </x:c>
      <x:c r="I136" s="60" t="n">
        <x:v>64.275877329</x:v>
      </x:c>
      <x:c r="J136" s="60" t="n">
        <x:v>64.275877329</x:v>
      </x:c>
      <x:c r="K136" s="60" t="n">
        <x:v>0</x:v>
      </x:c>
      <x:c r="L136" s="60" t="n">
        <x:v>62.83893854989999</x:v>
      </x:c>
      <x:c r="M136" s="60" t="n">
        <x:v>1.4369387791</x:v>
      </x:c>
      <x:c r="N136" s="46" t="str">
        <x:v>priacanthus arenatus</x:v>
      </x:c>
      <x:c r="O136" s="62" t="n">
        <x:v>4.04</x:v>
      </x:c>
      <x:c r="P136" s="46" t="str">
        <x:v>exact_2020_supplement</x:v>
      </x:c>
      <x:c r="Q136" s="62" t="str">
        <x:v>2020 supplement MeanTL</x:v>
      </x:c>
      <x:c r="R136" s="46" t="str">
        <x:v>high</x:v>
      </x:c>
      <x:c r="S136" s="46" t="str">
        <x:v>Priacanthus arenatus</x:v>
      </x:c>
      <x:c r="T136" s="62" t="n">
        <x:f>IF(O136="","",(1/'Metadata'!$B$5)^(O136-1))</x:f>
        <x:v>1096.4781961431852</x:v>
      </x:c>
      <x:c r="U136" s="60" t="n">
        <x:f>IF(T136="","",I136*T136)</x:f>
        <x:v>70477.09802922257</x:v>
      </x:c>
    </x:row>
    <x:row r="137" ht="18" customHeight="1">
      <x:c r="A137" s="46" t="str">
        <x:v>LME_016</x:v>
      </x:c>
      <x:c r="B137" s="46" t="str">
        <x:v>East Brazil Shelf</x:v>
      </x:c>
      <x:c r="C137" s="46" t="str">
        <x:v>LME</x:v>
      </x:c>
      <x:c r="D137" s="58" t="n">
        <x:v>2019</x:v>
      </x:c>
      <x:c r="E137" s="46" t="str">
        <x:v>Epinephelus itajara</x:v>
      </x:c>
      <x:c r="F137" s="46" t="str">
        <x:v>Atlantic goliath grouper</x:v>
      </x:c>
      <x:c r="G137" s="46" t="str">
        <x:v>Large reef assoc. fish (&gt;=90 cm)</x:v>
      </x:c>
      <x:c r="H137" s="46" t="str">
        <x:v>Perch-likes</x:v>
      </x:c>
      <x:c r="I137" s="60" t="n">
        <x:v>60.6312765235</x:v>
      </x:c>
      <x:c r="J137" s="60" t="n">
        <x:v>60.6312765235</x:v>
      </x:c>
      <x:c r="K137" s="60" t="n">
        <x:v>0</x:v>
      </x:c>
      <x:c r="L137" s="60" t="n">
        <x:v>58.8757049616</x:v>
      </x:c>
      <x:c r="M137" s="60" t="n">
        <x:v>1.7555715619</x:v>
      </x:c>
      <x:c r="N137" s="46" t="str">
        <x:v>epinephelus itajara</x:v>
      </x:c>
      <x:c r="O137" s="62" t="n">
        <x:v>4.09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Epinephelus itajara</x:v>
      </x:c>
      <x:c r="T137" s="62" t="n">
        <x:f>IF(O137="","",(1/'Metadata'!$B$5)^(O137-1))</x:f>
        <x:v>1230.268770812381</x:v>
      </x:c>
      <x:c r="U137" s="60" t="n">
        <x:f>IF(T137="","",I137*T137)</x:f>
        <x:v>74592.76604135192</x:v>
      </x:c>
    </x:row>
    <x:row r="138" ht="18" customHeight="1">
      <x:c r="A138" s="46" t="str">
        <x:v>LME_016</x:v>
      </x:c>
      <x:c r="B138" s="46" t="str">
        <x:v>East Brazil Shelf</x:v>
      </x:c>
      <x:c r="C138" s="46" t="str">
        <x:v>LME</x:v>
      </x:c>
      <x:c r="D138" s="58" t="n">
        <x:v>2019</x:v>
      </x:c>
      <x:c r="E138" s="46" t="str">
        <x:v>Menticirrhus americanus</x:v>
      </x:c>
      <x:c r="F138" s="46" t="str">
        <x:v>Southern kingcroaker</x:v>
      </x:c>
      <x:c r="G138" s="46" t="str">
        <x:v>Medium demersals (30 - 89 cm)</x:v>
      </x:c>
      <x:c r="H138" s="46" t="str">
        <x:v>Perch-likes</x:v>
      </x:c>
      <x:c r="I138" s="60" t="n">
        <x:v>58.265215652100004</x:v>
      </x:c>
      <x:c r="J138" s="60" t="n">
        <x:v>58.265215652100004</x:v>
      </x:c>
      <x:c r="K138" s="60" t="n">
        <x:v>0</x:v>
      </x:c>
      <x:c r="L138" s="60" t="n">
        <x:v>56.641161408900004</x:v>
      </x:c>
      <x:c r="M138" s="60" t="n">
        <x:v>1.6240542432</x:v>
      </x:c>
      <x:c r="N138" s="46" t="str">
        <x:v>menticirrhus americanus</x:v>
      </x:c>
      <x:c r="O138" s="62" t="n">
        <x:v>3.5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Menticirrhus americanus</x:v>
      </x:c>
      <x:c r="T138" s="62" t="n">
        <x:f>IF(O138="","",(1/'Metadata'!$B$5)^(O138-1))</x:f>
        <x:v>316.22776601683796</x:v>
      </x:c>
      <x:c r="U138" s="60" t="n">
        <x:f>IF(T138="","",I138*T138)</x:f>
        <x:v>18425.078982152885</x:v>
      </x:c>
    </x:row>
    <x:row r="139" ht="18" customHeight="1">
      <x:c r="A139" s="46" t="str">
        <x:v>LME_016</x:v>
      </x:c>
      <x:c r="B139" s="46" t="str">
        <x:v>East Brazil Shelf</x:v>
      </x:c>
      <x:c r="C139" s="46" t="str">
        <x:v>LME</x:v>
      </x:c>
      <x:c r="D139" s="58" t="n">
        <x:v>2019</x:v>
      </x:c>
      <x:c r="E139" s="46" t="str">
        <x:v>Coryphaena</x:v>
      </x:c>
      <x:c r="F139" s="46" t="str">
        <x:v>Dolphinfishes</x:v>
      </x:c>
      <x:c r="G139" s="46" t="str">
        <x:v>Large pelagics (&gt;=90 cm)</x:v>
      </x:c>
      <x:c r="H139" s="46" t="str">
        <x:v>Perch-likes</x:v>
      </x:c>
      <x:c r="I139" s="60" t="n">
        <x:v>57.999741014099996</x:v>
      </x:c>
      <x:c r="J139" s="60" t="n">
        <x:v>57.999741014099996</x:v>
      </x:c>
      <x:c r="K139" s="60" t="n">
        <x:v>0</x:v>
      </x:c>
      <x:c r="L139" s="60" t="n">
        <x:v>3.5240699859</x:v>
      </x:c>
      <x:c r="M139" s="60" t="n">
        <x:v>54.4756710282</x:v>
      </x:c>
      <x:c r="N139" s="46" t="str">
        <x:v>coryphaena</x:v>
      </x:c>
      <x:c r="O139" s="62" t="n">
        <x:v>4.49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Coryphaena</x:v>
      </x:c>
      <x:c r="T139" s="62" t="n">
        <x:f>IF(O139="","",(1/'Metadata'!$B$5)^(O139-1))</x:f>
        <x:v>3090.295432513592</x:v>
      </x:c>
      <x:c r="U139" s="60" t="n">
        <x:f>IF(T139="","",I139*T139)</x:f>
        <x:v>179236.33474284448</x:v>
      </x:c>
    </x:row>
    <x:row r="140" ht="18" customHeight="1">
      <x:c r="A140" s="46" t="str">
        <x:v>LME_016</x:v>
      </x:c>
      <x:c r="B140" s="46" t="str">
        <x:v>East Brazil Shelf</x:v>
      </x:c>
      <x:c r="C140" s="46" t="str">
        <x:v>LME</x:v>
      </x:c>
      <x:c r="D140" s="58" t="n">
        <x:v>2019</x:v>
      </x:c>
      <x:c r="E140" s="46" t="str">
        <x:v>Caulolatilus chrysops</x:v>
      </x:c>
      <x:c r="F140" s="46" t="str">
        <x:v>Atlantic goldeneye tilefish</x:v>
      </x:c>
      <x:c r="G140" s="46" t="str">
        <x:v>Medium demersals (30 - 89 cm)</x:v>
      </x:c>
      <x:c r="H140" s="46" t="str">
        <x:v>Perch-likes</x:v>
      </x:c>
      <x:c r="I140" s="60" t="n">
        <x:v>53.726722858600006</x:v>
      </x:c>
      <x:c r="J140" s="60" t="n">
        <x:v>53.726722858600006</x:v>
      </x:c>
      <x:c r="K140" s="60" t="n">
        <x:v>0</x:v>
      </x:c>
      <x:c r="L140" s="60" t="n">
        <x:v>52.213957291</x:v>
      </x:c>
      <x:c r="M140" s="60" t="n">
        <x:v>1.5127655676</x:v>
      </x:c>
      <x:c r="N140" s="46" t="str">
        <x:v>caulolatilus chrysops</x:v>
      </x:c>
      <x:c r="O140" s="62" t="n">
        <x:v>3.62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Caulolatilus chrysops</x:v>
      </x:c>
      <x:c r="T140" s="62" t="n">
        <x:f>IF(O140="","",(1/'Metadata'!$B$5)^(O140-1))</x:f>
        <x:v>416.8693834703355</x:v>
      </x:c>
      <x:c r="U140" s="60" t="n">
        <x:f>IF(T140="","",I140*T140)</x:f>
        <x:v>22397.025833946165</x:v>
      </x:c>
    </x:row>
    <x:row r="141" ht="18" customHeight="1">
      <x:c r="A141" s="46" t="str">
        <x:v>LME_016</x:v>
      </x:c>
      <x:c r="B141" s="46" t="str">
        <x:v>East Brazil Shelf</x:v>
      </x:c>
      <x:c r="C141" s="46" t="str">
        <x:v>LME</x:v>
      </x:c>
      <x:c r="D141" s="58" t="n">
        <x:v>2019</x:v>
      </x:c>
      <x:c r="E141" s="46" t="str">
        <x:v>Thunnus alalunga</x:v>
      </x:c>
      <x:c r="F141" s="46" t="str">
        <x:v>Albacore</x:v>
      </x:c>
      <x:c r="G141" s="46" t="str">
        <x:v>Large pelagics (&gt;=90 cm)</x:v>
      </x:c>
      <x:c r="H141" s="46" t="str">
        <x:v>Tuna &amp; billfishes</x:v>
      </x:c>
      <x:c r="I141" s="60" t="n">
        <x:v>47.80256994889999</x:v>
      </x:c>
      <x:c r="J141" s="60" t="n">
        <x:v>47.80256994889999</x:v>
      </x:c>
      <x:c r="K141" s="60" t="n">
        <x:v>0</x:v>
      </x:c>
      <x:c r="L141" s="60" t="n">
        <x:v>45.887423394799995</x:v>
      </x:c>
      <x:c r="M141" s="60" t="n">
        <x:v>1.9151465541000001</x:v>
      </x:c>
      <x:c r="N141" s="46" t="str">
        <x:v>thunnus alalunga</x:v>
      </x:c>
      <x:c r="O141" s="62" t="n">
        <x:v>4.3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Thunnus alalunga</x:v>
      </x:c>
      <x:c r="T141" s="62" t="n">
        <x:f>IF(O141="","",(1/'Metadata'!$B$5)^(O141-1))</x:f>
        <x:v>1995.2623149688789</x:v>
      </x:c>
      <x:c r="U141" s="60" t="n">
        <x:f>IF(T141="","",I141*T141)</x:f>
        <x:v>95378.66637770396</x:v>
      </x:c>
    </x:row>
    <x:row r="142" ht="18" customHeight="1">
      <x:c r="A142" s="46" t="str">
        <x:v>LME_016</x:v>
      </x:c>
      <x:c r="B142" s="46" t="str">
        <x:v>East Brazil Shelf</x:v>
      </x:c>
      <x:c r="C142" s="46" t="str">
        <x:v>LME</x:v>
      </x:c>
      <x:c r="D142" s="58" t="n">
        <x:v>2019</x:v>
      </x:c>
      <x:c r="E142" s="46" t="str">
        <x:v>Acanthocybium solandri</x:v>
      </x:c>
      <x:c r="F142" s="46" t="str">
        <x:v>Wahoo</x:v>
      </x:c>
      <x:c r="G142" s="46" t="str">
        <x:v>Large pelagics (&gt;=90 cm)</x:v>
      </x:c>
      <x:c r="H142" s="46" t="str">
        <x:v>Perch-likes</x:v>
      </x:c>
      <x:c r="I142" s="60" t="n">
        <x:v>47.0843252993</x:v>
      </x:c>
      <x:c r="J142" s="60" t="n">
        <x:v>47.0843252993</x:v>
      </x:c>
      <x:c r="K142" s="60" t="n">
        <x:v>0</x:v>
      </x:c>
      <x:c r="L142" s="60" t="n">
        <x:v>17.6910585393</x:v>
      </x:c>
      <x:c r="M142" s="60" t="n">
        <x:v>29.39326676</x:v>
      </x:c>
      <x:c r="N142" s="46" t="str">
        <x:v>acanthocybium solandri</x:v>
      </x:c>
      <x:c r="O142" s="62" t="n">
        <x:v>4.26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Acanthocybium solandri</x:v>
      </x:c>
      <x:c r="T142" s="62" t="n">
        <x:f>IF(O142="","",(1/'Metadata'!$B$5)^(O142-1))</x:f>
        <x:v>1819.7008586099826</x:v>
      </x:c>
      <x:c r="U142" s="60" t="n">
        <x:f>IF(T142="","",I142*T142)</x:f>
        <x:v>85679.38717420794</x:v>
      </x:c>
    </x:row>
    <x:row r="143" ht="18" customHeight="1">
      <x:c r="A143" s="46" t="str">
        <x:v>LME_016</x:v>
      </x:c>
      <x:c r="B143" s="46" t="str">
        <x:v>East Brazil Shelf</x:v>
      </x:c>
      <x:c r="C143" s="46" t="str">
        <x:v>LME</x:v>
      </x:c>
      <x:c r="D143" s="58" t="n">
        <x:v>2019</x:v>
      </x:c>
      <x:c r="E143" s="46" t="str">
        <x:v>Carcharhinidae</x:v>
      </x:c>
      <x:c r="F143" s="46" t="str">
        <x:v>Requiem sharks</x:v>
      </x:c>
      <x:c r="G143" s="46" t="str">
        <x:v>Large sharks (&gt;=90 cm)</x:v>
      </x:c>
      <x:c r="H143" s="46" t="str">
        <x:v>Sharks &amp; rays</x:v>
      </x:c>
      <x:c r="I143" s="60" t="n">
        <x:v>46.9671006501</x:v>
      </x:c>
      <x:c r="J143" s="60" t="n">
        <x:v>46.9671006501</x:v>
      </x:c>
      <x:c r="K143" s="60" t="n">
        <x:v>0</x:v>
      </x:c>
      <x:c r="L143" s="60" t="n">
        <x:v>0</x:v>
      </x:c>
      <x:c r="M143" s="60" t="n">
        <x:v>46.9671006501</x:v>
      </x:c>
      <x:c r="N143" s="46" t="str">
        <x:v>carcharhinidae</x:v>
      </x:c>
      <x:c r="O143" s="62" t="n">
        <x:v>4.24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Carcharhinidae</x:v>
      </x:c>
      <x:c r="T143" s="62" t="n">
        <x:f>IF(O143="","",(1/'Metadata'!$B$5)^(O143-1))</x:f>
        <x:v>1737.8008287493763</x:v>
      </x:c>
      <x:c r="U143" s="60" t="n">
        <x:f>IF(T143="","",I143*T143)</x:f>
        <x:v>81619.46643369916</x:v>
      </x:c>
    </x:row>
    <x:row r="144" ht="18" customHeight="1">
      <x:c r="A144" s="46" t="str">
        <x:v>LME_016</x:v>
      </x:c>
      <x:c r="B144" s="46" t="str">
        <x:v>East Brazil Shelf</x:v>
      </x:c>
      <x:c r="C144" s="46" t="str">
        <x:v>LME</x:v>
      </x:c>
      <x:c r="D144" s="58" t="n">
        <x:v>2019</x:v>
      </x:c>
      <x:c r="E144" s="46" t="str">
        <x:v>Harengula</x:v>
      </x:c>
      <x:c r="F144" s="46" t="str">
        <x:v>False herrings</x:v>
      </x:c>
      <x:c r="G144" s="46" t="str">
        <x:v>Small pelagics (&lt;30 cm)</x:v>
      </x:c>
      <x:c r="H144" s="46" t="str">
        <x:v>Herring-likes</x:v>
      </x:c>
      <x:c r="I144" s="60" t="n">
        <x:v>44.264005567</x:v>
      </x:c>
      <x:c r="J144" s="60" t="n">
        <x:v>44.264005567</x:v>
      </x:c>
      <x:c r="K144" s="60" t="n">
        <x:v>0</x:v>
      </x:c>
      <x:c r="L144" s="60" t="n">
        <x:v>42.7530626039</x:v>
      </x:c>
      <x:c r="M144" s="60" t="n">
        <x:v>1.5109429631</x:v>
      </x:c>
      <x:c r="N144" s="46" t="str">
        <x:v>harengula</x:v>
      </x:c>
      <x:c r="O144" s="62" t="n">
        <x:v>3.37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Harengula</x:v>
      </x:c>
      <x:c r="T144" s="62" t="n">
        <x:f>IF(O144="","",(1/'Metadata'!$B$5)^(O144-1))</x:f>
        <x:v>234.42288153199226</x:v>
      </x:c>
      <x:c r="U144" s="60" t="n">
        <x:f>IF(T144="","",I144*T144)</x:f>
        <x:v>10376.495733164287</x:v>
      </x:c>
    </x:row>
    <x:row r="145" ht="18" customHeight="1">
      <x:c r="A145" s="46" t="str">
        <x:v>LME_016</x:v>
      </x:c>
      <x:c r="B145" s="46" t="str">
        <x:v>East Brazil Shelf</x:v>
      </x:c>
      <x:c r="C145" s="46" t="str">
        <x:v>LME</x:v>
      </x:c>
      <x:c r="D145" s="58" t="n">
        <x:v>2019</x:v>
      </x:c>
      <x:c r="E145" s="46" t="str">
        <x:v>Marine pelagic fishes not identified</x:v>
      </x:c>
      <x:c r="F145" s="46" t="str">
        <x:v>Pelagic fishes</x:v>
      </x:c>
      <x:c r="G145" s="46" t="str">
        <x:v>Medium pelagics (30 - 89 cm)</x:v>
      </x:c>
      <x:c r="H145" s="46" t="str">
        <x:v>Other fishes &amp; inverts</x:v>
      </x:c>
      <x:c r="I145" s="60" t="n">
        <x:v>43.264114268099995</x:v>
      </x:c>
      <x:c r="J145" s="60" t="n">
        <x:v>43.264114268099995</x:v>
      </x:c>
      <x:c r="K145" s="60" t="n">
        <x:v>0</x:v>
      </x:c>
      <x:c r="L145" s="60" t="n">
        <x:v>43.264114268099995</x:v>
      </x:c>
      <x:c r="M145" s="60" t="n">
        <x:v>0</x:v>
      </x:c>
      <x:c r="N145" s="46" t="str">
        <x:v>marine pelagic fishes not identified</x:v>
      </x:c>
      <x:c r="O145" s="62" t="n">
        <x:v>3.35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Marine pelagic fishes not identified</x:v>
      </x:c>
      <x:c r="T145" s="62" t="n">
        <x:f>IF(O145="","",(1/'Metadata'!$B$5)^(O145-1))</x:f>
        <x:v>223.872113856834</x:v>
      </x:c>
      <x:c r="U145" s="60" t="n">
        <x:f>IF(T145="","",I145*T145)</x:f>
        <x:v>9685.628715343159</x:v>
      </x:c>
    </x:row>
    <x:row r="146" ht="18" customHeight="1">
      <x:c r="A146" s="46" t="str">
        <x:v>LME_016</x:v>
      </x:c>
      <x:c r="B146" s="46" t="str">
        <x:v>East Brazil Shelf</x:v>
      </x:c>
      <x:c r="C146" s="46" t="str">
        <x:v>LME</x:v>
      </x:c>
      <x:c r="D146" s="58" t="n">
        <x:v>2019</x:v>
      </x:c>
      <x:c r="E146" s="46" t="str">
        <x:v>Alopias</x:v>
      </x:c>
      <x:c r="F146" s="46" t="str">
        <x:v>Thresher sharks</x:v>
      </x:c>
      <x:c r="G146" s="46" t="str">
        <x:v>Large sharks (&gt;=90 cm)</x:v>
      </x:c>
      <x:c r="H146" s="46" t="str">
        <x:v>Sharks &amp; rays</x:v>
      </x:c>
      <x:c r="I146" s="60" t="n">
        <x:v>43.2606719693</x:v>
      </x:c>
      <x:c r="J146" s="60" t="n">
        <x:v>43.2606719693</x:v>
      </x:c>
      <x:c r="K146" s="60" t="n">
        <x:v>0</x:v>
      </x:c>
      <x:c r="L146" s="60" t="n">
        <x:v>42.207053348500004</x:v>
      </x:c>
      <x:c r="M146" s="60" t="n">
        <x:v>1.0536186208</x:v>
      </x:c>
      <x:c r="N146" s="46" t="str">
        <x:v>alopias</x:v>
      </x:c>
      <x:c r="O146" s="62" t="n">
        <x:v>4.5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Alopias</x:v>
      </x:c>
      <x:c r="T146" s="62" t="n">
        <x:f>IF(O146="","",(1/'Metadata'!$B$5)^(O146-1))</x:f>
        <x:v>3162.2776601683795</x:v>
      </x:c>
      <x:c r="U146" s="60" t="n">
        <x:f>IF(T146="","",I146*T146)</x:f>
        <x:v>136802.25653238982</x:v>
      </x:c>
    </x:row>
    <x:row r="147" ht="18" customHeight="1">
      <x:c r="A147" s="46" t="str">
        <x:v>LME_016</x:v>
      </x:c>
      <x:c r="B147" s="46" t="str">
        <x:v>East Brazil Shelf</x:v>
      </x:c>
      <x:c r="C147" s="46" t="str">
        <x:v>LME</x:v>
      </x:c>
      <x:c r="D147" s="58" t="n">
        <x:v>2019</x:v>
      </x:c>
      <x:c r="E147" s="46" t="str">
        <x:v>Epinephelus marginatus</x:v>
      </x:c>
      <x:c r="F147" s="46" t="str">
        <x:v>Dusky grouper</x:v>
      </x:c>
      <x:c r="G147" s="46" t="str">
        <x:v>Large reef assoc. fish (&gt;=90 cm)</x:v>
      </x:c>
      <x:c r="H147" s="46" t="str">
        <x:v>Perch-likes</x:v>
      </x:c>
      <x:c r="I147" s="60" t="n">
        <x:v>43.1608893778</x:v>
      </x:c>
      <x:c r="J147" s="60" t="n">
        <x:v>43.1608893778</x:v>
      </x:c>
      <x:c r="K147" s="60" t="n">
        <x:v>0</x:v>
      </x:c>
      <x:c r="L147" s="60" t="n">
        <x:v>35.5267623337</x:v>
      </x:c>
      <x:c r="M147" s="60" t="n">
        <x:v>7.6341270440999995</x:v>
      </x:c>
      <x:c r="N147" s="46" t="str">
        <x:v>epinephelus marginatus</x:v>
      </x:c>
      <x:c r="O147" s="62" t="n">
        <x:v>4.43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Epinephelus marginatus</x:v>
      </x:c>
      <x:c r="T147" s="62" t="n">
        <x:f>IF(O147="","",(1/'Metadata'!$B$5)^(O147-1))</x:f>
        <x:v>2691.534803926914</x:v>
      </x:c>
      <x:c r="U147" s="60" t="n">
        <x:f>IF(T147="","",I147*T147)</x:f>
        <x:v>116169.03592878813</x:v>
      </x:c>
    </x:row>
    <x:row r="148" ht="18" customHeight="1">
      <x:c r="A148" s="46" t="str">
        <x:v>LME_016</x:v>
      </x:c>
      <x:c r="B148" s="46" t="str">
        <x:v>East Brazil Shelf</x:v>
      </x:c>
      <x:c r="C148" s="46" t="str">
        <x:v>LME</x:v>
      </x:c>
      <x:c r="D148" s="58" t="n">
        <x:v>2019</x:v>
      </x:c>
      <x:c r="E148" s="46" t="str">
        <x:v>Octopodidae</x:v>
      </x:c>
      <x:c r="F148" s="46" t="str">
        <x:v>Octopuses</x:v>
      </x:c>
      <x:c r="G148" s="46" t="str">
        <x:v>Cephalopods</x:v>
      </x:c>
      <x:c r="H148" s="46" t="str">
        <x:v>Other fishes &amp; inverts</x:v>
      </x:c>
      <x:c r="I148" s="60" t="n">
        <x:v>42.9906312737</x:v>
      </x:c>
      <x:c r="J148" s="60" t="n">
        <x:v>42.9906312737</x:v>
      </x:c>
      <x:c r="K148" s="60" t="n">
        <x:v>0</x:v>
      </x:c>
      <x:c r="L148" s="60" t="n">
        <x:v>41.74825457</x:v>
      </x:c>
      <x:c r="M148" s="60" t="n">
        <x:v>1.2423767037</x:v>
      </x:c>
      <x:c r="N148" s="46" t="str">
        <x:v>octopodidae</x:v>
      </x:c>
      <x:c r="O148" s="62" t="n">
        <x:v>3.59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Octopodidae</x:v>
      </x:c>
      <x:c r="T148" s="62" t="n">
        <x:f>IF(O148="","",(1/'Metadata'!$B$5)^(O148-1))</x:f>
        <x:v>389.04514499428046</x:v>
      </x:c>
      <x:c r="U148" s="60" t="n">
        <x:f>IF(T148="","",I148*T148)</x:f>
        <x:v>16725.296377272265</x:v>
      </x:c>
    </x:row>
    <x:row r="149" ht="18" customHeight="1">
      <x:c r="A149" s="46" t="str">
        <x:v>LME_016</x:v>
      </x:c>
      <x:c r="B149" s="46" t="str">
        <x:v>East Brazil Shelf</x:v>
      </x:c>
      <x:c r="C149" s="46" t="str">
        <x:v>LME</x:v>
      </x:c>
      <x:c r="D149" s="58" t="n">
        <x:v>2019</x:v>
      </x:c>
      <x:c r="E149" s="46" t="str">
        <x:v>Sparidae</x:v>
      </x:c>
      <x:c r="F149" s="46" t="str">
        <x:v>Porgies, seabreams</x:v>
      </x:c>
      <x:c r="G149" s="46" t="str">
        <x:v>Medium benthopelagics (30 - 89 cm)</x:v>
      </x:c>
      <x:c r="H149" s="46" t="str">
        <x:v>Perch-likes</x:v>
      </x:c>
      <x:c r="I149" s="60" t="n">
        <x:v>39.9162003451</x:v>
      </x:c>
      <x:c r="J149" s="60" t="n">
        <x:v>39.9162003451</x:v>
      </x:c>
      <x:c r="K149" s="60" t="n">
        <x:v>0</x:v>
      </x:c>
      <x:c r="L149" s="60" t="n">
        <x:v>39.864259729100006</x:v>
      </x:c>
      <x:c r="M149" s="60" t="n">
        <x:v>0.051940615999999995</x:v>
      </x:c>
      <x:c r="N149" s="46" t="str">
        <x:v>sparidae</x:v>
      </x:c>
      <x:c r="O149" s="62" t="n">
        <x:v>3.31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Sparidae</x:v>
      </x:c>
      <x:c r="T149" s="62" t="n">
        <x:f>IF(O149="","",(1/'Metadata'!$B$5)^(O149-1))</x:f>
        <x:v>204.17379446695296</x:v>
      </x:c>
      <x:c r="U149" s="60" t="n">
        <x:f>IF(T149="","",I149*T149)</x:f>
        <x:v>8149.842085162164</x:v>
      </x:c>
    </x:row>
    <x:row r="150" ht="18" customHeight="1">
      <x:c r="A150" s="46" t="str">
        <x:v>LME_016</x:v>
      </x:c>
      <x:c r="B150" s="46" t="str">
        <x:v>East Brazil Shelf</x:v>
      </x:c>
      <x:c r="C150" s="46" t="str">
        <x:v>LME</x:v>
      </x:c>
      <x:c r="D150" s="58" t="n">
        <x:v>2019</x:v>
      </x:c>
      <x:c r="E150" s="46" t="str">
        <x:v>Gymnothorax</x:v>
      </x:c>
      <x:c r="F150" s="46" t="str">
        <x:v>Morays</x:v>
      </x:c>
      <x:c r="G150" s="46" t="str">
        <x:v>Large reef assoc. fish (&gt;=90 cm)</x:v>
      </x:c>
      <x:c r="H150" s="46" t="str">
        <x:v>Other fishes &amp; inverts</x:v>
      </x:c>
      <x:c r="I150" s="60" t="n">
        <x:v>39.0343414026</x:v>
      </x:c>
      <x:c r="J150" s="60" t="n">
        <x:v>39.0343414026</x:v>
      </x:c>
      <x:c r="K150" s="60" t="n">
        <x:v>0</x:v>
      </x:c>
      <x:c r="L150" s="60" t="n">
        <x:v>10.7602002067</x:v>
      </x:c>
      <x:c r="M150" s="60" t="n">
        <x:v>28.2741411959</x:v>
      </x:c>
      <x:c r="N150" s="46" t="str">
        <x:v>gymnothorax</x:v>
      </x:c>
      <x:c r="O150" s="62" t="n">
        <x:v>4.22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Gymnothorax</x:v>
      </x:c>
      <x:c r="T150" s="62" t="n">
        <x:f>IF(O150="","",(1/'Metadata'!$B$5)^(O150-1))</x:f>
        <x:v>1659.5869074375596</x:v>
      </x:c>
      <x:c r="U150" s="60" t="n">
        <x:f>IF(T150="","",I150*T150)</x:f>
        <x:v>64780.88193220283</x:v>
      </x:c>
    </x:row>
    <x:row r="151" ht="18" customHeight="1">
      <x:c r="A151" s="46" t="str">
        <x:v>LME_016</x:v>
      </x:c>
      <x:c r="B151" s="46" t="str">
        <x:v>East Brazil Shelf</x:v>
      </x:c>
      <x:c r="C151" s="46" t="str">
        <x:v>LME</x:v>
      </x:c>
      <x:c r="D151" s="58" t="n">
        <x:v>2019</x:v>
      </x:c>
      <x:c r="E151" s="46" t="str">
        <x:v>Elagatis bipinnulata</x:v>
      </x:c>
      <x:c r="F151" s="46" t="str">
        <x:v>Rainbow runner</x:v>
      </x:c>
      <x:c r="G151" s="46" t="str">
        <x:v>Large pelagics (&gt;=90 cm)</x:v>
      </x:c>
      <x:c r="H151" s="46" t="str">
        <x:v>Perch-likes</x:v>
      </x:c>
      <x:c r="I151" s="60" t="n">
        <x:v>37.9388953406</x:v>
      </x:c>
      <x:c r="J151" s="60" t="n">
        <x:v>37.9388953406</x:v>
      </x:c>
      <x:c r="K151" s="60" t="n">
        <x:v>0</x:v>
      </x:c>
      <x:c r="L151" s="60" t="n">
        <x:v>34.1562221134</x:v>
      </x:c>
      <x:c r="M151" s="60" t="n">
        <x:v>3.7826732272</x:v>
      </x:c>
      <x:c r="N151" s="46" t="str">
        <x:v>elagatis bipinnulata</x:v>
      </x:c>
      <x:c r="O151" s="62" t="n">
        <x:v>4.27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Elagatis bipinnulata</x:v>
      </x:c>
      <x:c r="T151" s="62" t="n">
        <x:f>IF(O151="","",(1/'Metadata'!$B$5)^(O151-1))</x:f>
        <x:v>1862.0871366628655</x:v>
      </x:c>
      <x:c r="U151" s="60" t="n">
        <x:f>IF(T151="","",I151*T151)</x:f>
        <x:v>70645.52899292998</x:v>
      </x:c>
    </x:row>
    <x:row r="152" ht="18" customHeight="1">
      <x:c r="A152" s="46" t="str">
        <x:v>LME_016</x:v>
      </x:c>
      <x:c r="B152" s="46" t="str">
        <x:v>East Brazil Shelf</x:v>
      </x:c>
      <x:c r="C152" s="46" t="str">
        <x:v>LME</x:v>
      </x:c>
      <x:c r="D152" s="58" t="n">
        <x:v>2019</x:v>
      </x:c>
      <x:c r="E152" s="46" t="str">
        <x:v>Portunidae</x:v>
      </x:c>
      <x:c r="F152" s="46" t="str">
        <x:v>Swimming crabs</x:v>
      </x:c>
      <x:c r="G152" s="46" t="str">
        <x:v>Lobsters, crabs</x:v>
      </x:c>
      <x:c r="H152" s="46" t="str">
        <x:v>Crustaceans</x:v>
      </x:c>
      <x:c r="I152" s="60" t="n">
        <x:v>37.2456776736</x:v>
      </x:c>
      <x:c r="J152" s="60" t="n">
        <x:v>37.2456776736</x:v>
      </x:c>
      <x:c r="K152" s="60" t="n">
        <x:v>0</x:v>
      </x:c>
      <x:c r="L152" s="60" t="n">
        <x:v>37.2456776736</x:v>
      </x:c>
      <x:c r="M152" s="60" t="n">
        <x:v>0</x:v>
      </x:c>
      <x:c r="N152" s="46" t="str">
        <x:v>portunidae</x:v>
      </x:c>
      <x:c r="O152" s="62" t="n">
        <x:v>3.56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Portunidae</x:v>
      </x:c>
      <x:c r="T152" s="62" t="n">
        <x:f>IF(O152="","",(1/'Metadata'!$B$5)^(O152-1))</x:f>
        <x:v>363.0780547701014</x:v>
      </x:c>
      <x:c r="U152" s="60" t="n">
        <x:f>IF(T152="","",I152*T152)</x:f>
        <x:v>13523.088198324884</x:v>
      </x:c>
    </x:row>
    <x:row r="153" ht="18" customHeight="1">
      <x:c r="A153" s="46" t="str">
        <x:v>LME_016</x:v>
      </x:c>
      <x:c r="B153" s="46" t="str">
        <x:v>East Brazil Shelf</x:v>
      </x:c>
      <x:c r="C153" s="46" t="str">
        <x:v>LME</x:v>
      </x:c>
      <x:c r="D153" s="58" t="n">
        <x:v>2019</x:v>
      </x:c>
      <x:c r="E153" s="46" t="str">
        <x:v>Mugilidae</x:v>
      </x:c>
      <x:c r="F153" s="46" t="str">
        <x:v>Mullets, grey mullets</x:v>
      </x:c>
      <x:c r="G153" s="46" t="str">
        <x:v>Medium reef assoc. fish (30 - 89 cm)</x:v>
      </x:c>
      <x:c r="H153" s="46" t="str">
        <x:v>Perch-likes</x:v>
      </x:c>
      <x:c r="I153" s="60" t="n">
        <x:v>37.1141486866</x:v>
      </x:c>
      <x:c r="J153" s="60" t="n">
        <x:v>37.1141486866</x:v>
      </x:c>
      <x:c r="K153" s="60" t="n">
        <x:v>0</x:v>
      </x:c>
      <x:c r="L153" s="60" t="n">
        <x:v>0</x:v>
      </x:c>
      <x:c r="M153" s="60" t="n">
        <x:v>37.1141486866</x:v>
      </x:c>
      <x:c r="N153" s="46" t="str">
        <x:v>mugilidae</x:v>
      </x:c>
      <x:c r="O153" s="62" t="n">
        <x:v>2.53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Mugilidae</x:v>
      </x:c>
      <x:c r="T153" s="62" t="n">
        <x:f>IF(O153="","",(1/'Metadata'!$B$5)^(O153-1))</x:f>
        <x:v>33.88441561392024</x:v>
      </x:c>
      <x:c r="U153" s="60" t="n">
        <x:f>IF(T153="","",I153*T153)</x:f>
        <x:v>1257.5912392535863</x:v>
      </x:c>
    </x:row>
    <x:row r="154" ht="18" customHeight="1">
      <x:c r="A154" s="46" t="str">
        <x:v>LME_016</x:v>
      </x:c>
      <x:c r="B154" s="46" t="str">
        <x:v>East Brazil Shelf</x:v>
      </x:c>
      <x:c r="C154" s="46" t="str">
        <x:v>LME</x:v>
      </x:c>
      <x:c r="D154" s="58" t="n">
        <x:v>2019</x:v>
      </x:c>
      <x:c r="E154" s="46" t="str">
        <x:v>Decapterus</x:v>
      </x:c>
      <x:c r="F154" s="46" t="str">
        <x:v>Scads</x:v>
      </x:c>
      <x:c r="G154" s="46" t="str">
        <x:v>Medium pelagics (30 - 89 cm)</x:v>
      </x:c>
      <x:c r="H154" s="46" t="str">
        <x:v>Perch-likes</x:v>
      </x:c>
      <x:c r="I154" s="60" t="n">
        <x:v>36.937455028900004</x:v>
      </x:c>
      <x:c r="J154" s="60" t="n">
        <x:v>36.937455028900004</x:v>
      </x:c>
      <x:c r="K154" s="60" t="n">
        <x:v>0</x:v>
      </x:c>
      <x:c r="L154" s="60" t="n">
        <x:v>35.7542739417</x:v>
      </x:c>
      <x:c r="M154" s="60" t="n">
        <x:v>1.1831810872</x:v>
      </x:c>
      <x:c r="N154" s="46" t="str">
        <x:v>decapterus</x:v>
      </x:c>
      <x:c r="O154" s="62" t="n">
        <x:v>3.63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Decapterus</x:v>
      </x:c>
      <x:c r="T154" s="62" t="n">
        <x:f>IF(O154="","",(1/'Metadata'!$B$5)^(O154-1))</x:f>
        <x:v>426.57951880159254</x:v>
      </x:c>
      <x:c r="U154" s="60" t="n">
        <x:f>IF(T154="","",I154*T154)</x:f>
        <x:v>15756.761791983628</x:v>
      </x:c>
    </x:row>
    <x:row r="155" ht="18" customHeight="1">
      <x:c r="A155" s="46" t="str">
        <x:v>LME_016</x:v>
      </x:c>
      <x:c r="B155" s="46" t="str">
        <x:v>East Brazil Shelf</x:v>
      </x:c>
      <x:c r="C155" s="46" t="str">
        <x:v>LME</x:v>
      </x:c>
      <x:c r="D155" s="58" t="n">
        <x:v>2019</x:v>
      </x:c>
      <x:c r="E155" s="46" t="str">
        <x:v>Pogonias courbina</x:v>
      </x:c>
      <x:c r="F155" s="46" t="str">
        <x:v>Black drum</x:v>
      </x:c>
      <x:c r="G155" s="46" t="str">
        <x:v>Large demersals (&gt;=90 cm)</x:v>
      </x:c>
      <x:c r="H155" s="46" t="str">
        <x:v>Perch-likes</x:v>
      </x:c>
      <x:c r="I155" s="60" t="n">
        <x:v>36.4349498803</x:v>
      </x:c>
      <x:c r="J155" s="60" t="n">
        <x:v>36.4349498803</x:v>
      </x:c>
      <x:c r="K155" s="60" t="n">
        <x:v>0</x:v>
      </x:c>
      <x:c r="L155" s="60" t="n">
        <x:v>2.609741801</x:v>
      </x:c>
      <x:c r="M155" s="60" t="n">
        <x:v>33.8252080793</x:v>
      </x:c>
      <x:c r="N155" s="46" t="str">
        <x:v>pogonias courbina</x:v>
      </x:c>
      <x:c r="O155" s="62" t="n">
        <x:v>3.89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Pogonias courbina</x:v>
      </x:c>
      <x:c r="T155" s="62" t="n">
        <x:f>IF(O155="","",(1/'Metadata'!$B$5)^(O155-1))</x:f>
        <x:v>776.247116628692</x:v>
      </x:c>
      <x:c r="U155" s="60" t="n">
        <x:f>IF(T155="","",I155*T155)</x:f>
        <x:v>28282.524789093783</x:v>
      </x:c>
    </x:row>
    <x:row r="156" ht="18" customHeight="1">
      <x:c r="A156" s="46" t="str">
        <x:v>LME_016</x:v>
      </x:c>
      <x:c r="B156" s="46" t="str">
        <x:v>East Brazil Shelf</x:v>
      </x:c>
      <x:c r="C156" s="46" t="str">
        <x:v>LME</x:v>
      </x:c>
      <x:c r="D156" s="58" t="n">
        <x:v>2019</x:v>
      </x:c>
      <x:c r="E156" s="46" t="str">
        <x:v>Haemulon flavolineatum</x:v>
      </x:c>
      <x:c r="F156" s="46" t="str">
        <x:v>French grunt</x:v>
      </x:c>
      <x:c r="G156" s="46" t="str">
        <x:v>Small reef assoc. fish (&lt;30 cm)</x:v>
      </x:c>
      <x:c r="H156" s="46" t="str">
        <x:v>Perch-likes</x:v>
      </x:c>
      <x:c r="I156" s="60" t="n">
        <x:v>36.0118376028</x:v>
      </x:c>
      <x:c r="J156" s="60" t="n">
        <x:v>36.0118376028</x:v>
      </x:c>
      <x:c r="K156" s="60" t="n">
        <x:v>0</x:v>
      </x:c>
      <x:c r="L156" s="60" t="n">
        <x:v>24.893767084400004</x:v>
      </x:c>
      <x:c r="M156" s="60" t="n">
        <x:v>11.1180705184</x:v>
      </x:c>
      <x:c r="N156" s="46" t="str">
        <x:v>haemulon flavolineatum</x:v>
      </x:c>
      <x:c r="O156" s="62" t="n">
        <x:v>3.46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Haemulon flavolineatum</x:v>
      </x:c>
      <x:c r="T156" s="62" t="n">
        <x:f>IF(O156="","",(1/'Metadata'!$B$5)^(O156-1))</x:f>
        <x:v>288.40315031266056</x:v>
      </x:c>
      <x:c r="U156" s="60" t="n">
        <x:f>IF(T156="","",I156*T156)</x:f>
        <x:v>10385.92741319545</x:v>
      </x:c>
    </x:row>
    <x:row r="157" ht="18" customHeight="1">
      <x:c r="A157" s="46" t="str">
        <x:v>LME_016</x:v>
      </x:c>
      <x:c r="B157" s="46" t="str">
        <x:v>East Brazil Shelf</x:v>
      </x:c>
      <x:c r="C157" s="46" t="str">
        <x:v>LME</x:v>
      </x:c>
      <x:c r="D157" s="58" t="n">
        <x:v>2019</x:v>
      </x:c>
      <x:c r="E157" s="46" t="str">
        <x:v>Epinephelus morio</x:v>
      </x:c>
      <x:c r="F157" s="46" t="str">
        <x:v>Red grouper</x:v>
      </x:c>
      <x:c r="G157" s="46" t="str">
        <x:v>Large reef assoc. fish (&gt;=90 cm)</x:v>
      </x:c>
      <x:c r="H157" s="46" t="str">
        <x:v>Perch-likes</x:v>
      </x:c>
      <x:c r="I157" s="60" t="n">
        <x:v>35.0983809988</x:v>
      </x:c>
      <x:c r="J157" s="60" t="n">
        <x:v>35.0983809988</x:v>
      </x:c>
      <x:c r="K157" s="60" t="n">
        <x:v>0</x:v>
      </x:c>
      <x:c r="L157" s="60" t="n">
        <x:v>0</x:v>
      </x:c>
      <x:c r="M157" s="60" t="n">
        <x:v>35.0983809988</x:v>
      </x:c>
      <x:c r="N157" s="46" t="str">
        <x:v>epinephelus morio</x:v>
      </x:c>
      <x:c r="O157" s="62" t="n">
        <x:v>3.5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Epinephelus morio</x:v>
      </x:c>
      <x:c r="T157" s="62" t="n">
        <x:f>IF(O157="","",(1/'Metadata'!$B$5)^(O157-1))</x:f>
        <x:v>316.22776601683796</x:v>
      </x:c>
      <x:c r="U157" s="60" t="n">
        <x:f>IF(T157="","",I157*T157)</x:f>
        <x:v>11099.08261405836</x:v>
      </x:c>
    </x:row>
    <x:row r="158" ht="18" customHeight="1">
      <x:c r="A158" s="46" t="str">
        <x:v>LME_016</x:v>
      </x:c>
      <x:c r="B158" s="46" t="str">
        <x:v>East Brazil Shelf</x:v>
      </x:c>
      <x:c r="C158" s="46" t="str">
        <x:v>LME</x:v>
      </x:c>
      <x:c r="D158" s="58" t="n">
        <x:v>2019</x:v>
      </x:c>
      <x:c r="E158" s="46" t="str">
        <x:v>Kajikia albida</x:v>
      </x:c>
      <x:c r="F158" s="46" t="str">
        <x:v>Atlantic white marlin</x:v>
      </x:c>
      <x:c r="G158" s="46" t="str">
        <x:v>Large pelagics (&gt;=90 cm)</x:v>
      </x:c>
      <x:c r="H158" s="46" t="str">
        <x:v>Tuna &amp; billfishes</x:v>
      </x:c>
      <x:c r="I158" s="60" t="n">
        <x:v>32.871541791</x:v>
      </x:c>
      <x:c r="J158" s="60" t="n">
        <x:v>32.871541791</x:v>
      </x:c>
      <x:c r="K158" s="60" t="n">
        <x:v>0</x:v>
      </x:c>
      <x:c r="L158" s="60" t="n">
        <x:v>32.8424168692</x:v>
      </x:c>
      <x:c r="M158" s="60" t="n">
        <x:v>0.029124921800000002</x:v>
      </x:c>
      <x:c r="N158" s="46" t="str">
        <x:v>kajikia albida</x:v>
      </x:c>
      <x:c r="O158" s="62" t="n">
        <x:v>4.49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Kajikia albida</x:v>
      </x:c>
      <x:c r="T158" s="62" t="n">
        <x:f>IF(O158="","",(1/'Metadata'!$B$5)^(O158-1))</x:f>
        <x:v>3090.295432513592</x:v>
      </x:c>
      <x:c r="U158" s="60" t="n">
        <x:f>IF(T158="","",I158*T158)</x:f>
        <x:v>101582.77545640696</x:v>
      </x:c>
    </x:row>
    <x:row r="159" ht="18" customHeight="1">
      <x:c r="A159" s="46" t="str">
        <x:v>LME_016</x:v>
      </x:c>
      <x:c r="B159" s="46" t="str">
        <x:v>East Brazil Shelf</x:v>
      </x:c>
      <x:c r="C159" s="46" t="str">
        <x:v>LME</x:v>
      </x:c>
      <x:c r="D159" s="58" t="n">
        <x:v>2019</x:v>
      </x:c>
      <x:c r="E159" s="46" t="str">
        <x:v>Trachinotus carolinus</x:v>
      </x:c>
      <x:c r="F159" s="46" t="str">
        <x:v>Florida pompano</x:v>
      </x:c>
      <x:c r="G159" s="46" t="str">
        <x:v>Medium benthopelagics (30 - 89 cm)</x:v>
      </x:c>
      <x:c r="H159" s="46" t="str">
        <x:v>Perch-likes</x:v>
      </x:c>
      <x:c r="I159" s="60" t="n">
        <x:v>32.8232212538</x:v>
      </x:c>
      <x:c r="J159" s="60" t="n">
        <x:v>32.8232212538</x:v>
      </x:c>
      <x:c r="K159" s="60" t="n">
        <x:v>0</x:v>
      </x:c>
      <x:c r="L159" s="60" t="n">
        <x:v>32.3432720812</x:v>
      </x:c>
      <x:c r="M159" s="60" t="n">
        <x:v>0.4799491726</x:v>
      </x:c>
      <x:c r="N159" s="46" t="str">
        <x:v>trachinotus carolinus</x:v>
      </x:c>
      <x:c r="O159" s="62" t="n">
        <x:v>3.5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Trachinotus carolinus</x:v>
      </x:c>
      <x:c r="T159" s="62" t="n">
        <x:f>IF(O159="","",(1/'Metadata'!$B$5)^(O159-1))</x:f>
        <x:v>316.22776601683796</x:v>
      </x:c>
      <x:c r="U159" s="60" t="n">
        <x:f>IF(T159="","",I159*T159)</x:f>
        <x:v>10379.613930565569</x:v>
      </x:c>
    </x:row>
    <x:row r="160" ht="18" customHeight="1">
      <x:c r="A160" s="46" t="str">
        <x:v>LME_016</x:v>
      </x:c>
      <x:c r="B160" s="46" t="str">
        <x:v>East Brazil Shelf</x:v>
      </x:c>
      <x:c r="C160" s="46" t="str">
        <x:v>LME</x:v>
      </x:c>
      <x:c r="D160" s="58" t="n">
        <x:v>2019</x:v>
      </x:c>
      <x:c r="E160" s="46" t="str">
        <x:v>Eucinostomus</x:v>
      </x:c>
      <x:c r="F160" s="46" t="str">
        <x:v>Mojarras</x:v>
      </x:c>
      <x:c r="G160" s="46" t="str">
        <x:v>Large reef assoc. fish (&gt;=90 cm)</x:v>
      </x:c>
      <x:c r="H160" s="46" t="str">
        <x:v>Perch-likes</x:v>
      </x:c>
      <x:c r="I160" s="60" t="n">
        <x:v>31.2771306483</x:v>
      </x:c>
      <x:c r="J160" s="60" t="n">
        <x:v>31.2771306483</x:v>
      </x:c>
      <x:c r="K160" s="60" t="n">
        <x:v>0</x:v>
      </x:c>
      <x:c r="L160" s="60" t="n">
        <x:v>30.6531787867</x:v>
      </x:c>
      <x:c r="M160" s="60" t="n">
        <x:v>0.6239518616</x:v>
      </x:c>
      <x:c r="N160" s="46" t="str">
        <x:v>eucinostomus</x:v>
      </x:c>
      <x:c r="O160" s="62" t="n">
        <x:v>3.5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Eucinostomus</x:v>
      </x:c>
      <x:c r="T160" s="62" t="n">
        <x:f>IF(O160="","",(1/'Metadata'!$B$5)^(O160-1))</x:f>
        <x:v>316.22776601683796</x:v>
      </x:c>
      <x:c r="U160" s="60" t="n">
        <x:f>IF(T160="","",I160*T160)</x:f>
        <x:v>9890.697152328683</x:v>
      </x:c>
    </x:row>
    <x:row r="161" ht="18" customHeight="1">
      <x:c r="A161" s="46" t="str">
        <x:v>LME_016</x:v>
      </x:c>
      <x:c r="B161" s="46" t="str">
        <x:v>East Brazil Shelf</x:v>
      </x:c>
      <x:c r="C161" s="46" t="str">
        <x:v>LME</x:v>
      </x:c>
      <x:c r="D161" s="58" t="n">
        <x:v>2019</x:v>
      </x:c>
      <x:c r="E161" s="46" t="str">
        <x:v>Decapoda</x:v>
      </x:c>
      <x:c r="F161" s="46" t="str">
        <x:v>Crabs, lobsters, shrimps</x:v>
      </x:c>
      <x:c r="G161" s="46" t="str">
        <x:v>Lobsters, crabs</x:v>
      </x:c>
      <x:c r="H161" s="46" t="str">
        <x:v>Crustaceans</x:v>
      </x:c>
      <x:c r="I161" s="60" t="n">
        <x:v>30.274581662400003</x:v>
      </x:c>
      <x:c r="J161" s="60" t="n">
        <x:v>30.274581662400003</x:v>
      </x:c>
      <x:c r="K161" s="60" t="n">
        <x:v>0</x:v>
      </x:c>
      <x:c r="L161" s="60" t="n">
        <x:v>0</x:v>
      </x:c>
      <x:c r="M161" s="60" t="n">
        <x:v>30.274581662400003</x:v>
      </x:c>
      <x:c r="N161" s="46" t="str">
        <x:v>decapoda</x:v>
      </x:c>
      <x:c r="O161" s="62" t="n">
        <x:v>3.43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Decapoda</x:v>
      </x:c>
      <x:c r="T161" s="62" t="n">
        <x:f>IF(O161="","",(1/'Metadata'!$B$5)^(O161-1))</x:f>
        <x:v>269.1534803926917</x:v>
      </x:c>
      <x:c r="U161" s="60" t="n">
        <x:f>IF(T161="","",I161*T161)</x:f>
        <x:v>8148.509021867722</x:v>
      </x:c>
    </x:row>
    <x:row r="162" ht="18" customHeight="1">
      <x:c r="A162" s="46" t="str">
        <x:v>LME_016</x:v>
      </x:c>
      <x:c r="B162" s="46" t="str">
        <x:v>East Brazil Shelf</x:v>
      </x:c>
      <x:c r="C162" s="46" t="str">
        <x:v>LME</x:v>
      </x:c>
      <x:c r="D162" s="58" t="n">
        <x:v>2019</x:v>
      </x:c>
      <x:c r="E162" s="46" t="str">
        <x:v>Alopias vulpinus</x:v>
      </x:c>
      <x:c r="F162" s="46" t="str">
        <x:v>Thresher</x:v>
      </x:c>
      <x:c r="G162" s="46" t="str">
        <x:v>Large sharks (&gt;=90 cm)</x:v>
      </x:c>
      <x:c r="H162" s="46" t="str">
        <x:v>Sharks &amp; rays</x:v>
      </x:c>
      <x:c r="I162" s="60" t="n">
        <x:v>29.97679702</x:v>
      </x:c>
      <x:c r="J162" s="60" t="n">
        <x:v>29.97679702</x:v>
      </x:c>
      <x:c r="K162" s="60" t="n">
        <x:v>0</x:v>
      </x:c>
      <x:c r="L162" s="60" t="n">
        <x:v>29.97679702</x:v>
      </x:c>
      <x:c r="M162" s="60" t="n">
        <x:v>0</x:v>
      </x:c>
      <x:c r="N162" s="46" t="str">
        <x:v>alopias vulpinus</x:v>
      </x:c>
      <x:c r="O162" s="62" t="n">
        <x:v>4.5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Alopias vulpinus</x:v>
      </x:c>
      <x:c r="T162" s="62" t="n">
        <x:f>IF(O162="","",(1/'Metadata'!$B$5)^(O162-1))</x:f>
        <x:v>3162.2776601683795</x:v>
      </x:c>
      <x:c r="U162" s="60" t="n">
        <x:f>IF(T162="","",I162*T162)</x:f>
        <x:v>94794.95553974804</x:v>
      </x:c>
    </x:row>
    <x:row r="163" ht="18" customHeight="1">
      <x:c r="A163" s="46" t="str">
        <x:v>LME_016</x:v>
      </x:c>
      <x:c r="B163" s="46" t="str">
        <x:v>East Brazil Shelf</x:v>
      </x:c>
      <x:c r="C163" s="46" t="str">
        <x:v>LME</x:v>
      </x:c>
      <x:c r="D163" s="58" t="n">
        <x:v>2019</x:v>
      </x:c>
      <x:c r="E163" s="46" t="str">
        <x:v>Alectis ciliaris</x:v>
      </x:c>
      <x:c r="F163" s="46" t="str">
        <x:v>African pompano</x:v>
      </x:c>
      <x:c r="G163" s="46" t="str">
        <x:v>Large pelagics (&gt;=90 cm)</x:v>
      </x:c>
      <x:c r="H163" s="46" t="str">
        <x:v>Perch-likes</x:v>
      </x:c>
      <x:c r="I163" s="60" t="n">
        <x:v>29.9498065032</x:v>
      </x:c>
      <x:c r="J163" s="60" t="n">
        <x:v>29.9498065032</x:v>
      </x:c>
      <x:c r="K163" s="60" t="n">
        <x:v>0</x:v>
      </x:c>
      <x:c r="L163" s="60" t="n">
        <x:v>7.0184375462</x:v>
      </x:c>
      <x:c r="M163" s="60" t="n">
        <x:v>22.931368957</x:v>
      </x:c>
      <x:c r="N163" s="46" t="str">
        <x:v>alectis ciliaris</x:v>
      </x:c>
      <x:c r="O163" s="62" t="n">
        <x:v>3.95</x:v>
      </x:c>
      <x:c r="P163" s="46" t="str">
        <x:v>exact_2020_supplement</x:v>
      </x:c>
      <x:c r="Q163" s="62" t="str">
        <x:v>2020 supplement MeanTL</x:v>
      </x:c>
      <x:c r="R163" s="46" t="str">
        <x:v>high</x:v>
      </x:c>
      <x:c r="S163" s="46" t="str">
        <x:v>Alectis ciliaris</x:v>
      </x:c>
      <x:c r="T163" s="62" t="n">
        <x:f>IF(O163="","",(1/'Metadata'!$B$5)^(O163-1))</x:f>
        <x:v>891.2509381337459</x:v>
      </x:c>
      <x:c r="U163" s="60" t="n">
        <x:f>IF(T163="","",I163*T163)</x:f>
        <x:v>26692.793142901166</x:v>
      </x:c>
    </x:row>
    <x:row r="164" ht="18" customHeight="1">
      <x:c r="A164" s="46" t="str">
        <x:v>LME_016</x:v>
      </x:c>
      <x:c r="B164" s="46" t="str">
        <x:v>East Brazil Shelf</x:v>
      </x:c>
      <x:c r="C164" s="46" t="str">
        <x:v>LME</x:v>
      </x:c>
      <x:c r="D164" s="58" t="n">
        <x:v>2019</x:v>
      </x:c>
      <x:c r="E164" s="46" t="str">
        <x:v>Auxis thazard</x:v>
      </x:c>
      <x:c r="F164" s="46" t="str">
        <x:v>Frigate tuna</x:v>
      </x:c>
      <x:c r="G164" s="46" t="str">
        <x:v>Medium pelagics (30 - 89 cm)</x:v>
      </x:c>
      <x:c r="H164" s="46" t="str">
        <x:v>Tuna &amp; billfishes</x:v>
      </x:c>
      <x:c r="I164" s="60" t="n">
        <x:v>28.860247167</x:v>
      </x:c>
      <x:c r="J164" s="60" t="n">
        <x:v>28.860247167</x:v>
      </x:c>
      <x:c r="K164" s="60" t="n">
        <x:v>0</x:v>
      </x:c>
      <x:c r="L164" s="60" t="n">
        <x:v>27.424697367300002</x:v>
      </x:c>
      <x:c r="M164" s="60" t="n">
        <x:v>1.4355497997</x:v>
      </x:c>
      <x:c r="N164" s="46" t="str">
        <x:v>auxis thazard</x:v>
      </x:c>
      <x:c r="O164" s="62" t="n">
        <x:v>4.37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Auxis thazard</x:v>
      </x:c>
      <x:c r="T164" s="62" t="n">
        <x:f>IF(O164="","",(1/'Metadata'!$B$5)^(O164-1))</x:f>
        <x:v>2344.228815319923</x:v>
      </x:c>
      <x:c r="U164" s="60" t="n">
        <x:f>IF(T164="","",I164*T164)</x:f>
        <x:v>67655.02302613658</x:v>
      </x:c>
    </x:row>
    <x:row r="165" ht="18" customHeight="1">
      <x:c r="A165" s="46" t="str">
        <x:v>LME_016</x:v>
      </x:c>
      <x:c r="B165" s="46" t="str">
        <x:v>East Brazil Shelf</x:v>
      </x:c>
      <x:c r="C165" s="46" t="str">
        <x:v>LME</x:v>
      </x:c>
      <x:c r="D165" s="58" t="n">
        <x:v>2019</x:v>
      </x:c>
      <x:c r="E165" s="46" t="str">
        <x:v>Aetobatus narinari</x:v>
      </x:c>
      <x:c r="F165" s="46" t="str">
        <x:v>Spotted eagle ray</x:v>
      </x:c>
      <x:c r="G165" s="46" t="str">
        <x:v>Large rays (&gt;=90 cm)</x:v>
      </x:c>
      <x:c r="H165" s="46" t="str">
        <x:v>Sharks &amp; rays</x:v>
      </x:c>
      <x:c r="I165" s="60" t="n">
        <x:v>27.7220266923</x:v>
      </x:c>
      <x:c r="J165" s="60" t="n">
        <x:v>27.7220266923</x:v>
      </x:c>
      <x:c r="K165" s="60" t="n">
        <x:v>0</x:v>
      </x:c>
      <x:c r="L165" s="60" t="n">
        <x:v>13.558899921</x:v>
      </x:c>
      <x:c r="M165" s="60" t="n">
        <x:v>14.1631267713</x:v>
      </x:c>
      <x:c r="N165" s="46" t="str">
        <x:v>aetobatus narinari</x:v>
      </x:c>
      <x:c r="O165" s="62" t="n">
        <x:v>4.17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Aetobatus narinari</x:v>
      </x:c>
      <x:c r="T165" s="62" t="n">
        <x:f>IF(O165="","",(1/'Metadata'!$B$5)^(O165-1))</x:f>
        <x:v>1479.1083881682073</x:v>
      </x:c>
      <x:c r="U165" s="60" t="n">
        <x:f>IF(T165="","",I165*T165)</x:f>
        <x:v>41003.88221760387</x:v>
      </x:c>
    </x:row>
    <x:row r="166" ht="18" customHeight="1">
      <x:c r="A166" s="46" t="str">
        <x:v>LME_016</x:v>
      </x:c>
      <x:c r="B166" s="46" t="str">
        <x:v>East Brazil Shelf</x:v>
      </x:c>
      <x:c r="C166" s="46" t="str">
        <x:v>LME</x:v>
      </x:c>
      <x:c r="D166" s="58" t="n">
        <x:v>2019</x:v>
      </x:c>
      <x:c r="E166" s="46" t="str">
        <x:v>Cookeolus japonicus</x:v>
      </x:c>
      <x:c r="F166" s="46" t="str">
        <x:v>Longfinned bullseye</x:v>
      </x:c>
      <x:c r="G166" s="46" t="str">
        <x:v>Medium benthopelagics (30 - 89 cm)</x:v>
      </x:c>
      <x:c r="H166" s="46" t="str">
        <x:v>Perch-likes</x:v>
      </x:c>
      <x:c r="I166" s="60" t="n">
        <x:v>27.4919857896</x:v>
      </x:c>
      <x:c r="J166" s="60" t="n">
        <x:v>27.4919857896</x:v>
      </x:c>
      <x:c r="K166" s="60" t="n">
        <x:v>0</x:v>
      </x:c>
      <x:c r="L166" s="60" t="n">
        <x:v>14.2697230177</x:v>
      </x:c>
      <x:c r="M166" s="60" t="n">
        <x:v>13.222262771899999</x:v>
      </x:c>
      <x:c r="N166" s="46" t="str">
        <x:v>cookeolus japonicus</x:v>
      </x:c>
      <x:c r="O166" s="62" t="n">
        <x:v>3.5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Cookeolus japonicus</x:v>
      </x:c>
      <x:c r="T166" s="62" t="n">
        <x:f>IF(O166="","",(1/'Metadata'!$B$5)^(O166-1))</x:f>
        <x:v>316.22776601683796</x:v>
      </x:c>
      <x:c r="U166" s="60" t="n">
        <x:f>IF(T166="","",I166*T166)</x:f>
        <x:v>8693.729249611863</x:v>
      </x:c>
    </x:row>
    <x:row r="167" ht="18" customHeight="1">
      <x:c r="A167" s="46" t="str">
        <x:v>LME_016</x:v>
      </x:c>
      <x:c r="B167" s="46" t="str">
        <x:v>East Brazil Shelf</x:v>
      </x:c>
      <x:c r="C167" s="46" t="str">
        <x:v>LME</x:v>
      </x:c>
      <x:c r="D167" s="58" t="n">
        <x:v>2019</x:v>
      </x:c>
      <x:c r="E167" s="46" t="str">
        <x:v>Anguilliformes</x:v>
      </x:c>
      <x:c r="F167" s="46" t="str">
        <x:v>Eels, morays</x:v>
      </x:c>
      <x:c r="G167" s="46" t="str">
        <x:v>Large demersals (&gt;=90 cm)</x:v>
      </x:c>
      <x:c r="H167" s="46" t="str">
        <x:v>Other fishes &amp; inverts</x:v>
      </x:c>
      <x:c r="I167" s="60" t="n">
        <x:v>26.7350315755</x:v>
      </x:c>
      <x:c r="J167" s="60" t="n">
        <x:v>26.7350315755</x:v>
      </x:c>
      <x:c r="K167" s="60" t="n">
        <x:v>0</x:v>
      </x:c>
      <x:c r="L167" s="60" t="n">
        <x:v>2.0571141022</x:v>
      </x:c>
      <x:c r="M167" s="60" t="n">
        <x:v>24.677917473300003</x:v>
      </x:c>
      <x:c r="N167" s="46" t="str">
        <x:v>anguilliformes</x:v>
      </x:c>
      <x:c r="O167" s="62" t="n">
        <x:v>3.89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Anguilliformes</x:v>
      </x:c>
      <x:c r="T167" s="62" t="n">
        <x:f>IF(O167="","",(1/'Metadata'!$B$5)^(O167-1))</x:f>
        <x:v>776.247116628692</x:v>
      </x:c>
      <x:c r="U167" s="60" t="n">
        <x:f>IF(T167="","",I167*T167)</x:f>
        <x:v>20752.99117345891</x:v>
      </x:c>
    </x:row>
    <x:row r="168" ht="18" customHeight="1">
      <x:c r="A168" s="46" t="str">
        <x:v>LME_016</x:v>
      </x:c>
      <x:c r="B168" s="46" t="str">
        <x:v>East Brazil Shelf</x:v>
      </x:c>
      <x:c r="C168" s="46" t="str">
        <x:v>LME</x:v>
      </x:c>
      <x:c r="D168" s="58" t="n">
        <x:v>2019</x:v>
      </x:c>
      <x:c r="E168" s="46" t="str">
        <x:v>Haemulidae</x:v>
      </x:c>
      <x:c r="F168" s="46" t="str">
        <x:v>Grunts, sweetlips, bonnetmouths</x:v>
      </x:c>
      <x:c r="G168" s="46" t="str">
        <x:v>Medium demersals (30 - 89 cm)</x:v>
      </x:c>
      <x:c r="H168" s="46" t="str">
        <x:v>Perch-likes</x:v>
      </x:c>
      <x:c r="I168" s="60" t="n">
        <x:v>26.2863293943</x:v>
      </x:c>
      <x:c r="J168" s="60" t="n">
        <x:v>26.2863293943</x:v>
      </x:c>
      <x:c r="K168" s="60" t="n">
        <x:v>0</x:v>
      </x:c>
      <x:c r="L168" s="60" t="n">
        <x:v>20.7649898208</x:v>
      </x:c>
      <x:c r="M168" s="60" t="n">
        <x:v>5.5213395735</x:v>
      </x:c>
      <x:c r="N168" s="46" t="str">
        <x:v>haemulidae</x:v>
      </x:c>
      <x:c r="O168" s="62" t="n">
        <x:v>3.36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Haemulidae</x:v>
      </x:c>
      <x:c r="T168" s="62" t="n">
        <x:f>IF(O168="","",(1/'Metadata'!$B$5)^(O168-1))</x:f>
        <x:v>229.08676527677724</x:v>
      </x:c>
      <x:c r="U168" s="60" t="n">
        <x:f>IF(T168="","",I168*T168)</x:f>
        <x:v>6021.850171940055</x:v>
      </x:c>
    </x:row>
    <x:row r="169" ht="18" customHeight="1">
      <x:c r="A169" s="46" t="str">
        <x:v>LME_016</x:v>
      </x:c>
      <x:c r="B169" s="46" t="str">
        <x:v>East Brazil Shelf</x:v>
      </x:c>
      <x:c r="C169" s="46" t="str">
        <x:v>LME</x:v>
      </x:c>
      <x:c r="D169" s="58" t="n">
        <x:v>2019</x:v>
      </x:c>
      <x:c r="E169" s="46" t="str">
        <x:v>Zenopsis conchifer</x:v>
      </x:c>
      <x:c r="F169" s="46" t="str">
        <x:v>Silvery John dory</x:v>
      </x:c>
      <x:c r="G169" s="46" t="str">
        <x:v>Medium benthopelagics (30 - 89 cm)</x:v>
      </x:c>
      <x:c r="H169" s="46" t="str">
        <x:v>Other fishes &amp; inverts</x:v>
      </x:c>
      <x:c r="I169" s="60" t="n">
        <x:v>24.8121378069</x:v>
      </x:c>
      <x:c r="J169" s="60" t="n">
        <x:v>24.8121378069</x:v>
      </x:c>
      <x:c r="K169" s="60" t="n">
        <x:v>0</x:v>
      </x:c>
      <x:c r="L169" s="60" t="n">
        <x:v>24.151357230600002</x:v>
      </x:c>
      <x:c r="M169" s="60" t="n">
        <x:v>0.6607805763</x:v>
      </x:c>
      <x:c r="N169" s="46" t="str">
        <x:v>zenopsis conchifer</x:v>
      </x:c>
      <x:c r="O169" s="62" t="n">
        <x:v>4.5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Zenopsis conchifer</x:v>
      </x:c>
      <x:c r="T169" s="62" t="n">
        <x:f>IF(O169="","",(1/'Metadata'!$B$5)^(O169-1))</x:f>
        <x:v>3162.2776601683795</x:v>
      </x:c>
      <x:c r="U169" s="60" t="n">
        <x:f>IF(T169="","",I169*T169)</x:f>
        <x:v>78462.86908777912</x:v>
      </x:c>
    </x:row>
    <x:row r="170" ht="18" customHeight="1">
      <x:c r="A170" s="46" t="str">
        <x:v>LME_016</x:v>
      </x:c>
      <x:c r="B170" s="46" t="str">
        <x:v>East Brazil Shelf</x:v>
      </x:c>
      <x:c r="C170" s="46" t="str">
        <x:v>LME</x:v>
      </x:c>
      <x:c r="D170" s="58" t="n">
        <x:v>2019</x:v>
      </x:c>
      <x:c r="E170" s="46" t="str">
        <x:v>Pristidae</x:v>
      </x:c>
      <x:c r="F170" s="46" t="str">
        <x:v>Sawfishes</x:v>
      </x:c>
      <x:c r="G170" s="46" t="str">
        <x:v>Large rays (&gt;=90 cm)</x:v>
      </x:c>
      <x:c r="H170" s="46" t="str">
        <x:v>Sharks &amp; rays</x:v>
      </x:c>
      <x:c r="I170" s="60" t="n">
        <x:v>23.9264564926</x:v>
      </x:c>
      <x:c r="J170" s="60" t="n">
        <x:v>23.9264564926</x:v>
      </x:c>
      <x:c r="K170" s="60" t="n">
        <x:v>0</x:v>
      </x:c>
      <x:c r="L170" s="60" t="n">
        <x:v>23.2112376972</x:v>
      </x:c>
      <x:c r="M170" s="60" t="n">
        <x:v>0.7152187954</x:v>
      </x:c>
      <x:c r="N170" s="46" t="str">
        <x:v>pristidae</x:v>
      </x:c>
      <x:c r="O170" s="62" t="n">
        <x:v>4.24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Pristidae</x:v>
      </x:c>
      <x:c r="T170" s="62" t="n">
        <x:f>IF(O170="","",(1/'Metadata'!$B$5)^(O170-1))</x:f>
        <x:v>1737.8008287493763</x:v>
      </x:c>
      <x:c r="U170" s="60" t="n">
        <x:f>IF(T170="","",I170*T170)</x:f>
        <x:v>41579.41592187617</x:v>
      </x:c>
    </x:row>
    <x:row r="171" ht="18" customHeight="1">
      <x:c r="A171" s="46" t="str">
        <x:v>LME_016</x:v>
      </x:c>
      <x:c r="B171" s="46" t="str">
        <x:v>East Brazil Shelf</x:v>
      </x:c>
      <x:c r="C171" s="46" t="str">
        <x:v>LME</x:v>
      </x:c>
      <x:c r="D171" s="58" t="n">
        <x:v>2019</x:v>
      </x:c>
      <x:c r="E171" s="46" t="str">
        <x:v>Sphyraena barracuda</x:v>
      </x:c>
      <x:c r="F171" s="46" t="str">
        <x:v>Great barracuda</x:v>
      </x:c>
      <x:c r="G171" s="46" t="str">
        <x:v>Large pelagics (&gt;=90 cm)</x:v>
      </x:c>
      <x:c r="H171" s="46" t="str">
        <x:v>Perch-likes</x:v>
      </x:c>
      <x:c r="I171" s="60" t="n">
        <x:v>23.5025452569</x:v>
      </x:c>
      <x:c r="J171" s="60" t="n">
        <x:v>23.5025452569</x:v>
      </x:c>
      <x:c r="K171" s="60" t="n">
        <x:v>0</x:v>
      </x:c>
      <x:c r="L171" s="60" t="n">
        <x:v>12.1519301081</x:v>
      </x:c>
      <x:c r="M171" s="60" t="n">
        <x:v>11.3506151488</x:v>
      </x:c>
      <x:c r="N171" s="46" t="str">
        <x:v>sphyraena barracuda</x:v>
      </x:c>
      <x:c r="O171" s="62" t="n">
        <x:v>4.49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Sphyraena barracuda</x:v>
      </x:c>
      <x:c r="T171" s="62" t="n">
        <x:f>IF(O171="","",(1/'Metadata'!$B$5)^(O171-1))</x:f>
        <x:v>3090.295432513592</x:v>
      </x:c>
      <x:c r="U171" s="60" t="n">
        <x:f>IF(T171="","",I171*T171)</x:f>
        <x:v>72629.80825984206</x:v>
      </x:c>
    </x:row>
    <x:row r="172" ht="18" customHeight="1">
      <x:c r="A172" s="46" t="str">
        <x:v>LME_016</x:v>
      </x:c>
      <x:c r="B172" s="46" t="str">
        <x:v>East Brazil Shelf</x:v>
      </x:c>
      <x:c r="C172" s="46" t="str">
        <x:v>LME</x:v>
      </x:c>
      <x:c r="D172" s="58" t="n">
        <x:v>2019</x:v>
      </x:c>
      <x:c r="E172" s="46" t="str">
        <x:v>Carcharhiniformes</x:v>
      </x:c>
      <x:c r="F172" s="46" t="str">
        <x:v>Ground sharks</x:v>
      </x:c>
      <x:c r="G172" s="46" t="str">
        <x:v>Large sharks (&gt;=90 cm)</x:v>
      </x:c>
      <x:c r="H172" s="46" t="str">
        <x:v>Sharks &amp; rays</x:v>
      </x:c>
      <x:c r="I172" s="60" t="n">
        <x:v>23.1014414384</x:v>
      </x:c>
      <x:c r="J172" s="60" t="n">
        <x:v>23.1014414384</x:v>
      </x:c>
      <x:c r="K172" s="60" t="n">
        <x:v>0</x:v>
      </x:c>
      <x:c r="L172" s="60" t="n">
        <x:v>0</x:v>
      </x:c>
      <x:c r="M172" s="60" t="n">
        <x:v>23.1014414384</x:v>
      </x:c>
      <x:c r="N172" s="46" t="str">
        <x:v>carcharhiniformes</x:v>
      </x:c>
      <x:c r="O172" s="62" t="n">
        <x:v>4.08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Carcharhiniformes</x:v>
      </x:c>
      <x:c r="T172" s="62" t="n">
        <x:f>IF(O172="","",(1/'Metadata'!$B$5)^(O172-1))</x:f>
        <x:v>1202.2644346174131</x:v>
      </x:c>
      <x:c r="U172" s="60" t="n">
        <x:f>IF(T172="","",I172*T172)</x:f>
        <x:v>27774.041429785255</x:v>
      </x:c>
    </x:row>
    <x:row r="173" ht="18" customHeight="1">
      <x:c r="A173" s="46" t="str">
        <x:v>LME_016</x:v>
      </x:c>
      <x:c r="B173" s="46" t="str">
        <x:v>East Brazil Shelf</x:v>
      </x:c>
      <x:c r="C173" s="46" t="str">
        <x:v>LME</x:v>
      </x:c>
      <x:c r="D173" s="58" t="n">
        <x:v>2019</x:v>
      </x:c>
      <x:c r="E173" s="46" t="str">
        <x:v>Monacanthidae</x:v>
      </x:c>
      <x:c r="F173" s="46" t="str">
        <x:v>Filefishes</x:v>
      </x:c>
      <x:c r="G173" s="46" t="str">
        <x:v>Medium reef assoc. fish (30 - 89 cm)</x:v>
      </x:c>
      <x:c r="H173" s="46" t="str">
        <x:v>Other fishes &amp; inverts</x:v>
      </x:c>
      <x:c r="I173" s="60" t="n">
        <x:v>22.6239312765</x:v>
      </x:c>
      <x:c r="J173" s="60" t="n">
        <x:v>22.6239312765</x:v>
      </x:c>
      <x:c r="K173" s="60" t="n">
        <x:v>0</x:v>
      </x:c>
      <x:c r="L173" s="60" t="n">
        <x:v>22.6239312765</x:v>
      </x:c>
      <x:c r="M173" s="60" t="n">
        <x:v>0</x:v>
      </x:c>
      <x:c r="N173" s="46" t="str">
        <x:v>monacanthidae</x:v>
      </x:c>
      <x:c r="O173" s="62" t="n">
        <x:v>3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Monacanthidae</x:v>
      </x:c>
      <x:c r="T173" s="62" t="n">
        <x:f>IF(O173="","",(1/'Metadata'!$B$5)^(O173-1))</x:f>
        <x:v>100</x:v>
      </x:c>
      <x:c r="U173" s="60" t="n">
        <x:f>IF(T173="","",I173*T173)</x:f>
        <x:v>2262.3931276499998</x:v>
      </x:c>
    </x:row>
    <x:row r="174" ht="18" customHeight="1">
      <x:c r="A174" s="46" t="str">
        <x:v>LME_016</x:v>
      </x:c>
      <x:c r="B174" s="46" t="str">
        <x:v>East Brazil Shelf</x:v>
      </x:c>
      <x:c r="C174" s="46" t="str">
        <x:v>LME</x:v>
      </x:c>
      <x:c r="D174" s="58" t="n">
        <x:v>2019</x:v>
      </x:c>
      <x:c r="E174" s="46" t="str">
        <x:v>Archosargus rhomboidalis</x:v>
      </x:c>
      <x:c r="F174" s="46" t="str">
        <x:v>Western Atlantic seabream</x:v>
      </x:c>
      <x:c r="G174" s="46" t="str">
        <x:v>Medium reef assoc. fish (30 - 89 cm)</x:v>
      </x:c>
      <x:c r="H174" s="46" t="str">
        <x:v>Perch-likes</x:v>
      </x:c>
      <x:c r="I174" s="60" t="n">
        <x:v>22.2768209378</x:v>
      </x:c>
      <x:c r="J174" s="60" t="n">
        <x:v>22.2768209378</x:v>
      </x:c>
      <x:c r="K174" s="60" t="n">
        <x:v>0</x:v>
      </x:c>
      <x:c r="L174" s="60" t="n">
        <x:v>22.2415522708</x:v>
      </x:c>
      <x:c r="M174" s="60" t="n">
        <x:v>0.035268667</x:v>
      </x:c>
      <x:c r="N174" s="46" t="str">
        <x:v>archosargus rhomboidalis</x:v>
      </x:c>
      <x:c r="O174" s="62" t="n">
        <x:v>2.89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Archosargus rhomboidalis</x:v>
      </x:c>
      <x:c r="T174" s="62" t="n">
        <x:f>IF(O174="","",(1/'Metadata'!$B$5)^(O174-1))</x:f>
        <x:v>77.6247116628692</x:v>
      </x:c>
      <x:c r="U174" s="60" t="n">
        <x:f>IF(T174="","",I174*T174)</x:f>
        <x:v>1729.2318020620926</x:v>
      </x:c>
    </x:row>
    <x:row r="175" ht="18" customHeight="1">
      <x:c r="A175" s="46" t="str">
        <x:v>LME_016</x:v>
      </x:c>
      <x:c r="B175" s="46" t="str">
        <x:v>East Brazil Shelf</x:v>
      </x:c>
      <x:c r="C175" s="46" t="str">
        <x:v>LME</x:v>
      </x:c>
      <x:c r="D175" s="58" t="n">
        <x:v>2019</x:v>
      </x:c>
      <x:c r="E175" s="46" t="str">
        <x:v>Diapterus rhombeus</x:v>
      </x:c>
      <x:c r="F175" s="46" t="str">
        <x:v>Caitipa mojarra</x:v>
      </x:c>
      <x:c r="G175" s="46" t="str">
        <x:v>Medium demersals (30 - 89 cm)</x:v>
      </x:c>
      <x:c r="H175" s="46" t="str">
        <x:v>Perch-likes</x:v>
      </x:c>
      <x:c r="I175" s="60" t="n">
        <x:v>21.8259520748</x:v>
      </x:c>
      <x:c r="J175" s="60" t="n">
        <x:v>21.8259520748</x:v>
      </x:c>
      <x:c r="K175" s="60" t="n">
        <x:v>0</x:v>
      </x:c>
      <x:c r="L175" s="60" t="n">
        <x:v>21.676558507499998</x:v>
      </x:c>
      <x:c r="M175" s="60" t="n">
        <x:v>0.1493935673</x:v>
      </x:c>
      <x:c r="N175" s="46" t="str">
        <x:v>diapterus rhombeus</x:v>
      </x:c>
      <x:c r="O175" s="62" t="n">
        <x:v>3.01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Diapterus rhombeus</x:v>
      </x:c>
      <x:c r="T175" s="62" t="n">
        <x:f>IF(O175="","",(1/'Metadata'!$B$5)^(O175-1))</x:f>
        <x:v>102.32929922807536</x:v>
      </x:c>
      <x:c r="U175" s="60" t="n">
        <x:f>IF(T175="","",I175*T175)</x:f>
        <x:v>2233.434380799841</x:v>
      </x:c>
    </x:row>
    <x:row r="176" ht="18" customHeight="1">
      <x:c r="A176" s="46" t="str">
        <x:v>LME_016</x:v>
      </x:c>
      <x:c r="B176" s="46" t="str">
        <x:v>East Brazil Shelf</x:v>
      </x:c>
      <x:c r="C176" s="46" t="str">
        <x:v>LME</x:v>
      </x:c>
      <x:c r="D176" s="58" t="n">
        <x:v>2019</x:v>
      </x:c>
      <x:c r="E176" s="46" t="str">
        <x:v>Kyphosus</x:v>
      </x:c>
      <x:c r="F176" s="46" t="str">
        <x:v>Sea chubs</x:v>
      </x:c>
      <x:c r="G176" s="46" t="str">
        <x:v>Medium reef assoc. fish (30 - 89 cm)</x:v>
      </x:c>
      <x:c r="H176" s="46" t="str">
        <x:v>Perch-likes</x:v>
      </x:c>
      <x:c r="I176" s="60" t="n">
        <x:v>20.752858264000004</x:v>
      </x:c>
      <x:c r="J176" s="60" t="n">
        <x:v>20.752858264000004</x:v>
      </x:c>
      <x:c r="K176" s="60" t="n">
        <x:v>0</x:v>
      </x:c>
      <x:c r="L176" s="60" t="n">
        <x:v>20.2402695623</x:v>
      </x:c>
      <x:c r="M176" s="60" t="n">
        <x:v>0.5125887016999999</x:v>
      </x:c>
      <x:c r="N176" s="46" t="str">
        <x:v>kyphosus</x:v>
      </x:c>
      <x:c r="O176" s="62" t="n">
        <x:v>2.05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Kyphosus</x:v>
      </x:c>
      <x:c r="T176" s="62" t="n">
        <x:f>IF(O176="","",(1/'Metadata'!$B$5)^(O176-1))</x:f>
        <x:v>11.220184543019629</x:v>
      </x:c>
      <x:c r="U176" s="60" t="n">
        <x:f>IF(T176="","",I176*T176)</x:f>
        <x:v>232.85089951721002</x:v>
      </x:c>
    </x:row>
    <x:row r="177" ht="18" customHeight="1">
      <x:c r="A177" s="46" t="str">
        <x:v>LME_016</x:v>
      </x:c>
      <x:c r="B177" s="46" t="str">
        <x:v>East Brazil Shelf</x:v>
      </x:c>
      <x:c r="C177" s="46" t="str">
        <x:v>LME</x:v>
      </x:c>
      <x:c r="D177" s="58" t="n">
        <x:v>2019</x:v>
      </x:c>
      <x:c r="E177" s="46" t="str">
        <x:v>Lepidocybium flavobrunneum</x:v>
      </x:c>
      <x:c r="F177" s="46" t="str">
        <x:v>Escolar</x:v>
      </x:c>
      <x:c r="G177" s="46" t="str">
        <x:v>Large bathypelagics (&gt;=90 cm)</x:v>
      </x:c>
      <x:c r="H177" s="46" t="str">
        <x:v>Perch-likes</x:v>
      </x:c>
      <x:c r="I177" s="60" t="n">
        <x:v>20.291203529100002</x:v>
      </x:c>
      <x:c r="J177" s="60" t="n">
        <x:v>20.291203529100002</x:v>
      </x:c>
      <x:c r="K177" s="60" t="n">
        <x:v>0</x:v>
      </x:c>
      <x:c r="L177" s="60" t="n">
        <x:v>19.820167267200002</x:v>
      </x:c>
      <x:c r="M177" s="60" t="n">
        <x:v>0.4710362619</x:v>
      </x:c>
      <x:c r="N177" s="46" t="str">
        <x:v>lepidocybium flavobrunneum</x:v>
      </x:c>
      <x:c r="O177" s="62" t="n">
        <x:v>4.34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Lepidocybium flavobrunneum</x:v>
      </x:c>
      <x:c r="T177" s="62" t="n">
        <x:f>IF(O177="","",(1/'Metadata'!$B$5)^(O177-1))</x:f>
        <x:v>2187.761623949552</x:v>
      </x:c>
      <x:c r="U177" s="60" t="n">
        <x:f>IF(T177="","",I177*T177)</x:f>
        <x:v>44392.3163847147</x:v>
      </x:c>
    </x:row>
    <x:row r="178" ht="18" customHeight="1">
      <x:c r="A178" s="46" t="str">
        <x:v>LME_016</x:v>
      </x:c>
      <x:c r="B178" s="46" t="str">
        <x:v>East Brazil Shelf</x:v>
      </x:c>
      <x:c r="C178" s="46" t="str">
        <x:v>LME</x:v>
      </x:c>
      <x:c r="D178" s="58" t="n">
        <x:v>2019</x:v>
      </x:c>
      <x:c r="E178" s="46" t="str">
        <x:v>Penaeus paulensis</x:v>
      </x:c>
      <x:c r="F178" s="46" t="str">
        <x:v>Sao Paulo shrimp</x:v>
      </x:c>
      <x:c r="G178" s="46" t="str">
        <x:v>Shrimps</x:v>
      </x:c>
      <x:c r="H178" s="46" t="str">
        <x:v>Crustaceans</x:v>
      </x:c>
      <x:c r="I178" s="60" t="n">
        <x:v>19.6949045642</x:v>
      </x:c>
      <x:c r="J178" s="60" t="n">
        <x:v>19.6949045642</x:v>
      </x:c>
      <x:c r="K178" s="60" t="n">
        <x:v>0</x:v>
      </x:c>
      <x:c r="L178" s="60" t="n">
        <x:v>13.7069358924</x:v>
      </x:c>
      <x:c r="M178" s="60" t="n">
        <x:v>5.9879686718</x:v>
      </x:c>
      <x:c r="N178" s="46" t="str">
        <x:v>penaeus paulensis</x:v>
      </x:c>
      <x:c r="O178" s="62" t="n">
        <x:v>2.97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Penaeus paulensis</x:v>
      </x:c>
      <x:c r="T178" s="62" t="n">
        <x:f>IF(O178="","",(1/'Metadata'!$B$5)^(O178-1))</x:f>
        <x:v>93.32543007969915</x:v>
      </x:c>
      <x:c r="U178" s="60" t="n">
        <x:f>IF(T178="","",I178*T178)</x:f>
        <x:v>1838.0354388325948</x:v>
      </x:c>
    </x:row>
    <x:row r="179" ht="18" customHeight="1">
      <x:c r="A179" s="46" t="str">
        <x:v>LME_016</x:v>
      </x:c>
      <x:c r="B179" s="46" t="str">
        <x:v>East Brazil Shelf</x:v>
      </x:c>
      <x:c r="C179" s="46" t="str">
        <x:v>LME</x:v>
      </x:c>
      <x:c r="D179" s="58" t="n">
        <x:v>2019</x:v>
      </x:c>
      <x:c r="E179" s="46" t="str">
        <x:v>Lutjanus vivanus</x:v>
      </x:c>
      <x:c r="F179" s="46" t="str">
        <x:v>Silk snapper</x:v>
      </x:c>
      <x:c r="G179" s="46" t="str">
        <x:v>Medium demersals (30 - 89 cm)</x:v>
      </x:c>
      <x:c r="H179" s="46" t="str">
        <x:v>Perch-likes</x:v>
      </x:c>
      <x:c r="I179" s="60" t="n">
        <x:v>18.714958426200003</x:v>
      </x:c>
      <x:c r="J179" s="60" t="n">
        <x:v>18.714958426200003</x:v>
      </x:c>
      <x:c r="K179" s="60" t="n">
        <x:v>0</x:v>
      </x:c>
      <x:c r="L179" s="60" t="n">
        <x:v>18.1047479166</x:v>
      </x:c>
      <x:c r="M179" s="60" t="n">
        <x:v>0.6102105096</x:v>
      </x:c>
      <x:c r="N179" s="46" t="str">
        <x:v>lutjanus vivanus</x:v>
      </x:c>
      <x:c r="O179" s="62" t="n">
        <x:v>3.09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Lutjanus vivanus</x:v>
      </x:c>
      <x:c r="T179" s="62" t="n">
        <x:f>IF(O179="","",(1/'Metadata'!$B$5)^(O179-1))</x:f>
        <x:v>123.02687708123811</x:v>
      </x:c>
      <x:c r="U179" s="60" t="n">
        <x:f>IF(T179="","",I179*T179)</x:f>
        <x:v>2302.442889880589</x:v>
      </x:c>
    </x:row>
    <x:row r="180" ht="18" customHeight="1">
      <x:c r="A180" s="46" t="str">
        <x:v>LME_016</x:v>
      </x:c>
      <x:c r="B180" s="46" t="str">
        <x:v>East Brazil Shelf</x:v>
      </x:c>
      <x:c r="C180" s="46" t="str">
        <x:v>LME</x:v>
      </x:c>
      <x:c r="D180" s="58" t="n">
        <x:v>2019</x:v>
      </x:c>
      <x:c r="E180" s="46" t="str">
        <x:v>Hexanchus griseus</x:v>
      </x:c>
      <x:c r="F180" s="46" t="str">
        <x:v>Bluntnose sixgill shark</x:v>
      </x:c>
      <x:c r="G180" s="46" t="str">
        <x:v>Large sharks (&gt;=90 cm)</x:v>
      </x:c>
      <x:c r="H180" s="46" t="str">
        <x:v>Sharks &amp; rays</x:v>
      </x:c>
      <x:c r="I180" s="60" t="n">
        <x:v>18.5725430726</x:v>
      </x:c>
      <x:c r="J180" s="60" t="n">
        <x:v>18.5725430726</x:v>
      </x:c>
      <x:c r="K180" s="60" t="n">
        <x:v>0</x:v>
      </x:c>
      <x:c r="L180" s="60" t="n">
        <x:v>18.5725430726</x:v>
      </x:c>
      <x:c r="M180" s="60" t="n">
        <x:v>0</x:v>
      </x:c>
      <x:c r="N180" s="46" t="str">
        <x:v>hexanchus griseus</x:v>
      </x:c>
      <x:c r="O180" s="62" t="n">
        <x:v>4.48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Hexanchus griseus</x:v>
      </x:c>
      <x:c r="T180" s="62" t="n">
        <x:f>IF(O180="","",(1/'Metadata'!$B$5)^(O180-1))</x:f>
        <x:v>3019.951720402019</x:v>
      </x:c>
      <x:c r="U180" s="60" t="n">
        <x:f>IF(T180="","",I180*T180)</x:f>
        <x:v>56088.18340433897</x:v>
      </x:c>
    </x:row>
    <x:row r="181" ht="18" customHeight="1">
      <x:c r="A181" s="46" t="str">
        <x:v>LME_016</x:v>
      </x:c>
      <x:c r="B181" s="46" t="str">
        <x:v>East Brazil Shelf</x:v>
      </x:c>
      <x:c r="C181" s="46" t="str">
        <x:v>LME</x:v>
      </x:c>
      <x:c r="D181" s="58" t="n">
        <x:v>2019</x:v>
      </x:c>
      <x:c r="E181" s="46" t="str">
        <x:v>Caranx lugubris</x:v>
      </x:c>
      <x:c r="F181" s="46" t="str">
        <x:v>Black jack</x:v>
      </x:c>
      <x:c r="G181" s="46" t="str">
        <x:v>Large benthopelagics (&gt;=90 cm)</x:v>
      </x:c>
      <x:c r="H181" s="46" t="str">
        <x:v>Perch-likes</x:v>
      </x:c>
      <x:c r="I181" s="60" t="n">
        <x:v>17.7248047351</x:v>
      </x:c>
      <x:c r="J181" s="60" t="n">
        <x:v>17.7248047351</x:v>
      </x:c>
      <x:c r="K181" s="60" t="n">
        <x:v>0</x:v>
      </x:c>
      <x:c r="L181" s="60" t="n">
        <x:v>15.0875083295</x:v>
      </x:c>
      <x:c r="M181" s="60" t="n">
        <x:v>2.6372964056</x:v>
      </x:c>
      <x:c r="N181" s="46" t="str">
        <x:v>caranx lugubris</x:v>
      </x:c>
      <x:c r="O181" s="62" t="n">
        <x:v>4.5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Caranx lugubris</x:v>
      </x:c>
      <x:c r="T181" s="62" t="n">
        <x:f>IF(O181="","",(1/'Metadata'!$B$5)^(O181-1))</x:f>
        <x:v>3162.2776601683795</x:v>
      </x:c>
      <x:c r="U181" s="60" t="n">
        <x:f>IF(T181="","",I181*T181)</x:f>
        <x:v>56050.75404465345</x:v>
      </x:c>
    </x:row>
    <x:row r="182" ht="18" customHeight="1">
      <x:c r="A182" s="46" t="str">
        <x:v>LME_016</x:v>
      </x:c>
      <x:c r="B182" s="46" t="str">
        <x:v>East Brazil Shelf</x:v>
      </x:c>
      <x:c r="C182" s="46" t="str">
        <x:v>LME</x:v>
      </x:c>
      <x:c r="D182" s="58" t="n">
        <x:v>2019</x:v>
      </x:c>
      <x:c r="E182" s="46" t="str">
        <x:v>Carcharhinus falciformis</x:v>
      </x:c>
      <x:c r="F182" s="46" t="str">
        <x:v>Silky shark</x:v>
      </x:c>
      <x:c r="G182" s="46" t="str">
        <x:v>Large sharks (&gt;=90 cm)</x:v>
      </x:c>
      <x:c r="H182" s="46" t="str">
        <x:v>Sharks &amp; rays</x:v>
      </x:c>
      <x:c r="I182" s="60" t="n">
        <x:v>17.5105690596</x:v>
      </x:c>
      <x:c r="J182" s="60" t="n">
        <x:v>17.5105690596</x:v>
      </x:c>
      <x:c r="K182" s="60" t="n">
        <x:v>0</x:v>
      </x:c>
      <x:c r="L182" s="60" t="n">
        <x:v>0</x:v>
      </x:c>
      <x:c r="M182" s="60" t="n">
        <x:v>17.5105690596</x:v>
      </x:c>
      <x:c r="N182" s="46" t="str">
        <x:v>carcharhinus falciformis</x:v>
      </x:c>
      <x:c r="O182" s="62" t="n">
        <x:v>4.51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Carcharhinus falciformis</x:v>
      </x:c>
      <x:c r="T182" s="62" t="n">
        <x:f>IF(O182="","",(1/'Metadata'!$B$5)^(O182-1))</x:f>
        <x:v>3235.936569296281</x:v>
      </x:c>
      <x:c r="U182" s="60" t="n">
        <x:f>IF(T182="","",I182*T182)</x:f>
        <x:v>56663.09076914764</x:v>
      </x:c>
    </x:row>
    <x:row r="183" ht="18" customHeight="1">
      <x:c r="A183" s="46" t="str">
        <x:v>LME_016</x:v>
      </x:c>
      <x:c r="B183" s="46" t="str">
        <x:v>East Brazil Shelf</x:v>
      </x:c>
      <x:c r="C183" s="46" t="str">
        <x:v>LME</x:v>
      </x:c>
      <x:c r="D183" s="58" t="n">
        <x:v>2019</x:v>
      </x:c>
      <x:c r="E183" s="46" t="str">
        <x:v>Mullidae</x:v>
      </x:c>
      <x:c r="F183" s="46" t="str">
        <x:v>Goatfishes</x:v>
      </x:c>
      <x:c r="G183" s="46" t="str">
        <x:v>Medium reef assoc. fish (30 - 89 cm)</x:v>
      </x:c>
      <x:c r="H183" s="46" t="str">
        <x:v>Perch-likes</x:v>
      </x:c>
      <x:c r="I183" s="60" t="n">
        <x:v>16.6272026271</x:v>
      </x:c>
      <x:c r="J183" s="60" t="n">
        <x:v>16.6272026271</x:v>
      </x:c>
      <x:c r="K183" s="60" t="n">
        <x:v>0</x:v>
      </x:c>
      <x:c r="L183" s="60" t="n">
        <x:v>10.942295248</x:v>
      </x:c>
      <x:c r="M183" s="60" t="n">
        <x:v>5.6849073791</x:v>
      </x:c>
      <x:c r="N183" s="46" t="str">
        <x:v>mullidae</x:v>
      </x:c>
      <x:c r="O183" s="62" t="n">
        <x:v>3.46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Mullidae</x:v>
      </x:c>
      <x:c r="T183" s="62" t="n">
        <x:f>IF(O183="","",(1/'Metadata'!$B$5)^(O183-1))</x:f>
        <x:v>288.40315031266056</x:v>
      </x:c>
      <x:c r="U183" s="60" t="n">
        <x:f>IF(T183="","",I183*T183)</x:f>
        <x:v>4795.337618542586</x:v>
      </x:c>
    </x:row>
    <x:row r="184" ht="18" customHeight="1">
      <x:c r="A184" s="46" t="str">
        <x:v>LME_016</x:v>
      </x:c>
      <x:c r="B184" s="46" t="str">
        <x:v>East Brazil Shelf</x:v>
      </x:c>
      <x:c r="C184" s="46" t="str">
        <x:v>LME</x:v>
      </x:c>
      <x:c r="D184" s="58" t="n">
        <x:v>2019</x:v>
      </x:c>
      <x:c r="E184" s="46" t="str">
        <x:v>Carcharhinus</x:v>
      </x:c>
      <x:c r="F184" s="46" t="str">
        <x:v>Sharp-nosed sharks</x:v>
      </x:c>
      <x:c r="G184" s="46" t="str">
        <x:v>Large sharks (&gt;=90 cm)</x:v>
      </x:c>
      <x:c r="H184" s="46" t="str">
        <x:v>Sharks &amp; rays</x:v>
      </x:c>
      <x:c r="I184" s="60" t="n">
        <x:v>16.1598319616</x:v>
      </x:c>
      <x:c r="J184" s="60" t="n">
        <x:v>16.1598319616</x:v>
      </x:c>
      <x:c r="K184" s="60" t="n">
        <x:v>0</x:v>
      </x:c>
      <x:c r="L184" s="60" t="n">
        <x:v>0</x:v>
      </x:c>
      <x:c r="M184" s="60" t="n">
        <x:v>16.1598319616</x:v>
      </x:c>
      <x:c r="N184" s="46" t="str">
        <x:v>carcharhinus</x:v>
      </x:c>
      <x:c r="O184" s="62" t="n">
        <x:v>4.26</x:v>
      </x:c>
      <x:c r="P184" s="46" t="str">
        <x:v>exact_sea_around_us</x:v>
      </x:c>
      <x:c r="Q184" s="62" t="str">
        <x:v>Sea Around Us exploited organisms</x:v>
      </x:c>
      <x:c r="R184" s="46" t="str">
        <x:v>high</x:v>
      </x:c>
      <x:c r="S184" s="46" t="str">
        <x:v>Carcharhinus</x:v>
      </x:c>
      <x:c r="T184" s="62" t="n">
        <x:f>IF(O184="","",(1/'Metadata'!$B$5)^(O184-1))</x:f>
        <x:v>1819.7008586099826</x:v>
      </x:c>
      <x:c r="U184" s="60" t="n">
        <x:f>IF(T184="","",I184*T184)</x:f>
        <x:v>29406.060095516557</x:v>
      </x:c>
    </x:row>
    <x:row r="185" ht="18" customHeight="1">
      <x:c r="A185" s="46" t="str">
        <x:v>LME_016</x:v>
      </x:c>
      <x:c r="B185" s="46" t="str">
        <x:v>East Brazil Shelf</x:v>
      </x:c>
      <x:c r="C185" s="46" t="str">
        <x:v>LME</x:v>
      </x:c>
      <x:c r="D185" s="58" t="n">
        <x:v>2019</x:v>
      </x:c>
      <x:c r="E185" s="46" t="str">
        <x:v>Hyporthodus niveatus</x:v>
      </x:c>
      <x:c r="F185" s="46" t="str">
        <x:v>Snowy grouper</x:v>
      </x:c>
      <x:c r="G185" s="46" t="str">
        <x:v>Large demersals (&gt;=90 cm)</x:v>
      </x:c>
      <x:c r="H185" s="46" t="str">
        <x:v>Perch-likes</x:v>
      </x:c>
      <x:c r="I185" s="60" t="n">
        <x:v>15.255429376099999</x:v>
      </x:c>
      <x:c r="J185" s="60" t="n">
        <x:v>15.255429376099999</x:v>
      </x:c>
      <x:c r="K185" s="60" t="n">
        <x:v>0</x:v>
      </x:c>
      <x:c r="L185" s="60" t="n">
        <x:v>14.8013542192</x:v>
      </x:c>
      <x:c r="M185" s="60" t="n">
        <x:v>0.4540751569</x:v>
      </x:c>
      <x:c r="N185" s="46" t="str">
        <x:v>hyporthodus niveatus</x:v>
      </x:c>
      <x:c r="O185" s="62" t="n">
        <x:v>4.04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Hyporthodus niveatus</x:v>
      </x:c>
      <x:c r="T185" s="62" t="n">
        <x:f>IF(O185="","",(1/'Metadata'!$B$5)^(O185-1))</x:f>
        <x:v>1096.4781961431852</x:v>
      </x:c>
      <x:c r="U185" s="60" t="n">
        <x:f>IF(T185="","",I185*T185)</x:f>
        <x:v>16727.245683695885</x:v>
      </x:c>
    </x:row>
    <x:row r="186" ht="18" customHeight="1">
      <x:c r="A186" s="46" t="str">
        <x:v>LME_016</x:v>
      </x:c>
      <x:c r="B186" s="46" t="str">
        <x:v>East Brazil Shelf</x:v>
      </x:c>
      <x:c r="C186" s="46" t="str">
        <x:v>LME</x:v>
      </x:c>
      <x:c r="D186" s="58" t="n">
        <x:v>2019</x:v>
      </x:c>
      <x:c r="E186" s="46" t="str">
        <x:v>Acanthurus</x:v>
      </x:c>
      <x:c r="F186" s="46" t="str">
        <x:v>Surgeonfishes</x:v>
      </x:c>
      <x:c r="G186" s="46" t="str">
        <x:v>Small reef assoc. fish (&lt;30 cm)</x:v>
      </x:c>
      <x:c r="H186" s="46" t="str">
        <x:v>Perch-likes</x:v>
      </x:c>
      <x:c r="I186" s="60" t="n">
        <x:v>14.898364973999998</x:v>
      </x:c>
      <x:c r="J186" s="60" t="n">
        <x:v>14.836109696</x:v>
      </x:c>
      <x:c r="K186" s="60" t="n">
        <x:v>0.062255278</x:v>
      </x:c>
      <x:c r="L186" s="60" t="n">
        <x:v>5.6702301347</x:v>
      </x:c>
      <x:c r="M186" s="60" t="n">
        <x:v>9.2281348393</x:v>
      </x:c>
      <x:c r="N186" s="46" t="str">
        <x:v>acanthurus</x:v>
      </x:c>
      <x:c r="O186" s="62" t="n">
        <x:v>2.03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Acanthurus</x:v>
      </x:c>
      <x:c r="T186" s="62" t="n">
        <x:f>IF(O186="","",(1/'Metadata'!$B$5)^(O186-1))</x:f>
        <x:v>10.71519305237606</x:v>
      </x:c>
      <x:c r="U186" s="60" t="n">
        <x:f>IF(T186="","",I186*T186)</x:f>
        <x:v>159.63885686116762</x:v>
      </x:c>
    </x:row>
    <x:row r="187" ht="18" customHeight="1">
      <x:c r="A187" s="46" t="str">
        <x:v>LME_016</x:v>
      </x:c>
      <x:c r="B187" s="46" t="str">
        <x:v>East Brazil Shelf</x:v>
      </x:c>
      <x:c r="C187" s="46" t="str">
        <x:v>LME</x:v>
      </x:c>
      <x:c r="D187" s="58" t="n">
        <x:v>2019</x:v>
      </x:c>
      <x:c r="E187" s="46" t="str">
        <x:v>Perciformes</x:v>
      </x:c>
      <x:c r="F187" s="46" t="str">
        <x:v>Perch-likes</x:v>
      </x:c>
      <x:c r="G187" s="46" t="str">
        <x:v>Medium demersals (30 - 89 cm)</x:v>
      </x:c>
      <x:c r="H187" s="46" t="str">
        <x:v>Perch-likes</x:v>
      </x:c>
      <x:c r="I187" s="60" t="n">
        <x:v>13.1123031453</x:v>
      </x:c>
      <x:c r="J187" s="60" t="n">
        <x:v>13.1123031453</x:v>
      </x:c>
      <x:c r="K187" s="60" t="n">
        <x:v>0</x:v>
      </x:c>
      <x:c r="L187" s="60" t="n">
        <x:v>13.0143352936</x:v>
      </x:c>
      <x:c r="M187" s="60" t="n">
        <x:v>0.0979678517</x:v>
      </x:c>
      <x:c r="N187" s="46" t="str">
        <x:v>perciformes</x:v>
      </x:c>
      <x:c r="O187" s="62" t="n">
        <x:v>3.53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Perciformes</x:v>
      </x:c>
      <x:c r="T187" s="62" t="n">
        <x:f>IF(O187="","",(1/'Metadata'!$B$5)^(O187-1))</x:f>
        <x:v>338.84415613920237</x:v>
      </x:c>
      <x:c r="U187" s="60" t="n">
        <x:f>IF(T187="","",I187*T187)</x:f>
        <x:v>4443.027294310587</x:v>
      </x:c>
    </x:row>
    <x:row r="188" ht="18" customHeight="1">
      <x:c r="A188" s="46" t="str">
        <x:v>LME_016</x:v>
      </x:c>
      <x:c r="B188" s="46" t="str">
        <x:v>East Brazil Shelf</x:v>
      </x:c>
      <x:c r="C188" s="46" t="str">
        <x:v>LME</x:v>
      </x:c>
      <x:c r="D188" s="58" t="n">
        <x:v>2019</x:v>
      </x:c>
      <x:c r="E188" s="46" t="str">
        <x:v>Seriola dumerili</x:v>
      </x:c>
      <x:c r="F188" s="46" t="str">
        <x:v>Greater amberjack</x:v>
      </x:c>
      <x:c r="G188" s="46" t="str">
        <x:v>Large reef assoc. fish (&gt;=90 cm)</x:v>
      </x:c>
      <x:c r="H188" s="46" t="str">
        <x:v>Perch-likes</x:v>
      </x:c>
      <x:c r="I188" s="60" t="n">
        <x:v>12.8298691924</x:v>
      </x:c>
      <x:c r="J188" s="60" t="n">
        <x:v>12.8298691924</x:v>
      </x:c>
      <x:c r="K188" s="60" t="n">
        <x:v>0</x:v>
      </x:c>
      <x:c r="L188" s="60" t="n">
        <x:v>12.5481844584</x:v>
      </x:c>
      <x:c r="M188" s="60" t="n">
        <x:v>0.281684734</x:v>
      </x:c>
      <x:c r="N188" s="46" t="str">
        <x:v>seriola dumerili</x:v>
      </x:c>
      <x:c r="O188" s="62" t="n">
        <x:v>4.5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Seriola dumerili</x:v>
      </x:c>
      <x:c r="T188" s="62" t="n">
        <x:f>IF(O188="","",(1/'Metadata'!$B$5)^(O188-1))</x:f>
        <x:v>3162.2776601683795</x:v>
      </x:c>
      <x:c r="U188" s="60" t="n">
        <x:f>IF(T188="","",I188*T188)</x:f>
        <x:v>40571.60873000905</x:v>
      </x:c>
    </x:row>
    <x:row r="189" ht="18" customHeight="1">
      <x:c r="A189" s="46" t="str">
        <x:v>LME_016</x:v>
      </x:c>
      <x:c r="B189" s="46" t="str">
        <x:v>East Brazil Shelf</x:v>
      </x:c>
      <x:c r="C189" s="46" t="str">
        <x:v>LME</x:v>
      </x:c>
      <x:c r="D189" s="58" t="n">
        <x:v>2019</x:v>
      </x:c>
      <x:c r="E189" s="46" t="str">
        <x:v>Pinguipedidae</x:v>
      </x:c>
      <x:c r="F189" s="46" t="str">
        <x:v>Sandperches</x:v>
      </x:c>
      <x:c r="G189" s="46" t="str">
        <x:v>Medium demersals (30 - 89 cm)</x:v>
      </x:c>
      <x:c r="H189" s="46" t="str">
        <x:v>Perch-likes</x:v>
      </x:c>
      <x:c r="I189" s="60" t="n">
        <x:v>12.618411750000002</x:v>
      </x:c>
      <x:c r="J189" s="60" t="n">
        <x:v>12.618411750000002</x:v>
      </x:c>
      <x:c r="K189" s="60" t="n">
        <x:v>0</x:v>
      </x:c>
      <x:c r="L189" s="60" t="n">
        <x:v>12.4868053302</x:v>
      </x:c>
      <x:c r="M189" s="60" t="n">
        <x:v>0.1316064198</x:v>
      </x:c>
      <x:c r="N189" s="46" t="str">
        <x:v>pinguipedidae</x:v>
      </x:c>
      <x:c r="O189" s="62" t="n">
        <x:v>3.49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Pinguipedidae</x:v>
      </x:c>
      <x:c r="T189" s="62" t="n">
        <x:f>IF(O189="","",(1/'Metadata'!$B$5)^(O189-1))</x:f>
        <x:v>309.0295432513592</x:v>
      </x:c>
      <x:c r="U189" s="60" t="n">
        <x:f>IF(T189="","",I189*T189)</x:f>
        <x:v>3899.4620196600845</x:v>
      </x:c>
    </x:row>
    <x:row r="190" ht="18" customHeight="1">
      <x:c r="A190" s="46" t="str">
        <x:v>LME_016</x:v>
      </x:c>
      <x:c r="B190" s="46" t="str">
        <x:v>East Brazil Shelf</x:v>
      </x:c>
      <x:c r="C190" s="46" t="str">
        <x:v>LME</x:v>
      </x:c>
      <x:c r="D190" s="58" t="n">
        <x:v>2019</x:v>
      </x:c>
      <x:c r="E190" s="46" t="str">
        <x:v>Hemiramphidae</x:v>
      </x:c>
      <x:c r="F190" s="46" t="str">
        <x:v>Halfbeaks, garfishes</x:v>
      </x:c>
      <x:c r="G190" s="46" t="str">
        <x:v>Medium pelagics (30 - 89 cm)</x:v>
      </x:c>
      <x:c r="H190" s="46" t="str">
        <x:v>Other fishes &amp; inverts</x:v>
      </x:c>
      <x:c r="I190" s="60" t="n">
        <x:v>11.8693848207</x:v>
      </x:c>
      <x:c r="J190" s="60" t="n">
        <x:v>11.8693848207</x:v>
      </x:c>
      <x:c r="K190" s="60" t="n">
        <x:v>0</x:v>
      </x:c>
      <x:c r="L190" s="60" t="n">
        <x:v>11.822583659100001</x:v>
      </x:c>
      <x:c r="M190" s="60" t="n">
        <x:v>0.0468011616</x:v>
      </x:c>
      <x:c r="N190" s="46" t="str">
        <x:v>hemiramphidae</x:v>
      </x:c>
      <x:c r="O190" s="62" t="n">
        <x:v>2.82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Hemiramphidae</x:v>
      </x:c>
      <x:c r="T190" s="62" t="n">
        <x:f>IF(O190="","",(1/'Metadata'!$B$5)^(O190-1))</x:f>
        <x:v>66.06934480075958</x:v>
      </x:c>
      <x:c r="U190" s="60" t="n">
        <x:f>IF(T190="","",I190*T190)</x:f>
        <x:v>784.2024782917302</x:v>
      </x:c>
    </x:row>
    <x:row r="191" ht="18" customHeight="1">
      <x:c r="A191" s="46" t="str">
        <x:v>LME_016</x:v>
      </x:c>
      <x:c r="B191" s="46" t="str">
        <x:v>East Brazil Shelf</x:v>
      </x:c>
      <x:c r="C191" s="46" t="str">
        <x:v>LME</x:v>
      </x:c>
      <x:c r="D191" s="58" t="n">
        <x:v>2019</x:v>
      </x:c>
      <x:c r="E191" s="46" t="str">
        <x:v>Gobiidae</x:v>
      </x:c>
      <x:c r="F191" s="46" t="str">
        <x:v>Gobies</x:v>
      </x:c>
      <x:c r="G191" s="46" t="str">
        <x:v>Small reef assoc. fish (&lt;30 cm)</x:v>
      </x:c>
      <x:c r="H191" s="46" t="str">
        <x:v>Perch-likes</x:v>
      </x:c>
      <x:c r="I191" s="60" t="n">
        <x:v>11.7377164382</x:v>
      </x:c>
      <x:c r="J191" s="60" t="n">
        <x:v>11.7377164382</x:v>
      </x:c>
      <x:c r="K191" s="60" t="n">
        <x:v>0</x:v>
      </x:c>
      <x:c r="L191" s="60" t="n">
        <x:v>11.551079786</x:v>
      </x:c>
      <x:c r="M191" s="60" t="n">
        <x:v>0.1866366522</x:v>
      </x:c>
      <x:c r="N191" s="46" t="str">
        <x:v>gobiidae</x:v>
      </x:c>
      <x:c r="O191" s="62" t="n">
        <x:v>3.11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Gobiidae</x:v>
      </x:c>
      <x:c r="T191" s="62" t="n">
        <x:f>IF(O191="","",(1/'Metadata'!$B$5)^(O191-1))</x:f>
        <x:v>128.82495516931337</x:v>
      </x:c>
      <x:c r="U191" s="60" t="n">
        <x:f>IF(T191="","",I191*T191)</x:f>
        <x:v>1512.1107939412275</x:v>
      </x:c>
    </x:row>
    <x:row r="192" ht="18" customHeight="1">
      <x:c r="A192" s="46" t="str">
        <x:v>LME_016</x:v>
      </x:c>
      <x:c r="B192" s="46" t="str">
        <x:v>East Brazil Shelf</x:v>
      </x:c>
      <x:c r="C192" s="46" t="str">
        <x:v>LME</x:v>
      </x:c>
      <x:c r="D192" s="58" t="n">
        <x:v>2019</x:v>
      </x:c>
      <x:c r="E192" s="46" t="str">
        <x:v>Batrachoididae</x:v>
      </x:c>
      <x:c r="F192" s="46" t="str">
        <x:v>Toadfishes</x:v>
      </x:c>
      <x:c r="G192" s="46" t="str">
        <x:v>Large reef assoc. fish (&gt;=90 cm)</x:v>
      </x:c>
      <x:c r="H192" s="46" t="str">
        <x:v>Other fishes &amp; inverts</x:v>
      </x:c>
      <x:c r="I192" s="60" t="n">
        <x:v>11.661952926200001</x:v>
      </x:c>
      <x:c r="J192" s="60" t="n">
        <x:v>11.661952926200001</x:v>
      </x:c>
      <x:c r="K192" s="60" t="n">
        <x:v>0</x:v>
      </x:c>
      <x:c r="L192" s="60" t="n">
        <x:v>11.548466861900001</x:v>
      </x:c>
      <x:c r="M192" s="60" t="n">
        <x:v>0.1134860643</x:v>
      </x:c>
      <x:c r="N192" s="46" t="str">
        <x:v>batrachoididae</x:v>
      </x:c>
      <x:c r="O192" s="62" t="n">
        <x:v>3.66</x:v>
      </x:c>
      <x:c r="P192" s="46" t="str">
        <x:v>exact_sea_around_us</x:v>
      </x:c>
      <x:c r="Q192" s="62" t="str">
        <x:v>Sea Around Us exploited organisms</x:v>
      </x:c>
      <x:c r="R192" s="46" t="str">
        <x:v>high</x:v>
      </x:c>
      <x:c r="S192" s="46" t="str">
        <x:v>Batrachoididae</x:v>
      </x:c>
      <x:c r="T192" s="62" t="n">
        <x:f>IF(O192="","",(1/'Metadata'!$B$5)^(O192-1))</x:f>
        <x:v>457.0881896148752</x:v>
      </x:c>
      <x:c r="U192" s="60" t="n">
        <x:f>IF(T192="","",I192*T192)</x:f>
        <x:v>5330.540950410655</x:v>
      </x:c>
    </x:row>
    <x:row r="193" ht="18" customHeight="1">
      <x:c r="A193" s="46" t="str">
        <x:v>LME_016</x:v>
      </x:c>
      <x:c r="B193" s="46" t="str">
        <x:v>East Brazil Shelf</x:v>
      </x:c>
      <x:c r="C193" s="46" t="str">
        <x:v>LME</x:v>
      </x:c>
      <x:c r="D193" s="58" t="n">
        <x:v>2019</x:v>
      </x:c>
      <x:c r="E193" s="46" t="str">
        <x:v>Bairdiella ronchus</x:v>
      </x:c>
      <x:c r="F193" s="46" t="str">
        <x:v>Ground croaker</x:v>
      </x:c>
      <x:c r="G193" s="46" t="str">
        <x:v>Small demersals (&lt;30 cm)</x:v>
      </x:c>
      <x:c r="H193" s="46" t="str">
        <x:v>Perch-likes</x:v>
      </x:c>
      <x:c r="I193" s="60" t="n">
        <x:v>11.297202467900002</x:v>
      </x:c>
      <x:c r="J193" s="60" t="n">
        <x:v>11.297202467900002</x:v>
      </x:c>
      <x:c r="K193" s="60" t="n">
        <x:v>0</x:v>
      </x:c>
      <x:c r="L193" s="60" t="n">
        <x:v>0.6068348149</x:v>
      </x:c>
      <x:c r="M193" s="60" t="n">
        <x:v>10.690367653000001</x:v>
      </x:c>
      <x:c r="N193" s="46" t="str">
        <x:v>bairdiella ronchus</x:v>
      </x:c>
      <x:c r="O193" s="62" t="n">
        <x:v>3.53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Bairdiella ronchus</x:v>
      </x:c>
      <x:c r="T193" s="62" t="n">
        <x:f>IF(O193="","",(1/'Metadata'!$B$5)^(O193-1))</x:f>
        <x:v>338.84415613920237</x:v>
      </x:c>
      <x:c r="U193" s="60" t="n">
        <x:f>IF(T193="","",I193*T193)</x:f>
        <x:v>3827.9910369692907</x:v>
      </x:c>
    </x:row>
    <x:row r="194" ht="18" customHeight="1">
      <x:c r="A194" s="46" t="str">
        <x:v>LME_016</x:v>
      </x:c>
      <x:c r="B194" s="46" t="str">
        <x:v>East Brazil Shelf</x:v>
      </x:c>
      <x:c r="C194" s="46" t="str">
        <x:v>LME</x:v>
      </x:c>
      <x:c r="D194" s="58" t="n">
        <x:v>2019</x:v>
      </x:c>
      <x:c r="E194" s="46" t="str">
        <x:v>Carcharias taurus</x:v>
      </x:c>
      <x:c r="F194" s="46" t="str">
        <x:v>Sand tiger shark</x:v>
      </x:c>
      <x:c r="G194" s="46" t="str">
        <x:v>Large sharks (&gt;=90 cm)</x:v>
      </x:c>
      <x:c r="H194" s="46" t="str">
        <x:v>Sharks &amp; rays</x:v>
      </x:c>
      <x:c r="I194" s="60" t="n">
        <x:v>10.8031932037</x:v>
      </x:c>
      <x:c r="J194" s="60" t="n">
        <x:v>10.8031932037</x:v>
      </x:c>
      <x:c r="K194" s="60" t="n">
        <x:v>0</x:v>
      </x:c>
      <x:c r="L194" s="60" t="n">
        <x:v>10.5638929874</x:v>
      </x:c>
      <x:c r="M194" s="60" t="n">
        <x:v>0.23930021629999998</x:v>
      </x:c>
      <x:c r="N194" s="46" t="str">
        <x:v>carcharias taurus</x:v>
      </x:c>
      <x:c r="O194" s="62" t="n">
        <x:v>4.5</x:v>
      </x:c>
      <x:c r="P194" s="46" t="str">
        <x:v>exact_2020_supplement</x:v>
      </x:c>
      <x:c r="Q194" s="62" t="str">
        <x:v>2020 supplement MeanTL</x:v>
      </x:c>
      <x:c r="R194" s="46" t="str">
        <x:v>high</x:v>
      </x:c>
      <x:c r="S194" s="46" t="str">
        <x:v>Carcharias taurus</x:v>
      </x:c>
      <x:c r="T194" s="62" t="n">
        <x:f>IF(O194="","",(1/'Metadata'!$B$5)^(O194-1))</x:f>
        <x:v>3162.2776601683795</x:v>
      </x:c>
      <x:c r="U194" s="60" t="n">
        <x:f>IF(T194="","",I194*T194)</x:f>
        <x:v>34162.696526543376</x:v>
      </x:c>
    </x:row>
    <x:row r="195" ht="18" customHeight="1">
      <x:c r="A195" s="46" t="str">
        <x:v>LME_016</x:v>
      </x:c>
      <x:c r="B195" s="46" t="str">
        <x:v>East Brazil Shelf</x:v>
      </x:c>
      <x:c r="C195" s="46" t="str">
        <x:v>LME</x:v>
      </x:c>
      <x:c r="D195" s="58" t="n">
        <x:v>2019</x:v>
      </x:c>
      <x:c r="E195" s="46" t="str">
        <x:v>Sarda sarda</x:v>
      </x:c>
      <x:c r="F195" s="46" t="str">
        <x:v>Atlantic bonito</x:v>
      </x:c>
      <x:c r="G195" s="46" t="str">
        <x:v>Medium pelagics (30 - 89 cm)</x:v>
      </x:c>
      <x:c r="H195" s="46" t="str">
        <x:v>Tuna &amp; billfishes</x:v>
      </x:c>
      <x:c r="I195" s="60" t="n">
        <x:v>9.981168931600001</x:v>
      </x:c>
      <x:c r="J195" s="60" t="n">
        <x:v>9.981168931600001</x:v>
      </x:c>
      <x:c r="K195" s="60" t="n">
        <x:v>0</x:v>
      </x:c>
      <x:c r="L195" s="60" t="n">
        <x:v>5.9421171581</x:v>
      </x:c>
      <x:c r="M195" s="60" t="n">
        <x:v>4.0390517735</x:v>
      </x:c>
      <x:c r="N195" s="46" t="str">
        <x:v>sarda sarda</x:v>
      </x:c>
      <x:c r="O195" s="62" t="n">
        <x:v>4.5</x:v>
      </x:c>
      <x:c r="P195" s="46" t="str">
        <x:v>exact_2020_supplement</x:v>
      </x:c>
      <x:c r="Q195" s="62" t="str">
        <x:v>2020 supplement MeanTL</x:v>
      </x:c>
      <x:c r="R195" s="46" t="str">
        <x:v>high</x:v>
      </x:c>
      <x:c r="S195" s="46" t="str">
        <x:v>Sarda sarda</x:v>
      </x:c>
      <x:c r="T195" s="62" t="n">
        <x:f>IF(O195="","",(1/'Metadata'!$B$5)^(O195-1))</x:f>
        <x:v>3162.2776601683795</x:v>
      </x:c>
      <x:c r="U195" s="60" t="n">
        <x:f>IF(T195="","",I195*T195)</x:f>
        <x:v>31563.227534765374</x:v>
      </x:c>
    </x:row>
    <x:row r="196" ht="18" customHeight="1">
      <x:c r="A196" s="46" t="str">
        <x:v>LME_016</x:v>
      </x:c>
      <x:c r="B196" s="46" t="str">
        <x:v>East Brazil Shelf</x:v>
      </x:c>
      <x:c r="C196" s="46" t="str">
        <x:v>LME</x:v>
      </x:c>
      <x:c r="D196" s="58" t="n">
        <x:v>2019</x:v>
      </x:c>
      <x:c r="E196" s="46" t="str">
        <x:v>Fistularia tabacaria</x:v>
      </x:c>
      <x:c r="F196" s="46" t="str">
        <x:v>Cornetfish</x:v>
      </x:c>
      <x:c r="G196" s="46" t="str">
        <x:v>Large reef assoc. fish (&gt;=90 cm)</x:v>
      </x:c>
      <x:c r="H196" s="46" t="str">
        <x:v>Other fishes &amp; inverts</x:v>
      </x:c>
      <x:c r="I196" s="60" t="n">
        <x:v>8.347042269700001</x:v>
      </x:c>
      <x:c r="J196" s="60" t="n">
        <x:v>8.347042269700001</x:v>
      </x:c>
      <x:c r="K196" s="60" t="n">
        <x:v>0</x:v>
      </x:c>
      <x:c r="L196" s="60" t="n">
        <x:v>8.315924755200001</x:v>
      </x:c>
      <x:c r="M196" s="60" t="n">
        <x:v>0.031117514500000002</x:v>
      </x:c>
      <x:c r="N196" s="46" t="str">
        <x:v>fistularia tabacaria</x:v>
      </x:c>
      <x:c r="O196" s="62" t="n">
        <x:v>3.69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Fistularia tabacaria</x:v>
      </x:c>
      <x:c r="T196" s="62" t="n">
        <x:f>IF(O196="","",(1/'Metadata'!$B$5)^(O196-1))</x:f>
        <x:v>489.77881936844614</x:v>
      </x:c>
      <x:c r="U196" s="60" t="n">
        <x:f>IF(T196="","",I196*T196)</x:f>
        <x:v>4088.2045080721814</x:v>
      </x:c>
    </x:row>
    <x:row r="197" ht="18" customHeight="1">
      <x:c r="A197" s="46" t="str">
        <x:v>LME_016</x:v>
      </x:c>
      <x:c r="B197" s="46" t="str">
        <x:v>East Brazil Shelf</x:v>
      </x:c>
      <x:c r="C197" s="46" t="str">
        <x:v>LME</x:v>
      </x:c>
      <x:c r="D197" s="58" t="n">
        <x:v>2019</x:v>
      </x:c>
      <x:c r="E197" s="46" t="str">
        <x:v>Priacanthus</x:v>
      </x:c>
      <x:c r="F197" s="46" t="str">
        <x:v>Bigeyes</x:v>
      </x:c>
      <x:c r="G197" s="46" t="str">
        <x:v>Medium reef assoc. fish (30 - 89 cm)</x:v>
      </x:c>
      <x:c r="H197" s="46" t="str">
        <x:v>Perch-likes</x:v>
      </x:c>
      <x:c r="I197" s="60" t="n">
        <x:v>8.341241643</x:v>
      </x:c>
      <x:c r="J197" s="60" t="n">
        <x:v>8.341241643</x:v>
      </x:c>
      <x:c r="K197" s="60" t="n">
        <x:v>0</x:v>
      </x:c>
      <x:c r="L197" s="60" t="n">
        <x:v>0</x:v>
      </x:c>
      <x:c r="M197" s="60" t="n">
        <x:v>8.341241643</x:v>
      </x:c>
      <x:c r="N197" s="46" t="str">
        <x:v>priacanthus</x:v>
      </x:c>
      <x:c r="O197" s="62" t="n">
        <x:v>3.81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Priacanthus</x:v>
      </x:c>
      <x:c r="T197" s="62" t="n">
        <x:f>IF(O197="","",(1/'Metadata'!$B$5)^(O197-1))</x:f>
        <x:v>645.6542290346556</x:v>
      </x:c>
      <x:c r="U197" s="60" t="n">
        <x:f>IF(T197="","",I197*T197)</x:f>
        <x:v>5385.557942202929</x:v>
      </x:c>
    </x:row>
    <x:row r="198" ht="18" customHeight="1">
      <x:c r="A198" s="46" t="str">
        <x:v>LME_016</x:v>
      </x:c>
      <x:c r="B198" s="46" t="str">
        <x:v>East Brazil Shelf</x:v>
      </x:c>
      <x:c r="C198" s="46" t="str">
        <x:v>LME</x:v>
      </x:c>
      <x:c r="D198" s="58" t="n">
        <x:v>2019</x:v>
      </x:c>
      <x:c r="E198" s="46" t="str">
        <x:v>Lutjanidae</x:v>
      </x:c>
      <x:c r="F198" s="46" t="str">
        <x:v>Snappers</x:v>
      </x:c>
      <x:c r="G198" s="46" t="str">
        <x:v>Medium reef assoc. fish (30 - 89 cm)</x:v>
      </x:c>
      <x:c r="H198" s="46" t="str">
        <x:v>Perch-likes</x:v>
      </x:c>
      <x:c r="I198" s="60" t="n">
        <x:v>7.3980765997</x:v>
      </x:c>
      <x:c r="J198" s="60" t="n">
        <x:v>7.3980765997</x:v>
      </x:c>
      <x:c r="K198" s="60" t="n">
        <x:v>0</x:v>
      </x:c>
      <x:c r="L198" s="60" t="n">
        <x:v>1.4001432868</x:v>
      </x:c>
      <x:c r="M198" s="60" t="n">
        <x:v>5.9979333129</x:v>
      </x:c>
      <x:c r="N198" s="46" t="str">
        <x:v>lutjanidae</x:v>
      </x:c>
      <x:c r="O198" s="62" t="n">
        <x:v>4.02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Lutjanidae</x:v>
      </x:c>
      <x:c r="T198" s="62" t="n">
        <x:f>IF(O198="","",(1/'Metadata'!$B$5)^(O198-1))</x:f>
        <x:v>1047.1285480508984</x:v>
      </x:c>
      <x:c r="U198" s="60" t="n">
        <x:f>IF(T198="","",I198*T198)</x:f>
        <x:v>7746.737208213189</x:v>
      </x:c>
    </x:row>
    <x:row r="199" ht="18" customHeight="1">
      <x:c r="A199" s="46" t="str">
        <x:v>LME_016</x:v>
      </x:c>
      <x:c r="B199" s="46" t="str">
        <x:v>East Brazil Shelf</x:v>
      </x:c>
      <x:c r="C199" s="46" t="str">
        <x:v>LME</x:v>
      </x:c>
      <x:c r="D199" s="58" t="n">
        <x:v>2019</x:v>
      </x:c>
      <x:c r="E199" s="46" t="str">
        <x:v>Gempylidae</x:v>
      </x:c>
      <x:c r="F199" s="46" t="str">
        <x:v>Snake mackerels</x:v>
      </x:c>
      <x:c r="G199" s="46" t="str">
        <x:v>Large benthopelagics (&gt;=90 cm)</x:v>
      </x:c>
      <x:c r="H199" s="46" t="str">
        <x:v>Perch-likes</x:v>
      </x:c>
      <x:c r="I199" s="60" t="n">
        <x:v>7.3489828729</x:v>
      </x:c>
      <x:c r="J199" s="60" t="n">
        <x:v>7.3489828729</x:v>
      </x:c>
      <x:c r="K199" s="60" t="n">
        <x:v>0</x:v>
      </x:c>
      <x:c r="L199" s="60" t="n">
        <x:v>0.692041919</x:v>
      </x:c>
      <x:c r="M199" s="60" t="n">
        <x:v>6.6569409538999995</x:v>
      </x:c>
      <x:c r="N199" s="46" t="str">
        <x:v>gempylidae</x:v>
      </x:c>
      <x:c r="O199" s="62" t="n">
        <x:v>4.21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Gempylidae</x:v>
      </x:c>
      <x:c r="T199" s="62" t="n">
        <x:f>IF(O199="","",(1/'Metadata'!$B$5)^(O199-1))</x:f>
        <x:v>1621.8100973589299</x:v>
      </x:c>
      <x:c r="U199" s="60" t="n">
        <x:f>IF(T199="","",I199*T199)</x:f>
        <x:v>11918.654628587057</x:v>
      </x:c>
    </x:row>
    <x:row r="200" ht="18" customHeight="1">
      <x:c r="A200" s="46" t="str">
        <x:v>LME_016</x:v>
      </x:c>
      <x:c r="B200" s="46" t="str">
        <x:v>East Brazil Shelf</x:v>
      </x:c>
      <x:c r="C200" s="46" t="str">
        <x:v>LME</x:v>
      </x:c>
      <x:c r="D200" s="58" t="n">
        <x:v>2019</x:v>
      </x:c>
      <x:c r="E200" s="46" t="str">
        <x:v>Anchoa hepsetus</x:v>
      </x:c>
      <x:c r="F200" s="46" t="str">
        <x:v>Broad-striped anchovy</x:v>
      </x:c>
      <x:c r="G200" s="46" t="str">
        <x:v>Small pelagics (&lt;30 cm)</x:v>
      </x:c>
      <x:c r="H200" s="46" t="str">
        <x:v>Anchovies</x:v>
      </x:c>
      <x:c r="I200" s="60" t="n">
        <x:v>6.8469684115</x:v>
      </x:c>
      <x:c r="J200" s="60" t="n">
        <x:v>6.8469684115</x:v>
      </x:c>
      <x:c r="K200" s="60" t="n">
        <x:v>0</x:v>
      </x:c>
      <x:c r="L200" s="60" t="n">
        <x:v>6.8469684115</x:v>
      </x:c>
      <x:c r="M200" s="60" t="n">
        <x:v>0</x:v>
      </x:c>
      <x:c r="N200" s="46" t="str">
        <x:v>anchoa hepsetus</x:v>
      </x:c>
      <x:c r="O200" s="62" t="n">
        <x:v>3.34</x:v>
      </x:c>
      <x:c r="P200" s="46" t="str">
        <x:v>exact_2020_supplement</x:v>
      </x:c>
      <x:c r="Q200" s="62" t="str">
        <x:v>2020 supplement MeanTL</x:v>
      </x:c>
      <x:c r="R200" s="46" t="str">
        <x:v>high</x:v>
      </x:c>
      <x:c r="S200" s="46" t="str">
        <x:v>Anchoa hepsetus</x:v>
      </x:c>
      <x:c r="T200" s="62" t="n">
        <x:f>IF(O200="","",(1/'Metadata'!$B$5)^(O200-1))</x:f>
        <x:v>218.77616239495518</x:v>
      </x:c>
      <x:c r="U200" s="60" t="n">
        <x:f>IF(T200="","",I200*T200)</x:f>
        <x:v>1497.9534731074523</x:v>
      </x:c>
    </x:row>
    <x:row r="201" ht="18" customHeight="1">
      <x:c r="A201" s="46" t="str">
        <x:v>LME_016</x:v>
      </x:c>
      <x:c r="B201" s="46" t="str">
        <x:v>East Brazil Shelf</x:v>
      </x:c>
      <x:c r="C201" s="46" t="str">
        <x:v>LME</x:v>
      </x:c>
      <x:c r="D201" s="58" t="n">
        <x:v>2019</x:v>
      </x:c>
      <x:c r="E201" s="46" t="str">
        <x:v>Hypanus guttatus</x:v>
      </x:c>
      <x:c r="F201" s="46" t="str">
        <x:v>Longnose stingray</x:v>
      </x:c>
      <x:c r="G201" s="46" t="str">
        <x:v>Large rays (&gt;=90 cm)</x:v>
      </x:c>
      <x:c r="H201" s="46" t="str">
        <x:v>Sharks &amp; rays</x:v>
      </x:c>
      <x:c r="I201" s="60" t="n">
        <x:v>6.792110624999999</x:v>
      </x:c>
      <x:c r="J201" s="60" t="n">
        <x:v>6.792110624999999</x:v>
      </x:c>
      <x:c r="K201" s="60" t="n">
        <x:v>0</x:v>
      </x:c>
      <x:c r="L201" s="60" t="n">
        <x:v>6.724969089999999</x:v>
      </x:c>
      <x:c r="M201" s="60" t="n">
        <x:v>0.067141535</x:v>
      </x:c>
      <x:c r="N201" s="46" t="str">
        <x:v>hypanus guttatus</x:v>
      </x:c>
      <x:c r="O201" s="62" t="n">
        <x:v>2.61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Hypanus guttatus</x:v>
      </x:c>
      <x:c r="T201" s="62" t="n">
        <x:f>IF(O201="","",(1/'Metadata'!$B$5)^(O201-1))</x:f>
        <x:v>40.73802778041126</x:v>
      </x:c>
      <x:c r="U201" s="60" t="n">
        <x:f>IF(T201="","",I201*T201)</x:f>
        <x:v>276.69719132887644</x:v>
      </x:c>
    </x:row>
    <x:row r="202" ht="18" customHeight="1">
      <x:c r="A202" s="46" t="str">
        <x:v>LME_016</x:v>
      </x:c>
      <x:c r="B202" s="46" t="str">
        <x:v>East Brazil Shelf</x:v>
      </x:c>
      <x:c r="C202" s="46" t="str">
        <x:v>LME</x:v>
      </x:c>
      <x:c r="D202" s="58" t="n">
        <x:v>2019</x:v>
      </x:c>
      <x:c r="E202" s="46" t="str">
        <x:v>Rhizoprionodon porosus</x:v>
      </x:c>
      <x:c r="F202" s="46" t="str">
        <x:v>Caribbean sharpnose shark</x:v>
      </x:c>
      <x:c r="G202" s="46" t="str">
        <x:v>Large sharks (&gt;=90 cm)</x:v>
      </x:c>
      <x:c r="H202" s="46" t="str">
        <x:v>Sharks &amp; rays</x:v>
      </x:c>
      <x:c r="I202" s="60" t="n">
        <x:v>6.7152325164999995</x:v>
      </x:c>
      <x:c r="J202" s="60" t="n">
        <x:v>6.7152325164999995</x:v>
      </x:c>
      <x:c r="K202" s="60" t="n">
        <x:v>0</x:v>
      </x:c>
      <x:c r="L202" s="60" t="n">
        <x:v>0</x:v>
      </x:c>
      <x:c r="M202" s="60" t="n">
        <x:v>6.7152325164999995</x:v>
      </x:c>
      <x:c r="N202" s="46" t="str">
        <x:v>rhizoprionodon porosus</x:v>
      </x:c>
      <x:c r="O202" s="62" t="n">
        <x:v>3.99</x:v>
      </x:c>
      <x:c r="P202" s="46" t="str">
        <x:v>exact_2020_supplement</x:v>
      </x:c>
      <x:c r="Q202" s="62" t="str">
        <x:v>2020 supplement MeanTL</x:v>
      </x:c>
      <x:c r="R202" s="46" t="str">
        <x:v>high</x:v>
      </x:c>
      <x:c r="S202" s="46" t="str">
        <x:v>Rhizoprionodon porosus</x:v>
      </x:c>
      <x:c r="T202" s="62" t="n">
        <x:f>IF(O202="","",(1/'Metadata'!$B$5)^(O202-1))</x:f>
        <x:v>977.2372209558112</x:v>
      </x:c>
      <x:c r="U202" s="60" t="n">
        <x:f>IF(T202="","",I202*T202)</x:f>
        <x:v>6562.375162496558</x:v>
      </x:c>
    </x:row>
    <x:row r="203" ht="18" customHeight="1">
      <x:c r="A203" s="46" t="str">
        <x:v>LME_016</x:v>
      </x:c>
      <x:c r="B203" s="46" t="str">
        <x:v>East Brazil Shelf</x:v>
      </x:c>
      <x:c r="C203" s="46" t="str">
        <x:v>LME</x:v>
      </x:c>
      <x:c r="D203" s="58" t="n">
        <x:v>2019</x:v>
      </x:c>
      <x:c r="E203" s="46" t="str">
        <x:v>Ruvettus pretiosus</x:v>
      </x:c>
      <x:c r="F203" s="46" t="str">
        <x:v>Oilfish</x:v>
      </x:c>
      <x:c r="G203" s="46" t="str">
        <x:v>Large benthopelagics (&gt;=90 cm)</x:v>
      </x:c>
      <x:c r="H203" s="46" t="str">
        <x:v>Perch-likes</x:v>
      </x:c>
      <x:c r="I203" s="60" t="n">
        <x:v>6.3010365186</x:v>
      </x:c>
      <x:c r="J203" s="60" t="n">
        <x:v>6.3010365186</x:v>
      </x:c>
      <x:c r="K203" s="60" t="n">
        <x:v>0</x:v>
      </x:c>
      <x:c r="L203" s="60" t="n">
        <x:v>6.3010365186</x:v>
      </x:c>
      <x:c r="M203" s="60" t="n">
        <x:v>0</x:v>
      </x:c>
      <x:c r="N203" s="46" t="str">
        <x:v>ruvettus pretiosus</x:v>
      </x:c>
      <x:c r="O203" s="62" t="n">
        <x:v>4.18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Ruvettus pretiosus</x:v>
      </x:c>
      <x:c r="T203" s="62" t="n">
        <x:f>IF(O203="","",(1/'Metadata'!$B$5)^(O203-1))</x:f>
        <x:v>1513.5612484362073</x:v>
      </x:c>
      <x:c r="U203" s="60" t="n">
        <x:f>IF(T203="","",I203*T203)</x:f>
        <x:v>9537.00469953435</x:v>
      </x:c>
    </x:row>
    <x:row r="204" ht="18" customHeight="1">
      <x:c r="A204" s="46" t="str">
        <x:v>LME_016</x:v>
      </x:c>
      <x:c r="B204" s="46" t="str">
        <x:v>East Brazil Shelf</x:v>
      </x:c>
      <x:c r="C204" s="46" t="str">
        <x:v>LME</x:v>
      </x:c>
      <x:c r="D204" s="58" t="n">
        <x:v>2019</x:v>
      </x:c>
      <x:c r="E204" s="46" t="str">
        <x:v>Sphyrna lewini</x:v>
      </x:c>
      <x:c r="F204" s="46" t="str">
        <x:v>Scalloped hammerhead</x:v>
      </x:c>
      <x:c r="G204" s="46" t="str">
        <x:v>Large sharks (&gt;=90 cm)</x:v>
      </x:c>
      <x:c r="H204" s="46" t="str">
        <x:v>Sharks &amp; rays</x:v>
      </x:c>
      <x:c r="I204" s="60" t="n">
        <x:v>5.8796368387</x:v>
      </x:c>
      <x:c r="J204" s="60" t="n">
        <x:v>5.8796368387</x:v>
      </x:c>
      <x:c r="K204" s="60" t="n">
        <x:v>0</x:v>
      </x:c>
      <x:c r="L204" s="60" t="n">
        <x:v>0</x:v>
      </x:c>
      <x:c r="M204" s="60" t="n">
        <x:v>5.8796368387</x:v>
      </x:c>
      <x:c r="N204" s="46" t="str">
        <x:v>sphyrna lewini</x:v>
      </x:c>
      <x:c r="O204" s="62" t="n">
        <x:v>4.08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Sphyrna lewini</x:v>
      </x:c>
      <x:c r="T204" s="62" t="n">
        <x:f>IF(O204="","",(1/'Metadata'!$B$5)^(O204-1))</x:f>
        <x:v>1202.2644346174131</x:v>
      </x:c>
      <x:c r="U204" s="60" t="n">
        <x:f>IF(T204="","",I204*T204)</x:f>
        <x:v>7068.878259635369</x:v>
      </x:c>
    </x:row>
    <x:row r="205" ht="18" customHeight="1">
      <x:c r="A205" s="46" t="str">
        <x:v>LME_016</x:v>
      </x:c>
      <x:c r="B205" s="46" t="str">
        <x:v>East Brazil Shelf</x:v>
      </x:c>
      <x:c r="C205" s="46" t="str">
        <x:v>LME</x:v>
      </x:c>
      <x:c r="D205" s="58" t="n">
        <x:v>2019</x:v>
      </x:c>
      <x:c r="E205" s="46" t="str">
        <x:v>Myliobatidae</x:v>
      </x:c>
      <x:c r="F205" s="46" t="str">
        <x:v>Eagle/manta rays</x:v>
      </x:c>
      <x:c r="G205" s="46" t="str">
        <x:v>Large rays (&gt;=90 cm)</x:v>
      </x:c>
      <x:c r="H205" s="46" t="str">
        <x:v>Sharks &amp; rays</x:v>
      </x:c>
      <x:c r="I205" s="60" t="n">
        <x:v>5.6254761879</x:v>
      </x:c>
      <x:c r="J205" s="60" t="n">
        <x:v>5.6254761879</x:v>
      </x:c>
      <x:c r="K205" s="60" t="n">
        <x:v>0</x:v>
      </x:c>
      <x:c r="L205" s="60" t="n">
        <x:v>5.5695681089</x:v>
      </x:c>
      <x:c r="M205" s="60" t="n">
        <x:v>0.055908079</x:v>
      </x:c>
      <x:c r="N205" s="46" t="str">
        <x:v>myliobatidae</x:v>
      </x:c>
      <x:c r="O205" s="62" t="n">
        <x:v>3.36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Myliobatidae</x:v>
      </x:c>
      <x:c r="T205" s="62" t="n">
        <x:f>IF(O205="","",(1/'Metadata'!$B$5)^(O205-1))</x:f>
        <x:v>229.08676527677724</x:v>
      </x:c>
      <x:c r="U205" s="60" t="n">
        <x:f>IF(T205="","",I205*T205)</x:f>
        <x:v>1288.722143027547</x:v>
      </x:c>
    </x:row>
    <x:row r="206" ht="18" customHeight="1">
      <x:c r="A206" s="46" t="str">
        <x:v>LME_016</x:v>
      </x:c>
      <x:c r="B206" s="46" t="str">
        <x:v>East Brazil Shelf</x:v>
      </x:c>
      <x:c r="C206" s="46" t="str">
        <x:v>LME</x:v>
      </x:c>
      <x:c r="D206" s="58" t="n">
        <x:v>2019</x:v>
      </x:c>
      <x:c r="E206" s="46" t="str">
        <x:v>Chaetodontidae</x:v>
      </x:c>
      <x:c r="F206" s="46" t="str">
        <x:v>Butterflyfishes</x:v>
      </x:c>
      <x:c r="G206" s="46" t="str">
        <x:v>Small reef assoc. fish (&lt;30 cm)</x:v>
      </x:c>
      <x:c r="H206" s="46" t="str">
        <x:v>Perch-likes</x:v>
      </x:c>
      <x:c r="I206" s="60" t="n">
        <x:v>5.3858660462</x:v>
      </x:c>
      <x:c r="J206" s="60" t="n">
        <x:v>5.3858660462</x:v>
      </x:c>
      <x:c r="K206" s="60" t="n">
        <x:v>0</x:v>
      </x:c>
      <x:c r="L206" s="60" t="n">
        <x:v>5.3858660462</x:v>
      </x:c>
      <x:c r="M206" s="60" t="n">
        <x:v>0</x:v>
      </x:c>
      <x:c r="N206" s="46" t="str">
        <x:v>chaetodontidae</x:v>
      </x:c>
      <x:c r="O206" s="62" t="n">
        <x:v>3.24</x:v>
      </x:c>
      <x:c r="P206" s="46" t="str">
        <x:v>exact_sea_around_us</x:v>
      </x:c>
      <x:c r="Q206" s="62" t="str">
        <x:v>Sea Around Us exploited organisms</x:v>
      </x:c>
      <x:c r="R206" s="46" t="str">
        <x:v>high</x:v>
      </x:c>
      <x:c r="S206" s="46" t="str">
        <x:v>Chaetodontidae</x:v>
      </x:c>
      <x:c r="T206" s="62" t="n">
        <x:f>IF(O206="","",(1/'Metadata'!$B$5)^(O206-1))</x:f>
        <x:v>173.78008287493762</x:v>
      </x:c>
      <x:c r="U206" s="60" t="n">
        <x:f>IF(T206="","",I206*T206)</x:f>
        <x:v>935.9562478619487</x:v>
      </x:c>
    </x:row>
    <x:row r="207" ht="18" customHeight="1">
      <x:c r="A207" s="46" t="str">
        <x:v>LME_016</x:v>
      </x:c>
      <x:c r="B207" s="46" t="str">
        <x:v>East Brazil Shelf</x:v>
      </x:c>
      <x:c r="C207" s="46" t="str">
        <x:v>LME</x:v>
      </x:c>
      <x:c r="D207" s="58" t="n">
        <x:v>2019</x:v>
      </x:c>
      <x:c r="E207" s="46" t="str">
        <x:v>Parona signata</x:v>
      </x:c>
      <x:c r="F207" s="46" t="str">
        <x:v>Parona leatherjacket</x:v>
      </x:c>
      <x:c r="G207" s="46" t="str">
        <x:v>Medium demersals (30 - 89 cm)</x:v>
      </x:c>
      <x:c r="H207" s="46" t="str">
        <x:v>Perch-likes</x:v>
      </x:c>
      <x:c r="I207" s="60" t="n">
        <x:v>5.1022649117</x:v>
      </x:c>
      <x:c r="J207" s="60" t="n">
        <x:v>5.1022649117</x:v>
      </x:c>
      <x:c r="K207" s="60" t="n">
        <x:v>0</x:v>
      </x:c>
      <x:c r="L207" s="60" t="n">
        <x:v>4.94177542</x:v>
      </x:c>
      <x:c r="M207" s="60" t="n">
        <x:v>0.16048949170000001</x:v>
      </x:c>
      <x:c r="N207" s="46" t="str">
        <x:v>parona signata</x:v>
      </x:c>
      <x:c r="O207" s="62" t="n">
        <x:v>3.4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Parona signata</x:v>
      </x:c>
      <x:c r="T207" s="62" t="n">
        <x:f>IF(O207="","",(1/'Metadata'!$B$5)^(O207-1))</x:f>
        <x:v>251.18864315095797</x:v>
      </x:c>
      <x:c r="U207" s="60" t="n">
        <x:f>IF(T207="","",I207*T207)</x:f>
        <x:v>1281.6310001666654</x:v>
      </x:c>
    </x:row>
    <x:row r="208" ht="18" customHeight="1">
      <x:c r="A208" s="46" t="str">
        <x:v>LME_016</x:v>
      </x:c>
      <x:c r="B208" s="46" t="str">
        <x:v>East Brazil Shelf</x:v>
      </x:c>
      <x:c r="C208" s="46" t="str">
        <x:v>LME</x:v>
      </x:c>
      <x:c r="D208" s="58" t="n">
        <x:v>2019</x:v>
      </x:c>
      <x:c r="E208" s="46" t="str">
        <x:v>Lutjanus apodus</x:v>
      </x:c>
      <x:c r="F208" s="46" t="str">
        <x:v>Schoolmaster snapper</x:v>
      </x:c>
      <x:c r="G208" s="46" t="str">
        <x:v>Medium reef assoc. fish (30 - 89 cm)</x:v>
      </x:c>
      <x:c r="H208" s="46" t="str">
        <x:v>Perch-likes</x:v>
      </x:c>
      <x:c r="I208" s="60" t="n">
        <x:v>5.0981168187999995</x:v>
      </x:c>
      <x:c r="J208" s="60" t="n">
        <x:v>5.0981168187999995</x:v>
      </x:c>
      <x:c r="K208" s="60" t="n">
        <x:v>0</x:v>
      </x:c>
      <x:c r="L208" s="60" t="n">
        <x:v>5.0807366509</x:v>
      </x:c>
      <x:c r="M208" s="60" t="n">
        <x:v>0.0173801679</x:v>
      </x:c>
      <x:c r="N208" s="46" t="str">
        <x:v>lutjanus apodus</x:v>
      </x:c>
      <x:c r="O208" s="62" t="n">
        <x:v>4.25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Lutjanus apodus</x:v>
      </x:c>
      <x:c r="T208" s="62" t="n">
        <x:f>IF(O208="","",(1/'Metadata'!$B$5)^(O208-1))</x:f>
        <x:v>1778.2794100389228</x:v>
      </x:c>
      <x:c r="U208" s="60" t="n">
        <x:f>IF(T208="","",I208*T208)</x:f>
        <x:v>9065.876168845172</x:v>
      </x:c>
    </x:row>
    <x:row r="209" ht="18" customHeight="1">
      <x:c r="A209" s="46" t="str">
        <x:v>LME_016</x:v>
      </x:c>
      <x:c r="B209" s="46" t="str">
        <x:v>East Brazil Shelf</x:v>
      </x:c>
      <x:c r="C209" s="46" t="str">
        <x:v>LME</x:v>
      </x:c>
      <x:c r="D209" s="58" t="n">
        <x:v>2019</x:v>
      </x:c>
      <x:c r="E209" s="46" t="str">
        <x:v>Myripristis jacobus</x:v>
      </x:c>
      <x:c r="F209" s="46" t="str">
        <x:v>Blackbar soldierfish</x:v>
      </x:c>
      <x:c r="G209" s="46" t="str">
        <x:v>Small reef assoc. fish (&lt;30 cm)</x:v>
      </x:c>
      <x:c r="H209" s="46" t="str">
        <x:v>Other fishes &amp; inverts</x:v>
      </x:c>
      <x:c r="I209" s="60" t="n">
        <x:v>4.5251112183</x:v>
      </x:c>
      <x:c r="J209" s="60" t="n">
        <x:v>4.5251112183</x:v>
      </x:c>
      <x:c r="K209" s="60" t="n">
        <x:v>0</x:v>
      </x:c>
      <x:c r="L209" s="60" t="n">
        <x:v>4.5251112183</x:v>
      </x:c>
      <x:c r="M209" s="60" t="n">
        <x:v>0</x:v>
      </x:c>
      <x:c r="N209" s="46" t="str">
        <x:v>myripristis jacobus</x:v>
      </x:c>
      <x:c r="O209" s="62" t="n">
        <x:v>3.39</x:v>
      </x:c>
      <x:c r="P209" s="46" t="str">
        <x:v>exact_2020_supplement</x:v>
      </x:c>
      <x:c r="Q209" s="62" t="str">
        <x:v>2020 supplement MeanTL</x:v>
      </x:c>
      <x:c r="R209" s="46" t="str">
        <x:v>high</x:v>
      </x:c>
      <x:c r="S209" s="46" t="str">
        <x:v>Myripristis jacobus</x:v>
      </x:c>
      <x:c r="T209" s="62" t="n">
        <x:f>IF(O209="","",(1/'Metadata'!$B$5)^(O209-1))</x:f>
        <x:v>245.4708915685031</x:v>
      </x:c>
      <x:c r="U209" s="60" t="n">
        <x:f>IF(T209="","",I209*T209)</x:f>
        <x:v>1110.7830852027364</x:v>
      </x:c>
    </x:row>
    <x:row r="210" ht="18" customHeight="1">
      <x:c r="A210" s="46" t="str">
        <x:v>LME_016</x:v>
      </x:c>
      <x:c r="B210" s="46" t="str">
        <x:v>East Brazil Shelf</x:v>
      </x:c>
      <x:c r="C210" s="46" t="str">
        <x:v>LME</x:v>
      </x:c>
      <x:c r="D210" s="58" t="n">
        <x:v>2019</x:v>
      </x:c>
      <x:c r="E210" s="46" t="str">
        <x:v>Diplodus argenteus</x:v>
      </x:c>
      <x:c r="F210" s="46" t="str">
        <x:v>South American silver porgy</x:v>
      </x:c>
      <x:c r="G210" s="46" t="str">
        <x:v>Medium demersals (30 - 89 cm)</x:v>
      </x:c>
      <x:c r="H210" s="46" t="str">
        <x:v>Perch-likes</x:v>
      </x:c>
      <x:c r="I210" s="60" t="n">
        <x:v>4.194821708</x:v>
      </x:c>
      <x:c r="J210" s="60" t="n">
        <x:v>4.194821708</x:v>
      </x:c>
      <x:c r="K210" s="60" t="n">
        <x:v>0</x:v>
      </x:c>
      <x:c r="L210" s="60" t="n">
        <x:v>4.0857952865</x:v>
      </x:c>
      <x:c r="M210" s="60" t="n">
        <x:v>0.1090264215</x:v>
      </x:c>
      <x:c r="N210" s="46" t="str">
        <x:v>diplodus argenteus</x:v>
      </x:c>
      <x:c r="O210" s="62" t="n">
        <x:v>3.13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Diplodus argenteus</x:v>
      </x:c>
      <x:c r="T210" s="62" t="n">
        <x:f>IF(O210="","",(1/'Metadata'!$B$5)^(O210-1))</x:f>
        <x:v>134.89628825916532</x:v>
      </x:c>
      <x:c r="U210" s="60" t="n">
        <x:f>IF(T210="","",I210*T210)</x:f>
        <x:v>565.8658783181722</x:v>
      </x:c>
    </x:row>
    <x:row r="211" ht="18" customHeight="1">
      <x:c r="A211" s="46" t="str">
        <x:v>LME_016</x:v>
      </x:c>
      <x:c r="B211" s="46" t="str">
        <x:v>East Brazil Shelf</x:v>
      </x:c>
      <x:c r="C211" s="46" t="str">
        <x:v>LME</x:v>
      </x:c>
      <x:c r="D211" s="58" t="n">
        <x:v>2019</x:v>
      </x:c>
      <x:c r="E211" s="46" t="str">
        <x:v>Seriola rivoliana</x:v>
      </x:c>
      <x:c r="F211" s="46" t="str">
        <x:v>Longfin yellowtail</x:v>
      </x:c>
      <x:c r="G211" s="46" t="str">
        <x:v>Large benthopelagics (&gt;=90 cm)</x:v>
      </x:c>
      <x:c r="H211" s="46" t="str">
        <x:v>Perch-likes</x:v>
      </x:c>
      <x:c r="I211" s="60" t="n">
        <x:v>3.9171470503</x:v>
      </x:c>
      <x:c r="J211" s="60" t="n">
        <x:v>3.9171470503</x:v>
      </x:c>
      <x:c r="K211" s="60" t="n">
        <x:v>0</x:v>
      </x:c>
      <x:c r="L211" s="60" t="n">
        <x:v>3.8014475367</x:v>
      </x:c>
      <x:c r="M211" s="60" t="n">
        <x:v>0.11569951359999998</x:v>
      </x:c>
      <x:c r="N211" s="46" t="str">
        <x:v>seriola rivoliana</x:v>
      </x:c>
      <x:c r="O211" s="62" t="n">
        <x:v>4.45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Seriola rivoliana</x:v>
      </x:c>
      <x:c r="T211" s="62" t="n">
        <x:f>IF(O211="","",(1/'Metadata'!$B$5)^(O211-1))</x:f>
        <x:v>2818.382931264455</x:v>
      </x:c>
      <x:c r="U211" s="60" t="n">
        <x:f>IF(T211="","",I211*T211)</x:f>
        <x:v>11040.020385818427</x:v>
      </x:c>
    </x:row>
    <x:row r="212" ht="18" customHeight="1">
      <x:c r="A212" s="46" t="str">
        <x:v>LME_016</x:v>
      </x:c>
      <x:c r="B212" s="46" t="str">
        <x:v>East Brazil Shelf</x:v>
      </x:c>
      <x:c r="C212" s="46" t="str">
        <x:v>LME</x:v>
      </x:c>
      <x:c r="D212" s="58" t="n">
        <x:v>2019</x:v>
      </x:c>
      <x:c r="E212" s="46" t="str">
        <x:v>Albula vulpes</x:v>
      </x:c>
      <x:c r="F212" s="46" t="str">
        <x:v>Bonefish</x:v>
      </x:c>
      <x:c r="G212" s="46" t="str">
        <x:v>Medium reef assoc. fish (30 - 89 cm)</x:v>
      </x:c>
      <x:c r="H212" s="46" t="str">
        <x:v>Other fishes &amp; inverts</x:v>
      </x:c>
      <x:c r="I212" s="60" t="n">
        <x:v>3.8034814788</x:v>
      </x:c>
      <x:c r="J212" s="60" t="n">
        <x:v>3.8034814788</x:v>
      </x:c>
      <x:c r="K212" s="60" t="n">
        <x:v>0</x:v>
      </x:c>
      <x:c r="L212" s="60" t="n">
        <x:v>2.8138240144</x:v>
      </x:c>
      <x:c r="M212" s="60" t="n">
        <x:v>0.9896574644</x:v>
      </x:c>
      <x:c r="N212" s="46" t="str">
        <x:v>albula vulpes</x:v>
      </x:c>
      <x:c r="O212" s="62" t="n">
        <x:v>3.73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Albula vulpes</x:v>
      </x:c>
      <x:c r="T212" s="62" t="n">
        <x:f>IF(O212="","",(1/'Metadata'!$B$5)^(O212-1))</x:f>
        <x:v>537.0317963702527</x:v>
      </x:c>
      <x:c r="U212" s="60" t="n">
        <x:f>IF(T212="","",I212*T212)</x:f>
        <x:v>2042.5904910209492</x:v>
      </x:c>
    </x:row>
    <x:row r="213" ht="18" customHeight="1">
      <x:c r="A213" s="46" t="str">
        <x:v>LME_016</x:v>
      </x:c>
      <x:c r="B213" s="46" t="str">
        <x:v>East Brazil Shelf</x:v>
      </x:c>
      <x:c r="C213" s="46" t="str">
        <x:v>LME</x:v>
      </x:c>
      <x:c r="D213" s="58" t="n">
        <x:v>2019</x:v>
      </x:c>
      <x:c r="E213" s="46" t="str">
        <x:v>Dasyatis</x:v>
      </x:c>
      <x:c r="F213" s="46" t="str">
        <x:v>Rough whip stingrays</x:v>
      </x:c>
      <x:c r="G213" s="46" t="str">
        <x:v>Large rays (&gt;=90 cm)</x:v>
      </x:c>
      <x:c r="H213" s="46" t="str">
        <x:v>Sharks &amp; rays</x:v>
      </x:c>
      <x:c r="I213" s="60" t="n">
        <x:v>2.7539046982</x:v>
      </x:c>
      <x:c r="J213" s="60" t="n">
        <x:v>2.7539046982</x:v>
      </x:c>
      <x:c r="K213" s="60" t="n">
        <x:v>0</x:v>
      </x:c>
      <x:c r="L213" s="60" t="n">
        <x:v>2.7029460641</x:v>
      </x:c>
      <x:c r="M213" s="60" t="n">
        <x:v>0.0509586341</x:v>
      </x:c>
      <x:c r="N213" s="46" t="str">
        <x:v>dasyatis</x:v>
      </x:c>
      <x:c r="O213" s="62" t="n">
        <x:v>3.28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Dasyatis</x:v>
      </x:c>
      <x:c r="T213" s="62" t="n">
        <x:f>IF(O213="","",(1/'Metadata'!$B$5)^(O213-1))</x:f>
        <x:v>190.54607179632464</x:v>
      </x:c>
      <x:c r="U213" s="60" t="n">
        <x:f>IF(T213="","",I213*T213)</x:f>
        <x:v>524.7457223434529</x:v>
      </x:c>
    </x:row>
    <x:row r="214" ht="18" customHeight="1">
      <x:c r="A214" s="46" t="str">
        <x:v>LME_016</x:v>
      </x:c>
      <x:c r="B214" s="46" t="str">
        <x:v>East Brazil Shelf</x:v>
      </x:c>
      <x:c r="C214" s="46" t="str">
        <x:v>LME</x:v>
      </x:c>
      <x:c r="D214" s="58" t="n">
        <x:v>2019</x:v>
      </x:c>
      <x:c r="E214" s="46" t="str">
        <x:v>Pseudobatos percellens</x:v>
      </x:c>
      <x:c r="F214" s="46" t="str">
        <x:v>Chola guitarfish</x:v>
      </x:c>
      <x:c r="G214" s="46" t="str">
        <x:v>Small to medium rays (&lt;90 cm)</x:v>
      </x:c>
      <x:c r="H214" s="46" t="str">
        <x:v>Sharks &amp; rays</x:v>
      </x:c>
      <x:c r="I214" s="60" t="n">
        <x:v>2.6600562483</x:v>
      </x:c>
      <x:c r="J214" s="60" t="n">
        <x:v>2.6600562483</x:v>
      </x:c>
      <x:c r="K214" s="60" t="n">
        <x:v>0</x:v>
      </x:c>
      <x:c r="L214" s="60" t="n">
        <x:v>2.6471593411</x:v>
      </x:c>
      <x:c r="M214" s="60" t="n">
        <x:v>0.0128969072</x:v>
      </x:c>
      <x:c r="N214" s="46" t="str">
        <x:v>pseudobatos percellens</x:v>
      </x:c>
      <x:c r="O214" s="62" t="n">
        <x:v>3.58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Pseudobatos percellens</x:v>
      </x:c>
      <x:c r="T214" s="62" t="n">
        <x:f>IF(O214="","",(1/'Metadata'!$B$5)^(O214-1))</x:f>
        <x:v>380.1893963205613</x:v>
      </x:c>
      <x:c r="U214" s="60" t="n">
        <x:f>IF(T214="","",I214*T214)</x:f>
        <x:v>1011.3251792199142</x:v>
      </x:c>
    </x:row>
    <x:row r="215" ht="18" customHeight="1">
      <x:c r="A215" s="46" t="str">
        <x:v>LME_016</x:v>
      </x:c>
      <x:c r="B215" s="46" t="str">
        <x:v>East Brazil Shelf</x:v>
      </x:c>
      <x:c r="C215" s="46" t="str">
        <x:v>LME</x:v>
      </x:c>
      <x:c r="D215" s="58" t="n">
        <x:v>2019</x:v>
      </x:c>
      <x:c r="E215" s="46" t="str">
        <x:v>Gymnura micrura</x:v>
      </x:c>
      <x:c r="F215" s="46" t="str">
        <x:v>Smooth butterfly ray</x:v>
      </x:c>
      <x:c r="G215" s="46" t="str">
        <x:v>Small to medium rays (&lt;90 cm)</x:v>
      </x:c>
      <x:c r="H215" s="46" t="str">
        <x:v>Sharks &amp; rays</x:v>
      </x:c>
      <x:c r="I215" s="60" t="n">
        <x:v>2.4544003376</x:v>
      </x:c>
      <x:c r="J215" s="60" t="n">
        <x:v>2.4544003376</x:v>
      </x:c>
      <x:c r="K215" s="60" t="n">
        <x:v>0</x:v>
      </x:c>
      <x:c r="L215" s="60" t="n">
        <x:v>2.3786886234</x:v>
      </x:c>
      <x:c r="M215" s="60" t="n">
        <x:v>0.0757117142</x:v>
      </x:c>
      <x:c r="N215" s="46" t="str">
        <x:v>gymnura micrura</x:v>
      </x:c>
      <x:c r="O215" s="62" t="n">
        <x:v>3.56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Gymnura micrura</x:v>
      </x:c>
      <x:c r="T215" s="62" t="n">
        <x:f>IF(O215="","",(1/'Metadata'!$B$5)^(O215-1))</x:f>
        <x:v>363.0780547701014</x:v>
      </x:c>
      <x:c r="U215" s="60" t="n">
        <x:f>IF(T215="","",I215*T215)</x:f>
        <x:v>891.1389002028882</x:v>
      </x:c>
    </x:row>
    <x:row r="216" ht="18" customHeight="1">
      <x:c r="A216" s="46" t="str">
        <x:v>LME_016</x:v>
      </x:c>
      <x:c r="B216" s="46" t="str">
        <x:v>East Brazil Shelf</x:v>
      </x:c>
      <x:c r="C216" s="46" t="str">
        <x:v>LME</x:v>
      </x:c>
      <x:c r="D216" s="58" t="n">
        <x:v>2019</x:v>
      </x:c>
      <x:c r="E216" s="46" t="str">
        <x:v>Mollusca</x:v>
      </x:c>
      <x:c r="F216" s="46" t="str">
        <x:v>Clams, seasnails, squids, octopuses</x:v>
      </x:c>
      <x:c r="G216" s="46" t="str">
        <x:v>Other demersal invertebrates</x:v>
      </x:c>
      <x:c r="H216" s="46" t="str">
        <x:v>Molluscs</x:v>
      </x:c>
      <x:c r="I216" s="60" t="n">
        <x:v>2.3190252302</x:v>
      </x:c>
      <x:c r="J216" s="60" t="n">
        <x:v>2.3190252302</x:v>
      </x:c>
      <x:c r="K216" s="60" t="n">
        <x:v>0</x:v>
      </x:c>
      <x:c r="L216" s="60" t="n">
        <x:v>1.7066086279</x:v>
      </x:c>
      <x:c r="M216" s="60" t="n">
        <x:v>0.6124166023</x:v>
      </x:c>
      <x:c r="N216" s="46" t="str">
        <x:v>mollusca</x:v>
      </x:c>
      <x:c r="O216" s="62" t="n">
        <x:v>2.1</x:v>
      </x:c>
      <x:c r="P216" s="46" t="str">
        <x:v>exact_sea_around_us</x:v>
      </x:c>
      <x:c r="Q216" s="62" t="str">
        <x:v>Sea Around Us exploited organisms</x:v>
      </x:c>
      <x:c r="R216" s="46" t="str">
        <x:v>high</x:v>
      </x:c>
      <x:c r="S216" s="46" t="str">
        <x:v>Mollusca</x:v>
      </x:c>
      <x:c r="T216" s="62" t="n">
        <x:f>IF(O216="","",(1/'Metadata'!$B$5)^(O216-1))</x:f>
        <x:v>12.589254117941675</x:v>
      </x:c>
      <x:c r="U216" s="60" t="n">
        <x:f>IF(T216="","",I216*T216)</x:f>
        <x:v>29.194797928905988</x:v>
      </x:c>
    </x:row>
    <x:row r="217" ht="18" customHeight="1">
      <x:c r="A217" s="46" t="str">
        <x:v>LME_016</x:v>
      </x:c>
      <x:c r="B217" s="46" t="str">
        <x:v>East Brazil Shelf</x:v>
      </x:c>
      <x:c r="C217" s="46" t="str">
        <x:v>LME</x:v>
      </x:c>
      <x:c r="D217" s="58" t="n">
        <x:v>2019</x:v>
      </x:c>
      <x:c r="E217" s="46" t="str">
        <x:v>Decapterus punctatus</x:v>
      </x:c>
      <x:c r="F217" s="46" t="str">
        <x:v>Round scad</x:v>
      </x:c>
      <x:c r="G217" s="46" t="str">
        <x:v>Medium benthopelagics (30 - 89 cm)</x:v>
      </x:c>
      <x:c r="H217" s="46" t="str">
        <x:v>Perch-likes</x:v>
      </x:c>
      <x:c r="I217" s="60" t="n">
        <x:v>2.035985406</x:v>
      </x:c>
      <x:c r="J217" s="60" t="n">
        <x:v>2.035985406</x:v>
      </x:c>
      <x:c r="K217" s="60" t="n">
        <x:v>0</x:v>
      </x:c>
      <x:c r="L217" s="60" t="n">
        <x:v>2.035985406</x:v>
      </x:c>
      <x:c r="M217" s="60" t="n">
        <x:v>0</x:v>
      </x:c>
      <x:c r="N217" s="46" t="str">
        <x:v>decapterus punctatus</x:v>
      </x:c>
      <x:c r="O217" s="62" t="n">
        <x:v>4.43</x:v>
      </x:c>
      <x:c r="P217" s="46" t="str">
        <x:v>exact_2020_supplement</x:v>
      </x:c>
      <x:c r="Q217" s="62" t="str">
        <x:v>2020 supplement MeanTL</x:v>
      </x:c>
      <x:c r="R217" s="46" t="str">
        <x:v>high</x:v>
      </x:c>
      <x:c r="S217" s="46" t="str">
        <x:v>Decapterus punctatus</x:v>
      </x:c>
      <x:c r="T217" s="62" t="n">
        <x:f>IF(O217="","",(1/'Metadata'!$B$5)^(O217-1))</x:f>
        <x:v>2691.534803926914</x:v>
      </x:c>
      <x:c r="U217" s="60" t="n">
        <x:f>IF(T217="","",I217*T217)</x:f>
        <x:v>5479.925580536268</x:v>
      </x:c>
    </x:row>
    <x:row r="218" ht="18" customHeight="1">
      <x:c r="A218" s="46" t="str">
        <x:v>LME_016</x:v>
      </x:c>
      <x:c r="B218" s="46" t="str">
        <x:v>East Brazil Shelf</x:v>
      </x:c>
      <x:c r="C218" s="46" t="str">
        <x:v>LME</x:v>
      </x:c>
      <x:c r="D218" s="58" t="n">
        <x:v>2019</x:v>
      </x:c>
      <x:c r="E218" s="46" t="str">
        <x:v>Pseudocaranx dentex</x:v>
      </x:c>
      <x:c r="F218" s="46" t="str">
        <x:v>White trevally</x:v>
      </x:c>
      <x:c r="G218" s="46" t="str">
        <x:v>Large reef assoc. fish (&gt;=90 cm)</x:v>
      </x:c>
      <x:c r="H218" s="46" t="str">
        <x:v>Perch-likes</x:v>
      </x:c>
      <x:c r="I218" s="60" t="n">
        <x:v>1.8840213548</x:v>
      </x:c>
      <x:c r="J218" s="60" t="n">
        <x:v>1.8840213548</x:v>
      </x:c>
      <x:c r="K218" s="60" t="n">
        <x:v>0</x:v>
      </x:c>
      <x:c r="L218" s="60" t="n">
        <x:v>1.8840213548</x:v>
      </x:c>
      <x:c r="M218" s="60" t="n">
        <x:v>0</x:v>
      </x:c>
      <x:c r="N218" s="46" t="str">
        <x:v>pseudocaranx dentex</x:v>
      </x:c>
      <x:c r="O218" s="62" t="n">
        <x:v>3.92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Pseudocaranx dentex</x:v>
      </x:c>
      <x:c r="T218" s="62" t="n">
        <x:f>IF(O218="","",(1/'Metadata'!$B$5)^(O218-1))</x:f>
        <x:v>831.7637711026708</x:v>
      </x:c>
      <x:c r="U218" s="60" t="n">
        <x:f>IF(T218="","",I218*T218)</x:f>
        <x:v>1567.060706906411</x:v>
      </x:c>
    </x:row>
    <x:row r="219" ht="18" customHeight="1">
      <x:c r="A219" s="46" t="str">
        <x:v>LME_016</x:v>
      </x:c>
      <x:c r="B219" s="46" t="str">
        <x:v>East Brazil Shelf</x:v>
      </x:c>
      <x:c r="C219" s="46" t="str">
        <x:v>LME</x:v>
      </x:c>
      <x:c r="D219" s="58" t="n">
        <x:v>2019</x:v>
      </x:c>
      <x:c r="E219" s="46" t="str">
        <x:v>Cephalopoda</x:v>
      </x:c>
      <x:c r="F219" s="46" t="str">
        <x:v>Squids, cuttlefishes, octopuses</x:v>
      </x:c>
      <x:c r="G219" s="46" t="str">
        <x:v>Cephalopods</x:v>
      </x:c>
      <x:c r="H219" s="46" t="str">
        <x:v>Other fishes &amp; inverts</x:v>
      </x:c>
      <x:c r="I219" s="60" t="n">
        <x:v>1.7247202055</x:v>
      </x:c>
      <x:c r="J219" s="60" t="n">
        <x:v>1.7247202055</x:v>
      </x:c>
      <x:c r="K219" s="60" t="n">
        <x:v>0</x:v>
      </x:c>
      <x:c r="L219" s="60" t="n">
        <x:v>1.7247202055</x:v>
      </x:c>
      <x:c r="M219" s="60" t="n">
        <x:v>0</x:v>
      </x:c>
      <x:c r="N219" s="46" t="str">
        <x:v>cephalopoda</x:v>
      </x:c>
      <x:c r="O219" s="62" t="n">
        <x:v>3.81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Cephalopoda</x:v>
      </x:c>
      <x:c r="T219" s="62" t="n">
        <x:f>IF(O219="","",(1/'Metadata'!$B$5)^(O219-1))</x:f>
        <x:v>645.6542290346556</x:v>
      </x:c>
      <x:c r="U219" s="60" t="n">
        <x:f>IF(T219="","",I219*T219)</x:f>
        <x:v>1113.5728945825952</x:v>
      </x:c>
    </x:row>
    <x:row r="220" ht="18" customHeight="1">
      <x:c r="A220" s="46" t="str">
        <x:v>LME_016</x:v>
      </x:c>
      <x:c r="B220" s="46" t="str">
        <x:v>East Brazil Shelf</x:v>
      </x:c>
      <x:c r="C220" s="46" t="str">
        <x:v>LME</x:v>
      </x:c>
      <x:c r="D220" s="58" t="n">
        <x:v>2019</x:v>
      </x:c>
      <x:c r="E220" s="46" t="str">
        <x:v>Archosargus probatocephalus</x:v>
      </x:c>
      <x:c r="F220" s="46" t="str">
        <x:v>Sheepshead</x:v>
      </x:c>
      <x:c r="G220" s="46" t="str">
        <x:v>Medium demersals (30 - 89 cm)</x:v>
      </x:c>
      <x:c r="H220" s="46" t="str">
        <x:v>Perch-likes</x:v>
      </x:c>
      <x:c r="I220" s="60" t="n">
        <x:v>1.4278090906</x:v>
      </x:c>
      <x:c r="J220" s="60" t="n">
        <x:v>1.4278090906</x:v>
      </x:c>
      <x:c r="K220" s="60" t="n">
        <x:v>0</x:v>
      </x:c>
      <x:c r="L220" s="60" t="n">
        <x:v>1.4173188387</x:v>
      </x:c>
      <x:c r="M220" s="60" t="n">
        <x:v>0.0104902519</x:v>
      </x:c>
      <x:c r="N220" s="46" t="str">
        <x:v>archosargus probatocephalus</x:v>
      </x:c>
      <x:c r="O220" s="62" t="n">
        <x:v>3.53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Archosargus probatocephalus</x:v>
      </x:c>
      <x:c r="T220" s="62" t="n">
        <x:f>IF(O220="","",(1/'Metadata'!$B$5)^(O220-1))</x:f>
        <x:v>338.84415613920237</x:v>
      </x:c>
      <x:c r="U220" s="60" t="n">
        <x:f>IF(T220="","",I220*T220)</x:f>
        <x:v>483.804766432239</x:v>
      </x:c>
    </x:row>
    <x:row r="221" ht="18" customHeight="1">
      <x:c r="A221" s="46" t="str">
        <x:v>LME_016</x:v>
      </x:c>
      <x:c r="B221" s="46" t="str">
        <x:v>East Brazil Shelf</x:v>
      </x:c>
      <x:c r="C221" s="46" t="str">
        <x:v>LME</x:v>
      </x:c>
      <x:c r="D221" s="58" t="n">
        <x:v>2019</x:v>
      </x:c>
      <x:c r="E221" s="46" t="str">
        <x:v>Ctenosciaena gracilicirrhus</x:v>
      </x:c>
      <x:c r="F221" s="46" t="str">
        <x:v>Barbel drum</x:v>
      </x:c>
      <x:c r="G221" s="46" t="str">
        <x:v>Small demersals (&lt;30 cm)</x:v>
      </x:c>
      <x:c r="H221" s="46" t="str">
        <x:v>Perch-likes</x:v>
      </x:c>
      <x:c r="I221" s="60" t="n">
        <x:v>1.3034117559</x:v>
      </x:c>
      <x:c r="J221" s="60" t="n">
        <x:v>1.3034117559</x:v>
      </x:c>
      <x:c r="K221" s="60" t="n">
        <x:v>0</x:v>
      </x:c>
      <x:c r="L221" s="60" t="n">
        <x:v>1.261882745</x:v>
      </x:c>
      <x:c r="M221" s="60" t="n">
        <x:v>0.0415290109</x:v>
      </x:c>
      <x:c r="N221" s="46" t="str">
        <x:v>ctenosciaena gracilicirrhus</x:v>
      </x:c>
      <x:c r="O221" s="62" t="n">
        <x:v>3.87</x:v>
      </x:c>
      <x:c r="P221" s="46" t="str">
        <x:v>exact_2020_supplement</x:v>
      </x:c>
      <x:c r="Q221" s="62" t="str">
        <x:v>2020 supplement MeanTL</x:v>
      </x:c>
      <x:c r="R221" s="46" t="str">
        <x:v>high</x:v>
      </x:c>
      <x:c r="S221" s="46" t="str">
        <x:v>Ctenosciaena gracilicirrhus</x:v>
      </x:c>
      <x:c r="T221" s="62" t="n">
        <x:f>IF(O221="","",(1/'Metadata'!$B$5)^(O221-1))</x:f>
        <x:v>741.3102413009177</x:v>
      </x:c>
      <x:c r="U221" s="60" t="n">
        <x:f>IF(T221="","",I221*T221)</x:f>
        <x:v>966.2324832806819</x:v>
      </x:c>
    </x:row>
    <x:row r="222" ht="18" customHeight="1">
      <x:c r="A222" s="46" t="str">
        <x:v>LME_016</x:v>
      </x:c>
      <x:c r="B222" s="46" t="str">
        <x:v>East Brazil Shelf</x:v>
      </x:c>
      <x:c r="C222" s="46" t="str">
        <x:v>LME</x:v>
      </x:c>
      <x:c r="D222" s="58" t="n">
        <x:v>2019</x:v>
      </x:c>
      <x:c r="E222" s="46" t="str">
        <x:v>Sphyraena guachancho</x:v>
      </x:c>
      <x:c r="F222" s="46" t="str">
        <x:v>Guachanche barracuda</x:v>
      </x:c>
      <x:c r="G222" s="46" t="str">
        <x:v>Large pelagics (&gt;=90 cm)</x:v>
      </x:c>
      <x:c r="H222" s="46" t="str">
        <x:v>Perch-likes</x:v>
      </x:c>
      <x:c r="I222" s="60" t="n">
        <x:v>1.1487974700999999</x:v>
      </x:c>
      <x:c r="J222" s="60" t="n">
        <x:v>1.1487974700999999</x:v>
      </x:c>
      <x:c r="K222" s="60" t="n">
        <x:v>0</x:v>
      </x:c>
      <x:c r="L222" s="60" t="n">
        <x:v>1.1134889203999998</x:v>
      </x:c>
      <x:c r="M222" s="60" t="n">
        <x:v>0.035308549700000004</x:v>
      </x:c>
      <x:c r="N222" s="46" t="str">
        <x:v>sphyraena guachancho</x:v>
      </x:c>
      <x:c r="O222" s="62" t="n">
        <x:v>4.35</x:v>
      </x:c>
      <x:c r="P222" s="46" t="str">
        <x:v>exact_2020_supplement</x:v>
      </x:c>
      <x:c r="Q222" s="62" t="str">
        <x:v>2020 supplement MeanTL</x:v>
      </x:c>
      <x:c r="R222" s="46" t="str">
        <x:v>high</x:v>
      </x:c>
      <x:c r="S222" s="46" t="str">
        <x:v>Sphyraena guachancho</x:v>
      </x:c>
      <x:c r="T222" s="62" t="n">
        <x:f>IF(O222="","",(1/'Metadata'!$B$5)^(O222-1))</x:f>
        <x:v>2238.7211385683377</x:v>
      </x:c>
      <x:c r="U222" s="60" t="n">
        <x:f>IF(T222="","",I222*T222)</x:f>
        <x:v>2571.8371802466977</x:v>
      </x:c>
    </x:row>
    <x:row r="223" ht="18" customHeight="1">
      <x:c r="A223" s="46" t="str">
        <x:v>LME_016</x:v>
      </x:c>
      <x:c r="B223" s="46" t="str">
        <x:v>East Brazil Shelf</x:v>
      </x:c>
      <x:c r="C223" s="46" t="str">
        <x:v>LME</x:v>
      </x:c>
      <x:c r="D223" s="58" t="n">
        <x:v>2019</x:v>
      </x:c>
      <x:c r="E223" s="46" t="str">
        <x:v>Palaemonidae</x:v>
      </x:c>
      <x:c r="F223" s="46" t="str">
        <x:v>Clawed shrimps</x:v>
      </x:c>
      <x:c r="G223" s="46" t="str">
        <x:v>Shrimps</x:v>
      </x:c>
      <x:c r="H223" s="46" t="str">
        <x:v>Crustaceans</x:v>
      </x:c>
      <x:c r="I223" s="60" t="n">
        <x:v>1.0173402394</x:v>
      </x:c>
      <x:c r="J223" s="60" t="n">
        <x:v>1.0173402394</x:v>
      </x:c>
      <x:c r="K223" s="60" t="n">
        <x:v>0</x:v>
      </x:c>
      <x:c r="L223" s="60" t="n">
        <x:v>0</x:v>
      </x:c>
      <x:c r="M223" s="60" t="n">
        <x:v>1.0173402394</x:v>
      </x:c>
      <x:c r="N223" s="46" t="str">
        <x:v>palaemonidae</x:v>
      </x:c>
      <x:c r="O223" s="62" t="n">
        <x:v>3.14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Palaemonidae</x:v>
      </x:c>
      <x:c r="T223" s="62" t="n">
        <x:f>IF(O223="","",(1/'Metadata'!$B$5)^(O223-1))</x:f>
        <x:v>138.03842646028852</x:v>
      </x:c>
      <x:c r="U223" s="60" t="n">
        <x:f>IF(T223="","",I223*T223)</x:f>
        <x:v>140.4320458215092</x:v>
      </x:c>
    </x:row>
    <x:row r="224" ht="18" customHeight="1">
      <x:c r="A224" s="46" t="str">
        <x:v>LME_016</x:v>
      </x:c>
      <x:c r="B224" s="46" t="str">
        <x:v>East Brazil Shelf</x:v>
      </x:c>
      <x:c r="C224" s="46" t="str">
        <x:v>LME</x:v>
      </x:c>
      <x:c r="D224" s="58" t="n">
        <x:v>2019</x:v>
      </x:c>
      <x:c r="E224" s="46" t="str">
        <x:v>Makaira nigricans</x:v>
      </x:c>
      <x:c r="F224" s="46" t="str">
        <x:v>Blue marlin</x:v>
      </x:c>
      <x:c r="G224" s="46" t="str">
        <x:v>Large pelagics (&gt;=90 cm)</x:v>
      </x:c>
      <x:c r="H224" s="46" t="str">
        <x:v>Tuna &amp; billfishes</x:v>
      </x:c>
      <x:c r="I224" s="60" t="n">
        <x:v>1.0164294807999998</x:v>
      </x:c>
      <x:c r="J224" s="60" t="n">
        <x:v>1.0164294807999998</x:v>
      </x:c>
      <x:c r="K224" s="60" t="n">
        <x:v>0</x:v>
      </x:c>
      <x:c r="L224" s="60" t="n">
        <x:v>0.9205145983999999</x:v>
      </x:c>
      <x:c r="M224" s="60" t="n">
        <x:v>0.0959148824</x:v>
      </x:c>
      <x:c r="N224" s="46" t="str">
        <x:v>makaira nigricans</x:v>
      </x:c>
      <x:c r="O224" s="62" t="n">
        <x:v>4.49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Makaira nigricans</x:v>
      </x:c>
      <x:c r="T224" s="62" t="n">
        <x:f>IF(O224="","",(1/'Metadata'!$B$5)^(O224-1))</x:f>
        <x:v>3090.295432513592</x:v>
      </x:c>
      <x:c r="U224" s="60" t="n">
        <x:f>IF(T224="","",I224*T224)</x:f>
        <x:v>3141.0673819884014</x:v>
      </x:c>
    </x:row>
    <x:row r="225" ht="18" customHeight="1">
      <x:c r="A225" s="46" t="str">
        <x:v>LME_016</x:v>
      </x:c>
      <x:c r="B225" s="46" t="str">
        <x:v>East Brazil Shelf</x:v>
      </x:c>
      <x:c r="C225" s="46" t="str">
        <x:v>LME</x:v>
      </x:c>
      <x:c r="D225" s="58" t="n">
        <x:v>2019</x:v>
      </x:c>
      <x:c r="E225" s="46" t="str">
        <x:v>Istiophorus albicans</x:v>
      </x:c>
      <x:c r="F225" s="46" t="str">
        <x:v>Atlantic sailfish</x:v>
      </x:c>
      <x:c r="G225" s="46" t="str">
        <x:v>Large pelagics (&gt;=90 cm)</x:v>
      </x:c>
      <x:c r="H225" s="46" t="str">
        <x:v>Tuna &amp; billfishes</x:v>
      </x:c>
      <x:c r="I225" s="60" t="n">
        <x:v>0.8015232</x:v>
      </x:c>
      <x:c r="J225" s="60" t="n">
        <x:v>0.8015232</x:v>
      </x:c>
      <x:c r="K225" s="60" t="n">
        <x:v>0</x:v>
      </x:c>
      <x:c r="L225" s="60" t="n">
        <x:v>0.7891280457</x:v>
      </x:c>
      <x:c r="M225" s="60" t="n">
        <x:v>0.0123951543</x:v>
      </x:c>
      <x:c r="N225" s="46" t="str">
        <x:v>istiophorus albicans</x:v>
      </x:c>
      <x:c r="O225" s="62" t="n">
        <x:v>4.5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Istiophorus albicans</x:v>
      </x:c>
      <x:c r="T225" s="62" t="n">
        <x:f>IF(O225="","",(1/'Metadata'!$B$5)^(O225-1))</x:f>
        <x:v>3162.2776601683795</x:v>
      </x:c>
      <x:c r="U225" s="60" t="n">
        <x:f>IF(T225="","",I225*T225)</x:f>
        <x:v>2534.638909466672</x:v>
      </x:c>
    </x:row>
    <x:row r="226" ht="18" customHeight="1">
      <x:c r="A226" s="46" t="str">
        <x:v>LME_016</x:v>
      </x:c>
      <x:c r="B226" s="46" t="str">
        <x:v>East Brazil Shelf</x:v>
      </x:c>
      <x:c r="C226" s="46" t="str">
        <x:v>LME</x:v>
      </x:c>
      <x:c r="D226" s="58" t="n">
        <x:v>2019</x:v>
      </x:c>
      <x:c r="E226" s="46" t="str">
        <x:v>Atlantoraja cyclophora</x:v>
      </x:c>
      <x:c r="F226" s="46" t="str">
        <x:v>Eyespot skate</x:v>
      </x:c>
      <x:c r="G226" s="46" t="str">
        <x:v>Small to medium rays (&lt;90 cm)</x:v>
      </x:c>
      <x:c r="H226" s="46" t="str">
        <x:v>Sharks &amp; rays</x:v>
      </x:c>
      <x:c r="I226" s="60" t="n">
        <x:v>0.7742680362</x:v>
      </x:c>
      <x:c r="J226" s="60" t="n">
        <x:v>0.7742680362</x:v>
      </x:c>
      <x:c r="K226" s="60" t="n">
        <x:v>0</x:v>
      </x:c>
      <x:c r="L226" s="60" t="n">
        <x:v>0.0007779671</x:v>
      </x:c>
      <x:c r="M226" s="60" t="n">
        <x:v>0.7734900691</x:v>
      </x:c>
      <x:c r="N226" s="46" t="str">
        <x:v>atlantoraja cyclophora</x:v>
      </x:c>
      <x:c r="O226" s="62" t="n">
        <x:v>3.5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Atlantoraja cyclophora</x:v>
      </x:c>
      <x:c r="T226" s="62" t="n">
        <x:f>IF(O226="","",(1/'Metadata'!$B$5)^(O226-1))</x:f>
        <x:v>316.22776601683796</x:v>
      </x:c>
      <x:c r="U226" s="60" t="n">
        <x:f>IF(T226="","",I226*T226)</x:f>
        <x:v>244.8450513857702</x:v>
      </x:c>
    </x:row>
    <x:row r="227" ht="18" customHeight="1">
      <x:c r="A227" s="46" t="str">
        <x:v>LME_016</x:v>
      </x:c>
      <x:c r="B227" s="46" t="str">
        <x:v>East Brazil Shelf</x:v>
      </x:c>
      <x:c r="C227" s="46" t="str">
        <x:v>LME</x:v>
      </x:c>
      <x:c r="D227" s="58" t="n">
        <x:v>2019</x:v>
      </x:c>
      <x:c r="E227" s="46" t="str">
        <x:v>Epinephelus</x:v>
      </x:c>
      <x:c r="F227" s="46" t="str">
        <x:v>Seabasses, hinds</x:v>
      </x:c>
      <x:c r="G227" s="46" t="str">
        <x:v>Medium reef assoc. fish (30 - 89 cm)</x:v>
      </x:c>
      <x:c r="H227" s="46" t="str">
        <x:v>Perch-likes</x:v>
      </x:c>
      <x:c r="I227" s="60" t="n">
        <x:v>0.7684307853</x:v>
      </x:c>
      <x:c r="J227" s="60" t="n">
        <x:v>0.7684307853</x:v>
      </x:c>
      <x:c r="K227" s="60" t="n">
        <x:v>0</x:v>
      </x:c>
      <x:c r="L227" s="60" t="n">
        <x:v>0</x:v>
      </x:c>
      <x:c r="M227" s="60" t="n">
        <x:v>0.7684307853</x:v>
      </x:c>
      <x:c r="N227" s="46" t="str">
        <x:v>epinephelus</x:v>
      </x:c>
      <x:c r="O227" s="62" t="n">
        <x:v>3.84</x:v>
      </x:c>
      <x:c r="P227" s="46" t="str">
        <x:v>exact_sea_around_us</x:v>
      </x:c>
      <x:c r="Q227" s="62" t="str">
        <x:v>Sea Around Us exploited organisms</x:v>
      </x:c>
      <x:c r="R227" s="46" t="str">
        <x:v>high</x:v>
      </x:c>
      <x:c r="S227" s="46" t="str">
        <x:v>Epinephelus</x:v>
      </x:c>
      <x:c r="T227" s="62" t="n">
        <x:f>IF(O227="","",(1/'Metadata'!$B$5)^(O227-1))</x:f>
        <x:v>691.8309709189363</x:v>
      </x:c>
      <x:c r="U227" s="60" t="n">
        <x:f>IF(T227="","",I227*T227)</x:f>
        <x:v>531.6242162780997</x:v>
      </x:c>
    </x:row>
    <x:row r="228" ht="18" customHeight="1">
      <x:c r="A228" s="46" t="str">
        <x:v>LME_016</x:v>
      </x:c>
      <x:c r="B228" s="46" t="str">
        <x:v>East Brazil Shelf</x:v>
      </x:c>
      <x:c r="C228" s="46" t="str">
        <x:v>LME</x:v>
      </x:c>
      <x:c r="D228" s="58" t="n">
        <x:v>2019</x:v>
      </x:c>
      <x:c r="E228" s="46" t="str">
        <x:v>Ginglymostoma cirratum</x:v>
      </x:c>
      <x:c r="F228" s="46" t="str">
        <x:v>Nurse shark</x:v>
      </x:c>
      <x:c r="G228" s="46" t="str">
        <x:v>Large sharks (&gt;=90 cm)</x:v>
      </x:c>
      <x:c r="H228" s="46" t="str">
        <x:v>Sharks &amp; rays</x:v>
      </x:c>
      <x:c r="I228" s="60" t="n">
        <x:v>0.7258665438</x:v>
      </x:c>
      <x:c r="J228" s="60" t="n">
        <x:v>0.7258665438</x:v>
      </x:c>
      <x:c r="K228" s="60" t="n">
        <x:v>0</x:v>
      </x:c>
      <x:c r="L228" s="60" t="n">
        <x:v>0.7209223656</x:v>
      </x:c>
      <x:c r="M228" s="60" t="n">
        <x:v>0.0049441782</x:v>
      </x:c>
      <x:c r="N228" s="46" t="str">
        <x:v>ginglymostoma cirratum</x:v>
      </x:c>
      <x:c r="O228" s="62" t="n">
        <x:v>4.15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Ginglymostoma cirratum</x:v>
      </x:c>
      <x:c r="T228" s="62" t="n">
        <x:f>IF(O228="","",(1/'Metadata'!$B$5)^(O228-1))</x:f>
        <x:v>1412.5375446227554</x:v>
      </x:c>
      <x:c r="U228" s="60" t="n">
        <x:f>IF(T228="","",I228*T228)</x:f>
        <x:v>1025.3137455030578</x:v>
      </x:c>
    </x:row>
    <x:row r="229" ht="18" customHeight="1">
      <x:c r="A229" s="46" t="str">
        <x:v>LME_016</x:v>
      </x:c>
      <x:c r="B229" s="46" t="str">
        <x:v>East Brazil Shelf</x:v>
      </x:c>
      <x:c r="C229" s="46" t="str">
        <x:v>LME</x:v>
      </x:c>
      <x:c r="D229" s="58" t="n">
        <x:v>2019</x:v>
      </x:c>
      <x:c r="E229" s="46" t="str">
        <x:v>Trachinotus goodei</x:v>
      </x:c>
      <x:c r="F229" s="46" t="str">
        <x:v>Great pompano</x:v>
      </x:c>
      <x:c r="G229" s="46" t="str">
        <x:v>Medium reef assoc. fish (30 - 89 cm)</x:v>
      </x:c>
      <x:c r="H229" s="46" t="str">
        <x:v>Perch-likes</x:v>
      </x:c>
      <x:c r="I229" s="60" t="n">
        <x:v>0.5877122528000001</x:v>
      </x:c>
      <x:c r="J229" s="60" t="n">
        <x:v>0.5877122528000001</x:v>
      </x:c>
      <x:c r="K229" s="60" t="n">
        <x:v>0</x:v>
      </x:c>
      <x:c r="L229" s="60" t="n">
        <x:v>0.5877122528000001</x:v>
      </x:c>
      <x:c r="M229" s="60" t="n">
        <x:v>0</x:v>
      </x:c>
      <x:c r="N229" s="46" t="str">
        <x:v>trachinotus goodei</x:v>
      </x:c>
      <x:c r="O229" s="62" t="n">
        <x:v>4.34</x:v>
      </x:c>
      <x:c r="P229" s="46" t="str">
        <x:v>exact_2020_supplement</x:v>
      </x:c>
      <x:c r="Q229" s="62" t="str">
        <x:v>2020 supplement MeanTL</x:v>
      </x:c>
      <x:c r="R229" s="46" t="str">
        <x:v>high</x:v>
      </x:c>
      <x:c r="S229" s="46" t="str">
        <x:v>Trachinotus goodei</x:v>
      </x:c>
      <x:c r="T229" s="62" t="n">
        <x:f>IF(O229="","",(1/'Metadata'!$B$5)^(O229-1))</x:f>
        <x:v>2187.761623949552</x:v>
      </x:c>
      <x:c r="U229" s="60" t="n">
        <x:f>IF(T229="","",I229*T229)</x:f>
        <x:v>1285.7743126007776</x:v>
      </x:c>
    </x:row>
    <x:row r="230" ht="18" customHeight="1">
      <x:c r="A230" s="46" t="str">
        <x:v>LME_016</x:v>
      </x:c>
      <x:c r="B230" s="46" t="str">
        <x:v>East Brazil Shelf</x:v>
      </x:c>
      <x:c r="C230" s="46" t="str">
        <x:v>LME</x:v>
      </x:c>
      <x:c r="D230" s="58" t="n">
        <x:v>2019</x:v>
      </x:c>
      <x:c r="E230" s="46" t="str">
        <x:v>Albulidae</x:v>
      </x:c>
      <x:c r="F230" s="46" t="str">
        <x:v>Bonefishes</x:v>
      </x:c>
      <x:c r="G230" s="46" t="str">
        <x:v>Medium reef assoc. fish (30 - 89 cm)</x:v>
      </x:c>
      <x:c r="H230" s="46" t="str">
        <x:v>Other fishes &amp; inverts</x:v>
      </x:c>
      <x:c r="I230" s="60" t="n">
        <x:v>0.5692894479999999</x:v>
      </x:c>
      <x:c r="J230" s="60" t="n">
        <x:v>0.5692894479999999</x:v>
      </x:c>
      <x:c r="K230" s="60" t="n">
        <x:v>0</x:v>
      </x:c>
      <x:c r="L230" s="60" t="n">
        <x:v>0.553904533</x:v>
      </x:c>
      <x:c r="M230" s="60" t="n">
        <x:v>0.015384915</x:v>
      </x:c>
      <x:c r="N230" s="46" t="str">
        <x:v>albulidae</x:v>
      </x:c>
      <x:c r="O230" s="62" t="n">
        <x:v>3.47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Albulidae</x:v>
      </x:c>
      <x:c r="T230" s="62" t="n">
        <x:f>IF(O230="","",(1/'Metadata'!$B$5)^(O230-1))</x:f>
        <x:v>295.1209226666387</x:v>
      </x:c>
      <x:c r="U230" s="60" t="n">
        <x:f>IF(T230="","",I230*T230)</x:f>
        <x:v>168.0092271581414</x:v>
      </x:c>
    </x:row>
    <x:row r="231" ht="18" customHeight="1">
      <x:c r="A231" s="46" t="str">
        <x:v>LME_016</x:v>
      </x:c>
      <x:c r="B231" s="46" t="str">
        <x:v>East Brazil Shelf</x:v>
      </x:c>
      <x:c r="C231" s="46" t="str">
        <x:v>LME</x:v>
      </x:c>
      <x:c r="D231" s="58" t="n">
        <x:v>2019</x:v>
      </x:c>
      <x:c r="E231" s="46" t="str">
        <x:v>Illex argentinus</x:v>
      </x:c>
      <x:c r="F231" s="46" t="str">
        <x:v>Argentine shortfin squid</x:v>
      </x:c>
      <x:c r="G231" s="46" t="str">
        <x:v>Cephalopods</x:v>
      </x:c>
      <x:c r="H231" s="46" t="str">
        <x:v>Other fishes &amp; inverts</x:v>
      </x:c>
      <x:c r="I231" s="60" t="n">
        <x:v>0.4829912179</x:v>
      </x:c>
      <x:c r="J231" s="60" t="n">
        <x:v>0.4829912179</x:v>
      </x:c>
      <x:c r="K231" s="60" t="n">
        <x:v>0</x:v>
      </x:c>
      <x:c r="L231" s="60" t="n">
        <x:v>0.466778989</x:v>
      </x:c>
      <x:c r="M231" s="60" t="n">
        <x:v>0.0162122289</x:v>
      </x:c>
      <x:c r="N231" s="46" t="str">
        <x:v>illex argentinus</x:v>
      </x:c>
      <x:c r="O231" s="62" t="n">
        <x:v>3.82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Illex argentinus</x:v>
      </x:c>
      <x:c r="T231" s="62" t="n">
        <x:f>IF(O231="","",(1/'Metadata'!$B$5)^(O231-1))</x:f>
        <x:v>660.6934480075957</x:v>
      </x:c>
      <x:c r="U231" s="60" t="n">
        <x:f>IF(T231="","",I231*T231)</x:f>
        <x:v>319.10913311173897</x:v>
      </x:c>
    </x:row>
    <x:row r="232" ht="18" customHeight="1">
      <x:c r="A232" s="46" t="str">
        <x:v>LME_016</x:v>
      </x:c>
      <x:c r="B232" s="46" t="str">
        <x:v>East Brazil Shelf</x:v>
      </x:c>
      <x:c r="C232" s="46" t="str">
        <x:v>LME</x:v>
      </x:c>
      <x:c r="D232" s="58" t="n">
        <x:v>2019</x:v>
      </x:c>
      <x:c r="E232" s="46" t="str">
        <x:v>Lampris guttatus</x:v>
      </x:c>
      <x:c r="F232" s="46" t="str">
        <x:v>Opah</x:v>
      </x:c>
      <x:c r="G232" s="46" t="str">
        <x:v>Large bathypelagics (&gt;=90 cm)</x:v>
      </x:c>
      <x:c r="H232" s="46" t="str">
        <x:v>Other fishes &amp; inverts</x:v>
      </x:c>
      <x:c r="I232" s="60" t="n">
        <x:v>0.4694781241</x:v>
      </x:c>
      <x:c r="J232" s="60" t="n">
        <x:v>0.4694781241</x:v>
      </x:c>
      <x:c r="K232" s="60" t="n">
        <x:v>0</x:v>
      </x:c>
      <x:c r="L232" s="60" t="n">
        <x:v>0.4694781241</x:v>
      </x:c>
      <x:c r="M232" s="60" t="n">
        <x:v>0</x:v>
      </x:c>
      <x:c r="N232" s="46" t="str">
        <x:v>lampris guttatus</x:v>
      </x:c>
      <x:c r="O232" s="62" t="n">
        <x:v>4.22</x:v>
      </x:c>
      <x:c r="P232" s="46" t="str">
        <x:v>exact_2020_supplement</x:v>
      </x:c>
      <x:c r="Q232" s="62" t="str">
        <x:v>2020 supplement MeanTL</x:v>
      </x:c>
      <x:c r="R232" s="46" t="str">
        <x:v>high</x:v>
      </x:c>
      <x:c r="S232" s="46" t="str">
        <x:v>Lampris guttatus</x:v>
      </x:c>
      <x:c r="T232" s="62" t="n">
        <x:f>IF(O232="","",(1/'Metadata'!$B$5)^(O232-1))</x:f>
        <x:v>1659.5869074375596</x:v>
      </x:c>
      <x:c r="U232" s="60" t="n">
        <x:f>IF(T232="","",I232*T232)</x:f>
        <x:v>779.1397480847058</x:v>
      </x:c>
    </x:row>
    <x:row r="233" ht="18" customHeight="1">
      <x:c r="A233" s="46" t="str">
        <x:v>LME_016</x:v>
      </x:c>
      <x:c r="B233" s="46" t="str">
        <x:v>East Brazil Shelf</x:v>
      </x:c>
      <x:c r="C233" s="46" t="str">
        <x:v>LME</x:v>
      </x:c>
      <x:c r="D233" s="58" t="n">
        <x:v>2019</x:v>
      </x:c>
      <x:c r="E233" s="46" t="str">
        <x:v>Mycteroperca microlepis</x:v>
      </x:c>
      <x:c r="F233" s="46" t="str">
        <x:v>Gag</x:v>
      </x:c>
      <x:c r="G233" s="46" t="str">
        <x:v>Large demersals (&gt;=90 cm)</x:v>
      </x:c>
      <x:c r="H233" s="46" t="str">
        <x:v>Perch-likes</x:v>
      </x:c>
      <x:c r="I233" s="60" t="n">
        <x:v>0.3398761122</x:v>
      </x:c>
      <x:c r="J233" s="60" t="n">
        <x:v>0.3398761122</x:v>
      </x:c>
      <x:c r="K233" s="60" t="n">
        <x:v>0</x:v>
      </x:c>
      <x:c r="L233" s="60" t="n">
        <x:v>0.3398761122</x:v>
      </x:c>
      <x:c r="M233" s="60" t="n">
        <x:v>0</x:v>
      </x:c>
      <x:c r="N233" s="46" t="str">
        <x:v>mycteroperca microlepis</x:v>
      </x:c>
      <x:c r="O233" s="62" t="n">
        <x:v>3.65</x:v>
      </x:c>
      <x:c r="P233" s="46" t="str">
        <x:v>exact_2020_supplement</x:v>
      </x:c>
      <x:c r="Q233" s="62" t="str">
        <x:v>2020 supplement MeanTL</x:v>
      </x:c>
      <x:c r="R233" s="46" t="str">
        <x:v>high</x:v>
      </x:c>
      <x:c r="S233" s="46" t="str">
        <x:v>Mycteroperca microlepis</x:v>
      </x:c>
      <x:c r="T233" s="62" t="n">
        <x:f>IF(O233="","",(1/'Metadata'!$B$5)^(O233-1))</x:f>
        <x:v>446.683592150963</x:v>
      </x:c>
      <x:c r="U233" s="60" t="n">
        <x:f>IF(T233="","",I233*T233)</x:f>
        <x:v>151.81708268379975</x:v>
      </x:c>
    </x:row>
    <x:row r="234" ht="18" customHeight="1">
      <x:c r="A234" s="46" t="str">
        <x:v>LME_016</x:v>
      </x:c>
      <x:c r="B234" s="46" t="str">
        <x:v>East Brazil Shelf</x:v>
      </x:c>
      <x:c r="C234" s="46" t="str">
        <x:v>LME</x:v>
      </x:c>
      <x:c r="D234" s="58" t="n">
        <x:v>2019</x:v>
      </x:c>
      <x:c r="E234" s="46" t="str">
        <x:v>Sphyrna mokarran</x:v>
      </x:c>
      <x:c r="F234" s="46" t="str">
        <x:v>Great hammerhead</x:v>
      </x:c>
      <x:c r="G234" s="46" t="str">
        <x:v>Large sharks (&gt;=90 cm)</x:v>
      </x:c>
      <x:c r="H234" s="46" t="str">
        <x:v>Sharks &amp; rays</x:v>
      </x:c>
      <x:c r="I234" s="60" t="n">
        <x:v>0.3098100374</x:v>
      </x:c>
      <x:c r="J234" s="60" t="n">
        <x:v>0.3098100374</x:v>
      </x:c>
      <x:c r="K234" s="60" t="n">
        <x:v>0</x:v>
      </x:c>
      <x:c r="L234" s="60" t="n">
        <x:v>0.3098100374</x:v>
      </x:c>
      <x:c r="M234" s="60" t="n">
        <x:v>0</x:v>
      </x:c>
      <x:c r="N234" s="46" t="str">
        <x:v>sphyrna mokarran</x:v>
      </x:c>
      <x:c r="O234" s="62" t="n">
        <x:v>4.32</x:v>
      </x:c>
      <x:c r="P234" s="46" t="str">
        <x:v>exact_2020_supplement</x:v>
      </x:c>
      <x:c r="Q234" s="62" t="str">
        <x:v>2020 supplement MeanTL</x:v>
      </x:c>
      <x:c r="R234" s="46" t="str">
        <x:v>high</x:v>
      </x:c>
      <x:c r="S234" s="46" t="str">
        <x:v>Sphyrna mokarran</x:v>
      </x:c>
      <x:c r="T234" s="62" t="n">
        <x:f>IF(O234="","",(1/'Metadata'!$B$5)^(O234-1))</x:f>
        <x:v>2089.2961308540407</x:v>
      </x:c>
      <x:c r="U234" s="60" t="n">
        <x:f>IF(T234="","",I234*T234)</x:f>
        <x:v>647.2849124395657</x:v>
      </x:c>
    </x:row>
    <x:row r="235" ht="18" customHeight="1">
      <x:c r="A235" s="46" t="str">
        <x:v>LME_016</x:v>
      </x:c>
      <x:c r="B235" s="46" t="str">
        <x:v>East Brazil Shelf</x:v>
      </x:c>
      <x:c r="C235" s="46" t="str">
        <x:v>LME</x:v>
      </x:c>
      <x:c r="D235" s="58" t="n">
        <x:v>2019</x:v>
      </x:c>
      <x:c r="E235" s="46" t="str">
        <x:v>Beryx splendens</x:v>
      </x:c>
      <x:c r="F235" s="46" t="str">
        <x:v>Splendid alfonsino</x:v>
      </x:c>
      <x:c r="G235" s="46" t="str">
        <x:v>Medium benthopelagics (30 - 89 cm)</x:v>
      </x:c>
      <x:c r="H235" s="46" t="str">
        <x:v>Other fishes &amp; inverts</x:v>
      </x:c>
      <x:c r="I235" s="60" t="n">
        <x:v>0.27320175939999997</x:v>
      </x:c>
      <x:c r="J235" s="60" t="n">
        <x:v>0.27320175939999997</x:v>
      </x:c>
      <x:c r="K235" s="60" t="n">
        <x:v>0</x:v>
      </x:c>
      <x:c r="L235" s="60" t="n">
        <x:v>0.2651072881</x:v>
      </x:c>
      <x:c r="M235" s="60" t="n">
        <x:v>0.008094471300000001</x:v>
      </x:c>
      <x:c r="N235" s="46" t="str">
        <x:v>beryx splendens</x:v>
      </x:c>
      <x:c r="O235" s="62" t="n">
        <x:v>4.27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Beryx splendens</x:v>
      </x:c>
      <x:c r="T235" s="62" t="n">
        <x:f>IF(O235="","",(1/'Metadata'!$B$5)^(O235-1))</x:f>
        <x:v>1862.0871366628655</x:v>
      </x:c>
      <x:c r="U235" s="60" t="n">
        <x:f>IF(T235="","",I235*T235)</x:f>
        <x:v>508.725481892403</x:v>
      </x:c>
    </x:row>
    <x:row r="236" ht="18" customHeight="1">
      <x:c r="A236" s="46" t="str">
        <x:v>LME_016</x:v>
      </x:c>
      <x:c r="B236" s="46" t="str">
        <x:v>East Brazil Shelf</x:v>
      </x:c>
      <x:c r="C236" s="46" t="str">
        <x:v>LME</x:v>
      </x:c>
      <x:c r="D236" s="58" t="n">
        <x:v>2019</x:v>
      </x:c>
      <x:c r="E236" s="46" t="str">
        <x:v>Ephippidae</x:v>
      </x:c>
      <x:c r="F236" s="46" t="str">
        <x:v>Spade-, batfishes, scats</x:v>
      </x:c>
      <x:c r="G236" s="46" t="str">
        <x:v>Medium reef assoc. fish (30 - 89 cm)</x:v>
      </x:c>
      <x:c r="H236" s="46" t="str">
        <x:v>Perch-likes</x:v>
      </x:c>
      <x:c r="I236" s="60" t="n">
        <x:v>0.2672744031</x:v>
      </x:c>
      <x:c r="J236" s="60" t="n">
        <x:v>0.2672744031</x:v>
      </x:c>
      <x:c r="K236" s="60" t="n">
        <x:v>0</x:v>
      </x:c>
      <x:c r="L236" s="60" t="n">
        <x:v>0</x:v>
      </x:c>
      <x:c r="M236" s="60" t="n">
        <x:v>0.2672744031</x:v>
      </x:c>
      <x:c r="N236" s="46" t="str">
        <x:v>ephippidae</x:v>
      </x:c>
      <x:c r="O236" s="62" t="n">
        <x:v>3.57</x:v>
      </x:c>
      <x:c r="P236" s="46" t="str">
        <x:v>exact_sea_around_us</x:v>
      </x:c>
      <x:c r="Q236" s="62" t="str">
        <x:v>Sea Around Us exploited organisms</x:v>
      </x:c>
      <x:c r="R236" s="46" t="str">
        <x:v>high</x:v>
      </x:c>
      <x:c r="S236" s="46" t="str">
        <x:v>Ephippidae</x:v>
      </x:c>
      <x:c r="T236" s="62" t="n">
        <x:f>IF(O236="","",(1/'Metadata'!$B$5)^(O236-1))</x:f>
        <x:v>371.5352290971724</x:v>
      </x:c>
      <x:c r="U236" s="60" t="n">
        <x:f>IF(T236="","",I236*T236)</x:f>
        <x:v>99.30185658756851</x:v>
      </x:c>
    </x:row>
    <x:row r="237" ht="18" customHeight="1">
      <x:c r="A237" s="46" t="str">
        <x:v>LME_016</x:v>
      </x:c>
      <x:c r="B237" s="46" t="str">
        <x:v>East Brazil Shelf</x:v>
      </x:c>
      <x:c r="C237" s="46" t="str">
        <x:v>LME</x:v>
      </x:c>
      <x:c r="D237" s="58" t="n">
        <x:v>2019</x:v>
      </x:c>
      <x:c r="E237" s="46" t="str">
        <x:v>Balistes</x:v>
      </x:c>
      <x:c r="F237" s="46" t="str">
        <x:v>Triggerfish</x:v>
      </x:c>
      <x:c r="G237" s="46" t="str">
        <x:v>Medium reef assoc. fish (30 - 89 cm)</x:v>
      </x:c>
      <x:c r="H237" s="46" t="str">
        <x:v>Other fishes &amp; inverts</x:v>
      </x:c>
      <x:c r="I237" s="60" t="n">
        <x:v>0.22880388010000002</x:v>
      </x:c>
      <x:c r="J237" s="60" t="n">
        <x:v>0.22880388010000002</x:v>
      </x:c>
      <x:c r="K237" s="60" t="n">
        <x:v>0</x:v>
      </x:c>
      <x:c r="L237" s="60" t="n">
        <x:v>0</x:v>
      </x:c>
      <x:c r="M237" s="60" t="n">
        <x:v>0.22880388010000002</x:v>
      </x:c>
      <x:c r="N237" s="46" t="str">
        <x:v>balistes</x:v>
      </x:c>
      <x:c r="O237" s="62" t="n">
        <x:v>3.94</x:v>
      </x:c>
      <x:c r="P237" s="46" t="str">
        <x:v>exact_sea_around_us</x:v>
      </x:c>
      <x:c r="Q237" s="62" t="str">
        <x:v>Sea Around Us exploited organisms</x:v>
      </x:c>
      <x:c r="R237" s="46" t="str">
        <x:v>high</x:v>
      </x:c>
      <x:c r="S237" s="46" t="str">
        <x:v>Balistes</x:v>
      </x:c>
      <x:c r="T237" s="62" t="n">
        <x:f>IF(O237="","",(1/'Metadata'!$B$5)^(O237-1))</x:f>
        <x:v>870.9635899560806</x:v>
      </x:c>
      <x:c r="U237" s="60" t="n">
        <x:f>IF(T237="","",I237*T237)</x:f>
        <x:v>199.27984880777663</x:v>
      </x:c>
    </x:row>
    <x:row r="238" ht="18" customHeight="1">
      <x:c r="A238" s="46" t="str">
        <x:v>LME_016</x:v>
      </x:c>
      <x:c r="B238" s="46" t="str">
        <x:v>East Brazil Shelf</x:v>
      </x:c>
      <x:c r="C238" s="46" t="str">
        <x:v>LME</x:v>
      </x:c>
      <x:c r="D238" s="58" t="n">
        <x:v>2019</x:v>
      </x:c>
      <x:c r="E238" s="46" t="str">
        <x:v>Tetrapturus pfluegeri</x:v>
      </x:c>
      <x:c r="F238" s="46" t="str">
        <x:v>Longbill spearfish</x:v>
      </x:c>
      <x:c r="G238" s="46" t="str">
        <x:v>Large pelagics (&gt;=90 cm)</x:v>
      </x:c>
      <x:c r="H238" s="46" t="str">
        <x:v>Tuna &amp; billfishes</x:v>
      </x:c>
      <x:c r="I238" s="60" t="n">
        <x:v>0.2270420046</x:v>
      </x:c>
      <x:c r="J238" s="60" t="n">
        <x:v>0.2270420046</x:v>
      </x:c>
      <x:c r="K238" s="60" t="n">
        <x:v>0</x:v>
      </x:c>
      <x:c r="L238" s="60" t="n">
        <x:v>0.2270420046</x:v>
      </x:c>
      <x:c r="M238" s="60" t="n">
        <x:v>0</x:v>
      </x:c>
      <x:c r="N238" s="46" t="str">
        <x:v>tetrapturus pfluegeri</x:v>
      </x:c>
      <x:c r="O238" s="62" t="n">
        <x:v>4.4</x:v>
      </x:c>
      <x:c r="P238" s="46" t="str">
        <x:v>exact_2020_supplement</x:v>
      </x:c>
      <x:c r="Q238" s="62" t="str">
        <x:v>2020 supplement MeanTL</x:v>
      </x:c>
      <x:c r="R238" s="46" t="str">
        <x:v>high</x:v>
      </x:c>
      <x:c r="S238" s="46" t="str">
        <x:v>Tetrapturus pfluegeri</x:v>
      </x:c>
      <x:c r="T238" s="62" t="n">
        <x:f>IF(O238="","",(1/'Metadata'!$B$5)^(O238-1))</x:f>
        <x:v>2511.886431509582</x:v>
      </x:c>
      <x:c r="U238" s="60" t="n">
        <x:f>IF(T238="","",I238*T238)</x:f>
        <x:v>570.3037307374761</x:v>
      </x:c>
    </x:row>
    <x:row r="239" ht="18" customHeight="1">
      <x:c r="A239" s="46" t="str">
        <x:v>LME_016</x:v>
      </x:c>
      <x:c r="B239" s="46" t="str">
        <x:v>East Brazil Shelf</x:v>
      </x:c>
      <x:c r="C239" s="46" t="str">
        <x:v>LME</x:v>
      </x:c>
      <x:c r="D239" s="58" t="n">
        <x:v>2019</x:v>
      </x:c>
      <x:c r="E239" s="46" t="str">
        <x:v>Gastropoda</x:v>
      </x:c>
      <x:c r="F239" s="46" t="str">
        <x:v>Sea snails</x:v>
      </x:c>
      <x:c r="G239" s="46" t="str">
        <x:v>Other demersal invertebrates</x:v>
      </x:c>
      <x:c r="H239" s="46" t="str">
        <x:v>Molluscs</x:v>
      </x:c>
      <x:c r="I239" s="60" t="n">
        <x:v>0.08053116</x:v>
      </x:c>
      <x:c r="J239" s="60" t="n">
        <x:v>0.08053116</x:v>
      </x:c>
      <x:c r="K239" s="60" t="n">
        <x:v>0</x:v>
      </x:c>
      <x:c r="L239" s="60" t="n">
        <x:v>0.08053116</x:v>
      </x:c>
      <x:c r="M239" s="60" t="n">
        <x:v>0</x:v>
      </x:c>
      <x:c r="N239" s="46" t="str">
        <x:v>gastropoda</x:v>
      </x:c>
      <x:c r="O239" s="62" t="n">
        <x:v>3.06</x:v>
      </x:c>
      <x:c r="P239" s="46" t="str">
        <x:v>exact_sea_around_us</x:v>
      </x:c>
      <x:c r="Q239" s="62" t="str">
        <x:v>Sea Around Us exploited organisms</x:v>
      </x:c>
      <x:c r="R239" s="46" t="str">
        <x:v>high</x:v>
      </x:c>
      <x:c r="S239" s="46" t="str">
        <x:v>Gastropoda</x:v>
      </x:c>
      <x:c r="T239" s="62" t="n">
        <x:f>IF(O239="","",(1/'Metadata'!$B$5)^(O239-1))</x:f>
        <x:v>114.81536214968828</x:v>
      </x:c>
      <x:c r="U239" s="60" t="n">
        <x:f>IF(T239="","",I239*T239)</x:f>
        <x:v>9.246214299734492</x:v>
      </x:c>
    </x:row>
    <x:row r="240" ht="18" customHeight="1">
      <x:c r="A240" s="46" t="str">
        <x:v>LME_016</x:v>
      </x:c>
      <x:c r="B240" s="46" t="str">
        <x:v>East Brazil Shelf</x:v>
      </x:c>
      <x:c r="C240" s="46" t="str">
        <x:v>LME</x:v>
      </x:c>
      <x:c r="D240" s="58" t="n">
        <x:v>2019</x:v>
      </x:c>
      <x:c r="E240" s="46" t="str">
        <x:v>Hyporthodus flavolimbatus</x:v>
      </x:c>
      <x:c r="F240" s="46" t="str">
        <x:v>Yellowedge grouper</x:v>
      </x:c>
      <x:c r="G240" s="46" t="str">
        <x:v>Large demersals (&gt;=90 cm)</x:v>
      </x:c>
      <x:c r="H240" s="46" t="str">
        <x:v>Perch-likes</x:v>
      </x:c>
      <x:c r="I240" s="60" t="n">
        <x:v>0.0591772348</x:v>
      </x:c>
      <x:c r="J240" s="60" t="n">
        <x:v>0.0591772348</x:v>
      </x:c>
      <x:c r="K240" s="60" t="n">
        <x:v>0</x:v>
      </x:c>
      <x:c r="L240" s="60" t="n">
        <x:v>0.0577322214</x:v>
      </x:c>
      <x:c r="M240" s="60" t="n">
        <x:v>0.0014450134</x:v>
      </x:c>
      <x:c r="N240" s="46" t="str">
        <x:v>hyporthodus flavolimbatus</x:v>
      </x:c>
      <x:c r="O240" s="62" t="n">
        <x:v>3.82</x:v>
      </x:c>
      <x:c r="P240" s="46" t="str">
        <x:v>exact_2020_supplement</x:v>
      </x:c>
      <x:c r="Q240" s="62" t="str">
        <x:v>2020 supplement MeanTL</x:v>
      </x:c>
      <x:c r="R240" s="46" t="str">
        <x:v>high</x:v>
      </x:c>
      <x:c r="S240" s="46" t="str">
        <x:v>Hyporthodus flavolimbatus</x:v>
      </x:c>
      <x:c r="T240" s="62" t="n">
        <x:f>IF(O240="","",(1/'Metadata'!$B$5)^(O240-1))</x:f>
        <x:v>660.6934480075957</x:v>
      </x:c>
      <x:c r="U240" s="60" t="n">
        <x:f>IF(T240="","",I240*T240)</x:f>
        <x:v>39.098011303567084</x:v>
      </x:c>
    </x:row>
    <x:row r="241" ht="18" customHeight="1">
      <x:c r="A241" s="46" t="str">
        <x:v>LME_016</x:v>
      </x:c>
      <x:c r="B241" s="46" t="str">
        <x:v>East Brazil Shelf</x:v>
      </x:c>
      <x:c r="C241" s="46" t="str">
        <x:v>LME</x:v>
      </x:c>
      <x:c r="D241" s="58" t="n">
        <x:v>2019</x:v>
      </x:c>
      <x:c r="E241" s="46" t="str">
        <x:v>Anchoa spinifer</x:v>
      </x:c>
      <x:c r="F241" s="46" t="str">
        <x:v>Spicule anchovy</x:v>
      </x:c>
      <x:c r="G241" s="46" t="str">
        <x:v>Small pelagics (&lt;30 cm)</x:v>
      </x:c>
      <x:c r="H241" s="46" t="str">
        <x:v>Anchovies</x:v>
      </x:c>
      <x:c r="I241" s="60" t="n">
        <x:v>0.0573455829</x:v>
      </x:c>
      <x:c r="J241" s="60" t="n">
        <x:v>0.0573455829</x:v>
      </x:c>
      <x:c r="K241" s="60" t="n">
        <x:v>0</x:v>
      </x:c>
      <x:c r="L241" s="60" t="n">
        <x:v>0.0573455829</x:v>
      </x:c>
      <x:c r="M241" s="60" t="n">
        <x:v>0</x:v>
      </x:c>
      <x:c r="N241" s="46" t="str">
        <x:v>anchoa spinifer</x:v>
      </x:c>
      <x:c r="O241" s="62" t="n">
        <x:v>4.09</x:v>
      </x:c>
      <x:c r="P241" s="46" t="str">
        <x:v>exact_2020_supplement</x:v>
      </x:c>
      <x:c r="Q241" s="62" t="str">
        <x:v>2020 supplement MeanTL</x:v>
      </x:c>
      <x:c r="R241" s="46" t="str">
        <x:v>high</x:v>
      </x:c>
      <x:c r="S241" s="46" t="str">
        <x:v>Anchoa spinifer</x:v>
      </x:c>
      <x:c r="T241" s="62" t="n">
        <x:f>IF(O241="","",(1/'Metadata'!$B$5)^(O241-1))</x:f>
        <x:v>1230.268770812381</x:v>
      </x:c>
      <x:c r="U241" s="60" t="n">
        <x:f>IF(T241="","",I241*T241)</x:f>
        <x:v>70.5504797859025</x:v>
      </x:c>
    </x:row>
    <x:row r="242" ht="18" customHeight="1">
      <x:c r="A242" s="46" t="str">
        <x:v>LME_016</x:v>
      </x:c>
      <x:c r="B242" s="46" t="str">
        <x:v>East Brazil Shelf</x:v>
      </x:c>
      <x:c r="C242" s="46" t="str">
        <x:v>LME</x:v>
      </x:c>
      <x:c r="D242" s="58" t="n">
        <x:v>2019</x:v>
      </x:c>
      <x:c r="E242" s="46" t="str">
        <x:v>Sphyrna tiburo</x:v>
      </x:c>
      <x:c r="F242" s="46" t="str">
        <x:v>Bonnethead</x:v>
      </x:c>
      <x:c r="G242" s="46" t="str">
        <x:v>Large sharks (&gt;=90 cm)</x:v>
      </x:c>
      <x:c r="H242" s="46" t="str">
        <x:v>Sharks &amp; rays</x:v>
      </x:c>
      <x:c r="I242" s="60" t="n">
        <x:v>0.0566980532</x:v>
      </x:c>
      <x:c r="J242" s="60" t="n">
        <x:v>0.0566980532</x:v>
      </x:c>
      <x:c r="K242" s="60" t="n">
        <x:v>0</x:v>
      </x:c>
      <x:c r="L242" s="60" t="n">
        <x:v>0.0566980532</x:v>
      </x:c>
      <x:c r="M242" s="60" t="n">
        <x:v>0</x:v>
      </x:c>
      <x:c r="N242" s="46" t="str">
        <x:v>sphyrna tiburo</x:v>
      </x:c>
      <x:c r="O242" s="62" t="n">
        <x:v>3.88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Sphyrna tiburo</x:v>
      </x:c>
      <x:c r="T242" s="62" t="n">
        <x:f>IF(O242="","",(1/'Metadata'!$B$5)^(O242-1))</x:f>
        <x:v>758.5775750291835</x:v>
      </x:c>
      <x:c r="U242" s="60" t="n">
        <x:f>IF(T242="","",I242*T242)</x:f>
        <x:v>43.00987170533164</x:v>
      </x:c>
    </x:row>
    <x:row r="243" ht="18" customHeight="1">
      <x:c r="A243" s="46" t="str">
        <x:v>LME_016</x:v>
      </x:c>
      <x:c r="B243" s="46" t="str">
        <x:v>East Brazil Shelf</x:v>
      </x:c>
      <x:c r="C243" s="46" t="str">
        <x:v>LME</x:v>
      </x:c>
      <x:c r="D243" s="58" t="n">
        <x:v>2019</x:v>
      </x:c>
      <x:c r="E243" s="46" t="str">
        <x:v>Mulloidichthys martinicus</x:v>
      </x:c>
      <x:c r="F243" s="46" t="str">
        <x:v>Yellow goatfish</x:v>
      </x:c>
      <x:c r="G243" s="46" t="str">
        <x:v>Medium reef assoc. fish (30 - 89 cm)</x:v>
      </x:c>
      <x:c r="H243" s="46" t="str">
        <x:v>Perch-likes</x:v>
      </x:c>
      <x:c r="I243" s="60" t="n">
        <x:v>0.0482864706</x:v>
      </x:c>
      <x:c r="J243" s="60" t="n">
        <x:v>0.0482864706</x:v>
      </x:c>
      <x:c r="K243" s="60" t="n">
        <x:v>0</x:v>
      </x:c>
      <x:c r="L243" s="60" t="n">
        <x:v>0.0467530689</x:v>
      </x:c>
      <x:c r="M243" s="60" t="n">
        <x:v>0.0015334017</x:v>
      </x:c>
      <x:c r="N243" s="46" t="str">
        <x:v>mulloidichthys martinicus</x:v>
      </x:c>
      <x:c r="O243" s="62" t="n">
        <x:v>3.21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Mulloidichthys martinicus</x:v>
      </x:c>
      <x:c r="T243" s="62" t="n">
        <x:f>IF(O243="","",(1/'Metadata'!$B$5)^(O243-1))</x:f>
        <x:v>162.18100973589299</x:v>
      </x:c>
      <x:c r="U243" s="60" t="n">
        <x:f>IF(T243="","",I243*T243)</x:f>
        <x:v>7.8311485584905105</x:v>
      </x:c>
    </x:row>
    <x:row r="244" ht="18" customHeight="1">
      <x:c r="A244" s="46" t="str">
        <x:v>LME_016</x:v>
      </x:c>
      <x:c r="B244" s="46" t="str">
        <x:v>East Brazil Shelf</x:v>
      </x:c>
      <x:c r="C244" s="46" t="str">
        <x:v>LME</x:v>
      </x:c>
      <x:c r="D244" s="58" t="n">
        <x:v>2019</x:v>
      </x:c>
      <x:c r="E244" s="46" t="str">
        <x:v>Muraenidae</x:v>
      </x:c>
      <x:c r="F244" s="46" t="str">
        <x:v>Moray eels</x:v>
      </x:c>
      <x:c r="G244" s="46" t="str">
        <x:v>Large reef assoc. fish (&gt;=90 cm)</x:v>
      </x:c>
      <x:c r="H244" s="46" t="str">
        <x:v>Other fishes &amp; inverts</x:v>
      </x:c>
      <x:c r="I244" s="60" t="n">
        <x:v>0.0421517697</x:v>
      </x:c>
      <x:c r="J244" s="60" t="n">
        <x:v>0.0421517697</x:v>
      </x:c>
      <x:c r="K244" s="60" t="n">
        <x:v>0</x:v>
      </x:c>
      <x:c r="L244" s="60" t="n">
        <x:v>0.0421517697</x:v>
      </x:c>
      <x:c r="M244" s="60" t="n">
        <x:v>0</x:v>
      </x:c>
      <x:c r="N244" s="46" t="str">
        <x:v>muraenidae</x:v>
      </x:c>
      <x:c r="O244" s="62" t="n">
        <x:v>4.07</x:v>
      </x:c>
      <x:c r="P244" s="46" t="str">
        <x:v>exact_sea_around_us</x:v>
      </x:c>
      <x:c r="Q244" s="62" t="str">
        <x:v>Sea Around Us exploited organisms</x:v>
      </x:c>
      <x:c r="R244" s="46" t="str">
        <x:v>high</x:v>
      </x:c>
      <x:c r="S244" s="46" t="str">
        <x:v>Muraenidae</x:v>
      </x:c>
      <x:c r="T244" s="62" t="n">
        <x:f>IF(O244="","",(1/'Metadata'!$B$5)^(O244-1))</x:f>
        <x:v>1174.8975549395302</x:v>
      </x:c>
      <x:c r="U244" s="60" t="n">
        <x:f>IF(T244="","",I244*T244)</x:f>
        <x:v>49.52401115690417</x:v>
      </x:c>
    </x:row>
    <x:row r="245" ht="18" customHeight="1">
      <x:c r="A245" s="46" t="str">
        <x:v>LME_016</x:v>
      </x:c>
      <x:c r="B245" s="46" t="str">
        <x:v>East Brazil Shelf</x:v>
      </x:c>
      <x:c r="C245" s="46" t="str">
        <x:v>LME</x:v>
      </x:c>
      <x:c r="D245" s="58" t="n">
        <x:v>2019</x:v>
      </x:c>
      <x:c r="E245" s="46" t="str">
        <x:v>Thunnus</x:v>
      </x:c>
      <x:c r="F245" s="46" t="str">
        <x:v>Tunas</x:v>
      </x:c>
      <x:c r="G245" s="46" t="str">
        <x:v>Large pelagics (&gt;=90 cm)</x:v>
      </x:c>
      <x:c r="H245" s="46" t="str">
        <x:v>Tuna &amp; billfishes</x:v>
      </x:c>
      <x:c r="I245" s="60" t="n">
        <x:v>0.0332056818</x:v>
      </x:c>
      <x:c r="J245" s="60" t="n">
        <x:v>0.0332056818</x:v>
      </x:c>
      <x:c r="K245" s="60" t="n">
        <x:v>0</x:v>
      </x:c>
      <x:c r="L245" s="60" t="n">
        <x:v>0.0332056818</x:v>
      </x:c>
      <x:c r="M245" s="60" t="n">
        <x:v>0</x:v>
      </x:c>
      <x:c r="N245" s="46" t="str">
        <x:v>thunnus</x:v>
      </x:c>
      <x:c r="O245" s="62" t="n">
        <x:v>4.34</x:v>
      </x:c>
      <x:c r="P245" s="46" t="str">
        <x:v>exact_sea_around_us</x:v>
      </x:c>
      <x:c r="Q245" s="62" t="str">
        <x:v>Sea Around Us exploited organisms</x:v>
      </x:c>
      <x:c r="R245" s="46" t="str">
        <x:v>high</x:v>
      </x:c>
      <x:c r="S245" s="46" t="str">
        <x:v>Thunnus</x:v>
      </x:c>
      <x:c r="T245" s="62" t="n">
        <x:f>IF(O245="","",(1/'Metadata'!$B$5)^(O245-1))</x:f>
        <x:v>2187.761623949552</x:v>
      </x:c>
      <x:c r="U245" s="60" t="n">
        <x:f>IF(T245="","",I245*T245)</x:f>
        <x:v>72.64611633912007</x:v>
      </x:c>
    </x:row>
    <x:row r="246" ht="18" customHeight="1">
      <x:c r="A246" s="46" t="str">
        <x:v>LME_016</x:v>
      </x:c>
      <x:c r="B246" s="46" t="str">
        <x:v>East Brazil Shelf</x:v>
      </x:c>
      <x:c r="C246" s="46" t="str">
        <x:v>LME</x:v>
      </x:c>
      <x:c r="D246" s="58" t="n">
        <x:v>2019</x:v>
      </x:c>
      <x:c r="E246" s="46" t="str">
        <x:v>Macrouridae</x:v>
      </x:c>
      <x:c r="F246" s="46" t="str">
        <x:v>Grenadiers, rattails</x:v>
      </x:c>
      <x:c r="G246" s="46" t="str">
        <x:v>Medium benthopelagics (30 - 89 cm)</x:v>
      </x:c>
      <x:c r="H246" s="46" t="str">
        <x:v>Cod-likes</x:v>
      </x:c>
      <x:c r="I246" s="60" t="n">
        <x:v>0.033043890299999996</x:v>
      </x:c>
      <x:c r="J246" s="60" t="n">
        <x:v>0.033043890299999996</x:v>
      </x:c>
      <x:c r="K246" s="60" t="n">
        <x:v>0</x:v>
      </x:c>
      <x:c r="L246" s="60" t="n">
        <x:v>0.033043890299999996</x:v>
      </x:c>
      <x:c r="M246" s="60" t="n">
        <x:v>0</x:v>
      </x:c>
      <x:c r="N246" s="46" t="str">
        <x:v>macrouridae</x:v>
      </x:c>
      <x:c r="O246" s="62" t="n">
        <x:v>3.88</x:v>
      </x:c>
      <x:c r="P246" s="46" t="str">
        <x:v>exact_sea_around_us</x:v>
      </x:c>
      <x:c r="Q246" s="62" t="str">
        <x:v>Sea Around Us exploited organisms</x:v>
      </x:c>
      <x:c r="R246" s="46" t="str">
        <x:v>high</x:v>
      </x:c>
      <x:c r="S246" s="46" t="str">
        <x:v>Macrouridae</x:v>
      </x:c>
      <x:c r="T246" s="62" t="n">
        <x:f>IF(O246="","",(1/'Metadata'!$B$5)^(O246-1))</x:f>
        <x:v>758.5775750291835</x:v>
      </x:c>
      <x:c r="U246" s="60" t="n">
        <x:f>IF(T246="","",I246*T246)</x:f>
        <x:v>25.066354173304358</x:v>
      </x:c>
    </x:row>
    <x:row r="247" ht="18" customHeight="1">
      <x:c r="A247" s="46" t="str">
        <x:v>LME_016</x:v>
      </x:c>
      <x:c r="B247" s="46" t="str">
        <x:v>East Brazil Shelf</x:v>
      </x:c>
      <x:c r="C247" s="46" t="str">
        <x:v>LME</x:v>
      </x:c>
      <x:c r="D247" s="58" t="n">
        <x:v>2019</x:v>
      </x:c>
      <x:c r="E247" s="46" t="str">
        <x:v>Engraulis anchoita</x:v>
      </x:c>
      <x:c r="F247" s="46" t="str">
        <x:v>Argentine anchovy</x:v>
      </x:c>
      <x:c r="G247" s="46" t="str">
        <x:v>Small pelagics (&lt;30 cm)</x:v>
      </x:c>
      <x:c r="H247" s="46" t="str">
        <x:v>Anchovies</x:v>
      </x:c>
      <x:c r="I247" s="60" t="n">
        <x:v>0.0192435408</x:v>
      </x:c>
      <x:c r="J247" s="60" t="n">
        <x:v>0.0192435408</x:v>
      </x:c>
      <x:c r="K247" s="60" t="n">
        <x:v>0</x:v>
      </x:c>
      <x:c r="L247" s="60" t="n">
        <x:v>0.0113614563</x:v>
      </x:c>
      <x:c r="M247" s="60" t="n">
        <x:v>0.007882084499999999</x:v>
      </x:c>
      <x:c r="N247" s="46" t="str">
        <x:v>engraulis anchoita</x:v>
      </x:c>
      <x:c r="O247" s="62" t="n">
        <x:v>2.51</x:v>
      </x:c>
      <x:c r="P247" s="46" t="str">
        <x:v>exact_2020_supplement</x:v>
      </x:c>
      <x:c r="Q247" s="62" t="str">
        <x:v>2020 supplement MeanTL</x:v>
      </x:c>
      <x:c r="R247" s="46" t="str">
        <x:v>high</x:v>
      </x:c>
      <x:c r="S247" s="46" t="str">
        <x:v>Engraulis anchoita</x:v>
      </x:c>
      <x:c r="T247" s="62" t="n">
        <x:f>IF(O247="","",(1/'Metadata'!$B$5)^(O247-1))</x:f>
        <x:v>32.35936569296281</x:v>
      </x:c>
      <x:c r="U247" s="60" t="n">
        <x:f>IF(T247="","",I247*T247)</x:f>
        <x:v>0.6227087739746502</x:v>
      </x:c>
    </x:row>
    <x:row r="248" ht="18" customHeight="1">
      <x:c r="A248" s="46" t="str">
        <x:v>LME_016</x:v>
      </x:c>
      <x:c r="B248" s="46" t="str">
        <x:v>East Brazil Shelf</x:v>
      </x:c>
      <x:c r="C248" s="46" t="str">
        <x:v>LME</x:v>
      </x:c>
      <x:c r="D248" s="58" t="n">
        <x:v>2019</x:v>
      </x:c>
      <x:c r="E248" s="46" t="str">
        <x:v>Notorynchus cepedianus</x:v>
      </x:c>
      <x:c r="F248" s="46" t="str">
        <x:v>Broadnose sevengill shark</x:v>
      </x:c>
      <x:c r="G248" s="46" t="str">
        <x:v>Large sharks (&gt;=90 cm)</x:v>
      </x:c>
      <x:c r="H248" s="46" t="str">
        <x:v>Sharks &amp; rays</x:v>
      </x:c>
      <x:c r="I248" s="60" t="n">
        <x:v>0.0132793947</x:v>
      </x:c>
      <x:c r="J248" s="60" t="n">
        <x:v>0.0132793947</x:v>
      </x:c>
      <x:c r="K248" s="60" t="n">
        <x:v>0</x:v>
      </x:c>
      <x:c r="L248" s="60" t="n">
        <x:v>0.012810378</x:v>
      </x:c>
      <x:c r="M248" s="60" t="n">
        <x:v>0.0004690167</x:v>
      </x:c>
      <x:c r="N248" s="46" t="str">
        <x:v>notorynchus cepedianus</x:v>
      </x:c>
      <x:c r="O248" s="62" t="n">
        <x:v>4.68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Notorynchus cepedianus</x:v>
      </x:c>
      <x:c r="T248" s="62" t="n">
        <x:f>IF(O248="","",(1/'Metadata'!$B$5)^(O248-1))</x:f>
        <x:v>4786.30092322638</x:v>
      </x:c>
      <x:c r="U248" s="60" t="n">
        <x:f>IF(T248="","",I248*T248)</x:f>
        <x:v>63.5591791124975</x:v>
      </x:c>
    </x:row>
    <x:row r="249" ht="18" customHeight="1">
      <x:c r="A249" s="46" t="str">
        <x:v>LME_016</x:v>
      </x:c>
      <x:c r="B249" s="46" t="str">
        <x:v>East Brazil Shelf</x:v>
      </x:c>
      <x:c r="C249" s="46" t="str">
        <x:v>LME</x:v>
      </x:c>
      <x:c r="D249" s="58" t="n">
        <x:v>2019</x:v>
      </x:c>
      <x:c r="E249" s="46" t="str">
        <x:v>Lactophrys</x:v>
      </x:c>
      <x:c r="F249" s="46" t="str">
        <x:v>Cowfishes</x:v>
      </x:c>
      <x:c r="G249" s="46" t="str">
        <x:v>Medium reef assoc. fish (30 - 89 cm)</x:v>
      </x:c>
      <x:c r="H249" s="46" t="str">
        <x:v>Other fishes &amp; inverts</x:v>
      </x:c>
      <x:c r="I249" s="60" t="n">
        <x:v>0.0123951543</x:v>
      </x:c>
      <x:c r="J249" s="60" t="n">
        <x:v>0.0123951543</x:v>
      </x:c>
      <x:c r="K249" s="60" t="n">
        <x:v>0</x:v>
      </x:c>
      <x:c r="L249" s="60" t="n">
        <x:v>0</x:v>
      </x:c>
      <x:c r="M249" s="60" t="n">
        <x:v>0.0123951543</x:v>
      </x:c>
      <x:c r="N249" s="46" t="str">
        <x:v>lactophrys</x:v>
      </x:c>
      <x:c r="O249" s="62" t="n">
        <x:v>3.16</x:v>
      </x:c>
      <x:c r="P249" s="46" t="str">
        <x:v>exact_sea_around_us</x:v>
      </x:c>
      <x:c r="Q249" s="62" t="str">
        <x:v>Sea Around Us exploited organisms</x:v>
      </x:c>
      <x:c r="R249" s="46" t="str">
        <x:v>high</x:v>
      </x:c>
      <x:c r="S249" s="46" t="str">
        <x:v>Lactophrys</x:v>
      </x:c>
      <x:c r="T249" s="62" t="n">
        <x:f>IF(O249="","",(1/'Metadata'!$B$5)^(O249-1))</x:f>
        <x:v>144.5439770745928</x:v>
      </x:c>
      <x:c r="U249" s="60" t="n">
        <x:f>IF(T249="","",I249*T249)</x:f>
        <x:v>1.7916448989752403</x:v>
      </x:c>
    </x:row>
    <x:row r="250" ht="18" customHeight="1">
      <x:c r="A250" s="46" t="str">
        <x:v>LME_016</x:v>
      </x:c>
      <x:c r="B250" s="46" t="str">
        <x:v>East Brazil Shelf</x:v>
      </x:c>
      <x:c r="C250" s="46" t="str">
        <x:v>LME</x:v>
      </x:c>
      <x:c r="D250" s="58" t="n">
        <x:v>2019</x:v>
      </x:c>
      <x:c r="E250" s="46" t="str">
        <x:v>Thyrsitops lepidopoides</x:v>
      </x:c>
      <x:c r="F250" s="46" t="str">
        <x:v>White snake mackerel</x:v>
      </x:c>
      <x:c r="G250" s="46" t="str">
        <x:v>Medium benthopelagics (30 - 89 cm)</x:v>
      </x:c>
      <x:c r="H250" s="46" t="str">
        <x:v>Perch-likes</x:v>
      </x:c>
      <x:c r="I250" s="60" t="n">
        <x:v>0.0065319498</x:v>
      </x:c>
      <x:c r="J250" s="60" t="n">
        <x:v>0.0065319498</x:v>
      </x:c>
      <x:c r="K250" s="60" t="n">
        <x:v>0</x:v>
      </x:c>
      <x:c r="L250" s="60" t="n">
        <x:v>0.0064679808</x:v>
      </x:c>
      <x:c r="M250" s="60" t="n">
        <x:v>0.000063969</x:v>
      </x:c>
      <x:c r="N250" s="46" t="str">
        <x:v>thyrsitops lepidopoides</x:v>
      </x:c>
      <x:c r="O250" s="62" t="n">
        <x:v>3.86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Thyrsitops lepidopoides</x:v>
      </x:c>
      <x:c r="T250" s="62" t="n">
        <x:f>IF(O250="","",(1/'Metadata'!$B$5)^(O250-1))</x:f>
        <x:v>724.4359600749899</x:v>
      </x:c>
      <x:c r="U250" s="60" t="n">
        <x:f>IF(T250="","",I250*T250)</x:f>
        <x:v>4.731979324524638</x:v>
      </x:c>
    </x:row>
    <x:row r="251" ht="18" customHeight="1">
      <x:c r="A251" s="46" t="str">
        <x:v>LME_016</x:v>
      </x:c>
      <x:c r="B251" s="46" t="str">
        <x:v>East Brazil Shelf</x:v>
      </x:c>
      <x:c r="C251" s="46" t="str">
        <x:v>LME</x:v>
      </x:c>
      <x:c r="D251" s="58" t="n">
        <x:v>2019</x:v>
      </x:c>
      <x:c r="E251" s="46" t="str">
        <x:v>Callinectes sapidus</x:v>
      </x:c>
      <x:c r="F251" s="46" t="str">
        <x:v>Blue crab</x:v>
      </x:c>
      <x:c r="G251" s="46" t="str">
        <x:v>Lobsters, crabs</x:v>
      </x:c>
      <x:c r="H251" s="46" t="str">
        <x:v>Crustaceans</x:v>
      </x:c>
      <x:c r="I251" s="60" t="n">
        <x:v>0.0055331177</x:v>
      </x:c>
      <x:c r="J251" s="60" t="n">
        <x:v>0.0055331177</x:v>
      </x:c>
      <x:c r="K251" s="60" t="n">
        <x:v>0</x:v>
      </x:c>
      <x:c r="L251" s="60" t="n">
        <x:v>0.0055331177</x:v>
      </x:c>
      <x:c r="M251" s="60" t="n">
        <x:v>0</x:v>
      </x:c>
      <x:c r="N251" s="46" t="str">
        <x:v>callinectes sapidus</x:v>
      </x:c>
      <x:c r="O251" s="62" t="n">
        <x:v>4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Callinectes sapidus</x:v>
      </x:c>
      <x:c r="T251" s="62" t="n">
        <x:f>IF(O251="","",(1/'Metadata'!$B$5)^(O251-1))</x:f>
        <x:v>1000</x:v>
      </x:c>
      <x:c r="U251" s="60" t="n">
        <x:f>IF(T251="","",I251*T251)</x:f>
        <x:v>5.5331177</x:v>
      </x:c>
    </x:row>
    <x:row r="252" ht="18" customHeight="1">
      <x:c r="A252" s="46" t="str">
        <x:v>LME_016</x:v>
      </x:c>
      <x:c r="B252" s="46" t="str">
        <x:v>East Brazil Shelf</x:v>
      </x:c>
      <x:c r="C252" s="46" t="str">
        <x:v>LME</x:v>
      </x:c>
      <x:c r="D252" s="58" t="n">
        <x:v>2019</x:v>
      </x:c>
      <x:c r="E252" s="46" t="str">
        <x:v>Uraspis secunda</x:v>
      </x:c>
      <x:c r="F252" s="46" t="str">
        <x:v>Cottonmouth jack</x:v>
      </x:c>
      <x:c r="G252" s="46" t="str">
        <x:v>Medium pelagics (30 - 89 cm)</x:v>
      </x:c>
      <x:c r="H252" s="46" t="str">
        <x:v>Perch-likes</x:v>
      </x:c>
      <x:c r="I252" s="60" t="n">
        <x:v>0.0046927994</x:v>
      </x:c>
      <x:c r="J252" s="60" t="n">
        <x:v>0.0046927994</x:v>
      </x:c>
      <x:c r="K252" s="60" t="n">
        <x:v>0</x:v>
      </x:c>
      <x:c r="L252" s="60" t="n">
        <x:v>0.0046927994</x:v>
      </x:c>
      <x:c r="M252" s="60" t="n">
        <x:v>0</x:v>
      </x:c>
      <x:c r="N252" s="46" t="str">
        <x:v>uraspis secunda</x:v>
      </x:c>
      <x:c r="O252" s="62" t="n">
        <x:v>4</x:v>
      </x:c>
      <x:c r="P252" s="46" t="str">
        <x:v>exact_sea_around_us</x:v>
      </x:c>
      <x:c r="Q252" s="62" t="str">
        <x:v>Sea Around Us exploited organisms</x:v>
      </x:c>
      <x:c r="R252" s="46" t="str">
        <x:v>high</x:v>
      </x:c>
      <x:c r="S252" s="46" t="str">
        <x:v>Uraspis secunda</x:v>
      </x:c>
      <x:c r="T252" s="62" t="n">
        <x:f>IF(O252="","",(1/'Metadata'!$B$5)^(O252-1))</x:f>
        <x:v>1000</x:v>
      </x:c>
      <x:c r="U252" s="60" t="n">
        <x:f>IF(T252="","",I252*T252)</x:f>
        <x:v>4.6927994</x:v>
      </x:c>
    </x:row>
    <x:row r="253" ht="18" customHeight="1">
      <x:c r="A253" s="46" t="str">
        <x:v>LME_016</x:v>
      </x:c>
      <x:c r="B253" s="46" t="str">
        <x:v>East Brazil Shelf</x:v>
      </x:c>
      <x:c r="C253" s="46" t="str">
        <x:v>LME</x:v>
      </x:c>
      <x:c r="D253" s="58" t="n">
        <x:v>2019</x:v>
      </x:c>
      <x:c r="E253" s="46" t="str">
        <x:v>Istiophoridae</x:v>
      </x:c>
      <x:c r="F253" s="46" t="str">
        <x:v>Billfishes</x:v>
      </x:c>
      <x:c r="G253" s="46" t="str">
        <x:v>Large pelagics (&gt;=90 cm)</x:v>
      </x:c>
      <x:c r="H253" s="46" t="str">
        <x:v>Tuna &amp; billfishes</x:v>
      </x:c>
      <x:c r="I253" s="60" t="n">
        <x:v>0.0041723417</x:v>
      </x:c>
      <x:c r="J253" s="60" t="n">
        <x:v>0.0041723417</x:v>
      </x:c>
      <x:c r="K253" s="60" t="n">
        <x:v>0</x:v>
      </x:c>
      <x:c r="L253" s="60" t="n">
        <x:v>0.0041723417</x:v>
      </x:c>
      <x:c r="M253" s="60" t="n">
        <x:v>0</x:v>
      </x:c>
      <x:c r="N253" s="46" t="str">
        <x:v>istiophoridae</x:v>
      </x:c>
      <x:c r="O253" s="62" t="n">
        <x:v>4.48</x:v>
      </x:c>
      <x:c r="P253" s="46" t="str">
        <x:v>exact_sea_around_us</x:v>
      </x:c>
      <x:c r="Q253" s="62" t="str">
        <x:v>Sea Around Us exploited organisms</x:v>
      </x:c>
      <x:c r="R253" s="46" t="str">
        <x:v>high</x:v>
      </x:c>
      <x:c r="S253" s="46" t="str">
        <x:v>Istiophoridae</x:v>
      </x:c>
      <x:c r="T253" s="62" t="n">
        <x:f>IF(O253="","",(1/'Metadata'!$B$5)^(O253-1))</x:f>
        <x:v>3019.951720402019</x:v>
      </x:c>
      <x:c r="U253" s="60" t="n">
        <x:f>IF(T253="","",I253*T253)</x:f>
        <x:v>12.600270495020085</x:v>
      </x:c>
    </x:row>
    <x:row r="254" ht="18" customHeight="1">
      <x:c r="A254" s="46" t="str">
        <x:v>LME_016</x:v>
      </x:c>
      <x:c r="B254" s="46" t="str">
        <x:v>East Brazil Shelf</x:v>
      </x:c>
      <x:c r="C254" s="46" t="str">
        <x:v>LME</x:v>
      </x:c>
      <x:c r="D254" s="58" t="n">
        <x:v>2019</x:v>
      </x:c>
      <x:c r="E254" s="46" t="str">
        <x:v>Sphyrnidae</x:v>
      </x:c>
      <x:c r="F254" s="46" t="str">
        <x:v>Hammer, bonnet, scoophead sharks</x:v>
      </x:c>
      <x:c r="G254" s="46" t="str">
        <x:v>Large sharks (&gt;=90 cm)</x:v>
      </x:c>
      <x:c r="H254" s="46" t="str">
        <x:v>Sharks &amp; rays</x:v>
      </x:c>
      <x:c r="I254" s="60" t="n">
        <x:v>0.0011297221</x:v>
      </x:c>
      <x:c r="J254" s="60" t="n">
        <x:v>0.0011297221</x:v>
      </x:c>
      <x:c r="K254" s="60" t="n">
        <x:v>0</x:v>
      </x:c>
      <x:c r="L254" s="60" t="n">
        <x:v>0.0011297221</x:v>
      </x:c>
      <x:c r="M254" s="60" t="n">
        <x:v>0</x:v>
      </x:c>
      <x:c r="N254" s="46" t="str">
        <x:v>sphyrnidae</x:v>
      </x:c>
      <x:c r="O254" s="62" t="n">
        <x:v>4.19</x:v>
      </x:c>
      <x:c r="P254" s="46" t="str">
        <x:v>exact_sea_around_us</x:v>
      </x:c>
      <x:c r="Q254" s="62" t="str">
        <x:v>Sea Around Us exploited organisms</x:v>
      </x:c>
      <x:c r="R254" s="46" t="str">
        <x:v>high</x:v>
      </x:c>
      <x:c r="S254" s="46" t="str">
        <x:v>Sphyrnidae</x:v>
      </x:c>
      <x:c r="T254" s="62" t="n">
        <x:f>IF(O254="","",(1/'Metadata'!$B$5)^(O254-1))</x:f>
        <x:v>1548.8166189124827</x:v>
      </x:c>
      <x:c r="U254" s="60" t="n">
        <x:f>IF(T254="","",I254*T254)</x:f>
        <x:v>1.7497323632327095</x:v>
      </x:c>
    </x:row>
    <x:row r="255" ht="18" customHeight="1">
      <x:c r="A255" s="46" t="str">
        <x:v>LME_016</x:v>
      </x:c>
      <x:c r="B255" s="46" t="str">
        <x:v>East Brazil Shelf</x:v>
      </x:c>
      <x:c r="C255" s="46" t="str">
        <x:v>LME</x:v>
      </x:c>
      <x:c r="D255" s="58" t="n">
        <x:v>2019</x:v>
      </x:c>
      <x:c r="E255" s="46" t="str">
        <x:v>Carcharhinus longimanus</x:v>
      </x:c>
      <x:c r="F255" s="46" t="str">
        <x:v>Oceanic whitetip shark</x:v>
      </x:c>
      <x:c r="G255" s="46" t="str">
        <x:v>Large sharks (&gt;=90 cm)</x:v>
      </x:c>
      <x:c r="H255" s="46" t="str">
        <x:v>Sharks &amp; rays</x:v>
      </x:c>
      <x:c r="I255" s="60" t="n">
        <x:v>0.0003655835</x:v>
      </x:c>
      <x:c r="J255" s="60" t="n">
        <x:v>0.0003655835</x:v>
      </x:c>
      <x:c r="K255" s="60" t="n">
        <x:v>0</x:v>
      </x:c>
      <x:c r="L255" s="60" t="n">
        <x:v>0.0003655835</x:v>
      </x:c>
      <x:c r="M255" s="60" t="n">
        <x:v>0</x:v>
      </x:c>
      <x:c r="N255" s="46" t="str">
        <x:v>carcharhinus longimanus</x:v>
      </x:c>
      <x:c r="O255" s="62" t="n">
        <x:v>4.16</x:v>
      </x:c>
      <x:c r="P255" s="46" t="str">
        <x:v>exact_2020_supplement</x:v>
      </x:c>
      <x:c r="Q255" s="62" t="str">
        <x:v>2020 supplement MeanTL</x:v>
      </x:c>
      <x:c r="R255" s="46" t="str">
        <x:v>high</x:v>
      </x:c>
      <x:c r="S255" s="46" t="str">
        <x:v>Carcharhinus longimanus</x:v>
      </x:c>
      <x:c r="T255" s="62" t="n">
        <x:f>IF(O255="","",(1/'Metadata'!$B$5)^(O255-1))</x:f>
        <x:v>1445.439770745928</x:v>
      </x:c>
      <x:c r="U255" s="60" t="n">
        <x:f>IF(T255="","",I255*T255)</x:f>
        <x:v>0.5284289304284939</x:v>
      </x:c>
    </x:row>
  </x:sheetData>
  <x:conditionalFormatting sqref="R2:R25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3195b751121413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6</x:v>
      </x:c>
      <x:c r="C2" s="64" t="n">
        <x:v>6</x:v>
      </x:c>
      <x:c r="D2" s="60" t="n">
        <x:v>2140.1010021266993</x:v>
      </x:c>
      <x:c r="E2" s="60" t="n">
        <x:v>2140.1010021266993</x:v>
      </x:c>
      <x:c r="F2" s="62" t="n">
        <x:v>0</x:v>
      </x:c>
      <x:c r="G2" s="66" t="n">
        <x:v>1</x:v>
      </x:c>
      <x:c r="H2" s="62" t="n">
        <x:f>IF(E2=0,"",I2/E2)</x:f>
        <x:v>82.73258831153233</x:v>
      </x:c>
      <x:c r="I2" s="60" t="n">
        <x:f>SUMIF('Species'!$H$2:$H$255,A2,'Species'!$U$2:$U$255)</x:f>
        <x:v>177056.09515404596</x:v>
      </x:c>
      <x:c r="J2" s="62" t="n">
        <x:v>2.6327691265575024</x:v>
      </x:c>
      <x:c r="K2" s="62" t="n">
        <x:f>IF(J2="","",(1/'Metadata'!$B$5)^(J2-1))</x:f>
        <x:v>42.93081434155924</x:v>
      </x:c>
      <x:c r="L2" s="60" t="n">
        <x:f>IF(E2=0,"",E2*K2)</x:f>
        <x:v>91876.2787944862</x:v>
      </x:c>
      <x:c r="M2" s="60" t="n">
        <x:f>I2-L2</x:f>
        <x:v>85179.81635955976</x:v>
      </x:c>
      <x:c r="N2" s="62" t="n">
        <x:f>IF(L2=0,"",I2/L2)</x:f>
        <x:v>1.92711434852618</x:v>
      </x:c>
      <x:c r="O2" s="66" t="n">
        <x:f>IF(L2=0,"",M2/L2)</x:f>
        <x:v>0.9271143485261799</x:v>
      </x:c>
    </x:row>
    <x:row r="3" ht="18" customHeight="1">
      <x:c r="A3" s="46" t="str">
        <x:v>Cod-likes</x:v>
      </x:c>
      <x:c r="B3" s="64" t="n">
        <x:v>2</x:v>
      </x:c>
      <x:c r="C3" s="64" t="n">
        <x:v>2</x:v>
      </x:c>
      <x:c r="D3" s="60" t="n">
        <x:v>1720.8014653053</x:v>
      </x:c>
      <x:c r="E3" s="60" t="n">
        <x:v>1720.8014653053</x:v>
      </x:c>
      <x:c r="F3" s="62" t="n">
        <x:v>0</x:v>
      </x:c>
      <x:c r="G3" s="66" t="n">
        <x:v>1</x:v>
      </x:c>
      <x:c r="H3" s="62" t="n">
        <x:f>IF(E3=0,"",I3/E3)</x:f>
        <x:v>812.8294743656867</x:v>
      </x:c>
      <x:c r="I3" s="60" t="n">
        <x:f>SUMIF('Species'!$H$2:$H$255,A3,'Species'!$U$2:$U$255)</x:f>
        <x:v>1398718.1505318105</x:v>
      </x:c>
      <x:c r="J3" s="62" t="n">
        <x:v>3.909999423921511</x:v>
      </x:c>
      <x:c r="K3" s="62" t="n">
        <x:f>IF(J3="","",(1/'Metadata'!$B$5)^(J3-1))</x:f>
        <x:v>812.8294379697296</x:v>
      </x:c>
      <x:c r="L3" s="60" t="n">
        <x:f>IF(E3=0,"",E3*K3)</x:f>
        <x:v>1398718.0879015944</x:v>
      </x:c>
      <x:c r="M3" s="60" t="n">
        <x:f>I3-L3</x:f>
        <x:v>0.06263021612539887</x:v>
      </x:c>
      <x:c r="N3" s="62" t="n">
        <x:f>IF(L3=0,"",I3/L3)</x:f>
        <x:v>1.0000000447768687</x:v>
      </x:c>
      <x:c r="O3" s="66" t="n">
        <x:f>IF(L3=0,"",M3/L3)</x:f>
        <x:v>4.477686866790928e-8</x:v>
      </x:c>
    </x:row>
    <x:row r="4" ht="18" customHeight="1">
      <x:c r="A4" s="46" t="str">
        <x:v>Crustaceans</x:v>
      </x:c>
      <x:c r="B4" s="64" t="n">
        <x:v>14</x:v>
      </x:c>
      <x:c r="C4" s="64" t="n">
        <x:v>14</x:v>
      </x:c>
      <x:c r="D4" s="60" t="n">
        <x:v>14078.5136014561</x:v>
      </x:c>
      <x:c r="E4" s="60" t="n">
        <x:v>14078.5136014561</x:v>
      </x:c>
      <x:c r="F4" s="62" t="n">
        <x:v>0</x:v>
      </x:c>
      <x:c r="G4" s="66" t="n">
        <x:v>1</x:v>
      </x:c>
      <x:c r="H4" s="62" t="n">
        <x:f>IF(E4=0,"",I4/E4)</x:f>
        <x:v>103.36843987385782</x:v>
      </x:c>
      <x:c r="I4" s="60" t="n">
        <x:f>SUMIF('Species'!$H$2:$H$255,A4,'Species'!$U$2:$U$255)</x:f>
        <x:v>1455273.9867254044</x:v>
      </x:c>
      <x:c r="J4" s="62" t="n">
        <x:v>2.8648403523259915</x:v>
      </x:c>
      <x:c r="K4" s="62" t="n">
        <x:f>IF(J4="","",(1/'Metadata'!$B$5)^(J4-1))</x:f>
        <x:v>73.25551946230004</x:v>
      </x:c>
      <x:c r="L4" s="60" t="n">
        <x:f>IF(E4=0,"",E4*K4)</x:f>
        <x:v>1031328.8271317232</x:v>
      </x:c>
      <x:c r="M4" s="60" t="n">
        <x:f>I4-L4</x:f>
        <x:v>423945.1595936812</x:v>
      </x:c>
      <x:c r="N4" s="62" t="n">
        <x:f>IF(L4=0,"",I4/L4)</x:f>
        <x:v>1.4110669152657498</x:v>
      </x:c>
      <x:c r="O4" s="66" t="n">
        <x:f>IF(L4=0,"",M4/L4)</x:f>
        <x:v>0.41106691526574984</x:v>
      </x:c>
    </x:row>
    <x:row r="5" ht="18" customHeight="1">
      <x:c r="A5" s="46" t="str">
        <x:v>Flatfishes</x:v>
      </x:c>
      <x:c r="B5" s="64" t="n">
        <x:v>2</x:v>
      </x:c>
      <x:c r="C5" s="64" t="n">
        <x:v>2</x:v>
      </x:c>
      <x:c r="D5" s="60" t="n">
        <x:v>1829.3221062905998</x:v>
      </x:c>
      <x:c r="E5" s="60" t="n">
        <x:v>1829.3221062905998</x:v>
      </x:c>
      <x:c r="F5" s="62" t="n">
        <x:v>0</x:v>
      </x:c>
      <x:c r="G5" s="66" t="n">
        <x:v>1</x:v>
      </x:c>
      <x:c r="H5" s="62" t="n">
        <x:f>IF(E5=0,"",I5/E5)</x:f>
        <x:v>233.2296128365663</x:v>
      </x:c>
      <x:c r="I5" s="60" t="n">
        <x:f>SUMIF('Species'!$H$2:$H$255,A5,'Species'!$U$2:$U$255)</x:f>
        <x:v>426652.0866035286</x:v>
      </x:c>
      <x:c r="J5" s="62" t="n">
        <x:v>3.350654750213247</x:v>
      </x:c>
      <x:c r="K5" s="62" t="n">
        <x:f>IF(J5="","",(1/'Metadata'!$B$5)^(J5-1))</x:f>
        <x:v>224.20988205218225</x:v>
      </x:c>
      <x:c r="L5" s="60" t="n">
        <x:f>IF(E5=0,"",E5*K5)</x:f>
        <x:v>410152.093686865</x:v>
      </x:c>
      <x:c r="M5" s="60" t="n">
        <x:f>I5-L5</x:f>
        <x:v>16499.992916663585</x:v>
      </x:c>
      <x:c r="N5" s="62" t="n">
        <x:f>IF(L5=0,"",I5/L5)</x:f>
        <x:v>1.0402289618183949</x:v>
      </x:c>
      <x:c r="O5" s="66" t="n">
        <x:f>IF(L5=0,"",M5/L5)</x:f>
        <x:v>0.04022896181839481</x:v>
      </x:c>
    </x:row>
    <x:row r="6" ht="18" customHeight="1">
      <x:c r="A6" s="46" t="str">
        <x:v>Herring-likes</x:v>
      </x:c>
      <x:c r="B6" s="64" t="n">
        <x:v>8</x:v>
      </x:c>
      <x:c r="C6" s="64" t="n">
        <x:v>8</x:v>
      </x:c>
      <x:c r="D6" s="60" t="n">
        <x:v>65018.7812441886</x:v>
      </x:c>
      <x:c r="E6" s="60" t="n">
        <x:v>65018.7812441886</x:v>
      </x:c>
      <x:c r="F6" s="62" t="n">
        <x:v>0</x:v>
      </x:c>
      <x:c r="G6" s="66" t="n">
        <x:v>1</x:v>
      </x:c>
      <x:c r="H6" s="62" t="n">
        <x:f>IF(E6=0,"",I6/E6)</x:f>
        <x:v>339.2015553030064</x:v>
      </x:c>
      <x:c r="I6" s="60" t="n">
        <x:f>SUMIF('Species'!$H$2:$H$255,A6,'Species'!$U$2:$U$255)</x:f>
        <x:v>22054471.721934713</x:v>
      </x:c>
      <x:c r="J6" s="62" t="n">
        <x:v>3.2212405160884003</x:v>
      </x:c>
      <x:c r="K6" s="62" t="n">
        <x:f>IF(J6="","",(1/'Metadata'!$B$5)^(J6-1))</x:f>
        <x:v>166.43341180019382</x:v>
      </x:c>
      <x:c r="L6" s="60" t="n">
        <x:f>IF(E6=0,"",E6*K6)</x:f>
        <x:v>10821297.593560759</x:v>
      </x:c>
      <x:c r="M6" s="60" t="n">
        <x:f>I6-L6</x:f>
        <x:v>11233174.128373954</x:v>
      </x:c>
      <x:c r="N6" s="62" t="n">
        <x:f>IF(L6=0,"",I6/L6)</x:f>
        <x:v>2.038061658618305</x:v>
      </x:c>
      <x:c r="O6" s="66" t="n">
        <x:f>IF(L6=0,"",M6/L6)</x:f>
        <x:v>1.0380616586183051</x:v>
      </x:c>
    </x:row>
    <x:row r="7" ht="18" customHeight="1">
      <x:c r="A7" s="46" t="str">
        <x:v>Molluscs</x:v>
      </x:c>
      <x:c r="B7" s="64" t="n">
        <x:v>8</x:v>
      </x:c>
      <x:c r="C7" s="64" t="n">
        <x:v>8</x:v>
      </x:c>
      <x:c r="D7" s="60" t="n">
        <x:v>4004.3294580471998</x:v>
      </x:c>
      <x:c r="E7" s="60" t="n">
        <x:v>4004.3294580471998</x:v>
      </x:c>
      <x:c r="F7" s="62" t="n">
        <x:v>0</x:v>
      </x:c>
      <x:c r="G7" s="66" t="n">
        <x:v>1</x:v>
      </x:c>
      <x:c r="H7" s="62" t="n">
        <x:f>IF(E7=0,"",I7/E7)</x:f>
        <x:v>12.387034026504018</x:v>
      </x:c>
      <x:c r="I7" s="60" t="n">
        <x:f>SUMIF('Species'!$H$2:$H$255,A7,'Species'!$U$2:$U$255)</x:f>
        <x:v>49601.76525016306</x:v>
      </x:c>
      <x:c r="J7" s="62" t="n">
        <x:v>2.078588803749761</x:v>
      </x:c>
      <x:c r="K7" s="62" t="n">
        <x:f>IF(J7="","",(1/'Metadata'!$B$5)^(J7-1))</x:f>
        <x:v>11.983641374694137</x:v>
      </x:c>
      <x:c r="L7" s="60" t="n">
        <x:f>IF(E7=0,"",E7*K7)</x:f>
        <x:v>47986.44817136098</x:v>
      </x:c>
      <x:c r="M7" s="60" t="n">
        <x:f>I7-L7</x:f>
        <x:v>1615.3170788020798</x:v>
      </x:c>
      <x:c r="N7" s="62" t="n">
        <x:f>IF(L7=0,"",I7/L7)</x:f>
        <x:v>1.0336619429100844</x:v>
      </x:c>
      <x:c r="O7" s="66" t="n">
        <x:f>IF(L7=0,"",M7/L7)</x:f>
        <x:v>0.03366194291008445</x:v>
      </x:c>
    </x:row>
    <x:row r="8" ht="18" customHeight="1">
      <x:c r="A8" s="46" t="str">
        <x:v>Other fishes &amp; inverts</x:v>
      </x:c>
      <x:c r="B8" s="64" t="n">
        <x:v>43</x:v>
      </x:c>
      <x:c r="C8" s="64" t="n">
        <x:v>43</x:v>
      </x:c>
      <x:c r="D8" s="60" t="n">
        <x:v>51925.7640507231</x:v>
      </x:c>
      <x:c r="E8" s="60" t="n">
        <x:v>51925.7640507231</x:v>
      </x:c>
      <x:c r="F8" s="62" t="n">
        <x:v>0</x:v>
      </x:c>
      <x:c r="G8" s="66" t="n">
        <x:v>1</x:v>
      </x:c>
      <x:c r="H8" s="62" t="n">
        <x:f>IF(E8=0,"",I8/E8)</x:f>
        <x:v>550.2182442260914</x:v>
      </x:c>
      <x:c r="I8" s="60" t="n">
        <x:f>SUMIF('Species'!$H$2:$H$255,A8,'Species'!$U$2:$U$255)</x:f>
        <x:v>28570502.726087157</x:v>
      </x:c>
      <x:c r="J8" s="62" t="n">
        <x:v>3.5339820921479417</x:v>
      </x:c>
      <x:c r="K8" s="62" t="n">
        <x:f>IF(J8="","",(1/'Metadata'!$B$5)^(J8-1))</x:f>
        <x:v>341.96534150331513</x:v>
      </x:c>
      <x:c r="L8" s="60" t="n">
        <x:f>IF(E8=0,"",E8*K8)</x:f>
        <x:v>17756811.636426087</x:v>
      </x:c>
      <x:c r="M8" s="60" t="n">
        <x:f>I8-L8</x:f>
        <x:v>10813691.08966107</x:v>
      </x:c>
      <x:c r="N8" s="62" t="n">
        <x:f>IF(L8=0,"",I8/L8)</x:f>
        <x:v>1.6089883314118176</x:v>
      </x:c>
      <x:c r="O8" s="66" t="n">
        <x:f>IF(L8=0,"",M8/L8)</x:f>
        <x:v>0.6089883314118176</x:v>
      </x:c>
    </x:row>
    <x:row r="9" ht="18" customHeight="1">
      <x:c r="A9" s="46" t="str">
        <x:v>Perch-likes</x:v>
      </x:c>
      <x:c r="B9" s="64" t="n">
        <x:v>122</x:v>
      </x:c>
      <x:c r="C9" s="64" t="n">
        <x:v>122</x:v>
      </x:c>
      <x:c r="D9" s="60" t="n">
        <x:v>126680.3702697804</x:v>
      </x:c>
      <x:c r="E9" s="60" t="n">
        <x:v>126680.3702697804</x:v>
      </x:c>
      <x:c r="F9" s="62" t="n">
        <x:v>0</x:v>
      </x:c>
      <x:c r="G9" s="66" t="n">
        <x:v>1</x:v>
      </x:c>
      <x:c r="H9" s="62" t="n">
        <x:f>IF(E9=0,"",I9/E9)</x:f>
        <x:v>723.7642729436818</x:v>
      </x:c>
      <x:c r="I9" s="60" t="n">
        <x:f>SUMIF('Species'!$H$2:$H$255,A9,'Species'!$U$2:$U$255)</x:f>
        <x:v>91686726.08454402</x:v>
      </x:c>
      <x:c r="J9" s="62" t="n">
        <x:v>3.594522482783109</x:v>
      </x:c>
      <x:c r="K9" s="62" t="n">
        <x:f>IF(J9="","",(1/'Metadata'!$B$5)^(J9-1))</x:f>
        <x:v>393.11759549729356</x:v>
      </x:c>
      <x:c r="L9" s="60" t="n">
        <x:f>IF(E9=0,"",E9*K9)</x:f>
        <x:v>49800282.5571629</x:v>
      </x:c>
      <x:c r="M9" s="60" t="n">
        <x:f>I9-L9</x:f>
        <x:v>41886443.527381115</x:v>
      </x:c>
      <x:c r="N9" s="62" t="n">
        <x:f>IF(L9=0,"",I9/L9)</x:f>
        <x:v>1.841088471321464</x:v>
      </x:c>
      <x:c r="O9" s="66" t="n">
        <x:f>IF(L9=0,"",M9/L9)</x:f>
        <x:v>0.841088471321464</x:v>
      </x:c>
    </x:row>
    <x:row r="10" ht="18" customHeight="1">
      <x:c r="A10" s="46" t="str">
        <x:v>Scorpionfishes</x:v>
      </x:c>
      <x:c r="B10" s="64" t="n">
        <x:v>1</x:v>
      </x:c>
      <x:c r="C10" s="64" t="n">
        <x:v>1</x:v>
      </x:c>
      <x:c r="D10" s="60" t="n">
        <x:v>123.35519425220001</x:v>
      </x:c>
      <x:c r="E10" s="60" t="n">
        <x:v>123.35519425220001</x:v>
      </x:c>
      <x:c r="F10" s="62" t="n">
        <x:v>0</x:v>
      </x:c>
      <x:c r="G10" s="66" t="n">
        <x:v>1</x:v>
      </x:c>
      <x:c r="H10" s="62" t="n">
        <x:f>IF(E10=0,"",I10/E10)</x:f>
        <x:v>602.5595860743575</x:v>
      </x:c>
      <x:c r="I10" s="60" t="n">
        <x:f>SUMIF('Species'!$H$2:$H$255,A10,'Species'!$U$2:$U$255)</x:f>
        <x:v>74328.8547887276</x:v>
      </x:c>
      <x:c r="J10" s="62" t="n">
        <x:v>3.78</x:v>
      </x:c>
      <x:c r="K10" s="62" t="n">
        <x:f>IF(J10="","",(1/'Metadata'!$B$5)^(J10-1))</x:f>
        <x:v>602.5595860743575</x:v>
      </x:c>
      <x:c r="L10" s="60" t="n">
        <x:f>IF(E10=0,"",E10*K10)</x:f>
        <x:v>74328.8547887276</x:v>
      </x:c>
      <x:c r="M10" s="60" t="n">
        <x:f>I10-L10</x:f>
        <x:v>0</x:v>
      </x:c>
      <x:c r="N10" s="62" t="n">
        <x:f>IF(L10=0,"",I10/L10)</x:f>
        <x:v>1</x:v>
      </x:c>
      <x:c r="O10" s="66" t="n">
        <x:f>IF(L10=0,"",M10/L10)</x:f>
        <x:v>0</x:v>
      </x:c>
    </x:row>
    <x:row r="11" ht="18" customHeight="1">
      <x:c r="A11" s="46" t="str">
        <x:v>Sharks &amp; rays</x:v>
      </x:c>
      <x:c r="B11" s="64" t="n">
        <x:v>33</x:v>
      </x:c>
      <x:c r="C11" s="64" t="n">
        <x:v>33</x:v>
      </x:c>
      <x:c r="D11" s="60" t="n">
        <x:v>28404.584075984498</x:v>
      </x:c>
      <x:c r="E11" s="60" t="n">
        <x:v>28404.584075984498</x:v>
      </x:c>
      <x:c r="F11" s="62" t="n">
        <x:v>0</x:v>
      </x:c>
      <x:c r="G11" s="66" t="n">
        <x:v>1</x:v>
      </x:c>
      <x:c r="H11" s="62" t="n">
        <x:f>IF(E11=0,"",I11/E11)</x:f>
        <x:v>982.7023758096566</x:v>
      </x:c>
      <x:c r="I11" s="60" t="n">
        <x:f>SUMIF('Species'!$H$2:$H$255,A11,'Species'!$U$2:$U$255)</x:f>
        <x:v>27913252.255355105</x:v>
      </x:c>
      <x:c r="J11" s="62" t="n">
        <x:v>3.912405062682388</x:v>
      </x:c>
      <x:c r="K11" s="62" t="n">
        <x:f>IF(J11="","",(1/'Metadata'!$B$5)^(J11-1))</x:f>
        <x:v>817.3443459156315</x:v>
      </x:c>
      <x:c r="L11" s="60" t="n">
        <x:f>IF(E11=0,"",E11*K11)</x:f>
        <x:v>23216326.192591112</x:v>
      </x:c>
      <x:c r="M11" s="60" t="n">
        <x:f>I11-L11</x:f>
        <x:v>4696926.062763993</x:v>
      </x:c>
      <x:c r="N11" s="62" t="n">
        <x:f>IF(L11=0,"",I11/L11)</x:f>
        <x:v>1.202311340037206</x:v>
      </x:c>
      <x:c r="O11" s="66" t="n">
        <x:f>IF(L11=0,"",M11/L11)</x:f>
        <x:v>0.202311340037206</x:v>
      </x:c>
    </x:row>
    <x:row r="12" ht="18" customHeight="1">
      <x:c r="A12" s="46" t="str">
        <x:v>Tuna &amp; billfishes</x:v>
      </x:c>
      <x:c r="B12" s="64" t="n">
        <x:v>15</x:v>
      </x:c>
      <x:c r="C12" s="64" t="n">
        <x:v>15</x:v>
      </x:c>
      <x:c r="D12" s="60" t="n">
        <x:v>10077.366273786802</x:v>
      </x:c>
      <x:c r="E12" s="60" t="n">
        <x:v>10077.366273786802</x:v>
      </x:c>
      <x:c r="F12" s="62" t="n">
        <x:v>0</x:v>
      </x:c>
      <x:c r="G12" s="66" t="n">
        <x:v>1</x:v>
      </x:c>
      <x:c r="H12" s="62" t="n">
        <x:f>IF(E12=0,"",I12/E12)</x:f>
        <x:v>2763.7737124346463</x:v>
      </x:c>
      <x:c r="I12" s="60" t="n">
        <x:f>SUMIF('Species'!$H$2:$H$255,A12,'Species'!$U$2:$U$255)</x:f>
        <x:v>27851559.998067446</x:v>
      </x:c>
      <x:c r="J12" s="62" t="n">
        <x:v>4.439613686883405</x:v>
      </x:c>
      <x:c r="K12" s="62" t="n">
        <x:f>IF(J12="","",(1/'Metadata'!$B$5)^(J12-1))</x:f>
        <x:v>2751.779854372418</x:v>
      </x:c>
      <x:c r="L12" s="60" t="n">
        <x:f>IF(E12=0,"",E12*K12)</x:f>
        <x:v>27730693.49733856</x:v>
      </x:c>
      <x:c r="M12" s="60" t="n">
        <x:f>I12-L12</x:f>
        <x:v>120866.50072888657</x:v>
      </x:c>
      <x:c r="N12" s="62" t="n">
        <x:f>IF(L12=0,"",I12/L12)</x:f>
        <x:v>1.0043585819712906</x:v>
      </x:c>
      <x:c r="O12" s="66" t="n">
        <x:f>IF(L12=0,"",M12/L12)</x:f>
        <x:v>0.004358581971290645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67dee7f875947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6</x:v>
      </x:c>
      <x:c r="C2" s="64" t="n">
        <x:v>6</x:v>
      </x:c>
      <x:c r="D2" s="60" t="n">
        <x:v>661.5149865035</x:v>
      </x:c>
      <x:c r="E2" s="60" t="n">
        <x:v>661.5149865035</x:v>
      </x:c>
      <x:c r="F2" s="62" t="n">
        <x:v>0</x:v>
      </x:c>
      <x:c r="G2" s="66" t="n">
        <x:v>1</x:v>
      </x:c>
      <x:c r="H2" s="62" t="n">
        <x:f>IF(E2=0,"",I2/E2)</x:f>
        <x:v>632.1326422562225</x:v>
      </x:c>
      <x:c r="I2" s="60" t="n">
        <x:f>SUMIF('Species'!$G$2:$G$255,A2,'Species'!$U$2:$U$255)</x:f>
        <x:v>418165.21631054685</x:v>
      </x:c>
      <x:c r="J2" s="62" t="n">
        <x:v>3.7906515700499983</x:v>
      </x:c>
      <x:c r="K2" s="62" t="n">
        <x:f>IF(J2="","",(1/'Metadata'!$B$5)^(J2-1))</x:f>
        <x:v>617.5207708482002</x:v>
      </x:c>
      <x:c r="L2" s="60" t="n">
        <x:f>IF(E2=0,"",E2*K2)</x:f>
        <x:v>408499.2443932781</x:v>
      </x:c>
      <x:c r="M2" s="60" t="n">
        <x:f>I2-L2</x:f>
        <x:v>9665.971917268762</x:v>
      </x:c>
      <x:c r="N2" s="62" t="n">
        <x:f>IF(L2=0,"",I2/L2)</x:f>
        <x:v>1.0236621537247275</x:v>
      </x:c>
      <x:c r="O2" s="66" t="n">
        <x:f>IF(L2=0,"",M2/L2)</x:f>
        <x:v>0.02366215372472747</x:v>
      </x:c>
    </x:row>
    <x:row r="3" ht="18" customHeight="1">
      <x:c r="A3" s="46" t="str">
        <x:v>Large bathypelagics (&gt;=90 cm)</x:v>
      </x:c>
      <x:c r="B3" s="64" t="n">
        <x:v>2</x:v>
      </x:c>
      <x:c r="C3" s="64" t="n">
        <x:v>2</x:v>
      </x:c>
      <x:c r="D3" s="60" t="n">
        <x:v>20.760681653200002</x:v>
      </x:c>
      <x:c r="E3" s="60" t="n">
        <x:v>20.760681653200002</x:v>
      </x:c>
      <x:c r="F3" s="62" t="n">
        <x:v>0</x:v>
      </x:c>
      <x:c r="G3" s="66" t="n">
        <x:v>1</x:v>
      </x:c>
      <x:c r="H3" s="62" t="n">
        <x:f>IF(E3=0,"",I3/E3)</x:f>
        <x:v>2175.817580914391</x:v>
      </x:c>
      <x:c r="I3" s="60" t="n">
        <x:f>SUMIF('Species'!$G$2:$G$255,A3,'Species'!$U$2:$U$255)</x:f>
        <x:v>45171.45613279941</x:v>
      </x:c>
      <x:c r="J3" s="62" t="n">
        <x:v>4.337286342720673</x:v>
      </x:c>
      <x:c r="K3" s="62" t="n">
        <x:f>IF(J3="","",(1/'Metadata'!$B$5)^(J3-1))</x:f>
        <x:v>2174.134174985401</x:v>
      </x:c>
      <x:c r="L3" s="60" t="n">
        <x:f>IF(E3=0,"",E3*K3)</x:f>
        <x:v>45136.50747821454</x:v>
      </x:c>
      <x:c r="M3" s="60" t="n">
        <x:f>I3-L3</x:f>
        <x:v>34.94865458487038</x:v>
      </x:c>
      <x:c r="N3" s="62" t="n">
        <x:f>IF(L3=0,"",I3/L3)</x:f>
        <x:v>1.0007742879663815</x:v>
      </x:c>
      <x:c r="O3" s="66" t="n">
        <x:f>IF(L3=0,"",M3/L3)</x:f>
        <x:v>0.0007742879663815062</x:v>
      </x:c>
    </x:row>
    <x:row r="4" ht="18" customHeight="1">
      <x:c r="A4" s="46" t="str">
        <x:v>Large benthopelagics (&gt;=90 cm)</x:v>
      </x:c>
      <x:c r="B4" s="64" t="n">
        <x:v>9</x:v>
      </x:c>
      <x:c r="C4" s="64" t="n">
        <x:v>9</x:v>
      </x:c>
      <x:c r="D4" s="60" t="n">
        <x:v>4853.0117880182</x:v>
      </x:c>
      <x:c r="E4" s="60" t="n">
        <x:v>4853.0117880182</x:v>
      </x:c>
      <x:c r="F4" s="62" t="n">
        <x:v>0</x:v>
      </x:c>
      <x:c r="G4" s="66" t="n">
        <x:v>1</x:v>
      </x:c>
      <x:c r="H4" s="62" t="n">
        <x:f>IF(E4=0,"",I4/E4)</x:f>
        <x:v>2319.99247945117</x:v>
      </x:c>
      <x:c r="I4" s="60" t="n">
        <x:f>SUMIF('Species'!$G$2:$G$255,A4,'Species'!$U$2:$U$255)</x:f>
        <x:v>11258950.850890098</x:v>
      </x:c>
      <x:c r="J4" s="62" t="n">
        <x:v>4.349600444454216</x:v>
      </x:c>
      <x:c r="K4" s="62" t="n">
        <x:f>IF(J4="","",(1/'Metadata'!$B$5)^(J4-1))</x:f>
        <x:v>2236.6624384511483</x:v>
      </x:c>
      <x:c r="L4" s="60" t="n">
        <x:f>IF(E4=0,"",E4*K4)</x:f>
        <x:v>10854549.179620953</x:v>
      </x:c>
      <x:c r="M4" s="60" t="n">
        <x:f>I4-L4</x:f>
        <x:v>404401.67126914486</x:v>
      </x:c>
      <x:c r="N4" s="62" t="n">
        <x:f>IF(L4=0,"",I4/L4)</x:f>
        <x:v>1.037256422590852</x:v>
      </x:c>
      <x:c r="O4" s="66" t="n">
        <x:f>IF(L4=0,"",M4/L4)</x:f>
        <x:v>0.037256422590852066</x:v>
      </x:c>
    </x:row>
    <x:row r="5" ht="18" customHeight="1">
      <x:c r="A5" s="46" t="str">
        <x:v>Large demersals (&gt;=90 cm)</x:v>
      </x:c>
      <x:c r="B5" s="64" t="n">
        <x:v>8</x:v>
      </x:c>
      <x:c r="C5" s="64" t="n">
        <x:v>8</x:v>
      </x:c>
      <x:c r="D5" s="60" t="n">
        <x:v>12168.846373027001</x:v>
      </x:c>
      <x:c r="E5" s="60" t="n">
        <x:v>12168.846373027001</x:v>
      </x:c>
      <x:c r="F5" s="62" t="n">
        <x:v>0</x:v>
      </x:c>
      <x:c r="G5" s="66" t="n">
        <x:v>1</x:v>
      </x:c>
      <x:c r="H5" s="62" t="n">
        <x:f>IF(E5=0,"",I5/E5)</x:f>
        <x:v>1129.2625683324518</x:v>
      </x:c>
      <x:c r="I5" s="60" t="n">
        <x:f>SUMIF('Species'!$G$2:$G$255,A5,'Species'!$U$2:$U$255)</x:f>
        <x:v>13741822.708847513</x:v>
      </x:c>
      <x:c r="J5" s="62" t="n">
        <x:v>4.051870127053472</x:v>
      </x:c>
      <x:c r="K5" s="62" t="n">
        <x:f>IF(J5="","",(1/'Metadata'!$B$5)^(J5-1))</x:f>
        <x:v>1126.8604254869415</x:v>
      </x:c>
      <x:c r="L5" s="60" t="n">
        <x:f>IF(E5=0,"",E5*K5)</x:f>
        <x:v>13712591.401594432</x:v>
      </x:c>
      <x:c r="M5" s="60" t="n">
        <x:f>I5-L5</x:f>
        <x:v>29231.30725308135</x:v>
      </x:c>
      <x:c r="N5" s="62" t="n">
        <x:f>IF(L5=0,"",I5/L5)</x:f>
        <x:v>1.002131712846755</x:v>
      </x:c>
      <x:c r="O5" s="66" t="n">
        <x:f>IF(L5=0,"",M5/L5)</x:f>
        <x:v>0.0021317128467550255</x:v>
      </x:c>
    </x:row>
    <x:row r="6" ht="18" customHeight="1">
      <x:c r="A6" s="46" t="str">
        <x:v>Large pelagics (&gt;=90 cm)</x:v>
      </x:c>
      <x:c r="B6" s="64" t="n">
        <x:v>26</x:v>
      </x:c>
      <x:c r="C6" s="64" t="n">
        <x:v>26</x:v>
      </x:c>
      <x:c r="D6" s="60" t="n">
        <x:v>15266.8136318235</x:v>
      </x:c>
      <x:c r="E6" s="60" t="n">
        <x:v>15266.8136318235</x:v>
      </x:c>
      <x:c r="F6" s="62" t="n">
        <x:v>0</x:v>
      </x:c>
      <x:c r="G6" s="66" t="n">
        <x:v>1</x:v>
      </x:c>
      <x:c r="H6" s="62" t="n">
        <x:f>IF(E6=0,"",I6/E6)</x:f>
        <x:v>2515.2920199335213</x:v>
      </x:c>
      <x:c r="I6" s="60" t="n">
        <x:f>SUMIF('Species'!$G$2:$G$255,A6,'Species'!$U$2:$U$255)</x:f>
        <x:v>38400494.49793795</x:v>
      </x:c>
      <x:c r="J6" s="62" t="n">
        <x:v>4.326064757647671</x:v>
      </x:c>
      <x:c r="K6" s="62" t="n">
        <x:f>IF(J6="","",(1/'Metadata'!$B$5)^(J6-1))</x:f>
        <x:v>2118.677027615831</x:v>
      </x:c>
      <x:c r="L6" s="60" t="n">
        <x:f>IF(E6=0,"",E6*K6)</x:f>
        <x:v>32345447.32663666</x:v>
      </x:c>
      <x:c r="M6" s="60" t="n">
        <x:f>I6-L6</x:f>
        <x:v>6055047.171301287</x:v>
      </x:c>
      <x:c r="N6" s="62" t="n">
        <x:f>IF(L6=0,"",I6/L6)</x:f>
        <x:v>1.1871993641069518</x:v>
      </x:c>
      <x:c r="O6" s="66" t="n">
        <x:f>IF(L6=0,"",M6/L6)</x:f>
        <x:v>0.1871993641069518</x:v>
      </x:c>
    </x:row>
    <x:row r="7" ht="18" customHeight="1">
      <x:c r="A7" s="46" t="str">
        <x:v>Large rays (&gt;=90 cm)</x:v>
      </x:c>
      <x:c r="B7" s="64" t="n">
        <x:v>10</x:v>
      </x:c>
      <x:c r="C7" s="64" t="n">
        <x:v>10</x:v>
      </x:c>
      <x:c r="D7" s="60" t="n">
        <x:v>15951.1708754086</x:v>
      </x:c>
      <x:c r="E7" s="60" t="n">
        <x:v>15951.1708754086</x:v>
      </x:c>
      <x:c r="F7" s="62" t="n">
        <x:v>0</x:v>
      </x:c>
      <x:c r="G7" s="66" t="n">
        <x:v>1</x:v>
      </x:c>
      <x:c r="H7" s="62" t="n">
        <x:f>IF(E7=0,"",I7/E7)</x:f>
        <x:v>516.4342301297023</x:v>
      </x:c>
      <x:c r="I7" s="60" t="n">
        <x:f>SUMIF('Species'!$G$2:$G$255,A7,'Species'!$U$2:$U$255)</x:f>
        <x:v>8237730.650708971</x:v>
      </x:c>
      <x:c r="J7" s="62" t="n">
        <x:v>3.708812734153462</x:v>
      </x:c>
      <x:c r="K7" s="62" t="n">
        <x:f>IF(J7="","",(1/'Metadata'!$B$5)^(J7-1))</x:f>
        <x:v>511.4612481730763</x:v>
      </x:c>
      <x:c r="L7" s="60" t="n">
        <x:f>IF(E7=0,"",E7*K7)</x:f>
        <x:v>8158405.765758504</x:v>
      </x:c>
      <x:c r="M7" s="60" t="n">
        <x:f>I7-L7</x:f>
        <x:v>79324.88495046645</x:v>
      </x:c>
      <x:c r="N7" s="62" t="n">
        <x:f>IF(L7=0,"",I7/L7)</x:f>
        <x:v>1.0097230864985165</x:v>
      </x:c>
      <x:c r="O7" s="66" t="n">
        <x:f>IF(L7=0,"",M7/L7)</x:f>
        <x:v>0.009723086498516595</x:v>
      </x:c>
    </x:row>
    <x:row r="8" ht="18" customHeight="1">
      <x:c r="A8" s="46" t="str">
        <x:v>Large reef assoc. fish (&gt;=90 cm)</x:v>
      </x:c>
      <x:c r="B8" s="64" t="n">
        <x:v>16</x:v>
      </x:c>
      <x:c r="C8" s="64" t="n">
        <x:v>16</x:v>
      </x:c>
      <x:c r="D8" s="60" t="n">
        <x:v>9509.9943491542</x:v>
      </x:c>
      <x:c r="E8" s="60" t="n">
        <x:v>9509.9943491542</x:v>
      </x:c>
      <x:c r="F8" s="62" t="n">
        <x:v>0</x:v>
      </x:c>
      <x:c r="G8" s="66" t="n">
        <x:v>1</x:v>
      </x:c>
      <x:c r="H8" s="62" t="n">
        <x:f>IF(E8=0,"",I8/E8)</x:f>
        <x:v>847.7698985273719</x:v>
      </x:c>
      <x:c r="I8" s="60" t="n">
        <x:f>SUMIF('Species'!$G$2:$G$255,A8,'Species'!$U$2:$U$255)</x:f>
        <x:v>8062286.944378336</x:v>
      </x:c>
      <x:c r="J8" s="62" t="n">
        <x:v>3.786542227171035</x:v>
      </x:c>
      <x:c r="K8" s="62" t="n">
        <x:f>IF(J8="","",(1/'Metadata'!$B$5)^(J8-1))</x:f>
        <x:v>611.7052771794206</x:v>
      </x:c>
      <x:c r="L8" s="60" t="n">
        <x:f>IF(E8=0,"",E8*K8)</x:f>
        <x:v>5817313.729324093</x:v>
      </x:c>
      <x:c r="M8" s="60" t="n">
        <x:f>I8-L8</x:f>
        <x:v>2244973.215054243</x:v>
      </x:c>
      <x:c r="N8" s="62" t="n">
        <x:f>IF(L8=0,"",I8/L8)</x:f>
        <x:v>1.3859123505300588</x:v>
      </x:c>
      <x:c r="O8" s="66" t="n">
        <x:f>IF(L8=0,"",M8/L8)</x:f>
        <x:v>0.3859123505300588</x:v>
      </x:c>
    </x:row>
    <x:row r="9" ht="18" customHeight="1">
      <x:c r="A9" s="46" t="str">
        <x:v>Large sharks (&gt;=90 cm)</x:v>
      </x:c>
      <x:c r="B9" s="64" t="n">
        <x:v>20</x:v>
      </x:c>
      <x:c r="C9" s="64" t="n">
        <x:v>20</x:v>
      </x:c>
      <x:c r="D9" s="60" t="n">
        <x:v>12447.5244759538</x:v>
      </x:c>
      <x:c r="E9" s="60" t="n">
        <x:v>12447.5244759538</x:v>
      </x:c>
      <x:c r="F9" s="62" t="n">
        <x:v>0</x:v>
      </x:c>
      <x:c r="G9" s="66" t="n">
        <x:v>1</x:v>
      </x:c>
      <x:c r="H9" s="62" t="n">
        <x:f>IF(E9=0,"",I9/E9)</x:f>
        <x:v>1580.5049697649094</x:v>
      </x:c>
      <x:c r="I9" s="60" t="n">
        <x:f>SUMIF('Species'!$G$2:$G$255,A9,'Species'!$U$2:$U$255)</x:f>
        <x:v>19673374.295515332</x:v>
      </x:c>
      <x:c r="J9" s="62" t="n">
        <x:v>4.173469381044776</x:v>
      </x:c>
      <x:c r="K9" s="62" t="n">
        <x:f>IF(J9="","",(1/'Metadata'!$B$5)^(J9-1))</x:f>
        <x:v>1490.9716341469173</x:v>
      </x:c>
      <x:c r="L9" s="60" t="n">
        <x:f>IF(E9=0,"",E9*K9)</x:f>
        <x:v>18558905.908996586</x:v>
      </x:c>
      <x:c r="M9" s="60" t="n">
        <x:f>I9-L9</x:f>
        <x:v>1114468.3865187466</x:v>
      </x:c>
      <x:c r="N9" s="62" t="n">
        <x:f>IF(L9=0,"",I9/L9)</x:f>
        <x:v>1.0600503279656426</x:v>
      </x:c>
      <x:c r="O9" s="66" t="n">
        <x:f>IF(L9=0,"",M9/L9)</x:f>
        <x:v>0.06005032796564256</x:v>
      </x:c>
    </x:row>
    <x:row r="10" ht="18" customHeight="1">
      <x:c r="A10" s="46" t="str">
        <x:v>Lobsters, crabs</x:v>
      </x:c>
      <x:c r="B10" s="64" t="n">
        <x:v>7</x:v>
      </x:c>
      <x:c r="C10" s="64" t="n">
        <x:v>7</x:v>
      </x:c>
      <x:c r="D10" s="60" t="n">
        <x:v>4267.7970789454</x:v>
      </x:c>
      <x:c r="E10" s="60" t="n">
        <x:v>4267.7970789454</x:v>
      </x:c>
      <x:c r="F10" s="62" t="n">
        <x:v>0</x:v>
      </x:c>
      <x:c r="G10" s="66" t="n">
        <x:v>1</x:v>
      </x:c>
      <x:c r="H10" s="62" t="n">
        <x:f>IF(E10=0,"",I10/E10)</x:f>
        <x:v>207.596610966294</x:v>
      </x:c>
      <x:c r="I10" s="60" t="n">
        <x:f>SUMIF('Species'!$G$2:$G$255,A10,'Species'!$U$2:$U$255)</x:f>
        <x:v>885980.2098809142</x:v>
      </x:c>
      <x:c r="J10" s="62" t="n">
        <x:v>3.164604844891613</x:v>
      </x:c>
      <x:c r="K10" s="62" t="n">
        <x:f>IF(J10="","",(1/'Metadata'!$B$5)^(J10-1))</x:f>
        <x:v>146.0847376299459</x:v>
      </x:c>
      <x:c r="L10" s="60" t="n">
        <x:f>IF(E10=0,"",E10*K10)</x:f>
        <x:v>623460.0165355883</x:v>
      </x:c>
      <x:c r="M10" s="60" t="n">
        <x:f>I10-L10</x:f>
        <x:v>262520.1933453259</x:v>
      </x:c>
      <x:c r="N10" s="62" t="n">
        <x:f>IF(L10=0,"",I10/L10)</x:f>
        <x:v>1.4210698142345761</x:v>
      </x:c>
      <x:c r="O10" s="66" t="n">
        <x:f>IF(L10=0,"",M10/L10)</x:f>
        <x:v>0.42106981423457607</x:v>
      </x:c>
    </x:row>
    <x:row r="11" ht="18" customHeight="1">
      <x:c r="A11" s="46" t="str">
        <x:v>Medium bathydemersals (30 - 89 cm)</x:v>
      </x:c>
      <x:c r="B11" s="64" t="n">
        <x:v>1</x:v>
      </x:c>
      <x:c r="C11" s="64" t="n">
        <x:v>1</x:v>
      </x:c>
      <x:c r="D11" s="60" t="n">
        <x:v>805.1523824191</x:v>
      </x:c>
      <x:c r="E11" s="60" t="n">
        <x:v>805.1523824191</x:v>
      </x:c>
      <x:c r="F11" s="62" t="n">
        <x:v>0</x:v>
      </x:c>
      <x:c r="G11" s="66" t="n">
        <x:v>1</x:v>
      </x:c>
      <x:c r="H11" s="62" t="n">
        <x:f>IF(E11=0,"",I11/E11)</x:f>
        <x:v>3090.295432513592</x:v>
      </x:c>
      <x:c r="I11" s="60" t="n">
        <x:f>SUMIF('Species'!$G$2:$G$255,A11,'Species'!$U$2:$U$255)</x:f>
        <x:v>2488158.7298671817</x:v>
      </x:c>
      <x:c r="J11" s="62" t="n">
        <x:v>4.49</x:v>
      </x:c>
      <x:c r="K11" s="62" t="n">
        <x:f>IF(J11="","",(1/'Metadata'!$B$5)^(J11-1))</x:f>
        <x:v>3090.295432513592</x:v>
      </x:c>
      <x:c r="L11" s="60" t="n">
        <x:f>IF(E11=0,"",E11*K11)</x:f>
        <x:v>2488158.7298671817</x:v>
      </x:c>
      <x:c r="M11" s="60" t="n">
        <x:f>I11-L11</x:f>
        <x:v>0</x:v>
      </x:c>
      <x:c r="N11" s="62" t="n">
        <x:f>IF(L11=0,"",I11/L11)</x:f>
        <x:v>1</x:v>
      </x:c>
      <x:c r="O11" s="66" t="n">
        <x:f>IF(L11=0,"",M11/L11)</x:f>
        <x:v>0</x:v>
      </x:c>
    </x:row>
    <x:row r="12" ht="18" customHeight="1">
      <x:c r="A12" s="46" t="str">
        <x:v>Medium benthopelagics (30 - 89 cm)</x:v>
      </x:c>
      <x:c r="B12" s="64" t="n">
        <x:v>13</x:v>
      </x:c>
      <x:c r="C12" s="64" t="n">
        <x:v>13</x:v>
      </x:c>
      <x:c r="D12" s="60" t="n">
        <x:v>5423.4093997588</x:v>
      </x:c>
      <x:c r="E12" s="60" t="n">
        <x:v>5423.4093997588</x:v>
      </x:c>
      <x:c r="F12" s="62" t="n">
        <x:v>0</x:v>
      </x:c>
      <x:c r="G12" s="66" t="n">
        <x:v>1</x:v>
      </x:c>
      <x:c r="H12" s="62" t="n">
        <x:f>IF(E12=0,"",I12/E12)</x:f>
        <x:v>906.1467952533802</x:v>
      </x:c>
      <x:c r="I12" s="60" t="n">
        <x:f>SUMIF('Species'!$G$2:$G$255,A12,'Species'!$U$2:$U$255)</x:f>
        <x:v>4914405.046938495</x:v>
      </x:c>
      <x:c r="J12" s="62" t="n">
        <x:v>3.9451426778712624</x:v>
      </x:c>
      <x:c r="K12" s="62" t="n">
        <x:f>IF(J12="","",(1/'Metadata'!$B$5)^(J12-1))</x:f>
        <x:v>881.3383697301118</x:v>
      </x:c>
      <x:c r="L12" s="60" t="n">
        <x:f>IF(E12=0,"",E12*K12)</x:f>
        <x:v>4779858.798762385</x:v>
      </x:c>
      <x:c r="M12" s="60" t="n">
        <x:f>I12-L12</x:f>
        <x:v>134546.24817610998</x:v>
      </x:c>
      <x:c r="N12" s="62" t="n">
        <x:f>IF(L12=0,"",I12/L12)</x:f>
        <x:v>1.028148582173797</x:v>
      </x:c>
      <x:c r="O12" s="66" t="n">
        <x:f>IF(L12=0,"",M12/L12)</x:f>
        <x:v>0.028148582173797076</x:v>
      </x:c>
    </x:row>
    <x:row r="13" ht="18" customHeight="1">
      <x:c r="A13" s="46" t="str">
        <x:v>Medium demersals (30 - 89 cm)</x:v>
      </x:c>
      <x:c r="B13" s="64" t="n">
        <x:v>38</x:v>
      </x:c>
      <x:c r="C13" s="64" t="n">
        <x:v>38</x:v>
      </x:c>
      <x:c r="D13" s="60" t="n">
        <x:v>114633.93159857049</x:v>
      </x:c>
      <x:c r="E13" s="60" t="n">
        <x:v>114633.93159857049</x:v>
      </x:c>
      <x:c r="F13" s="62" t="n">
        <x:v>0</x:v>
      </x:c>
      <x:c r="G13" s="66" t="n">
        <x:v>1</x:v>
      </x:c>
      <x:c r="H13" s="62" t="n">
        <x:f>IF(E13=0,"",I13/E13)</x:f>
        <x:v>437.6295966118778</x:v>
      </x:c>
      <x:c r="I13" s="60" t="n">
        <x:f>SUMIF('Species'!$G$2:$G$255,A13,'Species'!$U$2:$U$255)</x:f>
        <x:v>50167201.24351599</x:v>
      </x:c>
      <x:c r="J13" s="62" t="n">
        <x:v>3.400182660177843</x:v>
      </x:c>
      <x:c r="K13" s="62" t="n">
        <x:f>IF(J13="","",(1/'Metadata'!$B$5)^(J13-1))</x:f>
        <x:v>251.2943129540488</x:v>
      </x:c>
      <x:c r="L13" s="60" t="n">
        <x:f>IF(E13=0,"",E13*K13)</x:f>
        <x:v>28806855.082284193</x:v>
      </x:c>
      <x:c r="M13" s="60" t="n">
        <x:f>I13-L13</x:f>
        <x:v>21360346.161231797</x:v>
      </x:c>
      <x:c r="N13" s="62" t="n">
        <x:f>IF(L13=0,"",I13/L13)</x:f>
        <x:v>1.7415021910659074</x:v>
      </x:c>
      <x:c r="O13" s="66" t="n">
        <x:f>IF(L13=0,"",M13/L13)</x:f>
        <x:v>0.7415021910659073</x:v>
      </x:c>
    </x:row>
    <x:row r="14" ht="18" customHeight="1">
      <x:c r="A14" s="46" t="str">
        <x:v>Medium pelagics (30 - 89 cm)</x:v>
      </x:c>
      <x:c r="B14" s="64" t="n">
        <x:v>14</x:v>
      </x:c>
      <x:c r="C14" s="64" t="n">
        <x:v>14</x:v>
      </x:c>
      <x:c r="D14" s="60" t="n">
        <x:v>7115.8958327404</x:v>
      </x:c>
      <x:c r="E14" s="60" t="n">
        <x:v>7115.8958327404</x:v>
      </x:c>
      <x:c r="F14" s="62" t="n">
        <x:v>0</x:v>
      </x:c>
      <x:c r="G14" s="66" t="n">
        <x:v>1</x:v>
      </x:c>
      <x:c r="H14" s="62" t="n">
        <x:f>IF(E14=0,"",I14/E14)</x:f>
        <x:v>1354.4087423323053</x:v>
      </x:c>
      <x:c r="I14" s="60" t="n">
        <x:f>SUMIF('Species'!$G$2:$G$255,A14,'Species'!$U$2:$U$255)</x:f>
        <x:v>9637831.525389617</x:v>
      </x:c>
      <x:c r="J14" s="62" t="n">
        <x:v>4.031311786048265</x:v>
      </x:c>
      <x:c r="K14" s="62" t="n">
        <x:f>IF(J14="","",(1/'Metadata'!$B$5)^(J14-1))</x:f>
        <x:v>1074.760721109788</x:v>
      </x:c>
      <x:c r="L14" s="60" t="n">
        <x:f>IF(E14=0,"",E14*K14)</x:f>
        <x:v>7647885.336538207</x:v>
      </x:c>
      <x:c r="M14" s="60" t="n">
        <x:f>I14-L14</x:f>
        <x:v>1989946.1888514105</x:v>
      </x:c>
      <x:c r="N14" s="62" t="n">
        <x:f>IF(L14=0,"",I14/L14)</x:f>
        <x:v>1.2601956098039715</x:v>
      </x:c>
      <x:c r="O14" s="66" t="n">
        <x:f>IF(L14=0,"",M14/L14)</x:f>
        <x:v>0.2601956098039715</x:v>
      </x:c>
    </x:row>
    <x:row r="15" ht="18" customHeight="1">
      <x:c r="A15" s="46" t="str">
        <x:v>Medium reef assoc. fish (30 - 89 cm)</x:v>
      </x:c>
      <x:c r="B15" s="64" t="n">
        <x:v>31</x:v>
      </x:c>
      <x:c r="C15" s="64" t="n">
        <x:v>31</x:v>
      </x:c>
      <x:c r="D15" s="60" t="n">
        <x:v>7731.047700439199</x:v>
      </x:c>
      <x:c r="E15" s="60" t="n">
        <x:v>7731.047700439199</x:v>
      </x:c>
      <x:c r="F15" s="62" t="n">
        <x:v>0</x:v>
      </x:c>
      <x:c r="G15" s="66" t="n">
        <x:v>1</x:v>
      </x:c>
      <x:c r="H15" s="62" t="n">
        <x:f>IF(E15=0,"",I15/E15)</x:f>
        <x:v>827.7559730261718</x:v>
      </x:c>
      <x:c r="I15" s="60" t="n">
        <x:f>SUMIF('Species'!$G$2:$G$255,A15,'Species'!$U$2:$U$255)</x:f>
        <x:v>6399420.911788797</x:v>
      </x:c>
      <x:c r="J15" s="62" t="n">
        <x:v>3.8471476725877274</x:v>
      </x:c>
      <x:c r="K15" s="62" t="n">
        <x:f>IF(J15="","",(1/'Metadata'!$B$5)^(J15-1))</x:f>
        <x:v>703.3114252992162</x:v>
      </x:c>
      <x:c r="L15" s="60" t="n">
        <x:f>IF(E15=0,"",E15*K15)</x:f>
        <x:v>5437334.177252121</x:v>
      </x:c>
      <x:c r="M15" s="60" t="n">
        <x:f>I15-L15</x:f>
        <x:v>962086.7345366757</x:v>
      </x:c>
      <x:c r="N15" s="62" t="n">
        <x:f>IF(L15=0,"",I15/L15)</x:f>
        <x:v>1.1769408874226832</x:v>
      </x:c>
      <x:c r="O15" s="66" t="n">
        <x:f>IF(L15=0,"",M15/L15)</x:f>
        <x:v>0.17694088742268327</x:v>
      </x:c>
    </x:row>
    <x:row r="16" ht="18" customHeight="1">
      <x:c r="A16" s="46" t="str">
        <x:v>Other demersal invertebrates</x:v>
      </x:c>
      <x:c r="B16" s="64" t="n">
        <x:v>8</x:v>
      </x:c>
      <x:c r="C16" s="64" t="n">
        <x:v>8</x:v>
      </x:c>
      <x:c r="D16" s="60" t="n">
        <x:v>4004.3294580471998</x:v>
      </x:c>
      <x:c r="E16" s="60" t="n">
        <x:v>4004.3294580471998</x:v>
      </x:c>
      <x:c r="F16" s="62" t="n">
        <x:v>0</x:v>
      </x:c>
      <x:c r="G16" s="66" t="n">
        <x:v>1</x:v>
      </x:c>
      <x:c r="H16" s="62" t="n">
        <x:f>IF(E16=0,"",I16/E16)</x:f>
        <x:v>12.387034026504018</x:v>
      </x:c>
      <x:c r="I16" s="60" t="n">
        <x:f>SUMIF('Species'!$G$2:$G$255,A16,'Species'!$U$2:$U$255)</x:f>
        <x:v>49601.76525016306</x:v>
      </x:c>
      <x:c r="J16" s="62" t="n">
        <x:v>2.078588803749761</x:v>
      </x:c>
      <x:c r="K16" s="62" t="n">
        <x:f>IF(J16="","",(1/'Metadata'!$B$5)^(J16-1))</x:f>
        <x:v>11.983641374694137</x:v>
      </x:c>
      <x:c r="L16" s="60" t="n">
        <x:f>IF(E16=0,"",E16*K16)</x:f>
        <x:v>47986.44817136098</x:v>
      </x:c>
      <x:c r="M16" s="60" t="n">
        <x:f>I16-L16</x:f>
        <x:v>1615.3170788020798</x:v>
      </x:c>
      <x:c r="N16" s="62" t="n">
        <x:f>IF(L16=0,"",I16/L16)</x:f>
        <x:v>1.0336619429100844</x:v>
      </x:c>
      <x:c r="O16" s="66" t="n">
        <x:f>IF(L16=0,"",M16/L16)</x:f>
        <x:v>0.03366194291008445</x:v>
      </x:c>
    </x:row>
    <x:row r="17" ht="18" customHeight="1">
      <x:c r="A17" s="46" t="str">
        <x:v>Shrimps</x:v>
      </x:c>
      <x:c r="B17" s="64" t="n">
        <x:v>7</x:v>
      </x:c>
      <x:c r="C17" s="64" t="n">
        <x:v>7</x:v>
      </x:c>
      <x:c r="D17" s="60" t="n">
        <x:v>9810.716522510698</x:v>
      </x:c>
      <x:c r="E17" s="60" t="n">
        <x:v>9810.716522510698</x:v>
      </x:c>
      <x:c r="F17" s="62" t="n">
        <x:v>0</x:v>
      </x:c>
      <x:c r="G17" s="66" t="n">
        <x:v>1</x:v>
      </x:c>
      <x:c r="H17" s="62" t="n">
        <x:f>IF(E17=0,"",I17/E17)</x:f>
        <x:v>58.027747059885485</x:v>
      </x:c>
      <x:c r="I17" s="60" t="n">
        <x:f>SUMIF('Species'!$G$2:$G$255,A17,'Species'!$U$2:$U$255)</x:f>
        <x:v>569293.7768444901</x:v>
      </x:c>
      <x:c r="J17" s="62" t="n">
        <x:v>2.734438661194902</x:v>
      </x:c>
      <x:c r="K17" s="62" t="n">
        <x:f>IF(J17="","",(1/'Metadata'!$B$5)^(J17-1))</x:f>
        <x:v>54.25486175343166</x:v>
      </x:c>
      <x:c r="L17" s="60" t="n">
        <x:f>IF(E17=0,"",E17*K17)</x:f>
        <x:v>532279.0686309257</x:v>
      </x:c>
      <x:c r="M17" s="60" t="n">
        <x:f>I17-L17</x:f>
        <x:v>37014.70821356436</x:v>
      </x:c>
      <x:c r="N17" s="62" t="n">
        <x:f>IF(L17=0,"",I17/L17)</x:f>
        <x:v>1.0695400409202072</x:v>
      </x:c>
      <x:c r="O17" s="66" t="n">
        <x:f>IF(L17=0,"",M17/L17)</x:f>
        <x:v>0.06954004092020721</x:v>
      </x:c>
    </x:row>
    <x:row r="18" ht="18" customHeight="1">
      <x:c r="A18" s="46" t="str">
        <x:v>Small benthopelagics (&lt;30 cm)</x:v>
      </x:c>
      <x:c r="B18" s="64" t="n">
        <x:v>2</x:v>
      </x:c>
      <x:c r="C18" s="64" t="n">
        <x:v>2</x:v>
      </x:c>
      <x:c r="D18" s="60" t="n">
        <x:v>786.4096256032999</x:v>
      </x:c>
      <x:c r="E18" s="60" t="n">
        <x:v>786.4096256032999</x:v>
      </x:c>
      <x:c r="F18" s="62" t="n">
        <x:v>0</x:v>
      </x:c>
      <x:c r="G18" s="66" t="n">
        <x:v>1</x:v>
      </x:c>
      <x:c r="H18" s="62" t="n">
        <x:f>IF(E18=0,"",I18/E18)</x:f>
        <x:v>571.0938426091233</x:v>
      </x:c>
      <x:c r="I18" s="60" t="n">
        <x:f>SUMIF('Species'!$G$2:$G$255,A18,'Species'!$U$2:$U$255)</x:f>
        <x:v>449113.6949505905</x:v>
      </x:c>
      <x:c r="J18" s="62" t="n">
        <x:v>3.2532296380302537</x:v>
      </x:c>
      <x:c r="K18" s="62" t="n">
        <x:f>IF(J18="","",(1/'Metadata'!$B$5)^(J18-1))</x:f>
        <x:v>179.15529071260892</x:v>
      </x:c>
      <x:c r="L18" s="60" t="n">
        <x:f>IF(E18=0,"",E18*K18)</x:f>
        <x:v>140889.44509415314</x:v>
      </x:c>
      <x:c r="M18" s="60" t="n">
        <x:f>I18-L18</x:f>
        <x:v>308224.2498564373</x:v>
      </x:c>
      <x:c r="N18" s="62" t="n">
        <x:f>IF(L18=0,"",I18/L18)</x:f>
        <x:v>3.187702915931412</x:v>
      </x:c>
      <x:c r="O18" s="66" t="n">
        <x:f>IF(L18=0,"",M18/L18)</x:f>
        <x:v>2.1877029159314114</x:v>
      </x:c>
    </x:row>
    <x:row r="19" ht="18" customHeight="1">
      <x:c r="A19" s="46" t="str">
        <x:v>Small demersals (&lt;30 cm)</x:v>
      </x:c>
      <x:c r="B19" s="64" t="n">
        <x:v>9</x:v>
      </x:c>
      <x:c r="C19" s="64" t="n">
        <x:v>9</x:v>
      </x:c>
      <x:c r="D19" s="60" t="n">
        <x:v>10533.512828298099</x:v>
      </x:c>
      <x:c r="E19" s="60" t="n">
        <x:v>10533.512828298099</x:v>
      </x:c>
      <x:c r="F19" s="62" t="n">
        <x:v>0</x:v>
      </x:c>
      <x:c r="G19" s="66" t="n">
        <x:v>1</x:v>
      </x:c>
      <x:c r="H19" s="62" t="n">
        <x:f>IF(E19=0,"",I19/E19)</x:f>
        <x:v>306.70846275684914</x:v>
      </x:c>
      <x:c r="I19" s="60" t="n">
        <x:f>SUMIF('Species'!$G$2:$G$255,A19,'Species'!$U$2:$U$255)</x:f>
        <x:v>3230717.5269968603</x:v>
      </x:c>
      <x:c r="J19" s="62" t="n">
        <x:v>3.4711628992100865</x:v>
      </x:c>
      <x:c r="K19" s="62" t="n">
        <x:f>IF(J19="","",(1/'Metadata'!$B$5)^(J19-1))</x:f>
        <x:v>295.9122193466066</x:v>
      </x:c>
      <x:c r="L19" s="60" t="n">
        <x:f>IF(E19=0,"",E19*K19)</x:f>
        <x:v>3116995.1585376416</x:v>
      </x:c>
      <x:c r="M19" s="60" t="n">
        <x:f>I19-L19</x:f>
        <x:v>113722.36845921865</x:v>
      </x:c>
      <x:c r="N19" s="62" t="n">
        <x:f>IF(L19=0,"",I19/L19)</x:f>
        <x:v>1.0364846150459124</x:v>
      </x:c>
      <x:c r="O19" s="66" t="n">
        <x:f>IF(L19=0,"",M19/L19)</x:f>
        <x:v>0.03648461504591243</x:v>
      </x:c>
    </x:row>
    <x:row r="20" ht="18" customHeight="1">
      <x:c r="A20" s="46" t="str">
        <x:v>Small pelagics (&lt;30 cm)</x:v>
      </x:c>
      <x:c r="B20" s="64" t="n">
        <x:v>15</x:v>
      </x:c>
      <x:c r="C20" s="64" t="n">
        <x:v>15</x:v>
      </x:c>
      <x:c r="D20" s="60" t="n">
        <x:v>67929.9740127195</x:v>
      </x:c>
      <x:c r="E20" s="60" t="n">
        <x:v>67929.9740127195</x:v>
      </x:c>
      <x:c r="F20" s="62" t="n">
        <x:v>0</x:v>
      </x:c>
      <x:c r="G20" s="66" t="n">
        <x:v>1</x:v>
      </x:c>
      <x:c r="H20" s="62" t="n">
        <x:f>IF(E20=0,"",I20/E20)</x:f>
        <x:v>329.2438799398164</x:v>
      </x:c>
      <x:c r="I20" s="60" t="n">
        <x:f>SUMIF('Species'!$G$2:$G$255,A20,'Species'!$U$2:$U$255)</x:f>
        <x:v>22365528.208158664</x:v>
      </x:c>
      <x:c r="J20" s="62" t="n">
        <x:v>3.202913953404324</x:v>
      </x:c>
      <x:c r="K20" s="62" t="n">
        <x:f>IF(J20="","",(1/'Metadata'!$B$5)^(J20-1))</x:f>
        <x:v>159.55629876473893</x:v>
      </x:c>
      <x:c r="L20" s="60" t="n">
        <x:f>IF(E20=0,"",E20*K20)</x:f>
        <x:v>10838655.228654424</x:v>
      </x:c>
      <x:c r="M20" s="60" t="n">
        <x:f>I20-L20</x:f>
        <x:v>11526872.97950424</x:v>
      </x:c>
      <x:c r="N20" s="62" t="n">
        <x:f>IF(L20=0,"",I20/L20)</x:f>
        <x:v>2.0634965995624954</x:v>
      </x:c>
      <x:c r="O20" s="66" t="n">
        <x:f>IF(L20=0,"",M20/L20)</x:f>
        <x:v>1.0634965995624954</x:v>
      </x:c>
    </x:row>
    <x:row r="21" ht="18" customHeight="1">
      <x:c r="A21" s="46" t="str">
        <x:v>Small reef assoc. fish (&lt;30 cm)</x:v>
      </x:c>
      <x:c r="B21" s="64" t="n">
        <x:v>7</x:v>
      </x:c>
      <x:c r="C21" s="64" t="n">
        <x:v>7</x:v>
      </x:c>
      <x:c r="D21" s="60" t="n">
        <x:v>246.2643094346</x:v>
      </x:c>
      <x:c r="E21" s="60" t="n">
        <x:v>246.2643094346</x:v>
      </x:c>
      <x:c r="F21" s="62" t="n">
        <x:v>0</x:v>
      </x:c>
      <x:c r="G21" s="66" t="n">
        <x:v>1</x:v>
      </x:c>
      <x:c r="H21" s="62" t="n">
        <x:f>IF(E21=0,"",I21/E21)</x:f>
        <x:v>950.5846362469036</x:v>
      </x:c>
      <x:c r="I21" s="60" t="n">
        <x:f>SUMIF('Species'!$G$2:$G$255,A21,'Species'!$U$2:$U$255)</x:f>
        <x:v>234095.06900448416</x:v>
      </x:c>
      <x:c r="J21" s="62" t="n">
        <x:v>3.612437186630624</x:v>
      </x:c>
      <x:c r="K21" s="62" t="n">
        <x:f>IF(J21="","",(1/'Metadata'!$B$5)^(J21-1))</x:f>
        <x:v>409.67285326220474</x:v>
      </x:c>
      <x:c r="L21" s="60" t="n">
        <x:f>IF(E21=0,"",E21*K21)</x:f>
        <x:v>100887.80230271906</x:v>
      </x:c>
      <x:c r="M21" s="60" t="n">
        <x:f>I21-L21</x:f>
        <x:v>133207.2667017651</x:v>
      </x:c>
      <x:c r="N21" s="62" t="n">
        <x:f>IF(L21=0,"",I21/L21)</x:f>
        <x:v>2.320350564303798</x:v>
      </x:c>
      <x:c r="O21" s="66" t="n">
        <x:f>IF(L21=0,"",M21/L21)</x:f>
        <x:v>1.3203505643037976</x:v>
      </x:c>
    </x:row>
    <x:row r="22" ht="18" customHeight="1">
      <x:c r="A22" s="46" t="str">
        <x:v>Small to medium flatfishes (&lt;90 cm)</x:v>
      </x:c>
      <x:c r="B22" s="64" t="n">
        <x:v>2</x:v>
      </x:c>
      <x:c r="C22" s="64" t="n">
        <x:v>2</x:v>
      </x:c>
      <x:c r="D22" s="60" t="n">
        <x:v>1829.3221062905998</x:v>
      </x:c>
      <x:c r="E22" s="60" t="n">
        <x:v>1829.3221062905998</x:v>
      </x:c>
      <x:c r="F22" s="62" t="n">
        <x:v>0</x:v>
      </x:c>
      <x:c r="G22" s="66" t="n">
        <x:v>1</x:v>
      </x:c>
      <x:c r="H22" s="62" t="n">
        <x:f>IF(E22=0,"",I22/E22)</x:f>
        <x:v>233.2296128365663</x:v>
      </x:c>
      <x:c r="I22" s="60" t="n">
        <x:f>SUMIF('Species'!$G$2:$G$255,A22,'Species'!$U$2:$U$255)</x:f>
        <x:v>426652.0866035286</x:v>
      </x:c>
      <x:c r="J22" s="62" t="n">
        <x:v>3.350654750213247</x:v>
      </x:c>
      <x:c r="K22" s="62" t="n">
        <x:f>IF(J22="","",(1/'Metadata'!$B$5)^(J22-1))</x:f>
        <x:v>224.20988205218225</x:v>
      </x:c>
      <x:c r="L22" s="60" t="n">
        <x:f>IF(E22=0,"",E22*K22)</x:f>
        <x:v>410152.093686865</x:v>
      </x:c>
      <x:c r="M22" s="60" t="n">
        <x:f>I22-L22</x:f>
        <x:v>16499.992916663585</x:v>
      </x:c>
      <x:c r="N22" s="62" t="n">
        <x:f>IF(L22=0,"",I22/L22)</x:f>
        <x:v>1.0402289618183949</x:v>
      </x:c>
      <x:c r="O22" s="66" t="n">
        <x:f>IF(L22=0,"",M22/L22)</x:f>
        <x:v>0.04022896181839481</x:v>
      </x:c>
    </x:row>
    <x:row r="23" ht="18" customHeight="1">
      <x:c r="A23" s="46" t="str">
        <x:v>Small to medium rays (&lt;90 cm)</x:v>
      </x:c>
      <x:c r="B23" s="64" t="n">
        <x:v>3</x:v>
      </x:c>
      <x:c r="C23" s="64" t="n">
        <x:v>3</x:v>
      </x:c>
      <x:c r="D23" s="60" t="n">
        <x:v>5.8887246221</x:v>
      </x:c>
      <x:c r="E23" s="60" t="n">
        <x:v>5.8887246221</x:v>
      </x:c>
      <x:c r="F23" s="62" t="n">
        <x:v>0</x:v>
      </x:c>
      <x:c r="G23" s="66" t="n">
        <x:v>1</x:v>
      </x:c>
      <x:c r="H23" s="62" t="n">
        <x:f>IF(E23=0,"",I23/E23)</x:f>
        <x:v>364.64757118202834</x:v>
      </x:c>
      <x:c r="I23" s="60" t="n">
        <x:f>SUMIF('Species'!$G$2:$G$255,A23,'Species'!$U$2:$U$255)</x:f>
        <x:v>2147.3091308085727</x:v>
      </x:c>
      <x:c r="J23" s="62" t="n">
        <x:v>3.5611454165760588</x:v>
      </x:c>
      <x:c r="K23" s="62" t="n">
        <x:f>IF(J23="","",(1/'Metadata'!$B$5)^(J23-1))</x:f>
        <x:v>364.0369076713142</x:v>
      </x:c>
      <x:c r="L23" s="60" t="n">
        <x:f>IF(E23=0,"",E23*K23)</x:f>
        <x:v>2143.713101557212</x:v>
      </x:c>
      <x:c r="M23" s="60" t="n">
        <x:f>I23-L23</x:f>
        <x:v>3.5960292513605054</x:v>
      </x:c>
      <x:c r="N23" s="62" t="n">
        <x:f>IF(L23=0,"",I23/L23)</x:f>
        <x:v>1.001677476920185</x:v>
      </x:c>
      <x:c r="O23" s="66" t="n">
        <x:f>IF(L23=0,"",M23/L23)</x:f>
        <x:v>0.001677476920185037</x:v>
      </x:c>
    </x:row>
  </x:sheetData>
  <x:conditionalFormatting sqref="G2:G23">
    <x:cfRule type="cellIs" dxfId="2" priority="1" operator="lessThan">
      <x:formula>0.9</x:formula>
    </x:cfRule>
  </x:conditionalFormatting>
  <x:conditionalFormatting sqref="O2:O2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777f2e085fe48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LME_016</x:v>
      </x:c>
      <x:c r="B2" s="46" t="str">
        <x:v>raw_filtered_tonnes</x:v>
      </x:c>
      <x:c r="C2" s="46" t="n">
        <x:v>306003.2887419415</x:v>
      </x:c>
      <x:c r="D2" s="46" t="str">
        <x:v>tonnes</x:v>
      </x:c>
    </x:row>
    <x:row r="3" ht="18" customHeight="1">
      <x:c r="A3" s="46" t="str">
        <x:v>LME_016</x:v>
      </x:c>
      <x:c r="B3" s="46" t="str">
        <x:v>species_catch_tonnes</x:v>
      </x:c>
      <x:c r="C3" s="46" t="n">
        <x:v>306003.2887419415</x:v>
      </x:c>
      <x:c r="D3" s="46" t="str">
        <x:v>tonnes</x:v>
      </x:c>
    </x:row>
    <x:row r="4" ht="18" customHeight="1">
      <x:c r="A4" s="46" t="str">
        <x:v>LME_016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LME_016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LME_016</x:v>
      </x:c>
      <x:c r="B6" s="46" t="str">
        <x:v>matched_catch_tonnes</x:v>
      </x:c>
      <x:c r="C6" s="46" t="n">
        <x:v>306003.2887419415</x:v>
      </x:c>
      <x:c r="D6" s="46" t="str">
        <x:v>tonnes</x:v>
      </x:c>
    </x:row>
    <x:row r="7" ht="18" customHeight="1">
      <x:c r="A7" s="46" t="str">
        <x:v>LME_016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LME_016</x:v>
      </x:c>
      <x:c r="B8" s="46" t="str">
        <x:v>taxa_count</x:v>
      </x:c>
      <x:c r="C8" s="46" t="n">
        <x:v>254</x:v>
      </x:c>
      <x:c r="D8" s="46" t="str">
        <x:v>count</x:v>
      </x:c>
    </x:row>
    <x:row r="9" ht="18" customHeight="1">
      <x:c r="A9" s="46" t="str">
        <x:v>LME_016</x:v>
      </x:c>
      <x:c r="B9" s="46" t="str">
        <x:v>matched_taxa_count</x:v>
      </x:c>
      <x:c r="C9" s="46" t="n">
        <x:v>254</x:v>
      </x:c>
      <x:c r="D9" s="46" t="str">
        <x:v>count</x:v>
      </x:c>
    </x:row>
    <x:row r="10" ht="18" customHeight="1">
      <x:c r="A10" s="46" t="str">
        <x:v>LME_016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LME_016</x:v>
      </x:c>
      <x:c r="B11" s="46" t="str">
        <x:v>species_ppr</x:v>
      </x:c>
      <x:c r="C11" s="46" t="n">
        <x:v>201658143.7250421</x:v>
      </x:c>
      <x:c r="D11" s="46" t="str">
        <x:v>tonnes_primary_production_equivalent</x:v>
      </x:c>
    </x:row>
    <x:row r="12" ht="18" customHeight="1">
      <x:c r="A12" s="46" t="str">
        <x:v>LME_016</x:v>
      </x:c>
      <x:c r="B12" s="46" t="str">
        <x:v>commercial_ppr</x:v>
      </x:c>
      <x:c r="C12" s="46" t="n">
        <x:v>201658143.72504207</x:v>
      </x:c>
      <x:c r="D12" s="46" t="str">
        <x:v>tonnes_primary_production_equivalent</x:v>
      </x:c>
    </x:row>
    <x:row r="13" ht="18" customHeight="1">
      <x:c r="A13" s="46" t="str">
        <x:v>LME_016</x:v>
      </x:c>
      <x:c r="B13" s="46" t="str">
        <x:v>functional_ppr</x:v>
      </x:c>
      <x:c r="C13" s="46" t="n">
        <x:v>201658143.72504207</x:v>
      </x:c>
      <x:c r="D13" s="46" t="str">
        <x:v>tonnes_primary_production_equivalent</x:v>
      </x:c>
    </x:row>
    <x:row r="14" ht="18" customHeight="1">
      <x:c r="A14" s="46" t="str">
        <x:v>LME_016</x:v>
      </x:c>
      <x:c r="B14" s="46" t="str">
        <x:v>commercial_ppr_difference</x:v>
      </x:c>
      <x:c r="C14" s="46" t="n">
        <x:v>-2.9802322387695312e-8</x:v>
      </x:c>
      <x:c r="D14" s="46" t="str">
        <x:v>tonnes_primary_production_equivalent</x:v>
      </x:c>
    </x:row>
    <x:row r="15" ht="18" customHeight="1">
      <x:c r="A15" s="46" t="str">
        <x:v>LME_016</x:v>
      </x:c>
      <x:c r="B15" s="46" t="str">
        <x:v>functional_ppr_difference</x:v>
      </x:c>
      <x:c r="C15" s="46" t="n">
        <x:v>-2.9802322387695312e-8</x:v>
      </x:c>
      <x:c r="D15" s="46" t="str">
        <x:v>tonnes_primary_production_equivalent</x:v>
      </x:c>
    </x:row>
    <x:row r="16" ht="18" customHeight="1">
      <x:c r="A16" s="46" t="str">
        <x:v>LME_016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LME_016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LME_016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LME_016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a335c686992e41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LME_016 - East Brazil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LME_016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raw_data/SAU_downloads/LME_016-catch.zip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