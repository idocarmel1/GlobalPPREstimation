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5719572a934d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3886e655e2e94690"/>
    <x:sheet xmlns:r="http://schemas.openxmlformats.org/officeDocument/2006/relationships" name="Commercial" sheetId="2" r:id="R15f2440c1e4e454a"/>
    <x:sheet xmlns:r="http://schemas.openxmlformats.org/officeDocument/2006/relationships" name="Functional" sheetId="3" r:id="R5d07d9439f8f47c8"/>
    <x:sheet xmlns:r="http://schemas.openxmlformats.org/officeDocument/2006/relationships" name="Missing TL" sheetId="4" r:id="R1095860918a54824"/>
    <x:sheet xmlns:r="http://schemas.openxmlformats.org/officeDocument/2006/relationships" name="Validation" sheetId="5" r:id="Rb919c5b4579348a7"/>
    <x:sheet xmlns:r="http://schemas.openxmlformats.org/officeDocument/2006/relationships" name="Metadata" sheetId="6" r:id="R0083cbfb548446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93bc9253f7475e" /><Relationship Type="http://schemas.openxmlformats.org/officeDocument/2006/relationships/theme" Target="/xl/theme/theme1.xml" Id="R573253251b2f4379" /><Relationship Type="http://schemas.microsoft.com/office/2022/11/relationships/FeaturePropertyBag" Target="/xl/featurePropertyBag/featurePropertyBag.xml" Id="R4ff52001692743a9" /><Relationship Type="http://schemas.openxmlformats.org/officeDocument/2006/relationships/sharedStrings" Target="/xl/sharedStrings.xml" Id="Re7106c1b04c54083" /><Relationship Type="http://schemas.openxmlformats.org/officeDocument/2006/relationships/worksheet" Target="/xl/worksheets/sheet1.xml" Id="R3886e655e2e94690" /><Relationship Type="http://schemas.openxmlformats.org/officeDocument/2006/relationships/worksheet" Target="/xl/worksheets/sheet2.xml" Id="R15f2440c1e4e454a" /><Relationship Type="http://schemas.openxmlformats.org/officeDocument/2006/relationships/worksheet" Target="/xl/worksheets/sheet3.xml" Id="R5d07d9439f8f47c8" /><Relationship Type="http://schemas.openxmlformats.org/officeDocument/2006/relationships/worksheet" Target="/xl/worksheets/sheet4.xml" Id="R1095860918a54824" /><Relationship Type="http://schemas.openxmlformats.org/officeDocument/2006/relationships/worksheet" Target="/xl/worksheets/sheet5.xml" Id="Rb919c5b4579348a7" /><Relationship Type="http://schemas.openxmlformats.org/officeDocument/2006/relationships/worksheet" Target="/xl/worksheets/sheet6.xml" Id="R0083cbfb5484468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HS071SpeciesTable" displayName="HS071SpeciesTable" ref="A1:U24" headerRowCount="1" totalsRowCount="0" totalsRowShown="0">
  <x:autoFilter ref="A1:U2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S071CommercialTable" displayName="HS071CommercialTable" ref="A1:E5" headerRowCount="1" totalsRowCount="0" totalsRowShown="0">
  <x:autoFilter ref="A1:E5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S071FunctionalTable" displayName="HS071FunctionalTable" ref="A1:E5" headerRowCount="1" totalsRowCount="0" totalsRowShown="0">
  <x:autoFilter ref="A1:E5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S071ValidationTable" displayName="HS071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24d8b4740247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2d8347d1bad46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b3ed169925f40c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88fa2b4b43a4e4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HS_071</x:v>
      </x:c>
      <x:c r="B2" s="24" t="str">
        <x:v>Pacific, Western Central</x:v>
      </x:c>
      <x:c r="C2" s="24" t="str">
        <x:v>High Seas</x:v>
      </x:c>
      <x:c r="D2" s="30" t="n">
        <x:v>2019</x:v>
      </x:c>
      <x:c r="E2" s="24" t="str">
        <x:v>Katsuwonus pelamis</x:v>
      </x:c>
      <x:c r="F2" s="24" t="str">
        <x:v>Skipjack tuna</x:v>
      </x:c>
      <x:c r="G2" s="24" t="str">
        <x:v>Large pelagics (&gt;=90 cm)</x:v>
      </x:c>
      <x:c r="H2" s="24" t="str">
        <x:v>Tuna &amp; billfishes</x:v>
      </x:c>
      <x:c r="I2" s="31" t="n">
        <x:v>382330.0463323972</x:v>
      </x:c>
      <x:c r="J2" s="31" t="n">
        <x:v>379104.0203851209</x:v>
      </x:c>
      <x:c r="K2" s="31" t="n">
        <x:v>3226.0259472763</x:v>
      </x:c>
      <x:c r="L2" s="31" t="n">
        <x:v>379104.0203851209</x:v>
      </x:c>
      <x:c r="M2" s="31" t="n">
        <x:v>3226.0259472763</x:v>
      </x:c>
      <x:c r="N2" s="24" t="str">
        <x:v>katsuwonus pelamis</x:v>
      </x:c>
      <x:c r="O2" s="32" t="n">
        <x:v>4.43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Katsuwonus pelamis</x:v>
      </x:c>
      <x:c r="T2" s="32" t="n">
        <x:f>IF(O2="","",(1/'Metadata'!$B$5)^(O2-1))</x:f>
        <x:v>2691.534803926914</x:v>
      </x:c>
      <x:c r="U2" s="31" t="n">
        <x:f>IF(T2="","",I2*T2)</x:f>
        <x:v>1029054626.2906365</x:v>
      </x:c>
    </x:row>
    <x:row r="3" ht="18" customHeight="1">
      <x:c r="A3" s="24" t="str">
        <x:v>HS_071</x:v>
      </x:c>
      <x:c r="B3" s="24" t="str">
        <x:v>Pacific, Western Central</x:v>
      </x:c>
      <x:c r="C3" s="24" t="str">
        <x:v>High Seas</x:v>
      </x:c>
      <x:c r="D3" s="30" t="n">
        <x:v>2019</x:v>
      </x:c>
      <x:c r="E3" s="24" t="str">
        <x:v>Thunnus albacares</x:v>
      </x:c>
      <x:c r="F3" s="24" t="str">
        <x:v>Yellowfin tuna</x:v>
      </x:c>
      <x:c r="G3" s="24" t="str">
        <x:v>Large pelagics (&gt;=90 cm)</x:v>
      </x:c>
      <x:c r="H3" s="24" t="str">
        <x:v>Tuna &amp; billfishes</x:v>
      </x:c>
      <x:c r="I3" s="31" t="n">
        <x:v>111565.1228841234</x:v>
      </x:c>
      <x:c r="J3" s="31" t="n">
        <x:v>111118.5399814832</x:v>
      </x:c>
      <x:c r="K3" s="31" t="n">
        <x:v>446.58290264019996</x:v>
      </x:c>
      <x:c r="L3" s="31" t="n">
        <x:v>111118.5399814832</x:v>
      </x:c>
      <x:c r="M3" s="31" t="n">
        <x:v>446.58290264019996</x:v>
      </x:c>
      <x:c r="N3" s="24" t="str">
        <x:v>thunnus albacares</x:v>
      </x:c>
      <x:c r="O3" s="32" t="n">
        <x:v>4.41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Thunnus albacares</x:v>
      </x:c>
      <x:c r="T3" s="32" t="n">
        <x:f>IF(O3="","",(1/'Metadata'!$B$5)^(O3-1))</x:f>
        <x:v>2570.3957827688646</x:v>
      </x:c>
      <x:c r="U3" s="31" t="n">
        <x:f>IF(T3="","",I3*T3)</x:f>
        <x:v>286766521.3654409</x:v>
      </x:c>
    </x:row>
    <x:row r="4" ht="18" customHeight="1">
      <x:c r="A4" s="24" t="str">
        <x:v>HS_071</x:v>
      </x:c>
      <x:c r="B4" s="24" t="str">
        <x:v>Pacific, Western Central</x:v>
      </x:c>
      <x:c r="C4" s="24" t="str">
        <x:v>High Seas</x:v>
      </x:c>
      <x:c r="D4" s="30" t="n">
        <x:v>2019</x:v>
      </x:c>
      <x:c r="E4" s="24" t="str">
        <x:v>Thunnus obesus</x:v>
      </x:c>
      <x:c r="F4" s="24" t="str">
        <x:v>Bigeye tuna</x:v>
      </x:c>
      <x:c r="G4" s="24" t="str">
        <x:v>Large pelagics (&gt;=90 cm)</x:v>
      </x:c>
      <x:c r="H4" s="24" t="str">
        <x:v>Tuna &amp; billfishes</x:v>
      </x:c>
      <x:c r="I4" s="31" t="n">
        <x:v>24224.8630511907</x:v>
      </x:c>
      <x:c r="J4" s="31" t="n">
        <x:v>23945.4674626815</x:v>
      </x:c>
      <x:c r="K4" s="31" t="n">
        <x:v>279.39558850919997</x:v>
      </x:c>
      <x:c r="L4" s="31" t="n">
        <x:v>23945.4674626815</x:v>
      </x:c>
      <x:c r="M4" s="31" t="n">
        <x:v>279.39558850919997</x:v>
      </x:c>
      <x:c r="N4" s="24" t="str">
        <x:v>thunnus obesus</x:v>
      </x:c>
      <x:c r="O4" s="32" t="n">
        <x:v>4.49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Thunnus obesus</x:v>
      </x:c>
      <x:c r="T4" s="32" t="n">
        <x:f>IF(O4="","",(1/'Metadata'!$B$5)^(O4-1))</x:f>
        <x:v>3090.295432513592</x:v>
      </x:c>
      <x:c r="U4" s="31" t="n">
        <x:f>IF(T4="","",I4*T4)</x:f>
        <x:v>74861983.64036189</x:v>
      </x:c>
    </x:row>
    <x:row r="5" ht="18" customHeight="1">
      <x:c r="A5" s="24" t="str">
        <x:v>HS_071</x:v>
      </x:c>
      <x:c r="B5" s="24" t="str">
        <x:v>Pacific, Western Central</x:v>
      </x:c>
      <x:c r="C5" s="24" t="str">
        <x:v>High Seas</x:v>
      </x:c>
      <x:c r="D5" s="30" t="n">
        <x:v>2019</x:v>
      </x:c>
      <x:c r="E5" s="24" t="str">
        <x:v>Prionace glauca</x:v>
      </x:c>
      <x:c r="F5" s="24" t="str">
        <x:v>Blue shark</x:v>
      </x:c>
      <x:c r="G5" s="24" t="str">
        <x:v>Large sharks (&gt;=90 cm)</x:v>
      </x:c>
      <x:c r="H5" s="24" t="str">
        <x:v>Sharks &amp; rays</x:v>
      </x:c>
      <x:c r="I5" s="31" t="n">
        <x:v>15944.9950977959</x:v>
      </x:c>
      <x:c r="J5" s="31" t="n">
        <x:v>7353.2070982564</x:v>
      </x:c>
      <x:c r="K5" s="31" t="n">
        <x:v>8591.7879995395</x:v>
      </x:c>
      <x:c r="L5" s="31" t="n">
        <x:v>7353.2070982564</x:v>
      </x:c>
      <x:c r="M5" s="31" t="n">
        <x:v>8591.7879995395</x:v>
      </x:c>
      <x:c r="N5" s="24" t="str">
        <x:v>prionace glauca</x:v>
      </x:c>
      <x:c r="O5" s="32" t="n">
        <x:v>4.35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Prionace glauca</x:v>
      </x:c>
      <x:c r="T5" s="32" t="n">
        <x:f>IF(O5="","",(1/'Metadata'!$B$5)^(O5-1))</x:f>
        <x:v>2238.7211385683377</x:v>
      </x:c>
      <x:c r="U5" s="31" t="n">
        <x:f>IF(T5="","",I5*T5)</x:f>
        <x:v>35696397.5798042</x:v>
      </x:c>
    </x:row>
    <x:row r="6" ht="18" customHeight="1">
      <x:c r="A6" s="24" t="str">
        <x:v>HS_071</x:v>
      </x:c>
      <x:c r="B6" s="24" t="str">
        <x:v>Pacific, Western Central</x:v>
      </x:c>
      <x:c r="C6" s="24" t="str">
        <x:v>High Seas</x:v>
      </x:c>
      <x:c r="D6" s="30" t="n">
        <x:v>2019</x:v>
      </x:c>
      <x:c r="E6" s="24" t="str">
        <x:v>Thunnus alalunga</x:v>
      </x:c>
      <x:c r="F6" s="24" t="str">
        <x:v>Albacore</x:v>
      </x:c>
      <x:c r="G6" s="24" t="str">
        <x:v>Large pelagics (&gt;=90 cm)</x:v>
      </x:c>
      <x:c r="H6" s="24" t="str">
        <x:v>Tuna &amp; billfishes</x:v>
      </x:c>
      <x:c r="I6" s="31" t="n">
        <x:v>7874.9419576226</x:v>
      </x:c>
      <x:c r="J6" s="31" t="n">
        <x:v>7853.864742469</x:v>
      </x:c>
      <x:c r="K6" s="31" t="n">
        <x:v>21.077215153599997</x:v>
      </x:c>
      <x:c r="L6" s="31" t="n">
        <x:v>7853.864742469</x:v>
      </x:c>
      <x:c r="M6" s="31" t="n">
        <x:v>21.077215153599997</x:v>
      </x:c>
      <x:c r="N6" s="24" t="str">
        <x:v>thunnus alalunga</x:v>
      </x:c>
      <x:c r="O6" s="32" t="n">
        <x:v>4.3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Thunnus alalunga</x:v>
      </x:c>
      <x:c r="T6" s="32" t="n">
        <x:f>IF(O6="","",(1/'Metadata'!$B$5)^(O6-1))</x:f>
        <x:v>1995.2623149688789</x:v>
      </x:c>
      <x:c r="U6" s="31" t="n">
        <x:f>IF(T6="","",I6*T6)</x:f>
        <x:v>15712574.920611624</x:v>
      </x:c>
    </x:row>
    <x:row r="7" ht="18" customHeight="1">
      <x:c r="A7" s="24" t="str">
        <x:v>HS_071</x:v>
      </x:c>
      <x:c r="B7" s="24" t="str">
        <x:v>Pacific, Western Central</x:v>
      </x:c>
      <x:c r="C7" s="24" t="str">
        <x:v>High Seas</x:v>
      </x:c>
      <x:c r="D7" s="30" t="n">
        <x:v>2019</x:v>
      </x:c>
      <x:c r="E7" s="24" t="str">
        <x:v>Marine fishes not identified</x:v>
      </x:c>
      <x:c r="F7" s="24" t="str">
        <x:v>Marine fishes nei</x:v>
      </x:c>
      <x:c r="G7" s="24" t="str">
        <x:v>Medium demersals (30 - 89 cm)</x:v>
      </x:c>
      <x:c r="H7" s="24" t="str">
        <x:v>Other fishes &amp; inverts</x:v>
      </x:c>
      <x:c r="I7" s="31" t="n">
        <x:v>7263.5041104633</x:v>
      </x:c>
      <x:c r="J7" s="31" t="n">
        <x:v>0</x:v>
      </x:c>
      <x:c r="K7" s="31" t="n">
        <x:v>7263.5041104633</x:v>
      </x:c>
      <x:c r="L7" s="31" t="n">
        <x:v>0</x:v>
      </x:c>
      <x:c r="M7" s="31" t="n">
        <x:v>7263.5041104633</x:v>
      </x:c>
      <x:c r="N7" s="24" t="str">
        <x:v>marine fishes not identified</x:v>
      </x:c>
      <x:c r="O7" s="32" t="n">
        <x:v>3.28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Marine fishes not identified</x:v>
      </x:c>
      <x:c r="T7" s="32" t="n">
        <x:f>IF(O7="","",(1/'Metadata'!$B$5)^(O7-1))</x:f>
        <x:v>190.54607179632464</x:v>
      </x:c>
      <x:c r="U7" s="31" t="n">
        <x:f>IF(T7="","",I7*T7)</x:f>
        <x:v>1384032.175725239</x:v>
      </x:c>
    </x:row>
    <x:row r="8" ht="18" customHeight="1">
      <x:c r="A8" s="24" t="str">
        <x:v>HS_071</x:v>
      </x:c>
      <x:c r="B8" s="24" t="str">
        <x:v>Pacific, Western Central</x:v>
      </x:c>
      <x:c r="C8" s="24" t="str">
        <x:v>High Seas</x:v>
      </x:c>
      <x:c r="D8" s="30" t="n">
        <x:v>2019</x:v>
      </x:c>
      <x:c r="E8" s="24" t="str">
        <x:v>Elasmobranchii</x:v>
      </x:c>
      <x:c r="F8" s="24" t="str">
        <x:v>Sharks, rays, skates</x:v>
      </x:c>
      <x:c r="G8" s="24" t="str">
        <x:v>Large sharks (&gt;=90 cm)</x:v>
      </x:c>
      <x:c r="H8" s="24" t="str">
        <x:v>Sharks &amp; rays</x:v>
      </x:c>
      <x:c r="I8" s="31" t="n">
        <x:v>4591.1484657753</x:v>
      </x:c>
      <x:c r="J8" s="31" t="n">
        <x:v>0</x:v>
      </x:c>
      <x:c r="K8" s="31" t="n">
        <x:v>4591.1484657753</x:v>
      </x:c>
      <x:c r="L8" s="31" t="n">
        <x:v>0</x:v>
      </x:c>
      <x:c r="M8" s="31" t="n">
        <x:v>4591.1484657753</x:v>
      </x:c>
      <x:c r="N8" s="24" t="str">
        <x:v>elasmobranchii</x:v>
      </x:c>
      <x:c r="O8" s="32" t="n">
        <x:v>4.05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Elasmobranchii</x:v>
      </x:c>
      <x:c r="T8" s="32" t="n">
        <x:f>IF(O8="","",(1/'Metadata'!$B$5)^(O8-1))</x:f>
        <x:v>1122.018454301963</x:v>
      </x:c>
      <x:c r="U8" s="31" t="n">
        <x:f>IF(T8="","",I8*T8)</x:f>
        <x:v>5151353.305040031</x:v>
      </x:c>
    </x:row>
    <x:row r="9" ht="18" customHeight="1">
      <x:c r="A9" s="24" t="str">
        <x:v>HS_071</x:v>
      </x:c>
      <x:c r="B9" s="24" t="str">
        <x:v>Pacific, Western Central</x:v>
      </x:c>
      <x:c r="C9" s="24" t="str">
        <x:v>High Seas</x:v>
      </x:c>
      <x:c r="D9" s="30" t="n">
        <x:v>2019</x:v>
      </x:c>
      <x:c r="E9" s="24" t="str">
        <x:v>Marine pelagic fishes not identified</x:v>
      </x:c>
      <x:c r="F9" s="24" t="str">
        <x:v>Pelagic fishes</x:v>
      </x:c>
      <x:c r="G9" s="24" t="str">
        <x:v>Medium pelagics (30 - 89 cm)</x:v>
      </x:c>
      <x:c r="H9" s="24" t="str">
        <x:v>Other fishes &amp; inverts</x:v>
      </x:c>
      <x:c r="I9" s="31" t="n">
        <x:v>4183.7400255864995</x:v>
      </x:c>
      <x:c r="J9" s="31" t="n">
        <x:v>3440.9397622191</x:v>
      </x:c>
      <x:c r="K9" s="31" t="n">
        <x:v>742.8002633674</x:v>
      </x:c>
      <x:c r="L9" s="31" t="n">
        <x:v>3440.9397622191</x:v>
      </x:c>
      <x:c r="M9" s="31" t="n">
        <x:v>742.8002633674</x:v>
      </x:c>
      <x:c r="N9" s="24" t="str">
        <x:v>marine pelagic fishes not identified</x:v>
      </x:c>
      <x:c r="O9" s="32" t="n">
        <x:v>3.35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Marine pelagic fishes not identified</x:v>
      </x:c>
      <x:c r="T9" s="32" t="n">
        <x:f>IF(O9="","",(1/'Metadata'!$B$5)^(O9-1))</x:f>
        <x:v>223.872113856834</x:v>
      </x:c>
      <x:c r="U9" s="31" t="n">
        <x:f>IF(T9="","",I9*T9)</x:f>
        <x:v>936622.7233554944</x:v>
      </x:c>
    </x:row>
    <x:row r="10" ht="18" customHeight="1">
      <x:c r="A10" s="24" t="str">
        <x:v>HS_071</x:v>
      </x:c>
      <x:c r="B10" s="24" t="str">
        <x:v>Pacific, Western Central</x:v>
      </x:c>
      <x:c r="C10" s="24" t="str">
        <x:v>High Seas</x:v>
      </x:c>
      <x:c r="D10" s="30" t="n">
        <x:v>2019</x:v>
      </x:c>
      <x:c r="E10" s="24" t="str">
        <x:v>Scombridae</x:v>
      </x:c>
      <x:c r="F10" s="24" t="str">
        <x:v>Mackerels, tunas, bonitos</x:v>
      </x:c>
      <x:c r="G10" s="24" t="str">
        <x:v>Medium pelagics (30 - 89 cm)</x:v>
      </x:c>
      <x:c r="H10" s="24" t="str">
        <x:v>Perch-likes</x:v>
      </x:c>
      <x:c r="I10" s="31" t="n">
        <x:v>2939.5621171377</x:v>
      </x:c>
      <x:c r="J10" s="31" t="n">
        <x:v>0</x:v>
      </x:c>
      <x:c r="K10" s="31" t="n">
        <x:v>2939.5621171377</x:v>
      </x:c>
      <x:c r="L10" s="31" t="n">
        <x:v>0</x:v>
      </x:c>
      <x:c r="M10" s="31" t="n">
        <x:v>2939.5621171377</x:v>
      </x:c>
      <x:c r="N10" s="24" t="str">
        <x:v>scombridae</x:v>
      </x:c>
      <x:c r="O10" s="32" t="n">
        <x:v>4.26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Scombridae</x:v>
      </x:c>
      <x:c r="T10" s="32" t="n">
        <x:f>IF(O10="","",(1/'Metadata'!$B$5)^(O10-1))</x:f>
        <x:v>1819.7008586099826</x:v>
      </x:c>
      <x:c r="U10" s="31" t="n">
        <x:f>IF(T10="","",I10*T10)</x:f>
        <x:v>5349123.708492851</x:v>
      </x:c>
    </x:row>
    <x:row r="11" ht="18" customHeight="1">
      <x:c r="A11" s="24" t="str">
        <x:v>HS_071</x:v>
      </x:c>
      <x:c r="B11" s="24" t="str">
        <x:v>Pacific, Western Central</x:v>
      </x:c>
      <x:c r="C11" s="24" t="str">
        <x:v>High Seas</x:v>
      </x:c>
      <x:c r="D11" s="30" t="n">
        <x:v>2019</x:v>
      </x:c>
      <x:c r="E11" s="24" t="str">
        <x:v>Coryphaena hippurus</x:v>
      </x:c>
      <x:c r="F11" s="24" t="str">
        <x:v>Common dolphinfish</x:v>
      </x:c>
      <x:c r="G11" s="24" t="str">
        <x:v>Large pelagics (&gt;=90 cm)</x:v>
      </x:c>
      <x:c r="H11" s="24" t="str">
        <x:v>Perch-likes</x:v>
      </x:c>
      <x:c r="I11" s="31" t="n">
        <x:v>2574.1407820474997</x:v>
      </x:c>
      <x:c r="J11" s="31" t="n">
        <x:v>0</x:v>
      </x:c>
      <x:c r="K11" s="31" t="n">
        <x:v>2574.1407820474997</x:v>
      </x:c>
      <x:c r="L11" s="31" t="n">
        <x:v>0</x:v>
      </x:c>
      <x:c r="M11" s="31" t="n">
        <x:v>2574.1407820474997</x:v>
      </x:c>
      <x:c r="N11" s="24" t="str">
        <x:v>coryphaena hippurus</x:v>
      </x:c>
      <x:c r="O11" s="32" t="n">
        <x:v>4.37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Coryphaena hippurus</x:v>
      </x:c>
      <x:c r="T11" s="32" t="n">
        <x:f>IF(O11="","",(1/'Metadata'!$B$5)^(O11-1))</x:f>
        <x:v>2344.228815319923</x:v>
      </x:c>
      <x:c r="U11" s="31" t="n">
        <x:f>IF(T11="","",I11*T11)</x:f>
        <x:v>6034374.99596591</x:v>
      </x:c>
    </x:row>
    <x:row r="12" ht="18" customHeight="1">
      <x:c r="A12" s="24" t="str">
        <x:v>HS_071</x:v>
      </x:c>
      <x:c r="B12" s="24" t="str">
        <x:v>Pacific, Western Central</x:v>
      </x:c>
      <x:c r="C12" s="24" t="str">
        <x:v>High Seas</x:v>
      </x:c>
      <x:c r="D12" s="30" t="n">
        <x:v>2019</x:v>
      </x:c>
      <x:c r="E12" s="24" t="str">
        <x:v>Xiphias gladius</x:v>
      </x:c>
      <x:c r="F12" s="24" t="str">
        <x:v>Swordfish</x:v>
      </x:c>
      <x:c r="G12" s="24" t="str">
        <x:v>Large pelagics (&gt;=90 cm)</x:v>
      </x:c>
      <x:c r="H12" s="24" t="str">
        <x:v>Tuna &amp; billfishes</x:v>
      </x:c>
      <x:c r="I12" s="31" t="n">
        <x:v>2012.7741795332</x:v>
      </x:c>
      <x:c r="J12" s="31" t="n">
        <x:v>822.8522543065</x:v>
      </x:c>
      <x:c r="K12" s="31" t="n">
        <x:v>1189.9219252267</x:v>
      </x:c>
      <x:c r="L12" s="31" t="n">
        <x:v>822.8522543065</x:v>
      </x:c>
      <x:c r="M12" s="31" t="n">
        <x:v>1189.9219252267</x:v>
      </x:c>
      <x:c r="N12" s="24" t="str">
        <x:v>xiphias gladius</x:v>
      </x:c>
      <x:c r="O12" s="32" t="n">
        <x:v>4.53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Xiphias gladius</x:v>
      </x:c>
      <x:c r="T12" s="32" t="n">
        <x:f>IF(O12="","",(1/'Metadata'!$B$5)^(O12-1))</x:f>
        <x:v>3388.4415613920273</x:v>
      </x:c>
      <x:c r="U12" s="31" t="n">
        <x:f>IF(T12="","",I12*T12)</x:f>
        <x:v>6820167.683627033</x:v>
      </x:c>
    </x:row>
    <x:row r="13" ht="18" customHeight="1">
      <x:c r="A13" s="24" t="str">
        <x:v>HS_071</x:v>
      </x:c>
      <x:c r="B13" s="24" t="str">
        <x:v>Pacific, Western Central</x:v>
      </x:c>
      <x:c r="C13" s="24" t="str">
        <x:v>High Seas</x:v>
      </x:c>
      <x:c r="D13" s="30" t="n">
        <x:v>2019</x:v>
      </x:c>
      <x:c r="E13" s="24" t="str">
        <x:v>Thunnus orientalis</x:v>
      </x:c>
      <x:c r="F13" s="24" t="str">
        <x:v>Pacific bluefin tuna</x:v>
      </x:c>
      <x:c r="G13" s="24" t="str">
        <x:v>Large pelagics (&gt;=90 cm)</x:v>
      </x:c>
      <x:c r="H13" s="24" t="str">
        <x:v>Tuna &amp; billfishes</x:v>
      </x:c>
      <x:c r="I13" s="31" t="n">
        <x:v>1406.9569425268999</x:v>
      </x:c>
      <x:c r="J13" s="31" t="n">
        <x:v>1403.3752038716</x:v>
      </x:c>
      <x:c r="K13" s="31" t="n">
        <x:v>3.5817386552999997</x:v>
      </x:c>
      <x:c r="L13" s="31" t="n">
        <x:v>1403.3752038716</x:v>
      </x:c>
      <x:c r="M13" s="31" t="n">
        <x:v>3.5817386552999997</x:v>
      </x:c>
      <x:c r="N13" s="24" t="str">
        <x:v>thunnus orientalis</x:v>
      </x:c>
      <x:c r="O13" s="32" t="n">
        <x:v>4.05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Thunnus orientalis</x:v>
      </x:c>
      <x:c r="T13" s="32" t="n">
        <x:f>IF(O13="","",(1/'Metadata'!$B$5)^(O13-1))</x:f>
        <x:v>1122.018454301963</x:v>
      </x:c>
      <x:c r="U13" s="31" t="n">
        <x:f>IF(T13="","",I13*T13)</x:f>
        <x:v>1578631.653923448</x:v>
      </x:c>
    </x:row>
    <x:row r="14" ht="18" customHeight="1">
      <x:c r="A14" s="24" t="str">
        <x:v>HS_071</x:v>
      </x:c>
      <x:c r="B14" s="24" t="str">
        <x:v>Pacific, Western Central</x:v>
      </x:c>
      <x:c r="C14" s="24" t="str">
        <x:v>High Seas</x:v>
      </x:c>
      <x:c r="D14" s="30" t="n">
        <x:v>2019</x:v>
      </x:c>
      <x:c r="E14" s="24" t="str">
        <x:v>Isurus</x:v>
      </x:c>
      <x:c r="F14" s="24" t="str">
        <x:v>Mako sharks</x:v>
      </x:c>
      <x:c r="G14" s="24" t="str">
        <x:v>Large sharks (&gt;=90 cm)</x:v>
      </x:c>
      <x:c r="H14" s="24" t="str">
        <x:v>Sharks &amp; rays</x:v>
      </x:c>
      <x:c r="I14" s="31" t="n">
        <x:v>1278.7091317823</x:v>
      </x:c>
      <x:c r="J14" s="31" t="n">
        <x:v>367.1086732061</x:v>
      </x:c>
      <x:c r="K14" s="31" t="n">
        <x:v>911.6004585762</x:v>
      </x:c>
      <x:c r="L14" s="31" t="n">
        <x:v>367.1086732061</x:v>
      </x:c>
      <x:c r="M14" s="31" t="n">
        <x:v>911.6004585762</x:v>
      </x:c>
      <x:c r="N14" s="24" t="str">
        <x:v>isurus</x:v>
      </x:c>
      <x:c r="O14" s="32" t="n">
        <x:v>4.5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Isurus</x:v>
      </x:c>
      <x:c r="T14" s="32" t="n">
        <x:f>IF(O14="","",(1/'Metadata'!$B$5)^(O14-1))</x:f>
        <x:v>3162.2776601683795</x:v>
      </x:c>
      <x:c r="U14" s="31" t="n">
        <x:f>IF(T14="","",I14*T14)</x:f>
        <x:v>4043633.321288471</x:v>
      </x:c>
    </x:row>
    <x:row r="15" ht="18" customHeight="1">
      <x:c r="A15" s="24" t="str">
        <x:v>HS_071</x:v>
      </x:c>
      <x:c r="B15" s="24" t="str">
        <x:v>Pacific, Western Central</x:v>
      </x:c>
      <x:c r="C15" s="24" t="str">
        <x:v>High Seas</x:v>
      </x:c>
      <x:c r="D15" s="30" t="n">
        <x:v>2019</x:v>
      </x:c>
      <x:c r="E15" s="24" t="str">
        <x:v>Istiophoridae</x:v>
      </x:c>
      <x:c r="F15" s="24" t="str">
        <x:v>Billfishes</x:v>
      </x:c>
      <x:c r="G15" s="24" t="str">
        <x:v>Large pelagics (&gt;=90 cm)</x:v>
      </x:c>
      <x:c r="H15" s="24" t="str">
        <x:v>Tuna &amp; billfishes</x:v>
      </x:c>
      <x:c r="I15" s="31" t="n">
        <x:v>874.7489932229</x:v>
      </x:c>
      <x:c r="J15" s="31" t="n">
        <x:v>0</x:v>
      </x:c>
      <x:c r="K15" s="31" t="n">
        <x:v>874.7489932229</x:v>
      </x:c>
      <x:c r="L15" s="31" t="n">
        <x:v>0</x:v>
      </x:c>
      <x:c r="M15" s="31" t="n">
        <x:v>874.7489932229</x:v>
      </x:c>
      <x:c r="N15" s="24" t="str">
        <x:v>istiophoridae</x:v>
      </x:c>
      <x:c r="O15" s="32" t="n">
        <x:v>4.48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Istiophoridae</x:v>
      </x:c>
      <x:c r="T15" s="32" t="n">
        <x:f>IF(O15="","",(1/'Metadata'!$B$5)^(O15-1))</x:f>
        <x:v>3019.951720402019</x:v>
      </x:c>
      <x:c r="U15" s="31" t="n">
        <x:f>IF(T15="","",I15*T15)</x:f>
        <x:v>2641699.727003431</x:v>
      </x:c>
    </x:row>
    <x:row r="16" ht="18" customHeight="1">
      <x:c r="A16" s="24" t="str">
        <x:v>HS_071</x:v>
      </x:c>
      <x:c r="B16" s="24" t="str">
        <x:v>Pacific, Western Central</x:v>
      </x:c>
      <x:c r="C16" s="24" t="str">
        <x:v>High Seas</x:v>
      </x:c>
      <x:c r="D16" s="30" t="n">
        <x:v>2019</x:v>
      </x:c>
      <x:c r="E16" s="24" t="str">
        <x:v>Carangidae</x:v>
      </x:c>
      <x:c r="F16" s="24" t="str">
        <x:v>Jacks, pompanos</x:v>
      </x:c>
      <x:c r="G16" s="24" t="str">
        <x:v>Medium pelagics (30 - 89 cm)</x:v>
      </x:c>
      <x:c r="H16" s="24" t="str">
        <x:v>Perch-likes</x:v>
      </x:c>
      <x:c r="I16" s="31" t="n">
        <x:v>829.358216698</x:v>
      </x:c>
      <x:c r="J16" s="31" t="n">
        <x:v>0</x:v>
      </x:c>
      <x:c r="K16" s="31" t="n">
        <x:v>829.358216698</x:v>
      </x:c>
      <x:c r="L16" s="31" t="n">
        <x:v>0</x:v>
      </x:c>
      <x:c r="M16" s="31" t="n">
        <x:v>829.358216698</x:v>
      </x:c>
      <x:c r="N16" s="24" t="str">
        <x:v>carangidae</x:v>
      </x:c>
      <x:c r="O16" s="32" t="n">
        <x:v>4.05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Carangidae</x:v>
      </x:c>
      <x:c r="T16" s="32" t="n">
        <x:f>IF(O16="","",(1/'Metadata'!$B$5)^(O16-1))</x:f>
        <x:v>1122.018454301963</x:v>
      </x:c>
      <x:c r="U16" s="31" t="n">
        <x:f>IF(T16="","",I16*T16)</x:f>
        <x:v>930555.2243621224</x:v>
      </x:c>
    </x:row>
    <x:row r="17" ht="18" customHeight="1">
      <x:c r="A17" s="24" t="str">
        <x:v>HS_071</x:v>
      </x:c>
      <x:c r="B17" s="24" t="str">
        <x:v>Pacific, Western Central</x:v>
      </x:c>
      <x:c r="C17" s="24" t="str">
        <x:v>High Seas</x:v>
      </x:c>
      <x:c r="D17" s="30" t="n">
        <x:v>2019</x:v>
      </x:c>
      <x:c r="E17" s="24" t="str">
        <x:v>Carcharhinus falciformis</x:v>
      </x:c>
      <x:c r="F17" s="24" t="str">
        <x:v>Silky shark</x:v>
      </x:c>
      <x:c r="G17" s="24" t="str">
        <x:v>Large sharks (&gt;=90 cm)</x:v>
      </x:c>
      <x:c r="H17" s="24" t="str">
        <x:v>Sharks &amp; rays</x:v>
      </x:c>
      <x:c r="I17" s="31" t="n">
        <x:v>560.1012113606</x:v>
      </x:c>
      <x:c r="J17" s="31" t="n">
        <x:v>44.855925309599996</x:v>
      </x:c>
      <x:c r="K17" s="31" t="n">
        <x:v>515.245286051</x:v>
      </x:c>
      <x:c r="L17" s="31" t="n">
        <x:v>44.855925309599996</x:v>
      </x:c>
      <x:c r="M17" s="31" t="n">
        <x:v>515.245286051</x:v>
      </x:c>
      <x:c r="N17" s="24" t="str">
        <x:v>carcharhinus falciformis</x:v>
      </x:c>
      <x:c r="O17" s="32" t="n">
        <x:v>4.51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Carcharhinus falciformis</x:v>
      </x:c>
      <x:c r="T17" s="32" t="n">
        <x:f>IF(O17="","",(1/'Metadata'!$B$5)^(O17-1))</x:f>
        <x:v>3235.936569296281</x:v>
      </x:c>
      <x:c r="U17" s="31" t="n">
        <x:f>IF(T17="","",I17*T17)</x:f>
        <x:v>1812451.9923489112</x:v>
      </x:c>
    </x:row>
    <x:row r="18" ht="18" customHeight="1">
      <x:c r="A18" s="24" t="str">
        <x:v>HS_071</x:v>
      </x:c>
      <x:c r="B18" s="24" t="str">
        <x:v>Pacific, Western Central</x:v>
      </x:c>
      <x:c r="C18" s="24" t="str">
        <x:v>High Seas</x:v>
      </x:c>
      <x:c r="D18" s="30" t="n">
        <x:v>2019</x:v>
      </x:c>
      <x:c r="E18" s="24" t="str">
        <x:v>Carcharhinus longimanus</x:v>
      </x:c>
      <x:c r="F18" s="24" t="str">
        <x:v>Oceanic whitetip shark</x:v>
      </x:c>
      <x:c r="G18" s="24" t="str">
        <x:v>Large sharks (&gt;=90 cm)</x:v>
      </x:c>
      <x:c r="H18" s="24" t="str">
        <x:v>Sharks &amp; rays</x:v>
      </x:c>
      <x:c r="I18" s="31" t="n">
        <x:v>423.9906548202</x:v>
      </x:c>
      <x:c r="J18" s="31" t="n">
        <x:v>41.3270457503</x:v>
      </x:c>
      <x:c r="K18" s="31" t="n">
        <x:v>382.66360906989996</x:v>
      </x:c>
      <x:c r="L18" s="31" t="n">
        <x:v>41.3270457503</x:v>
      </x:c>
      <x:c r="M18" s="31" t="n">
        <x:v>382.66360906989996</x:v>
      </x:c>
      <x:c r="N18" s="24" t="str">
        <x:v>carcharhinus longimanus</x:v>
      </x:c>
      <x:c r="O18" s="32" t="n">
        <x:v>4.16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Carcharhinus longimanus</x:v>
      </x:c>
      <x:c r="T18" s="32" t="n">
        <x:f>IF(O18="","",(1/'Metadata'!$B$5)^(O18-1))</x:f>
        <x:v>1445.439770745928</x:v>
      </x:c>
      <x:c r="U18" s="31" t="n">
        <x:f>IF(T18="","",I18*T18)</x:f>
        <x:v>612852.9549017258</x:v>
      </x:c>
    </x:row>
    <x:row r="19" ht="18" customHeight="1">
      <x:c r="A19" s="24" t="str">
        <x:v>HS_071</x:v>
      </x:c>
      <x:c r="B19" s="24" t="str">
        <x:v>Pacific, Western Central</x:v>
      </x:c>
      <x:c r="C19" s="24" t="str">
        <x:v>High Seas</x:v>
      </x:c>
      <x:c r="D19" s="30" t="n">
        <x:v>2019</x:v>
      </x:c>
      <x:c r="E19" s="24" t="str">
        <x:v>Istiompax indica</x:v>
      </x:c>
      <x:c r="F19" s="24" t="str">
        <x:v>Black marlin</x:v>
      </x:c>
      <x:c r="G19" s="24" t="str">
        <x:v>Large pelagics (&gt;=90 cm)</x:v>
      </x:c>
      <x:c r="H19" s="24" t="str">
        <x:v>Tuna &amp; billfishes</x:v>
      </x:c>
      <x:c r="I19" s="31" t="n">
        <x:v>270.1215566438</x:v>
      </x:c>
      <x:c r="J19" s="31" t="n">
        <x:v>270.1215566438</x:v>
      </x:c>
      <x:c r="K19" s="31" t="n">
        <x:v>0</x:v>
      </x:c>
      <x:c r="L19" s="31" t="n">
        <x:v>270.1215566438</x:v>
      </x:c>
      <x:c r="M19" s="31" t="n">
        <x:v>0</x:v>
      </x:c>
      <x:c r="N19" s="24" t="str">
        <x:v>istiompax indica</x:v>
      </x:c>
      <x:c r="O19" s="32" t="n">
        <x:v>4.5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Istiompax indica</x:v>
      </x:c>
      <x:c r="T19" s="32" t="n">
        <x:f>IF(O19="","",(1/'Metadata'!$B$5)^(O19-1))</x:f>
        <x:v>3162.2776601683795</x:v>
      </x:c>
      <x:c r="U19" s="31" t="n">
        <x:f>IF(T19="","",I19*T19)</x:f>
        <x:v>854199.3641045962</x:v>
      </x:c>
    </x:row>
    <x:row r="20" ht="18" customHeight="1">
      <x:c r="A20" s="24" t="str">
        <x:v>HS_071</x:v>
      </x:c>
      <x:c r="B20" s="24" t="str">
        <x:v>Pacific, Western Central</x:v>
      </x:c>
      <x:c r="C20" s="24" t="str">
        <x:v>High Seas</x:v>
      </x:c>
      <x:c r="D20" s="30" t="n">
        <x:v>2019</x:v>
      </x:c>
      <x:c r="E20" s="24" t="str">
        <x:v>Kajikia audax</x:v>
      </x:c>
      <x:c r="F20" s="24" t="str">
        <x:v>Striped marlin</x:v>
      </x:c>
      <x:c r="G20" s="24" t="str">
        <x:v>Large pelagics (&gt;=90 cm)</x:v>
      </x:c>
      <x:c r="H20" s="24" t="str">
        <x:v>Tuna &amp; billfishes</x:v>
      </x:c>
      <x:c r="I20" s="31" t="n">
        <x:v>254.7077900817</x:v>
      </x:c>
      <x:c r="J20" s="31" t="n">
        <x:v>254.7077900817</x:v>
      </x:c>
      <x:c r="K20" s="31" t="n">
        <x:v>0</x:v>
      </x:c>
      <x:c r="L20" s="31" t="n">
        <x:v>254.7077900817</x:v>
      </x:c>
      <x:c r="M20" s="31" t="n">
        <x:v>0</x:v>
      </x:c>
      <x:c r="N20" s="24" t="str">
        <x:v>kajikia audax</x:v>
      </x:c>
      <x:c r="O20" s="32" t="n">
        <x:v>4.58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Kajikia audax</x:v>
      </x:c>
      <x:c r="T20" s="32" t="n">
        <x:f>IF(O20="","",(1/'Metadata'!$B$5)^(O20-1))</x:f>
        <x:v>3801.8939632056126</x:v>
      </x:c>
      <x:c r="U20" s="31" t="n">
        <x:f>IF(T20="","",I20*T20)</x:f>
        <x:v>968372.0094930577</x:v>
      </x:c>
    </x:row>
    <x:row r="21" ht="18" customHeight="1">
      <x:c r="A21" s="24" t="str">
        <x:v>HS_071</x:v>
      </x:c>
      <x:c r="B21" s="24" t="str">
        <x:v>Pacific, Western Central</x:v>
      </x:c>
      <x:c r="C21" s="24" t="str">
        <x:v>High Seas</x:v>
      </x:c>
      <x:c r="D21" s="30" t="n">
        <x:v>2019</x:v>
      </x:c>
      <x:c r="E21" s="24" t="str">
        <x:v>Acanthocybium solandri</x:v>
      </x:c>
      <x:c r="F21" s="24" t="str">
        <x:v>Wahoo</x:v>
      </x:c>
      <x:c r="G21" s="24" t="str">
        <x:v>Large pelagics (&gt;=90 cm)</x:v>
      </x:c>
      <x:c r="H21" s="24" t="str">
        <x:v>Perch-likes</x:v>
      </x:c>
      <x:c r="I21" s="31" t="n">
        <x:v>235.1708022412</x:v>
      </x:c>
      <x:c r="J21" s="31" t="n">
        <x:v>0</x:v>
      </x:c>
      <x:c r="K21" s="31" t="n">
        <x:v>235.1708022412</x:v>
      </x:c>
      <x:c r="L21" s="31" t="n">
        <x:v>0</x:v>
      </x:c>
      <x:c r="M21" s="31" t="n">
        <x:v>235.1708022412</x:v>
      </x:c>
      <x:c r="N21" s="24" t="str">
        <x:v>acanthocybium solandri</x:v>
      </x:c>
      <x:c r="O21" s="32" t="n">
        <x:v>4.26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Acanthocybium solandri</x:v>
      </x:c>
      <x:c r="T21" s="32" t="n">
        <x:f>IF(O21="","",(1/'Metadata'!$B$5)^(O21-1))</x:f>
        <x:v>1819.7008586099826</x:v>
      </x:c>
      <x:c r="U21" s="31" t="n">
        <x:f>IF(T21="","",I21*T21)</x:f>
        <x:v>427940.51075831003</x:v>
      </x:c>
    </x:row>
    <x:row r="22" ht="18" customHeight="1">
      <x:c r="A22" s="24" t="str">
        <x:v>HS_071</x:v>
      </x:c>
      <x:c r="B22" s="24" t="str">
        <x:v>Pacific, Western Central</x:v>
      </x:c>
      <x:c r="C22" s="24" t="str">
        <x:v>High Seas</x:v>
      </x:c>
      <x:c r="D22" s="30" t="n">
        <x:v>2019</x:v>
      </x:c>
      <x:c r="E22" s="24" t="str">
        <x:v>Alopias</x:v>
      </x:c>
      <x:c r="F22" s="24" t="str">
        <x:v>Thresher sharks</x:v>
      </x:c>
      <x:c r="G22" s="24" t="str">
        <x:v>Large sharks (&gt;=90 cm)</x:v>
      </x:c>
      <x:c r="H22" s="24" t="str">
        <x:v>Sharks &amp; rays</x:v>
      </x:c>
      <x:c r="I22" s="31" t="n">
        <x:v>142.9079558861</x:v>
      </x:c>
      <x:c r="J22" s="31" t="n">
        <x:v>71.7257193973</x:v>
      </x:c>
      <x:c r="K22" s="31" t="n">
        <x:v>71.1822364888</x:v>
      </x:c>
      <x:c r="L22" s="31" t="n">
        <x:v>71.7257193973</x:v>
      </x:c>
      <x:c r="M22" s="31" t="n">
        <x:v>71.1822364888</x:v>
      </x:c>
      <x:c r="N22" s="24" t="str">
        <x:v>alopias</x:v>
      </x:c>
      <x:c r="O22" s="32" t="n">
        <x:v>4.5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Alopias</x:v>
      </x:c>
      <x:c r="T22" s="32" t="n">
        <x:f>IF(O22="","",(1/'Metadata'!$B$5)^(O22-1))</x:f>
        <x:v>3162.2776601683795</x:v>
      </x:c>
      <x:c r="U22" s="31" t="n">
        <x:f>IF(T22="","",I22*T22)</x:f>
        <x:v>451914.63635894237</x:v>
      </x:c>
    </x:row>
    <x:row r="23" ht="18" customHeight="1">
      <x:c r="A23" s="24" t="str">
        <x:v>HS_071</x:v>
      </x:c>
      <x:c r="B23" s="24" t="str">
        <x:v>Pacific, Western Central</x:v>
      </x:c>
      <x:c r="C23" s="24" t="str">
        <x:v>High Seas</x:v>
      </x:c>
      <x:c r="D23" s="30" t="n">
        <x:v>2019</x:v>
      </x:c>
      <x:c r="E23" s="24" t="str">
        <x:v>Sphyrna</x:v>
      </x:c>
      <x:c r="F23" s="24" t="str">
        <x:v>Hammerhead sharks</x:v>
      </x:c>
      <x:c r="G23" s="24" t="str">
        <x:v>Large sharks (&gt;=90 cm)</x:v>
      </x:c>
      <x:c r="H23" s="24" t="str">
        <x:v>Sharks &amp; rays</x:v>
      </x:c>
      <x:c r="I23" s="31" t="n">
        <x:v>36.0347914432</x:v>
      </x:c>
      <x:c r="J23" s="31" t="n">
        <x:v>36.0347914432</x:v>
      </x:c>
      <x:c r="K23" s="31" t="n">
        <x:v>0</x:v>
      </x:c>
      <x:c r="L23" s="31" t="n">
        <x:v>36.0347914432</x:v>
      </x:c>
      <x:c r="M23" s="31" t="n">
        <x:v>0</x:v>
      </x:c>
      <x:c r="N23" s="24" t="str">
        <x:v>sphyrna</x:v>
      </x:c>
      <x:c r="O23" s="32" t="n">
        <x:v>4.2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Sphyrna</x:v>
      </x:c>
      <x:c r="T23" s="32" t="n">
        <x:f>IF(O23="","",(1/'Metadata'!$B$5)^(O23-1))</x:f>
        <x:v>1584.893192461114</x:v>
      </x:c>
      <x:c r="U23" s="31" t="n">
        <x:f>IF(T23="","",I23*T23)</x:f>
        <x:v>57111.29565008368</x:v>
      </x:c>
    </x:row>
    <x:row r="24" ht="18" customHeight="1">
      <x:c r="A24" s="24" t="str">
        <x:v>HS_071</x:v>
      </x:c>
      <x:c r="B24" s="24" t="str">
        <x:v>Pacific, Western Central</x:v>
      </x:c>
      <x:c r="C24" s="24" t="str">
        <x:v>High Seas</x:v>
      </x:c>
      <x:c r="D24" s="30" t="n">
        <x:v>2019</x:v>
      </x:c>
      <x:c r="E24" s="24" t="str">
        <x:v>Thunnus maccoyii</x:v>
      </x:c>
      <x:c r="F24" s="24" t="str">
        <x:v>Southern bluefin tuna</x:v>
      </x:c>
      <x:c r="G24" s="24" t="str">
        <x:v>Large pelagics (&gt;=90 cm)</x:v>
      </x:c>
      <x:c r="H24" s="24" t="str">
        <x:v>Tuna &amp; billfishes</x:v>
      </x:c>
      <x:c r="I24" s="31" t="n">
        <x:v>0.1395048658</x:v>
      </x:c>
      <x:c r="J24" s="31" t="n">
        <x:v>0</x:v>
      </x:c>
      <x:c r="K24" s="31" t="n">
        <x:v>0.1395048658</x:v>
      </x:c>
      <x:c r="L24" s="31" t="n">
        <x:v>0</x:v>
      </x:c>
      <x:c r="M24" s="31" t="n">
        <x:v>0.1395048658</x:v>
      </x:c>
      <x:c r="N24" s="24" t="str">
        <x:v>thunnus maccoyii</x:v>
      </x:c>
      <x:c r="O24" s="32" t="n">
        <x:v>3.93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Thunnus maccoyii</x:v>
      </x:c>
      <x:c r="T24" s="32" t="n">
        <x:f>IF(O24="","",(1/'Metadata'!$B$5)^(O24-1))</x:f>
        <x:v>851.1380382023768</x:v>
      </x:c>
      <x:c r="U24" s="31" t="n">
        <x:f>IF(T24="","",I24*T24)</x:f>
        <x:v>118.73789779669784</x:v>
      </x:c>
    </x:row>
  </x:sheetData>
  <x:conditionalFormatting sqref="R2:R2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8a24d8b4740247b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Other fishes &amp; inverts</x:v>
      </x:c>
      <x:c r="B2" s="31" t="n">
        <x:v>11447.2441360498</x:v>
      </x:c>
      <x:c r="C2" s="32" t="n">
        <x:v>3.3055836075749245</x:v>
      </x:c>
      <x:c r="D2" s="32" t="n">
        <x:f>IF(C2="","",(1/'Metadata'!$B$5)^(C2-1))</x:f>
        <x:v>202.10804799320675</x:v>
      </x:c>
      <x:c r="E2" s="31" t="n">
        <x:f>IF(B2=0,"",B2*D2)</x:f>
        <x:v>2313580.1672387077</x:v>
      </x:c>
    </x:row>
    <x:row r="3" ht="18" customHeight="1">
      <x:c r="A3" s="24" t="str">
        <x:v>Perch-likes</x:v>
      </x:c>
      <x:c r="B3" s="31" t="n">
        <x:v>6578.2319181244</x:v>
      </x:c>
      <x:c r="C3" s="32" t="n">
        <x:v>4.276568321378021</x:v>
      </x:c>
      <x:c r="D3" s="32" t="n">
        <x:f>IF(C3="","",(1/'Metadata'!$B$5)^(C3-1))</x:f>
        <x:v>1890.463607564683</x:v>
      </x:c>
      <x:c r="E3" s="31" t="n">
        <x:f>IF(B3=0,"",B3*D3)</x:f>
        <x:v>12435908.043334598</x:v>
      </x:c>
    </x:row>
    <x:row r="4" ht="18" customHeight="1">
      <x:c r="A4" s="24" t="str">
        <x:v>Sharks &amp; rays</x:v>
      </x:c>
      <x:c r="B4" s="31" t="n">
        <x:v>22977.887308863603</x:v>
      </x:c>
      <x:c r="C4" s="32" t="n">
        <x:v>4.299497131294167</x:v>
      </x:c>
      <x:c r="D4" s="32" t="n">
        <x:f>IF(C4="","",(1/'Metadata'!$B$5)^(C4-1))</x:f>
        <x:v>1992.9533417889393</x:v>
      </x:c>
      <x:c r="E4" s="31" t="n">
        <x:f>IF(B4=0,"",B4*D4)</x:f>
        <x:v>45793857.29944938</x:v>
      </x:c>
    </x:row>
    <x:row r="5" ht="18" customHeight="1">
      <x:c r="A5" s="24" t="str">
        <x:v>Tuna &amp; billfishes</x:v>
      </x:c>
      <x:c r="B5" s="31" t="n">
        <x:v>530814.4231922082</x:v>
      </x:c>
      <x:c r="C5" s="32" t="n">
        <x:v>4.426167894304057</x:v>
      </x:c>
      <x:c r="D5" s="32" t="n">
        <x:f>IF(C5="","",(1/'Metadata'!$B$5)^(C5-1))</x:f>
        <x:v>2667.8898471807793</x:v>
      </x:c>
      <x:c r="E5" s="31" t="n">
        <x:f>IF(B5=0,"",B5*D5)</x:f>
        <x:v>1416154410.3716137</x:v>
      </x:c>
    </x:row>
  </x:sheetData>
  <x:pageMargins left="0.7" right="0.7" top="0.75" bottom="0.75" header="0.3" footer="0.3"/>
  <x:tableParts count="1">
    <x:tablePart xmlns:r="http://schemas.openxmlformats.org/officeDocument/2006/relationships" r:id="Rb2d8347d1bad46a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pelagics (&gt;=90 cm)</x:v>
      </x:c>
      <x:c r="B2" s="31" t="n">
        <x:v>533623.7347764968</x:v>
      </x:c>
      <x:c r="C2" s="32" t="n">
        <x:v>4.425823715639559</x:v>
      </x:c>
      <x:c r="D2" s="32" t="n">
        <x:f>IF(C2="","",(1/'Metadata'!$B$5)^(C2-1))</x:f>
        <x:v>2665.776380282783</x:v>
      </x:c>
      <x:c r="E2" s="31" t="n">
        <x:f>IF(B2=0,"",B2*D2)</x:f>
        <x:v>1422521548.1254694</x:v>
      </x:c>
    </x:row>
    <x:row r="3" ht="18" customHeight="1">
      <x:c r="A3" s="24" t="str">
        <x:v>Large sharks (&gt;=90 cm)</x:v>
      </x:c>
      <x:c r="B3" s="31" t="n">
        <x:v>22977.887308863603</x:v>
      </x:c>
      <x:c r="C3" s="32" t="n">
        <x:v>4.299497131294167</x:v>
      </x:c>
      <x:c r="D3" s="32" t="n">
        <x:f>IF(C3="","",(1/'Metadata'!$B$5)^(C3-1))</x:f>
        <x:v>1992.9533417889393</x:v>
      </x:c>
      <x:c r="E3" s="31" t="n">
        <x:f>IF(B3=0,"",B3*D3)</x:f>
        <x:v>45793857.29944938</x:v>
      </x:c>
    </x:row>
    <x:row r="4" ht="18" customHeight="1">
      <x:c r="A4" s="24" t="str">
        <x:v>Medium demersals (30 - 89 cm)</x:v>
      </x:c>
      <x:c r="B4" s="31" t="n">
        <x:v>7263.5041104633</x:v>
      </x:c>
      <x:c r="C4" s="32" t="n">
        <x:v>3.28</x:v>
      </x:c>
      <x:c r="D4" s="32" t="n">
        <x:f>IF(C4="","",(1/'Metadata'!$B$5)^(C4-1))</x:f>
        <x:v>190.54607179632464</x:v>
      </x:c>
      <x:c r="E4" s="31" t="n">
        <x:f>IF(B4=0,"",B4*D4)</x:f>
        <x:v>1384032.175725239</x:v>
      </x:c>
    </x:row>
    <x:row r="5" ht="18" customHeight="1">
      <x:c r="A5" s="24" t="str">
        <x:v>Medium pelagics (30 - 89 cm)</x:v>
      </x:c>
      <x:c r="B5" s="31" t="n">
        <x:v>7952.6603594222</x:v>
      </x:c>
      <x:c r="C5" s="32" t="n">
        <x:v>3.7593664423159696</x:v>
      </x:c>
      <x:c r="D5" s="32" t="n">
        <x:f>IF(C5="","",(1/'Metadata'!$B$5)^(C5-1))</x:f>
        <x:v>574.6010857879266</x:v>
      </x:c>
      <x:c r="E5" s="31" t="n">
        <x:f>IF(B5=0,"",B5*D5)</x:f>
        <x:v>4569607.277426599</x:v>
      </x:c>
    </x:row>
  </x:sheetData>
  <x:pageMargins left="0.7" right="0.7" top="0.75" bottom="0.75" header="0.3" footer="0.3"/>
  <x:tableParts count="1">
    <x:tablePart xmlns:r="http://schemas.openxmlformats.org/officeDocument/2006/relationships" r:id="Rab3ed169925f40c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HS_071</x:v>
      </x:c>
      <x:c r="B2" s="24" t="str">
        <x:v>raw_filtered_tonnes</x:v>
      </x:c>
      <x:c r="C2" s="24" t="n">
        <x:v>571817.786555246</x:v>
      </x:c>
      <x:c r="D2" s="24" t="str">
        <x:v>tonnes</x:v>
      </x:c>
    </x:row>
    <x:row r="3" ht="18" customHeight="1">
      <x:c r="A3" s="24" t="str">
        <x:v>HS_071</x:v>
      </x:c>
      <x:c r="B3" s="24" t="str">
        <x:v>species_catch_tonnes</x:v>
      </x:c>
      <x:c r="C3" s="24" t="n">
        <x:v>571817.786555246</x:v>
      </x:c>
      <x:c r="D3" s="24" t="str">
        <x:v>tonnes</x:v>
      </x:c>
    </x:row>
    <x:row r="4" ht="18" customHeight="1">
      <x:c r="A4" s="24" t="str">
        <x:v>HS_071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HS_071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HS_071</x:v>
      </x:c>
      <x:c r="B6" s="24" t="str">
        <x:v>matched_catch_tonnes</x:v>
      </x:c>
      <x:c r="C6" s="24" t="n">
        <x:v>571817.786555246</x:v>
      </x:c>
      <x:c r="D6" s="24" t="str">
        <x:v>tonnes</x:v>
      </x:c>
    </x:row>
    <x:row r="7" ht="18" customHeight="1">
      <x:c r="A7" s="24" t="str">
        <x:v>HS_071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HS_071</x:v>
      </x:c>
      <x:c r="B8" s="24" t="str">
        <x:v>taxa_count</x:v>
      </x:c>
      <x:c r="C8" s="24" t="n">
        <x:v>23</x:v>
      </x:c>
      <x:c r="D8" s="24" t="str">
        <x:v>count</x:v>
      </x:c>
    </x:row>
    <x:row r="9" ht="18" customHeight="1">
      <x:c r="A9" s="24" t="str">
        <x:v>HS_071</x:v>
      </x:c>
      <x:c r="B9" s="24" t="str">
        <x:v>matched_taxa_count</x:v>
      </x:c>
      <x:c r="C9" s="24" t="n">
        <x:v>23</x:v>
      </x:c>
      <x:c r="D9" s="24" t="str">
        <x:v>count</x:v>
      </x:c>
    </x:row>
    <x:row r="10" ht="18" customHeight="1">
      <x:c r="A10" s="24" t="str">
        <x:v>HS_071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HS_071</x:v>
      </x:c>
      <x:c r="B11" s="24" t="str">
        <x:v>species_ppr</x:v>
      </x:c>
      <x:c r="C11" s="24" t="n">
        <x:v>1482147259.8171525</x:v>
      </x:c>
      <x:c r="D11" s="24" t="str">
        <x:v>tonnes_primary_production_equivalent</x:v>
      </x:c>
    </x:row>
    <x:row r="12" ht="18" customHeight="1">
      <x:c r="A12" s="24" t="str">
        <x:v>HS_071</x:v>
      </x:c>
      <x:c r="B12" s="24" t="str">
        <x:v>commercial_ppr</x:v>
      </x:c>
      <x:c r="C12" s="24" t="n">
        <x:v>1476697755.8816364</x:v>
      </x:c>
      <x:c r="D12" s="24" t="str">
        <x:v>tonnes_primary_production_equivalent</x:v>
      </x:c>
    </x:row>
    <x:row r="13" ht="18" customHeight="1">
      <x:c r="A13" s="24" t="str">
        <x:v>HS_071</x:v>
      </x:c>
      <x:c r="B13" s="24" t="str">
        <x:v>functional_ppr</x:v>
      </x:c>
      <x:c r="C13" s="24" t="n">
        <x:v>1474269044.8780706</x:v>
      </x:c>
      <x:c r="D13" s="24" t="str">
        <x:v>tonnes_primary_production_equivalent</x:v>
      </x:c>
    </x:row>
    <x:row r="14" ht="18" customHeight="1">
      <x:c r="A14" s="24" t="str">
        <x:v>HS_071</x:v>
      </x:c>
      <x:c r="B14" s="24" t="str">
        <x:v>commercial_ppr_difference</x:v>
      </x:c>
      <x:c r="C14" s="24" t="n">
        <x:v>-5449503.935516119</x:v>
      </x:c>
      <x:c r="D14" s="24" t="str">
        <x:v>tonnes_primary_production_equivalent</x:v>
      </x:c>
    </x:row>
    <x:row r="15" ht="18" customHeight="1">
      <x:c r="A15" s="24" t="str">
        <x:v>HS_071</x:v>
      </x:c>
      <x:c r="B15" s="24" t="str">
        <x:v>functional_ppr_difference</x:v>
      </x:c>
      <x:c r="C15" s="24" t="n">
        <x:v>-7878214.939081907</x:v>
      </x:c>
      <x:c r="D15" s="24" t="str">
        <x:v>tonnes_primary_production_equivalent</x:v>
      </x:c>
    </x:row>
    <x:row r="16" ht="18" customHeight="1">
      <x:c r="A16" s="24" t="str">
        <x:v>HS_071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HS_071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a88fa2b4b43a4e4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HS_071 - Pacific, Western Central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HS_071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84 datasets</x:v>
      </x:c>
    </x:row>
    <x:row r="7">
      <x:c r="A7" s="22" t="str">
        <x:v>Region type</x:v>
      </x:c>
      <x:c r="B7" s="17" t="str">
        <x:v>High Seas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raw_data/SAU_downloads/HS_071-catch.zip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